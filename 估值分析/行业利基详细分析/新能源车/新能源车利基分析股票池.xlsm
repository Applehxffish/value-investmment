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新能源车\"/>
    </mc:Choice>
  </mc:AlternateContent>
  <bookViews>
    <workbookView xWindow="-108" yWindow="-108" windowWidth="20268" windowHeight="9132" activeTab="7"/>
  </bookViews>
  <sheets>
    <sheet name="新能源车整车" sheetId="31" r:id="rId1"/>
    <sheet name="新能源车电池组" sheetId="55" r:id="rId2"/>
    <sheet name="新能源车电驱" sheetId="56" r:id="rId3"/>
    <sheet name="新能源车电控" sheetId="57" r:id="rId4"/>
    <sheet name="新能源车零配件" sheetId="58" r:id="rId5"/>
    <sheet name="空气悬架" sheetId="59" r:id="rId6"/>
    <sheet name="充电桩快充" sheetId="60" r:id="rId7"/>
    <sheet name="公司价值折现" sheetId="42" r:id="rId8"/>
    <sheet name="基本面模型" sheetId="23" r:id="rId9"/>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<sst xmlns="http://schemas.openxmlformats.org/spreadsheetml/2006/main" count="6322" uniqueCount="3440">
  <si>
    <t>现价</t>
  </si>
  <si>
    <t>市净率</t>
  </si>
  <si>
    <t>代码</t>
  </si>
  <si>
    <t xml:space="preserve">    名称</t>
  </si>
  <si>
    <t>总市值</t>
  </si>
  <si>
    <t>TTM市盈率</t>
  </si>
  <si>
    <t>所属行业</t>
  </si>
  <si>
    <t>--</t>
  </si>
  <si>
    <t>半导体及元件</t>
  </si>
  <si>
    <t>负债合计</t>
  </si>
  <si>
    <t>所有者权益合计</t>
  </si>
  <si>
    <t>主营业务收入</t>
  </si>
  <si>
    <t>净利润增长率</t>
  </si>
  <si>
    <t>总股本</t>
  </si>
  <si>
    <t>财务费用</t>
  </si>
  <si>
    <t>投资收益</t>
  </si>
  <si>
    <t>应收账款</t>
  </si>
  <si>
    <t>3.47亿</t>
  </si>
  <si>
    <t>1.35亿</t>
  </si>
  <si>
    <t>1.09亿</t>
  </si>
  <si>
    <t>3.26亿</t>
  </si>
  <si>
    <t>3.04亿</t>
  </si>
  <si>
    <t>5.58亿</t>
  </si>
  <si>
    <t>2.02亿</t>
  </si>
  <si>
    <t>1.25亿</t>
  </si>
  <si>
    <t>5.54亿</t>
  </si>
  <si>
    <t>2.77亿</t>
  </si>
  <si>
    <t>1.45亿</t>
  </si>
  <si>
    <t>8.42亿</t>
  </si>
  <si>
    <t>1.82亿</t>
  </si>
  <si>
    <t>3.03亿</t>
  </si>
  <si>
    <t>2.20亿</t>
  </si>
  <si>
    <t>2.51亿</t>
  </si>
  <si>
    <t>1.76亿</t>
  </si>
  <si>
    <t>2.18亿</t>
  </si>
  <si>
    <t>2.59亿</t>
  </si>
  <si>
    <t>9.64亿</t>
  </si>
  <si>
    <t>0亿</t>
  </si>
  <si>
    <t>1.03亿</t>
  </si>
  <si>
    <t>6.42亿</t>
  </si>
  <si>
    <t>1.13亿</t>
  </si>
  <si>
    <t>1.16亿</t>
  </si>
  <si>
    <t>1.48亿</t>
  </si>
  <si>
    <t>12.06亿</t>
  </si>
  <si>
    <t>4.53亿</t>
  </si>
  <si>
    <t>1.65亿</t>
  </si>
  <si>
    <t>1.39亿</t>
  </si>
  <si>
    <t>2.96亿</t>
  </si>
  <si>
    <t>1.69亿</t>
  </si>
  <si>
    <t>4.25亿</t>
  </si>
  <si>
    <t>1.51亿</t>
  </si>
  <si>
    <t>2.58亿</t>
  </si>
  <si>
    <t>2.19亿</t>
  </si>
  <si>
    <t>2.32亿</t>
  </si>
  <si>
    <t>2.30亿</t>
  </si>
  <si>
    <t>1.50亿</t>
  </si>
  <si>
    <t>2.22亿</t>
  </si>
  <si>
    <t>2.04亿</t>
  </si>
  <si>
    <t>2.53亿</t>
  </si>
  <si>
    <t>2.50亿</t>
  </si>
  <si>
    <t>2.97亿</t>
  </si>
  <si>
    <t>5.86亿</t>
  </si>
  <si>
    <t>1.92亿</t>
  </si>
  <si>
    <t>3.76亿</t>
  </si>
  <si>
    <t>2.98亿</t>
  </si>
  <si>
    <t>8.32亿</t>
  </si>
  <si>
    <t>1.28亿</t>
  </si>
  <si>
    <t>3.30亿</t>
  </si>
  <si>
    <t>1.20亿</t>
  </si>
  <si>
    <t>1.66亿</t>
  </si>
  <si>
    <t>2.76亿</t>
  </si>
  <si>
    <t>3.94亿</t>
  </si>
  <si>
    <t>9.65亿</t>
  </si>
  <si>
    <t>1.90亿</t>
  </si>
  <si>
    <t>3.00亿</t>
  </si>
  <si>
    <t>2.43亿</t>
  </si>
  <si>
    <t>1.97亿</t>
  </si>
  <si>
    <t>1.81亿</t>
  </si>
  <si>
    <t>1.31亿</t>
  </si>
  <si>
    <t>2.33亿</t>
  </si>
  <si>
    <t>1.59亿</t>
  </si>
  <si>
    <t>6.59亿</t>
  </si>
  <si>
    <t>2.00亿</t>
  </si>
  <si>
    <t>2.54亿</t>
  </si>
  <si>
    <t>4.17亿</t>
  </si>
  <si>
    <t>6.70亿</t>
  </si>
  <si>
    <t>1.33亿</t>
  </si>
  <si>
    <t>1.11亿</t>
  </si>
  <si>
    <t>1.87亿</t>
  </si>
  <si>
    <t>6.88亿</t>
  </si>
  <si>
    <t>1.26亿</t>
  </si>
  <si>
    <t>7.32亿</t>
  </si>
  <si>
    <t>4.48亿</t>
  </si>
  <si>
    <t>1.86亿</t>
  </si>
  <si>
    <t>10.14亿</t>
  </si>
  <si>
    <t>1.14亿</t>
  </si>
  <si>
    <t>4.06亿</t>
  </si>
  <si>
    <t>8.11亿</t>
  </si>
  <si>
    <t>1.07亿</t>
  </si>
  <si>
    <t>1.05亿</t>
  </si>
  <si>
    <t>1.06亿</t>
  </si>
  <si>
    <t>4.79亿</t>
  </si>
  <si>
    <t>3.48亿</t>
  </si>
  <si>
    <t>1.24亿</t>
  </si>
  <si>
    <t>2.82亿</t>
  </si>
  <si>
    <t>7.75亿</t>
  </si>
  <si>
    <t>3.28亿</t>
  </si>
  <si>
    <t>7.94亿</t>
  </si>
  <si>
    <t>1.54亿</t>
  </si>
  <si>
    <t>3.93亿</t>
  </si>
  <si>
    <t>5.15亿</t>
  </si>
  <si>
    <t>5.32亿</t>
  </si>
  <si>
    <t>5.18亿</t>
  </si>
  <si>
    <t>2.26亿</t>
  </si>
  <si>
    <t>5.47亿</t>
  </si>
  <si>
    <t>2.28亿</t>
  </si>
  <si>
    <t>2.60亿</t>
  </si>
  <si>
    <t>1.53亿</t>
  </si>
  <si>
    <t>1.77亿</t>
  </si>
  <si>
    <t>1.08亿</t>
  </si>
  <si>
    <t>2.74亿</t>
  </si>
  <si>
    <t>5.71亿</t>
  </si>
  <si>
    <t>3.80亿</t>
  </si>
  <si>
    <t>2.89亿</t>
  </si>
  <si>
    <t>4.29亿</t>
  </si>
  <si>
    <t>1.40亿</t>
  </si>
  <si>
    <t>15.13亿</t>
  </si>
  <si>
    <t>5.75亿</t>
  </si>
  <si>
    <t>2.45亿</t>
  </si>
  <si>
    <t>2.10亿</t>
  </si>
  <si>
    <t>2.67亿</t>
  </si>
  <si>
    <t>1.75亿</t>
  </si>
  <si>
    <t>1.02亿</t>
  </si>
  <si>
    <t>2.88亿</t>
  </si>
  <si>
    <t>2.85亿</t>
  </si>
  <si>
    <t>5.44亿</t>
  </si>
  <si>
    <t>5.09亿</t>
  </si>
  <si>
    <t>3.15亿</t>
  </si>
  <si>
    <t>3.57亿</t>
  </si>
  <si>
    <t>2.35亿</t>
  </si>
  <si>
    <t>1.04亿</t>
  </si>
  <si>
    <t>1.21亿</t>
  </si>
  <si>
    <t>3.51亿</t>
  </si>
  <si>
    <t>1.01亿</t>
  </si>
  <si>
    <t>2.55亿</t>
  </si>
  <si>
    <t>11.36亿</t>
  </si>
  <si>
    <t>7.14亿</t>
  </si>
  <si>
    <t>4.63亿</t>
  </si>
  <si>
    <t>2.01亿</t>
  </si>
  <si>
    <t>1.56亿</t>
  </si>
  <si>
    <t>2.06亿</t>
  </si>
  <si>
    <t>1.57亿</t>
  </si>
  <si>
    <t>2.15亿</t>
  </si>
  <si>
    <t>3.39亿</t>
  </si>
  <si>
    <t>1.58亿</t>
  </si>
  <si>
    <t>4.58亿</t>
  </si>
  <si>
    <t>1.62亿</t>
  </si>
  <si>
    <t>3.17亿</t>
  </si>
  <si>
    <t>5.72亿</t>
  </si>
  <si>
    <t>2.44亿</t>
  </si>
  <si>
    <t>5.05亿</t>
  </si>
  <si>
    <t>3.92亿</t>
  </si>
  <si>
    <t>5.98亿</t>
  </si>
  <si>
    <t>2.78亿</t>
  </si>
  <si>
    <t>5.19亿</t>
  </si>
  <si>
    <t>1.93亿</t>
  </si>
  <si>
    <t>5.25亿</t>
  </si>
  <si>
    <t>10.35亿</t>
  </si>
  <si>
    <t>1.18亿</t>
  </si>
  <si>
    <t>2.72亿</t>
  </si>
  <si>
    <t>3.29亿</t>
  </si>
  <si>
    <t>-2.08亿</t>
  </si>
  <si>
    <t>4.13亿</t>
  </si>
  <si>
    <t>3.22亿</t>
  </si>
  <si>
    <t>37.90亿</t>
  </si>
  <si>
    <t>13.93亿</t>
  </si>
  <si>
    <t>2.57亿</t>
  </si>
  <si>
    <t>15.65亿</t>
  </si>
  <si>
    <t>1.10亿</t>
  </si>
  <si>
    <t>1.49亿</t>
  </si>
  <si>
    <t>10.29亿</t>
  </si>
  <si>
    <t>24.25亿</t>
  </si>
  <si>
    <t>7.19亿</t>
  </si>
  <si>
    <t>10.54亿</t>
  </si>
  <si>
    <t>5.35亿</t>
  </si>
  <si>
    <t>2.12亿</t>
  </si>
  <si>
    <t>2.21亿</t>
  </si>
  <si>
    <t>3.49亿</t>
  </si>
  <si>
    <t>9.30亿</t>
  </si>
  <si>
    <t>2.07亿</t>
  </si>
  <si>
    <t>5.48亿</t>
  </si>
  <si>
    <t>6.77亿</t>
  </si>
  <si>
    <t>5.61亿</t>
  </si>
  <si>
    <t>2.05亿</t>
  </si>
  <si>
    <t>3.61亿</t>
  </si>
  <si>
    <t>3.08亿</t>
  </si>
  <si>
    <t>-1.40亿</t>
  </si>
  <si>
    <t>8.22亿</t>
  </si>
  <si>
    <t>1.44亿</t>
  </si>
  <si>
    <t>1.38亿</t>
  </si>
  <si>
    <t>3.21亿</t>
  </si>
  <si>
    <t>8.03亿</t>
  </si>
  <si>
    <t>3.35亿</t>
  </si>
  <si>
    <t>1.12亿</t>
  </si>
  <si>
    <t>4.03亿</t>
  </si>
  <si>
    <t>1.15亿</t>
  </si>
  <si>
    <t>3.13亿</t>
  </si>
  <si>
    <t>1.52亿</t>
  </si>
  <si>
    <t>3.85亿</t>
  </si>
  <si>
    <t>1.96亿</t>
  </si>
  <si>
    <t>3.16亿</t>
  </si>
  <si>
    <t>1.89亿</t>
  </si>
  <si>
    <t>1.55亿</t>
  </si>
  <si>
    <t>2.70亿</t>
  </si>
  <si>
    <t>3.69亿</t>
  </si>
  <si>
    <t>2.71亿</t>
  </si>
  <si>
    <t>9.21亿</t>
  </si>
  <si>
    <t>2.92亿</t>
  </si>
  <si>
    <t>4.41亿</t>
  </si>
  <si>
    <t>6.03亿</t>
  </si>
  <si>
    <t>1.91亿</t>
  </si>
  <si>
    <t>2.13亿</t>
  </si>
  <si>
    <t>4.64亿</t>
  </si>
  <si>
    <t>8.93亿</t>
  </si>
  <si>
    <t>24.39亿</t>
  </si>
  <si>
    <t>6.53亿</t>
  </si>
  <si>
    <t>4.22亿</t>
  </si>
  <si>
    <t>7.13亿</t>
  </si>
  <si>
    <t>9.81亿</t>
  </si>
  <si>
    <t>2.17亿</t>
  </si>
  <si>
    <t>-1.04亿</t>
  </si>
  <si>
    <t>10.00亿</t>
  </si>
  <si>
    <t>8.02亿</t>
  </si>
  <si>
    <t>1.85亿</t>
  </si>
  <si>
    <t>20.24亿</t>
  </si>
  <si>
    <t>2.65亿</t>
  </si>
  <si>
    <t>16.39亿</t>
  </si>
  <si>
    <t>1.17亿</t>
  </si>
  <si>
    <t>9.59亿</t>
  </si>
  <si>
    <t>2.64亿</t>
  </si>
  <si>
    <t>4.75亿</t>
  </si>
  <si>
    <t>3.43亿</t>
  </si>
  <si>
    <t>6.22亿</t>
  </si>
  <si>
    <t>74.60亿</t>
  </si>
  <si>
    <t>1.43亿</t>
  </si>
  <si>
    <t>6.86亿</t>
  </si>
  <si>
    <t>5.43亿</t>
  </si>
  <si>
    <t>5.63亿</t>
  </si>
  <si>
    <t>10.50亿</t>
  </si>
  <si>
    <t>7.29亿</t>
  </si>
  <si>
    <t>3.91亿</t>
  </si>
  <si>
    <t>12.50亿</t>
  </si>
  <si>
    <t>3.18亿</t>
  </si>
  <si>
    <t>6.41亿</t>
  </si>
  <si>
    <t>4.56亿</t>
  </si>
  <si>
    <t>1.64亿</t>
  </si>
  <si>
    <t>3.99亿</t>
  </si>
  <si>
    <t>2.16亿</t>
  </si>
  <si>
    <t>5.70亿</t>
  </si>
  <si>
    <t>10.64亿</t>
  </si>
  <si>
    <t>48.42亿</t>
  </si>
  <si>
    <t>SZ002463</t>
  </si>
  <si>
    <t>沪电股份</t>
  </si>
  <si>
    <t>71.29亿</t>
  </si>
  <si>
    <t>SZ300476</t>
  </si>
  <si>
    <t>胜宏科技</t>
  </si>
  <si>
    <t>38.85亿</t>
  </si>
  <si>
    <t>SH603920</t>
  </si>
  <si>
    <t>世运电路</t>
  </si>
  <si>
    <t>25.36亿</t>
  </si>
  <si>
    <t>13.12亿</t>
  </si>
  <si>
    <t>12.43亿</t>
  </si>
  <si>
    <t>6.25亿</t>
  </si>
  <si>
    <t>36.07亿</t>
  </si>
  <si>
    <t>2.39亿</t>
  </si>
  <si>
    <t>9.10亿</t>
  </si>
  <si>
    <t>18.32亿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</si>
  <si>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</si>
  <si>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</si>
  <si>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</si>
  <si>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</si>
  <si>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</si>
  <si>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</si>
  <si>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</si>
  <si>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</si>
  <si>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</si>
  <si>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</si>
  <si>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</si>
  <si>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</si>
  <si>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</si>
  <si>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</si>
  <si>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</si>
  <si>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</si>
  <si>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</si>
  <si>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</si>
  <si>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</si>
  <si>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</si>
  <si>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</si>
  <si>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</si>
  <si>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</si>
  <si>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</si>
  <si>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</si>
  <si>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</si>
  <si>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</si>
  <si>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</si>
  <si>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</si>
  <si>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</si>
  <si>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</si>
  <si>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</si>
  <si>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</si>
  <si>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</si>
  <si>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</si>
  <si>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</si>
  <si>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</si>
  <si>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</si>
  <si>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</si>
  <si>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</si>
  <si>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</si>
  <si>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</si>
  <si>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</si>
  <si>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</si>
  <si>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</si>
  <si>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</si>
  <si>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</si>
  <si>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</si>
  <si>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</si>
  <si>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</si>
  <si>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</si>
  <si>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</si>
  <si>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</si>
  <si>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</si>
  <si>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31.63亿</t>
  </si>
  <si>
    <t>5.39亿</t>
  </si>
  <si>
    <t>8.26亿</t>
  </si>
  <si>
    <t>12.78亿</t>
  </si>
  <si>
    <t>8.74亿</t>
  </si>
  <si>
    <t>13.43亿</t>
  </si>
  <si>
    <t>9.84亿</t>
  </si>
  <si>
    <t>10.18亿</t>
  </si>
  <si>
    <t>18.04亿</t>
  </si>
  <si>
    <t>7000.00万</t>
  </si>
  <si>
    <t>6.10亿</t>
  </si>
  <si>
    <t>25.84亿</t>
  </si>
  <si>
    <t>21.67亿</t>
  </si>
  <si>
    <t>9.35亿</t>
  </si>
  <si>
    <t>17.45亿</t>
  </si>
  <si>
    <t>3.70亿</t>
  </si>
  <si>
    <t>8.18亿</t>
  </si>
  <si>
    <t>-1.88亿</t>
  </si>
  <si>
    <t>22.84亿</t>
  </si>
  <si>
    <t>10.70亿</t>
  </si>
  <si>
    <t>5.28亿</t>
  </si>
  <si>
    <t>16.17亿</t>
  </si>
  <si>
    <t>3.81亿</t>
  </si>
  <si>
    <t>12.58亿</t>
  </si>
  <si>
    <t>8.94亿</t>
  </si>
  <si>
    <t>11.06亿</t>
  </si>
  <si>
    <t>5.45亿</t>
  </si>
  <si>
    <t>7.87亿</t>
  </si>
  <si>
    <t>6.57亿</t>
  </si>
  <si>
    <t>15.70亿</t>
  </si>
  <si>
    <t>40.35亿</t>
  </si>
  <si>
    <t>32.83亿</t>
  </si>
  <si>
    <t>54.97亿</t>
  </si>
  <si>
    <t>46.27亿</t>
  </si>
  <si>
    <t>18.27亿</t>
  </si>
  <si>
    <t>56.00亿</t>
  </si>
  <si>
    <t>33.04亿</t>
  </si>
  <si>
    <t>24.42亿</t>
  </si>
  <si>
    <t>18.18亿</t>
  </si>
  <si>
    <t>6.60亿</t>
  </si>
  <si>
    <t>33.29亿</t>
  </si>
  <si>
    <t>19.57亿</t>
  </si>
  <si>
    <t>16.35亿</t>
  </si>
  <si>
    <t>19.49亿</t>
  </si>
  <si>
    <t>17.11亿</t>
  </si>
  <si>
    <t>6.28亿</t>
  </si>
  <si>
    <t>28.47亿</t>
  </si>
  <si>
    <t>4.42亿</t>
  </si>
  <si>
    <t>11.20亿</t>
  </si>
  <si>
    <t>-1.45亿</t>
  </si>
  <si>
    <t>5.67亿</t>
  </si>
  <si>
    <t>20.32亿</t>
  </si>
  <si>
    <t>17.13亿</t>
  </si>
  <si>
    <t>7.67亿</t>
  </si>
  <si>
    <t>15.90亿</t>
  </si>
  <si>
    <t>22.49亿</t>
  </si>
  <si>
    <t>10.42亿</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</si>
  <si>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</si>
  <si>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</si>
  <si>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</si>
  <si>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</si>
  <si>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</si>
  <si>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</si>
  <si>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</si>
  <si>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</si>
  <si>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</si>
  <si>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</si>
  <si>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</si>
  <si>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</si>
  <si>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</si>
  <si>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</si>
  <si>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</si>
  <si>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</si>
  <si>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</si>
  <si>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</si>
  <si>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</si>
  <si>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</si>
  <si>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</si>
  <si>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</si>
  <si>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</si>
  <si>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</si>
  <si>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</si>
  <si>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</si>
  <si>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</si>
  <si>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</si>
  <si>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10增速</t>
    <phoneticPr fontId="1" type="noConversion"/>
  </si>
  <si>
    <t>20年自由现金流折现</t>
    <phoneticPr fontId="1" type="noConversion"/>
  </si>
  <si>
    <t>20增速</t>
  </si>
  <si>
    <t>当期自由现金流估计值</t>
  </si>
  <si>
    <t>自由现金流估计增速</t>
  </si>
  <si>
    <t>清算价格</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</si>
  <si>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</si>
  <si>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</si>
  <si>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</si>
  <si>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</si>
  <si>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</si>
  <si>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</si>
  <si>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</si>
  <si>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</si>
  <si>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</si>
  <si>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承担负债现期溢价</t>
    <phoneticPr fontId="1" type="noConversion"/>
  </si>
  <si>
    <t>6.99亿</t>
  </si>
  <si>
    <t>9.92亿</t>
  </si>
  <si>
    <t>8.00亿</t>
  </si>
  <si>
    <t>1.68亿</t>
  </si>
  <si>
    <t>9.63亿</t>
  </si>
  <si>
    <t>6.31亿</t>
  </si>
  <si>
    <t>8.58亿</t>
  </si>
  <si>
    <t>14.28亿</t>
  </si>
  <si>
    <t>7.56亿</t>
  </si>
  <si>
    <t>20.29亿</t>
  </si>
  <si>
    <t>5.56亿</t>
  </si>
  <si>
    <t>5.02亿</t>
  </si>
  <si>
    <t>13.33亿</t>
  </si>
  <si>
    <t>8.15亿</t>
  </si>
  <si>
    <t>12.72亿</t>
  </si>
  <si>
    <t>74.32亿</t>
  </si>
  <si>
    <t>8.92亿</t>
  </si>
  <si>
    <t>6.21亿</t>
  </si>
  <si>
    <t>8.66亿</t>
  </si>
  <si>
    <t>6.13亿</t>
  </si>
  <si>
    <t>19.09亿</t>
  </si>
  <si>
    <t>17.47亿</t>
  </si>
  <si>
    <t>5.79亿</t>
  </si>
  <si>
    <t>242.78万</t>
  </si>
  <si>
    <t>14.78亿</t>
  </si>
  <si>
    <t>5.82亿</t>
  </si>
  <si>
    <t>7.70亿</t>
  </si>
  <si>
    <t>9.88亿</t>
  </si>
  <si>
    <t>光学光电子</t>
  </si>
  <si>
    <t>2793.01万</t>
  </si>
  <si>
    <t>5日成交换手率</t>
    <phoneticPr fontId="1" type="noConversion"/>
  </si>
  <si>
    <t>30日成交换手率</t>
    <phoneticPr fontId="1" type="noConversion"/>
  </si>
  <si>
    <t>8.45亿</t>
  </si>
  <si>
    <t>10.41亿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</si>
  <si>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</si>
  <si>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</si>
  <si>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</si>
  <si>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</si>
  <si>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</si>
  <si>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</si>
  <si>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</si>
  <si>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</si>
  <si>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</si>
  <si>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</si>
  <si>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</si>
  <si>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</si>
  <si>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</si>
  <si>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</si>
  <si>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</si>
  <si>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</si>
  <si>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</si>
  <si>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</si>
  <si>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</si>
  <si>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</si>
  <si>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</si>
  <si>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</si>
  <si>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</si>
  <si>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</si>
  <si>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</si>
  <si>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</si>
  <si>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</si>
  <si>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-1.67亿</t>
  </si>
  <si>
    <t>19.40亿</t>
  </si>
  <si>
    <t>7.53亿</t>
  </si>
  <si>
    <t/>
  </si>
  <si>
    <t>-2-0</t>
  </si>
  <si>
    <t>1-0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</si>
  <si>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</si>
  <si>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</si>
  <si>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</si>
  <si>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</si>
  <si>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</si>
  <si>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</si>
  <si>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</si>
  <si>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</si>
  <si>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</si>
  <si>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</si>
  <si>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</si>
  <si>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</si>
  <si>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</si>
  <si>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</si>
  <si>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</si>
  <si>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</si>
  <si>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</si>
  <si>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</si>
  <si>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</si>
  <si>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</si>
  <si>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</si>
  <si>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</si>
  <si>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</si>
  <si>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</si>
  <si>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</si>
  <si>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</si>
  <si>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</si>
  <si>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</si>
  <si>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</si>
  <si>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</si>
  <si>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</si>
  <si>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</si>
  <si>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</si>
  <si>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</si>
  <si>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</si>
  <si>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</si>
  <si>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</si>
  <si>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</si>
  <si>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</si>
  <si>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</si>
  <si>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</si>
  <si>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</si>
  <si>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</si>
  <si>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</si>
  <si>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</si>
  <si>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</si>
  <si>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</si>
  <si>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</si>
  <si>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</si>
  <si>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</si>
  <si>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</si>
  <si>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-2.96亿</t>
  </si>
  <si>
    <t>1-1</t>
  </si>
  <si>
    <t>-1-1</t>
  </si>
  <si>
    <t>3-0</t>
  </si>
  <si>
    <t>8.49亿</t>
  </si>
  <si>
    <t>6.76亿</t>
  </si>
  <si>
    <t>8.95亿</t>
  </si>
  <si>
    <t>46.09亿</t>
  </si>
  <si>
    <t>1917245500亿</t>
  </si>
  <si>
    <t>74.19亿</t>
  </si>
  <si>
    <t>14.20亿</t>
  </si>
  <si>
    <t>5589.89万</t>
  </si>
  <si>
    <t>3891.81万</t>
  </si>
  <si>
    <t>-10681801亿</t>
  </si>
  <si>
    <t>20.32万</t>
  </si>
  <si>
    <t>235194390亿</t>
  </si>
  <si>
    <t>13.73亿</t>
  </si>
  <si>
    <t>1963906400亿</t>
  </si>
  <si>
    <t>6261975300亿</t>
  </si>
  <si>
    <t>16.97亿</t>
  </si>
  <si>
    <t>41.41亿</t>
  </si>
  <si>
    <t>8524.67万</t>
  </si>
  <si>
    <t>19.17亿</t>
  </si>
  <si>
    <t>亏损</t>
  </si>
  <si>
    <t>扭亏</t>
  </si>
  <si>
    <t>13.85亿</t>
  </si>
  <si>
    <t>9.91亿</t>
  </si>
  <si>
    <t>46.52亿</t>
  </si>
  <si>
    <t>37.59亿</t>
  </si>
  <si>
    <t>86.19亿</t>
  </si>
  <si>
    <t>64.52亿</t>
  </si>
  <si>
    <t>2028502900亿</t>
  </si>
  <si>
    <t>3915.66万</t>
  </si>
  <si>
    <t>5320.00万</t>
  </si>
  <si>
    <t>7208639亿</t>
  </si>
  <si>
    <t>11.02万</t>
  </si>
  <si>
    <t>192818610亿</t>
  </si>
  <si>
    <t>2673640100亿</t>
  </si>
  <si>
    <t>6941458800亿</t>
  </si>
  <si>
    <t>25.05亿</t>
  </si>
  <si>
    <t>76.62亿</t>
  </si>
  <si>
    <t>31.95亿</t>
  </si>
  <si>
    <t>-2.64亿</t>
  </si>
  <si>
    <t>14.13亿</t>
  </si>
  <si>
    <t>8.30亿</t>
  </si>
  <si>
    <t>-1.48亿</t>
  </si>
  <si>
    <t>65.64亿</t>
  </si>
  <si>
    <t>27.63亿</t>
  </si>
  <si>
    <t>2-0</t>
  </si>
  <si>
    <t>14.55亿</t>
  </si>
  <si>
    <t>14.48亿</t>
  </si>
  <si>
    <t>977580430亿</t>
  </si>
  <si>
    <t>1280.62万</t>
  </si>
  <si>
    <t>3141.98万</t>
  </si>
  <si>
    <t>1.38万</t>
  </si>
  <si>
    <t>47124498亿</t>
  </si>
  <si>
    <t>1072972630亿</t>
  </si>
  <si>
    <t>1090.69万</t>
  </si>
  <si>
    <t>3535933100亿</t>
  </si>
  <si>
    <t>5238.17万</t>
  </si>
  <si>
    <t>-4484.08万</t>
  </si>
  <si>
    <t>9779.21万</t>
  </si>
  <si>
    <t>9.78亿</t>
  </si>
  <si>
    <t>7.93亿</t>
  </si>
  <si>
    <t>4.24亿</t>
  </si>
  <si>
    <t>11.81亿</t>
  </si>
  <si>
    <t>1.22亿</t>
  </si>
  <si>
    <t>10.89亿</t>
  </si>
  <si>
    <t>3.87亿</t>
  </si>
  <si>
    <t>3.90亿</t>
  </si>
  <si>
    <t>-1.50亿</t>
  </si>
  <si>
    <t>2.08亿</t>
  </si>
  <si>
    <t>24.80亿</t>
  </si>
  <si>
    <t>1.98亿</t>
  </si>
  <si>
    <t>8.91亿</t>
  </si>
  <si>
    <t>16.65亿</t>
  </si>
  <si>
    <t>4.12亿</t>
  </si>
  <si>
    <t>5.65亿</t>
  </si>
  <si>
    <t>4.51亿</t>
  </si>
  <si>
    <t>14.32亿</t>
  </si>
  <si>
    <t>1.29亿</t>
  </si>
  <si>
    <t>消费电子</t>
  </si>
  <si>
    <t>7.68亿</t>
  </si>
  <si>
    <t>8.97亿</t>
  </si>
  <si>
    <t>9.14亿</t>
  </si>
  <si>
    <t>3.06亿</t>
  </si>
  <si>
    <t>14.70亿</t>
  </si>
  <si>
    <t>11.90亿</t>
  </si>
  <si>
    <t>2.25亿</t>
  </si>
  <si>
    <t>3.27亿</t>
  </si>
  <si>
    <t>21.35亿</t>
  </si>
  <si>
    <t>9.49亿</t>
  </si>
  <si>
    <t>1.70亿</t>
  </si>
  <si>
    <t>11.83亿</t>
  </si>
  <si>
    <t>16.59亿</t>
  </si>
  <si>
    <t>-2.90亿</t>
  </si>
  <si>
    <t>-3.06亿</t>
  </si>
  <si>
    <t>9.89亿</t>
  </si>
  <si>
    <t>6.52亿</t>
  </si>
  <si>
    <t>3.96亿</t>
  </si>
  <si>
    <t>2.03亿</t>
  </si>
  <si>
    <t>1.99亿</t>
  </si>
  <si>
    <t>2.23亿</t>
  </si>
  <si>
    <t>2.84亿</t>
  </si>
  <si>
    <t>-3.08亿</t>
  </si>
  <si>
    <t>2.75亿</t>
  </si>
  <si>
    <t>3.11亿</t>
  </si>
  <si>
    <t>8.61亿</t>
  </si>
  <si>
    <t>10.34亿</t>
  </si>
  <si>
    <t>4.01亿</t>
  </si>
  <si>
    <t>4.00亿</t>
  </si>
  <si>
    <t>11.44亿</t>
  </si>
  <si>
    <t>8.90亿</t>
  </si>
  <si>
    <t>96.83亿</t>
  </si>
  <si>
    <t>18.79亿</t>
  </si>
  <si>
    <t>3.53亿</t>
  </si>
  <si>
    <t>-1.95亿</t>
  </si>
  <si>
    <t>33.24亿</t>
  </si>
  <si>
    <t>22.23亿</t>
  </si>
  <si>
    <t>16.22亿</t>
  </si>
  <si>
    <t>3.09亿</t>
  </si>
  <si>
    <t>7.10亿</t>
  </si>
  <si>
    <t>3.60亿</t>
  </si>
  <si>
    <t>3.77亿</t>
  </si>
  <si>
    <t>31.88亿</t>
  </si>
  <si>
    <t>5.73亿</t>
  </si>
  <si>
    <t>4.15亿</t>
  </si>
  <si>
    <t>7.47亿</t>
  </si>
  <si>
    <t>6.12亿</t>
  </si>
  <si>
    <t>-2.39亿</t>
  </si>
  <si>
    <t>8.29亿</t>
  </si>
  <si>
    <t>3.23亿</t>
  </si>
  <si>
    <t>7.86亿</t>
  </si>
  <si>
    <t>-1.26亿</t>
  </si>
  <si>
    <t>7.57亿</t>
  </si>
  <si>
    <t>5.50亿</t>
  </si>
  <si>
    <t>2-1</t>
  </si>
  <si>
    <t>2.56亿</t>
  </si>
  <si>
    <t>1.83亿</t>
  </si>
  <si>
    <t>3.82亿</t>
  </si>
  <si>
    <t>-1.54亿</t>
  </si>
  <si>
    <t>电力设备</t>
  </si>
  <si>
    <t>38.11亿</t>
  </si>
  <si>
    <t>9.12亿</t>
  </si>
  <si>
    <t>19.52亿</t>
  </si>
  <si>
    <t>新能源车总类.docx</t>
  </si>
  <si>
    <t>SZ000550</t>
  </si>
  <si>
    <t>江铃汽车</t>
  </si>
  <si>
    <t>汽车整车</t>
  </si>
  <si>
    <t>SZ000572</t>
  </si>
  <si>
    <t>海马汽车</t>
  </si>
  <si>
    <t>SZ000625</t>
  </si>
  <si>
    <t>长安汽车</t>
  </si>
  <si>
    <t>SZ000800</t>
  </si>
  <si>
    <t>一汽解放</t>
  </si>
  <si>
    <t>SZ000868</t>
  </si>
  <si>
    <t>安凯客车</t>
  </si>
  <si>
    <t>SZ000951</t>
  </si>
  <si>
    <t>中国重汽</t>
  </si>
  <si>
    <t>SZ000957</t>
  </si>
  <si>
    <t>中通客车</t>
  </si>
  <si>
    <t>SZ000980</t>
  </si>
  <si>
    <t>SZ002594</t>
  </si>
  <si>
    <t>比亚迪</t>
  </si>
  <si>
    <t>SZ301039</t>
  </si>
  <si>
    <t>中集车辆</t>
  </si>
  <si>
    <t>SH600006</t>
  </si>
  <si>
    <t>SH600066</t>
  </si>
  <si>
    <t>宇通客车</t>
  </si>
  <si>
    <t>SH600104</t>
  </si>
  <si>
    <t>SH600166</t>
  </si>
  <si>
    <t>福田汽车</t>
  </si>
  <si>
    <t>SH600213</t>
  </si>
  <si>
    <t>亚星客车</t>
  </si>
  <si>
    <t>SH600303</t>
  </si>
  <si>
    <t>ST曙光</t>
  </si>
  <si>
    <t>SH600375</t>
  </si>
  <si>
    <t>汉马科技</t>
  </si>
  <si>
    <t>SH600418</t>
  </si>
  <si>
    <t>江淮汽车</t>
  </si>
  <si>
    <t>SH600686</t>
  </si>
  <si>
    <t>金龙汽车</t>
  </si>
  <si>
    <t>SH600733</t>
  </si>
  <si>
    <t>北汽蓝谷</t>
  </si>
  <si>
    <t>SH601127</t>
  </si>
  <si>
    <t>小康股份</t>
  </si>
  <si>
    <t>SH601238</t>
  </si>
  <si>
    <t>广汽集团</t>
  </si>
  <si>
    <t>SH601633</t>
  </si>
  <si>
    <t>长城汽车</t>
  </si>
  <si>
    <t>整车</t>
    <phoneticPr fontId="1" type="noConversion"/>
  </si>
  <si>
    <t>1314.14万</t>
  </si>
  <si>
    <t>169.61亿</t>
  </si>
  <si>
    <t>87.80亿</t>
  </si>
  <si>
    <t>7232030000亿</t>
  </si>
  <si>
    <t>352.21亿</t>
  </si>
  <si>
    <t>5.74亿</t>
  </si>
  <si>
    <t>73.08亿</t>
  </si>
  <si>
    <t>63.28亿</t>
  </si>
  <si>
    <t>18.86亿</t>
  </si>
  <si>
    <t>-12707827亿</t>
  </si>
  <si>
    <t>54.06万</t>
  </si>
  <si>
    <t>-27656476亿</t>
  </si>
  <si>
    <t>80.55亿</t>
  </si>
  <si>
    <t>3569494400亿</t>
  </si>
  <si>
    <t>16472341000亿</t>
  </si>
  <si>
    <t>5.36亿</t>
  </si>
  <si>
    <t>16.00亿</t>
  </si>
  <si>
    <t>81.76亿</t>
  </si>
  <si>
    <t>162.99亿</t>
  </si>
  <si>
    <t>207.85万</t>
  </si>
  <si>
    <t>-26.91亿</t>
  </si>
  <si>
    <t>-1.58亿</t>
  </si>
  <si>
    <t>13.35亿</t>
  </si>
  <si>
    <t>330.96亿</t>
  </si>
  <si>
    <t>291.74亿</t>
  </si>
  <si>
    <t>282.49亿</t>
  </si>
  <si>
    <t>313.46亿</t>
  </si>
  <si>
    <t>266.34亿</t>
  </si>
  <si>
    <t>5.51亿</t>
  </si>
  <si>
    <t>9183.33万</t>
  </si>
  <si>
    <t>6.91亿</t>
  </si>
  <si>
    <t>13.18亿</t>
  </si>
  <si>
    <t>72.32亿</t>
  </si>
  <si>
    <t>80.41亿</t>
  </si>
  <si>
    <t>8742.02万</t>
  </si>
  <si>
    <t>4228.64万</t>
  </si>
  <si>
    <t>29.62亿</t>
  </si>
  <si>
    <t>44.64亿</t>
  </si>
  <si>
    <t>710111440亿</t>
  </si>
  <si>
    <t>18.12亿</t>
  </si>
  <si>
    <t>2487.88万</t>
  </si>
  <si>
    <t>234782亿</t>
  </si>
  <si>
    <t>206.52万</t>
  </si>
  <si>
    <t>-34346693亿</t>
  </si>
  <si>
    <t>260694590亿</t>
  </si>
  <si>
    <t>2560869300亿</t>
  </si>
  <si>
    <t>5023.18万</t>
  </si>
  <si>
    <t>10000.00万</t>
  </si>
  <si>
    <t>6.05亿</t>
  </si>
  <si>
    <t>17.76万</t>
  </si>
  <si>
    <t>27.55亿</t>
  </si>
  <si>
    <t>-2.99亿</t>
  </si>
  <si>
    <t>-1.43亿</t>
  </si>
  <si>
    <t>9804.49万</t>
  </si>
  <si>
    <t>46.91亿</t>
  </si>
  <si>
    <t>50.47亿</t>
  </si>
  <si>
    <t>138.90亿</t>
  </si>
  <si>
    <t>-13.35亿</t>
  </si>
  <si>
    <t>8519.62万</t>
  </si>
  <si>
    <t>-16.37亿</t>
  </si>
  <si>
    <t>-9.94亿</t>
  </si>
  <si>
    <t>13.75亿</t>
  </si>
  <si>
    <t>-6287.24万</t>
  </si>
  <si>
    <t>11.09亿</t>
  </si>
  <si>
    <t>开始亏损</t>
  </si>
  <si>
    <t>0336000000</t>
  </si>
  <si>
    <t>0672000000</t>
  </si>
  <si>
    <t>01120000000</t>
  </si>
  <si>
    <t>02240000000</t>
  </si>
  <si>
    <t>800.20亿</t>
  </si>
  <si>
    <t>611.85亿</t>
  </si>
  <si>
    <t>34575857000亿</t>
  </si>
  <si>
    <t>1051.42亿</t>
  </si>
  <si>
    <t>35.52亿</t>
  </si>
  <si>
    <t>322.92亿</t>
  </si>
  <si>
    <t>282.81亿</t>
  </si>
  <si>
    <t>12.10亿</t>
  </si>
  <si>
    <t>48.27亿</t>
  </si>
  <si>
    <t>2238171500亿</t>
  </si>
  <si>
    <t>1002.56万</t>
  </si>
  <si>
    <t>2269972800亿</t>
  </si>
  <si>
    <t>505.11亿</t>
  </si>
  <si>
    <t>5117290900亿</t>
  </si>
  <si>
    <t>256.26亿</t>
  </si>
  <si>
    <t>93508524000亿</t>
  </si>
  <si>
    <t>14.05亿</t>
  </si>
  <si>
    <t>2900.00万</t>
  </si>
  <si>
    <t>254.68亿</t>
  </si>
  <si>
    <t>278.52亿</t>
  </si>
  <si>
    <t>727.48亿</t>
  </si>
  <si>
    <t>6.40亿</t>
  </si>
  <si>
    <t>7.69亿</t>
  </si>
  <si>
    <t>-22.28亿</t>
  </si>
  <si>
    <t>-3.11亿</t>
  </si>
  <si>
    <t>845.66亿</t>
  </si>
  <si>
    <t>705.95亿</t>
  </si>
  <si>
    <t>662.98亿</t>
  </si>
  <si>
    <t>800.12亿</t>
  </si>
  <si>
    <t>785.42亿</t>
  </si>
  <si>
    <t>-26.47亿</t>
  </si>
  <si>
    <t>6.81亿</t>
  </si>
  <si>
    <t>71.37亿</t>
  </si>
  <si>
    <t>102.85亿</t>
  </si>
  <si>
    <t>345.76亿</t>
  </si>
  <si>
    <t>320.27亿</t>
  </si>
  <si>
    <t>8.54亿</t>
  </si>
  <si>
    <t>17.94亿</t>
  </si>
  <si>
    <t>45.68亿</t>
  </si>
  <si>
    <t>1142.23万</t>
  </si>
  <si>
    <t>429.54亿</t>
  </si>
  <si>
    <t>267.31亿</t>
  </si>
  <si>
    <t>15156239000亿</t>
  </si>
  <si>
    <t>987.51亿</t>
  </si>
  <si>
    <t>39.00亿</t>
  </si>
  <si>
    <t>148.35亿</t>
  </si>
  <si>
    <t>137.92亿</t>
  </si>
  <si>
    <t>3.71亿</t>
  </si>
  <si>
    <t>79348794亿</t>
  </si>
  <si>
    <t>314.68万</t>
  </si>
  <si>
    <t>387674220亿</t>
  </si>
  <si>
    <t>282.03亿</t>
  </si>
  <si>
    <t>1539920400亿</t>
  </si>
  <si>
    <t>1622.23万</t>
  </si>
  <si>
    <t>49771136000亿</t>
  </si>
  <si>
    <t>11.12亿</t>
  </si>
  <si>
    <t>114.84亿</t>
  </si>
  <si>
    <t>163.25亿</t>
  </si>
  <si>
    <t>37.80万</t>
  </si>
  <si>
    <t>378.41亿</t>
  </si>
  <si>
    <t>-23.59亿</t>
  </si>
  <si>
    <t>-2.19亿</t>
  </si>
  <si>
    <t>-1141.70万</t>
  </si>
  <si>
    <t>1136.81亿</t>
  </si>
  <si>
    <t>1064.47亿</t>
  </si>
  <si>
    <t>255.24亿</t>
  </si>
  <si>
    <t>272.99亿</t>
  </si>
  <si>
    <t>220.85亿</t>
  </si>
  <si>
    <t>26.72亿</t>
  </si>
  <si>
    <t>19.87亿</t>
  </si>
  <si>
    <t>-9.54亿</t>
  </si>
  <si>
    <t>151.56亿</t>
  </si>
  <si>
    <t>451.00亿</t>
  </si>
  <si>
    <t>17.88亿</t>
  </si>
  <si>
    <t>6665.13万</t>
  </si>
  <si>
    <t>4806.16万</t>
  </si>
  <si>
    <t>34.28亿</t>
  </si>
  <si>
    <t>2.80亿</t>
  </si>
  <si>
    <t>327855750亿</t>
  </si>
  <si>
    <t>17.81亿</t>
  </si>
  <si>
    <t>3202.29万</t>
  </si>
  <si>
    <t>1785.28万</t>
  </si>
  <si>
    <t>9393.68万</t>
  </si>
  <si>
    <t>1306326亿</t>
  </si>
  <si>
    <t>37.32万</t>
  </si>
  <si>
    <t>-51243573亿</t>
  </si>
  <si>
    <t>6.11亿</t>
  </si>
  <si>
    <t>978545310亿</t>
  </si>
  <si>
    <t>2381170400亿</t>
  </si>
  <si>
    <t>616.56万</t>
  </si>
  <si>
    <t>8.28亿</t>
  </si>
  <si>
    <t>4.68亿</t>
  </si>
  <si>
    <t>12.29亿</t>
  </si>
  <si>
    <t>31.33亿</t>
  </si>
  <si>
    <t>-541.90万</t>
  </si>
  <si>
    <t>-2.37亿</t>
  </si>
  <si>
    <t>32.60亿</t>
  </si>
  <si>
    <t>33.76亿</t>
  </si>
  <si>
    <t>31.47亿</t>
  </si>
  <si>
    <t>54.49亿</t>
  </si>
  <si>
    <t>47.57亿</t>
  </si>
  <si>
    <t>9958.24万</t>
  </si>
  <si>
    <t>3362.06万</t>
  </si>
  <si>
    <t>-8.93亿</t>
  </si>
  <si>
    <t>-2.30亿</t>
  </si>
  <si>
    <t>5135.07万</t>
  </si>
  <si>
    <t>-1923.88万</t>
  </si>
  <si>
    <t>5.59亿</t>
  </si>
  <si>
    <t>-3-0</t>
  </si>
  <si>
    <t>3805.38万</t>
  </si>
  <si>
    <t>217.66亿</t>
  </si>
  <si>
    <t>151.64亿</t>
  </si>
  <si>
    <t>7496600100亿</t>
  </si>
  <si>
    <t>560.99亿</t>
  </si>
  <si>
    <t>10.38亿</t>
  </si>
  <si>
    <t>72.57亿</t>
  </si>
  <si>
    <t>70.00亿</t>
  </si>
  <si>
    <t>2913.14万</t>
  </si>
  <si>
    <t>6.02亿</t>
  </si>
  <si>
    <t>1001941亿</t>
  </si>
  <si>
    <t>509.17万</t>
  </si>
  <si>
    <t>118772533亿</t>
  </si>
  <si>
    <t>88.45亿</t>
  </si>
  <si>
    <t>7001719700亿</t>
  </si>
  <si>
    <t>31299783000亿</t>
  </si>
  <si>
    <t>44.90亿</t>
  </si>
  <si>
    <t>96.81亿</t>
  </si>
  <si>
    <t>213.76亿</t>
  </si>
  <si>
    <t>-9.44亿</t>
  </si>
  <si>
    <t>599.38亿</t>
  </si>
  <si>
    <t>398.43亿</t>
  </si>
  <si>
    <t>403.78亿</t>
  </si>
  <si>
    <t>373.10亿</t>
  </si>
  <si>
    <t>211.19亿</t>
  </si>
  <si>
    <t>18.80亿</t>
  </si>
  <si>
    <t>12.23亿</t>
  </si>
  <si>
    <t>9.05亿</t>
  </si>
  <si>
    <t>8.98亿</t>
  </si>
  <si>
    <t>4.18亿</t>
  </si>
  <si>
    <t>74.97亿</t>
  </si>
  <si>
    <t>206.78亿</t>
  </si>
  <si>
    <t>2627.82万</t>
  </si>
  <si>
    <t>69.54亿</t>
  </si>
  <si>
    <t>25.26亿</t>
  </si>
  <si>
    <t>862575180亿</t>
  </si>
  <si>
    <t>45.87亿</t>
  </si>
  <si>
    <t>-2.20亿</t>
  </si>
  <si>
    <t>7.50亿</t>
  </si>
  <si>
    <t>5277.70万</t>
  </si>
  <si>
    <t>3375.63万</t>
  </si>
  <si>
    <t>-809776亿</t>
  </si>
  <si>
    <t>31.35万</t>
  </si>
  <si>
    <t>-42464848亿</t>
  </si>
  <si>
    <t>12.65亿</t>
  </si>
  <si>
    <t>3324080200亿</t>
  </si>
  <si>
    <t>7572982500亿</t>
  </si>
  <si>
    <t>8688.70万</t>
  </si>
  <si>
    <t>14.63亿</t>
  </si>
  <si>
    <t>24.03亿</t>
  </si>
  <si>
    <t>65.09亿</t>
  </si>
  <si>
    <t>-2.85亿</t>
  </si>
  <si>
    <t>-1442.22万</t>
  </si>
  <si>
    <t>44.08亿</t>
  </si>
  <si>
    <t>67.41亿</t>
  </si>
  <si>
    <t>60.79亿</t>
  </si>
  <si>
    <t>78.52亿</t>
  </si>
  <si>
    <t>92.57亿</t>
  </si>
  <si>
    <t>2352.37万</t>
  </si>
  <si>
    <t>3307.19万</t>
  </si>
  <si>
    <t>3657.13万</t>
  </si>
  <si>
    <t>8.63亿</t>
  </si>
  <si>
    <t>-3970.21万</t>
  </si>
  <si>
    <t>3.56亿</t>
  </si>
  <si>
    <t>*ST众泰</t>
  </si>
  <si>
    <t>43.92亿</t>
  </si>
  <si>
    <t>32.90亿</t>
  </si>
  <si>
    <t>125014105亿</t>
  </si>
  <si>
    <t>8.25亿</t>
  </si>
  <si>
    <t>-7.06亿</t>
  </si>
  <si>
    <t>1551.04万</t>
  </si>
  <si>
    <t>1.34亿</t>
  </si>
  <si>
    <t>2095.83万</t>
  </si>
  <si>
    <t>166.43万</t>
  </si>
  <si>
    <t>-158928090亿</t>
  </si>
  <si>
    <t>14.01亿</t>
  </si>
  <si>
    <t>1803154800亿</t>
  </si>
  <si>
    <t>4831.18万</t>
  </si>
  <si>
    <t>4222735600亿</t>
  </si>
  <si>
    <t>4324.96万</t>
  </si>
  <si>
    <t>11.16亿</t>
  </si>
  <si>
    <t>4460.38万</t>
  </si>
  <si>
    <t>24.74亿</t>
  </si>
  <si>
    <t>1475.85万</t>
  </si>
  <si>
    <t>-881.48万</t>
  </si>
  <si>
    <t>223.49万</t>
  </si>
  <si>
    <t>13.38亿</t>
  </si>
  <si>
    <t>29.86亿</t>
  </si>
  <si>
    <t>147.64亿</t>
  </si>
  <si>
    <t>208.04亿</t>
  </si>
  <si>
    <t>16.94亿</t>
  </si>
  <si>
    <t>-103.43亿</t>
  </si>
  <si>
    <t>-111.90亿</t>
  </si>
  <si>
    <t>12.56亿</t>
  </si>
  <si>
    <t>8678.44万</t>
  </si>
  <si>
    <t>-2.55亿</t>
  </si>
  <si>
    <t>8.86亿</t>
  </si>
  <si>
    <t>1736.37万</t>
  </si>
  <si>
    <t>2117.02亿</t>
  </si>
  <si>
    <t>1053.72亿</t>
  </si>
  <si>
    <t>66825185000亿</t>
  </si>
  <si>
    <t>2161.42亿</t>
  </si>
  <si>
    <t>30.45亿</t>
  </si>
  <si>
    <t>656.07亿</t>
  </si>
  <si>
    <t>585.38亿</t>
  </si>
  <si>
    <t>19.78亿</t>
  </si>
  <si>
    <t>17.02亿</t>
  </si>
  <si>
    <t>106.27亿</t>
  </si>
  <si>
    <t>-200531000亿</t>
  </si>
  <si>
    <t>5731.00万</t>
  </si>
  <si>
    <t>513943000亿</t>
  </si>
  <si>
    <t>421.82亿</t>
  </si>
  <si>
    <t>34994831000亿</t>
  </si>
  <si>
    <t>174204810000亿</t>
  </si>
  <si>
    <t>279.64亿</t>
  </si>
  <si>
    <t>54.81亿</t>
  </si>
  <si>
    <t>842.75亿</t>
  </si>
  <si>
    <t>80.00万</t>
  </si>
  <si>
    <t>1895.84亿</t>
  </si>
  <si>
    <t>103.20亿</t>
  </si>
  <si>
    <t>119.33亿</t>
  </si>
  <si>
    <t>-125.96亿</t>
  </si>
  <si>
    <t>-72.53亿</t>
  </si>
  <si>
    <t>1565.98亿</t>
  </si>
  <si>
    <t>1277.39亿</t>
  </si>
  <si>
    <t>1300.55亿</t>
  </si>
  <si>
    <t>1059.15亿</t>
  </si>
  <si>
    <t>1034.70亿</t>
  </si>
  <si>
    <t>42.34亿</t>
  </si>
  <si>
    <t>16.14亿</t>
  </si>
  <si>
    <t>27.80亿</t>
  </si>
  <si>
    <t>40.66亿</t>
  </si>
  <si>
    <t>50.52亿</t>
  </si>
  <si>
    <t>668.25亿</t>
  </si>
  <si>
    <t>409.92亿</t>
  </si>
  <si>
    <t>2.37亿</t>
  </si>
  <si>
    <t>5.78亿</t>
  </si>
  <si>
    <t>5029.67万</t>
  </si>
  <si>
    <t>100.69亿</t>
  </si>
  <si>
    <t>121.79亿</t>
  </si>
  <si>
    <t>5132293500亿</t>
  </si>
  <si>
    <t>276.48亿</t>
  </si>
  <si>
    <t>9.01亿</t>
  </si>
  <si>
    <t>49.87亿</t>
  </si>
  <si>
    <t>46.05亿</t>
  </si>
  <si>
    <t>3.98亿</t>
  </si>
  <si>
    <t>2875320亿</t>
  </si>
  <si>
    <t>228.34万</t>
  </si>
  <si>
    <t>103741909亿</t>
  </si>
  <si>
    <t>43.88亿</t>
  </si>
  <si>
    <t>3483045400亿</t>
  </si>
  <si>
    <t>14667094000亿</t>
  </si>
  <si>
    <t>9.97亿</t>
  </si>
  <si>
    <t>7.64亿</t>
  </si>
  <si>
    <t>42.44亿</t>
  </si>
  <si>
    <t>847.58万</t>
  </si>
  <si>
    <t>93.04亿</t>
  </si>
  <si>
    <t>3.66亿</t>
  </si>
  <si>
    <t>-4.71亿</t>
  </si>
  <si>
    <t>264.99亿</t>
  </si>
  <si>
    <t>233.87亿</t>
  </si>
  <si>
    <t>243.31亿</t>
  </si>
  <si>
    <t>195.08亿</t>
  </si>
  <si>
    <t>11.32亿</t>
  </si>
  <si>
    <t>12.11亿</t>
  </si>
  <si>
    <t>11.96亿</t>
  </si>
  <si>
    <t>51.32亿</t>
  </si>
  <si>
    <t>68.70亿</t>
  </si>
  <si>
    <t>2.27亿</t>
  </si>
  <si>
    <t>东风汽车</t>
  </si>
  <si>
    <t>2906.99万</t>
  </si>
  <si>
    <t>112.51亿</t>
  </si>
  <si>
    <t>84.18亿</t>
  </si>
  <si>
    <t>3587645400亿</t>
  </si>
  <si>
    <t>155.50亿</t>
  </si>
  <si>
    <t>3.72亿</t>
  </si>
  <si>
    <t>35.55亿</t>
  </si>
  <si>
    <t>32.19亿</t>
  </si>
  <si>
    <t>8208.84万</t>
  </si>
  <si>
    <t>98537551亿</t>
  </si>
  <si>
    <t>7.77万</t>
  </si>
  <si>
    <t>98342295亿</t>
  </si>
  <si>
    <t>46.81亿</t>
  </si>
  <si>
    <t>3646703500亿</t>
  </si>
  <si>
    <t>14884698000亿</t>
  </si>
  <si>
    <t>49.13亿</t>
  </si>
  <si>
    <t>36.37亿</t>
  </si>
  <si>
    <t>103.96亿</t>
  </si>
  <si>
    <t>-6.03亿</t>
  </si>
  <si>
    <t>-4.47亿</t>
  </si>
  <si>
    <t>-7007.34万</t>
  </si>
  <si>
    <t>137.33亿</t>
  </si>
  <si>
    <t>135.20亿</t>
  </si>
  <si>
    <t>144.21亿</t>
  </si>
  <si>
    <t>183.01亿</t>
  </si>
  <si>
    <t>160.18亿</t>
  </si>
  <si>
    <t>35.88亿</t>
  </si>
  <si>
    <t>39.64亿</t>
  </si>
  <si>
    <t>2.73亿</t>
  </si>
  <si>
    <t>5.03亿</t>
  </si>
  <si>
    <r>
      <t>1.国内利润61%，国外利润占比32%；2.国内市场 2023 年</t>
    </r>
    <r>
      <rPr>
        <sz val="9"/>
        <color rgb="FFFF0000"/>
        <rFont val="宋体"/>
        <family val="3"/>
        <charset val="134"/>
        <scheme val="minor"/>
      </rPr>
      <t>新能源补贴政策退出，预计 2022 年公交市场将迎来增长</t>
    </r>
    <phoneticPr fontId="1" type="noConversion"/>
  </si>
  <si>
    <t>1.一季度亏损-1.16亿；2.2016年后，营收逐年下降；毛利也逐年下降；</t>
    <phoneticPr fontId="1" type="noConversion"/>
  </si>
  <si>
    <t>公司的主营业务为客车产品研发、制造与销售。主要产品可满足5米至18米不同长度的市场需求。公司拥有众多完整产品链，主要用于公路客运、旅游客运、公交客运、团体通勤、校车、景区车、机场摆渡车、自动驾驶微循环车、客车专用车等各个细分市场。公司大中型客车的产销量稳居行业第一,继续保持行业龙头地位。2021年营收增7%，利润增19%；2022Q1营收增-3%，利润增-4%；毛利20%，净利3%；
2021：
客车产品 198.46亿 85.42% 83.79% 18.29%
其他业务 33.87亿 14.58% 16.21% 20.74%</t>
    <phoneticPr fontId="1" type="noConversion"/>
  </si>
  <si>
    <t>2447.82万</t>
  </si>
  <si>
    <t>146.08亿</t>
  </si>
  <si>
    <t>149.77亿</t>
  </si>
  <si>
    <t>3526036800亿</t>
  </si>
  <si>
    <t>232.33亿</t>
  </si>
  <si>
    <t>6.14亿</t>
  </si>
  <si>
    <t>39.29亿</t>
  </si>
  <si>
    <t>29.99亿</t>
  </si>
  <si>
    <t>15.61亿</t>
  </si>
  <si>
    <t>81338875亿</t>
  </si>
  <si>
    <t>450.43万</t>
  </si>
  <si>
    <t>-323909440亿</t>
  </si>
  <si>
    <t>32.62亿</t>
  </si>
  <si>
    <t>4813044800亿</t>
  </si>
  <si>
    <t>1.61亿</t>
  </si>
  <si>
    <t>18137086000亿</t>
  </si>
  <si>
    <t>41.28亿</t>
  </si>
  <si>
    <t>500.60万</t>
  </si>
  <si>
    <t>117.84亿</t>
  </si>
  <si>
    <t>-7.37亿</t>
  </si>
  <si>
    <t>-3.12亿</t>
  </si>
  <si>
    <t>217.05亿</t>
  </si>
  <si>
    <t>304.92亿</t>
  </si>
  <si>
    <t>317.46亿</t>
  </si>
  <si>
    <t>332.22亿</t>
  </si>
  <si>
    <t>358.50亿</t>
  </si>
  <si>
    <t>5.16亿</t>
  </si>
  <si>
    <t>19.42亿</t>
  </si>
  <si>
    <t>23.01亿</t>
  </si>
  <si>
    <t>31.29亿</t>
  </si>
  <si>
    <t>40.44亿</t>
  </si>
  <si>
    <t>35.26亿</t>
  </si>
  <si>
    <t>36.29亿</t>
  </si>
  <si>
    <t>-1.11亿</t>
  </si>
  <si>
    <t>6.49亿</t>
  </si>
  <si>
    <t>01842000000</t>
  </si>
  <si>
    <t>03684000000</t>
  </si>
  <si>
    <t>06140000000</t>
  </si>
  <si>
    <t>012280000000</t>
  </si>
  <si>
    <t>上汽集团</t>
  </si>
  <si>
    <t>3845.98万</t>
  </si>
  <si>
    <t>5821.62亿</t>
  </si>
  <si>
    <t>3342.79亿</t>
  </si>
  <si>
    <t>176776180000亿</t>
  </si>
  <si>
    <t>7798.46亿</t>
  </si>
  <si>
    <t>245.33亿</t>
  </si>
  <si>
    <t>1793.16亿</t>
  </si>
  <si>
    <t>1602.15亿</t>
  </si>
  <si>
    <t>65.11亿</t>
  </si>
  <si>
    <t>60.94亿</t>
  </si>
  <si>
    <t>205.95亿</t>
  </si>
  <si>
    <t>5818737200亿</t>
  </si>
  <si>
    <t>6309.73万</t>
  </si>
  <si>
    <t>4953023100亿</t>
  </si>
  <si>
    <t>1520.92亿</t>
  </si>
  <si>
    <t>57168416000亿</t>
  </si>
  <si>
    <t>40.11亿</t>
  </si>
  <si>
    <t>552046060000亿</t>
  </si>
  <si>
    <t>153.78亿</t>
  </si>
  <si>
    <t>341.73亿</t>
  </si>
  <si>
    <t>437.69亿</t>
  </si>
  <si>
    <t>1596.49亿</t>
  </si>
  <si>
    <t>4661.94亿</t>
  </si>
  <si>
    <t>309.20亿</t>
  </si>
  <si>
    <t>-91.43亿</t>
  </si>
  <si>
    <t>173.31亿</t>
  </si>
  <si>
    <t>79.78亿</t>
  </si>
  <si>
    <t>7421.32亿</t>
  </si>
  <si>
    <t>8265.30亿</t>
  </si>
  <si>
    <t>8876.26亿</t>
  </si>
  <si>
    <t>8579.78亿</t>
  </si>
  <si>
    <t>7462.35亿</t>
  </si>
  <si>
    <t>204.31亿</t>
  </si>
  <si>
    <t>256.03亿</t>
  </si>
  <si>
    <t>360.09亿</t>
  </si>
  <si>
    <t>344.10亿</t>
  </si>
  <si>
    <t>320.06亿</t>
  </si>
  <si>
    <t>1767.76亿</t>
  </si>
  <si>
    <t>1844.10亿</t>
  </si>
  <si>
    <t>7230.43亿</t>
  </si>
  <si>
    <t>68.47亿</t>
  </si>
  <si>
    <t>10.45亿</t>
  </si>
  <si>
    <t>406.86亿</t>
  </si>
  <si>
    <t>107.18亿</t>
  </si>
  <si>
    <t>12387399300亿</t>
  </si>
  <si>
    <t>549.74亿</t>
  </si>
  <si>
    <t>-50.61亿</t>
  </si>
  <si>
    <t>122.00亿</t>
  </si>
  <si>
    <t>108.54亿</t>
  </si>
  <si>
    <t>18.40亿</t>
  </si>
  <si>
    <t>-36827800亿</t>
  </si>
  <si>
    <t>2185.67万</t>
  </si>
  <si>
    <t>79648136亿</t>
  </si>
  <si>
    <t>84.68亿</t>
  </si>
  <si>
    <t>4436529200亿</t>
  </si>
  <si>
    <t>24322704000亿</t>
  </si>
  <si>
    <t>12.39亿</t>
  </si>
  <si>
    <t>7.11亿</t>
  </si>
  <si>
    <t>70.24亿</t>
  </si>
  <si>
    <t>161.68亿</t>
  </si>
  <si>
    <t>355.94亿</t>
  </si>
  <si>
    <t>38.73亿</t>
  </si>
  <si>
    <t>-1.83亿</t>
  </si>
  <si>
    <t>14.10亿</t>
  </si>
  <si>
    <t>577.65亿</t>
  </si>
  <si>
    <t>469.66亿</t>
  </si>
  <si>
    <t>410.54亿</t>
  </si>
  <si>
    <t>517.10亿</t>
  </si>
  <si>
    <t>465.32亿</t>
  </si>
  <si>
    <t>-35.75亿</t>
  </si>
  <si>
    <t>123.87亿</t>
  </si>
  <si>
    <t>158.70亿</t>
  </si>
  <si>
    <t>1614.18万</t>
  </si>
  <si>
    <t>284685800亿</t>
  </si>
  <si>
    <t>9.79亿</t>
  </si>
  <si>
    <t>189.16万</t>
  </si>
  <si>
    <t>1677.11万</t>
  </si>
  <si>
    <t>687.34万</t>
  </si>
  <si>
    <t>6596.39万</t>
  </si>
  <si>
    <t>-44756442亿</t>
  </si>
  <si>
    <t>1605810700亿</t>
  </si>
  <si>
    <t>2863726700亿</t>
  </si>
  <si>
    <t>33.17万</t>
  </si>
  <si>
    <t>21.70亿</t>
  </si>
  <si>
    <t>5.04亿</t>
  </si>
  <si>
    <t>-1.42亿</t>
  </si>
  <si>
    <t>-43.42万</t>
  </si>
  <si>
    <t>8811.73万</t>
  </si>
  <si>
    <t>27.08亿</t>
  </si>
  <si>
    <t>24.58亿</t>
  </si>
  <si>
    <t>23.87亿</t>
  </si>
  <si>
    <t>33.96亿</t>
  </si>
  <si>
    <t>1394.62万</t>
  </si>
  <si>
    <t>1307.22万</t>
  </si>
  <si>
    <t>4281.84万</t>
  </si>
  <si>
    <t>6230.78万</t>
  </si>
  <si>
    <t>113.94万</t>
  </si>
  <si>
    <t>6301.57万</t>
  </si>
  <si>
    <t>05674800</t>
  </si>
  <si>
    <t>011349600</t>
  </si>
  <si>
    <t>018916000</t>
  </si>
  <si>
    <t>037832000</t>
  </si>
  <si>
    <t>2021.68万</t>
  </si>
  <si>
    <t>18.68亿</t>
  </si>
  <si>
    <t>25.39亿</t>
  </si>
  <si>
    <t>559000870亿</t>
  </si>
  <si>
    <t>-4.59亿</t>
  </si>
  <si>
    <t>5.97亿</t>
  </si>
  <si>
    <t>3992.15万</t>
  </si>
  <si>
    <t>5133.01万</t>
  </si>
  <si>
    <t>7982.47万</t>
  </si>
  <si>
    <t>419.62万</t>
  </si>
  <si>
    <t>4.47亿</t>
  </si>
  <si>
    <t>1157.15万</t>
  </si>
  <si>
    <t>1705401900亿</t>
  </si>
  <si>
    <t>7.55亿</t>
  </si>
  <si>
    <t>14.57亿</t>
  </si>
  <si>
    <t>-4616.76万</t>
  </si>
  <si>
    <t>-537.15万</t>
  </si>
  <si>
    <t>26.23亿</t>
  </si>
  <si>
    <t>24.47亿</t>
  </si>
  <si>
    <t>29.15亿</t>
  </si>
  <si>
    <t>38.09亿</t>
  </si>
  <si>
    <t>37.37亿</t>
  </si>
  <si>
    <t>5488.31万</t>
  </si>
  <si>
    <t>4663.72万</t>
  </si>
  <si>
    <t>-1.28亿</t>
  </si>
  <si>
    <t>6068.97万</t>
  </si>
  <si>
    <t>-4747.00万</t>
  </si>
  <si>
    <t>6.46亿</t>
  </si>
  <si>
    <t>662.06万</t>
  </si>
  <si>
    <t>95.37亿</t>
  </si>
  <si>
    <t>15.35亿</t>
  </si>
  <si>
    <t>920163620亿</t>
  </si>
  <si>
    <t>53.20亿</t>
  </si>
  <si>
    <t>-13.36亿</t>
  </si>
  <si>
    <t>2621.27万</t>
  </si>
  <si>
    <t>4740.67万</t>
  </si>
  <si>
    <t>29.32万</t>
  </si>
  <si>
    <t>-186883490亿</t>
  </si>
  <si>
    <t>2323230400亿</t>
  </si>
  <si>
    <t>2453.68万</t>
  </si>
  <si>
    <t>5582022100亿</t>
  </si>
  <si>
    <t>18.83亿</t>
  </si>
  <si>
    <t>31.70亿</t>
  </si>
  <si>
    <t>21.97亿</t>
  </si>
  <si>
    <t>84.98亿</t>
  </si>
  <si>
    <t>8.81亿</t>
  </si>
  <si>
    <t>-6.52亿</t>
  </si>
  <si>
    <t>-831.21万</t>
  </si>
  <si>
    <t>64.28亿</t>
  </si>
  <si>
    <t>63.83亿</t>
  </si>
  <si>
    <t>72.92亿</t>
  </si>
  <si>
    <t>59.91亿</t>
  </si>
  <si>
    <t>40.47亿</t>
  </si>
  <si>
    <t>-4.91亿</t>
  </si>
  <si>
    <t>4326.58万</t>
  </si>
  <si>
    <t>5948.80万</t>
  </si>
  <si>
    <t>5585.45万</t>
  </si>
  <si>
    <t>7554.82万</t>
  </si>
  <si>
    <t>9.20亿</t>
  </si>
  <si>
    <t>15.37亿</t>
  </si>
  <si>
    <t>-1182.49万</t>
  </si>
  <si>
    <t>3533.01万</t>
  </si>
  <si>
    <t>317.57亿</t>
  </si>
  <si>
    <t>155.31亿</t>
  </si>
  <si>
    <t>9761453400亿</t>
  </si>
  <si>
    <t>403.11亿</t>
  </si>
  <si>
    <t>102.33亿</t>
  </si>
  <si>
    <t>90.85亿</t>
  </si>
  <si>
    <t>52447906亿</t>
  </si>
  <si>
    <t>441.05万</t>
  </si>
  <si>
    <t>-479537830亿</t>
  </si>
  <si>
    <t>109.68亿</t>
  </si>
  <si>
    <t>3596204000亿</t>
  </si>
  <si>
    <t>26448800000亿</t>
  </si>
  <si>
    <t>11.59亿</t>
  </si>
  <si>
    <t>14.98亿</t>
  </si>
  <si>
    <t>60.20亿</t>
  </si>
  <si>
    <t>85.25亿</t>
  </si>
  <si>
    <t>235.68亿</t>
  </si>
  <si>
    <t>67.53亿</t>
  </si>
  <si>
    <t>11.65亿</t>
  </si>
  <si>
    <t>-1.70亿</t>
  </si>
  <si>
    <t>-7.24亿</t>
  </si>
  <si>
    <t>429.06亿</t>
  </si>
  <si>
    <t>472.86亿</t>
  </si>
  <si>
    <t>500.92亿</t>
  </si>
  <si>
    <t>491.46亿</t>
  </si>
  <si>
    <t>524.91亿</t>
  </si>
  <si>
    <t>-7.86亿</t>
  </si>
  <si>
    <t>4.32亿</t>
  </si>
  <si>
    <t>11.62亿</t>
  </si>
  <si>
    <t>97.61亿</t>
  </si>
  <si>
    <t>116.80亿</t>
  </si>
  <si>
    <t>428.31亿</t>
  </si>
  <si>
    <t>0600000000</t>
  </si>
  <si>
    <t>01200000000</t>
  </si>
  <si>
    <t>02000000000</t>
  </si>
  <si>
    <t>04000000000</t>
  </si>
  <si>
    <t>3808.32万</t>
  </si>
  <si>
    <t>210.22亿</t>
  </si>
  <si>
    <t>50.80亿</t>
  </si>
  <si>
    <t>2931979300亿</t>
  </si>
  <si>
    <t>154.18亿</t>
  </si>
  <si>
    <t>-5.95亿</t>
  </si>
  <si>
    <t>29.39亿</t>
  </si>
  <si>
    <t>25.32亿</t>
  </si>
  <si>
    <t>9306.32万</t>
  </si>
  <si>
    <t>6.43亿</t>
  </si>
  <si>
    <t>21289868亿</t>
  </si>
  <si>
    <t>91.63万</t>
  </si>
  <si>
    <t>-21836761亿</t>
  </si>
  <si>
    <t>54.10亿</t>
  </si>
  <si>
    <t>5616383900亿</t>
  </si>
  <si>
    <t>5716.74万</t>
  </si>
  <si>
    <t>20321458000亿</t>
  </si>
  <si>
    <t>4.77亿</t>
  </si>
  <si>
    <t>61.63亿</t>
  </si>
  <si>
    <t>55.36亿</t>
  </si>
  <si>
    <t>153.64亿</t>
  </si>
  <si>
    <t>39.04亿</t>
  </si>
  <si>
    <t>-2.88亿</t>
  </si>
  <si>
    <t>-10.08亿</t>
  </si>
  <si>
    <t>139.58亿</t>
  </si>
  <si>
    <t>178.91亿</t>
  </si>
  <si>
    <t>182.91亿</t>
  </si>
  <si>
    <t>177.36亿</t>
  </si>
  <si>
    <t>218.28亿</t>
  </si>
  <si>
    <t>3190.04万</t>
  </si>
  <si>
    <t>-7.19亿</t>
  </si>
  <si>
    <t>29.32亿</t>
  </si>
  <si>
    <t>26.89亿</t>
  </si>
  <si>
    <t>332.85万</t>
  </si>
  <si>
    <t>295.90亿</t>
  </si>
  <si>
    <t>107.41亿</t>
  </si>
  <si>
    <t>1730552500亿</t>
  </si>
  <si>
    <t>86.97亿</t>
  </si>
  <si>
    <t>-52.44亿</t>
  </si>
  <si>
    <t>27.78亿</t>
  </si>
  <si>
    <t>18.28亿</t>
  </si>
  <si>
    <t>18.36亿</t>
  </si>
  <si>
    <t>-6318120亿</t>
  </si>
  <si>
    <t>67.37万</t>
  </si>
  <si>
    <t>-973359490亿</t>
  </si>
  <si>
    <t>95.60亿</t>
  </si>
  <si>
    <t>12466505900亿</t>
  </si>
  <si>
    <t>8.70亿</t>
  </si>
  <si>
    <t>26275086000亿</t>
  </si>
  <si>
    <t>69.64亿</t>
  </si>
  <si>
    <t>22.77亿</t>
  </si>
  <si>
    <t>36.09亿</t>
  </si>
  <si>
    <t>2552.06万</t>
  </si>
  <si>
    <t>212.83亿</t>
  </si>
  <si>
    <t>67.15亿</t>
  </si>
  <si>
    <t>-4.19亿</t>
  </si>
  <si>
    <t>26.45亿</t>
  </si>
  <si>
    <t>52.72亿</t>
  </si>
  <si>
    <t>235.89亿</t>
  </si>
  <si>
    <t>180.91亿</t>
  </si>
  <si>
    <t>114.93亿</t>
  </si>
  <si>
    <t>536.76万</t>
  </si>
  <si>
    <t>-64.82亿</t>
  </si>
  <si>
    <t>9201.01万</t>
  </si>
  <si>
    <t>7328.99万</t>
  </si>
  <si>
    <t>5940.13万</t>
  </si>
  <si>
    <t>-3340.21万</t>
  </si>
  <si>
    <t>17.31亿</t>
  </si>
  <si>
    <t>-8.54亿</t>
  </si>
  <si>
    <t>6.92亿</t>
  </si>
  <si>
    <t>25.46亿</t>
  </si>
  <si>
    <t>1995.12万</t>
  </si>
  <si>
    <t>269.45亿</t>
  </si>
  <si>
    <t>66.26亿</t>
  </si>
  <si>
    <t>5131200900亿</t>
  </si>
  <si>
    <t>167.18亿</t>
  </si>
  <si>
    <t>-18.24亿</t>
  </si>
  <si>
    <t>60.36亿</t>
  </si>
  <si>
    <t>47.88亿</t>
  </si>
  <si>
    <t>3.14亿</t>
  </si>
  <si>
    <t>-49099213亿</t>
  </si>
  <si>
    <t>209.39万</t>
  </si>
  <si>
    <t>-757179660亿</t>
  </si>
  <si>
    <t>63.55亿</t>
  </si>
  <si>
    <t>979314250亿</t>
  </si>
  <si>
    <t>15581177000亿</t>
  </si>
  <si>
    <t>16.12亿</t>
  </si>
  <si>
    <t>23.26亿</t>
  </si>
  <si>
    <t>86.71亿</t>
  </si>
  <si>
    <t>67.44亿</t>
  </si>
  <si>
    <t>206.93亿</t>
  </si>
  <si>
    <t>16.08亿</t>
  </si>
  <si>
    <t>-10.88亿</t>
  </si>
  <si>
    <t>12.38亿</t>
  </si>
  <si>
    <t>143.02亿</t>
  </si>
  <si>
    <t>181.32亿</t>
  </si>
  <si>
    <t>202.40亿</t>
  </si>
  <si>
    <t>219.34亿</t>
  </si>
  <si>
    <t>161.92亿</t>
  </si>
  <si>
    <t>-17.29亿</t>
  </si>
  <si>
    <t>6672.15万</t>
  </si>
  <si>
    <t>9540.36万</t>
  </si>
  <si>
    <t>7.25亿</t>
  </si>
  <si>
    <t>5.14亿</t>
  </si>
  <si>
    <t>51.31亿</t>
  </si>
  <si>
    <t>32.89亿</t>
  </si>
  <si>
    <t>-5.33亿</t>
  </si>
  <si>
    <t>1.传祺2021年亏损面进一步收窄，如2021年原材料价格维持2020年水平，传祺已经可以实现盈利，基于当前条件并达成全年销量目标，预计传祺2022年损益会有较大改善；2.广汽传祺在2025年实现全系产品混动化，2030年混动销量占比超60%；3.持续推进与本田、丰田公司的合作广度与深度，做大做优广汽本田、广汽丰田，打造国内一流的标杆合资企业</t>
    <phoneticPr fontId="1" type="noConversion"/>
  </si>
  <si>
    <r>
      <t>1.预计上半年芯片供应短缺情况难以有大幅改善。全球主要芯片企业新建产能将于2022年下半年陆续释放，预计2022年</t>
    </r>
    <r>
      <rPr>
        <b/>
        <sz val="9"/>
        <color theme="1"/>
        <rFont val="宋体"/>
        <family val="3"/>
        <charset val="134"/>
        <scheme val="minor"/>
      </rPr>
      <t>下半年汽车芯片供应短缺情况将会有一定程度缓解</t>
    </r>
    <r>
      <rPr>
        <sz val="9"/>
        <color theme="1"/>
        <rFont val="宋体"/>
        <family val="2"/>
        <charset val="134"/>
        <scheme val="minor"/>
      </rPr>
      <t>。2.广汽集团2022年一季度受到供应限制的主要是英飞凌、意法、安森美、瑞萨、德州仪器、恩智浦等多家供应商的芯片，以驱动类和控制类芯片为主。</t>
    </r>
    <phoneticPr fontId="1" type="noConversion"/>
  </si>
  <si>
    <r>
      <t>公司现有主要业务包括研发、整车（汽车、摩托车）、零部件、商贸服务、金融五大业务板块，构成了完整的汽车产业链闭环。子品牌为</t>
    </r>
    <r>
      <rPr>
        <b/>
        <sz val="9"/>
        <color theme="1"/>
        <rFont val="宋体"/>
        <family val="3"/>
        <charset val="134"/>
        <scheme val="minor"/>
      </rPr>
      <t>广汽传祺（主打混动）；广汽埃安（主打新能源）</t>
    </r>
    <r>
      <rPr>
        <sz val="9"/>
        <color theme="1"/>
        <rFont val="宋体"/>
        <family val="2"/>
        <charset val="134"/>
        <scheme val="minor"/>
      </rPr>
      <t>；
2021:
乘用车业务及相关贸易分部 734.78亿 97.83%
其他 16.32亿 2.17%</t>
    </r>
    <phoneticPr fontId="1" type="noConversion"/>
  </si>
  <si>
    <t>4225.33万</t>
  </si>
  <si>
    <t>555.31亿</t>
  </si>
  <si>
    <t>1007.30亿</t>
  </si>
  <si>
    <t>23145454000亿</t>
  </si>
  <si>
    <t>756.76亿</t>
  </si>
  <si>
    <t>73.35亿</t>
  </si>
  <si>
    <t>245.97亿</t>
  </si>
  <si>
    <t>217.29亿</t>
  </si>
  <si>
    <t>11.53亿</t>
  </si>
  <si>
    <t>9.57亿</t>
  </si>
  <si>
    <t>4226763300亿</t>
  </si>
  <si>
    <t>385.04万</t>
  </si>
  <si>
    <t>2898227900亿</t>
  </si>
  <si>
    <t>203.79亿</t>
  </si>
  <si>
    <t>8123101300亿</t>
  </si>
  <si>
    <t>9198.54万</t>
  </si>
  <si>
    <t>58391683000亿</t>
  </si>
  <si>
    <t>25.19亿</t>
  </si>
  <si>
    <t>7.80亿</t>
  </si>
  <si>
    <t>150.54亿</t>
  </si>
  <si>
    <t>462.36亿</t>
  </si>
  <si>
    <t>22.40亿</t>
  </si>
  <si>
    <t>-32.03亿</t>
  </si>
  <si>
    <t>-20.46亿</t>
  </si>
  <si>
    <t>19.94亿</t>
  </si>
  <si>
    <t>631.57亿</t>
  </si>
  <si>
    <t>592.34亿</t>
  </si>
  <si>
    <t>715.15亿</t>
  </si>
  <si>
    <t>711.37亿</t>
  </si>
  <si>
    <t>494.18亿</t>
  </si>
  <si>
    <t>59.66亿</t>
  </si>
  <si>
    <t>66.18亿</t>
  </si>
  <si>
    <t>109.03亿</t>
  </si>
  <si>
    <t>107.86亿</t>
  </si>
  <si>
    <t>62.88亿</t>
  </si>
  <si>
    <t>231.45亿</t>
  </si>
  <si>
    <t>158.90亿</t>
  </si>
  <si>
    <t>627.17亿</t>
  </si>
  <si>
    <t>23.66亿</t>
  </si>
  <si>
    <r>
      <t>1.2022Q1前十大股东累计持有： 85.97亿股，累计占总股本比：</t>
    </r>
    <r>
      <rPr>
        <sz val="9"/>
        <color rgb="FFFF0000"/>
        <rFont val="宋体"/>
        <family val="3"/>
        <charset val="134"/>
        <scheme val="minor"/>
      </rPr>
      <t>93.08%;</t>
    </r>
    <r>
      <rPr>
        <sz val="9"/>
        <rFont val="宋体"/>
        <family val="3"/>
        <charset val="134"/>
        <scheme val="minor"/>
      </rPr>
      <t>2.预计 2045 年，长城汽车将全面实现碳中和。不断在混动、纯电、氢能三大领域进行精准投入;3. 整车销售收入增加的主要原因是：主要系报告期</t>
    </r>
    <r>
      <rPr>
        <b/>
        <sz val="9"/>
        <color rgb="FFFF0000"/>
        <rFont val="宋体"/>
        <family val="3"/>
        <charset val="134"/>
        <scheme val="minor"/>
      </rPr>
      <t>销量增加及品牌向上使得单车收入提升</t>
    </r>
    <r>
      <rPr>
        <sz val="9"/>
        <rFont val="宋体"/>
        <family val="3"/>
        <charset val="134"/>
        <scheme val="minor"/>
      </rPr>
      <t xml:space="preserve">所致。
</t>
    </r>
    <phoneticPr fontId="1" type="noConversion"/>
  </si>
  <si>
    <r>
      <t xml:space="preserve">1.2021 年汽车产销分别完成 2,608.2 万辆和 2,627.5 万辆，同比分别增长 </t>
    </r>
    <r>
      <rPr>
        <b/>
        <sz val="9"/>
        <color theme="1"/>
        <rFont val="宋体"/>
        <family val="3"/>
        <charset val="134"/>
        <scheme val="minor"/>
      </rPr>
      <t>3.4%和 3.8%</t>
    </r>
    <r>
      <rPr>
        <sz val="9"/>
        <color theme="1"/>
        <rFont val="宋体"/>
        <family val="2"/>
        <charset val="134"/>
        <scheme val="minor"/>
      </rPr>
      <t>。乘用车市场继续保持 2,000万辆以上规模；皮卡车产销快速增长，皮卡产销分别完成 54.7 万辆和 55.4 万辆，同比分别</t>
    </r>
    <r>
      <rPr>
        <b/>
        <sz val="9"/>
        <color rgb="FFFF0000"/>
        <rFont val="宋体"/>
        <family val="3"/>
        <charset val="134"/>
        <scheme val="minor"/>
      </rPr>
      <t>增长11.2%和 12.9%</t>
    </r>
    <r>
      <rPr>
        <sz val="9"/>
        <color theme="1"/>
        <rFont val="宋体"/>
        <family val="2"/>
        <charset val="134"/>
        <scheme val="minor"/>
      </rPr>
      <t>；新能源汽车产销分别完成 354.5 万辆和 352.1 万辆，</t>
    </r>
    <r>
      <rPr>
        <sz val="9"/>
        <color rgb="FFFF0000"/>
        <rFont val="宋体"/>
        <family val="3"/>
        <charset val="134"/>
        <scheme val="minor"/>
      </rPr>
      <t>同比均增长 1.6 倍</t>
    </r>
    <r>
      <rPr>
        <sz val="9"/>
        <color theme="1"/>
        <rFont val="宋体"/>
        <family val="2"/>
        <charset val="134"/>
        <scheme val="minor"/>
      </rPr>
      <t>，市场占有率达到 13.4%，高于上年 8 个百分点；汽车出口201.5 万辆，同比增长 1 倍，占汽车销售总量的比重为 7.7%，比上年提升 3.7 个百分点; 2.汽车市场由增量向存量时代转变，市场竞争愈加激烈，躺赢时代结束了，</t>
    </r>
    <r>
      <rPr>
        <b/>
        <sz val="9"/>
        <color theme="1"/>
        <rFont val="宋体"/>
        <family val="3"/>
        <charset val="134"/>
        <scheme val="minor"/>
      </rPr>
      <t>淘汰赛已然开启</t>
    </r>
    <r>
      <rPr>
        <sz val="9"/>
        <color theme="1"/>
        <rFont val="宋体"/>
        <family val="2"/>
        <charset val="134"/>
        <scheme val="minor"/>
      </rPr>
      <t>，企业的容错空间大幅缩小，</t>
    </r>
    <r>
      <rPr>
        <b/>
        <sz val="9"/>
        <color rgb="FFFF0000"/>
        <rFont val="宋体"/>
        <family val="3"/>
        <charset val="134"/>
        <scheme val="minor"/>
      </rPr>
      <t>稍有不慎，就可能招致断崖式下跌</t>
    </r>
    <r>
      <rPr>
        <sz val="9"/>
        <color theme="1"/>
        <rFont val="宋体"/>
        <family val="2"/>
        <charset val="134"/>
        <scheme val="minor"/>
      </rPr>
      <t>。</t>
    </r>
    <phoneticPr fontId="1" type="noConversion"/>
  </si>
  <si>
    <r>
      <t>公司成立于1998年7月1日，公司是中国最大的SUV和皮卡制造企业之一。2021年营收</t>
    </r>
    <r>
      <rPr>
        <sz val="9"/>
        <color rgb="FFFF0000"/>
        <rFont val="宋体"/>
        <family val="3"/>
        <charset val="134"/>
        <scheme val="minor"/>
      </rPr>
      <t>增速32%，利润增速25%</t>
    </r>
    <r>
      <rPr>
        <sz val="9"/>
        <color theme="1"/>
        <rFont val="宋体"/>
        <family val="2"/>
        <charset val="134"/>
        <scheme val="minor"/>
      </rPr>
      <t>；2022Q1营收增速8%，利润增速-0.3%；本集团旗下拥有</t>
    </r>
    <r>
      <rPr>
        <b/>
        <sz val="9"/>
        <color theme="1"/>
        <rFont val="宋体"/>
        <family val="3"/>
        <charset val="134"/>
        <scheme val="minor"/>
      </rPr>
      <t>哈弗、魏牌、欧拉、坦克及长城皮卡五大整车品牌</t>
    </r>
    <r>
      <rPr>
        <sz val="9"/>
        <color theme="1"/>
        <rFont val="宋体"/>
        <family val="2"/>
        <charset val="134"/>
        <scheme val="minor"/>
      </rPr>
      <t>，孵化全新独立运营汽车科技公司——沙龙机甲科技有限公司，并与宝马集团合资成立光束汽车有限公司;
2021:
销售汽车 1213.07亿 88.93% 81.94% 14.89%
销售零配件 68.72亿 5.04% 10.92% 35.01%
提供劳务 30.61亿 2.24% 2.36% 16.97%
其他业务 29.66亿 2.17% 2.35% 17.43%
模具及其他 21.98亿 1.61% 2.43% 24.40%</t>
    </r>
    <phoneticPr fontId="1" type="noConversion"/>
  </si>
  <si>
    <t>1101.01亿</t>
  </si>
  <si>
    <t>648.39亿</t>
  </si>
  <si>
    <t>33619299000亿</t>
  </si>
  <si>
    <t>1364.05亿</t>
  </si>
  <si>
    <t>67.26亿</t>
  </si>
  <si>
    <t>327.34亿</t>
  </si>
  <si>
    <t>278.43亿</t>
  </si>
  <si>
    <t>10.51亿</t>
  </si>
  <si>
    <t>11.78亿</t>
  </si>
  <si>
    <t>90.67亿</t>
  </si>
  <si>
    <t>177995800亿</t>
  </si>
  <si>
    <t>5.20亿</t>
  </si>
  <si>
    <t>1303131630亿</t>
  </si>
  <si>
    <t>257.13亿</t>
  </si>
  <si>
    <t>4167703900亿</t>
  </si>
  <si>
    <t>34.53亿</t>
  </si>
  <si>
    <t>105577064000亿</t>
  </si>
  <si>
    <t>60.41亿</t>
  </si>
  <si>
    <t>55.00亿</t>
  </si>
  <si>
    <t>319.65亿</t>
  </si>
  <si>
    <t>303.36亿</t>
  </si>
  <si>
    <t>892.85亿</t>
  </si>
  <si>
    <t>114.07亿</t>
  </si>
  <si>
    <t>-114.72亿</t>
  </si>
  <si>
    <t>55.50亿</t>
  </si>
  <si>
    <t>1033.08亿</t>
  </si>
  <si>
    <t>951.08亿</t>
  </si>
  <si>
    <t>978.00亿</t>
  </si>
  <si>
    <t>1004.92亿</t>
  </si>
  <si>
    <t>984.44亿</t>
  </si>
  <si>
    <t>53.62亿</t>
  </si>
  <si>
    <t>44.97亿</t>
  </si>
  <si>
    <t>52.07亿</t>
  </si>
  <si>
    <t>50.27亿</t>
  </si>
  <si>
    <t>105.51亿</t>
  </si>
  <si>
    <t>336.19亿</t>
  </si>
  <si>
    <t>311.17亿</t>
  </si>
  <si>
    <t>5.42亿</t>
  </si>
  <si>
    <t>13.50亿</t>
  </si>
  <si>
    <t>SZ002050</t>
  </si>
  <si>
    <t>三花智控</t>
  </si>
  <si>
    <t>白色家电</t>
  </si>
  <si>
    <t>SZ002055</t>
  </si>
  <si>
    <t>得润电子</t>
  </si>
  <si>
    <t>SZ002126</t>
  </si>
  <si>
    <t>银轮股份</t>
  </si>
  <si>
    <t>汽车零部件</t>
  </si>
  <si>
    <t>SZ002160</t>
  </si>
  <si>
    <t>常铝股份</t>
  </si>
  <si>
    <t>工业金属</t>
  </si>
  <si>
    <t>SZ002635</t>
  </si>
  <si>
    <t>安洁科技</t>
  </si>
  <si>
    <t>SZ002850</t>
  </si>
  <si>
    <t>科达利</t>
  </si>
  <si>
    <t>SZ300115</t>
  </si>
  <si>
    <t>长盈精密</t>
  </si>
  <si>
    <t>SH600480</t>
  </si>
  <si>
    <t>凌云股份</t>
  </si>
  <si>
    <t>SH600699</t>
  </si>
  <si>
    <t>均胜电子</t>
  </si>
  <si>
    <t>SH603158</t>
  </si>
  <si>
    <t>腾龙股份</t>
  </si>
  <si>
    <t>SH603305</t>
  </si>
  <si>
    <t>旭升股份</t>
  </si>
  <si>
    <t>1119.38万</t>
  </si>
  <si>
    <t>125.90亿</t>
  </si>
  <si>
    <t>117.00亿</t>
  </si>
  <si>
    <t>4803574800亿</t>
  </si>
  <si>
    <t>160.21亿</t>
  </si>
  <si>
    <t>16.84亿</t>
  </si>
  <si>
    <t>42.85亿</t>
  </si>
  <si>
    <t>36.84亿</t>
  </si>
  <si>
    <t>7.51亿</t>
  </si>
  <si>
    <t>38685566亿</t>
  </si>
  <si>
    <t>143.50万</t>
  </si>
  <si>
    <t>402392540亿</t>
  </si>
  <si>
    <t>62.87亿</t>
  </si>
  <si>
    <t>4162705200亿</t>
  </si>
  <si>
    <t>16917601000亿</t>
  </si>
  <si>
    <t>20.91亿</t>
  </si>
  <si>
    <t>32.35亿</t>
  </si>
  <si>
    <t>80.58亿</t>
  </si>
  <si>
    <t>-9.37亿</t>
  </si>
  <si>
    <t>-7851.10万</t>
  </si>
  <si>
    <t>121.10亿</t>
  </si>
  <si>
    <t>112.87亿</t>
  </si>
  <si>
    <t>108.36亿</t>
  </si>
  <si>
    <t>95.81亿</t>
  </si>
  <si>
    <t>76.56亿</t>
  </si>
  <si>
    <t>14.62亿</t>
  </si>
  <si>
    <t>14.21亿</t>
  </si>
  <si>
    <t>12.92亿</t>
  </si>
  <si>
    <t>12.36亿</t>
  </si>
  <si>
    <t>48.04亿</t>
  </si>
  <si>
    <t>34.08亿</t>
  </si>
  <si>
    <t>9577.10万</t>
  </si>
  <si>
    <t>678.11万</t>
  </si>
  <si>
    <t>59.72亿</t>
  </si>
  <si>
    <t>35.40亿</t>
  </si>
  <si>
    <t>1856347900亿</t>
  </si>
  <si>
    <t>75.87亿</t>
  </si>
  <si>
    <t>-5.92亿</t>
  </si>
  <si>
    <t>15.55亿</t>
  </si>
  <si>
    <t>2952.83万</t>
  </si>
  <si>
    <t>-21719144亿</t>
  </si>
  <si>
    <t>210.82万</t>
  </si>
  <si>
    <t>17162164亿</t>
  </si>
  <si>
    <t>13.81亿</t>
  </si>
  <si>
    <t>1582903100亿</t>
  </si>
  <si>
    <t>7963.84万</t>
  </si>
  <si>
    <t>5706040500亿</t>
  </si>
  <si>
    <t>4.87亿</t>
  </si>
  <si>
    <t>8.33亿</t>
  </si>
  <si>
    <t>19.25亿</t>
  </si>
  <si>
    <t>39.42亿</t>
  </si>
  <si>
    <t>2240.97万</t>
  </si>
  <si>
    <t>-4.52亿</t>
  </si>
  <si>
    <t>-7.92亿</t>
  </si>
  <si>
    <t>72.72亿</t>
  </si>
  <si>
    <t>74.86亿</t>
  </si>
  <si>
    <t>74.54亿</t>
  </si>
  <si>
    <t>58.51亿</t>
  </si>
  <si>
    <t>45.84亿</t>
  </si>
  <si>
    <t>-5.85亿</t>
  </si>
  <si>
    <t>2.61亿</t>
  </si>
  <si>
    <t>3867.56万</t>
  </si>
  <si>
    <t>18.56亿</t>
  </si>
  <si>
    <t>17.92亿</t>
  </si>
  <si>
    <t>1356.14万</t>
  </si>
  <si>
    <t>7243.79万</t>
  </si>
  <si>
    <t>1730.40万</t>
  </si>
  <si>
    <t>75.29亿</t>
  </si>
  <si>
    <t>48.98亿</t>
  </si>
  <si>
    <t>2054740100亿</t>
  </si>
  <si>
    <t>78.16亿</t>
  </si>
  <si>
    <t>19.74亿</t>
  </si>
  <si>
    <t>7387.64万</t>
  </si>
  <si>
    <t>9557155亿</t>
  </si>
  <si>
    <t>40.33万</t>
  </si>
  <si>
    <t>36905375亿</t>
  </si>
  <si>
    <t>2838738300亿</t>
  </si>
  <si>
    <t>7465075100亿</t>
  </si>
  <si>
    <t>24.78亿</t>
  </si>
  <si>
    <t>64.13亿</t>
  </si>
  <si>
    <t>5127.71万</t>
  </si>
  <si>
    <t>63.24亿</t>
  </si>
  <si>
    <t>55.21亿</t>
  </si>
  <si>
    <t>50.19亿</t>
  </si>
  <si>
    <t>43.23亿</t>
  </si>
  <si>
    <t>31.19亿</t>
  </si>
  <si>
    <t>20.55亿</t>
  </si>
  <si>
    <t>19.99亿</t>
  </si>
  <si>
    <t>6707.34万</t>
  </si>
  <si>
    <t>5007.58万</t>
  </si>
  <si>
    <t>44.75亿</t>
  </si>
  <si>
    <t>31.75亿</t>
  </si>
  <si>
    <t>1427628000亿</t>
  </si>
  <si>
    <t>62.33亿</t>
  </si>
  <si>
    <t>2542.38万</t>
  </si>
  <si>
    <t>3958.59万</t>
  </si>
  <si>
    <t>2.09亿</t>
  </si>
  <si>
    <t>10.03万</t>
  </si>
  <si>
    <t>22682710亿</t>
  </si>
  <si>
    <t>1435363200亿</t>
  </si>
  <si>
    <t>4873126000亿</t>
  </si>
  <si>
    <t>8062.05万</t>
  </si>
  <si>
    <t>5.34亿</t>
  </si>
  <si>
    <t>40.70亿</t>
  </si>
  <si>
    <t>9723.00万</t>
  </si>
  <si>
    <t>960.66万</t>
  </si>
  <si>
    <t>-1087.58万</t>
  </si>
  <si>
    <t>7998.15万</t>
  </si>
  <si>
    <t>43.77亿</t>
  </si>
  <si>
    <t>43.31亿</t>
  </si>
  <si>
    <t>41.38亿</t>
  </si>
  <si>
    <t>40.64亿</t>
  </si>
  <si>
    <t>32.85亿</t>
  </si>
  <si>
    <t>2215.12万</t>
  </si>
  <si>
    <t>2198.07万</t>
  </si>
  <si>
    <t>-4.30亿</t>
  </si>
  <si>
    <t>1.71亿</t>
  </si>
  <si>
    <t>2817.41万</t>
  </si>
  <si>
    <t>8967.08万</t>
  </si>
  <si>
    <t>4726.04万</t>
  </si>
  <si>
    <t>10.24亿</t>
  </si>
  <si>
    <t>2043.52万</t>
  </si>
  <si>
    <t>58.62亿</t>
  </si>
  <si>
    <t>1054550750亿</t>
  </si>
  <si>
    <t>38.84亿</t>
  </si>
  <si>
    <t>7.96亿</t>
  </si>
  <si>
    <t>2063.83万</t>
  </si>
  <si>
    <t>6248.01万</t>
  </si>
  <si>
    <t>6146005亿</t>
  </si>
  <si>
    <t>410.08万</t>
  </si>
  <si>
    <t>88364315亿</t>
  </si>
  <si>
    <t>5.57亿</t>
  </si>
  <si>
    <t>1277186350亿</t>
  </si>
  <si>
    <t>20.37万</t>
  </si>
  <si>
    <t>3720677300亿</t>
  </si>
  <si>
    <t>7457.44万</t>
  </si>
  <si>
    <t>9.58亿</t>
  </si>
  <si>
    <t>15.93亿</t>
  </si>
  <si>
    <t>6053.03万</t>
  </si>
  <si>
    <t>2962.09万</t>
  </si>
  <si>
    <t>29.05亿</t>
  </si>
  <si>
    <t>31.36亿</t>
  </si>
  <si>
    <t>35.54亿</t>
  </si>
  <si>
    <t>27.15亿</t>
  </si>
  <si>
    <t>-6.50亿</t>
  </si>
  <si>
    <t>10.55亿</t>
  </si>
  <si>
    <t>449.88万</t>
  </si>
  <si>
    <t>451.48万</t>
  </si>
  <si>
    <t>33.70亿</t>
  </si>
  <si>
    <t>48.02亿</t>
  </si>
  <si>
    <t>1566184800亿</t>
  </si>
  <si>
    <t>44.68亿</t>
  </si>
  <si>
    <t>13.55亿</t>
  </si>
  <si>
    <t>492.84万</t>
  </si>
  <si>
    <t>4739.86万</t>
  </si>
  <si>
    <t>-6590896亿</t>
  </si>
  <si>
    <t>11.95万</t>
  </si>
  <si>
    <t>160760600亿</t>
  </si>
  <si>
    <t>1746247900亿</t>
  </si>
  <si>
    <t>875.06万</t>
  </si>
  <si>
    <t>4016551300亿</t>
  </si>
  <si>
    <t>9.04亿</t>
  </si>
  <si>
    <t>10.94亿</t>
  </si>
  <si>
    <t>30.15亿</t>
  </si>
  <si>
    <t>-2.78亿</t>
  </si>
  <si>
    <t>19.85亿</t>
  </si>
  <si>
    <t>22.30亿</t>
  </si>
  <si>
    <t>20.00亿</t>
  </si>
  <si>
    <t>14.52亿</t>
  </si>
  <si>
    <t>1.79亿</t>
  </si>
  <si>
    <t>8228.72万</t>
  </si>
  <si>
    <t>15.66亿</t>
  </si>
  <si>
    <t>8749.91万</t>
  </si>
  <si>
    <t>1818.32万</t>
  </si>
  <si>
    <t>8537.65万</t>
  </si>
  <si>
    <t>3043.03万</t>
  </si>
  <si>
    <t>56.10亿</t>
  </si>
  <si>
    <t>3607429300亿</t>
  </si>
  <si>
    <t>110.47亿</t>
  </si>
  <si>
    <t>-6.05亿</t>
  </si>
  <si>
    <t>37.66亿</t>
  </si>
  <si>
    <t>30.86亿</t>
  </si>
  <si>
    <t>3375.64万</t>
  </si>
  <si>
    <t>9302258亿</t>
  </si>
  <si>
    <t>8.62万</t>
  </si>
  <si>
    <t>-228224230亿</t>
  </si>
  <si>
    <t>19.26亿</t>
  </si>
  <si>
    <t>2680590200亿</t>
  </si>
  <si>
    <t>2366.90万</t>
  </si>
  <si>
    <t>9274266700亿</t>
  </si>
  <si>
    <t>45.52亿</t>
  </si>
  <si>
    <t>25.89亿</t>
  </si>
  <si>
    <t>179.52万</t>
  </si>
  <si>
    <t>96.29亿</t>
  </si>
  <si>
    <t>10.65亿</t>
  </si>
  <si>
    <t>-3.18亿</t>
  </si>
  <si>
    <t>-1.81亿</t>
  </si>
  <si>
    <t>7.12亿</t>
  </si>
  <si>
    <t>97.98亿</t>
  </si>
  <si>
    <t>86.55亿</t>
  </si>
  <si>
    <t>86.26亿</t>
  </si>
  <si>
    <t>84.32亿</t>
  </si>
  <si>
    <t>61.19亿</t>
  </si>
  <si>
    <t>6.00亿</t>
  </si>
  <si>
    <t>8382.38万</t>
  </si>
  <si>
    <t>3846.57万</t>
  </si>
  <si>
    <t>6.84亿</t>
  </si>
  <si>
    <t>2618.16万</t>
  </si>
  <si>
    <t>1151.20万</t>
  </si>
  <si>
    <t>104.27亿</t>
  </si>
  <si>
    <t>81.98亿</t>
  </si>
  <si>
    <t>4150987000亿</t>
  </si>
  <si>
    <t>157.50亿</t>
  </si>
  <si>
    <t>39.52亿</t>
  </si>
  <si>
    <t>35.24亿</t>
  </si>
  <si>
    <t>8248.06万</t>
  </si>
  <si>
    <t>7717688亿</t>
  </si>
  <si>
    <t>263.75万</t>
  </si>
  <si>
    <t>79142421亿</t>
  </si>
  <si>
    <t>4150671500亿</t>
  </si>
  <si>
    <t>9.17亿</t>
  </si>
  <si>
    <t>12060936900亿</t>
  </si>
  <si>
    <t>3.73亿</t>
  </si>
  <si>
    <t>29.14亿</t>
  </si>
  <si>
    <t>7.37亿</t>
  </si>
  <si>
    <t>34.47亿</t>
  </si>
  <si>
    <t>90.39亿</t>
  </si>
  <si>
    <t>-2.05亿</t>
  </si>
  <si>
    <t>15.85亿</t>
  </si>
  <si>
    <t>135.40亿</t>
  </si>
  <si>
    <t>117.79亿</t>
  </si>
  <si>
    <t>122.52亿</t>
  </si>
  <si>
    <t>118.45亿</t>
  </si>
  <si>
    <t>88.98亿</t>
  </si>
  <si>
    <t>-6983.83万</t>
  </si>
  <si>
    <t>3.31亿</t>
  </si>
  <si>
    <t>41.51亿</t>
  </si>
  <si>
    <t>39.17亿</t>
  </si>
  <si>
    <t>8287.68万</t>
  </si>
  <si>
    <t>6158.17万</t>
  </si>
  <si>
    <t>6830.21万</t>
  </si>
  <si>
    <t>348.65亿</t>
  </si>
  <si>
    <t>167.62亿</t>
  </si>
  <si>
    <t>11730016700亿</t>
  </si>
  <si>
    <t>456.70亿</t>
  </si>
  <si>
    <t>-37.53亿</t>
  </si>
  <si>
    <t>120.82亿</t>
  </si>
  <si>
    <t>104.55亿</t>
  </si>
  <si>
    <t>30.88亿</t>
  </si>
  <si>
    <t>20599655亿</t>
  </si>
  <si>
    <t>41.56万</t>
  </si>
  <si>
    <t>-46045757亿</t>
  </si>
  <si>
    <t>71.83亿</t>
  </si>
  <si>
    <t>6775336600亿</t>
  </si>
  <si>
    <t>24906653000亿</t>
  </si>
  <si>
    <t>18.13亿</t>
  </si>
  <si>
    <t>31.20亿</t>
  </si>
  <si>
    <t>72.33亿</t>
  </si>
  <si>
    <t>166.61亿</t>
  </si>
  <si>
    <t>145.71亿</t>
  </si>
  <si>
    <t>-6.17亿</t>
  </si>
  <si>
    <t>478.90亿</t>
  </si>
  <si>
    <t>616.99亿</t>
  </si>
  <si>
    <t>561.81亿</t>
  </si>
  <si>
    <t>266.06亿</t>
  </si>
  <si>
    <t>185.52亿</t>
  </si>
  <si>
    <t>6.16亿</t>
  </si>
  <si>
    <t>9.40亿</t>
  </si>
  <si>
    <t>4.54亿</t>
  </si>
  <si>
    <t>117.30亿</t>
  </si>
  <si>
    <t>122.87亿</t>
  </si>
  <si>
    <t>9.55亿</t>
  </si>
  <si>
    <t>4-1</t>
  </si>
  <si>
    <t>3394.21万</t>
  </si>
  <si>
    <t>15.46亿</t>
  </si>
  <si>
    <t>21.58亿</t>
  </si>
  <si>
    <t>562589840亿</t>
  </si>
  <si>
    <t>22.07亿</t>
  </si>
  <si>
    <t>9046.14万</t>
  </si>
  <si>
    <t>5.17亿</t>
  </si>
  <si>
    <t>4.37亿</t>
  </si>
  <si>
    <t>1615.39万</t>
  </si>
  <si>
    <t>2688.39万</t>
  </si>
  <si>
    <t>-1272655亿</t>
  </si>
  <si>
    <t>7.53万</t>
  </si>
  <si>
    <t>22762544亿</t>
  </si>
  <si>
    <t>676289480亿</t>
  </si>
  <si>
    <t>7889.92万</t>
  </si>
  <si>
    <t>2257570100亿</t>
  </si>
  <si>
    <t>3997.31万</t>
  </si>
  <si>
    <t>13.66亿</t>
  </si>
  <si>
    <t>2331.95万</t>
  </si>
  <si>
    <t>-5222.80万</t>
  </si>
  <si>
    <t>1221.50万</t>
  </si>
  <si>
    <t>17.72亿</t>
  </si>
  <si>
    <t>4.86亿</t>
  </si>
  <si>
    <t>4503.33万</t>
  </si>
  <si>
    <t>3.33亿</t>
  </si>
  <si>
    <t>1.特斯拉为公司第一大客户；未来，随着客户终端需求的提升以及新项目新产品的量产，预计非特斯拉客户营收占比将进一步提升。</t>
    <phoneticPr fontId="1" type="noConversion"/>
  </si>
  <si>
    <t>公司主要从事压铸成型的精密铝合金汽车零部件和工业零部件的研发、生产、销售，产品主要应用于汽车行业及其他机械制造行业。公司主要致力于新能源汽车和汽车轻量化领域，主导产品是新能源汽车变速系统、传动系统、电池系统、悬挂系统等核心系统的精密机械加工零部件；
汽车类 14.27亿 87.69% 毛利32.75%
工业类 1.23亿 7.56% 毛利25.41%
模具类 4930.00万 3.03% 毛利43.76%
其他类 1828.80万 1.12% 毛利30.82%
其他业务 957.36万 0.59% 毛利94.29%</t>
    <phoneticPr fontId="1" type="noConversion"/>
  </si>
  <si>
    <t>1452.19万</t>
  </si>
  <si>
    <t>46.48亿</t>
  </si>
  <si>
    <t>37.78亿</t>
  </si>
  <si>
    <t>991767340亿</t>
  </si>
  <si>
    <t>30.23亿</t>
  </si>
  <si>
    <t>7.91亿</t>
  </si>
  <si>
    <t>496.17万</t>
  </si>
  <si>
    <t>1493.32万</t>
  </si>
  <si>
    <t>4143597亿</t>
  </si>
  <si>
    <t>108960916亿</t>
  </si>
  <si>
    <t>927060250亿</t>
  </si>
  <si>
    <t>4699064400亿</t>
  </si>
  <si>
    <t>13.01亿</t>
  </si>
  <si>
    <t>10.25亿</t>
  </si>
  <si>
    <t>28.35亿</t>
  </si>
  <si>
    <t>-9.00亿</t>
  </si>
  <si>
    <t>8265.51万</t>
  </si>
  <si>
    <t>16.28亿</t>
  </si>
  <si>
    <t>10.97亿</t>
  </si>
  <si>
    <t>10.96亿</t>
  </si>
  <si>
    <t>7.39亿</t>
  </si>
  <si>
    <t>5.69亿</t>
  </si>
  <si>
    <t>2.94亿</t>
  </si>
  <si>
    <t>8969.49万</t>
  </si>
  <si>
    <t>7505.19万</t>
  </si>
  <si>
    <t>1020.00万</t>
  </si>
  <si>
    <t>5844.55万</t>
  </si>
  <si>
    <t>SZ000970</t>
  </si>
  <si>
    <t>中科三环</t>
  </si>
  <si>
    <t>SZ002056</t>
  </si>
  <si>
    <t>横店东磁</t>
  </si>
  <si>
    <t>SZ002340</t>
  </si>
  <si>
    <t>格林美</t>
  </si>
  <si>
    <t>SZ002823</t>
  </si>
  <si>
    <t>凯中精密</t>
  </si>
  <si>
    <t>SZ300618</t>
  </si>
  <si>
    <t>寒锐钴业</t>
  </si>
  <si>
    <t>小金属</t>
  </si>
  <si>
    <t>SH600114</t>
  </si>
  <si>
    <t>东睦股份</t>
  </si>
  <si>
    <t>通用设备</t>
  </si>
  <si>
    <t>SH600330</t>
  </si>
  <si>
    <t>天通股份</t>
  </si>
  <si>
    <t>专用设备</t>
  </si>
  <si>
    <t>金属新材料</t>
  </si>
  <si>
    <t>1.以混合动力汽车电机为例，由于工作环境温度较高，只有具备高矫顽力和突出的高温性能的磁体才能满足该领域的需求。2.继续围绕新能源汽车、高端电子消费市场、先进轨道交通装备、节能家电、高档数控机床和机器人等关键应用领域，不断研究具有核心自主知识产权的稀土永磁新材料；</t>
    <phoneticPr fontId="1" type="noConversion"/>
  </si>
  <si>
    <t>1.钕铁硼磁体理论磁能积为64MGOe，目前日立NEOMAX已研制出了磁能积高达59.6MGOe（Br=15.55KGs，HcJ=8.2kOe）的磁体。</t>
    <phoneticPr fontId="1" type="noConversion"/>
  </si>
  <si>
    <r>
      <rPr>
        <sz val="9"/>
        <rFont val="宋体"/>
        <family val="3"/>
        <charset val="134"/>
        <scheme val="minor"/>
      </rPr>
      <t>公司主要从事稀土永磁材料和新型磁性材料及其应用产品的研究开发、生产和销售。公司产品广泛应用于计算机、家电、风电、通讯、医疗、汽车等领域。主要产品为应用于电子元器件的钕铁硼永磁材料。公司同时生产烧结钕铁硼和粘结钕铁硼，是目前国内稀土永磁领域的领军企业；中科院控股；2021年营收增速53.6%，利润增速209%;</t>
    </r>
    <r>
      <rPr>
        <sz val="9"/>
        <color rgb="FFFF0000"/>
        <rFont val="宋体"/>
        <family val="3"/>
        <charset val="134"/>
        <scheme val="minor"/>
      </rPr>
      <t>2022Q1营收增速68%，利润230%</t>
    </r>
    <r>
      <rPr>
        <sz val="9"/>
        <rFont val="宋体"/>
        <family val="3"/>
        <charset val="134"/>
        <scheme val="minor"/>
      </rPr>
      <t xml:space="preserve">
2021：
磁材产品销售 69.61亿 97.41% 92.93% 15.42%
其他业务 1.83亿 2.56% 7.07% 44.53%
电动自行车 160.14万 0.02% 0.0090% 6.47%</t>
    </r>
    <phoneticPr fontId="1" type="noConversion"/>
  </si>
  <si>
    <t>2595.57万</t>
  </si>
  <si>
    <t>37.62亿</t>
  </si>
  <si>
    <t>67.91亿</t>
  </si>
  <si>
    <t>2158936900亿</t>
  </si>
  <si>
    <t>71.46亿</t>
  </si>
  <si>
    <t>19.34亿</t>
  </si>
  <si>
    <t>17.82亿</t>
  </si>
  <si>
    <t>2507.73万</t>
  </si>
  <si>
    <t>7756.42万</t>
  </si>
  <si>
    <t>8263.55万</t>
  </si>
  <si>
    <t>10228826亿</t>
  </si>
  <si>
    <t>7.09万</t>
  </si>
  <si>
    <t>159169450亿</t>
  </si>
  <si>
    <t>18.49亿</t>
  </si>
  <si>
    <t>2401864200亿</t>
  </si>
  <si>
    <t>9770.10万</t>
  </si>
  <si>
    <t>8263290300亿</t>
  </si>
  <si>
    <t>9.43亿</t>
  </si>
  <si>
    <t>34.72亿</t>
  </si>
  <si>
    <t>-3.43亿</t>
  </si>
  <si>
    <t>41.65亿</t>
  </si>
  <si>
    <t>38.95亿</t>
  </si>
  <si>
    <t>35.41亿</t>
  </si>
  <si>
    <t>2.48亿</t>
  </si>
  <si>
    <t>12.85亿</t>
  </si>
  <si>
    <t>5037.16万</t>
  </si>
  <si>
    <t>1.2021年公司永磁铁氧体产量13.37万吨，占全国总产量的16.7%，软磁铁氧体产量2.75万吨，占全国总产量的9.8%，行业地位突出且盈利能力强劲;2.公司在做好横向拓展材料品类，构建自身独立的竞争力外，也在纵向往器件领域延伸，如振动电机、电感、射频器件等，为公司打开了新的发展空间。新能源产业高速发展：2021年公司销售了4.8GW光伏和1.4亿支锂电，全年实现收入约74亿元，同比增长87%，占总营业收入的58.5%</t>
    <phoneticPr fontId="1" type="noConversion"/>
  </si>
  <si>
    <t>1.境内外销售占比接近对半开；</t>
    <phoneticPr fontId="1" type="noConversion"/>
  </si>
  <si>
    <r>
      <t>公司是一家主要从事磁性材料+器件、光伏+锂电两大产业群相关产品的研发、生产、销售以及提供一站式技术解决方案的服务。公司主要产品有磁性材料、器件、光伏产品。公司是目前国内唯一一家生产</t>
    </r>
    <r>
      <rPr>
        <sz val="9"/>
        <color rgb="FFFF0000"/>
        <rFont val="宋体"/>
        <family val="3"/>
        <charset val="134"/>
        <scheme val="minor"/>
      </rPr>
      <t>永磁铁氧体和软磁铁氧体</t>
    </r>
    <r>
      <rPr>
        <sz val="9"/>
        <color theme="1"/>
        <rFont val="宋体"/>
        <family val="2"/>
        <charset val="134"/>
        <scheme val="minor"/>
      </rPr>
      <t>产品超万吨的行业龙头企业，目前中国已成为世界磁性材料生产大国和制造中心。2021年营收涨55.54%，利润涨10.54%;</t>
    </r>
    <r>
      <rPr>
        <b/>
        <sz val="9"/>
        <color rgb="FFFF0000"/>
        <rFont val="宋体"/>
        <family val="3"/>
        <charset val="134"/>
        <scheme val="minor"/>
      </rPr>
      <t>2022年经营计划2022年公司计划实现营业收入同比增长35%以上</t>
    </r>
    <r>
      <rPr>
        <sz val="9"/>
        <rFont val="宋体"/>
        <family val="3"/>
        <charset val="134"/>
        <scheme val="minor"/>
      </rPr>
      <t>;</t>
    </r>
    <r>
      <rPr>
        <sz val="9"/>
        <color theme="1"/>
        <rFont val="宋体"/>
        <family val="2"/>
        <charset val="134"/>
        <scheme val="minor"/>
      </rPr>
      <t xml:space="preserve">
2021:
光伏产品 64.99亿 51.55% 34.96% 12.32% 增速87.41%
磁性材料 42.69亿 33.86% 48.27% 25.90% 增速26.39%
锂电池 8.72亿 6.92% 7.43% 19.50%
器件 5.14亿 4.08% 4.75% 21.16%
其他 4.53亿 3.59% 4.60% 23.25%
</t>
    </r>
    <phoneticPr fontId="1" type="noConversion"/>
  </si>
  <si>
    <t>5422.60万</t>
  </si>
  <si>
    <t>80.96亿</t>
  </si>
  <si>
    <t>71.31亿</t>
  </si>
  <si>
    <t>4395786500亿</t>
  </si>
  <si>
    <t>126.07亿</t>
  </si>
  <si>
    <t>40.88亿</t>
  </si>
  <si>
    <t>36.70亿</t>
  </si>
  <si>
    <t>6114.91万</t>
  </si>
  <si>
    <t>60906445亿</t>
  </si>
  <si>
    <t>1050.12万</t>
  </si>
  <si>
    <t>288310130亿</t>
  </si>
  <si>
    <t>38.57亿</t>
  </si>
  <si>
    <t>2500301500亿</t>
  </si>
  <si>
    <t>4384.90万</t>
  </si>
  <si>
    <t>10283949500亿</t>
  </si>
  <si>
    <t>13.78亿</t>
  </si>
  <si>
    <t>20.13亿</t>
  </si>
  <si>
    <t>34.31亿</t>
  </si>
  <si>
    <t>147.31万</t>
  </si>
  <si>
    <t>76.25亿</t>
  </si>
  <si>
    <t>1766.47万</t>
  </si>
  <si>
    <t>4.45亿</t>
  </si>
  <si>
    <t>81.06亿</t>
  </si>
  <si>
    <t>64.89亿</t>
  </si>
  <si>
    <t>62.97亿</t>
  </si>
  <si>
    <t>47.10亿</t>
  </si>
  <si>
    <t>6.89亿</t>
  </si>
  <si>
    <t>6.08亿</t>
  </si>
  <si>
    <t>25.58亿</t>
  </si>
  <si>
    <t>226.28亿</t>
  </si>
  <si>
    <t>162.92亿</t>
  </si>
  <si>
    <t>6966828900亿</t>
  </si>
  <si>
    <t>193.01亿</t>
  </si>
  <si>
    <t>9.23亿</t>
  </si>
  <si>
    <t>64.98亿</t>
  </si>
  <si>
    <t>58.28亿</t>
  </si>
  <si>
    <t>2202.78万</t>
  </si>
  <si>
    <t>11086965亿</t>
  </si>
  <si>
    <t>170.02万</t>
  </si>
  <si>
    <t>318385270亿</t>
  </si>
  <si>
    <t>35.44亿</t>
  </si>
  <si>
    <t>5419979100亿</t>
  </si>
  <si>
    <t>5.64亿</t>
  </si>
  <si>
    <t>20435621000亿</t>
  </si>
  <si>
    <t>39.02亿</t>
  </si>
  <si>
    <t>65.48亿</t>
  </si>
  <si>
    <t>42.23亿</t>
  </si>
  <si>
    <t>7.21亿</t>
  </si>
  <si>
    <t>163.04亿</t>
  </si>
  <si>
    <t>54.13亿</t>
  </si>
  <si>
    <t>-21.54亿</t>
  </si>
  <si>
    <t>-8.99亿</t>
  </si>
  <si>
    <t>28.97亿</t>
  </si>
  <si>
    <t>124.66亿</t>
  </si>
  <si>
    <t>143.54亿</t>
  </si>
  <si>
    <t>138.78亿</t>
  </si>
  <si>
    <t>107.52亿</t>
  </si>
  <si>
    <t>78.36亿</t>
  </si>
  <si>
    <t>7.35亿</t>
  </si>
  <si>
    <t>7.30亿</t>
  </si>
  <si>
    <t>69.67亿</t>
  </si>
  <si>
    <t>37.30亿</t>
  </si>
  <si>
    <t>43.20亿</t>
  </si>
  <si>
    <t>390.91万</t>
  </si>
  <si>
    <t>13.40亿</t>
  </si>
  <si>
    <t>612658140亿</t>
  </si>
  <si>
    <t>1274.38万</t>
  </si>
  <si>
    <t>1586.99万</t>
  </si>
  <si>
    <t>2835.61万</t>
  </si>
  <si>
    <t>1653066亿</t>
  </si>
  <si>
    <t>3.29万</t>
  </si>
  <si>
    <t>7437992亿</t>
  </si>
  <si>
    <t>481811590亿</t>
  </si>
  <si>
    <t>3097.69万</t>
  </si>
  <si>
    <t>1313703190亿</t>
  </si>
  <si>
    <t>7.98亿</t>
  </si>
  <si>
    <t>103.51万</t>
  </si>
  <si>
    <t>3.42亿</t>
  </si>
  <si>
    <t>13.74亿</t>
  </si>
  <si>
    <t>5560.50万</t>
  </si>
  <si>
    <t>-7605.40万</t>
  </si>
  <si>
    <t>4274.35万</t>
  </si>
  <si>
    <t>19.21亿</t>
  </si>
  <si>
    <t>16.70亿</t>
  </si>
  <si>
    <t>13.84亿</t>
  </si>
  <si>
    <t>8368.70万</t>
  </si>
  <si>
    <t>6561.08万</t>
  </si>
  <si>
    <t>2102.88万</t>
  </si>
  <si>
    <t>1440.04万</t>
  </si>
  <si>
    <t>9352.40万</t>
  </si>
  <si>
    <t>258.47万</t>
  </si>
  <si>
    <t>38.67亿</t>
  </si>
  <si>
    <t>48.93亿</t>
  </si>
  <si>
    <t>1572929100亿</t>
  </si>
  <si>
    <t>43.50亿</t>
  </si>
  <si>
    <t>6.63亿</t>
  </si>
  <si>
    <t>12.69亿</t>
  </si>
  <si>
    <t>11.24亿</t>
  </si>
  <si>
    <t>679.63万</t>
  </si>
  <si>
    <t>4377.02万</t>
  </si>
  <si>
    <t>3982.90万</t>
  </si>
  <si>
    <t>1603090亿</t>
  </si>
  <si>
    <t>4.04万</t>
  </si>
  <si>
    <t>226375090亿</t>
  </si>
  <si>
    <t>17.35亿</t>
  </si>
  <si>
    <t>484126770亿</t>
  </si>
  <si>
    <t>6492240600亿</t>
  </si>
  <si>
    <t>24.17亿</t>
  </si>
  <si>
    <t>4.38亿</t>
  </si>
  <si>
    <t>34.99亿</t>
  </si>
  <si>
    <t>-3072.24万</t>
  </si>
  <si>
    <t>-6.70亿</t>
  </si>
  <si>
    <t>22.54亿</t>
  </si>
  <si>
    <t>17.79亿</t>
  </si>
  <si>
    <t>27.82亿</t>
  </si>
  <si>
    <t>14.65亿</t>
  </si>
  <si>
    <t>7.43亿</t>
  </si>
  <si>
    <t>1386.57万</t>
  </si>
  <si>
    <t>7.08亿</t>
  </si>
  <si>
    <t>4.49亿</t>
  </si>
  <si>
    <t>6657.50万</t>
  </si>
  <si>
    <t>15.73亿</t>
  </si>
  <si>
    <t>10.36亿</t>
  </si>
  <si>
    <t>9995.88万</t>
  </si>
  <si>
    <t>1849.96万</t>
  </si>
  <si>
    <t>872.62万</t>
  </si>
  <si>
    <t>27.40亿</t>
  </si>
  <si>
    <t>889949560亿</t>
  </si>
  <si>
    <t>35.91亿</t>
  </si>
  <si>
    <t>2581.98万</t>
  </si>
  <si>
    <t>7.22亿</t>
  </si>
  <si>
    <t>1438.45万</t>
  </si>
  <si>
    <t>5255.79万</t>
  </si>
  <si>
    <t>2.86亿</t>
  </si>
  <si>
    <t>4813784亿</t>
  </si>
  <si>
    <t>50.07万</t>
  </si>
  <si>
    <t>-2738416亿</t>
  </si>
  <si>
    <t>944827270亿</t>
  </si>
  <si>
    <t>211.98万</t>
  </si>
  <si>
    <t>2369937100亿</t>
  </si>
  <si>
    <t>10.13亿</t>
  </si>
  <si>
    <t>8740.27万</t>
  </si>
  <si>
    <t>25.43万</t>
  </si>
  <si>
    <t>18.91亿</t>
  </si>
  <si>
    <t>4471.49万</t>
  </si>
  <si>
    <t>21.62亿</t>
  </si>
  <si>
    <t>19.18亿</t>
  </si>
  <si>
    <t>17.83亿</t>
  </si>
  <si>
    <t>14.67亿</t>
  </si>
  <si>
    <t>4517.85万</t>
  </si>
  <si>
    <t>9724.41万</t>
  </si>
  <si>
    <t>6669.87万</t>
  </si>
  <si>
    <t>29.46亿</t>
  </si>
  <si>
    <t>51.20亿</t>
  </si>
  <si>
    <t>963971230亿</t>
  </si>
  <si>
    <t>40.85亿</t>
  </si>
  <si>
    <t>8.84亿</t>
  </si>
  <si>
    <t>2085.40万</t>
  </si>
  <si>
    <t>6009.27万</t>
  </si>
  <si>
    <t>31898221亿</t>
  </si>
  <si>
    <t>5.32万</t>
  </si>
  <si>
    <t>76594942亿</t>
  </si>
  <si>
    <t>1474815300亿</t>
  </si>
  <si>
    <t>2005.53万</t>
  </si>
  <si>
    <t>4067741900亿</t>
  </si>
  <si>
    <t>3006.53万</t>
  </si>
  <si>
    <t>8674.39万</t>
  </si>
  <si>
    <t>-6996.79万</t>
  </si>
  <si>
    <t>-9264.99万</t>
  </si>
  <si>
    <t>31.56亿</t>
  </si>
  <si>
    <t>26.10亿</t>
  </si>
  <si>
    <t>21.79亿</t>
  </si>
  <si>
    <t>16.92亿</t>
  </si>
  <si>
    <t>8.51亿</t>
  </si>
  <si>
    <t>8.85亿</t>
  </si>
  <si>
    <t>SZ002036</t>
  </si>
  <si>
    <t>联创电子</t>
  </si>
  <si>
    <t>SZ002182</t>
  </si>
  <si>
    <t>云海金属</t>
  </si>
  <si>
    <t>SZ002405</t>
  </si>
  <si>
    <t>四维图新</t>
  </si>
  <si>
    <t>计算机应用</t>
  </si>
  <si>
    <t>SZ300088</t>
  </si>
  <si>
    <t>长信科技</t>
  </si>
  <si>
    <t>SZ300134</t>
  </si>
  <si>
    <t>大富科技</t>
  </si>
  <si>
    <t>通信设备</t>
  </si>
  <si>
    <t>SZ300337</t>
  </si>
  <si>
    <t>银邦股份</t>
  </si>
  <si>
    <t>SH603626</t>
  </si>
  <si>
    <t>科森科技</t>
  </si>
  <si>
    <t>4544.73万</t>
  </si>
  <si>
    <t>88.91亿</t>
  </si>
  <si>
    <t>40.78亿</t>
  </si>
  <si>
    <t>2005233600亿</t>
  </si>
  <si>
    <t>105.58亿</t>
  </si>
  <si>
    <t>105.44亿</t>
  </si>
  <si>
    <t>95.42亿</t>
  </si>
  <si>
    <t>3036.62万</t>
  </si>
  <si>
    <t>15638309亿</t>
  </si>
  <si>
    <t>14.08万</t>
  </si>
  <si>
    <t>2499.04万</t>
  </si>
  <si>
    <t>19.92亿</t>
  </si>
  <si>
    <t>2542487500亿</t>
  </si>
  <si>
    <t>8481713200亿</t>
  </si>
  <si>
    <t>6.95亿</t>
  </si>
  <si>
    <t>30.85亿</t>
  </si>
  <si>
    <t>9.77亿</t>
  </si>
  <si>
    <t>13.82亿</t>
  </si>
  <si>
    <t>68.29亿</t>
  </si>
  <si>
    <t>-8.77亿</t>
  </si>
  <si>
    <t>75.32亿</t>
  </si>
  <si>
    <t>60.82亿</t>
  </si>
  <si>
    <t>50.54亿</t>
  </si>
  <si>
    <t>29.72亿</t>
  </si>
  <si>
    <t>22.82亿</t>
  </si>
  <si>
    <t>3618.00万</t>
  </si>
  <si>
    <t>公司主营业务为镁、铝轻质合金材料及其挤压、压铸业务，主要产品包括镁合金、铝合金、金属锶、镁粒子、中间合金、压铸件等，主要应用于汽车和消费电子产品领域等。公司是全球镁行业龙头企业，目前已形成年产10万吨原镁和18万吨镁合金的生产能力，镁合金产销量连续多年保持全球领先；
2021：
铝合金产品 31.40亿 38.69% 利润占比15.29% 5.54%
镁合金产品 23.56亿 29.03% 利润占比47.05% 22.74%
铝合金深加工产品 8.78亿 10.82% 利润占比12.91% 16.75%
镁合金深加工产品 7.02亿 8.65% 利润占比6.37% 10.34%
中间合金 4.31亿 5.31% 利润占比3.14% 8.28%
其他业务收入 2.60亿 3.20% 利润占比5.77% 25.31%
其他 2.47亿 3.04% 利润占比7.97% 36.77%
金属锶 1.03亿 1.27% 利润占比1.50% 16.58%</t>
    <phoneticPr fontId="1" type="noConversion"/>
  </si>
  <si>
    <t>1314.55万</t>
  </si>
  <si>
    <t>42.51亿</t>
  </si>
  <si>
    <t>43.17亿</t>
  </si>
  <si>
    <t>2501873800亿</t>
  </si>
  <si>
    <t>81.17亿</t>
  </si>
  <si>
    <t>4.93亿</t>
  </si>
  <si>
    <t>21.02亿</t>
  </si>
  <si>
    <t>19.15亿</t>
  </si>
  <si>
    <t>715.44万</t>
  </si>
  <si>
    <t>3936.07万</t>
  </si>
  <si>
    <t>-5243770亿</t>
  </si>
  <si>
    <t>244.50万</t>
  </si>
  <si>
    <t>292397690亿</t>
  </si>
  <si>
    <t>1985582900亿</t>
  </si>
  <si>
    <t>4919.20万</t>
  </si>
  <si>
    <t>4686632500亿</t>
  </si>
  <si>
    <t>25.10亿</t>
  </si>
  <si>
    <t>4.07亿</t>
  </si>
  <si>
    <t>38.34亿</t>
  </si>
  <si>
    <t>8963.90万</t>
  </si>
  <si>
    <t>-6.49亿</t>
  </si>
  <si>
    <t>6.35亿</t>
  </si>
  <si>
    <t>59.46亿</t>
  </si>
  <si>
    <t>55.72亿</t>
  </si>
  <si>
    <t>51.01亿</t>
  </si>
  <si>
    <t>49.27亿</t>
  </si>
  <si>
    <t>40.48亿</t>
  </si>
  <si>
    <t>25.02亿</t>
  </si>
  <si>
    <t>17.37亿</t>
  </si>
  <si>
    <t>7543.09万</t>
  </si>
  <si>
    <t>7870.25万</t>
  </si>
  <si>
    <t>4766.40万</t>
  </si>
  <si>
    <t>18.95亿</t>
  </si>
  <si>
    <t>124.42亿</t>
  </si>
  <si>
    <t>621848010亿</t>
  </si>
  <si>
    <t>30.60亿</t>
  </si>
  <si>
    <t>6.38亿</t>
  </si>
  <si>
    <t>3819.34万</t>
  </si>
  <si>
    <t>9964.98万</t>
  </si>
  <si>
    <t>-21235184亿</t>
  </si>
  <si>
    <t>24.33万</t>
  </si>
  <si>
    <t>11564640亿</t>
  </si>
  <si>
    <t>53.73亿</t>
  </si>
  <si>
    <t>755787560亿</t>
  </si>
  <si>
    <t>4485.21万</t>
  </si>
  <si>
    <t>6945292400亿</t>
  </si>
  <si>
    <t>6180.82万</t>
  </si>
  <si>
    <t>2763.48万</t>
  </si>
  <si>
    <t>3527.33万</t>
  </si>
  <si>
    <t>1166.34万</t>
  </si>
  <si>
    <t>21.48亿</t>
  </si>
  <si>
    <t>23.10亿</t>
  </si>
  <si>
    <t>21.34亿</t>
  </si>
  <si>
    <t>21.56亿</t>
  </si>
  <si>
    <t>-3.09亿</t>
  </si>
  <si>
    <t>-4518.91万</t>
  </si>
  <si>
    <t>7173.52万</t>
  </si>
  <si>
    <t>34.52亿</t>
  </si>
  <si>
    <t>81.10亿</t>
  </si>
  <si>
    <t>1716934400亿</t>
  </si>
  <si>
    <t>70.18亿</t>
  </si>
  <si>
    <t>60.78亿</t>
  </si>
  <si>
    <t>53.54亿</t>
  </si>
  <si>
    <t>8795.74万</t>
  </si>
  <si>
    <t>11064087亿</t>
  </si>
  <si>
    <t>1002.76万</t>
  </si>
  <si>
    <t>8.38亿</t>
  </si>
  <si>
    <t>14.06亿</t>
  </si>
  <si>
    <t>1736908300亿</t>
  </si>
  <si>
    <t>1869.65万</t>
  </si>
  <si>
    <t>4450828900亿</t>
  </si>
  <si>
    <t>9.70亿</t>
  </si>
  <si>
    <t>9.32亿</t>
  </si>
  <si>
    <t>28.61亿</t>
  </si>
  <si>
    <t>-12.74亿</t>
  </si>
  <si>
    <t>68.44亿</t>
  </si>
  <si>
    <t>60.24亿</t>
  </si>
  <si>
    <t>96.15亿</t>
  </si>
  <si>
    <t>108.84亿</t>
  </si>
  <si>
    <t>85.42亿</t>
  </si>
  <si>
    <t>8.34亿</t>
  </si>
  <si>
    <t>3.84亿</t>
  </si>
  <si>
    <t>15.54亿</t>
  </si>
  <si>
    <t>4.14亿</t>
  </si>
  <si>
    <t>19.81亿</t>
  </si>
  <si>
    <t>485.67万</t>
  </si>
  <si>
    <t>16.51亿</t>
  </si>
  <si>
    <t>45.81亿</t>
  </si>
  <si>
    <t>505056960亿</t>
  </si>
  <si>
    <t>5.46亿</t>
  </si>
  <si>
    <t>4.27亿</t>
  </si>
  <si>
    <t>852.09万</t>
  </si>
  <si>
    <t>4040.82万</t>
  </si>
  <si>
    <t>15173667亿</t>
  </si>
  <si>
    <t>84.67万</t>
  </si>
  <si>
    <t>-45078462亿</t>
  </si>
  <si>
    <t>690610720亿</t>
  </si>
  <si>
    <t>2103.22万</t>
  </si>
  <si>
    <t>3133193000亿</t>
  </si>
  <si>
    <t>2688.21万</t>
  </si>
  <si>
    <t>6.74亿</t>
  </si>
  <si>
    <t>12.79亿</t>
  </si>
  <si>
    <t>-1373.19万</t>
  </si>
  <si>
    <t>-3.66亿</t>
  </si>
  <si>
    <t>21.86亿</t>
  </si>
  <si>
    <t>23.38亿</t>
  </si>
  <si>
    <t>18.21亿</t>
  </si>
  <si>
    <t>24.07亿</t>
  </si>
  <si>
    <t>3555.22万</t>
  </si>
  <si>
    <t>-3.55亿</t>
  </si>
  <si>
    <t>2470.66万</t>
  </si>
  <si>
    <t>-5.12亿</t>
  </si>
  <si>
    <t>157.19万</t>
  </si>
  <si>
    <t>2189.46万</t>
  </si>
  <si>
    <t>1.41亿</t>
  </si>
  <si>
    <t>2276.32万</t>
  </si>
  <si>
    <t>21.81亿</t>
  </si>
  <si>
    <t>15.44亿</t>
  </si>
  <si>
    <t>858491260亿</t>
  </si>
  <si>
    <t>4062.47万</t>
  </si>
  <si>
    <t>327.82万</t>
  </si>
  <si>
    <t>1528.47万</t>
  </si>
  <si>
    <t>2551634亿</t>
  </si>
  <si>
    <t>20.93万</t>
  </si>
  <si>
    <t>33394764亿</t>
  </si>
  <si>
    <t>690603310亿</t>
  </si>
  <si>
    <t>2275129500亿</t>
  </si>
  <si>
    <t>1257.56万</t>
  </si>
  <si>
    <t>16.09亿</t>
  </si>
  <si>
    <t>21.03亿</t>
  </si>
  <si>
    <t>-556.17万</t>
  </si>
  <si>
    <t>2544.95万</t>
  </si>
  <si>
    <t>-4739.64万</t>
  </si>
  <si>
    <t>23.70亿</t>
  </si>
  <si>
    <t>20.25亿</t>
  </si>
  <si>
    <t>19.30亿</t>
  </si>
  <si>
    <t>19.89亿</t>
  </si>
  <si>
    <t>1696.29万</t>
  </si>
  <si>
    <t>1657.16万</t>
  </si>
  <si>
    <t>-7389.90万</t>
  </si>
  <si>
    <t>743.19万</t>
  </si>
  <si>
    <t>699.27万</t>
  </si>
  <si>
    <t>1067.30万</t>
  </si>
  <si>
    <t>6593.10万</t>
  </si>
  <si>
    <t>5.49亿</t>
  </si>
  <si>
    <t>724.56万</t>
  </si>
  <si>
    <t>29.98亿</t>
  </si>
  <si>
    <t>30.04亿</t>
  </si>
  <si>
    <t>920677780亿</t>
  </si>
  <si>
    <t>41.47亿</t>
  </si>
  <si>
    <t>1075.39万</t>
  </si>
  <si>
    <t>5453.17万</t>
  </si>
  <si>
    <t>114.08万</t>
  </si>
  <si>
    <t>4091599亿</t>
  </si>
  <si>
    <t>4.76亿</t>
  </si>
  <si>
    <t>1760485500亿</t>
  </si>
  <si>
    <t>665.29万</t>
  </si>
  <si>
    <t>2751094500亿</t>
  </si>
  <si>
    <t>9.09亿</t>
  </si>
  <si>
    <t>20.89亿</t>
  </si>
  <si>
    <t>8916.12万</t>
  </si>
  <si>
    <t>-7265.63万</t>
  </si>
  <si>
    <t>4127.98万</t>
  </si>
  <si>
    <t>34.67亿</t>
  </si>
  <si>
    <t>21.27亿</t>
  </si>
  <si>
    <t>24.08亿</t>
  </si>
  <si>
    <t>21.65亿</t>
  </si>
  <si>
    <t>13.03亿</t>
  </si>
  <si>
    <t>-4762.47万</t>
  </si>
  <si>
    <t>-1.85亿</t>
  </si>
  <si>
    <t>5810.71万</t>
  </si>
  <si>
    <t>5536.18万</t>
  </si>
  <si>
    <t>3-1</t>
  </si>
  <si>
    <t>SZ002048</t>
  </si>
  <si>
    <t>宁波华翔</t>
  </si>
  <si>
    <t>SZ002101</t>
  </si>
  <si>
    <t>广东鸿图</t>
  </si>
  <si>
    <t>SZ002121</t>
  </si>
  <si>
    <t>科陆电子</t>
  </si>
  <si>
    <t>SZ002227</t>
  </si>
  <si>
    <t>奥 特 迅</t>
  </si>
  <si>
    <t>SZ002276</t>
  </si>
  <si>
    <t>万马股份</t>
  </si>
  <si>
    <t>SZ002364</t>
  </si>
  <si>
    <t>中恒电气</t>
  </si>
  <si>
    <t>SZ002510</t>
  </si>
  <si>
    <t>天汽模</t>
  </si>
  <si>
    <t>SZ002518</t>
  </si>
  <si>
    <t>科士达</t>
  </si>
  <si>
    <t>SZ300001</t>
  </si>
  <si>
    <t>特锐德</t>
  </si>
  <si>
    <t>SZ300230</t>
  </si>
  <si>
    <t>永利股份</t>
  </si>
  <si>
    <t>化工合成材料</t>
  </si>
  <si>
    <t>SZ300328</t>
  </si>
  <si>
    <t>宜安科技</t>
  </si>
  <si>
    <t>SZ300376</t>
  </si>
  <si>
    <t>易事特</t>
  </si>
  <si>
    <t>SZ300707</t>
  </si>
  <si>
    <t>威唐工业</t>
  </si>
  <si>
    <t>SH600268</t>
  </si>
  <si>
    <t>国电南自</t>
  </si>
  <si>
    <t>SH600741</t>
  </si>
  <si>
    <t>SH600885</t>
  </si>
  <si>
    <t>宏发股份</t>
  </si>
  <si>
    <t>SH601689</t>
  </si>
  <si>
    <t>拓普集团</t>
  </si>
  <si>
    <t>SH603179</t>
  </si>
  <si>
    <t>新泉股份</t>
  </si>
  <si>
    <t>SH603348</t>
  </si>
  <si>
    <t>文灿股份</t>
  </si>
  <si>
    <t>SH603730</t>
  </si>
  <si>
    <t>岱美股份</t>
  </si>
  <si>
    <t>1716.37万</t>
  </si>
  <si>
    <t>86.86亿</t>
  </si>
  <si>
    <t>118.64亿</t>
  </si>
  <si>
    <t>4195853900亿</t>
  </si>
  <si>
    <t>175.88亿</t>
  </si>
  <si>
    <t>39.36亿</t>
  </si>
  <si>
    <t>35.04亿</t>
  </si>
  <si>
    <t>6732.10万</t>
  </si>
  <si>
    <t>18837391亿</t>
  </si>
  <si>
    <t>591.50万</t>
  </si>
  <si>
    <t>177527260亿</t>
  </si>
  <si>
    <t>27.84亿</t>
  </si>
  <si>
    <t>3883746400亿</t>
  </si>
  <si>
    <t>5665.00万</t>
  </si>
  <si>
    <t>11165618300亿</t>
  </si>
  <si>
    <t>14.17亿</t>
  </si>
  <si>
    <t>302.25万</t>
  </si>
  <si>
    <t>71.44亿</t>
  </si>
  <si>
    <t>-6.02亿</t>
  </si>
  <si>
    <t>-8.15亿</t>
  </si>
  <si>
    <t>168.92亿</t>
  </si>
  <si>
    <t>170.93亿</t>
  </si>
  <si>
    <t>149.27亿</t>
  </si>
  <si>
    <t>148.07亿</t>
  </si>
  <si>
    <t>125.06亿</t>
  </si>
  <si>
    <t>41.96亿</t>
  </si>
  <si>
    <t>43.35亿</t>
  </si>
  <si>
    <t>7486.63万</t>
  </si>
  <si>
    <t>1.2021年公司永磁铁氧体产量13.37万吨，占全国总产量的16.7%，软磁铁氧体产量2.75万吨，占全国总产量的9.8%，行业地位突出且盈利能力强劲;2.公司在做好横向拓展材料品类，构建自身独立的竞争力外，也在纵向往器件领域延伸，如振动电机、电感、射频器件等，为公司打开了新的发展空间。新能源产业高速发展：2021年公司销售了4.8GW光伏和1.4亿支锂电，全年实现收入约74亿元，同比增长87%，占总营业收入的58.5%</t>
    <phoneticPr fontId="1" type="noConversion"/>
  </si>
  <si>
    <t>1.境内外销售占比接近对半开；</t>
    <phoneticPr fontId="1" type="noConversion"/>
  </si>
  <si>
    <r>
      <t>公司是一家主要从事磁性材料+器件、光伏+锂电两大产业群相关产品的研发、生产、销售以及提供一站式技术解决方案的服务。公司主要产品有磁性材料、器件、光伏产品。公司是目前国内唯一一家生产</t>
    </r>
    <r>
      <rPr>
        <sz val="9"/>
        <color rgb="FFFF0000"/>
        <rFont val="宋体"/>
        <family val="3"/>
        <charset val="134"/>
        <scheme val="minor"/>
      </rPr>
      <t>永磁铁氧体和软磁铁氧体</t>
    </r>
    <r>
      <rPr>
        <sz val="9"/>
        <color theme="1"/>
        <rFont val="宋体"/>
        <family val="2"/>
        <charset val="134"/>
        <scheme val="minor"/>
      </rPr>
      <t>产品超万吨的行业龙头企业，目前中国已成为世界磁性材料生产大国和制造中心。2021年营收涨55.54%，利润涨10.54%;</t>
    </r>
    <r>
      <rPr>
        <b/>
        <sz val="9"/>
        <color rgb="FFFF0000"/>
        <rFont val="宋体"/>
        <family val="3"/>
        <charset val="134"/>
        <scheme val="minor"/>
      </rPr>
      <t>2022年经营计划2022年公司计划实现营业收入同比增长35%以上</t>
    </r>
    <r>
      <rPr>
        <sz val="9"/>
        <rFont val="宋体"/>
        <family val="3"/>
        <charset val="134"/>
        <scheme val="minor"/>
      </rPr>
      <t>;</t>
    </r>
    <r>
      <rPr>
        <sz val="9"/>
        <color theme="1"/>
        <rFont val="宋体"/>
        <family val="2"/>
        <charset val="134"/>
        <scheme val="minor"/>
      </rPr>
      <t xml:space="preserve">
2021:
光伏产品 64.99亿 51.55% 34.96% 12.32% 增速87.41%
磁性材料 42.69亿 33.86% 48.27% 25.90% 增速26.39%
锂电池 8.72亿 6.92% 7.43% 19.50%
器件 5.14亿 4.08% 4.75% 21.16%
其他 4.53亿 3.59% 4.60% 23.25%
</t>
    </r>
    <phoneticPr fontId="1" type="noConversion"/>
  </si>
  <si>
    <t>8227.79万</t>
  </si>
  <si>
    <t>30.69亿</t>
  </si>
  <si>
    <t>48.62亿</t>
  </si>
  <si>
    <t>1541899900亿</t>
  </si>
  <si>
    <t>60.03亿</t>
  </si>
  <si>
    <t>12.64亿</t>
  </si>
  <si>
    <t>5383.52万</t>
  </si>
  <si>
    <t>6164.53万</t>
  </si>
  <si>
    <t>-6374亿</t>
  </si>
  <si>
    <t>21.69万</t>
  </si>
  <si>
    <t>58997032亿</t>
  </si>
  <si>
    <t>1415592400亿</t>
  </si>
  <si>
    <t>3405162200亿</t>
  </si>
  <si>
    <t>4.34亿</t>
  </si>
  <si>
    <t>11.46亿</t>
  </si>
  <si>
    <t>192.53万</t>
  </si>
  <si>
    <t>26.55亿</t>
  </si>
  <si>
    <t>-2.38亿</t>
  </si>
  <si>
    <t>2.83亿</t>
  </si>
  <si>
    <t>55.96亿</t>
  </si>
  <si>
    <t>59.06亿</t>
  </si>
  <si>
    <t>60.60亿</t>
  </si>
  <si>
    <t>50.03亿</t>
  </si>
  <si>
    <t>26.78亿</t>
  </si>
  <si>
    <t>2758.43万</t>
  </si>
  <si>
    <t>3.37亿</t>
  </si>
  <si>
    <t>2.91亿</t>
  </si>
  <si>
    <t>15.42亿</t>
  </si>
  <si>
    <t>15.63亿</t>
  </si>
  <si>
    <t>6474.71万</t>
  </si>
  <si>
    <t>73.34亿</t>
  </si>
  <si>
    <t>9.15亿</t>
  </si>
  <si>
    <t>580229360亿</t>
  </si>
  <si>
    <t>31.98亿</t>
  </si>
  <si>
    <t>-6.65亿</t>
  </si>
  <si>
    <t>4.05亿</t>
  </si>
  <si>
    <t>5782.07万</t>
  </si>
  <si>
    <t>5102.40万</t>
  </si>
  <si>
    <t>-1575596亿</t>
  </si>
  <si>
    <t>242.04万</t>
  </si>
  <si>
    <t>-54244543亿</t>
  </si>
  <si>
    <t>1280672850亿</t>
  </si>
  <si>
    <t>5439.85万</t>
  </si>
  <si>
    <t>3550094400亿</t>
  </si>
  <si>
    <t>12.18亿</t>
  </si>
  <si>
    <t>26.77亿</t>
  </si>
  <si>
    <t>15.91亿</t>
  </si>
  <si>
    <t>64.47亿</t>
  </si>
  <si>
    <t>-4103.91万</t>
  </si>
  <si>
    <t>-3032.93万</t>
  </si>
  <si>
    <t>33.37亿</t>
  </si>
  <si>
    <t>37.91亿</t>
  </si>
  <si>
    <t>43.76亿</t>
  </si>
  <si>
    <t>31.62亿</t>
  </si>
  <si>
    <t>-23.76亿</t>
  </si>
  <si>
    <t>-12.20亿</t>
  </si>
  <si>
    <t>5.80亿</t>
  </si>
  <si>
    <t>-3959.35万</t>
  </si>
  <si>
    <t>4.26亿</t>
  </si>
  <si>
    <t>47.05亿</t>
  </si>
  <si>
    <t>910.39万</t>
  </si>
  <si>
    <t>43895652亿</t>
  </si>
  <si>
    <t>-3270.77万</t>
  </si>
  <si>
    <t>5830.09万</t>
  </si>
  <si>
    <t>3387.34万</t>
  </si>
  <si>
    <t>767.40万</t>
  </si>
  <si>
    <t>886.12万</t>
  </si>
  <si>
    <t>1482740亿</t>
  </si>
  <si>
    <t>1.65万</t>
  </si>
  <si>
    <t>-11735362亿</t>
  </si>
  <si>
    <t>143179770亿</t>
  </si>
  <si>
    <t>1589.02万</t>
  </si>
  <si>
    <t>730609890亿</t>
  </si>
  <si>
    <t>8698.81万</t>
  </si>
  <si>
    <t>1125.23万</t>
  </si>
  <si>
    <t>5935.82万</t>
  </si>
  <si>
    <t>-4465.21万</t>
  </si>
  <si>
    <t>8955.94万</t>
  </si>
  <si>
    <t>-1631.72万</t>
  </si>
  <si>
    <t>3.67亿</t>
  </si>
  <si>
    <t>631.48万</t>
  </si>
  <si>
    <t>1128.92万</t>
  </si>
  <si>
    <t>1040.20万</t>
  </si>
  <si>
    <t>1463.13万</t>
  </si>
  <si>
    <t>911.55万</t>
  </si>
  <si>
    <t>4389.57万</t>
  </si>
  <si>
    <t>4888.30万</t>
  </si>
  <si>
    <t>-240.49万</t>
  </si>
  <si>
    <t>2976.25万</t>
  </si>
  <si>
    <t>2925.27万</t>
  </si>
  <si>
    <t>63.59亿</t>
  </si>
  <si>
    <t>46.06亿</t>
  </si>
  <si>
    <t>3128120900亿</t>
  </si>
  <si>
    <t>127.67亿</t>
  </si>
  <si>
    <t>31.12亿</t>
  </si>
  <si>
    <t>27.38亿</t>
  </si>
  <si>
    <t>7237.34万</t>
  </si>
  <si>
    <t>11145207亿</t>
  </si>
  <si>
    <t>138.59万</t>
  </si>
  <si>
    <t>28346599亿</t>
  </si>
  <si>
    <t>15.87亿</t>
  </si>
  <si>
    <t>3970708500亿</t>
  </si>
  <si>
    <t>8397445100亿</t>
  </si>
  <si>
    <t>2.46亿</t>
  </si>
  <si>
    <t>26.11亿</t>
  </si>
  <si>
    <t>10.68亿</t>
  </si>
  <si>
    <t>8.94万</t>
  </si>
  <si>
    <t>47.74亿</t>
  </si>
  <si>
    <t>-14.46亿</t>
  </si>
  <si>
    <t>-2.01亿</t>
  </si>
  <si>
    <t>93.22亿</t>
  </si>
  <si>
    <t>97.45亿</t>
  </si>
  <si>
    <t>87.40亿</t>
  </si>
  <si>
    <t>74.09亿</t>
  </si>
  <si>
    <t>63.80亿</t>
  </si>
  <si>
    <t>31.28亿</t>
  </si>
  <si>
    <t>22.98亿</t>
  </si>
  <si>
    <t>-4074.10万</t>
  </si>
  <si>
    <t>8786.95万</t>
  </si>
  <si>
    <t>1840.88万</t>
  </si>
  <si>
    <t>10.09亿</t>
  </si>
  <si>
    <t>23.45亿</t>
  </si>
  <si>
    <t>253042060亿</t>
  </si>
  <si>
    <t>18.19亿</t>
  </si>
  <si>
    <t>8930.15万</t>
  </si>
  <si>
    <t>1.78亿</t>
  </si>
  <si>
    <t>1462.08万</t>
  </si>
  <si>
    <t>1584.92万</t>
  </si>
  <si>
    <t>-775491亿</t>
  </si>
  <si>
    <t>70.96万</t>
  </si>
  <si>
    <t>3756923亿</t>
  </si>
  <si>
    <t>961091760亿</t>
  </si>
  <si>
    <t>448.63万</t>
  </si>
  <si>
    <t>2373918700亿</t>
  </si>
  <si>
    <t>3438.07万</t>
  </si>
  <si>
    <t>211.11万</t>
  </si>
  <si>
    <t>9.74亿</t>
  </si>
  <si>
    <t>1952.41万</t>
  </si>
  <si>
    <t>-6592.32万</t>
  </si>
  <si>
    <t>-2901.12万</t>
  </si>
  <si>
    <t>14.33亿</t>
  </si>
  <si>
    <t>11.74亿</t>
  </si>
  <si>
    <t>8504.25万</t>
  </si>
  <si>
    <t>7671.44万</t>
  </si>
  <si>
    <t>7662.42万</t>
  </si>
  <si>
    <t>6377.43万</t>
  </si>
  <si>
    <t>1880.07万</t>
  </si>
  <si>
    <t>5778.32万</t>
  </si>
  <si>
    <t>8437.27万</t>
  </si>
  <si>
    <t>31.22亿</t>
  </si>
  <si>
    <t>19.67亿</t>
  </si>
  <si>
    <t>302544080亿</t>
  </si>
  <si>
    <t>-2.12亿</t>
  </si>
  <si>
    <t>844.58万</t>
  </si>
  <si>
    <t>2014.14万</t>
  </si>
  <si>
    <t>6797.54万</t>
  </si>
  <si>
    <t>23612804亿</t>
  </si>
  <si>
    <t>69.29万</t>
  </si>
  <si>
    <t>34326705亿</t>
  </si>
  <si>
    <t>404504220亿</t>
  </si>
  <si>
    <t>5733.39万</t>
  </si>
  <si>
    <t>3245443400亿</t>
  </si>
  <si>
    <t>1553.24万</t>
  </si>
  <si>
    <t>8.10亿</t>
  </si>
  <si>
    <t>27.76亿</t>
  </si>
  <si>
    <t>-9601.86万</t>
  </si>
  <si>
    <t>1998.47万</t>
  </si>
  <si>
    <t>4625.26万</t>
  </si>
  <si>
    <t>13.46亿</t>
  </si>
  <si>
    <t>21.69亿</t>
  </si>
  <si>
    <t>22.27亿</t>
  </si>
  <si>
    <t>19.31亿</t>
  </si>
  <si>
    <t>19.72亿</t>
  </si>
  <si>
    <t>-8.25亿</t>
  </si>
  <si>
    <t>8913.14万</t>
  </si>
  <si>
    <t>9326.21万</t>
  </si>
  <si>
    <t>-886.49万</t>
  </si>
  <si>
    <t>14.42亿</t>
  </si>
  <si>
    <t>2749.12万</t>
  </si>
  <si>
    <t>18.30亿</t>
  </si>
  <si>
    <t>31.57亿</t>
  </si>
  <si>
    <t>560573770亿</t>
  </si>
  <si>
    <t>28.06亿</t>
  </si>
  <si>
    <t>5.06亿</t>
  </si>
  <si>
    <t>4824.75万</t>
  </si>
  <si>
    <t>2215.71万</t>
  </si>
  <si>
    <t>6700867亿</t>
  </si>
  <si>
    <t>4.93万</t>
  </si>
  <si>
    <t>43690643亿</t>
  </si>
  <si>
    <t>900743780亿</t>
  </si>
  <si>
    <t>1074.79万</t>
  </si>
  <si>
    <t>3336141300亿</t>
  </si>
  <si>
    <t>3176.78万</t>
  </si>
  <si>
    <t>24.40万</t>
  </si>
  <si>
    <t>16.54亿</t>
  </si>
  <si>
    <t>-1445.94万</t>
  </si>
  <si>
    <t>24.23亿</t>
  </si>
  <si>
    <t>27.30亿</t>
  </si>
  <si>
    <t>17.50亿</t>
  </si>
  <si>
    <t>4.73亿</t>
  </si>
  <si>
    <t>8578.02万</t>
  </si>
  <si>
    <t>6.19亿</t>
  </si>
  <si>
    <t>6-0</t>
  </si>
  <si>
    <t>4659.67万</t>
  </si>
  <si>
    <t>128.67亿</t>
  </si>
  <si>
    <t>69.52亿</t>
  </si>
  <si>
    <t>1851466500亿</t>
  </si>
  <si>
    <t>94.41亿</t>
  </si>
  <si>
    <t>19.19亿</t>
  </si>
  <si>
    <t>15.32亿</t>
  </si>
  <si>
    <t>20630469亿</t>
  </si>
  <si>
    <t>54.65万</t>
  </si>
  <si>
    <t>5028609亿</t>
  </si>
  <si>
    <t>20.28亿</t>
  </si>
  <si>
    <t>5445472500亿</t>
  </si>
  <si>
    <t>5.21亿</t>
  </si>
  <si>
    <t>12571624400亿</t>
  </si>
  <si>
    <t>4.85亿</t>
  </si>
  <si>
    <t>29.91亿</t>
  </si>
  <si>
    <t>37.92亿</t>
  </si>
  <si>
    <t>813.98万</t>
  </si>
  <si>
    <t>103.09亿</t>
  </si>
  <si>
    <t>13.89亿</t>
  </si>
  <si>
    <t>-5.43亿</t>
  </si>
  <si>
    <t>-6.18亿</t>
  </si>
  <si>
    <t>9447.63万</t>
  </si>
  <si>
    <t>74.64亿</t>
  </si>
  <si>
    <t>58.74亿</t>
  </si>
  <si>
    <t>51.07亿</t>
  </si>
  <si>
    <t>61.14亿</t>
  </si>
  <si>
    <t>2.41亿</t>
  </si>
  <si>
    <t>18.51亿</t>
  </si>
  <si>
    <t>2122.73万</t>
  </si>
  <si>
    <t>1558.20万</t>
  </si>
  <si>
    <t>24.41亿</t>
  </si>
  <si>
    <t>449003380亿</t>
  </si>
  <si>
    <t>32.13亿</t>
  </si>
  <si>
    <t>29.59亿</t>
  </si>
  <si>
    <t>23.98亿</t>
  </si>
  <si>
    <t>-202052亿</t>
  </si>
  <si>
    <t>177.46万</t>
  </si>
  <si>
    <t>431777720亿</t>
  </si>
  <si>
    <t>131.02万</t>
  </si>
  <si>
    <t>2017070300亿</t>
  </si>
  <si>
    <t>6638.42万</t>
  </si>
  <si>
    <t>8683.40万</t>
  </si>
  <si>
    <t>4620.42万</t>
  </si>
  <si>
    <t>-4386.03万</t>
  </si>
  <si>
    <t>-2.41亿</t>
  </si>
  <si>
    <t>32.09亿</t>
  </si>
  <si>
    <t>32.63亿</t>
  </si>
  <si>
    <t>34.50亿</t>
  </si>
  <si>
    <t>-5.45亿</t>
  </si>
  <si>
    <t>3.88亿</t>
  </si>
  <si>
    <t>8.21亿</t>
  </si>
  <si>
    <t>5635.19万</t>
  </si>
  <si>
    <t>6125.12万</t>
  </si>
  <si>
    <t>807.16万</t>
  </si>
  <si>
    <t>324790690亿</t>
  </si>
  <si>
    <t>-1.99亿</t>
  </si>
  <si>
    <t>904.26万</t>
  </si>
  <si>
    <t>2133.11万</t>
  </si>
  <si>
    <t>9549.52万</t>
  </si>
  <si>
    <t>210561亿</t>
  </si>
  <si>
    <t>21.53万</t>
  </si>
  <si>
    <t>7356076亿</t>
  </si>
  <si>
    <t>354226730亿</t>
  </si>
  <si>
    <t>6744.97万</t>
  </si>
  <si>
    <t>1076185420亿</t>
  </si>
  <si>
    <t>3657.82万</t>
  </si>
  <si>
    <t>-1302.99万</t>
  </si>
  <si>
    <t>-7464.21万</t>
  </si>
  <si>
    <t>7470.33万</t>
  </si>
  <si>
    <t>9.45亿</t>
  </si>
  <si>
    <t>9.86亿</t>
  </si>
  <si>
    <t>1621.22万</t>
  </si>
  <si>
    <t>5420.29万</t>
  </si>
  <si>
    <t>3276.16万</t>
  </si>
  <si>
    <t>3068.77万</t>
  </si>
  <si>
    <t>3.25亿</t>
  </si>
  <si>
    <t>115.36万</t>
  </si>
  <si>
    <t>4611.69万</t>
  </si>
  <si>
    <t>4.80亿</t>
  </si>
  <si>
    <t>8502.37万</t>
  </si>
  <si>
    <t>73.90亿</t>
  </si>
  <si>
    <t>65.45亿</t>
  </si>
  <si>
    <t>1340019800亿</t>
  </si>
  <si>
    <t>42.97亿</t>
  </si>
  <si>
    <t>12.15亿</t>
  </si>
  <si>
    <t>10.56亿</t>
  </si>
  <si>
    <t>4247.24万</t>
  </si>
  <si>
    <t>2646.21万</t>
  </si>
  <si>
    <t>-2750604亿</t>
  </si>
  <si>
    <t>78.19万</t>
  </si>
  <si>
    <t>97066156亿</t>
  </si>
  <si>
    <t>12.93亿</t>
  </si>
  <si>
    <t>4005058900亿</t>
  </si>
  <si>
    <t>688.30万</t>
  </si>
  <si>
    <t>7787123900亿</t>
  </si>
  <si>
    <t>14.94亿</t>
  </si>
  <si>
    <t>9.82亿</t>
  </si>
  <si>
    <t>24.68万</t>
  </si>
  <si>
    <t>49.30亿</t>
  </si>
  <si>
    <t>5.52亿</t>
  </si>
  <si>
    <t>-1.20亿</t>
  </si>
  <si>
    <t>-4950.62万</t>
  </si>
  <si>
    <t>41.71亿</t>
  </si>
  <si>
    <t>73.18亿</t>
  </si>
  <si>
    <t>52.45亿</t>
  </si>
  <si>
    <t>4.72亿</t>
  </si>
  <si>
    <t>7627.84万</t>
  </si>
  <si>
    <t>11.86亿</t>
  </si>
  <si>
    <t>0515000000</t>
  </si>
  <si>
    <t>01545000000</t>
  </si>
  <si>
    <t>03090000000</t>
  </si>
  <si>
    <t>05150000000</t>
  </si>
  <si>
    <t>010300000000</t>
  </si>
  <si>
    <t>923.37万</t>
  </si>
  <si>
    <t>7.88亿</t>
  </si>
  <si>
    <t>221987130亿</t>
  </si>
  <si>
    <t>4876.51万</t>
  </si>
  <si>
    <t>675.06万</t>
  </si>
  <si>
    <t>1061.57万</t>
  </si>
  <si>
    <t>3187.24万</t>
  </si>
  <si>
    <t>-479186亿</t>
  </si>
  <si>
    <t>1.66万</t>
  </si>
  <si>
    <t>15426892亿</t>
  </si>
  <si>
    <t>281389210亿</t>
  </si>
  <si>
    <t>820114750亿</t>
  </si>
  <si>
    <t>325.00万</t>
  </si>
  <si>
    <t>8683.44万</t>
  </si>
  <si>
    <t>3000.00万</t>
  </si>
  <si>
    <t>2047.80万</t>
  </si>
  <si>
    <t>-6893.52万</t>
  </si>
  <si>
    <t>5929.72万</t>
  </si>
  <si>
    <t>5.55亿</t>
  </si>
  <si>
    <t>3178.22万</t>
  </si>
  <si>
    <t>3671.59万</t>
  </si>
  <si>
    <t>8274.54万</t>
  </si>
  <si>
    <t>8458.67万</t>
  </si>
  <si>
    <t>5443.84万</t>
  </si>
  <si>
    <t>1158.08万</t>
  </si>
  <si>
    <t>2218.22万</t>
  </si>
  <si>
    <t>4303.27万</t>
  </si>
  <si>
    <t>50.45亿</t>
  </si>
  <si>
    <t>35.06亿</t>
  </si>
  <si>
    <t>934563150亿</t>
  </si>
  <si>
    <t>58.93亿</t>
  </si>
  <si>
    <t>7.26亿</t>
  </si>
  <si>
    <t>6640.82万</t>
  </si>
  <si>
    <t>9795.92万</t>
  </si>
  <si>
    <t>1176989亿</t>
  </si>
  <si>
    <t>104.00万</t>
  </si>
  <si>
    <t>-71305981亿</t>
  </si>
  <si>
    <t>8.47亿</t>
  </si>
  <si>
    <t>3169302700亿</t>
  </si>
  <si>
    <t>6030852300亿</t>
  </si>
  <si>
    <t>45.89亿</t>
  </si>
  <si>
    <t>-4.85亿</t>
  </si>
  <si>
    <t>-1163.04万</t>
  </si>
  <si>
    <t>-4.32亿</t>
  </si>
  <si>
    <t>50.32亿</t>
  </si>
  <si>
    <t>49.47亿</t>
  </si>
  <si>
    <t>49.31亿</t>
  </si>
  <si>
    <t>6747.94万</t>
  </si>
  <si>
    <t>5626.75万</t>
  </si>
  <si>
    <t>5220.75万</t>
  </si>
  <si>
    <t>3743.38万</t>
  </si>
  <si>
    <t>3151.20万</t>
  </si>
  <si>
    <t>-6982.85万</t>
  </si>
  <si>
    <t>华域汽车</t>
  </si>
  <si>
    <t>4179.57万</t>
  </si>
  <si>
    <t>1000.82亿</t>
  </si>
  <si>
    <t>551.10亿</t>
  </si>
  <si>
    <t>37370465000亿</t>
  </si>
  <si>
    <t>1399.44亿</t>
  </si>
  <si>
    <t>64.69亿</t>
  </si>
  <si>
    <t>361.81亿</t>
  </si>
  <si>
    <t>321.94亿</t>
  </si>
  <si>
    <t>19.60亿</t>
  </si>
  <si>
    <t>63.52亿</t>
  </si>
  <si>
    <t>853353670亿</t>
  </si>
  <si>
    <t>649.88万</t>
  </si>
  <si>
    <t>1255133450亿</t>
  </si>
  <si>
    <t>353.41亿</t>
  </si>
  <si>
    <t>30183187000亿</t>
  </si>
  <si>
    <t>8.96亿</t>
  </si>
  <si>
    <t>96817414000亿</t>
  </si>
  <si>
    <t>27.03亿</t>
  </si>
  <si>
    <t>97.95亿</t>
  </si>
  <si>
    <t>53.32亿</t>
  </si>
  <si>
    <t>475.69亿</t>
  </si>
  <si>
    <t>882.16亿</t>
  </si>
  <si>
    <t>36.93亿</t>
  </si>
  <si>
    <t>39.59亿</t>
  </si>
  <si>
    <t>-6.86亿</t>
  </si>
  <si>
    <t>7714.12万</t>
  </si>
  <si>
    <t>1335.78亿</t>
  </si>
  <si>
    <t>1440.24亿</t>
  </si>
  <si>
    <t>1571.70亿</t>
  </si>
  <si>
    <t>1404.87亿</t>
  </si>
  <si>
    <t>1242.96亿</t>
  </si>
  <si>
    <t>54.03亿</t>
  </si>
  <si>
    <t>64.63亿</t>
  </si>
  <si>
    <t>80.27亿</t>
  </si>
  <si>
    <t>65.54亿</t>
  </si>
  <si>
    <t>60.76亿</t>
  </si>
  <si>
    <t>373.70亿</t>
  </si>
  <si>
    <t>348.78亿</t>
  </si>
  <si>
    <t>1.27亿</t>
  </si>
  <si>
    <t>991.12万</t>
  </si>
  <si>
    <t>50.94亿</t>
  </si>
  <si>
    <t>91.05亿</t>
  </si>
  <si>
    <t>2874779500亿</t>
  </si>
  <si>
    <t>100.23亿</t>
  </si>
  <si>
    <t>10.63亿</t>
  </si>
  <si>
    <t>24.46亿</t>
  </si>
  <si>
    <t>19.12亿</t>
  </si>
  <si>
    <t>8670.51万</t>
  </si>
  <si>
    <t>19371541亿</t>
  </si>
  <si>
    <t>6.43万</t>
  </si>
  <si>
    <t>251748920亿</t>
  </si>
  <si>
    <t>16.79亿</t>
  </si>
  <si>
    <t>3030535600亿</t>
  </si>
  <si>
    <t>11.51亿</t>
  </si>
  <si>
    <t>8667003300亿</t>
  </si>
  <si>
    <t>3974.88万</t>
  </si>
  <si>
    <t>12.05亿</t>
  </si>
  <si>
    <t>142.62万</t>
  </si>
  <si>
    <t>28.57亿</t>
  </si>
  <si>
    <t>533.66万</t>
  </si>
  <si>
    <t>-1251.38万</t>
  </si>
  <si>
    <t>78.19亿</t>
  </si>
  <si>
    <t>70.81亿</t>
  </si>
  <si>
    <t>68.80亿</t>
  </si>
  <si>
    <t>50.83亿</t>
  </si>
  <si>
    <t>7.04亿</t>
  </si>
  <si>
    <t>6.85亿</t>
  </si>
  <si>
    <t>28.75亿</t>
  </si>
  <si>
    <t>23.79亿</t>
  </si>
  <si>
    <t>2.31亿</t>
  </si>
  <si>
    <t>4008.66万</t>
  </si>
  <si>
    <t>1137.28万</t>
  </si>
  <si>
    <t>92.02亿</t>
  </si>
  <si>
    <t>110.23亿</t>
  </si>
  <si>
    <t>3745011000亿</t>
  </si>
  <si>
    <t>114.63亿</t>
  </si>
  <si>
    <t>10.17亿</t>
  </si>
  <si>
    <t>32.87亿</t>
  </si>
  <si>
    <t>29.67亿</t>
  </si>
  <si>
    <t>5087.47万</t>
  </si>
  <si>
    <t>9214.26万</t>
  </si>
  <si>
    <t>6956023亿</t>
  </si>
  <si>
    <t>16.20万</t>
  </si>
  <si>
    <t>376726440亿</t>
  </si>
  <si>
    <t>3223359900亿</t>
  </si>
  <si>
    <t>9496581800亿</t>
  </si>
  <si>
    <t>25.15亿</t>
  </si>
  <si>
    <t>15.79亿</t>
  </si>
  <si>
    <t>27.47亿</t>
  </si>
  <si>
    <t>79.88亿</t>
  </si>
  <si>
    <t>-8.47亿</t>
  </si>
  <si>
    <t>8.71亿</t>
  </si>
  <si>
    <t>53.59亿</t>
  </si>
  <si>
    <t>59.84亿</t>
  </si>
  <si>
    <t>50.90亿</t>
  </si>
  <si>
    <t>39.38亿</t>
  </si>
  <si>
    <t>7.38亿</t>
  </si>
  <si>
    <t>37.45亿</t>
  </si>
  <si>
    <t>24.26亿</t>
  </si>
  <si>
    <t>8227.28万</t>
  </si>
  <si>
    <t>924.83万</t>
  </si>
  <si>
    <t>38.77亿</t>
  </si>
  <si>
    <t>38.37亿</t>
  </si>
  <si>
    <t>1490098300亿</t>
  </si>
  <si>
    <t>46.13亿</t>
  </si>
  <si>
    <t>13.90亿</t>
  </si>
  <si>
    <t>12.00亿</t>
  </si>
  <si>
    <t>2901.25万</t>
  </si>
  <si>
    <t>7327.81万</t>
  </si>
  <si>
    <t>1243507亿</t>
  </si>
  <si>
    <t>7.11万</t>
  </si>
  <si>
    <t>79544749亿</t>
  </si>
  <si>
    <t>1358627300亿</t>
  </si>
  <si>
    <t>5266198700亿</t>
  </si>
  <si>
    <t>19.46亿</t>
  </si>
  <si>
    <t>34.77亿</t>
  </si>
  <si>
    <t>3288.61万</t>
  </si>
  <si>
    <t>-865.70万</t>
  </si>
  <si>
    <t>36.80亿</t>
  </si>
  <si>
    <t>30.36亿</t>
  </si>
  <si>
    <t>34.05亿</t>
  </si>
  <si>
    <t>30.95亿</t>
  </si>
  <si>
    <t>14.90亿</t>
  </si>
  <si>
    <t>11.18亿</t>
  </si>
  <si>
    <t>9622.34万</t>
  </si>
  <si>
    <t>3921.58万</t>
  </si>
  <si>
    <t>781.97万</t>
  </si>
  <si>
    <t>27.90亿</t>
  </si>
  <si>
    <t>1243440480亿</t>
  </si>
  <si>
    <t>41.12亿</t>
  </si>
  <si>
    <t>9716.82万</t>
  </si>
  <si>
    <t>10.02亿</t>
  </si>
  <si>
    <t>1086.37万</t>
  </si>
  <si>
    <t>6271.42万</t>
  </si>
  <si>
    <t>8.43万</t>
  </si>
  <si>
    <t>77244761亿</t>
  </si>
  <si>
    <t>1164778230亿</t>
  </si>
  <si>
    <t>801.93万</t>
  </si>
  <si>
    <t>2419169000亿</t>
  </si>
  <si>
    <t>47.97万</t>
  </si>
  <si>
    <t>-2.60亿</t>
  </si>
  <si>
    <t>26.03亿</t>
  </si>
  <si>
    <t>15.38亿</t>
  </si>
  <si>
    <t>16.20亿</t>
  </si>
  <si>
    <t>15.57亿</t>
  </si>
  <si>
    <t>12.17亿</t>
  </si>
  <si>
    <t>8380.48万</t>
  </si>
  <si>
    <t>7103.45万</t>
  </si>
  <si>
    <t>5015.44万</t>
  </si>
  <si>
    <t>3335.05万</t>
  </si>
  <si>
    <t>1218.94万</t>
  </si>
  <si>
    <t>41.27亿</t>
  </si>
  <si>
    <t>1124031100亿</t>
  </si>
  <si>
    <t>42.09亿</t>
  </si>
  <si>
    <t>4.16亿</t>
  </si>
  <si>
    <t>9.60亿</t>
  </si>
  <si>
    <t>2028.53万</t>
  </si>
  <si>
    <t>7338.12万</t>
  </si>
  <si>
    <t>35241687亿</t>
  </si>
  <si>
    <t>277.63万</t>
  </si>
  <si>
    <t>135050360亿</t>
  </si>
  <si>
    <t>940373030亿</t>
  </si>
  <si>
    <t>3461101400亿</t>
  </si>
  <si>
    <t>5354.27万</t>
  </si>
  <si>
    <t>39.50亿</t>
  </si>
  <si>
    <t>48.18亿</t>
  </si>
  <si>
    <t>42.73亿</t>
  </si>
  <si>
    <t>32.47亿</t>
  </si>
  <si>
    <t>27.43亿</t>
  </si>
  <si>
    <t>5456.60万</t>
  </si>
  <si>
    <t>阀类及电子水泵</t>
    <phoneticPr fontId="1" type="noConversion"/>
  </si>
  <si>
    <t>接触器</t>
    <phoneticPr fontId="1" type="noConversion"/>
  </si>
  <si>
    <t>换热模块</t>
    <phoneticPr fontId="1" type="noConversion"/>
  </si>
  <si>
    <t>散热系统</t>
    <phoneticPr fontId="1" type="noConversion"/>
  </si>
  <si>
    <t>pcb</t>
    <phoneticPr fontId="1" type="noConversion"/>
  </si>
  <si>
    <t>sensor</t>
    <phoneticPr fontId="1" type="noConversion"/>
  </si>
  <si>
    <t>电池保护壳</t>
    <phoneticPr fontId="1" type="noConversion"/>
  </si>
  <si>
    <t>电池连接器</t>
    <phoneticPr fontId="1" type="noConversion"/>
  </si>
  <si>
    <t>冷媒管路</t>
    <phoneticPr fontId="1" type="noConversion"/>
  </si>
  <si>
    <t>电机-电机磁瓦</t>
    <phoneticPr fontId="1" type="noConversion"/>
  </si>
  <si>
    <t>电机-感应电机</t>
    <phoneticPr fontId="1" type="noConversion"/>
  </si>
  <si>
    <t>电机-马达</t>
    <phoneticPr fontId="1" type="noConversion"/>
  </si>
  <si>
    <t>电机drive-电控配件</t>
    <phoneticPr fontId="1" type="noConversion"/>
  </si>
  <si>
    <t>电机drive-电源管理磁材</t>
    <phoneticPr fontId="1" type="noConversion"/>
  </si>
  <si>
    <t>自动驾驶-镜头</t>
    <phoneticPr fontId="1" type="noConversion"/>
  </si>
  <si>
    <t>空调-零部件</t>
    <phoneticPr fontId="1" type="noConversion"/>
  </si>
  <si>
    <t>空调-扁管</t>
    <phoneticPr fontId="1" type="noConversion"/>
  </si>
  <si>
    <t>地图</t>
    <phoneticPr fontId="1" type="noConversion"/>
  </si>
  <si>
    <t>中控屏</t>
    <phoneticPr fontId="1" type="noConversion"/>
  </si>
  <si>
    <t>天线射频</t>
    <phoneticPr fontId="1" type="noConversion"/>
  </si>
  <si>
    <t>空调-冷却</t>
    <phoneticPr fontId="1" type="noConversion"/>
  </si>
  <si>
    <t>自动驾驶-人机交互</t>
    <phoneticPr fontId="1" type="noConversion"/>
  </si>
  <si>
    <t>仪表-显示屏</t>
    <phoneticPr fontId="1" type="noConversion"/>
  </si>
  <si>
    <t>车身-铝饰条</t>
    <phoneticPr fontId="1" type="noConversion"/>
  </si>
  <si>
    <t>充电桩</t>
    <phoneticPr fontId="1" type="noConversion"/>
  </si>
  <si>
    <t>底盘-发动机支架</t>
    <phoneticPr fontId="1" type="noConversion"/>
  </si>
  <si>
    <t>车身-磨具</t>
    <phoneticPr fontId="1" type="noConversion"/>
  </si>
  <si>
    <t>底盘-电动助力转向</t>
    <phoneticPr fontId="1" type="noConversion"/>
  </si>
  <si>
    <t>充电枪</t>
    <phoneticPr fontId="1" type="noConversion"/>
  </si>
  <si>
    <t>车身-塑料部件</t>
    <phoneticPr fontId="1" type="noConversion"/>
  </si>
  <si>
    <t>车身-车锁</t>
    <phoneticPr fontId="1" type="noConversion"/>
  </si>
  <si>
    <t>车身-车身结构件</t>
    <phoneticPr fontId="1" type="noConversion"/>
  </si>
  <si>
    <t>车身-安全气囊</t>
    <phoneticPr fontId="1" type="noConversion"/>
  </si>
  <si>
    <t>车身-座椅</t>
    <phoneticPr fontId="1" type="noConversion"/>
  </si>
  <si>
    <t>高压电缆</t>
    <phoneticPr fontId="1" type="noConversion"/>
  </si>
  <si>
    <t>底盘-底盘结构件</t>
    <phoneticPr fontId="1" type="noConversion"/>
  </si>
  <si>
    <t>车身-内饰</t>
    <phoneticPr fontId="1" type="noConversion"/>
  </si>
  <si>
    <t>车身-遮阳板</t>
    <phoneticPr fontId="1" type="noConversion"/>
  </si>
  <si>
    <t>SZ000887</t>
  </si>
  <si>
    <t>中鼎股份</t>
  </si>
  <si>
    <t>3733.08万</t>
  </si>
  <si>
    <t>SZ002283</t>
  </si>
  <si>
    <t>天润工业</t>
  </si>
  <si>
    <t>2758.03万</t>
  </si>
  <si>
    <t>795.50万</t>
  </si>
  <si>
    <t>SH603197</t>
  </si>
  <si>
    <t>保隆科技</t>
  </si>
  <si>
    <t>407.03万</t>
  </si>
  <si>
    <t>80.95亿</t>
  </si>
  <si>
    <t>106.01亿</t>
  </si>
  <si>
    <t>3358614300亿</t>
  </si>
  <si>
    <t>125.77亿</t>
  </si>
  <si>
    <t>30.89亿</t>
  </si>
  <si>
    <t>26.16亿</t>
  </si>
  <si>
    <t>8876.60万</t>
  </si>
  <si>
    <t>1.88亿</t>
  </si>
  <si>
    <t>23235510亿</t>
  </si>
  <si>
    <t>456.94万</t>
  </si>
  <si>
    <t>214306910亿</t>
  </si>
  <si>
    <t>2978775000亿</t>
  </si>
  <si>
    <t>10341071600亿</t>
  </si>
  <si>
    <t>4.46亿</t>
  </si>
  <si>
    <t>14.91亿</t>
  </si>
  <si>
    <t>65.65亿</t>
  </si>
  <si>
    <t>7.46亿</t>
  </si>
  <si>
    <t>-5.99亿</t>
  </si>
  <si>
    <t>115.48亿</t>
  </si>
  <si>
    <t>117.06亿</t>
  </si>
  <si>
    <t>123.75亿</t>
  </si>
  <si>
    <t>117.70亿</t>
  </si>
  <si>
    <t>83.84亿</t>
  </si>
  <si>
    <t>11.15亿</t>
  </si>
  <si>
    <t>11.27亿</t>
  </si>
  <si>
    <t>33.59亿</t>
  </si>
  <si>
    <t>31.96亿</t>
  </si>
  <si>
    <t>2.38亿</t>
  </si>
  <si>
    <r>
      <t>公司是以生产“天”牌内燃机曲轴、连杆为主导产品的曲轴、连杆专业生产企业，是中国内燃机工业协会副会长单位、中国曲轴连杆及高强度螺栓行业会长单位。公司产品有曲轴、连杆、铸锻件（毛坯及成品）、空气悬架等。国内主流</t>
    </r>
    <r>
      <rPr>
        <sz val="9"/>
        <color rgb="FFFF0000"/>
        <rFont val="宋体"/>
        <family val="3"/>
        <charset val="134"/>
        <scheme val="minor"/>
      </rPr>
      <t>商用车发动机客户配套率达95%</t>
    </r>
    <r>
      <rPr>
        <sz val="9"/>
        <color theme="1"/>
        <rFont val="宋体"/>
        <family val="2"/>
        <charset val="134"/>
        <scheme val="minor"/>
      </rPr>
      <t>以上
市值80.6亿，利润5.41亿，pe17.4, pb1.43；毛利25.08%，净利10.9%；2021营收增6.6%，利润增6.5%；2022Q1营收增-41%，利润增-32.08%；过往5年营收增22.77%，利润增25.66%；
2021：
发动机及船级曲轴 30.19亿 63.96% 66.30% 25.01%
连杆 10.42亿 22.08% 21.97% 24.01%
曲轴毛坯及铸锻件 2.98亿 6.31% 5.17% 19.77%
空气悬架 2.04亿 4.31% 4.48% 25.03%
其他 1.58亿 3.34% 2.08% 15.02%</t>
    </r>
    <phoneticPr fontId="1" type="noConversion"/>
  </si>
  <si>
    <t>28.28亿</t>
  </si>
  <si>
    <t>56.51亿</t>
  </si>
  <si>
    <t>930100160亿</t>
  </si>
  <si>
    <t>47.21亿</t>
  </si>
  <si>
    <t>5.41亿</t>
  </si>
  <si>
    <t>8.20亿</t>
  </si>
  <si>
    <t>827.51万</t>
  </si>
  <si>
    <t>3789.09万</t>
  </si>
  <si>
    <t>4009456亿</t>
  </si>
  <si>
    <t>3.19万</t>
  </si>
  <si>
    <t>94857803亿</t>
  </si>
  <si>
    <t>4.83亿</t>
  </si>
  <si>
    <t>1085531490亿</t>
  </si>
  <si>
    <t>9.31亿</t>
  </si>
  <si>
    <t>4596026300亿</t>
  </si>
  <si>
    <t>4.44亿</t>
  </si>
  <si>
    <t>11.08亿</t>
  </si>
  <si>
    <t>6.27亿</t>
  </si>
  <si>
    <t>26.54亿</t>
  </si>
  <si>
    <t>5025.13万</t>
  </si>
  <si>
    <t>-5725.87万</t>
  </si>
  <si>
    <t>-4010.77万</t>
  </si>
  <si>
    <t>44.28亿</t>
  </si>
  <si>
    <t>36.03亿</t>
  </si>
  <si>
    <t>30.21亿</t>
  </si>
  <si>
    <t>18.22亿</t>
  </si>
  <si>
    <t>5.08亿</t>
  </si>
  <si>
    <t>3.54亿</t>
  </si>
  <si>
    <t>1.94亿</t>
  </si>
  <si>
    <t>1.72亿</t>
  </si>
  <si>
    <t>7.06亿</t>
  </si>
  <si>
    <t>27.96亿</t>
  </si>
  <si>
    <t>25.04亿</t>
  </si>
  <si>
    <t>965332480亿</t>
  </si>
  <si>
    <t>38.98亿</t>
  </si>
  <si>
    <t>2.68亿</t>
  </si>
  <si>
    <t>4141.87万</t>
  </si>
  <si>
    <t>8172.83万</t>
  </si>
  <si>
    <t>-711028亿</t>
  </si>
  <si>
    <t>10.89万</t>
  </si>
  <si>
    <t>35552439亿</t>
  </si>
  <si>
    <t>10.19亿</t>
  </si>
  <si>
    <t>832185910亿</t>
  </si>
  <si>
    <t>3282344500亿</t>
  </si>
  <si>
    <t>6.47亿</t>
  </si>
  <si>
    <t>143.11万</t>
  </si>
  <si>
    <t>17.28亿</t>
  </si>
  <si>
    <t>10.01亿</t>
  </si>
  <si>
    <t>-1989.20万</t>
  </si>
  <si>
    <t>-1.07亿</t>
  </si>
  <si>
    <t>5001.18万</t>
  </si>
  <si>
    <t>33.31亿</t>
  </si>
  <si>
    <t>33.21亿</t>
  </si>
  <si>
    <t>23.05亿</t>
  </si>
  <si>
    <t>20.81亿</t>
  </si>
  <si>
    <t>1.74亿</t>
  </si>
  <si>
    <t>1.32亿</t>
  </si>
  <si>
    <t>7503.01万</t>
  </si>
  <si>
    <r>
      <t>1.问：请问公司空悬业务发展趋势如何？答：AMK很早在欧洲就已经开始生产空悬系统总成，AMK核心技术是ECU控制程序和空气供给单元，随着国内空悬市场的兴起，AMK中国在空气供给单元产品组装及生产线相继落地的同时，将继续推动其他硬件自产项目的落地，不断增加硬件自产比例。AMK中国公司业务目前已取得突破性进展，已取得国内多家造车新势力及传统自主品牌龙头企业订单，截至目前</t>
    </r>
    <r>
      <rPr>
        <sz val="9"/>
        <color rgb="FFFF0000"/>
        <rFont val="宋体"/>
        <family val="3"/>
        <charset val="134"/>
        <scheme val="minor"/>
      </rPr>
      <t>AMK中国已获订单总产值54.6亿元</t>
    </r>
    <r>
      <rPr>
        <sz val="9"/>
        <color theme="1"/>
        <rFont val="宋体"/>
        <family val="2"/>
        <charset val="134"/>
        <scheme val="minor"/>
      </rPr>
      <t>。</t>
    </r>
    <phoneticPr fontId="1" type="noConversion"/>
  </si>
  <si>
    <r>
      <t xml:space="preserve">公司主营业务为液压气动密封件,汽车非轮胎橡胶制品(制动,减震除外)生产和销售。主要业务有智能底盘系统业务-空气悬挂系统；智能底盘系统业务-轻量化底盘系统；流体管路系统；密封系统。
市值266亿，利润9.65亿，pe27.21, pb2.52；毛利23.5%，净利5.67%；2021营收增9%，利润增96%；2022Q1营收增5.1%，利润增5.4%；过往5年营收增9.5%，利润增11.1%；
2021：（国内国外占比6：4开）
冷却系统 32.97亿 26.22% 29.77% 25.56%
密封系统 30.58亿 24.31% 30.13% 27.91%
智能底盘-橡胶业务 27.59亿 21.94% 19.50% 20.02%
其他 20.43亿 16.25% 12.38% 17.15%
</t>
    </r>
    <r>
      <rPr>
        <sz val="9"/>
        <color rgb="FFFF0000"/>
        <rFont val="宋体"/>
        <family val="3"/>
        <charset val="134"/>
        <scheme val="minor"/>
      </rPr>
      <t>智能底盘-轻量化</t>
    </r>
    <r>
      <rPr>
        <sz val="9"/>
        <color theme="1"/>
        <rFont val="宋体"/>
        <family val="2"/>
        <charset val="134"/>
        <scheme val="minor"/>
      </rPr>
      <t xml:space="preserve"> 7.89亿 6.28% 4.48% 16.06%
</t>
    </r>
    <r>
      <rPr>
        <sz val="9"/>
        <color rgb="FFFF0000"/>
        <rFont val="宋体"/>
        <family val="3"/>
        <charset val="134"/>
        <scheme val="minor"/>
      </rPr>
      <t>智能底盘-空悬系统</t>
    </r>
    <r>
      <rPr>
        <sz val="9"/>
        <color theme="1"/>
        <rFont val="宋体"/>
        <family val="2"/>
        <charset val="134"/>
        <scheme val="minor"/>
      </rPr>
      <t xml:space="preserve"> 6.31亿 5.02% </t>
    </r>
    <r>
      <rPr>
        <sz val="9"/>
        <color rgb="FFFF0000"/>
        <rFont val="宋体"/>
        <family val="3"/>
        <charset val="134"/>
        <scheme val="minor"/>
      </rPr>
      <t>3.74%</t>
    </r>
    <r>
      <rPr>
        <sz val="9"/>
        <color theme="1"/>
        <rFont val="宋体"/>
        <family val="2"/>
        <charset val="134"/>
        <scheme val="minor"/>
      </rPr>
      <t xml:space="preserve"> 16.81%</t>
    </r>
    <phoneticPr fontId="1" type="noConversion"/>
  </si>
  <si>
    <t>11.75亿</t>
  </si>
  <si>
    <r>
      <t>1.</t>
    </r>
    <r>
      <rPr>
        <sz val="9"/>
        <color rgb="FFFF0000"/>
        <rFont val="宋体"/>
        <family val="3"/>
        <charset val="134"/>
        <scheme val="minor"/>
      </rPr>
      <t>空气悬架</t>
    </r>
    <r>
      <rPr>
        <sz val="9"/>
        <color theme="1"/>
        <rFont val="宋体"/>
        <family val="2"/>
        <charset val="134"/>
        <scheme val="minor"/>
      </rPr>
      <t>业务为公司2020年新开拓业务板块，经过2021年度的孵化，实现营业收入2.04亿元，</t>
    </r>
    <r>
      <rPr>
        <sz val="9"/>
        <color rgb="FFFF0000"/>
        <rFont val="宋体"/>
        <family val="3"/>
        <charset val="134"/>
        <scheme val="minor"/>
      </rPr>
      <t>同比增长253.16%</t>
    </r>
    <r>
      <rPr>
        <sz val="9"/>
        <color theme="1"/>
        <rFont val="宋体"/>
        <family val="2"/>
        <charset val="134"/>
        <scheme val="minor"/>
      </rPr>
      <t xml:space="preserve">，占公司营业收入比例4.31%；空气悬架业务投资计划：计划投资新建橡胶悬架生产线1条、半挂车空气悬架生产线1条、半挂车桥装配线1条、CDC电磁阀生产线1条、CDC电磁阀装配线1条、乘用车空气悬架实验室；计划新建厂房2.3万平。
</t>
    </r>
    <phoneticPr fontId="1" type="noConversion"/>
  </si>
  <si>
    <r>
      <t>1.拓普的主要护城河是与客户同步研发、设计及验证的能力,为客户创造价值；2.公司2022年、2023年的规划销售目标分别是</t>
    </r>
    <r>
      <rPr>
        <sz val="9"/>
        <color rgb="FFFF0000"/>
        <rFont val="宋体"/>
        <family val="3"/>
        <charset val="134"/>
        <scheme val="minor"/>
      </rPr>
      <t>160亿元、200亿元，在2025年达到约300亿元</t>
    </r>
    <r>
      <rPr>
        <sz val="9"/>
        <color theme="1"/>
        <rFont val="宋体"/>
        <family val="2"/>
        <charset val="134"/>
        <scheme val="minor"/>
      </rPr>
      <t>，利润率也有进一步提升的空间（目前年</t>
    </r>
    <r>
      <rPr>
        <sz val="9"/>
        <color theme="1"/>
        <rFont val="宋体"/>
        <family val="3"/>
        <charset val="134"/>
        <scheme val="minor"/>
      </rPr>
      <t>114亿销售额）</t>
    </r>
    <phoneticPr fontId="1" type="noConversion"/>
  </si>
  <si>
    <t>公司的主营业务是汽车零部件的研发、生产和销售。公司的主要产品包括汽车NVH减震系统、整车声学套组、轻量化底盘系统、智能驾驶系统、热管理系统五大业务板块。
市值904亿，利润10.17亿，pe78.1, pb8.23；毛利22.95%，净利9.05%；2021营收增76%，利润增62%；2022Q1营收增54.37%，利润增185%；过往5年营收增27%，利润增16.4%；
2021：（国内外6:4开）
内饰功能件 35.78亿 31.22% 27.09% 17.25%
减震器 33.47亿 29.20% 34.99% 23.82%
底盘系统 26.24亿 22.89% 20.36% 17.68%
热管理系统 12.85亿 11.21% 10.05% 17.83%
其他业务 4.46亿 3.89% 5.40% 27.59%
汽车电子 1.83亿 1.59% 2.11% 26.30%</t>
    <phoneticPr fontId="1" type="noConversion"/>
  </si>
  <si>
    <t>3731.60万</t>
  </si>
  <si>
    <t>3.20亿</t>
  </si>
  <si>
    <t>1.问：空气弹簧的出货情况和产能规划？答：乘用车空气弹簧二月份开始上量，一季度应该有几千台。产能规划方面，今年四月第二条产线会安装完成，九月第三条会安装完成，会根据订单情况规划更新，目前单条产线的布置周期可以控制在半年左右的时间，整体的产能规划节奏可以有效把控。</t>
    <phoneticPr fontId="1" type="noConversion"/>
  </si>
  <si>
    <r>
      <t>公司致力于汽车智能化和轻量化产品的研发、制造和销售，主要产品有汽车轮胎压力监测系统</t>
    </r>
    <r>
      <rPr>
        <sz val="9"/>
        <color rgb="FFFF0000"/>
        <rFont val="宋体"/>
        <family val="3"/>
        <charset val="134"/>
        <scheme val="minor"/>
      </rPr>
      <t>（TPMS）</t>
    </r>
    <r>
      <rPr>
        <sz val="9"/>
        <color theme="1"/>
        <rFont val="宋体"/>
        <family val="2"/>
        <charset val="134"/>
        <scheme val="minor"/>
      </rPr>
      <t>、车用传感器（压力、光雨量、速度、位置、加速度和电流类）、ADAS（高级辅助驾驶系统）、</t>
    </r>
    <r>
      <rPr>
        <sz val="9"/>
        <color rgb="FFFF0000"/>
        <rFont val="宋体"/>
        <family val="3"/>
        <charset val="134"/>
        <scheme val="minor"/>
      </rPr>
      <t>主动空气悬架</t>
    </r>
    <r>
      <rPr>
        <sz val="9"/>
        <color theme="1"/>
        <rFont val="宋体"/>
        <family val="2"/>
        <charset val="134"/>
        <scheme val="minor"/>
      </rPr>
      <t>、汽车金属管件（轻量化底盘与车身结构件、排气系统管件和 EGR 管件）、气门嘴以及平衡块等。
市值128亿，利润2.68亿，pe53.73, pb5.68；毛利30.05%，净利5.42%；2021营收增17%，利润增46.45%；2022Q1营收增3.5%，利润增-41%；过往5年营收增19.22%，利润增17%；
2021：
TPMS及配件和工具 13.32亿 34.17% 31.73% 25.46%
汽车金属管件 11.65亿 29.88% 21.33% 19.57%
气门嘴及配件 6.88亿 17.64% 27.08% 42.06%
其他 6.01亿 15.42% 13.92% 24.75%
其他业务 1.13亿 2.89% 5.93% 56.30%</t>
    </r>
    <phoneticPr fontId="1" type="noConversion"/>
  </si>
  <si>
    <t>2548.07万</t>
  </si>
  <si>
    <t>充电桩快充利基.docx</t>
  </si>
  <si>
    <t>SH603195</t>
  </si>
  <si>
    <t>公牛集团</t>
  </si>
  <si>
    <t>208.78万</t>
  </si>
  <si>
    <t>家用轻工</t>
  </si>
  <si>
    <t>SZ300693</t>
  </si>
  <si>
    <t>盛弘股份</t>
  </si>
  <si>
    <t>SZ000400</t>
  </si>
  <si>
    <t>许继电气</t>
  </si>
  <si>
    <t>SZ002028</t>
  </si>
  <si>
    <t>思源电气</t>
  </si>
  <si>
    <t>国电南瑞</t>
  </si>
  <si>
    <t>SZ300141</t>
  </si>
  <si>
    <t>和顺电气</t>
  </si>
  <si>
    <t>SZ300360</t>
  </si>
  <si>
    <t>炬华科技</t>
  </si>
  <si>
    <t>SZ300713</t>
  </si>
  <si>
    <t>英可瑞</t>
  </si>
  <si>
    <t>SZ002358</t>
  </si>
  <si>
    <t>ST森源</t>
  </si>
  <si>
    <t>SZ300820</t>
  </si>
  <si>
    <t>英杰电气</t>
  </si>
  <si>
    <r>
      <t>1.一是公司核心的优势业务转换器、墙壁开关插座业务保持了稳健的增长；二是公司围绕新能源、智能生态两大赛道加快布局，陆续上市新能源充电枪/桩、智能锁、智能晾衣机等新品类，取得了良好的发展势头；三是公司不断强化公牛业务管理体系，提高自身经营能力。2.问：新能源充电枪、充电桩的发展情况如何？答：基于自身优势，我们持续在思考如何服务未来的大趋势，新能源是未来比较明确的趋势之一。</t>
    </r>
    <r>
      <rPr>
        <sz val="9"/>
        <color rgb="FFFF0000"/>
        <rFont val="宋体"/>
        <family val="3"/>
        <charset val="134"/>
        <scheme val="minor"/>
      </rPr>
      <t>充电枪、充电桩是我们服务新能源领域的首个支点</t>
    </r>
    <r>
      <rPr>
        <sz val="9"/>
        <color theme="1"/>
        <rFont val="宋体"/>
        <family val="2"/>
        <charset val="134"/>
        <scheme val="minor"/>
      </rPr>
      <t>，一上市就获得消费者青睐，公司首款充电枪于2021年6月上市，首款充电桩于2021年10月上市，目前共有五款产品在电商平台销售，销量在第三方品牌中居于领先地位。</t>
    </r>
    <phoneticPr fontId="1" type="noConversion"/>
  </si>
  <si>
    <r>
      <t>1.曾经出现过反垄断的调查和整改；2.根据华经产业研究院统计的数据，截止2021年底，中国插座/插排应用市场规模约为145.71亿元，较2020年增长4.39%。</t>
    </r>
    <r>
      <rPr>
        <sz val="9"/>
        <color rgb="FFFF0000"/>
        <rFont val="宋体"/>
        <family val="3"/>
        <charset val="134"/>
        <scheme val="minor"/>
      </rPr>
      <t>自2016年以来，我国的插排/插座市场规模增速一直徘徊在10%以下</t>
    </r>
    <r>
      <rPr>
        <sz val="9"/>
        <color theme="1"/>
        <rFont val="宋体"/>
        <family val="2"/>
        <charset val="134"/>
        <scheme val="minor"/>
      </rPr>
      <t>，需求早已趋于稳定，很难再有大幅跃升；</t>
    </r>
    <r>
      <rPr>
        <sz val="9"/>
        <color theme="1"/>
        <rFont val="宋体"/>
        <family val="3"/>
        <charset val="134"/>
        <scheme val="minor"/>
      </rPr>
      <t>3.在IPO之初，</t>
    </r>
    <r>
      <rPr>
        <b/>
        <sz val="9"/>
        <color rgb="FFFF0000"/>
        <rFont val="宋体"/>
        <family val="3"/>
        <charset val="134"/>
        <scheme val="minor"/>
      </rPr>
      <t>阮氏家族高达97%的控股率</t>
    </r>
    <r>
      <rPr>
        <sz val="9"/>
        <color theme="1"/>
        <rFont val="宋体"/>
        <family val="3"/>
        <charset val="134"/>
        <scheme val="minor"/>
      </rPr>
      <t>，还有关联公司的业绩问题，就饱受争议。直到现在公牛主营业务遇到了增长瓶颈，依然有很多投资者担心在其家族式管理作风下，高层很难及时、快速做出响应，尽快找到第二增长曲线；4.插座，智能照明业务和房地产行业联系较为紧密，因此房地产的行业走势需要关注其影响；</t>
    </r>
    <phoneticPr fontId="1" type="noConversion"/>
  </si>
  <si>
    <t>公司专注于以转换器、墙壁开关插座为核心的民用电工产品的研发、生产和销售。公司专注于电连接、智能电工照明、数码配件三大业务板块，电连接产品主要为转换器，智能电工照明产品主要包括墙壁开关插座、LED照明、断路器、生活电器、智能门锁等产品，数码配件主要为数码配件类产品。
市值929亿，利润27.8亿，pe32.4，pb8.77；毛利38.67%，净利22.25%；2021营收增23.22%，利润增20.19%；2022Q2营收增17.5%,利润增6.08%；过往5年营收增18.84%，利润增16%；
2021：
电连接产品 64.13亿 51.78% 46.17% 32.95%
智能电工照明产品 55.51亿 44.82% 50.97% 42.02%
数码配件产品 3.73亿 3.01% 2.20% 27.00%
其他业务 4804.56万 0.39% 0.66% 63.00%</t>
    <phoneticPr fontId="1" type="noConversion"/>
  </si>
  <si>
    <t>45.74亿</t>
  </si>
  <si>
    <t>106.04亿</t>
  </si>
  <si>
    <t>6838308200亿</t>
  </si>
  <si>
    <t>123.85亿</t>
  </si>
  <si>
    <t>51.98亿</t>
  </si>
  <si>
    <t>43.81亿</t>
  </si>
  <si>
    <t>2.49亿</t>
  </si>
  <si>
    <t>113596886亿</t>
  </si>
  <si>
    <t>134.57万</t>
  </si>
  <si>
    <t>1372778400亿</t>
  </si>
  <si>
    <t>45.51亿</t>
  </si>
  <si>
    <t>249140300亿</t>
  </si>
  <si>
    <t>197.08万</t>
  </si>
  <si>
    <t>12470949700亿</t>
  </si>
  <si>
    <t>14.61亿</t>
  </si>
  <si>
    <t>4.23亿</t>
  </si>
  <si>
    <t>10.67亿</t>
  </si>
  <si>
    <t>106.19万</t>
  </si>
  <si>
    <t>18.85亿</t>
  </si>
  <si>
    <t>43.98亿</t>
  </si>
  <si>
    <t>11.45亿</t>
  </si>
  <si>
    <t>5.62亿</t>
  </si>
  <si>
    <t>-16.99亿</t>
  </si>
  <si>
    <t>100.51亿</t>
  </si>
  <si>
    <t>100.40亿</t>
  </si>
  <si>
    <t>90.65亿</t>
  </si>
  <si>
    <t>72.40亿</t>
  </si>
  <si>
    <t>53.66亿</t>
  </si>
  <si>
    <t>23.13亿</t>
  </si>
  <si>
    <t>23.04亿</t>
  </si>
  <si>
    <t>16.77亿</t>
  </si>
  <si>
    <t>14.07亿</t>
  </si>
  <si>
    <t>25.74亿</t>
  </si>
  <si>
    <t>6.07亿</t>
  </si>
  <si>
    <t>504.18万</t>
  </si>
  <si>
    <t>1539.02万</t>
  </si>
  <si>
    <t>8.69亿</t>
  </si>
  <si>
    <t>10.21亿</t>
  </si>
  <si>
    <t>7.71亿</t>
  </si>
  <si>
    <t>6.36亿</t>
  </si>
  <si>
    <t>5.31亿</t>
  </si>
  <si>
    <t>6205.06万</t>
  </si>
  <si>
    <t>4848.16万</t>
  </si>
  <si>
    <t>4601.48万</t>
  </si>
  <si>
    <t>6386.16万</t>
  </si>
  <si>
    <t>2927.84万</t>
  </si>
  <si>
    <t>6314.53万</t>
  </si>
  <si>
    <t>70.30亿</t>
  </si>
  <si>
    <t>2469027500亿</t>
  </si>
  <si>
    <t>119.91亿</t>
  </si>
  <si>
    <t>7.24亿</t>
  </si>
  <si>
    <t>23.28亿</t>
  </si>
  <si>
    <t>5257.79万</t>
  </si>
  <si>
    <t>9409.86万</t>
  </si>
  <si>
    <t>564.86万</t>
  </si>
  <si>
    <t>93645198亿</t>
  </si>
  <si>
    <t>24.18亿</t>
  </si>
  <si>
    <t>6036143600亿</t>
  </si>
  <si>
    <t>5081.19万</t>
  </si>
  <si>
    <t>14206843000亿</t>
  </si>
  <si>
    <t>48.34亿</t>
  </si>
  <si>
    <t>61.91亿</t>
  </si>
  <si>
    <t>-3.76亿</t>
  </si>
  <si>
    <t>-1691.68万</t>
  </si>
  <si>
    <t>-1488.92万</t>
  </si>
  <si>
    <t>111.91亿</t>
  </si>
  <si>
    <t>108.52亿</t>
  </si>
  <si>
    <t>82.17亿</t>
  </si>
  <si>
    <t>103.29亿</t>
  </si>
  <si>
    <t>96.07亿</t>
  </si>
  <si>
    <t>7.16亿</t>
  </si>
  <si>
    <t>4.71亿</t>
  </si>
  <si>
    <t>24.69亿</t>
  </si>
  <si>
    <t>18.15亿</t>
  </si>
  <si>
    <t>8266.83万</t>
  </si>
  <si>
    <t>1140.26万</t>
  </si>
  <si>
    <t>47.99亿</t>
  </si>
  <si>
    <t>87.44亿</t>
  </si>
  <si>
    <t>1739308500亿</t>
  </si>
  <si>
    <t>86.95亿</t>
  </si>
  <si>
    <t>11.98亿</t>
  </si>
  <si>
    <t>15.62亿</t>
  </si>
  <si>
    <t>13.23亿</t>
  </si>
  <si>
    <t>8251.22万</t>
  </si>
  <si>
    <t>4372.57万</t>
  </si>
  <si>
    <t>801918亿</t>
  </si>
  <si>
    <t>150.52万</t>
  </si>
  <si>
    <t>142285170亿</t>
  </si>
  <si>
    <t>11.42亿</t>
  </si>
  <si>
    <t>2598417700亿</t>
  </si>
  <si>
    <t>8.75亿</t>
  </si>
  <si>
    <t>9050715000亿</t>
  </si>
  <si>
    <t>3533.05万</t>
  </si>
  <si>
    <t>21.49亿</t>
  </si>
  <si>
    <t>44.88亿</t>
  </si>
  <si>
    <t>-4.43亿</t>
  </si>
  <si>
    <t>-2.42亿</t>
  </si>
  <si>
    <t>-1156.20万</t>
  </si>
  <si>
    <t>73.73亿</t>
  </si>
  <si>
    <t>48.07亿</t>
  </si>
  <si>
    <t>44.95亿</t>
  </si>
  <si>
    <t>44.04亿</t>
  </si>
  <si>
    <t>9.33亿</t>
  </si>
  <si>
    <t>2.95亿</t>
  </si>
  <si>
    <t>17.39亿</t>
  </si>
  <si>
    <t>7064.79万</t>
  </si>
  <si>
    <t>公司主要从事电网自动化及工业控制、电力自动化信息通信、继电保护及柔性输电、发电及水利环保等业务的技术和产品研发、设计、制造、销售及与之相关的系统集成和工程总包业务。公司的主要产品包括发电、输电、变电、配电、供电控制系统设备;计算机及外部设备;通信交换、通信终端及通信设备。
市值1958亿，利润56.42亿；pe33.64,pb5.09;毛利27.49%，净利14.05%；2021营收增10.15%，利润增16.28%；2022Q1营收增16.94%，利润增88.6%；过往5年营收增9.22%，利润增12.66%；
2021：
电网自动化及工业控制 238.59亿 56.26% 53.49% 25.55%
电力自动化信息通信 76.11亿 17.95% 13.96% 20.91%
继电保护及柔性输电 61.42亿 14.48% 21.24% 39.42%
发电及水利环保 25.23亿 5.95% 3.27% 14.78%
集成及其他 21.76亿 5.13% 7.49% 39.23%
其他业务 1.00亿 0.24% 0.56% 63.26%</t>
    <phoneticPr fontId="1" type="noConversion"/>
  </si>
  <si>
    <t>SH600406</t>
    <phoneticPr fontId="1" type="noConversion"/>
  </si>
  <si>
    <t>3067.34万</t>
  </si>
  <si>
    <t>288.95亿</t>
  </si>
  <si>
    <t>410.56亿</t>
  </si>
  <si>
    <t>5754792000亿</t>
  </si>
  <si>
    <t>424.11亿</t>
  </si>
  <si>
    <t>56.42亿</t>
  </si>
  <si>
    <t>54.74亿</t>
  </si>
  <si>
    <t>-2126232亿</t>
  </si>
  <si>
    <t>445.69万</t>
  </si>
  <si>
    <t>359290150亿</t>
  </si>
  <si>
    <t>110.50亿</t>
  </si>
  <si>
    <t>19643197000亿</t>
  </si>
  <si>
    <t>2.36亿</t>
  </si>
  <si>
    <t>49141266000亿</t>
  </si>
  <si>
    <t>29.03亿</t>
  </si>
  <si>
    <t>8002.57万</t>
  </si>
  <si>
    <t>21.41亿</t>
  </si>
  <si>
    <t>184.21亿</t>
  </si>
  <si>
    <t>7678.36万</t>
  </si>
  <si>
    <t>271.81亿</t>
  </si>
  <si>
    <t>-13.85亿</t>
  </si>
  <si>
    <t>-3.64亿</t>
  </si>
  <si>
    <t>385.02亿</t>
  </si>
  <si>
    <t>324.24亿</t>
  </si>
  <si>
    <t>285.40亿</t>
  </si>
  <si>
    <t>241.94亿</t>
  </si>
  <si>
    <t>282.48亿</t>
  </si>
  <si>
    <t>48.52亿</t>
  </si>
  <si>
    <t>43.43亿</t>
  </si>
  <si>
    <t>41.62亿</t>
  </si>
  <si>
    <t>32.41亿</t>
  </si>
  <si>
    <t>31.61亿</t>
  </si>
  <si>
    <t>57.55亿</t>
  </si>
  <si>
    <t>49.21亿</t>
  </si>
  <si>
    <t>1.63亿</t>
  </si>
  <si>
    <t>9.48亿</t>
  </si>
  <si>
    <t>930.23万</t>
  </si>
  <si>
    <t>53326570亿</t>
  </si>
  <si>
    <t>899.70万</t>
  </si>
  <si>
    <t>5730.77万</t>
  </si>
  <si>
    <t>4267.62万</t>
  </si>
  <si>
    <t>463.09万</t>
  </si>
  <si>
    <t>568.30万</t>
  </si>
  <si>
    <t>814642亿</t>
  </si>
  <si>
    <t>-2499075亿</t>
  </si>
  <si>
    <t>294608630亿</t>
  </si>
  <si>
    <t>590472270亿</t>
  </si>
  <si>
    <t>14.15万</t>
  </si>
  <si>
    <t>1.30亿</t>
  </si>
  <si>
    <t>2781.24万</t>
  </si>
  <si>
    <t>-1284.41万</t>
  </si>
  <si>
    <t>-135.07万</t>
  </si>
  <si>
    <t>5.26亿</t>
  </si>
  <si>
    <t>-5892.04万</t>
  </si>
  <si>
    <t>635.93万</t>
  </si>
  <si>
    <t>840.65万</t>
  </si>
  <si>
    <t>610.11万</t>
  </si>
  <si>
    <t>2972.91万</t>
  </si>
  <si>
    <t>5332.66万</t>
  </si>
  <si>
    <t>7558.40万</t>
  </si>
  <si>
    <t>166.62万</t>
  </si>
  <si>
    <t>2432.57万</t>
  </si>
  <si>
    <t>1773.62万</t>
  </si>
  <si>
    <t>27.46亿</t>
  </si>
  <si>
    <t>293708340亿</t>
  </si>
  <si>
    <t>1045.92万</t>
  </si>
  <si>
    <t>1347.17万</t>
  </si>
  <si>
    <t>610263亿</t>
  </si>
  <si>
    <t>99.99万</t>
  </si>
  <si>
    <t>75340072亿</t>
  </si>
  <si>
    <t>366268330亿</t>
  </si>
  <si>
    <t>490.65万</t>
  </si>
  <si>
    <t>2332795400亿</t>
  </si>
  <si>
    <t>3.07亿</t>
  </si>
  <si>
    <t>1565.29万</t>
  </si>
  <si>
    <t>-2.87亿</t>
  </si>
  <si>
    <t>-128.05万</t>
  </si>
  <si>
    <t>8.72亿</t>
  </si>
  <si>
    <t>9.73亿</t>
  </si>
  <si>
    <t>11.94亿</t>
  </si>
  <si>
    <t>2.93亿</t>
  </si>
  <si>
    <t>1.36亿</t>
  </si>
  <si>
    <t>2.14亿</t>
  </si>
  <si>
    <t>6104.96万</t>
  </si>
  <si>
    <t>9082.92万</t>
  </si>
  <si>
    <t>6.37亿</t>
  </si>
  <si>
    <t>472.66万</t>
  </si>
  <si>
    <t>7.34亿</t>
  </si>
  <si>
    <t>59100945亿</t>
  </si>
  <si>
    <t>893.48万</t>
  </si>
  <si>
    <t>5954.05万</t>
  </si>
  <si>
    <t>4171.70万</t>
  </si>
  <si>
    <t>335.65万</t>
  </si>
  <si>
    <t>397.97万</t>
  </si>
  <si>
    <t>81310亿</t>
  </si>
  <si>
    <t>138985亿</t>
  </si>
  <si>
    <t>186749580亿</t>
  </si>
  <si>
    <t>2813.38万</t>
  </si>
  <si>
    <t>574814140亿</t>
  </si>
  <si>
    <t>7279.09万</t>
  </si>
  <si>
    <t>6483.30万</t>
  </si>
  <si>
    <t>7792.34万</t>
  </si>
  <si>
    <t>3178.14万</t>
  </si>
  <si>
    <t>-1942.40万</t>
  </si>
  <si>
    <t>1062.18万</t>
  </si>
  <si>
    <t>48.94万</t>
  </si>
  <si>
    <t>2.66亿</t>
  </si>
  <si>
    <t>3.89亿</t>
  </si>
  <si>
    <t>2838.43万</t>
  </si>
  <si>
    <t>-2142.84万</t>
  </si>
  <si>
    <t>1201.15万</t>
  </si>
  <si>
    <t>8423.18万</t>
  </si>
  <si>
    <t>9769.28万</t>
  </si>
  <si>
    <t>5910.09万</t>
  </si>
  <si>
    <t>4702.60万</t>
  </si>
  <si>
    <t>193.60万</t>
  </si>
  <si>
    <t>1758.27万</t>
  </si>
  <si>
    <t>7405.31万</t>
  </si>
  <si>
    <t>08934800</t>
  </si>
  <si>
    <t>026804400</t>
  </si>
  <si>
    <t>053608800</t>
  </si>
  <si>
    <t>089348000</t>
  </si>
  <si>
    <t>0178696000</t>
  </si>
  <si>
    <t>616.77万</t>
  </si>
  <si>
    <t>29.37亿</t>
  </si>
  <si>
    <t>30.65亿</t>
  </si>
  <si>
    <t>457983180亿</t>
  </si>
  <si>
    <t>17.08亿</t>
  </si>
  <si>
    <t>-4.90亿</t>
  </si>
  <si>
    <t>4.50亿</t>
  </si>
  <si>
    <t>3.58亿</t>
  </si>
  <si>
    <t>961.93万</t>
  </si>
  <si>
    <t>3731.62万</t>
  </si>
  <si>
    <t>13.17万</t>
  </si>
  <si>
    <t>2644392亿</t>
  </si>
  <si>
    <t>4.65亿</t>
  </si>
  <si>
    <t>2064889800亿</t>
  </si>
  <si>
    <t>2061.79万</t>
  </si>
  <si>
    <t>3287218100亿</t>
  </si>
  <si>
    <t>1344.33万</t>
  </si>
  <si>
    <t>21.28亿</t>
  </si>
  <si>
    <t>4.90亿</t>
  </si>
  <si>
    <t>10.90万</t>
  </si>
  <si>
    <t>28.77亿</t>
  </si>
  <si>
    <t>2136.99万</t>
  </si>
  <si>
    <t>-139.61万</t>
  </si>
  <si>
    <t>-3900.36万</t>
  </si>
  <si>
    <t>16.50亿</t>
  </si>
  <si>
    <t>16.27亿</t>
  </si>
  <si>
    <t>28.74亿</t>
  </si>
  <si>
    <t>35.51亿</t>
  </si>
  <si>
    <t>29.53亿</t>
  </si>
  <si>
    <t>-9.89亿</t>
  </si>
  <si>
    <t>932.76万</t>
  </si>
  <si>
    <t>443.25万</t>
  </si>
  <si>
    <t>4398.91万</t>
  </si>
  <si>
    <r>
      <t>1.从去年下半年开始，公司的光伏订单就在连续增长，下游客户的投资热情高涨，</t>
    </r>
    <r>
      <rPr>
        <b/>
        <sz val="9"/>
        <color rgb="FFFF0000"/>
        <rFont val="宋体"/>
        <family val="3"/>
        <charset val="134"/>
        <scheme val="minor"/>
      </rPr>
      <t>作为在该行业市占率较高（60%-70%）的电源供应商</t>
    </r>
    <r>
      <rPr>
        <sz val="9"/>
        <color theme="1"/>
        <rFont val="宋体"/>
        <family val="2"/>
        <charset val="134"/>
        <scheme val="minor"/>
      </rPr>
      <t>，公司也因此受益</t>
    </r>
    <phoneticPr fontId="1" type="noConversion"/>
  </si>
  <si>
    <t>从事以功率控制电源、特种电源为代表的工业电源设备的研发、生产与销售，供给如下行业。
公司电源涉及的领域比较宽泛的，除了光伏和半导体外，在钢铁冶金、玻璃玻纤、工业炉窑、工业解冻、医疗设备、气体压缩机、真空炉、光纤、矿山机械、工业杀菌消毒等领域。
光伏行业 2.52亿 59.81%（毛利35.62%）冶金玻纤及其他 1.17亿 27.90%（毛利48.57%）半导体等电子材料 4046.48万 9.62%</t>
    <phoneticPr fontId="1" type="noConversion"/>
  </si>
  <si>
    <t>380.01万</t>
  </si>
  <si>
    <t>9.41亿</t>
  </si>
  <si>
    <t>12.47亿</t>
  </si>
  <si>
    <t>201833270亿</t>
  </si>
  <si>
    <t>888.85万</t>
  </si>
  <si>
    <t>796.44万</t>
  </si>
  <si>
    <t>3710412亿</t>
  </si>
  <si>
    <t>49818326亿</t>
  </si>
  <si>
    <t>118580836亿</t>
  </si>
  <si>
    <t>2003946200亿</t>
  </si>
  <si>
    <t>1000.00万</t>
  </si>
  <si>
    <t>9.34亿</t>
  </si>
  <si>
    <t>-4196.53万</t>
  </si>
  <si>
    <t>3070.67万</t>
  </si>
  <si>
    <t>386.53万</t>
  </si>
  <si>
    <t>4.21亿</t>
  </si>
  <si>
    <t>4.43亿</t>
  </si>
  <si>
    <t>4.10亿</t>
  </si>
  <si>
    <t>7208.17万</t>
  </si>
  <si>
    <t>3451.04万</t>
  </si>
  <si>
    <t>2834.20万</t>
  </si>
  <si>
    <t>1304.29万</t>
  </si>
  <si>
    <t>6335.93万</t>
  </si>
  <si>
    <t>1191.62万</t>
  </si>
  <si>
    <t>8.55亿</t>
  </si>
  <si>
    <t>548554690亿</t>
  </si>
  <si>
    <t>7256.49万</t>
  </si>
  <si>
    <t>2697.39万</t>
  </si>
  <si>
    <t>5750.99万</t>
  </si>
  <si>
    <t>1933938亿</t>
  </si>
  <si>
    <t>38.93万</t>
  </si>
  <si>
    <t>64509868亿</t>
  </si>
  <si>
    <t>371888060亿</t>
  </si>
  <si>
    <t>5351.90万</t>
  </si>
  <si>
    <t>1280174610亿</t>
  </si>
  <si>
    <t>7.78亿</t>
  </si>
  <si>
    <t>4044.70万</t>
  </si>
  <si>
    <t>5092.28万</t>
  </si>
  <si>
    <t>-1.08亿</t>
  </si>
  <si>
    <t>2297.10万</t>
  </si>
  <si>
    <t>5005.42万</t>
  </si>
  <si>
    <t>其他电源设备</t>
  </si>
  <si>
    <t>8114.36万</t>
  </si>
  <si>
    <t>5-0</t>
  </si>
  <si>
    <t xml:space="preserve">
市值83.054464亿, 利润1.13亿; PE63.12, PB9.29; 毛利45.8067%; 净利11.0633%; 上一年度营收增32.43%, 利润增6.6%; 当季营收增49.31%, 利润增117.6%; 过往5年营收增18.41%, 利润增16.57%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</si>
</sst>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sz val="9"/>
      <name val="宋体"/>
      <family val="3"/>
      <charset val="134"/>
      <scheme val="minor"/>
    </font>
    <font>
      <b/>
      <sz val="9"/>
      <color theme="1"/>
      <name val="宋体"/>
      <family val="3"/>
      <charset val="134"/>
      <scheme val="minor"/>
    </font>
    <font>
      <sz val="9"/>
      <color theme="5" tint="-0.249977111117893"/>
      <name val="宋体"/>
      <family val="3"/>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3">
    <xf numFmtId="0" fontId="0" fillId="0" borderId="0" xfId="0">
      <alignment vertical="center"/>
    </xf>
    <xf numFmtId="0" fontId="0" fillId="0" borderId="0" xfId="0" applyFill="1">
      <alignment vertical="center"/>
    </xf>
    <xf numFmtId="0" fontId="0" fillId="2" borderId="0" xfId="0" applyFill="1">
      <alignment vertical="center"/>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3" fillId="0" borderId="0" xfId="0" applyFon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0" fillId="0" borderId="0" xfId="0" applyAlignment="1">
      <alignment vertical="center" wrapText="1"/>
    </xf>
    <xf numFmtId="14" fontId="5" fillId="0" borderId="0" xfId="2" applyNumberFormat="1" applyBorder="1" applyAlignment="1">
      <alignment vertical="center" wrapText="1"/>
    </xf>
    <xf numFmtId="0" fontId="10" fillId="0" borderId="0" xfId="0" applyFont="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15" fillId="0" borderId="0" xfId="0" applyFont="1" applyAlignment="1">
      <alignment vertical="center" wrapText="1"/>
    </xf>
    <xf numFmtId="0" fontId="0" fillId="0" borderId="0" xfId="0" applyAlignment="1">
      <alignment horizontal="center"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26032;&#33021;&#28304;&#36710;&#24635;&#31867;.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hyperlink" Target="&#26032;&#33021;&#28304;&#36710;&#24635;&#31867;.docx" TargetMode="Externa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26032;&#33021;&#28304;&#36710;&#24635;&#31867;.docx" TargetMode="Externa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hyperlink" Target="&#26032;&#33021;&#28304;&#36710;&#24635;&#31867;.docx" TargetMode="Externa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hyperlink" Target="&#26032;&#33021;&#28304;&#36710;&#24635;&#31867;.docx" TargetMode="Externa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hyperlink" Target="&#20805;&#30005;&#26729;&#24555;&#20805;&#21033;&#22522;.docx" TargetMode="Externa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8.vml"/><Relationship Id="rId7" Type="http://schemas.openxmlformats.org/officeDocument/2006/relationships/image" Target="../media/image2.emf"/><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K25"/>
  <sheetViews>
    <sheetView workbookViewId="0">
      <selection sqref="A1:XFD2"/>
    </sheetView>
  </sheetViews>
  <sheetFormatPr defaultRowHeight="14.4" x14ac:dyDescent="0.25"/>
  <cols>
    <col min="1" max="1" width="16.109375" style="26" customWidth="1"/>
    <col min="2" max="2" width="34.77734375" customWidth="1"/>
    <col min="3" max="3" width="36.109375" customWidth="1"/>
    <col min="4" max="4" width="44.88671875" customWidth="1"/>
    <col min="13" max="13" width="12.77734375" customWidth="1"/>
    <col min="24" max="24" width="10.5546875" customWidth="1"/>
  </cols>
  <sheetData>
    <row r="1" spans="1:141" s="16" customFormat="1" x14ac:dyDescent="0.25">
      <c r="A1" s="17" t="s">
        <v>309</v>
      </c>
      <c r="B1" s="20" t="s">
        <v>500</v>
      </c>
      <c r="C1" s="21" t="s">
        <v>501</v>
      </c>
      <c r="D1" s="20" t="s">
        <v>502</v>
      </c>
      <c r="E1" t="s">
        <v>2</v>
      </c>
      <c r="F1" t="s">
        <v>3</v>
      </c>
      <c r="G1" t="s">
        <v>0</v>
      </c>
      <c r="H1" t="s">
        <v>466</v>
      </c>
      <c r="I1" t="s">
        <v>503</v>
      </c>
      <c r="J1" t="s">
        <v>4</v>
      </c>
      <c r="K1" t="s">
        <v>5</v>
      </c>
      <c r="L1" t="s">
        <v>1</v>
      </c>
      <c r="M1" t="s">
        <v>6</v>
      </c>
      <c r="N1" t="s">
        <v>9</v>
      </c>
      <c r="O1" t="s">
        <v>10</v>
      </c>
      <c r="P1" t="s">
        <v>11</v>
      </c>
      <c r="Q1" t="s">
        <v>504</v>
      </c>
      <c r="R1" t="s">
        <v>467</v>
      </c>
      <c r="S1" t="s">
        <v>505</v>
      </c>
      <c r="T1" t="s">
        <v>12</v>
      </c>
      <c r="U1" t="s">
        <v>468</v>
      </c>
      <c r="V1" t="s">
        <v>469</v>
      </c>
      <c r="W1" t="s">
        <v>13</v>
      </c>
      <c r="X1" t="s">
        <v>388</v>
      </c>
      <c r="Y1" t="s">
        <v>389</v>
      </c>
      <c r="Z1" t="s">
        <v>390</v>
      </c>
      <c r="AA1" t="s">
        <v>391</v>
      </c>
      <c r="AB1" t="s">
        <v>392</v>
      </c>
      <c r="AC1" t="s">
        <v>470</v>
      </c>
      <c r="AD1" t="s">
        <v>393</v>
      </c>
      <c r="AE1" t="s">
        <v>506</v>
      </c>
      <c r="AF1" t="s">
        <v>14</v>
      </c>
      <c r="AG1" t="s">
        <v>15</v>
      </c>
      <c r="AH1" t="s">
        <v>471</v>
      </c>
      <c r="AI1" t="s">
        <v>507</v>
      </c>
      <c r="AJ1" t="s">
        <v>472</v>
      </c>
      <c r="AK1" t="s">
        <v>16</v>
      </c>
      <c r="AL1" t="s">
        <v>473</v>
      </c>
      <c r="AM1" t="s">
        <v>310</v>
      </c>
      <c r="AN1" t="s">
        <v>474</v>
      </c>
      <c r="AO1" t="s">
        <v>475</v>
      </c>
      <c r="AP1" t="s">
        <v>476</v>
      </c>
      <c r="AQ1" t="s">
        <v>477</v>
      </c>
      <c r="AR1" t="s">
        <v>478</v>
      </c>
      <c r="AS1" t="s">
        <v>479</v>
      </c>
      <c r="AT1" t="s">
        <v>480</v>
      </c>
      <c r="AU1" t="s">
        <v>481</v>
      </c>
      <c r="AV1" t="s">
        <v>482</v>
      </c>
      <c r="AW1" t="s">
        <v>483</v>
      </c>
      <c r="AX1" t="s">
        <v>484</v>
      </c>
      <c r="AY1" t="s">
        <v>508</v>
      </c>
      <c r="AZ1" t="s">
        <v>311</v>
      </c>
      <c r="BA1" t="s">
        <v>312</v>
      </c>
      <c r="BB1" t="s">
        <v>313</v>
      </c>
      <c r="BC1" t="s">
        <v>314</v>
      </c>
      <c r="BD1" t="s">
        <v>320</v>
      </c>
      <c r="BE1" t="s">
        <v>315</v>
      </c>
      <c r="BF1" t="s">
        <v>316</v>
      </c>
      <c r="BG1" t="s">
        <v>317</v>
      </c>
      <c r="BH1" t="s">
        <v>318</v>
      </c>
      <c r="BI1" t="s">
        <v>509</v>
      </c>
      <c r="BJ1" t="s">
        <v>485</v>
      </c>
      <c r="BK1" t="s">
        <v>319</v>
      </c>
      <c r="BL1" t="s">
        <v>486</v>
      </c>
      <c r="BM1" t="s">
        <v>487</v>
      </c>
      <c r="BN1" t="s">
        <v>488</v>
      </c>
      <c r="BO1" t="s">
        <v>489</v>
      </c>
      <c r="BP1" t="s">
        <v>321</v>
      </c>
      <c r="BQ1" t="s">
        <v>322</v>
      </c>
      <c r="BR1" t="s">
        <v>323</v>
      </c>
      <c r="BS1" t="s">
        <v>490</v>
      </c>
      <c r="BT1" t="s">
        <v>324</v>
      </c>
      <c r="BU1" t="s">
        <v>325</v>
      </c>
      <c r="BV1" t="s">
        <v>326</v>
      </c>
      <c r="BW1" t="s">
        <v>491</v>
      </c>
      <c r="BX1" t="s">
        <v>327</v>
      </c>
      <c r="BY1" t="s">
        <v>328</v>
      </c>
      <c r="BZ1" t="s">
        <v>492</v>
      </c>
      <c r="CA1" t="s">
        <v>329</v>
      </c>
      <c r="CB1" t="s">
        <v>330</v>
      </c>
      <c r="CC1" t="s">
        <v>510</v>
      </c>
      <c r="CD1" t="s">
        <v>511</v>
      </c>
      <c r="CE1" t="s">
        <v>512</v>
      </c>
      <c r="CF1" t="s">
        <v>513</v>
      </c>
      <c r="CG1" s="1" t="s">
        <v>394</v>
      </c>
      <c r="CH1" s="1" t="s">
        <v>395</v>
      </c>
      <c r="CI1" s="1" t="s">
        <v>396</v>
      </c>
      <c r="CJ1" s="1" t="s">
        <v>397</v>
      </c>
      <c r="CK1" s="1" t="s">
        <v>398</v>
      </c>
      <c r="CL1" s="1" t="s">
        <v>399</v>
      </c>
      <c r="CM1" s="1" t="s">
        <v>400</v>
      </c>
      <c r="CN1" s="1" t="s">
        <v>401</v>
      </c>
      <c r="CO1" s="1" t="s">
        <v>402</v>
      </c>
      <c r="CP1" s="1" t="s">
        <v>403</v>
      </c>
      <c r="CQ1" s="1" t="s">
        <v>404</v>
      </c>
      <c r="CR1" s="1" t="s">
        <v>405</v>
      </c>
      <c r="CS1" s="1" t="s">
        <v>514</v>
      </c>
      <c r="CT1" s="1" t="s">
        <v>515</v>
      </c>
      <c r="CU1" s="1" t="s">
        <v>516</v>
      </c>
      <c r="CV1" s="1" t="s">
        <v>517</v>
      </c>
      <c r="CW1" s="1" t="s">
        <v>518</v>
      </c>
      <c r="CX1" s="1" t="s">
        <v>519</v>
      </c>
      <c r="CY1">
        <v>1</v>
      </c>
      <c r="CZ1" t="s">
        <v>520</v>
      </c>
      <c r="DA1" t="s">
        <v>521</v>
      </c>
      <c r="DB1">
        <v>3</v>
      </c>
      <c r="DC1" t="s">
        <v>522</v>
      </c>
      <c r="DD1" t="s">
        <v>523</v>
      </c>
      <c r="DE1">
        <v>6</v>
      </c>
      <c r="DF1" t="s">
        <v>524</v>
      </c>
      <c r="DG1" t="s">
        <v>525</v>
      </c>
      <c r="DH1">
        <v>10</v>
      </c>
      <c r="DI1" t="s">
        <v>526</v>
      </c>
      <c r="DJ1" t="s">
        <v>527</v>
      </c>
      <c r="DK1">
        <v>20</v>
      </c>
      <c r="DL1" t="s">
        <v>528</v>
      </c>
      <c r="DM1" t="s">
        <v>418</v>
      </c>
      <c r="DN1" t="s">
        <v>419</v>
      </c>
      <c r="DO1" s="2" t="s">
        <v>420</v>
      </c>
      <c r="DP1" t="s">
        <v>529</v>
      </c>
      <c r="DQ1" t="s">
        <v>530</v>
      </c>
      <c r="DR1" s="1" t="s">
        <v>531</v>
      </c>
      <c r="DS1" s="1" t="s">
        <v>532</v>
      </c>
      <c r="DT1" s="1" t="s">
        <v>533</v>
      </c>
      <c r="DU1" t="s">
        <v>534</v>
      </c>
      <c r="DV1" t="s">
        <v>535</v>
      </c>
      <c r="DW1" t="s">
        <v>536</v>
      </c>
      <c r="DX1" t="s">
        <v>537</v>
      </c>
      <c r="DY1" t="s">
        <v>538</v>
      </c>
      <c r="DZ1" t="s">
        <v>539</v>
      </c>
      <c r="EA1" t="s">
        <v>540</v>
      </c>
      <c r="EB1" t="s">
        <v>541</v>
      </c>
      <c r="EC1" t="s">
        <v>542</v>
      </c>
      <c r="ED1" t="s">
        <v>543</v>
      </c>
      <c r="EE1" t="s">
        <v>544</v>
      </c>
      <c r="EF1" t="s">
        <v>545</v>
      </c>
      <c r="EG1" t="s">
        <v>546</v>
      </c>
      <c r="EH1" t="s">
        <v>547</v>
      </c>
      <c r="EI1" t="s">
        <v>548</v>
      </c>
      <c r="EJ1" t="s">
        <v>549</v>
      </c>
      <c r="EK1"/>
    </row>
    <row r="2" spans="1:141" s="16" customFormat="1" ht="71.55" customHeight="1" x14ac:dyDescent="0.25">
      <c r="A2" s="27" t="s">
        <v>695</v>
      </c>
      <c r="B2" s="29"/>
      <c r="C2" s="30">
        <v>3</v>
      </c>
      <c r="D2" s="30">
        <v>25</v>
      </c>
      <c r="T2" s="18"/>
      <c r="U2" s="18"/>
      <c r="V2" s="18"/>
      <c r="AB2" s="19"/>
    </row>
    <row r="3" spans="1:141" x14ac:dyDescent="0.25">
      <c r="A3" s="32" t="s">
        <v>740</v>
      </c>
      <c r="B3" s="3"/>
      <c r="C3" s="3"/>
      <c r="D3" s="3"/>
      <c r="E3" t="s">
        <v>696</v>
      </c>
      <c r="F3" t="s">
        <v>697</v>
      </c>
      <c r="G3">
        <v>14.48</v>
      </c>
      <c r="H3">
        <v>-1.7</v>
      </c>
      <c r="I3" t="s">
        <v>741</v>
      </c>
      <c r="J3">
        <v>12499338700</v>
      </c>
      <c r="K3">
        <v>25.48</v>
      </c>
      <c r="L3">
        <v>1.43</v>
      </c>
      <c r="M3" t="s">
        <v>698</v>
      </c>
      <c r="N3" t="s">
        <v>742</v>
      </c>
      <c r="O3" t="s">
        <v>743</v>
      </c>
      <c r="P3" t="s">
        <v>744</v>
      </c>
      <c r="Q3">
        <v>-10.06</v>
      </c>
      <c r="R3" t="s">
        <v>745</v>
      </c>
      <c r="S3">
        <v>193977830</v>
      </c>
      <c r="T3" s="4">
        <v>-0.30109999999999998</v>
      </c>
      <c r="U3" t="s">
        <v>746</v>
      </c>
      <c r="V3">
        <v>518463160</v>
      </c>
      <c r="W3">
        <v>863214000</v>
      </c>
      <c r="X3">
        <v>2.93</v>
      </c>
      <c r="Y3">
        <v>0.28000000000000003</v>
      </c>
      <c r="Z3">
        <v>2.4300000000000002</v>
      </c>
      <c r="AA3" t="s">
        <v>747</v>
      </c>
      <c r="AB3" t="s">
        <v>748</v>
      </c>
      <c r="AC3" t="s">
        <v>241</v>
      </c>
      <c r="AD3" t="s">
        <v>257</v>
      </c>
      <c r="AE3" t="s">
        <v>749</v>
      </c>
      <c r="AF3">
        <v>-46532086</v>
      </c>
      <c r="AG3" t="s">
        <v>750</v>
      </c>
      <c r="AH3" t="s">
        <v>751</v>
      </c>
      <c r="AI3" t="s">
        <v>752</v>
      </c>
      <c r="AJ3" t="s">
        <v>753</v>
      </c>
      <c r="AK3" t="s">
        <v>754</v>
      </c>
      <c r="AL3" t="s">
        <v>24</v>
      </c>
      <c r="AM3" t="s">
        <v>755</v>
      </c>
      <c r="AN3" t="s">
        <v>7</v>
      </c>
      <c r="AO3" t="s">
        <v>756</v>
      </c>
      <c r="AP3" t="s">
        <v>757</v>
      </c>
      <c r="AQ3" t="s">
        <v>7</v>
      </c>
      <c r="AR3" t="s">
        <v>758</v>
      </c>
      <c r="AS3" t="s">
        <v>7</v>
      </c>
      <c r="AT3" t="s">
        <v>759</v>
      </c>
      <c r="AU3" t="s">
        <v>760</v>
      </c>
      <c r="AV3" t="s">
        <v>761</v>
      </c>
      <c r="AW3" t="s">
        <v>762</v>
      </c>
      <c r="AX3" t="s">
        <v>763</v>
      </c>
      <c r="AY3" t="s">
        <v>764</v>
      </c>
      <c r="AZ3" t="s">
        <v>765</v>
      </c>
      <c r="BA3" t="s">
        <v>766</v>
      </c>
      <c r="BB3" t="s">
        <v>767</v>
      </c>
      <c r="BC3" t="s">
        <v>768</v>
      </c>
      <c r="BD3" t="s">
        <v>769</v>
      </c>
      <c r="BE3" t="s">
        <v>42</v>
      </c>
      <c r="BF3" t="s">
        <v>770</v>
      </c>
      <c r="BG3" t="s">
        <v>771</v>
      </c>
      <c r="BH3" t="s">
        <v>772</v>
      </c>
      <c r="BI3" t="s">
        <v>773</v>
      </c>
      <c r="BJ3" t="s">
        <v>774</v>
      </c>
      <c r="BK3" t="s">
        <v>764</v>
      </c>
      <c r="BL3" t="s">
        <v>746</v>
      </c>
      <c r="BM3" t="s">
        <v>163</v>
      </c>
      <c r="BN3" t="s">
        <v>769</v>
      </c>
      <c r="BO3">
        <v>5.39</v>
      </c>
      <c r="BP3">
        <v>4.8099999999999996</v>
      </c>
      <c r="BQ3">
        <v>1.38</v>
      </c>
      <c r="BR3">
        <v>0.79</v>
      </c>
      <c r="BS3">
        <v>5.87</v>
      </c>
      <c r="BT3">
        <v>5.13</v>
      </c>
      <c r="BU3">
        <v>1.42</v>
      </c>
      <c r="BV3">
        <v>0.83</v>
      </c>
      <c r="BW3">
        <v>14.49</v>
      </c>
      <c r="BX3">
        <v>16.850000000000001</v>
      </c>
      <c r="BY3">
        <v>15.91</v>
      </c>
      <c r="BZ3">
        <v>1.63</v>
      </c>
      <c r="CA3">
        <v>1.66</v>
      </c>
      <c r="CB3">
        <v>0.51</v>
      </c>
      <c r="CC3">
        <v>12.34</v>
      </c>
      <c r="CD3">
        <v>5.54</v>
      </c>
      <c r="CE3" t="s">
        <v>775</v>
      </c>
      <c r="CF3" t="s">
        <v>42</v>
      </c>
      <c r="CG3" s="23">
        <v>-0.1006056460639224</v>
      </c>
      <c r="CH3" s="24">
        <v>-0.30223802158273383</v>
      </c>
      <c r="CI3" s="23">
        <v>6.4207173883914948E-2</v>
      </c>
      <c r="CJ3" s="23">
        <v>0.134434774518013</v>
      </c>
      <c r="CK3" s="23">
        <v>3.2744511961936951E-2</v>
      </c>
      <c r="CL3" s="23">
        <v>-9.8800480365753174E-2</v>
      </c>
      <c r="CM3" s="23">
        <v>0.17691670358181</v>
      </c>
      <c r="CN3" s="24">
        <v>4.1742287576198578E-2</v>
      </c>
      <c r="CO3" s="24">
        <v>2.7229728698730469</v>
      </c>
      <c r="CP3" s="24">
        <v>0.61161589622497559</v>
      </c>
      <c r="CQ3" s="24">
        <v>-0.86710089445114136</v>
      </c>
      <c r="CR3" s="24">
        <v>-0.47572079300880432</v>
      </c>
      <c r="CS3">
        <v>0.35488312938303851</v>
      </c>
      <c r="CT3">
        <v>-4818201.3937282227</v>
      </c>
      <c r="CU3">
        <v>1.9935720000000003</v>
      </c>
      <c r="CV3" s="23">
        <v>6.1900536715984347E-2</v>
      </c>
      <c r="CW3" s="24">
        <v>0.40670187324285506</v>
      </c>
      <c r="CX3">
        <v>0.06</v>
      </c>
      <c r="CY3">
        <v>35.963982681750402</v>
      </c>
      <c r="CZ3">
        <v>575029158.5612973</v>
      </c>
      <c r="DA3">
        <v>6.1900536715984347E-2</v>
      </c>
      <c r="DB3">
        <v>12.036595373838328</v>
      </c>
      <c r="DC3">
        <v>1718121948.7488084</v>
      </c>
      <c r="DD3">
        <v>5.8805509880185125E-2</v>
      </c>
      <c r="DE3">
        <v>6.1153927938451185</v>
      </c>
      <c r="DF3">
        <v>3381686082.505424</v>
      </c>
      <c r="DG3">
        <v>5.4472472310066224E-2</v>
      </c>
      <c r="DH3">
        <v>3.8036561568457903</v>
      </c>
      <c r="DI3">
        <v>5436963239.376853</v>
      </c>
      <c r="DJ3">
        <v>4.9520429372787479E-2</v>
      </c>
      <c r="DK3">
        <v>2.118777363211906</v>
      </c>
      <c r="DL3">
        <v>9760505779.9230843</v>
      </c>
      <c r="DM3">
        <v>4.3330375701189042E-2</v>
      </c>
      <c r="DN3">
        <v>574000000</v>
      </c>
      <c r="DO3">
        <v>6.1900536715984347E-2</v>
      </c>
      <c r="DP3">
        <v>20680338700</v>
      </c>
      <c r="DQ3">
        <v>173341000</v>
      </c>
      <c r="DR3">
        <v>138</v>
      </c>
      <c r="DS3">
        <v>-0.16250618277990675</v>
      </c>
      <c r="DT3">
        <v>-0.70893989482558895</v>
      </c>
      <c r="DU3" s="25">
        <v>9.9999999999999992E-2</v>
      </c>
      <c r="DV3">
        <v>6.3333333333333311E-2</v>
      </c>
      <c r="DW3">
        <v>0.1633333333333333</v>
      </c>
      <c r="DX3">
        <v>5.4489465153970826</v>
      </c>
      <c r="DY3">
        <v>0.76067702702702722</v>
      </c>
      <c r="DZ3">
        <v>5.2651823930088923</v>
      </c>
      <c r="EA3">
        <v>2718</v>
      </c>
      <c r="EB3">
        <v>5.112865033710885</v>
      </c>
      <c r="EC3">
        <v>5</v>
      </c>
      <c r="ED3">
        <v>0.10127291726037807</v>
      </c>
      <c r="EE3">
        <v>0.17145227023658097</v>
      </c>
      <c r="EF3" s="22">
        <v>1.0006999999999999</v>
      </c>
      <c r="EG3">
        <v>1.01631</v>
      </c>
      <c r="EH3">
        <v>17.590677027027027</v>
      </c>
      <c r="EI3" t="s">
        <v>551</v>
      </c>
      <c r="EJ3">
        <v>1</v>
      </c>
      <c r="EK3">
        <v>0</v>
      </c>
    </row>
    <row r="4" spans="1:141" x14ac:dyDescent="0.25">
      <c r="A4" s="32"/>
      <c r="B4" s="3"/>
      <c r="C4" s="3"/>
      <c r="D4" s="3"/>
      <c r="E4" t="s">
        <v>699</v>
      </c>
      <c r="F4" t="s">
        <v>700</v>
      </c>
      <c r="G4">
        <v>5.0999999999999996</v>
      </c>
      <c r="H4">
        <v>2.82</v>
      </c>
      <c r="I4" t="s">
        <v>776</v>
      </c>
      <c r="J4">
        <v>8387645800</v>
      </c>
      <c r="K4">
        <v>73.819999999999993</v>
      </c>
      <c r="L4">
        <v>2.3199999999999998</v>
      </c>
      <c r="M4" t="s">
        <v>698</v>
      </c>
      <c r="N4" t="s">
        <v>777</v>
      </c>
      <c r="O4" t="s">
        <v>778</v>
      </c>
      <c r="P4" t="s">
        <v>779</v>
      </c>
      <c r="Q4">
        <v>119.95</v>
      </c>
      <c r="R4" t="s">
        <v>780</v>
      </c>
      <c r="S4">
        <v>-60925369</v>
      </c>
      <c r="T4" s="4">
        <v>3.1E-2</v>
      </c>
      <c r="U4" t="s">
        <v>203</v>
      </c>
      <c r="V4">
        <v>1642155200</v>
      </c>
      <c r="W4">
        <v>1644636400</v>
      </c>
      <c r="X4">
        <v>1.66</v>
      </c>
      <c r="Y4">
        <v>0.09</v>
      </c>
      <c r="Z4">
        <v>-12.3</v>
      </c>
      <c r="AA4" t="s">
        <v>384</v>
      </c>
      <c r="AB4" t="s">
        <v>25</v>
      </c>
      <c r="AC4" t="s">
        <v>781</v>
      </c>
      <c r="AD4" t="s">
        <v>119</v>
      </c>
      <c r="AE4" t="s">
        <v>55</v>
      </c>
      <c r="AF4">
        <v>-1232265</v>
      </c>
      <c r="AG4" t="s">
        <v>782</v>
      </c>
      <c r="AH4" t="s">
        <v>783</v>
      </c>
      <c r="AI4" t="s">
        <v>784</v>
      </c>
      <c r="AJ4" t="s">
        <v>756</v>
      </c>
      <c r="AK4" t="s">
        <v>785</v>
      </c>
      <c r="AL4" t="s">
        <v>7</v>
      </c>
      <c r="AM4" t="s">
        <v>786</v>
      </c>
      <c r="AN4" t="s">
        <v>7</v>
      </c>
      <c r="AO4" t="s">
        <v>787</v>
      </c>
      <c r="AP4" t="s">
        <v>788</v>
      </c>
      <c r="AQ4" t="s">
        <v>226</v>
      </c>
      <c r="AR4" t="s">
        <v>789</v>
      </c>
      <c r="AS4" t="s">
        <v>790</v>
      </c>
      <c r="AT4" t="s">
        <v>791</v>
      </c>
      <c r="AU4" t="s">
        <v>7</v>
      </c>
      <c r="AV4" t="s">
        <v>792</v>
      </c>
      <c r="AW4" t="s">
        <v>793</v>
      </c>
      <c r="AX4" t="s">
        <v>794</v>
      </c>
      <c r="AY4" t="s">
        <v>600</v>
      </c>
      <c r="AZ4" t="s">
        <v>795</v>
      </c>
      <c r="BA4" t="s">
        <v>796</v>
      </c>
      <c r="BB4" t="s">
        <v>663</v>
      </c>
      <c r="BC4" t="s">
        <v>797</v>
      </c>
      <c r="BD4" t="s">
        <v>798</v>
      </c>
      <c r="BE4" t="s">
        <v>799</v>
      </c>
      <c r="BF4" t="s">
        <v>800</v>
      </c>
      <c r="BG4" t="s">
        <v>801</v>
      </c>
      <c r="BH4" t="s">
        <v>54</v>
      </c>
      <c r="BI4" t="s">
        <v>671</v>
      </c>
      <c r="BJ4" t="s">
        <v>681</v>
      </c>
      <c r="BK4" t="s">
        <v>802</v>
      </c>
      <c r="BL4" t="s">
        <v>203</v>
      </c>
      <c r="BM4" t="s">
        <v>803</v>
      </c>
      <c r="BN4" t="s">
        <v>798</v>
      </c>
      <c r="BO4">
        <v>1.92</v>
      </c>
      <c r="BP4">
        <v>-20.12</v>
      </c>
      <c r="BQ4">
        <v>1.21</v>
      </c>
      <c r="BR4">
        <v>-19.59</v>
      </c>
      <c r="BS4">
        <v>3.07</v>
      </c>
      <c r="BT4">
        <v>-31.39</v>
      </c>
      <c r="BU4">
        <v>1.75</v>
      </c>
      <c r="BV4">
        <v>-28.57</v>
      </c>
      <c r="BW4">
        <v>18.68</v>
      </c>
      <c r="BX4">
        <v>19.07</v>
      </c>
      <c r="BY4">
        <v>5.24</v>
      </c>
      <c r="BZ4">
        <v>7.66</v>
      </c>
      <c r="CA4">
        <v>-93.25</v>
      </c>
      <c r="CB4">
        <v>2.08</v>
      </c>
      <c r="CC4">
        <v>8.0500000000000007</v>
      </c>
      <c r="CD4">
        <v>-5.9</v>
      </c>
      <c r="CE4" t="s">
        <v>165</v>
      </c>
      <c r="CF4" t="s">
        <v>804</v>
      </c>
      <c r="CG4" s="23">
        <v>1.1984874303405573</v>
      </c>
      <c r="CH4" s="24">
        <v>3.0967976409362455E-2</v>
      </c>
      <c r="CI4" s="23">
        <v>0.25138121843338013</v>
      </c>
      <c r="CJ4" s="23">
        <v>-0.69132381677627563</v>
      </c>
      <c r="CK4" s="23">
        <v>-7.0537000894546509E-2</v>
      </c>
      <c r="CL4" s="23">
        <v>-0.47877725958824158</v>
      </c>
      <c r="CM4" s="23">
        <v>-0.30287975072860718</v>
      </c>
      <c r="CN4" s="24">
        <v>1.0838950872421265</v>
      </c>
      <c r="CO4" s="24">
        <v>-16.669713973999023</v>
      </c>
      <c r="CP4" s="24">
        <v>1.0520440340042114</v>
      </c>
      <c r="CQ4" s="24">
        <v>-0.64688122272491455</v>
      </c>
      <c r="CR4" s="24">
        <v>-5.3217391967773437</v>
      </c>
      <c r="CS4">
        <v>4.6289435982339953</v>
      </c>
      <c r="CT4">
        <v>-30666690.178571425</v>
      </c>
      <c r="CU4">
        <v>-1.8376199999999998</v>
      </c>
      <c r="CV4" s="23">
        <v>-0.25842732191085815</v>
      </c>
      <c r="CW4" s="24">
        <v>-4.1004790544509886</v>
      </c>
      <c r="CX4">
        <v>0.06</v>
      </c>
      <c r="CY4" t="e">
        <v>#VALUE!</v>
      </c>
      <c r="CZ4" t="s">
        <v>805</v>
      </c>
      <c r="DA4">
        <v>-0.25842732191085815</v>
      </c>
      <c r="DB4">
        <v>20.492993452380951</v>
      </c>
      <c r="DC4" t="s">
        <v>806</v>
      </c>
      <c r="DD4">
        <v>-0.24550595581531523</v>
      </c>
      <c r="DE4">
        <v>10.246496726190475</v>
      </c>
      <c r="DF4" t="s">
        <v>807</v>
      </c>
      <c r="DG4">
        <v>-0.22741604328155518</v>
      </c>
      <c r="DH4">
        <v>6.1478980357142854</v>
      </c>
      <c r="DI4" t="s">
        <v>808</v>
      </c>
      <c r="DJ4">
        <v>-0.20674185752868654</v>
      </c>
      <c r="DK4">
        <v>3.0739490178571427</v>
      </c>
      <c r="DL4" t="s">
        <v>809</v>
      </c>
      <c r="DM4">
        <v>-0.18089912533760069</v>
      </c>
      <c r="DN4">
        <v>112000000.00000001</v>
      </c>
      <c r="DO4">
        <v>-0.25842732191085815</v>
      </c>
      <c r="DP4">
        <v>6885645800</v>
      </c>
      <c r="DQ4">
        <v>-194130700</v>
      </c>
      <c r="DR4">
        <v>157</v>
      </c>
      <c r="DS4">
        <v>1.4569147522514154</v>
      </c>
      <c r="DT4">
        <v>4.1314470308603513</v>
      </c>
      <c r="DU4" s="25">
        <v>-0.12999999999999992</v>
      </c>
      <c r="DV4">
        <v>-2.2816666666666667</v>
      </c>
      <c r="DW4">
        <v>-2.4116666666666666</v>
      </c>
      <c r="DX4">
        <v>5.7329192546583849</v>
      </c>
      <c r="DY4">
        <v>0.45403066829392347</v>
      </c>
      <c r="DZ4">
        <v>5.1275504276936843</v>
      </c>
      <c r="EA4">
        <v>4552</v>
      </c>
      <c r="EB4">
        <v>5.0039901921410879</v>
      </c>
      <c r="EC4">
        <v>5</v>
      </c>
      <c r="ED4">
        <v>0.11735116649491645</v>
      </c>
      <c r="EE4">
        <v>0.674313179496696</v>
      </c>
      <c r="EF4" s="22">
        <v>1.0154000000000001</v>
      </c>
      <c r="EG4">
        <v>1.0436000000000001</v>
      </c>
      <c r="EH4">
        <v>28.174030668293923</v>
      </c>
      <c r="EI4" t="s">
        <v>498</v>
      </c>
      <c r="EJ4">
        <v>1</v>
      </c>
      <c r="EK4">
        <v>0</v>
      </c>
    </row>
    <row r="5" spans="1:141" x14ac:dyDescent="0.25">
      <c r="A5" s="32"/>
      <c r="B5" s="3"/>
      <c r="C5" s="3"/>
      <c r="D5" s="3"/>
      <c r="E5" t="s">
        <v>701</v>
      </c>
      <c r="F5" t="s">
        <v>702</v>
      </c>
      <c r="G5">
        <v>13.81</v>
      </c>
      <c r="H5">
        <v>3.29</v>
      </c>
      <c r="I5" t="s">
        <v>170</v>
      </c>
      <c r="J5">
        <v>105400038000</v>
      </c>
      <c r="K5">
        <v>14.57</v>
      </c>
      <c r="L5">
        <v>1.73</v>
      </c>
      <c r="M5" t="s">
        <v>698</v>
      </c>
      <c r="N5" t="s">
        <v>810</v>
      </c>
      <c r="O5" t="s">
        <v>811</v>
      </c>
      <c r="P5" t="s">
        <v>812</v>
      </c>
      <c r="Q5">
        <v>7.96</v>
      </c>
      <c r="R5" t="s">
        <v>813</v>
      </c>
      <c r="S5">
        <v>4536355100</v>
      </c>
      <c r="T5" s="4">
        <v>4.3140000000000001</v>
      </c>
      <c r="U5" t="s">
        <v>814</v>
      </c>
      <c r="V5">
        <v>5849553900</v>
      </c>
      <c r="W5">
        <v>7632153400</v>
      </c>
      <c r="X5">
        <v>2.31</v>
      </c>
      <c r="Y5">
        <v>0.25</v>
      </c>
      <c r="Z5">
        <v>13.11</v>
      </c>
      <c r="AA5" t="s">
        <v>815</v>
      </c>
      <c r="AB5" t="s">
        <v>816</v>
      </c>
      <c r="AC5" t="s">
        <v>817</v>
      </c>
      <c r="AD5" t="s">
        <v>97</v>
      </c>
      <c r="AE5" t="s">
        <v>818</v>
      </c>
      <c r="AF5">
        <v>-209679380</v>
      </c>
      <c r="AG5" t="s">
        <v>819</v>
      </c>
      <c r="AH5" t="s">
        <v>820</v>
      </c>
      <c r="AI5" t="s">
        <v>821</v>
      </c>
      <c r="AJ5" t="s">
        <v>822</v>
      </c>
      <c r="AK5" t="s">
        <v>823</v>
      </c>
      <c r="AL5" t="s">
        <v>824</v>
      </c>
      <c r="AM5" t="s">
        <v>825</v>
      </c>
      <c r="AN5" t="s">
        <v>7</v>
      </c>
      <c r="AO5" t="s">
        <v>826</v>
      </c>
      <c r="AP5" t="s">
        <v>827</v>
      </c>
      <c r="AQ5" t="s">
        <v>828</v>
      </c>
      <c r="AR5" t="s">
        <v>829</v>
      </c>
      <c r="AS5" t="s">
        <v>7</v>
      </c>
      <c r="AT5" t="s">
        <v>830</v>
      </c>
      <c r="AU5" t="s">
        <v>831</v>
      </c>
      <c r="AV5" t="s">
        <v>832</v>
      </c>
      <c r="AW5" t="s">
        <v>833</v>
      </c>
      <c r="AX5" t="s">
        <v>834</v>
      </c>
      <c r="AY5" t="s">
        <v>835</v>
      </c>
      <c r="AZ5" t="s">
        <v>836</v>
      </c>
      <c r="BA5" t="s">
        <v>837</v>
      </c>
      <c r="BB5" t="s">
        <v>838</v>
      </c>
      <c r="BC5" t="s">
        <v>839</v>
      </c>
      <c r="BD5" t="s">
        <v>667</v>
      </c>
      <c r="BE5" t="s">
        <v>840</v>
      </c>
      <c r="BF5" t="s">
        <v>841</v>
      </c>
      <c r="BG5" t="s">
        <v>842</v>
      </c>
      <c r="BH5" t="s">
        <v>843</v>
      </c>
      <c r="BI5" t="s">
        <v>844</v>
      </c>
      <c r="BJ5" t="s">
        <v>845</v>
      </c>
      <c r="BK5" t="s">
        <v>835</v>
      </c>
      <c r="BL5" t="s">
        <v>814</v>
      </c>
      <c r="BM5" t="s">
        <v>846</v>
      </c>
      <c r="BN5" t="s">
        <v>667</v>
      </c>
      <c r="BO5">
        <v>3.96</v>
      </c>
      <c r="BP5">
        <v>4.7</v>
      </c>
      <c r="BQ5">
        <v>-4.21</v>
      </c>
      <c r="BR5">
        <v>1.03</v>
      </c>
      <c r="BS5">
        <v>6.53</v>
      </c>
      <c r="BT5">
        <v>7.13</v>
      </c>
      <c r="BU5">
        <v>-5.86</v>
      </c>
      <c r="BV5">
        <v>1.45</v>
      </c>
      <c r="BW5">
        <v>16.64</v>
      </c>
      <c r="BX5">
        <v>14.3</v>
      </c>
      <c r="BY5">
        <v>14.68</v>
      </c>
      <c r="BZ5">
        <v>3.43</v>
      </c>
      <c r="CA5">
        <v>3.89</v>
      </c>
      <c r="CB5">
        <v>-3.75</v>
      </c>
      <c r="CC5">
        <v>15.47</v>
      </c>
      <c r="CD5">
        <v>21.89</v>
      </c>
      <c r="CE5" t="s">
        <v>847</v>
      </c>
      <c r="CF5" t="s">
        <v>848</v>
      </c>
      <c r="CG5" s="23">
        <v>7.9584631716988791E-2</v>
      </c>
      <c r="CH5" s="24">
        <v>4.3118912177985953</v>
      </c>
      <c r="CI5" s="23">
        <v>0.24331294000148773</v>
      </c>
      <c r="CJ5" s="23">
        <v>0.19790348410606384</v>
      </c>
      <c r="CK5" s="23">
        <v>6.4813464879989624E-2</v>
      </c>
      <c r="CL5" s="23">
        <v>-0.1713993102312088</v>
      </c>
      <c r="CM5" s="23">
        <v>1.8716169521212578E-2</v>
      </c>
      <c r="CN5" s="24">
        <v>6.8592056632041931E-2</v>
      </c>
      <c r="CO5" s="24">
        <v>2.2557613849639893</v>
      </c>
      <c r="CP5" s="24">
        <v>-4.8869309425354004</v>
      </c>
      <c r="CQ5" s="24">
        <v>-0.90458178520202637</v>
      </c>
      <c r="CR5" s="24">
        <v>-0.30607679486274719</v>
      </c>
      <c r="CS5">
        <v>1.0024541857678189</v>
      </c>
      <c r="CT5">
        <v>63906891.891891882</v>
      </c>
      <c r="CU5">
        <v>7.5710249999999997</v>
      </c>
      <c r="CV5" s="23">
        <v>7.0669349655509001E-2</v>
      </c>
      <c r="CW5" s="24">
        <v>-0.75464721620082853</v>
      </c>
      <c r="CX5">
        <v>0.06</v>
      </c>
      <c r="CY5">
        <v>34.627539642400308</v>
      </c>
      <c r="CZ5">
        <v>3587752386.7701592</v>
      </c>
      <c r="DA5">
        <v>7.0669349655509001E-2</v>
      </c>
      <c r="DB5">
        <v>11.503120063518708</v>
      </c>
      <c r="DC5">
        <v>10800116604.363907</v>
      </c>
      <c r="DD5">
        <v>6.7135882172733544E-2</v>
      </c>
      <c r="DE5">
        <v>5.7873718097406792</v>
      </c>
      <c r="DF5">
        <v>21466572752.575012</v>
      </c>
      <c r="DG5">
        <v>6.2189027696847921E-2</v>
      </c>
      <c r="DH5">
        <v>3.5609979804250709</v>
      </c>
      <c r="DI5">
        <v>34887702459.513962</v>
      </c>
      <c r="DJ5">
        <v>5.65354797244072E-2</v>
      </c>
      <c r="DK5">
        <v>1.9388943325254202</v>
      </c>
      <c r="DL5">
        <v>64075197867.118011</v>
      </c>
      <c r="DM5">
        <v>4.94685447588563E-2</v>
      </c>
      <c r="DN5">
        <v>3552000000.0000005</v>
      </c>
      <c r="DO5">
        <v>7.0669349655509001E-2</v>
      </c>
      <c r="DP5">
        <v>124235038000</v>
      </c>
      <c r="DQ5">
        <v>20760524000</v>
      </c>
      <c r="DR5">
        <v>194</v>
      </c>
      <c r="DS5">
        <v>8.9152820614797901E-3</v>
      </c>
      <c r="DT5">
        <v>5.0665384339994235</v>
      </c>
      <c r="DU5" s="25">
        <v>0.20000000000000004</v>
      </c>
      <c r="DV5">
        <v>-6.6666666666666693E-2</v>
      </c>
      <c r="DW5">
        <v>0.13333333333333336</v>
      </c>
      <c r="DX5">
        <v>9.7067153951576053</v>
      </c>
      <c r="DY5">
        <v>0.61273204903677692</v>
      </c>
      <c r="DZ5">
        <v>9.277549785226082</v>
      </c>
      <c r="EA5">
        <v>2754</v>
      </c>
      <c r="EB5">
        <v>9.1160172179157204</v>
      </c>
      <c r="EC5">
        <v>9</v>
      </c>
      <c r="ED5">
        <v>0.23505816851113084</v>
      </c>
      <c r="EE5">
        <v>0.59852046474852039</v>
      </c>
      <c r="EF5" s="22">
        <v>1.0974999999999999</v>
      </c>
      <c r="EG5">
        <v>1.1304000000000001</v>
      </c>
      <c r="EH5">
        <v>22.392732049036777</v>
      </c>
      <c r="EI5" t="s">
        <v>498</v>
      </c>
      <c r="EJ5">
        <v>1</v>
      </c>
      <c r="EK5">
        <v>0</v>
      </c>
    </row>
    <row r="6" spans="1:141" x14ac:dyDescent="0.25">
      <c r="A6" s="32"/>
      <c r="B6" s="3"/>
      <c r="C6" s="3"/>
      <c r="D6" s="3"/>
      <c r="E6" t="s">
        <v>703</v>
      </c>
      <c r="F6" t="s">
        <v>704</v>
      </c>
      <c r="G6">
        <v>8.31</v>
      </c>
      <c r="H6">
        <v>0.36</v>
      </c>
      <c r="I6" t="s">
        <v>849</v>
      </c>
      <c r="J6">
        <v>38675692000</v>
      </c>
      <c r="K6">
        <v>15.08</v>
      </c>
      <c r="L6">
        <v>1.45</v>
      </c>
      <c r="M6" t="s">
        <v>698</v>
      </c>
      <c r="N6" t="s">
        <v>850</v>
      </c>
      <c r="O6" t="s">
        <v>851</v>
      </c>
      <c r="P6" t="s">
        <v>852</v>
      </c>
      <c r="Q6">
        <v>-66.39</v>
      </c>
      <c r="R6" t="s">
        <v>853</v>
      </c>
      <c r="S6">
        <v>452160340</v>
      </c>
      <c r="T6" s="4">
        <v>-0.74709999999999999</v>
      </c>
      <c r="U6" t="s">
        <v>854</v>
      </c>
      <c r="V6">
        <v>1411754100</v>
      </c>
      <c r="W6">
        <v>4654114600</v>
      </c>
      <c r="X6">
        <v>2.61</v>
      </c>
      <c r="Y6">
        <v>0.22</v>
      </c>
      <c r="Z6">
        <v>2.98</v>
      </c>
      <c r="AA6" t="s">
        <v>855</v>
      </c>
      <c r="AB6" t="s">
        <v>856</v>
      </c>
      <c r="AC6" t="s">
        <v>857</v>
      </c>
      <c r="AD6" t="s">
        <v>614</v>
      </c>
      <c r="AE6" t="s">
        <v>371</v>
      </c>
      <c r="AF6">
        <v>-315332740</v>
      </c>
      <c r="AG6" t="s">
        <v>858</v>
      </c>
      <c r="AH6" t="s">
        <v>859</v>
      </c>
      <c r="AI6" t="s">
        <v>860</v>
      </c>
      <c r="AJ6" t="s">
        <v>861</v>
      </c>
      <c r="AK6" t="s">
        <v>862</v>
      </c>
      <c r="AL6" t="s">
        <v>863</v>
      </c>
      <c r="AM6" t="s">
        <v>864</v>
      </c>
      <c r="AN6" t="s">
        <v>7</v>
      </c>
      <c r="AO6" t="s">
        <v>865</v>
      </c>
      <c r="AP6" t="s">
        <v>7</v>
      </c>
      <c r="AQ6" t="s">
        <v>866</v>
      </c>
      <c r="AR6" t="s">
        <v>867</v>
      </c>
      <c r="AS6" t="s">
        <v>868</v>
      </c>
      <c r="AT6" t="s">
        <v>869</v>
      </c>
      <c r="AU6" t="s">
        <v>7</v>
      </c>
      <c r="AV6" t="s">
        <v>870</v>
      </c>
      <c r="AW6" t="s">
        <v>871</v>
      </c>
      <c r="AX6" t="s">
        <v>872</v>
      </c>
      <c r="AY6" t="s">
        <v>873</v>
      </c>
      <c r="AZ6" t="s">
        <v>874</v>
      </c>
      <c r="BA6" t="s">
        <v>875</v>
      </c>
      <c r="BB6" t="s">
        <v>876</v>
      </c>
      <c r="BC6" t="s">
        <v>877</v>
      </c>
      <c r="BD6" t="s">
        <v>878</v>
      </c>
      <c r="BE6" t="s">
        <v>879</v>
      </c>
      <c r="BF6" t="s">
        <v>650</v>
      </c>
      <c r="BG6" t="s">
        <v>128</v>
      </c>
      <c r="BH6" t="s">
        <v>880</v>
      </c>
      <c r="BI6" t="s">
        <v>881</v>
      </c>
      <c r="BJ6" t="s">
        <v>882</v>
      </c>
      <c r="BK6" t="s">
        <v>873</v>
      </c>
      <c r="BL6" t="s">
        <v>854</v>
      </c>
      <c r="BM6" t="s">
        <v>883</v>
      </c>
      <c r="BN6" t="s">
        <v>878</v>
      </c>
      <c r="BO6">
        <v>10.06</v>
      </c>
      <c r="BP6">
        <v>11.9</v>
      </c>
      <c r="BQ6">
        <v>0.56000000000000005</v>
      </c>
      <c r="BR6">
        <v>2.2999999999999998</v>
      </c>
      <c r="BS6">
        <v>15.37</v>
      </c>
      <c r="BT6">
        <v>10.75</v>
      </c>
      <c r="BU6">
        <v>0.66</v>
      </c>
      <c r="BV6">
        <v>1.93</v>
      </c>
      <c r="BW6">
        <v>10.07</v>
      </c>
      <c r="BX6">
        <v>9.1999999999999993</v>
      </c>
      <c r="BY6">
        <v>18.690000000000001</v>
      </c>
      <c r="BZ6">
        <v>3.95</v>
      </c>
      <c r="CA6">
        <v>2.3199999999999998</v>
      </c>
      <c r="CB6">
        <v>0.14000000000000001</v>
      </c>
      <c r="CC6">
        <v>6.4</v>
      </c>
      <c r="CD6">
        <v>-3.82</v>
      </c>
      <c r="CE6" t="s">
        <v>884</v>
      </c>
      <c r="CF6" t="s">
        <v>213</v>
      </c>
      <c r="CG6" s="23">
        <v>-0.66394148558758315</v>
      </c>
      <c r="CH6" s="24">
        <v>-0.74711390380313203</v>
      </c>
      <c r="CI6" s="23">
        <v>-0.13133242726325989</v>
      </c>
      <c r="CJ6" s="23">
        <v>6.7958652973175049E-2</v>
      </c>
      <c r="CK6" s="23">
        <v>3.1704668998718262</v>
      </c>
      <c r="CL6" s="23">
        <v>-6.502068042755127E-2</v>
      </c>
      <c r="CM6" s="23">
        <v>0.23608790338039398</v>
      </c>
      <c r="CN6" s="24">
        <v>0.45958083868026733</v>
      </c>
      <c r="CO6" s="24">
        <v>0.34474077820777893</v>
      </c>
      <c r="CP6" s="24">
        <v>8.788177490234375</v>
      </c>
      <c r="CQ6" s="24">
        <v>-0.17142857611179352</v>
      </c>
      <c r="CR6" s="24">
        <v>1.2568135261535645</v>
      </c>
      <c r="CS6">
        <v>0.39164861115330479</v>
      </c>
      <c r="CT6">
        <v>9940364.615384616</v>
      </c>
      <c r="CU6">
        <v>1.7111159999999999</v>
      </c>
      <c r="CV6" s="23">
        <v>0.65563206970691679</v>
      </c>
      <c r="CW6" s="24">
        <v>2.1355768114328386</v>
      </c>
      <c r="CX6">
        <v>0.06</v>
      </c>
      <c r="CY6">
        <v>9.0123785512849679</v>
      </c>
      <c r="CZ6">
        <v>6091476482.8839388</v>
      </c>
      <c r="DA6">
        <v>0.65563206970691679</v>
      </c>
      <c r="DB6">
        <v>1.8860658859335124</v>
      </c>
      <c r="DC6">
        <v>29107515495.317795</v>
      </c>
      <c r="DD6">
        <v>0.62285046622157092</v>
      </c>
      <c r="DE6">
        <v>0.46889721453904581</v>
      </c>
      <c r="DF6">
        <v>117080439588.38339</v>
      </c>
      <c r="DG6">
        <v>0.57695622134208679</v>
      </c>
      <c r="DH6">
        <v>0.11634601206376971</v>
      </c>
      <c r="DI6">
        <v>471857101298.06433</v>
      </c>
      <c r="DJ6">
        <v>0.52450565576553343</v>
      </c>
      <c r="DK6">
        <v>6.4781929220056478E-3</v>
      </c>
      <c r="DL6">
        <v>8474383622246.8301</v>
      </c>
      <c r="DM6">
        <v>0.4589424487948417</v>
      </c>
      <c r="DN6">
        <v>3900000000</v>
      </c>
      <c r="DO6">
        <v>0.65563206970691679</v>
      </c>
      <c r="DP6">
        <v>54898692000</v>
      </c>
      <c r="DQ6">
        <v>11930136000</v>
      </c>
      <c r="DR6">
        <v>310</v>
      </c>
      <c r="DS6">
        <v>-1.3195735552944998</v>
      </c>
      <c r="DT6">
        <v>-2.8826907152359706</v>
      </c>
      <c r="DU6" s="25">
        <v>5.9999999999999977E-2</v>
      </c>
      <c r="DV6">
        <v>0.39166666666666666</v>
      </c>
      <c r="DW6">
        <v>0.45166666666666666</v>
      </c>
      <c r="DX6">
        <v>5.5968749999999998</v>
      </c>
      <c r="DY6">
        <v>0.44685666666666607</v>
      </c>
      <c r="DZ6">
        <v>5.1473425729166671</v>
      </c>
      <c r="EA6">
        <v>2203</v>
      </c>
      <c r="EB6">
        <v>5.0787466963030958</v>
      </c>
      <c r="EC6">
        <v>5</v>
      </c>
      <c r="ED6">
        <v>1.4320940872405678E-2</v>
      </c>
      <c r="EE6">
        <v>5.8013182571825798E-2</v>
      </c>
      <c r="EF6" s="22">
        <v>6.0900000000000003E-2</v>
      </c>
      <c r="EG6">
        <v>6.4500000000000002E-2</v>
      </c>
      <c r="EH6">
        <v>20.246856666666666</v>
      </c>
      <c r="EI6" t="s">
        <v>496</v>
      </c>
      <c r="EJ6">
        <v>1</v>
      </c>
      <c r="EK6">
        <v>0</v>
      </c>
    </row>
    <row r="7" spans="1:141" x14ac:dyDescent="0.25">
      <c r="A7" s="32"/>
      <c r="B7" s="3"/>
      <c r="C7" s="3"/>
      <c r="D7" s="3"/>
      <c r="E7" t="s">
        <v>705</v>
      </c>
      <c r="F7" t="s">
        <v>706</v>
      </c>
      <c r="G7">
        <v>4.1399999999999997</v>
      </c>
      <c r="H7">
        <v>5.61</v>
      </c>
      <c r="I7" t="s">
        <v>885</v>
      </c>
      <c r="J7">
        <v>3035982800</v>
      </c>
      <c r="L7">
        <v>13.42</v>
      </c>
      <c r="M7" t="s">
        <v>698</v>
      </c>
      <c r="N7" t="s">
        <v>886</v>
      </c>
      <c r="O7" t="s">
        <v>887</v>
      </c>
      <c r="P7" t="s">
        <v>888</v>
      </c>
      <c r="Q7">
        <v>-14.9</v>
      </c>
      <c r="R7" t="s">
        <v>889</v>
      </c>
      <c r="S7">
        <v>-39992959</v>
      </c>
      <c r="T7" s="4">
        <v>-1.079</v>
      </c>
      <c r="U7" t="s">
        <v>592</v>
      </c>
      <c r="V7">
        <v>733329170</v>
      </c>
      <c r="W7">
        <v>733329170</v>
      </c>
      <c r="X7">
        <v>13.22</v>
      </c>
      <c r="Y7">
        <v>0.09</v>
      </c>
      <c r="Z7">
        <v>-15.34</v>
      </c>
      <c r="AA7" t="s">
        <v>96</v>
      </c>
      <c r="AB7" t="s">
        <v>173</v>
      </c>
      <c r="AC7" t="s">
        <v>890</v>
      </c>
      <c r="AD7" t="s">
        <v>891</v>
      </c>
      <c r="AE7" t="s">
        <v>892</v>
      </c>
      <c r="AF7">
        <v>17598896</v>
      </c>
      <c r="AG7" t="s">
        <v>893</v>
      </c>
      <c r="AH7" t="s">
        <v>894</v>
      </c>
      <c r="AI7" t="s">
        <v>895</v>
      </c>
      <c r="AJ7" t="s">
        <v>896</v>
      </c>
      <c r="AK7" t="s">
        <v>897</v>
      </c>
      <c r="AL7" t="s">
        <v>7</v>
      </c>
      <c r="AM7" t="s">
        <v>898</v>
      </c>
      <c r="AN7" t="s">
        <v>7</v>
      </c>
      <c r="AO7" t="s">
        <v>899</v>
      </c>
      <c r="AP7" t="s">
        <v>900</v>
      </c>
      <c r="AQ7" t="s">
        <v>901</v>
      </c>
      <c r="AR7" t="s">
        <v>902</v>
      </c>
      <c r="AS7" t="s">
        <v>7</v>
      </c>
      <c r="AT7" t="s">
        <v>903</v>
      </c>
      <c r="AU7" t="s">
        <v>73</v>
      </c>
      <c r="AV7" t="s">
        <v>137</v>
      </c>
      <c r="AW7" t="s">
        <v>904</v>
      </c>
      <c r="AX7" t="s">
        <v>905</v>
      </c>
      <c r="AY7" t="s">
        <v>906</v>
      </c>
      <c r="AZ7" t="s">
        <v>907</v>
      </c>
      <c r="BA7" t="s">
        <v>908</v>
      </c>
      <c r="BB7" t="s">
        <v>909</v>
      </c>
      <c r="BC7" t="s">
        <v>910</v>
      </c>
      <c r="BD7" t="s">
        <v>911</v>
      </c>
      <c r="BE7" t="s">
        <v>912</v>
      </c>
      <c r="BF7" t="s">
        <v>913</v>
      </c>
      <c r="BG7" t="s">
        <v>914</v>
      </c>
      <c r="BH7" t="s">
        <v>915</v>
      </c>
      <c r="BI7" t="s">
        <v>106</v>
      </c>
      <c r="BJ7" t="s">
        <v>208</v>
      </c>
      <c r="BK7" t="s">
        <v>906</v>
      </c>
      <c r="BL7" t="s">
        <v>592</v>
      </c>
      <c r="BM7" t="s">
        <v>916</v>
      </c>
      <c r="BN7" t="s">
        <v>911</v>
      </c>
      <c r="BO7">
        <v>-10.69</v>
      </c>
      <c r="BP7">
        <v>3.24</v>
      </c>
      <c r="BQ7">
        <v>0.91</v>
      </c>
      <c r="BR7">
        <v>-18.940000000000001</v>
      </c>
      <c r="BS7">
        <v>-66.92</v>
      </c>
      <c r="BT7">
        <v>20.94</v>
      </c>
      <c r="BU7">
        <v>8.2799999999999994</v>
      </c>
      <c r="BV7">
        <v>-120.86</v>
      </c>
      <c r="BW7">
        <v>7.03</v>
      </c>
      <c r="BX7">
        <v>12.57</v>
      </c>
      <c r="BY7">
        <v>16.07</v>
      </c>
      <c r="BZ7">
        <v>-15.9</v>
      </c>
      <c r="CA7">
        <v>3.1</v>
      </c>
      <c r="CB7">
        <v>1.42</v>
      </c>
      <c r="CC7">
        <v>18.29</v>
      </c>
      <c r="CD7">
        <v>-12.84</v>
      </c>
      <c r="CE7" t="s">
        <v>129</v>
      </c>
      <c r="CF7" t="s">
        <v>917</v>
      </c>
      <c r="CG7" s="23">
        <v>-0.14842662337662338</v>
      </c>
      <c r="CH7" s="24">
        <v>-1.0787657754121878</v>
      </c>
      <c r="CI7" s="23">
        <v>-0.45368099212646484</v>
      </c>
      <c r="CJ7" s="23">
        <v>-3.4360188990831375E-2</v>
      </c>
      <c r="CK7" s="23">
        <v>7.2767689824104309E-2</v>
      </c>
      <c r="CL7" s="23">
        <v>-0.4224628210067749</v>
      </c>
      <c r="CM7" s="23">
        <v>0.14546976983547211</v>
      </c>
      <c r="CN7" s="24">
        <v>-3.6510708332061768</v>
      </c>
      <c r="CO7" s="24">
        <v>1.9619458913803101</v>
      </c>
      <c r="CP7" s="24">
        <v>1.0376490354537964</v>
      </c>
      <c r="CQ7" s="24">
        <v>-2.8826086521148682</v>
      </c>
      <c r="CR7" s="24">
        <v>-5.47900390625</v>
      </c>
      <c r="CS7">
        <v>1.7046506457046606</v>
      </c>
      <c r="CT7">
        <v>19410444.318181816</v>
      </c>
      <c r="CU7">
        <v>-18.251532000000001</v>
      </c>
      <c r="CV7" s="23">
        <v>-0.13845330849289894</v>
      </c>
      <c r="CW7" s="24">
        <v>-1.8026176929473876</v>
      </c>
      <c r="CX7">
        <v>0.06</v>
      </c>
      <c r="CY7" t="e">
        <v>#VALUE!</v>
      </c>
      <c r="CZ7" t="s">
        <v>573</v>
      </c>
      <c r="DA7">
        <v>-0.13845330849289894</v>
      </c>
      <c r="DB7" t="e">
        <v>#VALUE!</v>
      </c>
      <c r="DC7" t="s">
        <v>574</v>
      </c>
      <c r="DD7">
        <v>-0.13153064306825399</v>
      </c>
      <c r="DE7" t="e">
        <v>#VALUE!</v>
      </c>
      <c r="DF7" t="s">
        <v>574</v>
      </c>
      <c r="DG7">
        <v>-0.12183891147375107</v>
      </c>
      <c r="DH7" t="e">
        <v>#VALUE!</v>
      </c>
      <c r="DI7" t="s">
        <v>574</v>
      </c>
      <c r="DJ7">
        <v>-0.11076264679431916</v>
      </c>
      <c r="DK7" t="e">
        <v>#VALUE!</v>
      </c>
      <c r="DL7" t="s">
        <v>574</v>
      </c>
      <c r="DM7">
        <v>-9.6917315945029253E-2</v>
      </c>
      <c r="DN7">
        <v>-264000000</v>
      </c>
      <c r="DO7">
        <v>-0.13845330849289894</v>
      </c>
      <c r="DP7">
        <v>6183982800</v>
      </c>
      <c r="DQ7">
        <v>-751829600</v>
      </c>
      <c r="DR7">
        <v>351</v>
      </c>
      <c r="DS7">
        <v>-9.9733148837244379E-3</v>
      </c>
      <c r="DT7">
        <v>0.72385191753519984</v>
      </c>
      <c r="DU7" s="25">
        <v>-0.28333333333333333</v>
      </c>
      <c r="DV7">
        <v>-2.3733333333333335</v>
      </c>
      <c r="DW7">
        <v>-2.6566666666666667</v>
      </c>
      <c r="DX7">
        <v>5.7020229633679609</v>
      </c>
      <c r="DY7">
        <v>0.66567084078711947</v>
      </c>
      <c r="DZ7">
        <v>5.2637295569003069</v>
      </c>
      <c r="EA7">
        <v>4611</v>
      </c>
      <c r="EB7">
        <v>5.0059811493404691</v>
      </c>
      <c r="EC7">
        <v>5</v>
      </c>
      <c r="ED7">
        <v>0.28636526213732916</v>
      </c>
      <c r="EE7">
        <v>0.76227705492746178</v>
      </c>
      <c r="EF7" s="22">
        <v>-4.1188000000000002</v>
      </c>
      <c r="EG7">
        <v>-3.0249000000000001</v>
      </c>
      <c r="EH7">
        <v>29.375670840787119</v>
      </c>
      <c r="EI7" t="s">
        <v>918</v>
      </c>
      <c r="EJ7">
        <v>1</v>
      </c>
      <c r="EK7">
        <v>0</v>
      </c>
    </row>
    <row r="8" spans="1:141" x14ac:dyDescent="0.25">
      <c r="A8" s="32"/>
      <c r="B8" s="3"/>
      <c r="C8" s="3"/>
      <c r="D8" s="3"/>
      <c r="E8" t="s">
        <v>707</v>
      </c>
      <c r="F8" t="s">
        <v>708</v>
      </c>
      <c r="G8">
        <v>12.11</v>
      </c>
      <c r="H8">
        <v>-1.3</v>
      </c>
      <c r="I8" t="s">
        <v>919</v>
      </c>
      <c r="J8">
        <v>14227668000</v>
      </c>
      <c r="K8">
        <v>25.46</v>
      </c>
      <c r="L8">
        <v>1.01</v>
      </c>
      <c r="M8" t="s">
        <v>698</v>
      </c>
      <c r="N8" t="s">
        <v>920</v>
      </c>
      <c r="O8" t="s">
        <v>921</v>
      </c>
      <c r="P8" t="s">
        <v>922</v>
      </c>
      <c r="Q8">
        <v>-63.75</v>
      </c>
      <c r="R8" t="s">
        <v>923</v>
      </c>
      <c r="S8">
        <v>124056938</v>
      </c>
      <c r="T8" s="4">
        <v>-0.79430000000000001</v>
      </c>
      <c r="U8" t="s">
        <v>924</v>
      </c>
      <c r="V8">
        <v>1174775870</v>
      </c>
      <c r="W8">
        <v>1174869360</v>
      </c>
      <c r="X8">
        <v>2.44</v>
      </c>
      <c r="Y8">
        <v>0.21</v>
      </c>
      <c r="Z8">
        <v>2.39</v>
      </c>
      <c r="AA8" t="s">
        <v>925</v>
      </c>
      <c r="AB8" t="s">
        <v>926</v>
      </c>
      <c r="AC8" t="s">
        <v>95</v>
      </c>
      <c r="AD8" t="s">
        <v>927</v>
      </c>
      <c r="AE8" t="s">
        <v>928</v>
      </c>
      <c r="AF8">
        <v>-21939410</v>
      </c>
      <c r="AG8" t="s">
        <v>929</v>
      </c>
      <c r="AH8" t="s">
        <v>930</v>
      </c>
      <c r="AI8" t="s">
        <v>931</v>
      </c>
      <c r="AJ8" t="s">
        <v>932</v>
      </c>
      <c r="AK8" t="s">
        <v>933</v>
      </c>
      <c r="AL8" t="s">
        <v>245</v>
      </c>
      <c r="AM8" t="s">
        <v>934</v>
      </c>
      <c r="AN8" t="s">
        <v>7</v>
      </c>
      <c r="AO8" t="s">
        <v>228</v>
      </c>
      <c r="AP8" t="s">
        <v>231</v>
      </c>
      <c r="AQ8" t="s">
        <v>935</v>
      </c>
      <c r="AR8" t="s">
        <v>936</v>
      </c>
      <c r="AS8" t="s">
        <v>7</v>
      </c>
      <c r="AT8" t="s">
        <v>937</v>
      </c>
      <c r="AU8" t="s">
        <v>7</v>
      </c>
      <c r="AV8" t="s">
        <v>494</v>
      </c>
      <c r="AW8" t="s">
        <v>938</v>
      </c>
      <c r="AX8" t="s">
        <v>250</v>
      </c>
      <c r="AY8" t="s">
        <v>939</v>
      </c>
      <c r="AZ8" t="s">
        <v>940</v>
      </c>
      <c r="BA8" t="s">
        <v>941</v>
      </c>
      <c r="BB8" t="s">
        <v>942</v>
      </c>
      <c r="BC8" t="s">
        <v>943</v>
      </c>
      <c r="BD8" t="s">
        <v>944</v>
      </c>
      <c r="BE8" t="s">
        <v>945</v>
      </c>
      <c r="BF8" t="s">
        <v>946</v>
      </c>
      <c r="BG8" t="s">
        <v>947</v>
      </c>
      <c r="BH8" t="s">
        <v>948</v>
      </c>
      <c r="BI8" t="s">
        <v>949</v>
      </c>
      <c r="BJ8" t="s">
        <v>950</v>
      </c>
      <c r="BK8" t="s">
        <v>939</v>
      </c>
      <c r="BL8" t="s">
        <v>924</v>
      </c>
      <c r="BM8" t="s">
        <v>219</v>
      </c>
      <c r="BN8" t="s">
        <v>944</v>
      </c>
      <c r="BO8">
        <v>4.88</v>
      </c>
      <c r="BP8">
        <v>10.54</v>
      </c>
      <c r="BQ8">
        <v>8.2899999999999991</v>
      </c>
      <c r="BR8">
        <v>5.84</v>
      </c>
      <c r="BS8">
        <v>7.5</v>
      </c>
      <c r="BT8">
        <v>24.68</v>
      </c>
      <c r="BU8">
        <v>17.75</v>
      </c>
      <c r="BV8">
        <v>14.98</v>
      </c>
      <c r="BW8">
        <v>7.38</v>
      </c>
      <c r="BX8">
        <v>9.49</v>
      </c>
      <c r="BY8">
        <v>10.5</v>
      </c>
      <c r="BZ8">
        <v>2.97</v>
      </c>
      <c r="CA8">
        <v>4.04</v>
      </c>
      <c r="CB8">
        <v>3.99</v>
      </c>
      <c r="CC8">
        <v>20.62</v>
      </c>
      <c r="CD8">
        <v>-1.38</v>
      </c>
      <c r="CE8" t="s">
        <v>642</v>
      </c>
      <c r="CF8" t="s">
        <v>258</v>
      </c>
      <c r="CG8" s="23">
        <v>-0.63746009768836442</v>
      </c>
      <c r="CH8" s="24">
        <v>-0.79426710116086241</v>
      </c>
      <c r="CI8" s="23">
        <v>-6.4049527049064636E-2</v>
      </c>
      <c r="CJ8" s="23">
        <v>0.50435459613800049</v>
      </c>
      <c r="CK8" s="23">
        <v>-1.3249766081571579E-2</v>
      </c>
      <c r="CL8" s="23">
        <v>8.2229912281036377E-2</v>
      </c>
      <c r="CM8" s="23">
        <v>0.76665562391281128</v>
      </c>
      <c r="CN8" s="24">
        <v>-0.4478723406791687</v>
      </c>
      <c r="CO8" s="24">
        <v>0.53720349073410034</v>
      </c>
      <c r="CP8" s="24">
        <v>0.35138127207756042</v>
      </c>
      <c r="CQ8" s="24">
        <v>7.795100100338459E-3</v>
      </c>
      <c r="CR8" s="24">
        <v>1.1483253240585327</v>
      </c>
      <c r="CS8">
        <v>0.25361714112551026</v>
      </c>
      <c r="CT8">
        <v>11442440.558766859</v>
      </c>
      <c r="CU8">
        <v>1.2246360000000001</v>
      </c>
      <c r="CV8" s="23">
        <v>0.2551881678402424</v>
      </c>
      <c r="CW8" s="24">
        <v>0.31936656925827267</v>
      </c>
      <c r="CX8">
        <v>0.06</v>
      </c>
      <c r="CY8">
        <v>16.946578314502688</v>
      </c>
      <c r="CZ8">
        <v>1229137092.6586525</v>
      </c>
      <c r="DA8">
        <v>0.2551881678402424</v>
      </c>
      <c r="DB8">
        <v>4.8282478871499164</v>
      </c>
      <c r="DC8">
        <v>4314125638.7098255</v>
      </c>
      <c r="DD8">
        <v>0.24242875944823025</v>
      </c>
      <c r="DE8">
        <v>1.9582124740972513</v>
      </c>
      <c r="DF8">
        <v>10637082684.095663</v>
      </c>
      <c r="DG8">
        <v>0.22456558769941332</v>
      </c>
      <c r="DH8">
        <v>0.93150782222811579</v>
      </c>
      <c r="DI8">
        <v>22361237880.081966</v>
      </c>
      <c r="DJ8">
        <v>0.20415053427219393</v>
      </c>
      <c r="DK8">
        <v>0.27497581070423271</v>
      </c>
      <c r="DL8">
        <v>75750910404.277863</v>
      </c>
      <c r="DM8">
        <v>0.17863171748816967</v>
      </c>
      <c r="DN8">
        <v>1038000000.0000001</v>
      </c>
      <c r="DO8">
        <v>0.2551881678402424</v>
      </c>
      <c r="DP8">
        <v>20829668000</v>
      </c>
      <c r="DQ8">
        <v>9923783000</v>
      </c>
      <c r="DR8">
        <v>409</v>
      </c>
      <c r="DS8">
        <v>-0.89264826552860677</v>
      </c>
      <c r="DT8">
        <v>-1.113633670419135</v>
      </c>
      <c r="DU8" s="25">
        <v>-9.0000000000000011E-2</v>
      </c>
      <c r="DV8">
        <v>-0.12333333333333336</v>
      </c>
      <c r="DW8">
        <v>-0.21333333333333337</v>
      </c>
      <c r="DX8">
        <v>5.0669253152279339</v>
      </c>
      <c r="DY8">
        <v>0.57824561403508912</v>
      </c>
      <c r="DZ8">
        <v>5.0199601817346471</v>
      </c>
      <c r="EA8">
        <v>3253</v>
      </c>
      <c r="EB8">
        <v>5.0062386113240791</v>
      </c>
      <c r="EC8">
        <v>5</v>
      </c>
      <c r="ED8">
        <v>0.14469693890050891</v>
      </c>
      <c r="EE8">
        <v>0.48516032454876518</v>
      </c>
      <c r="EF8" s="22">
        <v>1.1085</v>
      </c>
      <c r="EG8">
        <v>1.0954999999999999</v>
      </c>
      <c r="EH8">
        <v>28.298245614035089</v>
      </c>
      <c r="EI8" t="s">
        <v>498</v>
      </c>
      <c r="EJ8">
        <v>1</v>
      </c>
      <c r="EK8">
        <v>0</v>
      </c>
    </row>
    <row r="9" spans="1:141" x14ac:dyDescent="0.25">
      <c r="A9" s="32"/>
      <c r="B9" s="3"/>
      <c r="C9" s="3"/>
      <c r="D9" s="3"/>
      <c r="E9" t="s">
        <v>709</v>
      </c>
      <c r="F9" t="s">
        <v>710</v>
      </c>
      <c r="G9">
        <v>7</v>
      </c>
      <c r="H9">
        <v>10.06</v>
      </c>
      <c r="I9" t="s">
        <v>951</v>
      </c>
      <c r="J9">
        <v>4150327600</v>
      </c>
      <c r="L9">
        <v>1.64</v>
      </c>
      <c r="M9" t="s">
        <v>698</v>
      </c>
      <c r="N9" t="s">
        <v>952</v>
      </c>
      <c r="O9" t="s">
        <v>953</v>
      </c>
      <c r="P9" t="s">
        <v>954</v>
      </c>
      <c r="Q9">
        <v>30.93</v>
      </c>
      <c r="R9" t="s">
        <v>955</v>
      </c>
      <c r="S9">
        <v>-35287049</v>
      </c>
      <c r="T9" s="4">
        <v>0.11119999999999999</v>
      </c>
      <c r="U9" t="s">
        <v>956</v>
      </c>
      <c r="V9">
        <v>592903940</v>
      </c>
      <c r="W9">
        <v>592903940</v>
      </c>
      <c r="X9">
        <v>3.75</v>
      </c>
      <c r="Y9">
        <v>0.09</v>
      </c>
      <c r="Z9">
        <v>-4.09</v>
      </c>
      <c r="AA9" t="s">
        <v>556</v>
      </c>
      <c r="AB9" t="s">
        <v>957</v>
      </c>
      <c r="AC9" t="s">
        <v>958</v>
      </c>
      <c r="AD9" t="s">
        <v>959</v>
      </c>
      <c r="AE9" t="s">
        <v>689</v>
      </c>
      <c r="AF9">
        <v>15513604</v>
      </c>
      <c r="AG9" t="s">
        <v>960</v>
      </c>
      <c r="AH9" t="s">
        <v>961</v>
      </c>
      <c r="AI9" t="s">
        <v>962</v>
      </c>
      <c r="AJ9" t="s">
        <v>963</v>
      </c>
      <c r="AK9" t="s">
        <v>964</v>
      </c>
      <c r="AL9" t="s">
        <v>7</v>
      </c>
      <c r="AM9" t="s">
        <v>965</v>
      </c>
      <c r="AN9" t="s">
        <v>7</v>
      </c>
      <c r="AO9" t="s">
        <v>966</v>
      </c>
      <c r="AP9" t="s">
        <v>575</v>
      </c>
      <c r="AQ9" t="s">
        <v>967</v>
      </c>
      <c r="AR9" t="s">
        <v>968</v>
      </c>
      <c r="AS9" t="s">
        <v>7</v>
      </c>
      <c r="AT9" t="s">
        <v>969</v>
      </c>
      <c r="AU9" t="s">
        <v>7</v>
      </c>
      <c r="AV9" t="s">
        <v>970</v>
      </c>
      <c r="AW9" t="s">
        <v>971</v>
      </c>
      <c r="AX9" t="s">
        <v>380</v>
      </c>
      <c r="AY9" t="s">
        <v>972</v>
      </c>
      <c r="AZ9" t="s">
        <v>973</v>
      </c>
      <c r="BA9" t="s">
        <v>974</v>
      </c>
      <c r="BB9" t="s">
        <v>975</v>
      </c>
      <c r="BC9" t="s">
        <v>976</v>
      </c>
      <c r="BD9" t="s">
        <v>977</v>
      </c>
      <c r="BE9" t="s">
        <v>978</v>
      </c>
      <c r="BF9" t="s">
        <v>979</v>
      </c>
      <c r="BG9" t="s">
        <v>220</v>
      </c>
      <c r="BH9" t="s">
        <v>61</v>
      </c>
      <c r="BI9" t="s">
        <v>980</v>
      </c>
      <c r="BJ9" t="s">
        <v>81</v>
      </c>
      <c r="BK9" t="s">
        <v>972</v>
      </c>
      <c r="BL9" t="s">
        <v>956</v>
      </c>
      <c r="BM9" t="s">
        <v>981</v>
      </c>
      <c r="BN9" t="s">
        <v>977</v>
      </c>
      <c r="BO9">
        <v>-3.26</v>
      </c>
      <c r="BP9">
        <v>0.33</v>
      </c>
      <c r="BQ9">
        <v>0.45</v>
      </c>
      <c r="BR9">
        <v>0.51</v>
      </c>
      <c r="BS9">
        <v>-8.24</v>
      </c>
      <c r="BT9">
        <v>0.86</v>
      </c>
      <c r="BU9">
        <v>1.22</v>
      </c>
      <c r="BV9">
        <v>1.33</v>
      </c>
      <c r="BW9">
        <v>11.89</v>
      </c>
      <c r="BX9">
        <v>14.6</v>
      </c>
      <c r="BY9">
        <v>15.59</v>
      </c>
      <c r="BZ9">
        <v>-4.79</v>
      </c>
      <c r="CA9">
        <v>0.53</v>
      </c>
      <c r="CB9">
        <v>0.49</v>
      </c>
      <c r="CC9">
        <v>61.29</v>
      </c>
      <c r="CD9">
        <v>42.86</v>
      </c>
      <c r="CE9" t="s">
        <v>87</v>
      </c>
      <c r="CF9" t="s">
        <v>982</v>
      </c>
      <c r="CG9" s="23">
        <v>0.30891529590288314</v>
      </c>
      <c r="CH9" s="24">
        <v>0.11120447029250342</v>
      </c>
      <c r="CI9" s="23">
        <v>4.0607940405607224E-2</v>
      </c>
      <c r="CJ9" s="23">
        <v>-0.34609109163284302</v>
      </c>
      <c r="CK9" s="23">
        <v>0.10889951139688492</v>
      </c>
      <c r="CL9" s="23">
        <v>-0.22580236196517944</v>
      </c>
      <c r="CM9" s="23">
        <v>-0.1517769992351532</v>
      </c>
      <c r="CN9" s="24">
        <v>-10.352270126342773</v>
      </c>
      <c r="CO9" s="24">
        <v>-0.28871035575866699</v>
      </c>
      <c r="CP9" s="24">
        <v>-9.5687054097652435E-2</v>
      </c>
      <c r="CQ9" s="24">
        <v>-0.80852723121643066</v>
      </c>
      <c r="CR9" s="24">
        <v>-0.67406141757965088</v>
      </c>
      <c r="CS9">
        <v>0.9048021800741225</v>
      </c>
      <c r="CT9">
        <v>19302203.636363633</v>
      </c>
      <c r="CU9">
        <v>-1.3803749999999999</v>
      </c>
      <c r="CV9" s="23">
        <v>-0.1148326002061367</v>
      </c>
      <c r="CW9" s="24">
        <v>-2.4438512369990351</v>
      </c>
      <c r="CX9">
        <v>0.06</v>
      </c>
      <c r="CY9" t="e">
        <v>#VALUE!</v>
      </c>
      <c r="CZ9" t="s">
        <v>573</v>
      </c>
      <c r="DA9">
        <v>-0.1148326002061367</v>
      </c>
      <c r="DB9" t="e">
        <v>#VALUE!</v>
      </c>
      <c r="DC9" t="s">
        <v>574</v>
      </c>
      <c r="DD9">
        <v>-0.10909097019582986</v>
      </c>
      <c r="DE9" t="e">
        <v>#VALUE!</v>
      </c>
      <c r="DF9" t="s">
        <v>574</v>
      </c>
      <c r="DG9">
        <v>-0.1010526881814003</v>
      </c>
      <c r="DH9" t="e">
        <v>#VALUE!</v>
      </c>
      <c r="DI9" t="s">
        <v>574</v>
      </c>
      <c r="DJ9">
        <v>-9.1866080164909367E-2</v>
      </c>
      <c r="DK9" t="e">
        <v>#VALUE!</v>
      </c>
      <c r="DL9" t="s">
        <v>574</v>
      </c>
      <c r="DM9">
        <v>-8.038282014429568E-2</v>
      </c>
      <c r="DN9">
        <v>-220000000.00000003</v>
      </c>
      <c r="DO9">
        <v>-0.1148326002061367</v>
      </c>
      <c r="DP9">
        <v>8578327600</v>
      </c>
      <c r="DQ9">
        <v>1063982500</v>
      </c>
      <c r="DR9">
        <v>413</v>
      </c>
      <c r="DS9">
        <v>0.42374789610901986</v>
      </c>
      <c r="DT9">
        <v>2.5550557072915385</v>
      </c>
      <c r="DU9" s="25">
        <v>-0.36666666666666664</v>
      </c>
      <c r="DV9">
        <v>-2.2316666666666669</v>
      </c>
      <c r="DW9">
        <v>-2.5983333333333336</v>
      </c>
      <c r="DX9">
        <v>5.6992984173600911</v>
      </c>
      <c r="DY9">
        <v>0.62179775280898886</v>
      </c>
      <c r="DZ9">
        <v>5.2180396750757589</v>
      </c>
      <c r="EA9">
        <v>4593</v>
      </c>
      <c r="EB9">
        <v>5.0057768035999297</v>
      </c>
      <c r="EC9">
        <v>5</v>
      </c>
      <c r="ED9">
        <v>0.1872141379259514</v>
      </c>
      <c r="EE9">
        <v>0.60043453244719536</v>
      </c>
      <c r="EF9" s="22">
        <v>2.0278999999999998</v>
      </c>
      <c r="EG9">
        <v>2.1284999999999998</v>
      </c>
      <c r="EH9">
        <v>31.311797752808989</v>
      </c>
      <c r="EI9" t="s">
        <v>598</v>
      </c>
      <c r="EJ9">
        <v>1</v>
      </c>
      <c r="EK9">
        <v>0</v>
      </c>
    </row>
    <row r="10" spans="1:141" x14ac:dyDescent="0.25">
      <c r="A10" s="32"/>
      <c r="B10" s="3"/>
      <c r="C10" s="3"/>
      <c r="D10" s="3"/>
      <c r="E10" t="s">
        <v>711</v>
      </c>
      <c r="F10" t="s">
        <v>983</v>
      </c>
      <c r="G10" t="s">
        <v>7</v>
      </c>
      <c r="H10" t="s">
        <v>7</v>
      </c>
      <c r="I10">
        <v>0</v>
      </c>
      <c r="J10">
        <v>17184514000</v>
      </c>
      <c r="L10">
        <v>5.23</v>
      </c>
      <c r="M10" t="s">
        <v>698</v>
      </c>
      <c r="N10" t="s">
        <v>984</v>
      </c>
      <c r="O10" t="s">
        <v>985</v>
      </c>
      <c r="P10" t="s">
        <v>986</v>
      </c>
      <c r="Q10">
        <v>-39.119999999999997</v>
      </c>
      <c r="R10" t="s">
        <v>987</v>
      </c>
      <c r="S10">
        <v>-156741310</v>
      </c>
      <c r="T10" s="4">
        <v>0.38490000000000002</v>
      </c>
      <c r="U10" t="s">
        <v>988</v>
      </c>
      <c r="V10">
        <v>4287451600</v>
      </c>
      <c r="W10">
        <v>5069178200</v>
      </c>
      <c r="X10">
        <v>2.33</v>
      </c>
      <c r="Y10">
        <v>0.02</v>
      </c>
      <c r="Z10">
        <v>-125.43</v>
      </c>
      <c r="AA10" t="s">
        <v>134</v>
      </c>
      <c r="AB10" t="s">
        <v>40</v>
      </c>
      <c r="AC10" t="s">
        <v>989</v>
      </c>
      <c r="AD10" t="s">
        <v>990</v>
      </c>
      <c r="AE10" t="s">
        <v>991</v>
      </c>
      <c r="AF10">
        <v>15536287</v>
      </c>
      <c r="AG10" t="s">
        <v>37</v>
      </c>
      <c r="AH10" t="s">
        <v>992</v>
      </c>
      <c r="AI10" t="s">
        <v>993</v>
      </c>
      <c r="AJ10" t="s">
        <v>994</v>
      </c>
      <c r="AK10" t="s">
        <v>995</v>
      </c>
      <c r="AL10" t="s">
        <v>996</v>
      </c>
      <c r="AM10" t="s">
        <v>997</v>
      </c>
      <c r="AN10" t="s">
        <v>7</v>
      </c>
      <c r="AO10" t="s">
        <v>998</v>
      </c>
      <c r="AP10" t="s">
        <v>999</v>
      </c>
      <c r="AQ10" t="s">
        <v>1000</v>
      </c>
      <c r="AR10" t="s">
        <v>134</v>
      </c>
      <c r="AS10" t="s">
        <v>7</v>
      </c>
      <c r="AT10" t="s">
        <v>1001</v>
      </c>
      <c r="AU10" t="s">
        <v>345</v>
      </c>
      <c r="AV10" t="s">
        <v>1002</v>
      </c>
      <c r="AW10" t="s">
        <v>1003</v>
      </c>
      <c r="AX10" t="s">
        <v>1004</v>
      </c>
      <c r="AY10" t="s">
        <v>1005</v>
      </c>
      <c r="AZ10" t="s">
        <v>1006</v>
      </c>
      <c r="BA10" t="s">
        <v>1007</v>
      </c>
      <c r="BB10" t="s">
        <v>1008</v>
      </c>
      <c r="BC10" t="s">
        <v>1009</v>
      </c>
      <c r="BD10" t="s">
        <v>1010</v>
      </c>
      <c r="BE10" t="s">
        <v>1011</v>
      </c>
      <c r="BF10" t="s">
        <v>434</v>
      </c>
      <c r="BG10" t="s">
        <v>1012</v>
      </c>
      <c r="BH10" t="s">
        <v>1013</v>
      </c>
      <c r="BI10" t="s">
        <v>24</v>
      </c>
      <c r="BJ10" t="s">
        <v>193</v>
      </c>
      <c r="BK10" t="s">
        <v>1005</v>
      </c>
      <c r="BL10" t="s">
        <v>988</v>
      </c>
      <c r="BM10" t="s">
        <v>1014</v>
      </c>
      <c r="BN10" t="s">
        <v>1010</v>
      </c>
      <c r="BO10">
        <v>-15.99</v>
      </c>
      <c r="BP10">
        <v>-137.69999999999999</v>
      </c>
      <c r="BQ10">
        <v>-60.86</v>
      </c>
      <c r="BR10">
        <v>3.55</v>
      </c>
      <c r="BS10">
        <v>0</v>
      </c>
      <c r="BT10" t="s">
        <v>7</v>
      </c>
      <c r="BU10">
        <v>-93.46</v>
      </c>
      <c r="BV10">
        <v>4.63</v>
      </c>
      <c r="BW10">
        <v>10.72</v>
      </c>
      <c r="BX10">
        <v>-4.08</v>
      </c>
      <c r="BY10">
        <v>-5.86</v>
      </c>
      <c r="BZ10">
        <v>-85.76</v>
      </c>
      <c r="CA10">
        <v>-807.37</v>
      </c>
      <c r="CB10">
        <v>-374.81</v>
      </c>
      <c r="CC10" t="s">
        <v>7</v>
      </c>
      <c r="CD10" t="s">
        <v>7</v>
      </c>
      <c r="CE10" t="s">
        <v>40</v>
      </c>
      <c r="CF10" t="s">
        <v>1015</v>
      </c>
      <c r="CG10" s="23">
        <v>-0.39017509756097551</v>
      </c>
      <c r="CH10" s="24">
        <v>0.38532819607843127</v>
      </c>
      <c r="CI10" s="23">
        <v>-0.3834080696105957</v>
      </c>
      <c r="CJ10" s="23">
        <v>-0.55190891027450562</v>
      </c>
      <c r="CK10" s="23">
        <v>-0.79775130748748779</v>
      </c>
      <c r="CL10" s="23">
        <v>-0.29032877087593079</v>
      </c>
      <c r="CM10" s="23">
        <v>11.28099250793457</v>
      </c>
      <c r="CN10" s="24">
        <v>0.93174129724502563</v>
      </c>
      <c r="CO10" s="24">
        <v>7.5692541897296906E-2</v>
      </c>
      <c r="CP10" s="24">
        <v>-14.987499237060547</v>
      </c>
      <c r="CQ10" s="24">
        <v>-0.36305731534957886</v>
      </c>
      <c r="CR10" s="24">
        <v>13.472647666931152</v>
      </c>
      <c r="CS10">
        <v>20.82971393939394</v>
      </c>
      <c r="CT10">
        <v>22511060.90651558</v>
      </c>
      <c r="CU10">
        <v>-5.8450380000000006</v>
      </c>
      <c r="CV10" s="23">
        <v>1.85151908993721</v>
      </c>
      <c r="CW10" s="24">
        <v>-0.17409500926733018</v>
      </c>
      <c r="CX10">
        <v>0.06</v>
      </c>
      <c r="CY10" t="e">
        <v>#VALUE!</v>
      </c>
      <c r="CZ10" t="s">
        <v>573</v>
      </c>
      <c r="DA10">
        <v>1.85151908993721</v>
      </c>
      <c r="DB10" t="e">
        <v>#VALUE!</v>
      </c>
      <c r="DC10" t="s">
        <v>574</v>
      </c>
      <c r="DD10">
        <v>1.7589431354403495</v>
      </c>
      <c r="DE10" t="e">
        <v>#VALUE!</v>
      </c>
      <c r="DF10" t="s">
        <v>574</v>
      </c>
      <c r="DG10">
        <v>1.6293367991447449</v>
      </c>
      <c r="DH10" t="e">
        <v>#VALUE!</v>
      </c>
      <c r="DI10" t="s">
        <v>574</v>
      </c>
      <c r="DJ10">
        <v>1.4812152719497682</v>
      </c>
      <c r="DK10" t="e">
        <v>#VALUE!</v>
      </c>
      <c r="DL10" t="s">
        <v>574</v>
      </c>
      <c r="DM10">
        <v>1.296063362956047</v>
      </c>
      <c r="DN10">
        <v>-706000000</v>
      </c>
      <c r="DO10">
        <v>1.85151908993721</v>
      </c>
      <c r="DP10">
        <v>18286514000</v>
      </c>
      <c r="DQ10">
        <v>1748735600</v>
      </c>
      <c r="DR10">
        <v>433</v>
      </c>
      <c r="DS10">
        <v>-2.2416941874981857</v>
      </c>
      <c r="DT10">
        <v>0.55942320534576151</v>
      </c>
      <c r="DU10" s="25">
        <v>-0.49000000000000005</v>
      </c>
      <c r="DV10">
        <v>-1.3883333333333336</v>
      </c>
      <c r="DW10">
        <v>-1.8783333333333336</v>
      </c>
      <c r="DX10" t="e">
        <v>#VALUE!</v>
      </c>
      <c r="DY10">
        <v>0.1275395033860045</v>
      </c>
      <c r="DZ10" t="e">
        <v>#VALUE!</v>
      </c>
      <c r="EA10">
        <v>4376</v>
      </c>
      <c r="EB10" t="e">
        <v>#VALUE!</v>
      </c>
      <c r="EC10" t="e">
        <v>#VALUE!</v>
      </c>
      <c r="ED10">
        <v>2.2291581700560455E-2</v>
      </c>
      <c r="EE10">
        <v>0.17478178218315546</v>
      </c>
      <c r="EF10" s="22">
        <v>2.1099999999999977E-3</v>
      </c>
      <c r="EG10" t="e">
        <v>#VALUE!</v>
      </c>
      <c r="EH10">
        <v>0.1275395033860045</v>
      </c>
      <c r="EI10" t="s">
        <v>496</v>
      </c>
      <c r="EJ10" t="e">
        <v>#VALUE!</v>
      </c>
      <c r="EK10">
        <v>0</v>
      </c>
    </row>
    <row r="11" spans="1:141" x14ac:dyDescent="0.25">
      <c r="A11" s="32"/>
      <c r="B11" s="3"/>
      <c r="C11" s="3"/>
      <c r="D11" s="3"/>
      <c r="E11" t="s">
        <v>712</v>
      </c>
      <c r="F11" t="s">
        <v>713</v>
      </c>
      <c r="G11">
        <v>284.51</v>
      </c>
      <c r="H11">
        <v>1.1000000000000001</v>
      </c>
      <c r="I11" t="s">
        <v>1016</v>
      </c>
      <c r="J11">
        <v>828249250000</v>
      </c>
      <c r="K11">
        <v>229</v>
      </c>
      <c r="L11">
        <v>8.64</v>
      </c>
      <c r="M11" t="s">
        <v>698</v>
      </c>
      <c r="N11" t="s">
        <v>1017</v>
      </c>
      <c r="O11" t="s">
        <v>1018</v>
      </c>
      <c r="P11" t="s">
        <v>1019</v>
      </c>
      <c r="Q11">
        <v>63.02</v>
      </c>
      <c r="R11" t="s">
        <v>1020</v>
      </c>
      <c r="S11">
        <v>808408000</v>
      </c>
      <c r="T11" s="4">
        <v>2.4060000000000001</v>
      </c>
      <c r="U11" t="s">
        <v>1021</v>
      </c>
      <c r="V11">
        <v>1164764600</v>
      </c>
      <c r="W11">
        <v>2911142900</v>
      </c>
      <c r="X11">
        <v>3.01</v>
      </c>
      <c r="Y11">
        <v>0.22</v>
      </c>
      <c r="Z11">
        <v>1.36</v>
      </c>
      <c r="AA11" t="s">
        <v>1022</v>
      </c>
      <c r="AB11" t="s">
        <v>1023</v>
      </c>
      <c r="AC11" t="s">
        <v>1024</v>
      </c>
      <c r="AD11" t="s">
        <v>1025</v>
      </c>
      <c r="AE11" t="s">
        <v>1026</v>
      </c>
      <c r="AF11">
        <v>-81001000</v>
      </c>
      <c r="AG11" t="s">
        <v>1027</v>
      </c>
      <c r="AH11" t="s">
        <v>1028</v>
      </c>
      <c r="AI11" t="s">
        <v>1029</v>
      </c>
      <c r="AJ11" t="s">
        <v>1030</v>
      </c>
      <c r="AK11" t="s">
        <v>1031</v>
      </c>
      <c r="AL11" t="s">
        <v>7</v>
      </c>
      <c r="AM11" t="s">
        <v>1032</v>
      </c>
      <c r="AN11" t="s">
        <v>7</v>
      </c>
      <c r="AO11" t="s">
        <v>1033</v>
      </c>
      <c r="AP11" t="s">
        <v>1034</v>
      </c>
      <c r="AQ11" t="s">
        <v>260</v>
      </c>
      <c r="AR11" t="s">
        <v>1035</v>
      </c>
      <c r="AS11" t="s">
        <v>1036</v>
      </c>
      <c r="AT11" t="s">
        <v>1037</v>
      </c>
      <c r="AU11" t="s">
        <v>1038</v>
      </c>
      <c r="AV11" t="s">
        <v>1039</v>
      </c>
      <c r="AW11" t="s">
        <v>1040</v>
      </c>
      <c r="AX11" t="s">
        <v>1041</v>
      </c>
      <c r="AY11" t="s">
        <v>1042</v>
      </c>
      <c r="AZ11" t="s">
        <v>1043</v>
      </c>
      <c r="BA11" t="s">
        <v>1044</v>
      </c>
      <c r="BB11" t="s">
        <v>1045</v>
      </c>
      <c r="BC11" t="s">
        <v>1046</v>
      </c>
      <c r="BD11" t="s">
        <v>1047</v>
      </c>
      <c r="BE11" t="s">
        <v>1048</v>
      </c>
      <c r="BF11" t="s">
        <v>1049</v>
      </c>
      <c r="BG11" t="s">
        <v>1050</v>
      </c>
      <c r="BH11" t="s">
        <v>1051</v>
      </c>
      <c r="BI11" t="s">
        <v>1052</v>
      </c>
      <c r="BJ11" t="s">
        <v>1053</v>
      </c>
      <c r="BK11" t="s">
        <v>1042</v>
      </c>
      <c r="BL11" t="s">
        <v>1021</v>
      </c>
      <c r="BM11" t="s">
        <v>1054</v>
      </c>
      <c r="BN11" t="s">
        <v>1047</v>
      </c>
      <c r="BO11">
        <v>2.16</v>
      </c>
      <c r="BP11">
        <v>3.07</v>
      </c>
      <c r="BQ11">
        <v>1.1100000000000001</v>
      </c>
      <c r="BR11">
        <v>2.0499999999999998</v>
      </c>
      <c r="BS11">
        <v>3.73</v>
      </c>
      <c r="BT11">
        <v>7.43</v>
      </c>
      <c r="BU11">
        <v>2.62</v>
      </c>
      <c r="BV11">
        <v>4.96</v>
      </c>
      <c r="BW11">
        <v>13.02</v>
      </c>
      <c r="BX11">
        <v>19.38</v>
      </c>
      <c r="BY11">
        <v>16.29</v>
      </c>
      <c r="BZ11">
        <v>1.84</v>
      </c>
      <c r="CA11">
        <v>3.84</v>
      </c>
      <c r="CB11">
        <v>1.66</v>
      </c>
      <c r="CC11">
        <v>11.97</v>
      </c>
      <c r="CD11">
        <v>23.81</v>
      </c>
      <c r="CE11" t="s">
        <v>103</v>
      </c>
      <c r="CF11" t="s">
        <v>1055</v>
      </c>
      <c r="CG11" s="23">
        <v>0.63020064890710381</v>
      </c>
      <c r="CH11" s="24">
        <v>2.4110042194092829</v>
      </c>
      <c r="CI11" s="23">
        <v>0.38023483753204346</v>
      </c>
      <c r="CJ11" s="23">
        <v>0.22592152655124664</v>
      </c>
      <c r="CK11" s="23">
        <v>-1.7807798460125923E-2</v>
      </c>
      <c r="CL11" s="23">
        <v>0.2279185950756073</v>
      </c>
      <c r="CM11" s="23">
        <v>2.3630045354366302E-2</v>
      </c>
      <c r="CN11" s="24">
        <v>-0.28082194924354553</v>
      </c>
      <c r="CO11" s="24">
        <v>1.6232962608337402</v>
      </c>
      <c r="CP11" s="24">
        <v>-0.41942447423934937</v>
      </c>
      <c r="CQ11" s="24">
        <v>-0.31628134846687317</v>
      </c>
      <c r="CR11" s="24">
        <v>-0.19517029821872711</v>
      </c>
      <c r="CS11">
        <v>3.8319681043018017</v>
      </c>
      <c r="CT11">
        <v>16878259.441707719</v>
      </c>
      <c r="CU11">
        <v>0.90059200000000006</v>
      </c>
      <c r="CV11" s="23">
        <v>0.16797944121062755</v>
      </c>
      <c r="CW11" s="24">
        <v>8.2319638133049017E-2</v>
      </c>
      <c r="CX11">
        <v>0.06</v>
      </c>
      <c r="CY11">
        <v>278.54765349234356</v>
      </c>
      <c r="CZ11">
        <v>3355186224.9871325</v>
      </c>
      <c r="DA11">
        <v>0.16797944121062755</v>
      </c>
      <c r="DB11">
        <v>85.261152665353038</v>
      </c>
      <c r="DC11">
        <v>10961372451.392839</v>
      </c>
      <c r="DD11">
        <v>0.15958046915009616</v>
      </c>
      <c r="DE11">
        <v>38.360339058797784</v>
      </c>
      <c r="DF11">
        <v>24363164480.050606</v>
      </c>
      <c r="DG11">
        <v>0.14782190826535224</v>
      </c>
      <c r="DH11">
        <v>20.740687532775191</v>
      </c>
      <c r="DI11">
        <v>45060186578.826942</v>
      </c>
      <c r="DJ11">
        <v>0.13438355296850205</v>
      </c>
      <c r="DK11">
        <v>8.4089435792821643</v>
      </c>
      <c r="DL11">
        <v>111141101279.66646</v>
      </c>
      <c r="DM11">
        <v>0.11758560884743928</v>
      </c>
      <c r="DN11">
        <v>3045000000</v>
      </c>
      <c r="DO11">
        <v>0.16797944121062755</v>
      </c>
      <c r="DP11">
        <v>934579250000</v>
      </c>
      <c r="DQ11">
        <v>-15379190000</v>
      </c>
      <c r="DR11">
        <v>1068</v>
      </c>
      <c r="DS11">
        <v>0.46222120769647623</v>
      </c>
      <c r="DT11">
        <v>2.3286845812762338</v>
      </c>
      <c r="DU11" s="25">
        <v>0.65333333333333332</v>
      </c>
      <c r="DV11">
        <v>-0.21666666666666659</v>
      </c>
      <c r="DW11">
        <v>0.43666666666666676</v>
      </c>
      <c r="DX11">
        <v>9.5027299454010929</v>
      </c>
      <c r="DY11">
        <v>0.37453287197231677</v>
      </c>
      <c r="DZ11">
        <v>9.1078520990133836</v>
      </c>
      <c r="EA11">
        <v>2226</v>
      </c>
      <c r="EB11">
        <v>9.0571169400100455</v>
      </c>
      <c r="EC11">
        <v>9</v>
      </c>
      <c r="ED11">
        <v>4.259495471692578E-2</v>
      </c>
      <c r="EE11">
        <v>0.19854745021276696</v>
      </c>
      <c r="EF11" s="22">
        <v>7.8800000000000009E-2</v>
      </c>
      <c r="EG11">
        <v>8.9799999999999991E-2</v>
      </c>
      <c r="EH11">
        <v>16.214532871972317</v>
      </c>
      <c r="EI11" t="s">
        <v>496</v>
      </c>
      <c r="EJ11">
        <v>1</v>
      </c>
      <c r="EK11">
        <v>0</v>
      </c>
    </row>
    <row r="12" spans="1:141" x14ac:dyDescent="0.25">
      <c r="A12" s="32"/>
      <c r="B12" s="3"/>
      <c r="C12" s="3"/>
      <c r="D12" s="3"/>
      <c r="E12" t="s">
        <v>714</v>
      </c>
      <c r="F12" t="s">
        <v>715</v>
      </c>
      <c r="G12">
        <v>11.47</v>
      </c>
      <c r="H12">
        <v>4.2699999999999996</v>
      </c>
      <c r="I12" t="s">
        <v>1056</v>
      </c>
      <c r="J12">
        <v>23141872000</v>
      </c>
      <c r="K12">
        <v>28.14</v>
      </c>
      <c r="L12">
        <v>2.02</v>
      </c>
      <c r="M12" t="s">
        <v>698</v>
      </c>
      <c r="N12" t="s">
        <v>1057</v>
      </c>
      <c r="O12" t="s">
        <v>1058</v>
      </c>
      <c r="P12" t="s">
        <v>1059</v>
      </c>
      <c r="Q12">
        <v>-25.29</v>
      </c>
      <c r="R12" t="s">
        <v>1060</v>
      </c>
      <c r="S12">
        <v>124462498</v>
      </c>
      <c r="T12" s="4">
        <v>-0.38650000000000001</v>
      </c>
      <c r="U12" t="s">
        <v>1061</v>
      </c>
      <c r="V12">
        <v>183634480</v>
      </c>
      <c r="W12">
        <v>2017600000</v>
      </c>
      <c r="X12">
        <v>1.83</v>
      </c>
      <c r="Y12">
        <v>0.23</v>
      </c>
      <c r="Z12">
        <v>2.5099999999999998</v>
      </c>
      <c r="AA12" t="s">
        <v>1062</v>
      </c>
      <c r="AB12" t="s">
        <v>1063</v>
      </c>
      <c r="AC12" t="s">
        <v>41</v>
      </c>
      <c r="AD12" t="s">
        <v>688</v>
      </c>
      <c r="AE12" t="s">
        <v>1064</v>
      </c>
      <c r="AF12">
        <v>-2931650</v>
      </c>
      <c r="AG12" t="s">
        <v>1065</v>
      </c>
      <c r="AH12" t="s">
        <v>1066</v>
      </c>
      <c r="AI12" t="s">
        <v>1067</v>
      </c>
      <c r="AJ12" t="s">
        <v>1068</v>
      </c>
      <c r="AK12" t="s">
        <v>1069</v>
      </c>
      <c r="AL12" t="s">
        <v>168</v>
      </c>
      <c r="AM12" t="s">
        <v>1070</v>
      </c>
      <c r="AN12" t="s">
        <v>7</v>
      </c>
      <c r="AO12" t="s">
        <v>449</v>
      </c>
      <c r="AP12" t="s">
        <v>1071</v>
      </c>
      <c r="AQ12" t="s">
        <v>1072</v>
      </c>
      <c r="AR12" t="s">
        <v>1073</v>
      </c>
      <c r="AS12" t="s">
        <v>1074</v>
      </c>
      <c r="AT12" t="s">
        <v>1075</v>
      </c>
      <c r="AU12" t="s">
        <v>1076</v>
      </c>
      <c r="AV12" t="s">
        <v>1077</v>
      </c>
      <c r="AW12" t="s">
        <v>679</v>
      </c>
      <c r="AX12" t="s">
        <v>66</v>
      </c>
      <c r="AY12" t="s">
        <v>1078</v>
      </c>
      <c r="AZ12" t="s">
        <v>1079</v>
      </c>
      <c r="BA12" t="s">
        <v>1080</v>
      </c>
      <c r="BB12" t="s">
        <v>1081</v>
      </c>
      <c r="BC12" t="s">
        <v>7</v>
      </c>
      <c r="BD12" t="s">
        <v>1082</v>
      </c>
      <c r="BE12" t="s">
        <v>1083</v>
      </c>
      <c r="BF12" t="s">
        <v>1084</v>
      </c>
      <c r="BG12" t="s">
        <v>36</v>
      </c>
      <c r="BH12" t="s">
        <v>7</v>
      </c>
      <c r="BI12" t="s">
        <v>1085</v>
      </c>
      <c r="BJ12" t="s">
        <v>1086</v>
      </c>
      <c r="BK12" t="s">
        <v>1078</v>
      </c>
      <c r="BL12" t="s">
        <v>1061</v>
      </c>
      <c r="BM12" t="s">
        <v>650</v>
      </c>
      <c r="BN12" t="s">
        <v>1082</v>
      </c>
      <c r="BO12">
        <v>6.52</v>
      </c>
      <c r="BP12">
        <v>8.8800000000000008</v>
      </c>
      <c r="BQ12">
        <v>10.59</v>
      </c>
      <c r="BR12">
        <v>11.95</v>
      </c>
      <c r="BS12">
        <v>8.2899999999999991</v>
      </c>
      <c r="BT12">
        <v>11.48</v>
      </c>
      <c r="BU12" t="s">
        <v>7</v>
      </c>
      <c r="BV12" t="s">
        <v>7</v>
      </c>
      <c r="BW12">
        <v>11.02</v>
      </c>
      <c r="BX12">
        <v>13.09</v>
      </c>
      <c r="BY12">
        <v>13.91</v>
      </c>
      <c r="BZ12">
        <v>3.57</v>
      </c>
      <c r="CA12">
        <v>4.79</v>
      </c>
      <c r="CB12">
        <v>5.67</v>
      </c>
      <c r="CC12">
        <v>26.46</v>
      </c>
      <c r="CD12">
        <v>21.25</v>
      </c>
      <c r="CE12" t="s">
        <v>1087</v>
      </c>
      <c r="CF12" t="s">
        <v>358</v>
      </c>
      <c r="CG12" s="23">
        <v>-0.25294126637554587</v>
      </c>
      <c r="CH12" s="24">
        <v>-0.38688424630541862</v>
      </c>
      <c r="CI12" s="23">
        <v>4.3360114097595215E-2</v>
      </c>
      <c r="CJ12" s="23">
        <v>0.1330653578042984</v>
      </c>
      <c r="CK12" s="23">
        <v>-3.8798198103904724E-2</v>
      </c>
      <c r="CL12" s="23">
        <v>0.24723184108734131</v>
      </c>
      <c r="CM12" s="23" t="e">
        <v>#VALUE!</v>
      </c>
      <c r="CN12" s="24">
        <v>-0.20406360924243927</v>
      </c>
      <c r="CO12" s="24">
        <v>-6.523539125919342E-2</v>
      </c>
      <c r="CP12" s="24">
        <v>1.2541859410703182E-2</v>
      </c>
      <c r="CQ12" s="24">
        <v>0.24066390097141266</v>
      </c>
      <c r="CR12" s="24" t="e">
        <v>#VALUE!</v>
      </c>
      <c r="CS12">
        <v>0.83701793981481476</v>
      </c>
      <c r="CT12">
        <v>11514085.349611543</v>
      </c>
      <c r="CU12">
        <v>1.056459</v>
      </c>
      <c r="CV12" s="23">
        <v>9.621477872133255E-2</v>
      </c>
      <c r="CW12" s="24">
        <v>-4.0233100298792124E-3</v>
      </c>
      <c r="CX12">
        <v>0.06</v>
      </c>
      <c r="CY12">
        <v>22.571652292802558</v>
      </c>
      <c r="CZ12">
        <v>931782561.91313255</v>
      </c>
      <c r="DA12">
        <v>9.621477872133255E-2</v>
      </c>
      <c r="DB12">
        <v>7.3375168332721392</v>
      </c>
      <c r="DC12">
        <v>2866347359.4541535</v>
      </c>
      <c r="DD12">
        <v>9.1404039785265914E-2</v>
      </c>
      <c r="DE12">
        <v>3.586715684116931</v>
      </c>
      <c r="DF12">
        <v>5863824694.3117161</v>
      </c>
      <c r="DG12">
        <v>8.4669005274772641E-2</v>
      </c>
      <c r="DH12">
        <v>2.1367790209408821</v>
      </c>
      <c r="DI12">
        <v>9842792255.9531174</v>
      </c>
      <c r="DJ12">
        <v>7.6971822977066048E-2</v>
      </c>
      <c r="DK12">
        <v>1.08459239271174</v>
      </c>
      <c r="DL12">
        <v>19391498724.617916</v>
      </c>
      <c r="DM12">
        <v>6.7350345104932777E-2</v>
      </c>
      <c r="DN12">
        <v>901000000</v>
      </c>
      <c r="DO12">
        <v>9.621477872133255E-2</v>
      </c>
      <c r="DP12">
        <v>21031872000</v>
      </c>
      <c r="DQ12">
        <v>5363094000</v>
      </c>
      <c r="DR12">
        <v>2491</v>
      </c>
      <c r="DS12">
        <v>-0.34915604509687842</v>
      </c>
      <c r="DT12">
        <v>-0.38286093627553941</v>
      </c>
      <c r="DU12" s="25">
        <v>-0.12400000000000003</v>
      </c>
      <c r="DV12">
        <v>-0.32400000000000001</v>
      </c>
      <c r="DW12">
        <v>-0.44800000000000006</v>
      </c>
      <c r="DX12">
        <v>5.8030990173847314</v>
      </c>
      <c r="DY12">
        <v>0.56843710292249017</v>
      </c>
      <c r="DZ12">
        <v>5.2316435539343509</v>
      </c>
      <c r="EA12">
        <v>3490</v>
      </c>
      <c r="EB12">
        <v>5.0602921331562918</v>
      </c>
      <c r="EC12">
        <v>5</v>
      </c>
      <c r="ED12">
        <v>0.11250991276764473</v>
      </c>
      <c r="EE12">
        <v>0.39006740681998414</v>
      </c>
      <c r="EF12" s="22">
        <v>1.0962000000000001</v>
      </c>
      <c r="EG12">
        <v>1.1389</v>
      </c>
      <c r="EH12">
        <v>28.28843710292249</v>
      </c>
      <c r="EI12" t="s">
        <v>498</v>
      </c>
      <c r="EJ12">
        <v>1</v>
      </c>
      <c r="EK12">
        <v>0</v>
      </c>
    </row>
    <row r="13" spans="1:141" x14ac:dyDescent="0.25">
      <c r="A13" s="32"/>
      <c r="B13" s="3"/>
      <c r="C13" s="3"/>
      <c r="D13" s="3"/>
      <c r="E13" t="s">
        <v>716</v>
      </c>
      <c r="F13" t="s">
        <v>1088</v>
      </c>
      <c r="G13">
        <v>5.27</v>
      </c>
      <c r="H13">
        <v>1.54</v>
      </c>
      <c r="I13" t="s">
        <v>1089</v>
      </c>
      <c r="J13">
        <v>10540000000</v>
      </c>
      <c r="K13">
        <v>48.51</v>
      </c>
      <c r="L13">
        <v>1.29</v>
      </c>
      <c r="M13" t="s">
        <v>698</v>
      </c>
      <c r="N13" t="s">
        <v>1090</v>
      </c>
      <c r="O13" t="s">
        <v>1091</v>
      </c>
      <c r="P13" t="s">
        <v>1092</v>
      </c>
      <c r="Q13">
        <v>-9.5</v>
      </c>
      <c r="R13" t="s">
        <v>1093</v>
      </c>
      <c r="S13">
        <v>118661853</v>
      </c>
      <c r="T13" s="4">
        <v>-0.5655</v>
      </c>
      <c r="U13" t="s">
        <v>1094</v>
      </c>
      <c r="V13">
        <v>2000000000</v>
      </c>
      <c r="W13">
        <v>2000000000</v>
      </c>
      <c r="X13">
        <v>2.34</v>
      </c>
      <c r="Y13">
        <v>0.18</v>
      </c>
      <c r="Z13">
        <v>3.37</v>
      </c>
      <c r="AA13" t="s">
        <v>1095</v>
      </c>
      <c r="AB13" t="s">
        <v>1096</v>
      </c>
      <c r="AC13" t="s">
        <v>118</v>
      </c>
      <c r="AD13" t="s">
        <v>1097</v>
      </c>
      <c r="AE13" t="s">
        <v>124</v>
      </c>
      <c r="AF13">
        <v>-23978747</v>
      </c>
      <c r="AG13" t="s">
        <v>1098</v>
      </c>
      <c r="AH13" t="s">
        <v>1099</v>
      </c>
      <c r="AI13" t="s">
        <v>1100</v>
      </c>
      <c r="AJ13" t="s">
        <v>1101</v>
      </c>
      <c r="AK13" t="s">
        <v>1102</v>
      </c>
      <c r="AL13" t="s">
        <v>437</v>
      </c>
      <c r="AM13" t="s">
        <v>1103</v>
      </c>
      <c r="AN13" t="s">
        <v>7</v>
      </c>
      <c r="AO13" t="s">
        <v>255</v>
      </c>
      <c r="AP13" t="s">
        <v>7</v>
      </c>
      <c r="AQ13" t="s">
        <v>1104</v>
      </c>
      <c r="AR13" t="s">
        <v>1105</v>
      </c>
      <c r="AS13" t="s">
        <v>7</v>
      </c>
      <c r="AT13" t="s">
        <v>1106</v>
      </c>
      <c r="AU13" t="s">
        <v>7</v>
      </c>
      <c r="AV13" t="s">
        <v>1107</v>
      </c>
      <c r="AW13" t="s">
        <v>1108</v>
      </c>
      <c r="AX13" t="s">
        <v>1109</v>
      </c>
      <c r="AY13" t="s">
        <v>1110</v>
      </c>
      <c r="AZ13" t="s">
        <v>1111</v>
      </c>
      <c r="BA13" t="s">
        <v>1112</v>
      </c>
      <c r="BB13" t="s">
        <v>1113</v>
      </c>
      <c r="BC13" t="s">
        <v>1114</v>
      </c>
      <c r="BD13" t="s">
        <v>25</v>
      </c>
      <c r="BE13" t="s">
        <v>378</v>
      </c>
      <c r="BF13" t="s">
        <v>25</v>
      </c>
      <c r="BG13" t="s">
        <v>148</v>
      </c>
      <c r="BH13" t="s">
        <v>52</v>
      </c>
      <c r="BI13" t="s">
        <v>1115</v>
      </c>
      <c r="BJ13" t="s">
        <v>1116</v>
      </c>
      <c r="BK13" t="s">
        <v>1110</v>
      </c>
      <c r="BL13" t="s">
        <v>1094</v>
      </c>
      <c r="BM13" t="s">
        <v>1117</v>
      </c>
      <c r="BN13" t="s">
        <v>25</v>
      </c>
      <c r="BO13">
        <v>2.67</v>
      </c>
      <c r="BP13">
        <v>4.2300000000000004</v>
      </c>
      <c r="BQ13">
        <v>3.63</v>
      </c>
      <c r="BR13">
        <v>4.57</v>
      </c>
      <c r="BS13">
        <v>4.6900000000000004</v>
      </c>
      <c r="BT13">
        <v>7.27</v>
      </c>
      <c r="BU13">
        <v>6.08</v>
      </c>
      <c r="BV13">
        <v>8</v>
      </c>
      <c r="BW13">
        <v>10.48</v>
      </c>
      <c r="BX13">
        <v>14.15</v>
      </c>
      <c r="BY13">
        <v>11.99</v>
      </c>
      <c r="BZ13">
        <v>2.46</v>
      </c>
      <c r="CA13">
        <v>4.03</v>
      </c>
      <c r="CB13">
        <v>3.06</v>
      </c>
      <c r="CC13">
        <v>8.66</v>
      </c>
      <c r="CD13">
        <v>-3.48</v>
      </c>
      <c r="CE13" t="s">
        <v>435</v>
      </c>
      <c r="CF13" t="s">
        <v>1118</v>
      </c>
      <c r="CG13" s="23">
        <v>-9.4943138244197783E-2</v>
      </c>
      <c r="CH13" s="24">
        <v>-0.56534119780219783</v>
      </c>
      <c r="CI13" s="23">
        <v>0.13230903446674347</v>
      </c>
      <c r="CJ13" s="23">
        <v>1.5754451975226402E-2</v>
      </c>
      <c r="CK13" s="23">
        <v>-6.2478341162204742E-2</v>
      </c>
      <c r="CL13" s="23">
        <v>-0.21201024949550629</v>
      </c>
      <c r="CM13" s="23">
        <v>0.14252714812755585</v>
      </c>
      <c r="CN13" s="24">
        <v>-0.32851985096931458</v>
      </c>
      <c r="CO13" s="24">
        <v>0.25339367985725403</v>
      </c>
      <c r="CP13" s="24">
        <v>-0.20216606557369232</v>
      </c>
      <c r="CQ13" s="24">
        <v>1.7562189102172852</v>
      </c>
      <c r="CR13" s="24">
        <v>-8.2191780209541321E-2</v>
      </c>
      <c r="CS13">
        <v>0.67781350482315117</v>
      </c>
      <c r="CT13">
        <v>26436100.806451611</v>
      </c>
      <c r="CU13">
        <v>1.4194439999999999</v>
      </c>
      <c r="CV13" s="23">
        <v>3.220408782362938E-3</v>
      </c>
      <c r="CW13" s="24">
        <v>0.27934697866439817</v>
      </c>
      <c r="CX13">
        <v>0.06</v>
      </c>
      <c r="CY13">
        <v>37.983537696670197</v>
      </c>
      <c r="CZ13">
        <v>352073577.42173487</v>
      </c>
      <c r="DA13">
        <v>3.220408782362938E-3</v>
      </c>
      <c r="DB13">
        <v>13.368474970771018</v>
      </c>
      <c r="DC13">
        <v>1000338485.0731946</v>
      </c>
      <c r="DD13">
        <v>3.0593883432447908E-3</v>
      </c>
      <c r="DE13">
        <v>7.2420052545255675</v>
      </c>
      <c r="DF13">
        <v>1846588000.1458354</v>
      </c>
      <c r="DG13">
        <v>2.8339597284793854E-3</v>
      </c>
      <c r="DH13">
        <v>4.8214699898856228</v>
      </c>
      <c r="DI13">
        <v>2773635432.3585119</v>
      </c>
      <c r="DJ13">
        <v>2.5763270258903504E-3</v>
      </c>
      <c r="DK13">
        <v>3.0738028060593403</v>
      </c>
      <c r="DL13">
        <v>4350636928.835516</v>
      </c>
      <c r="DM13">
        <v>2.2542861476540564E-3</v>
      </c>
      <c r="DN13">
        <v>372000000</v>
      </c>
      <c r="DO13">
        <v>3.220408782362938E-3</v>
      </c>
      <c r="DP13">
        <v>13373000000</v>
      </c>
      <c r="DQ13">
        <v>4488698000</v>
      </c>
      <c r="DR13">
        <v>2641</v>
      </c>
      <c r="DS13">
        <v>-9.8163547026560716E-2</v>
      </c>
      <c r="DT13">
        <v>-0.844688176466596</v>
      </c>
      <c r="DU13" s="25">
        <v>-0.11666666666666665</v>
      </c>
      <c r="DV13">
        <v>-0.13666666666666669</v>
      </c>
      <c r="DW13">
        <v>-0.25333333333333335</v>
      </c>
      <c r="DX13">
        <v>5.4018475750577366</v>
      </c>
      <c r="DY13">
        <v>0.53399602385685863</v>
      </c>
      <c r="DZ13">
        <v>5.1342154922658043</v>
      </c>
      <c r="EA13">
        <v>3307</v>
      </c>
      <c r="EB13">
        <v>5.0404178099067565</v>
      </c>
      <c r="EC13">
        <v>5</v>
      </c>
      <c r="ED13">
        <v>8.4000000000000005E-2</v>
      </c>
      <c r="EE13">
        <v>0.2515</v>
      </c>
      <c r="EF13" s="22">
        <v>1.0834999999999999</v>
      </c>
      <c r="EG13">
        <v>1.0989</v>
      </c>
      <c r="EH13">
        <v>20.333996023856859</v>
      </c>
      <c r="EI13" t="s">
        <v>498</v>
      </c>
      <c r="EJ13">
        <v>1</v>
      </c>
      <c r="EK13">
        <v>0</v>
      </c>
    </row>
    <row r="14" spans="1:141" ht="108" x14ac:dyDescent="0.25">
      <c r="A14" s="32"/>
      <c r="B14" s="3" t="s">
        <v>1119</v>
      </c>
      <c r="C14" s="3" t="s">
        <v>1120</v>
      </c>
      <c r="D14" s="3" t="s">
        <v>1121</v>
      </c>
      <c r="E14" t="s">
        <v>717</v>
      </c>
      <c r="F14" t="s">
        <v>718</v>
      </c>
      <c r="G14">
        <v>8.25</v>
      </c>
      <c r="H14">
        <v>1.73</v>
      </c>
      <c r="I14" t="s">
        <v>1122</v>
      </c>
      <c r="J14">
        <v>18264999000</v>
      </c>
      <c r="K14">
        <v>30</v>
      </c>
      <c r="L14">
        <v>1.26</v>
      </c>
      <c r="M14" t="s">
        <v>698</v>
      </c>
      <c r="N14" t="s">
        <v>1123</v>
      </c>
      <c r="O14" t="s">
        <v>1124</v>
      </c>
      <c r="P14" t="s">
        <v>1125</v>
      </c>
      <c r="Q14">
        <v>-2.84</v>
      </c>
      <c r="R14" t="s">
        <v>1126</v>
      </c>
      <c r="S14">
        <v>-115652914</v>
      </c>
      <c r="T14" s="4">
        <v>-4.4299999999999999E-2</v>
      </c>
      <c r="U14" t="s">
        <v>1127</v>
      </c>
      <c r="V14">
        <v>2213939200</v>
      </c>
      <c r="W14">
        <v>2213939200</v>
      </c>
      <c r="X14">
        <v>1.98</v>
      </c>
      <c r="Y14">
        <v>0.11</v>
      </c>
      <c r="Z14">
        <v>-3.34</v>
      </c>
      <c r="AA14" t="s">
        <v>1128</v>
      </c>
      <c r="AB14" t="s">
        <v>1129</v>
      </c>
      <c r="AC14" t="s">
        <v>202</v>
      </c>
      <c r="AD14" t="s">
        <v>75</v>
      </c>
      <c r="AE14" t="s">
        <v>1130</v>
      </c>
      <c r="AF14">
        <v>-58923664</v>
      </c>
      <c r="AG14" t="s">
        <v>1131</v>
      </c>
      <c r="AH14" t="s">
        <v>1132</v>
      </c>
      <c r="AI14" t="s">
        <v>1133</v>
      </c>
      <c r="AJ14" t="s">
        <v>1134</v>
      </c>
      <c r="AK14" t="s">
        <v>1135</v>
      </c>
      <c r="AL14" t="s">
        <v>1136</v>
      </c>
      <c r="AM14" t="s">
        <v>1137</v>
      </c>
      <c r="AN14" t="s">
        <v>7</v>
      </c>
      <c r="AO14" t="s">
        <v>685</v>
      </c>
      <c r="AP14" t="s">
        <v>7</v>
      </c>
      <c r="AQ14" t="s">
        <v>597</v>
      </c>
      <c r="AR14" t="s">
        <v>1138</v>
      </c>
      <c r="AS14" t="s">
        <v>1139</v>
      </c>
      <c r="AT14" t="s">
        <v>1140</v>
      </c>
      <c r="AU14" t="s">
        <v>7</v>
      </c>
      <c r="AV14" t="s">
        <v>1141</v>
      </c>
      <c r="AW14" t="s">
        <v>798</v>
      </c>
      <c r="AX14" t="s">
        <v>1142</v>
      </c>
      <c r="AY14" t="s">
        <v>1143</v>
      </c>
      <c r="AZ14" t="s">
        <v>1144</v>
      </c>
      <c r="BA14" t="s">
        <v>1145</v>
      </c>
      <c r="BB14" t="s">
        <v>1146</v>
      </c>
      <c r="BC14" t="s">
        <v>1147</v>
      </c>
      <c r="BD14" t="s">
        <v>1148</v>
      </c>
      <c r="BE14" t="s">
        <v>1149</v>
      </c>
      <c r="BF14" t="s">
        <v>1150</v>
      </c>
      <c r="BG14" t="s">
        <v>1151</v>
      </c>
      <c r="BH14" t="s">
        <v>1152</v>
      </c>
      <c r="BI14" t="s">
        <v>1153</v>
      </c>
      <c r="BJ14" t="s">
        <v>1154</v>
      </c>
      <c r="BK14" t="s">
        <v>1143</v>
      </c>
      <c r="BL14" t="s">
        <v>1127</v>
      </c>
      <c r="BM14" t="s">
        <v>1155</v>
      </c>
      <c r="BN14" t="s">
        <v>1148</v>
      </c>
      <c r="BO14">
        <v>2.93</v>
      </c>
      <c r="BP14">
        <v>2.33</v>
      </c>
      <c r="BQ14">
        <v>8.77</v>
      </c>
      <c r="BR14">
        <v>10.51</v>
      </c>
      <c r="BS14">
        <v>4.0599999999999996</v>
      </c>
      <c r="BT14">
        <v>3.11</v>
      </c>
      <c r="BU14">
        <v>11.33</v>
      </c>
      <c r="BV14">
        <v>14.3</v>
      </c>
      <c r="BW14">
        <v>18.649999999999999</v>
      </c>
      <c r="BX14">
        <v>17.48</v>
      </c>
      <c r="BY14">
        <v>24.35</v>
      </c>
      <c r="BZ14">
        <v>2.69</v>
      </c>
      <c r="CA14">
        <v>2.39</v>
      </c>
      <c r="CB14">
        <v>6.43</v>
      </c>
      <c r="CC14">
        <v>7.84</v>
      </c>
      <c r="CD14">
        <v>-1.9</v>
      </c>
      <c r="CE14" t="s">
        <v>27</v>
      </c>
      <c r="CF14" t="s">
        <v>1156</v>
      </c>
      <c r="CG14" s="23">
        <v>-2.8372333976302011E-2</v>
      </c>
      <c r="CH14" s="24">
        <v>-4.1918144144144007E-2</v>
      </c>
      <c r="CI14" s="23">
        <v>7.0398449897766113E-2</v>
      </c>
      <c r="CJ14" s="23">
        <v>-0.28817391395568848</v>
      </c>
      <c r="CK14" s="23">
        <v>-3.9501059800386429E-2</v>
      </c>
      <c r="CL14" s="23">
        <v>-4.4428382068872452E-2</v>
      </c>
      <c r="CM14" s="23">
        <v>-7.3305375874042511E-2</v>
      </c>
      <c r="CN14" s="24">
        <v>0.18992248177528381</v>
      </c>
      <c r="CO14" s="24">
        <v>-0.73429453372955322</v>
      </c>
      <c r="CP14" s="24">
        <v>-0.15601909160614014</v>
      </c>
      <c r="CQ14" s="24">
        <v>-0.26462128758430481</v>
      </c>
      <c r="CR14" s="24">
        <v>-0.22626113891601563</v>
      </c>
      <c r="CS14">
        <v>0.78616618602849397</v>
      </c>
      <c r="CT14">
        <v>-52753980.456026055</v>
      </c>
      <c r="CU14">
        <v>-0.72745199999999999</v>
      </c>
      <c r="CV14" s="23">
        <v>-7.5002056360244748E-2</v>
      </c>
      <c r="CW14" s="24">
        <v>-0.23825471401214598</v>
      </c>
      <c r="CX14">
        <v>0.06</v>
      </c>
      <c r="CY14" t="e">
        <v>#VALUE!</v>
      </c>
      <c r="CZ14" t="s">
        <v>805</v>
      </c>
      <c r="DA14">
        <v>-7.5002056360244748E-2</v>
      </c>
      <c r="DB14">
        <v>9.7155260586319212</v>
      </c>
      <c r="DC14" t="s">
        <v>1157</v>
      </c>
      <c r="DD14">
        <v>-7.1251953542232502E-2</v>
      </c>
      <c r="DE14">
        <v>4.8577630293159606</v>
      </c>
      <c r="DF14" t="s">
        <v>1158</v>
      </c>
      <c r="DG14">
        <v>-6.6001809597015376E-2</v>
      </c>
      <c r="DH14">
        <v>2.9146578175895765</v>
      </c>
      <c r="DI14" t="s">
        <v>1159</v>
      </c>
      <c r="DJ14">
        <v>-6.0001645088195804E-2</v>
      </c>
      <c r="DK14">
        <v>1.4573289087947883</v>
      </c>
      <c r="DL14" t="s">
        <v>1160</v>
      </c>
      <c r="DM14">
        <v>-5.2501439452171318E-2</v>
      </c>
      <c r="DN14">
        <v>614000000</v>
      </c>
      <c r="DO14">
        <v>-7.5002056360244748E-2</v>
      </c>
      <c r="DP14">
        <v>17895999000</v>
      </c>
      <c r="DQ14">
        <v>6353086000</v>
      </c>
      <c r="DR14">
        <v>2687</v>
      </c>
      <c r="DS14">
        <v>4.6629722383942737E-2</v>
      </c>
      <c r="DT14">
        <v>0.19633656986800196</v>
      </c>
      <c r="DU14" s="25">
        <v>-0.15</v>
      </c>
      <c r="DV14">
        <v>-1.1616666666666666</v>
      </c>
      <c r="DW14">
        <v>-1.3116666666666665</v>
      </c>
      <c r="DX14">
        <v>5.2423469387755102</v>
      </c>
      <c r="DY14">
        <v>0.42342064714946021</v>
      </c>
      <c r="DZ14">
        <v>5.0541453098959153</v>
      </c>
      <c r="EA14">
        <v>4100</v>
      </c>
      <c r="EB14">
        <v>5.0069021154772617</v>
      </c>
      <c r="EC14">
        <v>5</v>
      </c>
      <c r="ED14">
        <v>6.5494120163733488E-2</v>
      </c>
      <c r="EE14">
        <v>0.2931426481811244</v>
      </c>
      <c r="EF14" s="22">
        <v>1.0680000000000001</v>
      </c>
      <c r="EG14">
        <v>1.0852999999999999</v>
      </c>
      <c r="EH14">
        <v>20.22342064714946</v>
      </c>
      <c r="EI14" t="s">
        <v>498</v>
      </c>
      <c r="EJ14">
        <v>1</v>
      </c>
      <c r="EK14">
        <v>0</v>
      </c>
    </row>
    <row r="15" spans="1:141" x14ac:dyDescent="0.25">
      <c r="A15" s="32"/>
      <c r="B15" s="3"/>
      <c r="C15" s="3"/>
      <c r="D15" s="3"/>
      <c r="E15" t="s">
        <v>719</v>
      </c>
      <c r="F15" t="s">
        <v>1161</v>
      </c>
      <c r="G15">
        <v>16.53</v>
      </c>
      <c r="H15">
        <v>0.3</v>
      </c>
      <c r="I15" t="s">
        <v>1162</v>
      </c>
      <c r="J15">
        <v>193127620000</v>
      </c>
      <c r="K15">
        <v>8.32</v>
      </c>
      <c r="L15">
        <v>0.69599999999999995</v>
      </c>
      <c r="M15" t="s">
        <v>698</v>
      </c>
      <c r="N15" t="s">
        <v>1163</v>
      </c>
      <c r="O15" t="s">
        <v>1164</v>
      </c>
      <c r="P15" t="s">
        <v>1165</v>
      </c>
      <c r="Q15">
        <v>-4.1399999999999997</v>
      </c>
      <c r="R15" t="s">
        <v>1166</v>
      </c>
      <c r="S15">
        <v>5515609100</v>
      </c>
      <c r="T15" s="4">
        <v>-0.19439999999999999</v>
      </c>
      <c r="U15" t="s">
        <v>1167</v>
      </c>
      <c r="V15">
        <v>11683461400</v>
      </c>
      <c r="W15">
        <v>11683461400</v>
      </c>
      <c r="X15">
        <v>2.74</v>
      </c>
      <c r="Y15">
        <v>0.19</v>
      </c>
      <c r="Z15">
        <v>4.07</v>
      </c>
      <c r="AA15" t="s">
        <v>1168</v>
      </c>
      <c r="AB15" t="s">
        <v>1169</v>
      </c>
      <c r="AC15" t="s">
        <v>1170</v>
      </c>
      <c r="AD15" t="s">
        <v>1171</v>
      </c>
      <c r="AE15" t="s">
        <v>1172</v>
      </c>
      <c r="AF15">
        <v>3003775</v>
      </c>
      <c r="AG15" t="s">
        <v>1173</v>
      </c>
      <c r="AH15" t="s">
        <v>1174</v>
      </c>
      <c r="AI15" t="s">
        <v>1175</v>
      </c>
      <c r="AJ15" t="s">
        <v>1176</v>
      </c>
      <c r="AK15" t="s">
        <v>1177</v>
      </c>
      <c r="AL15" t="s">
        <v>1178</v>
      </c>
      <c r="AM15" t="s">
        <v>1179</v>
      </c>
      <c r="AN15" t="s">
        <v>7</v>
      </c>
      <c r="AO15" t="s">
        <v>1180</v>
      </c>
      <c r="AP15" t="s">
        <v>1181</v>
      </c>
      <c r="AQ15" t="s">
        <v>1182</v>
      </c>
      <c r="AR15" t="s">
        <v>1183</v>
      </c>
      <c r="AS15" t="s">
        <v>7</v>
      </c>
      <c r="AT15" t="s">
        <v>1184</v>
      </c>
      <c r="AU15" t="s">
        <v>1185</v>
      </c>
      <c r="AV15" t="s">
        <v>1186</v>
      </c>
      <c r="AW15" t="s">
        <v>1187</v>
      </c>
      <c r="AX15" t="s">
        <v>1188</v>
      </c>
      <c r="AY15" t="s">
        <v>1189</v>
      </c>
      <c r="AZ15" t="s">
        <v>1190</v>
      </c>
      <c r="BA15" t="s">
        <v>1191</v>
      </c>
      <c r="BB15" t="s">
        <v>1192</v>
      </c>
      <c r="BC15" t="s">
        <v>1193</v>
      </c>
      <c r="BD15" t="s">
        <v>1194</v>
      </c>
      <c r="BE15" t="s">
        <v>1195</v>
      </c>
      <c r="BF15" t="s">
        <v>1196</v>
      </c>
      <c r="BG15" t="s">
        <v>1197</v>
      </c>
      <c r="BH15" t="s">
        <v>1198</v>
      </c>
      <c r="BI15" t="s">
        <v>1199</v>
      </c>
      <c r="BJ15" t="s">
        <v>1200</v>
      </c>
      <c r="BK15" t="s">
        <v>1201</v>
      </c>
      <c r="BL15" t="s">
        <v>1167</v>
      </c>
      <c r="BM15" t="s">
        <v>1202</v>
      </c>
      <c r="BN15" t="s">
        <v>1194</v>
      </c>
      <c r="BO15">
        <v>4.34</v>
      </c>
      <c r="BP15">
        <v>3.81</v>
      </c>
      <c r="BQ15">
        <v>5.35</v>
      </c>
      <c r="BR15">
        <v>8.4700000000000006</v>
      </c>
      <c r="BS15">
        <v>9.19</v>
      </c>
      <c r="BT15">
        <v>8.02</v>
      </c>
      <c r="BU15">
        <v>10.53</v>
      </c>
      <c r="BV15">
        <v>15.67</v>
      </c>
      <c r="BW15">
        <v>9.6300000000000008</v>
      </c>
      <c r="BX15">
        <v>10.76</v>
      </c>
      <c r="BY15">
        <v>12.15</v>
      </c>
      <c r="BZ15">
        <v>4.47</v>
      </c>
      <c r="CA15">
        <v>4.04</v>
      </c>
      <c r="CB15">
        <v>4.2699999999999996</v>
      </c>
      <c r="CC15">
        <v>4.62</v>
      </c>
      <c r="CD15">
        <v>-2.76</v>
      </c>
      <c r="CE15" t="s">
        <v>215</v>
      </c>
      <c r="CF15" t="s">
        <v>1203</v>
      </c>
      <c r="CG15" s="23">
        <v>-4.1395911284637495E-2</v>
      </c>
      <c r="CH15" s="24">
        <v>-0.19444879509274135</v>
      </c>
      <c r="CI15" s="23">
        <v>5.0818454474210739E-2</v>
      </c>
      <c r="CJ15" s="23">
        <v>-0.10211121290922165</v>
      </c>
      <c r="CK15" s="23">
        <v>-6.8830795586109161E-2</v>
      </c>
      <c r="CL15" s="23">
        <v>3.4555695950984955E-2</v>
      </c>
      <c r="CM15" s="23">
        <v>0.14974239468574524</v>
      </c>
      <c r="CN15" s="24">
        <v>0.20077337324619293</v>
      </c>
      <c r="CO15" s="24">
        <v>-0.20200760662555695</v>
      </c>
      <c r="CP15" s="24">
        <v>-0.28898331522941589</v>
      </c>
      <c r="CQ15" s="24">
        <v>4.6469066292047501E-2</v>
      </c>
      <c r="CR15" s="24">
        <v>7.511090487241745E-2</v>
      </c>
      <c r="CS15">
        <v>0.24764840750609735</v>
      </c>
      <c r="CT15">
        <v>20189227.163412545</v>
      </c>
      <c r="CU15">
        <v>2.1188420000000003</v>
      </c>
      <c r="CV15" s="23">
        <v>1.2834907323122025E-2</v>
      </c>
      <c r="CW15" s="24">
        <v>-3.3727515488862991E-2</v>
      </c>
      <c r="CX15">
        <v>0.06</v>
      </c>
      <c r="CY15">
        <v>18.813326534364585</v>
      </c>
      <c r="CZ15">
        <v>23441395076.752972</v>
      </c>
      <c r="DA15">
        <v>1.2834907323122025E-2</v>
      </c>
      <c r="DB15">
        <v>6.5668002338743685</v>
      </c>
      <c r="DC15">
        <v>67157611666.802094</v>
      </c>
      <c r="DD15">
        <v>1.2193161956965924E-2</v>
      </c>
      <c r="DE15">
        <v>3.5208314909396279</v>
      </c>
      <c r="DF15">
        <v>125257519746.36665</v>
      </c>
      <c r="DG15">
        <v>1.1294718444347382E-2</v>
      </c>
      <c r="DH15">
        <v>2.3192674710667549</v>
      </c>
      <c r="DI15">
        <v>190150823698.29285</v>
      </c>
      <c r="DJ15">
        <v>1.0267925858497621E-2</v>
      </c>
      <c r="DK15">
        <v>1.4493314571490643</v>
      </c>
      <c r="DL15">
        <v>304285550296.06445</v>
      </c>
      <c r="DM15">
        <v>8.984435126185417E-3</v>
      </c>
      <c r="DN15">
        <v>24533000000</v>
      </c>
      <c r="DO15">
        <v>1.2834907323122025E-2</v>
      </c>
      <c r="DP15">
        <v>441010620000</v>
      </c>
      <c r="DQ15">
        <v>85852060000.000061</v>
      </c>
      <c r="DR15">
        <v>2718</v>
      </c>
      <c r="DS15">
        <v>-5.4230818607759523E-2</v>
      </c>
      <c r="DT15">
        <v>-0.16072127960387836</v>
      </c>
      <c r="DU15" s="25">
        <v>0</v>
      </c>
      <c r="DV15">
        <v>-0.33666666666666667</v>
      </c>
      <c r="DW15">
        <v>-0.33666666666666667</v>
      </c>
      <c r="DX15">
        <v>4.5974025974025974</v>
      </c>
      <c r="DY15">
        <v>0.41933014354066944</v>
      </c>
      <c r="DZ15">
        <v>4.1549245013359846</v>
      </c>
      <c r="EA15">
        <v>3401</v>
      </c>
      <c r="EB15">
        <v>4.043246199291965</v>
      </c>
      <c r="EC15">
        <v>4</v>
      </c>
      <c r="ED15">
        <v>2.3195180839130431E-2</v>
      </c>
      <c r="EE15">
        <v>8.9442671501443902E-2</v>
      </c>
      <c r="EF15" s="22">
        <v>-1.0657000000000001</v>
      </c>
      <c r="EG15">
        <v>-1.0687</v>
      </c>
      <c r="EH15">
        <v>16.259330143540669</v>
      </c>
      <c r="EI15" t="s">
        <v>499</v>
      </c>
      <c r="EJ15">
        <v>0</v>
      </c>
      <c r="EK15">
        <v>0</v>
      </c>
    </row>
    <row r="16" spans="1:141" x14ac:dyDescent="0.25">
      <c r="A16" s="32"/>
      <c r="B16" s="3"/>
      <c r="C16" s="3"/>
      <c r="D16" s="3"/>
      <c r="E16" t="s">
        <v>720</v>
      </c>
      <c r="F16" t="s">
        <v>721</v>
      </c>
      <c r="G16">
        <v>2.56</v>
      </c>
      <c r="H16">
        <v>1.99</v>
      </c>
      <c r="I16" t="s">
        <v>87</v>
      </c>
      <c r="J16">
        <v>16832492000</v>
      </c>
      <c r="L16">
        <v>1.58</v>
      </c>
      <c r="M16" t="s">
        <v>698</v>
      </c>
      <c r="N16" t="s">
        <v>1204</v>
      </c>
      <c r="O16" t="s">
        <v>1205</v>
      </c>
      <c r="P16" t="s">
        <v>1206</v>
      </c>
      <c r="Q16">
        <v>-21.94</v>
      </c>
      <c r="R16" t="s">
        <v>1207</v>
      </c>
      <c r="S16">
        <v>135386330</v>
      </c>
      <c r="T16" s="4">
        <v>-0.63460000000000005</v>
      </c>
      <c r="U16" t="s">
        <v>1208</v>
      </c>
      <c r="V16">
        <v>6575192000</v>
      </c>
      <c r="W16">
        <v>6575192000</v>
      </c>
      <c r="X16">
        <v>4.8</v>
      </c>
      <c r="Y16">
        <v>0.25</v>
      </c>
      <c r="Z16">
        <v>1.08</v>
      </c>
      <c r="AA16" t="s">
        <v>1209</v>
      </c>
      <c r="AB16" t="s">
        <v>1210</v>
      </c>
      <c r="AC16" t="s">
        <v>332</v>
      </c>
      <c r="AD16" t="s">
        <v>672</v>
      </c>
      <c r="AE16" t="s">
        <v>1211</v>
      </c>
      <c r="AF16">
        <v>25959904</v>
      </c>
      <c r="AG16" t="s">
        <v>1212</v>
      </c>
      <c r="AH16" t="s">
        <v>1213</v>
      </c>
      <c r="AI16" t="s">
        <v>1214</v>
      </c>
      <c r="AJ16" t="s">
        <v>1215</v>
      </c>
      <c r="AK16" t="s">
        <v>1216</v>
      </c>
      <c r="AL16" t="s">
        <v>433</v>
      </c>
      <c r="AM16" t="s">
        <v>1217</v>
      </c>
      <c r="AN16" t="s">
        <v>7</v>
      </c>
      <c r="AO16" t="s">
        <v>1218</v>
      </c>
      <c r="AP16" t="s">
        <v>1219</v>
      </c>
      <c r="AQ16" t="s">
        <v>1220</v>
      </c>
      <c r="AR16" t="s">
        <v>1221</v>
      </c>
      <c r="AS16" t="s">
        <v>7</v>
      </c>
      <c r="AT16" t="s">
        <v>1222</v>
      </c>
      <c r="AU16" t="s">
        <v>1223</v>
      </c>
      <c r="AV16" t="s">
        <v>448</v>
      </c>
      <c r="AW16" t="s">
        <v>1224</v>
      </c>
      <c r="AX16" t="s">
        <v>1225</v>
      </c>
      <c r="AY16" t="s">
        <v>1226</v>
      </c>
      <c r="AZ16" t="s">
        <v>1227</v>
      </c>
      <c r="BA16" t="s">
        <v>1228</v>
      </c>
      <c r="BB16" t="s">
        <v>1229</v>
      </c>
      <c r="BC16" t="s">
        <v>1230</v>
      </c>
      <c r="BD16" t="s">
        <v>212</v>
      </c>
      <c r="BE16" t="s">
        <v>62</v>
      </c>
      <c r="BF16" t="s">
        <v>1231</v>
      </c>
      <c r="BG16" t="s">
        <v>203</v>
      </c>
      <c r="BH16" t="s">
        <v>381</v>
      </c>
      <c r="BI16" t="s">
        <v>1232</v>
      </c>
      <c r="BJ16" t="s">
        <v>1233</v>
      </c>
      <c r="BK16" t="s">
        <v>1226</v>
      </c>
      <c r="BL16" t="s">
        <v>1208</v>
      </c>
      <c r="BM16" t="s">
        <v>857</v>
      </c>
      <c r="BN16" t="s">
        <v>212</v>
      </c>
      <c r="BO16">
        <v>-16.75</v>
      </c>
      <c r="BP16">
        <v>0.48</v>
      </c>
      <c r="BQ16">
        <v>0.52</v>
      </c>
      <c r="BR16">
        <v>-8.82</v>
      </c>
      <c r="BS16">
        <v>-39.090000000000003</v>
      </c>
      <c r="BT16">
        <v>1.01</v>
      </c>
      <c r="BU16">
        <v>1.26</v>
      </c>
      <c r="BV16">
        <v>-20.82</v>
      </c>
      <c r="BW16">
        <v>10.17</v>
      </c>
      <c r="BX16">
        <v>11.95</v>
      </c>
      <c r="BY16">
        <v>14.02</v>
      </c>
      <c r="BZ16">
        <v>-9.2100000000000009</v>
      </c>
      <c r="CA16">
        <v>0.24</v>
      </c>
      <c r="CB16">
        <v>0.31</v>
      </c>
      <c r="CC16">
        <v>9.8699999999999992</v>
      </c>
      <c r="CD16">
        <v>-1.92</v>
      </c>
      <c r="CE16" t="s">
        <v>39</v>
      </c>
      <c r="CF16" t="s">
        <v>640</v>
      </c>
      <c r="CG16" s="23">
        <v>-0.21944553875236286</v>
      </c>
      <c r="CH16" s="24">
        <v>-0.63507727762803234</v>
      </c>
      <c r="CI16" s="23">
        <v>-4.8316419124603271E-2</v>
      </c>
      <c r="CJ16" s="23">
        <v>0.22993223369121552</v>
      </c>
      <c r="CK16" s="23">
        <v>0.14400552213191986</v>
      </c>
      <c r="CL16" s="23">
        <v>-0.2060723602771759</v>
      </c>
      <c r="CM16" s="23">
        <v>0.11127824336290359</v>
      </c>
      <c r="CN16" s="24">
        <v>-33.651611328125</v>
      </c>
      <c r="CO16" s="24">
        <v>-0.1927083283662796</v>
      </c>
      <c r="CP16" s="24">
        <v>1.0537062883377075</v>
      </c>
      <c r="CQ16" s="24">
        <v>-32.919643402099609</v>
      </c>
      <c r="CR16" s="24">
        <v>-0.80246913433074951</v>
      </c>
      <c r="CS16">
        <v>0.30619005347982681</v>
      </c>
      <c r="CT16">
        <v>-1573762.813673187</v>
      </c>
      <c r="CU16">
        <v>1.296</v>
      </c>
      <c r="CV16" s="23">
        <v>4.6165443956851959E-2</v>
      </c>
      <c r="CW16" s="24">
        <v>-13.302545180916786</v>
      </c>
      <c r="CX16">
        <v>0.06</v>
      </c>
      <c r="CY16" t="e">
        <v>#VALUE!</v>
      </c>
      <c r="CZ16" t="s">
        <v>574</v>
      </c>
      <c r="DA16">
        <v>4.6165443956851959E-2</v>
      </c>
      <c r="DB16" t="e">
        <v>#VALUE!</v>
      </c>
      <c r="DC16" t="s">
        <v>574</v>
      </c>
      <c r="DD16">
        <v>4.3857171759009363E-2</v>
      </c>
      <c r="DE16" t="e">
        <v>#VALUE!</v>
      </c>
      <c r="DF16" t="s">
        <v>574</v>
      </c>
      <c r="DG16">
        <v>4.0625590682029727E-2</v>
      </c>
      <c r="DH16" t="e">
        <v>#VALUE!</v>
      </c>
      <c r="DI16" t="s">
        <v>574</v>
      </c>
      <c r="DJ16">
        <v>3.6932355165481566E-2</v>
      </c>
      <c r="DK16" t="e">
        <v>#VALUE!</v>
      </c>
      <c r="DL16" t="s">
        <v>574</v>
      </c>
      <c r="DM16">
        <v>3.2315810769796373E-2</v>
      </c>
      <c r="DN16">
        <v>-5061000000</v>
      </c>
      <c r="DO16">
        <v>4.6165443956851959E-2</v>
      </c>
      <c r="DP16">
        <v>46800492000</v>
      </c>
      <c r="DQ16">
        <v>-11271296000</v>
      </c>
      <c r="DR16">
        <v>2771</v>
      </c>
      <c r="DS16">
        <v>-0.26561098270921479</v>
      </c>
      <c r="DT16">
        <v>12.667467903288754</v>
      </c>
      <c r="DU16" s="25">
        <v>-0.18666666666666665</v>
      </c>
      <c r="DV16">
        <v>-1.9233333333333331</v>
      </c>
      <c r="DW16">
        <v>-2.11</v>
      </c>
      <c r="DX16">
        <v>5.1945288753799392</v>
      </c>
      <c r="DY16">
        <v>0.50070256709837646</v>
      </c>
      <c r="DZ16">
        <v>5.0584953322015078</v>
      </c>
      <c r="EA16">
        <v>4468</v>
      </c>
      <c r="EB16">
        <v>5.0028755951773887</v>
      </c>
      <c r="EC16">
        <v>5</v>
      </c>
      <c r="ED16">
        <v>9.7639734322587088E-2</v>
      </c>
      <c r="EE16">
        <v>0.32470534700735737</v>
      </c>
      <c r="EF16" s="22">
        <v>-1.109</v>
      </c>
      <c r="EG16">
        <v>-1.1289</v>
      </c>
      <c r="EH16">
        <v>20.300702567098377</v>
      </c>
      <c r="EI16" t="s">
        <v>499</v>
      </c>
      <c r="EJ16">
        <v>1</v>
      </c>
      <c r="EK16">
        <v>0</v>
      </c>
    </row>
    <row r="17" spans="1:141" x14ac:dyDescent="0.25">
      <c r="A17" s="32"/>
      <c r="B17" s="3"/>
      <c r="C17" s="3"/>
      <c r="D17" s="3"/>
      <c r="E17" t="s">
        <v>722</v>
      </c>
      <c r="F17" t="s">
        <v>723</v>
      </c>
      <c r="G17">
        <v>7.54</v>
      </c>
      <c r="H17">
        <v>5.01</v>
      </c>
      <c r="I17" t="s">
        <v>1234</v>
      </c>
      <c r="J17">
        <v>2156440000</v>
      </c>
      <c r="L17">
        <v>6.91</v>
      </c>
      <c r="M17" t="s">
        <v>698</v>
      </c>
      <c r="N17" t="s">
        <v>597</v>
      </c>
      <c r="O17" t="s">
        <v>689</v>
      </c>
      <c r="P17" t="s">
        <v>1235</v>
      </c>
      <c r="Q17">
        <v>2.78</v>
      </c>
      <c r="R17" t="s">
        <v>1236</v>
      </c>
      <c r="S17">
        <v>-43641648</v>
      </c>
      <c r="T17" s="5">
        <v>-39.299999999999997</v>
      </c>
      <c r="U17" t="s">
        <v>1237</v>
      </c>
      <c r="V17">
        <v>220000000</v>
      </c>
      <c r="W17">
        <v>286000000</v>
      </c>
      <c r="X17">
        <v>8.23</v>
      </c>
      <c r="Y17">
        <v>0.09</v>
      </c>
      <c r="Z17">
        <v>-15.31</v>
      </c>
      <c r="AA17" t="s">
        <v>639</v>
      </c>
      <c r="AB17" t="s">
        <v>26</v>
      </c>
      <c r="AC17" t="s">
        <v>1238</v>
      </c>
      <c r="AD17" t="s">
        <v>1239</v>
      </c>
      <c r="AE17" t="s">
        <v>1240</v>
      </c>
      <c r="AF17">
        <v>12242215</v>
      </c>
      <c r="AG17" t="s">
        <v>37</v>
      </c>
      <c r="AH17" t="s">
        <v>7</v>
      </c>
      <c r="AI17" t="s">
        <v>1241</v>
      </c>
      <c r="AJ17" t="s">
        <v>1076</v>
      </c>
      <c r="AK17" t="s">
        <v>1242</v>
      </c>
      <c r="AL17" t="s">
        <v>7</v>
      </c>
      <c r="AM17" t="s">
        <v>1243</v>
      </c>
      <c r="AN17" t="s">
        <v>7</v>
      </c>
      <c r="AO17" t="s">
        <v>1244</v>
      </c>
      <c r="AP17" t="s">
        <v>685</v>
      </c>
      <c r="AQ17" t="s">
        <v>45</v>
      </c>
      <c r="AR17" t="s">
        <v>112</v>
      </c>
      <c r="AS17" t="s">
        <v>7</v>
      </c>
      <c r="AT17" t="s">
        <v>1245</v>
      </c>
      <c r="AU17" t="s">
        <v>1246</v>
      </c>
      <c r="AV17" t="s">
        <v>1247</v>
      </c>
      <c r="AW17" t="s">
        <v>1248</v>
      </c>
      <c r="AX17" t="s">
        <v>1249</v>
      </c>
      <c r="AY17" t="s">
        <v>664</v>
      </c>
      <c r="AZ17" t="s">
        <v>1250</v>
      </c>
      <c r="BA17" t="s">
        <v>1251</v>
      </c>
      <c r="BB17" t="s">
        <v>1252</v>
      </c>
      <c r="BC17" t="s">
        <v>1253</v>
      </c>
      <c r="BD17" t="s">
        <v>762</v>
      </c>
      <c r="BE17" t="s">
        <v>1254</v>
      </c>
      <c r="BF17" t="s">
        <v>1255</v>
      </c>
      <c r="BG17" t="s">
        <v>1256</v>
      </c>
      <c r="BH17" t="s">
        <v>1257</v>
      </c>
      <c r="BI17" t="s">
        <v>134</v>
      </c>
      <c r="BJ17" t="s">
        <v>26</v>
      </c>
      <c r="BK17" t="s">
        <v>664</v>
      </c>
      <c r="BL17" t="s">
        <v>1237</v>
      </c>
      <c r="BM17" t="s">
        <v>1258</v>
      </c>
      <c r="BN17" t="s">
        <v>762</v>
      </c>
      <c r="BO17">
        <v>0.08</v>
      </c>
      <c r="BP17">
        <v>-5.22</v>
      </c>
      <c r="BQ17">
        <v>0.4</v>
      </c>
      <c r="BR17">
        <v>0.38</v>
      </c>
      <c r="BS17">
        <v>10.29</v>
      </c>
      <c r="BT17">
        <v>-165.8</v>
      </c>
      <c r="BU17">
        <v>8.3699999999999992</v>
      </c>
      <c r="BV17">
        <v>7.21</v>
      </c>
      <c r="BW17">
        <v>6.38</v>
      </c>
      <c r="BX17">
        <v>9.42</v>
      </c>
      <c r="BY17">
        <v>17.55</v>
      </c>
      <c r="BZ17">
        <v>-1.77</v>
      </c>
      <c r="CA17">
        <v>-8.3800000000000008</v>
      </c>
      <c r="CB17">
        <v>0.52</v>
      </c>
      <c r="CC17">
        <v>21.81</v>
      </c>
      <c r="CD17">
        <v>1.48</v>
      </c>
      <c r="CE17" t="s">
        <v>1259</v>
      </c>
      <c r="CF17" t="s">
        <v>34</v>
      </c>
      <c r="CG17" s="23">
        <v>2.7746570397111914E-2</v>
      </c>
      <c r="CH17" s="24">
        <v>-39.302306477093204</v>
      </c>
      <c r="CI17" s="23">
        <v>-0.47897818684577942</v>
      </c>
      <c r="CJ17" s="23">
        <v>-0.30612996220588684</v>
      </c>
      <c r="CK17" s="23">
        <v>0.10170876234769821</v>
      </c>
      <c r="CL17" s="23">
        <v>2.9744368046522141E-2</v>
      </c>
      <c r="CM17" s="23">
        <v>-0.29711422324180603</v>
      </c>
      <c r="CN17" s="24">
        <v>1.011972188949585</v>
      </c>
      <c r="CO17" s="24">
        <v>-12.329251289367676</v>
      </c>
      <c r="CP17" s="24">
        <v>6.6859439015388489E-2</v>
      </c>
      <c r="CQ17" s="24">
        <v>-0.6947060227394104</v>
      </c>
      <c r="CR17" s="24">
        <v>-0.31279230117797852</v>
      </c>
      <c r="CS17">
        <v>2.2026966292134835</v>
      </c>
      <c r="CT17">
        <v>-2366062698.2448721</v>
      </c>
      <c r="CU17">
        <v>-11.340117000000001</v>
      </c>
      <c r="CV17" s="23">
        <v>-0.19015384837985039</v>
      </c>
      <c r="CW17" s="24">
        <v>-2.4515835970640181</v>
      </c>
      <c r="CX17">
        <v>0.06</v>
      </c>
      <c r="CY17" t="e">
        <v>#VALUE!</v>
      </c>
      <c r="CZ17" t="s">
        <v>805</v>
      </c>
      <c r="DA17">
        <v>-0.19015384837985039</v>
      </c>
      <c r="DB17">
        <v>799.57707760625919</v>
      </c>
      <c r="DC17" t="s">
        <v>1260</v>
      </c>
      <c r="DD17">
        <v>-0.18064615596085787</v>
      </c>
      <c r="DE17">
        <v>399.7885388031296</v>
      </c>
      <c r="DF17" t="s">
        <v>1261</v>
      </c>
      <c r="DG17">
        <v>-0.16733538657426833</v>
      </c>
      <c r="DH17">
        <v>239.87312328187778</v>
      </c>
      <c r="DI17" t="s">
        <v>1262</v>
      </c>
      <c r="DJ17">
        <v>-0.15212307870388031</v>
      </c>
      <c r="DK17">
        <v>119.93656164093889</v>
      </c>
      <c r="DL17" t="s">
        <v>1263</v>
      </c>
      <c r="DM17">
        <v>-0.13310769386589527</v>
      </c>
      <c r="DN17">
        <v>1891600</v>
      </c>
      <c r="DO17">
        <v>-0.19015384837985039</v>
      </c>
      <c r="DP17">
        <v>4537440000</v>
      </c>
      <c r="DQ17">
        <v>693726700</v>
      </c>
      <c r="DR17">
        <v>2812</v>
      </c>
      <c r="DS17">
        <v>0.21790041877696231</v>
      </c>
      <c r="DT17">
        <v>-36.850722880029188</v>
      </c>
      <c r="DU17" s="25">
        <v>-0.6366666666666666</v>
      </c>
      <c r="DV17">
        <v>-1.615</v>
      </c>
      <c r="DW17">
        <v>-2.2516666666666665</v>
      </c>
      <c r="DX17">
        <v>5.0678587803759747</v>
      </c>
      <c r="DY17">
        <v>0.62906284403669965</v>
      </c>
      <c r="DZ17">
        <v>5.0196154520483409</v>
      </c>
      <c r="EA17">
        <v>4505</v>
      </c>
      <c r="EB17">
        <v>5.0008098313890992</v>
      </c>
      <c r="EC17">
        <v>5</v>
      </c>
      <c r="ED17">
        <v>0.22033461538461538</v>
      </c>
      <c r="EE17">
        <v>0.7622377622377623</v>
      </c>
      <c r="EF17" s="22">
        <v>7.8399999999999997E-2</v>
      </c>
      <c r="EG17">
        <v>0.1285</v>
      </c>
      <c r="EH17">
        <v>34.2890628440367</v>
      </c>
      <c r="EI17" t="s">
        <v>496</v>
      </c>
      <c r="EJ17">
        <v>1</v>
      </c>
      <c r="EK17">
        <v>0</v>
      </c>
    </row>
    <row r="18" spans="1:141" x14ac:dyDescent="0.25">
      <c r="A18" s="32"/>
      <c r="B18" s="3"/>
      <c r="C18" s="3"/>
      <c r="D18" s="3"/>
      <c r="E18" t="s">
        <v>724</v>
      </c>
      <c r="F18" t="s">
        <v>725</v>
      </c>
      <c r="G18">
        <v>3.52</v>
      </c>
      <c r="H18">
        <v>4.76</v>
      </c>
      <c r="I18" t="s">
        <v>1264</v>
      </c>
      <c r="J18">
        <v>2378126800</v>
      </c>
      <c r="L18">
        <v>0.96899999999999997</v>
      </c>
      <c r="M18" t="s">
        <v>698</v>
      </c>
      <c r="N18" t="s">
        <v>1265</v>
      </c>
      <c r="O18" t="s">
        <v>1266</v>
      </c>
      <c r="P18" t="s">
        <v>1267</v>
      </c>
      <c r="Q18">
        <v>-2.1800000000000002</v>
      </c>
      <c r="R18" t="s">
        <v>622</v>
      </c>
      <c r="S18">
        <v>-32640318</v>
      </c>
      <c r="T18" s="4">
        <v>0.31240000000000001</v>
      </c>
      <c r="U18" t="s">
        <v>1268</v>
      </c>
      <c r="V18">
        <v>675604210</v>
      </c>
      <c r="W18">
        <v>675604210</v>
      </c>
      <c r="X18">
        <v>1.74</v>
      </c>
      <c r="Y18">
        <v>0.13</v>
      </c>
      <c r="Z18">
        <v>-5.71</v>
      </c>
      <c r="AA18" t="s">
        <v>1269</v>
      </c>
      <c r="AB18" t="s">
        <v>240</v>
      </c>
      <c r="AC18" t="s">
        <v>1270</v>
      </c>
      <c r="AD18" t="s">
        <v>1271</v>
      </c>
      <c r="AE18" t="s">
        <v>1272</v>
      </c>
      <c r="AF18">
        <v>3116307</v>
      </c>
      <c r="AG18" t="s">
        <v>37</v>
      </c>
      <c r="AH18" t="s">
        <v>1273</v>
      </c>
      <c r="AI18" t="s">
        <v>7</v>
      </c>
      <c r="AJ18" t="s">
        <v>1274</v>
      </c>
      <c r="AK18" t="s">
        <v>7</v>
      </c>
      <c r="AL18" t="s">
        <v>1275</v>
      </c>
      <c r="AM18" t="s">
        <v>1276</v>
      </c>
      <c r="AN18" t="s">
        <v>7</v>
      </c>
      <c r="AO18" t="s">
        <v>239</v>
      </c>
      <c r="AP18" t="s">
        <v>688</v>
      </c>
      <c r="AQ18" t="s">
        <v>35</v>
      </c>
      <c r="AR18" t="s">
        <v>1277</v>
      </c>
      <c r="AS18" t="s">
        <v>7</v>
      </c>
      <c r="AT18" t="s">
        <v>1278</v>
      </c>
      <c r="AU18" t="s">
        <v>652</v>
      </c>
      <c r="AV18" t="s">
        <v>1279</v>
      </c>
      <c r="AW18" t="s">
        <v>1280</v>
      </c>
      <c r="AX18" t="s">
        <v>38</v>
      </c>
      <c r="AY18" t="s">
        <v>1281</v>
      </c>
      <c r="AZ18" t="s">
        <v>1282</v>
      </c>
      <c r="BA18" t="s">
        <v>1283</v>
      </c>
      <c r="BB18" t="s">
        <v>1284</v>
      </c>
      <c r="BC18" t="s">
        <v>1285</v>
      </c>
      <c r="BD18" t="s">
        <v>1286</v>
      </c>
      <c r="BE18" t="s">
        <v>1287</v>
      </c>
      <c r="BF18" t="s">
        <v>1288</v>
      </c>
      <c r="BG18" t="s">
        <v>210</v>
      </c>
      <c r="BH18" t="s">
        <v>1289</v>
      </c>
      <c r="BI18" t="s">
        <v>917</v>
      </c>
      <c r="BJ18" t="s">
        <v>121</v>
      </c>
      <c r="BK18" t="s">
        <v>1281</v>
      </c>
      <c r="BL18" t="s">
        <v>1268</v>
      </c>
      <c r="BM18" t="s">
        <v>1290</v>
      </c>
      <c r="BN18" t="s">
        <v>1286</v>
      </c>
      <c r="BO18">
        <v>-13.55</v>
      </c>
      <c r="BP18">
        <v>1.39</v>
      </c>
      <c r="BQ18">
        <v>1.07</v>
      </c>
      <c r="BR18">
        <v>-2.63</v>
      </c>
      <c r="BS18">
        <v>-16.79</v>
      </c>
      <c r="BT18">
        <v>1.86</v>
      </c>
      <c r="BU18">
        <v>1.61</v>
      </c>
      <c r="BV18">
        <v>-4.3</v>
      </c>
      <c r="BW18">
        <v>0.5</v>
      </c>
      <c r="BX18">
        <v>1.07</v>
      </c>
      <c r="BY18">
        <v>9.89</v>
      </c>
      <c r="BZ18">
        <v>-18.95</v>
      </c>
      <c r="CA18">
        <v>2.31</v>
      </c>
      <c r="CB18">
        <v>2.1</v>
      </c>
      <c r="CC18">
        <v>-5.88</v>
      </c>
      <c r="CD18">
        <v>-34.33</v>
      </c>
      <c r="CE18" t="s">
        <v>24</v>
      </c>
      <c r="CF18" t="s">
        <v>1291</v>
      </c>
      <c r="CG18" s="23">
        <v>-2.1014238178633977E-2</v>
      </c>
      <c r="CH18" s="24">
        <v>0.31240113756056459</v>
      </c>
      <c r="CI18" s="23">
        <v>-5.4517749696969986E-2</v>
      </c>
      <c r="CJ18" s="23">
        <v>7.1924805641174316E-2</v>
      </c>
      <c r="CK18" s="23">
        <v>-0.16054888069629669</v>
      </c>
      <c r="CL18" s="23">
        <v>-0.23470723628997803</v>
      </c>
      <c r="CM18" s="23">
        <v>1.9266791641712189E-2</v>
      </c>
      <c r="CN18" s="24">
        <v>-9.3632307052612305</v>
      </c>
      <c r="CO18" s="24">
        <v>0.17680950462818146</v>
      </c>
      <c r="CP18" s="24">
        <v>1.3643531799316406</v>
      </c>
      <c r="CQ18" s="24">
        <v>-1.405063271522522</v>
      </c>
      <c r="CR18" s="24">
        <v>4.2068142890930176</v>
      </c>
      <c r="CS18">
        <v>0.9589220967741936</v>
      </c>
      <c r="CT18">
        <v>0</v>
      </c>
      <c r="CU18">
        <v>-1.2916020000000001</v>
      </c>
      <c r="CV18" s="23">
        <v>-7.171645388007164E-2</v>
      </c>
      <c r="CW18" s="24">
        <v>-1.0040634006261826</v>
      </c>
      <c r="CX18">
        <v>0.06</v>
      </c>
      <c r="CY18" t="e">
        <v>#VALUE!</v>
      </c>
      <c r="CZ18" t="s">
        <v>573</v>
      </c>
      <c r="DA18">
        <v>-7.171645388007164E-2</v>
      </c>
      <c r="DB18" t="e">
        <v>#VALUE!</v>
      </c>
      <c r="DC18" t="s">
        <v>574</v>
      </c>
      <c r="DD18">
        <v>-6.8130631186068061E-2</v>
      </c>
      <c r="DE18" t="e">
        <v>#VALUE!</v>
      </c>
      <c r="DF18" t="s">
        <v>574</v>
      </c>
      <c r="DG18">
        <v>-6.3110479414463044E-2</v>
      </c>
      <c r="DH18" t="e">
        <v>#VALUE!</v>
      </c>
      <c r="DI18" t="s">
        <v>574</v>
      </c>
      <c r="DJ18">
        <v>-5.7373163104057316E-2</v>
      </c>
      <c r="DK18" t="e">
        <v>#VALUE!</v>
      </c>
      <c r="DL18" t="s">
        <v>574</v>
      </c>
      <c r="DM18">
        <v>-5.0201517716050144E-2</v>
      </c>
      <c r="DN18">
        <v>-459000000</v>
      </c>
      <c r="DO18">
        <v>-7.171645388007164E-2</v>
      </c>
      <c r="DP18">
        <v>1707126800</v>
      </c>
      <c r="DQ18">
        <v>248401900</v>
      </c>
      <c r="DR18">
        <v>2886</v>
      </c>
      <c r="DS18">
        <v>5.0702215701437667E-2</v>
      </c>
      <c r="DT18">
        <v>1.3164645381867472</v>
      </c>
      <c r="DU18" s="25">
        <v>-0.25</v>
      </c>
      <c r="DV18">
        <v>-1.4800000000000002</v>
      </c>
      <c r="DW18">
        <v>-1.7300000000000002</v>
      </c>
      <c r="DX18">
        <v>-8.1712787649286334</v>
      </c>
      <c r="DY18">
        <v>0.38349845201238481</v>
      </c>
      <c r="DZ18">
        <v>-8.033142175876284</v>
      </c>
      <c r="EA18">
        <v>4313</v>
      </c>
      <c r="EB18">
        <v>-8.0027224685865601</v>
      </c>
      <c r="EC18">
        <v>8</v>
      </c>
      <c r="ED18">
        <v>0.18501956937183681</v>
      </c>
      <c r="EE18">
        <v>0.95618113451365261</v>
      </c>
      <c r="EF18" s="22">
        <v>-1.11951</v>
      </c>
      <c r="EG18">
        <v>-1.0719099999999999</v>
      </c>
      <c r="EH18">
        <v>19.193498452012385</v>
      </c>
      <c r="EI18" t="s">
        <v>552</v>
      </c>
      <c r="EJ18">
        <v>0</v>
      </c>
      <c r="EK18">
        <v>0</v>
      </c>
    </row>
    <row r="19" spans="1:141" x14ac:dyDescent="0.25">
      <c r="A19" s="32"/>
      <c r="B19" s="3"/>
      <c r="C19" s="3"/>
      <c r="D19" s="3"/>
      <c r="E19" t="s">
        <v>726</v>
      </c>
      <c r="F19" t="s">
        <v>727</v>
      </c>
      <c r="G19">
        <v>7.28</v>
      </c>
      <c r="H19">
        <v>0.55000000000000004</v>
      </c>
      <c r="I19" t="s">
        <v>1292</v>
      </c>
      <c r="J19">
        <v>4763412100</v>
      </c>
      <c r="L19">
        <v>3.21</v>
      </c>
      <c r="M19" t="s">
        <v>698</v>
      </c>
      <c r="N19" t="s">
        <v>1293</v>
      </c>
      <c r="O19" t="s">
        <v>1294</v>
      </c>
      <c r="P19" t="s">
        <v>1295</v>
      </c>
      <c r="Q19">
        <v>-40.130000000000003</v>
      </c>
      <c r="R19" t="s">
        <v>1296</v>
      </c>
      <c r="S19">
        <v>-162414200</v>
      </c>
      <c r="T19" s="5">
        <v>-12.73</v>
      </c>
      <c r="U19" t="s">
        <v>1297</v>
      </c>
      <c r="V19">
        <v>555740600</v>
      </c>
      <c r="W19">
        <v>654314840</v>
      </c>
      <c r="X19">
        <v>7.21</v>
      </c>
      <c r="Y19">
        <v>0.08</v>
      </c>
      <c r="Z19">
        <v>-18.170000000000002</v>
      </c>
      <c r="AA19" t="s">
        <v>804</v>
      </c>
      <c r="AB19" t="s">
        <v>72</v>
      </c>
      <c r="AC19" t="s">
        <v>1298</v>
      </c>
      <c r="AD19" t="s">
        <v>1299</v>
      </c>
      <c r="AE19" t="s">
        <v>639</v>
      </c>
      <c r="AF19">
        <v>33069835</v>
      </c>
      <c r="AG19" t="s">
        <v>37</v>
      </c>
      <c r="AH19" t="s">
        <v>1300</v>
      </c>
      <c r="AI19" t="s">
        <v>1301</v>
      </c>
      <c r="AJ19" t="s">
        <v>383</v>
      </c>
      <c r="AK19" t="s">
        <v>1302</v>
      </c>
      <c r="AL19" t="s">
        <v>1303</v>
      </c>
      <c r="AM19" t="s">
        <v>1304</v>
      </c>
      <c r="AN19" t="s">
        <v>7</v>
      </c>
      <c r="AO19" t="s">
        <v>92</v>
      </c>
      <c r="AP19" t="s">
        <v>1305</v>
      </c>
      <c r="AQ19" t="s">
        <v>1306</v>
      </c>
      <c r="AR19" t="s">
        <v>1307</v>
      </c>
      <c r="AS19" t="s">
        <v>7</v>
      </c>
      <c r="AT19" t="s">
        <v>1308</v>
      </c>
      <c r="AU19" t="s">
        <v>1309</v>
      </c>
      <c r="AV19" t="s">
        <v>1310</v>
      </c>
      <c r="AW19" t="s">
        <v>1311</v>
      </c>
      <c r="AX19" t="s">
        <v>678</v>
      </c>
      <c r="AY19" t="s">
        <v>1312</v>
      </c>
      <c r="AZ19" t="s">
        <v>1313</v>
      </c>
      <c r="BA19" t="s">
        <v>1314</v>
      </c>
      <c r="BB19" t="s">
        <v>1315</v>
      </c>
      <c r="BC19" t="s">
        <v>1316</v>
      </c>
      <c r="BD19" t="s">
        <v>1317</v>
      </c>
      <c r="BE19" t="s">
        <v>1318</v>
      </c>
      <c r="BF19" t="s">
        <v>1319</v>
      </c>
      <c r="BG19" t="s">
        <v>1320</v>
      </c>
      <c r="BH19" t="s">
        <v>1321</v>
      </c>
      <c r="BI19" t="s">
        <v>1322</v>
      </c>
      <c r="BJ19" t="s">
        <v>1323</v>
      </c>
      <c r="BK19" t="s">
        <v>1312</v>
      </c>
      <c r="BL19" t="s">
        <v>1297</v>
      </c>
      <c r="BM19" t="s">
        <v>1324</v>
      </c>
      <c r="BN19" t="s">
        <v>1317</v>
      </c>
      <c r="BO19">
        <v>-15.92</v>
      </c>
      <c r="BP19">
        <v>-5.58</v>
      </c>
      <c r="BQ19">
        <v>0.47</v>
      </c>
      <c r="BR19">
        <v>0.71</v>
      </c>
      <c r="BS19">
        <v>-63.34</v>
      </c>
      <c r="BT19">
        <v>-18.72</v>
      </c>
      <c r="BU19">
        <v>1.53</v>
      </c>
      <c r="BV19">
        <v>2.14</v>
      </c>
      <c r="BW19">
        <v>3.88</v>
      </c>
      <c r="BX19">
        <v>8.5</v>
      </c>
      <c r="BY19">
        <v>14.32</v>
      </c>
      <c r="BZ19">
        <v>-25.27</v>
      </c>
      <c r="CA19">
        <v>-7.61</v>
      </c>
      <c r="CB19">
        <v>0.6</v>
      </c>
      <c r="CC19">
        <v>2.97</v>
      </c>
      <c r="CD19">
        <v>-23.69</v>
      </c>
      <c r="CE19" t="s">
        <v>1325</v>
      </c>
      <c r="CF19" t="s">
        <v>115</v>
      </c>
      <c r="CG19" s="23">
        <v>-0.40132490566037737</v>
      </c>
      <c r="CH19" s="24">
        <v>-12.734932219299951</v>
      </c>
      <c r="CI19" s="23">
        <v>-0.17237091064453125</v>
      </c>
      <c r="CJ19" s="23">
        <v>7.0500066503882408E-3</v>
      </c>
      <c r="CK19" s="23">
        <v>-0.12465718388557434</v>
      </c>
      <c r="CL19" s="23">
        <v>0.21715910732746124</v>
      </c>
      <c r="CM19" s="23">
        <v>0.48035579919815063</v>
      </c>
      <c r="CN19" s="24">
        <v>-1.7209775447845459</v>
      </c>
      <c r="CO19" s="24">
        <v>-12.348455429077148</v>
      </c>
      <c r="CP19" s="24">
        <v>-0.27269700169563293</v>
      </c>
      <c r="CQ19" s="24">
        <v>6.5052948892116547E-2</v>
      </c>
      <c r="CR19" s="24">
        <v>-0.2606772780418396</v>
      </c>
      <c r="CS19">
        <v>0.89537821428571429</v>
      </c>
      <c r="CT19">
        <v>13988285.179640718</v>
      </c>
      <c r="CU19">
        <v>-10.480456</v>
      </c>
      <c r="CV19" s="23">
        <v>8.1507363729178911E-2</v>
      </c>
      <c r="CW19" s="24">
        <v>-2.9075508609414102</v>
      </c>
      <c r="CX19">
        <v>0.06</v>
      </c>
      <c r="CY19" t="e">
        <v>#VALUE!</v>
      </c>
      <c r="CZ19" t="s">
        <v>573</v>
      </c>
      <c r="DA19">
        <v>8.1507363729178911E-2</v>
      </c>
      <c r="DB19" t="e">
        <v>#VALUE!</v>
      </c>
      <c r="DC19" t="s">
        <v>574</v>
      </c>
      <c r="DD19">
        <v>7.7431995542719956E-2</v>
      </c>
      <c r="DE19" t="e">
        <v>#VALUE!</v>
      </c>
      <c r="DF19" t="s">
        <v>574</v>
      </c>
      <c r="DG19">
        <v>7.1726480081677438E-2</v>
      </c>
      <c r="DH19" t="e">
        <v>#VALUE!</v>
      </c>
      <c r="DI19" t="s">
        <v>574</v>
      </c>
      <c r="DJ19">
        <v>6.5205890983343132E-2</v>
      </c>
      <c r="DK19" t="e">
        <v>#VALUE!</v>
      </c>
      <c r="DL19" t="s">
        <v>574</v>
      </c>
      <c r="DM19">
        <v>5.7055154610425235E-2</v>
      </c>
      <c r="DN19">
        <v>-1336000000</v>
      </c>
      <c r="DO19">
        <v>8.1507363729178911E-2</v>
      </c>
      <c r="DP19">
        <v>12765412100</v>
      </c>
      <c r="DQ19">
        <v>-2915977900</v>
      </c>
      <c r="DR19">
        <v>2945</v>
      </c>
      <c r="DS19">
        <v>-0.48283226938955626</v>
      </c>
      <c r="DT19">
        <v>-9.8273813583585401</v>
      </c>
      <c r="DU19" s="25">
        <v>-0.17000000000000004</v>
      </c>
      <c r="DV19">
        <v>-2.5983333333333332</v>
      </c>
      <c r="DW19">
        <v>-2.7683333333333331</v>
      </c>
      <c r="DX19">
        <v>6.1114028507126781</v>
      </c>
      <c r="DY19">
        <v>0.38495657894736679</v>
      </c>
      <c r="DZ19">
        <v>6.017262604631421</v>
      </c>
      <c r="EA19">
        <v>4633</v>
      </c>
      <c r="EB19">
        <v>6.0003110049583874</v>
      </c>
      <c r="EC19">
        <v>6</v>
      </c>
      <c r="ED19">
        <v>5.3995565804376373E-2</v>
      </c>
      <c r="EE19">
        <v>0.34845610409814332</v>
      </c>
      <c r="EF19" s="22">
        <v>5.79E-2</v>
      </c>
      <c r="EG19">
        <v>6.3399999999999998E-2</v>
      </c>
      <c r="EH19">
        <v>23.154956578947367</v>
      </c>
      <c r="EI19" t="s">
        <v>496</v>
      </c>
      <c r="EJ19">
        <v>0</v>
      </c>
      <c r="EK19">
        <v>0</v>
      </c>
    </row>
    <row r="20" spans="1:141" x14ac:dyDescent="0.25">
      <c r="A20" s="32"/>
      <c r="B20" s="3"/>
      <c r="C20" s="3"/>
      <c r="D20" s="3"/>
      <c r="E20" t="s">
        <v>728</v>
      </c>
      <c r="F20" t="s">
        <v>729</v>
      </c>
      <c r="G20">
        <v>10.15</v>
      </c>
      <c r="H20">
        <v>9.9700000000000006</v>
      </c>
      <c r="I20" t="s">
        <v>233</v>
      </c>
      <c r="J20">
        <v>22167699000</v>
      </c>
      <c r="L20">
        <v>1.48</v>
      </c>
      <c r="M20" t="s">
        <v>698</v>
      </c>
      <c r="N20" t="s">
        <v>1326</v>
      </c>
      <c r="O20" t="s">
        <v>1327</v>
      </c>
      <c r="P20" t="s">
        <v>1328</v>
      </c>
      <c r="Q20">
        <v>-16.43</v>
      </c>
      <c r="R20" t="s">
        <v>1329</v>
      </c>
      <c r="S20">
        <v>-290199500</v>
      </c>
      <c r="T20" s="4">
        <v>-2.5350000000000001</v>
      </c>
      <c r="U20" t="s">
        <v>82</v>
      </c>
      <c r="V20">
        <v>1893312100</v>
      </c>
      <c r="W20">
        <v>2184009800</v>
      </c>
      <c r="X20">
        <v>3.04</v>
      </c>
      <c r="Y20">
        <v>0.21</v>
      </c>
      <c r="Z20">
        <v>-3.39</v>
      </c>
      <c r="AA20" t="s">
        <v>1330</v>
      </c>
      <c r="AB20" t="s">
        <v>1331</v>
      </c>
      <c r="AC20" t="s">
        <v>64</v>
      </c>
      <c r="AD20" t="s">
        <v>250</v>
      </c>
      <c r="AE20" t="s">
        <v>847</v>
      </c>
      <c r="AF20">
        <v>46434378</v>
      </c>
      <c r="AG20" t="s">
        <v>1332</v>
      </c>
      <c r="AH20" t="s">
        <v>1333</v>
      </c>
      <c r="AI20" t="s">
        <v>1334</v>
      </c>
      <c r="AJ20" t="s">
        <v>1335</v>
      </c>
      <c r="AK20" t="s">
        <v>1336</v>
      </c>
      <c r="AL20" t="s">
        <v>7</v>
      </c>
      <c r="AM20" t="s">
        <v>1337</v>
      </c>
      <c r="AN20" t="s">
        <v>7</v>
      </c>
      <c r="AO20" t="s">
        <v>1338</v>
      </c>
      <c r="AP20" t="s">
        <v>1339</v>
      </c>
      <c r="AQ20" t="s">
        <v>1340</v>
      </c>
      <c r="AR20" t="s">
        <v>1341</v>
      </c>
      <c r="AS20" t="s">
        <v>7</v>
      </c>
      <c r="AT20" t="s">
        <v>1342</v>
      </c>
      <c r="AU20" t="s">
        <v>1343</v>
      </c>
      <c r="AV20" t="s">
        <v>1344</v>
      </c>
      <c r="AW20" t="s">
        <v>1345</v>
      </c>
      <c r="AX20" t="s">
        <v>1346</v>
      </c>
      <c r="AY20" t="s">
        <v>1347</v>
      </c>
      <c r="AZ20" t="s">
        <v>1348</v>
      </c>
      <c r="BA20" t="s">
        <v>1349</v>
      </c>
      <c r="BB20" t="s">
        <v>1350</v>
      </c>
      <c r="BC20" t="s">
        <v>1351</v>
      </c>
      <c r="BD20" t="s">
        <v>244</v>
      </c>
      <c r="BE20" t="s">
        <v>100</v>
      </c>
      <c r="BF20" t="s">
        <v>1352</v>
      </c>
      <c r="BG20" t="s">
        <v>1353</v>
      </c>
      <c r="BH20" t="s">
        <v>1354</v>
      </c>
      <c r="BI20" t="s">
        <v>1355</v>
      </c>
      <c r="BJ20" t="s">
        <v>1356</v>
      </c>
      <c r="BK20" t="s">
        <v>1357</v>
      </c>
      <c r="BL20" t="s">
        <v>82</v>
      </c>
      <c r="BM20" t="s">
        <v>211</v>
      </c>
      <c r="BN20" t="s">
        <v>244</v>
      </c>
      <c r="BO20">
        <v>0.68</v>
      </c>
      <c r="BP20">
        <v>0.53</v>
      </c>
      <c r="BQ20">
        <v>0.36</v>
      </c>
      <c r="BR20">
        <v>-2.67</v>
      </c>
      <c r="BS20">
        <v>1.5</v>
      </c>
      <c r="BT20">
        <v>1.1000000000000001</v>
      </c>
      <c r="BU20">
        <v>0.82</v>
      </c>
      <c r="BV20">
        <v>-5.91</v>
      </c>
      <c r="BW20">
        <v>8.16</v>
      </c>
      <c r="BX20">
        <v>9.3000000000000007</v>
      </c>
      <c r="BY20">
        <v>10.56</v>
      </c>
      <c r="BZ20">
        <v>0.03</v>
      </c>
      <c r="CA20">
        <v>0.57999999999999996</v>
      </c>
      <c r="CB20">
        <v>0.36</v>
      </c>
      <c r="CC20">
        <v>21.27</v>
      </c>
      <c r="CD20">
        <v>-5.93</v>
      </c>
      <c r="CE20" t="s">
        <v>358</v>
      </c>
      <c r="CF20" t="s">
        <v>452</v>
      </c>
      <c r="CG20" s="23">
        <v>-0.16425912671232876</v>
      </c>
      <c r="CH20" s="24">
        <v>-2.5354470899470898</v>
      </c>
      <c r="CI20" s="23">
        <v>-6.0481056571006775E-2</v>
      </c>
      <c r="CJ20" s="23">
        <v>-9.2627838253974915E-2</v>
      </c>
      <c r="CK20" s="23">
        <v>-5.6016881018877029E-2</v>
      </c>
      <c r="CL20" s="23">
        <v>1.9248766824603081E-2</v>
      </c>
      <c r="CM20" s="23">
        <v>-6.372525542974472E-2</v>
      </c>
      <c r="CN20" s="24">
        <v>0.39860141277313232</v>
      </c>
      <c r="CO20" s="24">
        <v>0.34905660152435303</v>
      </c>
      <c r="CP20" s="24">
        <v>1.1348600387573242</v>
      </c>
      <c r="CQ20" s="24">
        <v>-2.8194444179534912</v>
      </c>
      <c r="CR20" s="24">
        <v>-0.62822717428207397</v>
      </c>
      <c r="CS20">
        <v>0.54991687132544465</v>
      </c>
      <c r="CT20">
        <v>-239768915</v>
      </c>
      <c r="CU20">
        <v>-2.1641759999999999</v>
      </c>
      <c r="CV20" s="23">
        <v>-5.0720452889800073E-2</v>
      </c>
      <c r="CW20" s="24">
        <v>-0.31303070783615111</v>
      </c>
      <c r="CX20">
        <v>0.06</v>
      </c>
      <c r="CY20" t="e">
        <v>#VALUE!</v>
      </c>
      <c r="CZ20" t="s">
        <v>805</v>
      </c>
      <c r="DA20">
        <v>-5.0720452889800073E-2</v>
      </c>
      <c r="DB20">
        <v>63.98949833333333</v>
      </c>
      <c r="DC20" t="s">
        <v>1358</v>
      </c>
      <c r="DD20">
        <v>-4.8184430245310064E-2</v>
      </c>
      <c r="DE20">
        <v>31.994749166666665</v>
      </c>
      <c r="DF20" t="s">
        <v>1359</v>
      </c>
      <c r="DG20">
        <v>-4.4633998543024064E-2</v>
      </c>
      <c r="DH20">
        <v>19.196849499999999</v>
      </c>
      <c r="DI20" t="s">
        <v>1360</v>
      </c>
      <c r="DJ20">
        <v>-4.0576362311840058E-2</v>
      </c>
      <c r="DK20">
        <v>9.5984247499999995</v>
      </c>
      <c r="DL20" t="s">
        <v>1361</v>
      </c>
      <c r="DM20">
        <v>-3.5504317022860048E-2</v>
      </c>
      <c r="DN20">
        <v>200000000</v>
      </c>
      <c r="DO20">
        <v>-5.0720452889800073E-2</v>
      </c>
      <c r="DP20">
        <v>38393699000</v>
      </c>
      <c r="DQ20">
        <v>2880800000</v>
      </c>
      <c r="DR20">
        <v>2977</v>
      </c>
      <c r="DS20">
        <v>-0.11353867382252869</v>
      </c>
      <c r="DT20">
        <v>-2.2224163821109388</v>
      </c>
      <c r="DU20" s="25">
        <v>-0.22</v>
      </c>
      <c r="DV20">
        <v>-1.1649999999999998</v>
      </c>
      <c r="DW20">
        <v>-1.3849999999999998</v>
      </c>
      <c r="DX20">
        <v>5.2787964268923364</v>
      </c>
      <c r="DY20">
        <v>0.71225774037951628</v>
      </c>
      <c r="DZ20">
        <v>5.1149359849765172</v>
      </c>
      <c r="EA20">
        <v>4136</v>
      </c>
      <c r="EB20">
        <v>5.0141781990793417</v>
      </c>
      <c r="EC20">
        <v>5</v>
      </c>
      <c r="ED20">
        <v>0.36034636840915274</v>
      </c>
      <c r="EE20">
        <v>0.87408032692893589</v>
      </c>
      <c r="EF20" s="22">
        <v>6.5099999999999991E-2</v>
      </c>
      <c r="EG20">
        <v>1.0147999999999999</v>
      </c>
      <c r="EH20">
        <v>30.412257740379516</v>
      </c>
      <c r="EI20" t="s">
        <v>498</v>
      </c>
      <c r="EJ20">
        <v>1</v>
      </c>
      <c r="EK20">
        <v>0</v>
      </c>
    </row>
    <row r="21" spans="1:141" x14ac:dyDescent="0.25">
      <c r="A21" s="32"/>
      <c r="B21" s="3"/>
      <c r="C21" s="3"/>
      <c r="D21" s="3"/>
      <c r="E21" t="s">
        <v>730</v>
      </c>
      <c r="F21" t="s">
        <v>731</v>
      </c>
      <c r="G21">
        <v>6.02</v>
      </c>
      <c r="H21">
        <v>4.88</v>
      </c>
      <c r="I21" t="s">
        <v>1362</v>
      </c>
      <c r="J21">
        <v>4316625500</v>
      </c>
      <c r="L21">
        <v>1.21</v>
      </c>
      <c r="M21" t="s">
        <v>698</v>
      </c>
      <c r="N21" t="s">
        <v>1363</v>
      </c>
      <c r="O21" t="s">
        <v>1364</v>
      </c>
      <c r="P21" t="s">
        <v>1365</v>
      </c>
      <c r="Q21">
        <v>9.02</v>
      </c>
      <c r="R21" t="s">
        <v>1366</v>
      </c>
      <c r="S21">
        <v>3876643</v>
      </c>
      <c r="T21" s="4">
        <v>0.16470000000000001</v>
      </c>
      <c r="U21" t="s">
        <v>1367</v>
      </c>
      <c r="V21">
        <v>674575720</v>
      </c>
      <c r="W21">
        <v>717047420</v>
      </c>
      <c r="X21">
        <v>5.14</v>
      </c>
      <c r="Y21">
        <v>0.11</v>
      </c>
      <c r="Z21">
        <v>0.37</v>
      </c>
      <c r="AA21" t="s">
        <v>1368</v>
      </c>
      <c r="AB21" t="s">
        <v>1369</v>
      </c>
      <c r="AC21" t="s">
        <v>42</v>
      </c>
      <c r="AD21" t="s">
        <v>1370</v>
      </c>
      <c r="AE21" t="s">
        <v>1371</v>
      </c>
      <c r="AF21">
        <v>19715416</v>
      </c>
      <c r="AG21" t="s">
        <v>1372</v>
      </c>
      <c r="AH21" t="s">
        <v>1373</v>
      </c>
      <c r="AI21" t="s">
        <v>1374</v>
      </c>
      <c r="AJ21" t="s">
        <v>1375</v>
      </c>
      <c r="AK21" t="s">
        <v>1376</v>
      </c>
      <c r="AL21" t="s">
        <v>1377</v>
      </c>
      <c r="AM21" t="s">
        <v>1378</v>
      </c>
      <c r="AN21" t="s">
        <v>7</v>
      </c>
      <c r="AO21" t="s">
        <v>191</v>
      </c>
      <c r="AP21" t="s">
        <v>1379</v>
      </c>
      <c r="AQ21" t="s">
        <v>1380</v>
      </c>
      <c r="AR21" t="s">
        <v>1381</v>
      </c>
      <c r="AS21" t="s">
        <v>137</v>
      </c>
      <c r="AT21" t="s">
        <v>1382</v>
      </c>
      <c r="AU21" t="s">
        <v>1383</v>
      </c>
      <c r="AV21" t="s">
        <v>1384</v>
      </c>
      <c r="AW21" t="s">
        <v>1385</v>
      </c>
      <c r="AX21" t="s">
        <v>207</v>
      </c>
      <c r="AY21" t="s">
        <v>1386</v>
      </c>
      <c r="AZ21" t="s">
        <v>1387</v>
      </c>
      <c r="BA21" t="s">
        <v>1388</v>
      </c>
      <c r="BB21" t="s">
        <v>1389</v>
      </c>
      <c r="BC21" t="s">
        <v>1390</v>
      </c>
      <c r="BD21" t="s">
        <v>1391</v>
      </c>
      <c r="BE21" t="s">
        <v>77</v>
      </c>
      <c r="BF21" t="s">
        <v>80</v>
      </c>
      <c r="BG21" t="s">
        <v>101</v>
      </c>
      <c r="BH21" t="s">
        <v>1392</v>
      </c>
      <c r="BI21" t="s">
        <v>1393</v>
      </c>
      <c r="BJ21" t="s">
        <v>1394</v>
      </c>
      <c r="BK21" t="s">
        <v>1386</v>
      </c>
      <c r="BL21" t="s">
        <v>1367</v>
      </c>
      <c r="BM21" t="s">
        <v>1395</v>
      </c>
      <c r="BN21" t="s">
        <v>1391</v>
      </c>
      <c r="BO21">
        <v>-3.99</v>
      </c>
      <c r="BP21">
        <v>0.22</v>
      </c>
      <c r="BQ21">
        <v>1.22</v>
      </c>
      <c r="BR21">
        <v>1.1399999999999999</v>
      </c>
      <c r="BS21">
        <v>-16.36</v>
      </c>
      <c r="BT21">
        <v>-0.4</v>
      </c>
      <c r="BU21">
        <v>4.22</v>
      </c>
      <c r="BV21">
        <v>3.69</v>
      </c>
      <c r="BW21">
        <v>8.8000000000000007</v>
      </c>
      <c r="BX21">
        <v>12.37</v>
      </c>
      <c r="BY21">
        <v>13.83</v>
      </c>
      <c r="BZ21">
        <v>-5.03</v>
      </c>
      <c r="CA21">
        <v>0.44</v>
      </c>
      <c r="CB21">
        <v>1.31</v>
      </c>
      <c r="CC21">
        <v>21.86</v>
      </c>
      <c r="CD21">
        <v>9.26</v>
      </c>
      <c r="CE21" t="s">
        <v>198</v>
      </c>
      <c r="CF21" t="s">
        <v>210</v>
      </c>
      <c r="CG21" s="23">
        <v>9.0360468575678685E-2</v>
      </c>
      <c r="CH21" s="24">
        <v>0.16468168844824996</v>
      </c>
      <c r="CI21" s="23">
        <v>0.10459957271814346</v>
      </c>
      <c r="CJ21" s="23">
        <v>-0.21983122825622559</v>
      </c>
      <c r="CK21" s="23">
        <v>-2.1868623793125153E-2</v>
      </c>
      <c r="CL21" s="23">
        <v>3.1292278319597244E-2</v>
      </c>
      <c r="CM21" s="23">
        <v>-0.18746565282344818</v>
      </c>
      <c r="CN21" s="24">
        <v>-19.651803970336914</v>
      </c>
      <c r="CO21" s="24">
        <v>-0.82375466823577881</v>
      </c>
      <c r="CP21" s="24">
        <v>0.13836477696895599</v>
      </c>
      <c r="CQ21" s="24">
        <v>-0.66805845499038696</v>
      </c>
      <c r="CR21" s="24">
        <v>1.6662030220031738</v>
      </c>
      <c r="CS21">
        <v>0.27997311583863016</v>
      </c>
      <c r="CT21">
        <v>3670043.8655462186</v>
      </c>
      <c r="CU21">
        <v>0.209198</v>
      </c>
      <c r="CV21" s="23">
        <v>-5.8654730767011644E-2</v>
      </c>
      <c r="CW21" s="24">
        <v>-3.8678098589181902</v>
      </c>
      <c r="CX21">
        <v>0.06</v>
      </c>
      <c r="CY21" t="e">
        <v>#VALUE!</v>
      </c>
      <c r="CZ21" t="s">
        <v>574</v>
      </c>
      <c r="DA21">
        <v>-5.8654730767011644E-2</v>
      </c>
      <c r="DB21" t="e">
        <v>#VALUE!</v>
      </c>
      <c r="DC21" t="s">
        <v>574</v>
      </c>
      <c r="DD21">
        <v>-5.5721994228661059E-2</v>
      </c>
      <c r="DE21" t="e">
        <v>#VALUE!</v>
      </c>
      <c r="DF21" t="s">
        <v>574</v>
      </c>
      <c r="DG21">
        <v>-5.1616163074970245E-2</v>
      </c>
      <c r="DH21" t="e">
        <v>#VALUE!</v>
      </c>
      <c r="DI21" t="s">
        <v>574</v>
      </c>
      <c r="DJ21">
        <v>-4.6923784613609319E-2</v>
      </c>
      <c r="DK21" t="e">
        <v>#VALUE!</v>
      </c>
      <c r="DL21" t="s">
        <v>574</v>
      </c>
      <c r="DM21">
        <v>-4.105831153690815E-2</v>
      </c>
      <c r="DN21">
        <v>-595000000</v>
      </c>
      <c r="DO21">
        <v>-5.8654730767011644E-2</v>
      </c>
      <c r="DP21">
        <v>20258625500</v>
      </c>
      <c r="DQ21">
        <v>4957458000.0000019</v>
      </c>
      <c r="DR21">
        <v>3190</v>
      </c>
      <c r="DS21">
        <v>0.14901519934269034</v>
      </c>
      <c r="DT21">
        <v>4.0324915473664404</v>
      </c>
      <c r="DU21" s="25">
        <v>-0.25</v>
      </c>
      <c r="DV21">
        <v>-1.5233333333333334</v>
      </c>
      <c r="DW21">
        <v>-1.7733333333333334</v>
      </c>
      <c r="DX21">
        <v>5.4236047575480333</v>
      </c>
      <c r="DY21">
        <v>0.80569620253164798</v>
      </c>
      <c r="DZ21">
        <v>5.1930350793889772</v>
      </c>
      <c r="EA21">
        <v>4335</v>
      </c>
      <c r="EB21">
        <v>5.0149531323467942</v>
      </c>
      <c r="EC21">
        <v>5</v>
      </c>
      <c r="ED21">
        <v>0.20082353828147098</v>
      </c>
      <c r="EE21">
        <v>0.44069609789545022</v>
      </c>
      <c r="EF21" s="22">
        <v>5.7999999999999996E-3</v>
      </c>
      <c r="EG21">
        <v>5.4599999999999996E-2</v>
      </c>
      <c r="EH21">
        <v>35.455696202531648</v>
      </c>
      <c r="EI21" t="s">
        <v>496</v>
      </c>
      <c r="EJ21">
        <v>1</v>
      </c>
      <c r="EK21">
        <v>0</v>
      </c>
    </row>
    <row r="22" spans="1:141" x14ac:dyDescent="0.25">
      <c r="A22" s="32"/>
      <c r="B22" s="3"/>
      <c r="C22" s="3"/>
      <c r="D22" s="3"/>
      <c r="E22" t="s">
        <v>732</v>
      </c>
      <c r="F22" t="s">
        <v>733</v>
      </c>
      <c r="G22">
        <v>7.29</v>
      </c>
      <c r="H22">
        <v>0.28000000000000003</v>
      </c>
      <c r="I22" t="s">
        <v>41</v>
      </c>
      <c r="J22">
        <v>31254491000</v>
      </c>
      <c r="L22">
        <v>3.07</v>
      </c>
      <c r="M22" t="s">
        <v>698</v>
      </c>
      <c r="N22" t="s">
        <v>1396</v>
      </c>
      <c r="O22" t="s">
        <v>1397</v>
      </c>
      <c r="P22" t="s">
        <v>1398</v>
      </c>
      <c r="Q22">
        <v>108.42</v>
      </c>
      <c r="R22" t="s">
        <v>1399</v>
      </c>
      <c r="S22">
        <v>-956985500</v>
      </c>
      <c r="T22" s="4">
        <v>-0.1208</v>
      </c>
      <c r="U22" t="s">
        <v>1400</v>
      </c>
      <c r="V22">
        <v>3912244400</v>
      </c>
      <c r="W22">
        <v>4287310100</v>
      </c>
      <c r="X22">
        <v>3.75</v>
      </c>
      <c r="Y22">
        <v>0.04</v>
      </c>
      <c r="Z22">
        <v>-54.66</v>
      </c>
      <c r="AA22" t="s">
        <v>1401</v>
      </c>
      <c r="AB22" t="s">
        <v>1402</v>
      </c>
      <c r="AC22" t="s">
        <v>670</v>
      </c>
      <c r="AD22" t="s">
        <v>274</v>
      </c>
      <c r="AE22" t="s">
        <v>1403</v>
      </c>
      <c r="AF22">
        <v>184503380</v>
      </c>
      <c r="AG22" t="s">
        <v>1404</v>
      </c>
      <c r="AH22" t="s">
        <v>1405</v>
      </c>
      <c r="AI22" t="s">
        <v>1406</v>
      </c>
      <c r="AJ22" t="s">
        <v>1407</v>
      </c>
      <c r="AK22" t="s">
        <v>1408</v>
      </c>
      <c r="AL22" t="s">
        <v>1409</v>
      </c>
      <c r="AM22" t="s">
        <v>1410</v>
      </c>
      <c r="AN22" t="s">
        <v>7</v>
      </c>
      <c r="AO22" t="s">
        <v>189</v>
      </c>
      <c r="AP22" t="s">
        <v>1411</v>
      </c>
      <c r="AQ22" t="s">
        <v>1412</v>
      </c>
      <c r="AR22" t="s">
        <v>1413</v>
      </c>
      <c r="AS22" t="s">
        <v>1414</v>
      </c>
      <c r="AT22" t="s">
        <v>1415</v>
      </c>
      <c r="AU22" t="s">
        <v>1416</v>
      </c>
      <c r="AV22" t="s">
        <v>103</v>
      </c>
      <c r="AW22" t="s">
        <v>1417</v>
      </c>
      <c r="AX22" t="s">
        <v>1418</v>
      </c>
      <c r="AY22" t="s">
        <v>1419</v>
      </c>
      <c r="AZ22" t="s">
        <v>1420</v>
      </c>
      <c r="BA22" t="s">
        <v>1421</v>
      </c>
      <c r="BB22" t="s">
        <v>1422</v>
      </c>
      <c r="BC22" t="s">
        <v>1423</v>
      </c>
      <c r="BD22" t="s">
        <v>1424</v>
      </c>
      <c r="BE22" t="s">
        <v>1425</v>
      </c>
      <c r="BF22" t="s">
        <v>1426</v>
      </c>
      <c r="BG22" t="s">
        <v>1427</v>
      </c>
      <c r="BH22" t="s">
        <v>1428</v>
      </c>
      <c r="BI22" t="s">
        <v>1429</v>
      </c>
      <c r="BJ22" t="s">
        <v>594</v>
      </c>
      <c r="BK22" t="s">
        <v>1419</v>
      </c>
      <c r="BL22" t="s">
        <v>1400</v>
      </c>
      <c r="BM22" t="s">
        <v>1430</v>
      </c>
      <c r="BN22" t="s">
        <v>1424</v>
      </c>
      <c r="BO22">
        <v>-16.22</v>
      </c>
      <c r="BP22">
        <v>-15.89</v>
      </c>
      <c r="BQ22">
        <v>0.23</v>
      </c>
      <c r="BR22">
        <v>0.98</v>
      </c>
      <c r="BS22">
        <v>-43.95</v>
      </c>
      <c r="BT22">
        <v>-45.83</v>
      </c>
      <c r="BU22">
        <v>0.53</v>
      </c>
      <c r="BV22">
        <v>0.96</v>
      </c>
      <c r="BW22">
        <v>0.81</v>
      </c>
      <c r="BX22">
        <v>-28.82</v>
      </c>
      <c r="BY22">
        <v>9.3000000000000007</v>
      </c>
      <c r="BZ22">
        <v>-59.45</v>
      </c>
      <c r="CA22">
        <v>-122.83</v>
      </c>
      <c r="CB22">
        <v>0.02</v>
      </c>
      <c r="CC22">
        <v>8.9700000000000006</v>
      </c>
      <c r="CD22">
        <v>-2.54</v>
      </c>
      <c r="CE22" t="s">
        <v>1431</v>
      </c>
      <c r="CF22" t="s">
        <v>1432</v>
      </c>
      <c r="CG22" s="23">
        <v>1.0850030120481924</v>
      </c>
      <c r="CH22" s="24">
        <v>-0.12059192037470742</v>
      </c>
      <c r="CI22" s="23">
        <v>0.64965856075286865</v>
      </c>
      <c r="CJ22" s="23">
        <v>-0.77650594711303711</v>
      </c>
      <c r="CK22" s="23">
        <v>0.30390799045562744</v>
      </c>
      <c r="CL22" s="23">
        <v>0.57408851385116577</v>
      </c>
      <c r="CM22" s="23">
        <v>2140.180419921875</v>
      </c>
      <c r="CN22" s="24">
        <v>0.19099037349224091</v>
      </c>
      <c r="CO22" s="24">
        <v>-71.44879150390625</v>
      </c>
      <c r="CP22" s="24">
        <v>0.25542661547660828</v>
      </c>
      <c r="CQ22" s="24">
        <v>0.23380976915359497</v>
      </c>
      <c r="CR22" s="24">
        <v>2.7783701419830322</v>
      </c>
      <c r="CS22">
        <v>3.5937094400367942</v>
      </c>
      <c r="CT22">
        <v>18561393.783371471</v>
      </c>
      <c r="CU22">
        <v>-8.1989999999999998</v>
      </c>
      <c r="CV22" s="23">
        <v>428.18631380796432</v>
      </c>
      <c r="CW22" s="24">
        <v>-13.598038920760155</v>
      </c>
      <c r="CX22">
        <v>0.06</v>
      </c>
      <c r="CY22" t="e">
        <v>#VALUE!</v>
      </c>
      <c r="CZ22" t="s">
        <v>573</v>
      </c>
      <c r="DA22">
        <v>428.18631380796432</v>
      </c>
      <c r="DB22" t="e">
        <v>#VALUE!</v>
      </c>
      <c r="DC22" t="s">
        <v>574</v>
      </c>
      <c r="DD22">
        <v>406.77699811756611</v>
      </c>
      <c r="DE22" t="e">
        <v>#VALUE!</v>
      </c>
      <c r="DF22" t="s">
        <v>574</v>
      </c>
      <c r="DG22">
        <v>376.80395615100861</v>
      </c>
      <c r="DH22" t="e">
        <v>#VALUE!</v>
      </c>
      <c r="DI22" t="s">
        <v>574</v>
      </c>
      <c r="DJ22">
        <v>342.54905104637146</v>
      </c>
      <c r="DK22" t="e">
        <v>#VALUE!</v>
      </c>
      <c r="DL22" t="s">
        <v>574</v>
      </c>
      <c r="DM22">
        <v>299.73041966557503</v>
      </c>
      <c r="DN22">
        <v>-5244000000</v>
      </c>
      <c r="DO22">
        <v>428.18631380796432</v>
      </c>
      <c r="DP22">
        <v>50103491000</v>
      </c>
      <c r="DQ22">
        <v>4992086000</v>
      </c>
      <c r="DR22">
        <v>3231</v>
      </c>
      <c r="DS22">
        <v>-427.10131079591611</v>
      </c>
      <c r="DT22">
        <v>13.477447000385448</v>
      </c>
      <c r="DU22" s="25">
        <v>1.2516666666666667</v>
      </c>
      <c r="DV22">
        <v>-1.1866666666666668</v>
      </c>
      <c r="DW22">
        <v>6.4999999999999947E-2</v>
      </c>
      <c r="DX22">
        <v>5.2831661092530657</v>
      </c>
      <c r="DY22">
        <v>0.47179891390033718</v>
      </c>
      <c r="DZ22">
        <v>5.0769642409483682</v>
      </c>
      <c r="EA22">
        <v>2866</v>
      </c>
      <c r="EB22">
        <v>5.0303498042285835</v>
      </c>
      <c r="EC22">
        <v>5</v>
      </c>
      <c r="ED22">
        <v>0.16140656585582647</v>
      </c>
      <c r="EE22">
        <v>0.59384554431926906</v>
      </c>
      <c r="EF22" s="22">
        <v>-1.0206</v>
      </c>
      <c r="EG22">
        <v>-1.0234000000000001</v>
      </c>
      <c r="EH22">
        <v>20.271798913900337</v>
      </c>
      <c r="EI22" t="s">
        <v>499</v>
      </c>
      <c r="EJ22">
        <v>1</v>
      </c>
      <c r="EK22">
        <v>0</v>
      </c>
    </row>
    <row r="23" spans="1:141" x14ac:dyDescent="0.25">
      <c r="A23" s="32"/>
      <c r="B23" s="3"/>
      <c r="C23" s="3"/>
      <c r="D23" s="3"/>
      <c r="E23" t="s">
        <v>734</v>
      </c>
      <c r="F23" t="s">
        <v>735</v>
      </c>
      <c r="G23">
        <v>47.13</v>
      </c>
      <c r="H23">
        <v>-0.55000000000000004</v>
      </c>
      <c r="I23" t="s">
        <v>1433</v>
      </c>
      <c r="J23">
        <v>64093969000</v>
      </c>
      <c r="L23">
        <v>9.0500000000000007</v>
      </c>
      <c r="M23" t="s">
        <v>698</v>
      </c>
      <c r="N23" t="s">
        <v>1434</v>
      </c>
      <c r="O23" t="s">
        <v>1435</v>
      </c>
      <c r="P23" t="s">
        <v>1436</v>
      </c>
      <c r="Q23">
        <v>56.03</v>
      </c>
      <c r="R23" t="s">
        <v>1437</v>
      </c>
      <c r="S23">
        <v>-838898220</v>
      </c>
      <c r="T23" s="4">
        <v>-0.57540000000000002</v>
      </c>
      <c r="U23" t="s">
        <v>1438</v>
      </c>
      <c r="V23">
        <v>1032558970</v>
      </c>
      <c r="W23">
        <v>1359939900</v>
      </c>
      <c r="X23">
        <v>5.07</v>
      </c>
      <c r="Y23">
        <v>0.16</v>
      </c>
      <c r="Z23">
        <v>-21.9</v>
      </c>
      <c r="AA23" t="s">
        <v>1439</v>
      </c>
      <c r="AB23" t="s">
        <v>1440</v>
      </c>
      <c r="AC23" t="s">
        <v>112</v>
      </c>
      <c r="AD23" t="s">
        <v>1441</v>
      </c>
      <c r="AE23" t="s">
        <v>374</v>
      </c>
      <c r="AF23">
        <v>47919695</v>
      </c>
      <c r="AG23" t="s">
        <v>1442</v>
      </c>
      <c r="AH23" t="s">
        <v>1443</v>
      </c>
      <c r="AI23" t="s">
        <v>1444</v>
      </c>
      <c r="AJ23" t="s">
        <v>1445</v>
      </c>
      <c r="AK23" t="s">
        <v>1446</v>
      </c>
      <c r="AL23" t="s">
        <v>7</v>
      </c>
      <c r="AM23" t="s">
        <v>1447</v>
      </c>
      <c r="AN23" t="s">
        <v>7</v>
      </c>
      <c r="AO23" t="s">
        <v>1448</v>
      </c>
      <c r="AP23" t="s">
        <v>1449</v>
      </c>
      <c r="AQ23" t="s">
        <v>1450</v>
      </c>
      <c r="AR23" t="s">
        <v>1451</v>
      </c>
      <c r="AS23" t="s">
        <v>68</v>
      </c>
      <c r="AT23" t="s">
        <v>1452</v>
      </c>
      <c r="AU23" t="s">
        <v>1453</v>
      </c>
      <c r="AV23" t="s">
        <v>690</v>
      </c>
      <c r="AW23" t="s">
        <v>1454</v>
      </c>
      <c r="AX23" t="s">
        <v>1455</v>
      </c>
      <c r="AY23" t="s">
        <v>1456</v>
      </c>
      <c r="AZ23" t="s">
        <v>1457</v>
      </c>
      <c r="BA23" t="s">
        <v>1458</v>
      </c>
      <c r="BB23" t="s">
        <v>1459</v>
      </c>
      <c r="BC23" t="s">
        <v>1460</v>
      </c>
      <c r="BD23" t="s">
        <v>1461</v>
      </c>
      <c r="BE23" t="s">
        <v>1462</v>
      </c>
      <c r="BF23" t="s">
        <v>1463</v>
      </c>
      <c r="BG23" t="s">
        <v>1464</v>
      </c>
      <c r="BH23" t="s">
        <v>1465</v>
      </c>
      <c r="BI23" t="s">
        <v>1466</v>
      </c>
      <c r="BJ23" t="s">
        <v>1467</v>
      </c>
      <c r="BK23" t="s">
        <v>1456</v>
      </c>
      <c r="BL23" t="s">
        <v>1438</v>
      </c>
      <c r="BM23" t="s">
        <v>1468</v>
      </c>
      <c r="BN23" t="s">
        <v>1461</v>
      </c>
      <c r="BO23">
        <v>-9.67</v>
      </c>
      <c r="BP23">
        <v>-10.46</v>
      </c>
      <c r="BQ23">
        <v>0.41</v>
      </c>
      <c r="BR23">
        <v>0.71</v>
      </c>
      <c r="BS23">
        <v>-30.7</v>
      </c>
      <c r="BT23">
        <v>-31.55</v>
      </c>
      <c r="BU23">
        <v>1.24</v>
      </c>
      <c r="BV23">
        <v>2.21</v>
      </c>
      <c r="BW23">
        <v>3.77</v>
      </c>
      <c r="BX23">
        <v>4.5599999999999996</v>
      </c>
      <c r="BY23">
        <v>17.3</v>
      </c>
      <c r="BZ23">
        <v>-15.74</v>
      </c>
      <c r="CA23">
        <v>-15.62</v>
      </c>
      <c r="CB23">
        <v>0.47</v>
      </c>
      <c r="CC23">
        <v>19.89</v>
      </c>
      <c r="CD23">
        <v>9.48</v>
      </c>
      <c r="CE23" t="s">
        <v>151</v>
      </c>
      <c r="CF23" t="s">
        <v>121</v>
      </c>
      <c r="CG23" s="23">
        <v>0.56010972940103376</v>
      </c>
      <c r="CH23" s="24">
        <v>-0.57391786116322707</v>
      </c>
      <c r="CI23" s="23">
        <v>0.16892741620540619</v>
      </c>
      <c r="CJ23" s="23">
        <v>-0.21122878789901733</v>
      </c>
      <c r="CK23" s="23">
        <v>-0.10415011644363403</v>
      </c>
      <c r="CL23" s="23">
        <v>-7.7231749892234802E-2</v>
      </c>
      <c r="CM23" s="23">
        <v>0.35461956262588501</v>
      </c>
      <c r="CN23" s="24">
        <v>-5.4945092648267746E-2</v>
      </c>
      <c r="CO23" s="24">
        <v>-26.913684844970703</v>
      </c>
      <c r="CP23" s="24">
        <v>-0.30063959956169128</v>
      </c>
      <c r="CQ23" s="24">
        <v>-0.86840885877609253</v>
      </c>
      <c r="CR23" s="24">
        <v>0.41050583124160767</v>
      </c>
      <c r="CS23">
        <v>3.8338299437731784</v>
      </c>
      <c r="CT23">
        <v>41512042.763157897</v>
      </c>
      <c r="CU23">
        <v>-17.765280000000001</v>
      </c>
      <c r="CV23" s="23">
        <v>2.6187264919281007E-2</v>
      </c>
      <c r="CW23" s="24">
        <v>-5.5454345129430296</v>
      </c>
      <c r="CX23">
        <v>0.06</v>
      </c>
      <c r="CY23" t="e">
        <v>#VALUE!</v>
      </c>
      <c r="CZ23" t="s">
        <v>573</v>
      </c>
      <c r="DA23">
        <v>2.6187264919281007E-2</v>
      </c>
      <c r="DB23" t="e">
        <v>#VALUE!</v>
      </c>
      <c r="DC23" t="s">
        <v>574</v>
      </c>
      <c r="DD23">
        <v>2.4877901673316955E-2</v>
      </c>
      <c r="DE23" t="e">
        <v>#VALUE!</v>
      </c>
      <c r="DF23" t="s">
        <v>574</v>
      </c>
      <c r="DG23">
        <v>2.3044793128967286E-2</v>
      </c>
      <c r="DH23" t="e">
        <v>#VALUE!</v>
      </c>
      <c r="DI23" t="s">
        <v>574</v>
      </c>
      <c r="DJ23">
        <v>2.0949811935424806E-2</v>
      </c>
      <c r="DK23" t="e">
        <v>#VALUE!</v>
      </c>
      <c r="DL23" t="s">
        <v>574</v>
      </c>
      <c r="DM23">
        <v>1.8331085443496705E-2</v>
      </c>
      <c r="DN23">
        <v>-1823999999.9999998</v>
      </c>
      <c r="DO23">
        <v>2.6187264919281007E-2</v>
      </c>
      <c r="DP23">
        <v>84412969000</v>
      </c>
      <c r="DQ23">
        <v>-5111823000</v>
      </c>
      <c r="DR23">
        <v>3480</v>
      </c>
      <c r="DS23">
        <v>0.53392246448175273</v>
      </c>
      <c r="DT23">
        <v>4.9715166517798028</v>
      </c>
      <c r="DU23" s="25">
        <v>0.33666666666666667</v>
      </c>
      <c r="DV23">
        <v>-2.2983333333333333</v>
      </c>
      <c r="DW23">
        <v>-1.9616666666666667</v>
      </c>
      <c r="DX23">
        <v>5.4766214177978885</v>
      </c>
      <c r="DY23">
        <v>0.41495621716287212</v>
      </c>
      <c r="DZ23">
        <v>5.1310500220565123</v>
      </c>
      <c r="EA23">
        <v>4406</v>
      </c>
      <c r="EB23">
        <v>5.0086663007379464</v>
      </c>
      <c r="EC23">
        <v>5</v>
      </c>
      <c r="ED23">
        <v>0.11544627817744005</v>
      </c>
      <c r="EE23">
        <v>0.41987149579183608</v>
      </c>
      <c r="EF23" s="22">
        <v>-1.105</v>
      </c>
      <c r="EG23">
        <v>-1.0994999999999999</v>
      </c>
      <c r="EH23">
        <v>14.274956217162872</v>
      </c>
      <c r="EI23" t="s">
        <v>499</v>
      </c>
      <c r="EJ23">
        <v>1</v>
      </c>
      <c r="EK23">
        <v>0</v>
      </c>
    </row>
    <row r="24" spans="1:141" ht="86.4" x14ac:dyDescent="0.25">
      <c r="A24" s="32"/>
      <c r="B24" s="3" t="s">
        <v>1469</v>
      </c>
      <c r="C24" s="3" t="s">
        <v>1470</v>
      </c>
      <c r="D24" s="3" t="s">
        <v>1471</v>
      </c>
      <c r="E24" t="s">
        <v>736</v>
      </c>
      <c r="F24" t="s">
        <v>737</v>
      </c>
      <c r="G24">
        <v>13.47</v>
      </c>
      <c r="H24">
        <v>1.28</v>
      </c>
      <c r="I24" t="s">
        <v>1472</v>
      </c>
      <c r="J24">
        <v>140949510000</v>
      </c>
      <c r="K24">
        <v>17.670000000000002</v>
      </c>
      <c r="L24">
        <v>1.45</v>
      </c>
      <c r="M24" t="s">
        <v>698</v>
      </c>
      <c r="N24" t="s">
        <v>1473</v>
      </c>
      <c r="O24" t="s">
        <v>1474</v>
      </c>
      <c r="P24" t="s">
        <v>1475</v>
      </c>
      <c r="Q24">
        <v>45.67</v>
      </c>
      <c r="R24" t="s">
        <v>1476</v>
      </c>
      <c r="S24">
        <v>3008640300</v>
      </c>
      <c r="T24" s="4">
        <v>0.2717</v>
      </c>
      <c r="U24" t="s">
        <v>1477</v>
      </c>
      <c r="V24">
        <v>7263236000</v>
      </c>
      <c r="W24">
        <v>10463957700</v>
      </c>
      <c r="X24">
        <v>1.55</v>
      </c>
      <c r="Y24">
        <v>0.15</v>
      </c>
      <c r="Z24">
        <v>12.87</v>
      </c>
      <c r="AA24" t="s">
        <v>1478</v>
      </c>
      <c r="AB24" t="s">
        <v>1479</v>
      </c>
      <c r="AC24" t="s">
        <v>1480</v>
      </c>
      <c r="AD24" t="s">
        <v>1481</v>
      </c>
      <c r="AE24" t="s">
        <v>647</v>
      </c>
      <c r="AF24">
        <v>3211889</v>
      </c>
      <c r="AG24" t="s">
        <v>1482</v>
      </c>
      <c r="AH24" t="s">
        <v>1483</v>
      </c>
      <c r="AI24" t="s">
        <v>1484</v>
      </c>
      <c r="AJ24" t="s">
        <v>1485</v>
      </c>
      <c r="AK24" t="s">
        <v>1486</v>
      </c>
      <c r="AL24" t="s">
        <v>1487</v>
      </c>
      <c r="AM24" t="s">
        <v>1488</v>
      </c>
      <c r="AN24" t="s">
        <v>7</v>
      </c>
      <c r="AO24" t="s">
        <v>694</v>
      </c>
      <c r="AP24" t="s">
        <v>1489</v>
      </c>
      <c r="AQ24" t="s">
        <v>1490</v>
      </c>
      <c r="AR24" t="s">
        <v>1491</v>
      </c>
      <c r="AS24" t="s">
        <v>7</v>
      </c>
      <c r="AT24" t="s">
        <v>1492</v>
      </c>
      <c r="AU24" t="s">
        <v>1493</v>
      </c>
      <c r="AV24" t="s">
        <v>1494</v>
      </c>
      <c r="AW24" t="s">
        <v>1495</v>
      </c>
      <c r="AX24" t="s">
        <v>1496</v>
      </c>
      <c r="AY24" t="s">
        <v>1497</v>
      </c>
      <c r="AZ24" t="s">
        <v>1498</v>
      </c>
      <c r="BA24" t="s">
        <v>1499</v>
      </c>
      <c r="BB24" t="s">
        <v>1500</v>
      </c>
      <c r="BC24" t="s">
        <v>1501</v>
      </c>
      <c r="BD24" t="s">
        <v>1502</v>
      </c>
      <c r="BE24" t="s">
        <v>1503</v>
      </c>
      <c r="BF24" t="s">
        <v>1504</v>
      </c>
      <c r="BG24" t="s">
        <v>1505</v>
      </c>
      <c r="BH24" t="s">
        <v>1506</v>
      </c>
      <c r="BI24" t="s">
        <v>1507</v>
      </c>
      <c r="BJ24" t="s">
        <v>1508</v>
      </c>
      <c r="BK24" t="s">
        <v>1509</v>
      </c>
      <c r="BL24" t="s">
        <v>1477</v>
      </c>
      <c r="BM24" t="s">
        <v>1510</v>
      </c>
      <c r="BN24" t="s">
        <v>1502</v>
      </c>
      <c r="BO24">
        <v>6.54</v>
      </c>
      <c r="BP24">
        <v>5.55</v>
      </c>
      <c r="BQ24">
        <v>6.4</v>
      </c>
      <c r="BR24">
        <v>11.42</v>
      </c>
      <c r="BS24">
        <v>8.42</v>
      </c>
      <c r="BT24">
        <v>7.27</v>
      </c>
      <c r="BU24">
        <v>8.4600000000000009</v>
      </c>
      <c r="BV24">
        <v>14.97</v>
      </c>
      <c r="BW24">
        <v>7.92</v>
      </c>
      <c r="BX24">
        <v>6.47</v>
      </c>
      <c r="BY24">
        <v>6.9</v>
      </c>
      <c r="BZ24">
        <v>9.84</v>
      </c>
      <c r="CA24">
        <v>9.65</v>
      </c>
      <c r="CB24">
        <v>11.33</v>
      </c>
      <c r="CC24">
        <v>8.3699999999999992</v>
      </c>
      <c r="CD24">
        <v>19.95</v>
      </c>
      <c r="CE24" t="s">
        <v>635</v>
      </c>
      <c r="CF24" t="s">
        <v>334</v>
      </c>
      <c r="CG24" s="23">
        <v>0.45660503461296414</v>
      </c>
      <c r="CH24" s="24">
        <v>0.27161466610312762</v>
      </c>
      <c r="CI24" s="23">
        <v>0.19822034239768982</v>
      </c>
      <c r="CJ24" s="23">
        <v>6.6228806972503662E-2</v>
      </c>
      <c r="CK24" s="23">
        <v>-0.17172616720199585</v>
      </c>
      <c r="CL24" s="23">
        <v>5.3136236965656281E-3</v>
      </c>
      <c r="CM24" s="23">
        <v>0.43949580192565918</v>
      </c>
      <c r="CN24" s="24">
        <v>0.22946695983409882</v>
      </c>
      <c r="CO24" s="24">
        <v>-9.8519153892993927E-2</v>
      </c>
      <c r="CP24" s="24">
        <v>-0.39301112294197083</v>
      </c>
      <c r="CQ24" s="24">
        <v>1.084741298109293E-2</v>
      </c>
      <c r="CR24" s="24">
        <v>0.71533077955245972</v>
      </c>
      <c r="CS24">
        <v>1.8625391141180823</v>
      </c>
      <c r="CT24">
        <v>39512309.475119293</v>
      </c>
      <c r="CU24">
        <v>2.9922749999999998</v>
      </c>
      <c r="CV24" s="23">
        <v>0.10750648155808448</v>
      </c>
      <c r="CW24" s="24">
        <v>9.2822975106537337E-2</v>
      </c>
      <c r="CX24">
        <v>0.06</v>
      </c>
      <c r="CY24">
        <v>12.493973094603556</v>
      </c>
      <c r="CZ24">
        <v>7663735888.8948565</v>
      </c>
      <c r="DA24">
        <v>0.10750648155808448</v>
      </c>
      <c r="DB24">
        <v>4.0229533397304769</v>
      </c>
      <c r="DC24">
        <v>23801049108.467896</v>
      </c>
      <c r="DD24">
        <v>0.10213115748018026</v>
      </c>
      <c r="DE24">
        <v>1.9413545336382958</v>
      </c>
      <c r="DF24">
        <v>49321496069.321152</v>
      </c>
      <c r="DG24">
        <v>9.4605703771114338E-2</v>
      </c>
      <c r="DH24">
        <v>1.1397141524178012</v>
      </c>
      <c r="DI24">
        <v>84012741086.766266</v>
      </c>
      <c r="DJ24">
        <v>8.6005185246467594E-2</v>
      </c>
      <c r="DK24">
        <v>0.5598620338369058</v>
      </c>
      <c r="DL24">
        <v>171025188730.50287</v>
      </c>
      <c r="DM24">
        <v>7.5254537090659129E-2</v>
      </c>
      <c r="DN24">
        <v>7334999999.999999</v>
      </c>
      <c r="DO24">
        <v>0.10750648155808448</v>
      </c>
      <c r="DP24">
        <v>95750510000</v>
      </c>
      <c r="DQ24">
        <v>12155683000</v>
      </c>
      <c r="DR24">
        <v>3514</v>
      </c>
      <c r="DS24">
        <v>0.34909855305487969</v>
      </c>
      <c r="DT24">
        <v>0.17879169099659029</v>
      </c>
      <c r="DU24" s="25">
        <v>0.35333333333333333</v>
      </c>
      <c r="DV24">
        <v>0.67333333333333334</v>
      </c>
      <c r="DW24">
        <v>1.0266666666666666</v>
      </c>
      <c r="DX24">
        <v>9.4195488721804512</v>
      </c>
      <c r="DY24">
        <v>0.39943661971830824</v>
      </c>
      <c r="DZ24">
        <v>9.1004553637615171</v>
      </c>
      <c r="EA24">
        <v>1215</v>
      </c>
      <c r="EB24">
        <v>9.0746621966080419</v>
      </c>
      <c r="EC24">
        <v>9</v>
      </c>
      <c r="ED24">
        <v>2.924323747983041E-2</v>
      </c>
      <c r="EE24">
        <v>0.12213352123929171</v>
      </c>
      <c r="EF24" s="22">
        <v>2.01681</v>
      </c>
      <c r="EG24">
        <v>2.0040100000000001</v>
      </c>
      <c r="EH24">
        <v>16.239436619718308</v>
      </c>
      <c r="EI24" t="s">
        <v>686</v>
      </c>
      <c r="EJ24">
        <v>1</v>
      </c>
      <c r="EK24">
        <v>1</v>
      </c>
    </row>
    <row r="25" spans="1:141" ht="151.19999999999999" x14ac:dyDescent="0.25">
      <c r="A25" s="32"/>
      <c r="B25" s="3" t="s">
        <v>1511</v>
      </c>
      <c r="C25" s="3" t="s">
        <v>1512</v>
      </c>
      <c r="D25" s="3" t="s">
        <v>1513</v>
      </c>
      <c r="E25" t="s">
        <v>738</v>
      </c>
      <c r="F25" t="s">
        <v>739</v>
      </c>
      <c r="G25">
        <v>35.76</v>
      </c>
      <c r="H25">
        <v>6.21</v>
      </c>
      <c r="I25" t="s">
        <v>40</v>
      </c>
      <c r="J25">
        <v>330835440000</v>
      </c>
      <c r="K25">
        <v>49.23</v>
      </c>
      <c r="L25">
        <v>5.12</v>
      </c>
      <c r="M25" t="s">
        <v>698</v>
      </c>
      <c r="N25" t="s">
        <v>1514</v>
      </c>
      <c r="O25" t="s">
        <v>1515</v>
      </c>
      <c r="P25" t="s">
        <v>1516</v>
      </c>
      <c r="Q25">
        <v>8.0399999999999991</v>
      </c>
      <c r="R25" t="s">
        <v>1517</v>
      </c>
      <c r="S25">
        <v>1633906500</v>
      </c>
      <c r="T25" s="4">
        <v>-3.3899999999999998E-3</v>
      </c>
      <c r="U25" t="s">
        <v>1518</v>
      </c>
      <c r="V25">
        <v>6109700400</v>
      </c>
      <c r="W25">
        <v>9251550300</v>
      </c>
      <c r="X25">
        <v>2.7</v>
      </c>
      <c r="Y25">
        <v>0.19</v>
      </c>
      <c r="Z25">
        <v>4.8499999999999996</v>
      </c>
      <c r="AA25" t="s">
        <v>1519</v>
      </c>
      <c r="AB25" t="s">
        <v>1520</v>
      </c>
      <c r="AC25" t="s">
        <v>1521</v>
      </c>
      <c r="AD25" t="s">
        <v>1522</v>
      </c>
      <c r="AE25" t="s">
        <v>1523</v>
      </c>
      <c r="AF25">
        <v>290826780</v>
      </c>
      <c r="AG25" t="s">
        <v>1524</v>
      </c>
      <c r="AH25" t="s">
        <v>1525</v>
      </c>
      <c r="AI25" t="s">
        <v>1526</v>
      </c>
      <c r="AJ25" t="s">
        <v>1527</v>
      </c>
      <c r="AK25" t="s">
        <v>1528</v>
      </c>
      <c r="AL25" t="s">
        <v>1529</v>
      </c>
      <c r="AM25" t="s">
        <v>1530</v>
      </c>
      <c r="AN25" t="s">
        <v>7</v>
      </c>
      <c r="AO25" t="s">
        <v>1531</v>
      </c>
      <c r="AP25" t="s">
        <v>1532</v>
      </c>
      <c r="AQ25" t="s">
        <v>1533</v>
      </c>
      <c r="AR25" t="s">
        <v>1534</v>
      </c>
      <c r="AS25" t="s">
        <v>7</v>
      </c>
      <c r="AT25" t="s">
        <v>1535</v>
      </c>
      <c r="AU25" t="s">
        <v>1536</v>
      </c>
      <c r="AV25" t="s">
        <v>1537</v>
      </c>
      <c r="AW25" t="s">
        <v>763</v>
      </c>
      <c r="AX25" t="s">
        <v>1538</v>
      </c>
      <c r="AY25" t="s">
        <v>1539</v>
      </c>
      <c r="AZ25" t="s">
        <v>1540</v>
      </c>
      <c r="BA25" t="s">
        <v>1541</v>
      </c>
      <c r="BB25" t="s">
        <v>1542</v>
      </c>
      <c r="BC25" t="s">
        <v>1543</v>
      </c>
      <c r="BD25" t="s">
        <v>1544</v>
      </c>
      <c r="BE25" t="s">
        <v>1545</v>
      </c>
      <c r="BF25" t="s">
        <v>1546</v>
      </c>
      <c r="BG25" t="s">
        <v>1547</v>
      </c>
      <c r="BH25" t="s">
        <v>1548</v>
      </c>
      <c r="BI25" t="s">
        <v>1549</v>
      </c>
      <c r="BJ25" t="s">
        <v>1550</v>
      </c>
      <c r="BK25" t="s">
        <v>1539</v>
      </c>
      <c r="BL25" t="s">
        <v>1518</v>
      </c>
      <c r="BM25" t="s">
        <v>236</v>
      </c>
      <c r="BN25" t="s">
        <v>1544</v>
      </c>
      <c r="BO25">
        <v>6.14</v>
      </c>
      <c r="BP25">
        <v>6.09</v>
      </c>
      <c r="BQ25">
        <v>6</v>
      </c>
      <c r="BR25">
        <v>7.33</v>
      </c>
      <c r="BS25">
        <v>11.26</v>
      </c>
      <c r="BT25">
        <v>9.58</v>
      </c>
      <c r="BU25">
        <v>8.4499999999999993</v>
      </c>
      <c r="BV25">
        <v>10.27</v>
      </c>
      <c r="BW25">
        <v>16.16</v>
      </c>
      <c r="BX25">
        <v>17.21</v>
      </c>
      <c r="BY25">
        <v>16.22</v>
      </c>
      <c r="BZ25">
        <v>4.93</v>
      </c>
      <c r="CA25">
        <v>5.19</v>
      </c>
      <c r="CB25">
        <v>4.76</v>
      </c>
      <c r="CC25">
        <v>33.04</v>
      </c>
      <c r="CD25">
        <v>30.51</v>
      </c>
      <c r="CE25" t="s">
        <v>1551</v>
      </c>
      <c r="CF25" t="s">
        <v>1552</v>
      </c>
      <c r="CG25" s="23">
        <v>8.0415817720217247E-2</v>
      </c>
      <c r="CH25" s="24">
        <v>-3.1076876143990239E-3</v>
      </c>
      <c r="CI25" s="23">
        <v>0.320372074842453</v>
      </c>
      <c r="CJ25" s="23">
        <v>8.6217813193798065E-2</v>
      </c>
      <c r="CK25" s="23">
        <v>-2.7525622397661209E-2</v>
      </c>
      <c r="CL25" s="23">
        <v>-2.6788178831338882E-2</v>
      </c>
      <c r="CM25" s="23">
        <v>2.0803704857826233E-2</v>
      </c>
      <c r="CN25" s="24">
        <v>0.25438275933265686</v>
      </c>
      <c r="CO25" s="24">
        <v>0.19235044717788696</v>
      </c>
      <c r="CP25" s="24">
        <v>-0.13635492324829102</v>
      </c>
      <c r="CQ25" s="24">
        <v>3.5806696861982346E-2</v>
      </c>
      <c r="CR25" s="24">
        <v>-0.5235522985458374</v>
      </c>
      <c r="CS25">
        <v>2.4253908581063746</v>
      </c>
      <c r="CT25">
        <v>19374541.034790363</v>
      </c>
      <c r="CU25">
        <v>2.4880499999999999</v>
      </c>
      <c r="CV25" s="23">
        <v>7.4615958333015445E-2</v>
      </c>
      <c r="CW25" s="24">
        <v>-3.5473463684320451E-2</v>
      </c>
      <c r="CX25">
        <v>0.06</v>
      </c>
      <c r="CY25">
        <v>55.156423042083929</v>
      </c>
      <c r="CZ25">
        <v>6818742392.2149649</v>
      </c>
      <c r="DA25">
        <v>7.4615958333015445E-2</v>
      </c>
      <c r="DB25">
        <v>18.261358346214458</v>
      </c>
      <c r="DC25">
        <v>20595260925.809731</v>
      </c>
      <c r="DD25">
        <v>7.0885160416364668E-2</v>
      </c>
      <c r="DE25">
        <v>9.1469557263662988</v>
      </c>
      <c r="DF25">
        <v>41117225364.488312</v>
      </c>
      <c r="DG25">
        <v>6.5662043333053588E-2</v>
      </c>
      <c r="DH25">
        <v>5.6006158902425982</v>
      </c>
      <c r="DI25">
        <v>67152871643.141525</v>
      </c>
      <c r="DJ25">
        <v>5.9692766666412357E-2</v>
      </c>
      <c r="DK25">
        <v>3.0176388880975153</v>
      </c>
      <c r="DL25">
        <v>124633017384.36716</v>
      </c>
      <c r="DM25">
        <v>5.223117083311081E-2</v>
      </c>
      <c r="DN25">
        <v>6726000000.000001</v>
      </c>
      <c r="DO25">
        <v>7.4615958333015445E-2</v>
      </c>
      <c r="DP25">
        <v>376097440000</v>
      </c>
      <c r="DQ25">
        <v>16292064000</v>
      </c>
      <c r="DR25">
        <v>3567</v>
      </c>
      <c r="DS25">
        <v>5.7998593872018028E-3</v>
      </c>
      <c r="DT25">
        <v>3.2365776069921429E-2</v>
      </c>
      <c r="DU25" s="25">
        <v>0.16666666666666666</v>
      </c>
      <c r="DV25">
        <v>0.21666666666666667</v>
      </c>
      <c r="DW25">
        <v>0.3833333333333333</v>
      </c>
      <c r="DX25">
        <v>5.9234261501210659</v>
      </c>
      <c r="DY25">
        <v>0.66148148148148267</v>
      </c>
      <c r="DZ25">
        <v>5.3707384987893461</v>
      </c>
      <c r="EA25">
        <v>2319</v>
      </c>
      <c r="EB25">
        <v>5.1890515633091061</v>
      </c>
      <c r="EC25">
        <v>5</v>
      </c>
      <c r="ED25">
        <v>5.8584775786172834E-2</v>
      </c>
      <c r="EE25">
        <v>0.14592148950430503</v>
      </c>
      <c r="EF25" s="22">
        <v>2.1345999999999998</v>
      </c>
      <c r="EG25">
        <v>3.0467</v>
      </c>
      <c r="EH25">
        <v>26.401481481481483</v>
      </c>
      <c r="EI25" t="s">
        <v>553</v>
      </c>
      <c r="EJ25">
        <v>1</v>
      </c>
      <c r="EK25">
        <v>0</v>
      </c>
    </row>
  </sheetData>
  <mergeCells count="1">
    <mergeCell ref="A3:A25"/>
  </mergeCells>
  <phoneticPr fontId="1" type="noConversion"/>
  <hyperlinks>
    <hyperlink ref="A2" r:id="rId1"/>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K16"/>
  <sheetViews>
    <sheetView workbookViewId="0">
      <selection activeCell="A16" sqref="A16"/>
    </sheetView>
  </sheetViews>
  <sheetFormatPr defaultRowHeight="14.4" x14ac:dyDescent="0.25"/>
  <cols>
    <col min="1" max="1" width="12.21875" customWidth="1"/>
    <col min="2" max="2" width="41" customWidth="1"/>
    <col min="3" max="3" width="42.21875" customWidth="1"/>
    <col min="4" max="4" width="52.21875" customWidth="1"/>
  </cols>
  <sheetData>
    <row r="1" spans="1:141" s="16" customFormat="1" x14ac:dyDescent="0.25">
      <c r="A1" s="17" t="s">
        <v>309</v>
      </c>
      <c r="B1" s="20" t="s">
        <v>500</v>
      </c>
      <c r="C1" s="21" t="s">
        <v>501</v>
      </c>
      <c r="D1" s="20" t="s">
        <v>502</v>
      </c>
      <c r="E1" t="s">
        <v>2</v>
      </c>
      <c r="F1" t="s">
        <v>3</v>
      </c>
      <c r="G1" t="s">
        <v>0</v>
      </c>
      <c r="H1" t="s">
        <v>466</v>
      </c>
      <c r="I1" t="s">
        <v>503</v>
      </c>
      <c r="J1" t="s">
        <v>4</v>
      </c>
      <c r="K1" t="s">
        <v>5</v>
      </c>
      <c r="L1" t="s">
        <v>1</v>
      </c>
      <c r="M1" t="s">
        <v>6</v>
      </c>
      <c r="N1" t="s">
        <v>9</v>
      </c>
      <c r="O1" t="s">
        <v>10</v>
      </c>
      <c r="P1" t="s">
        <v>11</v>
      </c>
      <c r="Q1" t="s">
        <v>504</v>
      </c>
      <c r="R1" t="s">
        <v>467</v>
      </c>
      <c r="S1" t="s">
        <v>505</v>
      </c>
      <c r="T1" t="s">
        <v>12</v>
      </c>
      <c r="U1" t="s">
        <v>468</v>
      </c>
      <c r="V1" t="s">
        <v>469</v>
      </c>
      <c r="W1" t="s">
        <v>13</v>
      </c>
      <c r="X1" t="s">
        <v>388</v>
      </c>
      <c r="Y1" t="s">
        <v>389</v>
      </c>
      <c r="Z1" t="s">
        <v>390</v>
      </c>
      <c r="AA1" t="s">
        <v>391</v>
      </c>
      <c r="AB1" t="s">
        <v>392</v>
      </c>
      <c r="AC1" t="s">
        <v>470</v>
      </c>
      <c r="AD1" t="s">
        <v>393</v>
      </c>
      <c r="AE1" t="s">
        <v>506</v>
      </c>
      <c r="AF1" t="s">
        <v>14</v>
      </c>
      <c r="AG1" t="s">
        <v>15</v>
      </c>
      <c r="AH1" t="s">
        <v>471</v>
      </c>
      <c r="AI1" t="s">
        <v>507</v>
      </c>
      <c r="AJ1" t="s">
        <v>472</v>
      </c>
      <c r="AK1" t="s">
        <v>16</v>
      </c>
      <c r="AL1" t="s">
        <v>473</v>
      </c>
      <c r="AM1" t="s">
        <v>310</v>
      </c>
      <c r="AN1" t="s">
        <v>474</v>
      </c>
      <c r="AO1" t="s">
        <v>475</v>
      </c>
      <c r="AP1" t="s">
        <v>476</v>
      </c>
      <c r="AQ1" t="s">
        <v>477</v>
      </c>
      <c r="AR1" t="s">
        <v>478</v>
      </c>
      <c r="AS1" t="s">
        <v>479</v>
      </c>
      <c r="AT1" t="s">
        <v>480</v>
      </c>
      <c r="AU1" t="s">
        <v>481</v>
      </c>
      <c r="AV1" t="s">
        <v>482</v>
      </c>
      <c r="AW1" t="s">
        <v>483</v>
      </c>
      <c r="AX1" t="s">
        <v>484</v>
      </c>
      <c r="AY1" t="s">
        <v>508</v>
      </c>
      <c r="AZ1" t="s">
        <v>311</v>
      </c>
      <c r="BA1" t="s">
        <v>312</v>
      </c>
      <c r="BB1" t="s">
        <v>313</v>
      </c>
      <c r="BC1" t="s">
        <v>314</v>
      </c>
      <c r="BD1" t="s">
        <v>320</v>
      </c>
      <c r="BE1" t="s">
        <v>315</v>
      </c>
      <c r="BF1" t="s">
        <v>316</v>
      </c>
      <c r="BG1" t="s">
        <v>317</v>
      </c>
      <c r="BH1" t="s">
        <v>318</v>
      </c>
      <c r="BI1" t="s">
        <v>509</v>
      </c>
      <c r="BJ1" t="s">
        <v>485</v>
      </c>
      <c r="BK1" t="s">
        <v>319</v>
      </c>
      <c r="BL1" t="s">
        <v>486</v>
      </c>
      <c r="BM1" t="s">
        <v>487</v>
      </c>
      <c r="BN1" t="s">
        <v>488</v>
      </c>
      <c r="BO1" t="s">
        <v>489</v>
      </c>
      <c r="BP1" t="s">
        <v>321</v>
      </c>
      <c r="BQ1" t="s">
        <v>322</v>
      </c>
      <c r="BR1" t="s">
        <v>323</v>
      </c>
      <c r="BS1" t="s">
        <v>490</v>
      </c>
      <c r="BT1" t="s">
        <v>324</v>
      </c>
      <c r="BU1" t="s">
        <v>325</v>
      </c>
      <c r="BV1" t="s">
        <v>326</v>
      </c>
      <c r="BW1" t="s">
        <v>491</v>
      </c>
      <c r="BX1" t="s">
        <v>327</v>
      </c>
      <c r="BY1" t="s">
        <v>328</v>
      </c>
      <c r="BZ1" t="s">
        <v>492</v>
      </c>
      <c r="CA1" t="s">
        <v>329</v>
      </c>
      <c r="CB1" t="s">
        <v>330</v>
      </c>
      <c r="CC1" t="s">
        <v>510</v>
      </c>
      <c r="CD1" t="s">
        <v>511</v>
      </c>
      <c r="CE1" t="s">
        <v>512</v>
      </c>
      <c r="CF1" t="s">
        <v>513</v>
      </c>
      <c r="CG1" s="1" t="s">
        <v>394</v>
      </c>
      <c r="CH1" s="1" t="s">
        <v>395</v>
      </c>
      <c r="CI1" s="1" t="s">
        <v>396</v>
      </c>
      <c r="CJ1" s="1" t="s">
        <v>397</v>
      </c>
      <c r="CK1" s="1" t="s">
        <v>398</v>
      </c>
      <c r="CL1" s="1" t="s">
        <v>399</v>
      </c>
      <c r="CM1" s="1" t="s">
        <v>400</v>
      </c>
      <c r="CN1" s="1" t="s">
        <v>401</v>
      </c>
      <c r="CO1" s="1" t="s">
        <v>402</v>
      </c>
      <c r="CP1" s="1" t="s">
        <v>403</v>
      </c>
      <c r="CQ1" s="1" t="s">
        <v>404</v>
      </c>
      <c r="CR1" s="1" t="s">
        <v>405</v>
      </c>
      <c r="CS1" s="1" t="s">
        <v>406</v>
      </c>
      <c r="CT1" s="1" t="s">
        <v>407</v>
      </c>
      <c r="CU1" s="1" t="s">
        <v>408</v>
      </c>
      <c r="CV1" s="1" t="s">
        <v>409</v>
      </c>
      <c r="CW1" s="1" t="s">
        <v>410</v>
      </c>
      <c r="CX1" s="1" t="s">
        <v>297</v>
      </c>
      <c r="CY1">
        <v>1</v>
      </c>
      <c r="CZ1" t="s">
        <v>411</v>
      </c>
      <c r="DA1" t="s">
        <v>412</v>
      </c>
      <c r="DB1">
        <v>3</v>
      </c>
      <c r="DC1" t="s">
        <v>413</v>
      </c>
      <c r="DD1" t="s">
        <v>414</v>
      </c>
      <c r="DE1">
        <v>6</v>
      </c>
      <c r="DF1" t="s">
        <v>415</v>
      </c>
      <c r="DG1" t="s">
        <v>525</v>
      </c>
      <c r="DH1">
        <v>10</v>
      </c>
      <c r="DI1" t="s">
        <v>526</v>
      </c>
      <c r="DJ1" t="s">
        <v>416</v>
      </c>
      <c r="DK1">
        <v>20</v>
      </c>
      <c r="DL1" t="s">
        <v>417</v>
      </c>
      <c r="DM1" t="s">
        <v>418</v>
      </c>
      <c r="DN1" t="s">
        <v>419</v>
      </c>
      <c r="DO1" s="2" t="s">
        <v>420</v>
      </c>
      <c r="DP1" t="s">
        <v>431</v>
      </c>
      <c r="DQ1" t="s">
        <v>421</v>
      </c>
      <c r="DR1" s="1" t="s">
        <v>531</v>
      </c>
      <c r="DS1" s="1" t="s">
        <v>532</v>
      </c>
      <c r="DT1" s="1" t="s">
        <v>422</v>
      </c>
      <c r="DU1" t="s">
        <v>423</v>
      </c>
      <c r="DV1" t="s">
        <v>424</v>
      </c>
      <c r="DW1" t="s">
        <v>425</v>
      </c>
      <c r="DX1" t="s">
        <v>426</v>
      </c>
      <c r="DY1" t="s">
        <v>538</v>
      </c>
      <c r="DZ1" t="s">
        <v>427</v>
      </c>
      <c r="EA1" t="s">
        <v>428</v>
      </c>
      <c r="EB1" t="s">
        <v>429</v>
      </c>
      <c r="EC1" t="s">
        <v>430</v>
      </c>
      <c r="ED1" t="s">
        <v>462</v>
      </c>
      <c r="EE1" t="s">
        <v>463</v>
      </c>
      <c r="EF1" t="s">
        <v>545</v>
      </c>
      <c r="EG1" t="s">
        <v>546</v>
      </c>
      <c r="EH1" t="s">
        <v>547</v>
      </c>
      <c r="EI1" t="s">
        <v>548</v>
      </c>
      <c r="EJ1" t="s">
        <v>549</v>
      </c>
      <c r="EK1"/>
    </row>
    <row r="2" spans="1:141" s="16" customFormat="1" ht="71.55" customHeight="1" x14ac:dyDescent="0.25">
      <c r="A2" s="27" t="s">
        <v>695</v>
      </c>
      <c r="B2" s="29"/>
      <c r="C2" s="30">
        <v>3</v>
      </c>
      <c r="D2" s="30">
        <v>16</v>
      </c>
      <c r="T2" s="18"/>
      <c r="U2" s="18"/>
      <c r="V2" s="18"/>
      <c r="AB2" s="19"/>
    </row>
    <row r="3" spans="1:141" x14ac:dyDescent="0.25">
      <c r="A3" t="s">
        <v>2958</v>
      </c>
      <c r="B3" s="3"/>
      <c r="C3" s="3"/>
      <c r="D3" s="3"/>
      <c r="E3" t="s">
        <v>1553</v>
      </c>
      <c r="F3" t="s">
        <v>1554</v>
      </c>
      <c r="G3">
        <v>16.559999999999999</v>
      </c>
      <c r="H3">
        <v>0.12</v>
      </c>
      <c r="I3" t="s">
        <v>1578</v>
      </c>
      <c r="J3">
        <v>59468605000</v>
      </c>
      <c r="K3">
        <v>33.47</v>
      </c>
      <c r="L3">
        <v>5.32</v>
      </c>
      <c r="M3" t="s">
        <v>1555</v>
      </c>
      <c r="N3" t="s">
        <v>1579</v>
      </c>
      <c r="O3" t="s">
        <v>1580</v>
      </c>
      <c r="P3" t="s">
        <v>1581</v>
      </c>
      <c r="Q3">
        <v>40.94</v>
      </c>
      <c r="R3" t="s">
        <v>1582</v>
      </c>
      <c r="S3">
        <v>452994750</v>
      </c>
      <c r="T3" s="4">
        <v>0.2581</v>
      </c>
      <c r="U3" t="s">
        <v>1583</v>
      </c>
      <c r="V3">
        <v>3545344500</v>
      </c>
      <c r="W3">
        <v>3591099300</v>
      </c>
      <c r="X3">
        <v>2.08</v>
      </c>
      <c r="Y3">
        <v>0.2</v>
      </c>
      <c r="Z3">
        <v>9.4499999999999993</v>
      </c>
      <c r="AA3" t="s">
        <v>1584</v>
      </c>
      <c r="AB3" t="s">
        <v>1585</v>
      </c>
      <c r="AC3" t="s">
        <v>140</v>
      </c>
      <c r="AD3" t="s">
        <v>186</v>
      </c>
      <c r="AE3" t="s">
        <v>1586</v>
      </c>
      <c r="AF3">
        <v>24995186</v>
      </c>
      <c r="AG3" t="s">
        <v>1587</v>
      </c>
      <c r="AH3" t="s">
        <v>1588</v>
      </c>
      <c r="AI3" t="s">
        <v>1589</v>
      </c>
      <c r="AJ3" t="s">
        <v>1590</v>
      </c>
      <c r="AK3" t="s">
        <v>1591</v>
      </c>
      <c r="AL3" t="s">
        <v>1265</v>
      </c>
      <c r="AM3" t="s">
        <v>1592</v>
      </c>
      <c r="AN3" t="s">
        <v>7</v>
      </c>
      <c r="AO3" t="s">
        <v>126</v>
      </c>
      <c r="AP3" t="s">
        <v>107</v>
      </c>
      <c r="AQ3" t="s">
        <v>1593</v>
      </c>
      <c r="AR3" t="s">
        <v>1594</v>
      </c>
      <c r="AS3" t="s">
        <v>7</v>
      </c>
      <c r="AT3" t="s">
        <v>1595</v>
      </c>
      <c r="AU3" t="s">
        <v>446</v>
      </c>
      <c r="AV3" t="s">
        <v>90</v>
      </c>
      <c r="AW3" t="s">
        <v>1596</v>
      </c>
      <c r="AX3" t="s">
        <v>1597</v>
      </c>
      <c r="AY3" t="s">
        <v>1598</v>
      </c>
      <c r="AZ3" t="s">
        <v>1599</v>
      </c>
      <c r="BA3" t="s">
        <v>1600</v>
      </c>
      <c r="BB3" t="s">
        <v>1601</v>
      </c>
      <c r="BC3" t="s">
        <v>1602</v>
      </c>
      <c r="BD3" t="s">
        <v>1603</v>
      </c>
      <c r="BE3" t="s">
        <v>1604</v>
      </c>
      <c r="BF3" t="s">
        <v>1605</v>
      </c>
      <c r="BG3" t="s">
        <v>1606</v>
      </c>
      <c r="BH3" t="s">
        <v>576</v>
      </c>
      <c r="BI3" t="s">
        <v>1607</v>
      </c>
      <c r="BJ3" t="s">
        <v>1608</v>
      </c>
      <c r="BK3" t="s">
        <v>1598</v>
      </c>
      <c r="BL3" t="s">
        <v>1583</v>
      </c>
      <c r="BM3" t="s">
        <v>672</v>
      </c>
      <c r="BN3" t="s">
        <v>1603</v>
      </c>
      <c r="BO3">
        <v>10.32</v>
      </c>
      <c r="BP3">
        <v>11.29</v>
      </c>
      <c r="BQ3">
        <v>11.89</v>
      </c>
      <c r="BR3">
        <v>11.85</v>
      </c>
      <c r="BS3">
        <v>15.98</v>
      </c>
      <c r="BT3">
        <v>15.04</v>
      </c>
      <c r="BU3">
        <v>16.079999999999998</v>
      </c>
      <c r="BV3">
        <v>15.65</v>
      </c>
      <c r="BW3">
        <v>25.68</v>
      </c>
      <c r="BX3">
        <v>29.81</v>
      </c>
      <c r="BY3">
        <v>29.6</v>
      </c>
      <c r="BZ3">
        <v>10.64</v>
      </c>
      <c r="CA3">
        <v>12.17</v>
      </c>
      <c r="CB3">
        <v>12.7</v>
      </c>
      <c r="CC3">
        <v>-4.1100000000000003</v>
      </c>
      <c r="CD3">
        <v>8.59</v>
      </c>
      <c r="CE3" t="s">
        <v>1609</v>
      </c>
      <c r="CF3" t="s">
        <v>449</v>
      </c>
      <c r="CG3" s="23">
        <v>0.40949964788732396</v>
      </c>
      <c r="CH3" s="24">
        <v>0.25831874999999999</v>
      </c>
      <c r="CI3" s="23">
        <v>0.32295623421669006</v>
      </c>
      <c r="CJ3" s="23">
        <v>7.2915747761726379E-2</v>
      </c>
      <c r="CK3" s="23">
        <v>4.1620556265115738E-2</v>
      </c>
      <c r="CL3" s="23">
        <v>0.13098841905593872</v>
      </c>
      <c r="CM3" s="23">
        <v>0.2514367401599884</v>
      </c>
      <c r="CN3" s="24">
        <v>0.15184678137302399</v>
      </c>
      <c r="CO3" s="24">
        <v>2.8852967545390129E-2</v>
      </c>
      <c r="CP3" s="24">
        <v>9.9845148622989655E-2</v>
      </c>
      <c r="CQ3" s="24">
        <v>4.5307442545890808E-2</v>
      </c>
      <c r="CR3" s="24">
        <v>0.24722503125667572</v>
      </c>
      <c r="CS3">
        <v>3.7119159228512579</v>
      </c>
      <c r="CT3">
        <v>23895043.942992873</v>
      </c>
      <c r="CU3">
        <v>3.9312</v>
      </c>
      <c r="CV3" s="23">
        <v>0.16398353949189187</v>
      </c>
      <c r="CW3" s="24">
        <v>0.11461547426879407</v>
      </c>
      <c r="CX3">
        <v>0.06</v>
      </c>
      <c r="CY3">
        <v>32.640449672275778</v>
      </c>
      <c r="CZ3">
        <v>1849196491.0418355</v>
      </c>
      <c r="DA3">
        <v>0.16398353949189187</v>
      </c>
      <c r="DB3">
        <v>10.024234187686968</v>
      </c>
      <c r="DC3">
        <v>6021268445.0389309</v>
      </c>
      <c r="DD3">
        <v>0.15578436251729727</v>
      </c>
      <c r="DE3">
        <v>4.5312370338154322</v>
      </c>
      <c r="DF3">
        <v>13320557840.951506</v>
      </c>
      <c r="DG3">
        <v>0.14430551475286485</v>
      </c>
      <c r="DH3">
        <v>2.4637613832240834</v>
      </c>
      <c r="DI3">
        <v>24498559564.650127</v>
      </c>
      <c r="DJ3">
        <v>0.13118683159351349</v>
      </c>
      <c r="DK3">
        <v>1.0124501845797211</v>
      </c>
      <c r="DL3">
        <v>59616370187.196426</v>
      </c>
      <c r="DM3">
        <v>0.1147884776443243</v>
      </c>
      <c r="DN3">
        <v>1684000000</v>
      </c>
      <c r="DO3">
        <v>0.16398353949189187</v>
      </c>
      <c r="DP3">
        <v>60358605000</v>
      </c>
      <c r="DQ3">
        <v>8859601000</v>
      </c>
      <c r="DR3">
        <v>535</v>
      </c>
      <c r="DS3">
        <v>0.24551610839543209</v>
      </c>
      <c r="DT3">
        <v>0.14370327573120592</v>
      </c>
      <c r="DU3" s="25">
        <v>0.48666666666666664</v>
      </c>
      <c r="DV3">
        <v>0.26666666666666666</v>
      </c>
      <c r="DW3">
        <v>0.7533333333333333</v>
      </c>
      <c r="DX3">
        <v>-6.3236220472440943</v>
      </c>
      <c r="DY3">
        <v>0.28422061191626391</v>
      </c>
      <c r="DZ3">
        <v>-6.0499091901555788</v>
      </c>
      <c r="EA3">
        <v>1657</v>
      </c>
      <c r="EB3">
        <v>-6.0324103479871924</v>
      </c>
      <c r="EC3">
        <v>6</v>
      </c>
      <c r="ED3">
        <v>2.6668992416890282E-2</v>
      </c>
      <c r="EE3">
        <v>0.17292754895416007</v>
      </c>
      <c r="EF3" s="22">
        <v>1.5210000000000001E-2</v>
      </c>
      <c r="EG3">
        <v>1.401E-2</v>
      </c>
      <c r="EH3">
        <v>13.154220611916264</v>
      </c>
      <c r="EI3">
        <v>-1</v>
      </c>
      <c r="EJ3">
        <v>0</v>
      </c>
      <c r="EK3">
        <v>0</v>
      </c>
    </row>
    <row r="4" spans="1:141" x14ac:dyDescent="0.25">
      <c r="A4" t="s">
        <v>2959</v>
      </c>
      <c r="B4" s="28"/>
      <c r="C4" s="28"/>
      <c r="D4" s="28"/>
      <c r="E4" t="s">
        <v>1556</v>
      </c>
      <c r="F4" t="s">
        <v>1557</v>
      </c>
      <c r="G4">
        <v>12.46</v>
      </c>
      <c r="H4">
        <v>0.16</v>
      </c>
      <c r="I4" t="s">
        <v>1610</v>
      </c>
      <c r="J4">
        <v>7531945600</v>
      </c>
      <c r="L4">
        <v>2.42</v>
      </c>
      <c r="M4" t="s">
        <v>631</v>
      </c>
      <c r="N4" t="s">
        <v>1611</v>
      </c>
      <c r="O4" t="s">
        <v>1612</v>
      </c>
      <c r="P4" t="s">
        <v>1613</v>
      </c>
      <c r="Q4">
        <v>3.59</v>
      </c>
      <c r="R4" t="s">
        <v>1614</v>
      </c>
      <c r="S4">
        <v>9010066</v>
      </c>
      <c r="T4" s="4">
        <v>-0.33560000000000001</v>
      </c>
      <c r="U4" t="s">
        <v>1615</v>
      </c>
      <c r="V4">
        <v>468869580</v>
      </c>
      <c r="W4">
        <v>604490020</v>
      </c>
      <c r="X4">
        <v>2.69</v>
      </c>
      <c r="Y4">
        <v>0.19</v>
      </c>
      <c r="Z4">
        <v>0.81</v>
      </c>
      <c r="AA4" t="s">
        <v>276</v>
      </c>
      <c r="AB4" t="s">
        <v>1616</v>
      </c>
      <c r="AC4" t="s">
        <v>1617</v>
      </c>
      <c r="AD4" t="s">
        <v>990</v>
      </c>
      <c r="AE4" t="s">
        <v>7</v>
      </c>
      <c r="AF4">
        <v>48781916</v>
      </c>
      <c r="AG4" t="s">
        <v>1618</v>
      </c>
      <c r="AH4" t="s">
        <v>1619</v>
      </c>
      <c r="AI4" t="s">
        <v>1620</v>
      </c>
      <c r="AJ4" t="s">
        <v>1621</v>
      </c>
      <c r="AK4" t="s">
        <v>1622</v>
      </c>
      <c r="AL4" t="s">
        <v>1623</v>
      </c>
      <c r="AM4" t="s">
        <v>1624</v>
      </c>
      <c r="AN4" t="s">
        <v>7</v>
      </c>
      <c r="AO4" t="s">
        <v>1625</v>
      </c>
      <c r="AP4" t="s">
        <v>1626</v>
      </c>
      <c r="AQ4" t="s">
        <v>258</v>
      </c>
      <c r="AR4" t="s">
        <v>1627</v>
      </c>
      <c r="AS4" t="s">
        <v>7</v>
      </c>
      <c r="AT4" t="s">
        <v>1628</v>
      </c>
      <c r="AU4" t="s">
        <v>141</v>
      </c>
      <c r="AV4" t="s">
        <v>1629</v>
      </c>
      <c r="AW4" t="s">
        <v>1630</v>
      </c>
      <c r="AX4" t="s">
        <v>1631</v>
      </c>
      <c r="AY4" t="s">
        <v>1632</v>
      </c>
      <c r="AZ4" t="s">
        <v>1633</v>
      </c>
      <c r="BA4" t="s">
        <v>1634</v>
      </c>
      <c r="BB4" t="s">
        <v>1635</v>
      </c>
      <c r="BC4" t="s">
        <v>1636</v>
      </c>
      <c r="BD4" t="s">
        <v>168</v>
      </c>
      <c r="BE4" t="s">
        <v>1637</v>
      </c>
      <c r="BF4" t="s">
        <v>1638</v>
      </c>
      <c r="BG4" t="s">
        <v>131</v>
      </c>
      <c r="BH4" t="s">
        <v>1639</v>
      </c>
      <c r="BI4" t="s">
        <v>1640</v>
      </c>
      <c r="BJ4" t="s">
        <v>1641</v>
      </c>
      <c r="BK4" t="s">
        <v>1632</v>
      </c>
      <c r="BL4" t="s">
        <v>1615</v>
      </c>
      <c r="BM4" t="s">
        <v>1642</v>
      </c>
      <c r="BN4" t="s">
        <v>168</v>
      </c>
      <c r="BO4">
        <v>-12.07</v>
      </c>
      <c r="BP4">
        <v>2.41</v>
      </c>
      <c r="BQ4">
        <v>-10.38</v>
      </c>
      <c r="BR4">
        <v>4.32</v>
      </c>
      <c r="BS4">
        <v>-35.369999999999997</v>
      </c>
      <c r="BT4">
        <v>6.06</v>
      </c>
      <c r="BU4">
        <v>-24.65</v>
      </c>
      <c r="BV4">
        <v>10.130000000000001</v>
      </c>
      <c r="BW4">
        <v>13.19</v>
      </c>
      <c r="BX4">
        <v>14.48</v>
      </c>
      <c r="BY4">
        <v>15.37</v>
      </c>
      <c r="BZ4">
        <v>-9.4600000000000009</v>
      </c>
      <c r="CA4">
        <v>0.89</v>
      </c>
      <c r="CB4">
        <v>-8.2799999999999994</v>
      </c>
      <c r="CC4">
        <v>2.5499999999999998</v>
      </c>
      <c r="CD4">
        <v>16.12</v>
      </c>
      <c r="CE4" t="s">
        <v>1643</v>
      </c>
      <c r="CF4" t="s">
        <v>128</v>
      </c>
      <c r="CG4" s="23">
        <v>3.5908426339285579E-2</v>
      </c>
      <c r="CH4" s="24">
        <v>-0.33560945035173367</v>
      </c>
      <c r="CI4" s="23">
        <v>4.3316803872585297E-2</v>
      </c>
      <c r="CJ4" s="23">
        <v>-2.858671173453331E-2</v>
      </c>
      <c r="CK4" s="23">
        <v>4.2929970659315586E-3</v>
      </c>
      <c r="CL4" s="23">
        <v>0.2739703357219696</v>
      </c>
      <c r="CM4" s="23">
        <v>0.27639612555503845</v>
      </c>
      <c r="CN4" s="24">
        <v>-6.0169491767883301</v>
      </c>
      <c r="CO4" s="24">
        <v>1.2017093896865845</v>
      </c>
      <c r="CP4" s="24">
        <v>-3.2413792610168457</v>
      </c>
      <c r="CQ4" s="24">
        <v>0.49142858386039734</v>
      </c>
      <c r="CR4" s="24">
        <v>3.5248167514801025</v>
      </c>
      <c r="CS4">
        <v>0.99274358771582971</v>
      </c>
      <c r="CT4">
        <v>-2899014.1891891891</v>
      </c>
      <c r="CU4">
        <v>0.41399100000000005</v>
      </c>
      <c r="CV4" s="23">
        <v>0.11387791009619833</v>
      </c>
      <c r="CW4" s="24">
        <v>-0.80807474255561829</v>
      </c>
      <c r="CX4">
        <v>0.06</v>
      </c>
      <c r="CY4" t="e">
        <v>#VALUE!</v>
      </c>
      <c r="CZ4" t="s">
        <v>574</v>
      </c>
      <c r="DA4">
        <v>0.11387791009619833</v>
      </c>
      <c r="DB4" t="e">
        <v>#VALUE!</v>
      </c>
      <c r="DC4" t="s">
        <v>574</v>
      </c>
      <c r="DD4">
        <v>0.10818401459138841</v>
      </c>
      <c r="DE4" t="e">
        <v>#VALUE!</v>
      </c>
      <c r="DF4" t="s">
        <v>574</v>
      </c>
      <c r="DG4">
        <v>0.10021256088465452</v>
      </c>
      <c r="DH4" t="e">
        <v>#VALUE!</v>
      </c>
      <c r="DI4" t="s">
        <v>574</v>
      </c>
      <c r="DJ4">
        <v>9.1102328076958672E-2</v>
      </c>
      <c r="DK4" t="e">
        <v>#VALUE!</v>
      </c>
      <c r="DL4" t="s">
        <v>574</v>
      </c>
      <c r="DM4">
        <v>7.9714537067338817E-2</v>
      </c>
      <c r="DN4">
        <v>-592000000</v>
      </c>
      <c r="DO4">
        <v>0.11387791009619833</v>
      </c>
      <c r="DP4">
        <v>9963945600</v>
      </c>
      <c r="DQ4">
        <v>1764040500</v>
      </c>
      <c r="DR4">
        <v>541</v>
      </c>
      <c r="DS4">
        <v>-7.7969483756912747E-2</v>
      </c>
      <c r="DT4">
        <v>0.47246529220388461</v>
      </c>
      <c r="DU4" s="25">
        <v>0.21666666666666665</v>
      </c>
      <c r="DV4">
        <v>-1.0583333333333333</v>
      </c>
      <c r="DW4">
        <v>-0.84166666666666667</v>
      </c>
      <c r="DX4">
        <v>8.1581885856079399</v>
      </c>
      <c r="DY4">
        <v>0.39566491428571415</v>
      </c>
      <c r="DZ4">
        <v>8.0467708146047503</v>
      </c>
      <c r="EA4">
        <v>3833</v>
      </c>
      <c r="EB4">
        <v>8.0088536123247156</v>
      </c>
      <c r="EC4">
        <v>8</v>
      </c>
      <c r="ED4">
        <v>0.11983307846835917</v>
      </c>
      <c r="EE4">
        <v>0.40530032241061653</v>
      </c>
      <c r="EF4" s="22">
        <v>1.0054099999999999</v>
      </c>
      <c r="EG4">
        <v>1.0038100000000001</v>
      </c>
      <c r="EH4">
        <v>10.295664914285714</v>
      </c>
      <c r="EI4" t="s">
        <v>551</v>
      </c>
      <c r="EJ4">
        <v>0</v>
      </c>
      <c r="EK4">
        <v>0</v>
      </c>
    </row>
    <row r="5" spans="1:141" x14ac:dyDescent="0.25">
      <c r="A5" t="s">
        <v>2960</v>
      </c>
      <c r="B5" s="3"/>
      <c r="C5" s="3"/>
      <c r="D5" s="3"/>
      <c r="E5" t="s">
        <v>1558</v>
      </c>
      <c r="F5" t="s">
        <v>1559</v>
      </c>
      <c r="G5">
        <v>9.4</v>
      </c>
      <c r="H5">
        <v>-0.32</v>
      </c>
      <c r="I5" t="s">
        <v>1644</v>
      </c>
      <c r="J5">
        <v>7445891900</v>
      </c>
      <c r="K5">
        <v>40.159999999999997</v>
      </c>
      <c r="L5">
        <v>1.73</v>
      </c>
      <c r="M5" t="s">
        <v>1560</v>
      </c>
      <c r="N5" t="s">
        <v>1645</v>
      </c>
      <c r="O5" t="s">
        <v>1646</v>
      </c>
      <c r="P5" t="s">
        <v>1647</v>
      </c>
      <c r="Q5">
        <v>2.77</v>
      </c>
      <c r="R5" t="s">
        <v>1648</v>
      </c>
      <c r="S5">
        <v>70244387</v>
      </c>
      <c r="T5" s="4">
        <v>-0.3322</v>
      </c>
      <c r="U5" t="s">
        <v>31</v>
      </c>
      <c r="V5">
        <v>762306280</v>
      </c>
      <c r="W5">
        <v>792116160</v>
      </c>
      <c r="X5">
        <v>2.54</v>
      </c>
      <c r="Y5">
        <v>0.17</v>
      </c>
      <c r="Z5">
        <v>4.2300000000000004</v>
      </c>
      <c r="AA5" t="s">
        <v>1649</v>
      </c>
      <c r="AB5" t="s">
        <v>644</v>
      </c>
      <c r="AC5" t="s">
        <v>1650</v>
      </c>
      <c r="AD5" t="s">
        <v>237</v>
      </c>
      <c r="AE5" t="s">
        <v>20</v>
      </c>
      <c r="AF5">
        <v>29846761</v>
      </c>
      <c r="AG5" t="s">
        <v>1651</v>
      </c>
      <c r="AH5" t="s">
        <v>1652</v>
      </c>
      <c r="AI5" t="s">
        <v>1653</v>
      </c>
      <c r="AJ5" t="s">
        <v>643</v>
      </c>
      <c r="AK5" t="s">
        <v>1654</v>
      </c>
      <c r="AL5" t="s">
        <v>454</v>
      </c>
      <c r="AM5" t="s">
        <v>1655</v>
      </c>
      <c r="AN5" t="s">
        <v>7</v>
      </c>
      <c r="AO5" t="s">
        <v>359</v>
      </c>
      <c r="AP5" t="s">
        <v>780</v>
      </c>
      <c r="AQ5" t="s">
        <v>625</v>
      </c>
      <c r="AR5" t="s">
        <v>1656</v>
      </c>
      <c r="AS5" t="s">
        <v>7</v>
      </c>
      <c r="AT5" t="s">
        <v>1657</v>
      </c>
      <c r="AU5" t="s">
        <v>120</v>
      </c>
      <c r="AV5" t="s">
        <v>1658</v>
      </c>
      <c r="AW5" t="s">
        <v>595</v>
      </c>
      <c r="AX5" t="s">
        <v>60</v>
      </c>
      <c r="AY5" t="s">
        <v>1659</v>
      </c>
      <c r="AZ5" t="s">
        <v>1660</v>
      </c>
      <c r="BA5" t="s">
        <v>1661</v>
      </c>
      <c r="BB5" t="s">
        <v>1662</v>
      </c>
      <c r="BC5" t="s">
        <v>1663</v>
      </c>
      <c r="BD5" t="s">
        <v>173</v>
      </c>
      <c r="BE5" t="s">
        <v>252</v>
      </c>
      <c r="BF5" t="s">
        <v>187</v>
      </c>
      <c r="BG5" t="s">
        <v>656</v>
      </c>
      <c r="BH5" t="s">
        <v>176</v>
      </c>
      <c r="BI5" t="s">
        <v>1664</v>
      </c>
      <c r="BJ5" t="s">
        <v>1665</v>
      </c>
      <c r="BK5" t="s">
        <v>1659</v>
      </c>
      <c r="BL5" t="s">
        <v>31</v>
      </c>
      <c r="BM5" t="s">
        <v>99</v>
      </c>
      <c r="BN5" t="s">
        <v>173</v>
      </c>
      <c r="BO5">
        <v>2.88</v>
      </c>
      <c r="BP5">
        <v>5.08</v>
      </c>
      <c r="BQ5">
        <v>5.58</v>
      </c>
      <c r="BR5">
        <v>6.92</v>
      </c>
      <c r="BS5">
        <v>5.28</v>
      </c>
      <c r="BT5">
        <v>8.4</v>
      </c>
      <c r="BU5">
        <v>8.6</v>
      </c>
      <c r="BV5">
        <v>10.01</v>
      </c>
      <c r="BW5">
        <v>20.37</v>
      </c>
      <c r="BX5">
        <v>23.92</v>
      </c>
      <c r="BY5">
        <v>24.12</v>
      </c>
      <c r="BZ5">
        <v>3.38</v>
      </c>
      <c r="CA5">
        <v>5.79</v>
      </c>
      <c r="CB5">
        <v>6.33</v>
      </c>
      <c r="CC5">
        <v>3.18</v>
      </c>
      <c r="CD5">
        <v>24.5</v>
      </c>
      <c r="CE5" t="s">
        <v>1666</v>
      </c>
      <c r="CF5" t="s">
        <v>672</v>
      </c>
      <c r="CG5" s="23">
        <v>2.7883991995998121E-2</v>
      </c>
      <c r="CH5" s="24">
        <v>-0.33100583809523809</v>
      </c>
      <c r="CI5" s="23">
        <v>0.23592667281627655</v>
      </c>
      <c r="CJ5" s="23">
        <v>0.14544463157653809</v>
      </c>
      <c r="CK5" s="23">
        <v>0.10001995414495468</v>
      </c>
      <c r="CL5" s="23">
        <v>0.16099931299686432</v>
      </c>
      <c r="CM5" s="23">
        <v>0.38602107763290405</v>
      </c>
      <c r="CN5" s="24">
        <v>-0.31677019596099854</v>
      </c>
      <c r="CO5" s="24">
        <v>1.2578615918755531E-2</v>
      </c>
      <c r="CP5" s="24">
        <v>-8.8825218379497528E-2</v>
      </c>
      <c r="CQ5" s="24">
        <v>0.12218649685382843</v>
      </c>
      <c r="CR5" s="24">
        <v>0.21011672914028168</v>
      </c>
      <c r="CS5">
        <v>0.95264737717502557</v>
      </c>
      <c r="CT5">
        <v>16775170.454545453</v>
      </c>
      <c r="CU5">
        <v>1.8265140000000002</v>
      </c>
      <c r="CV5" s="23">
        <v>0.20568232983350754</v>
      </c>
      <c r="CW5" s="24">
        <v>-1.2142714485526085E-2</v>
      </c>
      <c r="CX5">
        <v>0.06</v>
      </c>
      <c r="CY5">
        <v>40.269560343534444</v>
      </c>
      <c r="CZ5">
        <v>250235955.24846384</v>
      </c>
      <c r="DA5">
        <v>0.20568232983350754</v>
      </c>
      <c r="DB5">
        <v>11.947575177346829</v>
      </c>
      <c r="DC5">
        <v>843425695.2076993</v>
      </c>
      <c r="DD5">
        <v>0.19539821334183216</v>
      </c>
      <c r="DE5">
        <v>5.1413169726475738</v>
      </c>
      <c r="DF5">
        <v>1959982617.9965718</v>
      </c>
      <c r="DG5">
        <v>0.18100045025348663</v>
      </c>
      <c r="DH5">
        <v>2.6332429490127347</v>
      </c>
      <c r="DI5">
        <v>3826799157.9653015</v>
      </c>
      <c r="DJ5">
        <v>0.16454586386680603</v>
      </c>
      <c r="DK5">
        <v>0.93544400532377991</v>
      </c>
      <c r="DL5">
        <v>10772309024.004213</v>
      </c>
      <c r="DM5">
        <v>0.14397763088345528</v>
      </c>
      <c r="DN5">
        <v>220000000.00000003</v>
      </c>
      <c r="DO5">
        <v>0.20568232983350754</v>
      </c>
      <c r="DP5">
        <v>10076891900</v>
      </c>
      <c r="DQ5">
        <v>1052075100</v>
      </c>
      <c r="DR5">
        <v>607</v>
      </c>
      <c r="DS5">
        <v>-0.17779833783750942</v>
      </c>
      <c r="DT5">
        <v>-0.31886312360971203</v>
      </c>
      <c r="DU5" s="25">
        <v>0.3833333333333333</v>
      </c>
      <c r="DV5">
        <v>-0.28666666666666668</v>
      </c>
      <c r="DW5">
        <v>9.6666666666666623E-2</v>
      </c>
      <c r="DX5">
        <v>8.1297959183673463</v>
      </c>
      <c r="DY5">
        <v>0.52631500000000053</v>
      </c>
      <c r="DZ5">
        <v>8.0241829265306119</v>
      </c>
      <c r="EA5">
        <v>2835</v>
      </c>
      <c r="EB5">
        <v>8.0096547220986807</v>
      </c>
      <c r="EC5">
        <v>8</v>
      </c>
      <c r="ED5">
        <v>8.4676217185115879E-2</v>
      </c>
      <c r="EE5">
        <v>0.45447879765513177</v>
      </c>
      <c r="EF5" s="22">
        <v>8.3600000000000008E-2</v>
      </c>
      <c r="EG5">
        <v>8.0399999999999999E-2</v>
      </c>
      <c r="EH5">
        <v>34.186315</v>
      </c>
      <c r="EI5" t="s">
        <v>496</v>
      </c>
      <c r="EJ5">
        <v>0</v>
      </c>
      <c r="EK5">
        <v>0</v>
      </c>
    </row>
    <row r="6" spans="1:141" x14ac:dyDescent="0.25">
      <c r="A6" t="s">
        <v>2961</v>
      </c>
      <c r="B6" s="3"/>
      <c r="C6" s="3"/>
      <c r="D6" s="3"/>
      <c r="E6" t="s">
        <v>1561</v>
      </c>
      <c r="F6" t="s">
        <v>1562</v>
      </c>
      <c r="G6">
        <v>4.0999999999999996</v>
      </c>
      <c r="H6">
        <v>8.18</v>
      </c>
      <c r="I6" t="s">
        <v>1667</v>
      </c>
      <c r="J6">
        <v>3261886100</v>
      </c>
      <c r="K6">
        <v>32.770000000000003</v>
      </c>
      <c r="L6">
        <v>1.03</v>
      </c>
      <c r="M6" t="s">
        <v>1563</v>
      </c>
      <c r="N6" t="s">
        <v>1668</v>
      </c>
      <c r="O6" t="s">
        <v>1669</v>
      </c>
      <c r="P6" t="s">
        <v>1670</v>
      </c>
      <c r="Q6">
        <v>7.11</v>
      </c>
      <c r="R6" t="s">
        <v>1671</v>
      </c>
      <c r="S6">
        <v>23765226</v>
      </c>
      <c r="T6" s="4">
        <v>-0.1565</v>
      </c>
      <c r="U6" t="s">
        <v>140</v>
      </c>
      <c r="V6">
        <v>761025590</v>
      </c>
      <c r="W6">
        <v>795581980</v>
      </c>
      <c r="X6">
        <v>2.41</v>
      </c>
      <c r="Y6">
        <v>0.19</v>
      </c>
      <c r="Z6">
        <v>1.59</v>
      </c>
      <c r="AA6" t="s">
        <v>593</v>
      </c>
      <c r="AB6" t="s">
        <v>354</v>
      </c>
      <c r="AC6" t="s">
        <v>1672</v>
      </c>
      <c r="AD6" t="s">
        <v>1673</v>
      </c>
      <c r="AE6" t="s">
        <v>1674</v>
      </c>
      <c r="AF6">
        <v>35996648</v>
      </c>
      <c r="AG6" t="s">
        <v>37</v>
      </c>
      <c r="AH6" t="s">
        <v>1675</v>
      </c>
      <c r="AI6" t="s">
        <v>1676</v>
      </c>
      <c r="AJ6" t="s">
        <v>219</v>
      </c>
      <c r="AK6" t="s">
        <v>1677</v>
      </c>
      <c r="AL6" t="s">
        <v>237</v>
      </c>
      <c r="AM6" t="s">
        <v>1678</v>
      </c>
      <c r="AN6" t="s">
        <v>7</v>
      </c>
      <c r="AO6" t="s">
        <v>1679</v>
      </c>
      <c r="AP6" t="s">
        <v>382</v>
      </c>
      <c r="AQ6" t="s">
        <v>1680</v>
      </c>
      <c r="AR6" t="s">
        <v>158</v>
      </c>
      <c r="AS6" t="s">
        <v>7</v>
      </c>
      <c r="AT6" t="s">
        <v>1681</v>
      </c>
      <c r="AU6" t="s">
        <v>1682</v>
      </c>
      <c r="AV6" t="s">
        <v>1683</v>
      </c>
      <c r="AW6" t="s">
        <v>1684</v>
      </c>
      <c r="AX6" t="s">
        <v>1685</v>
      </c>
      <c r="AY6" t="s">
        <v>1686</v>
      </c>
      <c r="AZ6" t="s">
        <v>1687</v>
      </c>
      <c r="BA6" t="s">
        <v>1688</v>
      </c>
      <c r="BB6" t="s">
        <v>1689</v>
      </c>
      <c r="BC6" t="s">
        <v>1690</v>
      </c>
      <c r="BD6" t="s">
        <v>1691</v>
      </c>
      <c r="BE6" t="s">
        <v>1692</v>
      </c>
      <c r="BF6" t="s">
        <v>1693</v>
      </c>
      <c r="BG6" t="s">
        <v>1694</v>
      </c>
      <c r="BH6" t="s">
        <v>151</v>
      </c>
      <c r="BI6" t="s">
        <v>439</v>
      </c>
      <c r="BJ6" t="s">
        <v>444</v>
      </c>
      <c r="BK6" t="s">
        <v>1686</v>
      </c>
      <c r="BL6" t="s">
        <v>140</v>
      </c>
      <c r="BM6" t="s">
        <v>1695</v>
      </c>
      <c r="BN6" t="s">
        <v>1691</v>
      </c>
      <c r="BO6">
        <v>1.78</v>
      </c>
      <c r="BP6">
        <v>0.41</v>
      </c>
      <c r="BQ6">
        <v>0.41</v>
      </c>
      <c r="BR6">
        <v>-7.67</v>
      </c>
      <c r="BS6">
        <v>3.35</v>
      </c>
      <c r="BT6">
        <v>0.73</v>
      </c>
      <c r="BU6">
        <v>0.75</v>
      </c>
      <c r="BV6">
        <v>-14.18</v>
      </c>
      <c r="BW6">
        <v>11.88</v>
      </c>
      <c r="BX6">
        <v>13.34</v>
      </c>
      <c r="BY6">
        <v>15.42</v>
      </c>
      <c r="BZ6">
        <v>1.65</v>
      </c>
      <c r="CA6">
        <v>0.5</v>
      </c>
      <c r="CB6">
        <v>0.51</v>
      </c>
      <c r="CC6">
        <v>9.92</v>
      </c>
      <c r="CD6">
        <v>-7.87</v>
      </c>
      <c r="CE6" t="s">
        <v>1696</v>
      </c>
      <c r="CF6" t="s">
        <v>614</v>
      </c>
      <c r="CG6" s="23">
        <v>7.0988747186796694E-2</v>
      </c>
      <c r="CH6" s="24">
        <v>-0.15648677331307834</v>
      </c>
      <c r="CI6" s="23">
        <v>0.42403474450111389</v>
      </c>
      <c r="CJ6" s="23">
        <v>1.0621133260428905E-2</v>
      </c>
      <c r="CK6" s="23">
        <v>4.6640809625387192E-2</v>
      </c>
      <c r="CL6" s="23">
        <v>1.8208693712949753E-2</v>
      </c>
      <c r="CM6" s="23">
        <v>0.2371385395526886</v>
      </c>
      <c r="CN6" s="24">
        <v>3.6950051784515381</v>
      </c>
      <c r="CO6" s="24">
        <v>7.7568050473928452E-3</v>
      </c>
      <c r="CP6" s="24">
        <v>1.0511178970336914</v>
      </c>
      <c r="CQ6" s="24">
        <v>-3.5146198272705078</v>
      </c>
      <c r="CR6" s="24">
        <v>8.917197585105896E-2</v>
      </c>
      <c r="CS6">
        <v>0.52332522060003206</v>
      </c>
      <c r="CT6">
        <v>21810298.076923076</v>
      </c>
      <c r="CU6">
        <v>0.72806100000000007</v>
      </c>
      <c r="CV6" s="23">
        <v>0.14732878413051367</v>
      </c>
      <c r="CW6" s="24">
        <v>0.2656864058226347</v>
      </c>
      <c r="CX6">
        <v>0.06</v>
      </c>
      <c r="CY6">
        <v>40.525564625921909</v>
      </c>
      <c r="CZ6">
        <v>112568107.12223907</v>
      </c>
      <c r="DA6">
        <v>0.14732878413051367</v>
      </c>
      <c r="DB6">
        <v>12.619879879454473</v>
      </c>
      <c r="DC6">
        <v>361484114.23684639</v>
      </c>
      <c r="DD6">
        <v>0.13996234492398799</v>
      </c>
      <c r="DE6">
        <v>5.8165551468701944</v>
      </c>
      <c r="DF6">
        <v>784293449.4405483</v>
      </c>
      <c r="DG6">
        <v>0.12964933003485204</v>
      </c>
      <c r="DH6">
        <v>3.2367364618974452</v>
      </c>
      <c r="DI6">
        <v>1409409185.3637424</v>
      </c>
      <c r="DJ6">
        <v>0.11786302730441095</v>
      </c>
      <c r="DK6">
        <v>1.4053598999182759</v>
      </c>
      <c r="DL6">
        <v>3246062521.2554317</v>
      </c>
      <c r="DM6">
        <v>0.10313014889135956</v>
      </c>
      <c r="DN6">
        <v>104000000</v>
      </c>
      <c r="DO6">
        <v>0.14732878413051367</v>
      </c>
      <c r="DP6">
        <v>4561886100</v>
      </c>
      <c r="DQ6">
        <v>803125999.99999952</v>
      </c>
      <c r="DR6">
        <v>642</v>
      </c>
      <c r="DS6">
        <v>-7.634003694371698E-2</v>
      </c>
      <c r="DT6">
        <v>-0.42217317913571306</v>
      </c>
      <c r="DU6" s="25">
        <v>0.26666666666666666</v>
      </c>
      <c r="DV6">
        <v>-0.30333333333333329</v>
      </c>
      <c r="DW6">
        <v>-3.6666666666666625E-2</v>
      </c>
      <c r="DX6">
        <v>5.793346774193548</v>
      </c>
      <c r="DY6">
        <v>1.4714877358490617</v>
      </c>
      <c r="DZ6">
        <v>5.1677831130173466</v>
      </c>
      <c r="EA6">
        <v>3029</v>
      </c>
      <c r="EB6">
        <v>5.0603834829815177</v>
      </c>
      <c r="EC6">
        <v>5</v>
      </c>
      <c r="ED6">
        <v>0.11271094903381296</v>
      </c>
      <c r="EE6">
        <v>0.53294319210196295</v>
      </c>
      <c r="EF6" s="22">
        <v>3.3710000000000004E-2</v>
      </c>
      <c r="EG6">
        <v>4.8099999999999997E-2</v>
      </c>
      <c r="EH6">
        <v>126.21148773584906</v>
      </c>
      <c r="EI6" t="s">
        <v>496</v>
      </c>
      <c r="EJ6">
        <v>1</v>
      </c>
      <c r="EK6">
        <v>0</v>
      </c>
    </row>
    <row r="7" spans="1:141" x14ac:dyDescent="0.25">
      <c r="A7" t="s">
        <v>2962</v>
      </c>
      <c r="B7" s="28"/>
      <c r="C7" s="28"/>
      <c r="D7" s="28"/>
      <c r="E7" t="s">
        <v>261</v>
      </c>
      <c r="F7" t="s">
        <v>262</v>
      </c>
      <c r="G7">
        <v>13.51</v>
      </c>
      <c r="H7">
        <v>2.04</v>
      </c>
      <c r="I7" t="s">
        <v>1697</v>
      </c>
      <c r="J7">
        <v>25623860000</v>
      </c>
      <c r="K7">
        <v>23.46</v>
      </c>
      <c r="L7">
        <v>3.43</v>
      </c>
      <c r="M7" t="s">
        <v>8</v>
      </c>
      <c r="N7" t="s">
        <v>557</v>
      </c>
      <c r="O7" t="s">
        <v>243</v>
      </c>
      <c r="P7" t="s">
        <v>558</v>
      </c>
      <c r="Q7">
        <v>9.77</v>
      </c>
      <c r="R7" t="s">
        <v>559</v>
      </c>
      <c r="S7">
        <v>249569150</v>
      </c>
      <c r="T7" s="4">
        <v>0.13039999999999999</v>
      </c>
      <c r="U7" t="s">
        <v>259</v>
      </c>
      <c r="V7">
        <v>1895660700</v>
      </c>
      <c r="W7">
        <v>1896658800</v>
      </c>
      <c r="X7">
        <v>1.62</v>
      </c>
      <c r="Y7">
        <v>0.16</v>
      </c>
      <c r="Z7">
        <v>13.02</v>
      </c>
      <c r="AA7" t="s">
        <v>352</v>
      </c>
      <c r="AB7" t="s">
        <v>560</v>
      </c>
      <c r="AC7" t="s">
        <v>561</v>
      </c>
      <c r="AD7" t="s">
        <v>562</v>
      </c>
      <c r="AE7" t="s">
        <v>7</v>
      </c>
      <c r="AF7">
        <v>-24726200</v>
      </c>
      <c r="AG7" t="s">
        <v>563</v>
      </c>
      <c r="AH7" t="s">
        <v>564</v>
      </c>
      <c r="AI7" t="s">
        <v>565</v>
      </c>
      <c r="AJ7" t="s">
        <v>566</v>
      </c>
      <c r="AK7" t="s">
        <v>567</v>
      </c>
      <c r="AL7" t="s">
        <v>455</v>
      </c>
      <c r="AM7" t="s">
        <v>568</v>
      </c>
      <c r="AN7" t="s">
        <v>7</v>
      </c>
      <c r="AO7" t="s">
        <v>200</v>
      </c>
      <c r="AP7" t="s">
        <v>569</v>
      </c>
      <c r="AQ7" t="s">
        <v>75</v>
      </c>
      <c r="AR7" t="s">
        <v>345</v>
      </c>
      <c r="AS7" t="s">
        <v>7</v>
      </c>
      <c r="AT7" t="s">
        <v>570</v>
      </c>
      <c r="AU7" t="s">
        <v>571</v>
      </c>
      <c r="AV7" t="s">
        <v>130</v>
      </c>
      <c r="AW7" t="s">
        <v>348</v>
      </c>
      <c r="AX7" t="s">
        <v>150</v>
      </c>
      <c r="AY7" t="s">
        <v>243</v>
      </c>
      <c r="AZ7" t="s">
        <v>263</v>
      </c>
      <c r="BA7" t="s">
        <v>363</v>
      </c>
      <c r="BB7" t="s">
        <v>364</v>
      </c>
      <c r="BC7" t="s">
        <v>174</v>
      </c>
      <c r="BD7" t="s">
        <v>336</v>
      </c>
      <c r="BE7" t="s">
        <v>43</v>
      </c>
      <c r="BF7" t="s">
        <v>258</v>
      </c>
      <c r="BG7" t="s">
        <v>57</v>
      </c>
      <c r="BH7" t="s">
        <v>78</v>
      </c>
      <c r="BI7" t="s">
        <v>572</v>
      </c>
      <c r="BJ7" t="s">
        <v>453</v>
      </c>
      <c r="BK7" t="s">
        <v>243</v>
      </c>
      <c r="BL7" t="s">
        <v>259</v>
      </c>
      <c r="BM7" t="s">
        <v>186</v>
      </c>
      <c r="BN7" t="s">
        <v>336</v>
      </c>
      <c r="BO7">
        <v>12.84</v>
      </c>
      <c r="BP7">
        <v>20.170000000000002</v>
      </c>
      <c r="BQ7">
        <v>23.61</v>
      </c>
      <c r="BR7">
        <v>13.36</v>
      </c>
      <c r="BS7">
        <v>15.85</v>
      </c>
      <c r="BT7">
        <v>24.02</v>
      </c>
      <c r="BU7">
        <v>26.73</v>
      </c>
      <c r="BV7">
        <v>15.34</v>
      </c>
      <c r="BW7">
        <v>27.18</v>
      </c>
      <c r="BX7">
        <v>30.37</v>
      </c>
      <c r="BY7">
        <v>29.53</v>
      </c>
      <c r="BZ7">
        <v>14.34</v>
      </c>
      <c r="CA7">
        <v>18</v>
      </c>
      <c r="CB7">
        <v>16.920000000000002</v>
      </c>
      <c r="CC7">
        <v>-8.41</v>
      </c>
      <c r="CD7">
        <v>-4.93</v>
      </c>
      <c r="CE7" t="s">
        <v>31</v>
      </c>
      <c r="CF7" t="s">
        <v>1698</v>
      </c>
      <c r="CG7" s="23">
        <v>9.7450200343445911E-2</v>
      </c>
      <c r="CH7" s="24">
        <v>0.12927217194570137</v>
      </c>
      <c r="CI7" s="23">
        <v>-5.4959701374173164E-3</v>
      </c>
      <c r="CJ7" s="23">
        <v>4.6430047601461411E-2</v>
      </c>
      <c r="CK7" s="23">
        <v>0.29688921570777893</v>
      </c>
      <c r="CL7" s="23">
        <v>0.18802683055400848</v>
      </c>
      <c r="CM7" s="23">
        <v>0.22084423899650574</v>
      </c>
      <c r="CN7" s="24">
        <v>-0.20774389803409576</v>
      </c>
      <c r="CO7" s="24">
        <v>0.11359872668981552</v>
      </c>
      <c r="CP7" s="24">
        <v>1.115789532661438</v>
      </c>
      <c r="CQ7" s="24">
        <v>1.7941176891326904</v>
      </c>
      <c r="CR7" s="24">
        <v>0.55725193023681641</v>
      </c>
      <c r="CS7">
        <v>3.453815878150694</v>
      </c>
      <c r="CT7">
        <v>22104735.902255639</v>
      </c>
      <c r="CU7">
        <v>3.3747840000000005</v>
      </c>
      <c r="CV7" s="23">
        <v>0.14933887254446745</v>
      </c>
      <c r="CW7" s="24">
        <v>0.67460279613733287</v>
      </c>
      <c r="CX7">
        <v>0.06</v>
      </c>
      <c r="CY7">
        <v>19.739389562396568</v>
      </c>
      <c r="CZ7">
        <v>1153676000.3653901</v>
      </c>
      <c r="DA7">
        <v>0.14933887254446745</v>
      </c>
      <c r="DB7">
        <v>6.1366403821195838</v>
      </c>
      <c r="DC7">
        <v>3710965378.7687488</v>
      </c>
      <c r="DD7">
        <v>0.14187192891724407</v>
      </c>
      <c r="DE7">
        <v>2.8217923291192522</v>
      </c>
      <c r="DF7">
        <v>8070352933.1330862</v>
      </c>
      <c r="DG7">
        <v>0.13141820783913136</v>
      </c>
      <c r="DH7">
        <v>1.5658944205574001</v>
      </c>
      <c r="DI7">
        <v>14543036683.08219</v>
      </c>
      <c r="DJ7">
        <v>0.11947109803557397</v>
      </c>
      <c r="DK7">
        <v>0.67546342423316019</v>
      </c>
      <c r="DL7">
        <v>33714423583.858093</v>
      </c>
      <c r="DM7">
        <v>0.10453721078112721</v>
      </c>
      <c r="DN7">
        <v>1064000000</v>
      </c>
      <c r="DO7">
        <v>0.14933887254446745</v>
      </c>
      <c r="DP7">
        <v>22772860000</v>
      </c>
      <c r="DQ7">
        <v>2120975300.0000005</v>
      </c>
      <c r="DR7">
        <v>941</v>
      </c>
      <c r="DS7">
        <v>-5.1888672201021543E-2</v>
      </c>
      <c r="DT7">
        <v>-0.54533062419163147</v>
      </c>
      <c r="DU7" s="25">
        <v>0</v>
      </c>
      <c r="DV7">
        <v>0</v>
      </c>
      <c r="DW7">
        <v>0</v>
      </c>
      <c r="DX7">
        <v>-5.5862068965517242</v>
      </c>
      <c r="DY7">
        <v>0.48484375000000002</v>
      </c>
      <c r="DZ7">
        <v>-5.1259428879310347</v>
      </c>
      <c r="EA7">
        <v>1640</v>
      </c>
      <c r="EB7">
        <v>-5.0823493176045478</v>
      </c>
      <c r="EC7">
        <v>5</v>
      </c>
      <c r="ED7">
        <v>0.11599345122064128</v>
      </c>
      <c r="EE7">
        <v>0.53989679113607569</v>
      </c>
      <c r="EF7" s="22">
        <v>1.1465100000000001</v>
      </c>
      <c r="EG7">
        <v>1.1261099999999999</v>
      </c>
      <c r="EH7">
        <v>27.21484375</v>
      </c>
      <c r="EI7" t="s">
        <v>551</v>
      </c>
      <c r="EJ7">
        <v>0</v>
      </c>
      <c r="EK7">
        <v>0</v>
      </c>
    </row>
    <row r="8" spans="1:141" x14ac:dyDescent="0.25">
      <c r="A8" t="s">
        <v>2963</v>
      </c>
      <c r="B8" s="28"/>
      <c r="C8" s="28"/>
      <c r="D8" s="28"/>
      <c r="E8" t="s">
        <v>1564</v>
      </c>
      <c r="F8" t="s">
        <v>1565</v>
      </c>
      <c r="G8">
        <v>16.100000000000001</v>
      </c>
      <c r="H8">
        <v>-1.65</v>
      </c>
      <c r="I8" t="s">
        <v>1699</v>
      </c>
      <c r="J8">
        <v>11000231700</v>
      </c>
      <c r="K8">
        <v>39.35</v>
      </c>
      <c r="L8">
        <v>1.88</v>
      </c>
      <c r="M8" t="s">
        <v>631</v>
      </c>
      <c r="N8" t="s">
        <v>1305</v>
      </c>
      <c r="O8" t="s">
        <v>1700</v>
      </c>
      <c r="P8" t="s">
        <v>1701</v>
      </c>
      <c r="Q8">
        <v>44.68</v>
      </c>
      <c r="R8" t="s">
        <v>1702</v>
      </c>
      <c r="S8">
        <v>84921521</v>
      </c>
      <c r="T8" s="5">
        <v>17.88</v>
      </c>
      <c r="U8" t="s">
        <v>651</v>
      </c>
      <c r="V8">
        <v>411452810</v>
      </c>
      <c r="W8">
        <v>683244200</v>
      </c>
      <c r="X8">
        <v>1.32</v>
      </c>
      <c r="Y8">
        <v>0.14000000000000001</v>
      </c>
      <c r="Z8">
        <v>8.02</v>
      </c>
      <c r="AA8" t="s">
        <v>1481</v>
      </c>
      <c r="AB8" t="s">
        <v>1703</v>
      </c>
      <c r="AC8" t="s">
        <v>1704</v>
      </c>
      <c r="AD8" t="s">
        <v>1705</v>
      </c>
      <c r="AE8" t="s">
        <v>7</v>
      </c>
      <c r="AF8">
        <v>743731</v>
      </c>
      <c r="AG8" t="s">
        <v>1706</v>
      </c>
      <c r="AH8" t="s">
        <v>1707</v>
      </c>
      <c r="AI8" t="s">
        <v>1708</v>
      </c>
      <c r="AJ8" t="s">
        <v>1709</v>
      </c>
      <c r="AK8" t="s">
        <v>1710</v>
      </c>
      <c r="AL8" t="s">
        <v>1711</v>
      </c>
      <c r="AM8" t="s">
        <v>1712</v>
      </c>
      <c r="AN8" t="s">
        <v>7</v>
      </c>
      <c r="AO8" t="s">
        <v>555</v>
      </c>
      <c r="AP8" t="s">
        <v>256</v>
      </c>
      <c r="AQ8" t="s">
        <v>1713</v>
      </c>
      <c r="AR8" t="s">
        <v>1714</v>
      </c>
      <c r="AS8" t="s">
        <v>7</v>
      </c>
      <c r="AT8" t="s">
        <v>1715</v>
      </c>
      <c r="AU8" t="s">
        <v>1716</v>
      </c>
      <c r="AV8" t="s">
        <v>205</v>
      </c>
      <c r="AW8" t="s">
        <v>230</v>
      </c>
      <c r="AX8" t="s">
        <v>1717</v>
      </c>
      <c r="AY8" t="s">
        <v>1718</v>
      </c>
      <c r="AZ8" t="s">
        <v>1719</v>
      </c>
      <c r="BA8" t="s">
        <v>1720</v>
      </c>
      <c r="BB8" t="s">
        <v>1721</v>
      </c>
      <c r="BC8" t="s">
        <v>1402</v>
      </c>
      <c r="BD8" t="s">
        <v>901</v>
      </c>
      <c r="BE8" t="s">
        <v>1722</v>
      </c>
      <c r="BF8" t="s">
        <v>114</v>
      </c>
      <c r="BG8" t="s">
        <v>250</v>
      </c>
      <c r="BH8" t="s">
        <v>618</v>
      </c>
      <c r="BI8" t="s">
        <v>1723</v>
      </c>
      <c r="BJ8" t="s">
        <v>249</v>
      </c>
      <c r="BK8" t="s">
        <v>1718</v>
      </c>
      <c r="BL8" t="s">
        <v>651</v>
      </c>
      <c r="BM8" t="s">
        <v>1724</v>
      </c>
      <c r="BN8" t="s">
        <v>901</v>
      </c>
      <c r="BO8">
        <v>3.18</v>
      </c>
      <c r="BP8">
        <v>7.82</v>
      </c>
      <c r="BQ8">
        <v>-10.050000000000001</v>
      </c>
      <c r="BR8">
        <v>7.79</v>
      </c>
      <c r="BS8">
        <v>3.33</v>
      </c>
      <c r="BT8">
        <v>7.21</v>
      </c>
      <c r="BU8">
        <v>-10.41</v>
      </c>
      <c r="BV8">
        <v>7.95</v>
      </c>
      <c r="BW8">
        <v>21.82</v>
      </c>
      <c r="BX8">
        <v>23.73</v>
      </c>
      <c r="BY8">
        <v>28.06</v>
      </c>
      <c r="BZ8">
        <v>5.0999999999999996</v>
      </c>
      <c r="CA8">
        <v>16.100000000000001</v>
      </c>
      <c r="CB8">
        <v>-20.74</v>
      </c>
      <c r="CC8">
        <v>3.87</v>
      </c>
      <c r="CD8">
        <v>19.260000000000002</v>
      </c>
      <c r="CE8" t="s">
        <v>651</v>
      </c>
      <c r="CF8" t="s">
        <v>677</v>
      </c>
      <c r="CG8" s="23">
        <v>0.44657167352537724</v>
      </c>
      <c r="CH8" s="24">
        <v>17.876482839868409</v>
      </c>
      <c r="CI8" s="23">
        <v>0.33700519800186157</v>
      </c>
      <c r="CJ8" s="23">
        <v>-7.3660731315612793E-2</v>
      </c>
      <c r="CK8" s="23">
        <v>-0.11761392652988434</v>
      </c>
      <c r="CL8" s="23">
        <v>0.30902385711669922</v>
      </c>
      <c r="CM8" s="23">
        <v>0.48522979021072388</v>
      </c>
      <c r="CN8" s="24">
        <v>-0.57478630542755127</v>
      </c>
      <c r="CO8" s="24">
        <v>1.7200000286102295</v>
      </c>
      <c r="CP8" s="24">
        <v>-2.1882996559143066</v>
      </c>
      <c r="CQ8" s="24">
        <v>0.39897698163986206</v>
      </c>
      <c r="CR8" s="24">
        <v>1.0335917584598064E-2</v>
      </c>
      <c r="CS8">
        <v>2.8321914778578781</v>
      </c>
      <c r="CT8">
        <v>44404178.391959801</v>
      </c>
      <c r="CU8">
        <v>1.4820960000000001</v>
      </c>
      <c r="CV8" s="23">
        <v>0.1879968374967575</v>
      </c>
      <c r="CW8" s="24">
        <v>-0.12675460670143365</v>
      </c>
      <c r="CX8">
        <v>0.06</v>
      </c>
      <c r="CY8">
        <v>31.481165991145186</v>
      </c>
      <c r="CZ8">
        <v>223029594.9640139</v>
      </c>
      <c r="DA8">
        <v>0.1879968374967575</v>
      </c>
      <c r="DB8">
        <v>9.4774887382884181</v>
      </c>
      <c r="DC8">
        <v>740832502.56312048</v>
      </c>
      <c r="DD8">
        <v>0.17859699562191961</v>
      </c>
      <c r="DE8">
        <v>4.164749925039664</v>
      </c>
      <c r="DF8">
        <v>1685871139.0535967</v>
      </c>
      <c r="DG8">
        <v>0.16543721699714659</v>
      </c>
      <c r="DH8">
        <v>2.1885044238625011</v>
      </c>
      <c r="DI8">
        <v>3208232811.157949</v>
      </c>
      <c r="DJ8">
        <v>0.150397469997406</v>
      </c>
      <c r="DK8">
        <v>0.8280529457368937</v>
      </c>
      <c r="DL8">
        <v>8479206234.5140581</v>
      </c>
      <c r="DM8">
        <v>0.13159778624773025</v>
      </c>
      <c r="DN8">
        <v>199000000</v>
      </c>
      <c r="DO8">
        <v>0.1879968374967575</v>
      </c>
      <c r="DP8">
        <v>7021231700</v>
      </c>
      <c r="DQ8">
        <v>2127677300</v>
      </c>
      <c r="DR8">
        <v>1103</v>
      </c>
      <c r="DS8">
        <v>0.25857483602861975</v>
      </c>
      <c r="DT8">
        <v>18.003237446569841</v>
      </c>
      <c r="DU8" s="25">
        <v>0.60333333333333328</v>
      </c>
      <c r="DV8">
        <v>-0.4333333333333334</v>
      </c>
      <c r="DW8">
        <v>0.16999999999999987</v>
      </c>
      <c r="DX8">
        <v>8.2009345794392523</v>
      </c>
      <c r="DY8">
        <v>0.37639892904953121</v>
      </c>
      <c r="DZ8">
        <v>8.0535287567716356</v>
      </c>
      <c r="EA8">
        <v>2726</v>
      </c>
      <c r="EB8">
        <v>8.0226985452864295</v>
      </c>
      <c r="EC8">
        <v>8</v>
      </c>
      <c r="ED8">
        <v>0.29125750353973001</v>
      </c>
      <c r="EE8">
        <v>1.0933133424330568</v>
      </c>
      <c r="EF8" s="22">
        <v>1.0759000000000001</v>
      </c>
      <c r="EG8">
        <v>1.0593999999999999</v>
      </c>
      <c r="EH8">
        <v>11.266398929049531</v>
      </c>
      <c r="EI8" t="s">
        <v>498</v>
      </c>
      <c r="EJ8">
        <v>0</v>
      </c>
      <c r="EK8">
        <v>0</v>
      </c>
    </row>
    <row r="9" spans="1:141" x14ac:dyDescent="0.25">
      <c r="A9" t="s">
        <v>2964</v>
      </c>
      <c r="B9" s="28"/>
      <c r="C9" s="28"/>
      <c r="D9" s="28"/>
      <c r="E9" t="s">
        <v>1566</v>
      </c>
      <c r="F9" t="s">
        <v>1567</v>
      </c>
      <c r="G9">
        <v>179</v>
      </c>
      <c r="H9">
        <v>5.1100000000000003</v>
      </c>
      <c r="I9" t="s">
        <v>1725</v>
      </c>
      <c r="J9">
        <v>41692761000</v>
      </c>
      <c r="K9">
        <v>66.89</v>
      </c>
      <c r="L9">
        <v>8.85</v>
      </c>
      <c r="M9" t="s">
        <v>691</v>
      </c>
      <c r="N9" t="s">
        <v>1726</v>
      </c>
      <c r="O9" t="s">
        <v>1727</v>
      </c>
      <c r="P9" t="s">
        <v>1728</v>
      </c>
      <c r="Q9">
        <v>95.72</v>
      </c>
      <c r="R9" t="s">
        <v>1729</v>
      </c>
      <c r="S9">
        <v>169166190</v>
      </c>
      <c r="T9" s="4">
        <v>0.93330000000000002</v>
      </c>
      <c r="U9" t="s">
        <v>1551</v>
      </c>
      <c r="V9">
        <v>153977310</v>
      </c>
      <c r="W9">
        <v>232920450</v>
      </c>
      <c r="X9">
        <v>1.7</v>
      </c>
      <c r="Y9">
        <v>0.2</v>
      </c>
      <c r="Z9">
        <v>11.02</v>
      </c>
      <c r="AA9" t="s">
        <v>1730</v>
      </c>
      <c r="AB9" t="s">
        <v>637</v>
      </c>
      <c r="AC9" t="s">
        <v>1731</v>
      </c>
      <c r="AD9" t="s">
        <v>1732</v>
      </c>
      <c r="AE9" t="s">
        <v>7</v>
      </c>
      <c r="AF9">
        <v>8536724</v>
      </c>
      <c r="AG9" t="s">
        <v>1733</v>
      </c>
      <c r="AH9" t="s">
        <v>1734</v>
      </c>
      <c r="AI9" t="s">
        <v>1735</v>
      </c>
      <c r="AJ9" t="s">
        <v>442</v>
      </c>
      <c r="AK9" t="s">
        <v>1736</v>
      </c>
      <c r="AL9" t="s">
        <v>1737</v>
      </c>
      <c r="AM9" t="s">
        <v>1738</v>
      </c>
      <c r="AN9" t="s">
        <v>7</v>
      </c>
      <c r="AO9" t="s">
        <v>136</v>
      </c>
      <c r="AP9" t="s">
        <v>232</v>
      </c>
      <c r="AQ9" t="s">
        <v>1739</v>
      </c>
      <c r="AR9" t="s">
        <v>1740</v>
      </c>
      <c r="AS9" t="s">
        <v>7</v>
      </c>
      <c r="AT9" t="s">
        <v>1741</v>
      </c>
      <c r="AU9" t="s">
        <v>54</v>
      </c>
      <c r="AV9" t="s">
        <v>493</v>
      </c>
      <c r="AW9" t="s">
        <v>1742</v>
      </c>
      <c r="AX9" t="s">
        <v>101</v>
      </c>
      <c r="AY9" t="s">
        <v>1743</v>
      </c>
      <c r="AZ9" t="s">
        <v>1744</v>
      </c>
      <c r="BA9" t="s">
        <v>1745</v>
      </c>
      <c r="BB9" t="s">
        <v>1746</v>
      </c>
      <c r="BC9" t="s">
        <v>599</v>
      </c>
      <c r="BD9" t="s">
        <v>1747</v>
      </c>
      <c r="BE9" t="s">
        <v>1054</v>
      </c>
      <c r="BF9" t="s">
        <v>1748</v>
      </c>
      <c r="BG9" t="s">
        <v>69</v>
      </c>
      <c r="BH9" t="s">
        <v>79</v>
      </c>
      <c r="BI9" t="s">
        <v>1749</v>
      </c>
      <c r="BJ9" t="s">
        <v>434</v>
      </c>
      <c r="BK9" t="s">
        <v>1743</v>
      </c>
      <c r="BL9" t="s">
        <v>1551</v>
      </c>
      <c r="BM9" t="s">
        <v>1750</v>
      </c>
      <c r="BN9" t="s">
        <v>1747</v>
      </c>
      <c r="BO9">
        <v>10.210000000000001</v>
      </c>
      <c r="BP9">
        <v>4.67</v>
      </c>
      <c r="BQ9">
        <v>8.11</v>
      </c>
      <c r="BR9">
        <v>3.06</v>
      </c>
      <c r="BS9">
        <v>12.86</v>
      </c>
      <c r="BT9">
        <v>6.69</v>
      </c>
      <c r="BU9">
        <v>9.93</v>
      </c>
      <c r="BV9">
        <v>3.62</v>
      </c>
      <c r="BW9">
        <v>26.25</v>
      </c>
      <c r="BX9">
        <v>28.16</v>
      </c>
      <c r="BY9">
        <v>28.13</v>
      </c>
      <c r="BZ9">
        <v>12.21</v>
      </c>
      <c r="CA9">
        <v>8.93</v>
      </c>
      <c r="CB9">
        <v>10.38</v>
      </c>
      <c r="CC9">
        <v>12.58</v>
      </c>
      <c r="CD9">
        <v>35.07</v>
      </c>
      <c r="CE9" t="s">
        <v>1751</v>
      </c>
      <c r="CF9" t="s">
        <v>1752</v>
      </c>
      <c r="CG9" s="23">
        <v>0.957731</v>
      </c>
      <c r="CH9" s="24">
        <v>0.93334777157707904</v>
      </c>
      <c r="CI9" s="23">
        <v>1.2508814334869385</v>
      </c>
      <c r="CJ9" s="23">
        <v>-0.10986549407243729</v>
      </c>
      <c r="CK9" s="23">
        <v>0.11500006169080734</v>
      </c>
      <c r="CL9" s="23">
        <v>0.37741047143936157</v>
      </c>
      <c r="CM9" s="23">
        <v>-2.0618995185941458E-3</v>
      </c>
      <c r="CN9" s="24">
        <v>2.02793288230896</v>
      </c>
      <c r="CO9" s="24">
        <v>-0.24472573399543762</v>
      </c>
      <c r="CP9" s="24">
        <v>1.8801562786102295</v>
      </c>
      <c r="CQ9" s="24">
        <v>-0.50429397821426392</v>
      </c>
      <c r="CR9" s="24">
        <v>-0.28755363821983337</v>
      </c>
      <c r="CS9">
        <v>9.3314147269471803</v>
      </c>
      <c r="CT9">
        <v>29660627.306273062</v>
      </c>
      <c r="CU9">
        <v>3.7467999999999999</v>
      </c>
      <c r="CV9" s="23">
        <v>0.32627291460521518</v>
      </c>
      <c r="CW9" s="24">
        <v>0.57430316209793086</v>
      </c>
      <c r="CX9">
        <v>0.06</v>
      </c>
      <c r="CY9">
        <v>59.368442805540155</v>
      </c>
      <c r="CZ9">
        <v>678150867.65662885</v>
      </c>
      <c r="DA9">
        <v>0.32627291460521518</v>
      </c>
      <c r="DB9">
        <v>15.973206238018584</v>
      </c>
      <c r="DC9">
        <v>2520518448.2106953</v>
      </c>
      <c r="DD9">
        <v>0.3099592688749544</v>
      </c>
      <c r="DE9">
        <v>5.9434152971853473</v>
      </c>
      <c r="DF9">
        <v>6774011067.1832895</v>
      </c>
      <c r="DG9">
        <v>0.28712016485258934</v>
      </c>
      <c r="DH9">
        <v>2.5315431829233916</v>
      </c>
      <c r="DI9">
        <v>15903643782.014187</v>
      </c>
      <c r="DJ9">
        <v>0.26101833168417216</v>
      </c>
      <c r="DK9">
        <v>0.56315432961482914</v>
      </c>
      <c r="DL9">
        <v>71491523518.138367</v>
      </c>
      <c r="DM9">
        <v>0.22839104022365062</v>
      </c>
      <c r="DN9">
        <v>542000000</v>
      </c>
      <c r="DO9">
        <v>0.32627291460521518</v>
      </c>
      <c r="DP9">
        <v>40260761000</v>
      </c>
      <c r="DQ9">
        <v>1001551300</v>
      </c>
      <c r="DR9">
        <v>1304</v>
      </c>
      <c r="DS9">
        <v>0.63145808539478487</v>
      </c>
      <c r="DT9">
        <v>0.35904460947914818</v>
      </c>
      <c r="DU9" s="25">
        <v>0.22</v>
      </c>
      <c r="DV9">
        <v>0.22</v>
      </c>
      <c r="DW9">
        <v>0.44</v>
      </c>
      <c r="DX9">
        <v>9.3587111491303112</v>
      </c>
      <c r="DY9">
        <v>0.54297664874885676</v>
      </c>
      <c r="DZ9">
        <v>9.0763970984106237</v>
      </c>
      <c r="EA9">
        <v>698</v>
      </c>
      <c r="EB9">
        <v>9.0651423127013331</v>
      </c>
      <c r="EC9">
        <v>9</v>
      </c>
      <c r="ED9">
        <v>7.806613803124629E-2</v>
      </c>
      <c r="EE9">
        <v>0.36654789220955053</v>
      </c>
      <c r="EF9" s="22">
        <v>1.2999999999999998E-2</v>
      </c>
      <c r="EG9">
        <v>6.4100000000000004E-2</v>
      </c>
      <c r="EH9">
        <v>33.212976648748857</v>
      </c>
      <c r="EI9" t="s">
        <v>496</v>
      </c>
      <c r="EJ9">
        <v>1</v>
      </c>
      <c r="EK9">
        <v>1</v>
      </c>
    </row>
    <row r="10" spans="1:141" x14ac:dyDescent="0.25">
      <c r="A10" t="s">
        <v>2965</v>
      </c>
      <c r="B10" s="28"/>
      <c r="C10" s="28"/>
      <c r="D10" s="28"/>
      <c r="E10" t="s">
        <v>1568</v>
      </c>
      <c r="F10" t="s">
        <v>1569</v>
      </c>
      <c r="G10">
        <v>10.25</v>
      </c>
      <c r="H10">
        <v>-0.57999999999999996</v>
      </c>
      <c r="I10" t="s">
        <v>1753</v>
      </c>
      <c r="J10">
        <v>12310534100</v>
      </c>
      <c r="L10">
        <v>2.27</v>
      </c>
      <c r="M10" t="s">
        <v>631</v>
      </c>
      <c r="N10" t="s">
        <v>1422</v>
      </c>
      <c r="O10" t="s">
        <v>1754</v>
      </c>
      <c r="P10" t="s">
        <v>1755</v>
      </c>
      <c r="Q10">
        <v>60.43</v>
      </c>
      <c r="R10" t="s">
        <v>1756</v>
      </c>
      <c r="S10">
        <v>-195285380</v>
      </c>
      <c r="T10" s="4">
        <v>-2.4129999999999998</v>
      </c>
      <c r="U10" t="s">
        <v>1757</v>
      </c>
      <c r="V10">
        <v>1196351840</v>
      </c>
      <c r="W10">
        <v>1201027720</v>
      </c>
      <c r="X10">
        <v>3.05</v>
      </c>
      <c r="Y10">
        <v>0.21</v>
      </c>
      <c r="Z10">
        <v>-5.25</v>
      </c>
      <c r="AA10" t="s">
        <v>1758</v>
      </c>
      <c r="AB10" t="s">
        <v>1759</v>
      </c>
      <c r="AC10" t="s">
        <v>1760</v>
      </c>
      <c r="AD10" t="s">
        <v>159</v>
      </c>
      <c r="AE10" t="s">
        <v>7</v>
      </c>
      <c r="AF10">
        <v>90186114</v>
      </c>
      <c r="AG10" t="s">
        <v>1761</v>
      </c>
      <c r="AH10" t="s">
        <v>1762</v>
      </c>
      <c r="AI10" t="s">
        <v>1763</v>
      </c>
      <c r="AJ10" t="s">
        <v>1764</v>
      </c>
      <c r="AK10" t="s">
        <v>1765</v>
      </c>
      <c r="AL10" t="s">
        <v>1766</v>
      </c>
      <c r="AM10" t="s">
        <v>1767</v>
      </c>
      <c r="AN10" t="s">
        <v>7</v>
      </c>
      <c r="AO10" t="s">
        <v>633</v>
      </c>
      <c r="AP10" t="s">
        <v>1768</v>
      </c>
      <c r="AQ10" t="s">
        <v>85</v>
      </c>
      <c r="AR10" t="s">
        <v>1769</v>
      </c>
      <c r="AS10" t="s">
        <v>1770</v>
      </c>
      <c r="AT10" t="s">
        <v>1771</v>
      </c>
      <c r="AU10" t="s">
        <v>1772</v>
      </c>
      <c r="AV10" t="s">
        <v>1773</v>
      </c>
      <c r="AW10" t="s">
        <v>1774</v>
      </c>
      <c r="AX10" t="s">
        <v>1775</v>
      </c>
      <c r="AY10" t="s">
        <v>1776</v>
      </c>
      <c r="AZ10" t="s">
        <v>1777</v>
      </c>
      <c r="BA10" t="s">
        <v>1778</v>
      </c>
      <c r="BB10" t="s">
        <v>1779</v>
      </c>
      <c r="BC10" t="s">
        <v>1780</v>
      </c>
      <c r="BD10" t="s">
        <v>1781</v>
      </c>
      <c r="BE10" t="s">
        <v>1782</v>
      </c>
      <c r="BF10" t="s">
        <v>1783</v>
      </c>
      <c r="BG10" t="s">
        <v>121</v>
      </c>
      <c r="BH10" t="s">
        <v>1784</v>
      </c>
      <c r="BI10" t="s">
        <v>273</v>
      </c>
      <c r="BJ10" t="s">
        <v>386</v>
      </c>
      <c r="BK10" t="s">
        <v>1776</v>
      </c>
      <c r="BL10" t="s">
        <v>1757</v>
      </c>
      <c r="BM10" t="s">
        <v>199</v>
      </c>
      <c r="BN10" t="s">
        <v>1781</v>
      </c>
      <c r="BO10">
        <v>-5.36</v>
      </c>
      <c r="BP10">
        <v>6.7</v>
      </c>
      <c r="BQ10">
        <v>1.1299999999999999</v>
      </c>
      <c r="BR10">
        <v>0.51</v>
      </c>
      <c r="BS10">
        <v>-9.5299999999999994</v>
      </c>
      <c r="BT10">
        <v>12.65</v>
      </c>
      <c r="BU10">
        <v>1.97</v>
      </c>
      <c r="BV10">
        <v>0.87</v>
      </c>
      <c r="BW10">
        <v>17.43</v>
      </c>
      <c r="BX10">
        <v>28.42</v>
      </c>
      <c r="BY10">
        <v>21.39</v>
      </c>
      <c r="BZ10">
        <v>-6.02</v>
      </c>
      <c r="CA10">
        <v>6.16</v>
      </c>
      <c r="CB10">
        <v>1.37</v>
      </c>
      <c r="CC10">
        <v>1.89</v>
      </c>
      <c r="CD10">
        <v>21.02</v>
      </c>
      <c r="CE10" t="s">
        <v>75</v>
      </c>
      <c r="CF10" t="s">
        <v>1218</v>
      </c>
      <c r="CG10" s="23">
        <v>0.6040148065807025</v>
      </c>
      <c r="CH10" s="24">
        <v>-2.4151114492753623</v>
      </c>
      <c r="CI10" s="23">
        <v>0.12747503817081451</v>
      </c>
      <c r="CJ10" s="23">
        <v>0.1320624053478241</v>
      </c>
      <c r="CK10" s="23">
        <v>3.3618919551372528E-3</v>
      </c>
      <c r="CL10" s="23">
        <v>2.3007575422525406E-2</v>
      </c>
      <c r="CM10" s="23">
        <v>0.37800294160842896</v>
      </c>
      <c r="CN10" s="24">
        <v>-2.0083332061767578</v>
      </c>
      <c r="CO10" s="24">
        <v>6.1578717231750488</v>
      </c>
      <c r="CP10" s="24">
        <v>1.1791830062866211</v>
      </c>
      <c r="CQ10" s="24">
        <v>-0.93263453245162964</v>
      </c>
      <c r="CR10" s="24">
        <v>-0.16520467400550842</v>
      </c>
      <c r="CS10">
        <v>1.1143780302344528</v>
      </c>
      <c r="CT10">
        <v>37723013.223140493</v>
      </c>
      <c r="CU10">
        <v>-3.362625</v>
      </c>
      <c r="CV10" s="23">
        <v>0.13278197050094603</v>
      </c>
      <c r="CW10" s="24">
        <v>0.84617646336555485</v>
      </c>
      <c r="CX10">
        <v>0.06</v>
      </c>
      <c r="CY10" t="e">
        <v>#VALUE!</v>
      </c>
      <c r="CZ10" t="s">
        <v>573</v>
      </c>
      <c r="DA10">
        <v>0.13278197050094603</v>
      </c>
      <c r="DB10" t="e">
        <v>#VALUE!</v>
      </c>
      <c r="DC10" t="s">
        <v>574</v>
      </c>
      <c r="DD10">
        <v>0.12614287197589871</v>
      </c>
      <c r="DE10" t="e">
        <v>#VALUE!</v>
      </c>
      <c r="DF10" t="s">
        <v>574</v>
      </c>
      <c r="DG10">
        <v>0.11684813404083251</v>
      </c>
      <c r="DH10" t="e">
        <v>#VALUE!</v>
      </c>
      <c r="DI10" t="s">
        <v>574</v>
      </c>
      <c r="DJ10">
        <v>0.10622557640075683</v>
      </c>
      <c r="DK10" t="e">
        <v>#VALUE!</v>
      </c>
      <c r="DL10" t="s">
        <v>574</v>
      </c>
      <c r="DM10">
        <v>9.2947379350662218E-2</v>
      </c>
      <c r="DN10">
        <v>-605000000</v>
      </c>
      <c r="DO10">
        <v>0.13278197050094603</v>
      </c>
      <c r="DP10">
        <v>18193534100</v>
      </c>
      <c r="DQ10">
        <v>-354733300</v>
      </c>
      <c r="DR10">
        <v>1589</v>
      </c>
      <c r="DS10">
        <v>0.47123283607975647</v>
      </c>
      <c r="DT10">
        <v>-3.2612879126409169</v>
      </c>
      <c r="DU10" s="25">
        <v>0.32</v>
      </c>
      <c r="DV10">
        <v>-1.4400000000000002</v>
      </c>
      <c r="DW10">
        <v>-1.1200000000000001</v>
      </c>
      <c r="DX10">
        <v>3.0567738095238095</v>
      </c>
      <c r="DY10">
        <v>0.33612589785951863</v>
      </c>
      <c r="DZ10">
        <v>3.0111348143677623</v>
      </c>
      <c r="EA10">
        <v>4011</v>
      </c>
      <c r="EB10">
        <v>3.0016705760907767</v>
      </c>
      <c r="EC10">
        <v>3</v>
      </c>
      <c r="ED10">
        <v>0.20232672065220944</v>
      </c>
      <c r="EE10">
        <v>1.0316164892513888</v>
      </c>
      <c r="EF10" s="22">
        <v>5.3100000000000001E-2</v>
      </c>
      <c r="EG10">
        <v>4.7300000000000002E-2</v>
      </c>
      <c r="EH10">
        <v>14.196125897859519</v>
      </c>
      <c r="EI10" t="s">
        <v>496</v>
      </c>
      <c r="EJ10">
        <v>0</v>
      </c>
      <c r="EK10">
        <v>0</v>
      </c>
    </row>
    <row r="11" spans="1:141" x14ac:dyDescent="0.25">
      <c r="A11" t="s">
        <v>2962</v>
      </c>
      <c r="B11" s="28"/>
      <c r="C11" s="28"/>
      <c r="D11" s="28"/>
      <c r="E11" t="s">
        <v>264</v>
      </c>
      <c r="F11" t="s">
        <v>265</v>
      </c>
      <c r="G11">
        <v>16.34</v>
      </c>
      <c r="H11">
        <v>-0.55000000000000004</v>
      </c>
      <c r="I11" t="s">
        <v>1785</v>
      </c>
      <c r="J11">
        <v>14112156000</v>
      </c>
      <c r="K11">
        <v>20.45</v>
      </c>
      <c r="L11">
        <v>2.19</v>
      </c>
      <c r="M11" t="s">
        <v>8</v>
      </c>
      <c r="N11" t="s">
        <v>579</v>
      </c>
      <c r="O11" t="s">
        <v>580</v>
      </c>
      <c r="P11" t="s">
        <v>581</v>
      </c>
      <c r="Q11">
        <v>29.22</v>
      </c>
      <c r="R11" t="s">
        <v>447</v>
      </c>
      <c r="S11">
        <v>202101420</v>
      </c>
      <c r="T11" s="4">
        <v>0.1077</v>
      </c>
      <c r="U11" t="s">
        <v>85</v>
      </c>
      <c r="V11">
        <v>856322460</v>
      </c>
      <c r="W11">
        <v>863657020</v>
      </c>
      <c r="X11">
        <v>2.34</v>
      </c>
      <c r="Y11">
        <v>0.14000000000000001</v>
      </c>
      <c r="Z11">
        <v>9.9600000000000009</v>
      </c>
      <c r="AA11" t="s">
        <v>339</v>
      </c>
      <c r="AB11" t="s">
        <v>385</v>
      </c>
      <c r="AC11" t="s">
        <v>582</v>
      </c>
      <c r="AD11" t="s">
        <v>583</v>
      </c>
      <c r="AE11" t="s">
        <v>7</v>
      </c>
      <c r="AF11">
        <v>36873372</v>
      </c>
      <c r="AG11" t="s">
        <v>584</v>
      </c>
      <c r="AH11" t="s">
        <v>585</v>
      </c>
      <c r="AI11" t="s">
        <v>586</v>
      </c>
      <c r="AJ11" t="s">
        <v>355</v>
      </c>
      <c r="AK11" t="s">
        <v>587</v>
      </c>
      <c r="AL11" t="s">
        <v>121</v>
      </c>
      <c r="AM11" t="s">
        <v>588</v>
      </c>
      <c r="AN11" t="s">
        <v>7</v>
      </c>
      <c r="AO11" t="s">
        <v>139</v>
      </c>
      <c r="AP11" t="s">
        <v>456</v>
      </c>
      <c r="AQ11" t="s">
        <v>589</v>
      </c>
      <c r="AR11" t="s">
        <v>181</v>
      </c>
      <c r="AS11" t="s">
        <v>7</v>
      </c>
      <c r="AT11" t="s">
        <v>590</v>
      </c>
      <c r="AU11" t="s">
        <v>335</v>
      </c>
      <c r="AV11" t="s">
        <v>138</v>
      </c>
      <c r="AW11" t="s">
        <v>550</v>
      </c>
      <c r="AX11" t="s">
        <v>215</v>
      </c>
      <c r="AY11" t="s">
        <v>366</v>
      </c>
      <c r="AZ11" t="s">
        <v>266</v>
      </c>
      <c r="BA11" t="s">
        <v>367</v>
      </c>
      <c r="BB11" t="s">
        <v>368</v>
      </c>
      <c r="BC11" t="s">
        <v>369</v>
      </c>
      <c r="BD11" t="s">
        <v>164</v>
      </c>
      <c r="BE11" t="s">
        <v>147</v>
      </c>
      <c r="BF11" t="s">
        <v>122</v>
      </c>
      <c r="BG11" t="s">
        <v>104</v>
      </c>
      <c r="BH11" t="s">
        <v>53</v>
      </c>
      <c r="BI11" t="s">
        <v>441</v>
      </c>
      <c r="BJ11" t="s">
        <v>360</v>
      </c>
      <c r="BK11" t="s">
        <v>366</v>
      </c>
      <c r="BL11" t="s">
        <v>85</v>
      </c>
      <c r="BM11" t="s">
        <v>29</v>
      </c>
      <c r="BN11" t="s">
        <v>164</v>
      </c>
      <c r="BO11">
        <v>7.19</v>
      </c>
      <c r="BP11">
        <v>8.06</v>
      </c>
      <c r="BQ11">
        <v>9.8800000000000008</v>
      </c>
      <c r="BR11">
        <v>10.45</v>
      </c>
      <c r="BS11">
        <v>16.16</v>
      </c>
      <c r="BT11">
        <v>14.81</v>
      </c>
      <c r="BU11">
        <v>14.03</v>
      </c>
      <c r="BV11">
        <v>13.59</v>
      </c>
      <c r="BW11">
        <v>20.37</v>
      </c>
      <c r="BX11">
        <v>23.66</v>
      </c>
      <c r="BY11">
        <v>25.75</v>
      </c>
      <c r="BZ11">
        <v>9.02</v>
      </c>
      <c r="CA11">
        <v>9.27</v>
      </c>
      <c r="CB11">
        <v>11.91</v>
      </c>
      <c r="CC11">
        <v>-10.220000000000001</v>
      </c>
      <c r="CD11">
        <v>2</v>
      </c>
      <c r="CE11" t="s">
        <v>76</v>
      </c>
      <c r="CF11" t="s">
        <v>613</v>
      </c>
      <c r="CG11" s="23">
        <v>0.29204006369426749</v>
      </c>
      <c r="CH11" s="24">
        <v>0.11044736263736264</v>
      </c>
      <c r="CI11" s="23">
        <v>0.3271428644657135</v>
      </c>
      <c r="CJ11" s="23">
        <v>0.44144147634506226</v>
      </c>
      <c r="CK11" s="23">
        <v>0.17584744095802307</v>
      </c>
      <c r="CL11" s="23">
        <v>0.35298943519592285</v>
      </c>
      <c r="CM11" s="23">
        <v>0.34323424100875854</v>
      </c>
      <c r="CN11" s="24">
        <v>0.29094412922859192</v>
      </c>
      <c r="CO11" s="24">
        <v>0.12095032632350922</v>
      </c>
      <c r="CP11" s="24">
        <v>0.21842105686664581</v>
      </c>
      <c r="CQ11" s="24">
        <v>0.34751772880554199</v>
      </c>
      <c r="CR11" s="24">
        <v>0.21551723778247833</v>
      </c>
      <c r="CS11">
        <v>1.8988369214208829</v>
      </c>
      <c r="CT11">
        <v>28778897.014925372</v>
      </c>
      <c r="CU11">
        <v>3.2628960000000005</v>
      </c>
      <c r="CV11" s="23">
        <v>0.32813109159469606</v>
      </c>
      <c r="CW11" s="24">
        <v>0.23867009580135345</v>
      </c>
      <c r="CX11">
        <v>0.06</v>
      </c>
      <c r="CY11">
        <v>19.391973269702895</v>
      </c>
      <c r="CZ11">
        <v>839479086.19664741</v>
      </c>
      <c r="DA11">
        <v>0.32813109159469606</v>
      </c>
      <c r="DB11">
        <v>5.2097224812015659</v>
      </c>
      <c r="DC11">
        <v>3124764526.0838137</v>
      </c>
      <c r="DD11">
        <v>0.31172453701496122</v>
      </c>
      <c r="DE11">
        <v>1.9340801124509346</v>
      </c>
      <c r="DF11">
        <v>8417001909.6936369</v>
      </c>
      <c r="DG11">
        <v>0.28875536060333251</v>
      </c>
      <c r="DH11">
        <v>0.82138192204026184</v>
      </c>
      <c r="DI11">
        <v>19819228501.600796</v>
      </c>
      <c r="DJ11">
        <v>0.26250487327575683</v>
      </c>
      <c r="DK11">
        <v>0.18133796486400561</v>
      </c>
      <c r="DL11">
        <v>89772464426.897873</v>
      </c>
      <c r="DM11">
        <v>0.22969176411628722</v>
      </c>
      <c r="DN11">
        <v>670000000</v>
      </c>
      <c r="DO11">
        <v>0.32813109159469606</v>
      </c>
      <c r="DP11">
        <v>16279156000</v>
      </c>
      <c r="DQ11">
        <v>-720541200</v>
      </c>
      <c r="DR11">
        <v>1940</v>
      </c>
      <c r="DS11">
        <v>-3.6091027900428563E-2</v>
      </c>
      <c r="DT11">
        <v>-0.1282227331639908</v>
      </c>
      <c r="DU11" s="25">
        <v>0</v>
      </c>
      <c r="DV11">
        <v>0.22</v>
      </c>
      <c r="DW11">
        <v>0.22</v>
      </c>
      <c r="DX11">
        <v>-5.1956947162426612</v>
      </c>
      <c r="DY11">
        <v>0.39842370744010014</v>
      </c>
      <c r="DZ11">
        <v>-5.0486152069354402</v>
      </c>
      <c r="EA11">
        <v>739</v>
      </c>
      <c r="EB11">
        <v>-5.0410325480233906</v>
      </c>
      <c r="EC11">
        <v>5</v>
      </c>
      <c r="ED11">
        <v>0.22809980749070968</v>
      </c>
      <c r="EE11">
        <v>0.91818856517833891</v>
      </c>
      <c r="EF11" s="22">
        <v>1.9709999999999998E-2</v>
      </c>
      <c r="EG11">
        <v>2.521E-2</v>
      </c>
      <c r="EH11">
        <v>15.2484237074401</v>
      </c>
      <c r="EI11">
        <v>-1</v>
      </c>
      <c r="EJ11">
        <v>0</v>
      </c>
      <c r="EK11">
        <v>1</v>
      </c>
    </row>
    <row r="12" spans="1:141" x14ac:dyDescent="0.25">
      <c r="A12" t="s">
        <v>2964</v>
      </c>
      <c r="B12" s="3"/>
      <c r="C12" s="3"/>
      <c r="D12" s="3"/>
      <c r="E12" t="s">
        <v>1570</v>
      </c>
      <c r="F12" t="s">
        <v>1571</v>
      </c>
      <c r="G12">
        <v>8.8699999999999992</v>
      </c>
      <c r="H12">
        <v>-2.42</v>
      </c>
      <c r="I12" t="s">
        <v>1786</v>
      </c>
      <c r="J12">
        <v>8133483200</v>
      </c>
      <c r="K12">
        <v>28.67</v>
      </c>
      <c r="L12">
        <v>1.3</v>
      </c>
      <c r="M12" t="s">
        <v>1560</v>
      </c>
      <c r="N12" t="s">
        <v>1787</v>
      </c>
      <c r="O12" t="s">
        <v>1788</v>
      </c>
      <c r="P12" t="s">
        <v>1789</v>
      </c>
      <c r="Q12">
        <v>5.96</v>
      </c>
      <c r="R12" t="s">
        <v>1790</v>
      </c>
      <c r="S12">
        <v>91476961</v>
      </c>
      <c r="T12" s="4">
        <v>0.1038</v>
      </c>
      <c r="U12" t="s">
        <v>655</v>
      </c>
      <c r="V12">
        <v>763461520</v>
      </c>
      <c r="W12">
        <v>916965410</v>
      </c>
      <c r="X12">
        <v>2.27</v>
      </c>
      <c r="Y12">
        <v>0.24</v>
      </c>
      <c r="Z12">
        <v>4.2300000000000004</v>
      </c>
      <c r="AA12" t="s">
        <v>1791</v>
      </c>
      <c r="AB12" t="s">
        <v>1792</v>
      </c>
      <c r="AC12" t="s">
        <v>1793</v>
      </c>
      <c r="AD12" t="s">
        <v>212</v>
      </c>
      <c r="AE12" t="s">
        <v>246</v>
      </c>
      <c r="AF12">
        <v>40682851</v>
      </c>
      <c r="AG12" t="s">
        <v>1794</v>
      </c>
      <c r="AH12" t="s">
        <v>1795</v>
      </c>
      <c r="AI12" t="s">
        <v>1796</v>
      </c>
      <c r="AJ12" t="s">
        <v>1095</v>
      </c>
      <c r="AK12" t="s">
        <v>1797</v>
      </c>
      <c r="AL12" t="s">
        <v>1798</v>
      </c>
      <c r="AM12" t="s">
        <v>1799</v>
      </c>
      <c r="AN12" t="s">
        <v>7</v>
      </c>
      <c r="AO12" t="s">
        <v>1800</v>
      </c>
      <c r="AP12" t="s">
        <v>1801</v>
      </c>
      <c r="AQ12" t="s">
        <v>1802</v>
      </c>
      <c r="AR12" t="s">
        <v>1803</v>
      </c>
      <c r="AS12" t="s">
        <v>7</v>
      </c>
      <c r="AT12" t="s">
        <v>1804</v>
      </c>
      <c r="AU12" t="s">
        <v>684</v>
      </c>
      <c r="AV12" t="s">
        <v>1805</v>
      </c>
      <c r="AW12" t="s">
        <v>666</v>
      </c>
      <c r="AX12" t="s">
        <v>1806</v>
      </c>
      <c r="AY12" t="s">
        <v>1807</v>
      </c>
      <c r="AZ12" t="s">
        <v>1808</v>
      </c>
      <c r="BA12" t="s">
        <v>1809</v>
      </c>
      <c r="BB12" t="s">
        <v>1810</v>
      </c>
      <c r="BC12" t="s">
        <v>1811</v>
      </c>
      <c r="BD12" t="s">
        <v>143</v>
      </c>
      <c r="BE12" t="s">
        <v>1812</v>
      </c>
      <c r="BF12" t="s">
        <v>169</v>
      </c>
      <c r="BG12" t="s">
        <v>1813</v>
      </c>
      <c r="BH12" t="s">
        <v>221</v>
      </c>
      <c r="BI12" t="s">
        <v>1814</v>
      </c>
      <c r="BJ12" t="s">
        <v>1815</v>
      </c>
      <c r="BK12" t="s">
        <v>1807</v>
      </c>
      <c r="BL12" t="s">
        <v>655</v>
      </c>
      <c r="BM12" t="s">
        <v>1816</v>
      </c>
      <c r="BN12" t="s">
        <v>143</v>
      </c>
      <c r="BO12">
        <v>2.85</v>
      </c>
      <c r="BP12">
        <v>1.1100000000000001</v>
      </c>
      <c r="BQ12">
        <v>-0.84</v>
      </c>
      <c r="BR12">
        <v>3.63</v>
      </c>
      <c r="BS12">
        <v>5.75</v>
      </c>
      <c r="BT12">
        <v>2.16</v>
      </c>
      <c r="BU12">
        <v>-1.62</v>
      </c>
      <c r="BV12">
        <v>6.99</v>
      </c>
      <c r="BW12">
        <v>16.09</v>
      </c>
      <c r="BX12">
        <v>16.63</v>
      </c>
      <c r="BY12">
        <v>16.68</v>
      </c>
      <c r="BZ12">
        <v>3.46</v>
      </c>
      <c r="CA12">
        <v>2.91</v>
      </c>
      <c r="CB12">
        <v>1.33</v>
      </c>
      <c r="CC12">
        <v>1.49</v>
      </c>
      <c r="CD12">
        <v>19.54</v>
      </c>
      <c r="CE12" t="s">
        <v>1817</v>
      </c>
      <c r="CF12" t="s">
        <v>130</v>
      </c>
      <c r="CG12" s="23">
        <v>5.9736277763594588E-2</v>
      </c>
      <c r="CH12" s="24">
        <v>0.1037704279122746</v>
      </c>
      <c r="CI12" s="23">
        <v>0.16322007775306702</v>
      </c>
      <c r="CJ12" s="23">
        <v>0.14950330555438995</v>
      </c>
      <c r="CK12" s="23">
        <v>-3.8605935871601105E-2</v>
      </c>
      <c r="CL12" s="23">
        <v>3.4360494464635849E-2</v>
      </c>
      <c r="CM12" s="23">
        <v>0.3311980664730072</v>
      </c>
      <c r="CN12" s="24">
        <v>1.7227722406387329</v>
      </c>
      <c r="CO12" s="24">
        <v>2.4461977481842041</v>
      </c>
      <c r="CP12" s="24">
        <v>-1.256758451461792</v>
      </c>
      <c r="CQ12" s="24">
        <v>-0.17824773490428925</v>
      </c>
      <c r="CR12" s="24">
        <v>0.55399060249328613</v>
      </c>
      <c r="CS12">
        <v>0.51641163174603177</v>
      </c>
      <c r="CT12">
        <v>28779062.181818184</v>
      </c>
      <c r="CU12">
        <v>2.3045040000000001</v>
      </c>
      <c r="CV12" s="23">
        <v>0.12793520167469979</v>
      </c>
      <c r="CW12" s="24">
        <v>0.65759088099002838</v>
      </c>
      <c r="CX12">
        <v>0.06</v>
      </c>
      <c r="CY12">
        <v>35.412196070358327</v>
      </c>
      <c r="CZ12">
        <v>292624698.54768157</v>
      </c>
      <c r="DA12">
        <v>0.12793520167469979</v>
      </c>
      <c r="DB12">
        <v>11.20811026255981</v>
      </c>
      <c r="DC12">
        <v>924552217.74676955</v>
      </c>
      <c r="DD12">
        <v>0.1215384415909648</v>
      </c>
      <c r="DE12">
        <v>5.2832779674492061</v>
      </c>
      <c r="DF12">
        <v>1961373840.9836235</v>
      </c>
      <c r="DG12">
        <v>0.11258297747373582</v>
      </c>
      <c r="DH12">
        <v>3.0186621082732032</v>
      </c>
      <c r="DI12">
        <v>3432806597.2006912</v>
      </c>
      <c r="DJ12">
        <v>0.10234816133975984</v>
      </c>
      <c r="DK12">
        <v>1.3939639055714421</v>
      </c>
      <c r="DL12">
        <v>7433824619.5492411</v>
      </c>
      <c r="DM12">
        <v>8.9554641172289853E-2</v>
      </c>
      <c r="DN12">
        <v>275000000</v>
      </c>
      <c r="DO12">
        <v>0.12793520167469979</v>
      </c>
      <c r="DP12">
        <v>10362483200</v>
      </c>
      <c r="DQ12">
        <v>3021936900</v>
      </c>
      <c r="DR12">
        <v>3000</v>
      </c>
      <c r="DS12">
        <v>-6.8198923911105214E-2</v>
      </c>
      <c r="DT12">
        <v>-0.55382045307775374</v>
      </c>
      <c r="DU12" s="25">
        <v>0.26666666666666666</v>
      </c>
      <c r="DV12">
        <v>1.6666666666666607E-2</v>
      </c>
      <c r="DW12">
        <v>0.28333333333333327</v>
      </c>
      <c r="DX12">
        <v>3.0400357142857142</v>
      </c>
      <c r="DY12">
        <v>0.4506430711610474</v>
      </c>
      <c r="DZ12">
        <v>3.0092339600989835</v>
      </c>
      <c r="EA12">
        <v>2510</v>
      </c>
      <c r="EB12">
        <v>3.0043224873614442</v>
      </c>
      <c r="EC12">
        <v>3</v>
      </c>
      <c r="ED12">
        <v>6.7158149400640965E-2</v>
      </c>
      <c r="EE12">
        <v>0.29117783188790075</v>
      </c>
      <c r="EF12" s="22">
        <v>1.06111</v>
      </c>
      <c r="EG12">
        <v>1.08531</v>
      </c>
      <c r="EH12">
        <v>22.230643071161047</v>
      </c>
      <c r="EI12" t="s">
        <v>551</v>
      </c>
      <c r="EJ12">
        <v>0</v>
      </c>
      <c r="EK12">
        <v>0</v>
      </c>
    </row>
    <row r="13" spans="1:141" x14ac:dyDescent="0.25">
      <c r="A13" t="s">
        <v>2963</v>
      </c>
      <c r="B13" s="3"/>
      <c r="C13" s="3"/>
      <c r="D13" s="3"/>
      <c r="E13" t="s">
        <v>1572</v>
      </c>
      <c r="F13" t="s">
        <v>1573</v>
      </c>
      <c r="G13">
        <v>13.57</v>
      </c>
      <c r="H13">
        <v>-2.65</v>
      </c>
      <c r="I13" t="s">
        <v>1818</v>
      </c>
      <c r="J13">
        <v>18564908000</v>
      </c>
      <c r="L13">
        <v>1.63</v>
      </c>
      <c r="M13" t="s">
        <v>1560</v>
      </c>
      <c r="N13" t="s">
        <v>1819</v>
      </c>
      <c r="O13" t="s">
        <v>1820</v>
      </c>
      <c r="P13" t="s">
        <v>1821</v>
      </c>
      <c r="Q13">
        <v>-4.53</v>
      </c>
      <c r="R13" t="s">
        <v>1822</v>
      </c>
      <c r="S13">
        <v>-157969840</v>
      </c>
      <c r="T13" s="4">
        <v>-1.7130000000000001</v>
      </c>
      <c r="U13" t="s">
        <v>1823</v>
      </c>
      <c r="V13">
        <v>1368084600</v>
      </c>
      <c r="W13">
        <v>1368084600</v>
      </c>
      <c r="X13">
        <v>3.08</v>
      </c>
      <c r="Y13">
        <v>0.23</v>
      </c>
      <c r="Z13">
        <v>-2.61</v>
      </c>
      <c r="AA13" t="s">
        <v>1824</v>
      </c>
      <c r="AB13" t="s">
        <v>1825</v>
      </c>
      <c r="AC13" t="s">
        <v>156</v>
      </c>
      <c r="AD13" t="s">
        <v>182</v>
      </c>
      <c r="AE13" t="s">
        <v>1826</v>
      </c>
      <c r="AF13">
        <v>149095630</v>
      </c>
      <c r="AG13" t="s">
        <v>1827</v>
      </c>
      <c r="AH13" t="s">
        <v>1828</v>
      </c>
      <c r="AI13" t="s">
        <v>1829</v>
      </c>
      <c r="AJ13" t="s">
        <v>1830</v>
      </c>
      <c r="AK13" t="s">
        <v>1831</v>
      </c>
      <c r="AL13" t="s">
        <v>659</v>
      </c>
      <c r="AM13" t="s">
        <v>1832</v>
      </c>
      <c r="AN13" t="s">
        <v>7</v>
      </c>
      <c r="AO13" t="s">
        <v>1833</v>
      </c>
      <c r="AP13" t="s">
        <v>1834</v>
      </c>
      <c r="AQ13" t="s">
        <v>990</v>
      </c>
      <c r="AR13" t="s">
        <v>1835</v>
      </c>
      <c r="AS13" t="s">
        <v>7</v>
      </c>
      <c r="AT13" t="s">
        <v>1836</v>
      </c>
      <c r="AU13" t="s">
        <v>1837</v>
      </c>
      <c r="AV13" t="s">
        <v>207</v>
      </c>
      <c r="AW13" t="s">
        <v>1838</v>
      </c>
      <c r="AX13" t="s">
        <v>1621</v>
      </c>
      <c r="AY13" t="s">
        <v>1839</v>
      </c>
      <c r="AZ13" t="s">
        <v>1840</v>
      </c>
      <c r="BA13" t="s">
        <v>1841</v>
      </c>
      <c r="BB13" t="s">
        <v>1842</v>
      </c>
      <c r="BC13" t="s">
        <v>1843</v>
      </c>
      <c r="BD13" t="s">
        <v>1844</v>
      </c>
      <c r="BE13" t="s">
        <v>1845</v>
      </c>
      <c r="BF13" t="s">
        <v>772</v>
      </c>
      <c r="BG13" t="s">
        <v>649</v>
      </c>
      <c r="BH13" t="s">
        <v>1846</v>
      </c>
      <c r="BI13" t="s">
        <v>1847</v>
      </c>
      <c r="BJ13" t="s">
        <v>1848</v>
      </c>
      <c r="BK13" t="s">
        <v>1839</v>
      </c>
      <c r="BL13" t="s">
        <v>1823</v>
      </c>
      <c r="BM13" t="s">
        <v>186</v>
      </c>
      <c r="BN13" t="s">
        <v>1844</v>
      </c>
      <c r="BO13">
        <v>-11.12</v>
      </c>
      <c r="BP13">
        <v>1.76</v>
      </c>
      <c r="BQ13">
        <v>2.9</v>
      </c>
      <c r="BR13">
        <v>4.68</v>
      </c>
      <c r="BS13">
        <v>-27.96</v>
      </c>
      <c r="BT13">
        <v>4.6100000000000003</v>
      </c>
      <c r="BU13">
        <v>7.52</v>
      </c>
      <c r="BV13">
        <v>10.49</v>
      </c>
      <c r="BW13">
        <v>11.63</v>
      </c>
      <c r="BX13">
        <v>13.31</v>
      </c>
      <c r="BY13">
        <v>16</v>
      </c>
      <c r="BZ13">
        <v>-9.93</v>
      </c>
      <c r="CA13">
        <v>0.43</v>
      </c>
      <c r="CB13">
        <v>2.35</v>
      </c>
      <c r="CC13">
        <v>3.04</v>
      </c>
      <c r="CD13">
        <v>30.73</v>
      </c>
      <c r="CE13" t="s">
        <v>229</v>
      </c>
      <c r="CF13" t="s">
        <v>1849</v>
      </c>
      <c r="CG13" s="23">
        <v>-4.5331106047041589E-2</v>
      </c>
      <c r="CH13" s="24">
        <v>-1.7147956561085973</v>
      </c>
      <c r="CI13" s="23">
        <v>-4.6356301754713058E-2</v>
      </c>
      <c r="CJ13" s="23">
        <v>-0.22381232678890228</v>
      </c>
      <c r="CK13" s="23">
        <v>9.8218262195587158E-2</v>
      </c>
      <c r="CL13" s="23">
        <v>1.1115913391113281</v>
      </c>
      <c r="CM13" s="23">
        <v>0.43413105607032776</v>
      </c>
      <c r="CN13" s="24">
        <v>-7.0925321578979492</v>
      </c>
      <c r="CO13" s="24">
        <v>-0.34468084573745728</v>
      </c>
      <c r="CP13" s="24">
        <v>-0.28679817914962769</v>
      </c>
      <c r="CQ13" s="24">
        <v>2.3282828330993652</v>
      </c>
      <c r="CR13" s="24">
        <v>-0.12775330245494843</v>
      </c>
      <c r="CS13">
        <v>0.40650116049923363</v>
      </c>
      <c r="CT13">
        <v>1226905.3290700773</v>
      </c>
      <c r="CU13">
        <v>-1.848924</v>
      </c>
      <c r="CV13" s="23">
        <v>0.27475440576672555</v>
      </c>
      <c r="CW13" s="24">
        <v>-1.1046963304281234</v>
      </c>
      <c r="CX13">
        <v>0.06</v>
      </c>
      <c r="CY13" t="e">
        <v>#VALUE!</v>
      </c>
      <c r="CZ13" t="s">
        <v>573</v>
      </c>
      <c r="DA13">
        <v>0.27475440576672555</v>
      </c>
      <c r="DB13" t="e">
        <v>#VALUE!</v>
      </c>
      <c r="DC13" t="s">
        <v>574</v>
      </c>
      <c r="DD13">
        <v>0.26101668547838924</v>
      </c>
      <c r="DE13" t="e">
        <v>#VALUE!</v>
      </c>
      <c r="DF13" t="s">
        <v>574</v>
      </c>
      <c r="DG13">
        <v>0.24178387707471849</v>
      </c>
      <c r="DH13" t="e">
        <v>#VALUE!</v>
      </c>
      <c r="DI13" t="s">
        <v>574</v>
      </c>
      <c r="DJ13">
        <v>0.21980352461338046</v>
      </c>
      <c r="DK13" t="e">
        <v>#VALUE!</v>
      </c>
      <c r="DL13" t="s">
        <v>574</v>
      </c>
      <c r="DM13">
        <v>0.19232808403670787</v>
      </c>
      <c r="DN13">
        <v>-3753000000</v>
      </c>
      <c r="DO13">
        <v>0.27475440576672555</v>
      </c>
      <c r="DP13">
        <v>36667908000</v>
      </c>
      <c r="DQ13">
        <v>8245652999.9999981</v>
      </c>
      <c r="DR13">
        <v>3185</v>
      </c>
      <c r="DS13">
        <v>-0.32008551181376715</v>
      </c>
      <c r="DT13">
        <v>-0.61009932568047387</v>
      </c>
      <c r="DU13" s="25">
        <v>0.18333333333333335</v>
      </c>
      <c r="DV13">
        <v>-1.5850000000000002</v>
      </c>
      <c r="DW13">
        <v>-1.4016666666666668</v>
      </c>
      <c r="DX13">
        <v>8.0989261308167908</v>
      </c>
      <c r="DY13">
        <v>0.67722513089005498</v>
      </c>
      <c r="DZ13">
        <v>8.0224785030232919</v>
      </c>
      <c r="EA13">
        <v>4155</v>
      </c>
      <c r="EB13">
        <v>8.0026823648160477</v>
      </c>
      <c r="EC13">
        <v>8</v>
      </c>
      <c r="ED13">
        <v>0.15861592185161649</v>
      </c>
      <c r="EE13">
        <v>0.69805624593683757</v>
      </c>
      <c r="EF13" s="22">
        <v>4.0100100000000003</v>
      </c>
      <c r="EG13">
        <v>4.0365099999999998</v>
      </c>
      <c r="EH13">
        <v>45.227225130890055</v>
      </c>
      <c r="EI13" t="s">
        <v>1850</v>
      </c>
      <c r="EJ13">
        <v>0</v>
      </c>
      <c r="EK13">
        <v>0</v>
      </c>
    </row>
    <row r="14" spans="1:141" x14ac:dyDescent="0.25">
      <c r="A14" t="s">
        <v>2966</v>
      </c>
      <c r="B14" s="3"/>
      <c r="C14" s="3"/>
      <c r="D14" s="3"/>
      <c r="E14" t="s">
        <v>1574</v>
      </c>
      <c r="F14" t="s">
        <v>1575</v>
      </c>
      <c r="G14">
        <v>11.44</v>
      </c>
      <c r="H14">
        <v>2.97</v>
      </c>
      <c r="I14" t="s">
        <v>1851</v>
      </c>
      <c r="J14">
        <v>4010531500</v>
      </c>
      <c r="K14">
        <v>54.8</v>
      </c>
      <c r="L14">
        <v>2.1</v>
      </c>
      <c r="M14" t="s">
        <v>1560</v>
      </c>
      <c r="N14" t="s">
        <v>1852</v>
      </c>
      <c r="O14" t="s">
        <v>1853</v>
      </c>
      <c r="P14" t="s">
        <v>1854</v>
      </c>
      <c r="Q14">
        <v>15.73</v>
      </c>
      <c r="R14" t="s">
        <v>1855</v>
      </c>
      <c r="S14">
        <v>27762530</v>
      </c>
      <c r="T14" s="4">
        <v>-0.38350000000000001</v>
      </c>
      <c r="U14" t="s">
        <v>1856</v>
      </c>
      <c r="V14">
        <v>350570930</v>
      </c>
      <c r="W14">
        <v>350570930</v>
      </c>
      <c r="X14">
        <v>1.72</v>
      </c>
      <c r="Y14">
        <v>0.15</v>
      </c>
      <c r="Z14">
        <v>5.96</v>
      </c>
      <c r="AA14" t="s">
        <v>1857</v>
      </c>
      <c r="AB14" t="s">
        <v>1858</v>
      </c>
      <c r="AC14" t="s">
        <v>1859</v>
      </c>
      <c r="AD14" t="s">
        <v>1860</v>
      </c>
      <c r="AE14" t="s">
        <v>132</v>
      </c>
      <c r="AF14">
        <v>9423865</v>
      </c>
      <c r="AG14" t="s">
        <v>1861</v>
      </c>
      <c r="AH14" t="s">
        <v>1862</v>
      </c>
      <c r="AI14" t="s">
        <v>1863</v>
      </c>
      <c r="AJ14" t="s">
        <v>155</v>
      </c>
      <c r="AK14" t="s">
        <v>1864</v>
      </c>
      <c r="AL14" t="s">
        <v>1865</v>
      </c>
      <c r="AM14" t="s">
        <v>1866</v>
      </c>
      <c r="AN14" t="s">
        <v>7</v>
      </c>
      <c r="AO14" t="s">
        <v>1867</v>
      </c>
      <c r="AP14" t="s">
        <v>190</v>
      </c>
      <c r="AQ14" t="s">
        <v>41</v>
      </c>
      <c r="AR14" t="s">
        <v>628</v>
      </c>
      <c r="AS14" t="s">
        <v>7</v>
      </c>
      <c r="AT14" t="s">
        <v>1868</v>
      </c>
      <c r="AU14" t="s">
        <v>119</v>
      </c>
      <c r="AV14" t="s">
        <v>1869</v>
      </c>
      <c r="AW14" t="s">
        <v>1870</v>
      </c>
      <c r="AX14" t="s">
        <v>1871</v>
      </c>
      <c r="AY14" t="s">
        <v>1872</v>
      </c>
      <c r="AZ14" t="s">
        <v>658</v>
      </c>
      <c r="BA14" t="s">
        <v>338</v>
      </c>
      <c r="BB14" t="s">
        <v>1739</v>
      </c>
      <c r="BC14" t="s">
        <v>105</v>
      </c>
      <c r="BD14" t="s">
        <v>149</v>
      </c>
      <c r="BE14" t="s">
        <v>616</v>
      </c>
      <c r="BF14" t="s">
        <v>237</v>
      </c>
      <c r="BG14" t="s">
        <v>78</v>
      </c>
      <c r="BH14" t="s">
        <v>168</v>
      </c>
      <c r="BI14" t="s">
        <v>247</v>
      </c>
      <c r="BJ14" t="s">
        <v>1873</v>
      </c>
      <c r="BK14" t="s">
        <v>1872</v>
      </c>
      <c r="BL14" t="s">
        <v>1856</v>
      </c>
      <c r="BM14" t="s">
        <v>1874</v>
      </c>
      <c r="BN14" t="s">
        <v>149</v>
      </c>
      <c r="BO14">
        <v>3.66</v>
      </c>
      <c r="BP14">
        <v>8.15</v>
      </c>
      <c r="BQ14">
        <v>8.24</v>
      </c>
      <c r="BR14">
        <v>9.26</v>
      </c>
      <c r="BS14">
        <v>6.05</v>
      </c>
      <c r="BT14">
        <v>13.88</v>
      </c>
      <c r="BU14">
        <v>12.15</v>
      </c>
      <c r="BV14">
        <v>11.69</v>
      </c>
      <c r="BW14">
        <v>24.18</v>
      </c>
      <c r="BX14">
        <v>29.59</v>
      </c>
      <c r="BY14">
        <v>34.42</v>
      </c>
      <c r="BZ14">
        <v>5.12</v>
      </c>
      <c r="CA14">
        <v>10.64</v>
      </c>
      <c r="CB14">
        <v>13.12</v>
      </c>
      <c r="CC14">
        <v>10.210000000000001</v>
      </c>
      <c r="CD14">
        <v>43.9</v>
      </c>
      <c r="CE14" t="s">
        <v>38</v>
      </c>
      <c r="CF14" t="s">
        <v>1875</v>
      </c>
      <c r="CG14" s="23">
        <v>0.15759226337448545</v>
      </c>
      <c r="CH14" s="24">
        <v>-0.38351109068178435</v>
      </c>
      <c r="CI14" s="23">
        <v>0.24548536539077759</v>
      </c>
      <c r="CJ14" s="23">
        <v>0.71373307704925537</v>
      </c>
      <c r="CK14" s="23">
        <v>1.5717092901468277E-2</v>
      </c>
      <c r="CL14" s="23">
        <v>0.12610618770122528</v>
      </c>
      <c r="CM14" s="23">
        <v>0.16645161807537079</v>
      </c>
      <c r="CN14" s="24">
        <v>-0.42011922597885132</v>
      </c>
      <c r="CO14" s="24">
        <v>0.27868852019309998</v>
      </c>
      <c r="CP14" s="24">
        <v>4.2735043913125992E-2</v>
      </c>
      <c r="CQ14" s="24">
        <v>-0.10687022656202316</v>
      </c>
      <c r="CR14" s="24">
        <v>0.11016949266195297</v>
      </c>
      <c r="CS14">
        <v>1.8171869053013141</v>
      </c>
      <c r="CT14">
        <v>25162714.704835434</v>
      </c>
      <c r="CU14">
        <v>1.5376799999999999</v>
      </c>
      <c r="CV14" s="23">
        <v>0.25349866822361944</v>
      </c>
      <c r="CW14" s="24">
        <v>-1.9079279154539108E-2</v>
      </c>
      <c r="CX14">
        <v>0.06</v>
      </c>
      <c r="CY14">
        <v>31.769470996680461</v>
      </c>
      <c r="CZ14">
        <v>106974758.89211711</v>
      </c>
      <c r="DA14">
        <v>0.25349866822361944</v>
      </c>
      <c r="DB14">
        <v>9.0638834661287238</v>
      </c>
      <c r="DC14">
        <v>374953132.69418579</v>
      </c>
      <c r="DD14">
        <v>0.24082373481243846</v>
      </c>
      <c r="DE14">
        <v>3.6835604460952114</v>
      </c>
      <c r="DF14">
        <v>922621346.85549724</v>
      </c>
      <c r="DG14">
        <v>0.22307882803678511</v>
      </c>
      <c r="DH14">
        <v>1.7567484828540261</v>
      </c>
      <c r="DI14">
        <v>1934557811.3030281</v>
      </c>
      <c r="DJ14">
        <v>0.20279893457889556</v>
      </c>
      <c r="DK14">
        <v>0.5219668242114639</v>
      </c>
      <c r="DL14">
        <v>6511010551.5502195</v>
      </c>
      <c r="DM14">
        <v>0.1774490677565336</v>
      </c>
      <c r="DN14">
        <v>90461400</v>
      </c>
      <c r="DO14">
        <v>0.25349866822361944</v>
      </c>
      <c r="DP14">
        <v>3398531500</v>
      </c>
      <c r="DQ14">
        <v>891570100</v>
      </c>
      <c r="DR14">
        <v>3745</v>
      </c>
      <c r="DS14">
        <v>-9.5906404849133986E-2</v>
      </c>
      <c r="DT14">
        <v>-0.36443181152724524</v>
      </c>
      <c r="DU14" s="25">
        <v>0.78666666666666663</v>
      </c>
      <c r="DV14">
        <v>-0.23666666666666666</v>
      </c>
      <c r="DW14">
        <v>0.54999999999999993</v>
      </c>
      <c r="DX14">
        <v>9.2325740318906604</v>
      </c>
      <c r="DY14">
        <v>0.79930930930930599</v>
      </c>
      <c r="DZ14">
        <v>9.0719373131673819</v>
      </c>
      <c r="EA14">
        <v>2048</v>
      </c>
      <c r="EB14">
        <v>9.0407172204852895</v>
      </c>
      <c r="EC14">
        <v>9</v>
      </c>
      <c r="ED14">
        <v>0.29380644881194229</v>
      </c>
      <c r="EE14">
        <v>0.94987910149880372</v>
      </c>
      <c r="EF14" s="22">
        <v>2.2199999999999998E-2</v>
      </c>
      <c r="EG14">
        <v>5.1900000000000002E-2</v>
      </c>
      <c r="EH14">
        <v>49.309309309309306</v>
      </c>
      <c r="EI14" t="s">
        <v>496</v>
      </c>
      <c r="EJ14">
        <v>1</v>
      </c>
      <c r="EK14">
        <v>0</v>
      </c>
    </row>
    <row r="15" spans="1:141" ht="97.2" x14ac:dyDescent="0.25">
      <c r="A15" t="s">
        <v>2964</v>
      </c>
      <c r="B15" s="3" t="s">
        <v>1876</v>
      </c>
      <c r="C15" s="3"/>
      <c r="D15" s="3" t="s">
        <v>1877</v>
      </c>
      <c r="E15" t="s">
        <v>1576</v>
      </c>
      <c r="F15" t="s">
        <v>1577</v>
      </c>
      <c r="G15">
        <v>28.52</v>
      </c>
      <c r="H15">
        <v>-1.82</v>
      </c>
      <c r="I15" t="s">
        <v>1878</v>
      </c>
      <c r="J15">
        <v>17849353000</v>
      </c>
      <c r="K15">
        <v>40.25</v>
      </c>
      <c r="L15">
        <v>4.82</v>
      </c>
      <c r="M15" t="s">
        <v>1560</v>
      </c>
      <c r="N15" t="s">
        <v>1879</v>
      </c>
      <c r="O15" t="s">
        <v>1880</v>
      </c>
      <c r="P15" t="s">
        <v>1881</v>
      </c>
      <c r="Q15">
        <v>96.34</v>
      </c>
      <c r="R15" t="s">
        <v>1882</v>
      </c>
      <c r="S15">
        <v>119930370</v>
      </c>
      <c r="T15" s="4">
        <v>0.33710000000000001</v>
      </c>
      <c r="U15" t="s">
        <v>172</v>
      </c>
      <c r="V15">
        <v>625853880</v>
      </c>
      <c r="W15">
        <v>625853880</v>
      </c>
      <c r="X15">
        <v>2.23</v>
      </c>
      <c r="Y15">
        <v>0.12</v>
      </c>
      <c r="Z15">
        <v>12.08</v>
      </c>
      <c r="AA15" t="s">
        <v>1409</v>
      </c>
      <c r="AB15" t="s">
        <v>1883</v>
      </c>
      <c r="AC15" t="s">
        <v>1884</v>
      </c>
      <c r="AD15" t="s">
        <v>1885</v>
      </c>
      <c r="AE15" t="s">
        <v>630</v>
      </c>
      <c r="AF15">
        <v>19305667</v>
      </c>
      <c r="AG15" t="s">
        <v>1886</v>
      </c>
      <c r="AH15">
        <v>0.26</v>
      </c>
      <c r="AI15" t="s">
        <v>1887</v>
      </c>
      <c r="AJ15" t="s">
        <v>560</v>
      </c>
      <c r="AK15" t="s">
        <v>1888</v>
      </c>
      <c r="AL15" t="s">
        <v>7</v>
      </c>
      <c r="AM15" t="s">
        <v>1889</v>
      </c>
      <c r="AN15" t="s">
        <v>7</v>
      </c>
      <c r="AO15" t="s">
        <v>1890</v>
      </c>
      <c r="AP15" t="s">
        <v>1626</v>
      </c>
      <c r="AQ15" t="s">
        <v>1891</v>
      </c>
      <c r="AR15" t="s">
        <v>458</v>
      </c>
      <c r="AS15" t="s">
        <v>7</v>
      </c>
      <c r="AT15" t="s">
        <v>1892</v>
      </c>
      <c r="AU15" t="s">
        <v>660</v>
      </c>
      <c r="AV15" t="s">
        <v>207</v>
      </c>
      <c r="AW15" t="s">
        <v>1893</v>
      </c>
      <c r="AX15" t="s">
        <v>1894</v>
      </c>
      <c r="AY15" t="s">
        <v>1895</v>
      </c>
      <c r="AZ15" t="s">
        <v>1896</v>
      </c>
      <c r="BA15" t="s">
        <v>1897</v>
      </c>
      <c r="BB15" t="s">
        <v>1898</v>
      </c>
      <c r="BC15" t="s">
        <v>1899</v>
      </c>
      <c r="BD15" t="s">
        <v>1875</v>
      </c>
      <c r="BE15" t="s">
        <v>189</v>
      </c>
      <c r="BF15" t="s">
        <v>1900</v>
      </c>
      <c r="BG15" t="s">
        <v>56</v>
      </c>
      <c r="BH15" t="s">
        <v>57</v>
      </c>
      <c r="BI15" t="s">
        <v>433</v>
      </c>
      <c r="BJ15" t="s">
        <v>160</v>
      </c>
      <c r="BK15" t="s">
        <v>1895</v>
      </c>
      <c r="BL15" t="s">
        <v>172</v>
      </c>
      <c r="BM15" t="s">
        <v>1901</v>
      </c>
      <c r="BN15" t="s">
        <v>1875</v>
      </c>
      <c r="BO15">
        <v>7.52</v>
      </c>
      <c r="BP15">
        <v>11.09</v>
      </c>
      <c r="BQ15">
        <v>9.77</v>
      </c>
      <c r="BR15">
        <v>17.54</v>
      </c>
      <c r="BS15">
        <v>12.09</v>
      </c>
      <c r="BT15">
        <v>12.53</v>
      </c>
      <c r="BU15">
        <v>13.94</v>
      </c>
      <c r="BV15">
        <v>23.05</v>
      </c>
      <c r="BW15">
        <v>24.06</v>
      </c>
      <c r="BX15">
        <v>32.869999999999997</v>
      </c>
      <c r="BY15">
        <v>34.01</v>
      </c>
      <c r="BZ15">
        <v>13.65</v>
      </c>
      <c r="CA15">
        <v>20.45</v>
      </c>
      <c r="CB15">
        <v>18.829999999999998</v>
      </c>
      <c r="CC15">
        <v>10.8</v>
      </c>
      <c r="CD15">
        <v>50.66</v>
      </c>
      <c r="CE15" t="s">
        <v>1902</v>
      </c>
      <c r="CF15" t="s">
        <v>1117</v>
      </c>
      <c r="CG15" s="23">
        <v>0.9638957227722772</v>
      </c>
      <c r="CH15" s="24">
        <v>0.33709240993635092</v>
      </c>
      <c r="CI15" s="23">
        <v>0.85687965154647827</v>
      </c>
      <c r="CJ15" s="23">
        <v>0.48404750227928162</v>
      </c>
      <c r="CK15" s="23">
        <v>9.1235036961734295E-4</v>
      </c>
      <c r="CL15" s="23">
        <v>0.48308524489402771</v>
      </c>
      <c r="CM15" s="23">
        <v>0.29876977205276489</v>
      </c>
      <c r="CN15" s="24">
        <v>0.24024024605751038</v>
      </c>
      <c r="CO15" s="24">
        <v>0.6086956262588501</v>
      </c>
      <c r="CP15" s="24">
        <v>-0.29591837525367737</v>
      </c>
      <c r="CQ15" s="24">
        <v>0.32432430982589722</v>
      </c>
      <c r="CR15" s="24">
        <v>8.8235296308994293E-2</v>
      </c>
      <c r="CS15">
        <v>5.9045163744624549</v>
      </c>
      <c r="CT15">
        <v>26382788.37772397</v>
      </c>
      <c r="CU15">
        <v>3.2326079999999999</v>
      </c>
      <c r="CV15" s="23">
        <v>0.42473890422843397</v>
      </c>
      <c r="CW15" s="24">
        <v>0.19311542063951492</v>
      </c>
      <c r="CX15">
        <v>0.06</v>
      </c>
      <c r="CY15">
        <v>33.721847827985762</v>
      </c>
      <c r="CZ15">
        <v>555110535.32673883</v>
      </c>
      <c r="DA15">
        <v>0.42473890422843397</v>
      </c>
      <c r="DB15">
        <v>8.3960062952777186</v>
      </c>
      <c r="DC15">
        <v>2229554426.4335036</v>
      </c>
      <c r="DD15">
        <v>0.40350195901701225</v>
      </c>
      <c r="DE15">
        <v>2.7690462854016351</v>
      </c>
      <c r="DF15">
        <v>6760216721.074007</v>
      </c>
      <c r="DG15">
        <v>0.37377023572102192</v>
      </c>
      <c r="DH15">
        <v>1.0062389602676614</v>
      </c>
      <c r="DI15">
        <v>18603287826.403202</v>
      </c>
      <c r="DJ15">
        <v>0.3397911233827472</v>
      </c>
      <c r="DK15">
        <v>0.148430573759366</v>
      </c>
      <c r="DL15">
        <v>126115210134.1844</v>
      </c>
      <c r="DM15">
        <v>0.29731723295990375</v>
      </c>
      <c r="DN15">
        <v>413000000</v>
      </c>
      <c r="DO15">
        <v>0.42473890422843397</v>
      </c>
      <c r="DP15">
        <v>18719353000</v>
      </c>
      <c r="DQ15">
        <v>1864064400</v>
      </c>
      <c r="DR15">
        <v>3827</v>
      </c>
      <c r="DS15">
        <v>0.53915681854384323</v>
      </c>
      <c r="DT15">
        <v>0.143976989296836</v>
      </c>
      <c r="DU15" s="25">
        <v>0.91999999999999993</v>
      </c>
      <c r="DV15">
        <v>0.67</v>
      </c>
      <c r="DW15">
        <v>1.5899999999999999</v>
      </c>
      <c r="DX15">
        <v>9.2131859455191467</v>
      </c>
      <c r="DY15">
        <v>0.50491539926739959</v>
      </c>
      <c r="DZ15">
        <v>9.0586080993305949</v>
      </c>
      <c r="EA15">
        <v>509</v>
      </c>
      <c r="EB15">
        <v>9.0522865221830475</v>
      </c>
      <c r="EC15">
        <v>9</v>
      </c>
      <c r="ED15">
        <v>0.11991920542219855</v>
      </c>
      <c r="EE15">
        <v>0.4362040545310672</v>
      </c>
      <c r="EF15" s="22">
        <v>1.0531999999999999</v>
      </c>
      <c r="EG15">
        <v>1.0349999999999999</v>
      </c>
      <c r="EH15">
        <v>23.2749153992674</v>
      </c>
      <c r="EI15" t="s">
        <v>498</v>
      </c>
      <c r="EJ15">
        <v>1</v>
      </c>
      <c r="EK15">
        <v>1</v>
      </c>
    </row>
    <row r="16" spans="1:141" x14ac:dyDescent="0.25">
      <c r="A16" t="s">
        <v>2962</v>
      </c>
      <c r="B16" s="28"/>
      <c r="C16" s="28"/>
      <c r="D16" s="28"/>
      <c r="E16" t="s">
        <v>267</v>
      </c>
      <c r="F16" t="s">
        <v>268</v>
      </c>
      <c r="G16">
        <v>15.5</v>
      </c>
      <c r="H16">
        <v>-1.27</v>
      </c>
      <c r="I16" t="s">
        <v>1903</v>
      </c>
      <c r="J16">
        <v>8249863400</v>
      </c>
      <c r="K16">
        <v>36.03</v>
      </c>
      <c r="L16">
        <v>3.01</v>
      </c>
      <c r="M16" t="s">
        <v>8</v>
      </c>
      <c r="N16" t="s">
        <v>377</v>
      </c>
      <c r="O16" t="s">
        <v>331</v>
      </c>
      <c r="P16" t="s">
        <v>601</v>
      </c>
      <c r="Q16">
        <v>42.15</v>
      </c>
      <c r="R16" t="s">
        <v>578</v>
      </c>
      <c r="S16">
        <v>47226061</v>
      </c>
      <c r="T16" s="4">
        <v>0.69089999999999996</v>
      </c>
      <c r="U16" t="s">
        <v>129</v>
      </c>
      <c r="V16">
        <v>532175150</v>
      </c>
      <c r="W16">
        <v>532249250</v>
      </c>
      <c r="X16">
        <v>1.9</v>
      </c>
      <c r="Y16">
        <v>0.16</v>
      </c>
      <c r="Z16">
        <v>4.21</v>
      </c>
      <c r="AA16" t="s">
        <v>188</v>
      </c>
      <c r="AB16" t="s">
        <v>28</v>
      </c>
      <c r="AC16" t="s">
        <v>602</v>
      </c>
      <c r="AD16" t="s">
        <v>603</v>
      </c>
      <c r="AE16" t="s">
        <v>7</v>
      </c>
      <c r="AF16">
        <v>4838419</v>
      </c>
      <c r="AG16" t="s">
        <v>37</v>
      </c>
      <c r="AH16" t="s">
        <v>604</v>
      </c>
      <c r="AI16" t="s">
        <v>605</v>
      </c>
      <c r="AJ16" t="s">
        <v>352</v>
      </c>
      <c r="AK16" t="s">
        <v>606</v>
      </c>
      <c r="AL16" t="s">
        <v>607</v>
      </c>
      <c r="AM16" t="s">
        <v>608</v>
      </c>
      <c r="AN16" t="s">
        <v>7</v>
      </c>
      <c r="AO16" t="s">
        <v>44</v>
      </c>
      <c r="AP16" t="s">
        <v>71</v>
      </c>
      <c r="AQ16" t="s">
        <v>609</v>
      </c>
      <c r="AR16" t="s">
        <v>356</v>
      </c>
      <c r="AS16" t="s">
        <v>7</v>
      </c>
      <c r="AT16" t="s">
        <v>375</v>
      </c>
      <c r="AU16" t="s">
        <v>7</v>
      </c>
      <c r="AV16" t="s">
        <v>610</v>
      </c>
      <c r="AW16" t="s">
        <v>171</v>
      </c>
      <c r="AX16" t="s">
        <v>611</v>
      </c>
      <c r="AY16" t="s">
        <v>269</v>
      </c>
      <c r="AZ16" t="s">
        <v>224</v>
      </c>
      <c r="BA16" t="s">
        <v>343</v>
      </c>
      <c r="BB16" t="s">
        <v>372</v>
      </c>
      <c r="BC16" t="s">
        <v>373</v>
      </c>
      <c r="BD16" t="s">
        <v>21</v>
      </c>
      <c r="BE16" t="s">
        <v>170</v>
      </c>
      <c r="BF16" t="s">
        <v>113</v>
      </c>
      <c r="BG16" t="s">
        <v>77</v>
      </c>
      <c r="BH16" t="s">
        <v>235</v>
      </c>
      <c r="BI16" t="s">
        <v>612</v>
      </c>
      <c r="BJ16" t="s">
        <v>89</v>
      </c>
      <c r="BK16" t="s">
        <v>269</v>
      </c>
      <c r="BL16" t="s">
        <v>129</v>
      </c>
      <c r="BM16" t="s">
        <v>461</v>
      </c>
      <c r="BN16" t="s">
        <v>21</v>
      </c>
      <c r="BO16">
        <v>5.83</v>
      </c>
      <c r="BP16">
        <v>10.69</v>
      </c>
      <c r="BQ16">
        <v>12.72</v>
      </c>
      <c r="BR16">
        <v>9.15</v>
      </c>
      <c r="BS16">
        <v>7.55</v>
      </c>
      <c r="BT16">
        <v>11.6</v>
      </c>
      <c r="BU16">
        <v>13.42</v>
      </c>
      <c r="BV16">
        <v>9.61</v>
      </c>
      <c r="BW16">
        <v>15.44</v>
      </c>
      <c r="BX16">
        <v>25.91</v>
      </c>
      <c r="BY16">
        <v>25.83</v>
      </c>
      <c r="BZ16">
        <v>5.32</v>
      </c>
      <c r="CA16">
        <v>11.97</v>
      </c>
      <c r="CB16">
        <v>13.48</v>
      </c>
      <c r="CC16">
        <v>-12.08</v>
      </c>
      <c r="CD16">
        <v>-1.77</v>
      </c>
      <c r="CE16" t="s">
        <v>1904</v>
      </c>
      <c r="CF16" t="s">
        <v>670</v>
      </c>
      <c r="CG16" s="23">
        <v>0.4209017877906977</v>
      </c>
      <c r="CH16" s="24">
        <v>0.69086616231234377</v>
      </c>
      <c r="CI16" s="23">
        <v>0.48225554823875427</v>
      </c>
      <c r="CJ16" s="23">
        <v>3.9770372211933136E-2</v>
      </c>
      <c r="CK16" s="23">
        <v>0.12551914155483246</v>
      </c>
      <c r="CL16" s="23">
        <v>0.10730717331171036</v>
      </c>
      <c r="CM16" s="23">
        <v>0.1969418078660965</v>
      </c>
      <c r="CN16" s="24">
        <v>-0.30921053886413574</v>
      </c>
      <c r="CO16" s="24">
        <v>-7.5987845659255981E-2</v>
      </c>
      <c r="CP16" s="24">
        <v>0.45575222373008728</v>
      </c>
      <c r="CQ16" s="24">
        <v>0.24861878156661987</v>
      </c>
      <c r="CR16" s="24">
        <v>-0.31698113679885864</v>
      </c>
      <c r="CS16">
        <v>2.1946963022080337</v>
      </c>
      <c r="CT16">
        <v>22440237.142857142</v>
      </c>
      <c r="CU16">
        <v>1.2798399999999999</v>
      </c>
      <c r="CV16" s="23">
        <v>0.19035880863666535</v>
      </c>
      <c r="CW16" s="24">
        <v>4.382967948913574E-4</v>
      </c>
      <c r="CX16">
        <v>0.06</v>
      </c>
      <c r="CY16">
        <v>33.642898030816568</v>
      </c>
      <c r="CZ16">
        <v>235825801.71103746</v>
      </c>
      <c r="DA16">
        <v>0.19035880863666535</v>
      </c>
      <c r="DB16">
        <v>10.108519773434846</v>
      </c>
      <c r="DC16">
        <v>784868959.83031702</v>
      </c>
      <c r="DD16">
        <v>0.18084086820483208</v>
      </c>
      <c r="DE16">
        <v>4.4296637272680153</v>
      </c>
      <c r="DF16">
        <v>1791075776.5111873</v>
      </c>
      <c r="DG16">
        <v>0.16751575160026552</v>
      </c>
      <c r="DH16">
        <v>2.3198071095810584</v>
      </c>
      <c r="DI16">
        <v>3420053058.3910499</v>
      </c>
      <c r="DJ16">
        <v>0.15228704690933229</v>
      </c>
      <c r="DK16">
        <v>0.87046443801806184</v>
      </c>
      <c r="DL16">
        <v>9114517553.4849072</v>
      </c>
      <c r="DM16">
        <v>0.13325116604566573</v>
      </c>
      <c r="DN16">
        <v>210000000</v>
      </c>
      <c r="DO16">
        <v>0.19035880863666535</v>
      </c>
      <c r="DP16">
        <v>7933863400</v>
      </c>
      <c r="DQ16">
        <v>1824933100</v>
      </c>
      <c r="DR16">
        <v>4140</v>
      </c>
      <c r="DS16">
        <v>0.23054297915403235</v>
      </c>
      <c r="DT16">
        <v>0.69042786551745239</v>
      </c>
      <c r="DU16" s="25">
        <v>0</v>
      </c>
      <c r="DV16">
        <v>0</v>
      </c>
      <c r="DW16">
        <v>0</v>
      </c>
      <c r="DX16">
        <v>-5.1465231788079473</v>
      </c>
      <c r="DY16">
        <v>0.39914401294498258</v>
      </c>
      <c r="DZ16">
        <v>-5.0277139820291907</v>
      </c>
      <c r="EA16">
        <v>2208</v>
      </c>
      <c r="EB16">
        <v>-5.0147987282680146</v>
      </c>
      <c r="EC16">
        <v>5</v>
      </c>
      <c r="ED16">
        <v>0.10980851546526368</v>
      </c>
      <c r="EE16">
        <v>0.58055506888924691</v>
      </c>
      <c r="EF16" s="22">
        <v>2.1121099999999999</v>
      </c>
      <c r="EG16">
        <v>2.1248100000000001</v>
      </c>
      <c r="EH16">
        <v>21.189144012944983</v>
      </c>
      <c r="EI16" t="s">
        <v>686</v>
      </c>
      <c r="EJ16">
        <v>0</v>
      </c>
      <c r="EK16">
        <v>0</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K9"/>
  <sheetViews>
    <sheetView workbookViewId="0">
      <selection activeCell="A9" sqref="A9"/>
    </sheetView>
  </sheetViews>
  <sheetFormatPr defaultRowHeight="14.4" x14ac:dyDescent="0.25"/>
  <cols>
    <col min="1" max="1" width="14.6640625" customWidth="1"/>
    <col min="2" max="2" width="41" customWidth="1"/>
    <col min="3" max="3" width="42.21875" customWidth="1"/>
    <col min="4" max="4" width="52.21875" customWidth="1"/>
  </cols>
  <sheetData>
    <row r="1" spans="1:141" s="16" customFormat="1" x14ac:dyDescent="0.25">
      <c r="A1" s="17" t="s">
        <v>309</v>
      </c>
      <c r="B1" s="20" t="s">
        <v>500</v>
      </c>
      <c r="C1" s="21" t="s">
        <v>501</v>
      </c>
      <c r="D1" s="20" t="s">
        <v>502</v>
      </c>
      <c r="E1" t="s">
        <v>2</v>
      </c>
      <c r="F1" t="s">
        <v>3</v>
      </c>
      <c r="G1" t="s">
        <v>0</v>
      </c>
      <c r="H1" t="s">
        <v>466</v>
      </c>
      <c r="I1" t="s">
        <v>503</v>
      </c>
      <c r="J1" t="s">
        <v>4</v>
      </c>
      <c r="K1" t="s">
        <v>5</v>
      </c>
      <c r="L1" t="s">
        <v>1</v>
      </c>
      <c r="M1" t="s">
        <v>6</v>
      </c>
      <c r="N1" t="s">
        <v>9</v>
      </c>
      <c r="O1" t="s">
        <v>10</v>
      </c>
      <c r="P1" t="s">
        <v>11</v>
      </c>
      <c r="Q1" t="s">
        <v>504</v>
      </c>
      <c r="R1" t="s">
        <v>467</v>
      </c>
      <c r="S1" t="s">
        <v>505</v>
      </c>
      <c r="T1" t="s">
        <v>12</v>
      </c>
      <c r="U1" t="s">
        <v>468</v>
      </c>
      <c r="V1" t="s">
        <v>469</v>
      </c>
      <c r="W1" t="s">
        <v>13</v>
      </c>
      <c r="X1" t="s">
        <v>388</v>
      </c>
      <c r="Y1" t="s">
        <v>389</v>
      </c>
      <c r="Z1" t="s">
        <v>390</v>
      </c>
      <c r="AA1" t="s">
        <v>391</v>
      </c>
      <c r="AB1" t="s">
        <v>392</v>
      </c>
      <c r="AC1" t="s">
        <v>470</v>
      </c>
      <c r="AD1" t="s">
        <v>393</v>
      </c>
      <c r="AE1" t="s">
        <v>506</v>
      </c>
      <c r="AF1" t="s">
        <v>14</v>
      </c>
      <c r="AG1" t="s">
        <v>15</v>
      </c>
      <c r="AH1" t="s">
        <v>471</v>
      </c>
      <c r="AI1" t="s">
        <v>507</v>
      </c>
      <c r="AJ1" t="s">
        <v>472</v>
      </c>
      <c r="AK1" t="s">
        <v>16</v>
      </c>
      <c r="AL1" t="s">
        <v>473</v>
      </c>
      <c r="AM1" t="s">
        <v>310</v>
      </c>
      <c r="AN1" t="s">
        <v>474</v>
      </c>
      <c r="AO1" t="s">
        <v>475</v>
      </c>
      <c r="AP1" t="s">
        <v>476</v>
      </c>
      <c r="AQ1" t="s">
        <v>477</v>
      </c>
      <c r="AR1" t="s">
        <v>478</v>
      </c>
      <c r="AS1" t="s">
        <v>479</v>
      </c>
      <c r="AT1" t="s">
        <v>480</v>
      </c>
      <c r="AU1" t="s">
        <v>481</v>
      </c>
      <c r="AV1" t="s">
        <v>482</v>
      </c>
      <c r="AW1" t="s">
        <v>483</v>
      </c>
      <c r="AX1" t="s">
        <v>484</v>
      </c>
      <c r="AY1" t="s">
        <v>508</v>
      </c>
      <c r="AZ1" t="s">
        <v>311</v>
      </c>
      <c r="BA1" t="s">
        <v>312</v>
      </c>
      <c r="BB1" t="s">
        <v>313</v>
      </c>
      <c r="BC1" t="s">
        <v>314</v>
      </c>
      <c r="BD1" t="s">
        <v>320</v>
      </c>
      <c r="BE1" t="s">
        <v>315</v>
      </c>
      <c r="BF1" t="s">
        <v>316</v>
      </c>
      <c r="BG1" t="s">
        <v>317</v>
      </c>
      <c r="BH1" t="s">
        <v>318</v>
      </c>
      <c r="BI1" t="s">
        <v>509</v>
      </c>
      <c r="BJ1" t="s">
        <v>485</v>
      </c>
      <c r="BK1" t="s">
        <v>319</v>
      </c>
      <c r="BL1" t="s">
        <v>486</v>
      </c>
      <c r="BM1" t="s">
        <v>487</v>
      </c>
      <c r="BN1" t="s">
        <v>488</v>
      </c>
      <c r="BO1" t="s">
        <v>489</v>
      </c>
      <c r="BP1" t="s">
        <v>321</v>
      </c>
      <c r="BQ1" t="s">
        <v>322</v>
      </c>
      <c r="BR1" t="s">
        <v>323</v>
      </c>
      <c r="BS1" t="s">
        <v>490</v>
      </c>
      <c r="BT1" t="s">
        <v>324</v>
      </c>
      <c r="BU1" t="s">
        <v>325</v>
      </c>
      <c r="BV1" t="s">
        <v>326</v>
      </c>
      <c r="BW1" t="s">
        <v>491</v>
      </c>
      <c r="BX1" t="s">
        <v>327</v>
      </c>
      <c r="BY1" t="s">
        <v>328</v>
      </c>
      <c r="BZ1" t="s">
        <v>492</v>
      </c>
      <c r="CA1" t="s">
        <v>329</v>
      </c>
      <c r="CB1" t="s">
        <v>330</v>
      </c>
      <c r="CC1" t="s">
        <v>510</v>
      </c>
      <c r="CD1" t="s">
        <v>511</v>
      </c>
      <c r="CE1" t="s">
        <v>512</v>
      </c>
      <c r="CF1" t="s">
        <v>513</v>
      </c>
      <c r="CG1" s="1" t="s">
        <v>394</v>
      </c>
      <c r="CH1" s="1" t="s">
        <v>395</v>
      </c>
      <c r="CI1" s="1" t="s">
        <v>396</v>
      </c>
      <c r="CJ1" s="1" t="s">
        <v>397</v>
      </c>
      <c r="CK1" s="1" t="s">
        <v>398</v>
      </c>
      <c r="CL1" s="1" t="s">
        <v>399</v>
      </c>
      <c r="CM1" s="1" t="s">
        <v>400</v>
      </c>
      <c r="CN1" s="1" t="s">
        <v>401</v>
      </c>
      <c r="CO1" s="1" t="s">
        <v>402</v>
      </c>
      <c r="CP1" s="1" t="s">
        <v>403</v>
      </c>
      <c r="CQ1" s="1" t="s">
        <v>404</v>
      </c>
      <c r="CR1" s="1" t="s">
        <v>405</v>
      </c>
      <c r="CS1" s="1" t="s">
        <v>406</v>
      </c>
      <c r="CT1" s="1" t="s">
        <v>407</v>
      </c>
      <c r="CU1" s="1" t="s">
        <v>408</v>
      </c>
      <c r="CV1" s="1" t="s">
        <v>409</v>
      </c>
      <c r="CW1" s="1" t="s">
        <v>410</v>
      </c>
      <c r="CX1" s="1" t="s">
        <v>297</v>
      </c>
      <c r="CY1">
        <v>1</v>
      </c>
      <c r="CZ1" t="s">
        <v>411</v>
      </c>
      <c r="DA1" t="s">
        <v>412</v>
      </c>
      <c r="DB1">
        <v>3</v>
      </c>
      <c r="DC1" t="s">
        <v>413</v>
      </c>
      <c r="DD1" t="s">
        <v>414</v>
      </c>
      <c r="DE1">
        <v>6</v>
      </c>
      <c r="DF1" t="s">
        <v>415</v>
      </c>
      <c r="DG1" t="s">
        <v>525</v>
      </c>
      <c r="DH1">
        <v>10</v>
      </c>
      <c r="DI1" t="s">
        <v>526</v>
      </c>
      <c r="DJ1" t="s">
        <v>416</v>
      </c>
      <c r="DK1">
        <v>20</v>
      </c>
      <c r="DL1" t="s">
        <v>417</v>
      </c>
      <c r="DM1" t="s">
        <v>418</v>
      </c>
      <c r="DN1" t="s">
        <v>419</v>
      </c>
      <c r="DO1" s="2" t="s">
        <v>420</v>
      </c>
      <c r="DP1" t="s">
        <v>431</v>
      </c>
      <c r="DQ1" t="s">
        <v>421</v>
      </c>
      <c r="DR1" s="1" t="s">
        <v>531</v>
      </c>
      <c r="DS1" s="1" t="s">
        <v>532</v>
      </c>
      <c r="DT1" s="1" t="s">
        <v>422</v>
      </c>
      <c r="DU1" t="s">
        <v>423</v>
      </c>
      <c r="DV1" t="s">
        <v>424</v>
      </c>
      <c r="DW1" t="s">
        <v>425</v>
      </c>
      <c r="DX1" t="s">
        <v>426</v>
      </c>
      <c r="DY1" t="s">
        <v>538</v>
      </c>
      <c r="DZ1" t="s">
        <v>427</v>
      </c>
      <c r="EA1" t="s">
        <v>428</v>
      </c>
      <c r="EB1" t="s">
        <v>429</v>
      </c>
      <c r="EC1" t="s">
        <v>430</v>
      </c>
      <c r="ED1" t="s">
        <v>462</v>
      </c>
      <c r="EE1" t="s">
        <v>463</v>
      </c>
      <c r="EF1" t="s">
        <v>545</v>
      </c>
      <c r="EG1" t="s">
        <v>546</v>
      </c>
      <c r="EH1" t="s">
        <v>547</v>
      </c>
      <c r="EI1" t="s">
        <v>548</v>
      </c>
      <c r="EJ1" t="s">
        <v>549</v>
      </c>
      <c r="EK1"/>
    </row>
    <row r="2" spans="1:141" s="16" customFormat="1" ht="71.55" customHeight="1" x14ac:dyDescent="0.25">
      <c r="A2" s="27" t="s">
        <v>695</v>
      </c>
      <c r="B2" s="29"/>
      <c r="C2" s="30">
        <v>3</v>
      </c>
      <c r="D2" s="30">
        <v>9</v>
      </c>
      <c r="T2" s="18"/>
      <c r="U2" s="18"/>
      <c r="V2" s="18"/>
      <c r="AB2" s="19"/>
    </row>
    <row r="3" spans="1:141" ht="108" x14ac:dyDescent="0.25">
      <c r="A3" t="s">
        <v>2968</v>
      </c>
      <c r="B3" s="3" t="s">
        <v>1923</v>
      </c>
      <c r="C3" s="3" t="s">
        <v>1924</v>
      </c>
      <c r="D3" s="31" t="s">
        <v>1925</v>
      </c>
      <c r="E3" t="s">
        <v>1905</v>
      </c>
      <c r="F3" t="s">
        <v>1906</v>
      </c>
      <c r="G3">
        <v>10.75</v>
      </c>
      <c r="H3">
        <v>3.56</v>
      </c>
      <c r="I3" t="s">
        <v>1926</v>
      </c>
      <c r="J3">
        <v>13069052100</v>
      </c>
      <c r="K3">
        <v>25.4</v>
      </c>
      <c r="L3">
        <v>2.25</v>
      </c>
      <c r="M3" t="s">
        <v>1922</v>
      </c>
      <c r="N3" t="s">
        <v>1927</v>
      </c>
      <c r="O3" t="s">
        <v>1928</v>
      </c>
      <c r="P3" t="s">
        <v>1929</v>
      </c>
      <c r="Q3">
        <v>53.6</v>
      </c>
      <c r="R3" t="s">
        <v>1930</v>
      </c>
      <c r="S3">
        <v>166118350</v>
      </c>
      <c r="T3" s="4">
        <v>2.298</v>
      </c>
      <c r="U3" t="s">
        <v>256</v>
      </c>
      <c r="V3">
        <v>1215725770</v>
      </c>
      <c r="W3">
        <v>1215725770</v>
      </c>
      <c r="X3">
        <v>1.56</v>
      </c>
      <c r="Y3">
        <v>0.22</v>
      </c>
      <c r="Z3">
        <v>6.68</v>
      </c>
      <c r="AA3" t="s">
        <v>1931</v>
      </c>
      <c r="AB3" t="s">
        <v>1932</v>
      </c>
      <c r="AC3" t="s">
        <v>1933</v>
      </c>
      <c r="AD3" t="s">
        <v>1934</v>
      </c>
      <c r="AE3" t="s">
        <v>1935</v>
      </c>
      <c r="AF3">
        <v>16535897</v>
      </c>
      <c r="AG3" t="s">
        <v>1936</v>
      </c>
      <c r="AH3" t="s">
        <v>1937</v>
      </c>
      <c r="AI3" t="s">
        <v>1938</v>
      </c>
      <c r="AJ3" t="s">
        <v>1939</v>
      </c>
      <c r="AK3" t="s">
        <v>1940</v>
      </c>
      <c r="AL3" t="s">
        <v>1941</v>
      </c>
      <c r="AM3" t="s">
        <v>1942</v>
      </c>
      <c r="AN3" t="s">
        <v>7</v>
      </c>
      <c r="AO3" t="s">
        <v>63</v>
      </c>
      <c r="AP3" t="s">
        <v>387</v>
      </c>
      <c r="AQ3" t="s">
        <v>1943</v>
      </c>
      <c r="AR3" t="s">
        <v>43</v>
      </c>
      <c r="AS3" t="s">
        <v>7</v>
      </c>
      <c r="AT3" t="s">
        <v>1944</v>
      </c>
      <c r="AU3" t="s">
        <v>150</v>
      </c>
      <c r="AV3" t="s">
        <v>1945</v>
      </c>
      <c r="AW3" t="s">
        <v>683</v>
      </c>
      <c r="AX3" t="s">
        <v>657</v>
      </c>
      <c r="AY3" t="s">
        <v>577</v>
      </c>
      <c r="AZ3" t="s">
        <v>361</v>
      </c>
      <c r="BA3" t="s">
        <v>1946</v>
      </c>
      <c r="BB3" t="s">
        <v>1947</v>
      </c>
      <c r="BC3" t="s">
        <v>1948</v>
      </c>
      <c r="BD3" t="s">
        <v>630</v>
      </c>
      <c r="BE3" t="s">
        <v>148</v>
      </c>
      <c r="BF3" t="s">
        <v>1949</v>
      </c>
      <c r="BG3" t="s">
        <v>104</v>
      </c>
      <c r="BH3" t="s">
        <v>157</v>
      </c>
      <c r="BI3" t="s">
        <v>1930</v>
      </c>
      <c r="BJ3" t="s">
        <v>1950</v>
      </c>
      <c r="BK3" t="s">
        <v>577</v>
      </c>
      <c r="BL3" t="s">
        <v>256</v>
      </c>
      <c r="BM3" t="s">
        <v>1951</v>
      </c>
      <c r="BN3" t="s">
        <v>630</v>
      </c>
      <c r="BO3">
        <v>6.74</v>
      </c>
      <c r="BP3">
        <v>2.59</v>
      </c>
      <c r="BQ3">
        <v>4.16</v>
      </c>
      <c r="BR3">
        <v>5.37</v>
      </c>
      <c r="BS3">
        <v>8.2899999999999991</v>
      </c>
      <c r="BT3">
        <v>2.8</v>
      </c>
      <c r="BU3">
        <v>4.45</v>
      </c>
      <c r="BV3">
        <v>5.67</v>
      </c>
      <c r="BW3">
        <v>16.16</v>
      </c>
      <c r="BX3">
        <v>14.6</v>
      </c>
      <c r="BY3">
        <v>19.03</v>
      </c>
      <c r="BZ3">
        <v>6.68</v>
      </c>
      <c r="CA3">
        <v>3.37</v>
      </c>
      <c r="CB3">
        <v>6.08</v>
      </c>
      <c r="CC3">
        <v>1.8</v>
      </c>
      <c r="CD3">
        <v>-10.27</v>
      </c>
      <c r="CE3" t="s">
        <v>198</v>
      </c>
      <c r="CF3" t="s">
        <v>384</v>
      </c>
      <c r="CG3" s="23">
        <v>0.68010653696498058</v>
      </c>
      <c r="CH3" s="24">
        <v>2.2978573243653169</v>
      </c>
      <c r="CI3" s="23">
        <v>0.53611338138580322</v>
      </c>
      <c r="CJ3" s="23">
        <v>0.15291206538677216</v>
      </c>
      <c r="CK3" s="23">
        <v>-3.1212454661726952E-2</v>
      </c>
      <c r="CL3" s="23">
        <v>6.9319605827331543E-2</v>
      </c>
      <c r="CM3" s="23">
        <v>9.9971801042556763E-2</v>
      </c>
      <c r="CN3" s="24">
        <v>2.0930233001708984</v>
      </c>
      <c r="CO3" s="24">
        <v>-0.35820895433425903</v>
      </c>
      <c r="CP3" s="24">
        <v>-0.18951612710952759</v>
      </c>
      <c r="CQ3" s="24">
        <v>-0.12056737393140793</v>
      </c>
      <c r="CR3" s="24">
        <v>-0.11041009426116943</v>
      </c>
      <c r="CS3">
        <v>1.8288625944584385</v>
      </c>
      <c r="CT3">
        <v>39892092.731829576</v>
      </c>
      <c r="CU3">
        <v>2.2925759999999999</v>
      </c>
      <c r="CV3" s="23">
        <v>0.16542087979614734</v>
      </c>
      <c r="CW3" s="24">
        <v>0.26286415010690689</v>
      </c>
      <c r="CX3">
        <v>0.06</v>
      </c>
      <c r="CY3">
        <v>22.886856223095783</v>
      </c>
      <c r="CZ3">
        <v>438682010.41383284</v>
      </c>
      <c r="DA3">
        <v>0.16542087979614734</v>
      </c>
      <c r="DB3">
        <v>7.0204000778706908</v>
      </c>
      <c r="DC3">
        <v>1430125347.3641319</v>
      </c>
      <c r="DD3">
        <v>0.15714983580633995</v>
      </c>
      <c r="DE3">
        <v>3.1680792248601195</v>
      </c>
      <c r="DF3">
        <v>3169129111.8022151</v>
      </c>
      <c r="DG3">
        <v>0.14557037422060964</v>
      </c>
      <c r="DH3">
        <v>1.7190994828105213</v>
      </c>
      <c r="DI3">
        <v>5840297318.6785679</v>
      </c>
      <c r="DJ3">
        <v>0.13233670383691787</v>
      </c>
      <c r="DK3">
        <v>0.70303123270582324</v>
      </c>
      <c r="DL3">
        <v>14281089705.442951</v>
      </c>
      <c r="DM3">
        <v>0.11579461585730312</v>
      </c>
      <c r="DN3">
        <v>399000000</v>
      </c>
      <c r="DO3">
        <v>0.16542087979614734</v>
      </c>
      <c r="DP3">
        <v>10040052100</v>
      </c>
      <c r="DQ3">
        <v>4791290300</v>
      </c>
      <c r="DR3">
        <v>425</v>
      </c>
      <c r="DS3">
        <v>0.51468565716883319</v>
      </c>
      <c r="DT3">
        <v>2.03499317425841</v>
      </c>
      <c r="DU3" s="25">
        <v>0.53666666666666663</v>
      </c>
      <c r="DV3">
        <v>0.45666666666666661</v>
      </c>
      <c r="DW3">
        <v>0.99333333333333318</v>
      </c>
      <c r="DX3">
        <v>-2.1027</v>
      </c>
      <c r="DY3">
        <v>0.39774445893090071</v>
      </c>
      <c r="DZ3">
        <v>-2.0192813559322036</v>
      </c>
      <c r="EA3">
        <v>1248</v>
      </c>
      <c r="EB3">
        <v>-2.0141821543633562</v>
      </c>
      <c r="EC3">
        <v>2</v>
      </c>
      <c r="ED3">
        <v>0.11844776474549848</v>
      </c>
      <c r="EE3">
        <v>0.63089885805414814</v>
      </c>
      <c r="EF3" s="22">
        <v>-1.0201</v>
      </c>
      <c r="EG3">
        <v>-1.0557000000000001</v>
      </c>
      <c r="EH3">
        <v>21.187744458930901</v>
      </c>
      <c r="EI3" t="s">
        <v>499</v>
      </c>
      <c r="EJ3">
        <v>0</v>
      </c>
      <c r="EK3">
        <v>1</v>
      </c>
    </row>
    <row r="4" spans="1:141" ht="151.19999999999999" x14ac:dyDescent="0.25">
      <c r="A4" t="s">
        <v>2967</v>
      </c>
      <c r="B4" s="3" t="s">
        <v>1952</v>
      </c>
      <c r="C4" s="3" t="s">
        <v>1953</v>
      </c>
      <c r="D4" s="3" t="s">
        <v>1954</v>
      </c>
      <c r="E4" t="s">
        <v>1907</v>
      </c>
      <c r="F4" t="s">
        <v>1908</v>
      </c>
      <c r="G4">
        <v>15.29</v>
      </c>
      <c r="H4">
        <v>3.1</v>
      </c>
      <c r="I4" t="s">
        <v>1955</v>
      </c>
      <c r="J4">
        <v>24872428000</v>
      </c>
      <c r="K4">
        <v>20.260000000000002</v>
      </c>
      <c r="L4">
        <v>3.51</v>
      </c>
      <c r="M4" t="s">
        <v>1922</v>
      </c>
      <c r="N4" t="s">
        <v>1956</v>
      </c>
      <c r="O4" t="s">
        <v>1957</v>
      </c>
      <c r="P4" t="s">
        <v>1958</v>
      </c>
      <c r="Q4">
        <v>55.54</v>
      </c>
      <c r="R4" t="s">
        <v>1959</v>
      </c>
      <c r="S4">
        <v>365832490</v>
      </c>
      <c r="T4" s="4">
        <v>0.41589999999999999</v>
      </c>
      <c r="U4" t="s">
        <v>379</v>
      </c>
      <c r="V4">
        <v>1604134500</v>
      </c>
      <c r="W4">
        <v>1626712100</v>
      </c>
      <c r="X4">
        <v>1.95</v>
      </c>
      <c r="Y4">
        <v>0.31</v>
      </c>
      <c r="Z4">
        <v>8.8800000000000008</v>
      </c>
      <c r="AA4" t="s">
        <v>1960</v>
      </c>
      <c r="AB4" t="s">
        <v>1961</v>
      </c>
      <c r="AC4" t="s">
        <v>1962</v>
      </c>
      <c r="AD4" t="s">
        <v>98</v>
      </c>
      <c r="AE4" t="s">
        <v>619</v>
      </c>
      <c r="AF4">
        <v>22711694</v>
      </c>
      <c r="AG4" t="s">
        <v>1963</v>
      </c>
      <c r="AH4" t="s">
        <v>1964</v>
      </c>
      <c r="AI4" t="s">
        <v>1965</v>
      </c>
      <c r="AJ4" t="s">
        <v>1966</v>
      </c>
      <c r="AK4" t="s">
        <v>1967</v>
      </c>
      <c r="AL4" t="s">
        <v>1968</v>
      </c>
      <c r="AM4" t="s">
        <v>1969</v>
      </c>
      <c r="AN4" t="s">
        <v>7</v>
      </c>
      <c r="AO4" t="s">
        <v>60</v>
      </c>
      <c r="AP4" t="s">
        <v>1970</v>
      </c>
      <c r="AQ4" t="s">
        <v>1971</v>
      </c>
      <c r="AR4" t="s">
        <v>1972</v>
      </c>
      <c r="AS4" t="s">
        <v>1973</v>
      </c>
      <c r="AT4" t="s">
        <v>1974</v>
      </c>
      <c r="AU4" t="s">
        <v>1975</v>
      </c>
      <c r="AV4" t="s">
        <v>118</v>
      </c>
      <c r="AW4" t="s">
        <v>654</v>
      </c>
      <c r="AX4" t="s">
        <v>1976</v>
      </c>
      <c r="AY4" t="s">
        <v>1977</v>
      </c>
      <c r="AZ4" t="s">
        <v>596</v>
      </c>
      <c r="BA4" t="s">
        <v>1978</v>
      </c>
      <c r="BB4" t="s">
        <v>1979</v>
      </c>
      <c r="BC4" t="s">
        <v>1980</v>
      </c>
      <c r="BD4" t="s">
        <v>94</v>
      </c>
      <c r="BE4" t="s">
        <v>771</v>
      </c>
      <c r="BF4" t="s">
        <v>1981</v>
      </c>
      <c r="BG4" t="s">
        <v>1982</v>
      </c>
      <c r="BH4" t="s">
        <v>218</v>
      </c>
      <c r="BI4" t="s">
        <v>1959</v>
      </c>
      <c r="BJ4" t="s">
        <v>1983</v>
      </c>
      <c r="BK4" t="s">
        <v>1977</v>
      </c>
      <c r="BL4" t="s">
        <v>379</v>
      </c>
      <c r="BM4" t="s">
        <v>51</v>
      </c>
      <c r="BN4" t="s">
        <v>94</v>
      </c>
      <c r="BO4">
        <v>13.03</v>
      </c>
      <c r="BP4">
        <v>14.1</v>
      </c>
      <c r="BQ4">
        <v>11.83</v>
      </c>
      <c r="BR4">
        <v>13.7</v>
      </c>
      <c r="BS4">
        <v>17.75</v>
      </c>
      <c r="BT4">
        <v>18.02</v>
      </c>
      <c r="BU4">
        <v>13.94</v>
      </c>
      <c r="BV4">
        <v>14.08</v>
      </c>
      <c r="BW4">
        <v>18.170000000000002</v>
      </c>
      <c r="BX4">
        <v>24.78</v>
      </c>
      <c r="BY4">
        <v>22.81</v>
      </c>
      <c r="BZ4">
        <v>8.8800000000000008</v>
      </c>
      <c r="CA4">
        <v>12.52</v>
      </c>
      <c r="CB4">
        <v>10.57</v>
      </c>
      <c r="CC4">
        <v>6.11</v>
      </c>
      <c r="CD4">
        <v>9.14</v>
      </c>
      <c r="CE4" t="s">
        <v>209</v>
      </c>
      <c r="CF4" t="s">
        <v>91</v>
      </c>
      <c r="CG4" s="23">
        <v>0.71844663799843633</v>
      </c>
      <c r="CH4" s="24">
        <v>0.41795538759689921</v>
      </c>
      <c r="CI4" s="23">
        <v>0.55526769161224365</v>
      </c>
      <c r="CJ4" s="23">
        <v>0.23491775989532471</v>
      </c>
      <c r="CK4" s="23">
        <v>1.1557991616427898E-2</v>
      </c>
      <c r="CL4" s="23">
        <v>3.0490709468722343E-2</v>
      </c>
      <c r="CM4" s="23">
        <v>0.33694261312484741</v>
      </c>
      <c r="CN4" s="24">
        <v>0.10453648865222931</v>
      </c>
      <c r="CO4" s="24">
        <v>0.46743848919868469</v>
      </c>
      <c r="CP4" s="24">
        <v>2.9027576092630625E-3</v>
      </c>
      <c r="CQ4" s="24">
        <v>0.13322368264198303</v>
      </c>
      <c r="CR4" s="24">
        <v>0.37868481874465942</v>
      </c>
      <c r="CS4">
        <v>1.972906163242643</v>
      </c>
      <c r="CT4">
        <v>25741975.892857142</v>
      </c>
      <c r="CU4">
        <v>5.367960000000001</v>
      </c>
      <c r="CV4" s="23">
        <v>0.2338353531435132</v>
      </c>
      <c r="CW4" s="24">
        <v>0.2173572473693639</v>
      </c>
      <c r="CX4">
        <v>0.06</v>
      </c>
      <c r="CY4">
        <v>19.818916688622632</v>
      </c>
      <c r="CZ4">
        <v>1303675090.1139007</v>
      </c>
      <c r="DA4">
        <v>0.2338353531435132</v>
      </c>
      <c r="DB4">
        <v>5.7457837473864863</v>
      </c>
      <c r="DC4">
        <v>4496763041.5523996</v>
      </c>
      <c r="DD4">
        <v>0.22214358548633753</v>
      </c>
      <c r="DE4">
        <v>2.3908709746749843</v>
      </c>
      <c r="DF4">
        <v>10806701103.355167</v>
      </c>
      <c r="DG4">
        <v>0.20577511076629162</v>
      </c>
      <c r="DH4">
        <v>1.1745635809110933</v>
      </c>
      <c r="DI4">
        <v>21997470737.138172</v>
      </c>
      <c r="DJ4">
        <v>0.18706828251481056</v>
      </c>
      <c r="DK4">
        <v>0.37609345412949258</v>
      </c>
      <c r="DL4">
        <v>68699488694.381599</v>
      </c>
      <c r="DM4">
        <v>0.16368474720045922</v>
      </c>
      <c r="DN4">
        <v>1120000000</v>
      </c>
      <c r="DO4">
        <v>0.2338353531435132</v>
      </c>
      <c r="DP4">
        <v>25837428000</v>
      </c>
      <c r="DQ4">
        <v>2658949500</v>
      </c>
      <c r="DR4">
        <v>539</v>
      </c>
      <c r="DS4">
        <v>0.48461128485492311</v>
      </c>
      <c r="DT4">
        <v>0.2005981402275353</v>
      </c>
      <c r="DU4" s="25">
        <v>0.6366666666666666</v>
      </c>
      <c r="DV4">
        <v>0.47</v>
      </c>
      <c r="DW4">
        <v>1.1066666666666665</v>
      </c>
      <c r="DX4">
        <v>9.6684901531728666</v>
      </c>
      <c r="DY4">
        <v>0.64775956284153324</v>
      </c>
      <c r="DZ4">
        <v>9.1789946311774351</v>
      </c>
      <c r="EA4">
        <v>1089</v>
      </c>
      <c r="EB4">
        <v>9.1376881778287959</v>
      </c>
      <c r="EC4">
        <v>9</v>
      </c>
      <c r="ED4">
        <v>0.12048843799711086</v>
      </c>
      <c r="EE4">
        <v>0.44998743170349564</v>
      </c>
      <c r="EF4" s="22">
        <v>-1.085</v>
      </c>
      <c r="EG4">
        <v>-1.1160000000000001</v>
      </c>
      <c r="EH4">
        <v>38.267759562841533</v>
      </c>
      <c r="EI4" t="s">
        <v>499</v>
      </c>
      <c r="EJ4">
        <v>1</v>
      </c>
      <c r="EK4">
        <v>1</v>
      </c>
    </row>
    <row r="5" spans="1:141" x14ac:dyDescent="0.25">
      <c r="A5" t="s">
        <v>2969</v>
      </c>
      <c r="B5" s="28"/>
      <c r="C5" s="28"/>
      <c r="D5" s="28"/>
      <c r="E5" t="s">
        <v>1909</v>
      </c>
      <c r="F5" t="s">
        <v>1910</v>
      </c>
      <c r="G5">
        <v>9.4</v>
      </c>
      <c r="H5">
        <v>2.29</v>
      </c>
      <c r="I5" t="s">
        <v>141</v>
      </c>
      <c r="J5">
        <v>44965109000</v>
      </c>
      <c r="K5">
        <v>45.93</v>
      </c>
      <c r="L5">
        <v>3.09</v>
      </c>
      <c r="M5" t="s">
        <v>691</v>
      </c>
      <c r="N5" t="s">
        <v>1984</v>
      </c>
      <c r="O5" t="s">
        <v>1985</v>
      </c>
      <c r="P5" t="s">
        <v>1986</v>
      </c>
      <c r="Q5">
        <v>86.78</v>
      </c>
      <c r="R5" t="s">
        <v>1987</v>
      </c>
      <c r="S5">
        <v>331666490</v>
      </c>
      <c r="T5" s="4">
        <v>0.20230000000000001</v>
      </c>
      <c r="U5" t="s">
        <v>1988</v>
      </c>
      <c r="V5">
        <v>4761926200</v>
      </c>
      <c r="W5">
        <v>4783522300</v>
      </c>
      <c r="X5">
        <v>2.39</v>
      </c>
      <c r="Y5">
        <v>0.19</v>
      </c>
      <c r="Z5">
        <v>5.04</v>
      </c>
      <c r="AA5" t="s">
        <v>1989</v>
      </c>
      <c r="AB5" t="s">
        <v>1990</v>
      </c>
      <c r="AC5" t="s">
        <v>1991</v>
      </c>
      <c r="AD5" t="s">
        <v>1136</v>
      </c>
      <c r="AE5" t="s">
        <v>7</v>
      </c>
      <c r="AF5">
        <v>192670350</v>
      </c>
      <c r="AG5" t="s">
        <v>1992</v>
      </c>
      <c r="AH5" t="s">
        <v>1993</v>
      </c>
      <c r="AI5" t="s">
        <v>1994</v>
      </c>
      <c r="AJ5" t="s">
        <v>1995</v>
      </c>
      <c r="AK5" t="s">
        <v>1996</v>
      </c>
      <c r="AL5" t="s">
        <v>1997</v>
      </c>
      <c r="AM5" t="s">
        <v>1998</v>
      </c>
      <c r="AN5" t="s">
        <v>7</v>
      </c>
      <c r="AO5" t="s">
        <v>1999</v>
      </c>
      <c r="AP5" t="s">
        <v>2000</v>
      </c>
      <c r="AQ5" t="s">
        <v>2001</v>
      </c>
      <c r="AR5" t="s">
        <v>2002</v>
      </c>
      <c r="AS5" t="s">
        <v>7</v>
      </c>
      <c r="AT5" t="s">
        <v>2003</v>
      </c>
      <c r="AU5" t="s">
        <v>2004</v>
      </c>
      <c r="AV5" t="s">
        <v>2005</v>
      </c>
      <c r="AW5" t="s">
        <v>2006</v>
      </c>
      <c r="AX5" t="s">
        <v>2007</v>
      </c>
      <c r="AY5" t="s">
        <v>2008</v>
      </c>
      <c r="AZ5" t="s">
        <v>2009</v>
      </c>
      <c r="BA5" t="s">
        <v>2010</v>
      </c>
      <c r="BB5" t="s">
        <v>2011</v>
      </c>
      <c r="BC5" t="s">
        <v>2012</v>
      </c>
      <c r="BD5" t="s">
        <v>172</v>
      </c>
      <c r="BE5" t="s">
        <v>2013</v>
      </c>
      <c r="BF5" t="s">
        <v>2014</v>
      </c>
      <c r="BG5" t="s">
        <v>341</v>
      </c>
      <c r="BH5" t="s">
        <v>239</v>
      </c>
      <c r="BI5" t="s">
        <v>2015</v>
      </c>
      <c r="BJ5" t="s">
        <v>2016</v>
      </c>
      <c r="BK5" t="s">
        <v>2008</v>
      </c>
      <c r="BL5" t="s">
        <v>1988</v>
      </c>
      <c r="BM5" t="s">
        <v>70</v>
      </c>
      <c r="BN5" t="s">
        <v>172</v>
      </c>
      <c r="BO5">
        <v>3.35</v>
      </c>
      <c r="BP5">
        <v>1.67</v>
      </c>
      <c r="BQ5">
        <v>3.22</v>
      </c>
      <c r="BR5">
        <v>3.59</v>
      </c>
      <c r="BS5">
        <v>6.72</v>
      </c>
      <c r="BT5">
        <v>3.38</v>
      </c>
      <c r="BU5">
        <v>7.26</v>
      </c>
      <c r="BV5">
        <v>8.75</v>
      </c>
      <c r="BW5">
        <v>17.22</v>
      </c>
      <c r="BX5">
        <v>16.66</v>
      </c>
      <c r="BY5">
        <v>18.09</v>
      </c>
      <c r="BZ5">
        <v>4.9800000000000004</v>
      </c>
      <c r="CA5">
        <v>3.43</v>
      </c>
      <c r="CB5">
        <v>5.22</v>
      </c>
      <c r="CC5">
        <v>3.3</v>
      </c>
      <c r="CD5">
        <v>28.4</v>
      </c>
      <c r="CE5" t="s">
        <v>85</v>
      </c>
      <c r="CF5" t="s">
        <v>2017</v>
      </c>
      <c r="CG5" s="23">
        <v>0.86778254691689027</v>
      </c>
      <c r="CH5" s="24">
        <v>0.20169018115942028</v>
      </c>
      <c r="CI5" s="23">
        <v>0.54829132556915283</v>
      </c>
      <c r="CJ5" s="23">
        <v>-0.13153128325939178</v>
      </c>
      <c r="CK5" s="23">
        <v>3.4298907965421677E-2</v>
      </c>
      <c r="CL5" s="23">
        <v>0.29073658585548401</v>
      </c>
      <c r="CM5" s="23">
        <v>0.37212860584259033</v>
      </c>
      <c r="CN5" s="24">
        <v>1.2348668575286865</v>
      </c>
      <c r="CO5" s="24">
        <v>-0.43809524178504944</v>
      </c>
      <c r="CP5" s="24">
        <v>6.8493150174617767E-3</v>
      </c>
      <c r="CQ5" s="24">
        <v>0.19672131538391113</v>
      </c>
      <c r="CR5" s="24">
        <v>1.3106060028076172</v>
      </c>
      <c r="CS5">
        <v>2.3296776850940364</v>
      </c>
      <c r="CT5">
        <v>34494612.134344526</v>
      </c>
      <c r="CU5">
        <v>2.2886640000000003</v>
      </c>
      <c r="CV5" s="23">
        <v>0.22278482839465141</v>
      </c>
      <c r="CW5" s="24">
        <v>0.46218964979052546</v>
      </c>
      <c r="CX5">
        <v>0.06</v>
      </c>
      <c r="CY5">
        <v>48.181562098113943</v>
      </c>
      <c r="CZ5">
        <v>1064745657.1776067</v>
      </c>
      <c r="DA5">
        <v>0.22278482839465141</v>
      </c>
      <c r="DB5">
        <v>14.095483789069739</v>
      </c>
      <c r="DC5">
        <v>3639542265.2879176</v>
      </c>
      <c r="DD5">
        <v>0.21164558697491884</v>
      </c>
      <c r="DE5">
        <v>5.9432847442516934</v>
      </c>
      <c r="DF5">
        <v>8631777074.0528793</v>
      </c>
      <c r="DG5">
        <v>0.19605064898729324</v>
      </c>
      <c r="DH5">
        <v>2.9682481600373158</v>
      </c>
      <c r="DI5">
        <v>17283295140.442387</v>
      </c>
      <c r="DJ5">
        <v>0.17822786271572114</v>
      </c>
      <c r="DK5">
        <v>0.99045258076782983</v>
      </c>
      <c r="DL5">
        <v>51795623532.254089</v>
      </c>
      <c r="DM5">
        <v>0.15594937987625598</v>
      </c>
      <c r="DN5">
        <v>923000000</v>
      </c>
      <c r="DO5">
        <v>0.22278482839465141</v>
      </c>
      <c r="DP5">
        <v>51301109000</v>
      </c>
      <c r="DQ5">
        <v>4131621000</v>
      </c>
      <c r="DR5">
        <v>821</v>
      </c>
      <c r="DS5">
        <v>0.64499771852223886</v>
      </c>
      <c r="DT5">
        <v>-0.26049946863110518</v>
      </c>
      <c r="DU5" s="25">
        <v>0.22</v>
      </c>
      <c r="DV5">
        <v>0.22</v>
      </c>
      <c r="DW5">
        <v>0.44</v>
      </c>
      <c r="DX5">
        <v>8.1161971830985919</v>
      </c>
      <c r="DY5">
        <v>0.37509259259259164</v>
      </c>
      <c r="DZ5">
        <v>8.0180213223787167</v>
      </c>
      <c r="EA5">
        <v>833</v>
      </c>
      <c r="EB5">
        <v>8.0148529472116685</v>
      </c>
      <c r="EC5">
        <v>8</v>
      </c>
      <c r="ED5">
        <v>0.14006415314505799</v>
      </c>
      <c r="EE5">
        <v>0.90310021132335894</v>
      </c>
      <c r="EF5" s="22">
        <v>1.0666</v>
      </c>
      <c r="EG5">
        <v>1.0894999999999999</v>
      </c>
      <c r="EH5">
        <v>22.155092592592592</v>
      </c>
      <c r="EI5" t="s">
        <v>498</v>
      </c>
      <c r="EJ5">
        <v>0</v>
      </c>
      <c r="EK5">
        <v>1</v>
      </c>
    </row>
    <row r="6" spans="1:141" x14ac:dyDescent="0.25">
      <c r="A6" t="s">
        <v>2970</v>
      </c>
      <c r="B6" s="28"/>
      <c r="C6" s="28"/>
      <c r="D6" s="28"/>
      <c r="E6" t="s">
        <v>1911</v>
      </c>
      <c r="F6" t="s">
        <v>1912</v>
      </c>
      <c r="G6">
        <v>10.14</v>
      </c>
      <c r="H6">
        <v>0.5</v>
      </c>
      <c r="I6" t="s">
        <v>2018</v>
      </c>
      <c r="J6">
        <v>2911151200</v>
      </c>
      <c r="K6">
        <v>247.2</v>
      </c>
      <c r="L6">
        <v>2.34</v>
      </c>
      <c r="M6" t="s">
        <v>691</v>
      </c>
      <c r="N6" t="s">
        <v>349</v>
      </c>
      <c r="O6" t="s">
        <v>2019</v>
      </c>
      <c r="P6" t="s">
        <v>2020</v>
      </c>
      <c r="Q6">
        <v>10.039999999999999</v>
      </c>
      <c r="R6" t="s">
        <v>1282</v>
      </c>
      <c r="S6">
        <v>20062305</v>
      </c>
      <c r="T6" s="4">
        <v>-4.5999999999999999E-2</v>
      </c>
      <c r="U6" t="s">
        <v>2021</v>
      </c>
      <c r="V6">
        <v>157827630</v>
      </c>
      <c r="W6">
        <v>287095780</v>
      </c>
      <c r="X6">
        <v>2.7</v>
      </c>
      <c r="Y6">
        <v>0.17</v>
      </c>
      <c r="Z6">
        <v>3.27</v>
      </c>
      <c r="AA6" t="s">
        <v>928</v>
      </c>
      <c r="AB6" t="s">
        <v>1148</v>
      </c>
      <c r="AC6" t="s">
        <v>2022</v>
      </c>
      <c r="AD6" t="s">
        <v>2023</v>
      </c>
      <c r="AE6" t="s">
        <v>7</v>
      </c>
      <c r="AF6">
        <v>21844348</v>
      </c>
      <c r="AG6" t="s">
        <v>2024</v>
      </c>
      <c r="AH6" t="s">
        <v>2025</v>
      </c>
      <c r="AI6" t="s">
        <v>2026</v>
      </c>
      <c r="AJ6" t="s">
        <v>76</v>
      </c>
      <c r="AK6" t="s">
        <v>2027</v>
      </c>
      <c r="AL6" t="s">
        <v>2028</v>
      </c>
      <c r="AM6" t="s">
        <v>2029</v>
      </c>
      <c r="AN6" t="s">
        <v>7</v>
      </c>
      <c r="AO6" t="s">
        <v>127</v>
      </c>
      <c r="AP6" t="s">
        <v>2030</v>
      </c>
      <c r="AQ6" t="s">
        <v>2031</v>
      </c>
      <c r="AR6" t="s">
        <v>2032</v>
      </c>
      <c r="AS6" t="s">
        <v>7</v>
      </c>
      <c r="AT6" t="s">
        <v>2033</v>
      </c>
      <c r="AU6" t="s">
        <v>84</v>
      </c>
      <c r="AV6" t="s">
        <v>2034</v>
      </c>
      <c r="AW6" t="s">
        <v>2035</v>
      </c>
      <c r="AX6" t="s">
        <v>2036</v>
      </c>
      <c r="AY6" t="s">
        <v>2037</v>
      </c>
      <c r="AZ6" t="s">
        <v>234</v>
      </c>
      <c r="BA6" t="s">
        <v>2038</v>
      </c>
      <c r="BB6" t="s">
        <v>2039</v>
      </c>
      <c r="BC6" t="s">
        <v>999</v>
      </c>
      <c r="BD6" t="s">
        <v>2040</v>
      </c>
      <c r="BE6" t="s">
        <v>2041</v>
      </c>
      <c r="BF6" t="s">
        <v>40</v>
      </c>
      <c r="BG6" t="s">
        <v>117</v>
      </c>
      <c r="BH6" t="s">
        <v>630</v>
      </c>
      <c r="BI6" t="s">
        <v>451</v>
      </c>
      <c r="BJ6" t="s">
        <v>1709</v>
      </c>
      <c r="BK6" t="s">
        <v>2037</v>
      </c>
      <c r="BL6" t="s">
        <v>2021</v>
      </c>
      <c r="BM6" t="s">
        <v>2042</v>
      </c>
      <c r="BN6" t="s">
        <v>2040</v>
      </c>
      <c r="BO6">
        <v>0.43</v>
      </c>
      <c r="BP6">
        <v>2.97</v>
      </c>
      <c r="BQ6">
        <v>2.48</v>
      </c>
      <c r="BR6">
        <v>5.46</v>
      </c>
      <c r="BS6">
        <v>0.88</v>
      </c>
      <c r="BT6">
        <v>5.92</v>
      </c>
      <c r="BU6">
        <v>4.9000000000000004</v>
      </c>
      <c r="BV6">
        <v>9.4</v>
      </c>
      <c r="BW6">
        <v>15.01</v>
      </c>
      <c r="BX6">
        <v>19.2</v>
      </c>
      <c r="BY6">
        <v>22.42</v>
      </c>
      <c r="BZ6">
        <v>0.52</v>
      </c>
      <c r="CA6">
        <v>4.3600000000000003</v>
      </c>
      <c r="CB6">
        <v>3.24</v>
      </c>
      <c r="CC6">
        <v>-0.39</v>
      </c>
      <c r="CD6">
        <v>11.8</v>
      </c>
      <c r="CE6" t="s">
        <v>2043</v>
      </c>
      <c r="CF6" t="s">
        <v>2044</v>
      </c>
      <c r="CG6" s="23">
        <v>9.9924847396768407E-2</v>
      </c>
      <c r="CH6" s="24">
        <v>-4.596053983108879E-2</v>
      </c>
      <c r="CI6" s="23">
        <v>0.2738158106803894</v>
      </c>
      <c r="CJ6" s="23">
        <v>-5.0889357924461365E-2</v>
      </c>
      <c r="CK6" s="23">
        <v>0.21197605133056641</v>
      </c>
      <c r="CL6" s="23">
        <v>0.20664739608764648</v>
      </c>
      <c r="CM6" s="23">
        <v>0.24014337360858917</v>
      </c>
      <c r="CN6" s="24">
        <v>-0.8477206826210022</v>
      </c>
      <c r="CO6" s="24">
        <v>0.27550646662712097</v>
      </c>
      <c r="CP6" s="24">
        <v>-0.41937345266342163</v>
      </c>
      <c r="CQ6" s="24">
        <v>-0.26143792271614075</v>
      </c>
      <c r="CR6" s="24">
        <v>0.18604651093482971</v>
      </c>
      <c r="CS6">
        <v>1.1896817327339599</v>
      </c>
      <c r="CT6">
        <v>58365573.847674936</v>
      </c>
      <c r="CU6">
        <v>1.5009300000000003</v>
      </c>
      <c r="CV6" s="23">
        <v>0.17633865475654603</v>
      </c>
      <c r="CW6" s="24">
        <v>-0.21339581608772279</v>
      </c>
      <c r="CX6">
        <v>0.06</v>
      </c>
      <c r="CY6">
        <v>272.59379495930307</v>
      </c>
      <c r="CZ6">
        <v>14142475.98913818</v>
      </c>
      <c r="DA6">
        <v>0.17633865475654603</v>
      </c>
      <c r="DB6">
        <v>82.861496155679959</v>
      </c>
      <c r="DC6">
        <v>46525242.469155423</v>
      </c>
      <c r="DD6">
        <v>0.16752172201871873</v>
      </c>
      <c r="DE6">
        <v>36.916329952052322</v>
      </c>
      <c r="DF6">
        <v>104429427.43786147</v>
      </c>
      <c r="DG6">
        <v>0.15517801618576052</v>
      </c>
      <c r="DH6">
        <v>19.725093807686939</v>
      </c>
      <c r="DI6">
        <v>195443998.26872477</v>
      </c>
      <c r="DJ6">
        <v>0.14107092380523684</v>
      </c>
      <c r="DK6">
        <v>7.7721184246275534</v>
      </c>
      <c r="DL6">
        <v>496023219.07295722</v>
      </c>
      <c r="DM6">
        <v>0.12343705832958221</v>
      </c>
      <c r="DN6">
        <v>12743800.000000002</v>
      </c>
      <c r="DO6">
        <v>0.17633865475654603</v>
      </c>
      <c r="DP6">
        <v>3855151200</v>
      </c>
      <c r="DQ6">
        <v>-60296810</v>
      </c>
      <c r="DR6">
        <v>1279</v>
      </c>
      <c r="DS6">
        <v>-7.6413807359777625E-2</v>
      </c>
      <c r="DT6">
        <v>0.16743527625663401</v>
      </c>
      <c r="DU6" s="25">
        <v>0</v>
      </c>
      <c r="DV6">
        <v>0</v>
      </c>
      <c r="DW6">
        <v>0</v>
      </c>
      <c r="DX6">
        <v>2.1179999999999999</v>
      </c>
      <c r="DY6">
        <v>0.52397545015183311</v>
      </c>
      <c r="DZ6">
        <v>2.0181691031179163</v>
      </c>
      <c r="EA6">
        <v>3071</v>
      </c>
      <c r="EB6">
        <v>2.0063925485220699</v>
      </c>
      <c r="EC6">
        <v>2</v>
      </c>
      <c r="ED6">
        <v>5.0158870325436339E-2</v>
      </c>
      <c r="EE6">
        <v>0.32575888088637178</v>
      </c>
      <c r="EF6" s="22">
        <v>1.03511</v>
      </c>
      <c r="EG6">
        <v>1.0301100000000001</v>
      </c>
      <c r="EH6">
        <v>37.153975450151833</v>
      </c>
      <c r="EI6" t="s">
        <v>551</v>
      </c>
      <c r="EJ6">
        <v>1</v>
      </c>
      <c r="EK6">
        <v>0</v>
      </c>
    </row>
    <row r="7" spans="1:141" x14ac:dyDescent="0.25">
      <c r="A7" t="s">
        <v>2969</v>
      </c>
      <c r="B7" s="3"/>
      <c r="C7" s="3"/>
      <c r="D7" s="3"/>
      <c r="E7" t="s">
        <v>1913</v>
      </c>
      <c r="F7" t="s">
        <v>1914</v>
      </c>
      <c r="G7">
        <v>52.95</v>
      </c>
      <c r="H7">
        <v>-0.66</v>
      </c>
      <c r="I7" t="s">
        <v>2045</v>
      </c>
      <c r="J7">
        <v>16394228000</v>
      </c>
      <c r="K7">
        <v>22.25</v>
      </c>
      <c r="L7">
        <v>3.35</v>
      </c>
      <c r="M7" t="s">
        <v>1915</v>
      </c>
      <c r="N7" t="s">
        <v>2046</v>
      </c>
      <c r="O7" t="s">
        <v>2047</v>
      </c>
      <c r="P7" t="s">
        <v>2048</v>
      </c>
      <c r="Q7">
        <v>51.82</v>
      </c>
      <c r="R7" t="s">
        <v>2049</v>
      </c>
      <c r="S7">
        <v>173615990</v>
      </c>
      <c r="T7" s="4">
        <v>0.7369</v>
      </c>
      <c r="U7" t="s">
        <v>2050</v>
      </c>
      <c r="V7">
        <v>268756400</v>
      </c>
      <c r="W7">
        <v>309617140</v>
      </c>
      <c r="X7">
        <v>1.79</v>
      </c>
      <c r="Y7">
        <v>0.19</v>
      </c>
      <c r="Z7">
        <v>11.03</v>
      </c>
      <c r="AA7" t="s">
        <v>2051</v>
      </c>
      <c r="AB7" t="s">
        <v>2052</v>
      </c>
      <c r="AC7" t="s">
        <v>2053</v>
      </c>
      <c r="AD7" t="s">
        <v>2054</v>
      </c>
      <c r="AE7" t="s">
        <v>2055</v>
      </c>
      <c r="AF7">
        <v>27495209</v>
      </c>
      <c r="AG7" t="s">
        <v>2056</v>
      </c>
      <c r="AH7" t="s">
        <v>2057</v>
      </c>
      <c r="AI7" t="s">
        <v>2058</v>
      </c>
      <c r="AJ7" t="s">
        <v>2059</v>
      </c>
      <c r="AK7" t="s">
        <v>2060</v>
      </c>
      <c r="AL7" t="s">
        <v>7</v>
      </c>
      <c r="AM7" t="s">
        <v>2061</v>
      </c>
      <c r="AN7" t="s">
        <v>7</v>
      </c>
      <c r="AO7" t="s">
        <v>1465</v>
      </c>
      <c r="AP7" t="s">
        <v>2062</v>
      </c>
      <c r="AQ7" t="s">
        <v>241</v>
      </c>
      <c r="AR7" t="s">
        <v>2063</v>
      </c>
      <c r="AS7" t="s">
        <v>7</v>
      </c>
      <c r="AT7" t="s">
        <v>2064</v>
      </c>
      <c r="AU7" t="s">
        <v>7</v>
      </c>
      <c r="AV7" t="s">
        <v>2065</v>
      </c>
      <c r="AW7" t="s">
        <v>2066</v>
      </c>
      <c r="AX7" t="s">
        <v>615</v>
      </c>
      <c r="AY7" t="s">
        <v>2067</v>
      </c>
      <c r="AZ7" t="s">
        <v>2068</v>
      </c>
      <c r="BA7" t="s">
        <v>2069</v>
      </c>
      <c r="BB7" t="s">
        <v>2070</v>
      </c>
      <c r="BC7" t="s">
        <v>2071</v>
      </c>
      <c r="BD7" t="s">
        <v>202</v>
      </c>
      <c r="BE7" t="s">
        <v>2072</v>
      </c>
      <c r="BF7" t="s">
        <v>2073</v>
      </c>
      <c r="BG7" t="s">
        <v>2074</v>
      </c>
      <c r="BH7" t="s">
        <v>2075</v>
      </c>
      <c r="BI7" t="s">
        <v>2076</v>
      </c>
      <c r="BJ7" t="s">
        <v>2077</v>
      </c>
      <c r="BK7" t="s">
        <v>2067</v>
      </c>
      <c r="BL7" t="s">
        <v>2050</v>
      </c>
      <c r="BM7" t="s">
        <v>2078</v>
      </c>
      <c r="BN7" t="s">
        <v>202</v>
      </c>
      <c r="BO7">
        <v>11.6</v>
      </c>
      <c r="BP7">
        <v>8.32</v>
      </c>
      <c r="BQ7">
        <v>0.48</v>
      </c>
      <c r="BR7">
        <v>30</v>
      </c>
      <c r="BS7">
        <v>15.08</v>
      </c>
      <c r="BT7">
        <v>11.83</v>
      </c>
      <c r="BU7">
        <v>0.76</v>
      </c>
      <c r="BV7">
        <v>49.65</v>
      </c>
      <c r="BW7">
        <v>30.73</v>
      </c>
      <c r="BX7">
        <v>23.87</v>
      </c>
      <c r="BY7">
        <v>11.75</v>
      </c>
      <c r="BZ7">
        <v>15.24</v>
      </c>
      <c r="CA7">
        <v>14.83</v>
      </c>
      <c r="CB7">
        <v>0.76</v>
      </c>
      <c r="CC7">
        <v>5.31</v>
      </c>
      <c r="CD7">
        <v>-17.920000000000002</v>
      </c>
      <c r="CE7" t="s">
        <v>2079</v>
      </c>
      <c r="CF7" t="s">
        <v>178</v>
      </c>
      <c r="CG7" s="23">
        <v>0.51827133204633202</v>
      </c>
      <c r="CH7" s="24">
        <v>0.73687549270299391</v>
      </c>
      <c r="CI7" s="23">
        <v>0.92990231513977051</v>
      </c>
      <c r="CJ7" s="23">
        <v>0.26700395345687866</v>
      </c>
      <c r="CK7" s="23">
        <v>-0.36053198575973511</v>
      </c>
      <c r="CL7" s="23">
        <v>0.89897626638412476</v>
      </c>
      <c r="CM7" s="23">
        <v>0.97173613309860229</v>
      </c>
      <c r="CN7" s="24">
        <v>0.97910445928573608</v>
      </c>
      <c r="CO7" s="24">
        <v>23.160337448120117</v>
      </c>
      <c r="CP7" s="24">
        <v>-0.98041564226150513</v>
      </c>
      <c r="CQ7" s="24">
        <v>0.57683742046356201</v>
      </c>
      <c r="CR7" s="24">
        <v>5.7442731857299805</v>
      </c>
      <c r="CS7">
        <v>3.7687880459770113</v>
      </c>
      <c r="CT7">
        <v>34144055.806938156</v>
      </c>
      <c r="CU7">
        <v>3.7513030000000001</v>
      </c>
      <c r="CV7" s="23">
        <v>0.5414173364639282</v>
      </c>
      <c r="CW7" s="24">
        <v>5.8960273742675779</v>
      </c>
      <c r="CX7">
        <v>0.06</v>
      </c>
      <c r="CY7">
        <v>15.940278050530594</v>
      </c>
      <c r="CZ7">
        <v>964112918.93923068</v>
      </c>
      <c r="DA7">
        <v>0.5414173364639282</v>
      </c>
      <c r="DB7">
        <v>3.6301232089067677</v>
      </c>
      <c r="DC7">
        <v>4233527931.5845122</v>
      </c>
      <c r="DD7">
        <v>0.51434646964073172</v>
      </c>
      <c r="DE7">
        <v>1.0373814499600007</v>
      </c>
      <c r="DF7">
        <v>14814442653.271433</v>
      </c>
      <c r="DG7">
        <v>0.47644725608825683</v>
      </c>
      <c r="DH7">
        <v>0.3109556536222734</v>
      </c>
      <c r="DI7">
        <v>49422571421.287682</v>
      </c>
      <c r="DJ7">
        <v>0.4331338691711426</v>
      </c>
      <c r="DK7">
        <v>2.7955569120887772E-2</v>
      </c>
      <c r="DL7">
        <v>549737618774.40033</v>
      </c>
      <c r="DM7">
        <v>0.3789921355247497</v>
      </c>
      <c r="DN7">
        <v>663000000</v>
      </c>
      <c r="DO7">
        <v>0.5414173364639282</v>
      </c>
      <c r="DP7">
        <v>15368228000</v>
      </c>
      <c r="DQ7">
        <v>2993240600</v>
      </c>
      <c r="DR7">
        <v>2089</v>
      </c>
      <c r="DS7">
        <v>-2.3146004417596178E-2</v>
      </c>
      <c r="DT7">
        <v>-5.1591518815645845</v>
      </c>
      <c r="DU7" s="25">
        <v>0.22</v>
      </c>
      <c r="DV7">
        <v>1.5283333333333333</v>
      </c>
      <c r="DW7">
        <v>1.7483333333333333</v>
      </c>
      <c r="DX7">
        <v>6.2285837279380107</v>
      </c>
      <c r="DY7">
        <v>0.32817818181818115</v>
      </c>
      <c r="DZ7">
        <v>6.0384427957578364</v>
      </c>
      <c r="EA7">
        <v>77</v>
      </c>
      <c r="EB7">
        <v>6.0378161879523002</v>
      </c>
      <c r="EC7">
        <v>6</v>
      </c>
      <c r="ED7">
        <v>5.9749922113485059E-2</v>
      </c>
      <c r="EE7">
        <v>0.35527748883669685</v>
      </c>
      <c r="EF7" s="22">
        <v>-1.0194000000000001</v>
      </c>
      <c r="EG7">
        <v>-1.0127999999999999</v>
      </c>
      <c r="EH7">
        <v>16.168178181818181</v>
      </c>
      <c r="EI7" t="s">
        <v>499</v>
      </c>
      <c r="EJ7">
        <v>0</v>
      </c>
      <c r="EK7">
        <v>1</v>
      </c>
    </row>
    <row r="8" spans="1:141" x14ac:dyDescent="0.25">
      <c r="A8" t="s">
        <v>2969</v>
      </c>
      <c r="B8" s="3"/>
      <c r="C8" s="3"/>
      <c r="D8" s="3"/>
      <c r="E8" t="s">
        <v>1916</v>
      </c>
      <c r="F8" t="s">
        <v>1917</v>
      </c>
      <c r="G8">
        <v>7.85</v>
      </c>
      <c r="H8">
        <v>2.61</v>
      </c>
      <c r="I8" t="s">
        <v>2080</v>
      </c>
      <c r="J8">
        <v>4838610300</v>
      </c>
      <c r="L8">
        <v>2.0099999999999998</v>
      </c>
      <c r="M8" t="s">
        <v>1918</v>
      </c>
      <c r="N8" t="s">
        <v>1154</v>
      </c>
      <c r="O8" t="s">
        <v>2081</v>
      </c>
      <c r="P8" t="s">
        <v>2082</v>
      </c>
      <c r="Q8">
        <v>3.69</v>
      </c>
      <c r="R8" t="s">
        <v>2083</v>
      </c>
      <c r="S8">
        <v>6886096</v>
      </c>
      <c r="T8" s="4">
        <v>-0.84760000000000002</v>
      </c>
      <c r="U8" t="s">
        <v>2084</v>
      </c>
      <c r="V8">
        <v>616383480</v>
      </c>
      <c r="W8">
        <v>616383480</v>
      </c>
      <c r="X8">
        <v>2.3199999999999998</v>
      </c>
      <c r="Y8">
        <v>0.14000000000000001</v>
      </c>
      <c r="Z8">
        <v>0.8</v>
      </c>
      <c r="AA8" t="s">
        <v>223</v>
      </c>
      <c r="AB8" t="s">
        <v>2085</v>
      </c>
      <c r="AC8" t="s">
        <v>2086</v>
      </c>
      <c r="AD8" t="s">
        <v>2087</v>
      </c>
      <c r="AE8" t="s">
        <v>2088</v>
      </c>
      <c r="AF8">
        <v>26569561</v>
      </c>
      <c r="AG8" t="s">
        <v>2089</v>
      </c>
      <c r="AH8" t="s">
        <v>2090</v>
      </c>
      <c r="AI8" t="s">
        <v>2091</v>
      </c>
      <c r="AJ8" t="s">
        <v>142</v>
      </c>
      <c r="AK8" t="s">
        <v>2092</v>
      </c>
      <c r="AL8" t="s">
        <v>2093</v>
      </c>
      <c r="AM8" t="s">
        <v>2094</v>
      </c>
      <c r="AN8" t="s">
        <v>7</v>
      </c>
      <c r="AO8" t="s">
        <v>96</v>
      </c>
      <c r="AP8" t="s">
        <v>2095</v>
      </c>
      <c r="AQ8" t="s">
        <v>2096</v>
      </c>
      <c r="AR8" t="s">
        <v>194</v>
      </c>
      <c r="AS8" t="s">
        <v>2097</v>
      </c>
      <c r="AT8" t="s">
        <v>2098</v>
      </c>
      <c r="AU8" t="s">
        <v>177</v>
      </c>
      <c r="AV8" t="s">
        <v>2099</v>
      </c>
      <c r="AW8" t="s">
        <v>171</v>
      </c>
      <c r="AX8" t="s">
        <v>50</v>
      </c>
      <c r="AY8" t="s">
        <v>362</v>
      </c>
      <c r="AZ8" t="s">
        <v>2100</v>
      </c>
      <c r="BA8" t="s">
        <v>2101</v>
      </c>
      <c r="BB8" t="s">
        <v>2102</v>
      </c>
      <c r="BC8" t="s">
        <v>2103</v>
      </c>
      <c r="BD8" t="s">
        <v>1750</v>
      </c>
      <c r="BE8" t="s">
        <v>195</v>
      </c>
      <c r="BF8" t="s">
        <v>106</v>
      </c>
      <c r="BG8" t="s">
        <v>74</v>
      </c>
      <c r="BH8" t="s">
        <v>33</v>
      </c>
      <c r="BI8" t="s">
        <v>662</v>
      </c>
      <c r="BJ8" t="s">
        <v>438</v>
      </c>
      <c r="BK8" t="s">
        <v>362</v>
      </c>
      <c r="BL8" t="s">
        <v>2084</v>
      </c>
      <c r="BM8" t="s">
        <v>2104</v>
      </c>
      <c r="BN8" t="s">
        <v>1750</v>
      </c>
      <c r="BO8">
        <v>0.53</v>
      </c>
      <c r="BP8">
        <v>2.12</v>
      </c>
      <c r="BQ8">
        <v>9.7799999999999994</v>
      </c>
      <c r="BR8">
        <v>12.16</v>
      </c>
      <c r="BS8">
        <v>0.99</v>
      </c>
      <c r="BT8">
        <v>3.31</v>
      </c>
      <c r="BU8">
        <v>11.57</v>
      </c>
      <c r="BV8">
        <v>12.42</v>
      </c>
      <c r="BW8">
        <v>22.04</v>
      </c>
      <c r="BX8">
        <v>23.16</v>
      </c>
      <c r="BY8">
        <v>32.299999999999997</v>
      </c>
      <c r="BZ8">
        <v>1.1200000000000001</v>
      </c>
      <c r="CA8">
        <v>2.98</v>
      </c>
      <c r="CB8">
        <v>14.84</v>
      </c>
      <c r="CC8">
        <v>3.15</v>
      </c>
      <c r="CD8">
        <v>29.75</v>
      </c>
      <c r="CE8" t="s">
        <v>2105</v>
      </c>
      <c r="CF8" t="s">
        <v>102</v>
      </c>
      <c r="CG8" s="23">
        <v>3.7237249417249416E-2</v>
      </c>
      <c r="CH8" s="24">
        <v>-0.84758024281461319</v>
      </c>
      <c r="CI8" s="23">
        <v>9.381663054227829E-2</v>
      </c>
      <c r="CJ8" s="23">
        <v>0.51850152015686035</v>
      </c>
      <c r="CK8" s="23">
        <v>0.12721578776836395</v>
      </c>
      <c r="CL8" s="23">
        <v>7.5715124607086182E-2</v>
      </c>
      <c r="CM8" s="23">
        <v>0.21540549397468567</v>
      </c>
      <c r="CN8" s="24">
        <v>-0.70491355657577515</v>
      </c>
      <c r="CO8" s="24">
        <v>-0.71591198444366455</v>
      </c>
      <c r="CP8" s="24">
        <v>-6.0975611209869385E-2</v>
      </c>
      <c r="CQ8" s="24">
        <v>9.3333333730697632E-2</v>
      </c>
      <c r="CR8" s="24">
        <v>0.70454543828964233</v>
      </c>
      <c r="CS8">
        <v>1.3474269841269844</v>
      </c>
      <c r="CT8">
        <v>-10605876.110581802</v>
      </c>
      <c r="CU8">
        <v>0.25984000000000002</v>
      </c>
      <c r="CV8" s="23">
        <v>0.2061309114098549</v>
      </c>
      <c r="CW8" s="24">
        <v>-0.13678447604179383</v>
      </c>
      <c r="CX8">
        <v>0.06</v>
      </c>
      <c r="CY8">
        <v>194.95393468504304</v>
      </c>
      <c r="CZ8">
        <v>29379300.855113365</v>
      </c>
      <c r="DA8">
        <v>0.2061309114098549</v>
      </c>
      <c r="DB8">
        <v>57.819516403724968</v>
      </c>
      <c r="DC8">
        <v>99060155.744073361</v>
      </c>
      <c r="DD8">
        <v>0.19582436583936214</v>
      </c>
      <c r="DE8">
        <v>24.86781105237953</v>
      </c>
      <c r="DF8">
        <v>230322254.25614777</v>
      </c>
      <c r="DG8">
        <v>0.1813952020406723</v>
      </c>
      <c r="DH8">
        <v>12.728263282905941</v>
      </c>
      <c r="DI8">
        <v>449991501.01586771</v>
      </c>
      <c r="DJ8">
        <v>0.16490472912788393</v>
      </c>
      <c r="DK8">
        <v>4.5143105335587359</v>
      </c>
      <c r="DL8">
        <v>1268767457.9366591</v>
      </c>
      <c r="DM8">
        <v>0.14429163798689842</v>
      </c>
      <c r="DN8">
        <v>25819800</v>
      </c>
      <c r="DO8">
        <v>0.2061309114098549</v>
      </c>
      <c r="DP8">
        <v>5727610300</v>
      </c>
      <c r="DQ8">
        <v>478937100</v>
      </c>
      <c r="DR8">
        <v>2719</v>
      </c>
      <c r="DS8">
        <v>-0.16889366199260547</v>
      </c>
      <c r="DT8">
        <v>-0.7107957667728193</v>
      </c>
      <c r="DU8" s="25">
        <v>0.25</v>
      </c>
      <c r="DV8">
        <v>-0.87333333333333341</v>
      </c>
      <c r="DW8">
        <v>-0.62333333333333341</v>
      </c>
      <c r="DX8">
        <v>8.1058823529411761</v>
      </c>
      <c r="DY8">
        <v>0.36943705747126476</v>
      </c>
      <c r="DZ8">
        <v>8.0295874531440159</v>
      </c>
      <c r="EA8">
        <v>3644</v>
      </c>
      <c r="EB8">
        <v>8.0067352532167604</v>
      </c>
      <c r="EC8">
        <v>8</v>
      </c>
      <c r="ED8">
        <v>0.15776558450268655</v>
      </c>
      <c r="EE8">
        <v>0.56458359331758856</v>
      </c>
      <c r="EF8" s="22">
        <v>-2.0148999999999999</v>
      </c>
      <c r="EG8">
        <v>-2.0409999999999999</v>
      </c>
      <c r="EH8">
        <v>9.2794370574712648</v>
      </c>
      <c r="EI8" t="s">
        <v>497</v>
      </c>
      <c r="EJ8">
        <v>0</v>
      </c>
      <c r="EK8">
        <v>0</v>
      </c>
    </row>
    <row r="9" spans="1:141" x14ac:dyDescent="0.25">
      <c r="A9" t="s">
        <v>2971</v>
      </c>
      <c r="B9" s="3"/>
      <c r="C9" s="3"/>
      <c r="D9" s="3"/>
      <c r="E9" t="s">
        <v>1919</v>
      </c>
      <c r="F9" t="s">
        <v>1920</v>
      </c>
      <c r="G9">
        <v>11.88</v>
      </c>
      <c r="H9">
        <v>1.89</v>
      </c>
      <c r="I9" t="s">
        <v>2106</v>
      </c>
      <c r="J9">
        <v>11839200900</v>
      </c>
      <c r="K9">
        <v>28.19</v>
      </c>
      <c r="L9">
        <v>2.35</v>
      </c>
      <c r="M9" t="s">
        <v>1921</v>
      </c>
      <c r="N9" t="s">
        <v>2107</v>
      </c>
      <c r="O9" t="s">
        <v>2108</v>
      </c>
      <c r="P9" t="s">
        <v>2109</v>
      </c>
      <c r="Q9">
        <v>13.31</v>
      </c>
      <c r="R9" t="s">
        <v>2110</v>
      </c>
      <c r="S9">
        <v>109606025</v>
      </c>
      <c r="T9" s="4">
        <v>4.7E-2</v>
      </c>
      <c r="U9" t="s">
        <v>676</v>
      </c>
      <c r="V9">
        <v>996565730</v>
      </c>
      <c r="W9">
        <v>996565730</v>
      </c>
      <c r="X9">
        <v>1.58</v>
      </c>
      <c r="Y9">
        <v>0.12</v>
      </c>
      <c r="Z9">
        <v>11.53</v>
      </c>
      <c r="AA9" t="s">
        <v>2111</v>
      </c>
      <c r="AB9" t="s">
        <v>146</v>
      </c>
      <c r="AC9" t="s">
        <v>2112</v>
      </c>
      <c r="AD9" t="s">
        <v>2113</v>
      </c>
      <c r="AE9" t="s">
        <v>144</v>
      </c>
      <c r="AF9">
        <v>14033049</v>
      </c>
      <c r="AG9" t="s">
        <v>2114</v>
      </c>
      <c r="AH9" t="s">
        <v>2115</v>
      </c>
      <c r="AI9" t="s">
        <v>2116</v>
      </c>
      <c r="AJ9" t="s">
        <v>111</v>
      </c>
      <c r="AK9" t="s">
        <v>2117</v>
      </c>
      <c r="AL9" t="s">
        <v>2118</v>
      </c>
      <c r="AM9" t="s">
        <v>2119</v>
      </c>
      <c r="AN9" t="s">
        <v>7</v>
      </c>
      <c r="AO9" t="s">
        <v>1148</v>
      </c>
      <c r="AP9" t="s">
        <v>347</v>
      </c>
      <c r="AQ9" t="s">
        <v>71</v>
      </c>
      <c r="AR9" t="s">
        <v>387</v>
      </c>
      <c r="AS9" t="s">
        <v>7</v>
      </c>
      <c r="AT9" t="s">
        <v>342</v>
      </c>
      <c r="AU9" t="s">
        <v>2120</v>
      </c>
      <c r="AV9" t="s">
        <v>2121</v>
      </c>
      <c r="AW9" t="s">
        <v>2122</v>
      </c>
      <c r="AX9" t="s">
        <v>2123</v>
      </c>
      <c r="AY9" t="s">
        <v>2124</v>
      </c>
      <c r="AZ9" t="s">
        <v>1049</v>
      </c>
      <c r="BA9" t="s">
        <v>2125</v>
      </c>
      <c r="BB9" t="s">
        <v>2126</v>
      </c>
      <c r="BC9" t="s">
        <v>2127</v>
      </c>
      <c r="BD9" t="s">
        <v>353</v>
      </c>
      <c r="BE9" t="s">
        <v>156</v>
      </c>
      <c r="BF9" t="s">
        <v>653</v>
      </c>
      <c r="BG9" t="s">
        <v>151</v>
      </c>
      <c r="BH9" t="s">
        <v>178</v>
      </c>
      <c r="BI9" t="s">
        <v>36</v>
      </c>
      <c r="BJ9" t="s">
        <v>2128</v>
      </c>
      <c r="BK9" t="s">
        <v>2124</v>
      </c>
      <c r="BL9" t="s">
        <v>676</v>
      </c>
      <c r="BM9" t="s">
        <v>99</v>
      </c>
      <c r="BN9" t="s">
        <v>353</v>
      </c>
      <c r="BO9">
        <v>6.58</v>
      </c>
      <c r="BP9">
        <v>6.54</v>
      </c>
      <c r="BQ9">
        <v>3.19</v>
      </c>
      <c r="BR9">
        <v>6.29</v>
      </c>
      <c r="BS9">
        <v>8.5299999999999994</v>
      </c>
      <c r="BT9">
        <v>8.6999999999999993</v>
      </c>
      <c r="BU9">
        <v>4.13</v>
      </c>
      <c r="BV9">
        <v>7.47</v>
      </c>
      <c r="BW9">
        <v>25.95</v>
      </c>
      <c r="BX9">
        <v>22.89</v>
      </c>
      <c r="BY9">
        <v>24.32</v>
      </c>
      <c r="BZ9">
        <v>10.31</v>
      </c>
      <c r="CA9">
        <v>12.24</v>
      </c>
      <c r="CB9">
        <v>6.03</v>
      </c>
      <c r="CC9">
        <v>11.24</v>
      </c>
      <c r="CD9">
        <v>40.76</v>
      </c>
      <c r="CE9" t="s">
        <v>1900</v>
      </c>
      <c r="CF9" t="s">
        <v>2129</v>
      </c>
      <c r="CG9" s="23">
        <v>0.13275115158636897</v>
      </c>
      <c r="CH9" s="24">
        <v>4.386690476190476E-2</v>
      </c>
      <c r="CI9" s="23">
        <v>0.29435992240905762</v>
      </c>
      <c r="CJ9" s="23">
        <v>0.13525180518627167</v>
      </c>
      <c r="CK9" s="23">
        <v>6.5134152770042419E-2</v>
      </c>
      <c r="CL9" s="23">
        <v>0.19779706001281738</v>
      </c>
      <c r="CM9" s="23">
        <v>0.28782510757446289</v>
      </c>
      <c r="CN9" s="24">
        <v>8.9238844811916351E-2</v>
      </c>
      <c r="CO9" s="24">
        <v>1.3518518209457397</v>
      </c>
      <c r="CP9" s="24">
        <v>-0.42957746982574463</v>
      </c>
      <c r="CQ9" s="24">
        <v>0.80891722440719604</v>
      </c>
      <c r="CR9" s="24">
        <v>0.4272727370262146</v>
      </c>
      <c r="CS9">
        <v>2.8982131946144429</v>
      </c>
      <c r="CT9">
        <v>18456612.530120481</v>
      </c>
      <c r="CU9">
        <v>2.1860879999999998</v>
      </c>
      <c r="CV9" s="23">
        <v>0.19607360959053038</v>
      </c>
      <c r="CW9" s="24">
        <v>0.44954063147306444</v>
      </c>
      <c r="CX9">
        <v>0.06</v>
      </c>
      <c r="CY9">
        <v>20.640050050695901</v>
      </c>
      <c r="CZ9">
        <v>468274101.86799073</v>
      </c>
      <c r="DA9">
        <v>0.19607360959053038</v>
      </c>
      <c r="DB9">
        <v>6.1724063432345329</v>
      </c>
      <c r="DC9">
        <v>1565872426.8200293</v>
      </c>
      <c r="DD9">
        <v>0.18626992911100385</v>
      </c>
      <c r="DE9">
        <v>2.6865828272212471</v>
      </c>
      <c r="DF9">
        <v>3597581582.8454432</v>
      </c>
      <c r="DG9">
        <v>0.17254477643966673</v>
      </c>
      <c r="DH9">
        <v>1.3953817576274872</v>
      </c>
      <c r="DI9">
        <v>6926563893.4776974</v>
      </c>
      <c r="DJ9">
        <v>0.15685888767242431</v>
      </c>
      <c r="DK9">
        <v>0.51309163112968359</v>
      </c>
      <c r="DL9">
        <v>18837182899.904144</v>
      </c>
      <c r="DM9">
        <v>0.13725152671337126</v>
      </c>
      <c r="DN9">
        <v>415000000.00000006</v>
      </c>
      <c r="DO9">
        <v>0.19607360959053038</v>
      </c>
      <c r="DP9">
        <v>9665200900</v>
      </c>
      <c r="DQ9">
        <v>1483741900</v>
      </c>
      <c r="DR9">
        <v>2898</v>
      </c>
      <c r="DS9">
        <v>-6.3322458004161419E-2</v>
      </c>
      <c r="DT9">
        <v>-0.4056737267111597</v>
      </c>
      <c r="DU9" s="25">
        <v>0</v>
      </c>
      <c r="DV9">
        <v>0</v>
      </c>
      <c r="DW9">
        <v>0</v>
      </c>
      <c r="DX9">
        <v>9.2757605495583899</v>
      </c>
      <c r="DY9">
        <v>0.62220338983050727</v>
      </c>
      <c r="DZ9">
        <v>9.0916085893448209</v>
      </c>
      <c r="EA9">
        <v>1442</v>
      </c>
      <c r="EB9">
        <v>9.0636332429163513</v>
      </c>
      <c r="EC9">
        <v>9</v>
      </c>
      <c r="ED9">
        <v>0.29501315482722851</v>
      </c>
      <c r="EE9">
        <v>0.88804980279624912</v>
      </c>
      <c r="EF9" s="22">
        <v>2.0358000000000001</v>
      </c>
      <c r="EG9">
        <v>2.0547</v>
      </c>
      <c r="EH9">
        <v>29.332203389830507</v>
      </c>
      <c r="EI9" t="s">
        <v>598</v>
      </c>
      <c r="EJ9">
        <v>1</v>
      </c>
      <c r="EK9">
        <v>1</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K11"/>
  <sheetViews>
    <sheetView workbookViewId="0">
      <selection activeCell="A11" sqref="A11"/>
    </sheetView>
  </sheetViews>
  <sheetFormatPr defaultRowHeight="14.4" x14ac:dyDescent="0.25"/>
  <cols>
    <col min="1" max="1" width="21" customWidth="1"/>
    <col min="2" max="2" width="41" customWidth="1"/>
    <col min="3" max="3" width="42.21875" customWidth="1"/>
    <col min="4" max="4" width="52.21875" customWidth="1"/>
  </cols>
  <sheetData>
    <row r="1" spans="1:141" s="16" customFormat="1" x14ac:dyDescent="0.25">
      <c r="A1" s="17" t="s">
        <v>309</v>
      </c>
      <c r="B1" s="20" t="s">
        <v>500</v>
      </c>
      <c r="C1" s="21" t="s">
        <v>501</v>
      </c>
      <c r="D1" s="20" t="s">
        <v>502</v>
      </c>
      <c r="E1" t="s">
        <v>2</v>
      </c>
      <c r="F1" t="s">
        <v>3</v>
      </c>
      <c r="G1" t="s">
        <v>0</v>
      </c>
      <c r="H1" t="s">
        <v>466</v>
      </c>
      <c r="I1" t="s">
        <v>503</v>
      </c>
      <c r="J1" t="s">
        <v>4</v>
      </c>
      <c r="K1" t="s">
        <v>5</v>
      </c>
      <c r="L1" t="s">
        <v>1</v>
      </c>
      <c r="M1" t="s">
        <v>6</v>
      </c>
      <c r="N1" t="s">
        <v>9</v>
      </c>
      <c r="O1" t="s">
        <v>10</v>
      </c>
      <c r="P1" t="s">
        <v>11</v>
      </c>
      <c r="Q1" t="s">
        <v>504</v>
      </c>
      <c r="R1" t="s">
        <v>467</v>
      </c>
      <c r="S1" t="s">
        <v>505</v>
      </c>
      <c r="T1" t="s">
        <v>12</v>
      </c>
      <c r="U1" t="s">
        <v>468</v>
      </c>
      <c r="V1" t="s">
        <v>469</v>
      </c>
      <c r="W1" t="s">
        <v>13</v>
      </c>
      <c r="X1" t="s">
        <v>388</v>
      </c>
      <c r="Y1" t="s">
        <v>389</v>
      </c>
      <c r="Z1" t="s">
        <v>390</v>
      </c>
      <c r="AA1" t="s">
        <v>391</v>
      </c>
      <c r="AB1" t="s">
        <v>392</v>
      </c>
      <c r="AC1" t="s">
        <v>470</v>
      </c>
      <c r="AD1" t="s">
        <v>393</v>
      </c>
      <c r="AE1" t="s">
        <v>506</v>
      </c>
      <c r="AF1" t="s">
        <v>14</v>
      </c>
      <c r="AG1" t="s">
        <v>15</v>
      </c>
      <c r="AH1" t="s">
        <v>471</v>
      </c>
      <c r="AI1" t="s">
        <v>507</v>
      </c>
      <c r="AJ1" t="s">
        <v>472</v>
      </c>
      <c r="AK1" t="s">
        <v>16</v>
      </c>
      <c r="AL1" t="s">
        <v>473</v>
      </c>
      <c r="AM1" t="s">
        <v>310</v>
      </c>
      <c r="AN1" t="s">
        <v>474</v>
      </c>
      <c r="AO1" t="s">
        <v>475</v>
      </c>
      <c r="AP1" t="s">
        <v>476</v>
      </c>
      <c r="AQ1" t="s">
        <v>477</v>
      </c>
      <c r="AR1" t="s">
        <v>478</v>
      </c>
      <c r="AS1" t="s">
        <v>479</v>
      </c>
      <c r="AT1" t="s">
        <v>480</v>
      </c>
      <c r="AU1" t="s">
        <v>481</v>
      </c>
      <c r="AV1" t="s">
        <v>482</v>
      </c>
      <c r="AW1" t="s">
        <v>483</v>
      </c>
      <c r="AX1" t="s">
        <v>484</v>
      </c>
      <c r="AY1" t="s">
        <v>508</v>
      </c>
      <c r="AZ1" t="s">
        <v>311</v>
      </c>
      <c r="BA1" t="s">
        <v>312</v>
      </c>
      <c r="BB1" t="s">
        <v>313</v>
      </c>
      <c r="BC1" t="s">
        <v>314</v>
      </c>
      <c r="BD1" t="s">
        <v>320</v>
      </c>
      <c r="BE1" t="s">
        <v>315</v>
      </c>
      <c r="BF1" t="s">
        <v>316</v>
      </c>
      <c r="BG1" t="s">
        <v>317</v>
      </c>
      <c r="BH1" t="s">
        <v>318</v>
      </c>
      <c r="BI1" t="s">
        <v>509</v>
      </c>
      <c r="BJ1" t="s">
        <v>485</v>
      </c>
      <c r="BK1" t="s">
        <v>319</v>
      </c>
      <c r="BL1" t="s">
        <v>486</v>
      </c>
      <c r="BM1" t="s">
        <v>487</v>
      </c>
      <c r="BN1" t="s">
        <v>488</v>
      </c>
      <c r="BO1" t="s">
        <v>489</v>
      </c>
      <c r="BP1" t="s">
        <v>321</v>
      </c>
      <c r="BQ1" t="s">
        <v>322</v>
      </c>
      <c r="BR1" t="s">
        <v>323</v>
      </c>
      <c r="BS1" t="s">
        <v>490</v>
      </c>
      <c r="BT1" t="s">
        <v>324</v>
      </c>
      <c r="BU1" t="s">
        <v>325</v>
      </c>
      <c r="BV1" t="s">
        <v>326</v>
      </c>
      <c r="BW1" t="s">
        <v>491</v>
      </c>
      <c r="BX1" t="s">
        <v>327</v>
      </c>
      <c r="BY1" t="s">
        <v>328</v>
      </c>
      <c r="BZ1" t="s">
        <v>492</v>
      </c>
      <c r="CA1" t="s">
        <v>329</v>
      </c>
      <c r="CB1" t="s">
        <v>330</v>
      </c>
      <c r="CC1" t="s">
        <v>510</v>
      </c>
      <c r="CD1" t="s">
        <v>511</v>
      </c>
      <c r="CE1" t="s">
        <v>512</v>
      </c>
      <c r="CF1" t="s">
        <v>513</v>
      </c>
      <c r="CG1" s="1" t="s">
        <v>394</v>
      </c>
      <c r="CH1" s="1" t="s">
        <v>395</v>
      </c>
      <c r="CI1" s="1" t="s">
        <v>396</v>
      </c>
      <c r="CJ1" s="1" t="s">
        <v>397</v>
      </c>
      <c r="CK1" s="1" t="s">
        <v>398</v>
      </c>
      <c r="CL1" s="1" t="s">
        <v>399</v>
      </c>
      <c r="CM1" s="1" t="s">
        <v>400</v>
      </c>
      <c r="CN1" s="1" t="s">
        <v>401</v>
      </c>
      <c r="CO1" s="1" t="s">
        <v>402</v>
      </c>
      <c r="CP1" s="1" t="s">
        <v>403</v>
      </c>
      <c r="CQ1" s="1" t="s">
        <v>404</v>
      </c>
      <c r="CR1" s="1" t="s">
        <v>405</v>
      </c>
      <c r="CS1" s="1" t="s">
        <v>406</v>
      </c>
      <c r="CT1" s="1" t="s">
        <v>407</v>
      </c>
      <c r="CU1" s="1" t="s">
        <v>408</v>
      </c>
      <c r="CV1" s="1" t="s">
        <v>409</v>
      </c>
      <c r="CW1" s="1" t="s">
        <v>410</v>
      </c>
      <c r="CX1" s="1" t="s">
        <v>297</v>
      </c>
      <c r="CY1">
        <v>1</v>
      </c>
      <c r="CZ1" t="s">
        <v>411</v>
      </c>
      <c r="DA1" t="s">
        <v>412</v>
      </c>
      <c r="DB1">
        <v>3</v>
      </c>
      <c r="DC1" t="s">
        <v>413</v>
      </c>
      <c r="DD1" t="s">
        <v>414</v>
      </c>
      <c r="DE1">
        <v>6</v>
      </c>
      <c r="DF1" t="s">
        <v>415</v>
      </c>
      <c r="DG1" t="s">
        <v>525</v>
      </c>
      <c r="DH1">
        <v>10</v>
      </c>
      <c r="DI1" t="s">
        <v>526</v>
      </c>
      <c r="DJ1" t="s">
        <v>416</v>
      </c>
      <c r="DK1">
        <v>20</v>
      </c>
      <c r="DL1" t="s">
        <v>417</v>
      </c>
      <c r="DM1" t="s">
        <v>418</v>
      </c>
      <c r="DN1" t="s">
        <v>419</v>
      </c>
      <c r="DO1" s="2" t="s">
        <v>420</v>
      </c>
      <c r="DP1" t="s">
        <v>431</v>
      </c>
      <c r="DQ1" t="s">
        <v>421</v>
      </c>
      <c r="DR1" s="1" t="s">
        <v>531</v>
      </c>
      <c r="DS1" s="1" t="s">
        <v>532</v>
      </c>
      <c r="DT1" s="1" t="s">
        <v>422</v>
      </c>
      <c r="DU1" t="s">
        <v>423</v>
      </c>
      <c r="DV1" t="s">
        <v>424</v>
      </c>
      <c r="DW1" t="s">
        <v>425</v>
      </c>
      <c r="DX1" t="s">
        <v>426</v>
      </c>
      <c r="DY1" t="s">
        <v>538</v>
      </c>
      <c r="DZ1" t="s">
        <v>427</v>
      </c>
      <c r="EA1" t="s">
        <v>428</v>
      </c>
      <c r="EB1" t="s">
        <v>429</v>
      </c>
      <c r="EC1" t="s">
        <v>430</v>
      </c>
      <c r="ED1" t="s">
        <v>462</v>
      </c>
      <c r="EE1" t="s">
        <v>463</v>
      </c>
      <c r="EF1" t="s">
        <v>545</v>
      </c>
      <c r="EG1" t="s">
        <v>546</v>
      </c>
      <c r="EH1" t="s">
        <v>547</v>
      </c>
      <c r="EI1" t="s">
        <v>548</v>
      </c>
      <c r="EJ1" t="s">
        <v>549</v>
      </c>
      <c r="EK1"/>
    </row>
    <row r="2" spans="1:141" s="16" customFormat="1" ht="71.55" customHeight="1" x14ac:dyDescent="0.25">
      <c r="A2" s="27" t="s">
        <v>695</v>
      </c>
      <c r="B2" s="29"/>
      <c r="C2" s="30">
        <v>3</v>
      </c>
      <c r="D2" s="30">
        <v>11</v>
      </c>
      <c r="T2" s="18"/>
      <c r="U2" s="18"/>
      <c r="V2" s="18"/>
      <c r="AB2" s="19"/>
    </row>
    <row r="3" spans="1:141" x14ac:dyDescent="0.25">
      <c r="A3" t="s">
        <v>2972</v>
      </c>
      <c r="B3" s="28"/>
      <c r="C3" s="28"/>
      <c r="D3" s="28"/>
      <c r="E3" t="s">
        <v>2130</v>
      </c>
      <c r="F3" t="s">
        <v>2131</v>
      </c>
      <c r="G3">
        <v>11.38</v>
      </c>
      <c r="H3">
        <v>4.5999999999999996</v>
      </c>
      <c r="I3" t="s">
        <v>2146</v>
      </c>
      <c r="J3">
        <v>12095003600</v>
      </c>
      <c r="K3">
        <v>103.9</v>
      </c>
      <c r="L3">
        <v>3.22</v>
      </c>
      <c r="M3" t="s">
        <v>460</v>
      </c>
      <c r="N3" t="s">
        <v>2147</v>
      </c>
      <c r="O3" t="s">
        <v>2148</v>
      </c>
      <c r="P3" t="s">
        <v>2149</v>
      </c>
      <c r="Q3">
        <v>40.18</v>
      </c>
      <c r="R3" t="s">
        <v>2150</v>
      </c>
      <c r="S3">
        <v>40122045</v>
      </c>
      <c r="T3" s="4">
        <v>0.109</v>
      </c>
      <c r="U3" t="s">
        <v>203</v>
      </c>
      <c r="V3">
        <v>1046049310</v>
      </c>
      <c r="W3">
        <v>1062829840</v>
      </c>
      <c r="X3">
        <v>3.18</v>
      </c>
      <c r="Y3">
        <v>0.83</v>
      </c>
      <c r="Z3">
        <v>0.82</v>
      </c>
      <c r="AA3" t="s">
        <v>2151</v>
      </c>
      <c r="AB3" t="s">
        <v>2152</v>
      </c>
      <c r="AC3" t="s">
        <v>2153</v>
      </c>
      <c r="AD3" t="s">
        <v>51</v>
      </c>
      <c r="AE3" t="s">
        <v>647</v>
      </c>
      <c r="AF3">
        <v>52371514</v>
      </c>
      <c r="AG3" t="s">
        <v>2154</v>
      </c>
      <c r="AH3" t="s">
        <v>2155</v>
      </c>
      <c r="AI3" t="s">
        <v>2156</v>
      </c>
      <c r="AJ3" t="s">
        <v>2157</v>
      </c>
      <c r="AK3" t="s">
        <v>2158</v>
      </c>
      <c r="AL3" t="s">
        <v>681</v>
      </c>
      <c r="AM3" t="s">
        <v>2159</v>
      </c>
      <c r="AN3" t="s">
        <v>7</v>
      </c>
      <c r="AO3" t="s">
        <v>2160</v>
      </c>
      <c r="AP3" t="s">
        <v>2161</v>
      </c>
      <c r="AQ3" t="s">
        <v>2162</v>
      </c>
      <c r="AR3" t="s">
        <v>2163</v>
      </c>
      <c r="AS3" t="s">
        <v>7</v>
      </c>
      <c r="AT3" t="s">
        <v>2164</v>
      </c>
      <c r="AU3" t="s">
        <v>378</v>
      </c>
      <c r="AV3" t="s">
        <v>685</v>
      </c>
      <c r="AW3" t="s">
        <v>2165</v>
      </c>
      <c r="AX3" t="s">
        <v>200</v>
      </c>
      <c r="AY3" t="s">
        <v>2166</v>
      </c>
      <c r="AZ3" t="s">
        <v>2167</v>
      </c>
      <c r="BA3" t="s">
        <v>1727</v>
      </c>
      <c r="BB3" t="s">
        <v>2168</v>
      </c>
      <c r="BC3" t="s">
        <v>2169</v>
      </c>
      <c r="BD3" t="s">
        <v>255</v>
      </c>
      <c r="BE3" t="s">
        <v>116</v>
      </c>
      <c r="BF3" t="s">
        <v>113</v>
      </c>
      <c r="BG3" t="s">
        <v>653</v>
      </c>
      <c r="BH3" t="s">
        <v>129</v>
      </c>
      <c r="BI3" t="s">
        <v>2150</v>
      </c>
      <c r="BJ3" t="s">
        <v>2170</v>
      </c>
      <c r="BK3" t="s">
        <v>2166</v>
      </c>
      <c r="BL3" t="s">
        <v>203</v>
      </c>
      <c r="BM3" t="s">
        <v>2171</v>
      </c>
      <c r="BN3" t="s">
        <v>255</v>
      </c>
      <c r="BO3">
        <v>2.0299999999999998</v>
      </c>
      <c r="BP3">
        <v>1.97</v>
      </c>
      <c r="BQ3">
        <v>4.05</v>
      </c>
      <c r="BR3">
        <v>4.72</v>
      </c>
      <c r="BS3">
        <v>5.03</v>
      </c>
      <c r="BT3">
        <v>6.39</v>
      </c>
      <c r="BU3">
        <v>12.32</v>
      </c>
      <c r="BV3">
        <v>12.36</v>
      </c>
      <c r="BW3">
        <v>11.39</v>
      </c>
      <c r="BX3">
        <v>11.39</v>
      </c>
      <c r="BY3">
        <v>15.26</v>
      </c>
      <c r="BZ3">
        <v>1.91</v>
      </c>
      <c r="CA3">
        <v>1.91</v>
      </c>
      <c r="CB3">
        <v>4.0199999999999996</v>
      </c>
      <c r="CC3">
        <v>-4.29</v>
      </c>
      <c r="CD3">
        <v>-27.1</v>
      </c>
      <c r="CE3" t="s">
        <v>75</v>
      </c>
      <c r="CF3" t="s">
        <v>197</v>
      </c>
    </row>
    <row r="4" spans="1:141" x14ac:dyDescent="0.25">
      <c r="A4" t="s">
        <v>2973</v>
      </c>
      <c r="B4" s="3"/>
      <c r="C4" s="3"/>
      <c r="D4" s="3"/>
      <c r="E4" t="s">
        <v>1553</v>
      </c>
      <c r="F4" t="s">
        <v>1554</v>
      </c>
      <c r="G4">
        <v>16.559999999999999</v>
      </c>
      <c r="H4">
        <v>0.12</v>
      </c>
      <c r="I4" t="s">
        <v>1578</v>
      </c>
      <c r="J4">
        <v>59468605000</v>
      </c>
      <c r="K4">
        <v>33.47</v>
      </c>
      <c r="L4">
        <v>5.32</v>
      </c>
      <c r="M4" t="s">
        <v>1555</v>
      </c>
      <c r="N4" t="s">
        <v>1579</v>
      </c>
      <c r="O4" t="s">
        <v>1580</v>
      </c>
      <c r="P4" t="s">
        <v>1581</v>
      </c>
      <c r="Q4">
        <v>40.94</v>
      </c>
      <c r="R4" t="s">
        <v>1582</v>
      </c>
      <c r="S4">
        <v>452994750</v>
      </c>
      <c r="T4" s="4">
        <v>0.2581</v>
      </c>
      <c r="U4" t="s">
        <v>1583</v>
      </c>
      <c r="V4">
        <v>3545344500</v>
      </c>
      <c r="W4">
        <v>3591099300</v>
      </c>
      <c r="X4">
        <v>2.08</v>
      </c>
      <c r="Y4">
        <v>0.2</v>
      </c>
      <c r="Z4">
        <v>9.4499999999999993</v>
      </c>
      <c r="AA4" t="s">
        <v>1584</v>
      </c>
      <c r="AB4" t="s">
        <v>1585</v>
      </c>
      <c r="AC4" t="s">
        <v>140</v>
      </c>
      <c r="AD4" t="s">
        <v>186</v>
      </c>
      <c r="AE4" t="s">
        <v>1586</v>
      </c>
      <c r="AF4">
        <v>24995186</v>
      </c>
      <c r="AG4" t="s">
        <v>1587</v>
      </c>
      <c r="AH4" t="s">
        <v>1588</v>
      </c>
      <c r="AI4" t="s">
        <v>1589</v>
      </c>
      <c r="AJ4" t="s">
        <v>1590</v>
      </c>
      <c r="AK4" t="s">
        <v>1591</v>
      </c>
      <c r="AL4" t="s">
        <v>1265</v>
      </c>
      <c r="AM4" t="s">
        <v>1592</v>
      </c>
      <c r="AN4" t="s">
        <v>7</v>
      </c>
      <c r="AO4" t="s">
        <v>126</v>
      </c>
      <c r="AP4" t="s">
        <v>107</v>
      </c>
      <c r="AQ4" t="s">
        <v>1593</v>
      </c>
      <c r="AR4" t="s">
        <v>1594</v>
      </c>
      <c r="AS4" t="s">
        <v>7</v>
      </c>
      <c r="AT4" t="s">
        <v>1595</v>
      </c>
      <c r="AU4" t="s">
        <v>446</v>
      </c>
      <c r="AV4" t="s">
        <v>90</v>
      </c>
      <c r="AW4" t="s">
        <v>1596</v>
      </c>
      <c r="AX4" t="s">
        <v>1597</v>
      </c>
      <c r="AY4" t="s">
        <v>1598</v>
      </c>
      <c r="AZ4" t="s">
        <v>1599</v>
      </c>
      <c r="BA4" t="s">
        <v>1600</v>
      </c>
      <c r="BB4" t="s">
        <v>1601</v>
      </c>
      <c r="BC4" t="s">
        <v>1602</v>
      </c>
      <c r="BD4" t="s">
        <v>1603</v>
      </c>
      <c r="BE4" t="s">
        <v>1604</v>
      </c>
      <c r="BF4" t="s">
        <v>1605</v>
      </c>
      <c r="BG4" t="s">
        <v>1606</v>
      </c>
      <c r="BH4" t="s">
        <v>576</v>
      </c>
      <c r="BI4" t="s">
        <v>1607</v>
      </c>
      <c r="BJ4" t="s">
        <v>1608</v>
      </c>
      <c r="BK4" t="s">
        <v>1598</v>
      </c>
      <c r="BL4" t="s">
        <v>1583</v>
      </c>
      <c r="BM4" t="s">
        <v>672</v>
      </c>
      <c r="BN4" t="s">
        <v>1603</v>
      </c>
      <c r="BO4">
        <v>10.32</v>
      </c>
      <c r="BP4">
        <v>11.29</v>
      </c>
      <c r="BQ4">
        <v>11.89</v>
      </c>
      <c r="BR4">
        <v>11.85</v>
      </c>
      <c r="BS4">
        <v>15.98</v>
      </c>
      <c r="BT4">
        <v>15.04</v>
      </c>
      <c r="BU4">
        <v>16.079999999999998</v>
      </c>
      <c r="BV4">
        <v>15.65</v>
      </c>
      <c r="BW4">
        <v>25.68</v>
      </c>
      <c r="BX4">
        <v>29.81</v>
      </c>
      <c r="BY4">
        <v>29.6</v>
      </c>
      <c r="BZ4">
        <v>10.64</v>
      </c>
      <c r="CA4">
        <v>12.17</v>
      </c>
      <c r="CB4">
        <v>12.7</v>
      </c>
      <c r="CC4">
        <v>-4.1100000000000003</v>
      </c>
      <c r="CD4">
        <v>8.59</v>
      </c>
      <c r="CE4" t="s">
        <v>1609</v>
      </c>
      <c r="CF4" t="s">
        <v>449</v>
      </c>
      <c r="CG4" s="23">
        <v>0.40949964788732396</v>
      </c>
      <c r="CH4" s="24">
        <v>0.25831874999999999</v>
      </c>
      <c r="CI4" s="23">
        <v>0.32295623421669006</v>
      </c>
      <c r="CJ4" s="23">
        <v>7.2915747761726379E-2</v>
      </c>
      <c r="CK4" s="23">
        <v>4.1620556265115738E-2</v>
      </c>
      <c r="CL4" s="23">
        <v>0.13098841905593872</v>
      </c>
      <c r="CM4" s="23">
        <v>0.2514367401599884</v>
      </c>
      <c r="CN4" s="24">
        <v>0.15184678137302399</v>
      </c>
      <c r="CO4" s="24">
        <v>2.8852967545390129E-2</v>
      </c>
      <c r="CP4" s="24">
        <v>9.9845148622989655E-2</v>
      </c>
      <c r="CQ4" s="24">
        <v>4.5307442545890808E-2</v>
      </c>
      <c r="CR4" s="24">
        <v>0.24722503125667572</v>
      </c>
      <c r="CS4">
        <v>3.7119159228512579</v>
      </c>
      <c r="CT4">
        <v>23895043.942992873</v>
      </c>
      <c r="CU4">
        <v>3.9312</v>
      </c>
      <c r="CV4" s="23">
        <v>0.16398353949189187</v>
      </c>
      <c r="CW4" s="24">
        <v>0.11461547426879407</v>
      </c>
      <c r="CX4">
        <v>0.06</v>
      </c>
      <c r="CY4">
        <v>32.640449672275778</v>
      </c>
      <c r="CZ4">
        <v>1849196491.0418355</v>
      </c>
      <c r="DA4">
        <v>0.16398353949189187</v>
      </c>
      <c r="DB4">
        <v>10.024234187686968</v>
      </c>
      <c r="DC4">
        <v>6021268445.0389309</v>
      </c>
      <c r="DD4">
        <v>0.15578436251729727</v>
      </c>
      <c r="DE4">
        <v>4.5312370338154322</v>
      </c>
      <c r="DF4">
        <v>13320557840.951506</v>
      </c>
      <c r="DG4">
        <v>0.14430551475286485</v>
      </c>
      <c r="DH4">
        <v>2.4637613832240834</v>
      </c>
      <c r="DI4">
        <v>24498559564.650127</v>
      </c>
      <c r="DJ4">
        <v>0.13118683159351349</v>
      </c>
      <c r="DK4">
        <v>1.0124501845797211</v>
      </c>
      <c r="DL4">
        <v>59616370187.196426</v>
      </c>
      <c r="DM4">
        <v>0.1147884776443243</v>
      </c>
      <c r="DN4">
        <v>1684000000</v>
      </c>
      <c r="DO4">
        <v>0.16398353949189187</v>
      </c>
      <c r="DP4">
        <v>60358605000</v>
      </c>
      <c r="DQ4">
        <v>8859601000</v>
      </c>
      <c r="DR4">
        <v>535</v>
      </c>
      <c r="DS4">
        <v>0.24551610839543209</v>
      </c>
      <c r="DT4">
        <v>0.14370327573120592</v>
      </c>
      <c r="DU4" s="25">
        <v>0.48666666666666664</v>
      </c>
      <c r="DV4">
        <v>0.26666666666666666</v>
      </c>
      <c r="DW4">
        <v>0.7533333333333333</v>
      </c>
      <c r="DX4">
        <v>-6.3236220472440943</v>
      </c>
      <c r="DY4">
        <v>0.28422061191626391</v>
      </c>
      <c r="DZ4">
        <v>-6.0499091901555788</v>
      </c>
      <c r="EA4">
        <v>1657</v>
      </c>
      <c r="EB4">
        <v>-6.0324103479871924</v>
      </c>
      <c r="EC4">
        <v>6</v>
      </c>
      <c r="ED4">
        <v>2.6668992416890282E-2</v>
      </c>
      <c r="EE4">
        <v>0.17292754895416007</v>
      </c>
      <c r="EF4" s="22">
        <v>1.5210000000000001E-2</v>
      </c>
      <c r="EG4">
        <v>1.401E-2</v>
      </c>
      <c r="EH4">
        <v>13.154220611916264</v>
      </c>
      <c r="EI4">
        <v>-1</v>
      </c>
      <c r="EJ4">
        <v>0</v>
      </c>
      <c r="EK4">
        <v>0</v>
      </c>
    </row>
    <row r="5" spans="1:141" ht="151.19999999999999" x14ac:dyDescent="0.25">
      <c r="A5" t="s">
        <v>2974</v>
      </c>
      <c r="B5" s="3"/>
      <c r="C5" s="3"/>
      <c r="D5" s="3" t="s">
        <v>2172</v>
      </c>
      <c r="E5" t="s">
        <v>2132</v>
      </c>
      <c r="F5" t="s">
        <v>2133</v>
      </c>
      <c r="G5">
        <v>17.63</v>
      </c>
      <c r="H5">
        <v>-1.67</v>
      </c>
      <c r="I5" t="s">
        <v>2173</v>
      </c>
      <c r="J5">
        <v>11396429300</v>
      </c>
      <c r="K5">
        <v>15.8</v>
      </c>
      <c r="L5">
        <v>3.09</v>
      </c>
      <c r="M5" t="s">
        <v>1915</v>
      </c>
      <c r="N5" t="s">
        <v>2174</v>
      </c>
      <c r="O5" t="s">
        <v>2175</v>
      </c>
      <c r="P5" t="s">
        <v>2176</v>
      </c>
      <c r="Q5">
        <v>44.03</v>
      </c>
      <c r="R5" t="s">
        <v>2177</v>
      </c>
      <c r="S5">
        <v>303735560</v>
      </c>
      <c r="T5" s="4">
        <v>3.0270000000000001</v>
      </c>
      <c r="U5" t="s">
        <v>2178</v>
      </c>
      <c r="V5">
        <v>557189840</v>
      </c>
      <c r="W5">
        <v>646422540</v>
      </c>
      <c r="X5">
        <v>1.98</v>
      </c>
      <c r="Y5">
        <v>0.31</v>
      </c>
      <c r="Z5">
        <v>13.27</v>
      </c>
      <c r="AA5" t="s">
        <v>2179</v>
      </c>
      <c r="AB5" t="s">
        <v>2180</v>
      </c>
      <c r="AC5" t="s">
        <v>2181</v>
      </c>
      <c r="AD5" t="s">
        <v>2182</v>
      </c>
      <c r="AE5" t="s">
        <v>670</v>
      </c>
      <c r="AF5">
        <v>31800739</v>
      </c>
      <c r="AG5" t="s">
        <v>2183</v>
      </c>
      <c r="AH5" t="s">
        <v>2184</v>
      </c>
      <c r="AI5" t="s">
        <v>2185</v>
      </c>
      <c r="AJ5" t="s">
        <v>1900</v>
      </c>
      <c r="AK5" t="s">
        <v>2186</v>
      </c>
      <c r="AL5" t="s">
        <v>2187</v>
      </c>
      <c r="AM5" t="s">
        <v>2188</v>
      </c>
      <c r="AN5" t="s">
        <v>7</v>
      </c>
      <c r="AO5" t="s">
        <v>28</v>
      </c>
      <c r="AP5" t="s">
        <v>2189</v>
      </c>
      <c r="AQ5" t="s">
        <v>2190</v>
      </c>
      <c r="AR5" t="s">
        <v>253</v>
      </c>
      <c r="AS5" t="s">
        <v>7</v>
      </c>
      <c r="AT5" t="s">
        <v>2191</v>
      </c>
      <c r="AU5" t="s">
        <v>274</v>
      </c>
      <c r="AV5" t="s">
        <v>2192</v>
      </c>
      <c r="AW5" t="s">
        <v>2193</v>
      </c>
      <c r="AX5" t="s">
        <v>2194</v>
      </c>
      <c r="AY5" t="s">
        <v>2195</v>
      </c>
      <c r="AZ5" t="s">
        <v>2196</v>
      </c>
      <c r="BA5" t="s">
        <v>2197</v>
      </c>
      <c r="BB5" t="s">
        <v>2198</v>
      </c>
      <c r="BC5" t="s">
        <v>2199</v>
      </c>
      <c r="BD5" t="s">
        <v>159</v>
      </c>
      <c r="BE5" t="s">
        <v>275</v>
      </c>
      <c r="BF5" t="s">
        <v>67</v>
      </c>
      <c r="BG5" t="s">
        <v>212</v>
      </c>
      <c r="BH5" t="s">
        <v>48</v>
      </c>
      <c r="BI5" t="s">
        <v>2200</v>
      </c>
      <c r="BJ5" t="s">
        <v>2201</v>
      </c>
      <c r="BK5" t="s">
        <v>2195</v>
      </c>
      <c r="BL5" t="s">
        <v>2178</v>
      </c>
      <c r="BM5" t="s">
        <v>2202</v>
      </c>
      <c r="BN5" t="s">
        <v>159</v>
      </c>
      <c r="BO5">
        <v>9.09</v>
      </c>
      <c r="BP5">
        <v>5.25</v>
      </c>
      <c r="BQ5">
        <v>21.91</v>
      </c>
      <c r="BR5">
        <v>9.25</v>
      </c>
      <c r="BS5">
        <v>16.28</v>
      </c>
      <c r="BT5">
        <v>8.93</v>
      </c>
      <c r="BU5">
        <v>40.659999999999997</v>
      </c>
      <c r="BV5">
        <v>19.52</v>
      </c>
      <c r="BW5">
        <v>14.03</v>
      </c>
      <c r="BX5">
        <v>12.84</v>
      </c>
      <c r="BY5">
        <v>16.03</v>
      </c>
      <c r="BZ5">
        <v>6.37</v>
      </c>
      <c r="CA5">
        <v>4.08</v>
      </c>
      <c r="CB5">
        <v>16.350000000000001</v>
      </c>
      <c r="CC5">
        <v>4.88</v>
      </c>
      <c r="CD5">
        <v>-16.41</v>
      </c>
      <c r="CE5" t="s">
        <v>2203</v>
      </c>
      <c r="CF5" t="s">
        <v>39</v>
      </c>
      <c r="CG5" s="23">
        <v>0.44034185377086932</v>
      </c>
      <c r="CH5" s="24">
        <v>3.0266728886968073</v>
      </c>
      <c r="CI5" s="23">
        <v>0.36511945724487305</v>
      </c>
      <c r="CJ5" s="23">
        <v>6.7121349275112152E-2</v>
      </c>
      <c r="CK5" s="23">
        <v>9.2334747314453125E-2</v>
      </c>
      <c r="CL5" s="23">
        <v>3.5315632820129395E-2</v>
      </c>
      <c r="CM5" s="23">
        <v>0.21714428067207336</v>
      </c>
      <c r="CN5" s="24">
        <v>1.0204918384552002</v>
      </c>
      <c r="CO5" s="24">
        <v>-0.73186814785003662</v>
      </c>
      <c r="CP5" s="24">
        <v>1.7575757503509521</v>
      </c>
      <c r="CQ5" s="24">
        <v>1.1290322542190552</v>
      </c>
      <c r="CR5" s="24">
        <v>-8.2840234041213989E-2</v>
      </c>
      <c r="CS5">
        <v>1.404019871873845</v>
      </c>
      <c r="CT5">
        <v>59309876.267748475</v>
      </c>
      <c r="CU5">
        <v>8.1451259999999994</v>
      </c>
      <c r="CV5" s="23">
        <v>0.15540709346532822</v>
      </c>
      <c r="CW5" s="24">
        <v>0.6184782922267914</v>
      </c>
      <c r="CX5">
        <v>0.06</v>
      </c>
      <c r="CY5">
        <v>21.084838636999159</v>
      </c>
      <c r="CZ5">
        <v>537373299.13057244</v>
      </c>
      <c r="DA5">
        <v>0.15540709346532822</v>
      </c>
      <c r="DB5">
        <v>6.5218084780641856</v>
      </c>
      <c r="DC5">
        <v>1737314019.2799892</v>
      </c>
      <c r="DD5">
        <v>0.14763673879206179</v>
      </c>
      <c r="DE5">
        <v>2.9777581166800071</v>
      </c>
      <c r="DF5">
        <v>3805020037.232789</v>
      </c>
      <c r="DG5">
        <v>0.13675824224948882</v>
      </c>
      <c r="DH5">
        <v>1.6386078371410393</v>
      </c>
      <c r="DI5">
        <v>6914668075.6566896</v>
      </c>
      <c r="DJ5">
        <v>0.12432567477226258</v>
      </c>
      <c r="DK5">
        <v>0.69288891847178447</v>
      </c>
      <c r="DL5">
        <v>16352446976.623703</v>
      </c>
      <c r="DM5">
        <v>0.10878496542572974</v>
      </c>
      <c r="DN5">
        <v>493000000</v>
      </c>
      <c r="DO5">
        <v>0.15540709346532822</v>
      </c>
      <c r="DP5">
        <v>11330429300</v>
      </c>
      <c r="DQ5">
        <v>852632499.99999952</v>
      </c>
      <c r="DR5">
        <v>662</v>
      </c>
      <c r="DS5">
        <v>0.2849347603055411</v>
      </c>
      <c r="DT5">
        <v>2.408194596470016</v>
      </c>
      <c r="DU5" s="25">
        <v>0.22</v>
      </c>
      <c r="DV5">
        <v>0.97333333333333327</v>
      </c>
      <c r="DW5">
        <v>1.1933333333333334</v>
      </c>
      <c r="DX5">
        <v>6.2292155941756695</v>
      </c>
      <c r="DY5">
        <v>0.32258955763239855</v>
      </c>
      <c r="DZ5">
        <v>6.0280994382924424</v>
      </c>
      <c r="EA5">
        <v>628</v>
      </c>
      <c r="EB5">
        <v>6.0243639498826935</v>
      </c>
      <c r="EC5">
        <v>6</v>
      </c>
      <c r="ED5">
        <v>0.12175085973951341</v>
      </c>
      <c r="EE5">
        <v>0.99315843782303759</v>
      </c>
      <c r="EF5" s="22">
        <v>-1.1088</v>
      </c>
      <c r="EG5">
        <v>-1.0921000000000001</v>
      </c>
      <c r="EH5">
        <v>20.122589557632399</v>
      </c>
      <c r="EI5" t="s">
        <v>499</v>
      </c>
      <c r="EJ5">
        <v>0</v>
      </c>
      <c r="EK5">
        <v>1</v>
      </c>
    </row>
    <row r="6" spans="1:141" x14ac:dyDescent="0.25">
      <c r="A6" t="s">
        <v>2975</v>
      </c>
      <c r="B6" s="3"/>
      <c r="C6" s="3"/>
      <c r="D6" s="3"/>
      <c r="E6" t="s">
        <v>2134</v>
      </c>
      <c r="F6" t="s">
        <v>2135</v>
      </c>
      <c r="G6">
        <v>12.48</v>
      </c>
      <c r="H6">
        <v>0.4</v>
      </c>
      <c r="I6" t="s">
        <v>2204</v>
      </c>
      <c r="J6">
        <v>29634348000</v>
      </c>
      <c r="K6">
        <v>165.5</v>
      </c>
      <c r="L6">
        <v>2.42</v>
      </c>
      <c r="M6" t="s">
        <v>2136</v>
      </c>
      <c r="N6" t="s">
        <v>2205</v>
      </c>
      <c r="O6" t="s">
        <v>2206</v>
      </c>
      <c r="P6" t="s">
        <v>2207</v>
      </c>
      <c r="Q6">
        <v>19.78</v>
      </c>
      <c r="R6" t="s">
        <v>2208</v>
      </c>
      <c r="S6">
        <v>11786219</v>
      </c>
      <c r="T6" s="4">
        <v>1.2609999999999999</v>
      </c>
      <c r="U6" t="s">
        <v>616</v>
      </c>
      <c r="V6">
        <v>2260815900</v>
      </c>
      <c r="W6">
        <v>2374547100</v>
      </c>
      <c r="X6">
        <v>1.1499999999999999</v>
      </c>
      <c r="Y6">
        <v>0.04</v>
      </c>
      <c r="Z6">
        <v>-1.41</v>
      </c>
      <c r="AA6" t="s">
        <v>2209</v>
      </c>
      <c r="AB6" t="s">
        <v>115</v>
      </c>
      <c r="AC6" t="s">
        <v>2210</v>
      </c>
      <c r="AD6" t="s">
        <v>2211</v>
      </c>
      <c r="AE6" t="s">
        <v>629</v>
      </c>
      <c r="AF6">
        <v>-36513332</v>
      </c>
      <c r="AG6" t="s">
        <v>2212</v>
      </c>
      <c r="AH6" t="s">
        <v>2213</v>
      </c>
      <c r="AI6" t="s">
        <v>2214</v>
      </c>
      <c r="AJ6" t="s">
        <v>2215</v>
      </c>
      <c r="AK6" t="s">
        <v>2216</v>
      </c>
      <c r="AL6" t="s">
        <v>2217</v>
      </c>
      <c r="AM6" t="s">
        <v>2218</v>
      </c>
      <c r="AN6" t="s">
        <v>7</v>
      </c>
      <c r="AO6" t="s">
        <v>2219</v>
      </c>
      <c r="AP6" t="s">
        <v>7</v>
      </c>
      <c r="AQ6" t="s">
        <v>2220</v>
      </c>
      <c r="AR6" t="s">
        <v>206</v>
      </c>
      <c r="AS6" t="s">
        <v>7</v>
      </c>
      <c r="AT6" t="s">
        <v>1083</v>
      </c>
      <c r="AU6" t="s">
        <v>2221</v>
      </c>
      <c r="AV6" t="s">
        <v>19</v>
      </c>
      <c r="AW6" t="s">
        <v>196</v>
      </c>
      <c r="AX6" t="s">
        <v>2222</v>
      </c>
      <c r="AY6" t="s">
        <v>2223</v>
      </c>
      <c r="AZ6" t="s">
        <v>2224</v>
      </c>
      <c r="BA6" t="s">
        <v>2225</v>
      </c>
      <c r="BB6" t="s">
        <v>2226</v>
      </c>
      <c r="BC6" t="s">
        <v>1806</v>
      </c>
      <c r="BD6" t="s">
        <v>2227</v>
      </c>
      <c r="BE6" t="s">
        <v>153</v>
      </c>
      <c r="BF6" t="s">
        <v>101</v>
      </c>
      <c r="BG6" t="s">
        <v>235</v>
      </c>
      <c r="BH6" t="s">
        <v>151</v>
      </c>
      <c r="BI6" t="s">
        <v>242</v>
      </c>
      <c r="BJ6" t="s">
        <v>164</v>
      </c>
      <c r="BK6" t="s">
        <v>2223</v>
      </c>
      <c r="BL6" t="s">
        <v>616</v>
      </c>
      <c r="BM6" t="s">
        <v>2228</v>
      </c>
      <c r="BN6" t="s">
        <v>2227</v>
      </c>
      <c r="BO6">
        <v>1.2</v>
      </c>
      <c r="BP6">
        <v>-3.89</v>
      </c>
      <c r="BQ6">
        <v>4.46</v>
      </c>
      <c r="BR6">
        <v>6.84</v>
      </c>
      <c r="BS6">
        <v>1.0900000000000001</v>
      </c>
      <c r="BT6">
        <v>-4</v>
      </c>
      <c r="BU6">
        <v>4.5199999999999996</v>
      </c>
      <c r="BV6">
        <v>6.96</v>
      </c>
      <c r="BW6">
        <v>59.89</v>
      </c>
      <c r="BX6">
        <v>65.540000000000006</v>
      </c>
      <c r="BY6">
        <v>68.67</v>
      </c>
      <c r="BZ6">
        <v>4.1100000000000003</v>
      </c>
      <c r="CA6">
        <v>-16.62</v>
      </c>
      <c r="CB6">
        <v>13.27</v>
      </c>
      <c r="CC6">
        <v>6.39</v>
      </c>
      <c r="CD6">
        <v>-18.48</v>
      </c>
      <c r="CE6" t="s">
        <v>137</v>
      </c>
      <c r="CF6" t="s">
        <v>1605</v>
      </c>
      <c r="CG6" s="23">
        <v>0.19816572254335246</v>
      </c>
      <c r="CH6" s="24">
        <v>1.2608199543695271</v>
      </c>
      <c r="CI6" s="23">
        <v>0.42458099126815796</v>
      </c>
      <c r="CJ6" s="23">
        <v>-7.0129923522472382E-2</v>
      </c>
      <c r="CK6" s="23">
        <v>8.2474283874034882E-2</v>
      </c>
      <c r="CL6" s="23">
        <v>-1.0204081423580647E-2</v>
      </c>
      <c r="CM6" s="23">
        <v>0.36025241017341614</v>
      </c>
      <c r="CN6" s="24">
        <v>1.3948220014572144</v>
      </c>
      <c r="CO6" s="24">
        <v>-1.9115043878555298</v>
      </c>
      <c r="CP6" s="24">
        <v>-0.29227557778358459</v>
      </c>
      <c r="CQ6" s="24">
        <v>0.80754715204238892</v>
      </c>
      <c r="CR6" s="24">
        <v>0.68789809942245483</v>
      </c>
      <c r="CS6">
        <v>9.684427450980392</v>
      </c>
      <c r="CT6">
        <v>9479213.1147540975</v>
      </c>
      <c r="CU6">
        <v>-6.4860000000000001E-2</v>
      </c>
      <c r="CV6" s="23">
        <v>0.15739473607391119</v>
      </c>
      <c r="CW6" s="24">
        <v>0.13729745745658875</v>
      </c>
      <c r="CX6">
        <v>0.06</v>
      </c>
      <c r="CY6">
        <v>143.28809980731225</v>
      </c>
      <c r="CZ6">
        <v>133209582.83114825</v>
      </c>
      <c r="DA6">
        <v>0.15739473607391119</v>
      </c>
      <c r="DB6">
        <v>44.247449239332248</v>
      </c>
      <c r="DC6">
        <v>431377363.62513208</v>
      </c>
      <c r="DD6">
        <v>0.14952499927021562</v>
      </c>
      <c r="DE6">
        <v>20.155864614649499</v>
      </c>
      <c r="DF6">
        <v>946987309.39714241</v>
      </c>
      <c r="DG6">
        <v>0.13850736774504185</v>
      </c>
      <c r="DH6">
        <v>11.060771856830696</v>
      </c>
      <c r="DI6">
        <v>1725679568.0323527</v>
      </c>
      <c r="DJ6">
        <v>0.12591578885912896</v>
      </c>
      <c r="DK6">
        <v>4.6463980606434285</v>
      </c>
      <c r="DL6">
        <v>4107988112.7009606</v>
      </c>
      <c r="DM6">
        <v>0.11017631525173782</v>
      </c>
      <c r="DN6">
        <v>122000000</v>
      </c>
      <c r="DO6">
        <v>0.15739473607391119</v>
      </c>
      <c r="DP6">
        <v>19087348000</v>
      </c>
      <c r="DQ6">
        <v>5734292400</v>
      </c>
      <c r="DR6">
        <v>881</v>
      </c>
      <c r="DS6">
        <v>4.0770986469441273E-2</v>
      </c>
      <c r="DT6">
        <v>1.1235224969129383</v>
      </c>
      <c r="DU6" s="25">
        <v>0.48666666666666664</v>
      </c>
      <c r="DV6">
        <v>-8.3333333333333412E-2</v>
      </c>
      <c r="DW6">
        <v>0.40333333333333321</v>
      </c>
      <c r="DX6">
        <v>7.2569360675512664</v>
      </c>
      <c r="DY6">
        <v>0.41380804953560546</v>
      </c>
      <c r="DZ6">
        <v>7.0626430814850227</v>
      </c>
      <c r="EA6">
        <v>2268</v>
      </c>
      <c r="EB6">
        <v>7.0325361713752468</v>
      </c>
      <c r="EC6">
        <v>7</v>
      </c>
      <c r="ED6">
        <v>0.13265687591541139</v>
      </c>
      <c r="EE6">
        <v>0.54410375772289377</v>
      </c>
      <c r="EF6" s="22">
        <v>0.122</v>
      </c>
      <c r="EG6">
        <v>0.126</v>
      </c>
      <c r="EH6">
        <v>17.243808049535605</v>
      </c>
      <c r="EI6" t="s">
        <v>496</v>
      </c>
      <c r="EJ6">
        <v>1</v>
      </c>
      <c r="EK6">
        <v>0</v>
      </c>
    </row>
    <row r="7" spans="1:141" x14ac:dyDescent="0.25">
      <c r="A7" t="s">
        <v>2976</v>
      </c>
      <c r="B7" s="28"/>
      <c r="C7" s="28"/>
      <c r="D7" s="28"/>
      <c r="E7" t="s">
        <v>2137</v>
      </c>
      <c r="F7" t="s">
        <v>2138</v>
      </c>
      <c r="G7">
        <v>6.14</v>
      </c>
      <c r="H7">
        <v>6.04</v>
      </c>
      <c r="I7" t="s">
        <v>2229</v>
      </c>
      <c r="J7">
        <v>15073087000</v>
      </c>
      <c r="K7">
        <v>17.649999999999999</v>
      </c>
      <c r="L7">
        <v>1.92</v>
      </c>
      <c r="M7" t="s">
        <v>460</v>
      </c>
      <c r="N7" t="s">
        <v>2230</v>
      </c>
      <c r="O7" t="s">
        <v>2231</v>
      </c>
      <c r="P7" t="s">
        <v>2232</v>
      </c>
      <c r="Q7">
        <v>2.5499999999999998</v>
      </c>
      <c r="R7" t="s">
        <v>2233</v>
      </c>
      <c r="S7">
        <v>181381790</v>
      </c>
      <c r="T7" s="4">
        <v>-0.21659999999999999</v>
      </c>
      <c r="U7" t="s">
        <v>1739</v>
      </c>
      <c r="V7">
        <v>2442672900</v>
      </c>
      <c r="W7">
        <v>2454900100</v>
      </c>
      <c r="X7">
        <v>1.43</v>
      </c>
      <c r="Y7">
        <v>0.65</v>
      </c>
      <c r="Z7">
        <v>13.29</v>
      </c>
      <c r="AA7" t="s">
        <v>2234</v>
      </c>
      <c r="AB7" t="s">
        <v>2235</v>
      </c>
      <c r="AC7" t="s">
        <v>2236</v>
      </c>
      <c r="AD7" t="s">
        <v>76</v>
      </c>
      <c r="AE7" t="s">
        <v>200</v>
      </c>
      <c r="AF7">
        <v>7735836</v>
      </c>
      <c r="AG7" t="s">
        <v>2237</v>
      </c>
      <c r="AH7" t="s">
        <v>2238</v>
      </c>
      <c r="AI7" t="s">
        <v>2239</v>
      </c>
      <c r="AJ7" t="s">
        <v>2240</v>
      </c>
      <c r="AK7" t="s">
        <v>2241</v>
      </c>
      <c r="AL7" t="s">
        <v>2242</v>
      </c>
      <c r="AM7" t="s">
        <v>2243</v>
      </c>
      <c r="AN7" t="s">
        <v>7</v>
      </c>
      <c r="AO7" t="s">
        <v>2244</v>
      </c>
      <c r="AP7" t="s">
        <v>896</v>
      </c>
      <c r="AQ7" t="s">
        <v>1586</v>
      </c>
      <c r="AR7" t="s">
        <v>2245</v>
      </c>
      <c r="AS7" t="s">
        <v>7</v>
      </c>
      <c r="AT7" t="s">
        <v>2246</v>
      </c>
      <c r="AU7" t="s">
        <v>7</v>
      </c>
      <c r="AV7" t="s">
        <v>661</v>
      </c>
      <c r="AW7" t="s">
        <v>2247</v>
      </c>
      <c r="AX7" t="s">
        <v>620</v>
      </c>
      <c r="AY7" t="s">
        <v>2248</v>
      </c>
      <c r="AZ7" t="s">
        <v>2249</v>
      </c>
      <c r="BA7" t="s">
        <v>2250</v>
      </c>
      <c r="BB7" t="s">
        <v>2251</v>
      </c>
      <c r="BC7" t="s">
        <v>2252</v>
      </c>
      <c r="BD7" t="s">
        <v>2253</v>
      </c>
      <c r="BE7" t="s">
        <v>464</v>
      </c>
      <c r="BF7" t="s">
        <v>1775</v>
      </c>
      <c r="BG7" t="s">
        <v>135</v>
      </c>
      <c r="BH7" t="s">
        <v>2254</v>
      </c>
      <c r="BI7" t="s">
        <v>2233</v>
      </c>
      <c r="BJ7" t="s">
        <v>2255</v>
      </c>
      <c r="BK7" t="s">
        <v>2248</v>
      </c>
      <c r="BL7" t="s">
        <v>1739</v>
      </c>
      <c r="BM7" t="s">
        <v>53</v>
      </c>
      <c r="BN7" t="s">
        <v>2253</v>
      </c>
      <c r="BO7">
        <v>8.83</v>
      </c>
      <c r="BP7">
        <v>10.14</v>
      </c>
      <c r="BQ7">
        <v>10.87</v>
      </c>
      <c r="BR7">
        <v>10.25</v>
      </c>
      <c r="BS7">
        <v>10.93</v>
      </c>
      <c r="BT7">
        <v>12.58</v>
      </c>
      <c r="BU7">
        <v>16.09</v>
      </c>
      <c r="BV7">
        <v>15.54</v>
      </c>
      <c r="BW7">
        <v>26.46</v>
      </c>
      <c r="BX7">
        <v>26.46</v>
      </c>
      <c r="BY7">
        <v>26.8</v>
      </c>
      <c r="BZ7">
        <v>12.43</v>
      </c>
      <c r="CA7">
        <v>12.43</v>
      </c>
      <c r="CB7">
        <v>14.27</v>
      </c>
      <c r="CC7">
        <v>-5.54</v>
      </c>
      <c r="CD7">
        <v>-25.67</v>
      </c>
      <c r="CE7" t="s">
        <v>2256</v>
      </c>
      <c r="CF7" t="s">
        <v>2257</v>
      </c>
    </row>
    <row r="8" spans="1:141" x14ac:dyDescent="0.25">
      <c r="A8" t="s">
        <v>2977</v>
      </c>
      <c r="B8" s="3"/>
      <c r="C8" s="3"/>
      <c r="D8" s="3"/>
      <c r="E8" t="s">
        <v>2139</v>
      </c>
      <c r="F8" t="s">
        <v>2140</v>
      </c>
      <c r="G8">
        <v>7.36</v>
      </c>
      <c r="H8">
        <v>1.94</v>
      </c>
      <c r="I8" t="s">
        <v>2258</v>
      </c>
      <c r="J8">
        <v>5648785300</v>
      </c>
      <c r="L8">
        <v>1.27</v>
      </c>
      <c r="M8" t="s">
        <v>2141</v>
      </c>
      <c r="N8" t="s">
        <v>2259</v>
      </c>
      <c r="O8" t="s">
        <v>2260</v>
      </c>
      <c r="P8" t="s">
        <v>2261</v>
      </c>
      <c r="Q8">
        <v>-6.83</v>
      </c>
      <c r="R8" t="s">
        <v>1510</v>
      </c>
      <c r="S8">
        <v>-28705312</v>
      </c>
      <c r="T8" s="5">
        <v>-19.260000000000002</v>
      </c>
      <c r="U8" t="s">
        <v>645</v>
      </c>
      <c r="V8">
        <v>712418010</v>
      </c>
      <c r="W8">
        <v>767498010</v>
      </c>
      <c r="X8">
        <v>1.36</v>
      </c>
      <c r="Y8">
        <v>0.08</v>
      </c>
      <c r="Z8">
        <v>-4.29</v>
      </c>
      <c r="AA8" t="s">
        <v>2262</v>
      </c>
      <c r="AB8" t="s">
        <v>2263</v>
      </c>
      <c r="AC8" t="s">
        <v>2264</v>
      </c>
      <c r="AD8" t="s">
        <v>2265</v>
      </c>
      <c r="AE8" t="s">
        <v>83</v>
      </c>
      <c r="AF8">
        <v>4446107</v>
      </c>
      <c r="AG8" t="s">
        <v>2266</v>
      </c>
      <c r="AH8" t="s">
        <v>2267</v>
      </c>
      <c r="AI8" t="s">
        <v>2268</v>
      </c>
      <c r="AJ8" t="s">
        <v>180</v>
      </c>
      <c r="AK8" t="s">
        <v>2269</v>
      </c>
      <c r="AL8" t="s">
        <v>2270</v>
      </c>
      <c r="AM8" t="s">
        <v>2271</v>
      </c>
      <c r="AN8" t="s">
        <v>7</v>
      </c>
      <c r="AO8" t="s">
        <v>357</v>
      </c>
      <c r="AP8" t="s">
        <v>214</v>
      </c>
      <c r="AQ8" t="s">
        <v>2272</v>
      </c>
      <c r="AR8" t="s">
        <v>2273</v>
      </c>
      <c r="AS8" t="s">
        <v>7</v>
      </c>
      <c r="AT8" t="s">
        <v>2274</v>
      </c>
      <c r="AU8" t="s">
        <v>688</v>
      </c>
      <c r="AV8" t="s">
        <v>2275</v>
      </c>
      <c r="AW8" t="s">
        <v>184</v>
      </c>
      <c r="AX8" t="s">
        <v>2276</v>
      </c>
      <c r="AY8" t="s">
        <v>2277</v>
      </c>
      <c r="AZ8" t="s">
        <v>2278</v>
      </c>
      <c r="BA8" t="s">
        <v>2279</v>
      </c>
      <c r="BB8" t="s">
        <v>2068</v>
      </c>
      <c r="BC8" t="s">
        <v>2280</v>
      </c>
      <c r="BD8" t="s">
        <v>2281</v>
      </c>
      <c r="BE8" t="s">
        <v>2282</v>
      </c>
      <c r="BF8" t="s">
        <v>2283</v>
      </c>
      <c r="BG8" t="s">
        <v>2284</v>
      </c>
      <c r="BH8" t="s">
        <v>24</v>
      </c>
      <c r="BI8" t="s">
        <v>160</v>
      </c>
      <c r="BJ8" t="s">
        <v>1551</v>
      </c>
      <c r="BK8" t="s">
        <v>2277</v>
      </c>
      <c r="BL8" t="s">
        <v>645</v>
      </c>
      <c r="BM8" t="s">
        <v>2285</v>
      </c>
      <c r="BN8" t="s">
        <v>2281</v>
      </c>
      <c r="BO8">
        <v>-5.5</v>
      </c>
      <c r="BP8">
        <v>0.65</v>
      </c>
      <c r="BQ8">
        <v>-6.09</v>
      </c>
      <c r="BR8">
        <v>0.4</v>
      </c>
      <c r="BS8">
        <v>-5.98</v>
      </c>
      <c r="BT8">
        <v>0.71</v>
      </c>
      <c r="BU8">
        <v>-6.85</v>
      </c>
      <c r="BV8">
        <v>0.46</v>
      </c>
      <c r="BW8">
        <v>10.39</v>
      </c>
      <c r="BX8">
        <v>20.399999999999999</v>
      </c>
      <c r="BY8">
        <v>21.71</v>
      </c>
      <c r="BZ8">
        <v>-11.04</v>
      </c>
      <c r="CA8">
        <v>2.72</v>
      </c>
      <c r="CB8">
        <v>-15.2</v>
      </c>
      <c r="CC8">
        <v>-0.54</v>
      </c>
      <c r="CD8">
        <v>-14.91</v>
      </c>
      <c r="CE8" t="s">
        <v>2286</v>
      </c>
      <c r="CF8" t="s">
        <v>2287</v>
      </c>
      <c r="CG8" s="23">
        <v>-6.8160590405904053E-2</v>
      </c>
      <c r="CH8" s="24">
        <v>-19.261538265792989</v>
      </c>
      <c r="CI8" s="23">
        <v>8.2342296838760376E-2</v>
      </c>
      <c r="CJ8" s="23">
        <v>-6.5012834966182709E-2</v>
      </c>
      <c r="CK8" s="23">
        <v>0.28390991687774658</v>
      </c>
      <c r="CL8" s="23">
        <v>2.3608695715665817E-2</v>
      </c>
      <c r="CM8" s="23">
        <v>-0.2609056830406189</v>
      </c>
      <c r="CN8" s="24">
        <v>-9.1570196151733398</v>
      </c>
      <c r="CO8" s="24">
        <v>1.100147008895874</v>
      </c>
      <c r="CP8" s="24">
        <v>-15.368629455566406</v>
      </c>
      <c r="CQ8" s="24">
        <v>1.0482550859451294</v>
      </c>
      <c r="CR8" s="24">
        <v>-5.0960001945495605</v>
      </c>
      <c r="CS8">
        <v>2.3874832206255285</v>
      </c>
      <c r="CT8">
        <v>15544297.241379309</v>
      </c>
      <c r="CU8">
        <v>-0.46675200000000006</v>
      </c>
      <c r="CV8" s="23">
        <v>1.2788478285074234E-2</v>
      </c>
      <c r="CW8" s="24">
        <v>-5.494649434089661</v>
      </c>
      <c r="CX8">
        <v>0.06</v>
      </c>
      <c r="CY8" t="e">
        <v>#VALUE!</v>
      </c>
      <c r="CZ8" t="s">
        <v>573</v>
      </c>
      <c r="DA8">
        <v>1.2788478285074234E-2</v>
      </c>
      <c r="DB8" t="e">
        <v>#VALUE!</v>
      </c>
      <c r="DC8" t="s">
        <v>574</v>
      </c>
      <c r="DD8">
        <v>1.2149054370820521E-2</v>
      </c>
      <c r="DE8" t="e">
        <v>#VALUE!</v>
      </c>
      <c r="DF8" t="s">
        <v>574</v>
      </c>
      <c r="DG8">
        <v>1.1253860890865325E-2</v>
      </c>
      <c r="DH8" t="e">
        <v>#VALUE!</v>
      </c>
      <c r="DI8" t="s">
        <v>574</v>
      </c>
      <c r="DJ8">
        <v>1.0230782628059388E-2</v>
      </c>
      <c r="DK8" t="e">
        <v>#VALUE!</v>
      </c>
      <c r="DL8" t="s">
        <v>574</v>
      </c>
      <c r="DM8">
        <v>8.9519347995519628E-3</v>
      </c>
      <c r="DN8">
        <v>-290000000</v>
      </c>
      <c r="DO8">
        <v>1.2788478285074234E-2</v>
      </c>
      <c r="DP8">
        <v>2718785300</v>
      </c>
      <c r="DQ8">
        <v>1854193000</v>
      </c>
      <c r="DR8">
        <v>1617</v>
      </c>
      <c r="DS8">
        <v>-8.0949068690978287E-2</v>
      </c>
      <c r="DT8">
        <v>-13.766888831703328</v>
      </c>
      <c r="DU8" s="25">
        <v>3.3333333333333347E-2</v>
      </c>
      <c r="DV8">
        <v>-2.4150000000000005</v>
      </c>
      <c r="DW8">
        <v>-2.3816666666666673</v>
      </c>
      <c r="DX8">
        <v>-2.1490999999999998</v>
      </c>
      <c r="DY8">
        <v>0.43528085106382863</v>
      </c>
      <c r="DZ8">
        <v>-2.0231523748936171</v>
      </c>
      <c r="EA8">
        <v>4541</v>
      </c>
      <c r="EB8">
        <v>-2.0007784795133414</v>
      </c>
      <c r="EC8">
        <v>2</v>
      </c>
      <c r="ED8">
        <v>2.8527240090173003E-2</v>
      </c>
      <c r="EE8">
        <v>0.18371383138830549</v>
      </c>
      <c r="EF8" s="22">
        <v>2.511E-2</v>
      </c>
      <c r="EG8">
        <v>5.7099999999999998E-3</v>
      </c>
      <c r="EH8">
        <v>28.155280851063829</v>
      </c>
      <c r="EI8">
        <v>-1</v>
      </c>
      <c r="EJ8">
        <v>0</v>
      </c>
      <c r="EK8">
        <v>0</v>
      </c>
    </row>
    <row r="9" spans="1:141" x14ac:dyDescent="0.25">
      <c r="A9" t="s">
        <v>2978</v>
      </c>
      <c r="B9" s="3"/>
      <c r="C9" s="3"/>
      <c r="D9" s="3"/>
      <c r="E9" t="s">
        <v>2142</v>
      </c>
      <c r="F9" t="s">
        <v>2143</v>
      </c>
      <c r="G9">
        <v>6.66</v>
      </c>
      <c r="H9">
        <v>6.05</v>
      </c>
      <c r="I9" t="s">
        <v>2288</v>
      </c>
      <c r="J9">
        <v>5473987200</v>
      </c>
      <c r="K9">
        <v>77.66</v>
      </c>
      <c r="L9">
        <v>5.54</v>
      </c>
      <c r="M9" t="s">
        <v>1563</v>
      </c>
      <c r="N9" t="s">
        <v>2289</v>
      </c>
      <c r="O9" t="s">
        <v>2290</v>
      </c>
      <c r="P9" t="s">
        <v>2291</v>
      </c>
      <c r="Q9">
        <v>20.260000000000002</v>
      </c>
      <c r="R9" t="s">
        <v>591</v>
      </c>
      <c r="S9">
        <v>40532254</v>
      </c>
      <c r="T9" s="4">
        <v>2.798</v>
      </c>
      <c r="U9" t="s">
        <v>2292</v>
      </c>
      <c r="V9">
        <v>709998560</v>
      </c>
      <c r="W9">
        <v>821920000</v>
      </c>
      <c r="X9">
        <v>2.41</v>
      </c>
      <c r="Y9">
        <v>0.23</v>
      </c>
      <c r="Z9">
        <v>4.7</v>
      </c>
      <c r="AA9" t="s">
        <v>333</v>
      </c>
      <c r="AB9" t="s">
        <v>1277</v>
      </c>
      <c r="AC9" t="s">
        <v>2293</v>
      </c>
      <c r="AD9" t="s">
        <v>2294</v>
      </c>
      <c r="AE9" t="s">
        <v>98</v>
      </c>
      <c r="AF9">
        <v>23671043</v>
      </c>
      <c r="AG9" t="s">
        <v>2295</v>
      </c>
      <c r="AH9" t="s">
        <v>2296</v>
      </c>
      <c r="AI9" t="s">
        <v>2297</v>
      </c>
      <c r="AJ9" t="s">
        <v>357</v>
      </c>
      <c r="AK9" t="s">
        <v>2298</v>
      </c>
      <c r="AL9" t="s">
        <v>7</v>
      </c>
      <c r="AM9" t="s">
        <v>2299</v>
      </c>
      <c r="AN9" t="s">
        <v>7</v>
      </c>
      <c r="AO9" t="s">
        <v>2300</v>
      </c>
      <c r="AP9" t="s">
        <v>2301</v>
      </c>
      <c r="AQ9" t="s">
        <v>7</v>
      </c>
      <c r="AR9" t="s">
        <v>144</v>
      </c>
      <c r="AS9" t="s">
        <v>7</v>
      </c>
      <c r="AT9" t="s">
        <v>2302</v>
      </c>
      <c r="AU9" t="s">
        <v>7</v>
      </c>
      <c r="AV9" t="s">
        <v>2303</v>
      </c>
      <c r="AW9" t="s">
        <v>2304</v>
      </c>
      <c r="AX9" t="s">
        <v>2305</v>
      </c>
      <c r="AY9" t="s">
        <v>2306</v>
      </c>
      <c r="AZ9" t="s">
        <v>2307</v>
      </c>
      <c r="BA9" t="s">
        <v>2308</v>
      </c>
      <c r="BB9" t="s">
        <v>2309</v>
      </c>
      <c r="BC9" t="s">
        <v>177</v>
      </c>
      <c r="BD9" t="s">
        <v>2310</v>
      </c>
      <c r="BE9" t="s">
        <v>2311</v>
      </c>
      <c r="BF9" t="s">
        <v>2312</v>
      </c>
      <c r="BG9" t="s">
        <v>2313</v>
      </c>
      <c r="BH9" t="s">
        <v>2314</v>
      </c>
      <c r="BI9" t="s">
        <v>438</v>
      </c>
      <c r="BJ9" t="s">
        <v>146</v>
      </c>
      <c r="BK9" t="s">
        <v>2306</v>
      </c>
      <c r="BL9" t="s">
        <v>2292</v>
      </c>
      <c r="BM9" t="s">
        <v>2315</v>
      </c>
      <c r="BN9" t="s">
        <v>2310</v>
      </c>
      <c r="BO9">
        <v>1.35</v>
      </c>
      <c r="BP9">
        <v>0.62</v>
      </c>
      <c r="BQ9">
        <v>0.64</v>
      </c>
      <c r="BR9">
        <v>-3</v>
      </c>
      <c r="BS9">
        <v>2.71</v>
      </c>
      <c r="BT9">
        <v>1.1499999999999999</v>
      </c>
      <c r="BU9">
        <v>1.1299999999999999</v>
      </c>
      <c r="BV9">
        <v>-5</v>
      </c>
      <c r="BW9">
        <v>10.88</v>
      </c>
      <c r="BX9">
        <v>12.33</v>
      </c>
      <c r="BY9">
        <v>9.82</v>
      </c>
      <c r="BZ9">
        <v>1.27</v>
      </c>
      <c r="CA9">
        <v>0.72</v>
      </c>
      <c r="CB9">
        <v>1.45</v>
      </c>
      <c r="CC9">
        <v>8.4700000000000006</v>
      </c>
      <c r="CD9">
        <v>0.45</v>
      </c>
      <c r="CE9" t="s">
        <v>2316</v>
      </c>
      <c r="CF9" t="s">
        <v>2317</v>
      </c>
      <c r="CG9" s="23">
        <v>0.20236871148459384</v>
      </c>
      <c r="CH9" s="24">
        <v>2.7976439613979198</v>
      </c>
      <c r="CI9" s="23">
        <v>0.34810137748718262</v>
      </c>
      <c r="CJ9" s="23">
        <v>0.17037034034729004</v>
      </c>
      <c r="CK9" s="23">
        <v>4.9222763627767563E-2</v>
      </c>
      <c r="CL9" s="23">
        <v>-2.9663115739822388E-2</v>
      </c>
      <c r="CM9" s="23">
        <v>0.27092653512954712</v>
      </c>
      <c r="CN9" s="24">
        <v>1.3949147462844849</v>
      </c>
      <c r="CO9" s="24">
        <v>2.3612687364220619E-2</v>
      </c>
      <c r="CP9" s="24">
        <v>1.224246621131897</v>
      </c>
      <c r="CQ9" s="24">
        <v>-10.943486213684082</v>
      </c>
      <c r="CR9" s="24">
        <v>6.2808357179164886E-2</v>
      </c>
      <c r="CS9">
        <v>1.713298028169014</v>
      </c>
      <c r="CT9">
        <v>82203103.038299367</v>
      </c>
      <c r="CU9">
        <v>2.60521</v>
      </c>
      <c r="CV9" s="23">
        <v>0.161791580170393</v>
      </c>
      <c r="CW9" s="24">
        <v>-1.6475807603448629</v>
      </c>
      <c r="CX9">
        <v>0.06</v>
      </c>
      <c r="CY9">
        <v>137.24573196390509</v>
      </c>
      <c r="CZ9">
        <v>44525881.515988834</v>
      </c>
      <c r="DA9">
        <v>0.161791580170393</v>
      </c>
      <c r="DB9">
        <v>42.226616507795356</v>
      </c>
      <c r="DC9">
        <v>144718845.72783294</v>
      </c>
      <c r="DD9">
        <v>0.15370200116187333</v>
      </c>
      <c r="DE9">
        <v>19.136675423163958</v>
      </c>
      <c r="DF9">
        <v>319333795.70220256</v>
      </c>
      <c r="DG9">
        <v>0.14237659054994584</v>
      </c>
      <c r="DH9">
        <v>10.437175617517099</v>
      </c>
      <c r="DI9">
        <v>585502000.1525799</v>
      </c>
      <c r="DJ9">
        <v>0.1294332641363144</v>
      </c>
      <c r="DK9">
        <v>4.3206707675555744</v>
      </c>
      <c r="DL9">
        <v>1414360762.196491</v>
      </c>
      <c r="DM9">
        <v>0.11325410611927508</v>
      </c>
      <c r="DN9">
        <v>40624700</v>
      </c>
      <c r="DO9">
        <v>0.161791580170393</v>
      </c>
      <c r="DP9">
        <v>6110987200</v>
      </c>
      <c r="DQ9">
        <v>172129500</v>
      </c>
      <c r="DR9">
        <v>1817</v>
      </c>
      <c r="DS9">
        <v>4.0577131314200848E-2</v>
      </c>
      <c r="DT9">
        <v>4.4452247217427825</v>
      </c>
      <c r="DU9" s="25">
        <v>0.6366666666666666</v>
      </c>
      <c r="DV9">
        <v>0.54999999999999993</v>
      </c>
      <c r="DW9">
        <v>1.1866666666666665</v>
      </c>
      <c r="DX9">
        <v>5.0531286894923255</v>
      </c>
      <c r="DY9">
        <v>0.6400928961748602</v>
      </c>
      <c r="DZ9">
        <v>5.0063803781911087</v>
      </c>
      <c r="EA9">
        <v>992</v>
      </c>
      <c r="EB9">
        <v>5.0050428179278841</v>
      </c>
      <c r="EC9">
        <v>5</v>
      </c>
      <c r="ED9">
        <v>8.0215836091103762E-2</v>
      </c>
      <c r="EE9">
        <v>0.66794821880474986</v>
      </c>
      <c r="EF9" s="22">
        <v>-2.1158000000000001</v>
      </c>
      <c r="EG9">
        <v>-1.0263</v>
      </c>
      <c r="EH9">
        <v>52.12009289617486</v>
      </c>
      <c r="EI9" t="s">
        <v>499</v>
      </c>
      <c r="EJ9">
        <v>1</v>
      </c>
      <c r="EK9">
        <v>1</v>
      </c>
    </row>
    <row r="10" spans="1:141" x14ac:dyDescent="0.25">
      <c r="A10" t="s">
        <v>2979</v>
      </c>
      <c r="B10" s="3"/>
      <c r="C10" s="3"/>
      <c r="D10" s="3"/>
      <c r="E10" t="s">
        <v>1572</v>
      </c>
      <c r="F10" t="s">
        <v>1573</v>
      </c>
      <c r="G10">
        <v>13.57</v>
      </c>
      <c r="H10">
        <v>-2.65</v>
      </c>
      <c r="I10" t="s">
        <v>1818</v>
      </c>
      <c r="J10">
        <v>18564908000</v>
      </c>
      <c r="L10">
        <v>1.63</v>
      </c>
      <c r="M10" t="s">
        <v>1560</v>
      </c>
      <c r="N10" t="s">
        <v>1819</v>
      </c>
      <c r="O10" t="s">
        <v>1820</v>
      </c>
      <c r="P10" t="s">
        <v>1821</v>
      </c>
      <c r="Q10">
        <v>-4.53</v>
      </c>
      <c r="R10" t="s">
        <v>1822</v>
      </c>
      <c r="S10">
        <v>-157969840</v>
      </c>
      <c r="T10" s="4">
        <v>-1.7130000000000001</v>
      </c>
      <c r="U10" t="s">
        <v>1823</v>
      </c>
      <c r="V10">
        <v>1368084600</v>
      </c>
      <c r="W10">
        <v>1368084600</v>
      </c>
      <c r="X10">
        <v>3.08</v>
      </c>
      <c r="Y10">
        <v>0.23</v>
      </c>
      <c r="Z10">
        <v>-2.61</v>
      </c>
      <c r="AA10" t="s">
        <v>1824</v>
      </c>
      <c r="AB10" t="s">
        <v>1825</v>
      </c>
      <c r="AC10" t="s">
        <v>156</v>
      </c>
      <c r="AD10" t="s">
        <v>182</v>
      </c>
      <c r="AE10" t="s">
        <v>1826</v>
      </c>
      <c r="AF10">
        <v>149095630</v>
      </c>
      <c r="AG10" t="s">
        <v>1827</v>
      </c>
      <c r="AH10" t="s">
        <v>1828</v>
      </c>
      <c r="AI10" t="s">
        <v>1829</v>
      </c>
      <c r="AJ10" t="s">
        <v>1830</v>
      </c>
      <c r="AK10" t="s">
        <v>1831</v>
      </c>
      <c r="AL10" t="s">
        <v>659</v>
      </c>
      <c r="AM10" t="s">
        <v>1832</v>
      </c>
      <c r="AN10" t="s">
        <v>7</v>
      </c>
      <c r="AO10" t="s">
        <v>1833</v>
      </c>
      <c r="AP10" t="s">
        <v>1834</v>
      </c>
      <c r="AQ10" t="s">
        <v>990</v>
      </c>
      <c r="AR10" t="s">
        <v>1835</v>
      </c>
      <c r="AS10" t="s">
        <v>7</v>
      </c>
      <c r="AT10" t="s">
        <v>1836</v>
      </c>
      <c r="AU10" t="s">
        <v>1837</v>
      </c>
      <c r="AV10" t="s">
        <v>207</v>
      </c>
      <c r="AW10" t="s">
        <v>1838</v>
      </c>
      <c r="AX10" t="s">
        <v>1621</v>
      </c>
      <c r="AY10" t="s">
        <v>1839</v>
      </c>
      <c r="AZ10" t="s">
        <v>1840</v>
      </c>
      <c r="BA10" t="s">
        <v>1841</v>
      </c>
      <c r="BB10" t="s">
        <v>1842</v>
      </c>
      <c r="BC10" t="s">
        <v>1843</v>
      </c>
      <c r="BD10" t="s">
        <v>1844</v>
      </c>
      <c r="BE10" t="s">
        <v>1845</v>
      </c>
      <c r="BF10" t="s">
        <v>772</v>
      </c>
      <c r="BG10" t="s">
        <v>649</v>
      </c>
      <c r="BH10" t="s">
        <v>1846</v>
      </c>
      <c r="BI10" t="s">
        <v>1847</v>
      </c>
      <c r="BJ10" t="s">
        <v>1848</v>
      </c>
      <c r="BK10" t="s">
        <v>1839</v>
      </c>
      <c r="BL10" t="s">
        <v>1823</v>
      </c>
      <c r="BM10" t="s">
        <v>186</v>
      </c>
      <c r="BN10" t="s">
        <v>1844</v>
      </c>
      <c r="BO10">
        <v>-11.12</v>
      </c>
      <c r="BP10">
        <v>1.76</v>
      </c>
      <c r="BQ10">
        <v>2.9</v>
      </c>
      <c r="BR10">
        <v>4.68</v>
      </c>
      <c r="BS10">
        <v>-27.96</v>
      </c>
      <c r="BT10">
        <v>4.6100000000000003</v>
      </c>
      <c r="BU10">
        <v>7.52</v>
      </c>
      <c r="BV10">
        <v>10.49</v>
      </c>
      <c r="BW10">
        <v>11.63</v>
      </c>
      <c r="BX10">
        <v>13.31</v>
      </c>
      <c r="BY10">
        <v>16</v>
      </c>
      <c r="BZ10">
        <v>-9.93</v>
      </c>
      <c r="CA10">
        <v>0.43</v>
      </c>
      <c r="CB10">
        <v>2.35</v>
      </c>
      <c r="CC10">
        <v>3.04</v>
      </c>
      <c r="CD10">
        <v>30.73</v>
      </c>
      <c r="CE10" t="s">
        <v>229</v>
      </c>
      <c r="CF10" t="s">
        <v>1849</v>
      </c>
      <c r="CG10" s="23">
        <v>-4.5331106047041589E-2</v>
      </c>
      <c r="CH10" s="24">
        <v>-1.7147956561085973</v>
      </c>
      <c r="CI10" s="23">
        <v>-4.6356301754713058E-2</v>
      </c>
      <c r="CJ10" s="23">
        <v>-0.22381232678890228</v>
      </c>
      <c r="CK10" s="23">
        <v>9.8218262195587158E-2</v>
      </c>
      <c r="CL10" s="23">
        <v>1.1115913391113281</v>
      </c>
      <c r="CM10" s="23">
        <v>0.43413105607032776</v>
      </c>
      <c r="CN10" s="24">
        <v>-7.0925321578979492</v>
      </c>
      <c r="CO10" s="24">
        <v>-0.34468084573745728</v>
      </c>
      <c r="CP10" s="24">
        <v>-0.28679817914962769</v>
      </c>
      <c r="CQ10" s="24">
        <v>2.3282828330993652</v>
      </c>
      <c r="CR10" s="24">
        <v>-0.12775330245494843</v>
      </c>
      <c r="CS10">
        <v>0.40650116049923363</v>
      </c>
      <c r="CT10">
        <v>1226905.3290700773</v>
      </c>
      <c r="CU10">
        <v>-1.848924</v>
      </c>
      <c r="CV10" s="23">
        <v>0.27475440576672555</v>
      </c>
      <c r="CW10" s="24">
        <v>-1.1046963304281234</v>
      </c>
      <c r="CX10">
        <v>0.06</v>
      </c>
      <c r="CY10" t="e">
        <v>#VALUE!</v>
      </c>
      <c r="CZ10" t="s">
        <v>573</v>
      </c>
      <c r="DA10">
        <v>0.27475440576672555</v>
      </c>
      <c r="DB10" t="e">
        <v>#VALUE!</v>
      </c>
      <c r="DC10" t="s">
        <v>574</v>
      </c>
      <c r="DD10">
        <v>0.26101668547838924</v>
      </c>
      <c r="DE10" t="e">
        <v>#VALUE!</v>
      </c>
      <c r="DF10" t="s">
        <v>574</v>
      </c>
      <c r="DG10">
        <v>0.24178387707471849</v>
      </c>
      <c r="DH10" t="e">
        <v>#VALUE!</v>
      </c>
      <c r="DI10" t="s">
        <v>574</v>
      </c>
      <c r="DJ10">
        <v>0.21980352461338046</v>
      </c>
      <c r="DK10" t="e">
        <v>#VALUE!</v>
      </c>
      <c r="DL10" t="s">
        <v>574</v>
      </c>
      <c r="DM10">
        <v>0.19232808403670787</v>
      </c>
      <c r="DN10">
        <v>-3753000000</v>
      </c>
      <c r="DO10">
        <v>0.27475440576672555</v>
      </c>
      <c r="DP10">
        <v>36667908000</v>
      </c>
      <c r="DQ10">
        <v>8245652999.9999981</v>
      </c>
      <c r="DR10">
        <v>3185</v>
      </c>
      <c r="DS10">
        <v>-0.32008551181376715</v>
      </c>
      <c r="DT10">
        <v>-0.61009932568047387</v>
      </c>
      <c r="DU10" s="25">
        <v>0.18333333333333335</v>
      </c>
      <c r="DV10">
        <v>-1.5850000000000002</v>
      </c>
      <c r="DW10">
        <v>-1.4016666666666668</v>
      </c>
      <c r="DX10">
        <v>8.0989261308167908</v>
      </c>
      <c r="DY10">
        <v>0.67722513089005498</v>
      </c>
      <c r="DZ10">
        <v>8.0224785030232919</v>
      </c>
      <c r="EA10">
        <v>4155</v>
      </c>
      <c r="EB10">
        <v>8.0026823648160477</v>
      </c>
      <c r="EC10">
        <v>8</v>
      </c>
      <c r="ED10">
        <v>0.15861592185161649</v>
      </c>
      <c r="EE10">
        <v>0.69805624593683757</v>
      </c>
      <c r="EF10" s="22">
        <v>4.0100100000000003</v>
      </c>
      <c r="EG10">
        <v>4.0365099999999998</v>
      </c>
      <c r="EH10">
        <v>45.227225130890055</v>
      </c>
      <c r="EI10" t="s">
        <v>1850</v>
      </c>
      <c r="EJ10">
        <v>0</v>
      </c>
      <c r="EK10">
        <v>0</v>
      </c>
    </row>
    <row r="11" spans="1:141" x14ac:dyDescent="0.25">
      <c r="A11" t="s">
        <v>2980</v>
      </c>
      <c r="B11" s="28"/>
      <c r="C11" s="28"/>
      <c r="D11" s="28"/>
      <c r="E11" t="s">
        <v>2144</v>
      </c>
      <c r="F11" t="s">
        <v>2145</v>
      </c>
      <c r="G11">
        <v>7.37</v>
      </c>
      <c r="H11">
        <v>-0.81</v>
      </c>
      <c r="I11" t="s">
        <v>2318</v>
      </c>
      <c r="J11">
        <v>4109139000</v>
      </c>
      <c r="K11">
        <v>12.97</v>
      </c>
      <c r="L11">
        <v>1.37</v>
      </c>
      <c r="M11" t="s">
        <v>631</v>
      </c>
      <c r="N11" t="s">
        <v>2319</v>
      </c>
      <c r="O11" t="s">
        <v>2320</v>
      </c>
      <c r="P11" t="s">
        <v>2321</v>
      </c>
      <c r="Q11">
        <v>-11.06</v>
      </c>
      <c r="R11" t="s">
        <v>2322</v>
      </c>
      <c r="S11">
        <v>5881763</v>
      </c>
      <c r="T11" s="4">
        <v>-0.89880000000000004</v>
      </c>
      <c r="U11" t="s">
        <v>214</v>
      </c>
      <c r="V11">
        <v>554879690</v>
      </c>
      <c r="W11">
        <v>557549390</v>
      </c>
      <c r="X11">
        <v>2</v>
      </c>
      <c r="Y11">
        <v>0.15</v>
      </c>
      <c r="Z11">
        <v>0.64</v>
      </c>
      <c r="AA11" t="s">
        <v>634</v>
      </c>
      <c r="AB11" t="s">
        <v>682</v>
      </c>
      <c r="AC11" t="s">
        <v>2323</v>
      </c>
      <c r="AD11" t="s">
        <v>2324</v>
      </c>
      <c r="AE11" t="s">
        <v>7</v>
      </c>
      <c r="AF11">
        <v>19894000</v>
      </c>
      <c r="AG11" t="s">
        <v>37</v>
      </c>
      <c r="AH11" t="s">
        <v>2325</v>
      </c>
      <c r="AI11" t="s">
        <v>2326</v>
      </c>
      <c r="AJ11" t="s">
        <v>2327</v>
      </c>
      <c r="AK11" t="s">
        <v>2328</v>
      </c>
      <c r="AL11" t="s">
        <v>2329</v>
      </c>
      <c r="AM11" t="s">
        <v>2330</v>
      </c>
      <c r="AN11" t="s">
        <v>7</v>
      </c>
      <c r="AO11" t="s">
        <v>125</v>
      </c>
      <c r="AP11" t="s">
        <v>440</v>
      </c>
      <c r="AQ11" t="s">
        <v>34</v>
      </c>
      <c r="AR11" t="s">
        <v>2331</v>
      </c>
      <c r="AS11" t="s">
        <v>7</v>
      </c>
      <c r="AT11" t="s">
        <v>2332</v>
      </c>
      <c r="AU11" t="s">
        <v>632</v>
      </c>
      <c r="AV11" t="s">
        <v>2333</v>
      </c>
      <c r="AW11" t="s">
        <v>2334</v>
      </c>
      <c r="AX11" t="s">
        <v>2335</v>
      </c>
      <c r="AY11" t="s">
        <v>2336</v>
      </c>
      <c r="AZ11" t="s">
        <v>2337</v>
      </c>
      <c r="BA11" t="s">
        <v>2338</v>
      </c>
      <c r="BB11" t="s">
        <v>2339</v>
      </c>
      <c r="BC11" t="s">
        <v>2340</v>
      </c>
      <c r="BD11" t="s">
        <v>2341</v>
      </c>
      <c r="BE11" t="s">
        <v>2342</v>
      </c>
      <c r="BF11" t="s">
        <v>24</v>
      </c>
      <c r="BG11" t="s">
        <v>56</v>
      </c>
      <c r="BH11" t="s">
        <v>211</v>
      </c>
      <c r="BI11" t="s">
        <v>216</v>
      </c>
      <c r="BJ11" t="s">
        <v>167</v>
      </c>
      <c r="BK11" t="s">
        <v>2336</v>
      </c>
      <c r="BL11" t="s">
        <v>214</v>
      </c>
      <c r="BM11" t="s">
        <v>2343</v>
      </c>
      <c r="BN11" t="s">
        <v>2341</v>
      </c>
      <c r="BO11">
        <v>8.34</v>
      </c>
      <c r="BP11">
        <v>-1.29</v>
      </c>
      <c r="BQ11">
        <v>-5.24</v>
      </c>
      <c r="BR11">
        <v>3.9</v>
      </c>
      <c r="BS11">
        <v>16.02</v>
      </c>
      <c r="BT11">
        <v>-2.39</v>
      </c>
      <c r="BU11">
        <v>-10.75</v>
      </c>
      <c r="BV11">
        <v>7.02</v>
      </c>
      <c r="BW11">
        <v>18.29</v>
      </c>
      <c r="BX11">
        <v>16.3</v>
      </c>
      <c r="BY11">
        <v>18.190000000000001</v>
      </c>
      <c r="BZ11">
        <v>8.91</v>
      </c>
      <c r="CA11">
        <v>-1.57</v>
      </c>
      <c r="CB11">
        <v>-8.9600000000000009</v>
      </c>
      <c r="CC11">
        <v>-1.86</v>
      </c>
      <c r="CD11">
        <v>5.74</v>
      </c>
      <c r="CE11" t="s">
        <v>2344</v>
      </c>
      <c r="CF11" t="s">
        <v>187</v>
      </c>
      <c r="CG11" s="23">
        <v>-0.11045625120772946</v>
      </c>
      <c r="CH11" s="24">
        <v>-0.89877720622781032</v>
      </c>
      <c r="CI11" s="23">
        <v>0.19613498449325562</v>
      </c>
      <c r="CJ11" s="23">
        <v>0.62999528646469116</v>
      </c>
      <c r="CK11" s="23">
        <v>-0.11669432371854782</v>
      </c>
      <c r="CL11" s="23">
        <v>0.11224021762609482</v>
      </c>
      <c r="CM11" s="23">
        <v>0.66155016422271729</v>
      </c>
      <c r="CN11" s="24">
        <v>8.7480802536010742</v>
      </c>
      <c r="CO11" s="24">
        <v>0.74256914854049683</v>
      </c>
      <c r="CP11" s="24">
        <v>-2.4800000190734863</v>
      </c>
      <c r="CQ11" s="24">
        <v>-0.43693694472312927</v>
      </c>
      <c r="CR11" s="24">
        <v>0.1746031790971756</v>
      </c>
      <c r="CS11">
        <v>0.99087026766337116</v>
      </c>
      <c r="CT11">
        <v>1108834.4173441734</v>
      </c>
      <c r="CU11">
        <v>0.192</v>
      </c>
      <c r="CV11" s="23">
        <v>0.29664526581764222</v>
      </c>
      <c r="CW11" s="24">
        <v>1.3496631234884262</v>
      </c>
      <c r="CX11">
        <v>0.06</v>
      </c>
      <c r="CY11">
        <v>9.0902232631197268</v>
      </c>
      <c r="CZ11">
        <v>451379342.53463203</v>
      </c>
      <c r="DA11">
        <v>0.29664526581764222</v>
      </c>
      <c r="DB11">
        <v>2.504495548480786</v>
      </c>
      <c r="DC11">
        <v>1638309559.9786322</v>
      </c>
      <c r="DD11">
        <v>0.28181300252676011</v>
      </c>
      <c r="DE11">
        <v>0.96609519193273341</v>
      </c>
      <c r="DF11">
        <v>4247137377.6236434</v>
      </c>
      <c r="DG11">
        <v>0.26104783391952519</v>
      </c>
      <c r="DH11">
        <v>0.43112167538875013</v>
      </c>
      <c r="DI11">
        <v>9517357243.2889767</v>
      </c>
      <c r="DJ11">
        <v>0.23731621265411379</v>
      </c>
      <c r="DK11">
        <v>0.10811942918514712</v>
      </c>
      <c r="DL11">
        <v>37950061620.965973</v>
      </c>
      <c r="DM11">
        <v>0.20765168607234955</v>
      </c>
      <c r="DN11">
        <v>369000000</v>
      </c>
      <c r="DO11">
        <v>0.29664526581764222</v>
      </c>
      <c r="DP11">
        <v>4103139000</v>
      </c>
      <c r="DQ11">
        <v>662094500</v>
      </c>
      <c r="DR11">
        <v>3976</v>
      </c>
      <c r="DS11">
        <v>-0.40710151702537167</v>
      </c>
      <c r="DT11">
        <v>-2.2484403297162365</v>
      </c>
      <c r="DU11" s="25">
        <v>0.66666666666666663</v>
      </c>
      <c r="DV11">
        <v>-0.95666666666666667</v>
      </c>
      <c r="DW11">
        <v>-0.29000000000000004</v>
      </c>
      <c r="DX11">
        <v>1.0573999999999999</v>
      </c>
      <c r="DY11">
        <v>0.3086297994269348</v>
      </c>
      <c r="DZ11">
        <v>1.0091053504871059</v>
      </c>
      <c r="EA11">
        <v>3372</v>
      </c>
      <c r="EB11">
        <v>1.0026182932628251</v>
      </c>
      <c r="EC11">
        <v>1</v>
      </c>
      <c r="ED11">
        <v>9.9294880405124283E-2</v>
      </c>
      <c r="EE11">
        <v>0.62595351418104861</v>
      </c>
      <c r="EF11" s="22">
        <v>3.0077099999999999</v>
      </c>
      <c r="EG11">
        <v>3.0158100000000001</v>
      </c>
      <c r="EH11">
        <v>15.158629799426935</v>
      </c>
      <c r="EI11" t="s">
        <v>2345</v>
      </c>
      <c r="EJ11">
        <v>0</v>
      </c>
      <c r="EK11">
        <v>0</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K27"/>
  <sheetViews>
    <sheetView workbookViewId="0">
      <selection sqref="A1:XFD2"/>
    </sheetView>
  </sheetViews>
  <sheetFormatPr defaultRowHeight="14.4" x14ac:dyDescent="0.25"/>
  <cols>
    <col min="1" max="1" width="27.6640625" customWidth="1"/>
    <col min="2" max="2" width="41" customWidth="1"/>
    <col min="3" max="3" width="42.21875" customWidth="1"/>
    <col min="4" max="4" width="52.21875" customWidth="1"/>
  </cols>
  <sheetData>
    <row r="1" spans="1:141" s="16" customFormat="1" x14ac:dyDescent="0.25">
      <c r="A1" s="17" t="s">
        <v>309</v>
      </c>
      <c r="B1" s="20" t="s">
        <v>500</v>
      </c>
      <c r="C1" s="21" t="s">
        <v>501</v>
      </c>
      <c r="D1" s="20" t="s">
        <v>502</v>
      </c>
      <c r="E1" t="s">
        <v>2</v>
      </c>
      <c r="F1" t="s">
        <v>3</v>
      </c>
      <c r="G1" t="s">
        <v>0</v>
      </c>
      <c r="H1" t="s">
        <v>466</v>
      </c>
      <c r="I1" t="s">
        <v>503</v>
      </c>
      <c r="J1" t="s">
        <v>4</v>
      </c>
      <c r="K1" t="s">
        <v>5</v>
      </c>
      <c r="L1" t="s">
        <v>1</v>
      </c>
      <c r="M1" t="s">
        <v>6</v>
      </c>
      <c r="N1" t="s">
        <v>9</v>
      </c>
      <c r="O1" t="s">
        <v>10</v>
      </c>
      <c r="P1" t="s">
        <v>11</v>
      </c>
      <c r="Q1" t="s">
        <v>504</v>
      </c>
      <c r="R1" t="s">
        <v>467</v>
      </c>
      <c r="S1" t="s">
        <v>505</v>
      </c>
      <c r="T1" t="s">
        <v>12</v>
      </c>
      <c r="U1" t="s">
        <v>468</v>
      </c>
      <c r="V1" t="s">
        <v>469</v>
      </c>
      <c r="W1" t="s">
        <v>13</v>
      </c>
      <c r="X1" t="s">
        <v>388</v>
      </c>
      <c r="Y1" t="s">
        <v>389</v>
      </c>
      <c r="Z1" t="s">
        <v>390</v>
      </c>
      <c r="AA1" t="s">
        <v>391</v>
      </c>
      <c r="AB1" t="s">
        <v>392</v>
      </c>
      <c r="AC1" t="s">
        <v>470</v>
      </c>
      <c r="AD1" t="s">
        <v>393</v>
      </c>
      <c r="AE1" t="s">
        <v>506</v>
      </c>
      <c r="AF1" t="s">
        <v>14</v>
      </c>
      <c r="AG1" t="s">
        <v>15</v>
      </c>
      <c r="AH1" t="s">
        <v>471</v>
      </c>
      <c r="AI1" t="s">
        <v>507</v>
      </c>
      <c r="AJ1" t="s">
        <v>472</v>
      </c>
      <c r="AK1" t="s">
        <v>16</v>
      </c>
      <c r="AL1" t="s">
        <v>473</v>
      </c>
      <c r="AM1" t="s">
        <v>310</v>
      </c>
      <c r="AN1" t="s">
        <v>474</v>
      </c>
      <c r="AO1" t="s">
        <v>475</v>
      </c>
      <c r="AP1" t="s">
        <v>476</v>
      </c>
      <c r="AQ1" t="s">
        <v>477</v>
      </c>
      <c r="AR1" t="s">
        <v>478</v>
      </c>
      <c r="AS1" t="s">
        <v>479</v>
      </c>
      <c r="AT1" t="s">
        <v>480</v>
      </c>
      <c r="AU1" t="s">
        <v>481</v>
      </c>
      <c r="AV1" t="s">
        <v>482</v>
      </c>
      <c r="AW1" t="s">
        <v>483</v>
      </c>
      <c r="AX1" t="s">
        <v>484</v>
      </c>
      <c r="AY1" t="s">
        <v>508</v>
      </c>
      <c r="AZ1" t="s">
        <v>311</v>
      </c>
      <c r="BA1" t="s">
        <v>312</v>
      </c>
      <c r="BB1" t="s">
        <v>313</v>
      </c>
      <c r="BC1" t="s">
        <v>314</v>
      </c>
      <c r="BD1" t="s">
        <v>320</v>
      </c>
      <c r="BE1" t="s">
        <v>315</v>
      </c>
      <c r="BF1" t="s">
        <v>316</v>
      </c>
      <c r="BG1" t="s">
        <v>317</v>
      </c>
      <c r="BH1" t="s">
        <v>318</v>
      </c>
      <c r="BI1" t="s">
        <v>509</v>
      </c>
      <c r="BJ1" t="s">
        <v>485</v>
      </c>
      <c r="BK1" t="s">
        <v>319</v>
      </c>
      <c r="BL1" t="s">
        <v>486</v>
      </c>
      <c r="BM1" t="s">
        <v>487</v>
      </c>
      <c r="BN1" t="s">
        <v>488</v>
      </c>
      <c r="BO1" t="s">
        <v>489</v>
      </c>
      <c r="BP1" t="s">
        <v>321</v>
      </c>
      <c r="BQ1" t="s">
        <v>322</v>
      </c>
      <c r="BR1" t="s">
        <v>323</v>
      </c>
      <c r="BS1" t="s">
        <v>490</v>
      </c>
      <c r="BT1" t="s">
        <v>324</v>
      </c>
      <c r="BU1" t="s">
        <v>325</v>
      </c>
      <c r="BV1" t="s">
        <v>326</v>
      </c>
      <c r="BW1" t="s">
        <v>491</v>
      </c>
      <c r="BX1" t="s">
        <v>327</v>
      </c>
      <c r="BY1" t="s">
        <v>328</v>
      </c>
      <c r="BZ1" t="s">
        <v>492</v>
      </c>
      <c r="CA1" t="s">
        <v>329</v>
      </c>
      <c r="CB1" t="s">
        <v>330</v>
      </c>
      <c r="CC1" t="s">
        <v>510</v>
      </c>
      <c r="CD1" t="s">
        <v>511</v>
      </c>
      <c r="CE1" t="s">
        <v>512</v>
      </c>
      <c r="CF1" t="s">
        <v>513</v>
      </c>
      <c r="CG1" s="1" t="s">
        <v>394</v>
      </c>
      <c r="CH1" s="1" t="s">
        <v>395</v>
      </c>
      <c r="CI1" s="1" t="s">
        <v>396</v>
      </c>
      <c r="CJ1" s="1" t="s">
        <v>397</v>
      </c>
      <c r="CK1" s="1" t="s">
        <v>398</v>
      </c>
      <c r="CL1" s="1" t="s">
        <v>399</v>
      </c>
      <c r="CM1" s="1" t="s">
        <v>400</v>
      </c>
      <c r="CN1" s="1" t="s">
        <v>401</v>
      </c>
      <c r="CO1" s="1" t="s">
        <v>402</v>
      </c>
      <c r="CP1" s="1" t="s">
        <v>403</v>
      </c>
      <c r="CQ1" s="1" t="s">
        <v>404</v>
      </c>
      <c r="CR1" s="1" t="s">
        <v>405</v>
      </c>
      <c r="CS1" s="1" t="s">
        <v>406</v>
      </c>
      <c r="CT1" s="1" t="s">
        <v>407</v>
      </c>
      <c r="CU1" s="1" t="s">
        <v>408</v>
      </c>
      <c r="CV1" s="1" t="s">
        <v>409</v>
      </c>
      <c r="CW1" s="1" t="s">
        <v>410</v>
      </c>
      <c r="CX1" s="1" t="s">
        <v>297</v>
      </c>
      <c r="CY1">
        <v>1</v>
      </c>
      <c r="CZ1" t="s">
        <v>411</v>
      </c>
      <c r="DA1" t="s">
        <v>412</v>
      </c>
      <c r="DB1">
        <v>3</v>
      </c>
      <c r="DC1" t="s">
        <v>413</v>
      </c>
      <c r="DD1" t="s">
        <v>414</v>
      </c>
      <c r="DE1">
        <v>6</v>
      </c>
      <c r="DF1" t="s">
        <v>415</v>
      </c>
      <c r="DG1" t="s">
        <v>525</v>
      </c>
      <c r="DH1">
        <v>10</v>
      </c>
      <c r="DI1" t="s">
        <v>526</v>
      </c>
      <c r="DJ1" t="s">
        <v>416</v>
      </c>
      <c r="DK1">
        <v>20</v>
      </c>
      <c r="DL1" t="s">
        <v>417</v>
      </c>
      <c r="DM1" t="s">
        <v>418</v>
      </c>
      <c r="DN1" t="s">
        <v>419</v>
      </c>
      <c r="DO1" s="2" t="s">
        <v>420</v>
      </c>
      <c r="DP1" t="s">
        <v>431</v>
      </c>
      <c r="DQ1" t="s">
        <v>421</v>
      </c>
      <c r="DR1" s="1" t="s">
        <v>531</v>
      </c>
      <c r="DS1" s="1" t="s">
        <v>532</v>
      </c>
      <c r="DT1" s="1" t="s">
        <v>422</v>
      </c>
      <c r="DU1" t="s">
        <v>423</v>
      </c>
      <c r="DV1" t="s">
        <v>424</v>
      </c>
      <c r="DW1" t="s">
        <v>425</v>
      </c>
      <c r="DX1" t="s">
        <v>426</v>
      </c>
      <c r="DY1" t="s">
        <v>538</v>
      </c>
      <c r="DZ1" t="s">
        <v>427</v>
      </c>
      <c r="EA1" t="s">
        <v>428</v>
      </c>
      <c r="EB1" t="s">
        <v>429</v>
      </c>
      <c r="EC1" t="s">
        <v>430</v>
      </c>
      <c r="ED1" t="s">
        <v>462</v>
      </c>
      <c r="EE1" t="s">
        <v>463</v>
      </c>
      <c r="EF1" t="s">
        <v>545</v>
      </c>
      <c r="EG1" t="s">
        <v>546</v>
      </c>
      <c r="EH1" t="s">
        <v>547</v>
      </c>
      <c r="EI1" t="s">
        <v>548</v>
      </c>
      <c r="EJ1" t="s">
        <v>549</v>
      </c>
      <c r="EK1"/>
    </row>
    <row r="2" spans="1:141" s="16" customFormat="1" ht="71.55" customHeight="1" x14ac:dyDescent="0.25">
      <c r="A2" s="27" t="s">
        <v>695</v>
      </c>
      <c r="B2" s="29"/>
      <c r="C2" s="30">
        <v>3</v>
      </c>
      <c r="D2" s="30">
        <v>27</v>
      </c>
      <c r="T2" s="18"/>
      <c r="U2" s="18"/>
      <c r="V2" s="18"/>
      <c r="AB2" s="19"/>
    </row>
    <row r="3" spans="1:141" x14ac:dyDescent="0.25">
      <c r="A3" t="s">
        <v>2981</v>
      </c>
      <c r="B3" s="3"/>
      <c r="C3" s="3"/>
      <c r="D3" s="3"/>
      <c r="E3" t="s">
        <v>2346</v>
      </c>
      <c r="F3" t="s">
        <v>2347</v>
      </c>
      <c r="G3">
        <v>15.12</v>
      </c>
      <c r="H3">
        <v>-1.18</v>
      </c>
      <c r="I3" t="s">
        <v>2386</v>
      </c>
      <c r="J3">
        <v>12309124100</v>
      </c>
      <c r="K3">
        <v>10.07</v>
      </c>
      <c r="L3">
        <v>1.18</v>
      </c>
      <c r="M3" t="s">
        <v>1560</v>
      </c>
      <c r="N3" t="s">
        <v>2387</v>
      </c>
      <c r="O3" t="s">
        <v>2388</v>
      </c>
      <c r="P3" t="s">
        <v>2389</v>
      </c>
      <c r="Q3">
        <v>-3.2</v>
      </c>
      <c r="R3" t="s">
        <v>2390</v>
      </c>
      <c r="S3">
        <v>196532010</v>
      </c>
      <c r="T3" s="4">
        <v>-0.17599999999999999</v>
      </c>
      <c r="U3" t="s">
        <v>963</v>
      </c>
      <c r="V3">
        <v>626227310</v>
      </c>
      <c r="W3">
        <v>814095510</v>
      </c>
      <c r="X3">
        <v>1.73</v>
      </c>
      <c r="Y3">
        <v>0.2</v>
      </c>
      <c r="Z3">
        <v>6.17</v>
      </c>
      <c r="AA3" t="s">
        <v>2391</v>
      </c>
      <c r="AB3" t="s">
        <v>2392</v>
      </c>
      <c r="AC3" t="s">
        <v>2393</v>
      </c>
      <c r="AD3" t="s">
        <v>131</v>
      </c>
      <c r="AE3" t="s">
        <v>831</v>
      </c>
      <c r="AF3">
        <v>14402124</v>
      </c>
      <c r="AG3" t="s">
        <v>2394</v>
      </c>
      <c r="AH3" t="s">
        <v>2395</v>
      </c>
      <c r="AI3" t="s">
        <v>2396</v>
      </c>
      <c r="AJ3" t="s">
        <v>2397</v>
      </c>
      <c r="AK3" t="s">
        <v>2398</v>
      </c>
      <c r="AL3" t="s">
        <v>2399</v>
      </c>
      <c r="AM3" t="s">
        <v>2400</v>
      </c>
      <c r="AN3" t="s">
        <v>7</v>
      </c>
      <c r="AO3" t="s">
        <v>437</v>
      </c>
      <c r="AP3" t="s">
        <v>1309</v>
      </c>
      <c r="AQ3" t="s">
        <v>2401</v>
      </c>
      <c r="AR3" t="s">
        <v>692</v>
      </c>
      <c r="AS3" t="s">
        <v>2402</v>
      </c>
      <c r="AT3" t="s">
        <v>2403</v>
      </c>
      <c r="AU3" t="s">
        <v>7</v>
      </c>
      <c r="AV3" t="s">
        <v>1353</v>
      </c>
      <c r="AW3" t="s">
        <v>2404</v>
      </c>
      <c r="AX3" t="s">
        <v>2405</v>
      </c>
      <c r="AY3" t="s">
        <v>2406</v>
      </c>
      <c r="AZ3" t="s">
        <v>2407</v>
      </c>
      <c r="BA3" t="s">
        <v>2408</v>
      </c>
      <c r="BB3" t="s">
        <v>2409</v>
      </c>
      <c r="BC3" t="s">
        <v>2410</v>
      </c>
      <c r="BD3" t="s">
        <v>554</v>
      </c>
      <c r="BE3" t="s">
        <v>228</v>
      </c>
      <c r="BF3" t="s">
        <v>91</v>
      </c>
      <c r="BG3" t="s">
        <v>2030</v>
      </c>
      <c r="BH3" t="s">
        <v>146</v>
      </c>
      <c r="BI3" t="s">
        <v>2411</v>
      </c>
      <c r="BJ3" t="s">
        <v>2412</v>
      </c>
      <c r="BK3" t="s">
        <v>2406</v>
      </c>
      <c r="BL3" t="s">
        <v>963</v>
      </c>
      <c r="BM3" t="s">
        <v>274</v>
      </c>
      <c r="BN3" t="s">
        <v>554</v>
      </c>
      <c r="BO3">
        <v>9.73</v>
      </c>
      <c r="BP3">
        <v>7.4</v>
      </c>
      <c r="BQ3">
        <v>9.33</v>
      </c>
      <c r="BR3">
        <v>6.9</v>
      </c>
      <c r="BS3">
        <v>11.94</v>
      </c>
      <c r="BT3">
        <v>8.7100000000000009</v>
      </c>
      <c r="BU3">
        <v>11.36</v>
      </c>
      <c r="BV3">
        <v>9.19</v>
      </c>
      <c r="BW3">
        <v>18.760000000000002</v>
      </c>
      <c r="BX3">
        <v>19.100000000000001</v>
      </c>
      <c r="BY3">
        <v>20.03</v>
      </c>
      <c r="BZ3">
        <v>8.65</v>
      </c>
      <c r="CA3">
        <v>6.68</v>
      </c>
      <c r="CB3">
        <v>7.45</v>
      </c>
      <c r="CC3">
        <v>1.51</v>
      </c>
      <c r="CD3">
        <v>15.9</v>
      </c>
      <c r="CE3" t="s">
        <v>2413</v>
      </c>
      <c r="CF3" t="s">
        <v>161</v>
      </c>
      <c r="CG3" s="23">
        <v>-3.2098292964244518E-2</v>
      </c>
      <c r="CH3" s="24">
        <v>-0.17769033472803347</v>
      </c>
      <c r="CI3" s="23">
        <v>4.1202966123819351E-2</v>
      </c>
      <c r="CJ3" s="23">
        <v>-1.1759195476770401E-2</v>
      </c>
      <c r="CK3" s="23">
        <v>0.14510622620582581</v>
      </c>
      <c r="CL3" s="23">
        <v>8.1042405217885971E-3</v>
      </c>
      <c r="CM3" s="23">
        <v>0.18399165570735931</v>
      </c>
      <c r="CN3" s="24">
        <v>0.48998814821243286</v>
      </c>
      <c r="CO3" s="24">
        <v>-0.13455657660961151</v>
      </c>
      <c r="CP3" s="24">
        <v>0.3401639461517334</v>
      </c>
      <c r="CQ3" s="24">
        <v>-8.2706764340400696E-2</v>
      </c>
      <c r="CR3" s="24">
        <v>0.11764705926179886</v>
      </c>
      <c r="CS3">
        <v>0.69985922788264721</v>
      </c>
      <c r="CT3">
        <v>14033775.494071146</v>
      </c>
      <c r="CU3">
        <v>2.1348199999999999</v>
      </c>
      <c r="CV3" s="23">
        <v>7.3329178616404533E-2</v>
      </c>
      <c r="CW3" s="24">
        <v>0.14610716253519057</v>
      </c>
      <c r="CX3">
        <v>0.06</v>
      </c>
      <c r="CY3">
        <v>7.1286394413209626</v>
      </c>
      <c r="CZ3">
        <v>1280906991.4620299</v>
      </c>
      <c r="DA3">
        <v>7.3329178616404533E-2</v>
      </c>
      <c r="DB3">
        <v>2.3627542612890324</v>
      </c>
      <c r="DC3">
        <v>3864610149.943563</v>
      </c>
      <c r="DD3">
        <v>6.9662719685584309E-2</v>
      </c>
      <c r="DE3">
        <v>1.1851935383974745</v>
      </c>
      <c r="DF3">
        <v>7704331659.0692759</v>
      </c>
      <c r="DG3">
        <v>6.452967718243599E-2</v>
      </c>
      <c r="DH3">
        <v>0.72685002727922621</v>
      </c>
      <c r="DI3">
        <v>12562597175.898838</v>
      </c>
      <c r="DJ3">
        <v>5.8663342893123631E-2</v>
      </c>
      <c r="DK3">
        <v>0.39297643902959756</v>
      </c>
      <c r="DL3">
        <v>23235805491.413383</v>
      </c>
      <c r="DM3">
        <v>5.1330425031483169E-2</v>
      </c>
      <c r="DN3">
        <v>1265000000</v>
      </c>
      <c r="DO3">
        <v>7.3329178616404533E-2</v>
      </c>
      <c r="DP3">
        <v>9131124100</v>
      </c>
      <c r="DQ3">
        <v>4021618300</v>
      </c>
      <c r="DR3">
        <v>531</v>
      </c>
      <c r="DS3">
        <v>-0.10542747158064905</v>
      </c>
      <c r="DT3">
        <v>-0.32379749726322404</v>
      </c>
      <c r="DU3" s="25">
        <v>9.9999999999999992E-2</v>
      </c>
      <c r="DV3">
        <v>0.08</v>
      </c>
      <c r="DW3">
        <v>0.18</v>
      </c>
      <c r="DX3">
        <v>2.1589999999999998</v>
      </c>
      <c r="DY3">
        <v>0.48098546938775483</v>
      </c>
      <c r="DZ3">
        <v>2.0303666896326531</v>
      </c>
      <c r="EA3">
        <v>2698</v>
      </c>
      <c r="EB3">
        <v>2.0130051027225244</v>
      </c>
      <c r="EC3">
        <v>2</v>
      </c>
      <c r="ED3">
        <v>9.1962551175352875E-2</v>
      </c>
      <c r="EE3">
        <v>0.48151598330274542</v>
      </c>
      <c r="EF3" s="22">
        <v>5.6799999999999996E-2</v>
      </c>
      <c r="EG3">
        <v>4.5000000000000005E-2</v>
      </c>
      <c r="EH3">
        <v>29.190985469387755</v>
      </c>
      <c r="EI3" t="s">
        <v>496</v>
      </c>
      <c r="EJ3">
        <v>1</v>
      </c>
      <c r="EK3">
        <v>0</v>
      </c>
    </row>
    <row r="4" spans="1:141" ht="151.19999999999999" x14ac:dyDescent="0.25">
      <c r="A4" t="s">
        <v>2982</v>
      </c>
      <c r="B4" s="3" t="s">
        <v>2414</v>
      </c>
      <c r="C4" s="3" t="s">
        <v>2415</v>
      </c>
      <c r="D4" s="3" t="s">
        <v>2416</v>
      </c>
      <c r="E4" t="s">
        <v>1907</v>
      </c>
      <c r="F4" t="s">
        <v>1908</v>
      </c>
      <c r="G4">
        <v>15.29</v>
      </c>
      <c r="H4">
        <v>3.1</v>
      </c>
      <c r="I4" t="s">
        <v>1955</v>
      </c>
      <c r="J4">
        <v>24872428000</v>
      </c>
      <c r="K4">
        <v>20.260000000000002</v>
      </c>
      <c r="L4">
        <v>3.51</v>
      </c>
      <c r="M4" t="s">
        <v>1922</v>
      </c>
      <c r="N4" t="s">
        <v>1956</v>
      </c>
      <c r="O4" t="s">
        <v>1957</v>
      </c>
      <c r="P4" t="s">
        <v>1958</v>
      </c>
      <c r="Q4">
        <v>55.54</v>
      </c>
      <c r="R4" t="s">
        <v>1959</v>
      </c>
      <c r="S4">
        <v>365832490</v>
      </c>
      <c r="T4" s="4">
        <v>0.41589999999999999</v>
      </c>
      <c r="U4" t="s">
        <v>379</v>
      </c>
      <c r="V4">
        <v>1604134500</v>
      </c>
      <c r="W4">
        <v>1626712100</v>
      </c>
      <c r="X4">
        <v>1.95</v>
      </c>
      <c r="Y4">
        <v>0.31</v>
      </c>
      <c r="Z4">
        <v>8.8800000000000008</v>
      </c>
      <c r="AA4" t="s">
        <v>1960</v>
      </c>
      <c r="AB4" t="s">
        <v>1961</v>
      </c>
      <c r="AC4" t="s">
        <v>1962</v>
      </c>
      <c r="AD4" t="s">
        <v>98</v>
      </c>
      <c r="AE4" t="s">
        <v>619</v>
      </c>
      <c r="AF4">
        <v>22711694</v>
      </c>
      <c r="AG4" t="s">
        <v>1963</v>
      </c>
      <c r="AH4" t="s">
        <v>1964</v>
      </c>
      <c r="AI4" t="s">
        <v>1965</v>
      </c>
      <c r="AJ4" t="s">
        <v>1966</v>
      </c>
      <c r="AK4" t="s">
        <v>1967</v>
      </c>
      <c r="AL4" t="s">
        <v>1968</v>
      </c>
      <c r="AM4" t="s">
        <v>1969</v>
      </c>
      <c r="AN4" t="s">
        <v>7</v>
      </c>
      <c r="AO4" t="s">
        <v>60</v>
      </c>
      <c r="AP4" t="s">
        <v>1970</v>
      </c>
      <c r="AQ4" t="s">
        <v>1971</v>
      </c>
      <c r="AR4" t="s">
        <v>1972</v>
      </c>
      <c r="AS4" t="s">
        <v>1973</v>
      </c>
      <c r="AT4" t="s">
        <v>1974</v>
      </c>
      <c r="AU4" t="s">
        <v>1975</v>
      </c>
      <c r="AV4" t="s">
        <v>118</v>
      </c>
      <c r="AW4" t="s">
        <v>654</v>
      </c>
      <c r="AX4" t="s">
        <v>1976</v>
      </c>
      <c r="AY4" t="s">
        <v>1977</v>
      </c>
      <c r="AZ4" t="s">
        <v>596</v>
      </c>
      <c r="BA4" t="s">
        <v>1978</v>
      </c>
      <c r="BB4" t="s">
        <v>1979</v>
      </c>
      <c r="BC4" t="s">
        <v>1980</v>
      </c>
      <c r="BD4" t="s">
        <v>94</v>
      </c>
      <c r="BE4" t="s">
        <v>771</v>
      </c>
      <c r="BF4" t="s">
        <v>1981</v>
      </c>
      <c r="BG4" t="s">
        <v>1982</v>
      </c>
      <c r="BH4" t="s">
        <v>218</v>
      </c>
      <c r="BI4" t="s">
        <v>1959</v>
      </c>
      <c r="BJ4" t="s">
        <v>1983</v>
      </c>
      <c r="BK4" t="s">
        <v>1977</v>
      </c>
      <c r="BL4" t="s">
        <v>379</v>
      </c>
      <c r="BM4" t="s">
        <v>51</v>
      </c>
      <c r="BN4" t="s">
        <v>94</v>
      </c>
      <c r="BO4">
        <v>13.03</v>
      </c>
      <c r="BP4">
        <v>14.1</v>
      </c>
      <c r="BQ4">
        <v>11.83</v>
      </c>
      <c r="BR4">
        <v>13.7</v>
      </c>
      <c r="BS4">
        <v>17.75</v>
      </c>
      <c r="BT4">
        <v>18.02</v>
      </c>
      <c r="BU4">
        <v>13.94</v>
      </c>
      <c r="BV4">
        <v>14.08</v>
      </c>
      <c r="BW4">
        <v>18.170000000000002</v>
      </c>
      <c r="BX4">
        <v>24.78</v>
      </c>
      <c r="BY4">
        <v>22.81</v>
      </c>
      <c r="BZ4">
        <v>8.8800000000000008</v>
      </c>
      <c r="CA4">
        <v>12.52</v>
      </c>
      <c r="CB4">
        <v>10.57</v>
      </c>
      <c r="CC4">
        <v>6.11</v>
      </c>
      <c r="CD4">
        <v>9.14</v>
      </c>
      <c r="CE4" t="s">
        <v>209</v>
      </c>
      <c r="CF4" t="s">
        <v>91</v>
      </c>
      <c r="CG4" s="23">
        <v>0.71844663799843633</v>
      </c>
      <c r="CH4" s="24">
        <v>0.41795538759689921</v>
      </c>
      <c r="CI4" s="23">
        <v>0.55526769161224365</v>
      </c>
      <c r="CJ4" s="23">
        <v>0.23491775989532471</v>
      </c>
      <c r="CK4" s="23">
        <v>1.1557991616427898E-2</v>
      </c>
      <c r="CL4" s="23">
        <v>3.0490709468722343E-2</v>
      </c>
      <c r="CM4" s="23">
        <v>0.33694261312484741</v>
      </c>
      <c r="CN4" s="24">
        <v>0.10453648865222931</v>
      </c>
      <c r="CO4" s="24">
        <v>0.46743848919868469</v>
      </c>
      <c r="CP4" s="24">
        <v>2.9027576092630625E-3</v>
      </c>
      <c r="CQ4" s="24">
        <v>0.13322368264198303</v>
      </c>
      <c r="CR4" s="24">
        <v>0.37868481874465942</v>
      </c>
      <c r="CS4">
        <v>1.972906163242643</v>
      </c>
      <c r="CT4">
        <v>25741975.892857142</v>
      </c>
      <c r="CU4">
        <v>5.367960000000001</v>
      </c>
      <c r="CV4" s="23">
        <v>0.2338353531435132</v>
      </c>
      <c r="CW4" s="24">
        <v>0.2173572473693639</v>
      </c>
      <c r="CX4">
        <v>0.06</v>
      </c>
      <c r="CY4">
        <v>19.818916688622632</v>
      </c>
      <c r="CZ4">
        <v>1303675090.1139007</v>
      </c>
      <c r="DA4">
        <v>0.2338353531435132</v>
      </c>
      <c r="DB4">
        <v>5.7457837473864863</v>
      </c>
      <c r="DC4">
        <v>4496763041.5523996</v>
      </c>
      <c r="DD4">
        <v>0.22214358548633753</v>
      </c>
      <c r="DE4">
        <v>2.3908709746749843</v>
      </c>
      <c r="DF4">
        <v>10806701103.355167</v>
      </c>
      <c r="DG4">
        <v>0.20577511076629162</v>
      </c>
      <c r="DH4">
        <v>1.1745635809110933</v>
      </c>
      <c r="DI4">
        <v>21997470737.138172</v>
      </c>
      <c r="DJ4">
        <v>0.18706828251481056</v>
      </c>
      <c r="DK4">
        <v>0.37609345412949258</v>
      </c>
      <c r="DL4">
        <v>68699488694.381599</v>
      </c>
      <c r="DM4">
        <v>0.16368474720045922</v>
      </c>
      <c r="DN4">
        <v>1120000000</v>
      </c>
      <c r="DO4">
        <v>0.2338353531435132</v>
      </c>
      <c r="DP4">
        <v>25837428000</v>
      </c>
      <c r="DQ4">
        <v>2658949500</v>
      </c>
      <c r="DR4">
        <v>539</v>
      </c>
      <c r="DS4">
        <v>0.48461128485492311</v>
      </c>
      <c r="DT4">
        <v>0.2005981402275353</v>
      </c>
      <c r="DU4" s="25">
        <v>0.6366666666666666</v>
      </c>
      <c r="DV4">
        <v>0.47</v>
      </c>
      <c r="DW4">
        <v>1.1066666666666665</v>
      </c>
      <c r="DX4">
        <v>9.6684901531728666</v>
      </c>
      <c r="DY4">
        <v>0.64775956284153324</v>
      </c>
      <c r="DZ4">
        <v>9.1789946311774351</v>
      </c>
      <c r="EA4">
        <v>1089</v>
      </c>
      <c r="EB4">
        <v>9.1376881778287959</v>
      </c>
      <c r="EC4">
        <v>9</v>
      </c>
      <c r="ED4">
        <v>0.12048843799711086</v>
      </c>
      <c r="EE4">
        <v>0.44998743170349564</v>
      </c>
      <c r="EF4" s="22">
        <v>-1.085</v>
      </c>
      <c r="EG4">
        <v>-1.1160000000000001</v>
      </c>
      <c r="EH4">
        <v>38.267759562841533</v>
      </c>
      <c r="EI4" t="s">
        <v>499</v>
      </c>
      <c r="EJ4">
        <v>1</v>
      </c>
      <c r="EK4">
        <v>1</v>
      </c>
    </row>
    <row r="5" spans="1:141" x14ac:dyDescent="0.25">
      <c r="A5" t="s">
        <v>2983</v>
      </c>
      <c r="B5" s="3"/>
      <c r="C5" s="3"/>
      <c r="D5" s="3"/>
      <c r="E5" t="s">
        <v>2348</v>
      </c>
      <c r="F5" t="s">
        <v>2349</v>
      </c>
      <c r="G5">
        <v>16.649999999999999</v>
      </c>
      <c r="H5">
        <v>-3.08</v>
      </c>
      <c r="I5" t="s">
        <v>2417</v>
      </c>
      <c r="J5">
        <v>8805833100</v>
      </c>
      <c r="K5">
        <v>28.53</v>
      </c>
      <c r="L5">
        <v>1.86</v>
      </c>
      <c r="M5" t="s">
        <v>1560</v>
      </c>
      <c r="N5" t="s">
        <v>2418</v>
      </c>
      <c r="O5" t="s">
        <v>2419</v>
      </c>
      <c r="P5" t="s">
        <v>2420</v>
      </c>
      <c r="Q5">
        <v>-1.36</v>
      </c>
      <c r="R5" t="s">
        <v>2421</v>
      </c>
      <c r="S5">
        <v>73310840</v>
      </c>
      <c r="T5" s="4">
        <v>0.1323</v>
      </c>
      <c r="U5" t="s">
        <v>74</v>
      </c>
      <c r="V5">
        <v>528866870</v>
      </c>
      <c r="W5">
        <v>528878870</v>
      </c>
      <c r="X5">
        <v>1.63</v>
      </c>
      <c r="Y5">
        <v>0.2</v>
      </c>
      <c r="Z5">
        <v>4.91</v>
      </c>
      <c r="AA5" t="s">
        <v>636</v>
      </c>
      <c r="AB5" t="s">
        <v>2422</v>
      </c>
      <c r="AC5" t="s">
        <v>2423</v>
      </c>
      <c r="AD5" t="s">
        <v>2424</v>
      </c>
      <c r="AE5" t="s">
        <v>104</v>
      </c>
      <c r="AF5">
        <v>5854609</v>
      </c>
      <c r="AG5" t="s">
        <v>2425</v>
      </c>
      <c r="AH5" t="s">
        <v>2426</v>
      </c>
      <c r="AI5" t="s">
        <v>2427</v>
      </c>
      <c r="AJ5" t="s">
        <v>219</v>
      </c>
      <c r="AK5" t="s">
        <v>2428</v>
      </c>
      <c r="AL5" t="s">
        <v>69</v>
      </c>
      <c r="AM5" t="s">
        <v>2429</v>
      </c>
      <c r="AN5" t="s">
        <v>7</v>
      </c>
      <c r="AO5" t="s">
        <v>143</v>
      </c>
      <c r="AP5" t="s">
        <v>2430</v>
      </c>
      <c r="AQ5" t="s">
        <v>218</v>
      </c>
      <c r="AR5" t="s">
        <v>2431</v>
      </c>
      <c r="AS5" t="s">
        <v>2432</v>
      </c>
      <c r="AT5" t="s">
        <v>2433</v>
      </c>
      <c r="AU5" t="s">
        <v>134</v>
      </c>
      <c r="AV5" t="s">
        <v>90</v>
      </c>
      <c r="AW5" t="s">
        <v>2434</v>
      </c>
      <c r="AX5" t="s">
        <v>2435</v>
      </c>
      <c r="AY5" t="s">
        <v>2436</v>
      </c>
      <c r="AZ5" t="s">
        <v>2437</v>
      </c>
      <c r="BA5" t="s">
        <v>2438</v>
      </c>
      <c r="BB5" t="s">
        <v>2439</v>
      </c>
      <c r="BC5" t="s">
        <v>2440</v>
      </c>
      <c r="BD5" t="s">
        <v>149</v>
      </c>
      <c r="BE5" t="s">
        <v>2441</v>
      </c>
      <c r="BF5" t="s">
        <v>2442</v>
      </c>
      <c r="BG5" t="s">
        <v>2443</v>
      </c>
      <c r="BH5" t="s">
        <v>69</v>
      </c>
      <c r="BI5" t="s">
        <v>2444</v>
      </c>
      <c r="BJ5" t="s">
        <v>2445</v>
      </c>
      <c r="BK5" t="s">
        <v>2436</v>
      </c>
      <c r="BL5" t="s">
        <v>74</v>
      </c>
      <c r="BM5" t="s">
        <v>2446</v>
      </c>
      <c r="BN5" t="s">
        <v>149</v>
      </c>
      <c r="BO5">
        <v>5.26</v>
      </c>
      <c r="BP5">
        <v>2.64</v>
      </c>
      <c r="BQ5">
        <v>0.44</v>
      </c>
      <c r="BR5">
        <v>5.41</v>
      </c>
      <c r="BS5">
        <v>6.42</v>
      </c>
      <c r="BT5">
        <v>3.46</v>
      </c>
      <c r="BU5">
        <v>0.61</v>
      </c>
      <c r="BV5">
        <v>7.58</v>
      </c>
      <c r="BW5">
        <v>20.07</v>
      </c>
      <c r="BX5">
        <v>22.19</v>
      </c>
      <c r="BY5">
        <v>25.4</v>
      </c>
      <c r="BZ5">
        <v>5.78</v>
      </c>
      <c r="CA5">
        <v>3.46</v>
      </c>
      <c r="CB5">
        <v>1.44</v>
      </c>
      <c r="CC5">
        <v>21.09</v>
      </c>
      <c r="CD5">
        <v>95.65</v>
      </c>
      <c r="CE5" t="s">
        <v>116</v>
      </c>
      <c r="CF5" t="s">
        <v>225</v>
      </c>
      <c r="CG5" s="23">
        <v>-1.3499744081893795E-2</v>
      </c>
      <c r="CH5" s="24">
        <v>0.13226445663203448</v>
      </c>
      <c r="CI5" s="23">
        <v>7.273043692111969E-2</v>
      </c>
      <c r="CJ5" s="23">
        <v>-5.2488930523395538E-2</v>
      </c>
      <c r="CK5" s="23">
        <v>-2.5412604212760925E-2</v>
      </c>
      <c r="CL5" s="23">
        <v>0.21127332746982574</v>
      </c>
      <c r="CM5" s="23">
        <v>0.86818504333496094</v>
      </c>
      <c r="CN5" s="24">
        <v>0.92307692766189575</v>
      </c>
      <c r="CO5" s="24">
        <v>4.655390739440918</v>
      </c>
      <c r="CP5" s="24">
        <v>-0.9181475043296814</v>
      </c>
      <c r="CQ5" s="24">
        <v>0.15807560086250305</v>
      </c>
      <c r="CR5" s="24">
        <v>0.75301206111907959</v>
      </c>
      <c r="CS5">
        <v>1.4669053973013493</v>
      </c>
      <c r="CT5">
        <v>19665677.333333332</v>
      </c>
      <c r="CU5">
        <v>1.6006600000000002</v>
      </c>
      <c r="CV5" s="23">
        <v>0.21485745459794997</v>
      </c>
      <c r="CW5" s="24">
        <v>1.114281564950943</v>
      </c>
      <c r="CX5">
        <v>0.06</v>
      </c>
      <c r="CY5">
        <v>20.396365729618619</v>
      </c>
      <c r="CZ5">
        <v>343827581.48998582</v>
      </c>
      <c r="DA5">
        <v>0.21485745459794997</v>
      </c>
      <c r="DB5">
        <v>6.0058964242790243</v>
      </c>
      <c r="DC5">
        <v>1167658015.4879799</v>
      </c>
      <c r="DD5">
        <v>0.20411458186805245</v>
      </c>
      <c r="DE5">
        <v>2.5564136828305091</v>
      </c>
      <c r="DF5">
        <v>2743230936.017859</v>
      </c>
      <c r="DG5">
        <v>0.18907456004619597</v>
      </c>
      <c r="DH5">
        <v>1.2918048265843025</v>
      </c>
      <c r="DI5">
        <v>5428709473.5067911</v>
      </c>
      <c r="DJ5">
        <v>0.17188596367835998</v>
      </c>
      <c r="DK5">
        <v>0.44383160267938054</v>
      </c>
      <c r="DL5">
        <v>15800661912.455116</v>
      </c>
      <c r="DM5">
        <v>0.15040021821856497</v>
      </c>
      <c r="DN5">
        <v>300000000</v>
      </c>
      <c r="DO5">
        <v>0.21485745459794997</v>
      </c>
      <c r="DP5">
        <v>7012833100</v>
      </c>
      <c r="DQ5">
        <v>750162200</v>
      </c>
      <c r="DR5">
        <v>582</v>
      </c>
      <c r="DS5">
        <v>-0.22835719867984378</v>
      </c>
      <c r="DT5">
        <v>-0.98201710831890854</v>
      </c>
      <c r="DU5" s="25">
        <v>0.31666666666666665</v>
      </c>
      <c r="DV5">
        <v>0.76666666666666661</v>
      </c>
      <c r="DW5">
        <v>1.0833333333333333</v>
      </c>
      <c r="DX5">
        <v>9.2204913748039736</v>
      </c>
      <c r="DY5">
        <v>0.85816232771822509</v>
      </c>
      <c r="DZ5">
        <v>9.0877913590337407</v>
      </c>
      <c r="EA5">
        <v>1164</v>
      </c>
      <c r="EB5">
        <v>9.0661365292148659</v>
      </c>
      <c r="EC5">
        <v>9</v>
      </c>
      <c r="ED5">
        <v>0.49160595128332507</v>
      </c>
      <c r="EE5">
        <v>1.234687254569274</v>
      </c>
      <c r="EF5" s="22">
        <v>4.0208000000000004</v>
      </c>
      <c r="EG5">
        <v>4.0100100000000003</v>
      </c>
      <c r="EH5">
        <v>46.398162327718225</v>
      </c>
      <c r="EI5" t="s">
        <v>1850</v>
      </c>
      <c r="EJ5">
        <v>1</v>
      </c>
      <c r="EK5">
        <v>1</v>
      </c>
    </row>
    <row r="6" spans="1:141" x14ac:dyDescent="0.25">
      <c r="A6" t="s">
        <v>2982</v>
      </c>
      <c r="B6" s="28"/>
      <c r="C6" s="28"/>
      <c r="D6" s="28"/>
      <c r="E6" t="s">
        <v>2350</v>
      </c>
      <c r="F6" t="s">
        <v>2351</v>
      </c>
      <c r="G6">
        <v>7.13</v>
      </c>
      <c r="H6">
        <v>3.63</v>
      </c>
      <c r="I6" t="s">
        <v>178</v>
      </c>
      <c r="J6">
        <v>10041529400</v>
      </c>
      <c r="L6">
        <v>14.02</v>
      </c>
      <c r="M6" t="s">
        <v>691</v>
      </c>
      <c r="N6" t="s">
        <v>2447</v>
      </c>
      <c r="O6" t="s">
        <v>2448</v>
      </c>
      <c r="P6" t="s">
        <v>2449</v>
      </c>
      <c r="Q6">
        <v>-12.11</v>
      </c>
      <c r="R6" t="s">
        <v>2450</v>
      </c>
      <c r="S6">
        <v>-46996340</v>
      </c>
      <c r="T6" s="4">
        <v>-0.187</v>
      </c>
      <c r="U6" t="s">
        <v>2451</v>
      </c>
      <c r="V6">
        <v>1330468890</v>
      </c>
      <c r="W6">
        <v>1408349100</v>
      </c>
      <c r="X6">
        <v>9.02</v>
      </c>
      <c r="Y6">
        <v>7.0000000000000007E-2</v>
      </c>
      <c r="Z6">
        <v>-9.91</v>
      </c>
      <c r="AA6" t="s">
        <v>648</v>
      </c>
      <c r="AB6" t="s">
        <v>2452</v>
      </c>
      <c r="AC6" t="s">
        <v>2453</v>
      </c>
      <c r="AD6" t="s">
        <v>2454</v>
      </c>
      <c r="AE6" t="s">
        <v>7</v>
      </c>
      <c r="AF6">
        <v>86430382</v>
      </c>
      <c r="AG6" t="s">
        <v>2455</v>
      </c>
      <c r="AH6" t="s">
        <v>2456</v>
      </c>
      <c r="AI6" t="s">
        <v>2457</v>
      </c>
      <c r="AJ6" t="s">
        <v>201</v>
      </c>
      <c r="AK6" t="s">
        <v>2458</v>
      </c>
      <c r="AL6" t="s">
        <v>2459</v>
      </c>
      <c r="AM6" t="s">
        <v>2460</v>
      </c>
      <c r="AN6" t="s">
        <v>7</v>
      </c>
      <c r="AO6" t="s">
        <v>2461</v>
      </c>
      <c r="AP6" t="s">
        <v>2462</v>
      </c>
      <c r="AQ6" t="s">
        <v>351</v>
      </c>
      <c r="AR6" t="s">
        <v>2463</v>
      </c>
      <c r="AS6" t="s">
        <v>7</v>
      </c>
      <c r="AT6" t="s">
        <v>2464</v>
      </c>
      <c r="AU6" t="s">
        <v>77</v>
      </c>
      <c r="AV6" t="s">
        <v>2465</v>
      </c>
      <c r="AW6" t="s">
        <v>2466</v>
      </c>
      <c r="AX6" t="s">
        <v>68</v>
      </c>
      <c r="AY6" t="s">
        <v>2467</v>
      </c>
      <c r="AZ6" t="s">
        <v>591</v>
      </c>
      <c r="BA6" t="s">
        <v>2468</v>
      </c>
      <c r="BB6" t="s">
        <v>2469</v>
      </c>
      <c r="BC6" t="s">
        <v>2470</v>
      </c>
      <c r="BD6" t="s">
        <v>233</v>
      </c>
      <c r="BE6" t="s">
        <v>2471</v>
      </c>
      <c r="BF6" t="s">
        <v>2472</v>
      </c>
      <c r="BG6" t="s">
        <v>161</v>
      </c>
      <c r="BH6" t="s">
        <v>169</v>
      </c>
      <c r="BI6" t="s">
        <v>2473</v>
      </c>
      <c r="BJ6" t="s">
        <v>370</v>
      </c>
      <c r="BK6" t="s">
        <v>2467</v>
      </c>
      <c r="BL6" t="s">
        <v>2451</v>
      </c>
      <c r="BM6" t="s">
        <v>2474</v>
      </c>
      <c r="BN6" t="s">
        <v>233</v>
      </c>
      <c r="BO6">
        <v>-11.21</v>
      </c>
      <c r="BP6">
        <v>2.83</v>
      </c>
      <c r="BQ6">
        <v>-30.8</v>
      </c>
      <c r="BR6">
        <v>-12.29</v>
      </c>
      <c r="BS6">
        <v>-60.5</v>
      </c>
      <c r="BT6">
        <v>14.06</v>
      </c>
      <c r="BU6">
        <v>-98.67</v>
      </c>
      <c r="BV6">
        <v>-29.63</v>
      </c>
      <c r="BW6">
        <v>28.97</v>
      </c>
      <c r="BX6">
        <v>31.12</v>
      </c>
      <c r="BY6">
        <v>29.45</v>
      </c>
      <c r="BZ6">
        <v>-20.81</v>
      </c>
      <c r="CA6">
        <v>5.9</v>
      </c>
      <c r="CB6">
        <v>-84.26</v>
      </c>
      <c r="CC6">
        <v>9.52</v>
      </c>
      <c r="CD6">
        <v>42.89</v>
      </c>
      <c r="CE6" t="s">
        <v>2475</v>
      </c>
      <c r="CF6" t="s">
        <v>2476</v>
      </c>
      <c r="CG6" s="23">
        <v>-0.12086460606060606</v>
      </c>
      <c r="CH6" s="24">
        <v>-0.18697109374013413</v>
      </c>
      <c r="CI6" s="23">
        <v>-4.1654124855995178E-2</v>
      </c>
      <c r="CJ6" s="23">
        <v>4.4444404542446136E-2</v>
      </c>
      <c r="CK6" s="23">
        <v>-0.1572144478559494</v>
      </c>
      <c r="CL6" s="23">
        <v>-0.1336837112903595</v>
      </c>
      <c r="CM6" s="23">
        <v>0.38393428921699524</v>
      </c>
      <c r="CN6" s="24">
        <v>-4.5945944786071777</v>
      </c>
      <c r="CO6" s="24">
        <v>1.0778619050979614</v>
      </c>
      <c r="CP6" s="24">
        <v>-0.9475409984588623</v>
      </c>
      <c r="CQ6" s="24">
        <v>-4.1122450828552246</v>
      </c>
      <c r="CR6" s="24">
        <v>0.44117647409439087</v>
      </c>
      <c r="CS6">
        <v>3.1399404002501563</v>
      </c>
      <c r="CT6">
        <v>8157074.1353383455</v>
      </c>
      <c r="CU6">
        <v>-6.2571740000000009</v>
      </c>
      <c r="CV6" s="23">
        <v>1.916528195142746E-2</v>
      </c>
      <c r="CW6" s="24">
        <v>-1.6270684361457826</v>
      </c>
      <c r="CX6">
        <v>0.06</v>
      </c>
      <c r="CY6" t="e">
        <v>#VALUE!</v>
      </c>
      <c r="CZ6" t="s">
        <v>573</v>
      </c>
      <c r="DA6">
        <v>1.916528195142746E-2</v>
      </c>
      <c r="DB6" t="e">
        <v>#VALUE!</v>
      </c>
      <c r="DC6" t="s">
        <v>574</v>
      </c>
      <c r="DD6">
        <v>1.8207017853856085E-2</v>
      </c>
      <c r="DE6" t="e">
        <v>#VALUE!</v>
      </c>
      <c r="DF6" t="s">
        <v>574</v>
      </c>
      <c r="DG6">
        <v>1.6865448117256165E-2</v>
      </c>
      <c r="DH6" t="e">
        <v>#VALUE!</v>
      </c>
      <c r="DI6" t="s">
        <v>574</v>
      </c>
      <c r="DJ6">
        <v>1.5332225561141969E-2</v>
      </c>
      <c r="DK6" t="e">
        <v>#VALUE!</v>
      </c>
      <c r="DL6" t="s">
        <v>574</v>
      </c>
      <c r="DM6">
        <v>1.3415697365999221E-2</v>
      </c>
      <c r="DN6">
        <v>-665000000</v>
      </c>
      <c r="DO6">
        <v>1.916528195142746E-2</v>
      </c>
      <c r="DP6">
        <v>16460529400</v>
      </c>
      <c r="DQ6">
        <v>-2896905600</v>
      </c>
      <c r="DR6">
        <v>607</v>
      </c>
      <c r="DS6">
        <v>-0.14002988801203353</v>
      </c>
      <c r="DT6">
        <v>1.4400973424056485</v>
      </c>
      <c r="DU6" s="25">
        <v>0</v>
      </c>
      <c r="DV6" t="e">
        <v>#VALUE!</v>
      </c>
      <c r="DW6" t="e">
        <v>#VALUE!</v>
      </c>
      <c r="DX6">
        <v>9.2219631615761255</v>
      </c>
      <c r="DY6">
        <v>0.43054197785221876</v>
      </c>
      <c r="DZ6">
        <v>9.0200969836594336</v>
      </c>
      <c r="EA6">
        <v>4617</v>
      </c>
      <c r="EB6">
        <v>9.0004718200478422</v>
      </c>
      <c r="EC6">
        <v>9</v>
      </c>
      <c r="ED6">
        <v>0.30248182073606605</v>
      </c>
      <c r="EE6">
        <v>3.3407910013220445</v>
      </c>
      <c r="EF6" s="22">
        <v>3.0278</v>
      </c>
      <c r="EG6">
        <v>3.0640999999999998</v>
      </c>
      <c r="EH6">
        <v>34.090541977852219</v>
      </c>
      <c r="EI6" t="s">
        <v>553</v>
      </c>
      <c r="EJ6">
        <v>1</v>
      </c>
      <c r="EK6">
        <v>0</v>
      </c>
    </row>
    <row r="7" spans="1:141" x14ac:dyDescent="0.25">
      <c r="A7" t="s">
        <v>2982</v>
      </c>
      <c r="B7" s="28"/>
      <c r="C7" s="28"/>
      <c r="D7" s="28"/>
      <c r="E7" t="s">
        <v>2352</v>
      </c>
      <c r="F7" t="s">
        <v>2353</v>
      </c>
      <c r="G7">
        <v>14.81</v>
      </c>
      <c r="H7">
        <v>3.49</v>
      </c>
      <c r="I7" t="s">
        <v>2477</v>
      </c>
      <c r="J7">
        <v>3670009400</v>
      </c>
      <c r="L7">
        <v>3.24</v>
      </c>
      <c r="M7" t="s">
        <v>691</v>
      </c>
      <c r="N7" t="s">
        <v>166</v>
      </c>
      <c r="O7" t="s">
        <v>1082</v>
      </c>
      <c r="P7" t="s">
        <v>2478</v>
      </c>
      <c r="Q7">
        <v>-10.199999999999999</v>
      </c>
      <c r="R7" t="s">
        <v>133</v>
      </c>
      <c r="S7">
        <v>-8648532</v>
      </c>
      <c r="T7" s="4">
        <v>-2.5960000000000001</v>
      </c>
      <c r="U7" t="s">
        <v>2479</v>
      </c>
      <c r="V7">
        <v>245264820</v>
      </c>
      <c r="W7">
        <v>247806170</v>
      </c>
      <c r="X7">
        <v>1.46</v>
      </c>
      <c r="Y7">
        <v>0.03</v>
      </c>
      <c r="Z7">
        <v>-20.37</v>
      </c>
      <c r="AA7" t="s">
        <v>2480</v>
      </c>
      <c r="AB7" t="s">
        <v>2481</v>
      </c>
      <c r="AC7" t="s">
        <v>2482</v>
      </c>
      <c r="AD7" t="s">
        <v>2483</v>
      </c>
      <c r="AE7" t="s">
        <v>7</v>
      </c>
      <c r="AF7">
        <v>263530</v>
      </c>
      <c r="AG7" t="s">
        <v>2484</v>
      </c>
      <c r="AH7" t="s">
        <v>2485</v>
      </c>
      <c r="AI7" t="s">
        <v>2486</v>
      </c>
      <c r="AJ7" t="s">
        <v>88</v>
      </c>
      <c r="AK7" t="s">
        <v>2487</v>
      </c>
      <c r="AL7" t="s">
        <v>2488</v>
      </c>
      <c r="AM7" t="s">
        <v>2489</v>
      </c>
      <c r="AN7" t="s">
        <v>7</v>
      </c>
      <c r="AO7" t="s">
        <v>217</v>
      </c>
      <c r="AP7" t="s">
        <v>2490</v>
      </c>
      <c r="AQ7" t="s">
        <v>2491</v>
      </c>
      <c r="AR7" t="s">
        <v>2492</v>
      </c>
      <c r="AS7" t="s">
        <v>7</v>
      </c>
      <c r="AT7" t="s">
        <v>169</v>
      </c>
      <c r="AU7" t="s">
        <v>62</v>
      </c>
      <c r="AV7" t="s">
        <v>2493</v>
      </c>
      <c r="AW7" t="s">
        <v>2494</v>
      </c>
      <c r="AX7" t="s">
        <v>2495</v>
      </c>
      <c r="AY7" t="s">
        <v>681</v>
      </c>
      <c r="AZ7" t="s">
        <v>153</v>
      </c>
      <c r="BA7" t="s">
        <v>665</v>
      </c>
      <c r="BB7" t="s">
        <v>2496</v>
      </c>
      <c r="BC7" t="s">
        <v>194</v>
      </c>
      <c r="BD7" t="s">
        <v>2497</v>
      </c>
      <c r="BE7" t="s">
        <v>2498</v>
      </c>
      <c r="BF7" t="s">
        <v>2499</v>
      </c>
      <c r="BG7" t="s">
        <v>2500</v>
      </c>
      <c r="BH7" t="s">
        <v>2501</v>
      </c>
      <c r="BI7" t="s">
        <v>2502</v>
      </c>
      <c r="BJ7" t="s">
        <v>2503</v>
      </c>
      <c r="BK7" t="s">
        <v>681</v>
      </c>
      <c r="BL7" t="s">
        <v>2479</v>
      </c>
      <c r="BM7" t="s">
        <v>2504</v>
      </c>
      <c r="BN7" t="s">
        <v>2497</v>
      </c>
      <c r="BO7">
        <v>-2.44</v>
      </c>
      <c r="BP7">
        <v>0.56000000000000005</v>
      </c>
      <c r="BQ7">
        <v>1.1000000000000001</v>
      </c>
      <c r="BR7">
        <v>1.1399999999999999</v>
      </c>
      <c r="BS7">
        <v>-3.93</v>
      </c>
      <c r="BT7">
        <v>0.77</v>
      </c>
      <c r="BU7">
        <v>1.38</v>
      </c>
      <c r="BV7">
        <v>1.28</v>
      </c>
      <c r="BW7">
        <v>23.21</v>
      </c>
      <c r="BX7">
        <v>25.11</v>
      </c>
      <c r="BY7">
        <v>33.32</v>
      </c>
      <c r="BZ7">
        <v>-11.79</v>
      </c>
      <c r="CA7">
        <v>1.83</v>
      </c>
      <c r="CB7">
        <v>3.56</v>
      </c>
      <c r="CC7">
        <v>2.63</v>
      </c>
      <c r="CD7">
        <v>9.3800000000000008</v>
      </c>
      <c r="CE7" t="s">
        <v>2505</v>
      </c>
      <c r="CF7" t="s">
        <v>687</v>
      </c>
      <c r="CG7" s="23">
        <v>-0.10202622588629993</v>
      </c>
      <c r="CH7" s="24">
        <v>-2.596212732338143</v>
      </c>
      <c r="CI7" s="23">
        <v>-0.10835913568735123</v>
      </c>
      <c r="CJ7" s="23">
        <v>-4.7197639942169189E-2</v>
      </c>
      <c r="CK7" s="23">
        <v>-3.9660055190324783E-2</v>
      </c>
      <c r="CL7" s="23">
        <v>-3.8147140294313431E-2</v>
      </c>
      <c r="CM7" s="23">
        <v>1.6620498150587082E-2</v>
      </c>
      <c r="CN7" s="24">
        <v>-6.1795306205749512</v>
      </c>
      <c r="CO7" s="24">
        <v>-0.44063353538513184</v>
      </c>
      <c r="CP7" s="24">
        <v>8.5291288793087006E-2</v>
      </c>
      <c r="CQ7" s="24">
        <v>-0.2890583872795105</v>
      </c>
      <c r="CR7" s="24">
        <v>0.60510122776031494</v>
      </c>
      <c r="CS7">
        <v>12.743088194444445</v>
      </c>
      <c r="CT7">
        <v>35879508.494941555</v>
      </c>
      <c r="CU7">
        <v>-0.89220600000000005</v>
      </c>
      <c r="CV7" s="23">
        <v>-4.3348694592714308E-2</v>
      </c>
      <c r="CW7" s="24">
        <v>-1.2437660053372384</v>
      </c>
      <c r="CX7">
        <v>0.06</v>
      </c>
      <c r="CY7" t="e">
        <v>#VALUE!</v>
      </c>
      <c r="CZ7" t="s">
        <v>573</v>
      </c>
      <c r="DA7">
        <v>-4.3348694592714308E-2</v>
      </c>
      <c r="DB7" t="e">
        <v>#VALUE!</v>
      </c>
      <c r="DC7" t="s">
        <v>574</v>
      </c>
      <c r="DD7">
        <v>-4.1181259863078593E-2</v>
      </c>
      <c r="DE7" t="e">
        <v>#VALUE!</v>
      </c>
      <c r="DF7" t="s">
        <v>574</v>
      </c>
      <c r="DG7">
        <v>-3.8146851241588592E-2</v>
      </c>
      <c r="DH7" t="e">
        <v>#VALUE!</v>
      </c>
      <c r="DI7" t="s">
        <v>574</v>
      </c>
      <c r="DJ7">
        <v>-3.4678955674171445E-2</v>
      </c>
      <c r="DK7" t="e">
        <v>#VALUE!</v>
      </c>
      <c r="DL7" t="s">
        <v>574</v>
      </c>
      <c r="DM7">
        <v>-3.0344086214900014E-2</v>
      </c>
      <c r="DN7">
        <v>-32707700</v>
      </c>
      <c r="DO7">
        <v>-4.3348694592714308E-2</v>
      </c>
      <c r="DP7">
        <v>3063009400</v>
      </c>
      <c r="DQ7">
        <v>458609890</v>
      </c>
      <c r="DR7">
        <v>710</v>
      </c>
      <c r="DS7">
        <v>-5.8677531293585626E-2</v>
      </c>
      <c r="DT7">
        <v>-1.3524467270009046</v>
      </c>
      <c r="DU7" s="25">
        <v>0</v>
      </c>
      <c r="DV7" t="e">
        <v>#VALUE!</v>
      </c>
      <c r="DW7" t="e">
        <v>#VALUE!</v>
      </c>
      <c r="DX7">
        <v>8.2803837953091683</v>
      </c>
      <c r="DY7">
        <v>0.55625976562500279</v>
      </c>
      <c r="DZ7">
        <v>8.0325973543276916</v>
      </c>
      <c r="EA7">
        <v>4323</v>
      </c>
      <c r="EB7">
        <v>8.0027922860623342</v>
      </c>
      <c r="EC7">
        <v>8</v>
      </c>
      <c r="ED7">
        <v>0.12010395059977724</v>
      </c>
      <c r="EE7">
        <v>1.0330654801694406</v>
      </c>
      <c r="EF7" s="22">
        <v>1.0049999999999999</v>
      </c>
      <c r="EG7">
        <v>1.0399</v>
      </c>
      <c r="EH7">
        <v>44.116259765625003</v>
      </c>
      <c r="EI7" t="s">
        <v>498</v>
      </c>
      <c r="EJ7">
        <v>0</v>
      </c>
      <c r="EK7">
        <v>0</v>
      </c>
    </row>
    <row r="8" spans="1:141" x14ac:dyDescent="0.25">
      <c r="A8" t="s">
        <v>2982</v>
      </c>
      <c r="B8" s="28"/>
      <c r="C8" s="28"/>
      <c r="D8" s="28"/>
      <c r="E8" t="s">
        <v>2354</v>
      </c>
      <c r="F8" t="s">
        <v>2355</v>
      </c>
      <c r="G8">
        <v>8.0500000000000007</v>
      </c>
      <c r="H8">
        <v>5.23</v>
      </c>
      <c r="I8" t="s">
        <v>2506</v>
      </c>
      <c r="J8">
        <v>8335687200</v>
      </c>
      <c r="K8">
        <v>23.64</v>
      </c>
      <c r="L8">
        <v>1.82</v>
      </c>
      <c r="M8" t="s">
        <v>691</v>
      </c>
      <c r="N8" t="s">
        <v>2507</v>
      </c>
      <c r="O8" t="s">
        <v>2508</v>
      </c>
      <c r="P8" t="s">
        <v>2509</v>
      </c>
      <c r="Q8">
        <v>36.130000000000003</v>
      </c>
      <c r="R8" t="s">
        <v>2510</v>
      </c>
      <c r="S8">
        <v>40595112</v>
      </c>
      <c r="T8" s="4">
        <v>1.996</v>
      </c>
      <c r="U8" t="s">
        <v>215</v>
      </c>
      <c r="V8">
        <v>1035275350</v>
      </c>
      <c r="W8">
        <v>1035489100</v>
      </c>
      <c r="X8">
        <v>2.38</v>
      </c>
      <c r="Y8">
        <v>0.28000000000000003</v>
      </c>
      <c r="Z8">
        <v>1.29</v>
      </c>
      <c r="AA8" t="s">
        <v>2511</v>
      </c>
      <c r="AB8" t="s">
        <v>2512</v>
      </c>
      <c r="AC8" t="s">
        <v>45</v>
      </c>
      <c r="AD8" t="s">
        <v>2513</v>
      </c>
      <c r="AE8" t="s">
        <v>7</v>
      </c>
      <c r="AF8">
        <v>27149849</v>
      </c>
      <c r="AG8" t="s">
        <v>2514</v>
      </c>
      <c r="AH8" t="s">
        <v>2515</v>
      </c>
      <c r="AI8" t="s">
        <v>2516</v>
      </c>
      <c r="AJ8" t="s">
        <v>2517</v>
      </c>
      <c r="AK8" t="s">
        <v>2518</v>
      </c>
      <c r="AL8" t="s">
        <v>238</v>
      </c>
      <c r="AM8" t="s">
        <v>2519</v>
      </c>
      <c r="AN8" t="s">
        <v>7</v>
      </c>
      <c r="AO8" t="s">
        <v>142</v>
      </c>
      <c r="AP8" t="s">
        <v>2520</v>
      </c>
      <c r="AQ8" t="s">
        <v>2521</v>
      </c>
      <c r="AR8" t="s">
        <v>2522</v>
      </c>
      <c r="AS8" t="s">
        <v>2523</v>
      </c>
      <c r="AT8" t="s">
        <v>2524</v>
      </c>
      <c r="AU8" t="s">
        <v>633</v>
      </c>
      <c r="AV8" t="s">
        <v>2525</v>
      </c>
      <c r="AW8" t="s">
        <v>2526</v>
      </c>
      <c r="AX8" t="s">
        <v>183</v>
      </c>
      <c r="AY8" t="s">
        <v>2527</v>
      </c>
      <c r="AZ8" t="s">
        <v>2528</v>
      </c>
      <c r="BA8" t="s">
        <v>2529</v>
      </c>
      <c r="BB8" t="s">
        <v>2530</v>
      </c>
      <c r="BC8" t="s">
        <v>2531</v>
      </c>
      <c r="BD8" t="s">
        <v>652</v>
      </c>
      <c r="BE8" t="s">
        <v>186</v>
      </c>
      <c r="BF8" t="s">
        <v>203</v>
      </c>
      <c r="BG8" t="s">
        <v>205</v>
      </c>
      <c r="BH8" t="s">
        <v>152</v>
      </c>
      <c r="BI8" t="s">
        <v>2532</v>
      </c>
      <c r="BJ8" t="s">
        <v>2533</v>
      </c>
      <c r="BK8" t="s">
        <v>2527</v>
      </c>
      <c r="BL8" t="s">
        <v>215</v>
      </c>
      <c r="BM8" t="s">
        <v>2534</v>
      </c>
      <c r="BN8" t="s">
        <v>652</v>
      </c>
      <c r="BO8">
        <v>3.39</v>
      </c>
      <c r="BP8">
        <v>3.43</v>
      </c>
      <c r="BQ8">
        <v>3.56</v>
      </c>
      <c r="BR8">
        <v>1.86</v>
      </c>
      <c r="BS8">
        <v>6.02</v>
      </c>
      <c r="BT8">
        <v>5.14</v>
      </c>
      <c r="BU8">
        <v>5.37</v>
      </c>
      <c r="BV8">
        <v>2.77</v>
      </c>
      <c r="BW8">
        <v>12.93</v>
      </c>
      <c r="BX8">
        <v>15.3</v>
      </c>
      <c r="BY8">
        <v>16.760000000000002</v>
      </c>
      <c r="BZ8">
        <v>2.14</v>
      </c>
      <c r="CA8">
        <v>2.4300000000000002</v>
      </c>
      <c r="CB8">
        <v>2.39</v>
      </c>
      <c r="CC8">
        <v>2.94</v>
      </c>
      <c r="CD8">
        <v>15.99</v>
      </c>
      <c r="CE8" t="s">
        <v>2535</v>
      </c>
      <c r="CF8" t="s">
        <v>162</v>
      </c>
      <c r="CG8" s="23">
        <v>0.36123624891209749</v>
      </c>
      <c r="CH8" s="24">
        <v>1.9964191355145922</v>
      </c>
      <c r="CI8" s="23">
        <v>0.3695557713508606</v>
      </c>
      <c r="CJ8" s="23">
        <v>-4.3406881392002106E-2</v>
      </c>
      <c r="CK8" s="23">
        <v>0.11498863995075226</v>
      </c>
      <c r="CL8" s="23">
        <v>0.17964635789394379</v>
      </c>
      <c r="CM8" s="23">
        <v>0.16128520667552948</v>
      </c>
      <c r="CN8" s="24">
        <v>0.21524663269519806</v>
      </c>
      <c r="CO8" s="24">
        <v>9.0497741475701332E-3</v>
      </c>
      <c r="CP8" s="24">
        <v>0.97321426868438721</v>
      </c>
      <c r="CQ8" s="24">
        <v>-2.6086956262588501E-2</v>
      </c>
      <c r="CR8" s="24">
        <v>-0.46511629223823547</v>
      </c>
      <c r="CS8">
        <v>0.65290884311114594</v>
      </c>
      <c r="CT8">
        <v>10459999.630996309</v>
      </c>
      <c r="CU8">
        <v>0.85965599999999998</v>
      </c>
      <c r="CV8" s="23">
        <v>0.15641381889581679</v>
      </c>
      <c r="CW8" s="24">
        <v>0.14126148540526628</v>
      </c>
      <c r="CX8">
        <v>0.06</v>
      </c>
      <c r="CY8">
        <v>34.123844840090413</v>
      </c>
      <c r="CZ8">
        <v>295649193.32147771</v>
      </c>
      <c r="DA8">
        <v>0.15641381889581679</v>
      </c>
      <c r="DB8">
        <v>10.546082901207463</v>
      </c>
      <c r="DC8">
        <v>956628854.00274134</v>
      </c>
      <c r="DD8">
        <v>0.14859312795102594</v>
      </c>
      <c r="DE8">
        <v>4.8095231468892061</v>
      </c>
      <c r="DF8">
        <v>2097648122.6679096</v>
      </c>
      <c r="DG8">
        <v>0.13764416062831877</v>
      </c>
      <c r="DH8">
        <v>2.6428916471159698</v>
      </c>
      <c r="DI8">
        <v>3817291265.4248176</v>
      </c>
      <c r="DJ8">
        <v>0.12513105511665343</v>
      </c>
      <c r="DK8">
        <v>1.1138380759497852</v>
      </c>
      <c r="DL8">
        <v>9057588726.6174088</v>
      </c>
      <c r="DM8">
        <v>0.10948967322707175</v>
      </c>
      <c r="DN8">
        <v>271000000</v>
      </c>
      <c r="DO8">
        <v>0.15641381889581679</v>
      </c>
      <c r="DP8">
        <v>10088687200</v>
      </c>
      <c r="DQ8">
        <v>3623445100</v>
      </c>
      <c r="DR8">
        <v>757</v>
      </c>
      <c r="DS8">
        <v>0.2048224300162807</v>
      </c>
      <c r="DT8">
        <v>1.8551576501093259</v>
      </c>
      <c r="DU8" s="25">
        <v>0</v>
      </c>
      <c r="DV8">
        <v>0</v>
      </c>
      <c r="DW8">
        <v>0</v>
      </c>
      <c r="DX8">
        <v>8.1838649155722329</v>
      </c>
      <c r="DY8">
        <v>0.63693896989966503</v>
      </c>
      <c r="DZ8">
        <v>8.027016921294873</v>
      </c>
      <c r="EA8">
        <v>1383</v>
      </c>
      <c r="EB8">
        <v>8.0191308085572608</v>
      </c>
      <c r="EC8">
        <v>8</v>
      </c>
      <c r="ED8">
        <v>8.4857967119113087E-2</v>
      </c>
      <c r="EE8">
        <v>0.57750487185234489</v>
      </c>
      <c r="EF8" s="22">
        <v>5.8600000000000006E-2</v>
      </c>
      <c r="EG8">
        <v>0.1109</v>
      </c>
      <c r="EH8">
        <v>49.146938969899665</v>
      </c>
      <c r="EI8" t="s">
        <v>496</v>
      </c>
      <c r="EJ8">
        <v>0</v>
      </c>
      <c r="EK8">
        <v>1</v>
      </c>
    </row>
    <row r="9" spans="1:141" x14ac:dyDescent="0.25">
      <c r="A9" t="s">
        <v>2982</v>
      </c>
      <c r="B9" s="28"/>
      <c r="C9" s="28"/>
      <c r="D9" s="28"/>
      <c r="E9" t="s">
        <v>2356</v>
      </c>
      <c r="F9" t="s">
        <v>2357</v>
      </c>
      <c r="G9">
        <v>8.0299999999999994</v>
      </c>
      <c r="H9">
        <v>4.5599999999999996</v>
      </c>
      <c r="I9" t="s">
        <v>2536</v>
      </c>
      <c r="J9">
        <v>4525426600</v>
      </c>
      <c r="K9">
        <v>59.4</v>
      </c>
      <c r="L9">
        <v>1.93</v>
      </c>
      <c r="M9" t="s">
        <v>691</v>
      </c>
      <c r="N9" t="s">
        <v>2537</v>
      </c>
      <c r="O9" t="s">
        <v>2538</v>
      </c>
      <c r="P9" t="s">
        <v>2539</v>
      </c>
      <c r="Q9">
        <v>6.97</v>
      </c>
      <c r="R9" t="s">
        <v>2540</v>
      </c>
      <c r="S9">
        <v>5684764</v>
      </c>
      <c r="T9" s="4">
        <v>-0.6976</v>
      </c>
      <c r="U9" t="s">
        <v>2541</v>
      </c>
      <c r="V9">
        <v>525127220</v>
      </c>
      <c r="W9">
        <v>563564960</v>
      </c>
      <c r="X9">
        <v>1.43</v>
      </c>
      <c r="Y9">
        <v>0.08</v>
      </c>
      <c r="Z9">
        <v>2.2799999999999998</v>
      </c>
      <c r="AA9" t="s">
        <v>159</v>
      </c>
      <c r="AB9" t="s">
        <v>2542</v>
      </c>
      <c r="AC9" t="s">
        <v>2543</v>
      </c>
      <c r="AD9" t="s">
        <v>2544</v>
      </c>
      <c r="AE9" t="s">
        <v>7</v>
      </c>
      <c r="AF9">
        <v>225362</v>
      </c>
      <c r="AG9" t="s">
        <v>2545</v>
      </c>
      <c r="AH9" t="s">
        <v>2546</v>
      </c>
      <c r="AI9" t="s">
        <v>2547</v>
      </c>
      <c r="AJ9" t="s">
        <v>639</v>
      </c>
      <c r="AK9" t="s">
        <v>2548</v>
      </c>
      <c r="AL9" t="s">
        <v>2549</v>
      </c>
      <c r="AM9" t="s">
        <v>2550</v>
      </c>
      <c r="AN9" t="s">
        <v>7</v>
      </c>
      <c r="AO9" t="s">
        <v>2551</v>
      </c>
      <c r="AP9" t="s">
        <v>32</v>
      </c>
      <c r="AQ9" t="s">
        <v>211</v>
      </c>
      <c r="AR9" t="s">
        <v>2254</v>
      </c>
      <c r="AS9" t="s">
        <v>2552</v>
      </c>
      <c r="AT9" t="s">
        <v>2553</v>
      </c>
      <c r="AU9" t="s">
        <v>2554</v>
      </c>
      <c r="AV9" t="s">
        <v>2555</v>
      </c>
      <c r="AW9" t="s">
        <v>2556</v>
      </c>
      <c r="AX9" t="s">
        <v>179</v>
      </c>
      <c r="AY9" t="s">
        <v>2557</v>
      </c>
      <c r="AZ9" t="s">
        <v>2558</v>
      </c>
      <c r="BA9" t="s">
        <v>337</v>
      </c>
      <c r="BB9" t="s">
        <v>450</v>
      </c>
      <c r="BC9" t="s">
        <v>624</v>
      </c>
      <c r="BD9" t="s">
        <v>2559</v>
      </c>
      <c r="BE9" t="s">
        <v>2560</v>
      </c>
      <c r="BF9" t="s">
        <v>2561</v>
      </c>
      <c r="BG9" t="s">
        <v>2562</v>
      </c>
      <c r="BH9" t="s">
        <v>154</v>
      </c>
      <c r="BI9" t="s">
        <v>58</v>
      </c>
      <c r="BJ9" t="s">
        <v>1054</v>
      </c>
      <c r="BK9" t="s">
        <v>2557</v>
      </c>
      <c r="BL9" t="s">
        <v>2541</v>
      </c>
      <c r="BM9" t="s">
        <v>2563</v>
      </c>
      <c r="BN9" t="s">
        <v>2559</v>
      </c>
      <c r="BO9">
        <v>3.22</v>
      </c>
      <c r="BP9">
        <v>3.33</v>
      </c>
      <c r="BQ9">
        <v>3.42</v>
      </c>
      <c r="BR9">
        <v>3.34</v>
      </c>
      <c r="BS9">
        <v>3.98</v>
      </c>
      <c r="BT9">
        <v>3.92</v>
      </c>
      <c r="BU9">
        <v>3.59</v>
      </c>
      <c r="BV9">
        <v>3.38</v>
      </c>
      <c r="BW9">
        <v>26.26</v>
      </c>
      <c r="BX9">
        <v>29.44</v>
      </c>
      <c r="BY9">
        <v>33.65</v>
      </c>
      <c r="BZ9">
        <v>4.6399999999999997</v>
      </c>
      <c r="CA9">
        <v>5.55</v>
      </c>
      <c r="CB9">
        <v>6.25</v>
      </c>
      <c r="CC9">
        <v>4.42</v>
      </c>
      <c r="CD9">
        <v>17.399999999999999</v>
      </c>
      <c r="CE9" t="s">
        <v>2564</v>
      </c>
      <c r="CF9" t="s">
        <v>673</v>
      </c>
      <c r="CG9" s="23">
        <v>6.7688016877637133E-2</v>
      </c>
      <c r="CH9" s="24">
        <v>-0.69763019462041309</v>
      </c>
      <c r="CI9" s="23">
        <v>0.26936507225036621</v>
      </c>
      <c r="CJ9" s="23">
        <v>0.22061322629451752</v>
      </c>
      <c r="CK9" s="23">
        <v>0.19308942556381226</v>
      </c>
      <c r="CL9" s="23">
        <v>0.13625866174697876</v>
      </c>
      <c r="CM9" s="23">
        <v>-2.8058361262083054E-2</v>
      </c>
      <c r="CN9" s="24">
        <v>5.0080940127372742E-2</v>
      </c>
      <c r="CO9" s="24">
        <v>0.108559750020504</v>
      </c>
      <c r="CP9" s="24">
        <v>1.1771738063544035E-3</v>
      </c>
      <c r="CQ9" s="24">
        <v>0.20149025321006775</v>
      </c>
      <c r="CR9" s="24">
        <v>-0.59636515378952026</v>
      </c>
      <c r="CS9">
        <v>2.4878650907091804</v>
      </c>
      <c r="CT9">
        <v>4207009.960638959</v>
      </c>
      <c r="CU9">
        <v>0.26083200000000001</v>
      </c>
      <c r="CV9" s="23">
        <v>0.15825360491871834</v>
      </c>
      <c r="CW9" s="24">
        <v>-4.7011407325044274E-2</v>
      </c>
      <c r="CX9">
        <v>0.06</v>
      </c>
      <c r="CY9">
        <v>32.685569989451459</v>
      </c>
      <c r="CZ9">
        <v>97579041.792121619</v>
      </c>
      <c r="DA9">
        <v>0.15825360491871834</v>
      </c>
      <c r="DB9">
        <v>10.086101303385735</v>
      </c>
      <c r="DC9">
        <v>316219964.88666666</v>
      </c>
      <c r="DD9">
        <v>0.15034092467278243</v>
      </c>
      <c r="DE9">
        <v>4.5898726282877451</v>
      </c>
      <c r="DF9">
        <v>694883465.9034574</v>
      </c>
      <c r="DG9">
        <v>0.13926317232847216</v>
      </c>
      <c r="DH9">
        <v>2.5157332539615429</v>
      </c>
      <c r="DI9">
        <v>1267792042.331033</v>
      </c>
      <c r="DJ9">
        <v>0.12660288393497468</v>
      </c>
      <c r="DK9">
        <v>1.0537974733885662</v>
      </c>
      <c r="DL9">
        <v>3026603005.3613195</v>
      </c>
      <c r="DM9">
        <v>0.11077752344310283</v>
      </c>
      <c r="DN9">
        <v>89301500</v>
      </c>
      <c r="DO9">
        <v>0.15825360491871834</v>
      </c>
      <c r="DP9">
        <v>3189426600</v>
      </c>
      <c r="DQ9">
        <v>1399918700</v>
      </c>
      <c r="DR9">
        <v>844</v>
      </c>
      <c r="DS9">
        <v>-9.056558804108121E-2</v>
      </c>
      <c r="DT9">
        <v>-0.65061878729536882</v>
      </c>
      <c r="DU9" s="25">
        <v>0</v>
      </c>
      <c r="DV9">
        <v>-0.44</v>
      </c>
      <c r="DW9">
        <v>-0.44</v>
      </c>
      <c r="DX9">
        <v>8.2540229885057474</v>
      </c>
      <c r="DY9">
        <v>0.61327108753315596</v>
      </c>
      <c r="DZ9">
        <v>8.0389343797066992</v>
      </c>
      <c r="EA9">
        <v>2956</v>
      </c>
      <c r="EB9">
        <v>8.0146435341150983</v>
      </c>
      <c r="EC9">
        <v>8</v>
      </c>
      <c r="ED9">
        <v>0.10253156974131251</v>
      </c>
      <c r="EE9">
        <v>0.66895571364124551</v>
      </c>
      <c r="EF9" s="22">
        <v>1.0074099999999999</v>
      </c>
      <c r="EG9">
        <v>1.0382</v>
      </c>
      <c r="EH9">
        <v>46.153271087533156</v>
      </c>
      <c r="EI9" t="s">
        <v>498</v>
      </c>
      <c r="EJ9">
        <v>0</v>
      </c>
      <c r="EK9">
        <v>0</v>
      </c>
    </row>
    <row r="10" spans="1:141" x14ac:dyDescent="0.25">
      <c r="A10" t="s">
        <v>2984</v>
      </c>
      <c r="B10" s="3"/>
      <c r="C10" s="3"/>
      <c r="D10" s="3"/>
      <c r="E10" t="s">
        <v>2358</v>
      </c>
      <c r="F10" t="s">
        <v>2359</v>
      </c>
      <c r="G10">
        <v>4.0999999999999996</v>
      </c>
      <c r="H10">
        <v>0</v>
      </c>
      <c r="I10" t="s">
        <v>2565</v>
      </c>
      <c r="J10">
        <v>3860650400</v>
      </c>
      <c r="L10">
        <v>2.04</v>
      </c>
      <c r="M10" t="s">
        <v>1560</v>
      </c>
      <c r="N10" t="s">
        <v>2566</v>
      </c>
      <c r="O10" t="s">
        <v>2567</v>
      </c>
      <c r="P10" t="s">
        <v>2568</v>
      </c>
      <c r="Q10">
        <v>14.44</v>
      </c>
      <c r="R10" t="s">
        <v>664</v>
      </c>
      <c r="S10">
        <v>34751894</v>
      </c>
      <c r="T10" s="4">
        <v>4.92</v>
      </c>
      <c r="U10" t="s">
        <v>2569</v>
      </c>
      <c r="V10">
        <v>931336740</v>
      </c>
      <c r="W10">
        <v>941622060</v>
      </c>
      <c r="X10">
        <v>2.59</v>
      </c>
      <c r="Y10">
        <v>0.06</v>
      </c>
      <c r="Z10">
        <v>11.49</v>
      </c>
      <c r="AA10" t="s">
        <v>195</v>
      </c>
      <c r="AB10" t="s">
        <v>32</v>
      </c>
      <c r="AC10" t="s">
        <v>2570</v>
      </c>
      <c r="AD10" t="s">
        <v>2571</v>
      </c>
      <c r="AE10" t="s">
        <v>2572</v>
      </c>
      <c r="AF10">
        <v>6033048</v>
      </c>
      <c r="AG10" t="s">
        <v>2573</v>
      </c>
      <c r="AH10" t="s">
        <v>2574</v>
      </c>
      <c r="AI10" t="s">
        <v>2575</v>
      </c>
      <c r="AJ10" t="s">
        <v>957</v>
      </c>
      <c r="AK10" t="s">
        <v>2576</v>
      </c>
      <c r="AL10" t="s">
        <v>2577</v>
      </c>
      <c r="AM10" t="s">
        <v>2578</v>
      </c>
      <c r="AN10" t="s">
        <v>7</v>
      </c>
      <c r="AO10" t="s">
        <v>2579</v>
      </c>
      <c r="AP10" t="s">
        <v>2580</v>
      </c>
      <c r="AQ10" t="s">
        <v>1638</v>
      </c>
      <c r="AR10" t="s">
        <v>222</v>
      </c>
      <c r="AS10" t="s">
        <v>7</v>
      </c>
      <c r="AT10" t="s">
        <v>2581</v>
      </c>
      <c r="AU10" t="s">
        <v>7</v>
      </c>
      <c r="AV10" t="s">
        <v>2582</v>
      </c>
      <c r="AW10" t="s">
        <v>2583</v>
      </c>
      <c r="AX10" t="s">
        <v>2584</v>
      </c>
      <c r="AY10" t="s">
        <v>2585</v>
      </c>
      <c r="AZ10" t="s">
        <v>2586</v>
      </c>
      <c r="BA10" t="s">
        <v>2587</v>
      </c>
      <c r="BB10" t="s">
        <v>2588</v>
      </c>
      <c r="BC10" t="s">
        <v>2589</v>
      </c>
      <c r="BD10" t="s">
        <v>2590</v>
      </c>
      <c r="BE10" t="s">
        <v>2591</v>
      </c>
      <c r="BF10" t="s">
        <v>185</v>
      </c>
      <c r="BG10" t="s">
        <v>2592</v>
      </c>
      <c r="BH10" t="s">
        <v>55</v>
      </c>
      <c r="BI10" t="s">
        <v>30</v>
      </c>
      <c r="BJ10" t="s">
        <v>239</v>
      </c>
      <c r="BK10" t="s">
        <v>2585</v>
      </c>
      <c r="BL10" t="s">
        <v>2569</v>
      </c>
      <c r="BM10" t="s">
        <v>2593</v>
      </c>
      <c r="BN10" t="s">
        <v>2590</v>
      </c>
      <c r="BO10">
        <v>-4.7300000000000004</v>
      </c>
      <c r="BP10">
        <v>-17.97</v>
      </c>
      <c r="BQ10">
        <v>2.0699999999999998</v>
      </c>
      <c r="BR10">
        <v>5.51</v>
      </c>
      <c r="BS10">
        <v>-10.62</v>
      </c>
      <c r="BT10">
        <v>-35.39</v>
      </c>
      <c r="BU10">
        <v>3.4</v>
      </c>
      <c r="BV10">
        <v>8.58</v>
      </c>
      <c r="BW10">
        <v>15.29</v>
      </c>
      <c r="BX10">
        <v>11.7</v>
      </c>
      <c r="BY10">
        <v>16.91</v>
      </c>
      <c r="BZ10">
        <v>-11.37</v>
      </c>
      <c r="CA10">
        <v>-62.24</v>
      </c>
      <c r="CB10">
        <v>3.79</v>
      </c>
      <c r="CC10">
        <v>4.0599999999999996</v>
      </c>
      <c r="CD10">
        <v>44.37</v>
      </c>
      <c r="CE10" t="s">
        <v>137</v>
      </c>
      <c r="CF10" t="s">
        <v>2594</v>
      </c>
      <c r="CG10" s="23">
        <v>0.14600030303030304</v>
      </c>
      <c r="CH10" s="24">
        <v>4.9201676273844033</v>
      </c>
      <c r="CI10" s="23">
        <v>0.39598816633224487</v>
      </c>
      <c r="CJ10" s="23">
        <v>-0.37943750619888306</v>
      </c>
      <c r="CK10" s="23">
        <v>-2.6044061407446861E-2</v>
      </c>
      <c r="CL10" s="23">
        <v>0.15328852832317352</v>
      </c>
      <c r="CM10" s="23">
        <v>-2.0791107788681984E-2</v>
      </c>
      <c r="CN10" s="24">
        <v>0.74303030967712402</v>
      </c>
      <c r="CO10" s="24">
        <v>-10.255997657775879</v>
      </c>
      <c r="CP10" s="24">
        <v>-0.57956886291503906</v>
      </c>
      <c r="CQ10" s="24">
        <v>1.2731635570526123</v>
      </c>
      <c r="CR10" s="24">
        <v>-0.37825268507003784</v>
      </c>
      <c r="CS10">
        <v>2.0546303352847257</v>
      </c>
      <c r="CT10">
        <v>-16191841.981132075</v>
      </c>
      <c r="CU10">
        <v>1.7855459999999999</v>
      </c>
      <c r="CV10" s="23">
        <v>2.4600803852081299E-2</v>
      </c>
      <c r="CW10" s="24">
        <v>-1.8395250678062438</v>
      </c>
      <c r="CX10">
        <v>0.06</v>
      </c>
      <c r="CY10" t="e">
        <v>#VALUE!</v>
      </c>
      <c r="CZ10" t="s">
        <v>574</v>
      </c>
      <c r="DA10">
        <v>2.4600803852081299E-2</v>
      </c>
      <c r="DB10" t="e">
        <v>#VALUE!</v>
      </c>
      <c r="DC10" t="s">
        <v>574</v>
      </c>
      <c r="DD10">
        <v>2.3370763659477232E-2</v>
      </c>
      <c r="DE10" t="e">
        <v>#VALUE!</v>
      </c>
      <c r="DF10" t="s">
        <v>574</v>
      </c>
      <c r="DG10">
        <v>2.1648707389831542E-2</v>
      </c>
      <c r="DH10" t="e">
        <v>#VALUE!</v>
      </c>
      <c r="DI10" t="s">
        <v>574</v>
      </c>
      <c r="DJ10">
        <v>1.968064308166504E-2</v>
      </c>
      <c r="DK10" t="e">
        <v>#VALUE!</v>
      </c>
      <c r="DL10" t="s">
        <v>574</v>
      </c>
      <c r="DM10">
        <v>1.7220562696456908E-2</v>
      </c>
      <c r="DN10">
        <v>-212000000</v>
      </c>
      <c r="DO10">
        <v>2.4600803852081299E-2</v>
      </c>
      <c r="DP10">
        <v>5015650400</v>
      </c>
      <c r="DQ10">
        <v>469443400</v>
      </c>
      <c r="DR10">
        <v>979</v>
      </c>
      <c r="DS10">
        <v>0.12139949917822174</v>
      </c>
      <c r="DT10">
        <v>6.7596926951906475</v>
      </c>
      <c r="DU10" s="25">
        <v>0.13333333333333333</v>
      </c>
      <c r="DV10">
        <v>-0.35999999999999993</v>
      </c>
      <c r="DW10">
        <v>-0.2266666666666666</v>
      </c>
      <c r="DX10">
        <v>8.0915032679738559</v>
      </c>
      <c r="DY10">
        <v>0.5784466019417499</v>
      </c>
      <c r="DZ10">
        <v>8.0199885779554538</v>
      </c>
      <c r="EA10">
        <v>3285</v>
      </c>
      <c r="EB10">
        <v>8.0060740878974617</v>
      </c>
      <c r="EC10">
        <v>8</v>
      </c>
      <c r="ED10">
        <v>0.33452912095113829</v>
      </c>
      <c r="EE10">
        <v>1.5313999759096553</v>
      </c>
      <c r="EF10" s="22">
        <v>3.0236000000000001</v>
      </c>
      <c r="EG10">
        <v>3.0236000000000001</v>
      </c>
      <c r="EH10">
        <v>36.21844660194175</v>
      </c>
      <c r="EI10" t="s">
        <v>553</v>
      </c>
      <c r="EJ10">
        <v>0</v>
      </c>
      <c r="EK10">
        <v>0</v>
      </c>
    </row>
    <row r="11" spans="1:141" x14ac:dyDescent="0.25">
      <c r="A11" t="s">
        <v>2982</v>
      </c>
      <c r="B11" s="28"/>
      <c r="C11" s="28"/>
      <c r="D11" s="28"/>
      <c r="E11" t="s">
        <v>2360</v>
      </c>
      <c r="F11" t="s">
        <v>2361</v>
      </c>
      <c r="G11">
        <v>33.229999999999997</v>
      </c>
      <c r="H11">
        <v>7.47</v>
      </c>
      <c r="I11" t="s">
        <v>2595</v>
      </c>
      <c r="J11">
        <v>19354660000</v>
      </c>
      <c r="K11">
        <v>56.64</v>
      </c>
      <c r="L11">
        <v>6.21</v>
      </c>
      <c r="M11" t="s">
        <v>691</v>
      </c>
      <c r="N11" t="s">
        <v>2596</v>
      </c>
      <c r="O11" t="s">
        <v>2597</v>
      </c>
      <c r="P11" t="s">
        <v>2598</v>
      </c>
      <c r="Q11">
        <v>18.489999999999998</v>
      </c>
      <c r="R11" t="s">
        <v>2599</v>
      </c>
      <c r="S11">
        <v>54275464</v>
      </c>
      <c r="T11" s="4">
        <v>-0.36730000000000002</v>
      </c>
      <c r="U11" t="s">
        <v>1800</v>
      </c>
      <c r="V11">
        <v>565356810</v>
      </c>
      <c r="W11">
        <v>582445390</v>
      </c>
      <c r="X11">
        <v>1.58</v>
      </c>
      <c r="Y11">
        <v>0.11</v>
      </c>
      <c r="Z11">
        <v>9.75</v>
      </c>
      <c r="AA11" t="s">
        <v>2600</v>
      </c>
      <c r="AB11" t="s">
        <v>649</v>
      </c>
      <c r="AC11" t="s">
        <v>2601</v>
      </c>
      <c r="AD11" t="s">
        <v>2602</v>
      </c>
      <c r="AE11" t="s">
        <v>7</v>
      </c>
      <c r="AF11">
        <v>1268074</v>
      </c>
      <c r="AG11" t="s">
        <v>2603</v>
      </c>
      <c r="AH11" t="s">
        <v>2604</v>
      </c>
      <c r="AI11" t="s">
        <v>2605</v>
      </c>
      <c r="AJ11" t="s">
        <v>136</v>
      </c>
      <c r="AK11" t="s">
        <v>2606</v>
      </c>
      <c r="AL11" t="s">
        <v>2607</v>
      </c>
      <c r="AM11" t="s">
        <v>2608</v>
      </c>
      <c r="AN11" t="s">
        <v>7</v>
      </c>
      <c r="AO11" t="s">
        <v>38</v>
      </c>
      <c r="AP11" t="s">
        <v>2609</v>
      </c>
      <c r="AQ11" t="s">
        <v>253</v>
      </c>
      <c r="AR11" t="s">
        <v>1464</v>
      </c>
      <c r="AS11" t="s">
        <v>2610</v>
      </c>
      <c r="AT11" t="s">
        <v>2611</v>
      </c>
      <c r="AU11" t="s">
        <v>7</v>
      </c>
      <c r="AV11" t="s">
        <v>348</v>
      </c>
      <c r="AW11" t="s">
        <v>2435</v>
      </c>
      <c r="AX11" t="s">
        <v>2612</v>
      </c>
      <c r="AY11" t="s">
        <v>2613</v>
      </c>
      <c r="AZ11" t="s">
        <v>2125</v>
      </c>
      <c r="BA11" t="s">
        <v>1721</v>
      </c>
      <c r="BB11" t="s">
        <v>2614</v>
      </c>
      <c r="BC11" t="s">
        <v>2615</v>
      </c>
      <c r="BD11" t="s">
        <v>30</v>
      </c>
      <c r="BE11" t="s">
        <v>200</v>
      </c>
      <c r="BF11" t="s">
        <v>54</v>
      </c>
      <c r="BG11" t="s">
        <v>857</v>
      </c>
      <c r="BH11" t="s">
        <v>47</v>
      </c>
      <c r="BI11" t="s">
        <v>192</v>
      </c>
      <c r="BJ11" t="s">
        <v>2616</v>
      </c>
      <c r="BK11" t="s">
        <v>2613</v>
      </c>
      <c r="BL11" t="s">
        <v>1800</v>
      </c>
      <c r="BM11" t="s">
        <v>2617</v>
      </c>
      <c r="BN11" t="s">
        <v>30</v>
      </c>
      <c r="BO11">
        <v>10.66</v>
      </c>
      <c r="BP11">
        <v>9.4499999999999993</v>
      </c>
      <c r="BQ11">
        <v>11.01</v>
      </c>
      <c r="BR11">
        <v>8.7200000000000006</v>
      </c>
      <c r="BS11">
        <v>12.72</v>
      </c>
      <c r="BT11">
        <v>11.26</v>
      </c>
      <c r="BU11">
        <v>12.82</v>
      </c>
      <c r="BV11">
        <v>9.89</v>
      </c>
      <c r="BW11">
        <v>31.31</v>
      </c>
      <c r="BX11">
        <v>36.869999999999997</v>
      </c>
      <c r="BY11">
        <v>35.869999999999997</v>
      </c>
      <c r="BZ11">
        <v>13.27</v>
      </c>
      <c r="CA11">
        <v>12.55</v>
      </c>
      <c r="CB11">
        <v>12.32</v>
      </c>
      <c r="CC11">
        <v>8.59</v>
      </c>
      <c r="CD11">
        <v>47.62</v>
      </c>
      <c r="CE11" t="s">
        <v>99</v>
      </c>
      <c r="CF11" t="s">
        <v>2618</v>
      </c>
      <c r="CG11" s="23">
        <v>0.18514539112050726</v>
      </c>
      <c r="CH11" s="24">
        <v>-0.3672728205343424</v>
      </c>
      <c r="CI11" s="23">
        <v>0.15806853771209717</v>
      </c>
      <c r="CJ11" s="23">
        <v>-7.1647442877292633E-2</v>
      </c>
      <c r="CK11" s="23">
        <v>-3.8674101233482361E-2</v>
      </c>
      <c r="CL11" s="23">
        <v>-5.4944353178143501E-3</v>
      </c>
      <c r="CM11" s="23">
        <v>0.55999994277954102</v>
      </c>
      <c r="CN11" s="24">
        <v>0.23102310299873352</v>
      </c>
      <c r="CO11" s="24">
        <v>-5.6074764579534531E-2</v>
      </c>
      <c r="CP11" s="24">
        <v>0.395652174949646</v>
      </c>
      <c r="CQ11" s="24">
        <v>-0.38005390763282776</v>
      </c>
      <c r="CR11" s="24">
        <v>0.25337839126586914</v>
      </c>
      <c r="CS11">
        <v>6.8975980042765501</v>
      </c>
      <c r="CT11">
        <v>11713309.115281502</v>
      </c>
      <c r="CU11">
        <v>1.69455</v>
      </c>
      <c r="CV11" s="23">
        <v>0.12045050021260977</v>
      </c>
      <c r="CW11" s="24">
        <v>8.8784999400377276E-2</v>
      </c>
      <c r="CX11">
        <v>0.06</v>
      </c>
      <c r="CY11">
        <v>45.723947492031762</v>
      </c>
      <c r="CZ11">
        <v>394271732.62198436</v>
      </c>
      <c r="DA11">
        <v>0.12045050021260977</v>
      </c>
      <c r="DB11">
        <v>14.563109246569345</v>
      </c>
      <c r="DC11">
        <v>1237899111.7056136</v>
      </c>
      <c r="DD11">
        <v>0.11442797520197927</v>
      </c>
      <c r="DE11">
        <v>6.9241999864767436</v>
      </c>
      <c r="DF11">
        <v>2603572981.0243473</v>
      </c>
      <c r="DG11">
        <v>0.1059964401870966</v>
      </c>
      <c r="DH11">
        <v>3.9960741876352714</v>
      </c>
      <c r="DI11">
        <v>4511342671.210041</v>
      </c>
      <c r="DJ11">
        <v>9.6360400170087818E-2</v>
      </c>
      <c r="DK11">
        <v>1.888298922126793</v>
      </c>
      <c r="DL11">
        <v>9547037171.2628155</v>
      </c>
      <c r="DM11">
        <v>8.4315350148826837E-2</v>
      </c>
      <c r="DN11">
        <v>373000000</v>
      </c>
      <c r="DO11">
        <v>0.12045050021260977</v>
      </c>
      <c r="DP11">
        <v>18027660000</v>
      </c>
      <c r="DQ11">
        <v>1682141300</v>
      </c>
      <c r="DR11">
        <v>992</v>
      </c>
      <c r="DS11">
        <v>6.4694890907897498E-2</v>
      </c>
      <c r="DT11">
        <v>-0.45605781993471967</v>
      </c>
      <c r="DU11" s="25">
        <v>0</v>
      </c>
      <c r="DV11">
        <v>-0.22</v>
      </c>
      <c r="DW11">
        <v>-0.22</v>
      </c>
      <c r="DX11">
        <v>9.1803863922721547</v>
      </c>
      <c r="DY11">
        <v>0.5196284329563795</v>
      </c>
      <c r="DZ11">
        <v>9.0305986610477813</v>
      </c>
      <c r="EA11">
        <v>2060</v>
      </c>
      <c r="EB11">
        <v>9.0172948953748335</v>
      </c>
      <c r="EC11">
        <v>9</v>
      </c>
      <c r="ED11">
        <v>0.18027441164913333</v>
      </c>
      <c r="EE11">
        <v>1.062760579150605</v>
      </c>
      <c r="EF11" s="22">
        <v>5.0762999999999998</v>
      </c>
      <c r="EG11">
        <v>6.0010000000000003</v>
      </c>
      <c r="EH11">
        <v>35.16962843295638</v>
      </c>
      <c r="EI11" t="s">
        <v>2619</v>
      </c>
      <c r="EJ11">
        <v>1</v>
      </c>
      <c r="EK11">
        <v>0</v>
      </c>
    </row>
    <row r="12" spans="1:141" x14ac:dyDescent="0.25">
      <c r="A12" t="s">
        <v>2985</v>
      </c>
      <c r="B12" s="28"/>
      <c r="C12" s="28"/>
      <c r="D12" s="28"/>
      <c r="E12" t="s">
        <v>1564</v>
      </c>
      <c r="F12" t="s">
        <v>1565</v>
      </c>
      <c r="G12">
        <v>16.100000000000001</v>
      </c>
      <c r="H12">
        <v>-1.65</v>
      </c>
      <c r="I12" t="s">
        <v>1699</v>
      </c>
      <c r="J12">
        <v>11000231700</v>
      </c>
      <c r="K12">
        <v>39.35</v>
      </c>
      <c r="L12">
        <v>1.88</v>
      </c>
      <c r="M12" t="s">
        <v>631</v>
      </c>
      <c r="N12" t="s">
        <v>1305</v>
      </c>
      <c r="O12" t="s">
        <v>1700</v>
      </c>
      <c r="P12" t="s">
        <v>1701</v>
      </c>
      <c r="Q12">
        <v>44.68</v>
      </c>
      <c r="R12" t="s">
        <v>1702</v>
      </c>
      <c r="S12">
        <v>84921521</v>
      </c>
      <c r="T12" s="5">
        <v>17.88</v>
      </c>
      <c r="U12" t="s">
        <v>651</v>
      </c>
      <c r="V12">
        <v>411452810</v>
      </c>
      <c r="W12">
        <v>683244200</v>
      </c>
      <c r="X12">
        <v>1.32</v>
      </c>
      <c r="Y12">
        <v>0.14000000000000001</v>
      </c>
      <c r="Z12">
        <v>8.02</v>
      </c>
      <c r="AA12" t="s">
        <v>1481</v>
      </c>
      <c r="AB12" t="s">
        <v>1703</v>
      </c>
      <c r="AC12" t="s">
        <v>1704</v>
      </c>
      <c r="AD12" t="s">
        <v>1705</v>
      </c>
      <c r="AE12" t="s">
        <v>7</v>
      </c>
      <c r="AF12">
        <v>743731</v>
      </c>
      <c r="AG12" t="s">
        <v>1706</v>
      </c>
      <c r="AH12" t="s">
        <v>1707</v>
      </c>
      <c r="AI12" t="s">
        <v>1708</v>
      </c>
      <c r="AJ12" t="s">
        <v>1709</v>
      </c>
      <c r="AK12" t="s">
        <v>1710</v>
      </c>
      <c r="AL12" t="s">
        <v>1711</v>
      </c>
      <c r="AM12" t="s">
        <v>1712</v>
      </c>
      <c r="AN12" t="s">
        <v>7</v>
      </c>
      <c r="AO12" t="s">
        <v>555</v>
      </c>
      <c r="AP12" t="s">
        <v>256</v>
      </c>
      <c r="AQ12" t="s">
        <v>1713</v>
      </c>
      <c r="AR12" t="s">
        <v>1714</v>
      </c>
      <c r="AS12" t="s">
        <v>7</v>
      </c>
      <c r="AT12" t="s">
        <v>1715</v>
      </c>
      <c r="AU12" t="s">
        <v>1716</v>
      </c>
      <c r="AV12" t="s">
        <v>205</v>
      </c>
      <c r="AW12" t="s">
        <v>230</v>
      </c>
      <c r="AX12" t="s">
        <v>1717</v>
      </c>
      <c r="AY12" t="s">
        <v>1718</v>
      </c>
      <c r="AZ12" t="s">
        <v>1719</v>
      </c>
      <c r="BA12" t="s">
        <v>1720</v>
      </c>
      <c r="BB12" t="s">
        <v>1721</v>
      </c>
      <c r="BC12" t="s">
        <v>1402</v>
      </c>
      <c r="BD12" t="s">
        <v>901</v>
      </c>
      <c r="BE12" t="s">
        <v>1722</v>
      </c>
      <c r="BF12" t="s">
        <v>114</v>
      </c>
      <c r="BG12" t="s">
        <v>250</v>
      </c>
      <c r="BH12" t="s">
        <v>618</v>
      </c>
      <c r="BI12" t="s">
        <v>1723</v>
      </c>
      <c r="BJ12" t="s">
        <v>249</v>
      </c>
      <c r="BK12" t="s">
        <v>1718</v>
      </c>
      <c r="BL12" t="s">
        <v>651</v>
      </c>
      <c r="BM12" t="s">
        <v>1724</v>
      </c>
      <c r="BN12" t="s">
        <v>901</v>
      </c>
      <c r="BO12">
        <v>3.18</v>
      </c>
      <c r="BP12">
        <v>7.82</v>
      </c>
      <c r="BQ12">
        <v>-10.050000000000001</v>
      </c>
      <c r="BR12">
        <v>7.79</v>
      </c>
      <c r="BS12">
        <v>3.33</v>
      </c>
      <c r="BT12">
        <v>7.21</v>
      </c>
      <c r="BU12">
        <v>-10.41</v>
      </c>
      <c r="BV12">
        <v>7.95</v>
      </c>
      <c r="BW12">
        <v>21.82</v>
      </c>
      <c r="BX12">
        <v>23.73</v>
      </c>
      <c r="BY12">
        <v>28.06</v>
      </c>
      <c r="BZ12">
        <v>5.0999999999999996</v>
      </c>
      <c r="CA12">
        <v>16.100000000000001</v>
      </c>
      <c r="CB12">
        <v>-20.74</v>
      </c>
      <c r="CC12">
        <v>3.87</v>
      </c>
      <c r="CD12">
        <v>19.260000000000002</v>
      </c>
      <c r="CE12" t="s">
        <v>651</v>
      </c>
      <c r="CF12" t="s">
        <v>677</v>
      </c>
      <c r="CG12" s="23">
        <v>0.44657167352537724</v>
      </c>
      <c r="CH12" s="24">
        <v>17.876482839868409</v>
      </c>
      <c r="CI12" s="23">
        <v>0.33700519800186157</v>
      </c>
      <c r="CJ12" s="23">
        <v>-7.3660731315612793E-2</v>
      </c>
      <c r="CK12" s="23">
        <v>-0.11761392652988434</v>
      </c>
      <c r="CL12" s="23">
        <v>0.30902385711669922</v>
      </c>
      <c r="CM12" s="23">
        <v>0.48522979021072388</v>
      </c>
      <c r="CN12" s="24">
        <v>-0.57478630542755127</v>
      </c>
      <c r="CO12" s="24">
        <v>1.7200000286102295</v>
      </c>
      <c r="CP12" s="24">
        <v>-2.1882996559143066</v>
      </c>
      <c r="CQ12" s="24">
        <v>0.39897698163986206</v>
      </c>
      <c r="CR12" s="24">
        <v>1.0335917584598064E-2</v>
      </c>
      <c r="CS12">
        <v>2.8321914778578781</v>
      </c>
      <c r="CT12">
        <v>44404178.391959801</v>
      </c>
      <c r="CU12">
        <v>1.4820960000000001</v>
      </c>
      <c r="CV12" s="23">
        <v>0.1879968374967575</v>
      </c>
      <c r="CW12" s="24">
        <v>-0.12675460670143365</v>
      </c>
      <c r="CX12">
        <v>0.06</v>
      </c>
      <c r="CY12">
        <v>31.481165991145186</v>
      </c>
      <c r="CZ12">
        <v>223029594.9640139</v>
      </c>
      <c r="DA12">
        <v>0.1879968374967575</v>
      </c>
      <c r="DB12">
        <v>9.4774887382884181</v>
      </c>
      <c r="DC12">
        <v>740832502.56312048</v>
      </c>
      <c r="DD12">
        <v>0.17859699562191961</v>
      </c>
      <c r="DE12">
        <v>4.164749925039664</v>
      </c>
      <c r="DF12">
        <v>1685871139.0535967</v>
      </c>
      <c r="DG12">
        <v>0.16543721699714659</v>
      </c>
      <c r="DH12">
        <v>2.1885044238625011</v>
      </c>
      <c r="DI12">
        <v>3208232811.157949</v>
      </c>
      <c r="DJ12">
        <v>0.150397469997406</v>
      </c>
      <c r="DK12">
        <v>0.8280529457368937</v>
      </c>
      <c r="DL12">
        <v>8479206234.5140581</v>
      </c>
      <c r="DM12">
        <v>0.13159778624773025</v>
      </c>
      <c r="DN12">
        <v>199000000</v>
      </c>
      <c r="DO12">
        <v>0.1879968374967575</v>
      </c>
      <c r="DP12">
        <v>7021231700</v>
      </c>
      <c r="DQ12">
        <v>2127677300</v>
      </c>
      <c r="DR12">
        <v>1103</v>
      </c>
      <c r="DS12">
        <v>0.25857483602861975</v>
      </c>
      <c r="DT12">
        <v>18.003237446569841</v>
      </c>
      <c r="DU12" s="25">
        <v>0.60333333333333328</v>
      </c>
      <c r="DV12">
        <v>-0.4333333333333334</v>
      </c>
      <c r="DW12">
        <v>0.16999999999999987</v>
      </c>
      <c r="DX12">
        <v>8.2009345794392523</v>
      </c>
      <c r="DY12">
        <v>0.37639892904953121</v>
      </c>
      <c r="DZ12">
        <v>8.0535287567716356</v>
      </c>
      <c r="EA12">
        <v>2726</v>
      </c>
      <c r="EB12">
        <v>8.0226985452864295</v>
      </c>
      <c r="EC12">
        <v>8</v>
      </c>
      <c r="ED12">
        <v>0.29125750353973001</v>
      </c>
      <c r="EE12">
        <v>1.0933133424330568</v>
      </c>
      <c r="EF12" s="22">
        <v>1.0759000000000001</v>
      </c>
      <c r="EG12">
        <v>1.0593999999999999</v>
      </c>
      <c r="EH12">
        <v>11.266398929049531</v>
      </c>
      <c r="EI12" t="s">
        <v>498</v>
      </c>
      <c r="EJ12">
        <v>0</v>
      </c>
      <c r="EK12">
        <v>0</v>
      </c>
    </row>
    <row r="13" spans="1:141" x14ac:dyDescent="0.25">
      <c r="A13" t="s">
        <v>2982</v>
      </c>
      <c r="B13" s="3"/>
      <c r="C13" s="3"/>
      <c r="D13" s="3"/>
      <c r="E13" t="s">
        <v>2362</v>
      </c>
      <c r="F13" t="s">
        <v>2363</v>
      </c>
      <c r="G13">
        <v>18.59</v>
      </c>
      <c r="H13">
        <v>7.09</v>
      </c>
      <c r="I13" t="s">
        <v>2620</v>
      </c>
      <c r="J13">
        <v>19346812000</v>
      </c>
      <c r="K13">
        <v>105.7</v>
      </c>
      <c r="L13">
        <v>3.2</v>
      </c>
      <c r="M13" t="s">
        <v>691</v>
      </c>
      <c r="N13" t="s">
        <v>2621</v>
      </c>
      <c r="O13" t="s">
        <v>2622</v>
      </c>
      <c r="P13" t="s">
        <v>2623</v>
      </c>
      <c r="Q13">
        <v>32.869999999999997</v>
      </c>
      <c r="R13" t="s">
        <v>2624</v>
      </c>
      <c r="S13">
        <v>17076107</v>
      </c>
      <c r="T13" s="4">
        <v>-0.1956</v>
      </c>
      <c r="U13" t="s">
        <v>88</v>
      </c>
      <c r="V13">
        <v>991464090</v>
      </c>
      <c r="W13">
        <v>1040710710</v>
      </c>
      <c r="X13">
        <v>2.85</v>
      </c>
      <c r="Y13">
        <v>0.09</v>
      </c>
      <c r="Z13">
        <v>-1.2</v>
      </c>
      <c r="AA13" t="s">
        <v>2625</v>
      </c>
      <c r="AB13" t="s">
        <v>2626</v>
      </c>
      <c r="AC13" t="s">
        <v>40</v>
      </c>
      <c r="AD13" t="s">
        <v>18</v>
      </c>
      <c r="AE13" t="s">
        <v>7</v>
      </c>
      <c r="AF13">
        <v>70318766</v>
      </c>
      <c r="AG13" t="s">
        <v>2627</v>
      </c>
      <c r="AH13" t="s">
        <v>2628</v>
      </c>
      <c r="AI13" t="s">
        <v>2629</v>
      </c>
      <c r="AJ13" t="s">
        <v>2630</v>
      </c>
      <c r="AK13" t="s">
        <v>2631</v>
      </c>
      <c r="AL13" t="s">
        <v>2632</v>
      </c>
      <c r="AM13" t="s">
        <v>2633</v>
      </c>
      <c r="AN13" t="s">
        <v>7</v>
      </c>
      <c r="AO13" t="s">
        <v>2634</v>
      </c>
      <c r="AP13" t="s">
        <v>2635</v>
      </c>
      <c r="AQ13" t="s">
        <v>669</v>
      </c>
      <c r="AR13" t="s">
        <v>2636</v>
      </c>
      <c r="AS13" t="s">
        <v>2637</v>
      </c>
      <c r="AT13" t="s">
        <v>2638</v>
      </c>
      <c r="AU13" t="s">
        <v>2639</v>
      </c>
      <c r="AV13" t="s">
        <v>2640</v>
      </c>
      <c r="AW13" t="s">
        <v>2641</v>
      </c>
      <c r="AX13" t="s">
        <v>2642</v>
      </c>
      <c r="AY13" t="s">
        <v>2643</v>
      </c>
      <c r="AZ13" t="s">
        <v>973</v>
      </c>
      <c r="BA13" t="s">
        <v>2644</v>
      </c>
      <c r="BB13" t="s">
        <v>2645</v>
      </c>
      <c r="BC13" t="s">
        <v>2646</v>
      </c>
      <c r="BD13" t="s">
        <v>57</v>
      </c>
      <c r="BE13" t="s">
        <v>2647</v>
      </c>
      <c r="BF13" t="s">
        <v>50</v>
      </c>
      <c r="BG13" t="s">
        <v>62</v>
      </c>
      <c r="BH13" t="s">
        <v>638</v>
      </c>
      <c r="BI13" t="s">
        <v>2648</v>
      </c>
      <c r="BJ13" t="s">
        <v>175</v>
      </c>
      <c r="BK13" t="s">
        <v>2643</v>
      </c>
      <c r="BL13" t="s">
        <v>88</v>
      </c>
      <c r="BM13" t="s">
        <v>2649</v>
      </c>
      <c r="BN13" t="s">
        <v>57</v>
      </c>
      <c r="BO13">
        <v>1.58</v>
      </c>
      <c r="BP13">
        <v>2.08</v>
      </c>
      <c r="BQ13">
        <v>2.83</v>
      </c>
      <c r="BR13">
        <v>1.66</v>
      </c>
      <c r="BS13">
        <v>3.41</v>
      </c>
      <c r="BT13">
        <v>5.12</v>
      </c>
      <c r="BU13">
        <v>8.31</v>
      </c>
      <c r="BV13">
        <v>5.89</v>
      </c>
      <c r="BW13">
        <v>21.49</v>
      </c>
      <c r="BX13">
        <v>22.52</v>
      </c>
      <c r="BY13">
        <v>26.33</v>
      </c>
      <c r="BZ13">
        <v>1.88</v>
      </c>
      <c r="CA13">
        <v>2.4700000000000002</v>
      </c>
      <c r="CB13">
        <v>2.96</v>
      </c>
      <c r="CC13">
        <v>7.39</v>
      </c>
      <c r="CD13">
        <v>16.55</v>
      </c>
      <c r="CE13" t="s">
        <v>199</v>
      </c>
      <c r="CF13" t="s">
        <v>632</v>
      </c>
      <c r="CG13" s="23">
        <v>0.32912167982770996</v>
      </c>
      <c r="CH13" s="24">
        <v>-0.19555916202248991</v>
      </c>
      <c r="CI13" s="23">
        <v>0.26487144827842712</v>
      </c>
      <c r="CJ13" s="23">
        <v>0.10725408792495728</v>
      </c>
      <c r="CK13" s="23">
        <v>0.14759965240955353</v>
      </c>
      <c r="CL13" s="23">
        <v>0.15018603205680847</v>
      </c>
      <c r="CM13" s="23">
        <v>-0.16470396518707275</v>
      </c>
      <c r="CN13" s="24">
        <v>-8.3333335816860199E-2</v>
      </c>
      <c r="CO13" s="24">
        <v>-0.15352697670459747</v>
      </c>
      <c r="CP13" s="24">
        <v>0.59602648019790649</v>
      </c>
      <c r="CQ13" s="24">
        <v>-0.2135416716337204</v>
      </c>
      <c r="CR13" s="24">
        <v>-0.14666666090488434</v>
      </c>
      <c r="CS13">
        <v>2.0492333439254318</v>
      </c>
      <c r="CT13">
        <v>2689095.7219251338</v>
      </c>
      <c r="CU13">
        <v>-0.30780000000000002</v>
      </c>
      <c r="CV13" s="23">
        <v>0.10104145109653473</v>
      </c>
      <c r="CW13" s="24">
        <v>-2.0843297243118287E-4</v>
      </c>
      <c r="CX13">
        <v>0.06</v>
      </c>
      <c r="CY13">
        <v>130.05441150767328</v>
      </c>
      <c r="CZ13">
        <v>194240331.46703017</v>
      </c>
      <c r="DA13">
        <v>0.10104145109653473</v>
      </c>
      <c r="DB13">
        <v>42.105546527538877</v>
      </c>
      <c r="DC13">
        <v>599963997.22487068</v>
      </c>
      <c r="DD13">
        <v>9.5989378541707984E-2</v>
      </c>
      <c r="DE13">
        <v>20.469276807509289</v>
      </c>
      <c r="DF13">
        <v>1234133097.9867613</v>
      </c>
      <c r="DG13">
        <v>8.8916476964950558E-2</v>
      </c>
      <c r="DH13">
        <v>12.118645791699688</v>
      </c>
      <c r="DI13">
        <v>2084540833.5395312</v>
      </c>
      <c r="DJ13">
        <v>8.0833160877227792E-2</v>
      </c>
      <c r="DK13">
        <v>6.0664824667455193</v>
      </c>
      <c r="DL13">
        <v>4164161379.9227185</v>
      </c>
      <c r="DM13">
        <v>7.0729015767574302E-2</v>
      </c>
      <c r="DN13">
        <v>187000000</v>
      </c>
      <c r="DO13">
        <v>0.10104145109653473</v>
      </c>
      <c r="DP13">
        <v>25261812000</v>
      </c>
      <c r="DQ13">
        <v>2262624400</v>
      </c>
      <c r="DR13">
        <v>1484</v>
      </c>
      <c r="DS13">
        <v>0.22808022873117523</v>
      </c>
      <c r="DT13">
        <v>-0.19535072905005874</v>
      </c>
      <c r="DU13" s="25">
        <v>0</v>
      </c>
      <c r="DV13">
        <v>-0.22</v>
      </c>
      <c r="DW13">
        <v>-0.22</v>
      </c>
      <c r="DX13">
        <v>9.4465256797583077</v>
      </c>
      <c r="DY13">
        <v>0.6796875</v>
      </c>
      <c r="DZ13">
        <v>9.0802350830815701</v>
      </c>
      <c r="EA13">
        <v>3228</v>
      </c>
      <c r="EB13">
        <v>9.0255709108174695</v>
      </c>
      <c r="EC13">
        <v>9</v>
      </c>
      <c r="ED13">
        <v>0.13260169101171257</v>
      </c>
      <c r="EE13">
        <v>0.73795723693474813</v>
      </c>
      <c r="EF13" s="22">
        <v>-2.081</v>
      </c>
      <c r="EG13">
        <v>-1.0019</v>
      </c>
      <c r="EH13">
        <v>50.1796875</v>
      </c>
      <c r="EI13" t="s">
        <v>499</v>
      </c>
      <c r="EJ13">
        <v>1</v>
      </c>
      <c r="EK13">
        <v>0</v>
      </c>
    </row>
    <row r="14" spans="1:141" x14ac:dyDescent="0.25">
      <c r="A14" t="s">
        <v>2986</v>
      </c>
      <c r="B14" s="28"/>
      <c r="C14" s="28"/>
      <c r="D14" s="28"/>
      <c r="E14" t="s">
        <v>1568</v>
      </c>
      <c r="F14" t="s">
        <v>1569</v>
      </c>
      <c r="G14">
        <v>10.25</v>
      </c>
      <c r="H14">
        <v>-0.57999999999999996</v>
      </c>
      <c r="I14" t="s">
        <v>1753</v>
      </c>
      <c r="J14">
        <v>12310534100</v>
      </c>
      <c r="L14">
        <v>2.27</v>
      </c>
      <c r="M14" t="s">
        <v>631</v>
      </c>
      <c r="N14" t="s">
        <v>1422</v>
      </c>
      <c r="O14" t="s">
        <v>1754</v>
      </c>
      <c r="P14" t="s">
        <v>1755</v>
      </c>
      <c r="Q14">
        <v>60.43</v>
      </c>
      <c r="R14" t="s">
        <v>1756</v>
      </c>
      <c r="S14">
        <v>-195285380</v>
      </c>
      <c r="T14" s="4">
        <v>-2.4129999999999998</v>
      </c>
      <c r="U14" t="s">
        <v>1757</v>
      </c>
      <c r="V14">
        <v>1196351840</v>
      </c>
      <c r="W14">
        <v>1201027720</v>
      </c>
      <c r="X14">
        <v>3.05</v>
      </c>
      <c r="Y14">
        <v>0.21</v>
      </c>
      <c r="Z14">
        <v>-5.25</v>
      </c>
      <c r="AA14" t="s">
        <v>1758</v>
      </c>
      <c r="AB14" t="s">
        <v>1759</v>
      </c>
      <c r="AC14" t="s">
        <v>1760</v>
      </c>
      <c r="AD14" t="s">
        <v>159</v>
      </c>
      <c r="AE14" t="s">
        <v>7</v>
      </c>
      <c r="AF14">
        <v>90186114</v>
      </c>
      <c r="AG14" t="s">
        <v>1761</v>
      </c>
      <c r="AH14" t="s">
        <v>1762</v>
      </c>
      <c r="AI14" t="s">
        <v>1763</v>
      </c>
      <c r="AJ14" t="s">
        <v>1764</v>
      </c>
      <c r="AK14" t="s">
        <v>1765</v>
      </c>
      <c r="AL14" t="s">
        <v>1766</v>
      </c>
      <c r="AM14" t="s">
        <v>1767</v>
      </c>
      <c r="AN14" t="s">
        <v>7</v>
      </c>
      <c r="AO14" t="s">
        <v>633</v>
      </c>
      <c r="AP14" t="s">
        <v>1768</v>
      </c>
      <c r="AQ14" t="s">
        <v>85</v>
      </c>
      <c r="AR14" t="s">
        <v>1769</v>
      </c>
      <c r="AS14" t="s">
        <v>1770</v>
      </c>
      <c r="AT14" t="s">
        <v>1771</v>
      </c>
      <c r="AU14" t="s">
        <v>1772</v>
      </c>
      <c r="AV14" t="s">
        <v>1773</v>
      </c>
      <c r="AW14" t="s">
        <v>1774</v>
      </c>
      <c r="AX14" t="s">
        <v>1775</v>
      </c>
      <c r="AY14" t="s">
        <v>1776</v>
      </c>
      <c r="AZ14" t="s">
        <v>1777</v>
      </c>
      <c r="BA14" t="s">
        <v>1778</v>
      </c>
      <c r="BB14" t="s">
        <v>1779</v>
      </c>
      <c r="BC14" t="s">
        <v>1780</v>
      </c>
      <c r="BD14" t="s">
        <v>1781</v>
      </c>
      <c r="BE14" t="s">
        <v>1782</v>
      </c>
      <c r="BF14" t="s">
        <v>1783</v>
      </c>
      <c r="BG14" t="s">
        <v>121</v>
      </c>
      <c r="BH14" t="s">
        <v>1784</v>
      </c>
      <c r="BI14" t="s">
        <v>273</v>
      </c>
      <c r="BJ14" t="s">
        <v>386</v>
      </c>
      <c r="BK14" t="s">
        <v>1776</v>
      </c>
      <c r="BL14" t="s">
        <v>1757</v>
      </c>
      <c r="BM14" t="s">
        <v>199</v>
      </c>
      <c r="BN14" t="s">
        <v>1781</v>
      </c>
      <c r="BO14">
        <v>-5.36</v>
      </c>
      <c r="BP14">
        <v>6.7</v>
      </c>
      <c r="BQ14">
        <v>1.1299999999999999</v>
      </c>
      <c r="BR14">
        <v>0.51</v>
      </c>
      <c r="BS14">
        <v>-9.5299999999999994</v>
      </c>
      <c r="BT14">
        <v>12.65</v>
      </c>
      <c r="BU14">
        <v>1.97</v>
      </c>
      <c r="BV14">
        <v>0.87</v>
      </c>
      <c r="BW14">
        <v>17.43</v>
      </c>
      <c r="BX14">
        <v>28.42</v>
      </c>
      <c r="BY14">
        <v>21.39</v>
      </c>
      <c r="BZ14">
        <v>-6.02</v>
      </c>
      <c r="CA14">
        <v>6.16</v>
      </c>
      <c r="CB14">
        <v>1.37</v>
      </c>
      <c r="CC14">
        <v>1.89</v>
      </c>
      <c r="CD14">
        <v>21.02</v>
      </c>
      <c r="CE14" t="s">
        <v>75</v>
      </c>
      <c r="CF14" t="s">
        <v>1218</v>
      </c>
      <c r="CG14" s="23">
        <v>0.6040148065807025</v>
      </c>
      <c r="CH14" s="24">
        <v>-2.4151114492753623</v>
      </c>
      <c r="CI14" s="23">
        <v>0.12747503817081451</v>
      </c>
      <c r="CJ14" s="23">
        <v>0.1320624053478241</v>
      </c>
      <c r="CK14" s="23">
        <v>3.3618919551372528E-3</v>
      </c>
      <c r="CL14" s="23">
        <v>2.3007575422525406E-2</v>
      </c>
      <c r="CM14" s="23">
        <v>0.37800294160842896</v>
      </c>
      <c r="CN14" s="24">
        <v>-2.0083332061767578</v>
      </c>
      <c r="CO14" s="24">
        <v>6.1578717231750488</v>
      </c>
      <c r="CP14" s="24">
        <v>1.1791830062866211</v>
      </c>
      <c r="CQ14" s="24">
        <v>-0.93263453245162964</v>
      </c>
      <c r="CR14" s="24">
        <v>-0.16520467400550842</v>
      </c>
      <c r="CS14">
        <v>1.1143780302344528</v>
      </c>
      <c r="CT14">
        <v>37723013.223140493</v>
      </c>
      <c r="CU14">
        <v>-3.362625</v>
      </c>
      <c r="CV14" s="23">
        <v>0.13278197050094603</v>
      </c>
      <c r="CW14" s="24">
        <v>0.84617646336555485</v>
      </c>
      <c r="CX14">
        <v>0.06</v>
      </c>
      <c r="CY14" t="e">
        <v>#VALUE!</v>
      </c>
      <c r="CZ14" t="s">
        <v>573</v>
      </c>
      <c r="DA14">
        <v>0.13278197050094603</v>
      </c>
      <c r="DB14" t="e">
        <v>#VALUE!</v>
      </c>
      <c r="DC14" t="s">
        <v>574</v>
      </c>
      <c r="DD14">
        <v>0.12614287197589871</v>
      </c>
      <c r="DE14" t="e">
        <v>#VALUE!</v>
      </c>
      <c r="DF14" t="s">
        <v>574</v>
      </c>
      <c r="DG14">
        <v>0.11684813404083251</v>
      </c>
      <c r="DH14" t="e">
        <v>#VALUE!</v>
      </c>
      <c r="DI14" t="s">
        <v>574</v>
      </c>
      <c r="DJ14">
        <v>0.10622557640075683</v>
      </c>
      <c r="DK14" t="e">
        <v>#VALUE!</v>
      </c>
      <c r="DL14" t="s">
        <v>574</v>
      </c>
      <c r="DM14">
        <v>9.2947379350662218E-2</v>
      </c>
      <c r="DN14">
        <v>-605000000</v>
      </c>
      <c r="DO14">
        <v>0.13278197050094603</v>
      </c>
      <c r="DP14">
        <v>18193534100</v>
      </c>
      <c r="DQ14">
        <v>-354733300</v>
      </c>
      <c r="DR14">
        <v>1589</v>
      </c>
      <c r="DS14">
        <v>0.47123283607975647</v>
      </c>
      <c r="DT14">
        <v>-3.2612879126409169</v>
      </c>
      <c r="DU14" s="25">
        <v>0.32</v>
      </c>
      <c r="DV14">
        <v>-1.4400000000000002</v>
      </c>
      <c r="DW14">
        <v>-1.1200000000000001</v>
      </c>
      <c r="DX14">
        <v>3.0567738095238095</v>
      </c>
      <c r="DY14">
        <v>0.33612589785951863</v>
      </c>
      <c r="DZ14">
        <v>3.0111348143677623</v>
      </c>
      <c r="EA14">
        <v>4011</v>
      </c>
      <c r="EB14">
        <v>3.0016705760907767</v>
      </c>
      <c r="EC14">
        <v>3</v>
      </c>
      <c r="ED14">
        <v>0.20232672065220944</v>
      </c>
      <c r="EE14">
        <v>1.0316164892513888</v>
      </c>
      <c r="EF14" s="22">
        <v>5.3100000000000001E-2</v>
      </c>
      <c r="EG14">
        <v>4.7300000000000002E-2</v>
      </c>
      <c r="EH14">
        <v>14.196125897859519</v>
      </c>
      <c r="EI14" t="s">
        <v>496</v>
      </c>
      <c r="EJ14">
        <v>0</v>
      </c>
      <c r="EK14">
        <v>0</v>
      </c>
    </row>
    <row r="15" spans="1:141" x14ac:dyDescent="0.25">
      <c r="A15" t="s">
        <v>2987</v>
      </c>
      <c r="B15" s="3"/>
      <c r="C15" s="3"/>
      <c r="D15" s="3"/>
      <c r="E15" t="s">
        <v>2364</v>
      </c>
      <c r="F15" t="s">
        <v>2365</v>
      </c>
      <c r="G15">
        <v>3.44</v>
      </c>
      <c r="H15">
        <v>4.24</v>
      </c>
      <c r="I15" t="s">
        <v>2650</v>
      </c>
      <c r="J15">
        <v>2807748800</v>
      </c>
      <c r="K15">
        <v>15.51</v>
      </c>
      <c r="L15">
        <v>1.18</v>
      </c>
      <c r="M15" t="s">
        <v>2366</v>
      </c>
      <c r="N15" t="s">
        <v>228</v>
      </c>
      <c r="O15" t="s">
        <v>2651</v>
      </c>
      <c r="P15" t="s">
        <v>2652</v>
      </c>
      <c r="Q15">
        <v>0.13</v>
      </c>
      <c r="R15" t="s">
        <v>2653</v>
      </c>
      <c r="S15">
        <v>36686908</v>
      </c>
      <c r="T15" s="4">
        <v>-0.34899999999999998</v>
      </c>
      <c r="U15" t="s">
        <v>148</v>
      </c>
      <c r="V15">
        <v>632815100</v>
      </c>
      <c r="W15">
        <v>816206040</v>
      </c>
      <c r="X15">
        <v>1.4</v>
      </c>
      <c r="Y15">
        <v>0.86</v>
      </c>
      <c r="Z15">
        <v>6.77</v>
      </c>
      <c r="AA15" t="s">
        <v>2654</v>
      </c>
      <c r="AB15" t="s">
        <v>2655</v>
      </c>
      <c r="AC15" t="s">
        <v>55</v>
      </c>
      <c r="AD15" t="s">
        <v>113</v>
      </c>
      <c r="AE15" t="s">
        <v>41</v>
      </c>
      <c r="AF15">
        <v>-1363299</v>
      </c>
      <c r="AG15" t="s">
        <v>2656</v>
      </c>
      <c r="AH15" t="s">
        <v>2657</v>
      </c>
      <c r="AI15" t="s">
        <v>623</v>
      </c>
      <c r="AJ15" t="s">
        <v>1891</v>
      </c>
      <c r="AK15" t="s">
        <v>2658</v>
      </c>
      <c r="AL15" t="s">
        <v>2659</v>
      </c>
      <c r="AM15" t="s">
        <v>2660</v>
      </c>
      <c r="AN15" t="s">
        <v>7</v>
      </c>
      <c r="AO15" t="s">
        <v>2661</v>
      </c>
      <c r="AP15" t="s">
        <v>123</v>
      </c>
      <c r="AQ15" t="s">
        <v>2662</v>
      </c>
      <c r="AR15" t="s">
        <v>131</v>
      </c>
      <c r="AS15" t="s">
        <v>7</v>
      </c>
      <c r="AT15" t="s">
        <v>680</v>
      </c>
      <c r="AU15" t="s">
        <v>2663</v>
      </c>
      <c r="AV15" t="s">
        <v>60</v>
      </c>
      <c r="AW15" t="s">
        <v>2664</v>
      </c>
      <c r="AX15" t="s">
        <v>2665</v>
      </c>
      <c r="AY15" t="s">
        <v>2666</v>
      </c>
      <c r="AZ15" t="s">
        <v>2667</v>
      </c>
      <c r="BA15" t="s">
        <v>2668</v>
      </c>
      <c r="BB15" t="s">
        <v>1759</v>
      </c>
      <c r="BC15" t="s">
        <v>365</v>
      </c>
      <c r="BD15" t="s">
        <v>2669</v>
      </c>
      <c r="BE15" t="s">
        <v>239</v>
      </c>
      <c r="BF15" t="s">
        <v>2670</v>
      </c>
      <c r="BG15" t="s">
        <v>217</v>
      </c>
      <c r="BH15" t="s">
        <v>108</v>
      </c>
      <c r="BI15" t="s">
        <v>2653</v>
      </c>
      <c r="BJ15" t="s">
        <v>2671</v>
      </c>
      <c r="BK15" t="s">
        <v>2666</v>
      </c>
      <c r="BL15" t="s">
        <v>148</v>
      </c>
      <c r="BM15" t="s">
        <v>2672</v>
      </c>
      <c r="BN15" t="s">
        <v>2669</v>
      </c>
      <c r="BO15">
        <v>5.27</v>
      </c>
      <c r="BP15">
        <v>-15.89</v>
      </c>
      <c r="BQ15">
        <v>7.19</v>
      </c>
      <c r="BR15">
        <v>11.7</v>
      </c>
      <c r="BS15">
        <v>7.06</v>
      </c>
      <c r="BT15">
        <v>-20.059999999999999</v>
      </c>
      <c r="BU15">
        <v>8.4700000000000006</v>
      </c>
      <c r="BV15">
        <v>13.39</v>
      </c>
      <c r="BW15">
        <v>24.91</v>
      </c>
      <c r="BX15">
        <v>24.91</v>
      </c>
      <c r="BY15">
        <v>28.04</v>
      </c>
      <c r="BZ15">
        <v>-16.41</v>
      </c>
      <c r="CA15">
        <v>-16.41</v>
      </c>
      <c r="CB15">
        <v>8.5299999999999994</v>
      </c>
      <c r="CC15">
        <v>-10.65</v>
      </c>
      <c r="CD15">
        <v>-14.85</v>
      </c>
      <c r="CE15" t="s">
        <v>2673</v>
      </c>
      <c r="CF15" t="s">
        <v>194</v>
      </c>
    </row>
    <row r="16" spans="1:141" x14ac:dyDescent="0.25">
      <c r="A16" t="s">
        <v>2988</v>
      </c>
      <c r="B16" s="3"/>
      <c r="C16" s="3"/>
      <c r="D16" s="3"/>
      <c r="E16" t="s">
        <v>2367</v>
      </c>
      <c r="F16" t="s">
        <v>2368</v>
      </c>
      <c r="G16">
        <v>7.39</v>
      </c>
      <c r="H16">
        <v>0.27</v>
      </c>
      <c r="I16" t="s">
        <v>2674</v>
      </c>
      <c r="J16">
        <v>5102230400</v>
      </c>
      <c r="L16">
        <v>4.67</v>
      </c>
      <c r="M16" t="s">
        <v>1915</v>
      </c>
      <c r="N16" t="s">
        <v>259</v>
      </c>
      <c r="O16" t="s">
        <v>251</v>
      </c>
      <c r="P16" t="s">
        <v>2675</v>
      </c>
      <c r="Q16">
        <v>41.47</v>
      </c>
      <c r="R16" t="s">
        <v>350</v>
      </c>
      <c r="S16">
        <v>8502332</v>
      </c>
      <c r="T16" s="4">
        <v>6.3710000000000004</v>
      </c>
      <c r="U16" t="s">
        <v>2676</v>
      </c>
      <c r="V16">
        <v>681416100</v>
      </c>
      <c r="W16">
        <v>690423600</v>
      </c>
      <c r="X16">
        <v>1.85</v>
      </c>
      <c r="Y16">
        <v>0.14000000000000001</v>
      </c>
      <c r="Z16">
        <v>2.17</v>
      </c>
      <c r="AA16" t="s">
        <v>173</v>
      </c>
      <c r="AB16" t="s">
        <v>235</v>
      </c>
      <c r="AC16" t="s">
        <v>2677</v>
      </c>
      <c r="AD16" t="s">
        <v>2678</v>
      </c>
      <c r="AE16" t="s">
        <v>2679</v>
      </c>
      <c r="AF16">
        <v>3339368</v>
      </c>
      <c r="AG16" t="s">
        <v>2680</v>
      </c>
      <c r="AH16" t="s">
        <v>2681</v>
      </c>
      <c r="AI16" t="s">
        <v>2682</v>
      </c>
      <c r="AJ16" t="s">
        <v>1747</v>
      </c>
      <c r="AK16" t="s">
        <v>2683</v>
      </c>
      <c r="AL16" t="s">
        <v>2684</v>
      </c>
      <c r="AM16" t="s">
        <v>2685</v>
      </c>
      <c r="AN16" t="s">
        <v>7</v>
      </c>
      <c r="AO16" t="s">
        <v>119</v>
      </c>
      <c r="AP16" t="s">
        <v>206</v>
      </c>
      <c r="AQ16" t="s">
        <v>2686</v>
      </c>
      <c r="AR16" t="s">
        <v>252</v>
      </c>
      <c r="AS16" t="s">
        <v>7</v>
      </c>
      <c r="AT16" t="s">
        <v>384</v>
      </c>
      <c r="AU16" t="s">
        <v>33</v>
      </c>
      <c r="AV16" t="s">
        <v>2687</v>
      </c>
      <c r="AW16" t="s">
        <v>2688</v>
      </c>
      <c r="AX16" t="s">
        <v>2689</v>
      </c>
      <c r="AY16" t="s">
        <v>2690</v>
      </c>
      <c r="AZ16" t="s">
        <v>1891</v>
      </c>
      <c r="BA16" t="s">
        <v>2691</v>
      </c>
      <c r="BB16" t="s">
        <v>97</v>
      </c>
      <c r="BC16" t="s">
        <v>247</v>
      </c>
      <c r="BD16" t="s">
        <v>2692</v>
      </c>
      <c r="BE16" t="s">
        <v>38</v>
      </c>
      <c r="BF16" t="s">
        <v>2693</v>
      </c>
      <c r="BG16" t="s">
        <v>2694</v>
      </c>
      <c r="BH16" t="s">
        <v>2695</v>
      </c>
      <c r="BI16" t="s">
        <v>2696</v>
      </c>
      <c r="BJ16" t="s">
        <v>54</v>
      </c>
      <c r="BK16" t="s">
        <v>2690</v>
      </c>
      <c r="BL16" t="s">
        <v>2676</v>
      </c>
      <c r="BM16" t="s">
        <v>2697</v>
      </c>
      <c r="BN16" t="s">
        <v>2692</v>
      </c>
      <c r="BO16">
        <v>-12.59</v>
      </c>
      <c r="BP16">
        <v>1.02</v>
      </c>
      <c r="BQ16">
        <v>6.71</v>
      </c>
      <c r="BR16">
        <v>4.16</v>
      </c>
      <c r="BS16">
        <v>-16.809999999999999</v>
      </c>
      <c r="BT16">
        <v>1.25</v>
      </c>
      <c r="BU16">
        <v>8.1199999999999992</v>
      </c>
      <c r="BV16">
        <v>4.7699999999999996</v>
      </c>
      <c r="BW16">
        <v>16.170000000000002</v>
      </c>
      <c r="BX16">
        <v>20.85</v>
      </c>
      <c r="BY16">
        <v>21.09</v>
      </c>
      <c r="BZ16">
        <v>-20.13</v>
      </c>
      <c r="CA16">
        <v>1.86</v>
      </c>
      <c r="CB16">
        <v>8.25</v>
      </c>
      <c r="CC16">
        <v>1.79</v>
      </c>
      <c r="CD16">
        <v>-6.46</v>
      </c>
      <c r="CE16" t="s">
        <v>2698</v>
      </c>
      <c r="CF16" t="s">
        <v>2699</v>
      </c>
      <c r="CG16" s="23">
        <v>0.41213343478260889</v>
      </c>
      <c r="CH16" s="24">
        <v>6.3702600554785018</v>
      </c>
      <c r="CI16" s="23">
        <v>0.13227513432502747</v>
      </c>
      <c r="CJ16" s="23">
        <v>-7.8048780560493469E-2</v>
      </c>
      <c r="CK16" s="23">
        <v>3.9553754031658173E-2</v>
      </c>
      <c r="CL16" s="23">
        <v>0.21578298509120941</v>
      </c>
      <c r="CM16" s="23">
        <v>0.44049733877182007</v>
      </c>
      <c r="CN16" s="24">
        <v>-13.27470588684082</v>
      </c>
      <c r="CO16" s="24">
        <v>-0.84259998798370361</v>
      </c>
      <c r="CP16" s="24">
        <v>0.90026730298995972</v>
      </c>
      <c r="CQ16" s="24">
        <v>0.65446436405181885</v>
      </c>
      <c r="CR16" s="24">
        <v>6.7580819129943848E-2</v>
      </c>
      <c r="CS16">
        <v>4.7684396261682247</v>
      </c>
      <c r="CT16">
        <v>-3696520.6030150754</v>
      </c>
      <c r="CU16">
        <v>0.56203000000000014</v>
      </c>
      <c r="CV16" s="23">
        <v>0.15001208633184432</v>
      </c>
      <c r="CW16" s="24">
        <v>-2.4989986777305604</v>
      </c>
      <c r="CX16">
        <v>0.06</v>
      </c>
      <c r="CY16" t="e">
        <v>#VALUE!</v>
      </c>
      <c r="CZ16" t="s">
        <v>574</v>
      </c>
      <c r="DA16">
        <v>0.15001208633184432</v>
      </c>
      <c r="DB16" t="e">
        <v>#VALUE!</v>
      </c>
      <c r="DC16" t="s">
        <v>574</v>
      </c>
      <c r="DD16">
        <v>0.1425114820152521</v>
      </c>
      <c r="DE16" t="e">
        <v>#VALUE!</v>
      </c>
      <c r="DF16" t="s">
        <v>574</v>
      </c>
      <c r="DG16">
        <v>0.132010635972023</v>
      </c>
      <c r="DH16" t="e">
        <v>#VALUE!</v>
      </c>
      <c r="DI16" t="s">
        <v>574</v>
      </c>
      <c r="DJ16">
        <v>0.12000966906547546</v>
      </c>
      <c r="DK16" t="e">
        <v>#VALUE!</v>
      </c>
      <c r="DL16" t="s">
        <v>574</v>
      </c>
      <c r="DM16">
        <v>0.10500846043229102</v>
      </c>
      <c r="DN16">
        <v>-199000000</v>
      </c>
      <c r="DO16">
        <v>0.15001208633184432</v>
      </c>
      <c r="DP16">
        <v>4916230400</v>
      </c>
      <c r="DQ16">
        <v>309185420</v>
      </c>
      <c r="DR16">
        <v>1806</v>
      </c>
      <c r="DS16">
        <v>0.26212134845076457</v>
      </c>
      <c r="DT16">
        <v>8.8692587332090618</v>
      </c>
      <c r="DU16" s="25">
        <v>0.43666666666666659</v>
      </c>
      <c r="DV16">
        <v>-0.98999999999999988</v>
      </c>
      <c r="DW16">
        <v>-0.55333333333333323</v>
      </c>
      <c r="DX16">
        <v>-2.0646</v>
      </c>
      <c r="DY16">
        <v>0.30607687500000136</v>
      </c>
      <c r="DZ16">
        <v>-2.0062065661249999</v>
      </c>
      <c r="EA16">
        <v>3563</v>
      </c>
      <c r="EB16">
        <v>-2.0015194115884642</v>
      </c>
      <c r="EC16">
        <v>2</v>
      </c>
      <c r="ED16">
        <v>6.6795080585310224E-2</v>
      </c>
      <c r="EE16">
        <v>0.69522536599270357</v>
      </c>
      <c r="EF16" s="22">
        <v>3.3500000000000002E-2</v>
      </c>
      <c r="EG16">
        <v>3.6200000000000003E-2</v>
      </c>
      <c r="EH16">
        <v>21.096076875000001</v>
      </c>
      <c r="EI16" t="s">
        <v>496</v>
      </c>
      <c r="EJ16">
        <v>0</v>
      </c>
      <c r="EK16">
        <v>0</v>
      </c>
    </row>
    <row r="17" spans="1:141" x14ac:dyDescent="0.25">
      <c r="A17" t="s">
        <v>2982</v>
      </c>
      <c r="B17" s="3"/>
      <c r="C17" s="3"/>
      <c r="D17" s="3"/>
      <c r="E17" t="s">
        <v>2369</v>
      </c>
      <c r="F17" t="s">
        <v>2370</v>
      </c>
      <c r="G17">
        <v>8.3000000000000007</v>
      </c>
      <c r="H17">
        <v>7.79</v>
      </c>
      <c r="I17" t="s">
        <v>2700</v>
      </c>
      <c r="J17">
        <v>19275791000</v>
      </c>
      <c r="K17">
        <v>35.840000000000003</v>
      </c>
      <c r="L17">
        <v>3.12</v>
      </c>
      <c r="M17" t="s">
        <v>691</v>
      </c>
      <c r="N17" t="s">
        <v>2701</v>
      </c>
      <c r="O17" t="s">
        <v>2702</v>
      </c>
      <c r="P17" t="s">
        <v>2703</v>
      </c>
      <c r="Q17">
        <v>95.32</v>
      </c>
      <c r="R17" t="s">
        <v>2704</v>
      </c>
      <c r="S17">
        <v>257011300</v>
      </c>
      <c r="T17" s="4">
        <v>0.29380000000000001</v>
      </c>
      <c r="U17" t="s">
        <v>110</v>
      </c>
      <c r="V17">
        <v>2320408300</v>
      </c>
      <c r="W17">
        <v>2322384500</v>
      </c>
      <c r="X17">
        <v>2.13</v>
      </c>
      <c r="Y17">
        <v>0.1</v>
      </c>
      <c r="Z17">
        <v>7.85</v>
      </c>
      <c r="AA17" t="s">
        <v>2705</v>
      </c>
      <c r="AB17" t="s">
        <v>2706</v>
      </c>
      <c r="AC17" t="s">
        <v>2707</v>
      </c>
      <c r="AD17" t="s">
        <v>2708</v>
      </c>
      <c r="AE17" t="s">
        <v>7</v>
      </c>
      <c r="AF17">
        <v>42041180</v>
      </c>
      <c r="AG17" t="s">
        <v>2709</v>
      </c>
      <c r="AH17" t="s">
        <v>2710</v>
      </c>
      <c r="AI17" t="s">
        <v>2711</v>
      </c>
      <c r="AJ17" t="s">
        <v>2712</v>
      </c>
      <c r="AK17" t="s">
        <v>2713</v>
      </c>
      <c r="AL17" t="s">
        <v>2714</v>
      </c>
      <c r="AM17" t="s">
        <v>2715</v>
      </c>
      <c r="AN17" t="s">
        <v>7</v>
      </c>
      <c r="AO17" t="s">
        <v>110</v>
      </c>
      <c r="AP17" t="s">
        <v>2716</v>
      </c>
      <c r="AQ17" t="s">
        <v>2717</v>
      </c>
      <c r="AR17" t="s">
        <v>436</v>
      </c>
      <c r="AS17" t="s">
        <v>2718</v>
      </c>
      <c r="AT17" t="s">
        <v>2719</v>
      </c>
      <c r="AU17" t="s">
        <v>2720</v>
      </c>
      <c r="AV17" t="s">
        <v>2721</v>
      </c>
      <c r="AW17" t="s">
        <v>2722</v>
      </c>
      <c r="AX17" t="s">
        <v>623</v>
      </c>
      <c r="AY17" t="s">
        <v>2723</v>
      </c>
      <c r="AZ17" t="s">
        <v>1223</v>
      </c>
      <c r="BA17" t="s">
        <v>577</v>
      </c>
      <c r="BB17" t="s">
        <v>2724</v>
      </c>
      <c r="BC17" t="s">
        <v>2725</v>
      </c>
      <c r="BD17" t="s">
        <v>1846</v>
      </c>
      <c r="BE17" t="s">
        <v>626</v>
      </c>
      <c r="BF17" t="s">
        <v>627</v>
      </c>
      <c r="BG17" t="s">
        <v>146</v>
      </c>
      <c r="BH17" t="s">
        <v>2726</v>
      </c>
      <c r="BI17" t="s">
        <v>2019</v>
      </c>
      <c r="BJ17" t="s">
        <v>245</v>
      </c>
      <c r="BK17" t="s">
        <v>2723</v>
      </c>
      <c r="BL17" t="s">
        <v>110</v>
      </c>
      <c r="BM17" t="s">
        <v>2727</v>
      </c>
      <c r="BN17" t="s">
        <v>1846</v>
      </c>
      <c r="BO17">
        <v>5.24</v>
      </c>
      <c r="BP17">
        <v>4.7300000000000004</v>
      </c>
      <c r="BQ17">
        <v>4.5</v>
      </c>
      <c r="BR17">
        <v>6.52</v>
      </c>
      <c r="BS17">
        <v>8.74</v>
      </c>
      <c r="BT17">
        <v>8.25</v>
      </c>
      <c r="BU17">
        <v>8.14</v>
      </c>
      <c r="BV17">
        <v>12.23</v>
      </c>
      <c r="BW17">
        <v>30.59</v>
      </c>
      <c r="BX17">
        <v>29.34</v>
      </c>
      <c r="BY17">
        <v>29.76</v>
      </c>
      <c r="BZ17">
        <v>12.46</v>
      </c>
      <c r="CA17">
        <v>11.51</v>
      </c>
      <c r="CB17">
        <v>10.91</v>
      </c>
      <c r="CC17">
        <v>2.2200000000000002</v>
      </c>
      <c r="CD17">
        <v>14.17</v>
      </c>
      <c r="CE17" t="s">
        <v>652</v>
      </c>
      <c r="CF17" t="s">
        <v>2728</v>
      </c>
      <c r="CG17" s="23">
        <v>0.9533816326530612</v>
      </c>
      <c r="CH17" s="24">
        <v>2.3693850421613458</v>
      </c>
      <c r="CI17" s="23">
        <v>3.020855225622654E-2</v>
      </c>
      <c r="CJ17" s="23">
        <v>7.6942972838878632E-2</v>
      </c>
      <c r="CK17" s="23">
        <v>-0.16745491325855255</v>
      </c>
      <c r="CL17" s="23">
        <v>-0.36430716514587402</v>
      </c>
      <c r="CM17" s="23">
        <v>0.39523354172706604</v>
      </c>
      <c r="CN17" s="24">
        <v>0.13436123728752136</v>
      </c>
      <c r="CO17" s="24">
        <v>0.10194174945354462</v>
      </c>
      <c r="CP17" s="24">
        <v>-0.27079644799232483</v>
      </c>
      <c r="CQ17" s="24">
        <v>-0.20868347585201263</v>
      </c>
      <c r="CR17" s="24">
        <v>0.51271188259124756</v>
      </c>
      <c r="CS17">
        <v>4.4858717710030254</v>
      </c>
      <c r="CT17">
        <v>18847797.281553395</v>
      </c>
      <c r="CU17">
        <v>1.6720499999999998</v>
      </c>
      <c r="CV17" s="23">
        <v>-5.8754023164510729E-3</v>
      </c>
      <c r="CW17" s="24">
        <v>5.3906989097595212E-2</v>
      </c>
      <c r="CX17">
        <v>0.06</v>
      </c>
      <c r="CY17">
        <v>39.069497087378643</v>
      </c>
      <c r="CZ17" t="s">
        <v>2729</v>
      </c>
      <c r="DA17">
        <v>-5.8754023164510729E-3</v>
      </c>
      <c r="DB17">
        <v>13.02316569579288</v>
      </c>
      <c r="DC17" t="s">
        <v>2730</v>
      </c>
      <c r="DD17">
        <v>-5.5816322006285186E-3</v>
      </c>
      <c r="DE17">
        <v>6.5115828478964399</v>
      </c>
      <c r="DF17" t="s">
        <v>2731</v>
      </c>
      <c r="DG17">
        <v>-5.1703540384769441E-3</v>
      </c>
      <c r="DH17">
        <v>3.906949708737864</v>
      </c>
      <c r="DI17" t="s">
        <v>2732</v>
      </c>
      <c r="DJ17">
        <v>-4.7003218531608583E-3</v>
      </c>
      <c r="DK17">
        <v>1.953474854368932</v>
      </c>
      <c r="DL17" t="s">
        <v>2733</v>
      </c>
      <c r="DM17">
        <v>-4.1127816215157506E-3</v>
      </c>
      <c r="DN17">
        <v>515000000.00000006</v>
      </c>
      <c r="DO17">
        <v>-5.8754023164510729E-3</v>
      </c>
      <c r="DP17">
        <v>20120791000</v>
      </c>
      <c r="DQ17">
        <v>2857123900</v>
      </c>
      <c r="DR17">
        <v>1841</v>
      </c>
      <c r="DS17">
        <v>0.95925703496951231</v>
      </c>
      <c r="DT17">
        <v>2.3154780530637504</v>
      </c>
      <c r="DU17" s="25">
        <v>0.22</v>
      </c>
      <c r="DV17">
        <v>0.44</v>
      </c>
      <c r="DW17">
        <v>0.66</v>
      </c>
      <c r="DX17">
        <v>2.1417000000000002</v>
      </c>
      <c r="DY17">
        <v>0.79802698145024975</v>
      </c>
      <c r="DZ17">
        <v>2.0266434232715009</v>
      </c>
      <c r="EA17">
        <v>3126</v>
      </c>
      <c r="EB17">
        <v>2.0090648371282525</v>
      </c>
      <c r="EC17">
        <v>2</v>
      </c>
      <c r="ED17">
        <v>9.6021998079990636E-2</v>
      </c>
      <c r="EE17">
        <v>0.51068201669447932</v>
      </c>
      <c r="EF17" s="22">
        <v>5.0509999999999999E-2</v>
      </c>
      <c r="EG17">
        <v>2.7399999999999994E-2</v>
      </c>
      <c r="EH17">
        <v>61.18802698145025</v>
      </c>
      <c r="EI17" t="s">
        <v>496</v>
      </c>
      <c r="EJ17">
        <v>1</v>
      </c>
      <c r="EK17">
        <v>0</v>
      </c>
    </row>
    <row r="18" spans="1:141" x14ac:dyDescent="0.25">
      <c r="A18" t="s">
        <v>2989</v>
      </c>
      <c r="B18" s="3"/>
      <c r="C18" s="3"/>
      <c r="D18" s="3"/>
      <c r="E18" t="s">
        <v>2371</v>
      </c>
      <c r="F18" t="s">
        <v>2372</v>
      </c>
      <c r="G18">
        <v>14.1</v>
      </c>
      <c r="H18">
        <v>3.75</v>
      </c>
      <c r="I18" t="s">
        <v>2734</v>
      </c>
      <c r="J18">
        <v>2214083000</v>
      </c>
      <c r="K18">
        <v>41.46</v>
      </c>
      <c r="L18">
        <v>2.98</v>
      </c>
      <c r="M18" t="s">
        <v>1560</v>
      </c>
      <c r="N18" t="s">
        <v>675</v>
      </c>
      <c r="O18" t="s">
        <v>2735</v>
      </c>
      <c r="P18" t="s">
        <v>2736</v>
      </c>
      <c r="Q18">
        <v>43.89</v>
      </c>
      <c r="R18" t="s">
        <v>2002</v>
      </c>
      <c r="S18">
        <v>16219846</v>
      </c>
      <c r="T18" s="4">
        <v>0.40060000000000001</v>
      </c>
      <c r="U18" t="s">
        <v>2737</v>
      </c>
      <c r="V18">
        <v>118299057</v>
      </c>
      <c r="W18">
        <v>157027160</v>
      </c>
      <c r="X18">
        <v>1.73</v>
      </c>
      <c r="Y18">
        <v>0.17</v>
      </c>
      <c r="Z18">
        <v>7.28</v>
      </c>
      <c r="AA18" t="s">
        <v>23</v>
      </c>
      <c r="AB18" t="s">
        <v>131</v>
      </c>
      <c r="AC18" t="s">
        <v>2738</v>
      </c>
      <c r="AD18" t="s">
        <v>2739</v>
      </c>
      <c r="AE18" t="s">
        <v>2740</v>
      </c>
      <c r="AF18">
        <v>1760382</v>
      </c>
      <c r="AG18" t="s">
        <v>2741</v>
      </c>
      <c r="AH18" t="s">
        <v>2742</v>
      </c>
      <c r="AI18" t="s">
        <v>2743</v>
      </c>
      <c r="AJ18" t="s">
        <v>17</v>
      </c>
      <c r="AK18" t="s">
        <v>2744</v>
      </c>
      <c r="AL18" t="s">
        <v>7</v>
      </c>
      <c r="AM18" t="s">
        <v>2745</v>
      </c>
      <c r="AN18" t="s">
        <v>7</v>
      </c>
      <c r="AO18" t="s">
        <v>95</v>
      </c>
      <c r="AP18" t="s">
        <v>340</v>
      </c>
      <c r="AQ18" t="s">
        <v>2746</v>
      </c>
      <c r="AR18" t="s">
        <v>2747</v>
      </c>
      <c r="AS18" t="s">
        <v>7</v>
      </c>
      <c r="AT18" t="s">
        <v>159</v>
      </c>
      <c r="AU18" t="s">
        <v>2748</v>
      </c>
      <c r="AV18" t="s">
        <v>2749</v>
      </c>
      <c r="AW18" t="s">
        <v>2750</v>
      </c>
      <c r="AX18" t="s">
        <v>2751</v>
      </c>
      <c r="AY18" t="s">
        <v>2752</v>
      </c>
      <c r="AZ18" t="s">
        <v>204</v>
      </c>
      <c r="BA18" t="s">
        <v>136</v>
      </c>
      <c r="BB18" t="s">
        <v>1858</v>
      </c>
      <c r="BC18" t="s">
        <v>157</v>
      </c>
      <c r="BD18" t="s">
        <v>2753</v>
      </c>
      <c r="BE18" t="s">
        <v>2754</v>
      </c>
      <c r="BF18" t="s">
        <v>2755</v>
      </c>
      <c r="BG18" t="s">
        <v>2756</v>
      </c>
      <c r="BH18" t="s">
        <v>2757</v>
      </c>
      <c r="BI18" t="s">
        <v>56</v>
      </c>
      <c r="BJ18" t="s">
        <v>108</v>
      </c>
      <c r="BK18" t="s">
        <v>2752</v>
      </c>
      <c r="BL18" t="s">
        <v>2737</v>
      </c>
      <c r="BM18" t="s">
        <v>2758</v>
      </c>
      <c r="BN18" t="s">
        <v>2753</v>
      </c>
      <c r="BO18">
        <v>4.5</v>
      </c>
      <c r="BP18">
        <v>3.62</v>
      </c>
      <c r="BQ18">
        <v>5.26</v>
      </c>
      <c r="BR18">
        <v>12.45</v>
      </c>
      <c r="BS18">
        <v>6.6</v>
      </c>
      <c r="BT18">
        <v>4.8</v>
      </c>
      <c r="BU18">
        <v>5.76</v>
      </c>
      <c r="BV18">
        <v>13.61</v>
      </c>
      <c r="BW18">
        <v>25.28</v>
      </c>
      <c r="BX18">
        <v>28.14</v>
      </c>
      <c r="BY18">
        <v>41.31</v>
      </c>
      <c r="BZ18">
        <v>6.71</v>
      </c>
      <c r="CA18">
        <v>5.7</v>
      </c>
      <c r="CB18">
        <v>9.11</v>
      </c>
      <c r="CC18">
        <v>6.25</v>
      </c>
      <c r="CD18">
        <v>32.15</v>
      </c>
      <c r="CE18" t="s">
        <v>2759</v>
      </c>
      <c r="CF18" t="s">
        <v>99</v>
      </c>
      <c r="CG18" s="23">
        <v>0.44147487012987013</v>
      </c>
      <c r="CH18" s="24">
        <v>0.40058078889195908</v>
      </c>
      <c r="CI18" s="23">
        <v>0.29909908771514893</v>
      </c>
      <c r="CJ18" s="23">
        <v>0.37717121839523315</v>
      </c>
      <c r="CK18" s="23">
        <v>-0.2082514762878418</v>
      </c>
      <c r="CL18" s="23">
        <v>0.16475972533226013</v>
      </c>
      <c r="CM18" s="23">
        <v>0.37854889035224915</v>
      </c>
      <c r="CN18" s="24">
        <v>0.53435254096984863</v>
      </c>
      <c r="CO18" s="24">
        <v>-0.13437502086162567</v>
      </c>
      <c r="CP18" s="24">
        <v>-0.55627864599227905</v>
      </c>
      <c r="CQ18" s="24">
        <v>-2.1768243983387947E-2</v>
      </c>
      <c r="CR18" s="24">
        <v>0.55380582809448242</v>
      </c>
      <c r="CS18">
        <v>3.0708502080443827</v>
      </c>
      <c r="CT18">
        <v>31635107.894785412</v>
      </c>
      <c r="CU18">
        <v>2.1410480000000001</v>
      </c>
      <c r="CV18" s="23">
        <v>0.2022654891014099</v>
      </c>
      <c r="CW18" s="24">
        <v>7.5147291645407677E-2</v>
      </c>
      <c r="CX18">
        <v>0.06</v>
      </c>
      <c r="CY18">
        <v>36.143249123553659</v>
      </c>
      <c r="CZ18">
        <v>55309996.983565241</v>
      </c>
      <c r="DA18">
        <v>0.2022654891014099</v>
      </c>
      <c r="DB18">
        <v>10.753570631734153</v>
      </c>
      <c r="DC18">
        <v>185899462.46325272</v>
      </c>
      <c r="DD18">
        <v>0.19215221464633939</v>
      </c>
      <c r="DE18">
        <v>4.6463253285416899</v>
      </c>
      <c r="DF18">
        <v>430250328.73181063</v>
      </c>
      <c r="DG18">
        <v>0.17799363040924071</v>
      </c>
      <c r="DH18">
        <v>2.3916242519883211</v>
      </c>
      <c r="DI18">
        <v>835868342.7541033</v>
      </c>
      <c r="DJ18">
        <v>0.16181239128112793</v>
      </c>
      <c r="DK18">
        <v>0.86014320523802357</v>
      </c>
      <c r="DL18">
        <v>2324128107.7687554</v>
      </c>
      <c r="DM18">
        <v>0.14158584237098693</v>
      </c>
      <c r="DN18">
        <v>48765100</v>
      </c>
      <c r="DO18">
        <v>0.2022654891014099</v>
      </c>
      <c r="DP18">
        <v>1999083000</v>
      </c>
      <c r="DQ18">
        <v>576114750</v>
      </c>
      <c r="DR18">
        <v>2161</v>
      </c>
      <c r="DS18">
        <v>0.23920938102846023</v>
      </c>
      <c r="DT18">
        <v>0.32543349724655141</v>
      </c>
      <c r="DU18" s="25">
        <v>0.62</v>
      </c>
      <c r="DV18">
        <v>0.35333333333333333</v>
      </c>
      <c r="DW18">
        <v>0.97333333333333338</v>
      </c>
      <c r="DX18">
        <v>9.1944012441679632</v>
      </c>
      <c r="DY18">
        <v>0.92125904761905186</v>
      </c>
      <c r="DZ18">
        <v>9.0410690216988812</v>
      </c>
      <c r="EA18">
        <v>1310</v>
      </c>
      <c r="EB18">
        <v>9.0296682125389882</v>
      </c>
      <c r="EC18">
        <v>9</v>
      </c>
      <c r="ED18">
        <v>0.14126346041028823</v>
      </c>
      <c r="EE18">
        <v>0.66867413255133701</v>
      </c>
      <c r="EF18" s="22">
        <v>-4.3999999999999997E-2</v>
      </c>
      <c r="EG18">
        <v>-8.1499999999999989E-2</v>
      </c>
      <c r="EH18">
        <v>71.211259047619052</v>
      </c>
      <c r="EI18" t="s">
        <v>496</v>
      </c>
      <c r="EJ18">
        <v>1</v>
      </c>
      <c r="EK18">
        <v>1</v>
      </c>
    </row>
    <row r="19" spans="1:141" x14ac:dyDescent="0.25">
      <c r="A19" t="s">
        <v>2982</v>
      </c>
      <c r="B19" s="3"/>
      <c r="C19" s="3"/>
      <c r="D19" s="3"/>
      <c r="E19" t="s">
        <v>2373</v>
      </c>
      <c r="F19" t="s">
        <v>2374</v>
      </c>
      <c r="G19">
        <v>9.5500000000000007</v>
      </c>
      <c r="H19">
        <v>5.64</v>
      </c>
      <c r="I19" t="s">
        <v>2760</v>
      </c>
      <c r="J19">
        <v>6740696400</v>
      </c>
      <c r="K19">
        <v>25.86</v>
      </c>
      <c r="L19">
        <v>2.52</v>
      </c>
      <c r="M19" t="s">
        <v>691</v>
      </c>
      <c r="N19" t="s">
        <v>2761</v>
      </c>
      <c r="O19" t="s">
        <v>2762</v>
      </c>
      <c r="P19" t="s">
        <v>2763</v>
      </c>
      <c r="Q19">
        <v>24.14</v>
      </c>
      <c r="R19" t="s">
        <v>2764</v>
      </c>
      <c r="S19">
        <v>-67434900</v>
      </c>
      <c r="T19" s="4">
        <v>3.4299999999999997E-2</v>
      </c>
      <c r="U19" t="s">
        <v>51</v>
      </c>
      <c r="V19">
        <v>695265180</v>
      </c>
      <c r="W19">
        <v>705832080</v>
      </c>
      <c r="X19">
        <v>2.44</v>
      </c>
      <c r="Y19">
        <v>0.1</v>
      </c>
      <c r="Z19">
        <v>-5.07</v>
      </c>
      <c r="AA19" t="s">
        <v>459</v>
      </c>
      <c r="AB19" t="s">
        <v>2765</v>
      </c>
      <c r="AC19" t="s">
        <v>2766</v>
      </c>
      <c r="AD19" t="s">
        <v>2767</v>
      </c>
      <c r="AE19" t="s">
        <v>7</v>
      </c>
      <c r="AF19">
        <v>5352280</v>
      </c>
      <c r="AG19" t="s">
        <v>2768</v>
      </c>
      <c r="AH19" t="s">
        <v>2769</v>
      </c>
      <c r="AI19" t="s">
        <v>2770</v>
      </c>
      <c r="AJ19" t="s">
        <v>2771</v>
      </c>
      <c r="AK19" t="s">
        <v>2772</v>
      </c>
      <c r="AL19" t="s">
        <v>170</v>
      </c>
      <c r="AM19" t="s">
        <v>2773</v>
      </c>
      <c r="AN19" t="s">
        <v>7</v>
      </c>
      <c r="AO19">
        <v>0</v>
      </c>
      <c r="AP19" t="s">
        <v>1976</v>
      </c>
      <c r="AQ19" t="s">
        <v>621</v>
      </c>
      <c r="AR19" t="s">
        <v>1690</v>
      </c>
      <c r="AS19" t="s">
        <v>7</v>
      </c>
      <c r="AT19" t="s">
        <v>2774</v>
      </c>
      <c r="AU19" t="s">
        <v>49</v>
      </c>
      <c r="AV19" t="s">
        <v>2775</v>
      </c>
      <c r="AW19" t="s">
        <v>2776</v>
      </c>
      <c r="AX19" t="s">
        <v>2777</v>
      </c>
      <c r="AY19" t="s">
        <v>2778</v>
      </c>
      <c r="AZ19" t="s">
        <v>2779</v>
      </c>
      <c r="BA19" t="s">
        <v>2780</v>
      </c>
      <c r="BB19" t="s">
        <v>2234</v>
      </c>
      <c r="BC19" t="s">
        <v>2764</v>
      </c>
      <c r="BD19" t="s">
        <v>2781</v>
      </c>
      <c r="BE19" t="s">
        <v>2782</v>
      </c>
      <c r="BF19" t="s">
        <v>2783</v>
      </c>
      <c r="BG19" t="s">
        <v>2784</v>
      </c>
      <c r="BH19" t="s">
        <v>2785</v>
      </c>
      <c r="BI19" t="s">
        <v>344</v>
      </c>
      <c r="BJ19" t="s">
        <v>495</v>
      </c>
      <c r="BK19" t="s">
        <v>2778</v>
      </c>
      <c r="BL19" t="s">
        <v>51</v>
      </c>
      <c r="BM19" t="s">
        <v>2786</v>
      </c>
      <c r="BN19" t="s">
        <v>2781</v>
      </c>
      <c r="BO19">
        <v>5.91</v>
      </c>
      <c r="BP19">
        <v>1.49</v>
      </c>
      <c r="BQ19">
        <v>1.1200000000000001</v>
      </c>
      <c r="BR19">
        <v>0.95</v>
      </c>
      <c r="BS19">
        <v>10.039999999999999</v>
      </c>
      <c r="BT19">
        <v>2.78</v>
      </c>
      <c r="BU19">
        <v>2.36</v>
      </c>
      <c r="BV19">
        <v>2.2599999999999998</v>
      </c>
      <c r="BW19">
        <v>23.98</v>
      </c>
      <c r="BX19">
        <v>26.59</v>
      </c>
      <c r="BY19">
        <v>27.07</v>
      </c>
      <c r="BZ19">
        <v>7.43</v>
      </c>
      <c r="CA19">
        <v>4.7300000000000004</v>
      </c>
      <c r="CB19">
        <v>4.34</v>
      </c>
      <c r="CC19">
        <v>7.91</v>
      </c>
      <c r="CD19">
        <v>23.07</v>
      </c>
      <c r="CE19" t="s">
        <v>616</v>
      </c>
      <c r="CF19" t="s">
        <v>465</v>
      </c>
      <c r="CG19" s="23">
        <v>0.24111972111553784</v>
      </c>
      <c r="CH19" s="24">
        <v>3.4278267469586197E-2</v>
      </c>
      <c r="CI19" s="23">
        <v>0.17110496759414673</v>
      </c>
      <c r="CJ19" s="23">
        <v>1.7182169482111931E-2</v>
      </c>
      <c r="CK19" s="23">
        <v>3.2447781413793564E-3</v>
      </c>
      <c r="CL19" s="23">
        <v>-0.1887134462594986</v>
      </c>
      <c r="CM19" s="23">
        <v>3.139316663146019E-2</v>
      </c>
      <c r="CN19" s="24">
        <v>2.8233892917633057</v>
      </c>
      <c r="CO19" s="24">
        <v>0.19926068186759949</v>
      </c>
      <c r="CP19" s="24">
        <v>7.7766604721546173E-2</v>
      </c>
      <c r="CQ19" s="24">
        <v>0.39466205239295959</v>
      </c>
      <c r="CR19" s="24">
        <v>0.18792206048965454</v>
      </c>
      <c r="CS19">
        <v>1.1438480230782284</v>
      </c>
      <c r="CT19">
        <v>-27637977.131782945</v>
      </c>
      <c r="CU19">
        <v>-1.23708</v>
      </c>
      <c r="CV19" s="23">
        <v>6.8423271179199217E-3</v>
      </c>
      <c r="CW19" s="24">
        <v>0.73660013824701309</v>
      </c>
      <c r="CX19">
        <v>0.06</v>
      </c>
      <c r="CY19">
        <v>33.786181198500131</v>
      </c>
      <c r="CZ19">
        <v>245061623.01549369</v>
      </c>
      <c r="DA19">
        <v>6.8423271179199217E-3</v>
      </c>
      <c r="DB19">
        <v>11.854117939492465</v>
      </c>
      <c r="DC19">
        <v>698465836.28258514</v>
      </c>
      <c r="DD19">
        <v>6.5002107620239251E-3</v>
      </c>
      <c r="DE19">
        <v>6.3967634015520636</v>
      </c>
      <c r="DF19">
        <v>1294357142.8624475</v>
      </c>
      <c r="DG19">
        <v>6.0212478637695311E-3</v>
      </c>
      <c r="DH19">
        <v>4.2418286297885146</v>
      </c>
      <c r="DI19">
        <v>1951916761.0533106</v>
      </c>
      <c r="DJ19">
        <v>5.4738616943359377E-3</v>
      </c>
      <c r="DK19">
        <v>2.684247826222506</v>
      </c>
      <c r="DL19">
        <v>3084549913.4302621</v>
      </c>
      <c r="DM19">
        <v>4.7896289825439453E-3</v>
      </c>
      <c r="DN19">
        <v>258000000</v>
      </c>
      <c r="DO19">
        <v>6.8423271179199217E-3</v>
      </c>
      <c r="DP19">
        <v>8279696400</v>
      </c>
      <c r="DQ19">
        <v>1441852300</v>
      </c>
      <c r="DR19">
        <v>2855</v>
      </c>
      <c r="DS19">
        <v>0.23427739399761791</v>
      </c>
      <c r="DT19">
        <v>-0.70232187077742692</v>
      </c>
      <c r="DU19" s="25">
        <v>0</v>
      </c>
      <c r="DV19">
        <v>-0.45833333333333331</v>
      </c>
      <c r="DW19">
        <v>-0.45833333333333331</v>
      </c>
      <c r="DX19">
        <v>9.3428695275249236</v>
      </c>
      <c r="DY19">
        <v>0.65719500480307236</v>
      </c>
      <c r="DZ19">
        <v>9.0401825959251116</v>
      </c>
      <c r="EA19">
        <v>2575</v>
      </c>
      <c r="EB19">
        <v>9.0183442285745077</v>
      </c>
      <c r="EC19">
        <v>9</v>
      </c>
      <c r="ED19">
        <v>0.17284564340005629</v>
      </c>
      <c r="EE19">
        <v>1.4748550391758901</v>
      </c>
      <c r="EF19" s="22">
        <v>3.0719099999999999</v>
      </c>
      <c r="EG19">
        <v>3.0155099999999999</v>
      </c>
      <c r="EH19">
        <v>54.117195004803072</v>
      </c>
      <c r="EI19" t="s">
        <v>2345</v>
      </c>
      <c r="EJ19">
        <v>1</v>
      </c>
      <c r="EK19">
        <v>0</v>
      </c>
    </row>
    <row r="20" spans="1:141" x14ac:dyDescent="0.25">
      <c r="A20" t="s">
        <v>2982</v>
      </c>
      <c r="B20" s="3"/>
      <c r="C20" s="3"/>
      <c r="D20" s="3"/>
      <c r="E20" t="s">
        <v>1919</v>
      </c>
      <c r="F20" t="s">
        <v>1920</v>
      </c>
      <c r="G20">
        <v>11.88</v>
      </c>
      <c r="H20">
        <v>1.89</v>
      </c>
      <c r="I20" t="s">
        <v>2106</v>
      </c>
      <c r="J20">
        <v>11839200900</v>
      </c>
      <c r="K20">
        <v>28.19</v>
      </c>
      <c r="L20">
        <v>2.35</v>
      </c>
      <c r="M20" t="s">
        <v>1921</v>
      </c>
      <c r="N20" t="s">
        <v>2107</v>
      </c>
      <c r="O20" t="s">
        <v>2108</v>
      </c>
      <c r="P20" t="s">
        <v>2109</v>
      </c>
      <c r="Q20">
        <v>13.31</v>
      </c>
      <c r="R20" t="s">
        <v>2110</v>
      </c>
      <c r="S20">
        <v>109606025</v>
      </c>
      <c r="T20" s="4">
        <v>4.7E-2</v>
      </c>
      <c r="U20" t="s">
        <v>676</v>
      </c>
      <c r="V20">
        <v>996565730</v>
      </c>
      <c r="W20">
        <v>996565730</v>
      </c>
      <c r="X20">
        <v>1.58</v>
      </c>
      <c r="Y20">
        <v>0.12</v>
      </c>
      <c r="Z20">
        <v>11.53</v>
      </c>
      <c r="AA20" t="s">
        <v>2111</v>
      </c>
      <c r="AB20" t="s">
        <v>146</v>
      </c>
      <c r="AC20" t="s">
        <v>2112</v>
      </c>
      <c r="AD20" t="s">
        <v>2113</v>
      </c>
      <c r="AE20" t="s">
        <v>144</v>
      </c>
      <c r="AF20">
        <v>14033049</v>
      </c>
      <c r="AG20" t="s">
        <v>2114</v>
      </c>
      <c r="AH20" t="s">
        <v>2115</v>
      </c>
      <c r="AI20" t="s">
        <v>2116</v>
      </c>
      <c r="AJ20" t="s">
        <v>111</v>
      </c>
      <c r="AK20" t="s">
        <v>2117</v>
      </c>
      <c r="AL20" t="s">
        <v>2118</v>
      </c>
      <c r="AM20" t="s">
        <v>2119</v>
      </c>
      <c r="AN20" t="s">
        <v>7</v>
      </c>
      <c r="AO20" t="s">
        <v>1148</v>
      </c>
      <c r="AP20" t="s">
        <v>347</v>
      </c>
      <c r="AQ20" t="s">
        <v>71</v>
      </c>
      <c r="AR20" t="s">
        <v>387</v>
      </c>
      <c r="AS20" t="s">
        <v>7</v>
      </c>
      <c r="AT20" t="s">
        <v>342</v>
      </c>
      <c r="AU20" t="s">
        <v>2120</v>
      </c>
      <c r="AV20" t="s">
        <v>2121</v>
      </c>
      <c r="AW20" t="s">
        <v>2122</v>
      </c>
      <c r="AX20" t="s">
        <v>2123</v>
      </c>
      <c r="AY20" t="s">
        <v>2124</v>
      </c>
      <c r="AZ20" t="s">
        <v>1049</v>
      </c>
      <c r="BA20" t="s">
        <v>2125</v>
      </c>
      <c r="BB20" t="s">
        <v>2126</v>
      </c>
      <c r="BC20" t="s">
        <v>2127</v>
      </c>
      <c r="BD20" t="s">
        <v>353</v>
      </c>
      <c r="BE20" t="s">
        <v>156</v>
      </c>
      <c r="BF20" t="s">
        <v>653</v>
      </c>
      <c r="BG20" t="s">
        <v>151</v>
      </c>
      <c r="BH20" t="s">
        <v>178</v>
      </c>
      <c r="BI20" t="s">
        <v>36</v>
      </c>
      <c r="BJ20" t="s">
        <v>2128</v>
      </c>
      <c r="BK20" t="s">
        <v>2124</v>
      </c>
      <c r="BL20" t="s">
        <v>676</v>
      </c>
      <c r="BM20" t="s">
        <v>99</v>
      </c>
      <c r="BN20" t="s">
        <v>353</v>
      </c>
      <c r="BO20">
        <v>6.58</v>
      </c>
      <c r="BP20">
        <v>6.54</v>
      </c>
      <c r="BQ20">
        <v>3.19</v>
      </c>
      <c r="BR20">
        <v>6.29</v>
      </c>
      <c r="BS20">
        <v>8.5299999999999994</v>
      </c>
      <c r="BT20">
        <v>8.6999999999999993</v>
      </c>
      <c r="BU20">
        <v>4.13</v>
      </c>
      <c r="BV20">
        <v>7.47</v>
      </c>
      <c r="BW20">
        <v>25.95</v>
      </c>
      <c r="BX20">
        <v>22.89</v>
      </c>
      <c r="BY20">
        <v>24.32</v>
      </c>
      <c r="BZ20">
        <v>10.31</v>
      </c>
      <c r="CA20">
        <v>12.24</v>
      </c>
      <c r="CB20">
        <v>6.03</v>
      </c>
      <c r="CC20">
        <v>11.24</v>
      </c>
      <c r="CD20">
        <v>40.76</v>
      </c>
      <c r="CE20" t="s">
        <v>1900</v>
      </c>
      <c r="CF20" t="s">
        <v>2129</v>
      </c>
      <c r="CG20" s="23">
        <v>0.13275115158636897</v>
      </c>
      <c r="CH20" s="24">
        <v>4.386690476190476E-2</v>
      </c>
      <c r="CI20" s="23">
        <v>0.29435992240905762</v>
      </c>
      <c r="CJ20" s="23">
        <v>0.13525180518627167</v>
      </c>
      <c r="CK20" s="23">
        <v>6.5134152770042419E-2</v>
      </c>
      <c r="CL20" s="23">
        <v>0.19779706001281738</v>
      </c>
      <c r="CM20" s="23">
        <v>0.28782510757446289</v>
      </c>
      <c r="CN20" s="24">
        <v>8.9238844811916351E-2</v>
      </c>
      <c r="CO20" s="24">
        <v>1.3518518209457397</v>
      </c>
      <c r="CP20" s="24">
        <v>-0.42957746982574463</v>
      </c>
      <c r="CQ20" s="24">
        <v>0.80891722440719604</v>
      </c>
      <c r="CR20" s="24">
        <v>0.4272727370262146</v>
      </c>
      <c r="CS20">
        <v>2.8982131946144429</v>
      </c>
      <c r="CT20">
        <v>18456612.530120481</v>
      </c>
      <c r="CU20">
        <v>2.1860879999999998</v>
      </c>
      <c r="CV20" s="23">
        <v>0.19607360959053038</v>
      </c>
      <c r="CW20" s="24">
        <v>0.44954063147306444</v>
      </c>
      <c r="CX20">
        <v>0.06</v>
      </c>
      <c r="CY20">
        <v>20.640050050695901</v>
      </c>
      <c r="CZ20">
        <v>468274101.86799073</v>
      </c>
      <c r="DA20">
        <v>0.19607360959053038</v>
      </c>
      <c r="DB20">
        <v>6.1724063432345329</v>
      </c>
      <c r="DC20">
        <v>1565872426.8200293</v>
      </c>
      <c r="DD20">
        <v>0.18626992911100385</v>
      </c>
      <c r="DE20">
        <v>2.6865828272212471</v>
      </c>
      <c r="DF20">
        <v>3597581582.8454432</v>
      </c>
      <c r="DG20">
        <v>0.17254477643966673</v>
      </c>
      <c r="DH20">
        <v>1.3953817576274872</v>
      </c>
      <c r="DI20">
        <v>6926563893.4776974</v>
      </c>
      <c r="DJ20">
        <v>0.15685888767242431</v>
      </c>
      <c r="DK20">
        <v>0.51309163112968359</v>
      </c>
      <c r="DL20">
        <v>18837182899.904144</v>
      </c>
      <c r="DM20">
        <v>0.13725152671337126</v>
      </c>
      <c r="DN20">
        <v>415000000.00000006</v>
      </c>
      <c r="DO20">
        <v>0.19607360959053038</v>
      </c>
      <c r="DP20">
        <v>9665200900</v>
      </c>
      <c r="DQ20">
        <v>1483741900</v>
      </c>
      <c r="DR20">
        <v>2898</v>
      </c>
      <c r="DS20">
        <v>-6.3322458004161419E-2</v>
      </c>
      <c r="DT20">
        <v>-0.4056737267111597</v>
      </c>
      <c r="DU20" s="25">
        <v>0</v>
      </c>
      <c r="DV20">
        <v>0</v>
      </c>
      <c r="DW20">
        <v>0</v>
      </c>
      <c r="DX20">
        <v>9.2757605495583899</v>
      </c>
      <c r="DY20">
        <v>0.62220338983050727</v>
      </c>
      <c r="DZ20">
        <v>9.0916085893448209</v>
      </c>
      <c r="EA20">
        <v>1442</v>
      </c>
      <c r="EB20">
        <v>9.0636332429163513</v>
      </c>
      <c r="EC20">
        <v>9</v>
      </c>
      <c r="ED20">
        <v>0.29501315482722851</v>
      </c>
      <c r="EE20">
        <v>0.88804980279624912</v>
      </c>
      <c r="EF20" s="22">
        <v>2.0358000000000001</v>
      </c>
      <c r="EG20">
        <v>2.0547</v>
      </c>
      <c r="EH20">
        <v>29.332203389830507</v>
      </c>
      <c r="EI20" t="s">
        <v>598</v>
      </c>
      <c r="EJ20">
        <v>1</v>
      </c>
      <c r="EK20">
        <v>1</v>
      </c>
    </row>
    <row r="21" spans="1:141" x14ac:dyDescent="0.25">
      <c r="A21" t="s">
        <v>2990</v>
      </c>
      <c r="B21" s="3"/>
      <c r="C21" s="3"/>
      <c r="D21" s="3"/>
      <c r="E21" t="s">
        <v>1572</v>
      </c>
      <c r="F21" t="s">
        <v>1573</v>
      </c>
      <c r="G21">
        <v>13.57</v>
      </c>
      <c r="H21">
        <v>-2.65</v>
      </c>
      <c r="I21" t="s">
        <v>1818</v>
      </c>
      <c r="J21">
        <v>18564908000</v>
      </c>
      <c r="L21">
        <v>1.63</v>
      </c>
      <c r="M21" t="s">
        <v>1560</v>
      </c>
      <c r="N21" t="s">
        <v>1819</v>
      </c>
      <c r="O21" t="s">
        <v>1820</v>
      </c>
      <c r="P21" t="s">
        <v>1821</v>
      </c>
      <c r="Q21">
        <v>-4.53</v>
      </c>
      <c r="R21" t="s">
        <v>1822</v>
      </c>
      <c r="S21">
        <v>-157969840</v>
      </c>
      <c r="T21" s="4">
        <v>-1.7130000000000001</v>
      </c>
      <c r="U21" t="s">
        <v>1823</v>
      </c>
      <c r="V21">
        <v>1368084600</v>
      </c>
      <c r="W21">
        <v>1368084600</v>
      </c>
      <c r="X21">
        <v>3.08</v>
      </c>
      <c r="Y21">
        <v>0.23</v>
      </c>
      <c r="Z21">
        <v>-2.61</v>
      </c>
      <c r="AA21" t="s">
        <v>1824</v>
      </c>
      <c r="AB21" t="s">
        <v>1825</v>
      </c>
      <c r="AC21" t="s">
        <v>156</v>
      </c>
      <c r="AD21" t="s">
        <v>182</v>
      </c>
      <c r="AE21" t="s">
        <v>1826</v>
      </c>
      <c r="AF21">
        <v>149095630</v>
      </c>
      <c r="AG21" t="s">
        <v>1827</v>
      </c>
      <c r="AH21" t="s">
        <v>1828</v>
      </c>
      <c r="AI21" t="s">
        <v>1829</v>
      </c>
      <c r="AJ21" t="s">
        <v>1830</v>
      </c>
      <c r="AK21" t="s">
        <v>1831</v>
      </c>
      <c r="AL21" t="s">
        <v>659</v>
      </c>
      <c r="AM21" t="s">
        <v>1832</v>
      </c>
      <c r="AN21" t="s">
        <v>7</v>
      </c>
      <c r="AO21" t="s">
        <v>1833</v>
      </c>
      <c r="AP21" t="s">
        <v>1834</v>
      </c>
      <c r="AQ21" t="s">
        <v>990</v>
      </c>
      <c r="AR21" t="s">
        <v>1835</v>
      </c>
      <c r="AS21" t="s">
        <v>7</v>
      </c>
      <c r="AT21" t="s">
        <v>1836</v>
      </c>
      <c r="AU21" t="s">
        <v>1837</v>
      </c>
      <c r="AV21" t="s">
        <v>207</v>
      </c>
      <c r="AW21" t="s">
        <v>1838</v>
      </c>
      <c r="AX21" t="s">
        <v>1621</v>
      </c>
      <c r="AY21" t="s">
        <v>1839</v>
      </c>
      <c r="AZ21" t="s">
        <v>1840</v>
      </c>
      <c r="BA21" t="s">
        <v>1841</v>
      </c>
      <c r="BB21" t="s">
        <v>1842</v>
      </c>
      <c r="BC21" t="s">
        <v>1843</v>
      </c>
      <c r="BD21" t="s">
        <v>1844</v>
      </c>
      <c r="BE21" t="s">
        <v>1845</v>
      </c>
      <c r="BF21" t="s">
        <v>772</v>
      </c>
      <c r="BG21" t="s">
        <v>649</v>
      </c>
      <c r="BH21" t="s">
        <v>1846</v>
      </c>
      <c r="BI21" t="s">
        <v>1847</v>
      </c>
      <c r="BJ21" t="s">
        <v>1848</v>
      </c>
      <c r="BK21" t="s">
        <v>1839</v>
      </c>
      <c r="BL21" t="s">
        <v>1823</v>
      </c>
      <c r="BM21" t="s">
        <v>186</v>
      </c>
      <c r="BN21" t="s">
        <v>1844</v>
      </c>
      <c r="BO21">
        <v>-11.12</v>
      </c>
      <c r="BP21">
        <v>1.76</v>
      </c>
      <c r="BQ21">
        <v>2.9</v>
      </c>
      <c r="BR21">
        <v>4.68</v>
      </c>
      <c r="BS21">
        <v>-27.96</v>
      </c>
      <c r="BT21">
        <v>4.6100000000000003</v>
      </c>
      <c r="BU21">
        <v>7.52</v>
      </c>
      <c r="BV21">
        <v>10.49</v>
      </c>
      <c r="BW21">
        <v>11.63</v>
      </c>
      <c r="BX21">
        <v>13.31</v>
      </c>
      <c r="BY21">
        <v>16</v>
      </c>
      <c r="BZ21">
        <v>-9.93</v>
      </c>
      <c r="CA21">
        <v>0.43</v>
      </c>
      <c r="CB21">
        <v>2.35</v>
      </c>
      <c r="CC21">
        <v>3.04</v>
      </c>
      <c r="CD21">
        <v>30.73</v>
      </c>
      <c r="CE21" t="s">
        <v>229</v>
      </c>
      <c r="CF21" t="s">
        <v>1849</v>
      </c>
      <c r="CG21" s="23">
        <v>-4.5331106047041589E-2</v>
      </c>
      <c r="CH21" s="24">
        <v>-1.7147956561085973</v>
      </c>
      <c r="CI21" s="23">
        <v>-4.6356301754713058E-2</v>
      </c>
      <c r="CJ21" s="23">
        <v>-0.22381232678890228</v>
      </c>
      <c r="CK21" s="23">
        <v>9.8218262195587158E-2</v>
      </c>
      <c r="CL21" s="23">
        <v>1.1115913391113281</v>
      </c>
      <c r="CM21" s="23">
        <v>0.43413105607032776</v>
      </c>
      <c r="CN21" s="24">
        <v>-7.0925321578979492</v>
      </c>
      <c r="CO21" s="24">
        <v>-0.34468084573745728</v>
      </c>
      <c r="CP21" s="24">
        <v>-0.28679817914962769</v>
      </c>
      <c r="CQ21" s="24">
        <v>2.3282828330993652</v>
      </c>
      <c r="CR21" s="24">
        <v>-0.12775330245494843</v>
      </c>
      <c r="CS21">
        <v>0.40650116049923363</v>
      </c>
      <c r="CT21">
        <v>1226905.3290700773</v>
      </c>
      <c r="CU21">
        <v>-1.848924</v>
      </c>
      <c r="CV21" s="23">
        <v>0.27475440576672555</v>
      </c>
      <c r="CW21" s="24">
        <v>-1.1046963304281234</v>
      </c>
      <c r="CX21">
        <v>0.06</v>
      </c>
      <c r="CY21" t="e">
        <v>#VALUE!</v>
      </c>
      <c r="CZ21" t="s">
        <v>573</v>
      </c>
      <c r="DA21">
        <v>0.27475440576672555</v>
      </c>
      <c r="DB21" t="e">
        <v>#VALUE!</v>
      </c>
      <c r="DC21" t="s">
        <v>574</v>
      </c>
      <c r="DD21">
        <v>0.26101668547838924</v>
      </c>
      <c r="DE21" t="e">
        <v>#VALUE!</v>
      </c>
      <c r="DF21" t="s">
        <v>574</v>
      </c>
      <c r="DG21">
        <v>0.24178387707471849</v>
      </c>
      <c r="DH21" t="e">
        <v>#VALUE!</v>
      </c>
      <c r="DI21" t="s">
        <v>574</v>
      </c>
      <c r="DJ21">
        <v>0.21980352461338046</v>
      </c>
      <c r="DK21" t="e">
        <v>#VALUE!</v>
      </c>
      <c r="DL21" t="s">
        <v>574</v>
      </c>
      <c r="DM21">
        <v>0.19232808403670787</v>
      </c>
      <c r="DN21">
        <v>-3753000000</v>
      </c>
      <c r="DO21">
        <v>0.27475440576672555</v>
      </c>
      <c r="DP21">
        <v>36667908000</v>
      </c>
      <c r="DQ21">
        <v>8245652999.9999981</v>
      </c>
      <c r="DR21">
        <v>3185</v>
      </c>
      <c r="DS21">
        <v>-0.32008551181376715</v>
      </c>
      <c r="DT21">
        <v>-0.61009932568047387</v>
      </c>
      <c r="DU21" s="25">
        <v>0.18333333333333335</v>
      </c>
      <c r="DV21">
        <v>-1.5850000000000002</v>
      </c>
      <c r="DW21">
        <v>-1.4016666666666668</v>
      </c>
      <c r="DX21">
        <v>8.0989261308167908</v>
      </c>
      <c r="DY21">
        <v>0.67722513089005498</v>
      </c>
      <c r="DZ21">
        <v>8.0224785030232919</v>
      </c>
      <c r="EA21">
        <v>4155</v>
      </c>
      <c r="EB21">
        <v>8.0026823648160477</v>
      </c>
      <c r="EC21">
        <v>8</v>
      </c>
      <c r="ED21">
        <v>0.15861592185161649</v>
      </c>
      <c r="EE21">
        <v>0.69805624593683757</v>
      </c>
      <c r="EF21" s="22">
        <v>4.0100100000000003</v>
      </c>
      <c r="EG21">
        <v>4.0365099999999998</v>
      </c>
      <c r="EH21">
        <v>45.227225130890055</v>
      </c>
      <c r="EI21" t="s">
        <v>1850</v>
      </c>
      <c r="EJ21">
        <v>0</v>
      </c>
      <c r="EK21">
        <v>0</v>
      </c>
    </row>
    <row r="22" spans="1:141" x14ac:dyDescent="0.25">
      <c r="A22" t="s">
        <v>2991</v>
      </c>
      <c r="B22" s="3"/>
      <c r="C22" s="3"/>
      <c r="D22" s="3"/>
      <c r="E22" t="s">
        <v>2375</v>
      </c>
      <c r="F22" t="s">
        <v>2787</v>
      </c>
      <c r="G22">
        <v>23.67</v>
      </c>
      <c r="H22">
        <v>-1.0900000000000001</v>
      </c>
      <c r="I22" t="s">
        <v>2788</v>
      </c>
      <c r="J22">
        <v>74624977000</v>
      </c>
      <c r="K22">
        <v>10.84</v>
      </c>
      <c r="L22">
        <v>1.47</v>
      </c>
      <c r="M22" t="s">
        <v>1560</v>
      </c>
      <c r="N22" t="s">
        <v>2789</v>
      </c>
      <c r="O22" t="s">
        <v>2790</v>
      </c>
      <c r="P22" t="s">
        <v>2791</v>
      </c>
      <c r="Q22">
        <v>7.15</v>
      </c>
      <c r="R22" t="s">
        <v>2792</v>
      </c>
      <c r="S22">
        <v>1707183600</v>
      </c>
      <c r="T22" s="4">
        <v>0.32129999999999997</v>
      </c>
      <c r="U22" t="s">
        <v>2793</v>
      </c>
      <c r="V22">
        <v>3152724000</v>
      </c>
      <c r="W22">
        <v>3152724000</v>
      </c>
      <c r="X22">
        <v>2.82</v>
      </c>
      <c r="Y22">
        <v>0.24</v>
      </c>
      <c r="Z22">
        <v>5.14</v>
      </c>
      <c r="AA22" t="s">
        <v>2794</v>
      </c>
      <c r="AB22" t="s">
        <v>2795</v>
      </c>
      <c r="AC22" t="s">
        <v>215</v>
      </c>
      <c r="AD22" t="s">
        <v>2796</v>
      </c>
      <c r="AE22" t="s">
        <v>2797</v>
      </c>
      <c r="AF22">
        <v>-17449546</v>
      </c>
      <c r="AG22" t="s">
        <v>2798</v>
      </c>
      <c r="AH22" t="s">
        <v>2799</v>
      </c>
      <c r="AI22" t="s">
        <v>2800</v>
      </c>
      <c r="AJ22" t="s">
        <v>2801</v>
      </c>
      <c r="AK22" t="s">
        <v>2802</v>
      </c>
      <c r="AL22" t="s">
        <v>2803</v>
      </c>
      <c r="AM22" t="s">
        <v>2804</v>
      </c>
      <c r="AN22" t="s">
        <v>7</v>
      </c>
      <c r="AO22" t="s">
        <v>2805</v>
      </c>
      <c r="AP22" t="s">
        <v>2806</v>
      </c>
      <c r="AQ22" t="s">
        <v>2807</v>
      </c>
      <c r="AR22" t="s">
        <v>2808</v>
      </c>
      <c r="AS22" t="s">
        <v>7</v>
      </c>
      <c r="AT22" t="s">
        <v>2809</v>
      </c>
      <c r="AU22" t="s">
        <v>2810</v>
      </c>
      <c r="AV22" t="s">
        <v>2811</v>
      </c>
      <c r="AW22" t="s">
        <v>2812</v>
      </c>
      <c r="AX22" t="s">
        <v>2813</v>
      </c>
      <c r="AY22" t="s">
        <v>2814</v>
      </c>
      <c r="AZ22" t="s">
        <v>2815</v>
      </c>
      <c r="BA22" t="s">
        <v>2816</v>
      </c>
      <c r="BB22" t="s">
        <v>2817</v>
      </c>
      <c r="BC22" t="s">
        <v>2818</v>
      </c>
      <c r="BD22" t="s">
        <v>2819</v>
      </c>
      <c r="BE22" t="s">
        <v>2820</v>
      </c>
      <c r="BF22" t="s">
        <v>2821</v>
      </c>
      <c r="BG22" t="s">
        <v>2822</v>
      </c>
      <c r="BH22" t="s">
        <v>2823</v>
      </c>
      <c r="BI22" t="s">
        <v>2824</v>
      </c>
      <c r="BJ22" t="s">
        <v>2825</v>
      </c>
      <c r="BK22" t="s">
        <v>2814</v>
      </c>
      <c r="BL22" t="s">
        <v>2793</v>
      </c>
      <c r="BM22" t="s">
        <v>1605</v>
      </c>
      <c r="BN22" t="s">
        <v>2819</v>
      </c>
      <c r="BO22">
        <v>8.09</v>
      </c>
      <c r="BP22">
        <v>7.38</v>
      </c>
      <c r="BQ22">
        <v>10.1</v>
      </c>
      <c r="BR22">
        <v>13.63</v>
      </c>
      <c r="BS22">
        <v>12.67</v>
      </c>
      <c r="BT22">
        <v>10.6</v>
      </c>
      <c r="BU22">
        <v>13.64</v>
      </c>
      <c r="BV22">
        <v>18.52</v>
      </c>
      <c r="BW22">
        <v>14.38</v>
      </c>
      <c r="BX22">
        <v>15.23</v>
      </c>
      <c r="BY22">
        <v>14.46</v>
      </c>
      <c r="BZ22">
        <v>5.71</v>
      </c>
      <c r="CA22">
        <v>5.22</v>
      </c>
      <c r="CB22">
        <v>5.91</v>
      </c>
      <c r="CC22">
        <v>4.97</v>
      </c>
      <c r="CD22">
        <v>26.04</v>
      </c>
      <c r="CE22" t="s">
        <v>2826</v>
      </c>
      <c r="CF22" t="s">
        <v>225</v>
      </c>
      <c r="CG22" s="23">
        <v>7.1462383164172263E-2</v>
      </c>
      <c r="CH22" s="24">
        <v>0.32134953560371515</v>
      </c>
      <c r="CI22" s="23">
        <v>4.7657571732997894E-2</v>
      </c>
      <c r="CJ22" s="23">
        <v>-7.252955436706543E-2</v>
      </c>
      <c r="CK22" s="23">
        <v>-8.3641998469829559E-2</v>
      </c>
      <c r="CL22" s="23">
        <v>0.11875125765800476</v>
      </c>
      <c r="CM22" s="23">
        <v>0.13026160001754761</v>
      </c>
      <c r="CN22" s="24">
        <v>0.19729787111282349</v>
      </c>
      <c r="CO22" s="24">
        <v>-0.16401055455207825</v>
      </c>
      <c r="CP22" s="24">
        <v>-0.1948423832654953</v>
      </c>
      <c r="CQ22" s="24">
        <v>0.22474823892116547</v>
      </c>
      <c r="CR22" s="24">
        <v>7.8670114278793335E-2</v>
      </c>
      <c r="CS22">
        <v>0.53324884953981588</v>
      </c>
      <c r="CT22">
        <v>19402279.332199723</v>
      </c>
      <c r="CU22">
        <v>3.4787519999999996</v>
      </c>
      <c r="CV22" s="23">
        <v>2.8099775314331055E-2</v>
      </c>
      <c r="CW22" s="24">
        <v>2.8372657299041749E-2</v>
      </c>
      <c r="CX22">
        <v>0.06</v>
      </c>
      <c r="CY22">
        <v>19.06134984061968</v>
      </c>
      <c r="CZ22">
        <v>6274318345.7626486</v>
      </c>
      <c r="DA22">
        <v>2.8099775314331055E-2</v>
      </c>
      <c r="DB22">
        <v>6.5666412161725347</v>
      </c>
      <c r="DC22">
        <v>18212808201.771816</v>
      </c>
      <c r="DD22">
        <v>2.6694786548614499E-2</v>
      </c>
      <c r="DE22">
        <v>3.4629595035942113</v>
      </c>
      <c r="DF22">
        <v>34536059944.065216</v>
      </c>
      <c r="DG22">
        <v>2.4727802276611328E-2</v>
      </c>
      <c r="DH22">
        <v>2.2420231940080324</v>
      </c>
      <c r="DI22">
        <v>53343327276.734459</v>
      </c>
      <c r="DJ22">
        <v>2.2479820251464847E-2</v>
      </c>
      <c r="DK22">
        <v>1.3549688414117103</v>
      </c>
      <c r="DL22">
        <v>88265481348.925125</v>
      </c>
      <c r="DM22">
        <v>1.9669842720031736E-2</v>
      </c>
      <c r="DN22">
        <v>6469000000</v>
      </c>
      <c r="DO22">
        <v>2.8099775314331055E-2</v>
      </c>
      <c r="DP22">
        <v>119596977000</v>
      </c>
      <c r="DQ22">
        <v>8601414000</v>
      </c>
      <c r="DR22">
        <v>3223</v>
      </c>
      <c r="DS22">
        <v>4.3362607849841209E-2</v>
      </c>
      <c r="DT22">
        <v>0.29297687830467339</v>
      </c>
      <c r="DU22" s="25">
        <v>0</v>
      </c>
      <c r="DV22">
        <v>0</v>
      </c>
      <c r="DW22">
        <v>0</v>
      </c>
      <c r="DX22">
        <v>8.1908602150537639</v>
      </c>
      <c r="DY22">
        <v>0.68448698315466827</v>
      </c>
      <c r="DZ22">
        <v>8.0371198274300575</v>
      </c>
      <c r="EA22">
        <v>2979</v>
      </c>
      <c r="EB22">
        <v>8.0136869039475105</v>
      </c>
      <c r="EC22">
        <v>8</v>
      </c>
      <c r="ED22">
        <v>4.0282625437558124E-2</v>
      </c>
      <c r="EE22">
        <v>0.20712247567500358</v>
      </c>
      <c r="EF22" s="22">
        <v>5.2100000000000007E-2</v>
      </c>
      <c r="EG22">
        <v>4.1200000000000001E-2</v>
      </c>
      <c r="EH22">
        <v>49.194486983154668</v>
      </c>
      <c r="EI22" t="s">
        <v>496</v>
      </c>
      <c r="EJ22">
        <v>0</v>
      </c>
      <c r="EK22">
        <v>0</v>
      </c>
    </row>
    <row r="23" spans="1:141" x14ac:dyDescent="0.25">
      <c r="A23" t="s">
        <v>2992</v>
      </c>
      <c r="B23" s="3"/>
      <c r="C23" s="3"/>
      <c r="D23" s="3"/>
      <c r="E23" t="s">
        <v>2376</v>
      </c>
      <c r="F23" t="s">
        <v>2377</v>
      </c>
      <c r="G23">
        <v>42.87</v>
      </c>
      <c r="H23">
        <v>4.5599999999999996</v>
      </c>
      <c r="I23" t="s">
        <v>2827</v>
      </c>
      <c r="J23">
        <v>44699390000</v>
      </c>
      <c r="K23">
        <v>40.25</v>
      </c>
      <c r="L23">
        <v>6.9</v>
      </c>
      <c r="M23" t="s">
        <v>691</v>
      </c>
      <c r="N23" t="s">
        <v>2828</v>
      </c>
      <c r="O23" t="s">
        <v>2829</v>
      </c>
      <c r="P23" t="s">
        <v>2830</v>
      </c>
      <c r="Q23">
        <v>20.82</v>
      </c>
      <c r="R23" t="s">
        <v>2831</v>
      </c>
      <c r="S23">
        <v>279349770</v>
      </c>
      <c r="T23" s="4">
        <v>0.20780000000000001</v>
      </c>
      <c r="U23" t="s">
        <v>2832</v>
      </c>
      <c r="V23">
        <v>1042672960</v>
      </c>
      <c r="W23">
        <v>1042672960</v>
      </c>
      <c r="X23">
        <v>1.56</v>
      </c>
      <c r="Y23">
        <v>0.21</v>
      </c>
      <c r="Z23">
        <v>13.38</v>
      </c>
      <c r="AA23" t="s">
        <v>2833</v>
      </c>
      <c r="AB23" t="s">
        <v>2834</v>
      </c>
      <c r="AC23" t="s">
        <v>2835</v>
      </c>
      <c r="AD23" t="s">
        <v>35</v>
      </c>
      <c r="AE23" t="s">
        <v>7</v>
      </c>
      <c r="AF23">
        <v>40616683</v>
      </c>
      <c r="AG23" t="s">
        <v>2836</v>
      </c>
      <c r="AH23" t="s">
        <v>2837</v>
      </c>
      <c r="AI23" t="s">
        <v>2838</v>
      </c>
      <c r="AJ23" t="s">
        <v>2839</v>
      </c>
      <c r="AK23" t="s">
        <v>2840</v>
      </c>
      <c r="AL23" t="s">
        <v>2841</v>
      </c>
      <c r="AM23" t="s">
        <v>2842</v>
      </c>
      <c r="AN23" t="s">
        <v>7</v>
      </c>
      <c r="AO23" t="s">
        <v>139</v>
      </c>
      <c r="AP23" t="s">
        <v>2843</v>
      </c>
      <c r="AQ23" t="s">
        <v>445</v>
      </c>
      <c r="AR23" t="s">
        <v>2844</v>
      </c>
      <c r="AS23" t="s">
        <v>2845</v>
      </c>
      <c r="AT23" t="s">
        <v>2846</v>
      </c>
      <c r="AU23" t="s">
        <v>2847</v>
      </c>
      <c r="AV23" t="s">
        <v>1900</v>
      </c>
      <c r="AW23" t="s">
        <v>646</v>
      </c>
      <c r="AX23" t="s">
        <v>2848</v>
      </c>
      <c r="AY23" t="s">
        <v>2849</v>
      </c>
      <c r="AZ23" t="s">
        <v>2850</v>
      </c>
      <c r="BA23" t="s">
        <v>2851</v>
      </c>
      <c r="BB23" t="s">
        <v>1340</v>
      </c>
      <c r="BC23" t="s">
        <v>2852</v>
      </c>
      <c r="BD23" t="s">
        <v>65</v>
      </c>
      <c r="BE23" t="s">
        <v>2853</v>
      </c>
      <c r="BF23" t="s">
        <v>432</v>
      </c>
      <c r="BG23" t="s">
        <v>2854</v>
      </c>
      <c r="BH23" t="s">
        <v>457</v>
      </c>
      <c r="BI23" t="s">
        <v>2855</v>
      </c>
      <c r="BJ23" t="s">
        <v>2856</v>
      </c>
      <c r="BK23" t="s">
        <v>2849</v>
      </c>
      <c r="BL23" t="s">
        <v>2832</v>
      </c>
      <c r="BM23" t="s">
        <v>2857</v>
      </c>
      <c r="BN23" t="s">
        <v>65</v>
      </c>
      <c r="BO23">
        <v>13.32</v>
      </c>
      <c r="BP23">
        <v>11.84</v>
      </c>
      <c r="BQ23">
        <v>10.81</v>
      </c>
      <c r="BR23">
        <v>12.59</v>
      </c>
      <c r="BS23">
        <v>18.190000000000001</v>
      </c>
      <c r="BT23">
        <v>15.96</v>
      </c>
      <c r="BU23">
        <v>15.21</v>
      </c>
      <c r="BV23">
        <v>16.82</v>
      </c>
      <c r="BW23">
        <v>34.58</v>
      </c>
      <c r="BX23">
        <v>36.950000000000003</v>
      </c>
      <c r="BY23">
        <v>37.130000000000003</v>
      </c>
      <c r="BZ23">
        <v>14.49</v>
      </c>
      <c r="CA23">
        <v>14.44</v>
      </c>
      <c r="CB23">
        <v>13.62</v>
      </c>
      <c r="CC23">
        <v>2.44</v>
      </c>
      <c r="CD23">
        <v>20.81</v>
      </c>
      <c r="CE23" t="s">
        <v>2858</v>
      </c>
      <c r="CF23" t="s">
        <v>93</v>
      </c>
      <c r="CG23" s="23">
        <v>0.20839827658680118</v>
      </c>
      <c r="CH23" s="24">
        <v>0.20930636363636362</v>
      </c>
      <c r="CI23" s="23">
        <v>0.28187751770019531</v>
      </c>
      <c r="CJ23" s="23">
        <v>0.10422255098819733</v>
      </c>
      <c r="CK23" s="23">
        <v>2.921510674059391E-2</v>
      </c>
      <c r="CL23" s="23">
        <v>0.14285719394683838</v>
      </c>
      <c r="CM23" s="23">
        <v>0.18433995544910431</v>
      </c>
      <c r="CN23" s="24">
        <v>0.27764421701431274</v>
      </c>
      <c r="CO23" s="24">
        <v>0.18181818723678589</v>
      </c>
      <c r="CP23" s="24">
        <v>7.1530756540596485E-3</v>
      </c>
      <c r="CQ23" s="24">
        <v>2.0437955856323242E-2</v>
      </c>
      <c r="CR23" s="24">
        <v>0.17697595059871674</v>
      </c>
      <c r="CS23">
        <v>4.459681732016362</v>
      </c>
      <c r="CT23">
        <v>23682871.119473185</v>
      </c>
      <c r="CU23">
        <v>4.3832880000000003</v>
      </c>
      <c r="CV23" s="23">
        <v>0.14850246496498584</v>
      </c>
      <c r="CW23" s="24">
        <v>0.13280587727203966</v>
      </c>
      <c r="CX23">
        <v>0.06</v>
      </c>
      <c r="CY23">
        <v>35.327359243753328</v>
      </c>
      <c r="CZ23">
        <v>1151752943.6394153</v>
      </c>
      <c r="DA23">
        <v>0.14850246496498584</v>
      </c>
      <c r="DB23">
        <v>10.990349597715459</v>
      </c>
      <c r="DC23">
        <v>3702192513.3717136</v>
      </c>
      <c r="DD23">
        <v>0.14107734171673655</v>
      </c>
      <c r="DE23">
        <v>5.0585826785131394</v>
      </c>
      <c r="DF23">
        <v>8043436785.7281857</v>
      </c>
      <c r="DG23">
        <v>0.13068216916918754</v>
      </c>
      <c r="DH23">
        <v>2.8103967705163742</v>
      </c>
      <c r="DI23">
        <v>14477809833.422216</v>
      </c>
      <c r="DJ23">
        <v>0.11880197197198868</v>
      </c>
      <c r="DK23">
        <v>1.2155997394276732</v>
      </c>
      <c r="DL23">
        <v>33471864693.84803</v>
      </c>
      <c r="DM23">
        <v>0.10395172547549009</v>
      </c>
      <c r="DN23">
        <v>1063000000.0000001</v>
      </c>
      <c r="DO23">
        <v>0.14850246496498584</v>
      </c>
      <c r="DP23">
        <v>40688390000</v>
      </c>
      <c r="DQ23">
        <v>5810003300</v>
      </c>
      <c r="DR23">
        <v>3360</v>
      </c>
      <c r="DS23">
        <v>5.9895811621815342E-2</v>
      </c>
      <c r="DT23">
        <v>7.6500486364323966E-2</v>
      </c>
      <c r="DU23" s="25">
        <v>0</v>
      </c>
      <c r="DV23">
        <v>0</v>
      </c>
      <c r="DW23">
        <v>0</v>
      </c>
      <c r="DX23">
        <v>3.0543988095238097</v>
      </c>
      <c r="DY23">
        <v>0.53551935483871183</v>
      </c>
      <c r="DZ23">
        <v>3.0117239963325653</v>
      </c>
      <c r="EA23">
        <v>1119</v>
      </c>
      <c r="EB23">
        <v>3.0089550744465079</v>
      </c>
      <c r="EC23">
        <v>3</v>
      </c>
      <c r="ED23">
        <v>3.8445995568926999E-2</v>
      </c>
      <c r="EE23">
        <v>0.17838767008976622</v>
      </c>
      <c r="EF23" s="22">
        <v>1.0678000000000001</v>
      </c>
      <c r="EG23">
        <v>1.1133999999999999</v>
      </c>
      <c r="EH23">
        <v>32.215519354838712</v>
      </c>
      <c r="EI23" t="s">
        <v>498</v>
      </c>
      <c r="EJ23">
        <v>0</v>
      </c>
      <c r="EK23">
        <v>1</v>
      </c>
    </row>
    <row r="24" spans="1:141" x14ac:dyDescent="0.25">
      <c r="A24" t="s">
        <v>2993</v>
      </c>
      <c r="B24" s="3"/>
      <c r="C24" s="3"/>
      <c r="D24" s="3"/>
      <c r="E24" t="s">
        <v>2378</v>
      </c>
      <c r="F24" t="s">
        <v>2379</v>
      </c>
      <c r="G24">
        <v>65.86</v>
      </c>
      <c r="H24">
        <v>0</v>
      </c>
      <c r="I24" t="s">
        <v>2859</v>
      </c>
      <c r="J24">
        <v>72580787000</v>
      </c>
      <c r="K24">
        <v>62.73</v>
      </c>
      <c r="L24">
        <v>6.61</v>
      </c>
      <c r="M24" t="s">
        <v>1560</v>
      </c>
      <c r="N24" t="s">
        <v>2860</v>
      </c>
      <c r="O24" t="s">
        <v>2861</v>
      </c>
      <c r="P24" t="s">
        <v>2862</v>
      </c>
      <c r="Q24">
        <v>54.34</v>
      </c>
      <c r="R24" t="s">
        <v>2863</v>
      </c>
      <c r="S24">
        <v>385889400</v>
      </c>
      <c r="T24" s="4">
        <v>0.56840000000000002</v>
      </c>
      <c r="U24" t="s">
        <v>2864</v>
      </c>
      <c r="V24">
        <v>1102046570</v>
      </c>
      <c r="W24">
        <v>1102046570</v>
      </c>
      <c r="X24">
        <v>1.83</v>
      </c>
      <c r="Y24">
        <v>0.19</v>
      </c>
      <c r="Z24">
        <v>10.67</v>
      </c>
      <c r="AA24" t="s">
        <v>2865</v>
      </c>
      <c r="AB24" t="s">
        <v>2866</v>
      </c>
      <c r="AC24" t="s">
        <v>2867</v>
      </c>
      <c r="AD24" t="s">
        <v>2868</v>
      </c>
      <c r="AE24" t="s">
        <v>443</v>
      </c>
      <c r="AF24">
        <v>2242945</v>
      </c>
      <c r="AG24" t="s">
        <v>2869</v>
      </c>
      <c r="AH24" t="s">
        <v>2870</v>
      </c>
      <c r="AI24" t="s">
        <v>2871</v>
      </c>
      <c r="AJ24" t="s">
        <v>1583</v>
      </c>
      <c r="AK24" t="s">
        <v>2872</v>
      </c>
      <c r="AL24" t="s">
        <v>673</v>
      </c>
      <c r="AM24" t="s">
        <v>2873</v>
      </c>
      <c r="AN24" t="s">
        <v>7</v>
      </c>
      <c r="AO24" t="s">
        <v>2874</v>
      </c>
      <c r="AP24" t="s">
        <v>2875</v>
      </c>
      <c r="AQ24" t="s">
        <v>2876</v>
      </c>
      <c r="AR24" t="s">
        <v>674</v>
      </c>
      <c r="AS24" t="s">
        <v>7</v>
      </c>
      <c r="AT24" t="s">
        <v>2877</v>
      </c>
      <c r="AU24" t="s">
        <v>594</v>
      </c>
      <c r="AV24" t="s">
        <v>618</v>
      </c>
      <c r="AW24" t="s">
        <v>2878</v>
      </c>
      <c r="AX24" t="s">
        <v>2879</v>
      </c>
      <c r="AY24" t="s">
        <v>1170</v>
      </c>
      <c r="AZ24" t="s">
        <v>2880</v>
      </c>
      <c r="BA24" t="s">
        <v>2881</v>
      </c>
      <c r="BB24" t="s">
        <v>2882</v>
      </c>
      <c r="BC24" t="s">
        <v>2883</v>
      </c>
      <c r="BD24" t="s">
        <v>376</v>
      </c>
      <c r="BE24" t="s">
        <v>254</v>
      </c>
      <c r="BF24" t="s">
        <v>495</v>
      </c>
      <c r="BG24" t="s">
        <v>2884</v>
      </c>
      <c r="BH24" t="s">
        <v>1844</v>
      </c>
      <c r="BI24" t="s">
        <v>2885</v>
      </c>
      <c r="BJ24" t="s">
        <v>2886</v>
      </c>
      <c r="BK24" t="s">
        <v>1170</v>
      </c>
      <c r="BL24" t="s">
        <v>2864</v>
      </c>
      <c r="BM24" t="s">
        <v>2520</v>
      </c>
      <c r="BN24" t="s">
        <v>376</v>
      </c>
      <c r="BO24">
        <v>8.42</v>
      </c>
      <c r="BP24">
        <v>6.62</v>
      </c>
      <c r="BQ24">
        <v>4.9400000000000004</v>
      </c>
      <c r="BR24">
        <v>8.58</v>
      </c>
      <c r="BS24">
        <v>10.35</v>
      </c>
      <c r="BT24">
        <v>8.2899999999999991</v>
      </c>
      <c r="BU24">
        <v>6.25</v>
      </c>
      <c r="BV24">
        <v>11.01</v>
      </c>
      <c r="BW24">
        <v>19.88</v>
      </c>
      <c r="BX24">
        <v>22.69</v>
      </c>
      <c r="BY24">
        <v>26.29</v>
      </c>
      <c r="BZ24">
        <v>8.8800000000000008</v>
      </c>
      <c r="CA24">
        <v>9.68</v>
      </c>
      <c r="CB24">
        <v>8.58</v>
      </c>
      <c r="CC24">
        <v>16.75</v>
      </c>
      <c r="CD24">
        <v>30.28</v>
      </c>
      <c r="CE24" t="s">
        <v>2887</v>
      </c>
      <c r="CF24" t="s">
        <v>134</v>
      </c>
      <c r="CG24" s="23">
        <v>0.54369785655399838</v>
      </c>
      <c r="CH24" s="24">
        <v>0.56865609756097557</v>
      </c>
      <c r="CI24" s="23">
        <v>0.76055902242660522</v>
      </c>
      <c r="CJ24" s="23">
        <v>0.21496547758579254</v>
      </c>
      <c r="CK24" s="23">
        <v>-0.10444517433643341</v>
      </c>
      <c r="CL24" s="23">
        <v>0.17563854157924652</v>
      </c>
      <c r="CM24" s="23">
        <v>0.29253420233726501</v>
      </c>
      <c r="CN24" s="24">
        <v>0.61942672729492188</v>
      </c>
      <c r="CO24" s="24">
        <v>0.37719297409057617</v>
      </c>
      <c r="CP24" s="24">
        <v>-0.39442232251167297</v>
      </c>
      <c r="CQ24" s="24">
        <v>2.0325202494859695E-2</v>
      </c>
      <c r="CR24" s="24">
        <v>0.19805194437503815</v>
      </c>
      <c r="CS24">
        <v>6.3317444822472302</v>
      </c>
      <c r="CT24">
        <v>37042914.454277284</v>
      </c>
      <c r="CU24">
        <v>3.709959</v>
      </c>
      <c r="CV24" s="23">
        <v>0.26785041391849518</v>
      </c>
      <c r="CW24" s="24">
        <v>0.16411490514874458</v>
      </c>
      <c r="CX24">
        <v>0.06</v>
      </c>
      <c r="CY24">
        <v>58.170582475792258</v>
      </c>
      <c r="CZ24">
        <v>1216418746.1840656</v>
      </c>
      <c r="DA24">
        <v>0.26785041391849518</v>
      </c>
      <c r="DB24">
        <v>16.403877714720799</v>
      </c>
      <c r="DC24">
        <v>4313601224.6970329</v>
      </c>
      <c r="DD24">
        <v>0.2544578932225704</v>
      </c>
      <c r="DE24">
        <v>6.5521927882043949</v>
      </c>
      <c r="DF24">
        <v>10799405525.335812</v>
      </c>
      <c r="DG24">
        <v>0.23570836424827576</v>
      </c>
      <c r="DH24">
        <v>3.0571393849261512</v>
      </c>
      <c r="DI24">
        <v>23145751007.917908</v>
      </c>
      <c r="DJ24">
        <v>0.21428033113479616</v>
      </c>
      <c r="DK24">
        <v>0.85918870078049203</v>
      </c>
      <c r="DL24">
        <v>82356514856.07457</v>
      </c>
      <c r="DM24">
        <v>0.1874952897429466</v>
      </c>
      <c r="DN24">
        <v>1017000000</v>
      </c>
      <c r="DO24">
        <v>0.26785041391849518</v>
      </c>
      <c r="DP24">
        <v>70759787000</v>
      </c>
      <c r="DQ24">
        <v>1508581800</v>
      </c>
      <c r="DR24">
        <v>3560</v>
      </c>
      <c r="DS24">
        <v>0.2758474426355032</v>
      </c>
      <c r="DT24">
        <v>0.40454119241223097</v>
      </c>
      <c r="DU24" s="25">
        <v>0.91999999999999993</v>
      </c>
      <c r="DV24">
        <v>0.67</v>
      </c>
      <c r="DW24">
        <v>1.5899999999999999</v>
      </c>
      <c r="DX24">
        <v>9.5531704095112282</v>
      </c>
      <c r="DY24">
        <v>0.44867649122807041</v>
      </c>
      <c r="DZ24">
        <v>9.1596872928688953</v>
      </c>
      <c r="EA24">
        <v>508</v>
      </c>
      <c r="EB24">
        <v>9.142496967635287</v>
      </c>
      <c r="EC24">
        <v>9</v>
      </c>
      <c r="ED24">
        <v>7.46545583822288E-2</v>
      </c>
      <c r="EE24">
        <v>0.25860976092870558</v>
      </c>
      <c r="EF24" s="22">
        <v>-1.0892999999999999</v>
      </c>
      <c r="EG24">
        <v>-1.0892999999999999</v>
      </c>
      <c r="EH24">
        <v>16.28867649122807</v>
      </c>
      <c r="EI24" t="s">
        <v>499</v>
      </c>
      <c r="EJ24">
        <v>1</v>
      </c>
      <c r="EK24">
        <v>1</v>
      </c>
    </row>
    <row r="25" spans="1:141" x14ac:dyDescent="0.25">
      <c r="A25" t="s">
        <v>2994</v>
      </c>
      <c r="B25" s="3"/>
      <c r="C25" s="3"/>
      <c r="D25" s="3"/>
      <c r="E25" t="s">
        <v>2380</v>
      </c>
      <c r="F25" t="s">
        <v>2381</v>
      </c>
      <c r="G25">
        <v>31.55</v>
      </c>
      <c r="H25">
        <v>0.77</v>
      </c>
      <c r="I25" t="s">
        <v>2888</v>
      </c>
      <c r="J25">
        <v>15374377000</v>
      </c>
      <c r="K25">
        <v>56.69</v>
      </c>
      <c r="L25">
        <v>4.0599999999999996</v>
      </c>
      <c r="M25" t="s">
        <v>1560</v>
      </c>
      <c r="N25" t="s">
        <v>2889</v>
      </c>
      <c r="O25" t="s">
        <v>2890</v>
      </c>
      <c r="P25" t="s">
        <v>2891</v>
      </c>
      <c r="Q25">
        <v>33.299999999999997</v>
      </c>
      <c r="R25" t="s">
        <v>2892</v>
      </c>
      <c r="S25">
        <v>83431135</v>
      </c>
      <c r="T25" s="4">
        <v>-0.13289999999999999</v>
      </c>
      <c r="U25" t="s">
        <v>653</v>
      </c>
      <c r="V25">
        <v>487301970</v>
      </c>
      <c r="W25">
        <v>487301970</v>
      </c>
      <c r="X25">
        <v>2.0099999999999998</v>
      </c>
      <c r="Y25">
        <v>0.2</v>
      </c>
      <c r="Z25">
        <v>5.62</v>
      </c>
      <c r="AA25" t="s">
        <v>2893</v>
      </c>
      <c r="AB25" t="s">
        <v>2894</v>
      </c>
      <c r="AC25" t="s">
        <v>2895</v>
      </c>
      <c r="AD25" t="s">
        <v>2896</v>
      </c>
      <c r="AE25" t="s">
        <v>638</v>
      </c>
      <c r="AF25">
        <v>6909555</v>
      </c>
      <c r="AG25" t="s">
        <v>2897</v>
      </c>
      <c r="AH25" t="s">
        <v>2898</v>
      </c>
      <c r="AI25" t="s">
        <v>2899</v>
      </c>
      <c r="AJ25" t="s">
        <v>248</v>
      </c>
      <c r="AK25" t="s">
        <v>2900</v>
      </c>
      <c r="AL25" t="s">
        <v>257</v>
      </c>
      <c r="AM25" t="s">
        <v>2901</v>
      </c>
      <c r="AN25" t="s">
        <v>7</v>
      </c>
      <c r="AO25" t="s">
        <v>187</v>
      </c>
      <c r="AP25" t="s">
        <v>346</v>
      </c>
      <c r="AQ25" t="s">
        <v>458</v>
      </c>
      <c r="AR25" t="s">
        <v>2902</v>
      </c>
      <c r="AS25" t="s">
        <v>7</v>
      </c>
      <c r="AT25" t="s">
        <v>2903</v>
      </c>
      <c r="AU25" t="s">
        <v>210</v>
      </c>
      <c r="AV25" t="s">
        <v>29</v>
      </c>
      <c r="AW25" t="s">
        <v>2904</v>
      </c>
      <c r="AX25" t="s">
        <v>2905</v>
      </c>
      <c r="AY25" t="s">
        <v>2906</v>
      </c>
      <c r="AZ25" t="s">
        <v>2907</v>
      </c>
      <c r="BA25" t="s">
        <v>2908</v>
      </c>
      <c r="BB25" t="s">
        <v>2909</v>
      </c>
      <c r="BC25" t="s">
        <v>375</v>
      </c>
      <c r="BD25" t="s">
        <v>51</v>
      </c>
      <c r="BE25" t="s">
        <v>688</v>
      </c>
      <c r="BF25" t="s">
        <v>104</v>
      </c>
      <c r="BG25" t="s">
        <v>59</v>
      </c>
      <c r="BH25" t="s">
        <v>95</v>
      </c>
      <c r="BI25" t="s">
        <v>2910</v>
      </c>
      <c r="BJ25" t="s">
        <v>2911</v>
      </c>
      <c r="BK25" t="s">
        <v>2906</v>
      </c>
      <c r="BL25" t="s">
        <v>653</v>
      </c>
      <c r="BM25" t="s">
        <v>2912</v>
      </c>
      <c r="BN25" t="s">
        <v>51</v>
      </c>
      <c r="BO25">
        <v>5.46</v>
      </c>
      <c r="BP25">
        <v>6.12</v>
      </c>
      <c r="BQ25">
        <v>5.85</v>
      </c>
      <c r="BR25">
        <v>11.88</v>
      </c>
      <c r="BS25">
        <v>7.99</v>
      </c>
      <c r="BT25">
        <v>13.12</v>
      </c>
      <c r="BU25">
        <v>11.53</v>
      </c>
      <c r="BV25">
        <v>19.04</v>
      </c>
      <c r="BW25">
        <v>21.32</v>
      </c>
      <c r="BX25">
        <v>23</v>
      </c>
      <c r="BY25">
        <v>21.22</v>
      </c>
      <c r="BZ25">
        <v>6.2</v>
      </c>
      <c r="CA25">
        <v>6.98</v>
      </c>
      <c r="CB25">
        <v>5.94</v>
      </c>
      <c r="CC25">
        <v>14.15</v>
      </c>
      <c r="CD25">
        <v>34.6</v>
      </c>
      <c r="CE25" t="s">
        <v>2913</v>
      </c>
      <c r="CF25" t="s">
        <v>77</v>
      </c>
      <c r="CG25" s="23">
        <v>0.33282495527728084</v>
      </c>
      <c r="CH25" s="24">
        <v>-0.13294339006935943</v>
      </c>
      <c r="CI25" s="23">
        <v>0.25353264808654785</v>
      </c>
      <c r="CJ25" s="23">
        <v>0.21212121844291687</v>
      </c>
      <c r="CK25" s="23">
        <v>-0.10837002843618393</v>
      </c>
      <c r="CL25" s="23">
        <v>0.10016150772571564</v>
      </c>
      <c r="CM25" s="23">
        <v>0.8088836669921875</v>
      </c>
      <c r="CN25" s="24">
        <v>0.10077519714832306</v>
      </c>
      <c r="CO25" s="24">
        <v>0.4098360538482666</v>
      </c>
      <c r="CP25" s="24">
        <v>-0.35106381773948669</v>
      </c>
      <c r="CQ25" s="24">
        <v>0.12800000607967377</v>
      </c>
      <c r="CR25" s="24">
        <v>1.1929824352264404</v>
      </c>
      <c r="CS25">
        <v>3.3328369824409276</v>
      </c>
      <c r="CT25">
        <v>28008714.436619718</v>
      </c>
      <c r="CU25">
        <v>2.2592399999999997</v>
      </c>
      <c r="CV25" s="23">
        <v>0.2532658025622368</v>
      </c>
      <c r="CW25" s="24">
        <v>0.29610597491264345</v>
      </c>
      <c r="CX25">
        <v>0.06</v>
      </c>
      <c r="CY25">
        <v>45.906090915125247</v>
      </c>
      <c r="CZ25">
        <v>335780648.9883728</v>
      </c>
      <c r="DA25">
        <v>0.2532658025622368</v>
      </c>
      <c r="DB25">
        <v>13.099566370356289</v>
      </c>
      <c r="DC25">
        <v>1176708950.830771</v>
      </c>
      <c r="DD25">
        <v>0.24060251243412495</v>
      </c>
      <c r="DE25">
        <v>5.325153336031045</v>
      </c>
      <c r="DF25">
        <v>2894635332.9777875</v>
      </c>
      <c r="DG25">
        <v>0.22287390625476838</v>
      </c>
      <c r="DH25">
        <v>2.5405485311103537</v>
      </c>
      <c r="DI25">
        <v>6067342076.4228048</v>
      </c>
      <c r="DJ25">
        <v>0.20261264204978946</v>
      </c>
      <c r="DK25">
        <v>0.75552670737187977</v>
      </c>
      <c r="DL25">
        <v>20402160306.972244</v>
      </c>
      <c r="DM25">
        <v>0.17728606179356574</v>
      </c>
      <c r="DN25">
        <v>284000000</v>
      </c>
      <c r="DO25">
        <v>0.2532658025622368</v>
      </c>
      <c r="DP25">
        <v>15414377000</v>
      </c>
      <c r="DQ25">
        <v>1789198699.9999995</v>
      </c>
      <c r="DR25">
        <v>3758</v>
      </c>
      <c r="DS25">
        <v>7.9559152715044046E-2</v>
      </c>
      <c r="DT25">
        <v>-0.42904936498200286</v>
      </c>
      <c r="DU25" s="25">
        <v>0.73666666666666669</v>
      </c>
      <c r="DV25">
        <v>0.21666666666666665</v>
      </c>
      <c r="DW25">
        <v>0.95333333333333337</v>
      </c>
      <c r="DX25">
        <v>9.4089595375722546</v>
      </c>
      <c r="DY25">
        <v>0.51666187845303857</v>
      </c>
      <c r="DZ25">
        <v>9.0886059416216902</v>
      </c>
      <c r="EA25">
        <v>1334</v>
      </c>
      <c r="EB25">
        <v>9.063558192919988</v>
      </c>
      <c r="EC25">
        <v>9</v>
      </c>
      <c r="ED25">
        <v>8.0475356994760355E-2</v>
      </c>
      <c r="EE25">
        <v>0.37143293305381053</v>
      </c>
      <c r="EF25" s="22">
        <v>3.0956000000000001</v>
      </c>
      <c r="EG25">
        <v>3.1032999999999999</v>
      </c>
      <c r="EH25">
        <v>30.216661878453039</v>
      </c>
      <c r="EI25" t="s">
        <v>553</v>
      </c>
      <c r="EJ25">
        <v>1</v>
      </c>
      <c r="EK25">
        <v>1</v>
      </c>
    </row>
    <row r="26" spans="1:141" x14ac:dyDescent="0.25">
      <c r="A26" t="s">
        <v>2993</v>
      </c>
      <c r="B26" s="3"/>
      <c r="C26" s="3"/>
      <c r="D26" s="3"/>
      <c r="E26" t="s">
        <v>2382</v>
      </c>
      <c r="F26" t="s">
        <v>2383</v>
      </c>
      <c r="G26">
        <v>56</v>
      </c>
      <c r="H26">
        <v>-3.78</v>
      </c>
      <c r="I26" t="s">
        <v>2914</v>
      </c>
      <c r="J26">
        <v>14680432000</v>
      </c>
      <c r="K26">
        <v>116.1</v>
      </c>
      <c r="L26">
        <v>5.33</v>
      </c>
      <c r="M26" t="s">
        <v>1560</v>
      </c>
      <c r="N26" t="s">
        <v>1972</v>
      </c>
      <c r="O26" t="s">
        <v>2915</v>
      </c>
      <c r="P26" t="s">
        <v>2916</v>
      </c>
      <c r="Q26">
        <v>18.350000000000001</v>
      </c>
      <c r="R26" t="s">
        <v>2917</v>
      </c>
      <c r="S26">
        <v>79404263</v>
      </c>
      <c r="T26" s="4">
        <v>0.58320000000000005</v>
      </c>
      <c r="U26" t="s">
        <v>2918</v>
      </c>
      <c r="V26">
        <v>257434560</v>
      </c>
      <c r="W26">
        <v>262150560</v>
      </c>
      <c r="X26">
        <v>2.23</v>
      </c>
      <c r="Y26">
        <v>0.2</v>
      </c>
      <c r="Z26">
        <v>6.39</v>
      </c>
      <c r="AA26" t="s">
        <v>145</v>
      </c>
      <c r="AB26" t="s">
        <v>2919</v>
      </c>
      <c r="AC26" t="s">
        <v>2920</v>
      </c>
      <c r="AD26" t="s">
        <v>2921</v>
      </c>
      <c r="AE26" t="s">
        <v>68</v>
      </c>
      <c r="AF26">
        <v>20886616</v>
      </c>
      <c r="AG26" t="s">
        <v>37</v>
      </c>
      <c r="AH26" t="s">
        <v>2922</v>
      </c>
      <c r="AI26" t="s">
        <v>2923</v>
      </c>
      <c r="AJ26" t="s">
        <v>44</v>
      </c>
      <c r="AK26" t="s">
        <v>2924</v>
      </c>
      <c r="AL26" t="s">
        <v>2925</v>
      </c>
      <c r="AM26" t="s">
        <v>2926</v>
      </c>
      <c r="AN26" t="s">
        <v>7</v>
      </c>
      <c r="AO26" t="s">
        <v>2803</v>
      </c>
      <c r="AP26" t="s">
        <v>227</v>
      </c>
      <c r="AQ26" t="s">
        <v>7</v>
      </c>
      <c r="AR26" t="s">
        <v>641</v>
      </c>
      <c r="AS26" t="s">
        <v>7</v>
      </c>
      <c r="AT26" t="s">
        <v>668</v>
      </c>
      <c r="AU26" t="s">
        <v>693</v>
      </c>
      <c r="AV26" t="s">
        <v>2927</v>
      </c>
      <c r="AW26" t="s">
        <v>2928</v>
      </c>
      <c r="AX26" t="s">
        <v>66</v>
      </c>
      <c r="AY26" t="s">
        <v>2929</v>
      </c>
      <c r="AZ26" t="s">
        <v>2930</v>
      </c>
      <c r="BA26" t="s">
        <v>2931</v>
      </c>
      <c r="BB26" t="s">
        <v>2932</v>
      </c>
      <c r="BC26" t="s">
        <v>2933</v>
      </c>
      <c r="BD26" t="s">
        <v>2934</v>
      </c>
      <c r="BE26" t="s">
        <v>2935</v>
      </c>
      <c r="BF26" t="s">
        <v>24</v>
      </c>
      <c r="BG26" t="s">
        <v>212</v>
      </c>
      <c r="BH26" t="s">
        <v>212</v>
      </c>
      <c r="BI26" t="s">
        <v>271</v>
      </c>
      <c r="BJ26" t="s">
        <v>1521</v>
      </c>
      <c r="BK26" t="s">
        <v>2929</v>
      </c>
      <c r="BL26" t="s">
        <v>2918</v>
      </c>
      <c r="BM26" t="s">
        <v>2936</v>
      </c>
      <c r="BN26" t="s">
        <v>2934</v>
      </c>
      <c r="BO26">
        <v>2.13</v>
      </c>
      <c r="BP26">
        <v>2.0699999999999998</v>
      </c>
      <c r="BQ26">
        <v>2.35</v>
      </c>
      <c r="BR26">
        <v>5.8</v>
      </c>
      <c r="BS26">
        <v>3.7</v>
      </c>
      <c r="BT26">
        <v>3.48</v>
      </c>
      <c r="BU26">
        <v>3.49</v>
      </c>
      <c r="BV26">
        <v>7.3</v>
      </c>
      <c r="BW26">
        <v>18.5</v>
      </c>
      <c r="BX26">
        <v>23.56</v>
      </c>
      <c r="BY26">
        <v>23.89</v>
      </c>
      <c r="BZ26">
        <v>2.36</v>
      </c>
      <c r="CA26">
        <v>3.46</v>
      </c>
      <c r="CB26">
        <v>4.62</v>
      </c>
      <c r="CC26">
        <v>7.42</v>
      </c>
      <c r="CD26">
        <v>54.78</v>
      </c>
      <c r="CE26" t="s">
        <v>2937</v>
      </c>
      <c r="CF26" t="s">
        <v>80</v>
      </c>
      <c r="CG26" s="23">
        <v>0.18310226450999048</v>
      </c>
      <c r="CH26" s="24">
        <v>0.58319634967221246</v>
      </c>
      <c r="CI26" s="23">
        <v>0.57971566915512085</v>
      </c>
      <c r="CJ26" s="23">
        <v>0.69245779514312744</v>
      </c>
      <c r="CK26" s="23">
        <v>-5.0617285072803497E-2</v>
      </c>
      <c r="CL26" s="23">
        <v>4.0462471544742584E-2</v>
      </c>
      <c r="CM26" s="23">
        <v>0.27937552332878113</v>
      </c>
      <c r="CN26" s="24">
        <v>0.15945865213871002</v>
      </c>
      <c r="CO26" s="24">
        <v>0.17977608740329742</v>
      </c>
      <c r="CP26" s="24">
        <v>-0.43172404170036316</v>
      </c>
      <c r="CQ26" s="24">
        <v>-0.19354838132858276</v>
      </c>
      <c r="CR26" s="24">
        <v>0</v>
      </c>
      <c r="CS26">
        <v>3.5701439688715957</v>
      </c>
      <c r="CT26">
        <v>79495926.650900185</v>
      </c>
      <c r="CU26">
        <v>2.8499399999999997</v>
      </c>
      <c r="CV26" s="23">
        <v>0.30827883481979368</v>
      </c>
      <c r="CW26" s="24">
        <v>-5.7207536697387693E-2</v>
      </c>
      <c r="CX26">
        <v>0.06</v>
      </c>
      <c r="CY26">
        <v>127.75583656115796</v>
      </c>
      <c r="CZ26">
        <v>119927452.33729875</v>
      </c>
      <c r="DA26">
        <v>0.30827883481979368</v>
      </c>
      <c r="DB26">
        <v>34.871346538135867</v>
      </c>
      <c r="DC26">
        <v>439370242.93696928</v>
      </c>
      <c r="DD26">
        <v>0.29286489307880398</v>
      </c>
      <c r="DE26">
        <v>13.262623042458767</v>
      </c>
      <c r="DF26">
        <v>1155233919.4856246</v>
      </c>
      <c r="DG26">
        <v>0.27128537464141844</v>
      </c>
      <c r="DH26">
        <v>5.811681972689529</v>
      </c>
      <c r="DI26">
        <v>2636316314.6226926</v>
      </c>
      <c r="DJ26">
        <v>0.24662306785583496</v>
      </c>
      <c r="DK26">
        <v>1.3908782418701493</v>
      </c>
      <c r="DL26">
        <v>11015652944.142029</v>
      </c>
      <c r="DM26">
        <v>0.21579518437385556</v>
      </c>
      <c r="DN26">
        <v>97168200</v>
      </c>
      <c r="DO26">
        <v>0.30827883481979368</v>
      </c>
      <c r="DP26">
        <v>15321432000</v>
      </c>
      <c r="DQ26">
        <v>196169000</v>
      </c>
      <c r="DR26">
        <v>3857</v>
      </c>
      <c r="DS26">
        <v>-0.1251765703098032</v>
      </c>
      <c r="DT26">
        <v>0.64040388636960011</v>
      </c>
      <c r="DU26" s="25">
        <v>0.78666666666666663</v>
      </c>
      <c r="DV26">
        <v>0.66666666666666663</v>
      </c>
      <c r="DW26">
        <v>1.4533333333333331</v>
      </c>
      <c r="DX26">
        <v>9.1354508944870396</v>
      </c>
      <c r="DY26">
        <v>0.50975157232704338</v>
      </c>
      <c r="DZ26">
        <v>9.028411038091761</v>
      </c>
      <c r="EA26">
        <v>653</v>
      </c>
      <c r="EB26">
        <v>9.0244796102735965</v>
      </c>
      <c r="EC26">
        <v>9</v>
      </c>
      <c r="ED26">
        <v>0.12721887757935746</v>
      </c>
      <c r="EE26">
        <v>0.60652168738453205</v>
      </c>
      <c r="EF26" s="22">
        <v>3.0779000000000001</v>
      </c>
      <c r="EG26">
        <v>3.0400999999999998</v>
      </c>
      <c r="EH26">
        <v>30.209751572327043</v>
      </c>
      <c r="EI26" t="s">
        <v>553</v>
      </c>
      <c r="EJ26">
        <v>1</v>
      </c>
      <c r="EK26">
        <v>1</v>
      </c>
    </row>
    <row r="27" spans="1:141" x14ac:dyDescent="0.25">
      <c r="A27" t="s">
        <v>2995</v>
      </c>
      <c r="B27" s="3"/>
      <c r="C27" s="3"/>
      <c r="D27" s="3"/>
      <c r="E27" t="s">
        <v>2384</v>
      </c>
      <c r="F27" t="s">
        <v>2385</v>
      </c>
      <c r="G27">
        <v>12.29</v>
      </c>
      <c r="H27">
        <v>-1.92</v>
      </c>
      <c r="I27" t="s">
        <v>2938</v>
      </c>
      <c r="J27">
        <v>11573986500</v>
      </c>
      <c r="K27">
        <v>29.11</v>
      </c>
      <c r="L27">
        <v>2.8</v>
      </c>
      <c r="M27" t="s">
        <v>1560</v>
      </c>
      <c r="N27" t="s">
        <v>270</v>
      </c>
      <c r="O27" t="s">
        <v>2939</v>
      </c>
      <c r="P27" t="s">
        <v>2940</v>
      </c>
      <c r="Q27">
        <v>-4.95</v>
      </c>
      <c r="R27" t="s">
        <v>2941</v>
      </c>
      <c r="S27">
        <v>143260910</v>
      </c>
      <c r="T27" s="4">
        <v>-0.1142</v>
      </c>
      <c r="U27" t="s">
        <v>2942</v>
      </c>
      <c r="V27">
        <v>941740160</v>
      </c>
      <c r="W27">
        <v>941740160</v>
      </c>
      <c r="X27">
        <v>1.32</v>
      </c>
      <c r="Y27">
        <v>0.21</v>
      </c>
      <c r="Z27">
        <v>12.75</v>
      </c>
      <c r="AA27" t="s">
        <v>2943</v>
      </c>
      <c r="AB27" t="s">
        <v>97</v>
      </c>
      <c r="AC27" t="s">
        <v>2944</v>
      </c>
      <c r="AD27" t="s">
        <v>2945</v>
      </c>
      <c r="AE27" t="s">
        <v>88</v>
      </c>
      <c r="AF27">
        <v>8716869</v>
      </c>
      <c r="AG27" t="s">
        <v>2946</v>
      </c>
      <c r="AH27" t="s">
        <v>2947</v>
      </c>
      <c r="AI27" t="s">
        <v>2948</v>
      </c>
      <c r="AJ27" t="s">
        <v>2162</v>
      </c>
      <c r="AK27" t="s">
        <v>2949</v>
      </c>
      <c r="AL27" t="s">
        <v>7</v>
      </c>
      <c r="AM27" t="s">
        <v>2950</v>
      </c>
      <c r="AN27" t="s">
        <v>7</v>
      </c>
      <c r="AO27" t="s">
        <v>86</v>
      </c>
      <c r="AP27" t="s">
        <v>67</v>
      </c>
      <c r="AQ27" t="s">
        <v>7</v>
      </c>
      <c r="AR27" t="s">
        <v>2699</v>
      </c>
      <c r="AS27" t="s">
        <v>7</v>
      </c>
      <c r="AT27" t="s">
        <v>617</v>
      </c>
      <c r="AU27" t="s">
        <v>7</v>
      </c>
      <c r="AV27" t="s">
        <v>46</v>
      </c>
      <c r="AW27" t="s">
        <v>435</v>
      </c>
      <c r="AX27" t="s">
        <v>2951</v>
      </c>
      <c r="AY27" t="s">
        <v>2952</v>
      </c>
      <c r="AZ27" t="s">
        <v>2953</v>
      </c>
      <c r="BA27" t="s">
        <v>2954</v>
      </c>
      <c r="BB27" t="s">
        <v>2955</v>
      </c>
      <c r="BC27" t="s">
        <v>2956</v>
      </c>
      <c r="BD27" t="s">
        <v>109</v>
      </c>
      <c r="BE27" t="s">
        <v>272</v>
      </c>
      <c r="BF27" t="s">
        <v>22</v>
      </c>
      <c r="BG27" t="s">
        <v>457</v>
      </c>
      <c r="BH27" t="s">
        <v>1976</v>
      </c>
      <c r="BI27" t="s">
        <v>2052</v>
      </c>
      <c r="BJ27" t="s">
        <v>643</v>
      </c>
      <c r="BK27" t="s">
        <v>2952</v>
      </c>
      <c r="BL27" t="s">
        <v>2942</v>
      </c>
      <c r="BM27" t="s">
        <v>156</v>
      </c>
      <c r="BN27" t="s">
        <v>109</v>
      </c>
      <c r="BO27">
        <v>9.67</v>
      </c>
      <c r="BP27">
        <v>9.1300000000000008</v>
      </c>
      <c r="BQ27">
        <v>15.06</v>
      </c>
      <c r="BR27">
        <v>15.57</v>
      </c>
      <c r="BS27">
        <v>10.63</v>
      </c>
      <c r="BT27">
        <v>10.35</v>
      </c>
      <c r="BU27">
        <v>17.850000000000001</v>
      </c>
      <c r="BV27">
        <v>17.29</v>
      </c>
      <c r="BW27">
        <v>24.83</v>
      </c>
      <c r="BX27">
        <v>25.8</v>
      </c>
      <c r="BY27">
        <v>30.43</v>
      </c>
      <c r="BZ27">
        <v>9.89</v>
      </c>
      <c r="CA27">
        <v>9.9499999999999993</v>
      </c>
      <c r="CB27">
        <v>13.01</v>
      </c>
      <c r="CC27">
        <v>14.54</v>
      </c>
      <c r="CD27">
        <v>55.12</v>
      </c>
      <c r="CE27" t="s">
        <v>2957</v>
      </c>
      <c r="CF27" t="s">
        <v>1136</v>
      </c>
      <c r="CG27" s="23">
        <v>-4.9846914623837703E-2</v>
      </c>
      <c r="CH27" s="24">
        <v>-0.1156733950617284</v>
      </c>
      <c r="CI27" s="23">
        <v>6.5569572150707245E-2</v>
      </c>
      <c r="CJ27" s="23">
        <v>-0.18015769124031067</v>
      </c>
      <c r="CK27" s="23">
        <v>0.12754504382610321</v>
      </c>
      <c r="CL27" s="23">
        <v>0.31598395109176636</v>
      </c>
      <c r="CM27" s="23">
        <v>0.18374042212963104</v>
      </c>
      <c r="CN27" s="24">
        <v>5.8524172753095627E-2</v>
      </c>
      <c r="CO27" s="24">
        <v>-0.37119999527931213</v>
      </c>
      <c r="CP27" s="24">
        <v>0.12007168680429459</v>
      </c>
      <c r="CQ27" s="24">
        <v>-4.1237112134695053E-2</v>
      </c>
      <c r="CR27" s="24">
        <v>0.30786517262458801</v>
      </c>
      <c r="CS27">
        <v>2.7498186029935847</v>
      </c>
      <c r="CT27">
        <v>32464028.846153848</v>
      </c>
      <c r="CU27">
        <v>3.5343</v>
      </c>
      <c r="CV27" s="23">
        <v>0.10253625959157944</v>
      </c>
      <c r="CW27" s="24">
        <v>1.4804784953594208E-2</v>
      </c>
      <c r="CX27">
        <v>0.06</v>
      </c>
      <c r="CY27">
        <v>20.242936389647571</v>
      </c>
      <c r="CZ27">
        <v>432693475.46235573</v>
      </c>
      <c r="DA27">
        <v>0.10253625959157944</v>
      </c>
      <c r="DB27">
        <v>6.5454496635291068</v>
      </c>
      <c r="DC27">
        <v>1338179491.136354</v>
      </c>
      <c r="DD27">
        <v>9.7409446612000461E-2</v>
      </c>
      <c r="DE27">
        <v>3.1766030853585203</v>
      </c>
      <c r="DF27">
        <v>2757343698.4845829</v>
      </c>
      <c r="DG27">
        <v>9.0231908440589911E-2</v>
      </c>
      <c r="DH27">
        <v>1.8770296754298743</v>
      </c>
      <c r="DI27">
        <v>4666408109.9272079</v>
      </c>
      <c r="DJ27">
        <v>8.2029007673263557E-2</v>
      </c>
      <c r="DK27">
        <v>0.93555990059183525</v>
      </c>
      <c r="DL27">
        <v>9362293632.3575478</v>
      </c>
      <c r="DM27">
        <v>7.1775381714105607E-2</v>
      </c>
      <c r="DN27">
        <v>416000000</v>
      </c>
      <c r="DO27">
        <v>0.10253625959157944</v>
      </c>
      <c r="DP27">
        <v>8758986500</v>
      </c>
      <c r="DQ27">
        <v>2372101400</v>
      </c>
      <c r="DR27">
        <v>4033</v>
      </c>
      <c r="DS27">
        <v>-0.15238317421541714</v>
      </c>
      <c r="DT27">
        <v>-0.1304781800153226</v>
      </c>
      <c r="DU27" s="25">
        <v>6.6666666666666638E-2</v>
      </c>
      <c r="DV27">
        <v>-5.000000000000001E-2</v>
      </c>
      <c r="DW27">
        <v>1.6666666666666628E-2</v>
      </c>
      <c r="DX27">
        <v>9.2637880986937589</v>
      </c>
      <c r="DY27">
        <v>0.61891925465838571</v>
      </c>
      <c r="DZ27">
        <v>9.0894028657970409</v>
      </c>
      <c r="EA27">
        <v>2947</v>
      </c>
      <c r="EB27">
        <v>9.0335710697589224</v>
      </c>
      <c r="EC27">
        <v>9</v>
      </c>
      <c r="ED27">
        <v>5.7941672573462305E-2</v>
      </c>
      <c r="EE27">
        <v>0.17096010857177418</v>
      </c>
      <c r="EF27" s="22">
        <v>1.1203000000000001</v>
      </c>
      <c r="EG27">
        <v>1.1011</v>
      </c>
      <c r="EH27">
        <v>28.338919254658386</v>
      </c>
      <c r="EI27" t="s">
        <v>498</v>
      </c>
      <c r="EJ27">
        <v>1</v>
      </c>
      <c r="EK27">
        <v>0</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K6"/>
  <sheetViews>
    <sheetView zoomScale="85" zoomScaleNormal="85" workbookViewId="0">
      <selection sqref="A1:XFD1048576"/>
    </sheetView>
  </sheetViews>
  <sheetFormatPr defaultRowHeight="14.4" x14ac:dyDescent="0.25"/>
  <cols>
    <col min="1" max="1" width="14.88671875" customWidth="1"/>
    <col min="2" max="2" width="41.5546875" customWidth="1"/>
    <col min="3" max="3" width="40.5546875" customWidth="1"/>
    <col min="4" max="4" width="42.88671875" customWidth="1"/>
  </cols>
  <sheetData>
    <row r="1" spans="1:141" s="16" customFormat="1" x14ac:dyDescent="0.25">
      <c r="A1" s="17" t="s">
        <v>309</v>
      </c>
      <c r="B1" s="20" t="s">
        <v>500</v>
      </c>
      <c r="C1" s="21" t="s">
        <v>501</v>
      </c>
      <c r="D1" s="20" t="s">
        <v>502</v>
      </c>
      <c r="E1" t="s">
        <v>2</v>
      </c>
      <c r="F1" t="s">
        <v>3</v>
      </c>
      <c r="G1" t="s">
        <v>0</v>
      </c>
      <c r="H1" t="s">
        <v>466</v>
      </c>
      <c r="I1" t="s">
        <v>503</v>
      </c>
      <c r="J1" t="s">
        <v>4</v>
      </c>
      <c r="K1" t="s">
        <v>5</v>
      </c>
      <c r="L1" t="s">
        <v>1</v>
      </c>
      <c r="M1" t="s">
        <v>6</v>
      </c>
      <c r="N1" t="s">
        <v>9</v>
      </c>
      <c r="O1" t="s">
        <v>10</v>
      </c>
      <c r="P1" t="s">
        <v>11</v>
      </c>
      <c r="Q1" t="s">
        <v>504</v>
      </c>
      <c r="R1" t="s">
        <v>467</v>
      </c>
      <c r="S1" t="s">
        <v>505</v>
      </c>
      <c r="T1" t="s">
        <v>12</v>
      </c>
      <c r="U1" t="s">
        <v>468</v>
      </c>
      <c r="V1" t="s">
        <v>469</v>
      </c>
      <c r="W1" t="s">
        <v>13</v>
      </c>
      <c r="X1" t="s">
        <v>388</v>
      </c>
      <c r="Y1" t="s">
        <v>389</v>
      </c>
      <c r="Z1" t="s">
        <v>390</v>
      </c>
      <c r="AA1" t="s">
        <v>391</v>
      </c>
      <c r="AB1" t="s">
        <v>392</v>
      </c>
      <c r="AC1" t="s">
        <v>470</v>
      </c>
      <c r="AD1" t="s">
        <v>393</v>
      </c>
      <c r="AE1" t="s">
        <v>506</v>
      </c>
      <c r="AF1" t="s">
        <v>14</v>
      </c>
      <c r="AG1" t="s">
        <v>15</v>
      </c>
      <c r="AH1" t="s">
        <v>471</v>
      </c>
      <c r="AI1" t="s">
        <v>507</v>
      </c>
      <c r="AJ1" t="s">
        <v>472</v>
      </c>
      <c r="AK1" t="s">
        <v>16</v>
      </c>
      <c r="AL1" t="s">
        <v>473</v>
      </c>
      <c r="AM1" t="s">
        <v>310</v>
      </c>
      <c r="AN1" t="s">
        <v>474</v>
      </c>
      <c r="AO1" t="s">
        <v>475</v>
      </c>
      <c r="AP1" t="s">
        <v>476</v>
      </c>
      <c r="AQ1" t="s">
        <v>477</v>
      </c>
      <c r="AR1" t="s">
        <v>478</v>
      </c>
      <c r="AS1" t="s">
        <v>479</v>
      </c>
      <c r="AT1" t="s">
        <v>480</v>
      </c>
      <c r="AU1" t="s">
        <v>481</v>
      </c>
      <c r="AV1" t="s">
        <v>482</v>
      </c>
      <c r="AW1" t="s">
        <v>483</v>
      </c>
      <c r="AX1" t="s">
        <v>484</v>
      </c>
      <c r="AY1" t="s">
        <v>508</v>
      </c>
      <c r="AZ1" t="s">
        <v>311</v>
      </c>
      <c r="BA1" t="s">
        <v>312</v>
      </c>
      <c r="BB1" t="s">
        <v>313</v>
      </c>
      <c r="BC1" t="s">
        <v>314</v>
      </c>
      <c r="BD1" t="s">
        <v>320</v>
      </c>
      <c r="BE1" t="s">
        <v>315</v>
      </c>
      <c r="BF1" t="s">
        <v>316</v>
      </c>
      <c r="BG1" t="s">
        <v>317</v>
      </c>
      <c r="BH1" t="s">
        <v>318</v>
      </c>
      <c r="BI1" t="s">
        <v>509</v>
      </c>
      <c r="BJ1" t="s">
        <v>485</v>
      </c>
      <c r="BK1" t="s">
        <v>319</v>
      </c>
      <c r="BL1" t="s">
        <v>486</v>
      </c>
      <c r="BM1" t="s">
        <v>487</v>
      </c>
      <c r="BN1" t="s">
        <v>488</v>
      </c>
      <c r="BO1" t="s">
        <v>489</v>
      </c>
      <c r="BP1" t="s">
        <v>321</v>
      </c>
      <c r="BQ1" t="s">
        <v>322</v>
      </c>
      <c r="BR1" t="s">
        <v>323</v>
      </c>
      <c r="BS1" t="s">
        <v>490</v>
      </c>
      <c r="BT1" t="s">
        <v>324</v>
      </c>
      <c r="BU1" t="s">
        <v>325</v>
      </c>
      <c r="BV1" t="s">
        <v>326</v>
      </c>
      <c r="BW1" t="s">
        <v>491</v>
      </c>
      <c r="BX1" t="s">
        <v>327</v>
      </c>
      <c r="BY1" t="s">
        <v>328</v>
      </c>
      <c r="BZ1" t="s">
        <v>492</v>
      </c>
      <c r="CA1" t="s">
        <v>329</v>
      </c>
      <c r="CB1" t="s">
        <v>330</v>
      </c>
      <c r="CC1" t="s">
        <v>510</v>
      </c>
      <c r="CD1" t="s">
        <v>511</v>
      </c>
      <c r="CE1" t="s">
        <v>512</v>
      </c>
      <c r="CF1" t="s">
        <v>513</v>
      </c>
      <c r="CG1" s="1" t="s">
        <v>394</v>
      </c>
      <c r="CH1" s="1" t="s">
        <v>395</v>
      </c>
      <c r="CI1" s="1" t="s">
        <v>396</v>
      </c>
      <c r="CJ1" s="1" t="s">
        <v>397</v>
      </c>
      <c r="CK1" s="1" t="s">
        <v>398</v>
      </c>
      <c r="CL1" s="1" t="s">
        <v>399</v>
      </c>
      <c r="CM1" s="1" t="s">
        <v>400</v>
      </c>
      <c r="CN1" s="1" t="s">
        <v>401</v>
      </c>
      <c r="CO1" s="1" t="s">
        <v>402</v>
      </c>
      <c r="CP1" s="1" t="s">
        <v>403</v>
      </c>
      <c r="CQ1" s="1" t="s">
        <v>404</v>
      </c>
      <c r="CR1" s="1" t="s">
        <v>405</v>
      </c>
      <c r="CS1" s="1" t="s">
        <v>406</v>
      </c>
      <c r="CT1" s="1" t="s">
        <v>407</v>
      </c>
      <c r="CU1" s="1" t="s">
        <v>408</v>
      </c>
      <c r="CV1" s="1" t="s">
        <v>409</v>
      </c>
      <c r="CW1" s="1" t="s">
        <v>410</v>
      </c>
      <c r="CX1" s="1" t="s">
        <v>297</v>
      </c>
      <c r="CY1">
        <v>1</v>
      </c>
      <c r="CZ1" t="s">
        <v>411</v>
      </c>
      <c r="DA1" t="s">
        <v>412</v>
      </c>
      <c r="DB1">
        <v>3</v>
      </c>
      <c r="DC1" t="s">
        <v>413</v>
      </c>
      <c r="DD1" t="s">
        <v>414</v>
      </c>
      <c r="DE1">
        <v>6</v>
      </c>
      <c r="DF1" t="s">
        <v>415</v>
      </c>
      <c r="DG1" t="s">
        <v>525</v>
      </c>
      <c r="DH1">
        <v>10</v>
      </c>
      <c r="DI1" t="s">
        <v>526</v>
      </c>
      <c r="DJ1" t="s">
        <v>416</v>
      </c>
      <c r="DK1">
        <v>20</v>
      </c>
      <c r="DL1" t="s">
        <v>417</v>
      </c>
      <c r="DM1" t="s">
        <v>418</v>
      </c>
      <c r="DN1" t="s">
        <v>419</v>
      </c>
      <c r="DO1" s="2" t="s">
        <v>420</v>
      </c>
      <c r="DP1" t="s">
        <v>431</v>
      </c>
      <c r="DQ1" t="s">
        <v>421</v>
      </c>
      <c r="DR1" s="1" t="s">
        <v>531</v>
      </c>
      <c r="DS1" s="1" t="s">
        <v>532</v>
      </c>
      <c r="DT1" s="1" t="s">
        <v>422</v>
      </c>
      <c r="DU1" t="s">
        <v>423</v>
      </c>
      <c r="DV1" t="s">
        <v>424</v>
      </c>
      <c r="DW1" t="s">
        <v>425</v>
      </c>
      <c r="DX1" t="s">
        <v>426</v>
      </c>
      <c r="DY1" t="s">
        <v>538</v>
      </c>
      <c r="DZ1" t="s">
        <v>427</v>
      </c>
      <c r="EA1" t="s">
        <v>428</v>
      </c>
      <c r="EB1" t="s">
        <v>429</v>
      </c>
      <c r="EC1" t="s">
        <v>430</v>
      </c>
      <c r="ED1" t="s">
        <v>462</v>
      </c>
      <c r="EE1" t="s">
        <v>463</v>
      </c>
      <c r="EF1" t="s">
        <v>545</v>
      </c>
      <c r="EG1" t="s">
        <v>546</v>
      </c>
      <c r="EH1" t="s">
        <v>547</v>
      </c>
      <c r="EI1" t="s">
        <v>548</v>
      </c>
      <c r="EJ1" t="s">
        <v>549</v>
      </c>
      <c r="EK1"/>
    </row>
    <row r="2" spans="1:141" s="16" customFormat="1" ht="71.55" customHeight="1" x14ac:dyDescent="0.25">
      <c r="A2" s="27"/>
      <c r="B2" s="29"/>
      <c r="C2" s="30">
        <v>3</v>
      </c>
      <c r="D2" s="30">
        <v>6</v>
      </c>
      <c r="T2" s="18"/>
      <c r="U2" s="18"/>
      <c r="V2" s="18"/>
      <c r="AB2" s="19"/>
    </row>
    <row r="3" spans="1:141" ht="184.95" customHeight="1" x14ac:dyDescent="0.25">
      <c r="B3" s="3" t="s">
        <v>3093</v>
      </c>
      <c r="C3" s="3"/>
      <c r="D3" s="3" t="s">
        <v>3094</v>
      </c>
      <c r="E3" t="s">
        <v>2996</v>
      </c>
      <c r="F3" t="s">
        <v>2997</v>
      </c>
      <c r="G3">
        <v>20.22</v>
      </c>
      <c r="H3">
        <v>3.27</v>
      </c>
      <c r="I3" t="s">
        <v>2998</v>
      </c>
      <c r="J3">
        <v>26619423000</v>
      </c>
      <c r="K3">
        <v>27.21</v>
      </c>
      <c r="L3">
        <v>2.52</v>
      </c>
      <c r="M3" t="s">
        <v>1560</v>
      </c>
      <c r="N3" t="s">
        <v>3006</v>
      </c>
      <c r="O3" t="s">
        <v>3007</v>
      </c>
      <c r="P3" t="s">
        <v>3008</v>
      </c>
      <c r="Q3">
        <v>5.0999999999999996</v>
      </c>
      <c r="R3" t="s">
        <v>3009</v>
      </c>
      <c r="S3">
        <v>250777980</v>
      </c>
      <c r="T3" s="4">
        <v>5.5599999999999997E-2</v>
      </c>
      <c r="U3" t="s">
        <v>72</v>
      </c>
      <c r="V3">
        <v>1313897320</v>
      </c>
      <c r="W3">
        <v>1316489750</v>
      </c>
      <c r="X3">
        <v>1.76</v>
      </c>
      <c r="Y3">
        <v>0.18</v>
      </c>
      <c r="Z3">
        <v>7.43</v>
      </c>
      <c r="AA3" t="s">
        <v>3010</v>
      </c>
      <c r="AB3" t="s">
        <v>3011</v>
      </c>
      <c r="AC3" t="s">
        <v>3012</v>
      </c>
      <c r="AD3" t="s">
        <v>3013</v>
      </c>
      <c r="AE3" t="s">
        <v>7</v>
      </c>
      <c r="AF3">
        <v>23017295</v>
      </c>
      <c r="AG3" t="s">
        <v>3014</v>
      </c>
      <c r="AH3" t="s">
        <v>3015</v>
      </c>
      <c r="AI3" t="s">
        <v>3016</v>
      </c>
      <c r="AJ3" t="s">
        <v>1621</v>
      </c>
      <c r="AK3" t="s">
        <v>3017</v>
      </c>
      <c r="AL3" t="s">
        <v>139</v>
      </c>
      <c r="AM3" t="s">
        <v>3018</v>
      </c>
      <c r="AN3" t="s">
        <v>7</v>
      </c>
      <c r="AO3" t="s">
        <v>3019</v>
      </c>
      <c r="AP3" t="s">
        <v>3020</v>
      </c>
      <c r="AQ3" t="s">
        <v>1680</v>
      </c>
      <c r="AR3" t="s">
        <v>2630</v>
      </c>
      <c r="AS3" t="s">
        <v>7</v>
      </c>
      <c r="AT3" t="s">
        <v>3021</v>
      </c>
      <c r="AU3" t="s">
        <v>3022</v>
      </c>
      <c r="AV3" t="s">
        <v>129</v>
      </c>
      <c r="AW3" t="s">
        <v>3023</v>
      </c>
      <c r="AX3" t="s">
        <v>87</v>
      </c>
      <c r="AY3" t="s">
        <v>3024</v>
      </c>
      <c r="AZ3" t="s">
        <v>3025</v>
      </c>
      <c r="BA3" t="s">
        <v>3026</v>
      </c>
      <c r="BB3" t="s">
        <v>3027</v>
      </c>
      <c r="BC3" t="s">
        <v>3028</v>
      </c>
      <c r="BD3" t="s">
        <v>2178</v>
      </c>
      <c r="BE3" t="s">
        <v>928</v>
      </c>
      <c r="BF3" t="s">
        <v>3029</v>
      </c>
      <c r="BG3" t="s">
        <v>3030</v>
      </c>
      <c r="BH3" t="s">
        <v>1061</v>
      </c>
      <c r="BI3" t="s">
        <v>3031</v>
      </c>
      <c r="BJ3" t="s">
        <v>3032</v>
      </c>
      <c r="BK3" t="s">
        <v>3024</v>
      </c>
      <c r="BL3" t="s">
        <v>72</v>
      </c>
      <c r="BM3" t="s">
        <v>3033</v>
      </c>
      <c r="BN3" t="s">
        <v>2178</v>
      </c>
      <c r="BO3">
        <v>6.34</v>
      </c>
      <c r="BP3">
        <v>3.23</v>
      </c>
      <c r="BQ3">
        <v>4.29</v>
      </c>
      <c r="BR3">
        <v>8.8699999999999992</v>
      </c>
      <c r="BS3">
        <v>10.62</v>
      </c>
      <c r="BT3">
        <v>5.49</v>
      </c>
      <c r="BU3">
        <v>6.91</v>
      </c>
      <c r="BV3">
        <v>13.98</v>
      </c>
      <c r="BW3">
        <v>22.51</v>
      </c>
      <c r="BX3">
        <v>22.65</v>
      </c>
      <c r="BY3">
        <v>25.34</v>
      </c>
      <c r="BZ3">
        <v>7.66</v>
      </c>
      <c r="CA3">
        <v>4.3</v>
      </c>
      <c r="CB3">
        <v>5.0599999999999996</v>
      </c>
      <c r="CC3">
        <v>-2.93</v>
      </c>
      <c r="CD3">
        <v>9.77</v>
      </c>
      <c r="CE3" t="s">
        <v>69</v>
      </c>
      <c r="CF3" t="s">
        <v>3095</v>
      </c>
      <c r="CG3" s="23">
        <v>5.0880569461827285E-2</v>
      </c>
      <c r="CH3" s="24">
        <v>5.3688991596638654E-2</v>
      </c>
      <c r="CI3" s="23">
        <v>8.9106351137161255E-2</v>
      </c>
      <c r="CJ3" s="23">
        <v>-1.3497361913323402E-2</v>
      </c>
      <c r="CK3" s="23">
        <v>-5.4060578346252441E-2</v>
      </c>
      <c r="CL3" s="23">
        <v>5.1401838660240173E-2</v>
      </c>
      <c r="CM3" s="23">
        <v>0.40386456251144409</v>
      </c>
      <c r="CN3" s="24">
        <v>0.95740365982055664</v>
      </c>
      <c r="CO3" s="24">
        <v>-0.18106311559677124</v>
      </c>
      <c r="CP3" s="24">
        <v>-0.46008971333503723</v>
      </c>
      <c r="CQ3" s="24">
        <v>-1.0647736489772797E-2</v>
      </c>
      <c r="CR3" s="24">
        <v>0.25083246827125549</v>
      </c>
      <c r="CS3">
        <v>2.1165161008189552</v>
      </c>
      <c r="CT3">
        <v>22207969.948186528</v>
      </c>
      <c r="CU3">
        <v>2.3538239999999995</v>
      </c>
      <c r="CV3" s="23">
        <v>9.5362962409853938E-2</v>
      </c>
      <c r="CW3" s="24">
        <v>0.11128711253404618</v>
      </c>
      <c r="CX3">
        <v>0.06</v>
      </c>
      <c r="CY3">
        <v>24.181284381812056</v>
      </c>
      <c r="CZ3">
        <v>997193640.30708408</v>
      </c>
      <c r="DA3">
        <v>9.5362962409853938E-2</v>
      </c>
      <c r="DB3">
        <v>7.8664352023479802</v>
      </c>
      <c r="DC3">
        <v>3065355828.8769231</v>
      </c>
      <c r="DD3">
        <v>9.0594814289361239E-2</v>
      </c>
      <c r="DE3">
        <v>3.8489833709784347</v>
      </c>
      <c r="DF3">
        <v>6264881054.5186176</v>
      </c>
      <c r="DG3">
        <v>8.3919406920671472E-2</v>
      </c>
      <c r="DH3">
        <v>2.2955417162813467</v>
      </c>
      <c r="DI3">
        <v>10504458633.434219</v>
      </c>
      <c r="DJ3">
        <v>7.6290369927883156E-2</v>
      </c>
      <c r="DK3">
        <v>1.1680102347311567</v>
      </c>
      <c r="DL3">
        <v>20644873035.337944</v>
      </c>
      <c r="DM3">
        <v>6.6754073686897758E-2</v>
      </c>
      <c r="DN3">
        <v>965000000</v>
      </c>
      <c r="DO3">
        <v>9.5362962409853938E-2</v>
      </c>
      <c r="DP3">
        <v>24113423000</v>
      </c>
      <c r="DQ3">
        <v>3776071599.999999</v>
      </c>
      <c r="DR3">
        <v>358</v>
      </c>
      <c r="DS3">
        <v>-4.4482392948026653E-2</v>
      </c>
      <c r="DT3">
        <v>-5.7598120937407522E-2</v>
      </c>
      <c r="DU3" s="25">
        <v>9.9999999999999992E-2</v>
      </c>
      <c r="DV3">
        <v>0.15</v>
      </c>
      <c r="DW3">
        <v>0.25</v>
      </c>
      <c r="DX3">
        <v>-6.2307086614173226</v>
      </c>
      <c r="DY3">
        <v>0.43127658804961383</v>
      </c>
      <c r="DZ3">
        <v>-6.0325937325185333</v>
      </c>
      <c r="EA3">
        <v>2796</v>
      </c>
      <c r="EB3">
        <v>-6.0135642741510624</v>
      </c>
      <c r="EC3">
        <v>6</v>
      </c>
      <c r="ED3">
        <v>0.12609289210189445</v>
      </c>
      <c r="EE3">
        <v>0.89252498927545776</v>
      </c>
      <c r="EF3" s="22">
        <v>3.0691099999999998</v>
      </c>
      <c r="EG3">
        <v>3.0364100000000001</v>
      </c>
      <c r="EH3">
        <v>29.141276588049614</v>
      </c>
      <c r="EI3" t="s">
        <v>2345</v>
      </c>
      <c r="EJ3">
        <v>0</v>
      </c>
      <c r="EK3">
        <v>0</v>
      </c>
    </row>
    <row r="4" spans="1:141" ht="184.95" customHeight="1" x14ac:dyDescent="0.25">
      <c r="B4" s="3" t="s">
        <v>3096</v>
      </c>
      <c r="C4" s="3"/>
      <c r="D4" s="3" t="s">
        <v>3034</v>
      </c>
      <c r="E4" t="s">
        <v>2999</v>
      </c>
      <c r="F4" t="s">
        <v>3000</v>
      </c>
      <c r="G4">
        <v>7.07</v>
      </c>
      <c r="H4">
        <v>2.3199999999999998</v>
      </c>
      <c r="I4" t="s">
        <v>3001</v>
      </c>
      <c r="J4">
        <v>8055962200</v>
      </c>
      <c r="K4">
        <v>17.399999999999999</v>
      </c>
      <c r="L4">
        <v>1.43</v>
      </c>
      <c r="M4" t="s">
        <v>1560</v>
      </c>
      <c r="N4" t="s">
        <v>3035</v>
      </c>
      <c r="O4" t="s">
        <v>3036</v>
      </c>
      <c r="P4" t="s">
        <v>3037</v>
      </c>
      <c r="Q4">
        <v>-40.880000000000003</v>
      </c>
      <c r="R4" t="s">
        <v>3038</v>
      </c>
      <c r="S4">
        <v>116831750</v>
      </c>
      <c r="T4" s="4">
        <v>-0.45519999999999999</v>
      </c>
      <c r="U4" t="s">
        <v>3039</v>
      </c>
      <c r="V4">
        <v>995322830</v>
      </c>
      <c r="W4">
        <v>1139457180</v>
      </c>
      <c r="X4">
        <v>1.5</v>
      </c>
      <c r="Y4">
        <v>0.11</v>
      </c>
      <c r="Z4">
        <v>10.050000000000001</v>
      </c>
      <c r="AA4" t="s">
        <v>3040</v>
      </c>
      <c r="AB4" t="s">
        <v>1775</v>
      </c>
      <c r="AC4" t="s">
        <v>3041</v>
      </c>
      <c r="AD4" t="s">
        <v>3042</v>
      </c>
      <c r="AE4" t="s">
        <v>7</v>
      </c>
      <c r="AF4">
        <v>-1433310</v>
      </c>
      <c r="AG4" t="s">
        <v>3043</v>
      </c>
      <c r="AH4" t="s">
        <v>3044</v>
      </c>
      <c r="AI4" t="s">
        <v>3045</v>
      </c>
      <c r="AJ4" t="s">
        <v>3046</v>
      </c>
      <c r="AK4" t="s">
        <v>3047</v>
      </c>
      <c r="AL4" t="s">
        <v>3048</v>
      </c>
      <c r="AM4" t="s">
        <v>3049</v>
      </c>
      <c r="AN4" t="s">
        <v>7</v>
      </c>
      <c r="AO4" t="s">
        <v>3050</v>
      </c>
      <c r="AP4" t="s">
        <v>2771</v>
      </c>
      <c r="AQ4" t="s">
        <v>3051</v>
      </c>
      <c r="AR4" t="s">
        <v>3052</v>
      </c>
      <c r="AS4" t="s">
        <v>7</v>
      </c>
      <c r="AT4" t="s">
        <v>3053</v>
      </c>
      <c r="AU4" t="s">
        <v>7</v>
      </c>
      <c r="AV4" t="s">
        <v>3054</v>
      </c>
      <c r="AW4" t="s">
        <v>3055</v>
      </c>
      <c r="AX4" t="s">
        <v>3056</v>
      </c>
      <c r="AY4" t="s">
        <v>3057</v>
      </c>
      <c r="AZ4" t="s">
        <v>3058</v>
      </c>
      <c r="BA4" t="s">
        <v>2908</v>
      </c>
      <c r="BB4" t="s">
        <v>3059</v>
      </c>
      <c r="BC4" t="s">
        <v>3060</v>
      </c>
      <c r="BD4" t="s">
        <v>3061</v>
      </c>
      <c r="BE4" t="s">
        <v>3062</v>
      </c>
      <c r="BF4" t="s">
        <v>2032</v>
      </c>
      <c r="BG4" t="s">
        <v>202</v>
      </c>
      <c r="BH4" t="s">
        <v>3063</v>
      </c>
      <c r="BI4" t="s">
        <v>188</v>
      </c>
      <c r="BJ4" t="s">
        <v>2076</v>
      </c>
      <c r="BK4" t="s">
        <v>3057</v>
      </c>
      <c r="BL4" t="s">
        <v>3039</v>
      </c>
      <c r="BM4" t="s">
        <v>3064</v>
      </c>
      <c r="BN4" t="s">
        <v>3061</v>
      </c>
      <c r="BO4">
        <v>7.27</v>
      </c>
      <c r="BP4">
        <v>7.73</v>
      </c>
      <c r="BQ4">
        <v>5.99</v>
      </c>
      <c r="BR4">
        <v>6.08</v>
      </c>
      <c r="BS4">
        <v>10.29</v>
      </c>
      <c r="BT4">
        <v>10.61</v>
      </c>
      <c r="BU4">
        <v>8.0399999999999991</v>
      </c>
      <c r="BV4">
        <v>8.41</v>
      </c>
      <c r="BW4">
        <v>24.13</v>
      </c>
      <c r="BX4">
        <v>24.87</v>
      </c>
      <c r="BY4">
        <v>26.23</v>
      </c>
      <c r="BZ4">
        <v>11.44</v>
      </c>
      <c r="CA4">
        <v>11.45</v>
      </c>
      <c r="CB4">
        <v>9.82</v>
      </c>
      <c r="CC4">
        <v>5.84</v>
      </c>
      <c r="CD4">
        <v>11.69</v>
      </c>
      <c r="CE4" t="s">
        <v>205</v>
      </c>
      <c r="CF4" t="s">
        <v>3065</v>
      </c>
      <c r="CG4" s="23">
        <v>-0.40870937062937063</v>
      </c>
      <c r="CH4" s="24">
        <v>-0.32074563953488372</v>
      </c>
      <c r="CI4" s="23">
        <v>6.6169753670692444E-2</v>
      </c>
      <c r="CJ4" s="23">
        <v>0.22897590696811676</v>
      </c>
      <c r="CK4" s="23">
        <v>5.8149818331003189E-2</v>
      </c>
      <c r="CL4" s="23">
        <v>0.12711022794246674</v>
      </c>
      <c r="CM4" s="23">
        <v>0.65806800127029419</v>
      </c>
      <c r="CN4" s="24">
        <v>6.4960628747940063E-2</v>
      </c>
      <c r="CO4" s="24">
        <v>0.43502825498580933</v>
      </c>
      <c r="CP4" s="24">
        <v>3.5087719559669495E-2</v>
      </c>
      <c r="CQ4" s="24">
        <v>2.0895522087812424E-2</v>
      </c>
      <c r="CR4" s="24">
        <v>0.72680413722991943</v>
      </c>
      <c r="CS4">
        <v>1.7064101249735226</v>
      </c>
      <c r="CT4">
        <v>17533789.833641406</v>
      </c>
      <c r="CU4">
        <v>1.6582500000000002</v>
      </c>
      <c r="CV4" s="23">
        <v>0.22769474163651465</v>
      </c>
      <c r="CW4" s="24">
        <v>0.25655525252223016</v>
      </c>
      <c r="CX4">
        <v>0.06</v>
      </c>
      <c r="CY4">
        <v>8.3515253192103938</v>
      </c>
      <c r="CZ4">
        <v>626587599.26920235</v>
      </c>
      <c r="DA4">
        <v>0.22769474163651465</v>
      </c>
      <c r="DB4">
        <v>2.4334223679574865</v>
      </c>
      <c r="DC4">
        <v>2150453726.7783608</v>
      </c>
      <c r="DD4">
        <v>0.21631000455468891</v>
      </c>
      <c r="DE4">
        <v>1.0200369978747532</v>
      </c>
      <c r="DF4">
        <v>5130169014.3621016</v>
      </c>
      <c r="DG4">
        <v>0.20037137264013288</v>
      </c>
      <c r="DH4">
        <v>0.50573039629529093</v>
      </c>
      <c r="DI4">
        <v>10347335731.318245</v>
      </c>
      <c r="DJ4">
        <v>0.18215579330921172</v>
      </c>
      <c r="DK4">
        <v>0.165700928365519</v>
      </c>
      <c r="DL4">
        <v>31580765730.27177</v>
      </c>
      <c r="DM4">
        <v>0.15938631914556026</v>
      </c>
      <c r="DN4">
        <v>541000000</v>
      </c>
      <c r="DO4">
        <v>0.22769474163651465</v>
      </c>
      <c r="DP4">
        <v>5232962200</v>
      </c>
      <c r="DQ4">
        <v>1942026300</v>
      </c>
      <c r="DR4">
        <v>771</v>
      </c>
      <c r="DS4">
        <v>-0.63640411226588522</v>
      </c>
      <c r="DT4">
        <v>-0.57730089205711388</v>
      </c>
      <c r="DU4" s="25">
        <v>0.13</v>
      </c>
      <c r="DV4">
        <v>0.13</v>
      </c>
      <c r="DW4">
        <v>0.26</v>
      </c>
      <c r="DX4">
        <v>8.4995722840034222</v>
      </c>
      <c r="DY4">
        <v>0.47288951841359633</v>
      </c>
      <c r="DZ4">
        <v>8.0813750887540987</v>
      </c>
      <c r="EA4">
        <v>2782</v>
      </c>
      <c r="EB4">
        <v>8.0341031119501931</v>
      </c>
      <c r="EC4">
        <v>8</v>
      </c>
      <c r="ED4">
        <v>0.10092524933670609</v>
      </c>
      <c r="EE4">
        <v>0.61959326984099572</v>
      </c>
      <c r="EF4" s="22">
        <v>1.03251</v>
      </c>
      <c r="EG4">
        <v>1.0093099999999999</v>
      </c>
      <c r="EH4">
        <v>31.162889518413596</v>
      </c>
      <c r="EI4" t="s">
        <v>551</v>
      </c>
      <c r="EJ4">
        <v>0</v>
      </c>
      <c r="EK4">
        <v>0</v>
      </c>
    </row>
    <row r="5" spans="1:141" ht="151.19999999999999" x14ac:dyDescent="0.25">
      <c r="B5" s="3" t="s">
        <v>3097</v>
      </c>
      <c r="C5" s="3"/>
      <c r="D5" s="3" t="s">
        <v>3098</v>
      </c>
      <c r="E5" t="s">
        <v>2378</v>
      </c>
      <c r="F5" t="s">
        <v>2379</v>
      </c>
      <c r="G5">
        <v>82</v>
      </c>
      <c r="H5">
        <v>0.12</v>
      </c>
      <c r="I5" t="s">
        <v>3002</v>
      </c>
      <c r="J5">
        <v>90367819000</v>
      </c>
      <c r="K5">
        <v>78.099999999999994</v>
      </c>
      <c r="L5">
        <v>8.23</v>
      </c>
      <c r="M5" t="s">
        <v>1560</v>
      </c>
      <c r="N5" t="s">
        <v>2860</v>
      </c>
      <c r="O5" t="s">
        <v>2861</v>
      </c>
      <c r="P5" t="s">
        <v>2862</v>
      </c>
      <c r="Q5">
        <v>54.34</v>
      </c>
      <c r="R5" t="s">
        <v>2863</v>
      </c>
      <c r="S5">
        <v>702000000</v>
      </c>
      <c r="T5" s="4">
        <v>0.56840000000000002</v>
      </c>
      <c r="U5" t="s">
        <v>2864</v>
      </c>
      <c r="V5">
        <v>1102046570</v>
      </c>
      <c r="W5">
        <v>1102046570</v>
      </c>
      <c r="X5">
        <v>1.83</v>
      </c>
      <c r="Y5">
        <v>0.19</v>
      </c>
      <c r="Z5">
        <v>10.67</v>
      </c>
      <c r="AA5" t="s">
        <v>2865</v>
      </c>
      <c r="AB5" t="s">
        <v>2866</v>
      </c>
      <c r="AC5" t="s">
        <v>2867</v>
      </c>
      <c r="AD5" t="s">
        <v>2868</v>
      </c>
      <c r="AE5" t="s">
        <v>7</v>
      </c>
      <c r="AF5">
        <v>2242945</v>
      </c>
      <c r="AG5" t="s">
        <v>2869</v>
      </c>
      <c r="AH5" t="s">
        <v>2870</v>
      </c>
      <c r="AI5" t="s">
        <v>2871</v>
      </c>
      <c r="AJ5" t="s">
        <v>1583</v>
      </c>
      <c r="AK5" t="s">
        <v>2872</v>
      </c>
      <c r="AL5" t="s">
        <v>673</v>
      </c>
      <c r="AM5" t="s">
        <v>2873</v>
      </c>
      <c r="AN5" t="s">
        <v>7</v>
      </c>
      <c r="AO5" t="s">
        <v>2874</v>
      </c>
      <c r="AP5" t="s">
        <v>2875</v>
      </c>
      <c r="AQ5" t="s">
        <v>2876</v>
      </c>
      <c r="AR5" t="s">
        <v>674</v>
      </c>
      <c r="AS5" t="s">
        <v>7</v>
      </c>
      <c r="AT5" t="s">
        <v>2877</v>
      </c>
      <c r="AU5" t="s">
        <v>594</v>
      </c>
      <c r="AV5" t="s">
        <v>618</v>
      </c>
      <c r="AW5" t="s">
        <v>2878</v>
      </c>
      <c r="AX5" t="s">
        <v>2879</v>
      </c>
      <c r="AY5" t="s">
        <v>1170</v>
      </c>
      <c r="AZ5" t="s">
        <v>2880</v>
      </c>
      <c r="BA5" t="s">
        <v>2881</v>
      </c>
      <c r="BB5" t="s">
        <v>2882</v>
      </c>
      <c r="BC5" t="s">
        <v>2883</v>
      </c>
      <c r="BD5" t="s">
        <v>376</v>
      </c>
      <c r="BE5" t="s">
        <v>254</v>
      </c>
      <c r="BF5" t="s">
        <v>495</v>
      </c>
      <c r="BG5" t="s">
        <v>2884</v>
      </c>
      <c r="BH5" t="s">
        <v>1844</v>
      </c>
      <c r="BI5" t="s">
        <v>2885</v>
      </c>
      <c r="BJ5" t="s">
        <v>2886</v>
      </c>
      <c r="BK5" t="s">
        <v>1170</v>
      </c>
      <c r="BL5" t="s">
        <v>2864</v>
      </c>
      <c r="BM5" t="s">
        <v>2520</v>
      </c>
      <c r="BN5" t="s">
        <v>376</v>
      </c>
      <c r="BO5">
        <v>8.42</v>
      </c>
      <c r="BP5">
        <v>6.62</v>
      </c>
      <c r="BQ5">
        <v>4.9400000000000004</v>
      </c>
      <c r="BR5">
        <v>8.58</v>
      </c>
      <c r="BS5">
        <v>10.35</v>
      </c>
      <c r="BT5">
        <v>8.2899999999999991</v>
      </c>
      <c r="BU5">
        <v>6.25</v>
      </c>
      <c r="BV5">
        <v>11.01</v>
      </c>
      <c r="BW5">
        <v>19.88</v>
      </c>
      <c r="BX5">
        <v>22.69</v>
      </c>
      <c r="BY5">
        <v>26.29</v>
      </c>
      <c r="BZ5">
        <v>8.8800000000000008</v>
      </c>
      <c r="CA5">
        <v>9.68</v>
      </c>
      <c r="CB5">
        <v>8.58</v>
      </c>
      <c r="CC5">
        <v>-1.77</v>
      </c>
      <c r="CD5">
        <v>13.42</v>
      </c>
      <c r="CE5" t="s">
        <v>3099</v>
      </c>
      <c r="CF5" t="s">
        <v>3100</v>
      </c>
      <c r="CG5" s="23">
        <v>0.54369785655399838</v>
      </c>
      <c r="CH5" s="24">
        <v>1.8536585365853659</v>
      </c>
      <c r="CI5" s="23">
        <v>0.76055902242660522</v>
      </c>
      <c r="CJ5" s="23">
        <v>0.21496547758579254</v>
      </c>
      <c r="CK5" s="23">
        <v>-0.10444517433643341</v>
      </c>
      <c r="CL5" s="23">
        <v>0.17563854157924652</v>
      </c>
      <c r="CM5" s="23">
        <v>0.29253420233726501</v>
      </c>
      <c r="CN5" s="24">
        <v>0.61942672729492188</v>
      </c>
      <c r="CO5" s="24">
        <v>0.37719297409057617</v>
      </c>
      <c r="CP5" s="24">
        <v>-0.39442232251167297</v>
      </c>
      <c r="CQ5" s="24">
        <v>2.0325202494859695E-2</v>
      </c>
      <c r="CR5" s="24">
        <v>0.19805194437503815</v>
      </c>
      <c r="CS5">
        <v>7.8834353136177269</v>
      </c>
      <c r="CT5">
        <v>37042914.454277284</v>
      </c>
      <c r="CU5">
        <v>3.709959</v>
      </c>
      <c r="CV5" s="23">
        <v>0.26785041391849518</v>
      </c>
      <c r="CW5" s="24">
        <v>0.16411490514874458</v>
      </c>
      <c r="CX5">
        <v>0.06</v>
      </c>
      <c r="CY5">
        <v>72.793040454015909</v>
      </c>
      <c r="CZ5">
        <v>1216418746.1840656</v>
      </c>
      <c r="DA5">
        <v>0.26785041391849518</v>
      </c>
      <c r="DB5">
        <v>20.527353917890061</v>
      </c>
      <c r="DC5">
        <v>4313601224.6970329</v>
      </c>
      <c r="DD5">
        <v>0.2544578932225704</v>
      </c>
      <c r="DE5">
        <v>8.1992308550934432</v>
      </c>
      <c r="DF5">
        <v>10799405525.335812</v>
      </c>
      <c r="DG5">
        <v>0.23570836424827576</v>
      </c>
      <c r="DH5">
        <v>3.8256187483270301</v>
      </c>
      <c r="DI5">
        <v>23145751007.917908</v>
      </c>
      <c r="DJ5">
        <v>0.21428033113479616</v>
      </c>
      <c r="DK5">
        <v>1.0751647171416074</v>
      </c>
      <c r="DL5">
        <v>82356514856.07457</v>
      </c>
      <c r="DM5">
        <v>0.1874952897429466</v>
      </c>
      <c r="DN5">
        <v>1017000000</v>
      </c>
      <c r="DO5">
        <v>0.26785041391849518</v>
      </c>
      <c r="DP5">
        <v>88546819000</v>
      </c>
      <c r="DQ5">
        <v>1508581800</v>
      </c>
      <c r="DR5">
        <v>3599</v>
      </c>
      <c r="DS5">
        <v>0.2758474426355032</v>
      </c>
      <c r="DT5">
        <v>1.6895436314366215</v>
      </c>
      <c r="DU5" s="25">
        <v>0.91999999999999993</v>
      </c>
      <c r="DV5">
        <v>0.89</v>
      </c>
      <c r="DW5">
        <v>1.81</v>
      </c>
      <c r="DX5">
        <v>2.1341999999999999</v>
      </c>
      <c r="DY5">
        <v>0.38661249999999869</v>
      </c>
      <c r="DZ5">
        <v>2.0156493974999998</v>
      </c>
      <c r="EA5">
        <v>537</v>
      </c>
      <c r="EB5">
        <v>2.0138945997431614</v>
      </c>
      <c r="EC5">
        <v>2</v>
      </c>
      <c r="ED5">
        <v>3.3860638030931853E-2</v>
      </c>
      <c r="EE5">
        <v>0.2903688543760905</v>
      </c>
      <c r="EF5" s="22">
        <v>1.0403100000000001</v>
      </c>
      <c r="EG5">
        <v>1.03911</v>
      </c>
      <c r="EH5">
        <v>27.116612499999999</v>
      </c>
      <c r="EI5" t="s">
        <v>551</v>
      </c>
      <c r="EJ5">
        <v>1</v>
      </c>
      <c r="EK5">
        <v>1</v>
      </c>
    </row>
    <row r="6" spans="1:141" ht="172.8" x14ac:dyDescent="0.25">
      <c r="B6" s="3" t="s">
        <v>3101</v>
      </c>
      <c r="C6" s="3"/>
      <c r="D6" s="3" t="s">
        <v>3102</v>
      </c>
      <c r="E6" t="s">
        <v>3003</v>
      </c>
      <c r="F6" t="s">
        <v>3004</v>
      </c>
      <c r="G6">
        <v>61.53</v>
      </c>
      <c r="H6">
        <v>2.06</v>
      </c>
      <c r="I6" t="s">
        <v>3005</v>
      </c>
      <c r="J6">
        <v>12783221000</v>
      </c>
      <c r="K6">
        <v>53.73</v>
      </c>
      <c r="L6">
        <v>5.68</v>
      </c>
      <c r="M6" t="s">
        <v>1560</v>
      </c>
      <c r="N6" t="s">
        <v>3066</v>
      </c>
      <c r="O6" t="s">
        <v>3067</v>
      </c>
      <c r="P6" t="s">
        <v>3068</v>
      </c>
      <c r="Q6">
        <v>3.6</v>
      </c>
      <c r="R6" t="s">
        <v>3069</v>
      </c>
      <c r="S6">
        <v>44551680</v>
      </c>
      <c r="T6" s="4">
        <v>-0.40620000000000001</v>
      </c>
      <c r="U6" t="s">
        <v>3070</v>
      </c>
      <c r="V6">
        <v>201859610</v>
      </c>
      <c r="W6">
        <v>207755910</v>
      </c>
      <c r="X6">
        <v>2.12</v>
      </c>
      <c r="Y6">
        <v>0.18</v>
      </c>
      <c r="Z6">
        <v>4.58</v>
      </c>
      <c r="AA6" t="s">
        <v>693</v>
      </c>
      <c r="AB6" t="s">
        <v>1431</v>
      </c>
      <c r="AC6" t="s">
        <v>3071</v>
      </c>
      <c r="AD6" t="s">
        <v>3072</v>
      </c>
      <c r="AE6" t="s">
        <v>7</v>
      </c>
      <c r="AF6">
        <v>21706488</v>
      </c>
      <c r="AG6" t="s">
        <v>3073</v>
      </c>
      <c r="AH6" t="s">
        <v>3074</v>
      </c>
      <c r="AI6" t="s">
        <v>3075</v>
      </c>
      <c r="AJ6" t="s">
        <v>3076</v>
      </c>
      <c r="AK6" t="s">
        <v>3077</v>
      </c>
      <c r="AL6" t="s">
        <v>7</v>
      </c>
      <c r="AM6" t="s">
        <v>3078</v>
      </c>
      <c r="AN6" t="s">
        <v>7</v>
      </c>
      <c r="AO6" t="s">
        <v>233</v>
      </c>
      <c r="AP6" t="s">
        <v>3062</v>
      </c>
      <c r="AQ6" t="s">
        <v>149</v>
      </c>
      <c r="AR6" t="s">
        <v>3079</v>
      </c>
      <c r="AS6" t="s">
        <v>3080</v>
      </c>
      <c r="AT6" t="s">
        <v>3081</v>
      </c>
      <c r="AU6" t="s">
        <v>3082</v>
      </c>
      <c r="AV6" t="s">
        <v>3083</v>
      </c>
      <c r="AW6" t="s">
        <v>3084</v>
      </c>
      <c r="AX6" t="s">
        <v>3085</v>
      </c>
      <c r="AY6" t="s">
        <v>3086</v>
      </c>
      <c r="AZ6" t="s">
        <v>3087</v>
      </c>
      <c r="BA6" t="s">
        <v>3088</v>
      </c>
      <c r="BB6" t="s">
        <v>3089</v>
      </c>
      <c r="BC6" t="s">
        <v>2839</v>
      </c>
      <c r="BD6" t="s">
        <v>688</v>
      </c>
      <c r="BE6" t="s">
        <v>3064</v>
      </c>
      <c r="BF6" t="s">
        <v>212</v>
      </c>
      <c r="BG6" t="s">
        <v>3090</v>
      </c>
      <c r="BH6" t="s">
        <v>3091</v>
      </c>
      <c r="BI6" t="s">
        <v>72</v>
      </c>
      <c r="BJ6" t="s">
        <v>2245</v>
      </c>
      <c r="BK6" t="s">
        <v>3086</v>
      </c>
      <c r="BL6" t="s">
        <v>3070</v>
      </c>
      <c r="BM6" t="s">
        <v>3092</v>
      </c>
      <c r="BN6" t="s">
        <v>688</v>
      </c>
      <c r="BO6">
        <v>8.35</v>
      </c>
      <c r="BP6">
        <v>7.66</v>
      </c>
      <c r="BQ6">
        <v>8.02</v>
      </c>
      <c r="BR6">
        <v>8.14</v>
      </c>
      <c r="BS6">
        <v>14.47</v>
      </c>
      <c r="BT6">
        <v>16.559999999999999</v>
      </c>
      <c r="BU6">
        <v>16.760000000000002</v>
      </c>
      <c r="BV6">
        <v>12.04</v>
      </c>
      <c r="BW6">
        <v>27.41</v>
      </c>
      <c r="BX6">
        <v>31.88</v>
      </c>
      <c r="BY6">
        <v>30.86</v>
      </c>
      <c r="BZ6">
        <v>7.48</v>
      </c>
      <c r="CA6">
        <v>3.97</v>
      </c>
      <c r="CB6">
        <v>4.82</v>
      </c>
      <c r="CC6">
        <v>-1.47</v>
      </c>
      <c r="CD6">
        <v>28.19</v>
      </c>
      <c r="CE6" t="s">
        <v>3103</v>
      </c>
      <c r="CF6" t="s">
        <v>93</v>
      </c>
      <c r="CG6" s="23">
        <v>3.5764463519313304E-2</v>
      </c>
      <c r="CH6" s="24">
        <v>-0.40621590534998619</v>
      </c>
      <c r="CI6" s="23">
        <v>0.17021909356117249</v>
      </c>
      <c r="CJ6" s="23">
        <v>3.0111798550933599E-3</v>
      </c>
      <c r="CK6" s="23">
        <v>0.44078093767166138</v>
      </c>
      <c r="CL6" s="23">
        <v>0.10764056444168091</v>
      </c>
      <c r="CM6" s="23">
        <v>0.23942814767360687</v>
      </c>
      <c r="CN6" s="24">
        <v>0.46448087692260742</v>
      </c>
      <c r="CO6" s="24">
        <v>6.3953489065170288E-2</v>
      </c>
      <c r="CP6" s="24">
        <v>0.10967741906642914</v>
      </c>
      <c r="CQ6" s="24">
        <v>-0.10919540375471115</v>
      </c>
      <c r="CR6" s="24">
        <v>0.31818181276321411</v>
      </c>
      <c r="CS6">
        <v>3.2794307337095949</v>
      </c>
      <c r="CT6">
        <v>13265835.447761193</v>
      </c>
      <c r="CU6">
        <v>1.7477279999999999</v>
      </c>
      <c r="CV6" s="23">
        <v>0.19221598464064299</v>
      </c>
      <c r="CW6" s="24">
        <v>0.16941963881254196</v>
      </c>
      <c r="CX6">
        <v>0.06</v>
      </c>
      <c r="CY6">
        <v>43.377564979445914</v>
      </c>
      <c r="CZ6">
        <v>301428192.34310597</v>
      </c>
      <c r="DA6">
        <v>0.19221598464064299</v>
      </c>
      <c r="DB6">
        <v>13.013456980259717</v>
      </c>
      <c r="DC6">
        <v>1004746165.4373603</v>
      </c>
      <c r="DD6">
        <v>0.18260518540861084</v>
      </c>
      <c r="DE6">
        <v>5.6901258272611903</v>
      </c>
      <c r="DF6">
        <v>2297879062.244473</v>
      </c>
      <c r="DG6">
        <v>0.16915006648376582</v>
      </c>
      <c r="DH6">
        <v>2.9719328806785854</v>
      </c>
      <c r="DI6">
        <v>4399568067.3025551</v>
      </c>
      <c r="DJ6">
        <v>0.1537727877125144</v>
      </c>
      <c r="DK6">
        <v>1.1078689078033233</v>
      </c>
      <c r="DL6">
        <v>11802137335.838299</v>
      </c>
      <c r="DM6">
        <v>0.13455118924845008</v>
      </c>
      <c r="DN6">
        <v>268000000.00000003</v>
      </c>
      <c r="DO6">
        <v>0.19221598464064299</v>
      </c>
      <c r="DP6">
        <v>13075221000</v>
      </c>
      <c r="DQ6">
        <v>1554344500</v>
      </c>
      <c r="DR6">
        <v>3811</v>
      </c>
      <c r="DS6">
        <v>-0.15645152112132968</v>
      </c>
      <c r="DT6">
        <v>-0.57563554416252816</v>
      </c>
      <c r="DU6" s="25">
        <v>0.39999999999999997</v>
      </c>
      <c r="DV6">
        <v>4.6666666666666669E-2</v>
      </c>
      <c r="DW6">
        <v>0.44666666666666666</v>
      </c>
      <c r="DX6">
        <v>3.1378630952380955</v>
      </c>
      <c r="DY6">
        <v>0.32699301075268977</v>
      </c>
      <c r="DZ6">
        <v>3.0188862804883514</v>
      </c>
      <c r="EA6">
        <v>2503</v>
      </c>
      <c r="EB6">
        <v>3.0090152510328609</v>
      </c>
      <c r="EC6">
        <v>3</v>
      </c>
      <c r="ED6">
        <v>0.12264729316244241</v>
      </c>
      <c r="EE6">
        <v>0.89528139055105582</v>
      </c>
      <c r="EF6" s="22">
        <v>3.0342099999999999</v>
      </c>
      <c r="EG6">
        <v>3.0136099999999999</v>
      </c>
      <c r="EH6">
        <v>19.13699301075269</v>
      </c>
      <c r="EI6" t="s">
        <v>2345</v>
      </c>
      <c r="EJ6">
        <v>0</v>
      </c>
      <c r="EK6">
        <v>0</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K20"/>
  <sheetViews>
    <sheetView workbookViewId="0">
      <selection activeCell="D4" sqref="D4"/>
    </sheetView>
  </sheetViews>
  <sheetFormatPr defaultRowHeight="14.4" x14ac:dyDescent="0.25"/>
  <cols>
    <col min="1" max="1" width="14.88671875" customWidth="1"/>
    <col min="2" max="2" width="41.5546875" customWidth="1"/>
    <col min="3" max="3" width="40.5546875" customWidth="1"/>
    <col min="4" max="4" width="42.88671875" customWidth="1"/>
  </cols>
  <sheetData>
    <row r="1" spans="1:141" s="16" customFormat="1" x14ac:dyDescent="0.25">
      <c r="A1" s="17" t="s">
        <v>309</v>
      </c>
      <c r="B1" s="20" t="s">
        <v>500</v>
      </c>
      <c r="C1" s="21" t="s">
        <v>501</v>
      </c>
      <c r="D1" s="20" t="s">
        <v>502</v>
      </c>
      <c r="E1" t="s">
        <v>2</v>
      </c>
      <c r="F1" t="s">
        <v>3</v>
      </c>
      <c r="G1" t="s">
        <v>0</v>
      </c>
      <c r="H1" t="s">
        <v>466</v>
      </c>
      <c r="I1" t="s">
        <v>503</v>
      </c>
      <c r="J1" t="s">
        <v>4</v>
      </c>
      <c r="K1" t="s">
        <v>5</v>
      </c>
      <c r="L1" t="s">
        <v>1</v>
      </c>
      <c r="M1" t="s">
        <v>6</v>
      </c>
      <c r="N1" t="s">
        <v>9</v>
      </c>
      <c r="O1" t="s">
        <v>10</v>
      </c>
      <c r="P1" t="s">
        <v>11</v>
      </c>
      <c r="Q1" t="s">
        <v>504</v>
      </c>
      <c r="R1" t="s">
        <v>467</v>
      </c>
      <c r="S1" t="s">
        <v>505</v>
      </c>
      <c r="T1" t="s">
        <v>12</v>
      </c>
      <c r="U1" t="s">
        <v>468</v>
      </c>
      <c r="V1" t="s">
        <v>469</v>
      </c>
      <c r="W1" t="s">
        <v>13</v>
      </c>
      <c r="X1" t="s">
        <v>388</v>
      </c>
      <c r="Y1" t="s">
        <v>389</v>
      </c>
      <c r="Z1" t="s">
        <v>390</v>
      </c>
      <c r="AA1" t="s">
        <v>391</v>
      </c>
      <c r="AB1" t="s">
        <v>392</v>
      </c>
      <c r="AC1" t="s">
        <v>470</v>
      </c>
      <c r="AD1" t="s">
        <v>393</v>
      </c>
      <c r="AE1" t="s">
        <v>506</v>
      </c>
      <c r="AF1" t="s">
        <v>14</v>
      </c>
      <c r="AG1" t="s">
        <v>15</v>
      </c>
      <c r="AH1" t="s">
        <v>471</v>
      </c>
      <c r="AI1" t="s">
        <v>507</v>
      </c>
      <c r="AJ1" t="s">
        <v>472</v>
      </c>
      <c r="AK1" t="s">
        <v>16</v>
      </c>
      <c r="AL1" t="s">
        <v>473</v>
      </c>
      <c r="AM1" t="s">
        <v>310</v>
      </c>
      <c r="AN1" t="s">
        <v>474</v>
      </c>
      <c r="AO1" t="s">
        <v>475</v>
      </c>
      <c r="AP1" t="s">
        <v>476</v>
      </c>
      <c r="AQ1" t="s">
        <v>477</v>
      </c>
      <c r="AR1" t="s">
        <v>478</v>
      </c>
      <c r="AS1" t="s">
        <v>479</v>
      </c>
      <c r="AT1" t="s">
        <v>480</v>
      </c>
      <c r="AU1" t="s">
        <v>481</v>
      </c>
      <c r="AV1" t="s">
        <v>482</v>
      </c>
      <c r="AW1" t="s">
        <v>483</v>
      </c>
      <c r="AX1" t="s">
        <v>484</v>
      </c>
      <c r="AY1" t="s">
        <v>508</v>
      </c>
      <c r="AZ1" t="s">
        <v>311</v>
      </c>
      <c r="BA1" t="s">
        <v>312</v>
      </c>
      <c r="BB1" t="s">
        <v>313</v>
      </c>
      <c r="BC1" t="s">
        <v>314</v>
      </c>
      <c r="BD1" t="s">
        <v>320</v>
      </c>
      <c r="BE1" t="s">
        <v>315</v>
      </c>
      <c r="BF1" t="s">
        <v>316</v>
      </c>
      <c r="BG1" t="s">
        <v>317</v>
      </c>
      <c r="BH1" t="s">
        <v>318</v>
      </c>
      <c r="BI1" t="s">
        <v>509</v>
      </c>
      <c r="BJ1" t="s">
        <v>485</v>
      </c>
      <c r="BK1" t="s">
        <v>319</v>
      </c>
      <c r="BL1" t="s">
        <v>486</v>
      </c>
      <c r="BM1" t="s">
        <v>487</v>
      </c>
      <c r="BN1" t="s">
        <v>488</v>
      </c>
      <c r="BO1" t="s">
        <v>489</v>
      </c>
      <c r="BP1" t="s">
        <v>321</v>
      </c>
      <c r="BQ1" t="s">
        <v>322</v>
      </c>
      <c r="BR1" t="s">
        <v>323</v>
      </c>
      <c r="BS1" t="s">
        <v>490</v>
      </c>
      <c r="BT1" t="s">
        <v>324</v>
      </c>
      <c r="BU1" t="s">
        <v>325</v>
      </c>
      <c r="BV1" t="s">
        <v>326</v>
      </c>
      <c r="BW1" t="s">
        <v>491</v>
      </c>
      <c r="BX1" t="s">
        <v>327</v>
      </c>
      <c r="BY1" t="s">
        <v>328</v>
      </c>
      <c r="BZ1" t="s">
        <v>492</v>
      </c>
      <c r="CA1" t="s">
        <v>329</v>
      </c>
      <c r="CB1" t="s">
        <v>330</v>
      </c>
      <c r="CC1" t="s">
        <v>510</v>
      </c>
      <c r="CD1" t="s">
        <v>511</v>
      </c>
      <c r="CE1" t="s">
        <v>512</v>
      </c>
      <c r="CF1" t="s">
        <v>513</v>
      </c>
      <c r="CG1" s="1" t="s">
        <v>394</v>
      </c>
      <c r="CH1" s="1" t="s">
        <v>395</v>
      </c>
      <c r="CI1" s="1" t="s">
        <v>396</v>
      </c>
      <c r="CJ1" s="1" t="s">
        <v>397</v>
      </c>
      <c r="CK1" s="1" t="s">
        <v>398</v>
      </c>
      <c r="CL1" s="1" t="s">
        <v>399</v>
      </c>
      <c r="CM1" s="1" t="s">
        <v>400</v>
      </c>
      <c r="CN1" s="1" t="s">
        <v>401</v>
      </c>
      <c r="CO1" s="1" t="s">
        <v>402</v>
      </c>
      <c r="CP1" s="1" t="s">
        <v>403</v>
      </c>
      <c r="CQ1" s="1" t="s">
        <v>404</v>
      </c>
      <c r="CR1" s="1" t="s">
        <v>405</v>
      </c>
      <c r="CS1" s="1" t="s">
        <v>406</v>
      </c>
      <c r="CT1" s="1" t="s">
        <v>407</v>
      </c>
      <c r="CU1" s="1" t="s">
        <v>408</v>
      </c>
      <c r="CV1" s="1" t="s">
        <v>409</v>
      </c>
      <c r="CW1" s="1" t="s">
        <v>410</v>
      </c>
      <c r="CX1" s="1" t="s">
        <v>290</v>
      </c>
      <c r="CY1">
        <v>1</v>
      </c>
      <c r="CZ1" t="s">
        <v>411</v>
      </c>
      <c r="DA1" t="s">
        <v>412</v>
      </c>
      <c r="DB1">
        <v>3</v>
      </c>
      <c r="DC1" t="s">
        <v>413</v>
      </c>
      <c r="DD1" t="s">
        <v>414</v>
      </c>
      <c r="DE1">
        <v>6</v>
      </c>
      <c r="DF1" t="s">
        <v>415</v>
      </c>
      <c r="DG1" t="s">
        <v>525</v>
      </c>
      <c r="DH1">
        <v>10</v>
      </c>
      <c r="DI1" t="s">
        <v>526</v>
      </c>
      <c r="DJ1" t="s">
        <v>416</v>
      </c>
      <c r="DK1">
        <v>20</v>
      </c>
      <c r="DL1" t="s">
        <v>417</v>
      </c>
      <c r="DM1" t="s">
        <v>418</v>
      </c>
      <c r="DN1" t="s">
        <v>419</v>
      </c>
      <c r="DO1" s="2" t="s">
        <v>420</v>
      </c>
      <c r="DP1" t="s">
        <v>431</v>
      </c>
      <c r="DQ1" t="s">
        <v>421</v>
      </c>
      <c r="DR1" s="1" t="s">
        <v>531</v>
      </c>
      <c r="DS1" s="1" t="s">
        <v>532</v>
      </c>
      <c r="DT1" s="1" t="s">
        <v>422</v>
      </c>
      <c r="DU1" t="s">
        <v>423</v>
      </c>
      <c r="DV1" t="s">
        <v>424</v>
      </c>
      <c r="DW1" t="s">
        <v>425</v>
      </c>
      <c r="DX1" t="s">
        <v>426</v>
      </c>
      <c r="DY1" t="s">
        <v>538</v>
      </c>
      <c r="DZ1" t="s">
        <v>427</v>
      </c>
      <c r="EA1" t="s">
        <v>428</v>
      </c>
      <c r="EB1" t="s">
        <v>429</v>
      </c>
      <c r="EC1" t="s">
        <v>430</v>
      </c>
      <c r="ED1" t="s">
        <v>462</v>
      </c>
      <c r="EE1" t="s">
        <v>463</v>
      </c>
      <c r="EF1" t="s">
        <v>545</v>
      </c>
      <c r="EG1" t="s">
        <v>546</v>
      </c>
      <c r="EH1" t="s">
        <v>547</v>
      </c>
      <c r="EI1" t="s">
        <v>548</v>
      </c>
      <c r="EJ1" t="s">
        <v>549</v>
      </c>
      <c r="EK1"/>
    </row>
    <row r="2" spans="1:141" s="16" customFormat="1" ht="71.55" customHeight="1" x14ac:dyDescent="0.25">
      <c r="A2" s="27" t="s">
        <v>3104</v>
      </c>
      <c r="B2" s="29"/>
      <c r="C2" s="30">
        <v>4</v>
      </c>
      <c r="D2" s="30">
        <v>4</v>
      </c>
      <c r="T2" s="18"/>
      <c r="U2" s="18"/>
      <c r="V2" s="18"/>
      <c r="AB2" s="19"/>
    </row>
    <row r="3" spans="1:141" ht="162" x14ac:dyDescent="0.25">
      <c r="B3" s="3" t="s">
        <v>3126</v>
      </c>
      <c r="C3" s="3" t="s">
        <v>3127</v>
      </c>
      <c r="D3" s="3" t="s">
        <v>3128</v>
      </c>
      <c r="E3" t="s">
        <v>3105</v>
      </c>
      <c r="F3" t="s">
        <v>3106</v>
      </c>
      <c r="G3">
        <v>154.5</v>
      </c>
      <c r="H3">
        <v>2.0099999999999998</v>
      </c>
      <c r="I3" t="s">
        <v>3107</v>
      </c>
      <c r="J3">
        <v>92878049000</v>
      </c>
      <c r="K3">
        <v>32.4</v>
      </c>
      <c r="L3">
        <v>8.77</v>
      </c>
      <c r="M3" t="s">
        <v>3108</v>
      </c>
      <c r="N3" t="s">
        <v>3129</v>
      </c>
      <c r="O3" t="s">
        <v>3130</v>
      </c>
      <c r="P3" t="s">
        <v>3131</v>
      </c>
      <c r="Q3">
        <v>17.5</v>
      </c>
      <c r="R3" t="s">
        <v>3132</v>
      </c>
      <c r="S3">
        <v>1507797600</v>
      </c>
      <c r="T3" s="4">
        <v>6.08E-2</v>
      </c>
      <c r="U3" t="s">
        <v>1049</v>
      </c>
      <c r="V3">
        <v>74503084</v>
      </c>
      <c r="W3">
        <v>601152420</v>
      </c>
      <c r="X3">
        <v>1.43</v>
      </c>
      <c r="Y3">
        <v>0.45</v>
      </c>
      <c r="Z3">
        <v>22.03</v>
      </c>
      <c r="AA3" t="s">
        <v>3133</v>
      </c>
      <c r="AB3" t="s">
        <v>3134</v>
      </c>
      <c r="AC3" t="s">
        <v>2032</v>
      </c>
      <c r="AD3" t="s">
        <v>53</v>
      </c>
      <c r="AE3" t="s">
        <v>3135</v>
      </c>
      <c r="AF3">
        <v>-56250359</v>
      </c>
      <c r="AG3" t="s">
        <v>3136</v>
      </c>
      <c r="AH3" t="s">
        <v>3137</v>
      </c>
      <c r="AI3" t="s">
        <v>3138</v>
      </c>
      <c r="AJ3" t="s">
        <v>3139</v>
      </c>
      <c r="AK3" t="s">
        <v>3140</v>
      </c>
      <c r="AL3" t="s">
        <v>3141</v>
      </c>
      <c r="AM3" t="s">
        <v>3142</v>
      </c>
      <c r="AN3" t="s">
        <v>3143</v>
      </c>
      <c r="AO3" t="s">
        <v>3144</v>
      </c>
      <c r="AP3" t="s">
        <v>3145</v>
      </c>
      <c r="AQ3" t="s">
        <v>3146</v>
      </c>
      <c r="AR3" t="s">
        <v>3147</v>
      </c>
      <c r="AS3" t="s">
        <v>7</v>
      </c>
      <c r="AT3" t="s">
        <v>3148</v>
      </c>
      <c r="AU3" t="s">
        <v>7</v>
      </c>
      <c r="AV3" t="s">
        <v>3149</v>
      </c>
      <c r="AW3" t="s">
        <v>3150</v>
      </c>
      <c r="AX3" t="s">
        <v>3151</v>
      </c>
      <c r="AY3" t="s">
        <v>3152</v>
      </c>
      <c r="AZ3" t="s">
        <v>3153</v>
      </c>
      <c r="BA3" t="s">
        <v>3154</v>
      </c>
      <c r="BB3" t="s">
        <v>3155</v>
      </c>
      <c r="BC3" t="s">
        <v>3156</v>
      </c>
      <c r="BD3" t="s">
        <v>3157</v>
      </c>
      <c r="BE3" t="s">
        <v>3158</v>
      </c>
      <c r="BF3" t="s">
        <v>3159</v>
      </c>
      <c r="BG3" t="s">
        <v>1950</v>
      </c>
      <c r="BH3" t="s">
        <v>3160</v>
      </c>
      <c r="BI3" t="s">
        <v>3132</v>
      </c>
      <c r="BJ3" t="s">
        <v>3161</v>
      </c>
      <c r="BK3" t="s">
        <v>3152</v>
      </c>
      <c r="BL3" t="s">
        <v>1049</v>
      </c>
      <c r="BM3" t="s">
        <v>3162</v>
      </c>
      <c r="BN3" t="s">
        <v>3157</v>
      </c>
      <c r="BO3">
        <v>4.8099999999999996</v>
      </c>
      <c r="BP3">
        <v>29.5</v>
      </c>
      <c r="BQ3">
        <v>52.36</v>
      </c>
      <c r="BR3">
        <v>65.03</v>
      </c>
      <c r="BS3">
        <v>5.79</v>
      </c>
      <c r="BT3">
        <v>26.87</v>
      </c>
      <c r="BU3">
        <v>52.36</v>
      </c>
      <c r="BV3" t="s">
        <v>7</v>
      </c>
      <c r="BW3">
        <v>34.47</v>
      </c>
      <c r="BX3">
        <v>40.119999999999997</v>
      </c>
      <c r="BY3">
        <v>41.41</v>
      </c>
      <c r="BZ3">
        <v>20.8</v>
      </c>
      <c r="CA3">
        <v>23.02</v>
      </c>
      <c r="CB3">
        <v>22.94</v>
      </c>
      <c r="CC3">
        <v>8.0399999999999991</v>
      </c>
      <c r="CD3">
        <v>-0.21</v>
      </c>
      <c r="CE3" t="s">
        <v>3163</v>
      </c>
      <c r="CF3" t="s">
        <v>3164</v>
      </c>
      <c r="CG3" s="23">
        <v>1.6566853923853924</v>
      </c>
      <c r="CH3" s="24">
        <v>1.4840158154859968</v>
      </c>
      <c r="CI3" s="23">
        <v>0.23221570253372192</v>
      </c>
      <c r="CJ3" s="23">
        <v>1.0955983307212591E-3</v>
      </c>
      <c r="CK3" s="23">
        <v>0.10755660384893417</v>
      </c>
      <c r="CL3" s="23">
        <v>0.25207182765007019</v>
      </c>
      <c r="CM3" s="23">
        <v>0.3492358922958374</v>
      </c>
      <c r="CN3" s="24">
        <v>0.20190232992172241</v>
      </c>
      <c r="CO3" s="24">
        <v>3.9062222931534052E-3</v>
      </c>
      <c r="CP3" s="24">
        <v>0.373881995677948</v>
      </c>
      <c r="CQ3" s="24">
        <v>0.30505838990211487</v>
      </c>
      <c r="CR3" s="24">
        <v>-8.6709395051002502E-2</v>
      </c>
      <c r="CS3">
        <v>7.4992368994751715</v>
      </c>
      <c r="CT3">
        <v>49380517.985611513</v>
      </c>
      <c r="CU3">
        <v>14.176304999999999</v>
      </c>
      <c r="CV3" s="23">
        <v>0.18843512493185699</v>
      </c>
      <c r="CW3" s="24">
        <v>0.15960790854878723</v>
      </c>
      <c r="CX3">
        <v>0.06</v>
      </c>
      <c r="CY3">
        <v>27.864140856088557</v>
      </c>
      <c r="CZ3">
        <v>3116839289.9156246</v>
      </c>
      <c r="DA3">
        <v>0.18843512493185699</v>
      </c>
      <c r="DB3">
        <v>8.3855330687253531</v>
      </c>
      <c r="DC3">
        <v>10356890645.856266</v>
      </c>
      <c r="DD3">
        <v>0.17901336868526413</v>
      </c>
      <c r="DE3">
        <v>3.6829974368920237</v>
      </c>
      <c r="DF3">
        <v>23580806255.811188</v>
      </c>
      <c r="DG3">
        <v>0.16582290994003415</v>
      </c>
      <c r="DH3">
        <v>1.9341316294949977</v>
      </c>
      <c r="DI3">
        <v>44902863732.535126</v>
      </c>
      <c r="DJ3">
        <v>0.1507480999454856</v>
      </c>
      <c r="DK3">
        <v>0.73068071494038656</v>
      </c>
      <c r="DL3">
        <v>118859095668.18881</v>
      </c>
      <c r="DM3">
        <v>0.13190458745229988</v>
      </c>
      <c r="DN3">
        <v>2780000000</v>
      </c>
      <c r="DO3">
        <v>0.18843512493185699</v>
      </c>
      <c r="DP3">
        <v>86848049000</v>
      </c>
      <c r="DQ3">
        <v>8072949700</v>
      </c>
      <c r="DR3">
        <v>3813</v>
      </c>
      <c r="DS3">
        <v>1.4682502674535354</v>
      </c>
      <c r="DT3">
        <v>1.3244079069372097</v>
      </c>
      <c r="DU3" s="25">
        <v>0.82333333333333325</v>
      </c>
      <c r="DV3">
        <v>0.85666666666666658</v>
      </c>
      <c r="DW3">
        <v>1.6799999999999997</v>
      </c>
      <c r="DX3">
        <v>5.0261194029850742</v>
      </c>
      <c r="DY3">
        <v>1.0275980818962693</v>
      </c>
      <c r="DZ3">
        <v>5.008556666318186</v>
      </c>
      <c r="EA3">
        <v>763</v>
      </c>
      <c r="EB3">
        <v>5.0071950945974821</v>
      </c>
      <c r="EC3">
        <v>5</v>
      </c>
      <c r="ED3">
        <v>8.3868912978841536E-3</v>
      </c>
      <c r="EE3">
        <v>2.5601161183049052E-2</v>
      </c>
      <c r="EF3" s="22">
        <v>2.0378099999999999</v>
      </c>
      <c r="EG3">
        <v>2.0177100000000001</v>
      </c>
      <c r="EH3">
        <v>70.327598081896269</v>
      </c>
      <c r="EI3" t="s">
        <v>686</v>
      </c>
      <c r="EJ3">
        <v>1</v>
      </c>
      <c r="EK3">
        <v>1</v>
      </c>
    </row>
    <row r="4" spans="1:141" ht="75.599999999999994" x14ac:dyDescent="0.25">
      <c r="D4" s="3" t="s">
        <v>3439</v>
      </c>
      <c r="E4" t="s">
        <v>3109</v>
      </c>
      <c r="F4" t="s">
        <v>3110</v>
      </c>
      <c r="G4">
        <v>40.46</v>
      </c>
      <c r="H4">
        <v>-3.21</v>
      </c>
      <c r="I4" t="s">
        <v>3418</v>
      </c>
      <c r="J4">
        <v>8305446400</v>
      </c>
      <c r="K4">
        <v>63.12</v>
      </c>
      <c r="L4">
        <v>9.2899999999999991</v>
      </c>
      <c r="M4" t="s">
        <v>691</v>
      </c>
      <c r="N4" t="s">
        <v>3419</v>
      </c>
      <c r="O4" t="s">
        <v>355</v>
      </c>
      <c r="P4" t="s">
        <v>3420</v>
      </c>
      <c r="Q4">
        <v>40.840000000000003</v>
      </c>
      <c r="R4" t="s">
        <v>3166</v>
      </c>
      <c r="S4">
        <v>68179366</v>
      </c>
      <c r="T4" s="4">
        <v>0.36209999999999998</v>
      </c>
      <c r="U4" t="s">
        <v>40</v>
      </c>
      <c r="V4">
        <v>160406210</v>
      </c>
      <c r="W4">
        <v>205275490</v>
      </c>
      <c r="X4">
        <v>1.96</v>
      </c>
      <c r="Y4">
        <v>0.34</v>
      </c>
      <c r="Z4">
        <v>12.43</v>
      </c>
      <c r="AA4" t="s">
        <v>240</v>
      </c>
      <c r="AB4" t="s">
        <v>1441</v>
      </c>
      <c r="AC4" t="s">
        <v>3421</v>
      </c>
      <c r="AD4" t="s">
        <v>3422</v>
      </c>
      <c r="AE4" t="s">
        <v>3423</v>
      </c>
      <c r="AF4">
        <v>86585</v>
      </c>
      <c r="AG4" t="s">
        <v>3424</v>
      </c>
      <c r="AH4" t="s">
        <v>3425</v>
      </c>
      <c r="AI4" t="s">
        <v>3426</v>
      </c>
      <c r="AJ4" t="s">
        <v>21</v>
      </c>
      <c r="AK4" t="s">
        <v>3427</v>
      </c>
      <c r="AL4" t="s">
        <v>3428</v>
      </c>
      <c r="AM4" t="s">
        <v>3429</v>
      </c>
      <c r="AN4" t="s">
        <v>33</v>
      </c>
      <c r="AO4" t="s">
        <v>90</v>
      </c>
      <c r="AP4" t="s">
        <v>3285</v>
      </c>
      <c r="AQ4" t="s">
        <v>99</v>
      </c>
      <c r="AR4" t="s">
        <v>194</v>
      </c>
      <c r="AS4" t="s">
        <v>7</v>
      </c>
      <c r="AT4" t="s">
        <v>3430</v>
      </c>
      <c r="AU4" t="s">
        <v>3431</v>
      </c>
      <c r="AV4" t="s">
        <v>3432</v>
      </c>
      <c r="AW4" t="s">
        <v>3433</v>
      </c>
      <c r="AX4" t="s">
        <v>132</v>
      </c>
      <c r="AY4" t="s">
        <v>3167</v>
      </c>
      <c r="AZ4" t="s">
        <v>3168</v>
      </c>
      <c r="BA4" t="s">
        <v>3169</v>
      </c>
      <c r="BB4" t="s">
        <v>628</v>
      </c>
      <c r="BC4" t="s">
        <v>1274</v>
      </c>
      <c r="BD4" t="s">
        <v>100</v>
      </c>
      <c r="BE4" t="s">
        <v>3170</v>
      </c>
      <c r="BF4" t="s">
        <v>3171</v>
      </c>
      <c r="BG4" t="s">
        <v>3172</v>
      </c>
      <c r="BH4" t="s">
        <v>3173</v>
      </c>
      <c r="BI4" t="s">
        <v>3033</v>
      </c>
      <c r="BJ4" t="s">
        <v>3344</v>
      </c>
      <c r="BK4" t="s">
        <v>77</v>
      </c>
      <c r="BL4" t="s">
        <v>3434</v>
      </c>
      <c r="BM4" t="s">
        <v>3435</v>
      </c>
      <c r="BN4" t="s">
        <v>3174</v>
      </c>
      <c r="BO4">
        <v>2.16</v>
      </c>
      <c r="BP4">
        <v>11.75</v>
      </c>
      <c r="BQ4">
        <v>12.78</v>
      </c>
      <c r="BR4">
        <v>8.69</v>
      </c>
      <c r="BS4">
        <v>14.2</v>
      </c>
      <c r="BT4">
        <v>15</v>
      </c>
      <c r="BU4">
        <v>9.81</v>
      </c>
      <c r="BV4" t="s">
        <v>3436</v>
      </c>
      <c r="BW4">
        <v>41.33</v>
      </c>
      <c r="BX4">
        <v>48.19</v>
      </c>
      <c r="BY4">
        <v>47.9</v>
      </c>
      <c r="BZ4">
        <v>9.67</v>
      </c>
      <c r="CA4">
        <v>13.76</v>
      </c>
      <c r="CB4">
        <v>9.76</v>
      </c>
      <c r="CC4">
        <v>0.47</v>
      </c>
      <c r="CD4">
        <v>10.37</v>
      </c>
      <c r="CE4" t="s">
        <v>3437</v>
      </c>
      <c r="CF4" t="s">
        <v>628</v>
      </c>
      <c r="CG4" s="23">
        <v>0.49305139423076921</v>
      </c>
      <c r="CH4" s="24">
        <v>1.1760108395344584</v>
      </c>
      <c r="CI4" s="23">
        <v>0.32425421476364136</v>
      </c>
      <c r="CJ4" s="23">
        <v>0.21226415038108826</v>
      </c>
      <c r="CK4" s="23">
        <v>0.1977401077747345</v>
      </c>
      <c r="CL4" s="23">
        <v>0.17738358676433563</v>
      </c>
      <c r="CM4" s="23">
        <v>8.948545902967453E-3</v>
      </c>
      <c r="CN4" s="24">
        <v>6.6037736833095551E-2</v>
      </c>
      <c r="CO4" s="24">
        <v>0.70828324556350708</v>
      </c>
      <c r="CP4" s="24">
        <v>0.27987939119338989</v>
      </c>
      <c r="CQ4" s="24">
        <v>5.3608838468790054E-2</v>
      </c>
      <c r="CR4" s="24">
        <v>-0.27946057915687561</v>
      </c>
      <c r="CS4">
        <v>8.134619392752203</v>
      </c>
      <c r="CT4">
        <v>57088378.761061952</v>
      </c>
      <c r="CU4">
        <v>8.2833519999999989</v>
      </c>
      <c r="CV4" s="23">
        <v>0.18411812111735343</v>
      </c>
      <c r="CW4" s="24">
        <v>0.1656697265803814</v>
      </c>
      <c r="CX4">
        <v>0.06</v>
      </c>
      <c r="CY4">
        <v>65.486419904125583</v>
      </c>
      <c r="CZ4">
        <v>126231460.08137822</v>
      </c>
      <c r="DA4">
        <v>0.18411812111735343</v>
      </c>
      <c r="DB4">
        <v>19.778248993886251</v>
      </c>
      <c r="DC4">
        <v>417956432.9762094</v>
      </c>
      <c r="DD4">
        <v>0.17491221506148574</v>
      </c>
      <c r="DE4">
        <v>8.7311698577008539</v>
      </c>
      <c r="DF4">
        <v>946774204.91470909</v>
      </c>
      <c r="DG4">
        <v>0.16202394658327102</v>
      </c>
      <c r="DH4">
        <v>4.61370362806632</v>
      </c>
      <c r="DI4">
        <v>1791715954.5561459</v>
      </c>
      <c r="DJ4">
        <v>0.14729449689388274</v>
      </c>
      <c r="DK4">
        <v>1.7695360709799279</v>
      </c>
      <c r="DL4">
        <v>4671533141.1256475</v>
      </c>
      <c r="DM4">
        <v>0.1288826847821474</v>
      </c>
      <c r="DN4">
        <v>112999999.99999999</v>
      </c>
      <c r="DO4">
        <v>0.18411812111735343</v>
      </c>
      <c r="DP4">
        <v>8266446400</v>
      </c>
      <c r="DQ4">
        <v>502174610</v>
      </c>
      <c r="DR4">
        <v>2168</v>
      </c>
      <c r="DS4">
        <v>0.30893327311341579</v>
      </c>
      <c r="DT4">
        <v>1.0103411129540769</v>
      </c>
      <c r="DU4" s="25">
        <v>1.0066666666666666</v>
      </c>
      <c r="DV4">
        <v>0.77333333333333332</v>
      </c>
      <c r="DW4">
        <v>1.7799999999999998</v>
      </c>
      <c r="DX4">
        <v>2.1036999999999999</v>
      </c>
      <c r="DY4">
        <v>0.34991929046563375</v>
      </c>
      <c r="DZ4">
        <v>2.018657630421286</v>
      </c>
      <c r="EA4">
        <v>468</v>
      </c>
      <c r="EB4">
        <v>2.016851306251414</v>
      </c>
      <c r="EC4">
        <v>2</v>
      </c>
      <c r="ED4">
        <v>0.3952912254648619</v>
      </c>
      <c r="EE4">
        <v>2.1970474896929972</v>
      </c>
      <c r="EF4" s="22">
        <v>5.0338000000000003</v>
      </c>
      <c r="EG4">
        <v>5.0016999999999996</v>
      </c>
      <c r="EH4">
        <v>17.179919290465634</v>
      </c>
      <c r="EI4" t="s">
        <v>3438</v>
      </c>
      <c r="EJ4">
        <v>1</v>
      </c>
      <c r="EK4">
        <v>1</v>
      </c>
    </row>
    <row r="5" spans="1:141" x14ac:dyDescent="0.25">
      <c r="B5" s="28"/>
      <c r="C5" s="28"/>
      <c r="D5" s="28"/>
      <c r="E5" t="s">
        <v>3111</v>
      </c>
      <c r="F5" t="s">
        <v>3112</v>
      </c>
      <c r="G5">
        <v>20.76</v>
      </c>
      <c r="H5">
        <v>10.02</v>
      </c>
      <c r="I5" t="s">
        <v>3175</v>
      </c>
      <c r="J5">
        <v>20932875000</v>
      </c>
      <c r="K5">
        <v>28.2</v>
      </c>
      <c r="L5">
        <v>2.2000000000000002</v>
      </c>
      <c r="M5" t="s">
        <v>691</v>
      </c>
      <c r="N5" t="s">
        <v>3176</v>
      </c>
      <c r="O5" t="s">
        <v>843</v>
      </c>
      <c r="P5" t="s">
        <v>3177</v>
      </c>
      <c r="Q5">
        <v>36.04</v>
      </c>
      <c r="R5" t="s">
        <v>3178</v>
      </c>
      <c r="S5">
        <v>100626516</v>
      </c>
      <c r="T5" s="4">
        <v>0.2172</v>
      </c>
      <c r="U5" t="s">
        <v>3179</v>
      </c>
      <c r="V5">
        <v>1008256410</v>
      </c>
      <c r="W5">
        <v>1008327310</v>
      </c>
      <c r="X5">
        <v>1.68</v>
      </c>
      <c r="Y5">
        <v>0.14000000000000001</v>
      </c>
      <c r="Z5">
        <v>5.23</v>
      </c>
      <c r="AA5" t="s">
        <v>3180</v>
      </c>
      <c r="AB5" t="s">
        <v>2332</v>
      </c>
      <c r="AC5" t="s">
        <v>3181</v>
      </c>
      <c r="AD5" t="s">
        <v>3182</v>
      </c>
      <c r="AE5" t="s">
        <v>7</v>
      </c>
      <c r="AF5">
        <v>-4159553</v>
      </c>
      <c r="AG5" t="s">
        <v>37</v>
      </c>
      <c r="AH5" t="s">
        <v>3183</v>
      </c>
      <c r="AI5" t="s">
        <v>3184</v>
      </c>
      <c r="AJ5" t="s">
        <v>3185</v>
      </c>
      <c r="AK5" t="s">
        <v>3186</v>
      </c>
      <c r="AL5" t="s">
        <v>3187</v>
      </c>
      <c r="AM5" t="s">
        <v>3188</v>
      </c>
      <c r="AN5" t="s">
        <v>7</v>
      </c>
      <c r="AO5" t="s">
        <v>27</v>
      </c>
      <c r="AP5" t="s">
        <v>7</v>
      </c>
      <c r="AQ5" t="s">
        <v>95</v>
      </c>
      <c r="AR5" t="s">
        <v>3189</v>
      </c>
      <c r="AS5" t="s">
        <v>7</v>
      </c>
      <c r="AT5" t="s">
        <v>3190</v>
      </c>
      <c r="AU5" t="s">
        <v>7</v>
      </c>
      <c r="AV5" t="s">
        <v>3191</v>
      </c>
      <c r="AW5" t="s">
        <v>3192</v>
      </c>
      <c r="AX5" t="s">
        <v>3193</v>
      </c>
      <c r="AY5" t="s">
        <v>3194</v>
      </c>
      <c r="AZ5" t="s">
        <v>3195</v>
      </c>
      <c r="BA5" t="s">
        <v>3196</v>
      </c>
      <c r="BB5" t="s">
        <v>3197</v>
      </c>
      <c r="BC5" t="s">
        <v>3198</v>
      </c>
      <c r="BD5" t="s">
        <v>3199</v>
      </c>
      <c r="BE5" t="s">
        <v>3200</v>
      </c>
      <c r="BF5" t="s">
        <v>82</v>
      </c>
      <c r="BG5" t="s">
        <v>1127</v>
      </c>
      <c r="BH5" t="s">
        <v>3165</v>
      </c>
      <c r="BI5" t="s">
        <v>3201</v>
      </c>
      <c r="BJ5" t="s">
        <v>3202</v>
      </c>
      <c r="BK5" t="s">
        <v>3194</v>
      </c>
      <c r="BL5" t="s">
        <v>3179</v>
      </c>
      <c r="BM5" t="s">
        <v>3203</v>
      </c>
      <c r="BN5" t="s">
        <v>3199</v>
      </c>
      <c r="BO5">
        <v>6.59</v>
      </c>
      <c r="BP5">
        <v>7.35</v>
      </c>
      <c r="BQ5">
        <v>5.0599999999999996</v>
      </c>
      <c r="BR5">
        <v>2.4500000000000002</v>
      </c>
      <c r="BS5">
        <v>8.0399999999999991</v>
      </c>
      <c r="BT5">
        <v>8.42</v>
      </c>
      <c r="BU5">
        <v>5.37</v>
      </c>
      <c r="BV5">
        <v>2.61</v>
      </c>
      <c r="BW5">
        <v>20.58</v>
      </c>
      <c r="BX5">
        <v>20.18</v>
      </c>
      <c r="BY5">
        <v>18.04</v>
      </c>
      <c r="BZ5">
        <v>7.15</v>
      </c>
      <c r="CA5">
        <v>7.17</v>
      </c>
      <c r="CB5">
        <v>4.87</v>
      </c>
      <c r="CC5">
        <v>8.1300000000000008</v>
      </c>
      <c r="CD5">
        <v>10.78</v>
      </c>
      <c r="CE5" t="s">
        <v>638</v>
      </c>
      <c r="CF5" t="s">
        <v>1012</v>
      </c>
      <c r="CG5" s="23">
        <v>0.36034573002754838</v>
      </c>
      <c r="CH5" s="24">
        <v>0.21723219178330752</v>
      </c>
      <c r="CI5" s="23">
        <v>7.1486018598079681E-2</v>
      </c>
      <c r="CJ5" s="23">
        <v>3.1238511204719543E-2</v>
      </c>
      <c r="CK5" s="23">
        <v>0.32067662477493286</v>
      </c>
      <c r="CL5" s="23">
        <v>-0.20447283983230591</v>
      </c>
      <c r="CM5" s="23">
        <v>7.5153522193431854E-2</v>
      </c>
      <c r="CN5" s="24">
        <v>1.1173184029757977E-2</v>
      </c>
      <c r="CO5" s="24">
        <v>0.52016985416412354</v>
      </c>
      <c r="CP5" s="24">
        <v>1.3550000190734863</v>
      </c>
      <c r="CQ5" s="24">
        <v>-0.67426711320877075</v>
      </c>
      <c r="CR5" s="24">
        <v>-0.29344072937965393</v>
      </c>
      <c r="CS5">
        <v>1.7457155366524895</v>
      </c>
      <c r="CT5">
        <v>12934419.613259669</v>
      </c>
      <c r="CU5">
        <v>1.2300960000000003</v>
      </c>
      <c r="CV5" s="23">
        <v>5.8816367387771608E-2</v>
      </c>
      <c r="CW5" s="24">
        <v>0.18372704293578862</v>
      </c>
      <c r="CX5">
        <v>0.06</v>
      </c>
      <c r="CY5">
        <v>24.444249713419936</v>
      </c>
      <c r="CZ5">
        <v>723191556.59315717</v>
      </c>
      <c r="DA5">
        <v>5.8816367387771608E-2</v>
      </c>
      <c r="DB5">
        <v>8.2026522860327464</v>
      </c>
      <c r="DC5">
        <v>2155141335.2119541</v>
      </c>
      <c r="DD5">
        <v>5.5875549018383028E-2</v>
      </c>
      <c r="DE5">
        <v>4.1818284915498189</v>
      </c>
      <c r="DF5">
        <v>4227307512.9029121</v>
      </c>
      <c r="DG5">
        <v>5.1758403301239014E-2</v>
      </c>
      <c r="DH5">
        <v>2.6108105179083649</v>
      </c>
      <c r="DI5">
        <v>6771029486.3384123</v>
      </c>
      <c r="DJ5">
        <v>4.7053093910217288E-2</v>
      </c>
      <c r="DK5">
        <v>1.4657931709030769</v>
      </c>
      <c r="DL5">
        <v>12060279274.673275</v>
      </c>
      <c r="DM5">
        <v>4.1171457171440121E-2</v>
      </c>
      <c r="DN5">
        <v>724000000</v>
      </c>
      <c r="DO5">
        <v>5.8816367387771608E-2</v>
      </c>
      <c r="DP5">
        <v>17677875000</v>
      </c>
      <c r="DQ5">
        <v>8015843000</v>
      </c>
      <c r="DR5">
        <v>72</v>
      </c>
      <c r="DS5">
        <v>0.30152936263977675</v>
      </c>
      <c r="DT5">
        <v>3.3505148847518901E-2</v>
      </c>
      <c r="DU5" s="25">
        <v>1.1540000000000001</v>
      </c>
      <c r="DV5">
        <v>-0.79</v>
      </c>
      <c r="DW5">
        <v>0.3640000000000001</v>
      </c>
      <c r="DX5">
        <v>9.7541743970315409</v>
      </c>
      <c r="DY5">
        <v>0.56914012738853559</v>
      </c>
      <c r="DZ5">
        <v>9.1351028975574025</v>
      </c>
      <c r="EA5">
        <v>2448</v>
      </c>
      <c r="EB5">
        <v>9.065298783327659</v>
      </c>
      <c r="EC5">
        <v>9</v>
      </c>
      <c r="ED5">
        <v>0.22314182881746999</v>
      </c>
      <c r="EE5">
        <v>1.245627275532188</v>
      </c>
      <c r="EF5" s="22">
        <v>1.0139</v>
      </c>
      <c r="EG5">
        <v>1.1141000000000001</v>
      </c>
      <c r="EH5">
        <v>39.179140127388536</v>
      </c>
      <c r="EI5" t="s">
        <v>498</v>
      </c>
      <c r="EJ5">
        <v>1</v>
      </c>
      <c r="EK5">
        <v>0</v>
      </c>
    </row>
    <row r="6" spans="1:141" x14ac:dyDescent="0.25">
      <c r="B6" s="3"/>
      <c r="C6" s="3"/>
      <c r="D6" s="3"/>
      <c r="E6" t="s">
        <v>2369</v>
      </c>
      <c r="F6" t="s">
        <v>2370</v>
      </c>
      <c r="G6">
        <v>8.3000000000000007</v>
      </c>
      <c r="H6">
        <v>7.79</v>
      </c>
      <c r="I6" t="s">
        <v>2700</v>
      </c>
      <c r="J6">
        <v>19275791000</v>
      </c>
      <c r="K6">
        <v>35.840000000000003</v>
      </c>
      <c r="L6">
        <v>3.12</v>
      </c>
      <c r="M6" t="s">
        <v>691</v>
      </c>
      <c r="N6" t="s">
        <v>2701</v>
      </c>
      <c r="O6" t="s">
        <v>2702</v>
      </c>
      <c r="P6" t="s">
        <v>2703</v>
      </c>
      <c r="Q6">
        <v>95.32</v>
      </c>
      <c r="R6" t="s">
        <v>2704</v>
      </c>
      <c r="S6">
        <v>257011300</v>
      </c>
      <c r="T6" s="4">
        <v>0.29380000000000001</v>
      </c>
      <c r="U6" t="s">
        <v>110</v>
      </c>
      <c r="V6">
        <v>2320408300</v>
      </c>
      <c r="W6">
        <v>2322384500</v>
      </c>
      <c r="X6">
        <v>2.13</v>
      </c>
      <c r="Y6">
        <v>0.1</v>
      </c>
      <c r="Z6">
        <v>7.85</v>
      </c>
      <c r="AA6" t="s">
        <v>2705</v>
      </c>
      <c r="AB6" t="s">
        <v>2706</v>
      </c>
      <c r="AC6" t="s">
        <v>2707</v>
      </c>
      <c r="AD6" t="s">
        <v>2708</v>
      </c>
      <c r="AE6" t="s">
        <v>7</v>
      </c>
      <c r="AF6">
        <v>42041180</v>
      </c>
      <c r="AG6" t="s">
        <v>2709</v>
      </c>
      <c r="AH6" t="s">
        <v>2710</v>
      </c>
      <c r="AI6" t="s">
        <v>2711</v>
      </c>
      <c r="AJ6" t="s">
        <v>2712</v>
      </c>
      <c r="AK6" t="s">
        <v>2713</v>
      </c>
      <c r="AL6" t="s">
        <v>2714</v>
      </c>
      <c r="AM6" t="s">
        <v>2715</v>
      </c>
      <c r="AN6" t="s">
        <v>7</v>
      </c>
      <c r="AO6" t="s">
        <v>110</v>
      </c>
      <c r="AP6" t="s">
        <v>2716</v>
      </c>
      <c r="AQ6" t="s">
        <v>2717</v>
      </c>
      <c r="AR6" t="s">
        <v>436</v>
      </c>
      <c r="AS6" t="s">
        <v>2718</v>
      </c>
      <c r="AT6" t="s">
        <v>2719</v>
      </c>
      <c r="AU6" t="s">
        <v>2720</v>
      </c>
      <c r="AV6" t="s">
        <v>2721</v>
      </c>
      <c r="AW6" t="s">
        <v>2722</v>
      </c>
      <c r="AX6" t="s">
        <v>623</v>
      </c>
      <c r="AY6" t="s">
        <v>2723</v>
      </c>
      <c r="AZ6" t="s">
        <v>1223</v>
      </c>
      <c r="BA6" t="s">
        <v>577</v>
      </c>
      <c r="BB6" t="s">
        <v>2724</v>
      </c>
      <c r="BC6" t="s">
        <v>2725</v>
      </c>
      <c r="BD6" t="s">
        <v>1846</v>
      </c>
      <c r="BE6" t="s">
        <v>626</v>
      </c>
      <c r="BF6" t="s">
        <v>627</v>
      </c>
      <c r="BG6" t="s">
        <v>146</v>
      </c>
      <c r="BH6" t="s">
        <v>2726</v>
      </c>
      <c r="BI6" t="s">
        <v>2019</v>
      </c>
      <c r="BJ6" t="s">
        <v>245</v>
      </c>
      <c r="BK6" t="s">
        <v>2723</v>
      </c>
      <c r="BL6" t="s">
        <v>110</v>
      </c>
      <c r="BM6" t="s">
        <v>2727</v>
      </c>
      <c r="BN6" t="s">
        <v>1846</v>
      </c>
      <c r="BO6">
        <v>5.24</v>
      </c>
      <c r="BP6">
        <v>4.7300000000000004</v>
      </c>
      <c r="BQ6">
        <v>4.5</v>
      </c>
      <c r="BR6">
        <v>6.52</v>
      </c>
      <c r="BS6">
        <v>8.74</v>
      </c>
      <c r="BT6">
        <v>8.25</v>
      </c>
      <c r="BU6">
        <v>8.14</v>
      </c>
      <c r="BV6">
        <v>12.23</v>
      </c>
      <c r="BW6">
        <v>30.59</v>
      </c>
      <c r="BX6">
        <v>29.34</v>
      </c>
      <c r="BY6">
        <v>29.76</v>
      </c>
      <c r="BZ6">
        <v>12.46</v>
      </c>
      <c r="CA6">
        <v>11.51</v>
      </c>
      <c r="CB6">
        <v>10.91</v>
      </c>
      <c r="CC6">
        <v>2.2200000000000002</v>
      </c>
      <c r="CD6">
        <v>14.17</v>
      </c>
      <c r="CE6" t="s">
        <v>652</v>
      </c>
      <c r="CF6" t="s">
        <v>2728</v>
      </c>
      <c r="CG6" s="23">
        <v>0.9533816326530612</v>
      </c>
      <c r="CH6" s="24">
        <v>2.3693850421613458</v>
      </c>
      <c r="CI6" s="23">
        <v>3.020855225622654E-2</v>
      </c>
      <c r="CJ6" s="23">
        <v>7.6942972838878632E-2</v>
      </c>
      <c r="CK6" s="23">
        <v>-0.16745491325855255</v>
      </c>
      <c r="CL6" s="23">
        <v>-0.36430716514587402</v>
      </c>
      <c r="CM6" s="23">
        <v>0.39523354172706604</v>
      </c>
      <c r="CN6" s="24">
        <v>0.13436123728752136</v>
      </c>
      <c r="CO6" s="24">
        <v>0.10194174945354462</v>
      </c>
      <c r="CP6" s="24">
        <v>-0.27079644799232483</v>
      </c>
      <c r="CQ6" s="24">
        <v>-0.20868347585201263</v>
      </c>
      <c r="CR6" s="24">
        <v>0.51271188259124756</v>
      </c>
      <c r="CS6">
        <v>4.4858717710030254</v>
      </c>
      <c r="CT6">
        <v>18847797.281553395</v>
      </c>
      <c r="CU6">
        <v>1.6720499999999998</v>
      </c>
      <c r="CV6" s="23">
        <v>-5.8754023164510729E-3</v>
      </c>
      <c r="CW6" s="24">
        <v>5.3906989097595212E-2</v>
      </c>
      <c r="CX6">
        <v>0.06</v>
      </c>
      <c r="CY6">
        <v>39.069497087378643</v>
      </c>
      <c r="CZ6" t="s">
        <v>2729</v>
      </c>
      <c r="DA6">
        <v>-5.8754023164510729E-3</v>
      </c>
      <c r="DB6">
        <v>13.02316569579288</v>
      </c>
      <c r="DC6" t="s">
        <v>2730</v>
      </c>
      <c r="DD6">
        <v>-5.5816322006285186E-3</v>
      </c>
      <c r="DE6">
        <v>6.5115828478964399</v>
      </c>
      <c r="DF6" t="s">
        <v>2731</v>
      </c>
      <c r="DG6">
        <v>-5.1703540384769441E-3</v>
      </c>
      <c r="DH6">
        <v>3.906949708737864</v>
      </c>
      <c r="DI6" t="s">
        <v>2732</v>
      </c>
      <c r="DJ6">
        <v>-4.7003218531608583E-3</v>
      </c>
      <c r="DK6">
        <v>1.953474854368932</v>
      </c>
      <c r="DL6" t="s">
        <v>2733</v>
      </c>
      <c r="DM6">
        <v>-4.1127816215157506E-3</v>
      </c>
      <c r="DN6">
        <v>515000000.00000006</v>
      </c>
      <c r="DO6">
        <v>-5.8754023164510729E-3</v>
      </c>
      <c r="DP6">
        <v>20120791000</v>
      </c>
      <c r="DQ6">
        <v>2857123900</v>
      </c>
      <c r="DR6">
        <v>1841</v>
      </c>
      <c r="DS6">
        <v>0.95925703496951231</v>
      </c>
      <c r="DT6">
        <v>2.3154780530637504</v>
      </c>
      <c r="DU6" s="25">
        <v>0.22</v>
      </c>
      <c r="DV6">
        <v>0.44</v>
      </c>
      <c r="DW6">
        <v>0.66</v>
      </c>
      <c r="DX6">
        <v>2.1417000000000002</v>
      </c>
      <c r="DY6">
        <v>0.79802698145024975</v>
      </c>
      <c r="DZ6">
        <v>2.0266434232715009</v>
      </c>
      <c r="EA6">
        <v>3126</v>
      </c>
      <c r="EB6">
        <v>2.0090648371282525</v>
      </c>
      <c r="EC6">
        <v>2</v>
      </c>
      <c r="ED6">
        <v>9.6021998079990636E-2</v>
      </c>
      <c r="EE6">
        <v>0.51068201669447932</v>
      </c>
      <c r="EF6" s="22">
        <v>5.0509999999999999E-2</v>
      </c>
      <c r="EG6">
        <v>2.7399999999999994E-2</v>
      </c>
      <c r="EH6">
        <v>61.18802698145025</v>
      </c>
      <c r="EI6" t="s">
        <v>496</v>
      </c>
      <c r="EJ6">
        <v>1</v>
      </c>
      <c r="EK6">
        <v>0</v>
      </c>
    </row>
    <row r="7" spans="1:141" x14ac:dyDescent="0.25">
      <c r="B7" s="28"/>
      <c r="C7" s="28"/>
      <c r="D7" s="28"/>
      <c r="E7" t="s">
        <v>3113</v>
      </c>
      <c r="F7" t="s">
        <v>3114</v>
      </c>
      <c r="G7">
        <v>38.619999999999997</v>
      </c>
      <c r="H7">
        <v>3.12</v>
      </c>
      <c r="I7" t="s">
        <v>3204</v>
      </c>
      <c r="J7">
        <v>29584572000</v>
      </c>
      <c r="K7">
        <v>27.66</v>
      </c>
      <c r="L7">
        <v>3.48</v>
      </c>
      <c r="M7" t="s">
        <v>691</v>
      </c>
      <c r="N7" t="s">
        <v>3205</v>
      </c>
      <c r="O7" t="s">
        <v>3206</v>
      </c>
      <c r="P7" t="s">
        <v>3207</v>
      </c>
      <c r="Q7">
        <v>-4.01</v>
      </c>
      <c r="R7" t="s">
        <v>3208</v>
      </c>
      <c r="S7">
        <v>152165110</v>
      </c>
      <c r="T7" s="4">
        <v>-0.45729999999999998</v>
      </c>
      <c r="U7" t="s">
        <v>3209</v>
      </c>
      <c r="V7">
        <v>593225710</v>
      </c>
      <c r="W7">
        <v>766042780</v>
      </c>
      <c r="X7">
        <v>1.55</v>
      </c>
      <c r="Y7">
        <v>0.13</v>
      </c>
      <c r="Z7">
        <v>9.23</v>
      </c>
      <c r="AA7" t="s">
        <v>3210</v>
      </c>
      <c r="AB7" t="s">
        <v>3211</v>
      </c>
      <c r="AC7" t="s">
        <v>3212</v>
      </c>
      <c r="AD7" t="s">
        <v>3213</v>
      </c>
      <c r="AE7" t="s">
        <v>7</v>
      </c>
      <c r="AF7">
        <v>4795223</v>
      </c>
      <c r="AG7" t="s">
        <v>3214</v>
      </c>
      <c r="AH7" t="s">
        <v>3215</v>
      </c>
      <c r="AI7" t="s">
        <v>3216</v>
      </c>
      <c r="AJ7" t="s">
        <v>3217</v>
      </c>
      <c r="AK7" t="s">
        <v>3218</v>
      </c>
      <c r="AL7" t="s">
        <v>3219</v>
      </c>
      <c r="AM7" t="s">
        <v>3220</v>
      </c>
      <c r="AN7" t="s">
        <v>7</v>
      </c>
      <c r="AO7" t="s">
        <v>672</v>
      </c>
      <c r="AP7" t="s">
        <v>3221</v>
      </c>
      <c r="AQ7" t="s">
        <v>121</v>
      </c>
      <c r="AR7" t="s">
        <v>3222</v>
      </c>
      <c r="AS7" t="s">
        <v>7</v>
      </c>
      <c r="AT7" t="s">
        <v>3223</v>
      </c>
      <c r="AU7" t="s">
        <v>7</v>
      </c>
      <c r="AV7" t="s">
        <v>3224</v>
      </c>
      <c r="AW7" t="s">
        <v>3225</v>
      </c>
      <c r="AX7" t="s">
        <v>3226</v>
      </c>
      <c r="AY7" t="s">
        <v>3227</v>
      </c>
      <c r="AZ7" t="s">
        <v>2531</v>
      </c>
      <c r="BA7" t="s">
        <v>3228</v>
      </c>
      <c r="BB7" t="s">
        <v>3229</v>
      </c>
      <c r="BC7" t="s">
        <v>3230</v>
      </c>
      <c r="BD7" t="s">
        <v>3231</v>
      </c>
      <c r="BE7" t="s">
        <v>22</v>
      </c>
      <c r="BF7" t="s">
        <v>3232</v>
      </c>
      <c r="BG7" t="s">
        <v>3135</v>
      </c>
      <c r="BH7" t="s">
        <v>142</v>
      </c>
      <c r="BI7" t="s">
        <v>3233</v>
      </c>
      <c r="BJ7" t="s">
        <v>780</v>
      </c>
      <c r="BK7" t="s">
        <v>3227</v>
      </c>
      <c r="BL7" t="s">
        <v>3209</v>
      </c>
      <c r="BM7" t="s">
        <v>887</v>
      </c>
      <c r="BN7" t="s">
        <v>3231</v>
      </c>
      <c r="BO7">
        <v>13.68</v>
      </c>
      <c r="BP7">
        <v>14.03</v>
      </c>
      <c r="BQ7">
        <v>10.51</v>
      </c>
      <c r="BR7">
        <v>6.05</v>
      </c>
      <c r="BS7">
        <v>16.100000000000001</v>
      </c>
      <c r="BT7">
        <v>16.149999999999999</v>
      </c>
      <c r="BU7">
        <v>11.62</v>
      </c>
      <c r="BV7">
        <v>6.61</v>
      </c>
      <c r="BW7">
        <v>30.48</v>
      </c>
      <c r="BX7">
        <v>29.26</v>
      </c>
      <c r="BY7">
        <v>29.31</v>
      </c>
      <c r="BZ7">
        <v>14.63</v>
      </c>
      <c r="CA7">
        <v>13.48</v>
      </c>
      <c r="CB7">
        <v>9.0299999999999994</v>
      </c>
      <c r="CC7">
        <v>8.3000000000000007</v>
      </c>
      <c r="CD7">
        <v>15.21</v>
      </c>
      <c r="CE7" t="s">
        <v>3234</v>
      </c>
      <c r="CF7" t="s">
        <v>195</v>
      </c>
      <c r="CG7" s="23">
        <v>-4.0116721854304635E-2</v>
      </c>
      <c r="CH7" s="24">
        <v>-0.45655317857142858</v>
      </c>
      <c r="CI7" s="23">
        <v>0.17930284142494202</v>
      </c>
      <c r="CJ7" s="23">
        <v>0.15564261376857758</v>
      </c>
      <c r="CK7" s="23">
        <v>0.32723116874694824</v>
      </c>
      <c r="CL7" s="23">
        <v>6.9410458207130432E-2</v>
      </c>
      <c r="CM7" s="23">
        <v>2.0663106814026833E-2</v>
      </c>
      <c r="CN7" s="24">
        <v>0.28403002023696899</v>
      </c>
      <c r="CO7" s="24">
        <v>0.67204302549362183</v>
      </c>
      <c r="CP7" s="24">
        <v>0.89152544736862183</v>
      </c>
      <c r="CQ7" s="24">
        <v>0.18473894894123077</v>
      </c>
      <c r="CR7" s="24">
        <v>-0.2905983030796051</v>
      </c>
      <c r="CS7">
        <v>3.4024809660724555</v>
      </c>
      <c r="CT7">
        <v>11876892.320534224</v>
      </c>
      <c r="CU7">
        <v>1.8598450000000002</v>
      </c>
      <c r="CV7" s="23">
        <v>0.15045003779232502</v>
      </c>
      <c r="CW7" s="24">
        <v>0.34834782779216766</v>
      </c>
      <c r="CX7">
        <v>0.06</v>
      </c>
      <c r="CY7">
        <v>19.719325498168995</v>
      </c>
      <c r="CZ7">
        <v>1300225608.7501938</v>
      </c>
      <c r="DA7">
        <v>0.15045003779232502</v>
      </c>
      <c r="DB7">
        <v>6.1247176197887674</v>
      </c>
      <c r="DC7">
        <v>4186245569.4543958</v>
      </c>
      <c r="DD7">
        <v>0.14292753590270876</v>
      </c>
      <c r="DE7">
        <v>2.8126669250146579</v>
      </c>
      <c r="DF7">
        <v>9115751236.6546497</v>
      </c>
      <c r="DG7">
        <v>0.13239603325724603</v>
      </c>
      <c r="DH7">
        <v>1.5584358638858749</v>
      </c>
      <c r="DI7">
        <v>16452118816.150141</v>
      </c>
      <c r="DJ7">
        <v>0.12036003023386002</v>
      </c>
      <c r="DK7">
        <v>0.66981146723606722</v>
      </c>
      <c r="DL7">
        <v>38278789262.596535</v>
      </c>
      <c r="DM7">
        <v>0.10531502645462751</v>
      </c>
      <c r="DN7">
        <v>1198000000</v>
      </c>
      <c r="DO7">
        <v>0.15045003779232502</v>
      </c>
      <c r="DP7">
        <v>25639572000</v>
      </c>
      <c r="DQ7">
        <v>4562715000</v>
      </c>
      <c r="DR7">
        <v>516</v>
      </c>
      <c r="DS7">
        <v>-0.19056675964662967</v>
      </c>
      <c r="DT7">
        <v>-0.80490100636359618</v>
      </c>
      <c r="DU7" s="25">
        <v>0</v>
      </c>
      <c r="DV7">
        <v>-0.22</v>
      </c>
      <c r="DW7">
        <v>-0.22</v>
      </c>
      <c r="DX7">
        <v>9.5456936226166995</v>
      </c>
      <c r="DY7">
        <v>0.41937631168831274</v>
      </c>
      <c r="DZ7">
        <v>9.125169190467652</v>
      </c>
      <c r="EA7">
        <v>1324</v>
      </c>
      <c r="EB7">
        <v>9.0901915610503519</v>
      </c>
      <c r="EC7">
        <v>9</v>
      </c>
      <c r="ED7">
        <v>9.2224483859765644E-2</v>
      </c>
      <c r="EE7">
        <v>0.40206631801947146</v>
      </c>
      <c r="EF7" s="22">
        <v>2.0636000000000001</v>
      </c>
      <c r="EG7">
        <v>2.0948000000000002</v>
      </c>
      <c r="EH7">
        <v>19.229376311688313</v>
      </c>
      <c r="EI7" t="s">
        <v>598</v>
      </c>
      <c r="EJ7">
        <v>1</v>
      </c>
      <c r="EK7">
        <v>1</v>
      </c>
    </row>
    <row r="8" spans="1:141" ht="194.4" x14ac:dyDescent="0.25">
      <c r="B8" s="3"/>
      <c r="C8" s="3"/>
      <c r="D8" s="3" t="s">
        <v>3235</v>
      </c>
      <c r="E8" t="s">
        <v>3236</v>
      </c>
      <c r="F8" t="s">
        <v>3115</v>
      </c>
      <c r="G8">
        <v>29.25</v>
      </c>
      <c r="H8">
        <v>2.4500000000000002</v>
      </c>
      <c r="I8" t="s">
        <v>3237</v>
      </c>
      <c r="J8">
        <v>195817950000</v>
      </c>
      <c r="K8">
        <v>33.64</v>
      </c>
      <c r="L8">
        <v>5.09</v>
      </c>
      <c r="M8" t="s">
        <v>691</v>
      </c>
      <c r="N8" t="s">
        <v>3238</v>
      </c>
      <c r="O8" t="s">
        <v>3239</v>
      </c>
      <c r="P8" t="s">
        <v>3240</v>
      </c>
      <c r="Q8">
        <v>16.95</v>
      </c>
      <c r="R8" t="s">
        <v>3241</v>
      </c>
      <c r="S8">
        <v>379084850</v>
      </c>
      <c r="T8" s="4">
        <v>0.88370000000000004</v>
      </c>
      <c r="U8" t="s">
        <v>3242</v>
      </c>
      <c r="V8">
        <v>6627623200</v>
      </c>
      <c r="W8">
        <v>6694630800</v>
      </c>
      <c r="X8">
        <v>1.7</v>
      </c>
      <c r="Y8">
        <v>0.08</v>
      </c>
      <c r="Z8">
        <v>6.81</v>
      </c>
      <c r="AA8" t="s">
        <v>3243</v>
      </c>
      <c r="AB8" t="s">
        <v>972</v>
      </c>
      <c r="AC8" t="s">
        <v>1800</v>
      </c>
      <c r="AD8" t="s">
        <v>215</v>
      </c>
      <c r="AE8" t="s">
        <v>7</v>
      </c>
      <c r="AF8">
        <v>-74388886</v>
      </c>
      <c r="AG8" t="s">
        <v>3244</v>
      </c>
      <c r="AH8" t="s">
        <v>3245</v>
      </c>
      <c r="AI8" t="s">
        <v>3246</v>
      </c>
      <c r="AJ8" t="s">
        <v>3247</v>
      </c>
      <c r="AK8" t="s">
        <v>3248</v>
      </c>
      <c r="AL8" t="s">
        <v>3249</v>
      </c>
      <c r="AM8" t="s">
        <v>3250</v>
      </c>
      <c r="AN8" t="s">
        <v>7</v>
      </c>
      <c r="AO8" t="s">
        <v>3251</v>
      </c>
      <c r="AP8" t="s">
        <v>3252</v>
      </c>
      <c r="AQ8" t="s">
        <v>3253</v>
      </c>
      <c r="AR8" t="s">
        <v>3254</v>
      </c>
      <c r="AS8" t="s">
        <v>3255</v>
      </c>
      <c r="AT8" t="s">
        <v>3256</v>
      </c>
      <c r="AU8" t="s">
        <v>82</v>
      </c>
      <c r="AV8" t="s">
        <v>3257</v>
      </c>
      <c r="AW8" t="s">
        <v>3232</v>
      </c>
      <c r="AX8" t="s">
        <v>3258</v>
      </c>
      <c r="AY8" t="s">
        <v>3259</v>
      </c>
      <c r="AZ8" t="s">
        <v>3260</v>
      </c>
      <c r="BA8" t="s">
        <v>3261</v>
      </c>
      <c r="BB8" t="s">
        <v>3262</v>
      </c>
      <c r="BC8" t="s">
        <v>3263</v>
      </c>
      <c r="BD8" t="s">
        <v>3264</v>
      </c>
      <c r="BE8" t="s">
        <v>3265</v>
      </c>
      <c r="BF8" t="s">
        <v>3266</v>
      </c>
      <c r="BG8" t="s">
        <v>3267</v>
      </c>
      <c r="BH8" t="s">
        <v>3268</v>
      </c>
      <c r="BI8" t="s">
        <v>3269</v>
      </c>
      <c r="BJ8" t="s">
        <v>3270</v>
      </c>
      <c r="BK8" t="s">
        <v>3259</v>
      </c>
      <c r="BL8" t="s">
        <v>3242</v>
      </c>
      <c r="BM8" t="s">
        <v>148</v>
      </c>
      <c r="BN8" t="s">
        <v>3264</v>
      </c>
      <c r="BO8">
        <v>12.74</v>
      </c>
      <c r="BP8">
        <v>12.77</v>
      </c>
      <c r="BQ8">
        <v>13.36</v>
      </c>
      <c r="BR8">
        <v>15.44</v>
      </c>
      <c r="BS8">
        <v>15.7</v>
      </c>
      <c r="BT8">
        <v>15.06</v>
      </c>
      <c r="BU8">
        <v>14.82</v>
      </c>
      <c r="BV8">
        <v>16.899999999999999</v>
      </c>
      <c r="BW8">
        <v>26.88</v>
      </c>
      <c r="BX8">
        <v>26.8</v>
      </c>
      <c r="BY8">
        <v>28.79</v>
      </c>
      <c r="BZ8">
        <v>14.25</v>
      </c>
      <c r="CA8">
        <v>13.54</v>
      </c>
      <c r="CB8">
        <v>14.37</v>
      </c>
      <c r="CC8">
        <v>2.81</v>
      </c>
      <c r="CD8">
        <v>4.58</v>
      </c>
      <c r="CE8" t="s">
        <v>3271</v>
      </c>
      <c r="CF8" t="s">
        <v>3272</v>
      </c>
      <c r="CG8" s="23">
        <v>0.16943548059337532</v>
      </c>
      <c r="CH8" s="24">
        <v>0.88599427860696545</v>
      </c>
      <c r="CI8" s="23">
        <v>0.10152722895145416</v>
      </c>
      <c r="CJ8" s="23">
        <v>0.18745371699333191</v>
      </c>
      <c r="CK8" s="23">
        <v>0.13608966767787933</v>
      </c>
      <c r="CL8" s="23">
        <v>0.17963127791881561</v>
      </c>
      <c r="CM8" s="23">
        <v>-0.14351457357406616</v>
      </c>
      <c r="CN8" s="24">
        <v>0.16281948983669281</v>
      </c>
      <c r="CO8" s="24">
        <v>0.11720001697540283</v>
      </c>
      <c r="CP8" s="24">
        <v>4.3488755822181702E-2</v>
      </c>
      <c r="CQ8" s="24">
        <v>0.28417155146598816</v>
      </c>
      <c r="CR8" s="24">
        <v>2.5308446958661079E-2</v>
      </c>
      <c r="CS8">
        <v>4.6171500318313647</v>
      </c>
      <c r="CT8">
        <v>6368134.5267635593</v>
      </c>
      <c r="CU8">
        <v>0.92615999999999998</v>
      </c>
      <c r="CV8" s="23">
        <v>9.2237463593482977E-2</v>
      </c>
      <c r="CW8" s="24">
        <v>0.12659765221178532</v>
      </c>
      <c r="CX8">
        <v>0.06</v>
      </c>
      <c r="CY8">
        <v>31.59097882559103</v>
      </c>
      <c r="CZ8">
        <v>5813588461.8815384</v>
      </c>
      <c r="DA8">
        <v>9.2237463593482977E-2</v>
      </c>
      <c r="DB8">
        <v>10.30410101385775</v>
      </c>
      <c r="DC8">
        <v>17823675229.212521</v>
      </c>
      <c r="DD8">
        <v>8.7625590413808824E-2</v>
      </c>
      <c r="DE8">
        <v>5.059626382337119</v>
      </c>
      <c r="DF8">
        <v>36298520112.302452</v>
      </c>
      <c r="DG8">
        <v>8.1168967962265026E-2</v>
      </c>
      <c r="DH8">
        <v>3.0297088844675266</v>
      </c>
      <c r="DI8">
        <v>60618678890.753502</v>
      </c>
      <c r="DJ8">
        <v>7.3789970874786379E-2</v>
      </c>
      <c r="DK8">
        <v>1.5552825608067335</v>
      </c>
      <c r="DL8">
        <v>118085905820.69933</v>
      </c>
      <c r="DM8">
        <v>6.4566224515438086E-2</v>
      </c>
      <c r="DN8">
        <v>5642000000</v>
      </c>
      <c r="DO8">
        <v>9.2237463593482977E-2</v>
      </c>
      <c r="DP8">
        <v>183656950000</v>
      </c>
      <c r="DQ8">
        <v>21960266000</v>
      </c>
      <c r="DR8">
        <v>2990</v>
      </c>
      <c r="DS8">
        <v>7.7198016999892344E-2</v>
      </c>
      <c r="DT8">
        <v>0.75939662639518013</v>
      </c>
      <c r="DU8" s="25">
        <v>0</v>
      </c>
      <c r="DV8">
        <v>0</v>
      </c>
      <c r="DW8">
        <v>0</v>
      </c>
      <c r="DX8">
        <v>8.6135371179039311</v>
      </c>
      <c r="DY8">
        <v>0.40194092827004324</v>
      </c>
      <c r="DZ8">
        <v>8.1054921415805286</v>
      </c>
      <c r="EA8">
        <v>1848</v>
      </c>
      <c r="EB8">
        <v>8.0646821190473865</v>
      </c>
      <c r="EC8">
        <v>8</v>
      </c>
      <c r="ED8">
        <v>2.4347869937801501E-2</v>
      </c>
      <c r="EE8">
        <v>0.1416060165707719</v>
      </c>
      <c r="EF8" s="22">
        <v>4.0000000000000105E-4</v>
      </c>
      <c r="EG8">
        <v>2.4900000000000002E-2</v>
      </c>
      <c r="EH8">
        <v>23.171940928270043</v>
      </c>
      <c r="EI8" t="s">
        <v>496</v>
      </c>
      <c r="EJ8">
        <v>0</v>
      </c>
      <c r="EK8">
        <v>0</v>
      </c>
    </row>
    <row r="9" spans="1:141" x14ac:dyDescent="0.25">
      <c r="B9" s="28"/>
      <c r="C9" s="28"/>
      <c r="D9" s="28"/>
      <c r="E9" t="s">
        <v>2350</v>
      </c>
      <c r="F9" t="s">
        <v>2351</v>
      </c>
      <c r="G9">
        <v>7.13</v>
      </c>
      <c r="H9">
        <v>3.63</v>
      </c>
      <c r="I9" t="s">
        <v>178</v>
      </c>
      <c r="J9">
        <v>10041529400</v>
      </c>
      <c r="L9">
        <v>14.02</v>
      </c>
      <c r="M9" t="s">
        <v>691</v>
      </c>
      <c r="N9" t="s">
        <v>2447</v>
      </c>
      <c r="O9" t="s">
        <v>2448</v>
      </c>
      <c r="P9" t="s">
        <v>2449</v>
      </c>
      <c r="Q9">
        <v>-12.11</v>
      </c>
      <c r="R9" t="s">
        <v>2450</v>
      </c>
      <c r="S9">
        <v>-46996340</v>
      </c>
      <c r="T9" s="4">
        <v>-0.187</v>
      </c>
      <c r="U9" t="s">
        <v>2451</v>
      </c>
      <c r="V9">
        <v>1330468890</v>
      </c>
      <c r="W9">
        <v>1408349100</v>
      </c>
      <c r="X9">
        <v>9.02</v>
      </c>
      <c r="Y9">
        <v>7.0000000000000007E-2</v>
      </c>
      <c r="Z9">
        <v>-9.91</v>
      </c>
      <c r="AA9" t="s">
        <v>648</v>
      </c>
      <c r="AB9" t="s">
        <v>2452</v>
      </c>
      <c r="AC9" t="s">
        <v>2453</v>
      </c>
      <c r="AD9" t="s">
        <v>2454</v>
      </c>
      <c r="AE9" t="s">
        <v>7</v>
      </c>
      <c r="AF9">
        <v>86430382</v>
      </c>
      <c r="AG9" t="s">
        <v>2455</v>
      </c>
      <c r="AH9" t="s">
        <v>2456</v>
      </c>
      <c r="AI9" t="s">
        <v>2457</v>
      </c>
      <c r="AJ9" t="s">
        <v>201</v>
      </c>
      <c r="AK9" t="s">
        <v>2458</v>
      </c>
      <c r="AL9" t="s">
        <v>2459</v>
      </c>
      <c r="AM9" t="s">
        <v>2460</v>
      </c>
      <c r="AN9" t="s">
        <v>7</v>
      </c>
      <c r="AO9" t="s">
        <v>2461</v>
      </c>
      <c r="AP9" t="s">
        <v>2462</v>
      </c>
      <c r="AQ9" t="s">
        <v>351</v>
      </c>
      <c r="AR9" t="s">
        <v>2463</v>
      </c>
      <c r="AS9" t="s">
        <v>7</v>
      </c>
      <c r="AT9" t="s">
        <v>2464</v>
      </c>
      <c r="AU9" t="s">
        <v>77</v>
      </c>
      <c r="AV9" t="s">
        <v>2465</v>
      </c>
      <c r="AW9" t="s">
        <v>2466</v>
      </c>
      <c r="AX9" t="s">
        <v>68</v>
      </c>
      <c r="AY9" t="s">
        <v>2467</v>
      </c>
      <c r="AZ9" t="s">
        <v>591</v>
      </c>
      <c r="BA9" t="s">
        <v>2468</v>
      </c>
      <c r="BB9" t="s">
        <v>2469</v>
      </c>
      <c r="BC9" t="s">
        <v>2470</v>
      </c>
      <c r="BD9" t="s">
        <v>233</v>
      </c>
      <c r="BE9" t="s">
        <v>2471</v>
      </c>
      <c r="BF9" t="s">
        <v>2472</v>
      </c>
      <c r="BG9" t="s">
        <v>161</v>
      </c>
      <c r="BH9" t="s">
        <v>169</v>
      </c>
      <c r="BI9" t="s">
        <v>2473</v>
      </c>
      <c r="BJ9" t="s">
        <v>370</v>
      </c>
      <c r="BK9" t="s">
        <v>2467</v>
      </c>
      <c r="BL9" t="s">
        <v>2451</v>
      </c>
      <c r="BM9" t="s">
        <v>2474</v>
      </c>
      <c r="BN9" t="s">
        <v>233</v>
      </c>
      <c r="BO9">
        <v>-11.21</v>
      </c>
      <c r="BP9">
        <v>2.83</v>
      </c>
      <c r="BQ9">
        <v>-30.8</v>
      </c>
      <c r="BR9">
        <v>-12.29</v>
      </c>
      <c r="BS9">
        <v>-60.5</v>
      </c>
      <c r="BT9">
        <v>14.06</v>
      </c>
      <c r="BU9">
        <v>-98.67</v>
      </c>
      <c r="BV9">
        <v>-29.63</v>
      </c>
      <c r="BW9">
        <v>28.97</v>
      </c>
      <c r="BX9">
        <v>31.12</v>
      </c>
      <c r="BY9">
        <v>29.45</v>
      </c>
      <c r="BZ9">
        <v>-20.81</v>
      </c>
      <c r="CA9">
        <v>5.9</v>
      </c>
      <c r="CB9">
        <v>-84.26</v>
      </c>
      <c r="CC9">
        <v>9.52</v>
      </c>
      <c r="CD9">
        <v>42.89</v>
      </c>
      <c r="CE9" t="s">
        <v>2475</v>
      </c>
      <c r="CF9" t="s">
        <v>2476</v>
      </c>
      <c r="CG9" s="23">
        <v>-0.12086460606060606</v>
      </c>
      <c r="CH9" s="24">
        <v>-0.18697109374013413</v>
      </c>
      <c r="CI9" s="23">
        <v>-4.1654124855995178E-2</v>
      </c>
      <c r="CJ9" s="23">
        <v>4.4444404542446136E-2</v>
      </c>
      <c r="CK9" s="23">
        <v>-0.1572144478559494</v>
      </c>
      <c r="CL9" s="23">
        <v>-0.1336837112903595</v>
      </c>
      <c r="CM9" s="23">
        <v>0.38393428921699524</v>
      </c>
      <c r="CN9" s="24">
        <v>-4.5945944786071777</v>
      </c>
      <c r="CO9" s="24">
        <v>1.0778619050979614</v>
      </c>
      <c r="CP9" s="24">
        <v>-0.9475409984588623</v>
      </c>
      <c r="CQ9" s="24">
        <v>-4.1122450828552246</v>
      </c>
      <c r="CR9" s="24">
        <v>0.44117647409439087</v>
      </c>
      <c r="CS9">
        <v>3.1399404002501563</v>
      </c>
      <c r="CT9">
        <v>8157074.1353383455</v>
      </c>
      <c r="CU9">
        <v>-6.2571740000000009</v>
      </c>
      <c r="CV9" s="23">
        <v>1.916528195142746E-2</v>
      </c>
      <c r="CW9" s="24">
        <v>-1.6270684361457826</v>
      </c>
      <c r="CX9">
        <v>0.06</v>
      </c>
      <c r="CY9" t="e">
        <v>#VALUE!</v>
      </c>
      <c r="CZ9" t="s">
        <v>573</v>
      </c>
      <c r="DA9">
        <v>1.916528195142746E-2</v>
      </c>
      <c r="DB9" t="e">
        <v>#VALUE!</v>
      </c>
      <c r="DC9" t="s">
        <v>574</v>
      </c>
      <c r="DD9">
        <v>1.8207017853856085E-2</v>
      </c>
      <c r="DE9" t="e">
        <v>#VALUE!</v>
      </c>
      <c r="DF9" t="s">
        <v>574</v>
      </c>
      <c r="DG9">
        <v>1.6865448117256165E-2</v>
      </c>
      <c r="DH9" t="e">
        <v>#VALUE!</v>
      </c>
      <c r="DI9" t="s">
        <v>574</v>
      </c>
      <c r="DJ9">
        <v>1.5332225561141969E-2</v>
      </c>
      <c r="DK9" t="e">
        <v>#VALUE!</v>
      </c>
      <c r="DL9" t="s">
        <v>574</v>
      </c>
      <c r="DM9">
        <v>1.3415697365999221E-2</v>
      </c>
      <c r="DN9">
        <v>-665000000</v>
      </c>
      <c r="DO9">
        <v>1.916528195142746E-2</v>
      </c>
      <c r="DP9">
        <v>16460529400</v>
      </c>
      <c r="DQ9">
        <v>-2896905600</v>
      </c>
      <c r="DR9">
        <v>607</v>
      </c>
      <c r="DS9">
        <v>-0.14002988801203353</v>
      </c>
      <c r="DT9">
        <v>1.4400973424056485</v>
      </c>
      <c r="DU9" s="25">
        <v>0</v>
      </c>
      <c r="DV9" t="e">
        <v>#VALUE!</v>
      </c>
      <c r="DW9" t="e">
        <v>#VALUE!</v>
      </c>
      <c r="DX9">
        <v>9.2219631615761255</v>
      </c>
      <c r="DY9">
        <v>0.43054197785221876</v>
      </c>
      <c r="DZ9">
        <v>9.0200969836594336</v>
      </c>
      <c r="EA9">
        <v>4617</v>
      </c>
      <c r="EB9">
        <v>9.0004718200478422</v>
      </c>
      <c r="EC9">
        <v>9</v>
      </c>
      <c r="ED9">
        <v>0.30248182073606605</v>
      </c>
      <c r="EE9">
        <v>3.3407910013220445</v>
      </c>
      <c r="EF9" s="22">
        <v>3.0278</v>
      </c>
      <c r="EG9">
        <v>3.0640999999999998</v>
      </c>
      <c r="EH9">
        <v>34.090541977852219</v>
      </c>
      <c r="EI9" t="s">
        <v>553</v>
      </c>
      <c r="EJ9">
        <v>1</v>
      </c>
      <c r="EK9">
        <v>0</v>
      </c>
    </row>
    <row r="10" spans="1:141" x14ac:dyDescent="0.25">
      <c r="E10" t="s">
        <v>3116</v>
      </c>
      <c r="F10" t="s">
        <v>3117</v>
      </c>
      <c r="G10">
        <v>9.93</v>
      </c>
      <c r="H10">
        <v>4.8600000000000003</v>
      </c>
      <c r="I10" t="s">
        <v>3273</v>
      </c>
      <c r="J10">
        <v>2521074100</v>
      </c>
      <c r="K10">
        <v>509.5</v>
      </c>
      <c r="L10">
        <v>3.75</v>
      </c>
      <c r="M10" t="s">
        <v>691</v>
      </c>
      <c r="N10" t="s">
        <v>60</v>
      </c>
      <c r="O10" t="s">
        <v>2854</v>
      </c>
      <c r="P10" t="s">
        <v>3274</v>
      </c>
      <c r="Q10">
        <v>-29.45</v>
      </c>
      <c r="R10" t="s">
        <v>2696</v>
      </c>
      <c r="S10">
        <v>-2382511</v>
      </c>
      <c r="T10" s="4">
        <v>-2.4300000000000002</v>
      </c>
      <c r="U10" t="s">
        <v>3275</v>
      </c>
      <c r="V10">
        <v>184758450</v>
      </c>
      <c r="W10">
        <v>253884600</v>
      </c>
      <c r="X10">
        <v>1.43</v>
      </c>
      <c r="Y10">
        <v>0.05</v>
      </c>
      <c r="Z10">
        <v>-4.5999999999999996</v>
      </c>
      <c r="AA10" t="s">
        <v>3276</v>
      </c>
      <c r="AB10" t="s">
        <v>3277</v>
      </c>
      <c r="AC10" t="s">
        <v>3278</v>
      </c>
      <c r="AD10" t="s">
        <v>3279</v>
      </c>
      <c r="AE10" t="s">
        <v>7</v>
      </c>
      <c r="AF10">
        <v>945037</v>
      </c>
      <c r="AG10" t="s">
        <v>3280</v>
      </c>
      <c r="AH10">
        <v>7841</v>
      </c>
      <c r="AI10" t="s">
        <v>3281</v>
      </c>
      <c r="AJ10" t="s">
        <v>23</v>
      </c>
      <c r="AK10" t="s">
        <v>3282</v>
      </c>
      <c r="AL10" t="s">
        <v>7</v>
      </c>
      <c r="AM10" t="s">
        <v>3283</v>
      </c>
      <c r="AN10" t="s">
        <v>7</v>
      </c>
      <c r="AO10" t="s">
        <v>3284</v>
      </c>
      <c r="AP10" t="s">
        <v>3285</v>
      </c>
      <c r="AQ10" t="s">
        <v>3286</v>
      </c>
      <c r="AR10" t="s">
        <v>87</v>
      </c>
      <c r="AS10" t="s">
        <v>7</v>
      </c>
      <c r="AT10" t="s">
        <v>887</v>
      </c>
      <c r="AU10" t="s">
        <v>7</v>
      </c>
      <c r="AV10" t="s">
        <v>3287</v>
      </c>
      <c r="AW10" t="s">
        <v>7</v>
      </c>
      <c r="AX10" t="s">
        <v>3288</v>
      </c>
      <c r="AY10" t="s">
        <v>3289</v>
      </c>
      <c r="AZ10" t="s">
        <v>2632</v>
      </c>
      <c r="BA10" t="s">
        <v>1277</v>
      </c>
      <c r="BB10" t="s">
        <v>246</v>
      </c>
      <c r="BC10" t="s">
        <v>2190</v>
      </c>
      <c r="BD10" t="s">
        <v>3290</v>
      </c>
      <c r="BE10" t="s">
        <v>3291</v>
      </c>
      <c r="BF10" t="s">
        <v>3292</v>
      </c>
      <c r="BG10" t="s">
        <v>3293</v>
      </c>
      <c r="BH10" t="s">
        <v>3294</v>
      </c>
      <c r="BI10" t="s">
        <v>3295</v>
      </c>
      <c r="BJ10" t="s">
        <v>3296</v>
      </c>
      <c r="BK10" t="s">
        <v>3289</v>
      </c>
      <c r="BL10" t="s">
        <v>3275</v>
      </c>
      <c r="BM10" t="s">
        <v>3297</v>
      </c>
      <c r="BN10" t="s">
        <v>3290</v>
      </c>
      <c r="BO10">
        <v>1.08</v>
      </c>
      <c r="BP10">
        <v>-6.06</v>
      </c>
      <c r="BQ10">
        <v>0.54</v>
      </c>
      <c r="BR10">
        <v>0.78</v>
      </c>
      <c r="BS10">
        <v>1.34</v>
      </c>
      <c r="BT10">
        <v>-8.44</v>
      </c>
      <c r="BU10">
        <v>0.89</v>
      </c>
      <c r="BV10">
        <v>1.21</v>
      </c>
      <c r="BW10">
        <v>24.77</v>
      </c>
      <c r="BX10">
        <v>9.64</v>
      </c>
      <c r="BY10">
        <v>22.54</v>
      </c>
      <c r="BZ10">
        <v>2.95</v>
      </c>
      <c r="CA10">
        <v>-11.89</v>
      </c>
      <c r="CB10">
        <v>1.19</v>
      </c>
      <c r="CC10">
        <v>3.22</v>
      </c>
      <c r="CD10">
        <v>13.42</v>
      </c>
      <c r="CE10" t="s">
        <v>3298</v>
      </c>
      <c r="CF10" t="s">
        <v>33</v>
      </c>
      <c r="CG10" s="23">
        <v>-0.2944727720152413</v>
      </c>
      <c r="CH10" s="24">
        <v>-2.4299069739527068</v>
      </c>
      <c r="CI10" s="23">
        <v>-0.38212928175926208</v>
      </c>
      <c r="CJ10" s="23">
        <v>9.5969289541244507E-3</v>
      </c>
      <c r="CK10" s="23">
        <v>-0.30993378162384033</v>
      </c>
      <c r="CL10" s="23">
        <v>0.39042356610298157</v>
      </c>
      <c r="CM10" s="23">
        <v>0.33415234088897705</v>
      </c>
      <c r="CN10" s="24">
        <v>1.1526975631713867</v>
      </c>
      <c r="CO10" s="24">
        <v>-10.265233993530273</v>
      </c>
      <c r="CP10" s="24">
        <v>-0.24352584779262543</v>
      </c>
      <c r="CQ10" s="24">
        <v>0.37786629796028137</v>
      </c>
      <c r="CR10" s="24">
        <v>-0.79477685689926147</v>
      </c>
      <c r="CS10">
        <v>7.7571510769230771</v>
      </c>
      <c r="CT10">
        <v>-27776758.919639882</v>
      </c>
      <c r="CU10">
        <v>-0.32889999999999997</v>
      </c>
      <c r="CV10" s="23">
        <v>8.4219545125961311E-3</v>
      </c>
      <c r="CW10" s="24">
        <v>-1.9545945674180984</v>
      </c>
      <c r="CX10">
        <v>0.06</v>
      </c>
      <c r="CY10">
        <v>249.21363229098188</v>
      </c>
      <c r="CZ10">
        <v>8559219.1742922887</v>
      </c>
      <c r="DA10">
        <v>8.4219545125961311E-3</v>
      </c>
      <c r="DB10">
        <v>87.319392605703385</v>
      </c>
      <c r="DC10">
        <v>24428412.021050584</v>
      </c>
      <c r="DD10">
        <v>8.0008567869663243E-3</v>
      </c>
      <c r="DE10">
        <v>47.039750241849077</v>
      </c>
      <c r="DF10">
        <v>45346203.7751702</v>
      </c>
      <c r="DG10">
        <v>7.4113199710845951E-3</v>
      </c>
      <c r="DH10">
        <v>31.138681041260956</v>
      </c>
      <c r="DI10">
        <v>68502390.874344543</v>
      </c>
      <c r="DJ10">
        <v>6.737563610076905E-3</v>
      </c>
      <c r="DK10">
        <v>19.640210095027037</v>
      </c>
      <c r="DL10">
        <v>108607499.08882599</v>
      </c>
      <c r="DM10">
        <v>5.8953681588172916E-3</v>
      </c>
      <c r="DN10">
        <v>8997000</v>
      </c>
      <c r="DO10">
        <v>8.4219545125961311E-3</v>
      </c>
      <c r="DP10">
        <v>2133074100</v>
      </c>
      <c r="DQ10">
        <v>310472270</v>
      </c>
      <c r="DR10">
        <v>1617</v>
      </c>
      <c r="DS10">
        <v>-0.30289472652783744</v>
      </c>
      <c r="DT10">
        <v>-0.47531240653460838</v>
      </c>
      <c r="DU10" s="25">
        <v>-0.22</v>
      </c>
      <c r="DV10">
        <v>-0.89833333333333332</v>
      </c>
      <c r="DW10">
        <v>-1.1183333333333334</v>
      </c>
      <c r="DX10">
        <v>8.2399403874813704</v>
      </c>
      <c r="DY10">
        <v>0.74821420454545573</v>
      </c>
      <c r="DZ10">
        <v>8.0331631697940651</v>
      </c>
      <c r="EA10">
        <v>4367</v>
      </c>
      <c r="EB10">
        <v>8.0025061921288057</v>
      </c>
      <c r="EC10">
        <v>8</v>
      </c>
      <c r="ED10">
        <v>9.5814003685138843E-2</v>
      </c>
      <c r="EE10">
        <v>0.69322834075008877</v>
      </c>
      <c r="EF10" s="22">
        <v>1.0858000000000001</v>
      </c>
      <c r="EG10">
        <v>1.1344000000000001</v>
      </c>
      <c r="EH10">
        <v>61.138214204545456</v>
      </c>
      <c r="EI10" t="s">
        <v>498</v>
      </c>
      <c r="EJ10">
        <v>0</v>
      </c>
      <c r="EK10">
        <v>0</v>
      </c>
    </row>
    <row r="11" spans="1:141" x14ac:dyDescent="0.25">
      <c r="B11" s="28"/>
      <c r="C11" s="28"/>
      <c r="D11" s="28"/>
      <c r="E11" t="s">
        <v>2356</v>
      </c>
      <c r="F11" t="s">
        <v>2357</v>
      </c>
      <c r="G11">
        <v>8.0299999999999994</v>
      </c>
      <c r="H11">
        <v>4.5599999999999996</v>
      </c>
      <c r="I11" t="s">
        <v>2536</v>
      </c>
      <c r="J11">
        <v>4525426600</v>
      </c>
      <c r="K11">
        <v>59.4</v>
      </c>
      <c r="L11">
        <v>1.93</v>
      </c>
      <c r="M11" t="s">
        <v>691</v>
      </c>
      <c r="N11" t="s">
        <v>2537</v>
      </c>
      <c r="O11" t="s">
        <v>2538</v>
      </c>
      <c r="P11" t="s">
        <v>2539</v>
      </c>
      <c r="Q11">
        <v>6.97</v>
      </c>
      <c r="R11" t="s">
        <v>2540</v>
      </c>
      <c r="S11">
        <v>5684764</v>
      </c>
      <c r="T11" s="4">
        <v>-0.6976</v>
      </c>
      <c r="U11" t="s">
        <v>2541</v>
      </c>
      <c r="V11">
        <v>525127220</v>
      </c>
      <c r="W11">
        <v>563564960</v>
      </c>
      <c r="X11">
        <v>1.43</v>
      </c>
      <c r="Y11">
        <v>0.08</v>
      </c>
      <c r="Z11">
        <v>2.2799999999999998</v>
      </c>
      <c r="AA11" t="s">
        <v>159</v>
      </c>
      <c r="AB11" t="s">
        <v>2542</v>
      </c>
      <c r="AC11" t="s">
        <v>2543</v>
      </c>
      <c r="AD11" t="s">
        <v>2544</v>
      </c>
      <c r="AE11" t="s">
        <v>7</v>
      </c>
      <c r="AF11">
        <v>225362</v>
      </c>
      <c r="AG11" t="s">
        <v>2545</v>
      </c>
      <c r="AH11" t="s">
        <v>2546</v>
      </c>
      <c r="AI11" t="s">
        <v>2547</v>
      </c>
      <c r="AJ11" t="s">
        <v>639</v>
      </c>
      <c r="AK11" t="s">
        <v>2548</v>
      </c>
      <c r="AL11" t="s">
        <v>2549</v>
      </c>
      <c r="AM11" t="s">
        <v>2550</v>
      </c>
      <c r="AN11" t="s">
        <v>7</v>
      </c>
      <c r="AO11" t="s">
        <v>2551</v>
      </c>
      <c r="AP11" t="s">
        <v>32</v>
      </c>
      <c r="AQ11" t="s">
        <v>211</v>
      </c>
      <c r="AR11" t="s">
        <v>2254</v>
      </c>
      <c r="AS11" t="s">
        <v>2552</v>
      </c>
      <c r="AT11" t="s">
        <v>2553</v>
      </c>
      <c r="AU11" t="s">
        <v>2554</v>
      </c>
      <c r="AV11" t="s">
        <v>2555</v>
      </c>
      <c r="AW11" t="s">
        <v>2556</v>
      </c>
      <c r="AX11" t="s">
        <v>179</v>
      </c>
      <c r="AY11" t="s">
        <v>2557</v>
      </c>
      <c r="AZ11" t="s">
        <v>2558</v>
      </c>
      <c r="BA11" t="s">
        <v>337</v>
      </c>
      <c r="BB11" t="s">
        <v>450</v>
      </c>
      <c r="BC11" t="s">
        <v>624</v>
      </c>
      <c r="BD11" t="s">
        <v>2559</v>
      </c>
      <c r="BE11" t="s">
        <v>2560</v>
      </c>
      <c r="BF11" t="s">
        <v>2561</v>
      </c>
      <c r="BG11" t="s">
        <v>2562</v>
      </c>
      <c r="BH11" t="s">
        <v>154</v>
      </c>
      <c r="BI11" t="s">
        <v>58</v>
      </c>
      <c r="BJ11" t="s">
        <v>1054</v>
      </c>
      <c r="BK11" t="s">
        <v>2557</v>
      </c>
      <c r="BL11" t="s">
        <v>2541</v>
      </c>
      <c r="BM11" t="s">
        <v>2563</v>
      </c>
      <c r="BN11" t="s">
        <v>2559</v>
      </c>
      <c r="BO11">
        <v>3.22</v>
      </c>
      <c r="BP11">
        <v>3.33</v>
      </c>
      <c r="BQ11">
        <v>3.42</v>
      </c>
      <c r="BR11">
        <v>3.34</v>
      </c>
      <c r="BS11">
        <v>3.98</v>
      </c>
      <c r="BT11">
        <v>3.92</v>
      </c>
      <c r="BU11">
        <v>3.59</v>
      </c>
      <c r="BV11">
        <v>3.38</v>
      </c>
      <c r="BW11">
        <v>26.26</v>
      </c>
      <c r="BX11">
        <v>29.44</v>
      </c>
      <c r="BY11">
        <v>33.65</v>
      </c>
      <c r="BZ11">
        <v>4.6399999999999997</v>
      </c>
      <c r="CA11">
        <v>5.55</v>
      </c>
      <c r="CB11">
        <v>6.25</v>
      </c>
      <c r="CC11">
        <v>4.42</v>
      </c>
      <c r="CD11">
        <v>17.399999999999999</v>
      </c>
      <c r="CE11" t="s">
        <v>2564</v>
      </c>
      <c r="CF11" t="s">
        <v>673</v>
      </c>
      <c r="CG11" s="23">
        <v>6.7688016877637133E-2</v>
      </c>
      <c r="CH11" s="24">
        <v>-0.69763019462041309</v>
      </c>
      <c r="CI11" s="23">
        <v>0.26936507225036621</v>
      </c>
      <c r="CJ11" s="23">
        <v>0.22061322629451752</v>
      </c>
      <c r="CK11" s="23">
        <v>0.19308942556381226</v>
      </c>
      <c r="CL11" s="23">
        <v>0.13625866174697876</v>
      </c>
      <c r="CM11" s="23">
        <v>-2.8058361262083054E-2</v>
      </c>
      <c r="CN11" s="24">
        <v>5.0080940127372742E-2</v>
      </c>
      <c r="CO11" s="24">
        <v>0.108559750020504</v>
      </c>
      <c r="CP11" s="24">
        <v>1.1771738063544035E-3</v>
      </c>
      <c r="CQ11" s="24">
        <v>0.20149025321006775</v>
      </c>
      <c r="CR11" s="24">
        <v>-0.59636515378952026</v>
      </c>
      <c r="CS11">
        <v>2.4878650907091804</v>
      </c>
      <c r="CT11">
        <v>4207009.960638959</v>
      </c>
      <c r="CU11">
        <v>0.26083200000000001</v>
      </c>
      <c r="CV11" s="23">
        <v>0.15825360491871834</v>
      </c>
      <c r="CW11" s="24">
        <v>-4.7011407325044274E-2</v>
      </c>
      <c r="CX11">
        <v>0.06</v>
      </c>
      <c r="CY11">
        <v>32.685569989451459</v>
      </c>
      <c r="CZ11">
        <v>97579041.792121619</v>
      </c>
      <c r="DA11">
        <v>0.15825360491871834</v>
      </c>
      <c r="DB11">
        <v>10.086101303385735</v>
      </c>
      <c r="DC11">
        <v>316219964.88666666</v>
      </c>
      <c r="DD11">
        <v>0.15034092467278243</v>
      </c>
      <c r="DE11">
        <v>4.5898726282877451</v>
      </c>
      <c r="DF11">
        <v>694883465.9034574</v>
      </c>
      <c r="DG11">
        <v>0.13926317232847216</v>
      </c>
      <c r="DH11">
        <v>2.5157332539615429</v>
      </c>
      <c r="DI11">
        <v>1267792042.331033</v>
      </c>
      <c r="DJ11">
        <v>0.12660288393497468</v>
      </c>
      <c r="DK11">
        <v>1.0537974733885662</v>
      </c>
      <c r="DL11">
        <v>3026603005.3613195</v>
      </c>
      <c r="DM11">
        <v>0.11077752344310283</v>
      </c>
      <c r="DN11">
        <v>89301500</v>
      </c>
      <c r="DO11">
        <v>0.15825360491871834</v>
      </c>
      <c r="DP11">
        <v>3189426600</v>
      </c>
      <c r="DQ11">
        <v>1399918700</v>
      </c>
      <c r="DR11">
        <v>844</v>
      </c>
      <c r="DS11">
        <v>-9.056558804108121E-2</v>
      </c>
      <c r="DT11">
        <v>-0.65061878729536882</v>
      </c>
      <c r="DU11" s="25">
        <v>0</v>
      </c>
      <c r="DV11">
        <v>-0.44</v>
      </c>
      <c r="DW11">
        <v>-0.44</v>
      </c>
      <c r="DX11">
        <v>8.2540229885057474</v>
      </c>
      <c r="DY11">
        <v>0.61327108753315596</v>
      </c>
      <c r="DZ11">
        <v>8.0389343797066992</v>
      </c>
      <c r="EA11">
        <v>2956</v>
      </c>
      <c r="EB11">
        <v>8.0146435341150983</v>
      </c>
      <c r="EC11">
        <v>8</v>
      </c>
      <c r="ED11">
        <v>0.10253156974131251</v>
      </c>
      <c r="EE11">
        <v>0.66895571364124551</v>
      </c>
      <c r="EF11" s="22">
        <v>1.0074099999999999</v>
      </c>
      <c r="EG11">
        <v>1.0382</v>
      </c>
      <c r="EH11">
        <v>46.153271087533156</v>
      </c>
      <c r="EI11" t="s">
        <v>498</v>
      </c>
      <c r="EJ11">
        <v>0</v>
      </c>
      <c r="EK11">
        <v>0</v>
      </c>
    </row>
    <row r="12" spans="1:141" x14ac:dyDescent="0.25">
      <c r="B12" s="28"/>
      <c r="C12" s="28"/>
      <c r="D12" s="28"/>
      <c r="E12" t="s">
        <v>2360</v>
      </c>
      <c r="F12" t="s">
        <v>2361</v>
      </c>
      <c r="G12">
        <v>33.229999999999997</v>
      </c>
      <c r="H12">
        <v>7.47</v>
      </c>
      <c r="I12" t="s">
        <v>2595</v>
      </c>
      <c r="J12">
        <v>19354660000</v>
      </c>
      <c r="K12">
        <v>56.64</v>
      </c>
      <c r="L12">
        <v>6.21</v>
      </c>
      <c r="M12" t="s">
        <v>691</v>
      </c>
      <c r="N12" t="s">
        <v>2596</v>
      </c>
      <c r="O12" t="s">
        <v>2597</v>
      </c>
      <c r="P12" t="s">
        <v>2598</v>
      </c>
      <c r="Q12">
        <v>18.489999999999998</v>
      </c>
      <c r="R12" t="s">
        <v>2599</v>
      </c>
      <c r="S12">
        <v>54275464</v>
      </c>
      <c r="T12" s="4">
        <v>-0.36730000000000002</v>
      </c>
      <c r="U12" t="s">
        <v>1800</v>
      </c>
      <c r="V12">
        <v>565356810</v>
      </c>
      <c r="W12">
        <v>582445390</v>
      </c>
      <c r="X12">
        <v>1.58</v>
      </c>
      <c r="Y12">
        <v>0.11</v>
      </c>
      <c r="Z12">
        <v>9.75</v>
      </c>
      <c r="AA12" t="s">
        <v>2600</v>
      </c>
      <c r="AB12" t="s">
        <v>649</v>
      </c>
      <c r="AC12" t="s">
        <v>2601</v>
      </c>
      <c r="AD12" t="s">
        <v>2602</v>
      </c>
      <c r="AE12" t="s">
        <v>7</v>
      </c>
      <c r="AF12">
        <v>1268074</v>
      </c>
      <c r="AG12" t="s">
        <v>2603</v>
      </c>
      <c r="AH12" t="s">
        <v>2604</v>
      </c>
      <c r="AI12" t="s">
        <v>2605</v>
      </c>
      <c r="AJ12" t="s">
        <v>136</v>
      </c>
      <c r="AK12" t="s">
        <v>2606</v>
      </c>
      <c r="AL12" t="s">
        <v>2607</v>
      </c>
      <c r="AM12" t="s">
        <v>2608</v>
      </c>
      <c r="AN12" t="s">
        <v>7</v>
      </c>
      <c r="AO12" t="s">
        <v>38</v>
      </c>
      <c r="AP12" t="s">
        <v>2609</v>
      </c>
      <c r="AQ12" t="s">
        <v>253</v>
      </c>
      <c r="AR12" t="s">
        <v>1464</v>
      </c>
      <c r="AS12" t="s">
        <v>2610</v>
      </c>
      <c r="AT12" t="s">
        <v>2611</v>
      </c>
      <c r="AU12" t="s">
        <v>7</v>
      </c>
      <c r="AV12" t="s">
        <v>348</v>
      </c>
      <c r="AW12" t="s">
        <v>2435</v>
      </c>
      <c r="AX12" t="s">
        <v>2612</v>
      </c>
      <c r="AY12" t="s">
        <v>2613</v>
      </c>
      <c r="AZ12" t="s">
        <v>2125</v>
      </c>
      <c r="BA12" t="s">
        <v>1721</v>
      </c>
      <c r="BB12" t="s">
        <v>2614</v>
      </c>
      <c r="BC12" t="s">
        <v>2615</v>
      </c>
      <c r="BD12" t="s">
        <v>30</v>
      </c>
      <c r="BE12" t="s">
        <v>200</v>
      </c>
      <c r="BF12" t="s">
        <v>54</v>
      </c>
      <c r="BG12" t="s">
        <v>857</v>
      </c>
      <c r="BH12" t="s">
        <v>47</v>
      </c>
      <c r="BI12" t="s">
        <v>192</v>
      </c>
      <c r="BJ12" t="s">
        <v>2616</v>
      </c>
      <c r="BK12" t="s">
        <v>2613</v>
      </c>
      <c r="BL12" t="s">
        <v>1800</v>
      </c>
      <c r="BM12" t="s">
        <v>2617</v>
      </c>
      <c r="BN12" t="s">
        <v>30</v>
      </c>
      <c r="BO12">
        <v>10.66</v>
      </c>
      <c r="BP12">
        <v>9.4499999999999993</v>
      </c>
      <c r="BQ12">
        <v>11.01</v>
      </c>
      <c r="BR12">
        <v>8.7200000000000006</v>
      </c>
      <c r="BS12">
        <v>12.72</v>
      </c>
      <c r="BT12">
        <v>11.26</v>
      </c>
      <c r="BU12">
        <v>12.82</v>
      </c>
      <c r="BV12">
        <v>9.89</v>
      </c>
      <c r="BW12">
        <v>31.31</v>
      </c>
      <c r="BX12">
        <v>36.869999999999997</v>
      </c>
      <c r="BY12">
        <v>35.869999999999997</v>
      </c>
      <c r="BZ12">
        <v>13.27</v>
      </c>
      <c r="CA12">
        <v>12.55</v>
      </c>
      <c r="CB12">
        <v>12.32</v>
      </c>
      <c r="CC12">
        <v>8.59</v>
      </c>
      <c r="CD12">
        <v>47.62</v>
      </c>
      <c r="CE12" t="s">
        <v>99</v>
      </c>
      <c r="CF12" t="s">
        <v>2618</v>
      </c>
      <c r="CG12" s="23">
        <v>0.18514539112050726</v>
      </c>
      <c r="CH12" s="24">
        <v>-0.3672728205343424</v>
      </c>
      <c r="CI12" s="23">
        <v>0.15806853771209717</v>
      </c>
      <c r="CJ12" s="23">
        <v>-7.1647442877292633E-2</v>
      </c>
      <c r="CK12" s="23">
        <v>-3.8674101233482361E-2</v>
      </c>
      <c r="CL12" s="23">
        <v>-5.4944353178143501E-3</v>
      </c>
      <c r="CM12" s="23">
        <v>0.55999994277954102</v>
      </c>
      <c r="CN12" s="24">
        <v>0.23102310299873352</v>
      </c>
      <c r="CO12" s="24">
        <v>-5.6074764579534531E-2</v>
      </c>
      <c r="CP12" s="24">
        <v>0.395652174949646</v>
      </c>
      <c r="CQ12" s="24">
        <v>-0.38005390763282776</v>
      </c>
      <c r="CR12" s="24">
        <v>0.25337839126586914</v>
      </c>
      <c r="CS12">
        <v>6.8975980042765501</v>
      </c>
      <c r="CT12">
        <v>11713309.115281502</v>
      </c>
      <c r="CU12">
        <v>1.69455</v>
      </c>
      <c r="CV12" s="23">
        <v>0.12045050021260977</v>
      </c>
      <c r="CW12" s="24">
        <v>8.8784999400377276E-2</v>
      </c>
      <c r="CX12">
        <v>0.06</v>
      </c>
      <c r="CY12">
        <v>45.723947492031762</v>
      </c>
      <c r="CZ12">
        <v>394271732.62198436</v>
      </c>
      <c r="DA12">
        <v>0.12045050021260977</v>
      </c>
      <c r="DB12">
        <v>14.563109246569345</v>
      </c>
      <c r="DC12">
        <v>1237899111.7056136</v>
      </c>
      <c r="DD12">
        <v>0.11442797520197927</v>
      </c>
      <c r="DE12">
        <v>6.9241999864767436</v>
      </c>
      <c r="DF12">
        <v>2603572981.0243473</v>
      </c>
      <c r="DG12">
        <v>0.1059964401870966</v>
      </c>
      <c r="DH12">
        <v>3.9960741876352714</v>
      </c>
      <c r="DI12">
        <v>4511342671.210041</v>
      </c>
      <c r="DJ12">
        <v>9.6360400170087818E-2</v>
      </c>
      <c r="DK12">
        <v>1.888298922126793</v>
      </c>
      <c r="DL12">
        <v>9547037171.2628155</v>
      </c>
      <c r="DM12">
        <v>8.4315350148826837E-2</v>
      </c>
      <c r="DN12">
        <v>373000000</v>
      </c>
      <c r="DO12">
        <v>0.12045050021260977</v>
      </c>
      <c r="DP12">
        <v>18027660000</v>
      </c>
      <c r="DQ12">
        <v>1682141300</v>
      </c>
      <c r="DR12">
        <v>992</v>
      </c>
      <c r="DS12">
        <v>6.4694890907897498E-2</v>
      </c>
      <c r="DT12">
        <v>-0.45605781993471967</v>
      </c>
      <c r="DU12" s="25">
        <v>0</v>
      </c>
      <c r="DV12">
        <v>-0.22</v>
      </c>
      <c r="DW12">
        <v>-0.22</v>
      </c>
      <c r="DX12">
        <v>9.1803863922721547</v>
      </c>
      <c r="DY12">
        <v>0.5196284329563795</v>
      </c>
      <c r="DZ12">
        <v>9.0305986610477813</v>
      </c>
      <c r="EA12">
        <v>2060</v>
      </c>
      <c r="EB12">
        <v>9.0172948953748335</v>
      </c>
      <c r="EC12">
        <v>9</v>
      </c>
      <c r="ED12">
        <v>0.18027441164913333</v>
      </c>
      <c r="EE12">
        <v>1.062760579150605</v>
      </c>
      <c r="EF12" s="22">
        <v>5.0762999999999998</v>
      </c>
      <c r="EG12">
        <v>6.0010000000000003</v>
      </c>
      <c r="EH12">
        <v>35.16962843295638</v>
      </c>
      <c r="EI12" t="s">
        <v>2619</v>
      </c>
      <c r="EJ12">
        <v>1</v>
      </c>
      <c r="EK12">
        <v>0</v>
      </c>
    </row>
    <row r="13" spans="1:141" x14ac:dyDescent="0.25">
      <c r="B13" s="3"/>
      <c r="C13" s="3"/>
      <c r="D13" s="3"/>
      <c r="E13" t="s">
        <v>3118</v>
      </c>
      <c r="F13" t="s">
        <v>3119</v>
      </c>
      <c r="G13">
        <v>13.8</v>
      </c>
      <c r="H13">
        <v>1.17</v>
      </c>
      <c r="I13" t="s">
        <v>3299</v>
      </c>
      <c r="J13">
        <v>6960542300</v>
      </c>
      <c r="K13">
        <v>21.21</v>
      </c>
      <c r="L13">
        <v>2.57</v>
      </c>
      <c r="M13" t="s">
        <v>691</v>
      </c>
      <c r="N13" t="s">
        <v>746</v>
      </c>
      <c r="O13" t="s">
        <v>3300</v>
      </c>
      <c r="P13" t="s">
        <v>3301</v>
      </c>
      <c r="Q13">
        <v>37.56</v>
      </c>
      <c r="R13" t="s">
        <v>817</v>
      </c>
      <c r="S13">
        <v>71322606</v>
      </c>
      <c r="T13" s="4">
        <v>0.16830000000000001</v>
      </c>
      <c r="U13" t="s">
        <v>252</v>
      </c>
      <c r="V13">
        <v>435942630</v>
      </c>
      <c r="W13">
        <v>504387130</v>
      </c>
      <c r="X13">
        <v>1.21</v>
      </c>
      <c r="Y13">
        <v>0.09</v>
      </c>
      <c r="Z13">
        <v>24.47</v>
      </c>
      <c r="AA13" t="s">
        <v>152</v>
      </c>
      <c r="AB13" t="s">
        <v>88</v>
      </c>
      <c r="AC13" t="s">
        <v>3302</v>
      </c>
      <c r="AD13" t="s">
        <v>3303</v>
      </c>
      <c r="AE13" t="s">
        <v>7</v>
      </c>
      <c r="AF13">
        <v>-10769279</v>
      </c>
      <c r="AG13" t="s">
        <v>3304</v>
      </c>
      <c r="AH13" t="s">
        <v>3305</v>
      </c>
      <c r="AI13" t="s">
        <v>3306</v>
      </c>
      <c r="AJ13" t="s">
        <v>994</v>
      </c>
      <c r="AK13" t="s">
        <v>3307</v>
      </c>
      <c r="AL13" t="s">
        <v>3308</v>
      </c>
      <c r="AM13" t="s">
        <v>3309</v>
      </c>
      <c r="AN13" t="s">
        <v>7</v>
      </c>
      <c r="AO13" t="s">
        <v>3310</v>
      </c>
      <c r="AP13" t="s">
        <v>7</v>
      </c>
      <c r="AQ13" t="s">
        <v>38</v>
      </c>
      <c r="AR13" t="s">
        <v>241</v>
      </c>
      <c r="AS13" t="s">
        <v>7</v>
      </c>
      <c r="AT13" t="s">
        <v>917</v>
      </c>
      <c r="AU13" t="s">
        <v>7</v>
      </c>
      <c r="AV13" t="s">
        <v>3311</v>
      </c>
      <c r="AW13" t="s">
        <v>3312</v>
      </c>
      <c r="AX13" t="s">
        <v>3313</v>
      </c>
      <c r="AY13" t="s">
        <v>1896</v>
      </c>
      <c r="AZ13" t="s">
        <v>448</v>
      </c>
      <c r="BA13" t="s">
        <v>3314</v>
      </c>
      <c r="BB13" t="s">
        <v>3315</v>
      </c>
      <c r="BC13" t="s">
        <v>3316</v>
      </c>
      <c r="BD13" t="s">
        <v>3317</v>
      </c>
      <c r="BE13" t="s">
        <v>75</v>
      </c>
      <c r="BF13" t="s">
        <v>3318</v>
      </c>
      <c r="BG13" t="s">
        <v>151</v>
      </c>
      <c r="BH13" t="s">
        <v>144</v>
      </c>
      <c r="BI13" t="s">
        <v>1900</v>
      </c>
      <c r="BJ13" t="s">
        <v>3319</v>
      </c>
      <c r="BK13" t="s">
        <v>1896</v>
      </c>
      <c r="BL13" t="s">
        <v>252</v>
      </c>
      <c r="BM13" t="s">
        <v>3320</v>
      </c>
      <c r="BN13" t="s">
        <v>3317</v>
      </c>
      <c r="BO13">
        <v>11.91</v>
      </c>
      <c r="BP13">
        <v>12.12</v>
      </c>
      <c r="BQ13">
        <v>10.5</v>
      </c>
      <c r="BR13">
        <v>6.02</v>
      </c>
      <c r="BS13">
        <v>12.69</v>
      </c>
      <c r="BT13">
        <v>12.89</v>
      </c>
      <c r="BU13">
        <v>10.91</v>
      </c>
      <c r="BV13">
        <v>6.47</v>
      </c>
      <c r="BW13">
        <v>38.96</v>
      </c>
      <c r="BX13">
        <v>39.799999999999997</v>
      </c>
      <c r="BY13">
        <v>39.619999999999997</v>
      </c>
      <c r="BZ13">
        <v>26.94</v>
      </c>
      <c r="CA13">
        <v>27.51</v>
      </c>
      <c r="CB13">
        <v>27.22</v>
      </c>
      <c r="CC13">
        <v>3.45</v>
      </c>
      <c r="CD13">
        <v>37.31</v>
      </c>
      <c r="CE13" t="s">
        <v>3321</v>
      </c>
      <c r="CF13" t="s">
        <v>3322</v>
      </c>
      <c r="CG13" s="23">
        <v>0.37246887850467292</v>
      </c>
      <c r="CH13" s="24">
        <v>0.16827310907851975</v>
      </c>
      <c r="CI13" s="23">
        <v>0.10300827026367187</v>
      </c>
      <c r="CJ13" s="23">
        <v>0.22982054948806763</v>
      </c>
      <c r="CK13" s="23">
        <v>2.2935779765248299E-2</v>
      </c>
      <c r="CL13" s="23">
        <v>-0.10380267351865768</v>
      </c>
      <c r="CM13" s="23">
        <v>-0.18509212136268616</v>
      </c>
      <c r="CN13" s="24">
        <v>8.5324235260486603E-2</v>
      </c>
      <c r="CO13" s="24">
        <v>0.20576131343841553</v>
      </c>
      <c r="CP13" s="24">
        <v>0.78676468133926392</v>
      </c>
      <c r="CQ13" s="24">
        <v>-0.13375796377658844</v>
      </c>
      <c r="CR13" s="24">
        <v>-0.38431373238563538</v>
      </c>
      <c r="CS13">
        <v>5.7525142975206611</v>
      </c>
      <c r="CT13">
        <v>23691846.540880505</v>
      </c>
      <c r="CU13">
        <v>2.6647829999999999</v>
      </c>
      <c r="CV13" s="23">
        <v>1.3373960927128791E-2</v>
      </c>
      <c r="CW13" s="24">
        <v>0.11195570677518844</v>
      </c>
      <c r="CX13">
        <v>0.06</v>
      </c>
      <c r="CY13">
        <v>15.751152370308903</v>
      </c>
      <c r="CZ13">
        <v>304012188.27813864</v>
      </c>
      <c r="DA13">
        <v>1.3373960927128791E-2</v>
      </c>
      <c r="DB13">
        <v>5.4953961769005391</v>
      </c>
      <c r="DC13">
        <v>871373445.30832136</v>
      </c>
      <c r="DD13">
        <v>1.2705262880772351E-2</v>
      </c>
      <c r="DE13">
        <v>2.9446792193440481</v>
      </c>
      <c r="DF13">
        <v>1626167722.6311557</v>
      </c>
      <c r="DG13">
        <v>1.1769085615873337E-2</v>
      </c>
      <c r="DH13">
        <v>1.9385729053280145</v>
      </c>
      <c r="DI13">
        <v>2470137845.6487603</v>
      </c>
      <c r="DJ13">
        <v>1.0699168741703034E-2</v>
      </c>
      <c r="DK13">
        <v>1.2100452460031468</v>
      </c>
      <c r="DL13">
        <v>3957324997.4055495</v>
      </c>
      <c r="DM13">
        <v>9.3617726489901524E-3</v>
      </c>
      <c r="DN13">
        <v>318000000</v>
      </c>
      <c r="DO13">
        <v>1.3373960927128791E-2</v>
      </c>
      <c r="DP13">
        <v>4788542300</v>
      </c>
      <c r="DQ13">
        <v>1773795400</v>
      </c>
      <c r="DR13">
        <v>1829</v>
      </c>
      <c r="DS13">
        <v>0.35909491757754414</v>
      </c>
      <c r="DT13">
        <v>5.6317402303331307E-2</v>
      </c>
      <c r="DU13" s="25">
        <v>0</v>
      </c>
      <c r="DV13">
        <v>0</v>
      </c>
      <c r="DW13">
        <v>0</v>
      </c>
      <c r="DX13">
        <v>8.0924685071026534</v>
      </c>
      <c r="DY13">
        <v>0.38258901098900977</v>
      </c>
      <c r="DZ13">
        <v>8.0131849929753969</v>
      </c>
      <c r="EA13">
        <v>1994</v>
      </c>
      <c r="EB13">
        <v>8.0076360533399082</v>
      </c>
      <c r="EC13">
        <v>8</v>
      </c>
      <c r="ED13">
        <v>0.18007834577381068</v>
      </c>
      <c r="EE13">
        <v>1.2629188218977752</v>
      </c>
      <c r="EF13" s="22">
        <v>2.0626000000000002</v>
      </c>
      <c r="EG13">
        <v>2.0743</v>
      </c>
      <c r="EH13">
        <v>24.14258901098901</v>
      </c>
      <c r="EI13" t="s">
        <v>598</v>
      </c>
      <c r="EJ13">
        <v>0</v>
      </c>
      <c r="EK13">
        <v>0</v>
      </c>
    </row>
    <row r="14" spans="1:141" x14ac:dyDescent="0.25">
      <c r="E14" t="s">
        <v>3120</v>
      </c>
      <c r="F14" t="s">
        <v>3121</v>
      </c>
      <c r="G14">
        <v>15.24</v>
      </c>
      <c r="H14">
        <v>1.46</v>
      </c>
      <c r="I14" t="s">
        <v>3323</v>
      </c>
      <c r="J14">
        <v>2404586300</v>
      </c>
      <c r="K14">
        <v>277.60000000000002</v>
      </c>
      <c r="L14">
        <v>3.29</v>
      </c>
      <c r="M14" t="s">
        <v>691</v>
      </c>
      <c r="N14" t="s">
        <v>144</v>
      </c>
      <c r="O14" t="s">
        <v>3324</v>
      </c>
      <c r="P14" t="s">
        <v>3325</v>
      </c>
      <c r="Q14">
        <v>25.68</v>
      </c>
      <c r="R14" t="s">
        <v>144</v>
      </c>
      <c r="S14">
        <v>1664305</v>
      </c>
      <c r="T14" s="4">
        <v>-0.14030000000000001</v>
      </c>
      <c r="U14" t="s">
        <v>3326</v>
      </c>
      <c r="V14">
        <v>81284567</v>
      </c>
      <c r="W14">
        <v>157781250</v>
      </c>
      <c r="X14">
        <v>1.35</v>
      </c>
      <c r="Y14">
        <v>0.06</v>
      </c>
      <c r="Z14">
        <v>1.51</v>
      </c>
      <c r="AA14" t="s">
        <v>3327</v>
      </c>
      <c r="AB14" t="s">
        <v>3328</v>
      </c>
      <c r="AC14" t="s">
        <v>3329</v>
      </c>
      <c r="AD14" t="s">
        <v>3330</v>
      </c>
      <c r="AE14" t="s">
        <v>7</v>
      </c>
      <c r="AF14">
        <v>-253177</v>
      </c>
      <c r="AG14" t="s">
        <v>3331</v>
      </c>
      <c r="AH14" t="s">
        <v>7</v>
      </c>
      <c r="AI14" t="s">
        <v>3332</v>
      </c>
      <c r="AJ14" t="s">
        <v>3285</v>
      </c>
      <c r="AK14" t="s">
        <v>3333</v>
      </c>
      <c r="AL14" t="s">
        <v>3334</v>
      </c>
      <c r="AM14" t="s">
        <v>3335</v>
      </c>
      <c r="AN14" t="s">
        <v>7</v>
      </c>
      <c r="AO14" t="s">
        <v>3336</v>
      </c>
      <c r="AP14" t="s">
        <v>7</v>
      </c>
      <c r="AQ14" t="s">
        <v>3337</v>
      </c>
      <c r="AR14" t="s">
        <v>3338</v>
      </c>
      <c r="AS14" t="s">
        <v>7</v>
      </c>
      <c r="AT14" t="s">
        <v>152</v>
      </c>
      <c r="AU14" t="s">
        <v>3339</v>
      </c>
      <c r="AV14" t="s">
        <v>3340</v>
      </c>
      <c r="AW14" t="s">
        <v>3341</v>
      </c>
      <c r="AX14" t="s">
        <v>3342</v>
      </c>
      <c r="AY14" t="s">
        <v>3343</v>
      </c>
      <c r="AZ14" t="s">
        <v>123</v>
      </c>
      <c r="BA14" t="s">
        <v>3310</v>
      </c>
      <c r="BB14" t="s">
        <v>122</v>
      </c>
      <c r="BC14" t="s">
        <v>3344</v>
      </c>
      <c r="BD14" t="s">
        <v>3345</v>
      </c>
      <c r="BE14" t="s">
        <v>3346</v>
      </c>
      <c r="BF14" t="s">
        <v>3347</v>
      </c>
      <c r="BG14" t="s">
        <v>3348</v>
      </c>
      <c r="BH14" t="s">
        <v>3349</v>
      </c>
      <c r="BI14" t="s">
        <v>3350</v>
      </c>
      <c r="BJ14" t="s">
        <v>3351</v>
      </c>
      <c r="BK14" t="s">
        <v>3343</v>
      </c>
      <c r="BL14" t="s">
        <v>3326</v>
      </c>
      <c r="BM14" t="s">
        <v>3352</v>
      </c>
      <c r="BN14" t="s">
        <v>3345</v>
      </c>
      <c r="BO14">
        <v>1.07</v>
      </c>
      <c r="BP14">
        <v>3.53</v>
      </c>
      <c r="BQ14">
        <v>-2.64</v>
      </c>
      <c r="BR14">
        <v>1.51</v>
      </c>
      <c r="BS14">
        <v>1.23</v>
      </c>
      <c r="BT14">
        <v>4</v>
      </c>
      <c r="BU14">
        <v>-3.09</v>
      </c>
      <c r="BV14">
        <v>1.68</v>
      </c>
      <c r="BW14">
        <v>28.23</v>
      </c>
      <c r="BX14">
        <v>33.04</v>
      </c>
      <c r="BY14">
        <v>31.7</v>
      </c>
      <c r="BZ14">
        <v>3.09</v>
      </c>
      <c r="CA14">
        <v>8.43</v>
      </c>
      <c r="CB14">
        <v>-9.0299999999999994</v>
      </c>
      <c r="CC14">
        <v>-0.39</v>
      </c>
      <c r="CD14">
        <v>15.81</v>
      </c>
      <c r="CE14" t="s">
        <v>3353</v>
      </c>
      <c r="CF14" t="s">
        <v>3354</v>
      </c>
      <c r="CG14" s="23">
        <v>0.25677167949644875</v>
      </c>
      <c r="CH14" s="24">
        <v>-0.140338326446281</v>
      </c>
      <c r="CI14" s="23">
        <v>-4.1353382170200348E-2</v>
      </c>
      <c r="CJ14" s="23">
        <v>-7.9584777355194092E-2</v>
      </c>
      <c r="CK14" s="23">
        <v>-5.8631923049688339E-2</v>
      </c>
      <c r="CL14" s="23">
        <v>-0.19210526347160339</v>
      </c>
      <c r="CM14" s="23">
        <v>-2.313624694943428E-2</v>
      </c>
      <c r="CN14" s="24">
        <v>-0.68522036075592041</v>
      </c>
      <c r="CO14" s="24">
        <v>2.3246111869812012</v>
      </c>
      <c r="CP14" s="24">
        <v>-2.7839903831481934</v>
      </c>
      <c r="CQ14" s="24">
        <v>-0.85739952325820923</v>
      </c>
      <c r="CR14" s="24">
        <v>-0.13778907060623169</v>
      </c>
      <c r="CS14">
        <v>9.429750196078432</v>
      </c>
      <c r="CT14">
        <v>1555546.8505170792</v>
      </c>
      <c r="CU14">
        <v>0.12231</v>
      </c>
      <c r="CV14" s="23">
        <v>-7.8962318599224091E-2</v>
      </c>
      <c r="CW14" s="24">
        <v>-0.42795763015747068</v>
      </c>
      <c r="CX14">
        <v>0.06</v>
      </c>
      <c r="CY14">
        <v>215.51532211129515</v>
      </c>
      <c r="CZ14" t="s">
        <v>3355</v>
      </c>
      <c r="DA14">
        <v>-7.8962318599224091E-2</v>
      </c>
      <c r="DB14">
        <v>71.838440703765059</v>
      </c>
      <c r="DC14" t="s">
        <v>3356</v>
      </c>
      <c r="DD14">
        <v>-7.5014202669262883E-2</v>
      </c>
      <c r="DE14">
        <v>35.919220351882529</v>
      </c>
      <c r="DF14" t="s">
        <v>3357</v>
      </c>
      <c r="DG14">
        <v>-6.9486840367317199E-2</v>
      </c>
      <c r="DH14">
        <v>21.551532211129516</v>
      </c>
      <c r="DI14" t="s">
        <v>3358</v>
      </c>
      <c r="DJ14">
        <v>-6.3169854879379275E-2</v>
      </c>
      <c r="DK14">
        <v>10.775766105564758</v>
      </c>
      <c r="DL14" t="s">
        <v>3359</v>
      </c>
      <c r="DM14">
        <v>-5.5273623019456861E-2</v>
      </c>
      <c r="DN14">
        <v>8934800</v>
      </c>
      <c r="DO14">
        <v>-7.8962318599224091E-2</v>
      </c>
      <c r="DP14">
        <v>1925586300</v>
      </c>
      <c r="DQ14">
        <v>359814140</v>
      </c>
      <c r="DR14">
        <v>2172</v>
      </c>
      <c r="DS14">
        <v>0.33573399809567284</v>
      </c>
      <c r="DT14">
        <v>0.28761930371118971</v>
      </c>
      <c r="DU14" s="25">
        <v>0</v>
      </c>
      <c r="DV14">
        <v>0</v>
      </c>
      <c r="DW14">
        <v>0</v>
      </c>
      <c r="DX14">
        <v>2.1581000000000001</v>
      </c>
      <c r="DY14">
        <v>0.59743366652125529</v>
      </c>
      <c r="DZ14">
        <v>2.0375382626770109</v>
      </c>
      <c r="EA14">
        <v>4110</v>
      </c>
      <c r="EB14">
        <v>2.0048374870088219</v>
      </c>
      <c r="EC14">
        <v>2</v>
      </c>
      <c r="ED14">
        <v>0.11143719548425431</v>
      </c>
      <c r="EE14">
        <v>0.46934030501089324</v>
      </c>
      <c r="EF14" s="22">
        <v>-1.1158999999999999</v>
      </c>
      <c r="EG14">
        <v>-1.1305000000000001</v>
      </c>
      <c r="EH14">
        <v>36.237433666521255</v>
      </c>
      <c r="EI14" t="s">
        <v>499</v>
      </c>
      <c r="EJ14">
        <v>1</v>
      </c>
      <c r="EK14">
        <v>0</v>
      </c>
    </row>
    <row r="15" spans="1:141" x14ac:dyDescent="0.25">
      <c r="B15" s="28"/>
      <c r="C15" s="28"/>
      <c r="D15" s="28"/>
      <c r="E15" t="s">
        <v>2354</v>
      </c>
      <c r="F15" t="s">
        <v>2355</v>
      </c>
      <c r="G15">
        <v>8.0500000000000007</v>
      </c>
      <c r="H15">
        <v>5.23</v>
      </c>
      <c r="I15" t="s">
        <v>2506</v>
      </c>
      <c r="J15">
        <v>8335687200</v>
      </c>
      <c r="K15">
        <v>23.64</v>
      </c>
      <c r="L15">
        <v>1.82</v>
      </c>
      <c r="M15" t="s">
        <v>691</v>
      </c>
      <c r="N15" t="s">
        <v>2507</v>
      </c>
      <c r="O15" t="s">
        <v>2508</v>
      </c>
      <c r="P15" t="s">
        <v>2509</v>
      </c>
      <c r="Q15">
        <v>36.130000000000003</v>
      </c>
      <c r="R15" t="s">
        <v>2510</v>
      </c>
      <c r="S15">
        <v>40595112</v>
      </c>
      <c r="T15" s="4">
        <v>1.996</v>
      </c>
      <c r="U15" t="s">
        <v>215</v>
      </c>
      <c r="V15">
        <v>1035275350</v>
      </c>
      <c r="W15">
        <v>1035489100</v>
      </c>
      <c r="X15">
        <v>2.38</v>
      </c>
      <c r="Y15">
        <v>0.28000000000000003</v>
      </c>
      <c r="Z15">
        <v>1.29</v>
      </c>
      <c r="AA15" t="s">
        <v>2511</v>
      </c>
      <c r="AB15" t="s">
        <v>2512</v>
      </c>
      <c r="AC15" t="s">
        <v>45</v>
      </c>
      <c r="AD15" t="s">
        <v>2513</v>
      </c>
      <c r="AE15" t="s">
        <v>7</v>
      </c>
      <c r="AF15">
        <v>27149849</v>
      </c>
      <c r="AG15" t="s">
        <v>2514</v>
      </c>
      <c r="AH15" t="s">
        <v>2515</v>
      </c>
      <c r="AI15" t="s">
        <v>2516</v>
      </c>
      <c r="AJ15" t="s">
        <v>2517</v>
      </c>
      <c r="AK15" t="s">
        <v>2518</v>
      </c>
      <c r="AL15" t="s">
        <v>238</v>
      </c>
      <c r="AM15" t="s">
        <v>2519</v>
      </c>
      <c r="AN15" t="s">
        <v>7</v>
      </c>
      <c r="AO15" t="s">
        <v>142</v>
      </c>
      <c r="AP15" t="s">
        <v>2520</v>
      </c>
      <c r="AQ15" t="s">
        <v>2521</v>
      </c>
      <c r="AR15" t="s">
        <v>2522</v>
      </c>
      <c r="AS15" t="s">
        <v>2523</v>
      </c>
      <c r="AT15" t="s">
        <v>2524</v>
      </c>
      <c r="AU15" t="s">
        <v>633</v>
      </c>
      <c r="AV15" t="s">
        <v>2525</v>
      </c>
      <c r="AW15" t="s">
        <v>2526</v>
      </c>
      <c r="AX15" t="s">
        <v>183</v>
      </c>
      <c r="AY15" t="s">
        <v>2527</v>
      </c>
      <c r="AZ15" t="s">
        <v>2528</v>
      </c>
      <c r="BA15" t="s">
        <v>2529</v>
      </c>
      <c r="BB15" t="s">
        <v>2530</v>
      </c>
      <c r="BC15" t="s">
        <v>2531</v>
      </c>
      <c r="BD15" t="s">
        <v>652</v>
      </c>
      <c r="BE15" t="s">
        <v>186</v>
      </c>
      <c r="BF15" t="s">
        <v>203</v>
      </c>
      <c r="BG15" t="s">
        <v>205</v>
      </c>
      <c r="BH15" t="s">
        <v>152</v>
      </c>
      <c r="BI15" t="s">
        <v>2532</v>
      </c>
      <c r="BJ15" t="s">
        <v>2533</v>
      </c>
      <c r="BK15" t="s">
        <v>2527</v>
      </c>
      <c r="BL15" t="s">
        <v>215</v>
      </c>
      <c r="BM15" t="s">
        <v>2534</v>
      </c>
      <c r="BN15" t="s">
        <v>652</v>
      </c>
      <c r="BO15">
        <v>3.39</v>
      </c>
      <c r="BP15">
        <v>3.43</v>
      </c>
      <c r="BQ15">
        <v>3.56</v>
      </c>
      <c r="BR15">
        <v>1.86</v>
      </c>
      <c r="BS15">
        <v>6.02</v>
      </c>
      <c r="BT15">
        <v>5.14</v>
      </c>
      <c r="BU15">
        <v>5.37</v>
      </c>
      <c r="BV15">
        <v>2.77</v>
      </c>
      <c r="BW15">
        <v>12.93</v>
      </c>
      <c r="BX15">
        <v>15.3</v>
      </c>
      <c r="BY15">
        <v>16.760000000000002</v>
      </c>
      <c r="BZ15">
        <v>2.14</v>
      </c>
      <c r="CA15">
        <v>2.4300000000000002</v>
      </c>
      <c r="CB15">
        <v>2.39</v>
      </c>
      <c r="CC15">
        <v>2.94</v>
      </c>
      <c r="CD15">
        <v>15.99</v>
      </c>
      <c r="CE15" t="s">
        <v>2535</v>
      </c>
      <c r="CF15" t="s">
        <v>162</v>
      </c>
      <c r="CG15" s="23">
        <v>0.36123624891209749</v>
      </c>
      <c r="CH15" s="24">
        <v>1.9964191355145922</v>
      </c>
      <c r="CI15" s="23">
        <v>0.3695557713508606</v>
      </c>
      <c r="CJ15" s="23">
        <v>-4.3406881392002106E-2</v>
      </c>
      <c r="CK15" s="23">
        <v>0.11498863995075226</v>
      </c>
      <c r="CL15" s="23">
        <v>0.17964635789394379</v>
      </c>
      <c r="CM15" s="23">
        <v>0.16128520667552948</v>
      </c>
      <c r="CN15" s="24">
        <v>0.21524663269519806</v>
      </c>
      <c r="CO15" s="24">
        <v>9.0497741475701332E-3</v>
      </c>
      <c r="CP15" s="24">
        <v>0.97321426868438721</v>
      </c>
      <c r="CQ15" s="24">
        <v>-2.6086956262588501E-2</v>
      </c>
      <c r="CR15" s="24">
        <v>-0.46511629223823547</v>
      </c>
      <c r="CS15">
        <v>0.65290884311114594</v>
      </c>
      <c r="CT15">
        <v>10459999.630996309</v>
      </c>
      <c r="CU15">
        <v>0.85965599999999998</v>
      </c>
      <c r="CV15" s="23">
        <v>0.15641381889581679</v>
      </c>
      <c r="CW15" s="24">
        <v>0.14126148540526628</v>
      </c>
      <c r="CX15">
        <v>0.06</v>
      </c>
      <c r="CY15">
        <v>34.123844840090413</v>
      </c>
      <c r="CZ15">
        <v>295649193.32147771</v>
      </c>
      <c r="DA15">
        <v>0.15641381889581679</v>
      </c>
      <c r="DB15">
        <v>10.546082901207463</v>
      </c>
      <c r="DC15">
        <v>956628854.00274134</v>
      </c>
      <c r="DD15">
        <v>0.14859312795102594</v>
      </c>
      <c r="DE15">
        <v>4.8095231468892061</v>
      </c>
      <c r="DF15">
        <v>2097648122.6679096</v>
      </c>
      <c r="DG15">
        <v>0.13764416062831877</v>
      </c>
      <c r="DH15">
        <v>2.6428916471159698</v>
      </c>
      <c r="DI15">
        <v>3817291265.4248176</v>
      </c>
      <c r="DJ15">
        <v>0.12513105511665343</v>
      </c>
      <c r="DK15">
        <v>1.1138380759497852</v>
      </c>
      <c r="DL15">
        <v>9057588726.6174088</v>
      </c>
      <c r="DM15">
        <v>0.10948967322707175</v>
      </c>
      <c r="DN15">
        <v>271000000</v>
      </c>
      <c r="DO15">
        <v>0.15641381889581679</v>
      </c>
      <c r="DP15">
        <v>10088687200</v>
      </c>
      <c r="DQ15">
        <v>3623445100</v>
      </c>
      <c r="DR15">
        <v>757</v>
      </c>
      <c r="DS15">
        <v>0.2048224300162807</v>
      </c>
      <c r="DT15">
        <v>1.8551576501093259</v>
      </c>
      <c r="DU15" s="25">
        <v>0</v>
      </c>
      <c r="DV15">
        <v>0</v>
      </c>
      <c r="DW15">
        <v>0</v>
      </c>
      <c r="DX15">
        <v>8.1838649155722329</v>
      </c>
      <c r="DY15">
        <v>0.63693896989966503</v>
      </c>
      <c r="DZ15">
        <v>8.027016921294873</v>
      </c>
      <c r="EA15">
        <v>1383</v>
      </c>
      <c r="EB15">
        <v>8.0191308085572608</v>
      </c>
      <c r="EC15">
        <v>8</v>
      </c>
      <c r="ED15">
        <v>8.4857967119113087E-2</v>
      </c>
      <c r="EE15">
        <v>0.57750487185234489</v>
      </c>
      <c r="EF15" s="22">
        <v>5.8600000000000006E-2</v>
      </c>
      <c r="EG15">
        <v>0.1109</v>
      </c>
      <c r="EH15">
        <v>49.146938969899665</v>
      </c>
      <c r="EI15" t="s">
        <v>496</v>
      </c>
      <c r="EJ15">
        <v>0</v>
      </c>
      <c r="EK15">
        <v>1</v>
      </c>
    </row>
    <row r="16" spans="1:141" x14ac:dyDescent="0.25">
      <c r="B16" s="28"/>
      <c r="C16" s="28"/>
      <c r="D16" s="28"/>
      <c r="E16" t="s">
        <v>2352</v>
      </c>
      <c r="F16" t="s">
        <v>2353</v>
      </c>
      <c r="G16">
        <v>14.81</v>
      </c>
      <c r="H16">
        <v>3.49</v>
      </c>
      <c r="I16" t="s">
        <v>2477</v>
      </c>
      <c r="J16">
        <v>3670009400</v>
      </c>
      <c r="L16">
        <v>3.24</v>
      </c>
      <c r="M16" t="s">
        <v>691</v>
      </c>
      <c r="N16" t="s">
        <v>166</v>
      </c>
      <c r="O16" t="s">
        <v>1082</v>
      </c>
      <c r="P16" t="s">
        <v>2478</v>
      </c>
      <c r="Q16">
        <v>-10.199999999999999</v>
      </c>
      <c r="R16" t="s">
        <v>133</v>
      </c>
      <c r="S16">
        <v>-8648532</v>
      </c>
      <c r="T16" s="4">
        <v>-2.5960000000000001</v>
      </c>
      <c r="U16" t="s">
        <v>2479</v>
      </c>
      <c r="V16">
        <v>245264820</v>
      </c>
      <c r="W16">
        <v>247806170</v>
      </c>
      <c r="X16">
        <v>1.46</v>
      </c>
      <c r="Y16">
        <v>0.03</v>
      </c>
      <c r="Z16">
        <v>-20.37</v>
      </c>
      <c r="AA16" t="s">
        <v>2480</v>
      </c>
      <c r="AB16" t="s">
        <v>2481</v>
      </c>
      <c r="AC16" t="s">
        <v>2482</v>
      </c>
      <c r="AD16" t="s">
        <v>2483</v>
      </c>
      <c r="AE16" t="s">
        <v>7</v>
      </c>
      <c r="AF16">
        <v>263530</v>
      </c>
      <c r="AG16" t="s">
        <v>2484</v>
      </c>
      <c r="AH16" t="s">
        <v>2485</v>
      </c>
      <c r="AI16" t="s">
        <v>2486</v>
      </c>
      <c r="AJ16" t="s">
        <v>88</v>
      </c>
      <c r="AK16" t="s">
        <v>2487</v>
      </c>
      <c r="AL16" t="s">
        <v>2488</v>
      </c>
      <c r="AM16" t="s">
        <v>2489</v>
      </c>
      <c r="AN16" t="s">
        <v>7</v>
      </c>
      <c r="AO16" t="s">
        <v>217</v>
      </c>
      <c r="AP16" t="s">
        <v>2490</v>
      </c>
      <c r="AQ16" t="s">
        <v>2491</v>
      </c>
      <c r="AR16" t="s">
        <v>2492</v>
      </c>
      <c r="AS16" t="s">
        <v>7</v>
      </c>
      <c r="AT16" t="s">
        <v>169</v>
      </c>
      <c r="AU16" t="s">
        <v>62</v>
      </c>
      <c r="AV16" t="s">
        <v>2493</v>
      </c>
      <c r="AW16" t="s">
        <v>2494</v>
      </c>
      <c r="AX16" t="s">
        <v>2495</v>
      </c>
      <c r="AY16" t="s">
        <v>681</v>
      </c>
      <c r="AZ16" t="s">
        <v>153</v>
      </c>
      <c r="BA16" t="s">
        <v>665</v>
      </c>
      <c r="BB16" t="s">
        <v>2496</v>
      </c>
      <c r="BC16" t="s">
        <v>194</v>
      </c>
      <c r="BD16" t="s">
        <v>2497</v>
      </c>
      <c r="BE16" t="s">
        <v>2498</v>
      </c>
      <c r="BF16" t="s">
        <v>2499</v>
      </c>
      <c r="BG16" t="s">
        <v>2500</v>
      </c>
      <c r="BH16" t="s">
        <v>2501</v>
      </c>
      <c r="BI16" t="s">
        <v>2502</v>
      </c>
      <c r="BJ16" t="s">
        <v>2503</v>
      </c>
      <c r="BK16" t="s">
        <v>681</v>
      </c>
      <c r="BL16" t="s">
        <v>2479</v>
      </c>
      <c r="BM16" t="s">
        <v>2504</v>
      </c>
      <c r="BN16" t="s">
        <v>2497</v>
      </c>
      <c r="BO16">
        <v>-2.44</v>
      </c>
      <c r="BP16">
        <v>0.56000000000000005</v>
      </c>
      <c r="BQ16">
        <v>1.1000000000000001</v>
      </c>
      <c r="BR16">
        <v>1.1399999999999999</v>
      </c>
      <c r="BS16">
        <v>-3.93</v>
      </c>
      <c r="BT16">
        <v>0.77</v>
      </c>
      <c r="BU16">
        <v>1.38</v>
      </c>
      <c r="BV16">
        <v>1.28</v>
      </c>
      <c r="BW16">
        <v>23.21</v>
      </c>
      <c r="BX16">
        <v>25.11</v>
      </c>
      <c r="BY16">
        <v>33.32</v>
      </c>
      <c r="BZ16">
        <v>-11.79</v>
      </c>
      <c r="CA16">
        <v>1.83</v>
      </c>
      <c r="CB16">
        <v>3.56</v>
      </c>
      <c r="CC16">
        <v>2.63</v>
      </c>
      <c r="CD16">
        <v>9.3800000000000008</v>
      </c>
      <c r="CE16" t="s">
        <v>2505</v>
      </c>
      <c r="CF16" t="s">
        <v>687</v>
      </c>
      <c r="CG16" s="23">
        <v>-0.10202622588629993</v>
      </c>
      <c r="CH16" s="24">
        <v>-2.596212732338143</v>
      </c>
      <c r="CI16" s="23">
        <v>-0.10835913568735123</v>
      </c>
      <c r="CJ16" s="23">
        <v>-4.7197639942169189E-2</v>
      </c>
      <c r="CK16" s="23">
        <v>-3.9660055190324783E-2</v>
      </c>
      <c r="CL16" s="23">
        <v>-3.8147140294313431E-2</v>
      </c>
      <c r="CM16" s="23">
        <v>1.6620498150587082E-2</v>
      </c>
      <c r="CN16" s="24">
        <v>-6.1795306205749512</v>
      </c>
      <c r="CO16" s="24">
        <v>-0.44063353538513184</v>
      </c>
      <c r="CP16" s="24">
        <v>8.5291288793087006E-2</v>
      </c>
      <c r="CQ16" s="24">
        <v>-0.2890583872795105</v>
      </c>
      <c r="CR16" s="24">
        <v>0.60510122776031494</v>
      </c>
      <c r="CS16">
        <v>12.743088194444445</v>
      </c>
      <c r="CT16">
        <v>35879508.494941555</v>
      </c>
      <c r="CU16">
        <v>-0.89220600000000005</v>
      </c>
      <c r="CV16" s="23">
        <v>-4.3348694592714308E-2</v>
      </c>
      <c r="CW16" s="24">
        <v>-1.2437660053372384</v>
      </c>
      <c r="CX16">
        <v>0.06</v>
      </c>
      <c r="CY16" t="e">
        <v>#VALUE!</v>
      </c>
      <c r="CZ16" t="s">
        <v>573</v>
      </c>
      <c r="DA16">
        <v>-4.3348694592714308E-2</v>
      </c>
      <c r="DB16" t="e">
        <v>#VALUE!</v>
      </c>
      <c r="DC16" t="s">
        <v>574</v>
      </c>
      <c r="DD16">
        <v>-4.1181259863078593E-2</v>
      </c>
      <c r="DE16" t="e">
        <v>#VALUE!</v>
      </c>
      <c r="DF16" t="s">
        <v>574</v>
      </c>
      <c r="DG16">
        <v>-3.8146851241588592E-2</v>
      </c>
      <c r="DH16" t="e">
        <v>#VALUE!</v>
      </c>
      <c r="DI16" t="s">
        <v>574</v>
      </c>
      <c r="DJ16">
        <v>-3.4678955674171445E-2</v>
      </c>
      <c r="DK16" t="e">
        <v>#VALUE!</v>
      </c>
      <c r="DL16" t="s">
        <v>574</v>
      </c>
      <c r="DM16">
        <v>-3.0344086214900014E-2</v>
      </c>
      <c r="DN16">
        <v>-32707700</v>
      </c>
      <c r="DO16">
        <v>-4.3348694592714308E-2</v>
      </c>
      <c r="DP16">
        <v>3063009400</v>
      </c>
      <c r="DQ16">
        <v>458609890</v>
      </c>
      <c r="DR16">
        <v>710</v>
      </c>
      <c r="DS16">
        <v>-5.8677531293585626E-2</v>
      </c>
      <c r="DT16">
        <v>-1.3524467270009046</v>
      </c>
      <c r="DU16" s="25">
        <v>0</v>
      </c>
      <c r="DV16" t="e">
        <v>#VALUE!</v>
      </c>
      <c r="DW16" t="e">
        <v>#VALUE!</v>
      </c>
      <c r="DX16">
        <v>8.2803837953091683</v>
      </c>
      <c r="DY16">
        <v>0.55625976562500279</v>
      </c>
      <c r="DZ16">
        <v>8.0325973543276916</v>
      </c>
      <c r="EA16">
        <v>4323</v>
      </c>
      <c r="EB16">
        <v>8.0027922860623342</v>
      </c>
      <c r="EC16">
        <v>8</v>
      </c>
      <c r="ED16">
        <v>0.12010395059977724</v>
      </c>
      <c r="EE16">
        <v>1.0330654801694406</v>
      </c>
      <c r="EF16" s="22">
        <v>1.0049999999999999</v>
      </c>
      <c r="EG16">
        <v>1.0399</v>
      </c>
      <c r="EH16">
        <v>44.116259765625003</v>
      </c>
      <c r="EI16" t="s">
        <v>498</v>
      </c>
      <c r="EJ16">
        <v>0</v>
      </c>
      <c r="EK16">
        <v>0</v>
      </c>
    </row>
    <row r="17" spans="2:141" x14ac:dyDescent="0.25">
      <c r="B17" s="28"/>
      <c r="C17" s="28"/>
      <c r="D17" s="28"/>
      <c r="E17" t="s">
        <v>3122</v>
      </c>
      <c r="F17" t="s">
        <v>3123</v>
      </c>
      <c r="G17">
        <v>3.04</v>
      </c>
      <c r="H17">
        <v>1.33</v>
      </c>
      <c r="I17" t="s">
        <v>3360</v>
      </c>
      <c r="J17">
        <v>2826461200</v>
      </c>
      <c r="L17">
        <v>0.92400000000000004</v>
      </c>
      <c r="M17" t="s">
        <v>691</v>
      </c>
      <c r="N17" t="s">
        <v>3361</v>
      </c>
      <c r="O17" t="s">
        <v>3362</v>
      </c>
      <c r="P17" t="s">
        <v>3363</v>
      </c>
      <c r="Q17">
        <v>10.76</v>
      </c>
      <c r="R17" t="s">
        <v>3364</v>
      </c>
      <c r="S17">
        <v>8388122</v>
      </c>
      <c r="T17" s="4">
        <v>0.89239999999999997</v>
      </c>
      <c r="U17" t="s">
        <v>3365</v>
      </c>
      <c r="V17">
        <v>922864980</v>
      </c>
      <c r="W17">
        <v>929756980</v>
      </c>
      <c r="X17">
        <v>1.96</v>
      </c>
      <c r="Y17">
        <v>0.08</v>
      </c>
      <c r="Z17">
        <v>1.9</v>
      </c>
      <c r="AA17" t="s">
        <v>3366</v>
      </c>
      <c r="AB17" t="s">
        <v>3367</v>
      </c>
      <c r="AC17" t="s">
        <v>3368</v>
      </c>
      <c r="AD17" t="s">
        <v>3369</v>
      </c>
      <c r="AE17" t="s">
        <v>7</v>
      </c>
      <c r="AF17">
        <v>23186650</v>
      </c>
      <c r="AG17" t="s">
        <v>37</v>
      </c>
      <c r="AH17" t="s">
        <v>3370</v>
      </c>
      <c r="AI17" t="s">
        <v>3371</v>
      </c>
      <c r="AJ17" t="s">
        <v>3372</v>
      </c>
      <c r="AK17" t="s">
        <v>3373</v>
      </c>
      <c r="AL17" t="s">
        <v>3374</v>
      </c>
      <c r="AM17" t="s">
        <v>3375</v>
      </c>
      <c r="AN17" t="s">
        <v>7</v>
      </c>
      <c r="AO17" t="s">
        <v>3376</v>
      </c>
      <c r="AP17" t="s">
        <v>3377</v>
      </c>
      <c r="AQ17" t="s">
        <v>7</v>
      </c>
      <c r="AR17" t="s">
        <v>3378</v>
      </c>
      <c r="AS17" t="s">
        <v>3379</v>
      </c>
      <c r="AT17" t="s">
        <v>3380</v>
      </c>
      <c r="AU17" t="s">
        <v>7</v>
      </c>
      <c r="AV17" t="s">
        <v>3381</v>
      </c>
      <c r="AW17" t="s">
        <v>3382</v>
      </c>
      <c r="AX17" t="s">
        <v>3383</v>
      </c>
      <c r="AY17" t="s">
        <v>3384</v>
      </c>
      <c r="AZ17" t="s">
        <v>3385</v>
      </c>
      <c r="BA17" t="s">
        <v>3386</v>
      </c>
      <c r="BB17" t="s">
        <v>3387</v>
      </c>
      <c r="BC17" t="s">
        <v>3388</v>
      </c>
      <c r="BD17" t="s">
        <v>3389</v>
      </c>
      <c r="BE17" t="s">
        <v>3390</v>
      </c>
      <c r="BF17" t="s">
        <v>656</v>
      </c>
      <c r="BG17" t="s">
        <v>1274</v>
      </c>
      <c r="BH17" t="s">
        <v>1813</v>
      </c>
      <c r="BI17" t="s">
        <v>155</v>
      </c>
      <c r="BJ17" t="s">
        <v>172</v>
      </c>
      <c r="BK17" t="s">
        <v>3384</v>
      </c>
      <c r="BL17" t="s">
        <v>3365</v>
      </c>
      <c r="BM17" t="s">
        <v>3391</v>
      </c>
      <c r="BN17" t="s">
        <v>3389</v>
      </c>
      <c r="BO17">
        <v>-8.8000000000000007</v>
      </c>
      <c r="BP17">
        <v>-15.48</v>
      </c>
      <c r="BQ17">
        <v>0.12</v>
      </c>
      <c r="BR17">
        <v>3.66</v>
      </c>
      <c r="BS17">
        <v>-14.85</v>
      </c>
      <c r="BT17">
        <v>-24.49</v>
      </c>
      <c r="BU17">
        <v>0.18</v>
      </c>
      <c r="BV17">
        <v>5.67</v>
      </c>
      <c r="BW17">
        <v>22.09</v>
      </c>
      <c r="BX17">
        <v>17.62</v>
      </c>
      <c r="BY17">
        <v>28.66</v>
      </c>
      <c r="BZ17">
        <v>-28.64</v>
      </c>
      <c r="CA17">
        <v>-59.85</v>
      </c>
      <c r="CB17">
        <v>0.83</v>
      </c>
      <c r="CC17">
        <v>-0.33</v>
      </c>
      <c r="CD17">
        <v>3.05</v>
      </c>
      <c r="CE17" t="s">
        <v>3392</v>
      </c>
      <c r="CF17" t="s">
        <v>681</v>
      </c>
      <c r="CG17" s="23">
        <v>0.10891811138014527</v>
      </c>
      <c r="CH17" s="24">
        <v>0.89241331077270158</v>
      </c>
      <c r="CI17" s="23">
        <v>3.5151515156030655E-2</v>
      </c>
      <c r="CJ17" s="23">
        <v>1.4136407524347305E-2</v>
      </c>
      <c r="CK17" s="23">
        <v>-0.43389001488685608</v>
      </c>
      <c r="CL17" s="23">
        <v>-0.1906505674123764</v>
      </c>
      <c r="CM17" s="23">
        <v>0.20250597596168518</v>
      </c>
      <c r="CN17" s="24">
        <v>0.50455003976821899</v>
      </c>
      <c r="CO17" s="24">
        <v>-107.0294189453125</v>
      </c>
      <c r="CP17" s="24">
        <v>-0.97000765800476074</v>
      </c>
      <c r="CQ17" s="24">
        <v>-0.304250568151474</v>
      </c>
      <c r="CR17" s="24">
        <v>0.35045316815376282</v>
      </c>
      <c r="CS17">
        <v>1.6548367681498832</v>
      </c>
      <c r="CT17">
        <v>-539671.83673469385</v>
      </c>
      <c r="CU17">
        <v>0.29791999999999996</v>
      </c>
      <c r="CV17" s="23">
        <v>-7.4549336731433866E-2</v>
      </c>
      <c r="CW17" s="24">
        <v>-21.489734792709349</v>
      </c>
      <c r="CX17">
        <v>0.06</v>
      </c>
      <c r="CY17" t="e">
        <v>#VALUE!</v>
      </c>
      <c r="CZ17" t="s">
        <v>574</v>
      </c>
      <c r="DA17">
        <v>-7.4549336731433866E-2</v>
      </c>
      <c r="DB17" t="e">
        <v>#VALUE!</v>
      </c>
      <c r="DC17" t="s">
        <v>574</v>
      </c>
      <c r="DD17">
        <v>-7.0821869894862166E-2</v>
      </c>
      <c r="DE17" t="e">
        <v>#VALUE!</v>
      </c>
      <c r="DF17" t="s">
        <v>574</v>
      </c>
      <c r="DG17">
        <v>-6.5603416323661803E-2</v>
      </c>
      <c r="DH17" t="e">
        <v>#VALUE!</v>
      </c>
      <c r="DI17" t="s">
        <v>574</v>
      </c>
      <c r="DJ17">
        <v>-5.9639469385147095E-2</v>
      </c>
      <c r="DK17" t="e">
        <v>#VALUE!</v>
      </c>
      <c r="DL17" t="s">
        <v>574</v>
      </c>
      <c r="DM17">
        <v>-5.2184535712003703E-2</v>
      </c>
      <c r="DN17">
        <v>-490000000.00000006</v>
      </c>
      <c r="DO17">
        <v>-7.4549336731433866E-2</v>
      </c>
      <c r="DP17">
        <v>2698461200</v>
      </c>
      <c r="DQ17">
        <v>410218100</v>
      </c>
      <c r="DR17">
        <v>839</v>
      </c>
      <c r="DS17">
        <v>0.18346744811157914</v>
      </c>
      <c r="DT17">
        <v>22.382148103482052</v>
      </c>
      <c r="DU17" s="25">
        <v>0</v>
      </c>
      <c r="DV17" t="e">
        <v>#VALUE!</v>
      </c>
      <c r="DW17" t="e">
        <v>#VALUE!</v>
      </c>
      <c r="DX17">
        <v>1.0305</v>
      </c>
      <c r="DY17">
        <v>0.29618916408668727</v>
      </c>
      <c r="DZ17">
        <v>1.0041537695046439</v>
      </c>
      <c r="EA17">
        <v>3920</v>
      </c>
      <c r="EB17">
        <v>1.0007098658544316</v>
      </c>
      <c r="EC17">
        <v>1</v>
      </c>
      <c r="ED17">
        <v>4.7312470835120808E-2</v>
      </c>
      <c r="EE17">
        <v>0.34740260836761883</v>
      </c>
      <c r="EF17" s="22">
        <v>2.00631</v>
      </c>
      <c r="EG17">
        <v>2.0070000000000001</v>
      </c>
      <c r="EH17">
        <v>16.136189164086687</v>
      </c>
      <c r="EI17" t="s">
        <v>598</v>
      </c>
      <c r="EJ17">
        <v>0</v>
      </c>
      <c r="EK17">
        <v>0</v>
      </c>
    </row>
    <row r="18" spans="2:141" ht="97.2" x14ac:dyDescent="0.25">
      <c r="B18" s="3" t="s">
        <v>3393</v>
      </c>
      <c r="C18" s="3"/>
      <c r="D18" s="3" t="s">
        <v>3394</v>
      </c>
      <c r="E18" t="s">
        <v>3124</v>
      </c>
      <c r="F18" t="s">
        <v>3125</v>
      </c>
      <c r="G18">
        <v>71.19</v>
      </c>
      <c r="H18">
        <v>10.47</v>
      </c>
      <c r="I18" t="s">
        <v>3395</v>
      </c>
      <c r="J18">
        <v>10224583700</v>
      </c>
      <c r="K18">
        <v>55.87</v>
      </c>
      <c r="L18">
        <v>8.17</v>
      </c>
      <c r="M18" t="s">
        <v>691</v>
      </c>
      <c r="N18" t="s">
        <v>3396</v>
      </c>
      <c r="O18" t="s">
        <v>3397</v>
      </c>
      <c r="P18" t="s">
        <v>3398</v>
      </c>
      <c r="Q18">
        <v>78.239999999999995</v>
      </c>
      <c r="R18" t="s">
        <v>370</v>
      </c>
      <c r="S18">
        <v>53983790</v>
      </c>
      <c r="T18" s="4">
        <v>0.90469999999999995</v>
      </c>
      <c r="U18" t="s">
        <v>151</v>
      </c>
      <c r="V18">
        <v>45402688</v>
      </c>
      <c r="W18">
        <v>143623880</v>
      </c>
      <c r="X18">
        <v>1.75</v>
      </c>
      <c r="Y18">
        <v>0.09</v>
      </c>
      <c r="Z18">
        <v>26.73</v>
      </c>
      <c r="AA18" t="s">
        <v>149</v>
      </c>
      <c r="AB18" t="s">
        <v>103</v>
      </c>
      <c r="AC18" t="s">
        <v>3399</v>
      </c>
      <c r="AD18" t="s">
        <v>3400</v>
      </c>
      <c r="AE18" t="s">
        <v>7</v>
      </c>
      <c r="AF18">
        <v>-827477</v>
      </c>
      <c r="AG18" t="s">
        <v>3401</v>
      </c>
      <c r="AH18">
        <v>0.65</v>
      </c>
      <c r="AI18" t="s">
        <v>3402</v>
      </c>
      <c r="AJ18" t="s">
        <v>237</v>
      </c>
      <c r="AK18" t="s">
        <v>3403</v>
      </c>
      <c r="AL18" t="s">
        <v>38</v>
      </c>
      <c r="AM18" t="s">
        <v>3404</v>
      </c>
      <c r="AN18" t="s">
        <v>7</v>
      </c>
      <c r="AO18">
        <v>0</v>
      </c>
      <c r="AP18" t="s">
        <v>3405</v>
      </c>
      <c r="AQ18" t="s">
        <v>7</v>
      </c>
      <c r="AR18" t="s">
        <v>55</v>
      </c>
      <c r="AS18" t="s">
        <v>7</v>
      </c>
      <c r="AT18" t="s">
        <v>3406</v>
      </c>
      <c r="AU18" t="s">
        <v>7</v>
      </c>
      <c r="AV18" t="s">
        <v>3407</v>
      </c>
      <c r="AW18" t="s">
        <v>3408</v>
      </c>
      <c r="AX18" t="s">
        <v>3409</v>
      </c>
      <c r="AY18" t="s">
        <v>3410</v>
      </c>
      <c r="AZ18" t="s">
        <v>3411</v>
      </c>
      <c r="BA18" t="s">
        <v>3412</v>
      </c>
      <c r="BB18" t="s">
        <v>26</v>
      </c>
      <c r="BC18" t="s">
        <v>3090</v>
      </c>
      <c r="BD18" t="s">
        <v>99</v>
      </c>
      <c r="BE18" t="s">
        <v>87</v>
      </c>
      <c r="BF18" t="s">
        <v>40</v>
      </c>
      <c r="BG18" t="s">
        <v>3413</v>
      </c>
      <c r="BH18" t="s">
        <v>3414</v>
      </c>
      <c r="BI18" t="s">
        <v>23</v>
      </c>
      <c r="BJ18" t="s">
        <v>40</v>
      </c>
      <c r="BK18" t="s">
        <v>3410</v>
      </c>
      <c r="BL18" t="s">
        <v>151</v>
      </c>
      <c r="BM18" t="s">
        <v>3415</v>
      </c>
      <c r="BN18" t="s">
        <v>99</v>
      </c>
      <c r="BO18">
        <v>10.5</v>
      </c>
      <c r="BP18">
        <v>11.52</v>
      </c>
      <c r="BQ18">
        <v>23.31</v>
      </c>
      <c r="BR18">
        <v>31.09</v>
      </c>
      <c r="BS18">
        <v>13.8</v>
      </c>
      <c r="BT18">
        <v>10.84</v>
      </c>
      <c r="BU18">
        <v>23.31</v>
      </c>
      <c r="BV18" t="s">
        <v>7</v>
      </c>
      <c r="BW18">
        <v>42.17</v>
      </c>
      <c r="BX18">
        <v>41.62</v>
      </c>
      <c r="BY18">
        <v>42.46</v>
      </c>
      <c r="BZ18">
        <v>23.85</v>
      </c>
      <c r="CA18">
        <v>24.84</v>
      </c>
      <c r="CB18">
        <v>25.05</v>
      </c>
      <c r="CC18">
        <v>10.29</v>
      </c>
      <c r="CD18">
        <v>30.98</v>
      </c>
      <c r="CE18" t="s">
        <v>3416</v>
      </c>
      <c r="CF18" t="s">
        <v>3417</v>
      </c>
      <c r="CG18" s="23">
        <v>0.78613513274336311</v>
      </c>
      <c r="CH18" s="24">
        <v>0.90472761273022373</v>
      </c>
      <c r="CI18" s="23">
        <v>0.5676959753036499</v>
      </c>
      <c r="CJ18" s="23">
        <v>-4.9661397933959961E-2</v>
      </c>
      <c r="CK18" s="23">
        <v>8.0487802624702454E-2</v>
      </c>
      <c r="CL18" s="23">
        <v>0.48014441132545471</v>
      </c>
      <c r="CM18" s="23">
        <v>0.59195405244827271</v>
      </c>
      <c r="CN18" s="24">
        <v>0.49523809552192688</v>
      </c>
      <c r="CO18" s="24">
        <v>-5.4054055362939835E-2</v>
      </c>
      <c r="CP18" s="24">
        <v>-1.7699114978313446E-2</v>
      </c>
      <c r="CQ18" s="24">
        <v>0.567665696144104</v>
      </c>
      <c r="CR18" s="24">
        <v>1.0886949300765991</v>
      </c>
      <c r="CS18">
        <v>15.491793484848484</v>
      </c>
      <c r="CT18">
        <v>31731417.834394906</v>
      </c>
      <c r="CU18">
        <v>4.209975</v>
      </c>
      <c r="CV18" s="23">
        <v>0.33412416875362394</v>
      </c>
      <c r="CW18" s="24">
        <v>0.41596911028027533</v>
      </c>
      <c r="CX18">
        <v>0.06</v>
      </c>
      <c r="CY18">
        <v>50.194903492866707</v>
      </c>
      <c r="CZ18">
        <v>197601409.90030092</v>
      </c>
      <c r="DA18">
        <v>0.33412416875362394</v>
      </c>
      <c r="DB18">
        <v>13.420781470998476</v>
      </c>
      <c r="DC18">
        <v>739046658.45528293</v>
      </c>
      <c r="DD18">
        <v>0.31741796031594272</v>
      </c>
      <c r="DE18">
        <v>4.9460907957253575</v>
      </c>
      <c r="DF18">
        <v>2005337974.9057789</v>
      </c>
      <c r="DG18">
        <v>0.29402926850318906</v>
      </c>
      <c r="DH18">
        <v>2.0806629178719822</v>
      </c>
      <c r="DI18">
        <v>4767030553.0048695</v>
      </c>
      <c r="DJ18">
        <v>0.26729933500289915</v>
      </c>
      <c r="DK18">
        <v>0.44821142696291094</v>
      </c>
      <c r="DL18">
        <v>22129252186.202637</v>
      </c>
      <c r="DM18">
        <v>0.23388691812753673</v>
      </c>
      <c r="DN18">
        <v>157000000</v>
      </c>
      <c r="DO18">
        <v>0.33412416875362394</v>
      </c>
      <c r="DP18">
        <v>9918583700</v>
      </c>
      <c r="DQ18">
        <v>1069946200</v>
      </c>
      <c r="DR18">
        <v>2270</v>
      </c>
      <c r="DS18">
        <v>0.45201096398973917</v>
      </c>
      <c r="DT18">
        <v>0.4887585024499484</v>
      </c>
      <c r="DU18" s="25">
        <v>0.22</v>
      </c>
      <c r="DV18">
        <v>0.22</v>
      </c>
      <c r="DW18">
        <v>0.44</v>
      </c>
      <c r="DX18">
        <v>9.3321497740477728</v>
      </c>
      <c r="DY18">
        <v>0.61585612530441458</v>
      </c>
      <c r="DZ18">
        <v>9.0683750655062116</v>
      </c>
      <c r="EA18">
        <v>852</v>
      </c>
      <c r="EB18">
        <v>9.0560796759301692</v>
      </c>
      <c r="EC18">
        <v>9</v>
      </c>
      <c r="ED18">
        <v>9.0812892674950713E-2</v>
      </c>
      <c r="EE18">
        <v>0.44114739136695097</v>
      </c>
      <c r="EF18" s="22">
        <v>1.35E-2</v>
      </c>
      <c r="EG18">
        <v>0.1182</v>
      </c>
      <c r="EH18">
        <v>41.205856125304415</v>
      </c>
      <c r="EI18" t="s">
        <v>496</v>
      </c>
      <c r="EJ18">
        <v>1</v>
      </c>
      <c r="EK18">
        <v>1</v>
      </c>
    </row>
    <row r="19" spans="2:141" x14ac:dyDescent="0.25">
      <c r="B19" s="3"/>
      <c r="C19" s="3"/>
      <c r="D19" s="3"/>
      <c r="E19" t="s">
        <v>2376</v>
      </c>
      <c r="F19" t="s">
        <v>2377</v>
      </c>
      <c r="G19">
        <v>42.87</v>
      </c>
      <c r="H19">
        <v>4.5599999999999996</v>
      </c>
      <c r="I19" t="s">
        <v>2827</v>
      </c>
      <c r="J19">
        <v>44699390000</v>
      </c>
      <c r="K19">
        <v>40.25</v>
      </c>
      <c r="L19">
        <v>6.9</v>
      </c>
      <c r="M19" t="s">
        <v>691</v>
      </c>
      <c r="N19" t="s">
        <v>2828</v>
      </c>
      <c r="O19" t="s">
        <v>2829</v>
      </c>
      <c r="P19" t="s">
        <v>2830</v>
      </c>
      <c r="Q19">
        <v>20.82</v>
      </c>
      <c r="R19" t="s">
        <v>2831</v>
      </c>
      <c r="S19">
        <v>279349770</v>
      </c>
      <c r="T19" s="4">
        <v>0.20780000000000001</v>
      </c>
      <c r="U19" t="s">
        <v>2832</v>
      </c>
      <c r="V19">
        <v>1042672960</v>
      </c>
      <c r="W19">
        <v>1042672960</v>
      </c>
      <c r="X19">
        <v>1.56</v>
      </c>
      <c r="Y19">
        <v>0.21</v>
      </c>
      <c r="Z19">
        <v>13.38</v>
      </c>
      <c r="AA19" t="s">
        <v>2833</v>
      </c>
      <c r="AB19" t="s">
        <v>2834</v>
      </c>
      <c r="AC19" t="s">
        <v>2835</v>
      </c>
      <c r="AD19" t="s">
        <v>35</v>
      </c>
      <c r="AE19" t="s">
        <v>7</v>
      </c>
      <c r="AF19">
        <v>40616683</v>
      </c>
      <c r="AG19" t="s">
        <v>2836</v>
      </c>
      <c r="AH19" t="s">
        <v>2837</v>
      </c>
      <c r="AI19" t="s">
        <v>2838</v>
      </c>
      <c r="AJ19" t="s">
        <v>2839</v>
      </c>
      <c r="AK19" t="s">
        <v>2840</v>
      </c>
      <c r="AL19" t="s">
        <v>2841</v>
      </c>
      <c r="AM19" t="s">
        <v>2842</v>
      </c>
      <c r="AN19" t="s">
        <v>7</v>
      </c>
      <c r="AO19" t="s">
        <v>139</v>
      </c>
      <c r="AP19" t="s">
        <v>2843</v>
      </c>
      <c r="AQ19" t="s">
        <v>445</v>
      </c>
      <c r="AR19" t="s">
        <v>2844</v>
      </c>
      <c r="AS19" t="s">
        <v>2845</v>
      </c>
      <c r="AT19" t="s">
        <v>2846</v>
      </c>
      <c r="AU19" t="s">
        <v>2847</v>
      </c>
      <c r="AV19" t="s">
        <v>1900</v>
      </c>
      <c r="AW19" t="s">
        <v>646</v>
      </c>
      <c r="AX19" t="s">
        <v>2848</v>
      </c>
      <c r="AY19" t="s">
        <v>2849</v>
      </c>
      <c r="AZ19" t="s">
        <v>2850</v>
      </c>
      <c r="BA19" t="s">
        <v>2851</v>
      </c>
      <c r="BB19" t="s">
        <v>1340</v>
      </c>
      <c r="BC19" t="s">
        <v>2852</v>
      </c>
      <c r="BD19" t="s">
        <v>65</v>
      </c>
      <c r="BE19" t="s">
        <v>2853</v>
      </c>
      <c r="BF19" t="s">
        <v>432</v>
      </c>
      <c r="BG19" t="s">
        <v>2854</v>
      </c>
      <c r="BH19" t="s">
        <v>457</v>
      </c>
      <c r="BI19" t="s">
        <v>2855</v>
      </c>
      <c r="BJ19" t="s">
        <v>2856</v>
      </c>
      <c r="BK19" t="s">
        <v>2849</v>
      </c>
      <c r="BL19" t="s">
        <v>2832</v>
      </c>
      <c r="BM19" t="s">
        <v>2857</v>
      </c>
      <c r="BN19" t="s">
        <v>65</v>
      </c>
      <c r="BO19">
        <v>13.32</v>
      </c>
      <c r="BP19">
        <v>11.84</v>
      </c>
      <c r="BQ19">
        <v>10.81</v>
      </c>
      <c r="BR19">
        <v>12.59</v>
      </c>
      <c r="BS19">
        <v>18.190000000000001</v>
      </c>
      <c r="BT19">
        <v>15.96</v>
      </c>
      <c r="BU19">
        <v>15.21</v>
      </c>
      <c r="BV19">
        <v>16.82</v>
      </c>
      <c r="BW19">
        <v>34.58</v>
      </c>
      <c r="BX19">
        <v>36.950000000000003</v>
      </c>
      <c r="BY19">
        <v>37.130000000000003</v>
      </c>
      <c r="BZ19">
        <v>14.49</v>
      </c>
      <c r="CA19">
        <v>14.44</v>
      </c>
      <c r="CB19">
        <v>13.62</v>
      </c>
      <c r="CC19">
        <v>2.44</v>
      </c>
      <c r="CD19">
        <v>20.81</v>
      </c>
      <c r="CE19" t="s">
        <v>2858</v>
      </c>
      <c r="CF19" t="s">
        <v>93</v>
      </c>
      <c r="CG19" s="23">
        <v>0.20839827658680118</v>
      </c>
      <c r="CH19" s="24">
        <v>0.20930636363636362</v>
      </c>
      <c r="CI19" s="23">
        <v>0.28187751770019531</v>
      </c>
      <c r="CJ19" s="23">
        <v>0.10422255098819733</v>
      </c>
      <c r="CK19" s="23">
        <v>2.921510674059391E-2</v>
      </c>
      <c r="CL19" s="23">
        <v>0.14285719394683838</v>
      </c>
      <c r="CM19" s="23">
        <v>0.18433995544910431</v>
      </c>
      <c r="CN19" s="24">
        <v>0.27764421701431274</v>
      </c>
      <c r="CO19" s="24">
        <v>0.18181818723678589</v>
      </c>
      <c r="CP19" s="24">
        <v>7.1530756540596485E-3</v>
      </c>
      <c r="CQ19" s="24">
        <v>2.0437955856323242E-2</v>
      </c>
      <c r="CR19" s="24">
        <v>0.17697595059871674</v>
      </c>
      <c r="CS19">
        <v>4.459681732016362</v>
      </c>
      <c r="CT19">
        <v>23682871.119473185</v>
      </c>
      <c r="CU19">
        <v>4.3832880000000003</v>
      </c>
      <c r="CV19" s="23">
        <v>0.14850246496498584</v>
      </c>
      <c r="CW19" s="24">
        <v>0.13280587727203966</v>
      </c>
      <c r="CX19">
        <v>0.06</v>
      </c>
      <c r="CY19">
        <v>35.327359243753328</v>
      </c>
      <c r="CZ19">
        <v>1151752943.6394153</v>
      </c>
      <c r="DA19">
        <v>0.14850246496498584</v>
      </c>
      <c r="DB19">
        <v>10.990349597715459</v>
      </c>
      <c r="DC19">
        <v>3702192513.3717136</v>
      </c>
      <c r="DD19">
        <v>0.14107734171673655</v>
      </c>
      <c r="DE19">
        <v>5.0585826785131394</v>
      </c>
      <c r="DF19">
        <v>8043436785.7281857</v>
      </c>
      <c r="DG19">
        <v>0.13068216916918754</v>
      </c>
      <c r="DH19">
        <v>2.8103967705163742</v>
      </c>
      <c r="DI19">
        <v>14477809833.422216</v>
      </c>
      <c r="DJ19">
        <v>0.11880197197198868</v>
      </c>
      <c r="DK19">
        <v>1.2155997394276732</v>
      </c>
      <c r="DL19">
        <v>33471864693.84803</v>
      </c>
      <c r="DM19">
        <v>0.10395172547549009</v>
      </c>
      <c r="DN19">
        <v>1063000000.0000001</v>
      </c>
      <c r="DO19">
        <v>0.14850246496498584</v>
      </c>
      <c r="DP19">
        <v>40688390000</v>
      </c>
      <c r="DQ19">
        <v>5810003300</v>
      </c>
      <c r="DR19">
        <v>3360</v>
      </c>
      <c r="DS19">
        <v>5.9895811621815342E-2</v>
      </c>
      <c r="DT19">
        <v>7.6500486364323966E-2</v>
      </c>
      <c r="DU19" s="25">
        <v>0</v>
      </c>
      <c r="DV19">
        <v>0</v>
      </c>
      <c r="DW19">
        <v>0</v>
      </c>
      <c r="DX19">
        <v>3.0543988095238097</v>
      </c>
      <c r="DY19">
        <v>0.53551935483871183</v>
      </c>
      <c r="DZ19">
        <v>3.0117239963325653</v>
      </c>
      <c r="EA19">
        <v>1119</v>
      </c>
      <c r="EB19">
        <v>3.0089550744465079</v>
      </c>
      <c r="EC19">
        <v>3</v>
      </c>
      <c r="ED19">
        <v>3.8445995568926999E-2</v>
      </c>
      <c r="EE19">
        <v>0.17838767008976622</v>
      </c>
      <c r="EF19" s="22">
        <v>1.0678000000000001</v>
      </c>
      <c r="EG19">
        <v>1.1133999999999999</v>
      </c>
      <c r="EH19">
        <v>32.215519354838712</v>
      </c>
      <c r="EI19" t="s">
        <v>498</v>
      </c>
      <c r="EJ19">
        <v>0</v>
      </c>
      <c r="EK19">
        <v>1</v>
      </c>
    </row>
    <row r="20" spans="2:141" x14ac:dyDescent="0.25">
      <c r="B20" s="3"/>
      <c r="C20" s="3"/>
      <c r="D20" s="3"/>
      <c r="E20" t="s">
        <v>2362</v>
      </c>
      <c r="F20" t="s">
        <v>2363</v>
      </c>
      <c r="G20">
        <v>18.59</v>
      </c>
      <c r="H20">
        <v>7.09</v>
      </c>
      <c r="I20" t="s">
        <v>2620</v>
      </c>
      <c r="J20">
        <v>19346812000</v>
      </c>
      <c r="K20">
        <v>105.7</v>
      </c>
      <c r="L20">
        <v>3.2</v>
      </c>
      <c r="M20" t="s">
        <v>691</v>
      </c>
      <c r="N20" t="s">
        <v>2621</v>
      </c>
      <c r="O20" t="s">
        <v>2622</v>
      </c>
      <c r="P20" t="s">
        <v>2623</v>
      </c>
      <c r="Q20">
        <v>32.869999999999997</v>
      </c>
      <c r="R20" t="s">
        <v>2624</v>
      </c>
      <c r="S20">
        <v>17076107</v>
      </c>
      <c r="T20" s="4">
        <v>-0.1956</v>
      </c>
      <c r="U20" t="s">
        <v>88</v>
      </c>
      <c r="V20">
        <v>991464090</v>
      </c>
      <c r="W20">
        <v>1040710710</v>
      </c>
      <c r="X20">
        <v>2.85</v>
      </c>
      <c r="Y20">
        <v>0.09</v>
      </c>
      <c r="Z20">
        <v>-1.2</v>
      </c>
      <c r="AA20" t="s">
        <v>2625</v>
      </c>
      <c r="AB20" t="s">
        <v>2626</v>
      </c>
      <c r="AC20" t="s">
        <v>40</v>
      </c>
      <c r="AD20" t="s">
        <v>18</v>
      </c>
      <c r="AE20" t="s">
        <v>7</v>
      </c>
      <c r="AF20">
        <v>70318766</v>
      </c>
      <c r="AG20" t="s">
        <v>2627</v>
      </c>
      <c r="AH20" t="s">
        <v>2628</v>
      </c>
      <c r="AI20" t="s">
        <v>2629</v>
      </c>
      <c r="AJ20" t="s">
        <v>2630</v>
      </c>
      <c r="AK20" t="s">
        <v>2631</v>
      </c>
      <c r="AL20" t="s">
        <v>2632</v>
      </c>
      <c r="AM20" t="s">
        <v>2633</v>
      </c>
      <c r="AN20" t="s">
        <v>7</v>
      </c>
      <c r="AO20" t="s">
        <v>2634</v>
      </c>
      <c r="AP20" t="s">
        <v>2635</v>
      </c>
      <c r="AQ20" t="s">
        <v>669</v>
      </c>
      <c r="AR20" t="s">
        <v>2636</v>
      </c>
      <c r="AS20" t="s">
        <v>2637</v>
      </c>
      <c r="AT20" t="s">
        <v>2638</v>
      </c>
      <c r="AU20" t="s">
        <v>2639</v>
      </c>
      <c r="AV20" t="s">
        <v>2640</v>
      </c>
      <c r="AW20" t="s">
        <v>2641</v>
      </c>
      <c r="AX20" t="s">
        <v>2642</v>
      </c>
      <c r="AY20" t="s">
        <v>2643</v>
      </c>
      <c r="AZ20" t="s">
        <v>973</v>
      </c>
      <c r="BA20" t="s">
        <v>2644</v>
      </c>
      <c r="BB20" t="s">
        <v>2645</v>
      </c>
      <c r="BC20" t="s">
        <v>2646</v>
      </c>
      <c r="BD20" t="s">
        <v>57</v>
      </c>
      <c r="BE20" t="s">
        <v>2647</v>
      </c>
      <c r="BF20" t="s">
        <v>50</v>
      </c>
      <c r="BG20" t="s">
        <v>62</v>
      </c>
      <c r="BH20" t="s">
        <v>638</v>
      </c>
      <c r="BI20" t="s">
        <v>2648</v>
      </c>
      <c r="BJ20" t="s">
        <v>175</v>
      </c>
      <c r="BK20" t="s">
        <v>2643</v>
      </c>
      <c r="BL20" t="s">
        <v>88</v>
      </c>
      <c r="BM20" t="s">
        <v>2649</v>
      </c>
      <c r="BN20" t="s">
        <v>57</v>
      </c>
      <c r="BO20">
        <v>1.58</v>
      </c>
      <c r="BP20">
        <v>2.08</v>
      </c>
      <c r="BQ20">
        <v>2.83</v>
      </c>
      <c r="BR20">
        <v>1.66</v>
      </c>
      <c r="BS20">
        <v>3.41</v>
      </c>
      <c r="BT20">
        <v>5.12</v>
      </c>
      <c r="BU20">
        <v>8.31</v>
      </c>
      <c r="BV20">
        <v>5.89</v>
      </c>
      <c r="BW20">
        <v>21.49</v>
      </c>
      <c r="BX20">
        <v>22.52</v>
      </c>
      <c r="BY20">
        <v>26.33</v>
      </c>
      <c r="BZ20">
        <v>1.88</v>
      </c>
      <c r="CA20">
        <v>2.4700000000000002</v>
      </c>
      <c r="CB20">
        <v>2.96</v>
      </c>
      <c r="CC20">
        <v>7.39</v>
      </c>
      <c r="CD20">
        <v>16.55</v>
      </c>
      <c r="CE20" t="s">
        <v>199</v>
      </c>
      <c r="CF20" t="s">
        <v>632</v>
      </c>
      <c r="CG20" s="23">
        <v>0.32912167982770996</v>
      </c>
      <c r="CH20" s="24">
        <v>-0.19555916202248991</v>
      </c>
      <c r="CI20" s="23">
        <v>0.26487144827842712</v>
      </c>
      <c r="CJ20" s="23">
        <v>0.10725408792495728</v>
      </c>
      <c r="CK20" s="23">
        <v>0.14759965240955353</v>
      </c>
      <c r="CL20" s="23">
        <v>0.15018603205680847</v>
      </c>
      <c r="CM20" s="23">
        <v>-0.16470396518707275</v>
      </c>
      <c r="CN20" s="24">
        <v>-8.3333335816860199E-2</v>
      </c>
      <c r="CO20" s="24">
        <v>-0.15352697670459747</v>
      </c>
      <c r="CP20" s="24">
        <v>0.59602648019790649</v>
      </c>
      <c r="CQ20" s="24">
        <v>-0.2135416716337204</v>
      </c>
      <c r="CR20" s="24">
        <v>-0.14666666090488434</v>
      </c>
      <c r="CS20">
        <v>2.0492333439254318</v>
      </c>
      <c r="CT20">
        <v>2689095.7219251338</v>
      </c>
      <c r="CU20">
        <v>-0.30780000000000002</v>
      </c>
      <c r="CV20" s="23">
        <v>0.10104145109653473</v>
      </c>
      <c r="CW20" s="24">
        <v>-2.0843297243118287E-4</v>
      </c>
      <c r="CX20">
        <v>0.06</v>
      </c>
      <c r="CY20">
        <v>130.05441150767328</v>
      </c>
      <c r="CZ20">
        <v>194240331.46703017</v>
      </c>
      <c r="DA20">
        <v>0.10104145109653473</v>
      </c>
      <c r="DB20">
        <v>42.105546527538877</v>
      </c>
      <c r="DC20">
        <v>599963997.22487068</v>
      </c>
      <c r="DD20">
        <v>9.5989378541707984E-2</v>
      </c>
      <c r="DE20">
        <v>20.469276807509289</v>
      </c>
      <c r="DF20">
        <v>1234133097.9867613</v>
      </c>
      <c r="DG20">
        <v>8.8916476964950558E-2</v>
      </c>
      <c r="DH20">
        <v>12.118645791699688</v>
      </c>
      <c r="DI20">
        <v>2084540833.5395312</v>
      </c>
      <c r="DJ20">
        <v>8.0833160877227792E-2</v>
      </c>
      <c r="DK20">
        <v>6.0664824667455193</v>
      </c>
      <c r="DL20">
        <v>4164161379.9227185</v>
      </c>
      <c r="DM20">
        <v>7.0729015767574302E-2</v>
      </c>
      <c r="DN20">
        <v>187000000</v>
      </c>
      <c r="DO20">
        <v>0.10104145109653473</v>
      </c>
      <c r="DP20">
        <v>25261812000</v>
      </c>
      <c r="DQ20">
        <v>2262624400</v>
      </c>
      <c r="DR20">
        <v>1484</v>
      </c>
      <c r="DS20">
        <v>0.22808022873117523</v>
      </c>
      <c r="DT20">
        <v>-0.19535072905005874</v>
      </c>
      <c r="DU20" s="25">
        <v>0</v>
      </c>
      <c r="DV20">
        <v>-0.22</v>
      </c>
      <c r="DW20">
        <v>-0.22</v>
      </c>
      <c r="DX20">
        <v>9.4465256797583077</v>
      </c>
      <c r="DY20">
        <v>0.6796875</v>
      </c>
      <c r="DZ20">
        <v>9.0802350830815701</v>
      </c>
      <c r="EA20">
        <v>3228</v>
      </c>
      <c r="EB20">
        <v>9.0255709108174695</v>
      </c>
      <c r="EC20">
        <v>9</v>
      </c>
      <c r="ED20">
        <v>0.13260169101171257</v>
      </c>
      <c r="EE20">
        <v>0.73795723693474813</v>
      </c>
      <c r="EF20" s="22">
        <v>-2.081</v>
      </c>
      <c r="EG20">
        <v>-1.0019</v>
      </c>
      <c r="EH20">
        <v>50.1796875</v>
      </c>
      <c r="EI20" t="s">
        <v>499</v>
      </c>
      <c r="EJ20">
        <v>1</v>
      </c>
      <c r="EK20">
        <v>0</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tabSelected="1" topLeftCell="A4"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7" customFormat="1" ht="57.6" x14ac:dyDescent="0.25">
      <c r="A1" s="6" t="s">
        <v>277</v>
      </c>
      <c r="B1" s="7" t="s">
        <v>281</v>
      </c>
      <c r="C1" s="7" t="s">
        <v>278</v>
      </c>
      <c r="D1" s="7" t="s">
        <v>282</v>
      </c>
      <c r="E1" s="8" t="s">
        <v>279</v>
      </c>
      <c r="F1" s="8" t="s">
        <v>280</v>
      </c>
      <c r="G1" s="8" t="s">
        <v>288</v>
      </c>
      <c r="H1" s="8" t="s">
        <v>283</v>
      </c>
      <c r="I1" s="8" t="s">
        <v>284</v>
      </c>
      <c r="J1" s="8" t="s">
        <v>285</v>
      </c>
      <c r="K1" s="8" t="s">
        <v>286</v>
      </c>
      <c r="L1" s="7" t="s">
        <v>287</v>
      </c>
      <c r="M1" s="7" t="s">
        <v>289</v>
      </c>
      <c r="N1" s="7" t="s">
        <v>290</v>
      </c>
      <c r="O1" s="7" t="s">
        <v>291</v>
      </c>
      <c r="P1" s="7" t="s">
        <v>292</v>
      </c>
      <c r="Q1" s="7" t="s">
        <v>293</v>
      </c>
      <c r="R1" s="11" t="s">
        <v>294</v>
      </c>
      <c r="S1" s="7" t="s">
        <v>295</v>
      </c>
      <c r="T1" s="7" t="s">
        <v>296</v>
      </c>
      <c r="U1" s="7" t="s">
        <v>297</v>
      </c>
      <c r="V1" s="7" t="s">
        <v>298</v>
      </c>
      <c r="W1" s="7" t="s">
        <v>299</v>
      </c>
      <c r="X1" s="7" t="s">
        <v>300</v>
      </c>
      <c r="Y1" s="7" t="s">
        <v>301</v>
      </c>
      <c r="Z1" s="7" t="s">
        <v>302</v>
      </c>
      <c r="AA1" s="7" t="s">
        <v>303</v>
      </c>
      <c r="AB1" s="7" t="s">
        <v>304</v>
      </c>
      <c r="AC1" s="7" t="s">
        <v>305</v>
      </c>
      <c r="AD1" s="15" t="s">
        <v>306</v>
      </c>
      <c r="AE1" s="7" t="s">
        <v>307</v>
      </c>
      <c r="AF1" s="7" t="s">
        <v>308</v>
      </c>
    </row>
    <row r="2" spans="1:32" ht="13.95" x14ac:dyDescent="0.25">
      <c r="A2" s="2">
        <v>1</v>
      </c>
      <c r="B2">
        <v>1</v>
      </c>
      <c r="C2" s="5">
        <v>0.08</v>
      </c>
      <c r="D2">
        <f>H2</f>
        <v>7.06</v>
      </c>
      <c r="E2">
        <v>11.56</v>
      </c>
      <c r="F2">
        <v>20.440000000000001</v>
      </c>
      <c r="G2">
        <f>F2</f>
        <v>20.440000000000001</v>
      </c>
      <c r="H2" s="9">
        <v>7.06</v>
      </c>
      <c r="I2" s="10">
        <v>0.37</v>
      </c>
      <c r="J2">
        <v>9</v>
      </c>
      <c r="K2">
        <v>85</v>
      </c>
      <c r="L2">
        <f>K2-F2+E2</f>
        <v>76.12</v>
      </c>
      <c r="M2">
        <f>SUMIF(A2:A51,"&lt;"&amp;J2+1,D2:D51)</f>
        <v>88.162158341966133</v>
      </c>
      <c r="O2">
        <f>M2/L2</f>
        <v>1.1581996629265126</v>
      </c>
      <c r="R2">
        <f>S2</f>
        <v>7.06</v>
      </c>
      <c r="S2">
        <f>$H$2</f>
        <v>7.06</v>
      </c>
      <c r="T2" s="5">
        <v>0.37</v>
      </c>
      <c r="U2" s="5">
        <v>0.06</v>
      </c>
      <c r="V2">
        <f>SUM($R$2:R2)</f>
        <v>7.06</v>
      </c>
      <c r="W2" s="2">
        <f>X2-Y2</f>
        <v>474.26</v>
      </c>
      <c r="X2" s="14">
        <f>579-579*10%</f>
        <v>521.1</v>
      </c>
      <c r="Y2" s="14">
        <f>57.79-10.95</f>
        <v>46.84</v>
      </c>
      <c r="Z2">
        <f>$W$2/S2</f>
        <v>67.175637393767701</v>
      </c>
      <c r="AA2" s="5">
        <v>0.3</v>
      </c>
      <c r="AB2">
        <f>S2/AA2</f>
        <v>23.533333333333331</v>
      </c>
      <c r="AC2">
        <f>AC3*(1-$U$2)</f>
        <v>222.37291878719995</v>
      </c>
      <c r="AD2" s="5">
        <v>0</v>
      </c>
      <c r="AE2">
        <f>AC2*AD2</f>
        <v>0</v>
      </c>
      <c r="AF2">
        <f>IF(AB2&gt;AE2, 1, 0)</f>
        <v>1</v>
      </c>
    </row>
    <row r="3" spans="1:32" ht="13.95" x14ac:dyDescent="0.25">
      <c r="A3" s="2">
        <v>2</v>
      </c>
      <c r="B3">
        <f>B2+B2*C2</f>
        <v>1.08</v>
      </c>
      <c r="C3" s="5">
        <v>0.08</v>
      </c>
      <c r="D3">
        <f>D2+D2*C2</f>
        <v>7.6247999999999996</v>
      </c>
      <c r="Q3">
        <f>$D$2*((1+$C$2)^A2)</f>
        <v>7.6248000000000005</v>
      </c>
      <c r="R3">
        <f>S3/((1+$U$2)^A2)</f>
        <v>9.1247169811320745</v>
      </c>
      <c r="S3">
        <f>S2*(1+T2)</f>
        <v>9.6722000000000001</v>
      </c>
      <c r="T3" s="5">
        <v>0.37</v>
      </c>
      <c r="V3">
        <f>SUM($R$2:R3)</f>
        <v>16.184716981132073</v>
      </c>
      <c r="W3">
        <f>V3/$W$2</f>
        <v>3.4126253492034062E-2</v>
      </c>
      <c r="Z3">
        <f t="shared" ref="Z3:Z13" si="0">$W$2/S3</f>
        <v>49.033311966253798</v>
      </c>
      <c r="AA3" s="5">
        <v>0.3</v>
      </c>
      <c r="AB3">
        <f t="shared" ref="AB3:AB66" si="1">S3/AA3</f>
        <v>32.240666666666669</v>
      </c>
      <c r="AC3">
        <f>AC4*(1-$U$2)</f>
        <v>236.56693487999996</v>
      </c>
      <c r="AD3" s="5">
        <v>0.1</v>
      </c>
      <c r="AE3">
        <f t="shared" ref="AE3:AE66" si="2">AC3*AD3</f>
        <v>23.656693487999998</v>
      </c>
      <c r="AF3">
        <f t="shared" ref="AF3:AF66" si="3">IF(AB3&gt;AE3, 1, 0)</f>
        <v>1</v>
      </c>
    </row>
    <row r="4" spans="1:32" ht="13.95" x14ac:dyDescent="0.25">
      <c r="A4" s="2">
        <v>3</v>
      </c>
      <c r="B4">
        <f t="shared" ref="B4:B51" si="4">B3+B3*C3</f>
        <v>1.1664000000000001</v>
      </c>
      <c r="C4" s="5">
        <v>0.08</v>
      </c>
      <c r="D4">
        <f t="shared" ref="D4:D51" si="5">D3+D3*C3</f>
        <v>8.2347839999999994</v>
      </c>
      <c r="Q4">
        <f>$D$2*((1+$C$2)^A3)</f>
        <v>8.2347839999999994</v>
      </c>
      <c r="R4">
        <f t="shared" ref="R4:R67" si="6">S4/((1+$U$2)^A3)</f>
        <v>11.793266286934852</v>
      </c>
      <c r="S4">
        <f t="shared" ref="S4:S67" si="7">S3*(1+T3)</f>
        <v>13.250914000000002</v>
      </c>
      <c r="T4" s="5">
        <v>0.37</v>
      </c>
      <c r="V4">
        <f>SUM($R$2:R4)</f>
        <v>27.977983268066925</v>
      </c>
      <c r="W4">
        <f t="shared" ref="W4:W67" si="8">V4/$W$2</f>
        <v>5.8992922169415353E-2</v>
      </c>
      <c r="Z4">
        <f t="shared" si="0"/>
        <v>35.79073866149912</v>
      </c>
      <c r="AA4" s="5">
        <v>0.3</v>
      </c>
      <c r="AB4">
        <f t="shared" si="1"/>
        <v>44.169713333333341</v>
      </c>
      <c r="AC4">
        <f>AC5*(1-$U$2)</f>
        <v>251.66695199999998</v>
      </c>
      <c r="AD4" s="5">
        <v>0.15</v>
      </c>
      <c r="AE4">
        <f t="shared" si="2"/>
        <v>37.750042799999996</v>
      </c>
      <c r="AF4">
        <f t="shared" si="3"/>
        <v>1</v>
      </c>
    </row>
    <row r="5" spans="1:32" ht="13.95" x14ac:dyDescent="0.25">
      <c r="A5" s="2">
        <v>4</v>
      </c>
      <c r="B5">
        <f t="shared" si="4"/>
        <v>1.2597120000000002</v>
      </c>
      <c r="C5" s="5">
        <v>0.08</v>
      </c>
      <c r="D5">
        <f t="shared" si="5"/>
        <v>8.893566719999999</v>
      </c>
      <c r="Q5">
        <f t="shared" ref="Q5:Q51" si="9">$D$2*((1+$C$2)^A4)</f>
        <v>8.8935667200000008</v>
      </c>
      <c r="R5">
        <f t="shared" si="6"/>
        <v>15.242240389717686</v>
      </c>
      <c r="S5">
        <f>S4*(1+T4)</f>
        <v>18.153752180000005</v>
      </c>
      <c r="T5" s="5">
        <v>0.37</v>
      </c>
      <c r="V5">
        <f>SUM($R$2:R5)</f>
        <v>43.220223657784615</v>
      </c>
      <c r="W5">
        <f t="shared" si="8"/>
        <v>9.1131918478860999E-2</v>
      </c>
      <c r="Z5">
        <f t="shared" si="0"/>
        <v>26.12462676021833</v>
      </c>
      <c r="AA5" s="5">
        <v>0.3</v>
      </c>
      <c r="AB5">
        <f t="shared" si="1"/>
        <v>60.512507266666688</v>
      </c>
      <c r="AC5">
        <f>AC6*(1-$U$2)</f>
        <v>267.73079999999999</v>
      </c>
      <c r="AD5" s="5">
        <v>0.15</v>
      </c>
      <c r="AE5">
        <f t="shared" si="2"/>
        <v>40.159619999999997</v>
      </c>
      <c r="AF5">
        <f t="shared" si="3"/>
        <v>1</v>
      </c>
    </row>
    <row r="6" spans="1:32" ht="13.95" x14ac:dyDescent="0.25">
      <c r="A6" s="2">
        <v>5</v>
      </c>
      <c r="B6">
        <f t="shared" si="4"/>
        <v>1.3604889600000001</v>
      </c>
      <c r="C6" s="5">
        <v>0.08</v>
      </c>
      <c r="D6">
        <f t="shared" si="5"/>
        <v>9.6050520575999982</v>
      </c>
      <c r="Q6">
        <f t="shared" si="9"/>
        <v>9.6050520576000018</v>
      </c>
      <c r="R6">
        <f t="shared" si="6"/>
        <v>19.699876730106823</v>
      </c>
      <c r="S6">
        <f>S5*(1+T5)</f>
        <v>24.87064048660001</v>
      </c>
      <c r="T6" s="5">
        <v>0.37</v>
      </c>
      <c r="V6">
        <f>SUM($R$2:R6)</f>
        <v>62.920100387891438</v>
      </c>
      <c r="W6" s="12">
        <f t="shared" si="8"/>
        <v>0.13267005521842754</v>
      </c>
      <c r="Z6">
        <f t="shared" si="0"/>
        <v>19.06907062789659</v>
      </c>
      <c r="AA6" s="5">
        <v>0.3</v>
      </c>
      <c r="AB6">
        <f t="shared" si="1"/>
        <v>82.902134955333366</v>
      </c>
      <c r="AC6">
        <f>AC7*(1-$U$2)</f>
        <v>284.82</v>
      </c>
      <c r="AD6" s="5">
        <v>0.2</v>
      </c>
      <c r="AE6">
        <f t="shared" si="2"/>
        <v>56.963999999999999</v>
      </c>
      <c r="AF6">
        <f t="shared" si="3"/>
        <v>1</v>
      </c>
    </row>
    <row r="7" spans="1:32" ht="13.95" x14ac:dyDescent="0.25">
      <c r="A7" s="2">
        <v>6</v>
      </c>
      <c r="B7">
        <f t="shared" si="4"/>
        <v>1.4693280768000001</v>
      </c>
      <c r="C7" s="5">
        <v>0.08</v>
      </c>
      <c r="D7">
        <f t="shared" si="5"/>
        <v>10.373456222207999</v>
      </c>
      <c r="Q7">
        <f t="shared" si="9"/>
        <v>10.373456222208002</v>
      </c>
      <c r="R7">
        <f t="shared" si="6"/>
        <v>25.461161434194668</v>
      </c>
      <c r="S7">
        <f t="shared" si="7"/>
        <v>34.072777466642016</v>
      </c>
      <c r="T7" s="5">
        <v>0.37</v>
      </c>
      <c r="V7">
        <f>SUM($R$2:R7)</f>
        <v>88.381261822086103</v>
      </c>
      <c r="W7" s="13">
        <f t="shared" si="8"/>
        <v>0.18635613760824465</v>
      </c>
      <c r="Z7">
        <f t="shared" si="0"/>
        <v>13.919029655398969</v>
      </c>
      <c r="AA7" s="5">
        <v>0.3</v>
      </c>
      <c r="AB7">
        <f t="shared" si="1"/>
        <v>113.57592488880672</v>
      </c>
      <c r="AC7">
        <v>303</v>
      </c>
      <c r="AD7" s="5">
        <v>0.2</v>
      </c>
      <c r="AE7">
        <f t="shared" si="2"/>
        <v>60.6</v>
      </c>
      <c r="AF7">
        <f t="shared" si="3"/>
        <v>1</v>
      </c>
    </row>
    <row r="8" spans="1:32" ht="13.95" x14ac:dyDescent="0.25">
      <c r="A8" s="2">
        <v>7</v>
      </c>
      <c r="B8">
        <f t="shared" si="4"/>
        <v>1.5868743229440001</v>
      </c>
      <c r="C8" s="5">
        <v>0.08</v>
      </c>
      <c r="D8">
        <f t="shared" si="5"/>
        <v>11.203332719984639</v>
      </c>
      <c r="Q8">
        <f t="shared" si="9"/>
        <v>11.203332719984644</v>
      </c>
      <c r="R8">
        <f t="shared" si="6"/>
        <v>32.907350155515751</v>
      </c>
      <c r="S8">
        <f>S7*(1+T7)</f>
        <v>46.679705129299563</v>
      </c>
      <c r="T8" s="5">
        <v>0.37</v>
      </c>
      <c r="V8">
        <f>SUM($R$2:R8)</f>
        <v>121.28861197760185</v>
      </c>
      <c r="W8">
        <f t="shared" si="8"/>
        <v>0.25574286673470636</v>
      </c>
      <c r="Z8">
        <f t="shared" si="0"/>
        <v>10.15987566087516</v>
      </c>
      <c r="AA8" s="5">
        <v>0.3</v>
      </c>
      <c r="AB8">
        <f t="shared" si="1"/>
        <v>155.59901709766521</v>
      </c>
      <c r="AC8">
        <f t="shared" ref="AC8:AC67" si="10">AC7*(1+$U$2)</f>
        <v>321.18</v>
      </c>
      <c r="AD8" s="5">
        <v>0.2</v>
      </c>
      <c r="AE8">
        <f t="shared" si="2"/>
        <v>64.236000000000004</v>
      </c>
      <c r="AF8">
        <f t="shared" si="3"/>
        <v>1</v>
      </c>
    </row>
    <row r="9" spans="1:32" ht="13.95" x14ac:dyDescent="0.25">
      <c r="A9" s="2">
        <v>8</v>
      </c>
      <c r="B9">
        <f t="shared" si="4"/>
        <v>1.7138242687795202</v>
      </c>
      <c r="C9" s="5">
        <v>0.08</v>
      </c>
      <c r="D9">
        <f t="shared" si="5"/>
        <v>12.09959933758341</v>
      </c>
      <c r="Q9">
        <f t="shared" si="9"/>
        <v>12.099599337583415</v>
      </c>
      <c r="R9">
        <f t="shared" si="6"/>
        <v>42.531197842506202</v>
      </c>
      <c r="S9">
        <f t="shared" si="7"/>
        <v>63.951196027140405</v>
      </c>
      <c r="T9" s="5">
        <v>0.1</v>
      </c>
      <c r="V9">
        <f>SUM($R$2:R9)</f>
        <v>163.81980982010805</v>
      </c>
      <c r="W9" s="12">
        <f t="shared" si="8"/>
        <v>0.34542194117173713</v>
      </c>
      <c r="Z9">
        <f t="shared" si="0"/>
        <v>7.4159676356752984</v>
      </c>
      <c r="AA9" s="5">
        <v>0.3</v>
      </c>
      <c r="AB9">
        <f t="shared" si="1"/>
        <v>213.17065342380135</v>
      </c>
      <c r="AC9">
        <f t="shared" si="10"/>
        <v>340.45080000000002</v>
      </c>
      <c r="AD9" s="5">
        <v>0.2</v>
      </c>
      <c r="AE9">
        <f t="shared" si="2"/>
        <v>68.090160000000012</v>
      </c>
      <c r="AF9" s="2">
        <f t="shared" si="3"/>
        <v>1</v>
      </c>
    </row>
    <row r="10" spans="1:32" ht="13.95" x14ac:dyDescent="0.25">
      <c r="A10" s="2">
        <v>9</v>
      </c>
      <c r="B10">
        <f t="shared" si="4"/>
        <v>1.8509302102818819</v>
      </c>
      <c r="C10" s="5">
        <v>0.08</v>
      </c>
      <c r="D10">
        <f t="shared" si="5"/>
        <v>13.067567284590082</v>
      </c>
      <c r="Q10">
        <f t="shared" si="9"/>
        <v>13.067567284590089</v>
      </c>
      <c r="R10">
        <f t="shared" si="6"/>
        <v>44.136148704487567</v>
      </c>
      <c r="S10">
        <f t="shared" si="7"/>
        <v>70.346315629854445</v>
      </c>
      <c r="T10" s="5">
        <v>0.1</v>
      </c>
      <c r="V10">
        <f>SUM($R$2:R10)</f>
        <v>207.95595852459562</v>
      </c>
      <c r="W10">
        <f t="shared" si="8"/>
        <v>0.43848513162525959</v>
      </c>
      <c r="Z10">
        <f t="shared" si="0"/>
        <v>6.7417887597048169</v>
      </c>
      <c r="AA10" s="5">
        <v>0.3</v>
      </c>
      <c r="AB10">
        <f t="shared" si="1"/>
        <v>234.4877187661815</v>
      </c>
      <c r="AC10">
        <f t="shared" si="10"/>
        <v>360.87784800000003</v>
      </c>
      <c r="AD10" s="5">
        <v>0.2</v>
      </c>
      <c r="AE10">
        <f t="shared" si="2"/>
        <v>72.175569600000003</v>
      </c>
      <c r="AF10" s="1">
        <f t="shared" si="3"/>
        <v>1</v>
      </c>
    </row>
    <row r="11" spans="1:32" ht="13.95" x14ac:dyDescent="0.25">
      <c r="A11" s="2">
        <v>10</v>
      </c>
      <c r="B11">
        <f t="shared" si="4"/>
        <v>1.9990046271044324</v>
      </c>
      <c r="C11" s="5">
        <v>0.08</v>
      </c>
      <c r="D11">
        <f t="shared" si="5"/>
        <v>14.112972667357289</v>
      </c>
      <c r="Q11">
        <f t="shared" si="9"/>
        <v>14.112972667357296</v>
      </c>
      <c r="R11">
        <f t="shared" si="6"/>
        <v>45.801663749939934</v>
      </c>
      <c r="S11">
        <f t="shared" si="7"/>
        <v>77.380947192839898</v>
      </c>
      <c r="T11" s="5">
        <v>0.1</v>
      </c>
      <c r="V11">
        <f>SUM($R$2:R11)</f>
        <v>253.75762227453555</v>
      </c>
      <c r="W11">
        <f t="shared" si="8"/>
        <v>0.53506014058646223</v>
      </c>
      <c r="Z11">
        <f t="shared" si="0"/>
        <v>6.1288988724589242</v>
      </c>
      <c r="AA11" s="5">
        <v>0.3</v>
      </c>
      <c r="AB11">
        <f t="shared" si="1"/>
        <v>257.9364906427997</v>
      </c>
      <c r="AC11">
        <f t="shared" si="10"/>
        <v>382.53051888000005</v>
      </c>
      <c r="AD11" s="5">
        <v>0.2</v>
      </c>
      <c r="AE11">
        <f t="shared" si="2"/>
        <v>76.506103776000018</v>
      </c>
      <c r="AF11">
        <f t="shared" si="3"/>
        <v>1</v>
      </c>
    </row>
    <row r="12" spans="1:32" ht="13.95" x14ac:dyDescent="0.25">
      <c r="A12" s="2">
        <v>11</v>
      </c>
      <c r="B12">
        <f t="shared" si="4"/>
        <v>2.1589249972727869</v>
      </c>
      <c r="C12" s="5">
        <v>0.08</v>
      </c>
      <c r="D12">
        <f t="shared" si="5"/>
        <v>15.242010480745872</v>
      </c>
      <c r="Q12">
        <f t="shared" si="9"/>
        <v>15.242010480745881</v>
      </c>
      <c r="R12">
        <f t="shared" si="6"/>
        <v>47.530028419748987</v>
      </c>
      <c r="S12">
        <f t="shared" si="7"/>
        <v>85.11904191212389</v>
      </c>
      <c r="T12" s="5">
        <v>0.08</v>
      </c>
      <c r="V12">
        <f>SUM($R$2:R12)</f>
        <v>301.28765069428454</v>
      </c>
      <c r="W12" s="13">
        <f t="shared" si="8"/>
        <v>0.6352794895084648</v>
      </c>
      <c r="Z12">
        <f t="shared" si="0"/>
        <v>5.5717262476899307</v>
      </c>
      <c r="AA12" s="5">
        <v>0.3</v>
      </c>
      <c r="AB12">
        <f t="shared" si="1"/>
        <v>283.73013970707967</v>
      </c>
      <c r="AC12">
        <f t="shared" si="10"/>
        <v>405.48235001280005</v>
      </c>
      <c r="AD12" s="5">
        <v>0.2</v>
      </c>
      <c r="AE12">
        <f t="shared" si="2"/>
        <v>81.096470002560011</v>
      </c>
      <c r="AF12" s="1">
        <f t="shared" si="3"/>
        <v>1</v>
      </c>
    </row>
    <row r="13" spans="1:32" ht="13.95" x14ac:dyDescent="0.25">
      <c r="A13" s="2">
        <v>12</v>
      </c>
      <c r="B13">
        <f t="shared" si="4"/>
        <v>2.3316389970546099</v>
      </c>
      <c r="C13" s="5">
        <v>0.08</v>
      </c>
      <c r="D13">
        <f t="shared" si="5"/>
        <v>16.46137131920554</v>
      </c>
      <c r="Q13">
        <f t="shared" si="9"/>
        <v>16.461371319205551</v>
      </c>
      <c r="R13">
        <f t="shared" si="6"/>
        <v>48.426821408800855</v>
      </c>
      <c r="S13">
        <f t="shared" si="7"/>
        <v>91.928565265093809</v>
      </c>
      <c r="T13" s="5">
        <v>0.08</v>
      </c>
      <c r="V13">
        <f>SUM($R$2:R13)</f>
        <v>349.71447210308537</v>
      </c>
      <c r="W13" s="13">
        <f t="shared" si="8"/>
        <v>0.73738976954220337</v>
      </c>
      <c r="Z13">
        <f t="shared" si="0"/>
        <v>5.1590057848980839</v>
      </c>
      <c r="AA13" s="5">
        <v>0.3</v>
      </c>
      <c r="AB13">
        <f t="shared" si="1"/>
        <v>306.42855088364604</v>
      </c>
      <c r="AC13">
        <f t="shared" si="10"/>
        <v>429.81129101356805</v>
      </c>
      <c r="AD13" s="5">
        <v>0.2</v>
      </c>
      <c r="AE13">
        <f t="shared" si="2"/>
        <v>85.962258202713613</v>
      </c>
      <c r="AF13">
        <f t="shared" si="3"/>
        <v>1</v>
      </c>
    </row>
    <row r="14" spans="1:32" ht="13.95" x14ac:dyDescent="0.25">
      <c r="A14" s="2">
        <v>13</v>
      </c>
      <c r="B14">
        <f t="shared" si="4"/>
        <v>2.5181701168189785</v>
      </c>
      <c r="C14" s="5">
        <v>0.08</v>
      </c>
      <c r="D14">
        <f t="shared" si="5"/>
        <v>17.778281024741982</v>
      </c>
      <c r="Q14">
        <f t="shared" si="9"/>
        <v>17.778281024741997</v>
      </c>
      <c r="R14">
        <f t="shared" si="6"/>
        <v>49.34053502028766</v>
      </c>
      <c r="S14">
        <f t="shared" si="7"/>
        <v>99.282850486301314</v>
      </c>
      <c r="T14" s="5">
        <v>0.08</v>
      </c>
      <c r="V14">
        <f>SUM($R$2:R14)</f>
        <v>399.055007123373</v>
      </c>
      <c r="W14" s="13">
        <f t="shared" si="8"/>
        <v>0.84142665863318222</v>
      </c>
      <c r="Z14">
        <f>$W$2/S14</f>
        <v>4.7768572082389662</v>
      </c>
      <c r="AA14" s="5">
        <v>0.3</v>
      </c>
      <c r="AB14">
        <f>S14/AA14</f>
        <v>330.94283495433774</v>
      </c>
      <c r="AC14">
        <f t="shared" si="10"/>
        <v>455.59996847438214</v>
      </c>
      <c r="AD14" s="5">
        <v>0.2</v>
      </c>
      <c r="AE14">
        <f t="shared" si="2"/>
        <v>91.119993694876428</v>
      </c>
      <c r="AF14">
        <f t="shared" si="3"/>
        <v>1</v>
      </c>
    </row>
    <row r="15" spans="1:32" ht="13.95" x14ac:dyDescent="0.25">
      <c r="A15" s="2">
        <v>14</v>
      </c>
      <c r="B15">
        <f t="shared" si="4"/>
        <v>2.7196237261644969</v>
      </c>
      <c r="C15" s="5">
        <v>0.08</v>
      </c>
      <c r="D15">
        <f t="shared" si="5"/>
        <v>19.200543506721342</v>
      </c>
      <c r="Q15">
        <f t="shared" si="9"/>
        <v>19.200543506721356</v>
      </c>
      <c r="R15">
        <f t="shared" si="6"/>
        <v>50.271488511236484</v>
      </c>
      <c r="S15">
        <f t="shared" si="7"/>
        <v>107.22547852520543</v>
      </c>
      <c r="T15" s="5">
        <v>0.08</v>
      </c>
      <c r="V15">
        <f>SUM($R$2:R15)</f>
        <v>449.3264956346095</v>
      </c>
      <c r="W15" s="13">
        <f t="shared" si="8"/>
        <v>0.94742650789568905</v>
      </c>
      <c r="Z15">
        <f t="shared" ref="Z15:Z78" si="11">$W$2/S15</f>
        <v>4.4230159335545975</v>
      </c>
      <c r="AA15" s="5">
        <v>0.3</v>
      </c>
      <c r="AB15">
        <f t="shared" si="1"/>
        <v>357.41826175068479</v>
      </c>
      <c r="AC15">
        <f t="shared" si="10"/>
        <v>482.93596658284508</v>
      </c>
      <c r="AD15" s="5">
        <v>0.2</v>
      </c>
      <c r="AE15">
        <f t="shared" si="2"/>
        <v>96.587193316569028</v>
      </c>
      <c r="AF15">
        <f t="shared" si="3"/>
        <v>1</v>
      </c>
    </row>
    <row r="16" spans="1:32" ht="13.95" x14ac:dyDescent="0.25">
      <c r="A16" s="2">
        <v>15</v>
      </c>
      <c r="B16">
        <f t="shared" si="4"/>
        <v>2.9371936242576568</v>
      </c>
      <c r="C16" s="5">
        <v>0.08</v>
      </c>
      <c r="D16">
        <f t="shared" si="5"/>
        <v>20.736586987259049</v>
      </c>
      <c r="Q16">
        <f t="shared" si="9"/>
        <v>20.73658698725907</v>
      </c>
      <c r="R16">
        <f t="shared" si="6"/>
        <v>51.220007162391894</v>
      </c>
      <c r="S16">
        <f t="shared" si="7"/>
        <v>115.80351680722187</v>
      </c>
      <c r="T16" s="5">
        <v>0.08</v>
      </c>
      <c r="V16">
        <f>SUM($R$2:R16)</f>
        <v>500.54650279700138</v>
      </c>
      <c r="W16">
        <f t="shared" si="8"/>
        <v>1.0554263543140923</v>
      </c>
      <c r="Z16">
        <f t="shared" si="11"/>
        <v>4.0953851236616643</v>
      </c>
      <c r="AA16" s="5">
        <v>0.3</v>
      </c>
      <c r="AB16">
        <f t="shared" si="1"/>
        <v>386.01172269073959</v>
      </c>
      <c r="AC16">
        <f t="shared" si="10"/>
        <v>511.9121245778158</v>
      </c>
      <c r="AD16" s="5">
        <v>0.2</v>
      </c>
      <c r="AE16">
        <f t="shared" si="2"/>
        <v>102.38242491556316</v>
      </c>
      <c r="AF16">
        <f t="shared" si="3"/>
        <v>1</v>
      </c>
    </row>
    <row r="17" spans="1:32" ht="13.95" x14ac:dyDescent="0.25">
      <c r="A17" s="2">
        <v>16</v>
      </c>
      <c r="B17">
        <f t="shared" si="4"/>
        <v>3.1721691141982693</v>
      </c>
      <c r="C17" s="5">
        <v>0.08</v>
      </c>
      <c r="D17">
        <f t="shared" si="5"/>
        <v>22.395513946239774</v>
      </c>
      <c r="Q17">
        <f t="shared" si="9"/>
        <v>22.395513946239795</v>
      </c>
      <c r="R17">
        <f t="shared" si="6"/>
        <v>52.18642239187097</v>
      </c>
      <c r="S17">
        <f t="shared" si="7"/>
        <v>125.06779815179962</v>
      </c>
      <c r="T17" s="5">
        <v>0.08</v>
      </c>
      <c r="V17">
        <f>SUM($R$2:R17)</f>
        <v>552.7329251888724</v>
      </c>
      <c r="W17">
        <f t="shared" si="8"/>
        <v>1.1654639336837862</v>
      </c>
      <c r="Z17">
        <f t="shared" si="11"/>
        <v>3.7920232626496895</v>
      </c>
      <c r="AA17" s="5">
        <v>0.3</v>
      </c>
      <c r="AB17">
        <f t="shared" si="1"/>
        <v>416.89266050599878</v>
      </c>
      <c r="AC17">
        <f t="shared" si="10"/>
        <v>542.62685205248476</v>
      </c>
      <c r="AD17" s="5">
        <v>0.2</v>
      </c>
      <c r="AE17">
        <f t="shared" si="2"/>
        <v>108.52537041049696</v>
      </c>
      <c r="AF17">
        <f t="shared" si="3"/>
        <v>1</v>
      </c>
    </row>
    <row r="18" spans="1:32" ht="13.95" x14ac:dyDescent="0.25">
      <c r="A18" s="2">
        <v>17</v>
      </c>
      <c r="B18">
        <f t="shared" si="4"/>
        <v>3.4259426433341309</v>
      </c>
      <c r="C18" s="5">
        <v>0.08</v>
      </c>
      <c r="D18">
        <f t="shared" si="5"/>
        <v>24.187155061938956</v>
      </c>
      <c r="Q18">
        <f t="shared" si="9"/>
        <v>24.187155061938977</v>
      </c>
      <c r="R18">
        <f t="shared" si="6"/>
        <v>53.171071870962898</v>
      </c>
      <c r="S18">
        <f t="shared" si="7"/>
        <v>135.07322200394361</v>
      </c>
      <c r="T18" s="5">
        <v>0.08</v>
      </c>
      <c r="V18">
        <f>SUM($R$2:R18)</f>
        <v>605.90399705983532</v>
      </c>
      <c r="W18" s="13">
        <f t="shared" si="8"/>
        <v>1.2775776937963044</v>
      </c>
      <c r="Z18">
        <f t="shared" si="11"/>
        <v>3.5111326506015637</v>
      </c>
      <c r="AA18" s="5">
        <v>0.3</v>
      </c>
      <c r="AB18">
        <f t="shared" si="1"/>
        <v>450.24407334647873</v>
      </c>
      <c r="AC18">
        <f t="shared" si="10"/>
        <v>575.18446317563382</v>
      </c>
      <c r="AD18" s="5">
        <v>0.2</v>
      </c>
      <c r="AE18">
        <f t="shared" si="2"/>
        <v>115.03689263512678</v>
      </c>
      <c r="AF18">
        <f t="shared" si="3"/>
        <v>1</v>
      </c>
    </row>
    <row r="19" spans="1:32" ht="13.95" x14ac:dyDescent="0.25">
      <c r="A19" s="2">
        <v>18</v>
      </c>
      <c r="B19">
        <f t="shared" si="4"/>
        <v>3.7000180548008612</v>
      </c>
      <c r="C19" s="5">
        <v>0.08</v>
      </c>
      <c r="D19">
        <f t="shared" si="5"/>
        <v>26.122127466894071</v>
      </c>
      <c r="Q19">
        <f t="shared" si="9"/>
        <v>26.122127466894099</v>
      </c>
      <c r="R19">
        <f t="shared" si="6"/>
        <v>54.174299642113134</v>
      </c>
      <c r="S19">
        <f t="shared" si="7"/>
        <v>145.8790797642591</v>
      </c>
      <c r="T19" s="5">
        <v>0.08</v>
      </c>
      <c r="V19">
        <f>SUM($R$2:R19)</f>
        <v>660.07829670194849</v>
      </c>
      <c r="W19">
        <f t="shared" si="8"/>
        <v>1.3918068078732098</v>
      </c>
      <c r="Z19">
        <f t="shared" si="11"/>
        <v>3.2510487505570032</v>
      </c>
      <c r="AA19" s="5">
        <v>0.3</v>
      </c>
      <c r="AB19">
        <f t="shared" si="1"/>
        <v>486.26359921419703</v>
      </c>
      <c r="AC19">
        <f t="shared" si="10"/>
        <v>609.69553096617187</v>
      </c>
      <c r="AD19" s="5">
        <v>0.2</v>
      </c>
      <c r="AE19">
        <f t="shared" si="2"/>
        <v>121.93910619323438</v>
      </c>
      <c r="AF19">
        <f t="shared" si="3"/>
        <v>1</v>
      </c>
    </row>
    <row r="20" spans="1:32" ht="13.95" x14ac:dyDescent="0.25">
      <c r="A20" s="2">
        <v>19</v>
      </c>
      <c r="B20">
        <f t="shared" si="4"/>
        <v>3.9960194991849303</v>
      </c>
      <c r="C20" s="5">
        <v>0.08</v>
      </c>
      <c r="D20">
        <f t="shared" si="5"/>
        <v>28.211897664245598</v>
      </c>
      <c r="Q20">
        <f t="shared" si="9"/>
        <v>28.21189766424563</v>
      </c>
      <c r="R20">
        <f t="shared" si="6"/>
        <v>55.196456239134143</v>
      </c>
      <c r="S20">
        <f t="shared" si="7"/>
        <v>157.54940614539984</v>
      </c>
      <c r="T20" s="5">
        <v>0.08</v>
      </c>
      <c r="V20">
        <f>SUM($R$2:R20)</f>
        <v>715.27475294108262</v>
      </c>
      <c r="W20">
        <f t="shared" si="8"/>
        <v>1.5081911882534531</v>
      </c>
      <c r="Z20">
        <f t="shared" si="11"/>
        <v>3.0102303245898177</v>
      </c>
      <c r="AA20" s="5">
        <v>0.3</v>
      </c>
      <c r="AB20">
        <f t="shared" si="1"/>
        <v>525.16468715133283</v>
      </c>
      <c r="AC20">
        <f t="shared" si="10"/>
        <v>646.27726282414221</v>
      </c>
      <c r="AD20" s="5">
        <v>0.2</v>
      </c>
      <c r="AE20">
        <f t="shared" si="2"/>
        <v>129.25545256482846</v>
      </c>
      <c r="AF20">
        <f t="shared" si="3"/>
        <v>1</v>
      </c>
    </row>
    <row r="21" spans="1:32" ht="13.95" x14ac:dyDescent="0.25">
      <c r="A21" s="2">
        <v>20</v>
      </c>
      <c r="B21">
        <f t="shared" si="4"/>
        <v>4.3157010591197249</v>
      </c>
      <c r="C21" s="5">
        <v>0.08</v>
      </c>
      <c r="D21">
        <f t="shared" si="5"/>
        <v>30.468849477385245</v>
      </c>
      <c r="Q21">
        <f t="shared" si="9"/>
        <v>30.46884947738528</v>
      </c>
      <c r="R21">
        <f t="shared" si="6"/>
        <v>56.237898809683834</v>
      </c>
      <c r="S21">
        <f t="shared" si="7"/>
        <v>170.15335863703183</v>
      </c>
      <c r="T21" s="5">
        <v>0.08</v>
      </c>
      <c r="V21">
        <f>SUM($R$2:R21)</f>
        <v>771.51265175076651</v>
      </c>
      <c r="W21" s="12">
        <f t="shared" si="8"/>
        <v>1.626771500338984</v>
      </c>
      <c r="Z21">
        <f t="shared" si="11"/>
        <v>2.7872503005461273</v>
      </c>
      <c r="AA21" s="5">
        <v>0.3</v>
      </c>
      <c r="AB21">
        <f t="shared" si="1"/>
        <v>567.17786212343947</v>
      </c>
      <c r="AC21">
        <f t="shared" si="10"/>
        <v>685.05389859359082</v>
      </c>
      <c r="AD21" s="5">
        <v>0.2</v>
      </c>
      <c r="AE21">
        <f t="shared" si="2"/>
        <v>137.01077971871817</v>
      </c>
      <c r="AF21">
        <f t="shared" si="3"/>
        <v>1</v>
      </c>
    </row>
    <row r="22" spans="1:32" ht="13.95" x14ac:dyDescent="0.25">
      <c r="A22" s="2">
        <v>21</v>
      </c>
      <c r="B22">
        <f t="shared" si="4"/>
        <v>4.6609571438493029</v>
      </c>
      <c r="C22" s="5">
        <v>0.08</v>
      </c>
      <c r="D22">
        <f t="shared" si="5"/>
        <v>32.906357435576062</v>
      </c>
      <c r="Q22">
        <f t="shared" si="9"/>
        <v>32.906357435576105</v>
      </c>
      <c r="R22">
        <f t="shared" si="6"/>
        <v>57.298991240055237</v>
      </c>
      <c r="S22">
        <f t="shared" si="7"/>
        <v>183.76562732799439</v>
      </c>
      <c r="T22" s="5">
        <v>0.08</v>
      </c>
      <c r="V22">
        <f>SUM($R$2:R22)</f>
        <v>828.81164299082172</v>
      </c>
      <c r="W22">
        <f t="shared" si="8"/>
        <v>1.747589176803487</v>
      </c>
      <c r="Z22">
        <f t="shared" si="11"/>
        <v>2.5807873153204883</v>
      </c>
      <c r="AA22" s="5">
        <v>0.3</v>
      </c>
      <c r="AB22">
        <f t="shared" si="1"/>
        <v>612.55209109331463</v>
      </c>
      <c r="AC22">
        <f t="shared" si="10"/>
        <v>726.15713250920635</v>
      </c>
      <c r="AD22" s="5">
        <v>0.2</v>
      </c>
      <c r="AE22">
        <f t="shared" si="2"/>
        <v>145.23142650184127</v>
      </c>
      <c r="AF22">
        <f t="shared" si="3"/>
        <v>1</v>
      </c>
    </row>
    <row r="23" spans="1:32" ht="13.95" x14ac:dyDescent="0.25">
      <c r="A23" s="2">
        <v>22</v>
      </c>
      <c r="B23">
        <f t="shared" si="4"/>
        <v>5.0338337153572468</v>
      </c>
      <c r="C23" s="5">
        <v>0.08</v>
      </c>
      <c r="D23">
        <f t="shared" si="5"/>
        <v>35.538866030422149</v>
      </c>
      <c r="Q23">
        <f t="shared" si="9"/>
        <v>35.538866030422191</v>
      </c>
      <c r="R23">
        <f t="shared" si="6"/>
        <v>58.380104282320424</v>
      </c>
      <c r="S23">
        <f t="shared" si="7"/>
        <v>198.46687751423397</v>
      </c>
      <c r="T23" s="5">
        <v>0.08</v>
      </c>
      <c r="V23">
        <f>SUM($R$2:R23)</f>
        <v>887.19174727314214</v>
      </c>
      <c r="W23">
        <f t="shared" si="8"/>
        <v>1.8706864320692072</v>
      </c>
      <c r="Z23">
        <f t="shared" si="11"/>
        <v>2.3896178845560074</v>
      </c>
      <c r="AA23" s="5">
        <v>0.3</v>
      </c>
      <c r="AB23">
        <f t="shared" si="1"/>
        <v>661.55625838077992</v>
      </c>
      <c r="AC23">
        <f t="shared" si="10"/>
        <v>769.72656045975873</v>
      </c>
      <c r="AD23" s="5">
        <v>0.2</v>
      </c>
      <c r="AE23">
        <f t="shared" si="2"/>
        <v>153.94531209195176</v>
      </c>
      <c r="AF23">
        <f t="shared" si="3"/>
        <v>1</v>
      </c>
    </row>
    <row r="24" spans="1:32" ht="13.95" x14ac:dyDescent="0.25">
      <c r="A24" s="2">
        <v>23</v>
      </c>
      <c r="B24">
        <f t="shared" si="4"/>
        <v>5.4365404125858268</v>
      </c>
      <c r="C24" s="5">
        <v>0.08</v>
      </c>
      <c r="D24">
        <f t="shared" si="5"/>
        <v>38.381975312855921</v>
      </c>
      <c r="Q24">
        <f t="shared" si="9"/>
        <v>38.381975312855971</v>
      </c>
      <c r="R24">
        <f t="shared" si="6"/>
        <v>59.481615683873642</v>
      </c>
      <c r="S24">
        <f t="shared" si="7"/>
        <v>214.34422771537271</v>
      </c>
      <c r="T24" s="5">
        <v>0.08</v>
      </c>
      <c r="V24">
        <f>SUM($R$2:R24)</f>
        <v>946.6733629570158</v>
      </c>
      <c r="W24">
        <f t="shared" si="8"/>
        <v>1.996106277056922</v>
      </c>
      <c r="Z24">
        <f t="shared" si="11"/>
        <v>2.2126091523666731</v>
      </c>
      <c r="AA24" s="5">
        <v>0.3</v>
      </c>
      <c r="AB24">
        <f t="shared" si="1"/>
        <v>714.48075905124244</v>
      </c>
      <c r="AC24">
        <f t="shared" si="10"/>
        <v>815.91015408734427</v>
      </c>
      <c r="AD24" s="5">
        <v>0.2</v>
      </c>
      <c r="AE24">
        <f t="shared" si="2"/>
        <v>163.18203081746887</v>
      </c>
      <c r="AF24">
        <f t="shared" si="3"/>
        <v>1</v>
      </c>
    </row>
    <row r="25" spans="1:32" ht="13.95" x14ac:dyDescent="0.25">
      <c r="A25" s="2">
        <v>24</v>
      </c>
      <c r="B25">
        <f t="shared" si="4"/>
        <v>5.8714636455926925</v>
      </c>
      <c r="C25" s="5">
        <v>0.08</v>
      </c>
      <c r="D25">
        <f t="shared" si="5"/>
        <v>41.452533337884397</v>
      </c>
      <c r="Q25">
        <f t="shared" si="9"/>
        <v>41.452533337884454</v>
      </c>
      <c r="R25">
        <f t="shared" si="6"/>
        <v>60.603910319418425</v>
      </c>
      <c r="S25">
        <f t="shared" si="7"/>
        <v>231.49176593260253</v>
      </c>
      <c r="T25" s="5">
        <v>0.08</v>
      </c>
      <c r="V25">
        <f>SUM($R$2:R25)</f>
        <v>1007.2772732764342</v>
      </c>
      <c r="W25">
        <f t="shared" si="8"/>
        <v>2.1238925342142165</v>
      </c>
      <c r="Z25">
        <f t="shared" si="11"/>
        <v>2.0487121781172899</v>
      </c>
      <c r="AA25" s="5">
        <v>0.3</v>
      </c>
      <c r="AB25">
        <f t="shared" si="1"/>
        <v>771.63921977534176</v>
      </c>
      <c r="AC25">
        <f t="shared" si="10"/>
        <v>864.86476333258497</v>
      </c>
      <c r="AD25" s="5">
        <v>0.2</v>
      </c>
      <c r="AE25">
        <f t="shared" si="2"/>
        <v>172.97295266651702</v>
      </c>
      <c r="AF25">
        <f t="shared" si="3"/>
        <v>1</v>
      </c>
    </row>
    <row r="26" spans="1:32" ht="13.95" x14ac:dyDescent="0.25">
      <c r="A26" s="2">
        <v>25</v>
      </c>
      <c r="B26">
        <f t="shared" si="4"/>
        <v>6.3411807372401077</v>
      </c>
      <c r="C26" s="5">
        <v>0.08</v>
      </c>
      <c r="D26">
        <f t="shared" si="5"/>
        <v>44.768736004915148</v>
      </c>
      <c r="Q26">
        <f t="shared" si="9"/>
        <v>44.768736004915205</v>
      </c>
      <c r="R26">
        <f t="shared" si="6"/>
        <v>61.747380325445199</v>
      </c>
      <c r="S26">
        <f t="shared" si="7"/>
        <v>250.01110720721076</v>
      </c>
      <c r="T26" s="5">
        <v>0.08</v>
      </c>
      <c r="V26">
        <f>SUM($R$2:R26)</f>
        <v>1069.0246536018794</v>
      </c>
      <c r="W26">
        <f t="shared" si="8"/>
        <v>2.2540898528273088</v>
      </c>
      <c r="Z26">
        <f t="shared" si="11"/>
        <v>1.896955720478972</v>
      </c>
      <c r="AA26" s="5">
        <v>0.3</v>
      </c>
      <c r="AB26">
        <f t="shared" si="1"/>
        <v>833.37035735736924</v>
      </c>
      <c r="AC26">
        <f t="shared" si="10"/>
        <v>916.75664913254013</v>
      </c>
      <c r="AD26" s="5">
        <v>0.2</v>
      </c>
      <c r="AE26">
        <f t="shared" si="2"/>
        <v>183.35132982650805</v>
      </c>
      <c r="AF26">
        <f t="shared" si="3"/>
        <v>1</v>
      </c>
    </row>
    <row r="27" spans="1:32" ht="13.95" x14ac:dyDescent="0.25">
      <c r="A27" s="2">
        <v>26</v>
      </c>
      <c r="B27">
        <f t="shared" si="4"/>
        <v>6.848475196219316</v>
      </c>
      <c r="C27" s="5">
        <v>0.08</v>
      </c>
      <c r="D27">
        <f t="shared" si="5"/>
        <v>48.35023488530836</v>
      </c>
      <c r="Q27">
        <f t="shared" si="9"/>
        <v>48.350234885308431</v>
      </c>
      <c r="R27">
        <f t="shared" si="6"/>
        <v>62.912425237246062</v>
      </c>
      <c r="S27">
        <f t="shared" si="7"/>
        <v>270.01199578378765</v>
      </c>
      <c r="T27" s="5">
        <v>0.08</v>
      </c>
      <c r="V27">
        <f>SUM($R$2:R27)</f>
        <v>1131.9370788391254</v>
      </c>
      <c r="W27">
        <f t="shared" si="8"/>
        <v>2.38674372462178</v>
      </c>
      <c r="Z27">
        <f t="shared" si="11"/>
        <v>1.7564404819249739</v>
      </c>
      <c r="AA27" s="5">
        <v>0.3</v>
      </c>
      <c r="AB27">
        <f t="shared" si="1"/>
        <v>900.03998594595885</v>
      </c>
      <c r="AC27">
        <f t="shared" si="10"/>
        <v>971.7620480804926</v>
      </c>
      <c r="AD27" s="5">
        <v>0.2</v>
      </c>
      <c r="AE27">
        <f t="shared" si="2"/>
        <v>194.35240961609853</v>
      </c>
      <c r="AF27">
        <f t="shared" si="3"/>
        <v>1</v>
      </c>
    </row>
    <row r="28" spans="1:32" ht="13.95" x14ac:dyDescent="0.25">
      <c r="A28" s="2">
        <v>27</v>
      </c>
      <c r="B28">
        <f t="shared" si="4"/>
        <v>7.3963532119168613</v>
      </c>
      <c r="C28" s="5">
        <v>0.08</v>
      </c>
      <c r="D28">
        <f t="shared" si="5"/>
        <v>52.218253676133031</v>
      </c>
      <c r="Q28">
        <f t="shared" si="9"/>
        <v>52.218253676133102</v>
      </c>
      <c r="R28">
        <f t="shared" si="6"/>
        <v>64.099452128514855</v>
      </c>
      <c r="S28">
        <f t="shared" si="7"/>
        <v>291.61295544649067</v>
      </c>
      <c r="T28" s="5">
        <v>0.08</v>
      </c>
      <c r="V28">
        <f>SUM($R$2:R28)</f>
        <v>1196.0365309676404</v>
      </c>
      <c r="W28">
        <f t="shared" si="8"/>
        <v>2.5219004996576571</v>
      </c>
      <c r="Z28">
        <f t="shared" si="11"/>
        <v>1.6263337795601609</v>
      </c>
      <c r="AA28" s="5">
        <v>0.3</v>
      </c>
      <c r="AB28">
        <f t="shared" si="1"/>
        <v>972.04318482163558</v>
      </c>
      <c r="AC28">
        <f t="shared" si="10"/>
        <v>1030.0677709653223</v>
      </c>
      <c r="AD28" s="5">
        <v>0.2</v>
      </c>
      <c r="AE28">
        <f t="shared" si="2"/>
        <v>206.01355419306446</v>
      </c>
      <c r="AF28">
        <f t="shared" si="3"/>
        <v>1</v>
      </c>
    </row>
    <row r="29" spans="1:32" ht="13.95" x14ac:dyDescent="0.25">
      <c r="A29" s="2">
        <v>28</v>
      </c>
      <c r="B29">
        <f t="shared" si="4"/>
        <v>7.9880614688702103</v>
      </c>
      <c r="C29" s="5">
        <v>0.08</v>
      </c>
      <c r="D29">
        <f t="shared" si="5"/>
        <v>56.395713970223674</v>
      </c>
      <c r="Q29">
        <f t="shared" si="9"/>
        <v>56.395713970223753</v>
      </c>
      <c r="R29">
        <f t="shared" si="6"/>
        <v>65.308875753581162</v>
      </c>
      <c r="S29">
        <f t="shared" si="7"/>
        <v>314.94199188220995</v>
      </c>
      <c r="T29" s="5">
        <v>0.08</v>
      </c>
      <c r="V29">
        <f>SUM($R$2:R29)</f>
        <v>1261.3454067212215</v>
      </c>
      <c r="W29">
        <f t="shared" si="8"/>
        <v>2.659607402524399</v>
      </c>
      <c r="Z29">
        <f t="shared" si="11"/>
        <v>1.5058646107038527</v>
      </c>
      <c r="AA29" s="5">
        <v>0.3</v>
      </c>
      <c r="AB29">
        <f t="shared" si="1"/>
        <v>1049.8066396073666</v>
      </c>
      <c r="AC29">
        <f t="shared" si="10"/>
        <v>1091.8718372232418</v>
      </c>
      <c r="AD29" s="5">
        <v>0.2</v>
      </c>
      <c r="AE29">
        <f t="shared" si="2"/>
        <v>218.37436744464836</v>
      </c>
      <c r="AF29">
        <f t="shared" si="3"/>
        <v>1</v>
      </c>
    </row>
    <row r="30" spans="1:32" ht="13.95" x14ac:dyDescent="0.25">
      <c r="A30" s="2">
        <v>29</v>
      </c>
      <c r="B30">
        <f t="shared" si="4"/>
        <v>8.6271063863798272</v>
      </c>
      <c r="C30" s="5">
        <v>0.08</v>
      </c>
      <c r="D30">
        <f t="shared" si="5"/>
        <v>60.907371087841568</v>
      </c>
      <c r="Q30">
        <f t="shared" si="9"/>
        <v>60.907371087841653</v>
      </c>
      <c r="R30">
        <f t="shared" si="6"/>
        <v>66.541118692327984</v>
      </c>
      <c r="S30">
        <f t="shared" si="7"/>
        <v>340.13735123278678</v>
      </c>
      <c r="T30" s="5">
        <v>0.08</v>
      </c>
      <c r="V30">
        <f>SUM($R$2:R30)</f>
        <v>1327.8865254135494</v>
      </c>
      <c r="W30">
        <f t="shared" si="8"/>
        <v>2.7999125488414571</v>
      </c>
      <c r="Z30">
        <f t="shared" si="11"/>
        <v>1.3943190839850486</v>
      </c>
      <c r="AA30" s="5">
        <v>0.3</v>
      </c>
      <c r="AB30">
        <f t="shared" si="1"/>
        <v>1133.7911707759561</v>
      </c>
      <c r="AC30">
        <f t="shared" si="10"/>
        <v>1157.3841474566364</v>
      </c>
      <c r="AD30" s="5">
        <v>0.2</v>
      </c>
      <c r="AE30">
        <f t="shared" si="2"/>
        <v>231.47682949132729</v>
      </c>
      <c r="AF30">
        <f t="shared" si="3"/>
        <v>1</v>
      </c>
    </row>
    <row r="31" spans="1:32" x14ac:dyDescent="0.25">
      <c r="A31" s="2">
        <v>30</v>
      </c>
      <c r="B31">
        <f t="shared" si="4"/>
        <v>9.3172748972902131</v>
      </c>
      <c r="C31" s="5">
        <v>0.08</v>
      </c>
      <c r="D31">
        <f t="shared" si="5"/>
        <v>65.779960774868897</v>
      </c>
      <c r="Q31">
        <f t="shared" si="9"/>
        <v>65.779960774868982</v>
      </c>
      <c r="R31">
        <f t="shared" si="6"/>
        <v>67.796611497843614</v>
      </c>
      <c r="S31">
        <f t="shared" si="7"/>
        <v>367.34833933140976</v>
      </c>
      <c r="T31" s="5">
        <v>0.08</v>
      </c>
      <c r="V31">
        <f>SUM($R$2:R31)</f>
        <v>1395.6831369113929</v>
      </c>
      <c r="W31">
        <f t="shared" si="8"/>
        <v>2.9428649620701575</v>
      </c>
      <c r="Z31">
        <f t="shared" si="11"/>
        <v>1.2910361888750448</v>
      </c>
      <c r="AA31" s="5">
        <v>0.3</v>
      </c>
      <c r="AB31">
        <f t="shared" si="1"/>
        <v>1224.4944644380325</v>
      </c>
      <c r="AC31">
        <f t="shared" si="10"/>
        <v>1226.8271963040345</v>
      </c>
      <c r="AD31" s="5">
        <v>0.2</v>
      </c>
      <c r="AE31">
        <f t="shared" si="2"/>
        <v>245.36543926080691</v>
      </c>
      <c r="AF31">
        <f t="shared" si="3"/>
        <v>1</v>
      </c>
    </row>
    <row r="32" spans="1:32" x14ac:dyDescent="0.25">
      <c r="A32" s="2">
        <v>31</v>
      </c>
      <c r="B32">
        <f t="shared" si="4"/>
        <v>10.06265688907343</v>
      </c>
      <c r="C32" s="5">
        <v>0.08</v>
      </c>
      <c r="D32">
        <f t="shared" si="5"/>
        <v>71.042357636858412</v>
      </c>
      <c r="Q32">
        <f t="shared" si="9"/>
        <v>71.042357636858512</v>
      </c>
      <c r="R32">
        <f t="shared" si="6"/>
        <v>69.075792846859528</v>
      </c>
      <c r="S32">
        <f t="shared" si="7"/>
        <v>396.73620647792256</v>
      </c>
      <c r="T32" s="5">
        <v>0.08</v>
      </c>
      <c r="V32">
        <f>SUM($R$2:R32)</f>
        <v>1464.7589297582524</v>
      </c>
      <c r="W32">
        <f t="shared" si="8"/>
        <v>3.088514590642796</v>
      </c>
      <c r="Z32">
        <f t="shared" si="11"/>
        <v>1.1954038785880043</v>
      </c>
      <c r="AA32" s="5">
        <v>0.3</v>
      </c>
      <c r="AB32">
        <f t="shared" si="1"/>
        <v>1322.4540215930754</v>
      </c>
      <c r="AC32">
        <f t="shared" si="10"/>
        <v>1300.4368280822766</v>
      </c>
      <c r="AD32" s="5">
        <v>0.2</v>
      </c>
      <c r="AE32">
        <f t="shared" si="2"/>
        <v>260.08736561645532</v>
      </c>
      <c r="AF32">
        <f t="shared" si="3"/>
        <v>1</v>
      </c>
    </row>
    <row r="33" spans="1:32" x14ac:dyDescent="0.25">
      <c r="A33" s="2">
        <v>32</v>
      </c>
      <c r="B33">
        <f t="shared" si="4"/>
        <v>10.867669440199306</v>
      </c>
      <c r="C33" s="5">
        <v>0.08</v>
      </c>
      <c r="D33">
        <f t="shared" si="5"/>
        <v>76.725746247807081</v>
      </c>
      <c r="Q33">
        <f t="shared" si="9"/>
        <v>76.725746247807209</v>
      </c>
      <c r="R33">
        <f t="shared" si="6"/>
        <v>70.379109693026678</v>
      </c>
      <c r="S33">
        <f t="shared" si="7"/>
        <v>428.47510299615641</v>
      </c>
      <c r="T33" s="5">
        <v>0.08</v>
      </c>
      <c r="V33">
        <f>SUM($R$2:R33)</f>
        <v>1535.1380394512792</v>
      </c>
      <c r="W33">
        <f t="shared" si="8"/>
        <v>3.2369123254149184</v>
      </c>
      <c r="Z33">
        <f t="shared" si="11"/>
        <v>1.106855443137041</v>
      </c>
      <c r="AA33" s="5">
        <v>0.3</v>
      </c>
      <c r="AB33">
        <f t="shared" si="1"/>
        <v>1428.2503433205213</v>
      </c>
      <c r="AC33">
        <f t="shared" si="10"/>
        <v>1378.4630377672133</v>
      </c>
      <c r="AD33" s="5">
        <v>0.2</v>
      </c>
      <c r="AE33">
        <f t="shared" si="2"/>
        <v>275.69260755344266</v>
      </c>
      <c r="AF33">
        <f t="shared" si="3"/>
        <v>1</v>
      </c>
    </row>
    <row r="34" spans="1:32" x14ac:dyDescent="0.25">
      <c r="A34" s="2">
        <v>33</v>
      </c>
      <c r="B34">
        <f t="shared" si="4"/>
        <v>11.73708299541525</v>
      </c>
      <c r="C34" s="5">
        <v>0.08</v>
      </c>
      <c r="D34">
        <f t="shared" si="5"/>
        <v>82.863805947631647</v>
      </c>
      <c r="Q34">
        <f t="shared" si="9"/>
        <v>82.863805947631789</v>
      </c>
      <c r="R34">
        <f t="shared" si="6"/>
        <v>71.707017423083812</v>
      </c>
      <c r="S34">
        <f t="shared" si="7"/>
        <v>462.75311123584896</v>
      </c>
      <c r="T34" s="5">
        <v>0.08</v>
      </c>
      <c r="V34">
        <f>SUM($R$2:R34)</f>
        <v>1606.8450568743629</v>
      </c>
      <c r="W34">
        <f t="shared" si="8"/>
        <v>3.3881100174468917</v>
      </c>
      <c r="Z34">
        <f t="shared" si="11"/>
        <v>1.0248661510528156</v>
      </c>
      <c r="AA34" s="5">
        <v>0.3</v>
      </c>
      <c r="AB34">
        <f t="shared" si="1"/>
        <v>1542.5103707861633</v>
      </c>
      <c r="AC34">
        <f t="shared" si="10"/>
        <v>1461.1708200332462</v>
      </c>
      <c r="AD34" s="5">
        <v>0.2</v>
      </c>
      <c r="AE34">
        <f t="shared" si="2"/>
        <v>292.23416400664922</v>
      </c>
      <c r="AF34">
        <f t="shared" si="3"/>
        <v>1</v>
      </c>
    </row>
    <row r="35" spans="1:32" x14ac:dyDescent="0.25">
      <c r="A35" s="2">
        <v>34</v>
      </c>
      <c r="B35">
        <f t="shared" si="4"/>
        <v>12.67604963504847</v>
      </c>
      <c r="C35" s="5">
        <v>0.08</v>
      </c>
      <c r="D35">
        <f t="shared" si="5"/>
        <v>89.492910423442183</v>
      </c>
      <c r="Q35">
        <f t="shared" si="9"/>
        <v>89.492910423442325</v>
      </c>
      <c r="R35">
        <f t="shared" si="6"/>
        <v>73.059980015972187</v>
      </c>
      <c r="S35">
        <f t="shared" si="7"/>
        <v>499.77336013471694</v>
      </c>
      <c r="T35" s="5">
        <v>0.08</v>
      </c>
      <c r="V35">
        <f>SUM($R$2:R35)</f>
        <v>1679.9050368903349</v>
      </c>
      <c r="W35">
        <f t="shared" si="8"/>
        <v>3.5421604961209781</v>
      </c>
      <c r="Z35">
        <f t="shared" si="11"/>
        <v>0.94895013986371812</v>
      </c>
      <c r="AA35" s="5">
        <v>0.3</v>
      </c>
      <c r="AB35">
        <f t="shared" si="1"/>
        <v>1665.9112004490564</v>
      </c>
      <c r="AC35">
        <f t="shared" si="10"/>
        <v>1548.8410692352411</v>
      </c>
      <c r="AD35" s="5">
        <v>0.2</v>
      </c>
      <c r="AE35">
        <f t="shared" si="2"/>
        <v>309.76821384704823</v>
      </c>
      <c r="AF35">
        <f t="shared" si="3"/>
        <v>1</v>
      </c>
    </row>
    <row r="36" spans="1:32" x14ac:dyDescent="0.25">
      <c r="A36" s="2">
        <v>35</v>
      </c>
      <c r="B36">
        <f t="shared" si="4"/>
        <v>13.690133605852347</v>
      </c>
      <c r="C36" s="5">
        <v>0.08</v>
      </c>
      <c r="D36">
        <f t="shared" si="5"/>
        <v>96.652343257317554</v>
      </c>
      <c r="Q36">
        <f t="shared" si="9"/>
        <v>96.65234325731771</v>
      </c>
      <c r="R36">
        <f t="shared" si="6"/>
        <v>74.438470204952793</v>
      </c>
      <c r="S36">
        <f t="shared" si="7"/>
        <v>539.75522894549431</v>
      </c>
      <c r="T36" s="5">
        <v>0.08</v>
      </c>
      <c r="V36">
        <f>SUM($R$2:R36)</f>
        <v>1754.3435070952878</v>
      </c>
      <c r="W36">
        <f t="shared" si="8"/>
        <v>3.6991175876002358</v>
      </c>
      <c r="Z36">
        <f t="shared" si="11"/>
        <v>0.87865753691085002</v>
      </c>
      <c r="AA36" s="5">
        <v>0.3</v>
      </c>
      <c r="AB36">
        <f t="shared" si="1"/>
        <v>1799.1840964849812</v>
      </c>
      <c r="AC36">
        <f t="shared" si="10"/>
        <v>1641.7715333893557</v>
      </c>
      <c r="AD36" s="5">
        <v>0.2</v>
      </c>
      <c r="AE36">
        <f t="shared" si="2"/>
        <v>328.35430667787114</v>
      </c>
      <c r="AF36">
        <f t="shared" si="3"/>
        <v>1</v>
      </c>
    </row>
    <row r="37" spans="1:32" x14ac:dyDescent="0.25">
      <c r="A37" s="2">
        <v>36</v>
      </c>
      <c r="B37">
        <f t="shared" si="4"/>
        <v>14.785344294320534</v>
      </c>
      <c r="C37" s="5">
        <v>0.08</v>
      </c>
      <c r="D37">
        <f t="shared" si="5"/>
        <v>104.38453071790296</v>
      </c>
      <c r="Q37">
        <f t="shared" si="9"/>
        <v>104.38453071790315</v>
      </c>
      <c r="R37">
        <f t="shared" si="6"/>
        <v>75.84296964278208</v>
      </c>
      <c r="S37">
        <f t="shared" si="7"/>
        <v>582.93564726113391</v>
      </c>
      <c r="T37" s="5">
        <v>0.08</v>
      </c>
      <c r="V37">
        <f>SUM($R$2:R37)</f>
        <v>1830.1864767380698</v>
      </c>
      <c r="W37">
        <f t="shared" si="8"/>
        <v>3.8590361336357057</v>
      </c>
      <c r="Z37">
        <f t="shared" si="11"/>
        <v>0.81357179343597219</v>
      </c>
      <c r="AA37" s="5">
        <v>0.3</v>
      </c>
      <c r="AB37">
        <f t="shared" si="1"/>
        <v>1943.1188242037797</v>
      </c>
      <c r="AC37">
        <f t="shared" si="10"/>
        <v>1740.2778253927172</v>
      </c>
      <c r="AD37" s="5">
        <v>0.2</v>
      </c>
      <c r="AE37">
        <f t="shared" si="2"/>
        <v>348.05556507854345</v>
      </c>
      <c r="AF37">
        <f t="shared" si="3"/>
        <v>1</v>
      </c>
    </row>
    <row r="38" spans="1:32" x14ac:dyDescent="0.25">
      <c r="A38" s="2">
        <v>37</v>
      </c>
      <c r="B38">
        <f t="shared" si="4"/>
        <v>15.968171837866176</v>
      </c>
      <c r="C38" s="5">
        <v>0.08</v>
      </c>
      <c r="D38">
        <f t="shared" si="5"/>
        <v>112.7352931753352</v>
      </c>
      <c r="Q38">
        <f t="shared" si="9"/>
        <v>112.73529317533541</v>
      </c>
      <c r="R38">
        <f t="shared" si="6"/>
        <v>77.273969070004384</v>
      </c>
      <c r="S38">
        <f t="shared" si="7"/>
        <v>629.57049904202461</v>
      </c>
      <c r="T38" s="5">
        <v>0.08</v>
      </c>
      <c r="V38">
        <f>SUM($R$2:R38)</f>
        <v>1907.4604458080742</v>
      </c>
      <c r="W38" s="13">
        <f t="shared" si="8"/>
        <v>4.0219720107284491</v>
      </c>
      <c r="Z38">
        <f t="shared" si="11"/>
        <v>0.75330721614441876</v>
      </c>
      <c r="AA38" s="5">
        <v>0.3</v>
      </c>
      <c r="AB38">
        <f t="shared" si="1"/>
        <v>2098.5683301400823</v>
      </c>
      <c r="AC38">
        <f t="shared" si="10"/>
        <v>1844.6944949162803</v>
      </c>
      <c r="AD38" s="5">
        <v>0.2</v>
      </c>
      <c r="AE38">
        <f t="shared" si="2"/>
        <v>368.93889898325608</v>
      </c>
      <c r="AF38">
        <f t="shared" si="3"/>
        <v>1</v>
      </c>
    </row>
    <row r="39" spans="1:32" x14ac:dyDescent="0.25">
      <c r="A39" s="2">
        <v>38</v>
      </c>
      <c r="B39">
        <f t="shared" si="4"/>
        <v>17.245625584895471</v>
      </c>
      <c r="C39" s="5">
        <v>0.08</v>
      </c>
      <c r="D39">
        <f t="shared" si="5"/>
        <v>121.75411662936202</v>
      </c>
      <c r="Q39">
        <f t="shared" si="9"/>
        <v>121.75411662936224</v>
      </c>
      <c r="R39">
        <f t="shared" si="6"/>
        <v>78.731968486419561</v>
      </c>
      <c r="S39">
        <f t="shared" si="7"/>
        <v>679.93613896538659</v>
      </c>
      <c r="T39" s="5">
        <v>0.08</v>
      </c>
      <c r="V39">
        <f>SUM($R$2:R39)</f>
        <v>1986.1924142944938</v>
      </c>
      <c r="W39">
        <f t="shared" si="8"/>
        <v>4.1879821496531306</v>
      </c>
      <c r="Z39">
        <f t="shared" si="11"/>
        <v>0.69750668161520246</v>
      </c>
      <c r="AA39" s="5">
        <v>0.3</v>
      </c>
      <c r="AB39">
        <f t="shared" si="1"/>
        <v>2266.4537965512886</v>
      </c>
      <c r="AC39">
        <f t="shared" si="10"/>
        <v>1955.3761646112573</v>
      </c>
      <c r="AD39" s="5">
        <v>0.2</v>
      </c>
      <c r="AE39">
        <f t="shared" si="2"/>
        <v>391.07523292225147</v>
      </c>
      <c r="AF39">
        <f t="shared" si="3"/>
        <v>1</v>
      </c>
    </row>
    <row r="40" spans="1:32" x14ac:dyDescent="0.25">
      <c r="A40" s="2">
        <v>39</v>
      </c>
      <c r="B40">
        <f t="shared" si="4"/>
        <v>18.62527563168711</v>
      </c>
      <c r="C40" s="5">
        <v>0.08</v>
      </c>
      <c r="D40">
        <f t="shared" si="5"/>
        <v>131.49444595971099</v>
      </c>
      <c r="Q40">
        <f t="shared" si="9"/>
        <v>131.49444595971124</v>
      </c>
      <c r="R40">
        <f t="shared" si="6"/>
        <v>80.21747732578595</v>
      </c>
      <c r="S40">
        <f t="shared" si="7"/>
        <v>734.33103008261753</v>
      </c>
      <c r="T40" s="5">
        <v>0.08</v>
      </c>
      <c r="V40">
        <f>SUM($R$2:R40)</f>
        <v>2066.4098916202797</v>
      </c>
      <c r="W40">
        <f t="shared" si="8"/>
        <v>4.3571245553499764</v>
      </c>
      <c r="Z40">
        <f t="shared" si="11"/>
        <v>0.64583952001407641</v>
      </c>
      <c r="AA40" s="5">
        <v>0.3</v>
      </c>
      <c r="AB40">
        <f t="shared" si="1"/>
        <v>2447.770100275392</v>
      </c>
      <c r="AC40">
        <f t="shared" si="10"/>
        <v>2072.6987344879331</v>
      </c>
      <c r="AD40" s="5">
        <v>0.2</v>
      </c>
      <c r="AE40">
        <f t="shared" si="2"/>
        <v>414.53974689758661</v>
      </c>
      <c r="AF40">
        <f t="shared" si="3"/>
        <v>1</v>
      </c>
    </row>
    <row r="41" spans="1:32" x14ac:dyDescent="0.25">
      <c r="A41" s="2">
        <v>40</v>
      </c>
      <c r="B41">
        <f t="shared" si="4"/>
        <v>20.115297682222078</v>
      </c>
      <c r="C41" s="5">
        <v>0.08</v>
      </c>
      <c r="D41">
        <f t="shared" si="5"/>
        <v>142.01400163648788</v>
      </c>
      <c r="Q41">
        <f t="shared" si="9"/>
        <v>142.01400163648813</v>
      </c>
      <c r="R41">
        <f t="shared" si="6"/>
        <v>81.73101463381964</v>
      </c>
      <c r="S41">
        <f t="shared" si="7"/>
        <v>793.07751248922693</v>
      </c>
      <c r="T41" s="5">
        <v>0.08</v>
      </c>
      <c r="V41">
        <f>SUM($R$2:R41)</f>
        <v>2148.1409062540993</v>
      </c>
      <c r="W41">
        <f t="shared" si="8"/>
        <v>4.529458327192045</v>
      </c>
      <c r="Z41">
        <f t="shared" si="11"/>
        <v>0.59799955556858919</v>
      </c>
      <c r="AA41" s="5">
        <v>0.3</v>
      </c>
      <c r="AB41">
        <f t="shared" si="1"/>
        <v>2643.5917082974233</v>
      </c>
      <c r="AC41">
        <f t="shared" si="10"/>
        <v>2197.0606585572091</v>
      </c>
      <c r="AD41" s="5">
        <v>0.2</v>
      </c>
      <c r="AE41">
        <f t="shared" si="2"/>
        <v>439.41213171144182</v>
      </c>
      <c r="AF41">
        <f t="shared" si="3"/>
        <v>1</v>
      </c>
    </row>
    <row r="42" spans="1:32" x14ac:dyDescent="0.25">
      <c r="A42" s="2">
        <v>41</v>
      </c>
      <c r="B42">
        <f t="shared" si="4"/>
        <v>21.724521496799845</v>
      </c>
      <c r="C42" s="5">
        <v>0.08</v>
      </c>
      <c r="D42">
        <f t="shared" si="5"/>
        <v>153.37512176740691</v>
      </c>
      <c r="Q42">
        <f t="shared" si="9"/>
        <v>153.37512176740719</v>
      </c>
      <c r="R42">
        <f t="shared" si="6"/>
        <v>83.273109249552107</v>
      </c>
      <c r="S42">
        <f t="shared" si="7"/>
        <v>856.52371348836516</v>
      </c>
      <c r="T42" s="5">
        <v>0.08</v>
      </c>
      <c r="V42" s="1">
        <f>SUM($R$2:R42)</f>
        <v>2231.4140155036512</v>
      </c>
      <c r="W42">
        <f t="shared" si="8"/>
        <v>4.7050436796349073</v>
      </c>
      <c r="Z42">
        <f t="shared" si="11"/>
        <v>0.55370329219313819</v>
      </c>
      <c r="AA42" s="5">
        <v>0.3</v>
      </c>
      <c r="AB42">
        <f t="shared" si="1"/>
        <v>2855.0790449612173</v>
      </c>
      <c r="AC42">
        <f t="shared" si="10"/>
        <v>2328.8842980706418</v>
      </c>
      <c r="AD42" s="5">
        <v>0.2</v>
      </c>
      <c r="AE42">
        <f t="shared" si="2"/>
        <v>465.7768596141284</v>
      </c>
      <c r="AF42">
        <f t="shared" si="3"/>
        <v>1</v>
      </c>
    </row>
    <row r="43" spans="1:32" x14ac:dyDescent="0.25">
      <c r="A43" s="2">
        <v>42</v>
      </c>
      <c r="B43">
        <f t="shared" si="4"/>
        <v>23.462483216543834</v>
      </c>
      <c r="C43" s="5">
        <v>0.08</v>
      </c>
      <c r="D43">
        <f t="shared" si="5"/>
        <v>165.64513150879947</v>
      </c>
      <c r="Q43">
        <f t="shared" si="9"/>
        <v>165.64513150879978</v>
      </c>
      <c r="R43">
        <f t="shared" si="6"/>
        <v>84.844299990109704</v>
      </c>
      <c r="S43">
        <f t="shared" si="7"/>
        <v>925.04561056743444</v>
      </c>
      <c r="T43" s="5">
        <v>0.08</v>
      </c>
      <c r="V43">
        <f>SUM($R$2:R43)</f>
        <v>2316.2583154937611</v>
      </c>
      <c r="W43">
        <f t="shared" si="8"/>
        <v>4.8839419632559382</v>
      </c>
      <c r="Z43">
        <f t="shared" si="11"/>
        <v>0.51268823351216486</v>
      </c>
      <c r="AA43" s="5">
        <v>0.3</v>
      </c>
      <c r="AB43">
        <f t="shared" si="1"/>
        <v>3083.4853685581147</v>
      </c>
      <c r="AC43">
        <f t="shared" si="10"/>
        <v>2468.6173559548802</v>
      </c>
      <c r="AD43" s="5">
        <v>0.2</v>
      </c>
      <c r="AE43">
        <f t="shared" si="2"/>
        <v>493.72347119097606</v>
      </c>
      <c r="AF43">
        <f t="shared" si="3"/>
        <v>1</v>
      </c>
    </row>
    <row r="44" spans="1:32" x14ac:dyDescent="0.25">
      <c r="A44" s="2">
        <v>43</v>
      </c>
      <c r="B44">
        <f t="shared" si="4"/>
        <v>25.339481873867342</v>
      </c>
      <c r="C44" s="5">
        <v>0.08</v>
      </c>
      <c r="D44">
        <f t="shared" si="5"/>
        <v>178.89674202950343</v>
      </c>
      <c r="Q44">
        <f t="shared" si="9"/>
        <v>178.89674202950374</v>
      </c>
      <c r="R44">
        <f t="shared" si="6"/>
        <v>86.445135838979681</v>
      </c>
      <c r="S44">
        <f t="shared" si="7"/>
        <v>999.0492594128292</v>
      </c>
      <c r="T44" s="5">
        <v>0.08</v>
      </c>
      <c r="V44">
        <f>SUM($R$2:R44)</f>
        <v>2402.7034513327408</v>
      </c>
      <c r="W44">
        <f t="shared" si="8"/>
        <v>5.0662156861905725</v>
      </c>
      <c r="Z44">
        <f t="shared" si="11"/>
        <v>0.47471132732607862</v>
      </c>
      <c r="AA44" s="5">
        <v>0.3</v>
      </c>
      <c r="AB44">
        <f t="shared" si="1"/>
        <v>3330.1641980427639</v>
      </c>
      <c r="AC44">
        <f t="shared" si="10"/>
        <v>2616.7343973121733</v>
      </c>
      <c r="AD44" s="5">
        <v>0.2</v>
      </c>
      <c r="AE44">
        <f t="shared" si="2"/>
        <v>523.34687946243469</v>
      </c>
      <c r="AF44">
        <f t="shared" si="3"/>
        <v>1</v>
      </c>
    </row>
    <row r="45" spans="1:32" x14ac:dyDescent="0.25">
      <c r="A45" s="2">
        <v>44</v>
      </c>
      <c r="B45">
        <f t="shared" si="4"/>
        <v>27.36664042377673</v>
      </c>
      <c r="C45" s="5">
        <v>0.08</v>
      </c>
      <c r="D45">
        <f t="shared" si="5"/>
        <v>193.2084813918637</v>
      </c>
      <c r="Q45">
        <f t="shared" si="9"/>
        <v>193.20848139186404</v>
      </c>
      <c r="R45">
        <f t="shared" si="6"/>
        <v>88.076176137828355</v>
      </c>
      <c r="S45">
        <f t="shared" si="7"/>
        <v>1078.9732001658556</v>
      </c>
      <c r="T45" s="5">
        <v>0.08</v>
      </c>
      <c r="V45">
        <f>SUM($R$2:R45)</f>
        <v>2490.7796274705693</v>
      </c>
      <c r="W45">
        <f t="shared" si="8"/>
        <v>5.2519285359730299</v>
      </c>
      <c r="Z45">
        <f t="shared" si="11"/>
        <v>0.43954752530192465</v>
      </c>
      <c r="AA45" s="5">
        <v>0.3</v>
      </c>
      <c r="AB45">
        <f t="shared" si="1"/>
        <v>3596.5773338861854</v>
      </c>
      <c r="AC45">
        <f t="shared" si="10"/>
        <v>2773.7384611509037</v>
      </c>
      <c r="AD45" s="5">
        <v>0.2</v>
      </c>
      <c r="AE45">
        <f t="shared" si="2"/>
        <v>554.74769223018075</v>
      </c>
      <c r="AF45">
        <f t="shared" si="3"/>
        <v>1</v>
      </c>
    </row>
    <row r="46" spans="1:32" x14ac:dyDescent="0.25">
      <c r="A46" s="2">
        <v>45</v>
      </c>
      <c r="B46">
        <f t="shared" si="4"/>
        <v>29.555971657678867</v>
      </c>
      <c r="C46" s="5">
        <v>0.08</v>
      </c>
      <c r="D46">
        <f t="shared" si="5"/>
        <v>208.66515990321278</v>
      </c>
      <c r="Q46">
        <f t="shared" si="9"/>
        <v>208.66515990321321</v>
      </c>
      <c r="R46">
        <f t="shared" si="6"/>
        <v>89.737990781938322</v>
      </c>
      <c r="S46">
        <f t="shared" si="7"/>
        <v>1165.2910561791241</v>
      </c>
      <c r="T46" s="5">
        <v>0.08</v>
      </c>
      <c r="V46">
        <f>SUM($R$2:R46)</f>
        <v>2580.5176182525074</v>
      </c>
      <c r="W46">
        <f t="shared" si="8"/>
        <v>5.441145401789119</v>
      </c>
      <c r="Z46">
        <f t="shared" si="11"/>
        <v>0.40698844935363387</v>
      </c>
      <c r="AA46" s="5">
        <v>0.3</v>
      </c>
      <c r="AB46">
        <f t="shared" si="1"/>
        <v>3884.3035205970805</v>
      </c>
      <c r="AC46">
        <f t="shared" si="10"/>
        <v>2940.1627688199583</v>
      </c>
      <c r="AD46" s="5">
        <v>0.2</v>
      </c>
      <c r="AE46">
        <f t="shared" si="2"/>
        <v>588.0325537639917</v>
      </c>
      <c r="AF46">
        <f t="shared" si="3"/>
        <v>1</v>
      </c>
    </row>
    <row r="47" spans="1:32" x14ac:dyDescent="0.25">
      <c r="A47" s="2">
        <v>46</v>
      </c>
      <c r="B47">
        <f t="shared" si="4"/>
        <v>31.920449390293179</v>
      </c>
      <c r="C47" s="5">
        <v>0.08</v>
      </c>
      <c r="D47">
        <f t="shared" si="5"/>
        <v>225.3583726954698</v>
      </c>
      <c r="Q47">
        <f t="shared" si="9"/>
        <v>225.35837269547025</v>
      </c>
      <c r="R47">
        <f t="shared" si="6"/>
        <v>91.431160419333395</v>
      </c>
      <c r="S47">
        <f t="shared" si="7"/>
        <v>1258.5143406734542</v>
      </c>
      <c r="T47" s="5">
        <v>0.08</v>
      </c>
      <c r="V47">
        <f>SUM($R$2:R47)</f>
        <v>2671.948778671841</v>
      </c>
      <c r="W47">
        <f t="shared" si="8"/>
        <v>5.6339323971489081</v>
      </c>
      <c r="Z47">
        <f t="shared" si="11"/>
        <v>0.37684115680892022</v>
      </c>
      <c r="AA47" s="5">
        <v>0.3</v>
      </c>
      <c r="AB47">
        <f t="shared" si="1"/>
        <v>4195.0478022448478</v>
      </c>
      <c r="AC47">
        <f t="shared" si="10"/>
        <v>3116.5725349491559</v>
      </c>
      <c r="AD47" s="5">
        <v>0.2</v>
      </c>
      <c r="AE47">
        <f t="shared" si="2"/>
        <v>623.31450698983122</v>
      </c>
      <c r="AF47">
        <f t="shared" si="3"/>
        <v>1</v>
      </c>
    </row>
    <row r="48" spans="1:32" x14ac:dyDescent="0.25">
      <c r="A48" s="2">
        <v>47</v>
      </c>
      <c r="B48">
        <f t="shared" si="4"/>
        <v>34.474085341516634</v>
      </c>
      <c r="C48" s="5">
        <v>0.08</v>
      </c>
      <c r="D48">
        <f t="shared" si="5"/>
        <v>243.38704251110738</v>
      </c>
      <c r="Q48">
        <f t="shared" si="9"/>
        <v>243.38704251110792</v>
      </c>
      <c r="R48">
        <f t="shared" si="6"/>
        <v>93.156276653660441</v>
      </c>
      <c r="S48">
        <f t="shared" si="7"/>
        <v>1359.1954879273305</v>
      </c>
      <c r="T48" s="5">
        <v>0.08</v>
      </c>
      <c r="V48">
        <f>SUM($R$2:R48)</f>
        <v>2765.1050553255013</v>
      </c>
      <c r="W48">
        <f t="shared" si="8"/>
        <v>5.830356882987183</v>
      </c>
      <c r="Z48">
        <f t="shared" si="11"/>
        <v>0.34892699704529651</v>
      </c>
      <c r="AA48" s="5">
        <v>0.3</v>
      </c>
      <c r="AB48">
        <f t="shared" si="1"/>
        <v>4530.6516264244356</v>
      </c>
      <c r="AC48">
        <f t="shared" si="10"/>
        <v>3303.5668870461054</v>
      </c>
      <c r="AD48" s="5">
        <v>0.2</v>
      </c>
      <c r="AE48">
        <f t="shared" si="2"/>
        <v>660.71337740922115</v>
      </c>
      <c r="AF48">
        <f t="shared" si="3"/>
        <v>1</v>
      </c>
    </row>
    <row r="49" spans="1:32" x14ac:dyDescent="0.25">
      <c r="A49" s="2">
        <v>48</v>
      </c>
      <c r="B49">
        <f t="shared" si="4"/>
        <v>37.232012168837969</v>
      </c>
      <c r="C49" s="5">
        <v>0.08</v>
      </c>
      <c r="D49">
        <f t="shared" si="5"/>
        <v>262.85800591199597</v>
      </c>
      <c r="Q49">
        <f t="shared" si="9"/>
        <v>262.8580059119966</v>
      </c>
      <c r="R49">
        <f t="shared" si="6"/>
        <v>94.913942250899282</v>
      </c>
      <c r="S49">
        <f t="shared" si="7"/>
        <v>1467.9311269615171</v>
      </c>
      <c r="T49" s="5">
        <v>0.08</v>
      </c>
      <c r="V49" s="1">
        <f>SUM($R$2:R49)</f>
        <v>2860.0189975764006</v>
      </c>
      <c r="W49">
        <f t="shared" si="8"/>
        <v>6.0304874911997652</v>
      </c>
      <c r="Z49">
        <f t="shared" si="11"/>
        <v>0.32308055281971898</v>
      </c>
      <c r="AA49" s="5">
        <v>0.3</v>
      </c>
      <c r="AB49">
        <f t="shared" si="1"/>
        <v>4893.1037565383904</v>
      </c>
      <c r="AC49">
        <f t="shared" si="10"/>
        <v>3501.7809002688718</v>
      </c>
      <c r="AD49" s="5">
        <v>0.2</v>
      </c>
      <c r="AE49">
        <f t="shared" si="2"/>
        <v>700.35618005377444</v>
      </c>
      <c r="AF49">
        <f t="shared" si="3"/>
        <v>1</v>
      </c>
    </row>
    <row r="50" spans="1:32" x14ac:dyDescent="0.25">
      <c r="A50" s="2">
        <v>49</v>
      </c>
      <c r="B50">
        <f t="shared" si="4"/>
        <v>40.210573142345005</v>
      </c>
      <c r="C50" s="5">
        <v>0.08</v>
      </c>
      <c r="D50">
        <f t="shared" si="5"/>
        <v>283.88664638495567</v>
      </c>
      <c r="Q50">
        <f t="shared" si="9"/>
        <v>283.88664638495629</v>
      </c>
      <c r="R50">
        <f t="shared" si="6"/>
        <v>96.704771349972873</v>
      </c>
      <c r="S50">
        <f t="shared" si="7"/>
        <v>1585.3656171184384</v>
      </c>
      <c r="T50" s="5">
        <v>0.08</v>
      </c>
      <c r="V50">
        <f>SUM($R$2:R50)</f>
        <v>2956.7237689263734</v>
      </c>
      <c r="W50">
        <f t="shared" si="8"/>
        <v>6.2343941486239052</v>
      </c>
      <c r="Z50">
        <f t="shared" si="11"/>
        <v>0.29914866001825829</v>
      </c>
      <c r="AA50" s="5">
        <v>0.3</v>
      </c>
      <c r="AB50">
        <f t="shared" si="1"/>
        <v>5284.5520570614617</v>
      </c>
      <c r="AC50">
        <f t="shared" si="10"/>
        <v>3711.8877542850041</v>
      </c>
      <c r="AD50" s="5">
        <v>0.2</v>
      </c>
      <c r="AE50">
        <f t="shared" si="2"/>
        <v>742.37755085700087</v>
      </c>
      <c r="AF50">
        <f t="shared" si="3"/>
        <v>1</v>
      </c>
    </row>
    <row r="51" spans="1:32" x14ac:dyDescent="0.25">
      <c r="A51" s="2">
        <v>50</v>
      </c>
      <c r="B51">
        <f t="shared" si="4"/>
        <v>43.427418993732608</v>
      </c>
      <c r="C51" s="5">
        <v>0.08</v>
      </c>
      <c r="D51">
        <f t="shared" si="5"/>
        <v>306.59757809575211</v>
      </c>
      <c r="Q51">
        <f t="shared" si="9"/>
        <v>306.59757809575279</v>
      </c>
      <c r="R51">
        <f t="shared" si="6"/>
        <v>98.529389677330869</v>
      </c>
      <c r="S51">
        <f t="shared" si="7"/>
        <v>1712.1948664879137</v>
      </c>
      <c r="T51" s="5">
        <v>0.08</v>
      </c>
      <c r="V51">
        <f>SUM($R$2:R51)</f>
        <v>3055.2531586037044</v>
      </c>
      <c r="W51">
        <f t="shared" si="8"/>
        <v>6.442148101471143</v>
      </c>
      <c r="Z51">
        <f t="shared" si="11"/>
        <v>0.27698950001690581</v>
      </c>
      <c r="AA51" s="5">
        <v>0.3</v>
      </c>
      <c r="AB51">
        <f t="shared" si="1"/>
        <v>5707.316221626379</v>
      </c>
      <c r="AC51">
        <f t="shared" si="10"/>
        <v>3934.6010195421045</v>
      </c>
      <c r="AD51" s="5">
        <v>0.2</v>
      </c>
      <c r="AE51">
        <f t="shared" si="2"/>
        <v>786.92020390842094</v>
      </c>
      <c r="AF51">
        <f t="shared" si="3"/>
        <v>1</v>
      </c>
    </row>
    <row r="52" spans="1:32" x14ac:dyDescent="0.25">
      <c r="A52" s="2">
        <v>51</v>
      </c>
      <c r="B52">
        <f t="shared" ref="B52:B101" si="12">B51+B51*C51</f>
        <v>46.901612513231214</v>
      </c>
      <c r="C52" s="5">
        <v>0.08</v>
      </c>
      <c r="D52">
        <f t="shared" ref="D52:D101" si="13">D51+D51*C51</f>
        <v>331.12538434341229</v>
      </c>
      <c r="Q52">
        <f t="shared" ref="Q52:Q101" si="14">$D$2*((1+$C$2)^A51)</f>
        <v>331.12538434341303</v>
      </c>
      <c r="R52">
        <f t="shared" si="6"/>
        <v>100.3884347655824</v>
      </c>
      <c r="S52">
        <f t="shared" si="7"/>
        <v>1849.1704558069468</v>
      </c>
      <c r="T52" s="5">
        <v>0.08</v>
      </c>
      <c r="V52">
        <f>SUM($R$2:R52)</f>
        <v>3155.641593369287</v>
      </c>
      <c r="W52">
        <f t="shared" si="8"/>
        <v>6.6538219402211594</v>
      </c>
      <c r="Z52">
        <f t="shared" si="11"/>
        <v>0.25647175927491278</v>
      </c>
      <c r="AA52" s="5">
        <v>0.3</v>
      </c>
      <c r="AB52">
        <f t="shared" si="1"/>
        <v>6163.9015193564901</v>
      </c>
      <c r="AC52">
        <f t="shared" si="10"/>
        <v>4170.6770807146313</v>
      </c>
      <c r="AD52" s="5">
        <v>0.2</v>
      </c>
      <c r="AE52">
        <f t="shared" si="2"/>
        <v>834.13541614292626</v>
      </c>
      <c r="AF52">
        <f t="shared" si="3"/>
        <v>1</v>
      </c>
    </row>
    <row r="53" spans="1:32" x14ac:dyDescent="0.25">
      <c r="A53" s="2">
        <v>52</v>
      </c>
      <c r="B53">
        <f t="shared" si="12"/>
        <v>50.653741514289713</v>
      </c>
      <c r="C53" s="5">
        <v>0.08</v>
      </c>
      <c r="D53">
        <f t="shared" si="13"/>
        <v>357.61541509088528</v>
      </c>
      <c r="Q53">
        <f t="shared" si="14"/>
        <v>357.61541509088613</v>
      </c>
      <c r="R53">
        <f t="shared" si="6"/>
        <v>102.28255617625375</v>
      </c>
      <c r="S53">
        <f t="shared" si="7"/>
        <v>1997.1040922715026</v>
      </c>
      <c r="T53" s="5">
        <v>0.08</v>
      </c>
      <c r="V53">
        <f>SUM($R$2:R53)</f>
        <v>3257.9241495455408</v>
      </c>
      <c r="W53">
        <f t="shared" si="8"/>
        <v>6.8694896249853263</v>
      </c>
      <c r="Z53">
        <f t="shared" si="11"/>
        <v>0.23747385118047479</v>
      </c>
      <c r="AA53" s="5">
        <v>0.3</v>
      </c>
      <c r="AB53">
        <f t="shared" si="1"/>
        <v>6657.0136409050092</v>
      </c>
      <c r="AC53">
        <f t="shared" si="10"/>
        <v>4420.9177055575092</v>
      </c>
      <c r="AD53" s="5">
        <v>0.2</v>
      </c>
      <c r="AE53">
        <f t="shared" si="2"/>
        <v>884.18354111150188</v>
      </c>
      <c r="AF53">
        <f t="shared" si="3"/>
        <v>1</v>
      </c>
    </row>
    <row r="54" spans="1:32" x14ac:dyDescent="0.25">
      <c r="A54" s="2">
        <v>53</v>
      </c>
      <c r="B54">
        <f t="shared" si="12"/>
        <v>54.706040835432887</v>
      </c>
      <c r="C54" s="5">
        <v>0.08</v>
      </c>
      <c r="D54">
        <f t="shared" si="13"/>
        <v>386.22464829815613</v>
      </c>
      <c r="Q54">
        <f t="shared" si="14"/>
        <v>386.22464829815704</v>
      </c>
      <c r="R54">
        <f t="shared" si="6"/>
        <v>104.21241572674911</v>
      </c>
      <c r="S54">
        <f t="shared" si="7"/>
        <v>2156.872419653223</v>
      </c>
      <c r="T54" s="5">
        <v>0.08</v>
      </c>
      <c r="V54">
        <f>SUM($R$2:R54)</f>
        <v>3362.1365652722898</v>
      </c>
      <c r="W54">
        <f t="shared" si="8"/>
        <v>7.0892265113488167</v>
      </c>
      <c r="Z54">
        <f t="shared" si="11"/>
        <v>0.21988319553747662</v>
      </c>
      <c r="AA54" s="5">
        <v>0.3</v>
      </c>
      <c r="AB54">
        <f t="shared" si="1"/>
        <v>7189.5747321774106</v>
      </c>
      <c r="AC54">
        <f t="shared" si="10"/>
        <v>4686.1727678909601</v>
      </c>
      <c r="AD54" s="5">
        <v>0.2</v>
      </c>
      <c r="AE54">
        <f t="shared" si="2"/>
        <v>937.23455357819205</v>
      </c>
      <c r="AF54">
        <f t="shared" si="3"/>
        <v>1</v>
      </c>
    </row>
    <row r="55" spans="1:32" x14ac:dyDescent="0.25">
      <c r="A55" s="2">
        <v>54</v>
      </c>
      <c r="B55">
        <f t="shared" si="12"/>
        <v>59.08252410226752</v>
      </c>
      <c r="C55" s="5">
        <v>0.08</v>
      </c>
      <c r="D55">
        <f t="shared" si="13"/>
        <v>417.12262016200862</v>
      </c>
      <c r="Q55">
        <f t="shared" si="14"/>
        <v>417.12262016200958</v>
      </c>
      <c r="R55">
        <f t="shared" si="6"/>
        <v>106.17868772159341</v>
      </c>
      <c r="S55">
        <f t="shared" si="7"/>
        <v>2329.4222132254808</v>
      </c>
      <c r="T55" s="5">
        <v>0.08</v>
      </c>
      <c r="V55">
        <f>SUM($R$2:R55)</f>
        <v>3468.3152529938834</v>
      </c>
      <c r="W55">
        <f t="shared" si="8"/>
        <v>7.3131093767002984</v>
      </c>
      <c r="Z55">
        <f t="shared" si="11"/>
        <v>0.20359555142358948</v>
      </c>
      <c r="AA55" s="5">
        <v>0.3</v>
      </c>
      <c r="AB55">
        <f t="shared" si="1"/>
        <v>7764.7407107516028</v>
      </c>
      <c r="AC55">
        <f t="shared" si="10"/>
        <v>4967.3431339644176</v>
      </c>
      <c r="AD55" s="5">
        <v>0.2</v>
      </c>
      <c r="AE55">
        <f t="shared" si="2"/>
        <v>993.46862679288358</v>
      </c>
      <c r="AF55">
        <f t="shared" si="3"/>
        <v>1</v>
      </c>
    </row>
    <row r="56" spans="1:32" x14ac:dyDescent="0.25">
      <c r="A56" s="2">
        <v>55</v>
      </c>
      <c r="B56">
        <f t="shared" si="12"/>
        <v>63.809126030448923</v>
      </c>
      <c r="C56" s="5">
        <v>0.08</v>
      </c>
      <c r="D56">
        <f t="shared" si="13"/>
        <v>450.49242977496931</v>
      </c>
      <c r="Q56">
        <f t="shared" si="14"/>
        <v>450.49242977497045</v>
      </c>
      <c r="R56">
        <f t="shared" si="6"/>
        <v>108.18205918803858</v>
      </c>
      <c r="S56">
        <f t="shared" si="7"/>
        <v>2515.7759902835196</v>
      </c>
      <c r="T56" s="5">
        <v>0.08</v>
      </c>
      <c r="V56">
        <f>SUM($R$2:R56)</f>
        <v>3576.4973121819221</v>
      </c>
      <c r="W56">
        <f t="shared" si="8"/>
        <v>7.5412164470584111</v>
      </c>
      <c r="Z56">
        <f t="shared" si="11"/>
        <v>0.18851439946628654</v>
      </c>
      <c r="AA56" s="5">
        <v>0.3</v>
      </c>
      <c r="AB56">
        <f t="shared" si="1"/>
        <v>8385.9199676117332</v>
      </c>
      <c r="AC56">
        <f t="shared" si="10"/>
        <v>5265.3837220022833</v>
      </c>
      <c r="AD56" s="5">
        <v>0.2</v>
      </c>
      <c r="AE56">
        <f t="shared" si="2"/>
        <v>1053.0767444004566</v>
      </c>
      <c r="AF56">
        <f t="shared" si="3"/>
        <v>1</v>
      </c>
    </row>
    <row r="57" spans="1:32" x14ac:dyDescent="0.25">
      <c r="A57" s="2">
        <v>56</v>
      </c>
      <c r="B57">
        <f t="shared" si="12"/>
        <v>68.913856112884844</v>
      </c>
      <c r="C57" s="5">
        <v>0.08</v>
      </c>
      <c r="D57">
        <f t="shared" si="13"/>
        <v>486.53182415696688</v>
      </c>
      <c r="Q57">
        <f t="shared" si="14"/>
        <v>486.53182415696807</v>
      </c>
      <c r="R57">
        <f t="shared" si="6"/>
        <v>110.22323011611476</v>
      </c>
      <c r="S57">
        <f t="shared" si="7"/>
        <v>2717.0380695062013</v>
      </c>
      <c r="T57" s="5">
        <v>0.08</v>
      </c>
      <c r="V57">
        <f>SUM($R$2:R57)</f>
        <v>3686.7205422980369</v>
      </c>
      <c r="W57">
        <f t="shared" si="8"/>
        <v>7.7736274244044132</v>
      </c>
      <c r="Z57">
        <f t="shared" si="11"/>
        <v>0.17455036987619121</v>
      </c>
      <c r="AA57" s="5">
        <v>0.3</v>
      </c>
      <c r="AB57">
        <f t="shared" si="1"/>
        <v>9056.7935650206709</v>
      </c>
      <c r="AC57">
        <f t="shared" si="10"/>
        <v>5581.3067453224203</v>
      </c>
      <c r="AD57" s="5">
        <v>0.2</v>
      </c>
      <c r="AE57">
        <f t="shared" si="2"/>
        <v>1116.2613490644842</v>
      </c>
      <c r="AF57">
        <f t="shared" si="3"/>
        <v>1</v>
      </c>
    </row>
    <row r="58" spans="1:32" x14ac:dyDescent="0.25">
      <c r="A58" s="2">
        <v>57</v>
      </c>
      <c r="B58">
        <f t="shared" si="12"/>
        <v>74.426964601915628</v>
      </c>
      <c r="C58" s="5">
        <v>0.08</v>
      </c>
      <c r="D58">
        <f t="shared" si="13"/>
        <v>525.45437008952422</v>
      </c>
      <c r="Q58">
        <f t="shared" si="14"/>
        <v>525.45437008952547</v>
      </c>
      <c r="R58">
        <f t="shared" si="6"/>
        <v>112.3029137032113</v>
      </c>
      <c r="S58">
        <f t="shared" si="7"/>
        <v>2934.4011150666975</v>
      </c>
      <c r="T58" s="5">
        <v>0.08</v>
      </c>
      <c r="V58">
        <f>SUM($R$2:R58)</f>
        <v>3799.0234560012482</v>
      </c>
      <c r="W58">
        <f t="shared" si="8"/>
        <v>8.0104235145305278</v>
      </c>
      <c r="Z58">
        <f t="shared" si="11"/>
        <v>0.16162071284832522</v>
      </c>
      <c r="AA58" s="5">
        <v>0.3</v>
      </c>
      <c r="AB58">
        <f t="shared" si="1"/>
        <v>9781.3370502223261</v>
      </c>
      <c r="AC58">
        <f t="shared" si="10"/>
        <v>5916.1851500417661</v>
      </c>
      <c r="AD58" s="5">
        <v>0.2</v>
      </c>
      <c r="AE58">
        <f t="shared" si="2"/>
        <v>1183.2370300083533</v>
      </c>
      <c r="AF58">
        <f t="shared" si="3"/>
        <v>1</v>
      </c>
    </row>
    <row r="59" spans="1:32" x14ac:dyDescent="0.25">
      <c r="A59" s="2">
        <v>58</v>
      </c>
      <c r="B59">
        <f t="shared" si="12"/>
        <v>80.381121770068873</v>
      </c>
      <c r="C59" s="5">
        <v>0.08</v>
      </c>
      <c r="D59">
        <f t="shared" si="13"/>
        <v>567.49071969668614</v>
      </c>
      <c r="Q59">
        <f t="shared" si="14"/>
        <v>567.49071969668762</v>
      </c>
      <c r="R59">
        <f t="shared" si="6"/>
        <v>114.42183660327188</v>
      </c>
      <c r="S59">
        <f t="shared" si="7"/>
        <v>3169.1532042720332</v>
      </c>
      <c r="T59" s="5">
        <v>0.08</v>
      </c>
      <c r="V59">
        <f>SUM($R$2:R59)</f>
        <v>3913.4452926045201</v>
      </c>
      <c r="W59">
        <f t="shared" si="8"/>
        <v>8.2516874554137392</v>
      </c>
      <c r="Z59">
        <f t="shared" si="11"/>
        <v>0.1496488081928937</v>
      </c>
      <c r="AA59" s="5">
        <v>0.3</v>
      </c>
      <c r="AB59">
        <f t="shared" si="1"/>
        <v>10563.84401424011</v>
      </c>
      <c r="AC59">
        <f t="shared" si="10"/>
        <v>6271.1562590442727</v>
      </c>
      <c r="AD59" s="5">
        <v>0.2</v>
      </c>
      <c r="AE59">
        <f t="shared" si="2"/>
        <v>1254.2312518088547</v>
      </c>
      <c r="AF59">
        <f t="shared" si="3"/>
        <v>1</v>
      </c>
    </row>
    <row r="60" spans="1:32" x14ac:dyDescent="0.25">
      <c r="A60" s="2">
        <v>59</v>
      </c>
      <c r="B60">
        <f t="shared" si="12"/>
        <v>86.811611511674386</v>
      </c>
      <c r="C60" s="5">
        <v>0.08</v>
      </c>
      <c r="D60">
        <f t="shared" si="13"/>
        <v>612.88997727242099</v>
      </c>
      <c r="Q60">
        <f t="shared" si="14"/>
        <v>612.88997727242258</v>
      </c>
      <c r="R60">
        <f t="shared" si="6"/>
        <v>116.58073918069212</v>
      </c>
      <c r="S60">
        <f t="shared" si="7"/>
        <v>3422.6854606137963</v>
      </c>
      <c r="T60" s="5">
        <v>0.08</v>
      </c>
      <c r="V60">
        <f>SUM($R$2:R60)</f>
        <v>4030.0260317852121</v>
      </c>
      <c r="W60">
        <f t="shared" si="8"/>
        <v>8.4975035461249355</v>
      </c>
      <c r="Z60">
        <f t="shared" si="11"/>
        <v>0.13856371128971637</v>
      </c>
      <c r="AA60" s="5">
        <v>0.3</v>
      </c>
      <c r="AB60">
        <f t="shared" si="1"/>
        <v>11408.951535379321</v>
      </c>
      <c r="AC60">
        <f t="shared" si="10"/>
        <v>6647.4256345869298</v>
      </c>
      <c r="AD60" s="5">
        <v>0.2</v>
      </c>
      <c r="AE60">
        <f t="shared" si="2"/>
        <v>1329.485126917386</v>
      </c>
      <c r="AF60">
        <f t="shared" si="3"/>
        <v>1</v>
      </c>
    </row>
    <row r="61" spans="1:32" x14ac:dyDescent="0.25">
      <c r="A61" s="2">
        <v>60</v>
      </c>
      <c r="B61">
        <f t="shared" si="12"/>
        <v>93.756540432608332</v>
      </c>
      <c r="C61" s="5">
        <v>0.08</v>
      </c>
      <c r="D61">
        <f t="shared" si="13"/>
        <v>661.92117545421468</v>
      </c>
      <c r="Q61">
        <f t="shared" si="14"/>
        <v>661.92117545421638</v>
      </c>
      <c r="R61">
        <f t="shared" si="6"/>
        <v>118.78037576900705</v>
      </c>
      <c r="S61">
        <f t="shared" si="7"/>
        <v>3696.5002974629001</v>
      </c>
      <c r="T61" s="5">
        <v>0.08</v>
      </c>
      <c r="V61">
        <f>SUM($R$2:R61)</f>
        <v>4148.8064075542188</v>
      </c>
      <c r="W61">
        <f t="shared" si="8"/>
        <v>8.7479576762835123</v>
      </c>
      <c r="Z61">
        <f t="shared" si="11"/>
        <v>0.1282997326756633</v>
      </c>
      <c r="AA61" s="5">
        <v>0.3</v>
      </c>
      <c r="AB61">
        <f t="shared" si="1"/>
        <v>12321.667658209668</v>
      </c>
      <c r="AC61">
        <f t="shared" si="10"/>
        <v>7046.2711726621455</v>
      </c>
      <c r="AD61" s="5">
        <v>0.2</v>
      </c>
      <c r="AE61">
        <f t="shared" si="2"/>
        <v>1409.2542345324291</v>
      </c>
      <c r="AF61">
        <f t="shared" si="3"/>
        <v>1</v>
      </c>
    </row>
    <row r="62" spans="1:32" x14ac:dyDescent="0.25">
      <c r="A62" s="2">
        <v>61</v>
      </c>
      <c r="B62">
        <f t="shared" si="12"/>
        <v>101.257063667217</v>
      </c>
      <c r="C62" s="5">
        <v>0.08</v>
      </c>
      <c r="D62">
        <f t="shared" si="13"/>
        <v>714.87486949055187</v>
      </c>
      <c r="Q62">
        <f t="shared" si="14"/>
        <v>714.87486949055381</v>
      </c>
      <c r="R62">
        <f t="shared" si="6"/>
        <v>121.02151493446003</v>
      </c>
      <c r="S62">
        <f t="shared" si="7"/>
        <v>3992.2203212599325</v>
      </c>
      <c r="T62" s="5">
        <v>0.08</v>
      </c>
      <c r="V62">
        <f>SUM($R$2:R62)</f>
        <v>4269.8279224886792</v>
      </c>
      <c r="W62">
        <f t="shared" si="8"/>
        <v>9.0031373560677252</v>
      </c>
      <c r="Z62">
        <f t="shared" si="11"/>
        <v>0.11879604877376232</v>
      </c>
      <c r="AA62" s="5">
        <v>0.3</v>
      </c>
      <c r="AB62">
        <f t="shared" si="1"/>
        <v>13307.401070866443</v>
      </c>
      <c r="AC62">
        <f t="shared" si="10"/>
        <v>7469.0474430218746</v>
      </c>
      <c r="AD62" s="5">
        <v>0.2</v>
      </c>
      <c r="AE62">
        <f t="shared" si="2"/>
        <v>1493.809488604375</v>
      </c>
      <c r="AF62">
        <f t="shared" si="3"/>
        <v>1</v>
      </c>
    </row>
    <row r="63" spans="1:32" x14ac:dyDescent="0.25">
      <c r="A63" s="2">
        <v>62</v>
      </c>
      <c r="B63">
        <f t="shared" si="12"/>
        <v>109.35762876059435</v>
      </c>
      <c r="C63" s="5">
        <v>0.08</v>
      </c>
      <c r="D63">
        <f t="shared" si="13"/>
        <v>772.06485904979604</v>
      </c>
      <c r="Q63">
        <f t="shared" si="14"/>
        <v>772.06485904979809</v>
      </c>
      <c r="R63">
        <f t="shared" si="6"/>
        <v>123.30493974454416</v>
      </c>
      <c r="S63">
        <f t="shared" si="7"/>
        <v>4311.5979469607273</v>
      </c>
      <c r="T63" s="5">
        <v>0.08</v>
      </c>
      <c r="V63">
        <f>SUM($R$2:R63)</f>
        <v>4393.132862233223</v>
      </c>
      <c r="W63">
        <f t="shared" si="8"/>
        <v>9.2631317467912595</v>
      </c>
      <c r="Z63">
        <f t="shared" si="11"/>
        <v>0.10999634145718733</v>
      </c>
      <c r="AA63" s="5">
        <v>0.3</v>
      </c>
      <c r="AB63">
        <f t="shared" si="1"/>
        <v>14371.993156535758</v>
      </c>
      <c r="AC63">
        <f t="shared" si="10"/>
        <v>7917.1902896031879</v>
      </c>
      <c r="AD63" s="5">
        <v>0.2</v>
      </c>
      <c r="AE63">
        <f t="shared" si="2"/>
        <v>1583.4380579206377</v>
      </c>
      <c r="AF63">
        <f t="shared" si="3"/>
        <v>1</v>
      </c>
    </row>
    <row r="64" spans="1:32" x14ac:dyDescent="0.25">
      <c r="A64" s="2">
        <v>63</v>
      </c>
      <c r="B64">
        <f t="shared" si="12"/>
        <v>118.1062390614419</v>
      </c>
      <c r="C64" s="5">
        <v>0.08</v>
      </c>
      <c r="D64">
        <f t="shared" si="13"/>
        <v>833.83004777377971</v>
      </c>
      <c r="Q64">
        <f t="shared" si="14"/>
        <v>833.8300477737821</v>
      </c>
      <c r="R64">
        <f t="shared" si="6"/>
        <v>125.63144804161102</v>
      </c>
      <c r="S64">
        <f t="shared" si="7"/>
        <v>4656.5257827175856</v>
      </c>
      <c r="T64" s="5">
        <v>0.08</v>
      </c>
      <c r="V64">
        <f>SUM($R$2:R64)</f>
        <v>4518.7643102748343</v>
      </c>
      <c r="W64">
        <f t="shared" si="8"/>
        <v>9.52803169205675</v>
      </c>
      <c r="Z64">
        <f t="shared" si="11"/>
        <v>0.10184846431221048</v>
      </c>
      <c r="AA64" s="5">
        <v>0.3</v>
      </c>
      <c r="AB64">
        <f t="shared" si="1"/>
        <v>15521.75260905862</v>
      </c>
      <c r="AC64">
        <f t="shared" si="10"/>
        <v>8392.2217069793787</v>
      </c>
      <c r="AD64" s="5">
        <v>0.2</v>
      </c>
      <c r="AE64">
        <f t="shared" si="2"/>
        <v>1678.4443413958759</v>
      </c>
      <c r="AF64">
        <f t="shared" si="3"/>
        <v>1</v>
      </c>
    </row>
    <row r="65" spans="1:32" x14ac:dyDescent="0.25">
      <c r="A65" s="2">
        <v>64</v>
      </c>
      <c r="B65">
        <f t="shared" si="12"/>
        <v>127.55473818635726</v>
      </c>
      <c r="C65" s="5">
        <v>0.08</v>
      </c>
      <c r="D65">
        <f t="shared" si="13"/>
        <v>900.53645159568214</v>
      </c>
      <c r="Q65">
        <f t="shared" si="14"/>
        <v>900.53645159568475</v>
      </c>
      <c r="R65">
        <f t="shared" si="6"/>
        <v>128.0018527216414</v>
      </c>
      <c r="S65">
        <f t="shared" si="7"/>
        <v>5029.0478453349924</v>
      </c>
      <c r="T65" s="5">
        <v>0.08</v>
      </c>
      <c r="V65">
        <f>SUM($R$2:R65)</f>
        <v>4646.7661629964759</v>
      </c>
      <c r="W65">
        <f t="shared" si="8"/>
        <v>9.7979297494970616</v>
      </c>
      <c r="Z65">
        <f t="shared" si="11"/>
        <v>9.4304133622417116E-2</v>
      </c>
      <c r="AA65" s="5">
        <v>0.3</v>
      </c>
      <c r="AB65">
        <f t="shared" si="1"/>
        <v>16763.49281778331</v>
      </c>
      <c r="AC65">
        <f t="shared" si="10"/>
        <v>8895.7550093981426</v>
      </c>
      <c r="AD65" s="5">
        <v>0.2</v>
      </c>
      <c r="AE65">
        <f t="shared" si="2"/>
        <v>1779.1510018796287</v>
      </c>
      <c r="AF65">
        <f t="shared" si="3"/>
        <v>1</v>
      </c>
    </row>
    <row r="66" spans="1:32" x14ac:dyDescent="0.25">
      <c r="A66" s="2">
        <v>65</v>
      </c>
      <c r="B66">
        <f t="shared" si="12"/>
        <v>137.75911724126584</v>
      </c>
      <c r="C66" s="5">
        <v>0.08</v>
      </c>
      <c r="D66">
        <f t="shared" si="13"/>
        <v>972.57936772333676</v>
      </c>
      <c r="Q66">
        <f t="shared" si="14"/>
        <v>972.5793677233396</v>
      </c>
      <c r="R66">
        <f t="shared" si="6"/>
        <v>130.41698201827617</v>
      </c>
      <c r="S66">
        <f t="shared" si="7"/>
        <v>5431.3716729617918</v>
      </c>
      <c r="T66" s="5">
        <v>0.08</v>
      </c>
      <c r="V66">
        <f>SUM($R$2:R66)</f>
        <v>4777.183145014752</v>
      </c>
      <c r="W66">
        <f t="shared" si="8"/>
        <v>10.07292022311549</v>
      </c>
      <c r="Z66">
        <f t="shared" si="11"/>
        <v>8.7318642242978806E-2</v>
      </c>
      <c r="AA66" s="5">
        <v>0.3</v>
      </c>
      <c r="AB66">
        <f t="shared" si="1"/>
        <v>18104.572243205974</v>
      </c>
      <c r="AC66">
        <f t="shared" si="10"/>
        <v>9429.5003099620317</v>
      </c>
      <c r="AD66" s="5">
        <v>0.2</v>
      </c>
      <c r="AE66">
        <f t="shared" si="2"/>
        <v>1885.9000619924063</v>
      </c>
      <c r="AF66">
        <f t="shared" si="3"/>
        <v>1</v>
      </c>
    </row>
    <row r="67" spans="1:32" x14ac:dyDescent="0.25">
      <c r="A67" s="2">
        <v>66</v>
      </c>
      <c r="B67">
        <f t="shared" si="12"/>
        <v>148.7798466205671</v>
      </c>
      <c r="C67" s="5">
        <v>0.08</v>
      </c>
      <c r="D67">
        <f t="shared" si="13"/>
        <v>1050.3857171412037</v>
      </c>
      <c r="Q67">
        <f t="shared" si="14"/>
        <v>1050.3857171412069</v>
      </c>
      <c r="R67">
        <f t="shared" si="6"/>
        <v>132.87767979220592</v>
      </c>
      <c r="S67">
        <f t="shared" si="7"/>
        <v>5865.881406798736</v>
      </c>
      <c r="T67" s="5">
        <v>0.08</v>
      </c>
      <c r="V67">
        <f>SUM($R$2:R67)</f>
        <v>4910.0608248069575</v>
      </c>
      <c r="W67">
        <f t="shared" si="8"/>
        <v>10.353099196236153</v>
      </c>
      <c r="Z67">
        <f t="shared" si="11"/>
        <v>8.0850594669424805E-2</v>
      </c>
      <c r="AA67" s="5">
        <v>0.3</v>
      </c>
      <c r="AB67">
        <f t="shared" ref="AB67:AB130" si="15">S67/AA67</f>
        <v>19552.938022662453</v>
      </c>
      <c r="AC67">
        <f t="shared" si="10"/>
        <v>9995.2703285597545</v>
      </c>
      <c r="AD67" s="5">
        <v>0.2</v>
      </c>
      <c r="AE67">
        <f t="shared" ref="AE67:AE130" si="16">AC67*AD67</f>
        <v>1999.0540657119509</v>
      </c>
      <c r="AF67">
        <f t="shared" ref="AF67:AF130" si="17">IF(AB67&gt;AE67, 1, 0)</f>
        <v>1</v>
      </c>
    </row>
    <row r="68" spans="1:32" x14ac:dyDescent="0.25">
      <c r="A68" s="2">
        <v>67</v>
      </c>
      <c r="B68">
        <f t="shared" si="12"/>
        <v>160.68223435021247</v>
      </c>
      <c r="C68" s="5">
        <v>0.08</v>
      </c>
      <c r="D68">
        <f t="shared" si="13"/>
        <v>1134.4165745125001</v>
      </c>
      <c r="Q68">
        <f t="shared" si="14"/>
        <v>1134.4165745125033</v>
      </c>
      <c r="R68">
        <f t="shared" ref="R68:R101" si="18">S68/((1+$U$2)^A67)</f>
        <v>135.38480582602116</v>
      </c>
      <c r="S68">
        <f t="shared" ref="S68:S101" si="19">S67*(1+T67)</f>
        <v>6335.1519193426357</v>
      </c>
      <c r="T68" s="5">
        <v>0.08</v>
      </c>
      <c r="V68">
        <f>SUM($R$2:R68)</f>
        <v>5045.4456306329785</v>
      </c>
      <c r="W68">
        <f t="shared" ref="W68:W101" si="20">V68/$W$2</f>
        <v>10.638564565076074</v>
      </c>
      <c r="Z68">
        <f t="shared" si="11"/>
        <v>7.4861661730948895E-2</v>
      </c>
      <c r="AA68" s="5">
        <v>0.3</v>
      </c>
      <c r="AB68">
        <f t="shared" si="15"/>
        <v>21117.173064475453</v>
      </c>
      <c r="AC68">
        <f t="shared" ref="AC68:AC131" si="21">AC67*(1+$U$2)</f>
        <v>10594.98654827334</v>
      </c>
      <c r="AD68" s="5">
        <v>0.2</v>
      </c>
      <c r="AE68">
        <f t="shared" si="16"/>
        <v>2118.9973096546682</v>
      </c>
      <c r="AF68">
        <f t="shared" si="17"/>
        <v>1</v>
      </c>
    </row>
    <row r="69" spans="1:32" x14ac:dyDescent="0.25">
      <c r="A69" s="2">
        <v>68</v>
      </c>
      <c r="B69">
        <f t="shared" si="12"/>
        <v>173.53681309822946</v>
      </c>
      <c r="C69" s="5">
        <v>0.08</v>
      </c>
      <c r="D69">
        <f t="shared" si="13"/>
        <v>1225.1699004735001</v>
      </c>
      <c r="Q69">
        <f t="shared" si="14"/>
        <v>1225.1699004735037</v>
      </c>
      <c r="R69">
        <f t="shared" si="18"/>
        <v>137.93923612462532</v>
      </c>
      <c r="S69">
        <f t="shared" si="19"/>
        <v>6841.9640728900467</v>
      </c>
      <c r="T69" s="5">
        <v>0.08</v>
      </c>
      <c r="V69">
        <f>SUM($R$2:R69)</f>
        <v>5183.384866757604</v>
      </c>
      <c r="W69">
        <f t="shared" si="20"/>
        <v>10.92941607295071</v>
      </c>
      <c r="Z69">
        <f t="shared" si="11"/>
        <v>6.93163534545823E-2</v>
      </c>
      <c r="AA69" s="5">
        <v>0.3</v>
      </c>
      <c r="AB69">
        <f t="shared" si="15"/>
        <v>22806.546909633489</v>
      </c>
      <c r="AC69">
        <f t="shared" si="21"/>
        <v>11230.685741169742</v>
      </c>
      <c r="AD69" s="5">
        <v>0.2</v>
      </c>
      <c r="AE69">
        <f t="shared" si="16"/>
        <v>2246.1371482339487</v>
      </c>
      <c r="AF69">
        <f t="shared" si="17"/>
        <v>1</v>
      </c>
    </row>
    <row r="70" spans="1:32" x14ac:dyDescent="0.25">
      <c r="A70" s="2">
        <v>69</v>
      </c>
      <c r="B70">
        <f t="shared" si="12"/>
        <v>187.41975814608782</v>
      </c>
      <c r="C70" s="5">
        <v>0.08</v>
      </c>
      <c r="D70">
        <f t="shared" si="13"/>
        <v>1323.1834925113801</v>
      </c>
      <c r="Q70">
        <f t="shared" si="14"/>
        <v>1323.1834925113842</v>
      </c>
      <c r="R70">
        <f t="shared" si="18"/>
        <v>140.54186322131633</v>
      </c>
      <c r="S70">
        <f t="shared" si="19"/>
        <v>7389.3211987212508</v>
      </c>
      <c r="T70" s="5">
        <v>0.08</v>
      </c>
      <c r="V70">
        <f>SUM($R$2:R70)</f>
        <v>5323.9267299789199</v>
      </c>
      <c r="W70">
        <f t="shared" si="20"/>
        <v>11.225755345124869</v>
      </c>
      <c r="Z70">
        <f t="shared" si="11"/>
        <v>6.4181808754242869E-2</v>
      </c>
      <c r="AA70" s="5">
        <v>0.3</v>
      </c>
      <c r="AB70">
        <f t="shared" si="15"/>
        <v>24631.07066240417</v>
      </c>
      <c r="AC70">
        <f t="shared" si="21"/>
        <v>11904.526885639927</v>
      </c>
      <c r="AD70" s="5">
        <v>0.2</v>
      </c>
      <c r="AE70">
        <f t="shared" si="16"/>
        <v>2380.9053771279855</v>
      </c>
      <c r="AF70">
        <f t="shared" si="17"/>
        <v>1</v>
      </c>
    </row>
    <row r="71" spans="1:32" x14ac:dyDescent="0.25">
      <c r="A71" s="2">
        <v>70</v>
      </c>
      <c r="B71">
        <f t="shared" si="12"/>
        <v>202.41333879777483</v>
      </c>
      <c r="C71" s="5">
        <v>0.08</v>
      </c>
      <c r="D71">
        <f t="shared" si="13"/>
        <v>1429.0381719122906</v>
      </c>
      <c r="Q71">
        <f t="shared" si="14"/>
        <v>1429.0381719122947</v>
      </c>
      <c r="R71">
        <f t="shared" si="18"/>
        <v>143.19359648964306</v>
      </c>
      <c r="S71">
        <f t="shared" si="19"/>
        <v>7980.4668946189513</v>
      </c>
      <c r="T71" s="5">
        <v>0.08</v>
      </c>
      <c r="V71">
        <f>SUM($R$2:R71)</f>
        <v>5467.1203264685628</v>
      </c>
      <c r="W71">
        <f t="shared" si="20"/>
        <v>11.52768592432118</v>
      </c>
      <c r="Z71">
        <f t="shared" si="11"/>
        <v>5.9427600698373023E-2</v>
      </c>
      <c r="AA71" s="5">
        <v>0.3</v>
      </c>
      <c r="AB71">
        <f t="shared" si="15"/>
        <v>26601.556315396505</v>
      </c>
      <c r="AC71">
        <f t="shared" si="21"/>
        <v>12618.798498778324</v>
      </c>
      <c r="AD71" s="5">
        <v>0.2</v>
      </c>
      <c r="AE71">
        <f t="shared" si="16"/>
        <v>2523.7596997556648</v>
      </c>
      <c r="AF71">
        <f t="shared" si="17"/>
        <v>1</v>
      </c>
    </row>
    <row r="72" spans="1:32" x14ac:dyDescent="0.25">
      <c r="A72" s="2">
        <v>71</v>
      </c>
      <c r="B72">
        <f t="shared" si="12"/>
        <v>218.60640590159682</v>
      </c>
      <c r="C72" s="5">
        <v>0.08</v>
      </c>
      <c r="D72">
        <f t="shared" si="13"/>
        <v>1543.3612256652739</v>
      </c>
      <c r="Q72">
        <f t="shared" si="14"/>
        <v>1543.3612256652787</v>
      </c>
      <c r="R72">
        <f t="shared" si="18"/>
        <v>145.89536246114577</v>
      </c>
      <c r="S72">
        <f t="shared" si="19"/>
        <v>8618.9042461884674</v>
      </c>
      <c r="T72" s="5">
        <v>0.08</v>
      </c>
      <c r="V72">
        <f>SUM($R$2:R72)</f>
        <v>5613.0156889297086</v>
      </c>
      <c r="W72">
        <f t="shared" si="20"/>
        <v>11.835313306898556</v>
      </c>
      <c r="Z72">
        <f t="shared" si="11"/>
        <v>5.5025556202197248E-2</v>
      </c>
      <c r="AA72" s="5">
        <v>0.3</v>
      </c>
      <c r="AB72">
        <f t="shared" si="15"/>
        <v>28729.680820628226</v>
      </c>
      <c r="AC72">
        <f t="shared" si="21"/>
        <v>13375.926408705023</v>
      </c>
      <c r="AD72" s="5">
        <v>0.2</v>
      </c>
      <c r="AE72">
        <f t="shared" si="16"/>
        <v>2675.1852817410049</v>
      </c>
      <c r="AF72">
        <f t="shared" si="17"/>
        <v>1</v>
      </c>
    </row>
    <row r="73" spans="1:32" x14ac:dyDescent="0.25">
      <c r="A73" s="2">
        <v>72</v>
      </c>
      <c r="B73">
        <f t="shared" si="12"/>
        <v>236.09491837372457</v>
      </c>
      <c r="C73" s="5">
        <v>0.08</v>
      </c>
      <c r="D73">
        <f t="shared" si="13"/>
        <v>1666.8301237184958</v>
      </c>
      <c r="Q73">
        <f t="shared" si="14"/>
        <v>1666.830123718501</v>
      </c>
      <c r="R73">
        <f t="shared" si="18"/>
        <v>148.64810514909189</v>
      </c>
      <c r="S73">
        <f t="shared" si="19"/>
        <v>9308.4165858835458</v>
      </c>
      <c r="T73" s="5">
        <v>0.08</v>
      </c>
      <c r="V73">
        <f>SUM($R$2:R73)</f>
        <v>5761.6637940788005</v>
      </c>
      <c r="W73">
        <f t="shared" si="20"/>
        <v>12.148744979713239</v>
      </c>
      <c r="Z73">
        <f t="shared" si="11"/>
        <v>5.0949589076108553E-2</v>
      </c>
      <c r="AA73" s="5">
        <v>0.3</v>
      </c>
      <c r="AB73">
        <f t="shared" si="15"/>
        <v>31028.055286278486</v>
      </c>
      <c r="AC73">
        <f t="shared" si="21"/>
        <v>14178.481993227326</v>
      </c>
      <c r="AD73" s="5">
        <v>0.2</v>
      </c>
      <c r="AE73">
        <f t="shared" si="16"/>
        <v>2835.6963986454653</v>
      </c>
      <c r="AF73">
        <f t="shared" si="17"/>
        <v>1</v>
      </c>
    </row>
    <row r="74" spans="1:32" x14ac:dyDescent="0.25">
      <c r="A74" s="2">
        <v>73</v>
      </c>
      <c r="B74">
        <f t="shared" si="12"/>
        <v>254.98251184362255</v>
      </c>
      <c r="C74" s="5">
        <v>0.08</v>
      </c>
      <c r="D74">
        <f t="shared" si="13"/>
        <v>1800.1765336159754</v>
      </c>
      <c r="Q74">
        <f t="shared" si="14"/>
        <v>1800.176533615981</v>
      </c>
      <c r="R74">
        <f t="shared" si="18"/>
        <v>151.45278637832007</v>
      </c>
      <c r="S74">
        <f t="shared" si="19"/>
        <v>10053.089912754231</v>
      </c>
      <c r="T74" s="5">
        <v>0.08</v>
      </c>
      <c r="V74">
        <f>SUM($R$2:R74)</f>
        <v>5913.116580457121</v>
      </c>
      <c r="W74">
        <f t="shared" si="20"/>
        <v>12.46809045767537</v>
      </c>
      <c r="Z74">
        <f t="shared" si="11"/>
        <v>4.7175545440841252E-2</v>
      </c>
      <c r="AA74" s="5">
        <v>0.3</v>
      </c>
      <c r="AB74">
        <f t="shared" si="15"/>
        <v>33510.29970918077</v>
      </c>
      <c r="AC74">
        <f t="shared" si="21"/>
        <v>15029.190912820966</v>
      </c>
      <c r="AD74" s="5">
        <v>0.2</v>
      </c>
      <c r="AE74">
        <f t="shared" si="16"/>
        <v>3005.8381825641936</v>
      </c>
      <c r="AF74">
        <f t="shared" si="17"/>
        <v>1</v>
      </c>
    </row>
    <row r="75" spans="1:32" x14ac:dyDescent="0.25">
      <c r="A75" s="2">
        <v>74</v>
      </c>
      <c r="B75">
        <f t="shared" si="12"/>
        <v>275.38111279111234</v>
      </c>
      <c r="C75" s="5">
        <v>0.08</v>
      </c>
      <c r="D75">
        <f t="shared" si="13"/>
        <v>1944.1906563052535</v>
      </c>
      <c r="Q75">
        <f t="shared" si="14"/>
        <v>1944.1906563052598</v>
      </c>
      <c r="R75">
        <f t="shared" si="18"/>
        <v>154.31038612130729</v>
      </c>
      <c r="S75">
        <f t="shared" si="19"/>
        <v>10857.33710577457</v>
      </c>
      <c r="T75" s="5">
        <v>0.08</v>
      </c>
      <c r="V75">
        <f>SUM($R$2:R75)</f>
        <v>6067.4269665784286</v>
      </c>
      <c r="W75">
        <f t="shared" si="20"/>
        <v>12.793461322014146</v>
      </c>
      <c r="Z75">
        <f t="shared" si="11"/>
        <v>4.3681060593371526E-2</v>
      </c>
      <c r="AA75" s="5">
        <v>0.3</v>
      </c>
      <c r="AB75">
        <f t="shared" si="15"/>
        <v>36191.123685915234</v>
      </c>
      <c r="AC75">
        <f t="shared" si="21"/>
        <v>15930.942367590225</v>
      </c>
      <c r="AD75" s="5">
        <v>0.2</v>
      </c>
      <c r="AE75">
        <f t="shared" si="16"/>
        <v>3186.1884735180452</v>
      </c>
      <c r="AF75">
        <f t="shared" si="17"/>
        <v>1</v>
      </c>
    </row>
    <row r="76" spans="1:32" x14ac:dyDescent="0.25">
      <c r="A76" s="2">
        <v>75</v>
      </c>
      <c r="B76">
        <f t="shared" si="12"/>
        <v>297.41160181440131</v>
      </c>
      <c r="C76" s="5">
        <v>0.08</v>
      </c>
      <c r="D76">
        <f t="shared" si="13"/>
        <v>2099.7259088096739</v>
      </c>
      <c r="Q76">
        <f t="shared" si="14"/>
        <v>2099.7259088096807</v>
      </c>
      <c r="R76">
        <f t="shared" si="18"/>
        <v>157.22190284057723</v>
      </c>
      <c r="S76">
        <f t="shared" si="19"/>
        <v>11725.924074236536</v>
      </c>
      <c r="T76" s="5">
        <v>0.08</v>
      </c>
      <c r="V76">
        <f>SUM($R$2:R76)</f>
        <v>6224.6488694190057</v>
      </c>
      <c r="W76">
        <f t="shared" si="20"/>
        <v>13.124971259264973</v>
      </c>
      <c r="Z76">
        <f t="shared" si="11"/>
        <v>4.0445426475344E-2</v>
      </c>
      <c r="AA76" s="5">
        <v>0.3</v>
      </c>
      <c r="AB76">
        <f t="shared" si="15"/>
        <v>39086.41358078846</v>
      </c>
      <c r="AC76">
        <f t="shared" si="21"/>
        <v>16886.79890964564</v>
      </c>
      <c r="AD76" s="5">
        <v>0.2</v>
      </c>
      <c r="AE76">
        <f t="shared" si="16"/>
        <v>3377.3597819291281</v>
      </c>
      <c r="AF76">
        <f t="shared" si="17"/>
        <v>1</v>
      </c>
    </row>
    <row r="77" spans="1:32" x14ac:dyDescent="0.25">
      <c r="A77" s="2">
        <v>76</v>
      </c>
      <c r="B77">
        <f t="shared" si="12"/>
        <v>321.20452995955338</v>
      </c>
      <c r="C77" s="5">
        <v>0.08</v>
      </c>
      <c r="D77">
        <f t="shared" si="13"/>
        <v>2267.7039815144481</v>
      </c>
      <c r="Q77">
        <f t="shared" si="14"/>
        <v>2267.7039815144553</v>
      </c>
      <c r="R77">
        <f t="shared" si="18"/>
        <v>160.18835383756922</v>
      </c>
      <c r="S77">
        <f t="shared" si="19"/>
        <v>12663.998000175459</v>
      </c>
      <c r="T77" s="5">
        <v>0.08</v>
      </c>
      <c r="V77">
        <f>SUM($R$2:R77)</f>
        <v>6384.8372232565753</v>
      </c>
      <c r="W77">
        <f t="shared" si="20"/>
        <v>13.462736100992231</v>
      </c>
      <c r="Z77">
        <f t="shared" si="11"/>
        <v>3.7449468958651852E-2</v>
      </c>
      <c r="AA77" s="5">
        <v>0.3</v>
      </c>
      <c r="AB77">
        <f t="shared" si="15"/>
        <v>42213.326667251531</v>
      </c>
      <c r="AC77">
        <f t="shared" si="21"/>
        <v>17900.006844224379</v>
      </c>
      <c r="AD77" s="5">
        <v>0.2</v>
      </c>
      <c r="AE77">
        <f t="shared" si="16"/>
        <v>3580.0013688448762</v>
      </c>
      <c r="AF77">
        <f t="shared" si="17"/>
        <v>1</v>
      </c>
    </row>
    <row r="78" spans="1:32" x14ac:dyDescent="0.25">
      <c r="A78" s="2">
        <v>77</v>
      </c>
      <c r="B78">
        <f t="shared" si="12"/>
        <v>346.90089235631763</v>
      </c>
      <c r="C78" s="5">
        <v>0.08</v>
      </c>
      <c r="D78">
        <f t="shared" si="13"/>
        <v>2449.120300035604</v>
      </c>
      <c r="Q78">
        <f t="shared" si="14"/>
        <v>2449.1203000356118</v>
      </c>
      <c r="R78">
        <f t="shared" si="18"/>
        <v>163.21077560808939</v>
      </c>
      <c r="S78">
        <f t="shared" si="19"/>
        <v>13677.117840189498</v>
      </c>
      <c r="T78" s="5">
        <v>0.08</v>
      </c>
      <c r="V78">
        <f>SUM($R$2:R78)</f>
        <v>6548.0479988646648</v>
      </c>
      <c r="W78">
        <f t="shared" si="20"/>
        <v>13.806873864261512</v>
      </c>
      <c r="Z78">
        <f t="shared" si="11"/>
        <v>3.4675434220973932E-2</v>
      </c>
      <c r="AA78" s="5">
        <v>0.3</v>
      </c>
      <c r="AB78">
        <f t="shared" si="15"/>
        <v>45590.392800631664</v>
      </c>
      <c r="AC78">
        <f t="shared" si="21"/>
        <v>18974.007254877844</v>
      </c>
      <c r="AD78" s="5">
        <v>0.2</v>
      </c>
      <c r="AE78">
        <f t="shared" si="16"/>
        <v>3794.801450975569</v>
      </c>
      <c r="AF78">
        <f t="shared" si="17"/>
        <v>1</v>
      </c>
    </row>
    <row r="79" spans="1:32" x14ac:dyDescent="0.25">
      <c r="A79" s="2">
        <v>78</v>
      </c>
      <c r="B79">
        <f t="shared" si="12"/>
        <v>374.65296374482301</v>
      </c>
      <c r="C79" s="5">
        <v>0.08</v>
      </c>
      <c r="D79">
        <f t="shared" si="13"/>
        <v>2645.0499240384524</v>
      </c>
      <c r="Q79">
        <f t="shared" si="14"/>
        <v>2645.0499240384602</v>
      </c>
      <c r="R79">
        <f t="shared" si="18"/>
        <v>166.29022420446842</v>
      </c>
      <c r="S79">
        <f t="shared" si="19"/>
        <v>14771.287267404658</v>
      </c>
      <c r="T79" s="5">
        <v>0.08</v>
      </c>
      <c r="V79">
        <f>SUM($R$2:R79)</f>
        <v>6714.3382230691332</v>
      </c>
      <c r="W79">
        <f t="shared" si="20"/>
        <v>14.157504792875498</v>
      </c>
      <c r="Z79">
        <f t="shared" ref="Z79:Z142" si="22">$W$2/S79</f>
        <v>3.2106883537938828E-2</v>
      </c>
      <c r="AA79" s="5">
        <v>0.3</v>
      </c>
      <c r="AB79">
        <f t="shared" si="15"/>
        <v>49237.624224682193</v>
      </c>
      <c r="AC79">
        <f t="shared" si="21"/>
        <v>20112.447690170517</v>
      </c>
      <c r="AD79" s="5">
        <v>0.2</v>
      </c>
      <c r="AE79">
        <f t="shared" si="16"/>
        <v>4022.4895380341036</v>
      </c>
      <c r="AF79">
        <f t="shared" si="17"/>
        <v>1</v>
      </c>
    </row>
    <row r="80" spans="1:32" x14ac:dyDescent="0.25">
      <c r="A80" s="2">
        <v>79</v>
      </c>
      <c r="B80">
        <f t="shared" si="12"/>
        <v>404.62520084440882</v>
      </c>
      <c r="C80" s="5">
        <v>0.08</v>
      </c>
      <c r="D80">
        <f t="shared" si="13"/>
        <v>2856.6539179615288</v>
      </c>
      <c r="Q80">
        <f t="shared" si="14"/>
        <v>2856.6539179615379</v>
      </c>
      <c r="R80">
        <f t="shared" si="18"/>
        <v>169.42777560455275</v>
      </c>
      <c r="S80">
        <f t="shared" si="19"/>
        <v>15952.99024879703</v>
      </c>
      <c r="T80" s="5">
        <v>0.08</v>
      </c>
      <c r="V80">
        <f>SUM($R$2:R80)</f>
        <v>6883.7659986736862</v>
      </c>
      <c r="W80">
        <f t="shared" si="20"/>
        <v>14.51475139938786</v>
      </c>
      <c r="Z80">
        <f t="shared" si="22"/>
        <v>2.9728595868461875E-2</v>
      </c>
      <c r="AA80" s="5">
        <v>0.3</v>
      </c>
      <c r="AB80">
        <f t="shared" si="15"/>
        <v>53176.634162656766</v>
      </c>
      <c r="AC80">
        <f t="shared" si="21"/>
        <v>21319.194551580749</v>
      </c>
      <c r="AD80" s="5">
        <v>0.2</v>
      </c>
      <c r="AE80">
        <f t="shared" si="16"/>
        <v>4263.8389103161498</v>
      </c>
      <c r="AF80">
        <f t="shared" si="17"/>
        <v>1</v>
      </c>
    </row>
    <row r="81" spans="1:32" x14ac:dyDescent="0.25">
      <c r="A81" s="2">
        <v>80</v>
      </c>
      <c r="B81">
        <f t="shared" si="12"/>
        <v>436.99521691196151</v>
      </c>
      <c r="C81" s="5">
        <v>0.08</v>
      </c>
      <c r="D81">
        <f t="shared" si="13"/>
        <v>3085.1862313984511</v>
      </c>
      <c r="Q81">
        <f t="shared" si="14"/>
        <v>3085.1862313984611</v>
      </c>
      <c r="R81">
        <f t="shared" si="18"/>
        <v>172.62452608765747</v>
      </c>
      <c r="S81">
        <f t="shared" si="19"/>
        <v>17229.229468700792</v>
      </c>
      <c r="T81" s="5">
        <v>0.08</v>
      </c>
      <c r="V81">
        <f>SUM($R$2:R81)</f>
        <v>7056.3905247613438</v>
      </c>
      <c r="W81">
        <f t="shared" si="20"/>
        <v>14.878738507909889</v>
      </c>
      <c r="Z81">
        <f t="shared" si="22"/>
        <v>2.752647765598322E-2</v>
      </c>
      <c r="AA81" s="5">
        <v>0.3</v>
      </c>
      <c r="AB81">
        <f t="shared" si="15"/>
        <v>57430.764895669308</v>
      </c>
      <c r="AC81">
        <f t="shared" si="21"/>
        <v>22598.346224675595</v>
      </c>
      <c r="AD81" s="5">
        <v>0.2</v>
      </c>
      <c r="AE81">
        <f t="shared" si="16"/>
        <v>4519.6692449351194</v>
      </c>
      <c r="AF81">
        <f t="shared" si="17"/>
        <v>1</v>
      </c>
    </row>
    <row r="82" spans="1:32" x14ac:dyDescent="0.25">
      <c r="A82" s="2">
        <v>81</v>
      </c>
      <c r="B82">
        <f t="shared" si="12"/>
        <v>471.95483426491842</v>
      </c>
      <c r="C82" s="5">
        <v>0.08</v>
      </c>
      <c r="D82">
        <f t="shared" si="13"/>
        <v>3332.0011299103271</v>
      </c>
      <c r="Q82">
        <f t="shared" si="14"/>
        <v>3332.001129910338</v>
      </c>
      <c r="R82">
        <f t="shared" si="18"/>
        <v>175.88159261761334</v>
      </c>
      <c r="S82">
        <f t="shared" si="19"/>
        <v>18607.567826196857</v>
      </c>
      <c r="T82" s="5">
        <v>0.08</v>
      </c>
      <c r="V82">
        <f>SUM($R$2:R82)</f>
        <v>7232.2721173789569</v>
      </c>
      <c r="W82">
        <f t="shared" si="20"/>
        <v>15.249593297724786</v>
      </c>
      <c r="Z82">
        <f t="shared" si="22"/>
        <v>2.5487479311095573E-2</v>
      </c>
      <c r="AA82" s="5">
        <v>0.3</v>
      </c>
      <c r="AB82">
        <f t="shared" si="15"/>
        <v>62025.226087322859</v>
      </c>
      <c r="AC82">
        <f t="shared" si="21"/>
        <v>23954.246998156133</v>
      </c>
      <c r="AD82" s="5">
        <v>0.2</v>
      </c>
      <c r="AE82">
        <f t="shared" si="16"/>
        <v>4790.8493996312272</v>
      </c>
      <c r="AF82">
        <f t="shared" si="17"/>
        <v>1</v>
      </c>
    </row>
    <row r="83" spans="1:32" x14ac:dyDescent="0.25">
      <c r="A83" s="2">
        <v>82</v>
      </c>
      <c r="B83">
        <f t="shared" si="12"/>
        <v>509.71122100611188</v>
      </c>
      <c r="C83" s="5">
        <v>0.08</v>
      </c>
      <c r="D83">
        <f t="shared" si="13"/>
        <v>3598.5612203031533</v>
      </c>
      <c r="Q83">
        <f t="shared" si="14"/>
        <v>3598.5612203031651</v>
      </c>
      <c r="R83">
        <f t="shared" si="18"/>
        <v>179.20011323303999</v>
      </c>
      <c r="S83">
        <f t="shared" si="19"/>
        <v>20096.173252292607</v>
      </c>
      <c r="T83" s="5">
        <v>0.08</v>
      </c>
      <c r="V83">
        <f>SUM($R$2:R83)</f>
        <v>7411.4722306119966</v>
      </c>
      <c r="W83">
        <f t="shared" si="20"/>
        <v>15.627445347724869</v>
      </c>
      <c r="Z83">
        <f t="shared" si="22"/>
        <v>2.3599517880644048E-2</v>
      </c>
      <c r="AA83" s="5">
        <v>0.3</v>
      </c>
      <c r="AB83">
        <f t="shared" si="15"/>
        <v>66987.244174308697</v>
      </c>
      <c r="AC83">
        <f t="shared" si="21"/>
        <v>25391.501818045504</v>
      </c>
      <c r="AD83" s="5">
        <v>0.2</v>
      </c>
      <c r="AE83">
        <f t="shared" si="16"/>
        <v>5078.3003636091016</v>
      </c>
      <c r="AF83">
        <f t="shared" si="17"/>
        <v>1</v>
      </c>
    </row>
    <row r="84" spans="1:32" x14ac:dyDescent="0.25">
      <c r="A84" s="2">
        <v>83</v>
      </c>
      <c r="B84">
        <f t="shared" si="12"/>
        <v>550.48811868660084</v>
      </c>
      <c r="C84" s="5">
        <v>0.08</v>
      </c>
      <c r="D84">
        <f t="shared" si="13"/>
        <v>3886.4461179274058</v>
      </c>
      <c r="Q84">
        <f t="shared" si="14"/>
        <v>3886.4461179274185</v>
      </c>
      <c r="R84">
        <f t="shared" si="18"/>
        <v>182.58124744498417</v>
      </c>
      <c r="S84">
        <f t="shared" si="19"/>
        <v>21703.867112476019</v>
      </c>
      <c r="T84" s="5">
        <v>0.08</v>
      </c>
      <c r="V84">
        <f>SUM($R$2:R84)</f>
        <v>7594.0534780569806</v>
      </c>
      <c r="W84">
        <f t="shared" si="20"/>
        <v>16.01242668168722</v>
      </c>
      <c r="Z84">
        <f t="shared" si="22"/>
        <v>2.1851405445040779E-2</v>
      </c>
      <c r="AA84" s="5">
        <v>0.3</v>
      </c>
      <c r="AB84">
        <f t="shared" si="15"/>
        <v>72346.223708253397</v>
      </c>
      <c r="AC84">
        <f t="shared" si="21"/>
        <v>26914.991927128238</v>
      </c>
      <c r="AD84" s="5">
        <v>0.2</v>
      </c>
      <c r="AE84">
        <f t="shared" si="16"/>
        <v>5382.9983854256479</v>
      </c>
      <c r="AF84">
        <f t="shared" si="17"/>
        <v>1</v>
      </c>
    </row>
    <row r="85" spans="1:32" x14ac:dyDescent="0.25">
      <c r="A85" s="2">
        <v>84</v>
      </c>
      <c r="B85">
        <f t="shared" si="12"/>
        <v>594.52716818152885</v>
      </c>
      <c r="C85" s="5">
        <v>0.08</v>
      </c>
      <c r="D85">
        <f t="shared" si="13"/>
        <v>4197.361807361598</v>
      </c>
      <c r="Q85">
        <f t="shared" si="14"/>
        <v>4197.3618073616126</v>
      </c>
      <c r="R85">
        <f t="shared" si="18"/>
        <v>186.02617664205931</v>
      </c>
      <c r="S85">
        <f t="shared" si="19"/>
        <v>23440.1764814741</v>
      </c>
      <c r="T85" s="5">
        <v>0.08</v>
      </c>
      <c r="V85">
        <f>SUM($R$2:R85)</f>
        <v>7780.0796546990396</v>
      </c>
      <c r="W85">
        <f t="shared" si="20"/>
        <v>16.404671814403574</v>
      </c>
      <c r="Z85">
        <f t="shared" si="22"/>
        <v>2.0232782819482206E-2</v>
      </c>
      <c r="AA85" s="5">
        <v>0.3</v>
      </c>
      <c r="AB85">
        <f t="shared" si="15"/>
        <v>78133.921604913674</v>
      </c>
      <c r="AC85">
        <f t="shared" si="21"/>
        <v>28529.891442755932</v>
      </c>
      <c r="AD85" s="5">
        <v>0.2</v>
      </c>
      <c r="AE85">
        <f t="shared" si="16"/>
        <v>5705.9782885511868</v>
      </c>
      <c r="AF85">
        <f t="shared" si="17"/>
        <v>1</v>
      </c>
    </row>
    <row r="86" spans="1:32" x14ac:dyDescent="0.25">
      <c r="A86" s="2">
        <v>85</v>
      </c>
      <c r="B86">
        <f t="shared" si="12"/>
        <v>642.08934163605113</v>
      </c>
      <c r="C86" s="5">
        <v>0.08</v>
      </c>
      <c r="D86">
        <f t="shared" si="13"/>
        <v>4533.1507519505258</v>
      </c>
      <c r="Q86">
        <f t="shared" si="14"/>
        <v>4533.1507519505412</v>
      </c>
      <c r="R86">
        <f t="shared" si="18"/>
        <v>189.53610450323023</v>
      </c>
      <c r="S86">
        <f t="shared" si="19"/>
        <v>25315.390599992028</v>
      </c>
      <c r="T86" s="5">
        <v>0.08</v>
      </c>
      <c r="V86">
        <f>SUM($R$2:R86)</f>
        <v>7969.6157592022701</v>
      </c>
      <c r="W86">
        <f t="shared" si="20"/>
        <v>16.804317798680618</v>
      </c>
      <c r="Z86">
        <f t="shared" si="22"/>
        <v>1.8734058166187225E-2</v>
      </c>
      <c r="AA86" s="5">
        <v>0.3</v>
      </c>
      <c r="AB86">
        <f t="shared" si="15"/>
        <v>84384.635333306767</v>
      </c>
      <c r="AC86">
        <f t="shared" si="21"/>
        <v>30241.684929321291</v>
      </c>
      <c r="AD86" s="5">
        <v>0.2</v>
      </c>
      <c r="AE86">
        <f t="shared" si="16"/>
        <v>6048.3369858642582</v>
      </c>
      <c r="AF86">
        <f t="shared" si="17"/>
        <v>1</v>
      </c>
    </row>
    <row r="87" spans="1:32" x14ac:dyDescent="0.25">
      <c r="A87" s="2">
        <v>86</v>
      </c>
      <c r="B87">
        <f t="shared" si="12"/>
        <v>693.45648896693524</v>
      </c>
      <c r="C87" s="5">
        <v>0.08</v>
      </c>
      <c r="D87">
        <f t="shared" si="13"/>
        <v>4895.8028121065681</v>
      </c>
      <c r="Q87">
        <f t="shared" si="14"/>
        <v>4895.8028121065854</v>
      </c>
      <c r="R87">
        <f t="shared" si="18"/>
        <v>193.1122574183855</v>
      </c>
      <c r="S87">
        <f t="shared" si="19"/>
        <v>27340.621847991391</v>
      </c>
      <c r="T87" s="5">
        <v>0.08</v>
      </c>
      <c r="V87">
        <f>SUM($R$2:R87)</f>
        <v>8162.7280166206556</v>
      </c>
      <c r="W87">
        <f t="shared" si="20"/>
        <v>17.211504273227039</v>
      </c>
      <c r="Z87">
        <f t="shared" si="22"/>
        <v>1.734635015387706E-2</v>
      </c>
      <c r="AA87" s="5">
        <v>0.3</v>
      </c>
      <c r="AB87">
        <f t="shared" si="15"/>
        <v>91135.406159971302</v>
      </c>
      <c r="AC87">
        <f t="shared" si="21"/>
        <v>32056.186025080569</v>
      </c>
      <c r="AD87" s="5">
        <v>0.2</v>
      </c>
      <c r="AE87">
        <f t="shared" si="16"/>
        <v>6411.2372050161139</v>
      </c>
      <c r="AF87">
        <f t="shared" si="17"/>
        <v>1</v>
      </c>
    </row>
    <row r="88" spans="1:32" x14ac:dyDescent="0.25">
      <c r="A88" s="2">
        <v>87</v>
      </c>
      <c r="B88">
        <f t="shared" si="12"/>
        <v>748.93300808429001</v>
      </c>
      <c r="C88" s="5">
        <v>0.08</v>
      </c>
      <c r="D88">
        <f t="shared" si="13"/>
        <v>5287.4670370750937</v>
      </c>
      <c r="Q88">
        <f t="shared" si="14"/>
        <v>5287.4670370751119</v>
      </c>
      <c r="R88">
        <f t="shared" si="18"/>
        <v>196.75588491684559</v>
      </c>
      <c r="S88">
        <f t="shared" si="19"/>
        <v>29527.871595830704</v>
      </c>
      <c r="T88" s="5">
        <v>0.08</v>
      </c>
      <c r="V88">
        <f>SUM($R$2:R88)</f>
        <v>8359.4839015375019</v>
      </c>
      <c r="W88">
        <f t="shared" si="20"/>
        <v>17.62637351144415</v>
      </c>
      <c r="Z88">
        <f t="shared" si="22"/>
        <v>1.6061435327663943E-2</v>
      </c>
      <c r="AA88" s="5">
        <v>0.3</v>
      </c>
      <c r="AB88">
        <f t="shared" si="15"/>
        <v>98426.238652769011</v>
      </c>
      <c r="AC88">
        <f t="shared" si="21"/>
        <v>33979.557186585407</v>
      </c>
      <c r="AD88" s="5">
        <v>0.2</v>
      </c>
      <c r="AE88">
        <f t="shared" si="16"/>
        <v>6795.9114373170814</v>
      </c>
      <c r="AF88">
        <f t="shared" si="17"/>
        <v>1</v>
      </c>
    </row>
    <row r="89" spans="1:32" x14ac:dyDescent="0.25">
      <c r="A89" s="2">
        <v>88</v>
      </c>
      <c r="B89">
        <f t="shared" si="12"/>
        <v>808.84764873103325</v>
      </c>
      <c r="C89" s="5">
        <v>0.08</v>
      </c>
      <c r="D89">
        <f t="shared" si="13"/>
        <v>5710.4644000411008</v>
      </c>
      <c r="Q89">
        <f t="shared" si="14"/>
        <v>5710.4644000411217</v>
      </c>
      <c r="R89">
        <f t="shared" si="18"/>
        <v>200.46826010395588</v>
      </c>
      <c r="S89">
        <f t="shared" si="19"/>
        <v>31890.101323497162</v>
      </c>
      <c r="T89" s="5">
        <v>0.08</v>
      </c>
      <c r="V89">
        <f>SUM($R$2:R89)</f>
        <v>8559.9521616414586</v>
      </c>
      <c r="W89">
        <f t="shared" si="20"/>
        <v>18.049070471137053</v>
      </c>
      <c r="Z89">
        <f t="shared" si="22"/>
        <v>1.4871699377466614E-2</v>
      </c>
      <c r="AA89" s="5">
        <v>0.3</v>
      </c>
      <c r="AB89">
        <f t="shared" si="15"/>
        <v>106300.33774499054</v>
      </c>
      <c r="AC89">
        <f t="shared" si="21"/>
        <v>36018.330617780535</v>
      </c>
      <c r="AD89" s="5">
        <v>0.2</v>
      </c>
      <c r="AE89">
        <f t="shared" si="16"/>
        <v>7203.6661235561078</v>
      </c>
      <c r="AF89">
        <f t="shared" si="17"/>
        <v>1</v>
      </c>
    </row>
    <row r="90" spans="1:32" x14ac:dyDescent="0.25">
      <c r="A90" s="2">
        <v>89</v>
      </c>
      <c r="B90">
        <f t="shared" si="12"/>
        <v>873.55546062951589</v>
      </c>
      <c r="C90" s="5">
        <v>0.08</v>
      </c>
      <c r="D90">
        <f t="shared" si="13"/>
        <v>6167.3015520443887</v>
      </c>
      <c r="Q90">
        <f t="shared" si="14"/>
        <v>6167.3015520444114</v>
      </c>
      <c r="R90">
        <f t="shared" si="18"/>
        <v>204.25068010591735</v>
      </c>
      <c r="S90">
        <f t="shared" si="19"/>
        <v>34441.309429376939</v>
      </c>
      <c r="T90" s="5">
        <v>0.08</v>
      </c>
      <c r="V90">
        <f>SUM($R$2:R90)</f>
        <v>8764.2028417473757</v>
      </c>
      <c r="W90">
        <f t="shared" si="20"/>
        <v>18.479742845163784</v>
      </c>
      <c r="Z90">
        <f t="shared" si="22"/>
        <v>1.377009201617279E-2</v>
      </c>
      <c r="AA90" s="5">
        <v>0.3</v>
      </c>
      <c r="AB90">
        <f t="shared" si="15"/>
        <v>114804.3647645898</v>
      </c>
      <c r="AC90">
        <f t="shared" si="21"/>
        <v>38179.430454847366</v>
      </c>
      <c r="AD90" s="5">
        <v>0.2</v>
      </c>
      <c r="AE90">
        <f t="shared" si="16"/>
        <v>7635.886090969474</v>
      </c>
      <c r="AF90">
        <f t="shared" si="17"/>
        <v>1</v>
      </c>
    </row>
    <row r="91" spans="1:32" x14ac:dyDescent="0.25">
      <c r="A91" s="2">
        <v>90</v>
      </c>
      <c r="B91">
        <f t="shared" si="12"/>
        <v>943.43989747987712</v>
      </c>
      <c r="C91" s="5">
        <v>0.08</v>
      </c>
      <c r="D91">
        <f t="shared" si="13"/>
        <v>6660.6856762079397</v>
      </c>
      <c r="Q91">
        <f t="shared" si="14"/>
        <v>6660.6856762079651</v>
      </c>
      <c r="R91">
        <f t="shared" si="18"/>
        <v>208.10446652301019</v>
      </c>
      <c r="S91">
        <f t="shared" si="19"/>
        <v>37196.614183727099</v>
      </c>
      <c r="T91" s="5">
        <v>0.08</v>
      </c>
      <c r="V91">
        <f>SUM($R$2:R91)</f>
        <v>8972.3073082703868</v>
      </c>
      <c r="W91">
        <f t="shared" si="20"/>
        <v>18.918541113040078</v>
      </c>
      <c r="Z91">
        <f t="shared" si="22"/>
        <v>1.2750085200159989E-2</v>
      </c>
      <c r="AA91" s="5">
        <v>0.3</v>
      </c>
      <c r="AB91">
        <f t="shared" si="15"/>
        <v>123988.713945757</v>
      </c>
      <c r="AC91">
        <f t="shared" si="21"/>
        <v>40470.196282138211</v>
      </c>
      <c r="AD91" s="5">
        <v>0.2</v>
      </c>
      <c r="AE91">
        <f t="shared" si="16"/>
        <v>8094.0392564276426</v>
      </c>
      <c r="AF91">
        <f t="shared" si="17"/>
        <v>1</v>
      </c>
    </row>
    <row r="92" spans="1:32" x14ac:dyDescent="0.25">
      <c r="A92" s="2">
        <v>91</v>
      </c>
      <c r="B92">
        <f t="shared" si="12"/>
        <v>1018.9150892782673</v>
      </c>
      <c r="C92" s="5">
        <v>0.08</v>
      </c>
      <c r="D92">
        <f t="shared" si="13"/>
        <v>7193.5405303045745</v>
      </c>
      <c r="Q92">
        <f t="shared" si="14"/>
        <v>7193.5405303046018</v>
      </c>
      <c r="R92">
        <f t="shared" si="18"/>
        <v>212.03096589136888</v>
      </c>
      <c r="S92">
        <f t="shared" si="19"/>
        <v>40172.343318425272</v>
      </c>
      <c r="T92" s="5">
        <v>0.08</v>
      </c>
      <c r="V92">
        <f>SUM($R$2:R92)</f>
        <v>9184.3382741617552</v>
      </c>
      <c r="W92">
        <f t="shared" si="20"/>
        <v>19.365618593517809</v>
      </c>
      <c r="Z92">
        <f t="shared" si="22"/>
        <v>1.180563444459258E-2</v>
      </c>
      <c r="AA92" s="5">
        <v>0.3</v>
      </c>
      <c r="AB92">
        <f t="shared" si="15"/>
        <v>133907.81106141757</v>
      </c>
      <c r="AC92">
        <f t="shared" si="21"/>
        <v>42898.408059066503</v>
      </c>
      <c r="AD92" s="5">
        <v>0.2</v>
      </c>
      <c r="AE92">
        <f t="shared" si="16"/>
        <v>8579.6816118133011</v>
      </c>
      <c r="AF92">
        <f t="shared" si="17"/>
        <v>1</v>
      </c>
    </row>
    <row r="93" spans="1:32" x14ac:dyDescent="0.25">
      <c r="A93" s="2">
        <v>92</v>
      </c>
      <c r="B93">
        <f t="shared" si="12"/>
        <v>1100.4282964205286</v>
      </c>
      <c r="C93" s="5">
        <v>0.08</v>
      </c>
      <c r="D93">
        <f t="shared" si="13"/>
        <v>7769.0237727289405</v>
      </c>
      <c r="Q93">
        <f t="shared" si="14"/>
        <v>7769.0237727289696</v>
      </c>
      <c r="R93">
        <f t="shared" si="18"/>
        <v>216.03155015347014</v>
      </c>
      <c r="S93">
        <f t="shared" si="19"/>
        <v>43386.130783899294</v>
      </c>
      <c r="T93" s="5">
        <v>0.08</v>
      </c>
      <c r="V93">
        <f>SUM($R$2:R93)</f>
        <v>9400.3698243152248</v>
      </c>
      <c r="W93">
        <f t="shared" si="20"/>
        <v>19.821131498155495</v>
      </c>
      <c r="Z93">
        <f t="shared" si="22"/>
        <v>1.0931143004252389E-2</v>
      </c>
      <c r="AA93" s="5">
        <v>0.3</v>
      </c>
      <c r="AB93">
        <f t="shared" si="15"/>
        <v>144620.43594633098</v>
      </c>
      <c r="AC93">
        <f t="shared" si="21"/>
        <v>45472.312542610496</v>
      </c>
      <c r="AD93" s="5">
        <v>0.2</v>
      </c>
      <c r="AE93">
        <f t="shared" si="16"/>
        <v>9094.4625085220996</v>
      </c>
      <c r="AF93">
        <f t="shared" si="17"/>
        <v>1</v>
      </c>
    </row>
    <row r="94" spans="1:32" x14ac:dyDescent="0.25">
      <c r="A94" s="2">
        <v>93</v>
      </c>
      <c r="B94">
        <f t="shared" si="12"/>
        <v>1188.4625601341709</v>
      </c>
      <c r="C94" s="5">
        <v>0.08</v>
      </c>
      <c r="D94">
        <f t="shared" si="13"/>
        <v>8390.5456745472547</v>
      </c>
      <c r="Q94">
        <f t="shared" si="14"/>
        <v>8390.5456745472875</v>
      </c>
      <c r="R94">
        <f t="shared" si="18"/>
        <v>220.1076171374979</v>
      </c>
      <c r="S94">
        <f t="shared" si="19"/>
        <v>46857.021246611243</v>
      </c>
      <c r="T94" s="5">
        <v>0.08</v>
      </c>
      <c r="V94">
        <f>SUM($R$2:R94)</f>
        <v>9620.4774414527219</v>
      </c>
      <c r="W94">
        <f t="shared" si="20"/>
        <v>20.285238985899554</v>
      </c>
      <c r="Z94">
        <f t="shared" si="22"/>
        <v>1.01214287076411E-2</v>
      </c>
      <c r="AA94" s="5">
        <v>0.3</v>
      </c>
      <c r="AB94">
        <f t="shared" si="15"/>
        <v>156190.07082203749</v>
      </c>
      <c r="AC94">
        <f t="shared" si="21"/>
        <v>48200.651295167125</v>
      </c>
      <c r="AD94" s="5">
        <v>0.2</v>
      </c>
      <c r="AE94">
        <f t="shared" si="16"/>
        <v>9640.1302590334253</v>
      </c>
      <c r="AF94">
        <f t="shared" si="17"/>
        <v>1</v>
      </c>
    </row>
    <row r="95" spans="1:32" x14ac:dyDescent="0.25">
      <c r="A95" s="2">
        <v>94</v>
      </c>
      <c r="B95">
        <f t="shared" si="12"/>
        <v>1283.5395649449044</v>
      </c>
      <c r="C95" s="5">
        <v>0.08</v>
      </c>
      <c r="D95">
        <f t="shared" si="13"/>
        <v>9061.7893285110349</v>
      </c>
      <c r="Q95">
        <f t="shared" si="14"/>
        <v>9061.7893285110713</v>
      </c>
      <c r="R95">
        <f t="shared" si="18"/>
        <v>224.26059104575256</v>
      </c>
      <c r="S95">
        <f t="shared" si="19"/>
        <v>50605.582946340146</v>
      </c>
      <c r="T95" s="5">
        <v>0.08</v>
      </c>
      <c r="V95">
        <f>SUM($R$2:R95)</f>
        <v>9844.7380324984751</v>
      </c>
      <c r="W95">
        <f t="shared" si="20"/>
        <v>20.758103218695389</v>
      </c>
      <c r="Z95">
        <f t="shared" si="22"/>
        <v>9.3716932478158325E-3</v>
      </c>
      <c r="AA95" s="5">
        <v>0.3</v>
      </c>
      <c r="AB95">
        <f t="shared" si="15"/>
        <v>168685.2764878005</v>
      </c>
      <c r="AC95">
        <f t="shared" si="21"/>
        <v>51092.690372877158</v>
      </c>
      <c r="AD95" s="5">
        <v>0.2</v>
      </c>
      <c r="AE95">
        <f t="shared" si="16"/>
        <v>10218.538074575432</v>
      </c>
      <c r="AF95">
        <f t="shared" si="17"/>
        <v>1</v>
      </c>
    </row>
    <row r="96" spans="1:32" x14ac:dyDescent="0.25">
      <c r="A96" s="2">
        <v>95</v>
      </c>
      <c r="B96">
        <f t="shared" si="12"/>
        <v>1386.2227301404969</v>
      </c>
      <c r="C96" s="5">
        <v>0.08</v>
      </c>
      <c r="D96">
        <f t="shared" si="13"/>
        <v>9786.7324747919174</v>
      </c>
      <c r="Q96">
        <f t="shared" si="14"/>
        <v>9786.7324747919592</v>
      </c>
      <c r="R96">
        <f t="shared" si="18"/>
        <v>228.49192295227621</v>
      </c>
      <c r="S96">
        <f t="shared" si="19"/>
        <v>54654.029582047362</v>
      </c>
      <c r="T96" s="5">
        <v>0.08</v>
      </c>
      <c r="V96">
        <f>SUM($R$2:R96)</f>
        <v>10073.229955450752</v>
      </c>
      <c r="W96">
        <f t="shared" si="20"/>
        <v>21.239889418147751</v>
      </c>
      <c r="Z96">
        <f t="shared" si="22"/>
        <v>8.6774937479776222E-3</v>
      </c>
      <c r="AA96" s="5">
        <v>0.3</v>
      </c>
      <c r="AB96">
        <f t="shared" si="15"/>
        <v>182180.09860682455</v>
      </c>
      <c r="AC96">
        <f t="shared" si="21"/>
        <v>54158.251795249787</v>
      </c>
      <c r="AD96" s="5">
        <v>0.2</v>
      </c>
      <c r="AE96">
        <f t="shared" si="16"/>
        <v>10831.650359049958</v>
      </c>
      <c r="AF96">
        <f t="shared" si="17"/>
        <v>1</v>
      </c>
    </row>
    <row r="97" spans="1:32" x14ac:dyDescent="0.25">
      <c r="A97" s="2">
        <v>96</v>
      </c>
      <c r="B97">
        <f t="shared" si="12"/>
        <v>1497.1205485517366</v>
      </c>
      <c r="C97" s="5">
        <v>0.08</v>
      </c>
      <c r="D97">
        <f t="shared" si="13"/>
        <v>10569.671072775271</v>
      </c>
      <c r="Q97">
        <f t="shared" si="14"/>
        <v>10569.671072775316</v>
      </c>
      <c r="R97">
        <f t="shared" si="18"/>
        <v>232.80309130986629</v>
      </c>
      <c r="S97">
        <f t="shared" si="19"/>
        <v>59026.351948611155</v>
      </c>
      <c r="T97" s="5">
        <v>0.08</v>
      </c>
      <c r="V97">
        <f>SUM($R$2:R97)</f>
        <v>10306.033046760618</v>
      </c>
      <c r="W97">
        <f t="shared" si="20"/>
        <v>21.730765923250154</v>
      </c>
      <c r="Z97">
        <f t="shared" si="22"/>
        <v>8.0347164333126123E-3</v>
      </c>
      <c r="AA97" s="5">
        <v>0.3</v>
      </c>
      <c r="AB97">
        <f t="shared" si="15"/>
        <v>196754.50649537053</v>
      </c>
      <c r="AC97">
        <f t="shared" si="21"/>
        <v>57407.746902964776</v>
      </c>
      <c r="AD97" s="5">
        <v>0.2</v>
      </c>
      <c r="AE97">
        <f t="shared" si="16"/>
        <v>11481.549380592956</v>
      </c>
      <c r="AF97">
        <f t="shared" si="17"/>
        <v>1</v>
      </c>
    </row>
    <row r="98" spans="1:32" x14ac:dyDescent="0.25">
      <c r="A98" s="2">
        <v>97</v>
      </c>
      <c r="B98">
        <f t="shared" si="12"/>
        <v>1616.8901924358756</v>
      </c>
      <c r="C98" s="5">
        <v>0.08</v>
      </c>
      <c r="D98">
        <f t="shared" si="13"/>
        <v>11415.244758597291</v>
      </c>
      <c r="Q98">
        <f t="shared" si="14"/>
        <v>11415.244758597342</v>
      </c>
      <c r="R98">
        <f t="shared" si="18"/>
        <v>237.19560246665628</v>
      </c>
      <c r="S98">
        <f t="shared" si="19"/>
        <v>63748.460104500053</v>
      </c>
      <c r="T98" s="5">
        <v>0.08</v>
      </c>
      <c r="V98">
        <f>SUM($R$2:R98)</f>
        <v>10543.228649227274</v>
      </c>
      <c r="W98">
        <f t="shared" si="20"/>
        <v>22.230904249203547</v>
      </c>
      <c r="Z98">
        <f t="shared" si="22"/>
        <v>7.4395522530672333E-3</v>
      </c>
      <c r="AA98" s="5">
        <v>0.3</v>
      </c>
      <c r="AB98">
        <f t="shared" si="15"/>
        <v>212494.86701500017</v>
      </c>
      <c r="AC98">
        <f t="shared" si="21"/>
        <v>60852.211717142665</v>
      </c>
      <c r="AD98" s="5">
        <v>0.2</v>
      </c>
      <c r="AE98">
        <f t="shared" si="16"/>
        <v>12170.442343428535</v>
      </c>
      <c r="AF98">
        <f t="shared" si="17"/>
        <v>1</v>
      </c>
    </row>
    <row r="99" spans="1:32" x14ac:dyDescent="0.25">
      <c r="A99" s="2">
        <v>98</v>
      </c>
      <c r="B99">
        <f t="shared" si="12"/>
        <v>1746.2414078307456</v>
      </c>
      <c r="C99" s="5">
        <v>0.08</v>
      </c>
      <c r="D99">
        <f t="shared" si="13"/>
        <v>12328.464339285074</v>
      </c>
      <c r="Q99">
        <f t="shared" si="14"/>
        <v>12328.464339285129</v>
      </c>
      <c r="R99">
        <f t="shared" si="18"/>
        <v>241.67099119244227</v>
      </c>
      <c r="S99">
        <f t="shared" si="19"/>
        <v>68848.336912860061</v>
      </c>
      <c r="T99" s="5">
        <v>0.08</v>
      </c>
      <c r="V99">
        <f>SUM($R$2:R99)</f>
        <v>10784.899640419717</v>
      </c>
      <c r="W99">
        <f t="shared" si="20"/>
        <v>22.740479147344743</v>
      </c>
      <c r="Z99">
        <f t="shared" si="22"/>
        <v>6.8884743083955854E-3</v>
      </c>
      <c r="AA99" s="5">
        <v>0.3</v>
      </c>
      <c r="AB99">
        <f t="shared" si="15"/>
        <v>229494.45637620022</v>
      </c>
      <c r="AC99">
        <f t="shared" si="21"/>
        <v>64503.344420171226</v>
      </c>
      <c r="AD99" s="5">
        <v>0.2</v>
      </c>
      <c r="AE99">
        <f t="shared" si="16"/>
        <v>12900.668884034247</v>
      </c>
      <c r="AF99">
        <f t="shared" si="17"/>
        <v>1</v>
      </c>
    </row>
    <row r="100" spans="1:32" x14ac:dyDescent="0.25">
      <c r="A100" s="2">
        <v>99</v>
      </c>
      <c r="B100">
        <f t="shared" si="12"/>
        <v>1885.9407204572053</v>
      </c>
      <c r="C100" s="5">
        <v>0.08</v>
      </c>
      <c r="D100">
        <f t="shared" si="13"/>
        <v>13314.74148642788</v>
      </c>
      <c r="Q100">
        <f t="shared" si="14"/>
        <v>13314.74148642794</v>
      </c>
      <c r="R100">
        <f t="shared" si="18"/>
        <v>246.23082121494116</v>
      </c>
      <c r="S100">
        <f t="shared" si="19"/>
        <v>74356.203865888863</v>
      </c>
      <c r="T100" s="5">
        <v>0.08</v>
      </c>
      <c r="V100">
        <f>SUM($R$2:R100)</f>
        <v>11031.130461634659</v>
      </c>
      <c r="W100">
        <f t="shared" si="20"/>
        <v>23.259668666205581</v>
      </c>
      <c r="Z100">
        <f t="shared" si="22"/>
        <v>6.378216952218135E-3</v>
      </c>
      <c r="AA100" s="5">
        <v>0.3</v>
      </c>
      <c r="AB100">
        <f t="shared" si="15"/>
        <v>247854.01288629623</v>
      </c>
      <c r="AC100">
        <f t="shared" si="21"/>
        <v>68373.545085381498</v>
      </c>
      <c r="AD100" s="5">
        <v>0.2</v>
      </c>
      <c r="AE100">
        <f t="shared" si="16"/>
        <v>13674.7090170763</v>
      </c>
      <c r="AF100">
        <f t="shared" si="17"/>
        <v>1</v>
      </c>
    </row>
    <row r="101" spans="1:32" x14ac:dyDescent="0.25">
      <c r="A101" s="2">
        <v>100</v>
      </c>
      <c r="B101">
        <f t="shared" si="12"/>
        <v>2036.8159780937817</v>
      </c>
      <c r="C101" s="5">
        <v>0.08</v>
      </c>
      <c r="D101">
        <f t="shared" si="13"/>
        <v>14379.92080534211</v>
      </c>
      <c r="Q101">
        <f t="shared" si="14"/>
        <v>14379.920805342177</v>
      </c>
      <c r="R101">
        <f t="shared" si="18"/>
        <v>250.87668576616642</v>
      </c>
      <c r="S101">
        <f t="shared" si="19"/>
        <v>80304.700175159975</v>
      </c>
      <c r="T101" s="5">
        <v>0.08</v>
      </c>
      <c r="V101">
        <f>SUM($R$2:R101)</f>
        <v>11282.007147400825</v>
      </c>
      <c r="W101">
        <f t="shared" si="20"/>
        <v>23.788654213724172</v>
      </c>
      <c r="Z101">
        <f t="shared" si="22"/>
        <v>5.9057564372390139E-3</v>
      </c>
      <c r="AA101" s="5">
        <v>0.3</v>
      </c>
      <c r="AB101">
        <f t="shared" si="15"/>
        <v>267682.33391719993</v>
      </c>
      <c r="AC101">
        <f t="shared" si="21"/>
        <v>72475.957790504399</v>
      </c>
      <c r="AD101" s="5">
        <v>0.2</v>
      </c>
      <c r="AE101">
        <f t="shared" si="16"/>
        <v>14495.19155810088</v>
      </c>
      <c r="AF101">
        <f t="shared" si="17"/>
        <v>1</v>
      </c>
    </row>
    <row r="102" spans="1:32" x14ac:dyDescent="0.25">
      <c r="A102" s="2">
        <v>101</v>
      </c>
      <c r="B102">
        <f t="shared" ref="B102:B165" si="23">B101+B101*C101</f>
        <v>2199.761256341284</v>
      </c>
      <c r="C102" s="5">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5">
        <v>0.08</v>
      </c>
      <c r="V102">
        <f>SUM($R$2:R102)</f>
        <v>11537.617355539938</v>
      </c>
      <c r="W102">
        <f t="shared" ref="W102:W165" si="28">V102/$W$2</f>
        <v>24.327620620629904</v>
      </c>
      <c r="Z102">
        <f t="shared" si="22"/>
        <v>5.468292997443531E-3</v>
      </c>
      <c r="AA102" s="5">
        <v>0.3</v>
      </c>
      <c r="AB102">
        <f t="shared" si="15"/>
        <v>289096.92063057591</v>
      </c>
      <c r="AC102">
        <f t="shared" si="21"/>
        <v>76824.515257934661</v>
      </c>
      <c r="AD102" s="5">
        <v>0.2</v>
      </c>
      <c r="AE102">
        <f t="shared" si="16"/>
        <v>15364.903051586933</v>
      </c>
      <c r="AF102">
        <f t="shared" si="17"/>
        <v>1</v>
      </c>
    </row>
    <row r="103" spans="1:32" x14ac:dyDescent="0.25">
      <c r="A103" s="2">
        <v>102</v>
      </c>
      <c r="B103">
        <f t="shared" si="23"/>
        <v>2375.7421568485865</v>
      </c>
      <c r="C103" s="5">
        <v>0.08</v>
      </c>
      <c r="D103">
        <f t="shared" si="24"/>
        <v>16772.739627351039</v>
      </c>
      <c r="Q103">
        <f t="shared" si="25"/>
        <v>16772.739627351115</v>
      </c>
      <c r="R103">
        <f t="shared" si="26"/>
        <v>260.43304225494529</v>
      </c>
      <c r="S103">
        <f t="shared" si="27"/>
        <v>93667.402284306605</v>
      </c>
      <c r="T103" s="5">
        <v>0.08</v>
      </c>
      <c r="V103">
        <f>SUM($R$2:R103)</f>
        <v>11798.050397794883</v>
      </c>
      <c r="W103">
        <f t="shared" si="28"/>
        <v>24.876756205024424</v>
      </c>
      <c r="Z103">
        <f t="shared" si="22"/>
        <v>5.0632342568921584E-3</v>
      </c>
      <c r="AA103" s="5">
        <v>0.3</v>
      </c>
      <c r="AB103">
        <f t="shared" si="15"/>
        <v>312224.67428102205</v>
      </c>
      <c r="AC103">
        <f t="shared" si="21"/>
        <v>81433.98617341074</v>
      </c>
      <c r="AD103" s="5">
        <v>0.2</v>
      </c>
      <c r="AE103">
        <f t="shared" si="16"/>
        <v>16286.797234682148</v>
      </c>
      <c r="AF103">
        <f t="shared" si="17"/>
        <v>1</v>
      </c>
    </row>
    <row r="104" spans="1:32" x14ac:dyDescent="0.25">
      <c r="A104" s="2">
        <v>103</v>
      </c>
      <c r="B104">
        <f t="shared" si="23"/>
        <v>2565.8015293964736</v>
      </c>
      <c r="C104" s="5">
        <v>0.08</v>
      </c>
      <c r="D104">
        <f t="shared" si="24"/>
        <v>18114.558797539121</v>
      </c>
      <c r="Q104">
        <f t="shared" si="25"/>
        <v>18114.558797539208</v>
      </c>
      <c r="R104">
        <f t="shared" si="26"/>
        <v>265.34687324088759</v>
      </c>
      <c r="S104">
        <f t="shared" si="27"/>
        <v>101160.79446705114</v>
      </c>
      <c r="T104" s="5">
        <v>0.08</v>
      </c>
      <c r="V104">
        <f>SUM($R$2:R104)</f>
        <v>12063.39727103577</v>
      </c>
      <c r="W104">
        <f t="shared" si="28"/>
        <v>25.436252838181105</v>
      </c>
      <c r="Z104">
        <f t="shared" si="22"/>
        <v>4.6881798674927389E-3</v>
      </c>
      <c r="AA104" s="5">
        <v>0.3</v>
      </c>
      <c r="AB104">
        <f t="shared" si="15"/>
        <v>337202.64822350378</v>
      </c>
      <c r="AC104">
        <f t="shared" si="21"/>
        <v>86320.025343815389</v>
      </c>
      <c r="AD104" s="5">
        <v>0.2</v>
      </c>
      <c r="AE104">
        <f t="shared" si="16"/>
        <v>17264.005068763079</v>
      </c>
      <c r="AF104">
        <f t="shared" si="17"/>
        <v>1</v>
      </c>
    </row>
    <row r="105" spans="1:32" x14ac:dyDescent="0.25">
      <c r="A105" s="2">
        <v>104</v>
      </c>
      <c r="B105">
        <f t="shared" si="23"/>
        <v>2771.0656517481916</v>
      </c>
      <c r="C105" s="5">
        <v>0.08</v>
      </c>
      <c r="D105">
        <f t="shared" si="24"/>
        <v>19563.723501342251</v>
      </c>
      <c r="Q105">
        <f t="shared" si="25"/>
        <v>19563.723501342345</v>
      </c>
      <c r="R105">
        <f t="shared" si="26"/>
        <v>270.35341801901751</v>
      </c>
      <c r="S105">
        <f t="shared" si="27"/>
        <v>109253.65802441523</v>
      </c>
      <c r="T105" s="5">
        <v>0.08</v>
      </c>
      <c r="V105">
        <f>SUM($R$2:R105)</f>
        <v>12333.750689054788</v>
      </c>
      <c r="W105">
        <f t="shared" si="28"/>
        <v>26.006306011586027</v>
      </c>
      <c r="Z105">
        <f t="shared" si="22"/>
        <v>4.3409072847154992E-3</v>
      </c>
      <c r="AA105" s="5">
        <v>0.3</v>
      </c>
      <c r="AB105">
        <f t="shared" si="15"/>
        <v>364178.86008138413</v>
      </c>
      <c r="AC105">
        <f t="shared" si="21"/>
        <v>91499.22686444431</v>
      </c>
      <c r="AD105" s="5">
        <v>0.2</v>
      </c>
      <c r="AE105">
        <f t="shared" si="16"/>
        <v>18299.845372888863</v>
      </c>
      <c r="AF105">
        <f t="shared" si="17"/>
        <v>1</v>
      </c>
    </row>
    <row r="106" spans="1:32" x14ac:dyDescent="0.25">
      <c r="A106" s="2">
        <v>105</v>
      </c>
      <c r="B106">
        <f t="shared" si="23"/>
        <v>2992.7509038880471</v>
      </c>
      <c r="C106" s="5">
        <v>0.08</v>
      </c>
      <c r="D106">
        <f t="shared" si="24"/>
        <v>21128.82138144963</v>
      </c>
      <c r="Q106">
        <f t="shared" si="25"/>
        <v>21128.821381449732</v>
      </c>
      <c r="R106">
        <f t="shared" si="26"/>
        <v>275.45442590616886</v>
      </c>
      <c r="S106">
        <f t="shared" si="27"/>
        <v>117993.95066636846</v>
      </c>
      <c r="T106" s="5">
        <v>0.08</v>
      </c>
      <c r="V106">
        <f>SUM($R$2:R106)</f>
        <v>12609.205114960958</v>
      </c>
      <c r="W106">
        <f t="shared" si="28"/>
        <v>26.587114905243872</v>
      </c>
      <c r="Z106">
        <f t="shared" si="22"/>
        <v>4.0193585969587947E-3</v>
      </c>
      <c r="AA106" s="5">
        <v>0.3</v>
      </c>
      <c r="AB106">
        <f t="shared" si="15"/>
        <v>393313.16888789489</v>
      </c>
      <c r="AC106">
        <f t="shared" si="21"/>
        <v>96989.180476310969</v>
      </c>
      <c r="AD106" s="5">
        <v>0.2</v>
      </c>
      <c r="AE106">
        <f t="shared" si="16"/>
        <v>19397.836095262195</v>
      </c>
      <c r="AF106">
        <f t="shared" si="17"/>
        <v>1</v>
      </c>
    </row>
    <row r="107" spans="1:32" x14ac:dyDescent="0.25">
      <c r="A107" s="2">
        <v>106</v>
      </c>
      <c r="B107">
        <f t="shared" si="23"/>
        <v>3232.170976199091</v>
      </c>
      <c r="C107" s="5">
        <v>0.08</v>
      </c>
      <c r="D107">
        <f t="shared" si="24"/>
        <v>22819.127091965602</v>
      </c>
      <c r="Q107">
        <f t="shared" si="25"/>
        <v>22819.127091965714</v>
      </c>
      <c r="R107">
        <f t="shared" si="26"/>
        <v>280.65167922515326</v>
      </c>
      <c r="S107">
        <f t="shared" si="27"/>
        <v>127433.46671967795</v>
      </c>
      <c r="T107" s="5">
        <v>0.08</v>
      </c>
      <c r="V107">
        <f>SUM($R$2:R107)</f>
        <v>12889.856794186111</v>
      </c>
      <c r="W107">
        <f t="shared" si="28"/>
        <v>27.178882457272618</v>
      </c>
      <c r="Z107">
        <f t="shared" si="22"/>
        <v>3.7216283305174023E-3</v>
      </c>
      <c r="AA107" s="5">
        <v>0.3</v>
      </c>
      <c r="AB107">
        <f t="shared" si="15"/>
        <v>424778.2223989265</v>
      </c>
      <c r="AC107">
        <f t="shared" si="21"/>
        <v>102808.53130488964</v>
      </c>
      <c r="AD107" s="5">
        <v>0.2</v>
      </c>
      <c r="AE107">
        <f t="shared" si="16"/>
        <v>20561.706260977928</v>
      </c>
      <c r="AF107">
        <f t="shared" si="17"/>
        <v>1</v>
      </c>
    </row>
    <row r="108" spans="1:32" x14ac:dyDescent="0.25">
      <c r="A108" s="2">
        <v>107</v>
      </c>
      <c r="B108">
        <f t="shared" si="23"/>
        <v>3490.7446542950183</v>
      </c>
      <c r="C108" s="5">
        <v>0.08</v>
      </c>
      <c r="D108">
        <f t="shared" si="24"/>
        <v>24644.657259322848</v>
      </c>
      <c r="Q108">
        <f t="shared" si="25"/>
        <v>24644.657259322968</v>
      </c>
      <c r="R108">
        <f t="shared" si="26"/>
        <v>285.9469939275146</v>
      </c>
      <c r="S108">
        <f t="shared" si="27"/>
        <v>137628.14405725218</v>
      </c>
      <c r="T108" s="5">
        <v>0.08</v>
      </c>
      <c r="V108">
        <f>SUM($R$2:R108)</f>
        <v>13175.803788113626</v>
      </c>
      <c r="W108">
        <f t="shared" si="28"/>
        <v>27.781815434811339</v>
      </c>
      <c r="Z108">
        <f t="shared" si="22"/>
        <v>3.4459521578864838E-3</v>
      </c>
      <c r="AA108" s="5">
        <v>0.3</v>
      </c>
      <c r="AB108">
        <f t="shared" si="15"/>
        <v>458760.48019084061</v>
      </c>
      <c r="AC108">
        <f t="shared" si="21"/>
        <v>108977.04318318302</v>
      </c>
      <c r="AD108" s="5">
        <v>0.2</v>
      </c>
      <c r="AE108">
        <f t="shared" si="16"/>
        <v>21795.408636636606</v>
      </c>
      <c r="AF108">
        <f t="shared" si="17"/>
        <v>1</v>
      </c>
    </row>
    <row r="109" spans="1:32" x14ac:dyDescent="0.25">
      <c r="A109" s="2">
        <v>108</v>
      </c>
      <c r="B109">
        <f t="shared" si="23"/>
        <v>3770.0042266386199</v>
      </c>
      <c r="C109" s="5">
        <v>0.08</v>
      </c>
      <c r="D109">
        <f t="shared" si="24"/>
        <v>26616.229840068678</v>
      </c>
      <c r="Q109">
        <f t="shared" si="25"/>
        <v>26616.229840068805</v>
      </c>
      <c r="R109">
        <f t="shared" si="26"/>
        <v>291.34222022803368</v>
      </c>
      <c r="S109">
        <f t="shared" si="27"/>
        <v>148638.39558183236</v>
      </c>
      <c r="T109" s="5">
        <v>0.08</v>
      </c>
      <c r="V109">
        <f>SUM($R$2:R109)</f>
        <v>13467.14600834166</v>
      </c>
      <c r="W109">
        <f t="shared" si="28"/>
        <v>28.396124506265888</v>
      </c>
      <c r="Z109">
        <f t="shared" si="22"/>
        <v>3.1906964424874848E-3</v>
      </c>
      <c r="AA109" s="5">
        <v>0.3</v>
      </c>
      <c r="AB109">
        <f t="shared" si="15"/>
        <v>495461.3186061079</v>
      </c>
      <c r="AC109">
        <f t="shared" si="21"/>
        <v>115515.66577417401</v>
      </c>
      <c r="AD109" s="5">
        <v>0.2</v>
      </c>
      <c r="AE109">
        <f t="shared" si="16"/>
        <v>23103.133154834803</v>
      </c>
      <c r="AF109">
        <f t="shared" si="17"/>
        <v>1</v>
      </c>
    </row>
    <row r="110" spans="1:32" x14ac:dyDescent="0.25">
      <c r="A110" s="2">
        <v>109</v>
      </c>
      <c r="B110">
        <f t="shared" si="23"/>
        <v>4071.6045647697097</v>
      </c>
      <c r="C110" s="5">
        <v>0.08</v>
      </c>
      <c r="D110">
        <f t="shared" si="24"/>
        <v>28745.528227274172</v>
      </c>
      <c r="Q110">
        <f t="shared" si="25"/>
        <v>28745.528227274317</v>
      </c>
      <c r="R110">
        <f t="shared" si="26"/>
        <v>296.83924325120415</v>
      </c>
      <c r="S110">
        <f t="shared" si="27"/>
        <v>160529.46722837896</v>
      </c>
      <c r="T110" s="5">
        <v>0.08</v>
      </c>
      <c r="V110">
        <f>SUM($R$2:R110)</f>
        <v>13763.985251592865</v>
      </c>
      <c r="W110">
        <f t="shared" si="28"/>
        <v>29.022024314917694</v>
      </c>
      <c r="Z110">
        <f t="shared" si="22"/>
        <v>2.954348557858782E-3</v>
      </c>
      <c r="AA110" s="5">
        <v>0.3</v>
      </c>
      <c r="AB110">
        <f t="shared" si="15"/>
        <v>535098.22409459658</v>
      </c>
      <c r="AC110">
        <f t="shared" si="21"/>
        <v>122446.60572062446</v>
      </c>
      <c r="AD110" s="5">
        <v>0.2</v>
      </c>
      <c r="AE110">
        <f t="shared" si="16"/>
        <v>24489.321144124893</v>
      </c>
      <c r="AF110">
        <f t="shared" si="17"/>
        <v>1</v>
      </c>
    </row>
    <row r="111" spans="1:32" x14ac:dyDescent="0.25">
      <c r="A111" s="2">
        <v>110</v>
      </c>
      <c r="B111">
        <f t="shared" si="23"/>
        <v>4397.3329299512861</v>
      </c>
      <c r="C111" s="5">
        <v>0.08</v>
      </c>
      <c r="D111">
        <f t="shared" si="24"/>
        <v>31045.170485456107</v>
      </c>
      <c r="Q111">
        <f t="shared" si="25"/>
        <v>31045.170485456259</v>
      </c>
      <c r="R111">
        <f t="shared" si="26"/>
        <v>302.43998368990606</v>
      </c>
      <c r="S111">
        <f t="shared" si="27"/>
        <v>173371.82460664929</v>
      </c>
      <c r="T111" s="5">
        <v>0.08</v>
      </c>
      <c r="V111">
        <f>SUM($R$2:R111)</f>
        <v>14066.425235282772</v>
      </c>
      <c r="W111">
        <f t="shared" si="28"/>
        <v>29.65973355392142</v>
      </c>
      <c r="Z111">
        <f t="shared" si="22"/>
        <v>2.7355079239433167E-3</v>
      </c>
      <c r="AA111" s="5">
        <v>0.3</v>
      </c>
      <c r="AB111">
        <f t="shared" si="15"/>
        <v>577906.08202216437</v>
      </c>
      <c r="AC111">
        <f t="shared" si="21"/>
        <v>129793.40206386193</v>
      </c>
      <c r="AD111" s="5">
        <v>0.2</v>
      </c>
      <c r="AE111">
        <f t="shared" si="16"/>
        <v>25958.680412772388</v>
      </c>
      <c r="AF111">
        <f t="shared" si="17"/>
        <v>1</v>
      </c>
    </row>
    <row r="112" spans="1:32" x14ac:dyDescent="0.25">
      <c r="A112" s="2">
        <v>111</v>
      </c>
      <c r="B112">
        <f t="shared" si="23"/>
        <v>4749.1195643473893</v>
      </c>
      <c r="C112" s="5">
        <v>0.08</v>
      </c>
      <c r="D112">
        <f t="shared" si="24"/>
        <v>33528.784124292593</v>
      </c>
      <c r="Q112">
        <f t="shared" si="25"/>
        <v>33528.784124292768</v>
      </c>
      <c r="R112">
        <f t="shared" si="26"/>
        <v>308.14639847650812</v>
      </c>
      <c r="S112">
        <f t="shared" si="27"/>
        <v>187241.57057518125</v>
      </c>
      <c r="T112" s="5">
        <v>0.08</v>
      </c>
      <c r="V112">
        <f>SUM($R$2:R112)</f>
        <v>14374.57163375928</v>
      </c>
      <c r="W112">
        <f t="shared" si="28"/>
        <v>30.309475042717665</v>
      </c>
      <c r="Z112">
        <f t="shared" si="22"/>
        <v>2.5328777073549223E-3</v>
      </c>
      <c r="AA112" s="5">
        <v>0.3</v>
      </c>
      <c r="AB112">
        <f t="shared" si="15"/>
        <v>624138.56858393748</v>
      </c>
      <c r="AC112">
        <f t="shared" si="21"/>
        <v>137581.00618769365</v>
      </c>
      <c r="AD112" s="5">
        <v>0.2</v>
      </c>
      <c r="AE112">
        <f t="shared" si="16"/>
        <v>27516.201237538731</v>
      </c>
      <c r="AF112">
        <f t="shared" si="17"/>
        <v>1</v>
      </c>
    </row>
    <row r="113" spans="1:32" x14ac:dyDescent="0.25">
      <c r="A113" s="2">
        <v>112</v>
      </c>
      <c r="B113">
        <f t="shared" si="23"/>
        <v>5129.0491294951808</v>
      </c>
      <c r="C113" s="5">
        <v>0.08</v>
      </c>
      <c r="D113">
        <f t="shared" si="24"/>
        <v>36211.086854236004</v>
      </c>
      <c r="Q113">
        <f t="shared" si="25"/>
        <v>36211.086854236193</v>
      </c>
      <c r="R113">
        <f t="shared" si="26"/>
        <v>313.96048146663088</v>
      </c>
      <c r="S113">
        <f t="shared" si="27"/>
        <v>202220.89622119576</v>
      </c>
      <c r="T113" s="5">
        <v>0.08</v>
      </c>
      <c r="V113">
        <f>SUM($R$2:R113)</f>
        <v>14688.532115225911</v>
      </c>
      <c r="W113">
        <f t="shared" si="28"/>
        <v>30.971475804887429</v>
      </c>
      <c r="Z113">
        <f t="shared" si="22"/>
        <v>2.3452571364397431E-3</v>
      </c>
      <c r="AA113" s="5">
        <v>0.3</v>
      </c>
      <c r="AB113">
        <f t="shared" si="15"/>
        <v>674069.65407065256</v>
      </c>
      <c r="AC113">
        <f t="shared" si="21"/>
        <v>145835.86655895528</v>
      </c>
      <c r="AD113" s="5">
        <v>0.2</v>
      </c>
      <c r="AE113">
        <f t="shared" si="16"/>
        <v>29167.173311791059</v>
      </c>
      <c r="AF113">
        <f t="shared" si="17"/>
        <v>1</v>
      </c>
    </row>
    <row r="114" spans="1:32" x14ac:dyDescent="0.25">
      <c r="A114" s="2">
        <v>113</v>
      </c>
      <c r="B114">
        <f t="shared" si="23"/>
        <v>5539.3730598547954</v>
      </c>
      <c r="C114" s="5">
        <v>0.08</v>
      </c>
      <c r="D114">
        <f t="shared" si="24"/>
        <v>39107.973802574881</v>
      </c>
      <c r="Q114">
        <f t="shared" si="25"/>
        <v>39107.973802575085</v>
      </c>
      <c r="R114">
        <f t="shared" si="26"/>
        <v>319.88426413581266</v>
      </c>
      <c r="S114">
        <f t="shared" si="27"/>
        <v>218398.56791889144</v>
      </c>
      <c r="T114" s="5">
        <v>0.08</v>
      </c>
      <c r="V114">
        <f>SUM($R$2:R114)</f>
        <v>15008.416379361724</v>
      </c>
      <c r="W114">
        <f t="shared" si="28"/>
        <v>31.645967147475488</v>
      </c>
      <c r="Z114">
        <f t="shared" si="22"/>
        <v>2.1715343855923542E-3</v>
      </c>
      <c r="AA114" s="5">
        <v>0.3</v>
      </c>
      <c r="AB114">
        <f t="shared" si="15"/>
        <v>727995.22639630479</v>
      </c>
      <c r="AC114">
        <f t="shared" si="21"/>
        <v>154586.01855249261</v>
      </c>
      <c r="AD114" s="5">
        <v>0.2</v>
      </c>
      <c r="AE114">
        <f t="shared" si="16"/>
        <v>30917.203710498521</v>
      </c>
      <c r="AF114">
        <f t="shared" si="17"/>
        <v>1</v>
      </c>
    </row>
    <row r="115" spans="1:32" x14ac:dyDescent="0.25">
      <c r="A115" s="2">
        <v>114</v>
      </c>
      <c r="B115">
        <f t="shared" si="23"/>
        <v>5982.5229046431787</v>
      </c>
      <c r="C115" s="5">
        <v>0.08</v>
      </c>
      <c r="D115">
        <f t="shared" si="24"/>
        <v>42236.611706780874</v>
      </c>
      <c r="Q115">
        <f t="shared" si="25"/>
        <v>42236.611706781092</v>
      </c>
      <c r="R115">
        <f t="shared" si="26"/>
        <v>325.91981628931853</v>
      </c>
      <c r="S115">
        <f t="shared" si="27"/>
        <v>235870.45335240278</v>
      </c>
      <c r="T115" s="5">
        <v>0.08</v>
      </c>
      <c r="V115">
        <f>SUM($R$2:R115)</f>
        <v>15334.336195651043</v>
      </c>
      <c r="W115">
        <f t="shared" si="28"/>
        <v>32.333184741810491</v>
      </c>
      <c r="Z115">
        <f t="shared" si="22"/>
        <v>2.010679986659587E-3</v>
      </c>
      <c r="AA115" s="5">
        <v>0.3</v>
      </c>
      <c r="AB115">
        <f t="shared" si="15"/>
        <v>786234.84450800926</v>
      </c>
      <c r="AC115">
        <f t="shared" si="21"/>
        <v>163861.17966564218</v>
      </c>
      <c r="AD115" s="5">
        <v>0.2</v>
      </c>
      <c r="AE115">
        <f t="shared" si="16"/>
        <v>32772.235933128439</v>
      </c>
      <c r="AF115">
        <f t="shared" si="17"/>
        <v>1</v>
      </c>
    </row>
    <row r="116" spans="1:32" x14ac:dyDescent="0.25">
      <c r="A116" s="2">
        <v>115</v>
      </c>
      <c r="B116">
        <f t="shared" si="23"/>
        <v>6461.124737014633</v>
      </c>
      <c r="C116" s="5">
        <v>0.08</v>
      </c>
      <c r="D116">
        <f t="shared" si="24"/>
        <v>45615.540643323344</v>
      </c>
      <c r="Q116">
        <f t="shared" si="25"/>
        <v>45615.540643323584</v>
      </c>
      <c r="R116">
        <f t="shared" si="26"/>
        <v>332.06924678534347</v>
      </c>
      <c r="S116">
        <f t="shared" si="27"/>
        <v>254740.08962059501</v>
      </c>
      <c r="T116" s="5">
        <v>0.08</v>
      </c>
      <c r="V116">
        <f>SUM($R$2:R116)</f>
        <v>15666.405442436388</v>
      </c>
      <c r="W116">
        <f t="shared" si="28"/>
        <v>33.033368705849931</v>
      </c>
      <c r="Z116">
        <f t="shared" si="22"/>
        <v>1.8617407283885066E-3</v>
      </c>
      <c r="AA116" s="5">
        <v>0.3</v>
      </c>
      <c r="AB116">
        <f t="shared" si="15"/>
        <v>849133.6320686501</v>
      </c>
      <c r="AC116">
        <f t="shared" si="21"/>
        <v>173692.85044558073</v>
      </c>
      <c r="AD116" s="5">
        <v>0.2</v>
      </c>
      <c r="AE116">
        <f t="shared" si="16"/>
        <v>34738.570089116147</v>
      </c>
      <c r="AF116">
        <f t="shared" si="17"/>
        <v>1</v>
      </c>
    </row>
    <row r="117" spans="1:32" x14ac:dyDescent="0.25">
      <c r="A117" s="2">
        <v>116</v>
      </c>
      <c r="B117">
        <f t="shared" si="23"/>
        <v>6978.0147159758035</v>
      </c>
      <c r="C117" s="5">
        <v>0.08</v>
      </c>
      <c r="D117">
        <f t="shared" si="24"/>
        <v>49264.783894789209</v>
      </c>
      <c r="Q117">
        <f t="shared" si="25"/>
        <v>49264.783894789478</v>
      </c>
      <c r="R117">
        <f t="shared" si="26"/>
        <v>338.33470427185938</v>
      </c>
      <c r="S117">
        <f t="shared" si="27"/>
        <v>275119.2967902426</v>
      </c>
      <c r="T117" s="5">
        <v>0.08</v>
      </c>
      <c r="V117">
        <f>SUM($R$2:R117)</f>
        <v>16004.740146708247</v>
      </c>
      <c r="W117">
        <f t="shared" si="28"/>
        <v>33.746763688078794</v>
      </c>
      <c r="Z117">
        <f t="shared" si="22"/>
        <v>1.7238340077671357E-3</v>
      </c>
      <c r="AA117" s="5">
        <v>0.3</v>
      </c>
      <c r="AB117">
        <f t="shared" si="15"/>
        <v>917064.32263414201</v>
      </c>
      <c r="AC117">
        <f t="shared" si="21"/>
        <v>184114.42147231559</v>
      </c>
      <c r="AD117" s="5">
        <v>0.2</v>
      </c>
      <c r="AE117">
        <f t="shared" si="16"/>
        <v>36822.884294463118</v>
      </c>
      <c r="AF117">
        <f t="shared" si="17"/>
        <v>1</v>
      </c>
    </row>
    <row r="118" spans="1:32" x14ac:dyDescent="0.25">
      <c r="A118" s="2">
        <v>117</v>
      </c>
      <c r="B118">
        <f t="shared" si="23"/>
        <v>7536.2558932538677</v>
      </c>
      <c r="C118" s="5">
        <v>0.08</v>
      </c>
      <c r="D118">
        <f t="shared" si="24"/>
        <v>53205.966606372349</v>
      </c>
      <c r="Q118">
        <f t="shared" si="25"/>
        <v>53205.966606372633</v>
      </c>
      <c r="R118">
        <f t="shared" si="26"/>
        <v>344.71837793736609</v>
      </c>
      <c r="S118">
        <f t="shared" si="27"/>
        <v>297128.840533462</v>
      </c>
      <c r="T118" s="5">
        <v>0.08</v>
      </c>
      <c r="V118">
        <f>SUM($R$2:R118)</f>
        <v>16349.458524645614</v>
      </c>
      <c r="W118">
        <f t="shared" si="28"/>
        <v>34.473618952991217</v>
      </c>
      <c r="Z118">
        <f t="shared" si="22"/>
        <v>1.596142599784385E-3</v>
      </c>
      <c r="AA118" s="5">
        <v>0.3</v>
      </c>
      <c r="AB118">
        <f t="shared" si="15"/>
        <v>990429.46844487335</v>
      </c>
      <c r="AC118">
        <f t="shared" si="21"/>
        <v>195161.28676065453</v>
      </c>
      <c r="AD118" s="5">
        <v>0.2</v>
      </c>
      <c r="AE118">
        <f t="shared" si="16"/>
        <v>39032.25735213091</v>
      </c>
      <c r="AF118">
        <f t="shared" si="17"/>
        <v>1</v>
      </c>
    </row>
    <row r="119" spans="1:32" x14ac:dyDescent="0.25">
      <c r="A119" s="2">
        <v>118</v>
      </c>
      <c r="B119">
        <f t="shared" si="23"/>
        <v>8139.1563647141775</v>
      </c>
      <c r="C119" s="5">
        <v>0.08</v>
      </c>
      <c r="D119">
        <f t="shared" si="24"/>
        <v>57462.44393488214</v>
      </c>
      <c r="Q119">
        <f t="shared" si="25"/>
        <v>57462.443934882445</v>
      </c>
      <c r="R119">
        <f t="shared" si="26"/>
        <v>351.22249827580691</v>
      </c>
      <c r="S119">
        <f t="shared" si="27"/>
        <v>320899.14777613897</v>
      </c>
      <c r="T119" s="5">
        <v>0.08</v>
      </c>
      <c r="V119">
        <f>SUM($R$2:R119)</f>
        <v>16700.681022921421</v>
      </c>
      <c r="W119">
        <f t="shared" si="28"/>
        <v>35.214188468185007</v>
      </c>
      <c r="Z119">
        <f t="shared" si="22"/>
        <v>1.4779098146151712E-3</v>
      </c>
      <c r="AA119" s="5">
        <v>0.3</v>
      </c>
      <c r="AB119">
        <f t="shared" si="15"/>
        <v>1069663.8259204633</v>
      </c>
      <c r="AC119">
        <f t="shared" si="21"/>
        <v>206870.96396629381</v>
      </c>
      <c r="AD119" s="5">
        <v>0.2</v>
      </c>
      <c r="AE119">
        <f t="shared" si="16"/>
        <v>41374.192793258764</v>
      </c>
      <c r="AF119">
        <f t="shared" si="17"/>
        <v>1</v>
      </c>
    </row>
    <row r="120" spans="1:32" x14ac:dyDescent="0.25">
      <c r="A120" s="2">
        <v>119</v>
      </c>
      <c r="B120">
        <f t="shared" si="23"/>
        <v>8790.2888738913116</v>
      </c>
      <c r="C120" s="5">
        <v>0.08</v>
      </c>
      <c r="D120">
        <f t="shared" si="24"/>
        <v>62059.439449672711</v>
      </c>
      <c r="Q120">
        <f t="shared" si="25"/>
        <v>62059.439449673038</v>
      </c>
      <c r="R120">
        <f t="shared" si="26"/>
        <v>357.84933786591654</v>
      </c>
      <c r="S120">
        <f t="shared" si="27"/>
        <v>346571.07959823014</v>
      </c>
      <c r="T120" s="5">
        <v>0.08</v>
      </c>
      <c r="V120">
        <f>SUM($R$2:R120)</f>
        <v>17058.530360787336</v>
      </c>
      <c r="W120">
        <f t="shared" si="28"/>
        <v>35.968730993099427</v>
      </c>
      <c r="Z120">
        <f t="shared" si="22"/>
        <v>1.3684350135325658E-3</v>
      </c>
      <c r="AA120" s="5">
        <v>0.3</v>
      </c>
      <c r="AB120">
        <f t="shared" si="15"/>
        <v>1155236.9319941006</v>
      </c>
      <c r="AC120">
        <f t="shared" si="21"/>
        <v>219283.22180427145</v>
      </c>
      <c r="AD120" s="5">
        <v>0.2</v>
      </c>
      <c r="AE120">
        <f t="shared" si="16"/>
        <v>43856.64436085429</v>
      </c>
      <c r="AF120">
        <f t="shared" si="17"/>
        <v>1</v>
      </c>
    </row>
    <row r="121" spans="1:32" x14ac:dyDescent="0.25">
      <c r="A121" s="2">
        <v>120</v>
      </c>
      <c r="B121">
        <f t="shared" si="23"/>
        <v>9493.5119838026167</v>
      </c>
      <c r="C121" s="5">
        <v>0.08</v>
      </c>
      <c r="D121">
        <f t="shared" si="24"/>
        <v>67024.194605646524</v>
      </c>
      <c r="Q121">
        <f t="shared" si="25"/>
        <v>67024.194605646888</v>
      </c>
      <c r="R121">
        <f t="shared" si="26"/>
        <v>364.60121216527341</v>
      </c>
      <c r="S121">
        <f t="shared" si="27"/>
        <v>374296.76596608857</v>
      </c>
      <c r="T121" s="5">
        <v>0.08</v>
      </c>
      <c r="V121">
        <f>SUM($R$2:R121)</f>
        <v>17423.13157295261</v>
      </c>
      <c r="W121">
        <f t="shared" si="28"/>
        <v>36.737510169427338</v>
      </c>
      <c r="Z121">
        <f t="shared" si="22"/>
        <v>1.2670694569745979E-3</v>
      </c>
      <c r="AA121" s="5">
        <v>0.3</v>
      </c>
      <c r="AB121">
        <f t="shared" si="15"/>
        <v>1247655.8865536286</v>
      </c>
      <c r="AC121">
        <f t="shared" si="21"/>
        <v>232440.21511252775</v>
      </c>
      <c r="AD121" s="5">
        <v>0.2</v>
      </c>
      <c r="AE121">
        <f t="shared" si="16"/>
        <v>46488.043022505553</v>
      </c>
      <c r="AF121">
        <f t="shared" si="17"/>
        <v>1</v>
      </c>
    </row>
    <row r="122" spans="1:32" x14ac:dyDescent="0.25">
      <c r="A122" s="2">
        <v>121</v>
      </c>
      <c r="B122">
        <f t="shared" si="23"/>
        <v>10252.992942506826</v>
      </c>
      <c r="C122" s="5">
        <v>0.08</v>
      </c>
      <c r="D122">
        <f t="shared" si="24"/>
        <v>72386.130174098245</v>
      </c>
      <c r="Q122">
        <f t="shared" si="25"/>
        <v>72386.130174098653</v>
      </c>
      <c r="R122">
        <f t="shared" si="26"/>
        <v>371.4804803193353</v>
      </c>
      <c r="S122">
        <f t="shared" si="27"/>
        <v>404240.5072433757</v>
      </c>
      <c r="T122" s="5">
        <v>0.08</v>
      </c>
      <c r="V122">
        <f>SUM($R$2:R122)</f>
        <v>17794.612053271947</v>
      </c>
      <c r="W122">
        <f t="shared" si="28"/>
        <v>37.520794613233136</v>
      </c>
      <c r="Z122">
        <f t="shared" si="22"/>
        <v>1.1732124601616645E-3</v>
      </c>
      <c r="AA122" s="5">
        <v>0.3</v>
      </c>
      <c r="AB122">
        <f t="shared" si="15"/>
        <v>1347468.357477919</v>
      </c>
      <c r="AC122">
        <f t="shared" si="21"/>
        <v>246386.62801927942</v>
      </c>
      <c r="AD122" s="5">
        <v>0.2</v>
      </c>
      <c r="AE122">
        <f t="shared" si="16"/>
        <v>49277.32560385589</v>
      </c>
      <c r="AF122">
        <f t="shared" si="17"/>
        <v>1</v>
      </c>
    </row>
    <row r="123" spans="1:32" x14ac:dyDescent="0.25">
      <c r="A123" s="2">
        <v>122</v>
      </c>
      <c r="B123">
        <f t="shared" si="23"/>
        <v>11073.232377907372</v>
      </c>
      <c r="C123" s="5">
        <v>0.08</v>
      </c>
      <c r="D123">
        <f t="shared" si="24"/>
        <v>78177.020588026106</v>
      </c>
      <c r="Q123">
        <f t="shared" si="25"/>
        <v>78177.020588026542</v>
      </c>
      <c r="R123">
        <f t="shared" si="26"/>
        <v>378.48954598573783</v>
      </c>
      <c r="S123">
        <f t="shared" si="27"/>
        <v>436579.74782284576</v>
      </c>
      <c r="T123" s="5">
        <v>0.08</v>
      </c>
      <c r="V123">
        <f>SUM($R$2:R123)</f>
        <v>18173.101599257683</v>
      </c>
      <c r="W123">
        <f t="shared" si="28"/>
        <v>38.318858008808846</v>
      </c>
      <c r="Z123">
        <f t="shared" si="22"/>
        <v>1.0863078334830227E-3</v>
      </c>
      <c r="AA123" s="5">
        <v>0.3</v>
      </c>
      <c r="AB123">
        <f t="shared" si="15"/>
        <v>1455265.8260761525</v>
      </c>
      <c r="AC123">
        <f t="shared" si="21"/>
        <v>261169.82570043619</v>
      </c>
      <c r="AD123" s="5">
        <v>0.2</v>
      </c>
      <c r="AE123">
        <f t="shared" si="16"/>
        <v>52233.965140087239</v>
      </c>
      <c r="AF123">
        <f t="shared" si="17"/>
        <v>1</v>
      </c>
    </row>
    <row r="124" spans="1:32" x14ac:dyDescent="0.25">
      <c r="A124" s="2">
        <v>123</v>
      </c>
      <c r="B124">
        <f t="shared" si="23"/>
        <v>11959.090968139963</v>
      </c>
      <c r="C124" s="5">
        <v>0.08</v>
      </c>
      <c r="D124">
        <f t="shared" si="24"/>
        <v>84431.18223506819</v>
      </c>
      <c r="Q124">
        <f t="shared" si="25"/>
        <v>84431.182235068671</v>
      </c>
      <c r="R124">
        <f t="shared" si="26"/>
        <v>385.63085817414793</v>
      </c>
      <c r="S124">
        <f t="shared" si="27"/>
        <v>471506.12764867343</v>
      </c>
      <c r="T124" s="5">
        <v>0.08</v>
      </c>
      <c r="V124">
        <f>SUM($R$2:R124)</f>
        <v>18558.73245743183</v>
      </c>
      <c r="W124">
        <f t="shared" si="28"/>
        <v>39.131979204301082</v>
      </c>
      <c r="Z124">
        <f t="shared" si="22"/>
        <v>1.0058405865583544E-3</v>
      </c>
      <c r="AA124" s="5">
        <v>0.3</v>
      </c>
      <c r="AB124">
        <f t="shared" si="15"/>
        <v>1571687.0921622447</v>
      </c>
      <c r="AC124">
        <f t="shared" si="21"/>
        <v>276840.0152424624</v>
      </c>
      <c r="AD124" s="5">
        <v>0.2</v>
      </c>
      <c r="AE124">
        <f t="shared" si="16"/>
        <v>55368.003048492479</v>
      </c>
      <c r="AF124">
        <f t="shared" si="17"/>
        <v>1</v>
      </c>
    </row>
    <row r="125" spans="1:32" x14ac:dyDescent="0.25">
      <c r="A125" s="2">
        <v>124</v>
      </c>
      <c r="B125">
        <f t="shared" si="23"/>
        <v>12915.818245591159</v>
      </c>
      <c r="C125" s="5">
        <v>0.08</v>
      </c>
      <c r="D125">
        <f t="shared" si="24"/>
        <v>91185.676813873652</v>
      </c>
      <c r="Q125">
        <f t="shared" si="25"/>
        <v>91185.676813874161</v>
      </c>
      <c r="R125">
        <f t="shared" si="26"/>
        <v>392.90691210196206</v>
      </c>
      <c r="S125">
        <f t="shared" si="27"/>
        <v>509226.61786056735</v>
      </c>
      <c r="T125" s="5">
        <v>0.08</v>
      </c>
      <c r="V125">
        <f>SUM($R$2:R125)</f>
        <v>18951.639369533794</v>
      </c>
      <c r="W125">
        <f t="shared" si="28"/>
        <v>39.96044230914223</v>
      </c>
      <c r="Z125">
        <f t="shared" si="22"/>
        <v>9.3133387644292063E-4</v>
      </c>
      <c r="AA125" s="5">
        <v>0.3</v>
      </c>
      <c r="AB125">
        <f t="shared" si="15"/>
        <v>1697422.0595352245</v>
      </c>
      <c r="AC125">
        <f t="shared" si="21"/>
        <v>293450.41615701013</v>
      </c>
      <c r="AD125" s="5">
        <v>0.2</v>
      </c>
      <c r="AE125">
        <f t="shared" si="16"/>
        <v>58690.08323140203</v>
      </c>
      <c r="AF125">
        <f t="shared" si="17"/>
        <v>1</v>
      </c>
    </row>
    <row r="126" spans="1:32" x14ac:dyDescent="0.25">
      <c r="A126" s="2">
        <v>125</v>
      </c>
      <c r="B126">
        <f t="shared" si="23"/>
        <v>13949.083705238452</v>
      </c>
      <c r="C126" s="5">
        <v>0.08</v>
      </c>
      <c r="D126">
        <f t="shared" si="24"/>
        <v>98480.530958983538</v>
      </c>
      <c r="Q126">
        <f t="shared" si="25"/>
        <v>98480.530958984091</v>
      </c>
      <c r="R126">
        <f t="shared" si="26"/>
        <v>400.32025006615009</v>
      </c>
      <c r="S126">
        <f t="shared" si="27"/>
        <v>549964.74728941277</v>
      </c>
      <c r="T126" s="5">
        <v>0.08</v>
      </c>
      <c r="V126">
        <f>SUM($R$2:R126)</f>
        <v>19351.959619599944</v>
      </c>
      <c r="W126">
        <f t="shared" si="28"/>
        <v>40.804536793320004</v>
      </c>
      <c r="Z126">
        <f t="shared" si="22"/>
        <v>8.623461818915931E-4</v>
      </c>
      <c r="AA126" s="5">
        <v>0.3</v>
      </c>
      <c r="AB126">
        <f t="shared" si="15"/>
        <v>1833215.8242980426</v>
      </c>
      <c r="AC126">
        <f t="shared" si="21"/>
        <v>311057.44112643076</v>
      </c>
      <c r="AD126" s="5">
        <v>0.2</v>
      </c>
      <c r="AE126">
        <f t="shared" si="16"/>
        <v>62211.488225286157</v>
      </c>
      <c r="AF126">
        <f t="shared" si="17"/>
        <v>1</v>
      </c>
    </row>
    <row r="127" spans="1:32" x14ac:dyDescent="0.25">
      <c r="A127" s="2">
        <v>126</v>
      </c>
      <c r="B127">
        <f t="shared" si="23"/>
        <v>15065.010401657528</v>
      </c>
      <c r="C127" s="5">
        <v>0.08</v>
      </c>
      <c r="D127">
        <f t="shared" si="24"/>
        <v>106358.97343570222</v>
      </c>
      <c r="Q127">
        <f t="shared" si="25"/>
        <v>106358.97343570284</v>
      </c>
      <c r="R127">
        <f t="shared" si="26"/>
        <v>407.87346233154904</v>
      </c>
      <c r="S127">
        <f t="shared" si="27"/>
        <v>593961.92707256589</v>
      </c>
      <c r="T127" s="5">
        <v>0.08</v>
      </c>
      <c r="V127">
        <f>SUM($R$2:R127)</f>
        <v>19759.833081931494</v>
      </c>
      <c r="W127">
        <f t="shared" si="28"/>
        <v>41.664557588519997</v>
      </c>
      <c r="Z127">
        <f t="shared" si="22"/>
        <v>7.9846868693666021E-4</v>
      </c>
      <c r="AA127" s="5">
        <v>0.3</v>
      </c>
      <c r="AB127">
        <f t="shared" si="15"/>
        <v>1979873.0902418864</v>
      </c>
      <c r="AC127">
        <f t="shared" si="21"/>
        <v>329720.88759401662</v>
      </c>
      <c r="AD127" s="5">
        <v>0.2</v>
      </c>
      <c r="AE127">
        <f t="shared" si="16"/>
        <v>65944.177518803321</v>
      </c>
      <c r="AF127">
        <f t="shared" si="17"/>
        <v>1</v>
      </c>
    </row>
    <row r="128" spans="1:32" x14ac:dyDescent="0.25">
      <c r="A128" s="2">
        <v>127</v>
      </c>
      <c r="B128">
        <f t="shared" si="23"/>
        <v>16270.211233790131</v>
      </c>
      <c r="C128" s="5">
        <v>0.08</v>
      </c>
      <c r="D128">
        <f t="shared" si="24"/>
        <v>114867.69131055841</v>
      </c>
      <c r="Q128">
        <f t="shared" si="25"/>
        <v>114867.69131055908</v>
      </c>
      <c r="R128">
        <f t="shared" si="26"/>
        <v>415.56918803591799</v>
      </c>
      <c r="S128">
        <f t="shared" si="27"/>
        <v>641478.88123837125</v>
      </c>
      <c r="T128" s="5">
        <v>0.08</v>
      </c>
      <c r="V128">
        <f>SUM($R$2:R128)</f>
        <v>20175.402269967413</v>
      </c>
      <c r="W128">
        <f t="shared" si="28"/>
        <v>42.540805191176595</v>
      </c>
      <c r="Z128">
        <f t="shared" si="22"/>
        <v>7.393228582746852E-4</v>
      </c>
      <c r="AA128" s="5">
        <v>0.3</v>
      </c>
      <c r="AB128">
        <f t="shared" si="15"/>
        <v>2138262.9374612374</v>
      </c>
      <c r="AC128">
        <f t="shared" si="21"/>
        <v>349504.14084965765</v>
      </c>
      <c r="AD128" s="5">
        <v>0.2</v>
      </c>
      <c r="AE128">
        <f t="shared" si="16"/>
        <v>69900.828169931527</v>
      </c>
      <c r="AF128">
        <f t="shared" si="17"/>
        <v>1</v>
      </c>
    </row>
    <row r="129" spans="1:32" x14ac:dyDescent="0.25">
      <c r="A129" s="2">
        <v>128</v>
      </c>
      <c r="B129">
        <f t="shared" si="23"/>
        <v>17571.828132493341</v>
      </c>
      <c r="C129" s="5">
        <v>0.08</v>
      </c>
      <c r="D129">
        <f t="shared" si="24"/>
        <v>124057.10661540309</v>
      </c>
      <c r="Q129">
        <f t="shared" si="25"/>
        <v>124057.10661540383</v>
      </c>
      <c r="R129">
        <f t="shared" si="26"/>
        <v>423.41011611206733</v>
      </c>
      <c r="S129">
        <f t="shared" si="27"/>
        <v>692797.191737441</v>
      </c>
      <c r="T129" s="5">
        <v>0.08</v>
      </c>
      <c r="V129">
        <f>SUM($R$2:R129)</f>
        <v>20598.81238607948</v>
      </c>
      <c r="W129">
        <f t="shared" si="28"/>
        <v>43.433585767468223</v>
      </c>
      <c r="Z129">
        <f t="shared" si="22"/>
        <v>6.8455820210619001E-4</v>
      </c>
      <c r="AA129" s="5">
        <v>0.3</v>
      </c>
      <c r="AB129">
        <f t="shared" si="15"/>
        <v>2309323.9724581367</v>
      </c>
      <c r="AC129">
        <f t="shared" si="21"/>
        <v>370474.38930063712</v>
      </c>
      <c r="AD129" s="5">
        <v>0.2</v>
      </c>
      <c r="AE129">
        <f t="shared" si="16"/>
        <v>74094.877860127424</v>
      </c>
      <c r="AF129">
        <f t="shared" si="17"/>
        <v>1</v>
      </c>
    </row>
    <row r="130" spans="1:32" x14ac:dyDescent="0.25">
      <c r="A130" s="2">
        <v>129</v>
      </c>
      <c r="B130">
        <f t="shared" si="23"/>
        <v>18977.574383092808</v>
      </c>
      <c r="C130" s="5">
        <v>0.08</v>
      </c>
      <c r="D130">
        <f t="shared" si="24"/>
        <v>133981.67514463534</v>
      </c>
      <c r="Q130">
        <f t="shared" si="25"/>
        <v>133981.67514463613</v>
      </c>
      <c r="R130">
        <f t="shared" si="26"/>
        <v>431.39898622738957</v>
      </c>
      <c r="S130">
        <f t="shared" si="27"/>
        <v>748220.96707643638</v>
      </c>
      <c r="T130" s="5">
        <v>0.08</v>
      </c>
      <c r="V130">
        <f>SUM($R$2:R130)</f>
        <v>21030.211372306869</v>
      </c>
      <c r="W130">
        <f t="shared" si="28"/>
        <v>44.343211260293657</v>
      </c>
      <c r="Z130">
        <f t="shared" si="22"/>
        <v>6.3385018713536096E-4</v>
      </c>
      <c r="AA130" s="5">
        <v>0.3</v>
      </c>
      <c r="AB130">
        <f t="shared" si="15"/>
        <v>2494069.8902547881</v>
      </c>
      <c r="AC130">
        <f t="shared" si="21"/>
        <v>392702.85265867534</v>
      </c>
      <c r="AD130" s="5">
        <v>0.2</v>
      </c>
      <c r="AE130">
        <f t="shared" si="16"/>
        <v>78540.570531735066</v>
      </c>
      <c r="AF130">
        <f t="shared" si="17"/>
        <v>1</v>
      </c>
    </row>
    <row r="131" spans="1:32" x14ac:dyDescent="0.25">
      <c r="A131" s="2">
        <v>130</v>
      </c>
      <c r="B131">
        <f t="shared" si="23"/>
        <v>20495.780333740233</v>
      </c>
      <c r="C131" s="5">
        <v>0.08</v>
      </c>
      <c r="D131">
        <f t="shared" si="24"/>
        <v>144700.20915620617</v>
      </c>
      <c r="Q131">
        <f t="shared" si="25"/>
        <v>144700.20915620704</v>
      </c>
      <c r="R131">
        <f t="shared" si="26"/>
        <v>439.53858974111381</v>
      </c>
      <c r="S131">
        <f t="shared" si="27"/>
        <v>808078.6444425513</v>
      </c>
      <c r="T131" s="5">
        <v>0.08</v>
      </c>
      <c r="V131">
        <f>SUM($R$2:R131)</f>
        <v>21469.749962047983</v>
      </c>
      <c r="W131">
        <f t="shared" si="28"/>
        <v>45.269999498266742</v>
      </c>
      <c r="Z131">
        <f t="shared" si="22"/>
        <v>5.8689832142163061E-4</v>
      </c>
      <c r="AA131" s="5">
        <v>0.3</v>
      </c>
      <c r="AB131">
        <f t="shared" ref="AB131:AB194" si="29">S131/AA131</f>
        <v>2693595.4814751712</v>
      </c>
      <c r="AC131">
        <f t="shared" si="21"/>
        <v>416265.02381819586</v>
      </c>
      <c r="AD131" s="5">
        <v>0.2</v>
      </c>
      <c r="AE131">
        <f t="shared" ref="AE131:AE194" si="30">AC131*AD131</f>
        <v>83253.004763639183</v>
      </c>
      <c r="AF131">
        <f t="shared" ref="AF131:AF194" si="31">IF(AB131&gt;AE131, 1, 0)</f>
        <v>1</v>
      </c>
    </row>
    <row r="132" spans="1:32" x14ac:dyDescent="0.25">
      <c r="A132" s="2">
        <v>131</v>
      </c>
      <c r="B132">
        <f t="shared" si="23"/>
        <v>22135.442760439451</v>
      </c>
      <c r="C132" s="5">
        <v>0.08</v>
      </c>
      <c r="D132">
        <f t="shared" si="24"/>
        <v>156276.22588870267</v>
      </c>
      <c r="Q132">
        <f t="shared" si="25"/>
        <v>156276.2258887036</v>
      </c>
      <c r="R132">
        <f t="shared" si="26"/>
        <v>447.83177067962544</v>
      </c>
      <c r="S132">
        <f t="shared" si="27"/>
        <v>872724.9359979555</v>
      </c>
      <c r="T132" s="5">
        <v>0.08</v>
      </c>
      <c r="V132">
        <f>SUM($R$2:R132)</f>
        <v>21917.581732727609</v>
      </c>
      <c r="W132">
        <f t="shared" si="28"/>
        <v>46.214274306767614</v>
      </c>
      <c r="Z132">
        <f t="shared" si="22"/>
        <v>5.4342437168669491E-4</v>
      </c>
      <c r="AA132" s="5">
        <v>0.3</v>
      </c>
      <c r="AB132">
        <f t="shared" si="29"/>
        <v>2909083.1199931852</v>
      </c>
      <c r="AC132">
        <f t="shared" ref="AC132:AC195" si="32">AC131*(1+$U$2)</f>
        <v>441240.92524728761</v>
      </c>
      <c r="AD132" s="5">
        <v>0.2</v>
      </c>
      <c r="AE132">
        <f t="shared" si="30"/>
        <v>88248.185049457534</v>
      </c>
      <c r="AF132">
        <f t="shared" si="31"/>
        <v>1</v>
      </c>
    </row>
    <row r="133" spans="1:32" x14ac:dyDescent="0.25">
      <c r="A133" s="2">
        <v>132</v>
      </c>
      <c r="B133">
        <f t="shared" si="23"/>
        <v>23906.278181274607</v>
      </c>
      <c r="C133" s="5">
        <v>0.08</v>
      </c>
      <c r="D133">
        <f t="shared" si="24"/>
        <v>168778.32395979887</v>
      </c>
      <c r="Q133">
        <f t="shared" si="25"/>
        <v>168778.32395979989</v>
      </c>
      <c r="R133">
        <f t="shared" si="26"/>
        <v>456.28142673018436</v>
      </c>
      <c r="S133">
        <f t="shared" si="27"/>
        <v>942542.93087779195</v>
      </c>
      <c r="T133" s="5">
        <v>0.08</v>
      </c>
      <c r="V133">
        <f>SUM($R$2:R133)</f>
        <v>22373.863159457793</v>
      </c>
      <c r="W133">
        <f t="shared" si="28"/>
        <v>47.176365621089261</v>
      </c>
      <c r="Z133">
        <f t="shared" si="22"/>
        <v>5.0317071452471755E-4</v>
      </c>
      <c r="AA133" s="5">
        <v>0.3</v>
      </c>
      <c r="AB133">
        <f t="shared" si="29"/>
        <v>3141809.76959264</v>
      </c>
      <c r="AC133">
        <f t="shared" si="32"/>
        <v>467715.3807621249</v>
      </c>
      <c r="AD133" s="5">
        <v>0.2</v>
      </c>
      <c r="AE133">
        <f t="shared" si="30"/>
        <v>93543.076152424983</v>
      </c>
      <c r="AF133">
        <f t="shared" si="31"/>
        <v>1</v>
      </c>
    </row>
    <row r="134" spans="1:32" x14ac:dyDescent="0.25">
      <c r="A134" s="2">
        <v>133</v>
      </c>
      <c r="B134">
        <f t="shared" si="23"/>
        <v>25818.780435776574</v>
      </c>
      <c r="C134" s="5">
        <v>0.08</v>
      </c>
      <c r="D134">
        <f t="shared" si="24"/>
        <v>182280.58987658279</v>
      </c>
      <c r="Q134">
        <f t="shared" si="25"/>
        <v>182280.58987658392</v>
      </c>
      <c r="R134">
        <f t="shared" si="26"/>
        <v>464.89051025339541</v>
      </c>
      <c r="S134">
        <f t="shared" si="27"/>
        <v>1017946.3653480153</v>
      </c>
      <c r="T134" s="5">
        <v>0.08</v>
      </c>
      <c r="V134">
        <f>SUM($R$2:R134)</f>
        <v>22838.753669711186</v>
      </c>
      <c r="W134">
        <f t="shared" si="28"/>
        <v>48.156609601718863</v>
      </c>
      <c r="Z134">
        <f t="shared" si="22"/>
        <v>4.6589880974510876E-4</v>
      </c>
      <c r="AA134" s="5">
        <v>0.3</v>
      </c>
      <c r="AB134">
        <f t="shared" si="29"/>
        <v>3393154.551160051</v>
      </c>
      <c r="AC134">
        <f t="shared" si="32"/>
        <v>495778.30360785243</v>
      </c>
      <c r="AD134" s="5">
        <v>0.2</v>
      </c>
      <c r="AE134">
        <f t="shared" si="30"/>
        <v>99155.660721570486</v>
      </c>
      <c r="AF134">
        <f t="shared" si="31"/>
        <v>1</v>
      </c>
    </row>
    <row r="135" spans="1:32" x14ac:dyDescent="0.25">
      <c r="A135" s="2">
        <v>134</v>
      </c>
      <c r="B135">
        <f t="shared" si="23"/>
        <v>27884.282870638701</v>
      </c>
      <c r="C135" s="5">
        <v>0.08</v>
      </c>
      <c r="D135">
        <f t="shared" si="24"/>
        <v>196863.03706670942</v>
      </c>
      <c r="Q135">
        <f t="shared" si="25"/>
        <v>196863.03706671062</v>
      </c>
      <c r="R135">
        <f t="shared" si="26"/>
        <v>473.66202931478023</v>
      </c>
      <c r="S135">
        <f t="shared" si="27"/>
        <v>1099382.0745758566</v>
      </c>
      <c r="T135" s="5">
        <v>0.08</v>
      </c>
      <c r="V135">
        <f>SUM($R$2:R135)</f>
        <v>23312.415699025965</v>
      </c>
      <c r="W135">
        <f t="shared" si="28"/>
        <v>49.1553487517943</v>
      </c>
      <c r="Z135">
        <f t="shared" si="22"/>
        <v>4.3138778680102666E-4</v>
      </c>
      <c r="AA135" s="5">
        <v>0.3</v>
      </c>
      <c r="AB135">
        <f t="shared" si="29"/>
        <v>3664606.9152528555</v>
      </c>
      <c r="AC135">
        <f t="shared" si="32"/>
        <v>525525.00182432355</v>
      </c>
      <c r="AD135" s="5">
        <v>0.2</v>
      </c>
      <c r="AE135">
        <f t="shared" si="30"/>
        <v>105105.00036486471</v>
      </c>
      <c r="AF135">
        <f t="shared" si="31"/>
        <v>1</v>
      </c>
    </row>
    <row r="136" spans="1:32" x14ac:dyDescent="0.25">
      <c r="A136" s="2">
        <v>135</v>
      </c>
      <c r="B136">
        <f t="shared" si="23"/>
        <v>30115.025500289797</v>
      </c>
      <c r="C136" s="5">
        <v>0.08</v>
      </c>
      <c r="D136">
        <f t="shared" si="24"/>
        <v>212612.08003204619</v>
      </c>
      <c r="Q136">
        <f t="shared" si="25"/>
        <v>212612.0800320475</v>
      </c>
      <c r="R136">
        <f t="shared" si="26"/>
        <v>482.59904873581371</v>
      </c>
      <c r="S136">
        <f t="shared" si="27"/>
        <v>1187332.6405419251</v>
      </c>
      <c r="T136" s="5">
        <v>0.08</v>
      </c>
      <c r="V136">
        <f>SUM($R$2:R136)</f>
        <v>23795.014747761779</v>
      </c>
      <c r="W136">
        <f t="shared" si="28"/>
        <v>50.172932036776828</v>
      </c>
      <c r="Z136">
        <f t="shared" si="22"/>
        <v>3.9943313592687651E-4</v>
      </c>
      <c r="AA136" s="5">
        <v>0.3</v>
      </c>
      <c r="AB136">
        <f t="shared" si="29"/>
        <v>3957775.4684730838</v>
      </c>
      <c r="AC136">
        <f t="shared" si="32"/>
        <v>557056.50193378294</v>
      </c>
      <c r="AD136" s="5">
        <v>0.2</v>
      </c>
      <c r="AE136">
        <f t="shared" si="30"/>
        <v>111411.3003867566</v>
      </c>
      <c r="AF136">
        <f t="shared" si="31"/>
        <v>1</v>
      </c>
    </row>
    <row r="137" spans="1:32" x14ac:dyDescent="0.25">
      <c r="A137" s="2">
        <v>136</v>
      </c>
      <c r="B137">
        <f t="shared" si="23"/>
        <v>32524.227540312982</v>
      </c>
      <c r="C137" s="5">
        <v>0.08</v>
      </c>
      <c r="D137">
        <f t="shared" si="24"/>
        <v>229621.04643460989</v>
      </c>
      <c r="Q137">
        <f t="shared" si="25"/>
        <v>229621.04643461131</v>
      </c>
      <c r="R137">
        <f t="shared" si="26"/>
        <v>491.70469116479137</v>
      </c>
      <c r="S137">
        <f t="shared" si="27"/>
        <v>1282319.2517852793</v>
      </c>
      <c r="T137" s="5">
        <v>0.08</v>
      </c>
      <c r="V137">
        <f>SUM($R$2:R137)</f>
        <v>24286.719438926571</v>
      </c>
      <c r="W137">
        <f t="shared" si="28"/>
        <v>51.209715006381671</v>
      </c>
      <c r="Z137">
        <f t="shared" si="22"/>
        <v>3.6984549622858935E-4</v>
      </c>
      <c r="AA137" s="5">
        <v>0.3</v>
      </c>
      <c r="AB137">
        <f t="shared" si="29"/>
        <v>4274397.5059509315</v>
      </c>
      <c r="AC137">
        <f t="shared" si="32"/>
        <v>590479.89204980992</v>
      </c>
      <c r="AD137" s="5">
        <v>0.2</v>
      </c>
      <c r="AE137">
        <f t="shared" si="30"/>
        <v>118095.97840996199</v>
      </c>
      <c r="AF137">
        <f t="shared" si="31"/>
        <v>1</v>
      </c>
    </row>
    <row r="138" spans="1:32" x14ac:dyDescent="0.25">
      <c r="A138" s="2">
        <v>137</v>
      </c>
      <c r="B138">
        <f t="shared" si="23"/>
        <v>35126.165743538018</v>
      </c>
      <c r="C138" s="5">
        <v>0.08</v>
      </c>
      <c r="D138">
        <f t="shared" si="24"/>
        <v>247990.73014937868</v>
      </c>
      <c r="Q138">
        <f t="shared" si="25"/>
        <v>247990.73014938019</v>
      </c>
      <c r="R138">
        <f t="shared" si="26"/>
        <v>500.98213816790076</v>
      </c>
      <c r="S138">
        <f t="shared" si="27"/>
        <v>1384904.7919281018</v>
      </c>
      <c r="T138" s="5">
        <v>0.08</v>
      </c>
      <c r="V138">
        <f>SUM($R$2:R138)</f>
        <v>24787.701577094471</v>
      </c>
      <c r="W138">
        <f t="shared" si="28"/>
        <v>52.266059918809241</v>
      </c>
      <c r="Z138">
        <f t="shared" si="22"/>
        <v>3.4244953354499008E-4</v>
      </c>
      <c r="AA138" s="5">
        <v>0.3</v>
      </c>
      <c r="AB138">
        <f t="shared" si="29"/>
        <v>4616349.3064270066</v>
      </c>
      <c r="AC138">
        <f t="shared" si="32"/>
        <v>625908.6855727986</v>
      </c>
      <c r="AD138" s="5">
        <v>0.2</v>
      </c>
      <c r="AE138">
        <f t="shared" si="30"/>
        <v>125181.73711455973</v>
      </c>
      <c r="AF138">
        <f t="shared" si="31"/>
        <v>1</v>
      </c>
    </row>
    <row r="139" spans="1:32" x14ac:dyDescent="0.25">
      <c r="A139" s="2">
        <v>138</v>
      </c>
      <c r="B139">
        <f t="shared" si="23"/>
        <v>37936.259003021063</v>
      </c>
      <c r="C139" s="5">
        <v>0.08</v>
      </c>
      <c r="D139">
        <f t="shared" si="24"/>
        <v>267829.98856132897</v>
      </c>
      <c r="Q139">
        <f t="shared" si="25"/>
        <v>267829.98856133065</v>
      </c>
      <c r="R139">
        <f t="shared" si="26"/>
        <v>510.43463134088006</v>
      </c>
      <c r="S139">
        <f t="shared" si="27"/>
        <v>1495697.17528235</v>
      </c>
      <c r="T139" s="5">
        <v>0.08</v>
      </c>
      <c r="V139">
        <f>SUM($R$2:R139)</f>
        <v>25298.13620843535</v>
      </c>
      <c r="W139">
        <f t="shared" si="28"/>
        <v>53.342335867320351</v>
      </c>
      <c r="Z139">
        <f t="shared" si="22"/>
        <v>3.1708290143054636E-4</v>
      </c>
      <c r="AA139" s="5">
        <v>0.3</v>
      </c>
      <c r="AB139">
        <f t="shared" si="29"/>
        <v>4985657.2509411667</v>
      </c>
      <c r="AC139">
        <f t="shared" si="32"/>
        <v>663463.20670716651</v>
      </c>
      <c r="AD139" s="5">
        <v>0.2</v>
      </c>
      <c r="AE139">
        <f t="shared" si="30"/>
        <v>132692.64134143331</v>
      </c>
      <c r="AF139">
        <f t="shared" si="31"/>
        <v>1</v>
      </c>
    </row>
    <row r="140" spans="1:32" x14ac:dyDescent="0.25">
      <c r="A140" s="2">
        <v>139</v>
      </c>
      <c r="B140">
        <f t="shared" si="23"/>
        <v>40971.159723262746</v>
      </c>
      <c r="C140" s="5">
        <v>0.08</v>
      </c>
      <c r="D140">
        <f t="shared" si="24"/>
        <v>289256.38764623529</v>
      </c>
      <c r="Q140">
        <f t="shared" si="25"/>
        <v>289256.38764623716</v>
      </c>
      <c r="R140">
        <f t="shared" si="26"/>
        <v>520.06547344165131</v>
      </c>
      <c r="S140">
        <f t="shared" si="27"/>
        <v>1615352.9493049381</v>
      </c>
      <c r="T140" s="5">
        <v>0.08</v>
      </c>
      <c r="V140">
        <f>SUM($R$2:R140)</f>
        <v>25818.201681877003</v>
      </c>
      <c r="W140">
        <f t="shared" si="28"/>
        <v>54.4389189091996</v>
      </c>
      <c r="Z140">
        <f t="shared" si="22"/>
        <v>2.9359527910235772E-4</v>
      </c>
      <c r="AA140" s="5">
        <v>0.3</v>
      </c>
      <c r="AB140">
        <f t="shared" si="29"/>
        <v>5384509.8310164604</v>
      </c>
      <c r="AC140">
        <f t="shared" si="32"/>
        <v>703270.99910959648</v>
      </c>
      <c r="AD140" s="5">
        <v>0.2</v>
      </c>
      <c r="AE140">
        <f t="shared" si="30"/>
        <v>140654.19982191929</v>
      </c>
      <c r="AF140">
        <f t="shared" si="31"/>
        <v>1</v>
      </c>
    </row>
    <row r="141" spans="1:32" x14ac:dyDescent="0.25">
      <c r="A141" s="2">
        <v>140</v>
      </c>
      <c r="B141">
        <f t="shared" si="23"/>
        <v>44248.852501123765</v>
      </c>
      <c r="C141" s="5">
        <v>0.08</v>
      </c>
      <c r="D141">
        <f t="shared" si="24"/>
        <v>312396.8986579341</v>
      </c>
      <c r="Q141">
        <f t="shared" si="25"/>
        <v>312396.89865793608</v>
      </c>
      <c r="R141">
        <f t="shared" si="26"/>
        <v>529.87802954432402</v>
      </c>
      <c r="S141">
        <f t="shared" si="27"/>
        <v>1744581.1852493333</v>
      </c>
      <c r="T141" s="5">
        <v>0.08</v>
      </c>
      <c r="V141">
        <f>SUM($R$2:R141)</f>
        <v>26348.079711421327</v>
      </c>
      <c r="W141">
        <f t="shared" si="28"/>
        <v>55.556192197152043</v>
      </c>
      <c r="Z141">
        <f t="shared" si="22"/>
        <v>2.718474806503312E-4</v>
      </c>
      <c r="AA141" s="5">
        <v>0.3</v>
      </c>
      <c r="AB141">
        <f t="shared" si="29"/>
        <v>5815270.6174977776</v>
      </c>
      <c r="AC141">
        <f t="shared" si="32"/>
        <v>745467.25905617233</v>
      </c>
      <c r="AD141" s="5">
        <v>0.2</v>
      </c>
      <c r="AE141">
        <f t="shared" si="30"/>
        <v>149093.45181123447</v>
      </c>
      <c r="AF141">
        <f t="shared" si="31"/>
        <v>1</v>
      </c>
    </row>
    <row r="142" spans="1:32" x14ac:dyDescent="0.25">
      <c r="A142" s="2">
        <v>141</v>
      </c>
      <c r="B142">
        <f t="shared" si="23"/>
        <v>47788.760701213665</v>
      </c>
      <c r="C142" s="5">
        <v>0.08</v>
      </c>
      <c r="D142">
        <f t="shared" si="24"/>
        <v>337388.65055056883</v>
      </c>
      <c r="Q142">
        <f t="shared" si="25"/>
        <v>337388.65055057098</v>
      </c>
      <c r="R142">
        <f t="shared" si="26"/>
        <v>539.87572821497156</v>
      </c>
      <c r="S142">
        <f t="shared" si="27"/>
        <v>1884147.6800692801</v>
      </c>
      <c r="T142" s="5">
        <v>0.08</v>
      </c>
      <c r="V142">
        <f>SUM($R$2:R142)</f>
        <v>26887.955439636298</v>
      </c>
      <c r="W142">
        <f t="shared" si="28"/>
        <v>56.694546113179058</v>
      </c>
      <c r="Z142">
        <f t="shared" si="22"/>
        <v>2.5171063023178813E-4</v>
      </c>
      <c r="AA142" s="5">
        <v>0.3</v>
      </c>
      <c r="AB142">
        <f t="shared" si="29"/>
        <v>6280492.2668976001</v>
      </c>
      <c r="AC142">
        <f t="shared" si="32"/>
        <v>790195.29459954274</v>
      </c>
      <c r="AD142" s="5">
        <v>0.2</v>
      </c>
      <c r="AE142">
        <f t="shared" si="30"/>
        <v>158039.05891990857</v>
      </c>
      <c r="AF142">
        <f t="shared" si="31"/>
        <v>1</v>
      </c>
    </row>
    <row r="143" spans="1:32" x14ac:dyDescent="0.25">
      <c r="A143" s="2">
        <v>142</v>
      </c>
      <c r="B143">
        <f t="shared" si="23"/>
        <v>51611.86155731076</v>
      </c>
      <c r="C143" s="5">
        <v>0.08</v>
      </c>
      <c r="D143">
        <f t="shared" si="24"/>
        <v>364379.74259461433</v>
      </c>
      <c r="Q143">
        <f t="shared" si="25"/>
        <v>364379.74259461666</v>
      </c>
      <c r="R143">
        <f t="shared" si="26"/>
        <v>550.06206270959376</v>
      </c>
      <c r="S143">
        <f t="shared" si="27"/>
        <v>2034879.4944748227</v>
      </c>
      <c r="T143" s="5">
        <v>0.08</v>
      </c>
      <c r="V143">
        <f>SUM($R$2:R143)</f>
        <v>27438.017502345891</v>
      </c>
      <c r="W143">
        <f t="shared" si="28"/>
        <v>57.85437840498016</v>
      </c>
      <c r="Z143">
        <f t="shared" ref="Z143:Z201" si="33">$W$2/S143</f>
        <v>2.3306539836276676E-4</v>
      </c>
      <c r="AA143" s="5">
        <v>0.3</v>
      </c>
      <c r="AB143">
        <f t="shared" si="29"/>
        <v>6782931.6482494092</v>
      </c>
      <c r="AC143">
        <f t="shared" si="32"/>
        <v>837607.01227551536</v>
      </c>
      <c r="AD143" s="5">
        <v>0.2</v>
      </c>
      <c r="AE143">
        <f t="shared" si="30"/>
        <v>167521.40245510309</v>
      </c>
      <c r="AF143">
        <f t="shared" si="31"/>
        <v>1</v>
      </c>
    </row>
    <row r="144" spans="1:32" x14ac:dyDescent="0.25">
      <c r="A144" s="2">
        <v>143</v>
      </c>
      <c r="B144">
        <f t="shared" si="23"/>
        <v>55740.81048189562</v>
      </c>
      <c r="C144" s="5">
        <v>0.08</v>
      </c>
      <c r="D144">
        <f t="shared" si="24"/>
        <v>393530.12200218346</v>
      </c>
      <c r="Q144">
        <f t="shared" si="25"/>
        <v>393530.12200218608</v>
      </c>
      <c r="R144">
        <f t="shared" si="26"/>
        <v>560.44059219468033</v>
      </c>
      <c r="S144">
        <f t="shared" si="27"/>
        <v>2197669.8540328084</v>
      </c>
      <c r="T144" s="5">
        <v>0.08</v>
      </c>
      <c r="V144">
        <f>SUM($R$2:R144)</f>
        <v>27998.458094540572</v>
      </c>
      <c r="W144">
        <f t="shared" si="28"/>
        <v>59.036094324928463</v>
      </c>
      <c r="Z144">
        <f t="shared" si="33"/>
        <v>2.158012947803396E-4</v>
      </c>
      <c r="AA144" s="5">
        <v>0.3</v>
      </c>
      <c r="AB144">
        <f t="shared" si="29"/>
        <v>7325566.1801093621</v>
      </c>
      <c r="AC144">
        <f t="shared" si="32"/>
        <v>887863.43301204627</v>
      </c>
      <c r="AD144" s="5">
        <v>0.2</v>
      </c>
      <c r="AE144">
        <f t="shared" si="30"/>
        <v>177572.68660240926</v>
      </c>
      <c r="AF144">
        <f t="shared" si="31"/>
        <v>1</v>
      </c>
    </row>
    <row r="145" spans="1:32" x14ac:dyDescent="0.25">
      <c r="A145" s="2">
        <v>144</v>
      </c>
      <c r="B145">
        <f t="shared" si="23"/>
        <v>60200.075320447271</v>
      </c>
      <c r="C145" s="5">
        <v>0.08</v>
      </c>
      <c r="D145">
        <f t="shared" si="24"/>
        <v>425012.53176235815</v>
      </c>
      <c r="Q145">
        <f t="shared" si="25"/>
        <v>425012.531762361</v>
      </c>
      <c r="R145">
        <f t="shared" si="26"/>
        <v>571.01494299080628</v>
      </c>
      <c r="S145">
        <f t="shared" si="27"/>
        <v>2373483.4423554335</v>
      </c>
      <c r="T145" s="5">
        <v>0.08</v>
      </c>
      <c r="V145">
        <f>SUM($R$2:R145)</f>
        <v>28569.473037531377</v>
      </c>
      <c r="W145">
        <f t="shared" si="28"/>
        <v>60.240106771668238</v>
      </c>
      <c r="Z145">
        <f t="shared" si="33"/>
        <v>1.9981601368549961E-4</v>
      </c>
      <c r="AA145" s="5">
        <v>0.3</v>
      </c>
      <c r="AB145">
        <f t="shared" si="29"/>
        <v>7911611.4745181119</v>
      </c>
      <c r="AC145">
        <f t="shared" si="32"/>
        <v>941135.23899276904</v>
      </c>
      <c r="AD145" s="5">
        <v>0.2</v>
      </c>
      <c r="AE145">
        <f t="shared" si="30"/>
        <v>188227.04779855383</v>
      </c>
      <c r="AF145">
        <f t="shared" si="31"/>
        <v>1</v>
      </c>
    </row>
    <row r="146" spans="1:32" x14ac:dyDescent="0.25">
      <c r="A146" s="2">
        <v>145</v>
      </c>
      <c r="B146">
        <f t="shared" si="23"/>
        <v>65016.081346083054</v>
      </c>
      <c r="C146" s="5">
        <v>0.08</v>
      </c>
      <c r="D146">
        <f t="shared" si="24"/>
        <v>459013.53430334682</v>
      </c>
      <c r="Q146">
        <f t="shared" si="25"/>
        <v>459013.53430334991</v>
      </c>
      <c r="R146">
        <f t="shared" si="26"/>
        <v>581.78880983968975</v>
      </c>
      <c r="S146">
        <f t="shared" si="27"/>
        <v>2563362.1177438684</v>
      </c>
      <c r="T146" s="5">
        <v>0.08</v>
      </c>
      <c r="V146">
        <f>SUM($R$2:R146)</f>
        <v>29151.261847371068</v>
      </c>
      <c r="W146">
        <f t="shared" si="28"/>
        <v>61.466836434384241</v>
      </c>
      <c r="Z146">
        <f t="shared" si="33"/>
        <v>1.8501482748657368E-4</v>
      </c>
      <c r="AA146" s="5">
        <v>0.3</v>
      </c>
      <c r="AB146">
        <f t="shared" si="29"/>
        <v>8544540.3924795613</v>
      </c>
      <c r="AC146">
        <f t="shared" si="32"/>
        <v>997603.35333233525</v>
      </c>
      <c r="AD146" s="5">
        <v>0.2</v>
      </c>
      <c r="AE146">
        <f t="shared" si="30"/>
        <v>199520.67066646705</v>
      </c>
      <c r="AF146">
        <f t="shared" si="31"/>
        <v>1</v>
      </c>
    </row>
    <row r="147" spans="1:32" x14ac:dyDescent="0.25">
      <c r="A147" s="2">
        <v>146</v>
      </c>
      <c r="B147">
        <f t="shared" si="23"/>
        <v>70217.367853769698</v>
      </c>
      <c r="C147" s="5">
        <v>0.08</v>
      </c>
      <c r="D147">
        <f t="shared" si="24"/>
        <v>495734.61704761459</v>
      </c>
      <c r="Q147">
        <f t="shared" si="25"/>
        <v>495734.61704761785</v>
      </c>
      <c r="R147">
        <f t="shared" si="26"/>
        <v>592.76595719515547</v>
      </c>
      <c r="S147">
        <f t="shared" si="27"/>
        <v>2768431.087163378</v>
      </c>
      <c r="T147" s="5">
        <v>0.08</v>
      </c>
      <c r="V147">
        <f>SUM($R$2:R147)</f>
        <v>29744.027804566223</v>
      </c>
      <c r="W147">
        <f t="shared" si="28"/>
        <v>62.716711939792994</v>
      </c>
      <c r="Z147">
        <f t="shared" si="33"/>
        <v>1.7131002545053118E-4</v>
      </c>
      <c r="AA147" s="5">
        <v>0.3</v>
      </c>
      <c r="AB147">
        <f t="shared" si="29"/>
        <v>9228103.6238779277</v>
      </c>
      <c r="AC147">
        <f t="shared" si="32"/>
        <v>1057459.5545322753</v>
      </c>
      <c r="AD147" s="5">
        <v>0.2</v>
      </c>
      <c r="AE147">
        <f t="shared" si="30"/>
        <v>211491.91090645507</v>
      </c>
      <c r="AF147">
        <f t="shared" si="31"/>
        <v>1</v>
      </c>
    </row>
    <row r="148" spans="1:32" x14ac:dyDescent="0.25">
      <c r="A148" s="2">
        <v>147</v>
      </c>
      <c r="B148">
        <f t="shared" si="23"/>
        <v>75834.757282071281</v>
      </c>
      <c r="C148" s="5">
        <v>0.08</v>
      </c>
      <c r="D148">
        <f t="shared" si="24"/>
        <v>535393.38641142379</v>
      </c>
      <c r="Q148">
        <f t="shared" si="25"/>
        <v>535393.38641142729</v>
      </c>
      <c r="R148">
        <f t="shared" si="26"/>
        <v>603.95022053846037</v>
      </c>
      <c r="S148">
        <f t="shared" si="27"/>
        <v>2989905.5741364486</v>
      </c>
      <c r="T148" s="5">
        <v>0.08</v>
      </c>
      <c r="V148">
        <f>SUM($R$2:R148)</f>
        <v>30347.978025104683</v>
      </c>
      <c r="W148">
        <f t="shared" si="28"/>
        <v>63.990170001907572</v>
      </c>
      <c r="Z148">
        <f t="shared" si="33"/>
        <v>1.5862039393567699E-4</v>
      </c>
      <c r="AA148" s="5">
        <v>0.3</v>
      </c>
      <c r="AB148">
        <f t="shared" si="29"/>
        <v>9966351.9137881622</v>
      </c>
      <c r="AC148">
        <f t="shared" si="32"/>
        <v>1120907.1278042118</v>
      </c>
      <c r="AD148" s="5">
        <v>0.2</v>
      </c>
      <c r="AE148">
        <f t="shared" si="30"/>
        <v>224181.42556084238</v>
      </c>
      <c r="AF148">
        <f t="shared" si="31"/>
        <v>1</v>
      </c>
    </row>
    <row r="149" spans="1:32" x14ac:dyDescent="0.25">
      <c r="A149" s="2">
        <v>148</v>
      </c>
      <c r="B149">
        <f t="shared" si="23"/>
        <v>81901.537864636979</v>
      </c>
      <c r="C149" s="5">
        <v>0.08</v>
      </c>
      <c r="D149">
        <f t="shared" si="24"/>
        <v>578224.8573243377</v>
      </c>
      <c r="Q149">
        <f t="shared" si="25"/>
        <v>578224.85732434154</v>
      </c>
      <c r="R149">
        <f t="shared" si="26"/>
        <v>615.34550771843124</v>
      </c>
      <c r="S149">
        <f t="shared" si="27"/>
        <v>3229098.0200673644</v>
      </c>
      <c r="T149" s="5">
        <v>0.08</v>
      </c>
      <c r="V149">
        <f>SUM($R$2:R149)</f>
        <v>30963.323532823113</v>
      </c>
      <c r="W149">
        <f t="shared" si="28"/>
        <v>65.287655574628076</v>
      </c>
      <c r="Z149">
        <f t="shared" si="33"/>
        <v>1.4687073512562686E-4</v>
      </c>
      <c r="AA149" s="5">
        <v>0.3</v>
      </c>
      <c r="AB149">
        <f t="shared" si="29"/>
        <v>10763660.066891216</v>
      </c>
      <c r="AC149">
        <f t="shared" si="32"/>
        <v>1188161.5554724645</v>
      </c>
      <c r="AD149" s="5">
        <v>0.2</v>
      </c>
      <c r="AE149">
        <f t="shared" si="30"/>
        <v>237632.31109449291</v>
      </c>
      <c r="AF149">
        <f t="shared" si="31"/>
        <v>1</v>
      </c>
    </row>
    <row r="150" spans="1:32" x14ac:dyDescent="0.25">
      <c r="A150" s="2">
        <v>149</v>
      </c>
      <c r="B150">
        <f t="shared" si="23"/>
        <v>88453.660893807944</v>
      </c>
      <c r="C150" s="5">
        <v>0.08</v>
      </c>
      <c r="D150">
        <f t="shared" si="24"/>
        <v>624482.84591028467</v>
      </c>
      <c r="Q150">
        <f t="shared" si="25"/>
        <v>624482.84591028886</v>
      </c>
      <c r="R150">
        <f t="shared" si="26"/>
        <v>626.95580031689224</v>
      </c>
      <c r="S150">
        <f t="shared" si="27"/>
        <v>3487425.8616727539</v>
      </c>
      <c r="T150" s="5">
        <v>0.08</v>
      </c>
      <c r="V150">
        <f>SUM($R$2:R150)</f>
        <v>31590.279333140006</v>
      </c>
      <c r="W150">
        <f t="shared" si="28"/>
        <v>66.609622007211243</v>
      </c>
      <c r="Z150">
        <f t="shared" si="33"/>
        <v>1.3599142141261744E-4</v>
      </c>
      <c r="AA150" s="5">
        <v>0.3</v>
      </c>
      <c r="AB150">
        <f t="shared" si="29"/>
        <v>11624752.872242514</v>
      </c>
      <c r="AC150">
        <f t="shared" si="32"/>
        <v>1259451.2488008125</v>
      </c>
      <c r="AD150" s="5">
        <v>0.2</v>
      </c>
      <c r="AE150">
        <f t="shared" si="30"/>
        <v>251890.24976016252</v>
      </c>
      <c r="AF150">
        <f t="shared" si="31"/>
        <v>1</v>
      </c>
    </row>
    <row r="151" spans="1:32" x14ac:dyDescent="0.25">
      <c r="A151" s="2">
        <v>150</v>
      </c>
      <c r="B151">
        <f t="shared" si="23"/>
        <v>95529.953765312574</v>
      </c>
      <c r="C151" s="5">
        <v>0.08</v>
      </c>
      <c r="D151">
        <f t="shared" si="24"/>
        <v>674441.47358310746</v>
      </c>
      <c r="Q151">
        <f t="shared" si="25"/>
        <v>674441.47358311201</v>
      </c>
      <c r="R151">
        <f t="shared" si="26"/>
        <v>638.78515503985238</v>
      </c>
      <c r="S151">
        <f t="shared" si="27"/>
        <v>3766419.9306065743</v>
      </c>
      <c r="T151" s="5">
        <v>0.08</v>
      </c>
      <c r="V151">
        <f>SUM($R$2:R151)</f>
        <v>32229.064488179858</v>
      </c>
      <c r="W151">
        <f t="shared" si="28"/>
        <v>67.956531202673347</v>
      </c>
      <c r="Z151">
        <f t="shared" si="33"/>
        <v>1.2591798278946059E-4</v>
      </c>
      <c r="AA151" s="5">
        <v>0.3</v>
      </c>
      <c r="AB151">
        <f t="shared" si="29"/>
        <v>12554733.102021914</v>
      </c>
      <c r="AC151">
        <f t="shared" si="32"/>
        <v>1335018.3237288613</v>
      </c>
      <c r="AD151" s="5">
        <v>0.2</v>
      </c>
      <c r="AE151">
        <f t="shared" si="30"/>
        <v>267003.66474577226</v>
      </c>
      <c r="AF151">
        <f t="shared" si="31"/>
        <v>1</v>
      </c>
    </row>
    <row r="152" spans="1:32" x14ac:dyDescent="0.25">
      <c r="A152" s="2">
        <v>151</v>
      </c>
      <c r="B152">
        <f t="shared" si="23"/>
        <v>103172.35006653758</v>
      </c>
      <c r="C152" s="5">
        <v>0.08</v>
      </c>
      <c r="D152">
        <f t="shared" si="24"/>
        <v>728396.79146975605</v>
      </c>
      <c r="Q152">
        <f t="shared" si="25"/>
        <v>728396.79146976105</v>
      </c>
      <c r="R152">
        <f t="shared" si="26"/>
        <v>650.83770513494403</v>
      </c>
      <c r="S152">
        <f t="shared" si="27"/>
        <v>4067733.5250551007</v>
      </c>
      <c r="T152" s="5">
        <v>0.08</v>
      </c>
      <c r="V152">
        <f>SUM($R$2:R152)</f>
        <v>32879.902193314803</v>
      </c>
      <c r="W152">
        <f t="shared" si="28"/>
        <v>69.328853779181898</v>
      </c>
      <c r="Z152">
        <f t="shared" si="33"/>
        <v>1.165907248050561E-4</v>
      </c>
      <c r="AA152" s="5">
        <v>0.3</v>
      </c>
      <c r="AB152">
        <f t="shared" si="29"/>
        <v>13559111.75018367</v>
      </c>
      <c r="AC152">
        <f t="shared" si="32"/>
        <v>1415119.423152593</v>
      </c>
      <c r="AD152" s="5">
        <v>0.2</v>
      </c>
      <c r="AE152">
        <f t="shared" si="30"/>
        <v>283023.88463051862</v>
      </c>
      <c r="AF152">
        <f t="shared" si="31"/>
        <v>1</v>
      </c>
    </row>
    <row r="153" spans="1:32" x14ac:dyDescent="0.25">
      <c r="A153" s="2">
        <v>152</v>
      </c>
      <c r="B153">
        <f t="shared" si="23"/>
        <v>111426.13807186058</v>
      </c>
      <c r="C153" s="5">
        <v>0.08</v>
      </c>
      <c r="D153">
        <f t="shared" si="24"/>
        <v>786668.53478733648</v>
      </c>
      <c r="Q153">
        <f t="shared" si="25"/>
        <v>786668.53478734207</v>
      </c>
      <c r="R153">
        <f t="shared" si="26"/>
        <v>663.11766183560326</v>
      </c>
      <c r="S153">
        <f t="shared" si="27"/>
        <v>4393152.2070595091</v>
      </c>
      <c r="T153" s="5">
        <v>0.08</v>
      </c>
      <c r="V153">
        <f>SUM($R$2:R153)</f>
        <v>33543.019855150407</v>
      </c>
      <c r="W153">
        <f t="shared" si="28"/>
        <v>70.72706923449249</v>
      </c>
      <c r="Z153">
        <f t="shared" si="33"/>
        <v>1.0795437481949638E-4</v>
      </c>
      <c r="AA153" s="5">
        <v>0.3</v>
      </c>
      <c r="AB153">
        <f t="shared" si="29"/>
        <v>14643840.690198364</v>
      </c>
      <c r="AC153">
        <f t="shared" si="32"/>
        <v>1500026.5885417487</v>
      </c>
      <c r="AD153" s="5">
        <v>0.2</v>
      </c>
      <c r="AE153">
        <f t="shared" si="30"/>
        <v>300005.31770834973</v>
      </c>
      <c r="AF153">
        <f t="shared" si="31"/>
        <v>1</v>
      </c>
    </row>
    <row r="154" spans="1:32" x14ac:dyDescent="0.25">
      <c r="A154" s="2">
        <v>153</v>
      </c>
      <c r="B154">
        <f t="shared" si="23"/>
        <v>120340.22911760943</v>
      </c>
      <c r="C154" s="5">
        <v>0.08</v>
      </c>
      <c r="D154">
        <f t="shared" si="24"/>
        <v>849602.01757032343</v>
      </c>
      <c r="Q154">
        <f t="shared" si="25"/>
        <v>849602.01757032925</v>
      </c>
      <c r="R154">
        <f t="shared" si="26"/>
        <v>675.62931583250167</v>
      </c>
      <c r="S154">
        <f t="shared" si="27"/>
        <v>4744604.3836242706</v>
      </c>
      <c r="T154" s="5">
        <v>0.08</v>
      </c>
      <c r="V154">
        <f>SUM($R$2:R154)</f>
        <v>34218.649170982906</v>
      </c>
      <c r="W154">
        <f t="shared" si="28"/>
        <v>72.15166611348819</v>
      </c>
      <c r="Z154">
        <f t="shared" si="33"/>
        <v>9.9957754462496633E-5</v>
      </c>
      <c r="AA154" s="5">
        <v>0.3</v>
      </c>
      <c r="AB154">
        <f t="shared" si="29"/>
        <v>15815347.945414236</v>
      </c>
      <c r="AC154">
        <f t="shared" si="32"/>
        <v>1590028.1838542537</v>
      </c>
      <c r="AD154" s="5">
        <v>0.2</v>
      </c>
      <c r="AE154">
        <f t="shared" si="30"/>
        <v>318005.63677085075</v>
      </c>
      <c r="AF154">
        <f t="shared" si="31"/>
        <v>1</v>
      </c>
    </row>
    <row r="155" spans="1:32" x14ac:dyDescent="0.25">
      <c r="A155" s="2">
        <v>154</v>
      </c>
      <c r="B155">
        <f t="shared" si="23"/>
        <v>129967.44744701819</v>
      </c>
      <c r="C155" s="5">
        <v>0.08</v>
      </c>
      <c r="D155">
        <f t="shared" si="24"/>
        <v>917570.1789759493</v>
      </c>
      <c r="Q155">
        <f t="shared" si="25"/>
        <v>917570.17897595582</v>
      </c>
      <c r="R155">
        <f t="shared" si="26"/>
        <v>688.37703877273759</v>
      </c>
      <c r="S155">
        <f t="shared" si="27"/>
        <v>5124172.7343142126</v>
      </c>
      <c r="T155" s="5">
        <v>0.08</v>
      </c>
      <c r="V155">
        <f>SUM($R$2:R155)</f>
        <v>34907.026209755641</v>
      </c>
      <c r="W155">
        <f t="shared" si="28"/>
        <v>73.60314217888002</v>
      </c>
      <c r="Z155">
        <f t="shared" si="33"/>
        <v>9.2553476354163532E-5</v>
      </c>
      <c r="AA155" s="5">
        <v>0.3</v>
      </c>
      <c r="AB155">
        <f t="shared" si="29"/>
        <v>17080575.781047378</v>
      </c>
      <c r="AC155">
        <f t="shared" si="32"/>
        <v>1685429.874885509</v>
      </c>
      <c r="AD155" s="5">
        <v>0.2</v>
      </c>
      <c r="AE155">
        <f t="shared" si="30"/>
        <v>337085.97497710184</v>
      </c>
      <c r="AF155">
        <f t="shared" si="31"/>
        <v>1</v>
      </c>
    </row>
    <row r="156" spans="1:32" x14ac:dyDescent="0.25">
      <c r="A156" s="2">
        <v>155</v>
      </c>
      <c r="B156">
        <f t="shared" si="23"/>
        <v>140364.84324277964</v>
      </c>
      <c r="C156" s="5">
        <v>0.08</v>
      </c>
      <c r="D156">
        <f t="shared" si="24"/>
        <v>990975.79329402524</v>
      </c>
      <c r="Q156">
        <f t="shared" si="25"/>
        <v>990975.79329403222</v>
      </c>
      <c r="R156">
        <f t="shared" si="26"/>
        <v>701.36528478731759</v>
      </c>
      <c r="S156">
        <f t="shared" si="27"/>
        <v>5534106.5530593498</v>
      </c>
      <c r="T156" s="5">
        <v>0.08</v>
      </c>
      <c r="V156">
        <f>SUM($R$2:R156)</f>
        <v>35608.391494542957</v>
      </c>
      <c r="W156">
        <f t="shared" si="28"/>
        <v>75.082004585128317</v>
      </c>
      <c r="Z156">
        <f t="shared" si="33"/>
        <v>8.5697663290892158E-5</v>
      </c>
      <c r="AA156" s="5">
        <v>0.3</v>
      </c>
      <c r="AB156">
        <f t="shared" si="29"/>
        <v>18447021.843531165</v>
      </c>
      <c r="AC156">
        <f t="shared" si="32"/>
        <v>1786555.6673786396</v>
      </c>
      <c r="AD156" s="5">
        <v>0.2</v>
      </c>
      <c r="AE156">
        <f t="shared" si="30"/>
        <v>357311.13347572793</v>
      </c>
      <c r="AF156">
        <f t="shared" si="31"/>
        <v>1</v>
      </c>
    </row>
    <row r="157" spans="1:32" x14ac:dyDescent="0.25">
      <c r="A157" s="2">
        <v>156</v>
      </c>
      <c r="B157">
        <f t="shared" si="23"/>
        <v>151594.030702202</v>
      </c>
      <c r="C157" s="5">
        <v>0.08</v>
      </c>
      <c r="D157">
        <f t="shared" si="24"/>
        <v>1070253.8567575472</v>
      </c>
      <c r="Q157">
        <f t="shared" si="25"/>
        <v>1070253.8567575549</v>
      </c>
      <c r="R157">
        <f t="shared" si="26"/>
        <v>714.59859204745555</v>
      </c>
      <c r="S157">
        <f t="shared" si="27"/>
        <v>5976835.0773040978</v>
      </c>
      <c r="T157" s="5">
        <v>0.08</v>
      </c>
      <c r="V157">
        <f>SUM($R$2:R157)</f>
        <v>36322.990086590413</v>
      </c>
      <c r="W157">
        <f t="shared" si="28"/>
        <v>76.588770055645455</v>
      </c>
      <c r="Z157">
        <f t="shared" si="33"/>
        <v>7.9349688232307558E-5</v>
      </c>
      <c r="AA157" s="5">
        <v>0.3</v>
      </c>
      <c r="AB157">
        <f t="shared" si="29"/>
        <v>19922783.591013659</v>
      </c>
      <c r="AC157">
        <f t="shared" si="32"/>
        <v>1893749.007421358</v>
      </c>
      <c r="AD157" s="5">
        <v>0.2</v>
      </c>
      <c r="AE157">
        <f t="shared" si="30"/>
        <v>378749.80148427165</v>
      </c>
      <c r="AF157">
        <f t="shared" si="31"/>
        <v>1</v>
      </c>
    </row>
    <row r="158" spans="1:32" x14ac:dyDescent="0.25">
      <c r="A158" s="2">
        <v>157</v>
      </c>
      <c r="B158">
        <f t="shared" si="23"/>
        <v>163721.55315837817</v>
      </c>
      <c r="C158" s="5">
        <v>0.08</v>
      </c>
      <c r="D158">
        <f t="shared" si="24"/>
        <v>1155874.1652981511</v>
      </c>
      <c r="Q158">
        <f t="shared" si="25"/>
        <v>1155874.1652981592</v>
      </c>
      <c r="R158">
        <f t="shared" si="26"/>
        <v>728.08158435023768</v>
      </c>
      <c r="S158">
        <f t="shared" si="27"/>
        <v>6454981.883488426</v>
      </c>
      <c r="T158" s="5">
        <v>0.08</v>
      </c>
      <c r="V158">
        <f>SUM($R$2:R158)</f>
        <v>37051.071670940648</v>
      </c>
      <c r="W158">
        <f t="shared" si="28"/>
        <v>78.123965063342155</v>
      </c>
      <c r="Z158">
        <f t="shared" si="33"/>
        <v>7.3471933548432922E-5</v>
      </c>
      <c r="AA158" s="5">
        <v>0.3</v>
      </c>
      <c r="AB158">
        <f t="shared" si="29"/>
        <v>21516606.278294753</v>
      </c>
      <c r="AC158">
        <f t="shared" si="32"/>
        <v>2007373.9478666396</v>
      </c>
      <c r="AD158" s="5">
        <v>0.2</v>
      </c>
      <c r="AE158">
        <f t="shared" si="30"/>
        <v>401474.78957332793</v>
      </c>
      <c r="AF158">
        <f t="shared" si="31"/>
        <v>1</v>
      </c>
    </row>
    <row r="159" spans="1:32" x14ac:dyDescent="0.25">
      <c r="A159" s="2">
        <v>158</v>
      </c>
      <c r="B159">
        <f t="shared" si="23"/>
        <v>176819.27741104842</v>
      </c>
      <c r="C159" s="5">
        <v>0.08</v>
      </c>
      <c r="D159">
        <f t="shared" si="24"/>
        <v>1248344.0985220033</v>
      </c>
      <c r="Q159">
        <f t="shared" si="25"/>
        <v>1248344.0985220121</v>
      </c>
      <c r="R159">
        <f t="shared" si="26"/>
        <v>741.81897273420441</v>
      </c>
      <c r="S159">
        <f t="shared" si="27"/>
        <v>6971380.4341675006</v>
      </c>
      <c r="T159" s="5">
        <v>0.08</v>
      </c>
      <c r="V159">
        <f>SUM($R$2:R159)</f>
        <v>37792.890643674851</v>
      </c>
      <c r="W159">
        <f t="shared" si="28"/>
        <v>79.688126014580291</v>
      </c>
      <c r="Z159">
        <f t="shared" si="33"/>
        <v>6.8029568100400851E-5</v>
      </c>
      <c r="AA159" s="5">
        <v>0.3</v>
      </c>
      <c r="AB159">
        <f t="shared" si="29"/>
        <v>23237934.780558337</v>
      </c>
      <c r="AC159">
        <f t="shared" si="32"/>
        <v>2127816.3847386381</v>
      </c>
      <c r="AD159" s="5">
        <v>0.2</v>
      </c>
      <c r="AE159">
        <f t="shared" si="30"/>
        <v>425563.27694772766</v>
      </c>
      <c r="AF159">
        <f t="shared" si="31"/>
        <v>1</v>
      </c>
    </row>
    <row r="160" spans="1:32" x14ac:dyDescent="0.25">
      <c r="A160" s="2">
        <v>159</v>
      </c>
      <c r="B160">
        <f t="shared" si="23"/>
        <v>190964.81960393229</v>
      </c>
      <c r="C160" s="5">
        <v>0.08</v>
      </c>
      <c r="D160">
        <f t="shared" si="24"/>
        <v>1348211.6264037634</v>
      </c>
      <c r="Q160">
        <f t="shared" si="25"/>
        <v>1348211.6264037732</v>
      </c>
      <c r="R160">
        <f t="shared" si="26"/>
        <v>755.81555712541581</v>
      </c>
      <c r="S160">
        <f t="shared" si="27"/>
        <v>7529090.8689009007</v>
      </c>
      <c r="T160" s="5">
        <v>0.08</v>
      </c>
      <c r="V160">
        <f>SUM($R$2:R160)</f>
        <v>38548.706200800269</v>
      </c>
      <c r="W160">
        <f t="shared" si="28"/>
        <v>81.281799436596529</v>
      </c>
      <c r="Z160">
        <f t="shared" si="33"/>
        <v>6.2990340833704486E-5</v>
      </c>
      <c r="AA160" s="5">
        <v>0.3</v>
      </c>
      <c r="AB160">
        <f t="shared" si="29"/>
        <v>25096969.563003004</v>
      </c>
      <c r="AC160">
        <f t="shared" si="32"/>
        <v>2255485.3678229563</v>
      </c>
      <c r="AD160" s="5">
        <v>0.2</v>
      </c>
      <c r="AE160">
        <f t="shared" si="30"/>
        <v>451097.07356459129</v>
      </c>
      <c r="AF160">
        <f t="shared" si="31"/>
        <v>1</v>
      </c>
    </row>
    <row r="161" spans="1:32" x14ac:dyDescent="0.25">
      <c r="A161" s="2">
        <v>160</v>
      </c>
      <c r="B161">
        <f t="shared" si="23"/>
        <v>206242.00517224689</v>
      </c>
      <c r="C161" s="5">
        <v>0.08</v>
      </c>
      <c r="D161">
        <f t="shared" si="24"/>
        <v>1456068.5565160646</v>
      </c>
      <c r="Q161">
        <f t="shared" si="25"/>
        <v>1456068.5565160753</v>
      </c>
      <c r="R161">
        <f t="shared" si="26"/>
        <v>770.07622801457444</v>
      </c>
      <c r="S161">
        <f t="shared" si="27"/>
        <v>8131418.1384129729</v>
      </c>
      <c r="T161" s="5">
        <v>0.08</v>
      </c>
      <c r="V161">
        <f>SUM($R$2:R161)</f>
        <v>39318.78242881484</v>
      </c>
      <c r="W161">
        <f t="shared" si="28"/>
        <v>82.905542168462105</v>
      </c>
      <c r="Z161">
        <f t="shared" si="33"/>
        <v>5.8324389660837484E-5</v>
      </c>
      <c r="AA161" s="5">
        <v>0.3</v>
      </c>
      <c r="AB161">
        <f t="shared" si="29"/>
        <v>27104727.128043246</v>
      </c>
      <c r="AC161">
        <f t="shared" si="32"/>
        <v>2390814.4898923337</v>
      </c>
      <c r="AD161" s="5">
        <v>0.2</v>
      </c>
      <c r="AE161">
        <f t="shared" si="30"/>
        <v>478162.89797846676</v>
      </c>
      <c r="AF161">
        <f t="shared" si="31"/>
        <v>1</v>
      </c>
    </row>
    <row r="162" spans="1:32" x14ac:dyDescent="0.25">
      <c r="A162" s="2">
        <v>161</v>
      </c>
      <c r="B162">
        <f t="shared" si="23"/>
        <v>222741.36558602663</v>
      </c>
      <c r="C162" s="5">
        <v>0.08</v>
      </c>
      <c r="D162">
        <f t="shared" si="24"/>
        <v>1572554.0410373497</v>
      </c>
      <c r="Q162">
        <f t="shared" si="25"/>
        <v>1572554.0410373614</v>
      </c>
      <c r="R162">
        <f t="shared" si="26"/>
        <v>784.60596816579323</v>
      </c>
      <c r="S162">
        <f t="shared" si="27"/>
        <v>8781931.5894860122</v>
      </c>
      <c r="T162" s="5">
        <v>0.08</v>
      </c>
      <c r="V162">
        <f>SUM($R$2:R162)</f>
        <v>40103.388396980634</v>
      </c>
      <c r="W162">
        <f t="shared" si="28"/>
        <v>84.559921555645914</v>
      </c>
      <c r="Z162">
        <f t="shared" si="33"/>
        <v>5.4004064500775441E-5</v>
      </c>
      <c r="AA162" s="5">
        <v>0.3</v>
      </c>
      <c r="AB162">
        <f t="shared" si="29"/>
        <v>29273105.29828671</v>
      </c>
      <c r="AC162">
        <f t="shared" si="32"/>
        <v>2534263.3592858738</v>
      </c>
      <c r="AD162" s="5">
        <v>0.2</v>
      </c>
      <c r="AE162">
        <f t="shared" si="30"/>
        <v>506852.67185717478</v>
      </c>
      <c r="AF162">
        <f t="shared" si="31"/>
        <v>1</v>
      </c>
    </row>
    <row r="163" spans="1:32" x14ac:dyDescent="0.25">
      <c r="A163" s="2">
        <v>162</v>
      </c>
      <c r="B163">
        <f t="shared" si="23"/>
        <v>240560.67483290876</v>
      </c>
      <c r="C163" s="5">
        <v>0.08</v>
      </c>
      <c r="D163">
        <f t="shared" si="24"/>
        <v>1698358.3643203378</v>
      </c>
      <c r="Q163">
        <f t="shared" si="25"/>
        <v>1698358.3643203501</v>
      </c>
      <c r="R163">
        <f t="shared" si="26"/>
        <v>799.40985435760069</v>
      </c>
      <c r="S163">
        <f t="shared" si="27"/>
        <v>9484486.1166448947</v>
      </c>
      <c r="T163" s="5">
        <v>0.08</v>
      </c>
      <c r="V163">
        <f>SUM($R$2:R163)</f>
        <v>40902.798251338238</v>
      </c>
      <c r="W163">
        <f t="shared" si="28"/>
        <v>86.245515648248301</v>
      </c>
      <c r="Z163">
        <f t="shared" si="33"/>
        <v>5.0003763426643918E-5</v>
      </c>
      <c r="AA163" s="5">
        <v>0.3</v>
      </c>
      <c r="AB163">
        <f t="shared" si="29"/>
        <v>31614953.722149651</v>
      </c>
      <c r="AC163">
        <f t="shared" si="32"/>
        <v>2686319.1608430264</v>
      </c>
      <c r="AD163" s="5">
        <v>0.2</v>
      </c>
      <c r="AE163">
        <f t="shared" si="30"/>
        <v>537263.8321686053</v>
      </c>
      <c r="AF163">
        <f t="shared" si="31"/>
        <v>1</v>
      </c>
    </row>
    <row r="164" spans="1:32" x14ac:dyDescent="0.25">
      <c r="A164" s="2">
        <v>163</v>
      </c>
      <c r="B164">
        <f t="shared" si="23"/>
        <v>259805.52881954145</v>
      </c>
      <c r="C164" s="5">
        <v>0.08</v>
      </c>
      <c r="D164">
        <f t="shared" si="24"/>
        <v>1834227.0334659647</v>
      </c>
      <c r="Q164">
        <f t="shared" si="25"/>
        <v>1834227.0334659782</v>
      </c>
      <c r="R164">
        <f t="shared" si="26"/>
        <v>814.49305915680065</v>
      </c>
      <c r="S164">
        <f t="shared" si="27"/>
        <v>10243245.005976487</v>
      </c>
      <c r="T164" s="5">
        <v>0.08</v>
      </c>
      <c r="V164">
        <f>SUM($R$2:R164)</f>
        <v>41717.291310495035</v>
      </c>
      <c r="W164">
        <f t="shared" si="28"/>
        <v>87.962913402975232</v>
      </c>
      <c r="Z164">
        <f t="shared" si="33"/>
        <v>4.6299780950596215E-5</v>
      </c>
      <c r="AA164" s="5">
        <v>0.3</v>
      </c>
      <c r="AB164">
        <f t="shared" si="29"/>
        <v>34144150.019921623</v>
      </c>
      <c r="AC164">
        <f t="shared" si="32"/>
        <v>2847498.310493608</v>
      </c>
      <c r="AD164" s="5">
        <v>0.2</v>
      </c>
      <c r="AE164">
        <f t="shared" si="30"/>
        <v>569499.6620987216</v>
      </c>
      <c r="AF164">
        <f t="shared" si="31"/>
        <v>1</v>
      </c>
    </row>
    <row r="165" spans="1:32" x14ac:dyDescent="0.25">
      <c r="A165" s="2">
        <v>164</v>
      </c>
      <c r="B165">
        <f t="shared" si="23"/>
        <v>280589.97112510476</v>
      </c>
      <c r="C165" s="5">
        <v>0.08</v>
      </c>
      <c r="D165">
        <f t="shared" si="24"/>
        <v>1980965.1961432418</v>
      </c>
      <c r="Q165">
        <f t="shared" si="25"/>
        <v>1980965.1961432567</v>
      </c>
      <c r="R165">
        <f t="shared" si="26"/>
        <v>829.8608527257968</v>
      </c>
      <c r="S165">
        <f t="shared" si="27"/>
        <v>11062704.606454607</v>
      </c>
      <c r="T165" s="5">
        <v>0.08</v>
      </c>
      <c r="V165">
        <f>SUM($R$2:R165)</f>
        <v>42547.152163220831</v>
      </c>
      <c r="W165">
        <f t="shared" si="28"/>
        <v>89.712714888923443</v>
      </c>
      <c r="Z165">
        <f t="shared" si="33"/>
        <v>4.2870167546848345E-5</v>
      </c>
      <c r="AA165" s="5">
        <v>0.3</v>
      </c>
      <c r="AB165">
        <f t="shared" si="29"/>
        <v>36875682.021515362</v>
      </c>
      <c r="AC165">
        <f t="shared" si="32"/>
        <v>3018348.2091232245</v>
      </c>
      <c r="AD165" s="5">
        <v>0.2</v>
      </c>
      <c r="AE165">
        <f t="shared" si="30"/>
        <v>603669.64182464487</v>
      </c>
      <c r="AF165">
        <f t="shared" si="31"/>
        <v>1</v>
      </c>
    </row>
    <row r="166" spans="1:32" x14ac:dyDescent="0.25">
      <c r="A166" s="2">
        <v>165</v>
      </c>
      <c r="B166">
        <f t="shared" ref="B166:B200" si="34">B165+B165*C165</f>
        <v>303037.16881511314</v>
      </c>
      <c r="C166" s="5">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5">
        <v>0.08</v>
      </c>
      <c r="V166">
        <f>SUM($R$2:R166)</f>
        <v>43392.670767884854</v>
      </c>
      <c r="W166">
        <f t="shared" ref="W166:W200" si="39">V166/$W$2</f>
        <v>91.495531497248038</v>
      </c>
      <c r="Z166">
        <f t="shared" si="33"/>
        <v>3.9694599580415133E-5</v>
      </c>
      <c r="AA166" s="5">
        <v>0.3</v>
      </c>
      <c r="AB166">
        <f t="shared" si="29"/>
        <v>39825736.58323659</v>
      </c>
      <c r="AC166">
        <f t="shared" si="32"/>
        <v>3199449.1016706182</v>
      </c>
      <c r="AD166" s="5">
        <v>0.2</v>
      </c>
      <c r="AE166">
        <f t="shared" si="30"/>
        <v>639889.82033412368</v>
      </c>
      <c r="AF166">
        <f t="shared" si="31"/>
        <v>1</v>
      </c>
    </row>
    <row r="167" spans="1:32" x14ac:dyDescent="0.25">
      <c r="A167" s="2">
        <v>166</v>
      </c>
      <c r="B167">
        <f t="shared" si="34"/>
        <v>327280.14232032216</v>
      </c>
      <c r="C167" s="5">
        <v>0.08</v>
      </c>
      <c r="D167">
        <f t="shared" si="35"/>
        <v>2310597.804781477</v>
      </c>
      <c r="Q167">
        <f t="shared" si="36"/>
        <v>2310597.8047814951</v>
      </c>
      <c r="R167">
        <f t="shared" si="37"/>
        <v>861.47178588409531</v>
      </c>
      <c r="S167">
        <f t="shared" si="38"/>
        <v>12903538.652968654</v>
      </c>
      <c r="T167" s="5">
        <v>0.08</v>
      </c>
      <c r="V167">
        <f>SUM($R$2:R167)</f>
        <v>44254.14255376895</v>
      </c>
      <c r="W167">
        <f t="shared" si="39"/>
        <v>93.311986154786297</v>
      </c>
      <c r="Z167">
        <f t="shared" si="33"/>
        <v>3.6754258870754755E-5</v>
      </c>
      <c r="AA167" s="5">
        <v>0.3</v>
      </c>
      <c r="AB167">
        <f t="shared" si="29"/>
        <v>43011795.509895518</v>
      </c>
      <c r="AC167">
        <f t="shared" si="32"/>
        <v>3391416.0477708555</v>
      </c>
      <c r="AD167" s="5">
        <v>0.2</v>
      </c>
      <c r="AE167">
        <f t="shared" si="30"/>
        <v>678283.20955417119</v>
      </c>
      <c r="AF167">
        <f t="shared" si="31"/>
        <v>1</v>
      </c>
    </row>
    <row r="168" spans="1:32" x14ac:dyDescent="0.25">
      <c r="A168" s="2">
        <v>167</v>
      </c>
      <c r="B168">
        <f t="shared" si="34"/>
        <v>353462.55370594794</v>
      </c>
      <c r="C168" s="5">
        <v>0.08</v>
      </c>
      <c r="D168">
        <f t="shared" si="35"/>
        <v>2495445.6291639949</v>
      </c>
      <c r="Q168">
        <f t="shared" si="36"/>
        <v>2495445.6291640149</v>
      </c>
      <c r="R168">
        <f t="shared" si="37"/>
        <v>877.72597052341769</v>
      </c>
      <c r="S168">
        <f t="shared" si="38"/>
        <v>13935821.745206147</v>
      </c>
      <c r="T168" s="5">
        <v>0.08</v>
      </c>
      <c r="V168">
        <f>SUM($R$2:R168)</f>
        <v>45131.868524292368</v>
      </c>
      <c r="W168">
        <f t="shared" si="39"/>
        <v>95.16271354171208</v>
      </c>
      <c r="Z168">
        <f t="shared" si="33"/>
        <v>3.4031721176624766E-5</v>
      </c>
      <c r="AA168" s="5">
        <v>0.3</v>
      </c>
      <c r="AB168">
        <f t="shared" si="29"/>
        <v>46452739.150687158</v>
      </c>
      <c r="AC168">
        <f t="shared" si="32"/>
        <v>3594901.0106371068</v>
      </c>
      <c r="AD168" s="5">
        <v>0.2</v>
      </c>
      <c r="AE168">
        <f t="shared" si="30"/>
        <v>718980.20212742139</v>
      </c>
      <c r="AF168">
        <f t="shared" si="31"/>
        <v>1</v>
      </c>
    </row>
    <row r="169" spans="1:32" x14ac:dyDescent="0.25">
      <c r="A169" s="2">
        <v>168</v>
      </c>
      <c r="B169">
        <f t="shared" si="34"/>
        <v>381739.55800242379</v>
      </c>
      <c r="C169" s="5">
        <v>0.08</v>
      </c>
      <c r="D169">
        <f t="shared" si="35"/>
        <v>2695081.2794971145</v>
      </c>
      <c r="Q169">
        <f t="shared" si="36"/>
        <v>2695081.2794971359</v>
      </c>
      <c r="R169">
        <f t="shared" si="37"/>
        <v>894.28683789178399</v>
      </c>
      <c r="S169">
        <f t="shared" si="38"/>
        <v>15050687.48482264</v>
      </c>
      <c r="T169" s="5">
        <v>0.08</v>
      </c>
      <c r="V169">
        <f>SUM($R$2:R169)</f>
        <v>46026.155362184152</v>
      </c>
      <c r="W169">
        <f t="shared" si="39"/>
        <v>97.048360313296826</v>
      </c>
      <c r="Z169">
        <f t="shared" si="33"/>
        <v>3.1510852941319226E-5</v>
      </c>
      <c r="AA169" s="5">
        <v>0.3</v>
      </c>
      <c r="AB169">
        <f t="shared" si="29"/>
        <v>50168958.282742135</v>
      </c>
      <c r="AC169">
        <f t="shared" si="32"/>
        <v>3810595.0712753334</v>
      </c>
      <c r="AD169" s="5">
        <v>0.2</v>
      </c>
      <c r="AE169">
        <f t="shared" si="30"/>
        <v>762119.01425506675</v>
      </c>
      <c r="AF169">
        <f t="shared" si="31"/>
        <v>1</v>
      </c>
    </row>
    <row r="170" spans="1:32" x14ac:dyDescent="0.25">
      <c r="A170" s="2">
        <v>169</v>
      </c>
      <c r="B170">
        <f t="shared" si="34"/>
        <v>412278.72264261771</v>
      </c>
      <c r="C170" s="5">
        <v>0.08</v>
      </c>
      <c r="D170">
        <f t="shared" si="35"/>
        <v>2910687.7818568838</v>
      </c>
      <c r="Q170">
        <f t="shared" si="36"/>
        <v>2910687.7818569071</v>
      </c>
      <c r="R170">
        <f t="shared" si="37"/>
        <v>911.16017445578018</v>
      </c>
      <c r="S170">
        <f t="shared" si="38"/>
        <v>16254742.483608453</v>
      </c>
      <c r="T170" s="5">
        <v>0.08</v>
      </c>
      <c r="V170">
        <f>SUM($R$2:R170)</f>
        <v>46937.31553663993</v>
      </c>
      <c r="W170">
        <f t="shared" si="39"/>
        <v>98.969585325854865</v>
      </c>
      <c r="Z170">
        <f t="shared" si="33"/>
        <v>2.917671568640669E-5</v>
      </c>
      <c r="AA170" s="5">
        <v>0.3</v>
      </c>
      <c r="AB170">
        <f t="shared" si="29"/>
        <v>54182474.94536151</v>
      </c>
      <c r="AC170">
        <f t="shared" si="32"/>
        <v>4039230.7755518537</v>
      </c>
      <c r="AD170" s="5">
        <v>0.2</v>
      </c>
      <c r="AE170">
        <f t="shared" si="30"/>
        <v>807846.15511037083</v>
      </c>
      <c r="AF170">
        <f t="shared" si="31"/>
        <v>1</v>
      </c>
    </row>
    <row r="171" spans="1:32" x14ac:dyDescent="0.25">
      <c r="A171" s="2">
        <v>170</v>
      </c>
      <c r="B171">
        <f t="shared" si="34"/>
        <v>445261.02045402711</v>
      </c>
      <c r="C171" s="5">
        <v>0.08</v>
      </c>
      <c r="D171">
        <f t="shared" si="35"/>
        <v>3143542.8044054345</v>
      </c>
      <c r="Q171">
        <f t="shared" si="36"/>
        <v>3143542.8044054601</v>
      </c>
      <c r="R171">
        <f t="shared" si="37"/>
        <v>928.35187586060624</v>
      </c>
      <c r="S171">
        <f t="shared" si="38"/>
        <v>17555121.882297128</v>
      </c>
      <c r="T171" s="5">
        <v>0.08</v>
      </c>
      <c r="V171">
        <f>SUM($R$2:R171)</f>
        <v>47865.667412500537</v>
      </c>
      <c r="W171">
        <f t="shared" si="39"/>
        <v>100.92705986695175</v>
      </c>
      <c r="Z171">
        <f t="shared" si="33"/>
        <v>2.7015477487413603E-5</v>
      </c>
      <c r="AA171" s="5">
        <v>0.3</v>
      </c>
      <c r="AB171">
        <f t="shared" si="29"/>
        <v>58517072.940990433</v>
      </c>
      <c r="AC171">
        <f t="shared" si="32"/>
        <v>4281584.622084965</v>
      </c>
      <c r="AD171" s="5">
        <v>0.2</v>
      </c>
      <c r="AE171">
        <f t="shared" si="30"/>
        <v>856316.92441699305</v>
      </c>
      <c r="AF171">
        <f t="shared" si="31"/>
        <v>1</v>
      </c>
    </row>
    <row r="172" spans="1:32" x14ac:dyDescent="0.25">
      <c r="A172" s="2">
        <v>171</v>
      </c>
      <c r="B172">
        <f t="shared" si="34"/>
        <v>480881.90209034929</v>
      </c>
      <c r="C172" s="5">
        <v>0.08</v>
      </c>
      <c r="D172">
        <f t="shared" si="35"/>
        <v>3395026.2287578695</v>
      </c>
      <c r="Q172">
        <f t="shared" si="36"/>
        <v>3395026.2287578965</v>
      </c>
      <c r="R172">
        <f t="shared" si="37"/>
        <v>945.86794899005145</v>
      </c>
      <c r="S172">
        <f t="shared" si="38"/>
        <v>18959531.6328809</v>
      </c>
      <c r="T172" s="5">
        <v>0.08</v>
      </c>
      <c r="V172">
        <f>SUM($R$2:R172)</f>
        <v>48811.535361490591</v>
      </c>
      <c r="W172">
        <f t="shared" si="39"/>
        <v>102.92146788995612</v>
      </c>
      <c r="Z172">
        <f t="shared" si="33"/>
        <v>2.5014331006864447E-5</v>
      </c>
      <c r="AA172" s="5">
        <v>0.3</v>
      </c>
      <c r="AB172">
        <f t="shared" si="29"/>
        <v>63198438.776269667</v>
      </c>
      <c r="AC172">
        <f t="shared" si="32"/>
        <v>4538479.6994100632</v>
      </c>
      <c r="AD172" s="5">
        <v>0.2</v>
      </c>
      <c r="AE172">
        <f t="shared" si="30"/>
        <v>907695.93988201267</v>
      </c>
      <c r="AF172">
        <f t="shared" si="31"/>
        <v>1</v>
      </c>
    </row>
    <row r="173" spans="1:32" x14ac:dyDescent="0.25">
      <c r="A173" s="2">
        <v>172</v>
      </c>
      <c r="B173">
        <f t="shared" si="34"/>
        <v>519352.45425757725</v>
      </c>
      <c r="C173" s="5">
        <v>0.08</v>
      </c>
      <c r="D173">
        <f t="shared" si="35"/>
        <v>3666628.3270584992</v>
      </c>
      <c r="Q173">
        <f t="shared" si="36"/>
        <v>3666628.3270585281</v>
      </c>
      <c r="R173">
        <f t="shared" si="37"/>
        <v>963.71451406533538</v>
      </c>
      <c r="S173">
        <f t="shared" si="38"/>
        <v>20476294.163511373</v>
      </c>
      <c r="T173" s="5">
        <v>0.08</v>
      </c>
      <c r="V173">
        <f>SUM($R$2:R173)</f>
        <v>49775.249875555928</v>
      </c>
      <c r="W173">
        <f t="shared" si="39"/>
        <v>104.95350625301718</v>
      </c>
      <c r="Z173">
        <f t="shared" si="33"/>
        <v>2.3161417598948559E-5</v>
      </c>
      <c r="AA173" s="5">
        <v>0.3</v>
      </c>
      <c r="AB173">
        <f t="shared" si="29"/>
        <v>68254313.878371254</v>
      </c>
      <c r="AC173">
        <f t="shared" si="32"/>
        <v>4810788.481374667</v>
      </c>
      <c r="AD173" s="5">
        <v>0.2</v>
      </c>
      <c r="AE173">
        <f t="shared" si="30"/>
        <v>962157.69627493341</v>
      </c>
      <c r="AF173">
        <f t="shared" si="31"/>
        <v>1</v>
      </c>
    </row>
    <row r="174" spans="1:32" x14ac:dyDescent="0.25">
      <c r="A174" s="2">
        <v>173</v>
      </c>
      <c r="B174">
        <f t="shared" si="34"/>
        <v>560900.65059818339</v>
      </c>
      <c r="C174" s="5">
        <v>0.08</v>
      </c>
      <c r="D174">
        <f t="shared" si="35"/>
        <v>3959958.5932231792</v>
      </c>
      <c r="Q174">
        <f t="shared" si="36"/>
        <v>3959958.5932232109</v>
      </c>
      <c r="R174">
        <f t="shared" si="37"/>
        <v>981.89780678354941</v>
      </c>
      <c r="S174">
        <f t="shared" si="38"/>
        <v>22114397.696592286</v>
      </c>
      <c r="T174" s="5">
        <v>0.08</v>
      </c>
      <c r="V174">
        <f>SUM($R$2:R174)</f>
        <v>50757.147682339477</v>
      </c>
      <c r="W174">
        <f t="shared" si="39"/>
        <v>107.02388496255108</v>
      </c>
      <c r="Z174">
        <f t="shared" si="33"/>
        <v>2.1445757036063478E-5</v>
      </c>
      <c r="AA174" s="5">
        <v>0.3</v>
      </c>
      <c r="AB174">
        <f t="shared" si="29"/>
        <v>73714658.988640964</v>
      </c>
      <c r="AC174">
        <f t="shared" si="32"/>
        <v>5099435.7902571475</v>
      </c>
      <c r="AD174" s="5">
        <v>0.2</v>
      </c>
      <c r="AE174">
        <f t="shared" si="30"/>
        <v>1019887.1580514295</v>
      </c>
      <c r="AF174">
        <f t="shared" si="31"/>
        <v>1</v>
      </c>
    </row>
    <row r="175" spans="1:32" x14ac:dyDescent="0.25">
      <c r="A175" s="2">
        <v>174</v>
      </c>
      <c r="B175">
        <f t="shared" si="34"/>
        <v>605772.70264603803</v>
      </c>
      <c r="C175" s="5">
        <v>0.08</v>
      </c>
      <c r="D175">
        <f t="shared" si="35"/>
        <v>4276755.2806810336</v>
      </c>
      <c r="Q175">
        <f t="shared" si="36"/>
        <v>4276755.2806810681</v>
      </c>
      <c r="R175">
        <f t="shared" si="37"/>
        <v>1000.4241804964466</v>
      </c>
      <c r="S175">
        <f t="shared" si="38"/>
        <v>23883549.512319669</v>
      </c>
      <c r="T175" s="5">
        <v>0.08</v>
      </c>
      <c r="V175">
        <f>SUM($R$2:R175)</f>
        <v>51757.571862835925</v>
      </c>
      <c r="W175">
        <f t="shared" si="39"/>
        <v>109.13332742132148</v>
      </c>
      <c r="Z175">
        <f t="shared" si="33"/>
        <v>1.9857182440799518E-5</v>
      </c>
      <c r="AA175" s="5">
        <v>0.3</v>
      </c>
      <c r="AB175">
        <f t="shared" si="29"/>
        <v>79611831.70773223</v>
      </c>
      <c r="AC175">
        <f t="shared" si="32"/>
        <v>5405401.9376725769</v>
      </c>
      <c r="AD175" s="5">
        <v>0.2</v>
      </c>
      <c r="AE175">
        <f t="shared" si="30"/>
        <v>1081080.3875345155</v>
      </c>
      <c r="AF175">
        <f t="shared" si="31"/>
        <v>1</v>
      </c>
    </row>
    <row r="176" spans="1:32" x14ac:dyDescent="0.25">
      <c r="A176" s="2">
        <v>175</v>
      </c>
      <c r="B176">
        <f t="shared" si="34"/>
        <v>654234.51885772112</v>
      </c>
      <c r="C176" s="5">
        <v>0.08</v>
      </c>
      <c r="D176">
        <f t="shared" si="35"/>
        <v>4618895.7031355165</v>
      </c>
      <c r="Q176">
        <f t="shared" si="36"/>
        <v>4618895.7031355537</v>
      </c>
      <c r="R176">
        <f t="shared" si="37"/>
        <v>1019.3001084303418</v>
      </c>
      <c r="S176">
        <f t="shared" si="38"/>
        <v>25794233.473305244</v>
      </c>
      <c r="T176" s="5">
        <v>0.08</v>
      </c>
      <c r="V176">
        <f>SUM($R$2:R176)</f>
        <v>52776.871971266264</v>
      </c>
      <c r="W176">
        <f t="shared" si="39"/>
        <v>111.28257068120074</v>
      </c>
      <c r="Z176">
        <f t="shared" si="33"/>
        <v>1.838628003777733E-5</v>
      </c>
      <c r="AA176" s="5">
        <v>0.3</v>
      </c>
      <c r="AB176">
        <f t="shared" si="29"/>
        <v>85980778.244350821</v>
      </c>
      <c r="AC176">
        <f t="shared" si="32"/>
        <v>5729726.0539329322</v>
      </c>
      <c r="AD176" s="5">
        <v>0.2</v>
      </c>
      <c r="AE176">
        <f t="shared" si="30"/>
        <v>1145945.2107865864</v>
      </c>
      <c r="AF176">
        <f t="shared" si="31"/>
        <v>1</v>
      </c>
    </row>
    <row r="177" spans="1:32" x14ac:dyDescent="0.25">
      <c r="A177" s="2">
        <v>176</v>
      </c>
      <c r="B177">
        <f t="shared" si="34"/>
        <v>706573.28036633879</v>
      </c>
      <c r="C177" s="5">
        <v>0.08</v>
      </c>
      <c r="D177">
        <f t="shared" si="35"/>
        <v>4988407.3593863575</v>
      </c>
      <c r="Q177">
        <f t="shared" si="36"/>
        <v>4988407.3593863985</v>
      </c>
      <c r="R177">
        <f t="shared" si="37"/>
        <v>1038.5321859478952</v>
      </c>
      <c r="S177">
        <f t="shared" si="38"/>
        <v>27857772.151169665</v>
      </c>
      <c r="T177" s="5">
        <v>0.08</v>
      </c>
      <c r="V177">
        <f>SUM($R$2:R177)</f>
        <v>53815.404157214158</v>
      </c>
      <c r="W177">
        <f t="shared" si="39"/>
        <v>113.47236570070038</v>
      </c>
      <c r="Z177">
        <f t="shared" si="33"/>
        <v>1.7024333368312341E-5</v>
      </c>
      <c r="AA177" s="5">
        <v>0.3</v>
      </c>
      <c r="AB177">
        <f t="shared" si="29"/>
        <v>92859240.503898889</v>
      </c>
      <c r="AC177">
        <f t="shared" si="32"/>
        <v>6073509.617168908</v>
      </c>
      <c r="AD177" s="5">
        <v>0.2</v>
      </c>
      <c r="AE177">
        <f t="shared" si="30"/>
        <v>1214701.9234337816</v>
      </c>
      <c r="AF177">
        <f t="shared" si="31"/>
        <v>1</v>
      </c>
    </row>
    <row r="178" spans="1:32" x14ac:dyDescent="0.25">
      <c r="A178" s="2">
        <v>177</v>
      </c>
      <c r="B178">
        <f t="shared" si="34"/>
        <v>763099.14279564586</v>
      </c>
      <c r="C178" s="5">
        <v>0.08</v>
      </c>
      <c r="D178">
        <f t="shared" si="35"/>
        <v>5387479.9481372666</v>
      </c>
      <c r="Q178">
        <f t="shared" si="36"/>
        <v>5387479.9481373094</v>
      </c>
      <c r="R178">
        <f t="shared" si="37"/>
        <v>1058.1271328525727</v>
      </c>
      <c r="S178">
        <f t="shared" si="38"/>
        <v>30086393.923263241</v>
      </c>
      <c r="T178" s="5">
        <v>0.08</v>
      </c>
      <c r="V178">
        <f>SUM($R$2:R178)</f>
        <v>54873.531290066734</v>
      </c>
      <c r="W178">
        <f t="shared" si="39"/>
        <v>115.70347760736038</v>
      </c>
      <c r="Z178">
        <f t="shared" si="33"/>
        <v>1.5763271637326241E-5</v>
      </c>
      <c r="AA178" s="5">
        <v>0.3</v>
      </c>
      <c r="AB178">
        <f t="shared" si="29"/>
        <v>100287979.74421081</v>
      </c>
      <c r="AC178">
        <f t="shared" si="32"/>
        <v>6437920.1941990424</v>
      </c>
      <c r="AD178" s="5">
        <v>0.2</v>
      </c>
      <c r="AE178">
        <f t="shared" si="30"/>
        <v>1287584.0388398087</v>
      </c>
      <c r="AF178">
        <f t="shared" si="31"/>
        <v>1</v>
      </c>
    </row>
    <row r="179" spans="1:32" x14ac:dyDescent="0.25">
      <c r="A179" s="2">
        <v>178</v>
      </c>
      <c r="B179">
        <f t="shared" si="34"/>
        <v>824147.0742192975</v>
      </c>
      <c r="C179" s="5">
        <v>0.08</v>
      </c>
      <c r="D179">
        <f t="shared" si="35"/>
        <v>5818478.3439882481</v>
      </c>
      <c r="Q179">
        <f t="shared" si="36"/>
        <v>5818478.3439882947</v>
      </c>
      <c r="R179">
        <f t="shared" si="37"/>
        <v>1078.0917957365834</v>
      </c>
      <c r="S179">
        <f t="shared" si="38"/>
        <v>32493305.437124301</v>
      </c>
      <c r="T179" s="5">
        <v>0.08</v>
      </c>
      <c r="V179">
        <f>SUM($R$2:R179)</f>
        <v>55951.623085803316</v>
      </c>
      <c r="W179">
        <f t="shared" si="39"/>
        <v>117.97668596508944</v>
      </c>
      <c r="Z179">
        <f t="shared" si="33"/>
        <v>1.4595621886413185E-5</v>
      </c>
      <c r="AA179" s="5">
        <v>0.3</v>
      </c>
      <c r="AB179">
        <f t="shared" si="29"/>
        <v>108311018.12374768</v>
      </c>
      <c r="AC179">
        <f t="shared" si="32"/>
        <v>6824195.4058509851</v>
      </c>
      <c r="AD179" s="5">
        <v>0.2</v>
      </c>
      <c r="AE179">
        <f t="shared" si="30"/>
        <v>1364839.0811701971</v>
      </c>
      <c r="AF179">
        <f t="shared" si="31"/>
        <v>1</v>
      </c>
    </row>
    <row r="180" spans="1:32" x14ac:dyDescent="0.25">
      <c r="A180" s="2">
        <v>179</v>
      </c>
      <c r="B180">
        <f t="shared" si="34"/>
        <v>890078.84015684132</v>
      </c>
      <c r="C180" s="5">
        <v>0.08</v>
      </c>
      <c r="D180">
        <f t="shared" si="35"/>
        <v>6283956.6115073077</v>
      </c>
      <c r="Q180">
        <f t="shared" si="36"/>
        <v>6283956.611507359</v>
      </c>
      <c r="R180">
        <f t="shared" si="37"/>
        <v>1098.433150373123</v>
      </c>
      <c r="S180">
        <f t="shared" si="38"/>
        <v>35092769.872094244</v>
      </c>
      <c r="T180" s="5">
        <v>0.08</v>
      </c>
      <c r="V180">
        <f>SUM($R$2:R180)</f>
        <v>57050.056236176439</v>
      </c>
      <c r="W180">
        <f t="shared" si="39"/>
        <v>120.29278504654924</v>
      </c>
      <c r="Z180">
        <f t="shared" si="33"/>
        <v>1.3514464709641839E-5</v>
      </c>
      <c r="AA180" s="5">
        <v>0.3</v>
      </c>
      <c r="AB180">
        <f t="shared" si="29"/>
        <v>116975899.57364748</v>
      </c>
      <c r="AC180">
        <f t="shared" si="32"/>
        <v>7233647.1302020447</v>
      </c>
      <c r="AD180" s="5">
        <v>0.2</v>
      </c>
      <c r="AE180">
        <f t="shared" si="30"/>
        <v>1446729.4260404091</v>
      </c>
      <c r="AF180">
        <f t="shared" si="31"/>
        <v>1</v>
      </c>
    </row>
    <row r="181" spans="1:32" x14ac:dyDescent="0.25">
      <c r="A181" s="2">
        <v>180</v>
      </c>
      <c r="B181">
        <f t="shared" si="34"/>
        <v>961285.14736938861</v>
      </c>
      <c r="C181" s="5">
        <v>0.08</v>
      </c>
      <c r="D181">
        <f t="shared" si="35"/>
        <v>6786673.1404278921</v>
      </c>
      <c r="Q181">
        <f t="shared" si="36"/>
        <v>6786673.1404279489</v>
      </c>
      <c r="R181">
        <f t="shared" si="37"/>
        <v>1119.1583041537478</v>
      </c>
      <c r="S181">
        <f t="shared" si="38"/>
        <v>37900191.461861789</v>
      </c>
      <c r="T181" s="5">
        <v>0.08</v>
      </c>
      <c r="V181">
        <f>SUM($R$2:R181)</f>
        <v>58169.214540330184</v>
      </c>
      <c r="W181">
        <f t="shared" si="39"/>
        <v>122.65258411067808</v>
      </c>
      <c r="Z181">
        <f t="shared" si="33"/>
        <v>1.2513393249668367E-5</v>
      </c>
      <c r="AA181" s="5">
        <v>0.3</v>
      </c>
      <c r="AB181">
        <f t="shared" si="29"/>
        <v>126333971.53953931</v>
      </c>
      <c r="AC181">
        <f t="shared" si="32"/>
        <v>7667665.9580141678</v>
      </c>
      <c r="AD181" s="5">
        <v>0.2</v>
      </c>
      <c r="AE181">
        <f t="shared" si="30"/>
        <v>1533533.1916028336</v>
      </c>
      <c r="AF181">
        <f t="shared" si="31"/>
        <v>1</v>
      </c>
    </row>
    <row r="182" spans="1:32" x14ac:dyDescent="0.25">
      <c r="A182" s="2">
        <v>181</v>
      </c>
      <c r="B182">
        <f t="shared" si="34"/>
        <v>1038187.9591589397</v>
      </c>
      <c r="C182" s="5">
        <v>0.08</v>
      </c>
      <c r="D182">
        <f t="shared" si="35"/>
        <v>7329606.9916621232</v>
      </c>
      <c r="Q182">
        <f t="shared" si="36"/>
        <v>7329606.9916621847</v>
      </c>
      <c r="R182">
        <f t="shared" si="37"/>
        <v>1140.2744985717432</v>
      </c>
      <c r="S182">
        <f t="shared" si="38"/>
        <v>40932206.778810732</v>
      </c>
      <c r="T182" s="5">
        <v>0.08</v>
      </c>
      <c r="V182">
        <f>SUM($R$2:R182)</f>
        <v>59309.489038901927</v>
      </c>
      <c r="W182">
        <f t="shared" si="39"/>
        <v>125.05690768545087</v>
      </c>
      <c r="Z182">
        <f t="shared" si="33"/>
        <v>1.1586475231174414E-5</v>
      </c>
      <c r="AA182" s="5">
        <v>0.3</v>
      </c>
      <c r="AB182">
        <f t="shared" si="29"/>
        <v>136440689.26270244</v>
      </c>
      <c r="AC182">
        <f t="shared" si="32"/>
        <v>8127725.9154950185</v>
      </c>
      <c r="AD182" s="5">
        <v>0.2</v>
      </c>
      <c r="AE182">
        <f t="shared" si="30"/>
        <v>1625545.1830990037</v>
      </c>
      <c r="AF182">
        <f t="shared" si="31"/>
        <v>1</v>
      </c>
    </row>
    <row r="183" spans="1:32" x14ac:dyDescent="0.25">
      <c r="A183" s="2">
        <v>182</v>
      </c>
      <c r="B183">
        <f t="shared" si="34"/>
        <v>1121242.9958916549</v>
      </c>
      <c r="C183" s="5">
        <v>0.08</v>
      </c>
      <c r="D183">
        <f t="shared" si="35"/>
        <v>7915975.5509950928</v>
      </c>
      <c r="Q183">
        <f t="shared" si="36"/>
        <v>7915975.550995159</v>
      </c>
      <c r="R183">
        <f t="shared" si="37"/>
        <v>1161.7891117523416</v>
      </c>
      <c r="S183">
        <f t="shared" si="38"/>
        <v>44206783.321115591</v>
      </c>
      <c r="T183" s="5">
        <v>0.08</v>
      </c>
      <c r="V183">
        <f>SUM($R$2:R183)</f>
        <v>60471.278150654267</v>
      </c>
      <c r="W183">
        <f t="shared" si="39"/>
        <v>127.50659585597408</v>
      </c>
      <c r="Z183">
        <f t="shared" si="33"/>
        <v>1.0728217806642976E-5</v>
      </c>
      <c r="AA183" s="5">
        <v>0.3</v>
      </c>
      <c r="AB183">
        <f t="shared" si="29"/>
        <v>147355944.40371865</v>
      </c>
      <c r="AC183">
        <f t="shared" si="32"/>
        <v>8615389.4704247192</v>
      </c>
      <c r="AD183" s="5">
        <v>0.2</v>
      </c>
      <c r="AE183">
        <f t="shared" si="30"/>
        <v>1723077.8940849439</v>
      </c>
      <c r="AF183">
        <f t="shared" si="31"/>
        <v>1</v>
      </c>
    </row>
    <row r="184" spans="1:32" x14ac:dyDescent="0.25">
      <c r="A184" s="2">
        <v>183</v>
      </c>
      <c r="B184">
        <f t="shared" si="34"/>
        <v>1210942.4355629873</v>
      </c>
      <c r="C184" s="5">
        <v>0.08</v>
      </c>
      <c r="D184">
        <f t="shared" si="35"/>
        <v>8549253.5950747002</v>
      </c>
      <c r="Q184">
        <f t="shared" si="36"/>
        <v>8549253.5950747747</v>
      </c>
      <c r="R184">
        <f t="shared" si="37"/>
        <v>1183.7096610306878</v>
      </c>
      <c r="S184">
        <f t="shared" si="38"/>
        <v>47743325.986804843</v>
      </c>
      <c r="T184" s="5">
        <v>0.08</v>
      </c>
      <c r="V184">
        <f>SUM($R$2:R184)</f>
        <v>61654.987811684958</v>
      </c>
      <c r="W184">
        <f t="shared" si="39"/>
        <v>130.00250455801662</v>
      </c>
      <c r="Z184">
        <f t="shared" si="33"/>
        <v>9.9335350061509023E-6</v>
      </c>
      <c r="AA184" s="5">
        <v>0.3</v>
      </c>
      <c r="AB184">
        <f t="shared" si="29"/>
        <v>159144419.95601615</v>
      </c>
      <c r="AC184">
        <f t="shared" si="32"/>
        <v>9132312.8386502024</v>
      </c>
      <c r="AD184" s="5">
        <v>0.2</v>
      </c>
      <c r="AE184">
        <f t="shared" si="30"/>
        <v>1826462.5677300405</v>
      </c>
      <c r="AF184">
        <f t="shared" si="31"/>
        <v>1</v>
      </c>
    </row>
    <row r="185" spans="1:32" x14ac:dyDescent="0.25">
      <c r="A185" s="2">
        <v>184</v>
      </c>
      <c r="B185">
        <f t="shared" si="34"/>
        <v>1307817.8304080262</v>
      </c>
      <c r="C185" s="5">
        <v>0.08</v>
      </c>
      <c r="D185">
        <f t="shared" si="35"/>
        <v>9233193.8826806769</v>
      </c>
      <c r="Q185">
        <f t="shared" si="36"/>
        <v>9233193.8826807551</v>
      </c>
      <c r="R185">
        <f t="shared" si="37"/>
        <v>1206.0438055784366</v>
      </c>
      <c r="S185">
        <f t="shared" si="38"/>
        <v>51562792.065749235</v>
      </c>
      <c r="T185" s="5">
        <v>0.08</v>
      </c>
      <c r="V185">
        <f>SUM($R$2:R185)</f>
        <v>62861.031617263397</v>
      </c>
      <c r="W185">
        <f t="shared" si="39"/>
        <v>132.54550587707882</v>
      </c>
      <c r="Z185">
        <f t="shared" si="33"/>
        <v>9.1977175982878715E-6</v>
      </c>
      <c r="AA185" s="5">
        <v>0.3</v>
      </c>
      <c r="AB185">
        <f t="shared" si="29"/>
        <v>171875973.55249745</v>
      </c>
      <c r="AC185">
        <f t="shared" si="32"/>
        <v>9680251.6089692153</v>
      </c>
      <c r="AD185" s="5">
        <v>0.2</v>
      </c>
      <c r="AE185">
        <f t="shared" si="30"/>
        <v>1936050.3217938431</v>
      </c>
      <c r="AF185">
        <f t="shared" si="31"/>
        <v>1</v>
      </c>
    </row>
    <row r="186" spans="1:32" x14ac:dyDescent="0.25">
      <c r="A186" s="2">
        <v>185</v>
      </c>
      <c r="B186">
        <f t="shared" si="34"/>
        <v>1412443.2568406684</v>
      </c>
      <c r="C186" s="5">
        <v>0.08</v>
      </c>
      <c r="D186">
        <f t="shared" si="35"/>
        <v>9971849.3932951316</v>
      </c>
      <c r="Q186">
        <f t="shared" si="36"/>
        <v>9971849.3932952154</v>
      </c>
      <c r="R186">
        <f t="shared" si="37"/>
        <v>1228.799349079917</v>
      </c>
      <c r="S186">
        <f t="shared" si="38"/>
        <v>55687815.431009181</v>
      </c>
      <c r="T186" s="5">
        <v>0.08</v>
      </c>
      <c r="V186">
        <f>SUM($R$2:R186)</f>
        <v>64089.830966343317</v>
      </c>
      <c r="W186">
        <f t="shared" si="39"/>
        <v>135.13648835310445</v>
      </c>
      <c r="Z186">
        <f t="shared" si="33"/>
        <v>8.5164051835998808E-6</v>
      </c>
      <c r="AA186" s="5">
        <v>0.3</v>
      </c>
      <c r="AB186">
        <f t="shared" si="29"/>
        <v>185626051.43669727</v>
      </c>
      <c r="AC186">
        <f t="shared" si="32"/>
        <v>10261066.705507368</v>
      </c>
      <c r="AD186" s="5">
        <v>0.2</v>
      </c>
      <c r="AE186">
        <f t="shared" si="30"/>
        <v>2052213.3411014737</v>
      </c>
      <c r="AF186">
        <f t="shared" si="31"/>
        <v>1</v>
      </c>
    </row>
    <row r="187" spans="1:32" x14ac:dyDescent="0.25">
      <c r="A187" s="2">
        <v>186</v>
      </c>
      <c r="B187">
        <f t="shared" si="34"/>
        <v>1525438.7173879219</v>
      </c>
      <c r="C187" s="5">
        <v>0.08</v>
      </c>
      <c r="D187">
        <f t="shared" si="35"/>
        <v>10769597.344758742</v>
      </c>
      <c r="Q187">
        <f t="shared" si="36"/>
        <v>10769597.344758835</v>
      </c>
      <c r="R187">
        <f t="shared" si="37"/>
        <v>1251.9842424587835</v>
      </c>
      <c r="S187">
        <f t="shared" si="38"/>
        <v>60142840.665489919</v>
      </c>
      <c r="T187" s="5">
        <v>0.08</v>
      </c>
      <c r="V187">
        <f>SUM($R$2:R187)</f>
        <v>65341.815208802102</v>
      </c>
      <c r="W187">
        <f t="shared" si="39"/>
        <v>137.77635729094189</v>
      </c>
      <c r="Z187">
        <f t="shared" si="33"/>
        <v>7.885560355185074E-6</v>
      </c>
      <c r="AA187" s="5">
        <v>0.3</v>
      </c>
      <c r="AB187">
        <f t="shared" si="29"/>
        <v>200476135.55163306</v>
      </c>
      <c r="AC187">
        <f t="shared" si="32"/>
        <v>10876730.707837811</v>
      </c>
      <c r="AD187" s="5">
        <v>0.2</v>
      </c>
      <c r="AE187">
        <f t="shared" si="30"/>
        <v>2175346.1415675622</v>
      </c>
      <c r="AF187">
        <f t="shared" si="31"/>
        <v>1</v>
      </c>
    </row>
    <row r="188" spans="1:32" x14ac:dyDescent="0.25">
      <c r="A188" s="2">
        <v>187</v>
      </c>
      <c r="B188">
        <f t="shared" si="34"/>
        <v>1647473.8147789557</v>
      </c>
      <c r="C188" s="5">
        <v>0.08</v>
      </c>
      <c r="D188">
        <f t="shared" si="35"/>
        <v>11631165.13233944</v>
      </c>
      <c r="Q188">
        <f t="shared" si="36"/>
        <v>11631165.132339541</v>
      </c>
      <c r="R188">
        <f t="shared" si="37"/>
        <v>1275.6065866561191</v>
      </c>
      <c r="S188">
        <f t="shared" si="38"/>
        <v>64954267.918729119</v>
      </c>
      <c r="T188" s="5">
        <v>0.08</v>
      </c>
      <c r="V188">
        <f>SUM($R$2:R188)</f>
        <v>66617.421795458227</v>
      </c>
      <c r="W188">
        <f t="shared" si="39"/>
        <v>140.46603507666308</v>
      </c>
      <c r="Z188">
        <f t="shared" si="33"/>
        <v>7.3014447733195125E-6</v>
      </c>
      <c r="AA188" s="5">
        <v>0.3</v>
      </c>
      <c r="AB188">
        <f t="shared" si="29"/>
        <v>216514226.39576373</v>
      </c>
      <c r="AC188">
        <f t="shared" si="32"/>
        <v>11529334.55030808</v>
      </c>
      <c r="AD188" s="5">
        <v>0.2</v>
      </c>
      <c r="AE188">
        <f t="shared" si="30"/>
        <v>2305866.910061616</v>
      </c>
      <c r="AF188">
        <f t="shared" si="31"/>
        <v>1</v>
      </c>
    </row>
    <row r="189" spans="1:32" x14ac:dyDescent="0.25">
      <c r="A189" s="2">
        <v>188</v>
      </c>
      <c r="B189">
        <f t="shared" si="34"/>
        <v>1779271.7199612721</v>
      </c>
      <c r="C189" s="5">
        <v>0.08</v>
      </c>
      <c r="D189">
        <f t="shared" si="35"/>
        <v>12561658.342926595</v>
      </c>
      <c r="Q189">
        <f t="shared" si="36"/>
        <v>12561658.342926703</v>
      </c>
      <c r="R189">
        <f t="shared" si="37"/>
        <v>1299.6746354609513</v>
      </c>
      <c r="S189">
        <f t="shared" si="38"/>
        <v>70150609.352227449</v>
      </c>
      <c r="T189" s="5">
        <v>0.08</v>
      </c>
      <c r="V189">
        <f>SUM($R$2:R189)</f>
        <v>67917.096430919177</v>
      </c>
      <c r="W189">
        <f t="shared" si="39"/>
        <v>143.20646149985066</v>
      </c>
      <c r="Z189">
        <f t="shared" si="33"/>
        <v>6.7605970123328813E-6</v>
      </c>
      <c r="AA189" s="5">
        <v>0.3</v>
      </c>
      <c r="AB189">
        <f t="shared" si="29"/>
        <v>233835364.50742483</v>
      </c>
      <c r="AC189">
        <f t="shared" si="32"/>
        <v>12221094.623326566</v>
      </c>
      <c r="AD189" s="5">
        <v>0.2</v>
      </c>
      <c r="AE189">
        <f t="shared" si="30"/>
        <v>2444218.9246653132</v>
      </c>
      <c r="AF189">
        <f t="shared" si="31"/>
        <v>1</v>
      </c>
    </row>
    <row r="190" spans="1:32" x14ac:dyDescent="0.25">
      <c r="A190" s="2">
        <v>189</v>
      </c>
      <c r="B190">
        <f t="shared" si="34"/>
        <v>1921613.4575581739</v>
      </c>
      <c r="C190" s="5">
        <v>0.08</v>
      </c>
      <c r="D190">
        <f t="shared" si="35"/>
        <v>13566591.010360723</v>
      </c>
      <c r="Q190">
        <f t="shared" si="36"/>
        <v>13566591.010360841</v>
      </c>
      <c r="R190">
        <f t="shared" si="37"/>
        <v>1324.1967983941768</v>
      </c>
      <c r="S190">
        <f t="shared" si="38"/>
        <v>75762658.100405648</v>
      </c>
      <c r="T190" s="5">
        <v>0.08</v>
      </c>
      <c r="V190">
        <f>SUM($R$2:R190)</f>
        <v>69241.293229313349</v>
      </c>
      <c r="W190">
        <f t="shared" si="39"/>
        <v>145.99859408196633</v>
      </c>
      <c r="Z190">
        <f t="shared" si="33"/>
        <v>6.2598120484563715E-6</v>
      </c>
      <c r="AA190" s="5">
        <v>0.3</v>
      </c>
      <c r="AB190">
        <f t="shared" si="29"/>
        <v>252542193.66801885</v>
      </c>
      <c r="AC190">
        <f t="shared" si="32"/>
        <v>12954360.30072616</v>
      </c>
      <c r="AD190" s="5">
        <v>0.2</v>
      </c>
      <c r="AE190">
        <f t="shared" si="30"/>
        <v>2590872.0601452324</v>
      </c>
      <c r="AF190">
        <f t="shared" si="31"/>
        <v>1</v>
      </c>
    </row>
    <row r="191" spans="1:32" x14ac:dyDescent="0.25">
      <c r="A191" s="2">
        <v>190</v>
      </c>
      <c r="B191">
        <f t="shared" si="34"/>
        <v>2075342.5341628278</v>
      </c>
      <c r="C191" s="5">
        <v>0.08</v>
      </c>
      <c r="D191">
        <f t="shared" si="35"/>
        <v>14651918.291189581</v>
      </c>
      <c r="Q191">
        <f t="shared" si="36"/>
        <v>14651918.291189708</v>
      </c>
      <c r="R191">
        <f t="shared" si="37"/>
        <v>1349.1816436468969</v>
      </c>
      <c r="S191">
        <f t="shared" si="38"/>
        <v>81823670.748438105</v>
      </c>
      <c r="T191" s="5">
        <v>0.08</v>
      </c>
      <c r="V191">
        <f>SUM($R$2:R191)</f>
        <v>70590.474872960243</v>
      </c>
      <c r="W191">
        <f t="shared" si="39"/>
        <v>148.84340841091435</v>
      </c>
      <c r="Z191">
        <f t="shared" si="33"/>
        <v>5.7961222670892322E-6</v>
      </c>
      <c r="AA191" s="5">
        <v>0.3</v>
      </c>
      <c r="AB191">
        <f t="shared" si="29"/>
        <v>272745569.16146034</v>
      </c>
      <c r="AC191">
        <f t="shared" si="32"/>
        <v>13731621.91876973</v>
      </c>
      <c r="AD191" s="5">
        <v>0.2</v>
      </c>
      <c r="AE191">
        <f t="shared" si="30"/>
        <v>2746324.3837539461</v>
      </c>
      <c r="AF191">
        <f t="shared" si="31"/>
        <v>1</v>
      </c>
    </row>
    <row r="192" spans="1:32" x14ac:dyDescent="0.25">
      <c r="A192" s="2">
        <v>191</v>
      </c>
      <c r="B192">
        <f t="shared" si="34"/>
        <v>2241369.9368958538</v>
      </c>
      <c r="C192" s="5">
        <v>0.08</v>
      </c>
      <c r="D192">
        <f t="shared" si="35"/>
        <v>15824071.754484748</v>
      </c>
      <c r="Q192">
        <f t="shared" si="36"/>
        <v>15824071.754484888</v>
      </c>
      <c r="R192">
        <f t="shared" si="37"/>
        <v>1374.6379010741969</v>
      </c>
      <c r="S192">
        <f t="shared" si="38"/>
        <v>88369564.408313155</v>
      </c>
      <c r="T192" s="5">
        <v>0.08</v>
      </c>
      <c r="V192">
        <f>SUM($R$2:R192)</f>
        <v>71965.112774034438</v>
      </c>
      <c r="W192">
        <f t="shared" si="39"/>
        <v>151.74189848191801</v>
      </c>
      <c r="Z192">
        <f t="shared" si="33"/>
        <v>5.3667798769344741E-6</v>
      </c>
      <c r="AA192" s="5">
        <v>0.3</v>
      </c>
      <c r="AB192">
        <f t="shared" si="29"/>
        <v>294565214.69437718</v>
      </c>
      <c r="AC192">
        <f t="shared" si="32"/>
        <v>14555519.233895915</v>
      </c>
      <c r="AD192" s="5">
        <v>0.2</v>
      </c>
      <c r="AE192">
        <f t="shared" si="30"/>
        <v>2911103.846779183</v>
      </c>
      <c r="AF192">
        <f t="shared" si="31"/>
        <v>1</v>
      </c>
    </row>
    <row r="193" spans="1:32" x14ac:dyDescent="0.25">
      <c r="A193" s="2">
        <v>192</v>
      </c>
      <c r="B193">
        <f t="shared" si="34"/>
        <v>2420679.5318475221</v>
      </c>
      <c r="C193" s="5">
        <v>0.08</v>
      </c>
      <c r="D193">
        <f t="shared" si="35"/>
        <v>17089997.494843528</v>
      </c>
      <c r="Q193">
        <f t="shared" si="36"/>
        <v>17089997.494843684</v>
      </c>
      <c r="R193">
        <f t="shared" si="37"/>
        <v>1400.574465245408</v>
      </c>
      <c r="S193">
        <f t="shared" si="38"/>
        <v>95439129.560978219</v>
      </c>
      <c r="T193" s="5">
        <v>0.08</v>
      </c>
      <c r="V193">
        <f>SUM($R$2:R193)</f>
        <v>73365.68723927984</v>
      </c>
      <c r="W193">
        <f t="shared" si="39"/>
        <v>154.6950770448274</v>
      </c>
      <c r="Z193">
        <f t="shared" si="33"/>
        <v>4.9692406267911792E-6</v>
      </c>
      <c r="AA193" s="5">
        <v>0.3</v>
      </c>
      <c r="AB193">
        <f t="shared" si="29"/>
        <v>318130431.86992741</v>
      </c>
      <c r="AC193">
        <f t="shared" si="32"/>
        <v>15428850.387929671</v>
      </c>
      <c r="AD193" s="5">
        <v>0.2</v>
      </c>
      <c r="AE193">
        <f t="shared" si="30"/>
        <v>3085770.0775859342</v>
      </c>
      <c r="AF193">
        <f t="shared" si="31"/>
        <v>1</v>
      </c>
    </row>
    <row r="194" spans="1:32" x14ac:dyDescent="0.25">
      <c r="A194" s="2">
        <v>193</v>
      </c>
      <c r="B194">
        <f t="shared" si="34"/>
        <v>2614333.8943953239</v>
      </c>
      <c r="C194" s="5">
        <v>0.08</v>
      </c>
      <c r="D194">
        <f t="shared" si="35"/>
        <v>18457197.294431008</v>
      </c>
      <c r="Q194">
        <f t="shared" si="36"/>
        <v>18457197.294431176</v>
      </c>
      <c r="R194">
        <f t="shared" si="37"/>
        <v>1427.0003985519259</v>
      </c>
      <c r="S194">
        <f t="shared" si="38"/>
        <v>103074259.92585649</v>
      </c>
      <c r="T194" s="5">
        <v>0.08</v>
      </c>
      <c r="V194">
        <f>SUM($R$2:R194)</f>
        <v>74792.687637831768</v>
      </c>
      <c r="W194">
        <f t="shared" si="39"/>
        <v>157.70397595798036</v>
      </c>
      <c r="Z194">
        <f t="shared" si="33"/>
        <v>4.6011487285103514E-6</v>
      </c>
      <c r="AA194" s="5">
        <v>0.3</v>
      </c>
      <c r="AB194">
        <f t="shared" si="29"/>
        <v>343580866.41952163</v>
      </c>
      <c r="AC194">
        <f t="shared" si="32"/>
        <v>16354581.411205452</v>
      </c>
      <c r="AD194" s="5">
        <v>0.2</v>
      </c>
      <c r="AE194">
        <f t="shared" si="30"/>
        <v>3270916.2822410907</v>
      </c>
      <c r="AF194">
        <f t="shared" si="31"/>
        <v>1</v>
      </c>
    </row>
    <row r="195" spans="1:32" x14ac:dyDescent="0.25">
      <c r="A195" s="2">
        <v>194</v>
      </c>
      <c r="B195">
        <f t="shared" si="34"/>
        <v>2823480.6059469497</v>
      </c>
      <c r="C195" s="5">
        <v>0.08</v>
      </c>
      <c r="D195">
        <f t="shared" si="35"/>
        <v>19933773.077985488</v>
      </c>
      <c r="Q195">
        <f t="shared" si="36"/>
        <v>19933773.077985674</v>
      </c>
      <c r="R195">
        <f t="shared" si="37"/>
        <v>1453.9249343736603</v>
      </c>
      <c r="S195">
        <f t="shared" si="38"/>
        <v>111320200.71992502</v>
      </c>
      <c r="T195" s="5">
        <v>0.08</v>
      </c>
      <c r="V195">
        <f>SUM($R$2:R195)</f>
        <v>76246.612572205428</v>
      </c>
      <c r="W195">
        <f t="shared" si="39"/>
        <v>160.76964654873998</v>
      </c>
      <c r="Z195">
        <f t="shared" si="33"/>
        <v>4.2603228967688431E-6</v>
      </c>
      <c r="AA195" s="5">
        <v>0.3</v>
      </c>
      <c r="AB195">
        <f t="shared" ref="AB195:AB201" si="40">S195/AA195</f>
        <v>371067335.73308343</v>
      </c>
      <c r="AC195">
        <f t="shared" si="32"/>
        <v>17335856.295877781</v>
      </c>
      <c r="AD195" s="5">
        <v>0.2</v>
      </c>
      <c r="AE195">
        <f t="shared" ref="AE195:AE201" si="41">AC195*AD195</f>
        <v>3467171.2591755562</v>
      </c>
      <c r="AF195">
        <f t="shared" ref="AF195:AF201" si="42">IF(AB195&gt;AE195, 1, 0)</f>
        <v>1</v>
      </c>
    </row>
    <row r="196" spans="1:32" x14ac:dyDescent="0.25">
      <c r="A196" s="2">
        <v>195</v>
      </c>
      <c r="B196">
        <f t="shared" si="34"/>
        <v>3049359.0544227054</v>
      </c>
      <c r="C196" s="5">
        <v>0.08</v>
      </c>
      <c r="D196">
        <f t="shared" si="35"/>
        <v>21528474.924224328</v>
      </c>
      <c r="Q196">
        <f t="shared" si="36"/>
        <v>21528474.924224526</v>
      </c>
      <c r="R196">
        <f t="shared" si="37"/>
        <v>1481.3574803052388</v>
      </c>
      <c r="S196">
        <f t="shared" si="38"/>
        <v>120225816.77751903</v>
      </c>
      <c r="T196" s="5">
        <v>0.08</v>
      </c>
      <c r="V196">
        <f>SUM($R$2:R196)</f>
        <v>77727.97005251066</v>
      </c>
      <c r="W196">
        <f t="shared" si="39"/>
        <v>163.8931599808347</v>
      </c>
      <c r="Z196">
        <f t="shared" si="33"/>
        <v>3.9447434229341137E-6</v>
      </c>
      <c r="AA196" s="5">
        <v>0.3</v>
      </c>
      <c r="AB196">
        <f t="shared" si="40"/>
        <v>400752722.59173012</v>
      </c>
      <c r="AC196">
        <f t="shared" ref="AC196:AC201" si="43">AC195*(1+$U$2)</f>
        <v>18376007.67363045</v>
      </c>
      <c r="AD196" s="5">
        <v>0.2</v>
      </c>
      <c r="AE196">
        <f t="shared" si="41"/>
        <v>3675201.5347260903</v>
      </c>
      <c r="AF196">
        <f t="shared" si="42"/>
        <v>1</v>
      </c>
    </row>
    <row r="197" spans="1:32" x14ac:dyDescent="0.25">
      <c r="A197" s="2">
        <v>196</v>
      </c>
      <c r="B197">
        <f t="shared" si="34"/>
        <v>3293307.7787765218</v>
      </c>
      <c r="C197" s="5">
        <v>0.08</v>
      </c>
      <c r="D197">
        <f t="shared" si="35"/>
        <v>23250752.918162275</v>
      </c>
      <c r="Q197">
        <f t="shared" si="36"/>
        <v>23250752.918162487</v>
      </c>
      <c r="R197">
        <f t="shared" si="37"/>
        <v>1509.3076214430735</v>
      </c>
      <c r="S197">
        <f t="shared" si="38"/>
        <v>129843882.11972056</v>
      </c>
      <c r="T197" s="5">
        <v>0.08</v>
      </c>
      <c r="V197">
        <f>SUM($R$2:R197)</f>
        <v>79237.277673953737</v>
      </c>
      <c r="W197">
        <f t="shared" si="39"/>
        <v>167.07560762862931</v>
      </c>
      <c r="Z197">
        <f t="shared" si="33"/>
        <v>3.6525402064204753E-6</v>
      </c>
      <c r="AA197" s="5">
        <v>0.3</v>
      </c>
      <c r="AB197">
        <f t="shared" si="40"/>
        <v>432812940.39906853</v>
      </c>
      <c r="AC197">
        <f t="shared" si="43"/>
        <v>19478568.134048279</v>
      </c>
      <c r="AD197" s="5">
        <v>0.2</v>
      </c>
      <c r="AE197">
        <f t="shared" si="41"/>
        <v>3895713.6268096562</v>
      </c>
      <c r="AF197">
        <f t="shared" si="42"/>
        <v>1</v>
      </c>
    </row>
    <row r="198" spans="1:32" x14ac:dyDescent="0.25">
      <c r="A198" s="2">
        <v>197</v>
      </c>
      <c r="B198">
        <f t="shared" si="34"/>
        <v>3556772.4010786437</v>
      </c>
      <c r="C198" s="5">
        <v>0.08</v>
      </c>
      <c r="D198">
        <f t="shared" si="35"/>
        <v>25110813.151615258</v>
      </c>
      <c r="Q198">
        <f t="shared" si="36"/>
        <v>25110813.151615489</v>
      </c>
      <c r="R198">
        <f t="shared" si="37"/>
        <v>1537.7851237344521</v>
      </c>
      <c r="S198">
        <f t="shared" si="38"/>
        <v>140231392.68929821</v>
      </c>
      <c r="T198" s="5">
        <v>0.08</v>
      </c>
      <c r="V198">
        <f>SUM($R$2:R198)</f>
        <v>80775.062797688195</v>
      </c>
      <c r="W198">
        <f t="shared" si="39"/>
        <v>170.31810145845779</v>
      </c>
      <c r="Z198">
        <f t="shared" si="33"/>
        <v>3.381981672611551E-6</v>
      </c>
      <c r="AA198" s="5">
        <v>0.3</v>
      </c>
      <c r="AB198">
        <f t="shared" si="40"/>
        <v>467437975.63099408</v>
      </c>
      <c r="AC198">
        <f t="shared" si="43"/>
        <v>20647282.222091176</v>
      </c>
      <c r="AD198" s="5">
        <v>0.2</v>
      </c>
      <c r="AE198">
        <f t="shared" si="41"/>
        <v>4129456.4444182352</v>
      </c>
      <c r="AF198">
        <f t="shared" si="42"/>
        <v>1</v>
      </c>
    </row>
    <row r="199" spans="1:32" x14ac:dyDescent="0.25">
      <c r="A199" s="2">
        <v>198</v>
      </c>
      <c r="B199">
        <f t="shared" si="34"/>
        <v>3841314.1931649353</v>
      </c>
      <c r="C199" s="5">
        <v>0.08</v>
      </c>
      <c r="D199">
        <f t="shared" si="35"/>
        <v>27119678.203744479</v>
      </c>
      <c r="Q199">
        <f t="shared" si="36"/>
        <v>27119678.203744728</v>
      </c>
      <c r="R199">
        <f t="shared" si="37"/>
        <v>1566.7999373898194</v>
      </c>
      <c r="S199">
        <f t="shared" si="38"/>
        <v>151449904.10444209</v>
      </c>
      <c r="T199" s="5">
        <v>0.08</v>
      </c>
      <c r="V199">
        <f>SUM($R$2:R199)</f>
        <v>82341.862735078015</v>
      </c>
      <c r="W199">
        <f t="shared" si="39"/>
        <v>173.62177441715096</v>
      </c>
      <c r="Z199">
        <f t="shared" si="33"/>
        <v>3.1314645116773618E-6</v>
      </c>
      <c r="AA199" s="5">
        <v>0.3</v>
      </c>
      <c r="AB199">
        <f t="shared" si="40"/>
        <v>504833013.68147367</v>
      </c>
      <c r="AC199">
        <f t="shared" si="43"/>
        <v>21886119.155416649</v>
      </c>
      <c r="AD199" s="5">
        <v>0.2</v>
      </c>
      <c r="AE199">
        <f t="shared" si="41"/>
        <v>4377223.8310833303</v>
      </c>
      <c r="AF199">
        <f t="shared" si="42"/>
        <v>1</v>
      </c>
    </row>
    <row r="200" spans="1:32" x14ac:dyDescent="0.25">
      <c r="A200" s="2">
        <v>199</v>
      </c>
      <c r="B200">
        <f t="shared" si="34"/>
        <v>4148619.3286181302</v>
      </c>
      <c r="C200" s="5">
        <v>0.08</v>
      </c>
      <c r="D200">
        <f t="shared" si="35"/>
        <v>29289252.460044038</v>
      </c>
      <c r="Q200">
        <f t="shared" si="36"/>
        <v>29289252.460044313</v>
      </c>
      <c r="R200">
        <f t="shared" si="37"/>
        <v>1596.3622003594385</v>
      </c>
      <c r="S200">
        <f t="shared" si="38"/>
        <v>163565896.43279746</v>
      </c>
      <c r="T200" s="5">
        <v>0.08</v>
      </c>
      <c r="V200">
        <f>SUM($R$2:R200)</f>
        <v>83938.224935437451</v>
      </c>
      <c r="W200">
        <f t="shared" si="39"/>
        <v>176.98778082789494</v>
      </c>
      <c r="Z200">
        <f t="shared" si="33"/>
        <v>2.8995041774790384E-6</v>
      </c>
      <c r="AA200" s="5">
        <v>0.3</v>
      </c>
      <c r="AB200">
        <f t="shared" si="40"/>
        <v>545219654.77599156</v>
      </c>
      <c r="AC200">
        <f t="shared" si="43"/>
        <v>23199286.304741647</v>
      </c>
      <c r="AD200" s="5">
        <v>0.2</v>
      </c>
      <c r="AE200">
        <f t="shared" si="41"/>
        <v>4639857.2609483292</v>
      </c>
      <c r="AF200">
        <f t="shared" si="42"/>
        <v>1</v>
      </c>
    </row>
    <row r="201" spans="1:32" x14ac:dyDescent="0.25">
      <c r="A201" s="2">
        <v>200</v>
      </c>
      <c r="B201">
        <f>B200+B200*C200</f>
        <v>4480508.8749075802</v>
      </c>
      <c r="C201" s="5">
        <v>0.08</v>
      </c>
      <c r="D201">
        <f>D200+D200*C200</f>
        <v>31632392.656847559</v>
      </c>
      <c r="Q201">
        <f>$D$2*((1+$C$2)^A200)</f>
        <v>31632392.656847857</v>
      </c>
      <c r="R201">
        <f>S201/((1+$U$2)^A200)</f>
        <v>1626.4822418756539</v>
      </c>
      <c r="S201">
        <f>S200*(1+T200)</f>
        <v>176651168.14742127</v>
      </c>
      <c r="T201" s="5">
        <v>0.08</v>
      </c>
      <c r="V201">
        <f>SUM($R$2:R201)</f>
        <v>85564.707177313103</v>
      </c>
      <c r="W201">
        <f>V201/$W$2</f>
        <v>180.41729679355862</v>
      </c>
      <c r="Z201">
        <f t="shared" si="33"/>
        <v>2.6847260902583686E-6</v>
      </c>
      <c r="AA201" s="5">
        <v>0.3</v>
      </c>
      <c r="AB201">
        <f t="shared" si="40"/>
        <v>588837227.15807092</v>
      </c>
      <c r="AC201">
        <f t="shared" si="43"/>
        <v>24591243.483026147</v>
      </c>
      <c r="AD201" s="5">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新能源车整车</vt:lpstr>
      <vt:lpstr>新能源车电池组</vt:lpstr>
      <vt:lpstr>新能源车电驱</vt:lpstr>
      <vt:lpstr>新能源车电控</vt:lpstr>
      <vt:lpstr>新能源车零配件</vt:lpstr>
      <vt:lpstr>空气悬架</vt:lpstr>
      <vt:lpstr>充电桩快充</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2023-06-10T12:30:15Z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