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C:\004Investment\value-investment\估值分析\行业利基详细分析\高端制造及机械设备\"/>
    </mc:Choice>
  </mc:AlternateContent>
  <bookViews>
    <workbookView xWindow="-110" yWindow="-110" windowWidth="20270" windowHeight="9130" activeTab="4"/>
  </bookViews>
  <sheets>
    <sheet name="机器人减速器" sheetId="45" r:id="rId1"/>
    <sheet name="机器人伺服器" sheetId="57" r:id="rId2"/>
    <sheet name="机器人控制器" sheetId="56" r:id="rId3"/>
    <sheet name="特殊机器人" sheetId="58" r:id="rId4"/>
    <sheet name="数控机床上游" sheetId="53" r:id="rId5"/>
    <sheet name="数控机床金属削割" sheetId="54" r:id="rId6"/>
    <sheet name="数控机床金属成型" sheetId="55" r:id="rId7"/>
    <sheet name="公司价值折现" sheetId="42" r:id="rId8"/>
    <sheet name="基本面模型" sheetId="23" r:id="rId9"/>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<sst xmlns="http://schemas.openxmlformats.org/spreadsheetml/2006/main" count="3021" uniqueCount="1559">
  <si>
    <t>现价</t>
  </si>
  <si>
    <t>市净率</t>
  </si>
  <si>
    <t>代码</t>
  </si>
  <si>
    <t xml:space="preserve">    名称</t>
  </si>
  <si>
    <t>总市值</t>
  </si>
  <si>
    <t>TTM市盈率</t>
  </si>
  <si>
    <t>所属行业</t>
  </si>
  <si>
    <t>--</t>
  </si>
  <si>
    <t>预期多</t>
    <phoneticPr fontId="1" type="noConversion"/>
  </si>
  <si>
    <t>预期空</t>
    <phoneticPr fontId="1" type="noConversion"/>
  </si>
  <si>
    <t>负债合计</t>
  </si>
  <si>
    <t>所有者权益合计</t>
  </si>
  <si>
    <t>主营业务收入</t>
  </si>
  <si>
    <t>当季营业收入(同比增长率) %</t>
  </si>
  <si>
    <t>去年营业总收入</t>
  </si>
  <si>
    <t>净利润？</t>
  </si>
  <si>
    <t>净利润增长率</t>
  </si>
  <si>
    <t>去年净利润</t>
  </si>
  <si>
    <t>销售毛利率同比增长率</t>
  </si>
  <si>
    <t>总股本</t>
  </si>
  <si>
    <t>权益乘数</t>
  </si>
  <si>
    <t>总资产周转率</t>
  </si>
  <si>
    <t>净利润／营业总收入</t>
  </si>
  <si>
    <t>营业总成本</t>
  </si>
  <si>
    <t>营业成本</t>
  </si>
  <si>
    <t>管理费用</t>
  </si>
  <si>
    <t>研发费用总额</t>
  </si>
  <si>
    <t>财务费用</t>
  </si>
  <si>
    <t>投资收益</t>
  </si>
  <si>
    <t>应收账款</t>
  </si>
  <si>
    <t>5.97亿</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</si>
  <si>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</si>
  <si>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</si>
  <si>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</si>
  <si>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</si>
  <si>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</si>
  <si>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</si>
  <si>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</si>
  <si>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</si>
  <si>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</si>
  <si>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</si>
  <si>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</si>
  <si>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</si>
  <si>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</si>
  <si>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</si>
  <si>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</si>
  <si>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</si>
  <si>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</si>
  <si>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</si>
  <si>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</si>
  <si>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</si>
  <si>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</si>
  <si>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</si>
  <si>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</si>
  <si>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</si>
  <si>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</si>
  <si>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</si>
  <si>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</si>
  <si>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</si>
  <si>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</si>
  <si>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</si>
  <si>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</si>
  <si>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</si>
  <si>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</si>
  <si>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</si>
  <si>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</si>
  <si>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</si>
  <si>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</si>
  <si>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营业收入[20161231]</t>
  </si>
  <si>
    <t>营业收入[20151231]</t>
  </si>
  <si>
    <t>净利润[20191231]</t>
  </si>
  <si>
    <t>净利润[20181231]</t>
  </si>
  <si>
    <t>净利润[20171231]</t>
  </si>
  <si>
    <t>净利润[20161231]</t>
  </si>
  <si>
    <t>净利润[20151231]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</si>
  <si>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</si>
  <si>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</si>
  <si>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</si>
  <si>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</si>
  <si>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</si>
  <si>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</si>
  <si>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</si>
  <si>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</si>
  <si>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</si>
  <si>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</si>
  <si>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N-1年营收增速</t>
  </si>
  <si>
    <t>N-2年营收增速</t>
  </si>
  <si>
    <t>N-3年营收增速</t>
  </si>
  <si>
    <t>N-4年营收增速</t>
  </si>
  <si>
    <t>N-5年营收增速</t>
  </si>
  <si>
    <t>N-1年利润增速</t>
  </si>
  <si>
    <t>N-2年利润增速</t>
  </si>
  <si>
    <t>N-3年利润增速</t>
  </si>
  <si>
    <t>N-4年利润增速</t>
  </si>
  <si>
    <t>N-5年利润增速</t>
  </si>
  <si>
    <t>市销率</t>
    <phoneticPr fontId="1" type="noConversion"/>
  </si>
  <si>
    <t>扣非对比净利润</t>
    <phoneticPr fontId="1" type="noConversion"/>
  </si>
  <si>
    <t>过往营收增速均值</t>
    <phoneticPr fontId="1" type="noConversion"/>
  </si>
  <si>
    <t>过往利润增速均值</t>
    <phoneticPr fontId="1" type="noConversion"/>
  </si>
  <si>
    <t>1年自由现金流折现</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</si>
  <si>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</si>
  <si>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</si>
  <si>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</si>
  <si>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</si>
  <si>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20增速</t>
  </si>
  <si>
    <t>当期自由现金流估计值</t>
  </si>
  <si>
    <t>自由现金流估计增速</t>
  </si>
  <si>
    <t>清算价格</t>
    <phoneticPr fontId="1" type="noConversion"/>
  </si>
  <si>
    <t>利润成长策略</t>
    <phoneticPr fontId="1" type="noConversion"/>
  </si>
  <si>
    <t>营收和利润加权</t>
    <phoneticPr fontId="1" type="noConversion"/>
  </si>
  <si>
    <t>综合策略</t>
    <phoneticPr fontId="1" type="noConversion"/>
  </si>
  <si>
    <t>机会区域号</t>
    <phoneticPr fontId="1" type="noConversion"/>
  </si>
  <si>
    <t>已知和基本信息</t>
    <phoneticPr fontId="1" type="noConversion"/>
  </si>
  <si>
    <t>近期roe</t>
    <phoneticPr fontId="1" type="noConversion"/>
  </si>
  <si>
    <t>1增速</t>
    <phoneticPr fontId="1" type="noConversion"/>
  </si>
  <si>
    <t>3年自由现金流折现</t>
    <phoneticPr fontId="1" type="noConversion"/>
  </si>
  <si>
    <t>3增速</t>
    <phoneticPr fontId="1" type="noConversion"/>
  </si>
  <si>
    <t>20年自由现金流折现</t>
    <phoneticPr fontId="1" type="noConversion"/>
  </si>
  <si>
    <t>承担负债现期溢价</t>
    <phoneticPr fontId="1" type="noConversion"/>
  </si>
  <si>
    <t>原始排序</t>
    <phoneticPr fontId="1" type="noConversion"/>
  </si>
  <si>
    <t>策略1营收单季最佳增速</t>
    <phoneticPr fontId="1" type="noConversion"/>
  </si>
  <si>
    <t>策略1利润单季最佳增速</t>
    <phoneticPr fontId="1" type="noConversion"/>
  </si>
  <si>
    <t>营收成长策略</t>
    <phoneticPr fontId="1" type="noConversion"/>
  </si>
  <si>
    <t>价格变动策略</t>
    <phoneticPr fontId="1" type="noConversion"/>
  </si>
  <si>
    <t>成交量变动策略</t>
    <phoneticPr fontId="1" type="noConversion"/>
  </si>
  <si>
    <t>量价齐升策略</t>
    <phoneticPr fontId="1" type="noConversion"/>
  </si>
  <si>
    <t>基本面排序</t>
    <phoneticPr fontId="1" type="noConversion"/>
  </si>
  <si>
    <t>CYLQ营业收入[20210331]</t>
  </si>
  <si>
    <t>LYCQ营业收入[20200630]</t>
  </si>
  <si>
    <t>LYLQ营业收入[20200331]</t>
  </si>
  <si>
    <t>CYLQ净利润[20210331]</t>
  </si>
  <si>
    <t>LYCQ净利润[20200630]</t>
  </si>
  <si>
    <t>LYLQ净利润[20200331]</t>
  </si>
  <si>
    <t>涨幅%</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</si>
  <si>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</si>
  <si>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</si>
  <si>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</si>
  <si>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</si>
  <si>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</si>
  <si>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</si>
  <si>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</si>
  <si>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</si>
  <si>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</si>
  <si>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</si>
  <si>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</si>
  <si>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</si>
  <si>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</si>
  <si>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</si>
  <si>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</si>
  <si>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投入资本回报率roic%[20211231]</t>
  </si>
  <si>
    <t>净资产收益率%[20211231]</t>
  </si>
  <si>
    <t>量比</t>
  </si>
  <si>
    <t>扣除非经常性损益后的净利润[20220331]</t>
  </si>
  <si>
    <t>区间涨跌幅:前复权%[20220613-20220617]</t>
  </si>
  <si>
    <t>区间涨跌幅:前复权%[20220506-20220617]</t>
  </si>
  <si>
    <t>区间成交量[20220613-20220617]</t>
  </si>
  <si>
    <t>指数@区间成交量[20220506-20220617]</t>
  </si>
  <si>
    <t>机器人利基.docx</t>
  </si>
  <si>
    <t>SH688320</t>
  </si>
  <si>
    <t>禾川科技</t>
  </si>
  <si>
    <t>自动化设备</t>
  </si>
  <si>
    <t>SZ002472</t>
  </si>
  <si>
    <t>双环传动</t>
  </si>
  <si>
    <t>汽车零部件</t>
  </si>
  <si>
    <t>SH688017</t>
  </si>
  <si>
    <t>绿的谐波</t>
  </si>
  <si>
    <t>SZ300124</t>
  </si>
  <si>
    <t>汇川技术</t>
  </si>
  <si>
    <t>SZ002747</t>
  </si>
  <si>
    <t>埃斯顿</t>
  </si>
  <si>
    <t>SZ002979</t>
  </si>
  <si>
    <t>雷赛智能</t>
  </si>
  <si>
    <t>SZ002527</t>
  </si>
  <si>
    <t>新时达</t>
  </si>
  <si>
    <t>SZ002334</t>
  </si>
  <si>
    <t>英威腾</t>
  </si>
  <si>
    <t>SZ300024</t>
  </si>
  <si>
    <t>机器人</t>
  </si>
  <si>
    <t>7.51亿</t>
  </si>
  <si>
    <t>1.10亿</t>
  </si>
  <si>
    <t>1.29亿</t>
  </si>
  <si>
    <t>5.44亿</t>
  </si>
  <si>
    <t>3.13亿</t>
  </si>
  <si>
    <t>2.83亿</t>
  </si>
  <si>
    <t>1.07亿</t>
  </si>
  <si>
    <t>4762.17万</t>
  </si>
  <si>
    <t>5023.66万</t>
  </si>
  <si>
    <t>1.91亿</t>
  </si>
  <si>
    <t>1.66亿</t>
  </si>
  <si>
    <t>53.91亿</t>
  </si>
  <si>
    <t>3.26亿</t>
  </si>
  <si>
    <t>36.64亿</t>
  </si>
  <si>
    <t>32.36亿</t>
  </si>
  <si>
    <t>31.51亿</t>
  </si>
  <si>
    <t>26.39亿</t>
  </si>
  <si>
    <t>5123.09万</t>
  </si>
  <si>
    <t>7831.71万</t>
  </si>
  <si>
    <t>1.95亿</t>
  </si>
  <si>
    <t>2.43亿</t>
  </si>
  <si>
    <t>1.86亿</t>
  </si>
  <si>
    <t>4.43亿</t>
  </si>
  <si>
    <t>1.89亿</t>
  </si>
  <si>
    <t>2.17亿</t>
  </si>
  <si>
    <t>2.20亿</t>
  </si>
  <si>
    <t>1.76亿</t>
  </si>
  <si>
    <t>8205.26万</t>
  </si>
  <si>
    <t>5847.83万</t>
  </si>
  <si>
    <t>6506.69万</t>
  </si>
  <si>
    <t>4858.63万</t>
  </si>
  <si>
    <t>179.43亿</t>
  </si>
  <si>
    <t>35.73亿</t>
  </si>
  <si>
    <t>115.11亿</t>
  </si>
  <si>
    <t>73.90亿</t>
  </si>
  <si>
    <t>58.74亿</t>
  </si>
  <si>
    <t>47.77亿</t>
  </si>
  <si>
    <t>21.00亿</t>
  </si>
  <si>
    <t>9.52亿</t>
  </si>
  <si>
    <t>11.67亿</t>
  </si>
  <si>
    <t>10.60亿</t>
  </si>
  <si>
    <t>30.20亿</t>
  </si>
  <si>
    <t>1.22亿</t>
  </si>
  <si>
    <t>25.10亿</t>
  </si>
  <si>
    <t>15.81亿</t>
  </si>
  <si>
    <t>14.61亿</t>
  </si>
  <si>
    <t>10.77亿</t>
  </si>
  <si>
    <t>1.28亿</t>
  </si>
  <si>
    <t>6281.20万</t>
  </si>
  <si>
    <t>1.01亿</t>
  </si>
  <si>
    <t>9305.40万</t>
  </si>
  <si>
    <t>12.03亿</t>
  </si>
  <si>
    <t>2.18亿</t>
  </si>
  <si>
    <t>1.36亿</t>
  </si>
  <si>
    <t>9.46亿</t>
  </si>
  <si>
    <t>6.63亿</t>
  </si>
  <si>
    <t>5.35亿</t>
  </si>
  <si>
    <t>1.08亿</t>
  </si>
  <si>
    <t>8379.66万</t>
  </si>
  <si>
    <t>9343.67万</t>
  </si>
  <si>
    <t>42.64亿</t>
  </si>
  <si>
    <t>1.50亿</t>
  </si>
  <si>
    <t>1.31亿</t>
  </si>
  <si>
    <t>39.57亿</t>
  </si>
  <si>
    <t>35.34亿</t>
  </si>
  <si>
    <t>35.15亿</t>
  </si>
  <si>
    <t>34.04亿</t>
  </si>
  <si>
    <t>8679.77万</t>
  </si>
  <si>
    <t>5359.05万</t>
  </si>
  <si>
    <t>-2.61亿</t>
  </si>
  <si>
    <t>1.38亿</t>
  </si>
  <si>
    <t>1.71亿</t>
  </si>
  <si>
    <t>1.55亿</t>
  </si>
  <si>
    <t>30.09亿</t>
  </si>
  <si>
    <t>1.82亿</t>
  </si>
  <si>
    <t>22.86亿</t>
  </si>
  <si>
    <t>22.42亿</t>
  </si>
  <si>
    <t>22.28亿</t>
  </si>
  <si>
    <t>21.22亿</t>
  </si>
  <si>
    <t>-2.98亿</t>
  </si>
  <si>
    <t>2.24亿</t>
  </si>
  <si>
    <t>2.26亿</t>
  </si>
  <si>
    <t>32.98亿</t>
  </si>
  <si>
    <t>-5.62亿</t>
  </si>
  <si>
    <t>26.60亿</t>
  </si>
  <si>
    <t>27.45亿</t>
  </si>
  <si>
    <t>30.95亿</t>
  </si>
  <si>
    <t>24.55亿</t>
  </si>
  <si>
    <t>-3.96亿</t>
  </si>
  <si>
    <t>2.93亿</t>
  </si>
  <si>
    <t>4.49亿</t>
  </si>
  <si>
    <t>4.32亿</t>
  </si>
  <si>
    <t>4.11亿</t>
  </si>
  <si>
    <t>3.27亿</t>
  </si>
  <si>
    <t>扭亏</t>
  </si>
  <si>
    <t>控制器</t>
    <phoneticPr fontId="1" type="noConversion"/>
  </si>
  <si>
    <t>减速器</t>
    <phoneticPr fontId="1" type="noConversion"/>
  </si>
  <si>
    <t>伺服器</t>
    <phoneticPr fontId="1" type="noConversion"/>
  </si>
  <si>
    <t>SZ002896</t>
  </si>
  <si>
    <t>中大力德</t>
  </si>
  <si>
    <t>通用设备</t>
  </si>
  <si>
    <t>9.53亿</t>
  </si>
  <si>
    <t>8136.05万</t>
  </si>
  <si>
    <t>7.61亿</t>
  </si>
  <si>
    <t>6.76亿</t>
  </si>
  <si>
    <t>5.99亿</t>
  </si>
  <si>
    <t>4.98亿</t>
  </si>
  <si>
    <t>3.70亿</t>
  </si>
  <si>
    <t>7023.19万</t>
  </si>
  <si>
    <t>5250.68万</t>
  </si>
  <si>
    <t>7287.62万</t>
  </si>
  <si>
    <t>5984.24万</t>
  </si>
  <si>
    <t>2.05亿</t>
  </si>
  <si>
    <t>4.17亿</t>
  </si>
  <si>
    <t>3.15亿</t>
  </si>
  <si>
    <t>1.05亿</t>
  </si>
  <si>
    <t>-1.09亿</t>
  </si>
  <si>
    <t>3.69亿</t>
  </si>
  <si>
    <t>工控设备</t>
  </si>
  <si>
    <t>1.84亿</t>
  </si>
  <si>
    <t>7.44亿</t>
  </si>
  <si>
    <t>7.64亿</t>
  </si>
  <si>
    <t>1.61亿</t>
  </si>
  <si>
    <t>金属制品</t>
  </si>
  <si>
    <t>1.21亿</t>
  </si>
  <si>
    <t>5.69亿</t>
  </si>
  <si>
    <t>1.39亿</t>
  </si>
  <si>
    <t>1.26亿</t>
  </si>
  <si>
    <t>2.81亿</t>
  </si>
  <si>
    <t>-1.94亿</t>
  </si>
  <si>
    <t>1.72亿</t>
  </si>
  <si>
    <t>1-1</t>
  </si>
  <si>
    <t>2.79亿</t>
  </si>
  <si>
    <t>7.99亿</t>
  </si>
  <si>
    <t>7.29亿</t>
  </si>
  <si>
    <t>1.03亿</t>
  </si>
  <si>
    <t>1.98亿</t>
  </si>
  <si>
    <t>1.58亿</t>
  </si>
  <si>
    <t>13.41亿</t>
  </si>
  <si>
    <t>1.53亿</t>
  </si>
  <si>
    <t>数控机床利基.docx</t>
  </si>
  <si>
    <t>SZ002046</t>
  </si>
  <si>
    <t>国机精工</t>
  </si>
  <si>
    <t>SZ300503</t>
  </si>
  <si>
    <t>昊志机电</t>
  </si>
  <si>
    <t>SZ000837</t>
  </si>
  <si>
    <t>秦川机床</t>
  </si>
  <si>
    <t>SH688188</t>
  </si>
  <si>
    <t>柏楚电子</t>
  </si>
  <si>
    <t>SZ300508</t>
  </si>
  <si>
    <t>维宏股份</t>
  </si>
  <si>
    <t>计算机设备</t>
  </si>
  <si>
    <t>SZ300161</t>
  </si>
  <si>
    <t>华中数控</t>
  </si>
  <si>
    <t>SH688305</t>
  </si>
  <si>
    <t>科德数控</t>
  </si>
  <si>
    <t>数控系统</t>
    <phoneticPr fontId="1" type="noConversion"/>
  </si>
  <si>
    <t>主轴</t>
    <phoneticPr fontId="1" type="noConversion"/>
  </si>
  <si>
    <t>滚动部件</t>
    <phoneticPr fontId="1" type="noConversion"/>
  </si>
  <si>
    <t>9.13亿</t>
  </si>
  <si>
    <t>5.50亿</t>
  </si>
  <si>
    <t>1.20亿</t>
  </si>
  <si>
    <t>5.71亿</t>
  </si>
  <si>
    <t>3.76亿</t>
  </si>
  <si>
    <t>2.45亿</t>
  </si>
  <si>
    <t>2.10亿</t>
  </si>
  <si>
    <t>3.71亿</t>
  </si>
  <si>
    <t>2.46亿</t>
  </si>
  <si>
    <t>4.67亿</t>
  </si>
  <si>
    <t>4.13亿</t>
  </si>
  <si>
    <t>5910.94万</t>
  </si>
  <si>
    <t>2.09亿</t>
  </si>
  <si>
    <t>2.29亿</t>
  </si>
  <si>
    <t>1.99亿</t>
  </si>
  <si>
    <t>2908.24万</t>
  </si>
  <si>
    <t>6586.78万</t>
  </si>
  <si>
    <t>-2742.24万</t>
  </si>
  <si>
    <t>8069.56万</t>
  </si>
  <si>
    <t>16.34亿</t>
  </si>
  <si>
    <t>3122.89万</t>
  </si>
  <si>
    <t>7.50亿</t>
  </si>
  <si>
    <t>13.22亿</t>
  </si>
  <si>
    <t>9.06亿</t>
  </si>
  <si>
    <t>8.20亿</t>
  </si>
  <si>
    <t>9.85亿</t>
  </si>
  <si>
    <t>2777.46万</t>
  </si>
  <si>
    <t>1532.93万</t>
  </si>
  <si>
    <t>1668.32万</t>
  </si>
  <si>
    <t>3287.00万</t>
  </si>
  <si>
    <t>2.31亿</t>
  </si>
  <si>
    <t>机床工具</t>
  </si>
  <si>
    <t>2.87亿</t>
  </si>
  <si>
    <t>2.54亿</t>
  </si>
  <si>
    <t>7286.69万</t>
  </si>
  <si>
    <t>1.40亿</t>
  </si>
  <si>
    <t>1.42亿</t>
  </si>
  <si>
    <t>7452.78万</t>
  </si>
  <si>
    <t>3523.36万</t>
  </si>
  <si>
    <t>4246.15万</t>
  </si>
  <si>
    <t>-3755.35万</t>
  </si>
  <si>
    <t>710.08万</t>
  </si>
  <si>
    <t>33.28亿</t>
  </si>
  <si>
    <t>1.27亿</t>
  </si>
  <si>
    <t>1.02亿</t>
  </si>
  <si>
    <t>2.50亿</t>
  </si>
  <si>
    <t>23.55亿</t>
  </si>
  <si>
    <t>20.85亿</t>
  </si>
  <si>
    <t>20.66亿</t>
  </si>
  <si>
    <t>14.94亿</t>
  </si>
  <si>
    <t>13.85亿</t>
  </si>
  <si>
    <t>6227.32万</t>
  </si>
  <si>
    <t>2751.13万</t>
  </si>
  <si>
    <t>2290.67万</t>
  </si>
  <si>
    <t>1637.40万</t>
  </si>
  <si>
    <t>磨具磨料</t>
  </si>
  <si>
    <t>11.40亿</t>
  </si>
  <si>
    <t>0亿</t>
  </si>
  <si>
    <t>1.64亿</t>
  </si>
  <si>
    <t>8.74亿</t>
  </si>
  <si>
    <t>3.52亿</t>
  </si>
  <si>
    <t>4.62亿</t>
  </si>
  <si>
    <t>4.46亿</t>
  </si>
  <si>
    <t>7463.52万</t>
  </si>
  <si>
    <t>-1.55亿</t>
  </si>
  <si>
    <t>5072.51万</t>
  </si>
  <si>
    <t>7526.00万</t>
  </si>
  <si>
    <t>其他通用设备</t>
  </si>
  <si>
    <t>50.52亿</t>
  </si>
  <si>
    <t>1.12亿</t>
  </si>
  <si>
    <t>11.37亿</t>
  </si>
  <si>
    <t>40.95亿</t>
  </si>
  <si>
    <t>31.65亿</t>
  </si>
  <si>
    <t>31.88亿</t>
  </si>
  <si>
    <t>30.00亿</t>
  </si>
  <si>
    <t>-2.80亿</t>
  </si>
  <si>
    <t>1645.50万</t>
  </si>
  <si>
    <t>2.07亿</t>
  </si>
  <si>
    <t>SZ002559</t>
  </si>
  <si>
    <t>亚威股份</t>
  </si>
  <si>
    <t>SH600169</t>
  </si>
  <si>
    <t>太原重工</t>
  </si>
  <si>
    <t>专用设备</t>
  </si>
  <si>
    <t>SH601106</t>
  </si>
  <si>
    <t>中国一重</t>
  </si>
  <si>
    <t>SH603011</t>
  </si>
  <si>
    <t>合锻智能</t>
  </si>
  <si>
    <t>19.99亿</t>
  </si>
  <si>
    <t>1.30亿</t>
  </si>
  <si>
    <t>10.49亿</t>
  </si>
  <si>
    <t>7.36亿</t>
  </si>
  <si>
    <t>16.39亿</t>
  </si>
  <si>
    <t>14.68亿</t>
  </si>
  <si>
    <t>15.33亿</t>
  </si>
  <si>
    <t>14.39亿</t>
  </si>
  <si>
    <t>9706.58万</t>
  </si>
  <si>
    <t>9470.82万</t>
  </si>
  <si>
    <t>83.20亿</t>
  </si>
  <si>
    <t>86.11亿</t>
  </si>
  <si>
    <t>70.38亿</t>
  </si>
  <si>
    <t>64.28亿</t>
  </si>
  <si>
    <t>71.77亿</t>
  </si>
  <si>
    <t>3372.33万</t>
  </si>
  <si>
    <t>-8.14亿</t>
  </si>
  <si>
    <t>3794.62万</t>
  </si>
  <si>
    <t>5220.20万</t>
  </si>
  <si>
    <t>能源及重型设备</t>
  </si>
  <si>
    <t>231.28亿</t>
  </si>
  <si>
    <t>1.68亿</t>
  </si>
  <si>
    <t>199.03亿</t>
  </si>
  <si>
    <t>131.65亿</t>
  </si>
  <si>
    <t>105.11亿</t>
  </si>
  <si>
    <t>102.52亿</t>
  </si>
  <si>
    <t>8418.34万</t>
  </si>
  <si>
    <t>12.06亿</t>
  </si>
  <si>
    <t>6433.65万</t>
  </si>
  <si>
    <t>2.39亿</t>
  </si>
  <si>
    <t>8.38亿</t>
  </si>
  <si>
    <t>6.95亿</t>
  </si>
  <si>
    <t>2590.27万</t>
  </si>
  <si>
    <t>2731.01万</t>
  </si>
  <si>
    <t>5145.23万</t>
  </si>
  <si>
    <t>4214.94万</t>
  </si>
  <si>
    <t>其他专用设备</t>
  </si>
  <si>
    <t>1.56亿</t>
  </si>
  <si>
    <t>SZ002248</t>
  </si>
  <si>
    <t>华东数控</t>
  </si>
  <si>
    <t>SZ002270</t>
  </si>
  <si>
    <t>华明装备</t>
  </si>
  <si>
    <t>电力设备</t>
  </si>
  <si>
    <t>SZ002520</t>
  </si>
  <si>
    <t>日发精机</t>
  </si>
  <si>
    <t>SZ002903</t>
  </si>
  <si>
    <t>宇环数控</t>
  </si>
  <si>
    <t>SZ300083</t>
  </si>
  <si>
    <t>创世纪</t>
  </si>
  <si>
    <t>SZ300607</t>
  </si>
  <si>
    <t>拓斯达</t>
  </si>
  <si>
    <t>SZ300809</t>
  </si>
  <si>
    <t>华辰装备</t>
  </si>
  <si>
    <t>SH601882</t>
  </si>
  <si>
    <t>海天精工</t>
  </si>
  <si>
    <t>SH688558</t>
  </si>
  <si>
    <t>国盛智科</t>
  </si>
  <si>
    <t>SH688577</t>
  </si>
  <si>
    <t>浙海德曼</t>
  </si>
  <si>
    <t>1419.21万</t>
  </si>
  <si>
    <t>8308.41万</t>
  </si>
  <si>
    <t>1.11亿</t>
  </si>
  <si>
    <t>-8446.96万</t>
  </si>
  <si>
    <t>2663.59万</t>
  </si>
  <si>
    <t>-5.75亿</t>
  </si>
  <si>
    <t>3713.73万</t>
  </si>
  <si>
    <t>3.40亿</t>
  </si>
  <si>
    <t>34.26亿</t>
  </si>
  <si>
    <t>15.32亿</t>
  </si>
  <si>
    <t>1.59亿</t>
  </si>
  <si>
    <t>13.68亿</t>
  </si>
  <si>
    <t>11.59亿</t>
  </si>
  <si>
    <t>18.09亿</t>
  </si>
  <si>
    <t>1.51亿</t>
  </si>
  <si>
    <t>3.06亿</t>
  </si>
  <si>
    <t>输变电设备</t>
  </si>
  <si>
    <t>21.85亿</t>
  </si>
  <si>
    <t>5100.83万</t>
  </si>
  <si>
    <t>19.15亿</t>
  </si>
  <si>
    <t>21.60亿</t>
  </si>
  <si>
    <t>19.69亿</t>
  </si>
  <si>
    <t>15.51亿</t>
  </si>
  <si>
    <t>5924.77万</t>
  </si>
  <si>
    <t>2.03亿</t>
  </si>
  <si>
    <t>4.38亿</t>
  </si>
  <si>
    <t>7352.44万</t>
  </si>
  <si>
    <t>3.04亿</t>
  </si>
  <si>
    <t>7122.73万</t>
  </si>
  <si>
    <t>2.00亿</t>
  </si>
  <si>
    <t>4334.50万</t>
  </si>
  <si>
    <t>395.68万</t>
  </si>
  <si>
    <t>3434.63万</t>
  </si>
  <si>
    <t>7897.98万</t>
  </si>
  <si>
    <t>52.62亿</t>
  </si>
  <si>
    <t>5.00亿</t>
  </si>
  <si>
    <t>54.26亿</t>
  </si>
  <si>
    <t>55.07亿</t>
  </si>
  <si>
    <t>64.22亿</t>
  </si>
  <si>
    <t>-6.97亿</t>
  </si>
  <si>
    <t>307.10万</t>
  </si>
  <si>
    <t>-28.66亿</t>
  </si>
  <si>
    <t>4.61亿</t>
  </si>
  <si>
    <t>2.51亿</t>
  </si>
  <si>
    <t>1.35亿</t>
  </si>
  <si>
    <t>32.93亿</t>
  </si>
  <si>
    <t>6539.53万</t>
  </si>
  <si>
    <t>2.08亿</t>
  </si>
  <si>
    <t>4.37亿</t>
  </si>
  <si>
    <t>-1.41亿</t>
  </si>
  <si>
    <t>27.55亿</t>
  </si>
  <si>
    <t>16.60亿</t>
  </si>
  <si>
    <t>11.98亿</t>
  </si>
  <si>
    <t>5.20亿</t>
  </si>
  <si>
    <t>1.87亿</t>
  </si>
  <si>
    <t>4.09亿</t>
  </si>
  <si>
    <t>7657.59万</t>
  </si>
  <si>
    <t>6.12亿</t>
  </si>
  <si>
    <t>4.25亿</t>
  </si>
  <si>
    <t>4.01亿</t>
  </si>
  <si>
    <t>3354.35万</t>
  </si>
  <si>
    <t>1.41亿</t>
  </si>
  <si>
    <t>5481.55万</t>
  </si>
  <si>
    <t>1.25亿</t>
  </si>
  <si>
    <t>27.30亿</t>
  </si>
  <si>
    <t>16.32亿</t>
  </si>
  <si>
    <t>11.65亿</t>
  </si>
  <si>
    <t>12.72亿</t>
  </si>
  <si>
    <t>12.81亿</t>
  </si>
  <si>
    <t>7671.84万</t>
  </si>
  <si>
    <t>4.10亿</t>
  </si>
  <si>
    <t>6.65亿</t>
  </si>
  <si>
    <t>5.86亿</t>
  </si>
  <si>
    <t>8428.98万</t>
  </si>
  <si>
    <t>9553.52万</t>
  </si>
  <si>
    <t>9308.49万</t>
  </si>
  <si>
    <t>5.54亿</t>
  </si>
  <si>
    <t>5.41亿</t>
  </si>
  <si>
    <t>7300.67万</t>
  </si>
  <si>
    <t>3.85亿</t>
  </si>
  <si>
    <t>4.27亿</t>
  </si>
  <si>
    <t>3.33亿</t>
  </si>
  <si>
    <t>5323.47万</t>
  </si>
  <si>
    <t>4559.82万</t>
  </si>
  <si>
    <t>5766.26万</t>
  </si>
  <si>
    <t>3662.86万</t>
  </si>
  <si>
    <t>2.71亿</t>
  </si>
  <si>
    <t/>
  </si>
  <si>
    <t>SH688290</t>
  </si>
  <si>
    <t xml:space="preserve">
市值78.30472亿, 利润7639.83万; PE78.86, PB8.09; 毛利54.7733%; 净利19.4267%; 上一年度营收增69.42%, 利润增44.03%; 当季营收增31.63%, 利润增75.89%; 过往5年营收增66.63%, 利润增59.43%
Income profile:
</t>
  </si>
  <si>
    <t>景业智能</t>
  </si>
  <si>
    <t>81.65万</t>
  </si>
  <si>
    <t>3.43亿</t>
  </si>
  <si>
    <t>9.67亿</t>
  </si>
  <si>
    <t>148663000亿</t>
  </si>
  <si>
    <t>3.49亿</t>
  </si>
  <si>
    <t>7639.83万</t>
  </si>
  <si>
    <t>7706.75万</t>
  </si>
  <si>
    <t>470.68万</t>
  </si>
  <si>
    <t>2485.75万</t>
  </si>
  <si>
    <t>1563.44万</t>
  </si>
  <si>
    <t>526493亿</t>
  </si>
  <si>
    <t>24625834亿</t>
  </si>
  <si>
    <t>164192620亿</t>
  </si>
  <si>
    <t>1569.06万</t>
  </si>
  <si>
    <t>1202491810亿</t>
  </si>
  <si>
    <t>5068.85万</t>
  </si>
  <si>
    <t>641.94万</t>
  </si>
  <si>
    <t>7261.88万</t>
  </si>
  <si>
    <t>9048.97万</t>
  </si>
  <si>
    <t>-1892.44万</t>
  </si>
  <si>
    <t>-2.05亿</t>
  </si>
  <si>
    <t>6.23亿</t>
  </si>
  <si>
    <t>2.06亿</t>
  </si>
  <si>
    <t>7983.60万</t>
  </si>
  <si>
    <t>5304.23万</t>
  </si>
  <si>
    <t>2668.77万</t>
  </si>
  <si>
    <t>1969.33万</t>
  </si>
  <si>
    <t>3718.60万</t>
  </si>
  <si>
    <t>9266.50万</t>
  </si>
  <si>
    <t>797.69万</t>
  </si>
  <si>
    <t>225.87万</t>
  </si>
  <si>
    <t>1259.87万</t>
  </si>
  <si>
    <t>-630.06万</t>
  </si>
  <si>
    <t>315.06万</t>
  </si>
  <si>
    <t>2758.81万</t>
  </si>
  <si>
    <t>7-1</t>
  </si>
  <si>
    <t>2.12亿</t>
  </si>
  <si>
    <t>4.83亿</t>
  </si>
  <si>
    <t>6.27亿</t>
  </si>
  <si>
    <t>-4877.93万</t>
  </si>
  <si>
    <t>2743.70万</t>
  </si>
  <si>
    <t>19.81亿</t>
  </si>
  <si>
    <t>5.01亿</t>
  </si>
  <si>
    <t>3275.12万</t>
  </si>
  <si>
    <t>21.39亿</t>
  </si>
  <si>
    <t>1.52亿</t>
  </si>
  <si>
    <t>2.33亿</t>
  </si>
  <si>
    <t>799.62万</t>
  </si>
  <si>
    <t>20.36亿</t>
  </si>
  <si>
    <t>10.54亿</t>
  </si>
  <si>
    <t>1.79亿</t>
  </si>
  <si>
    <t>3.80亿</t>
  </si>
  <si>
    <t>3.39亿</t>
  </si>
  <si>
    <t>2.01亿</t>
  </si>
  <si>
    <t>3.34亿</t>
  </si>
  <si>
    <t>10.02亿</t>
  </si>
  <si>
    <t>3514.37万</t>
  </si>
  <si>
    <t>7.68亿</t>
  </si>
  <si>
    <t>2.40亿</t>
  </si>
  <si>
    <t>4672.08万</t>
  </si>
  <si>
    <t>8.71亿</t>
  </si>
  <si>
    <t>25.56亿</t>
  </si>
  <si>
    <t>2.80亿</t>
  </si>
  <si>
    <t>3.38亿</t>
  </si>
  <si>
    <t>2742.24万</t>
  </si>
  <si>
    <t>-3.41亿</t>
  </si>
  <si>
    <t>15.15亿</t>
  </si>
  <si>
    <t>2.56亿</t>
  </si>
  <si>
    <t>3-1</t>
  </si>
  <si>
    <r>
      <t>1.公司目前用户以航空航天业为主，其对高端数控机床产品的定制化要求较高，毛利 率相对也较高。若公司在拓展其他领域下游客户过程中，行业竞争加剧，定制化配置有 所差异，下游客户的结构变化可能使公司毛利率有所波动。若产品售价及原材料采购价 格发生不利变化，公司</t>
    </r>
    <r>
      <rPr>
        <sz val="9"/>
        <color rgb="FFFF0000"/>
        <rFont val="宋体"/>
        <family val="3"/>
        <charset val="134"/>
        <scheme val="minor"/>
      </rPr>
      <t>毛利率存在下降</t>
    </r>
    <r>
      <rPr>
        <sz val="9"/>
        <color theme="1"/>
        <rFont val="宋体"/>
        <family val="2"/>
        <charset val="134"/>
        <scheme val="minor"/>
      </rPr>
      <t>的风险;2.持有龙芯中科0.05%的股份，战略合作，难道后续采用龙芯处理器做数控的控制cpu?</t>
    </r>
    <phoneticPr fontId="1" type="noConversion"/>
  </si>
  <si>
    <t>7.43亿</t>
  </si>
  <si>
    <t>5.68亿</t>
  </si>
  <si>
    <t>9883.23万</t>
  </si>
  <si>
    <t>1.13亿</t>
  </si>
  <si>
    <t>3326.53万</t>
  </si>
  <si>
    <t>2.48亿</t>
  </si>
  <si>
    <t>10派0.2元(含税)</t>
  </si>
  <si>
    <t>不分配不转增</t>
  </si>
  <si>
    <t>1.97亿</t>
  </si>
  <si>
    <t>21.03亿</t>
  </si>
  <si>
    <t>14.10亿</t>
  </si>
  <si>
    <t>3.87亿</t>
  </si>
  <si>
    <t>7235.66万</t>
  </si>
  <si>
    <t>10派1.5元(含税)</t>
  </si>
  <si>
    <t>40.31亿</t>
  </si>
  <si>
    <t>7553.43万</t>
  </si>
  <si>
    <t>4.55亿</t>
  </si>
  <si>
    <t>116.02亿</t>
  </si>
  <si>
    <t>6342.33万</t>
  </si>
  <si>
    <t>7.34亿</t>
  </si>
  <si>
    <t>6555.46万</t>
  </si>
  <si>
    <t>4.54亿</t>
  </si>
  <si>
    <t>7.42亿</t>
  </si>
  <si>
    <t>3110.18万</t>
  </si>
  <si>
    <t>-9.96亿</t>
  </si>
  <si>
    <t>30.98亿</t>
  </si>
  <si>
    <t>10派0.6元(含税)</t>
  </si>
  <si>
    <t>3.91亿</t>
  </si>
  <si>
    <t>9164.05万</t>
  </si>
  <si>
    <t>103.97亿</t>
  </si>
  <si>
    <t>19.75亿</t>
  </si>
  <si>
    <t>10派3元(含税)</t>
  </si>
  <si>
    <t>2.19亿</t>
  </si>
  <si>
    <t>14.08亿</t>
  </si>
  <si>
    <t>16.55亿</t>
  </si>
  <si>
    <t>7630.16万</t>
  </si>
  <si>
    <t>10派0.3元(含税)</t>
  </si>
  <si>
    <t>6.74亿</t>
  </si>
  <si>
    <t>16.07亿</t>
  </si>
  <si>
    <t>30.97亿</t>
  </si>
  <si>
    <t>-2559.05万</t>
  </si>
  <si>
    <t>10派0.7元(含税)</t>
  </si>
  <si>
    <t>3.00亿</t>
  </si>
  <si>
    <t>16.70亿</t>
  </si>
  <si>
    <t>17.78亿</t>
  </si>
  <si>
    <t>7792.25万</t>
  </si>
  <si>
    <t>1.83亿</t>
  </si>
  <si>
    <t>22.05亿</t>
  </si>
  <si>
    <t>13.38亿</t>
  </si>
  <si>
    <t>10.71亿</t>
  </si>
  <si>
    <t>-1.49亿</t>
  </si>
  <si>
    <t>15.13亿</t>
  </si>
  <si>
    <t>4.68亿</t>
  </si>
  <si>
    <t>9.87亿</t>
  </si>
  <si>
    <t>2226.99万</t>
  </si>
  <si>
    <t>4957.48万</t>
  </si>
  <si>
    <t>41.01亿</t>
  </si>
  <si>
    <t>2.75亿</t>
  </si>
  <si>
    <t>2.11亿</t>
  </si>
  <si>
    <t>5.40亿</t>
  </si>
  <si>
    <t>8.98亿</t>
  </si>
  <si>
    <t>6636.36万</t>
  </si>
  <si>
    <t>3322.51万</t>
  </si>
  <si>
    <t>1.09亿</t>
  </si>
  <si>
    <t>68.38亿</t>
  </si>
  <si>
    <t>5.82亿</t>
  </si>
  <si>
    <t>9.40亿</t>
  </si>
  <si>
    <t>10派0.8元(含税)</t>
  </si>
  <si>
    <t>7.72亿</t>
  </si>
  <si>
    <t>1.48亿</t>
  </si>
  <si>
    <t>621.36万</t>
  </si>
  <si>
    <t>1456.25万</t>
  </si>
  <si>
    <t>2134.05万</t>
  </si>
  <si>
    <t>7502102亿</t>
  </si>
  <si>
    <t>6.49万</t>
  </si>
  <si>
    <t>66483479亿</t>
  </si>
  <si>
    <t>11.04亿</t>
  </si>
  <si>
    <t>87057842亿</t>
  </si>
  <si>
    <t>2518.14万</t>
  </si>
  <si>
    <t>1687463500亿</t>
  </si>
  <si>
    <t>5.30亿</t>
  </si>
  <si>
    <t>102.10万</t>
  </si>
  <si>
    <t>3577.26万</t>
  </si>
  <si>
    <t>6.03亿</t>
  </si>
  <si>
    <t>9124.09万</t>
  </si>
  <si>
    <t>130.44万</t>
  </si>
  <si>
    <t>3.44亿</t>
  </si>
  <si>
    <t>5064.11万</t>
  </si>
  <si>
    <t>10派1元(含税)</t>
  </si>
  <si>
    <t>12.85亿</t>
  </si>
  <si>
    <t>7.02亿</t>
  </si>
  <si>
    <t>4.66亿</t>
  </si>
  <si>
    <t>7254.30万</t>
  </si>
  <si>
    <t>9870.26万</t>
  </si>
  <si>
    <t>399.76万</t>
  </si>
  <si>
    <t>-45461352亿</t>
  </si>
  <si>
    <t>7936.32万</t>
  </si>
  <si>
    <t>374572190亿</t>
  </si>
  <si>
    <t>8110.89万</t>
  </si>
  <si>
    <t>1139225090亿</t>
  </si>
  <si>
    <t>3003.80万</t>
  </si>
  <si>
    <t>1.47亿</t>
  </si>
  <si>
    <t>643.76万</t>
  </si>
  <si>
    <t>1.62亿</t>
  </si>
  <si>
    <t>7.59亿</t>
  </si>
  <si>
    <t>9762.20万</t>
  </si>
  <si>
    <t>-7904.54万</t>
  </si>
  <si>
    <t>7.33亿</t>
  </si>
  <si>
    <t>-1483.69万</t>
  </si>
  <si>
    <t>3397.29万</t>
  </si>
  <si>
    <t>45.49亿</t>
  </si>
  <si>
    <t>54.18亿</t>
  </si>
  <si>
    <t>28.29亿</t>
  </si>
  <si>
    <t>28.14亿</t>
  </si>
  <si>
    <t>23.18亿</t>
  </si>
  <si>
    <t>2.13亿</t>
  </si>
  <si>
    <t>-9124376亿</t>
  </si>
  <si>
    <t>178.10万</t>
  </si>
  <si>
    <t>-9987801亿</t>
  </si>
  <si>
    <t>20.43亿</t>
  </si>
  <si>
    <t>1043425630亿</t>
  </si>
  <si>
    <t>7988.88万</t>
  </si>
  <si>
    <t>5904270200亿</t>
  </si>
  <si>
    <t>5.64亿</t>
  </si>
  <si>
    <t>14.36亿</t>
  </si>
  <si>
    <t>28.18万</t>
  </si>
  <si>
    <t>34.22亿</t>
  </si>
  <si>
    <t>-4686.93万</t>
  </si>
  <si>
    <t>-5.83亿</t>
  </si>
  <si>
    <t>12.04亿</t>
  </si>
  <si>
    <t>30.96亿</t>
  </si>
  <si>
    <t>8063.56万</t>
  </si>
  <si>
    <t>10.97亿</t>
  </si>
  <si>
    <t>8.22亿</t>
  </si>
  <si>
    <t>6.39亿</t>
  </si>
  <si>
    <t>2489.73万</t>
  </si>
  <si>
    <t>4401.86万</t>
  </si>
  <si>
    <t>714251亿</t>
  </si>
  <si>
    <t>17.84万</t>
  </si>
  <si>
    <t>45825147亿</t>
  </si>
  <si>
    <t>6590.39万</t>
  </si>
  <si>
    <t>222283000亿</t>
  </si>
  <si>
    <t>755921970亿</t>
  </si>
  <si>
    <t>4822.87万</t>
  </si>
  <si>
    <t>1941.04万</t>
  </si>
  <si>
    <t>6.69亿</t>
  </si>
  <si>
    <t>3327.42万</t>
  </si>
  <si>
    <t>4261.19万</t>
  </si>
  <si>
    <t>50.65亿</t>
  </si>
  <si>
    <t>81.44亿</t>
  </si>
  <si>
    <t>58.72亿</t>
  </si>
  <si>
    <t>52.17亿</t>
  </si>
  <si>
    <t>46.17亿</t>
  </si>
  <si>
    <t>5437.51万</t>
  </si>
  <si>
    <t>2.22亿</t>
  </si>
  <si>
    <t>1.67亿</t>
  </si>
  <si>
    <t>-7046200亿</t>
  </si>
  <si>
    <t>962.20万</t>
  </si>
  <si>
    <t>549958050亿</t>
  </si>
  <si>
    <t>1971951500亿</t>
  </si>
  <si>
    <t>335.35万</t>
  </si>
  <si>
    <t>5546926100亿</t>
  </si>
  <si>
    <t>18.59亿</t>
  </si>
  <si>
    <t>9.77亿</t>
  </si>
  <si>
    <t>12.49亿</t>
  </si>
  <si>
    <t>37.99亿</t>
  </si>
  <si>
    <t>7.23亿</t>
  </si>
  <si>
    <t>-8.73亿</t>
  </si>
  <si>
    <t>-5.20亿</t>
  </si>
  <si>
    <t>36.86亿</t>
  </si>
  <si>
    <t>48.25亿</t>
  </si>
  <si>
    <t>6.61亿</t>
  </si>
  <si>
    <t>15.74亿</t>
  </si>
  <si>
    <t>8.85亿</t>
  </si>
  <si>
    <t>9.44亿</t>
  </si>
  <si>
    <t>9037.61万</t>
  </si>
  <si>
    <t>8.40亿</t>
  </si>
  <si>
    <t>6.21亿</t>
  </si>
  <si>
    <t>8425.24万</t>
  </si>
  <si>
    <t>2688.39万</t>
  </si>
  <si>
    <t>6779.01万</t>
  </si>
  <si>
    <t>-3200860亿</t>
  </si>
  <si>
    <t>43762668亿</t>
  </si>
  <si>
    <t>524065250亿</t>
  </si>
  <si>
    <t>1574511300亿</t>
  </si>
  <si>
    <t>2.76亿</t>
  </si>
  <si>
    <t>5760.83万</t>
  </si>
  <si>
    <t>3.03亿</t>
  </si>
  <si>
    <t>6.11亿</t>
  </si>
  <si>
    <t>-5170.83万</t>
  </si>
  <si>
    <t>-2.65亿</t>
  </si>
  <si>
    <t>6.02亿</t>
  </si>
  <si>
    <t>5001.46万</t>
  </si>
  <si>
    <t>8982.88万</t>
  </si>
  <si>
    <t>5661.03万</t>
  </si>
  <si>
    <t>10派1.8元(含税)</t>
  </si>
  <si>
    <t>1.46亿</t>
  </si>
  <si>
    <t>199.68亿</t>
  </si>
  <si>
    <t>229.20亿</t>
  </si>
  <si>
    <t>201.21亿</t>
  </si>
  <si>
    <t>230.08亿</t>
  </si>
  <si>
    <t>43.20亿</t>
  </si>
  <si>
    <t>171.42亿</t>
  </si>
  <si>
    <t>129.22亿</t>
  </si>
  <si>
    <t>11.49亿</t>
  </si>
  <si>
    <t>9.11亿</t>
  </si>
  <si>
    <t>12.95亿</t>
  </si>
  <si>
    <t>109854514亿</t>
  </si>
  <si>
    <t>1558.31万</t>
  </si>
  <si>
    <t>3046179800亿</t>
  </si>
  <si>
    <t>70.90亿</t>
  </si>
  <si>
    <t>7481425400亿</t>
  </si>
  <si>
    <t>14.29亿</t>
  </si>
  <si>
    <t>27589512000亿</t>
  </si>
  <si>
    <t>16.45亿</t>
  </si>
  <si>
    <t>11.29亿</t>
  </si>
  <si>
    <t>43.83亿</t>
  </si>
  <si>
    <t>61.39亿</t>
  </si>
  <si>
    <t>161.62亿</t>
  </si>
  <si>
    <t>22.11亿</t>
  </si>
  <si>
    <t>14.49亿</t>
  </si>
  <si>
    <t>-2.44亿</t>
  </si>
  <si>
    <t>-12.94亿</t>
  </si>
  <si>
    <t>124.51亿</t>
  </si>
  <si>
    <t>162.41亿</t>
  </si>
  <si>
    <t>20.77亿</t>
  </si>
  <si>
    <t>30.85亿</t>
  </si>
  <si>
    <t>10派3.6元(含税)</t>
  </si>
  <si>
    <t>69.86亿</t>
  </si>
  <si>
    <t>28.38亿</t>
  </si>
  <si>
    <t>32.26亿</t>
  </si>
  <si>
    <t>38.81亿</t>
  </si>
  <si>
    <t>31.55亿</t>
  </si>
  <si>
    <t>21.57亿</t>
  </si>
  <si>
    <t>1765735亿</t>
  </si>
  <si>
    <t>1160.06万</t>
  </si>
  <si>
    <t>87645920亿</t>
  </si>
  <si>
    <t>1663332500亿</t>
  </si>
  <si>
    <t>5814539700亿</t>
  </si>
  <si>
    <t>9.93亿</t>
  </si>
  <si>
    <t>46.14亿</t>
  </si>
  <si>
    <t>19.53亿</t>
  </si>
  <si>
    <t>-3.32亿</t>
  </si>
  <si>
    <t>-7.03亿</t>
  </si>
  <si>
    <t>11.75亿</t>
  </si>
  <si>
    <t>22.41亿</t>
  </si>
  <si>
    <t>25.42亿</t>
  </si>
  <si>
    <t>9740.28万</t>
  </si>
  <si>
    <t>9.66亿</t>
  </si>
  <si>
    <t>12.86亿</t>
  </si>
  <si>
    <t>9.98亿</t>
  </si>
  <si>
    <t>1.06亿</t>
  </si>
  <si>
    <t>6812.82万</t>
  </si>
  <si>
    <t>9868.54万</t>
  </si>
  <si>
    <t>3319132亿</t>
  </si>
  <si>
    <t>15.01万</t>
  </si>
  <si>
    <t>77644169亿</t>
  </si>
  <si>
    <t>3.57亿</t>
  </si>
  <si>
    <t>486589830亿</t>
  </si>
  <si>
    <t>1446333100亿</t>
  </si>
  <si>
    <t>59.38万</t>
  </si>
  <si>
    <t>9491.87万</t>
  </si>
  <si>
    <t>-1.20亿</t>
  </si>
  <si>
    <t>-5855.14万</t>
  </si>
  <si>
    <t>7.13亿</t>
  </si>
  <si>
    <t>7541.36万</t>
  </si>
  <si>
    <t>27.80亿</t>
  </si>
  <si>
    <t>19.90亿</t>
  </si>
  <si>
    <t>25.82亿</t>
  </si>
  <si>
    <t>-10.57亿</t>
  </si>
  <si>
    <t>26.65亿</t>
  </si>
  <si>
    <t>21.07亿</t>
  </si>
  <si>
    <t>154196710亿</t>
  </si>
  <si>
    <t>33.42万</t>
  </si>
  <si>
    <t>-68084789亿</t>
  </si>
  <si>
    <t>1010623910亿</t>
  </si>
  <si>
    <t>2507.94万</t>
  </si>
  <si>
    <t>3371490900亿</t>
  </si>
  <si>
    <t>1144.61万</t>
  </si>
  <si>
    <t>11.70亿</t>
  </si>
  <si>
    <t>3714.60万</t>
  </si>
  <si>
    <t>5.88亿</t>
  </si>
  <si>
    <t>24.06亿</t>
  </si>
  <si>
    <t>-1.21亿</t>
  </si>
  <si>
    <t>2.65亿</t>
  </si>
  <si>
    <t>17.42亿</t>
  </si>
  <si>
    <t>24.04亿</t>
  </si>
  <si>
    <t>1.24亿</t>
  </si>
  <si>
    <t>-4336.33万</t>
  </si>
  <si>
    <t>24.70亿</t>
  </si>
  <si>
    <t>26.22亿</t>
  </si>
  <si>
    <t>33.02亿</t>
  </si>
  <si>
    <t>40.97亿</t>
  </si>
  <si>
    <t>30.64亿</t>
  </si>
  <si>
    <t>22.57亿</t>
  </si>
  <si>
    <t>2.99亿</t>
  </si>
  <si>
    <t>1.75亿</t>
  </si>
  <si>
    <t>1.92亿</t>
  </si>
  <si>
    <t>6088402亿</t>
  </si>
  <si>
    <t>596.87万</t>
  </si>
  <si>
    <t>264385680亿</t>
  </si>
  <si>
    <t>8.55亿</t>
  </si>
  <si>
    <t>1037663550亿</t>
  </si>
  <si>
    <t>3.96亿</t>
  </si>
  <si>
    <t>3607357100亿</t>
  </si>
  <si>
    <t>8538.12万</t>
  </si>
  <si>
    <t>6.87亿</t>
  </si>
  <si>
    <t>18.98亿</t>
  </si>
  <si>
    <t>2.89亿</t>
  </si>
  <si>
    <t>-3.58亿</t>
  </si>
  <si>
    <t>28.99亿</t>
  </si>
  <si>
    <t>79.53亿</t>
  </si>
  <si>
    <t>43.54亿</t>
  </si>
  <si>
    <t>24.13亿</t>
  </si>
  <si>
    <t>35.76亿</t>
  </si>
  <si>
    <t>4465.11万</t>
  </si>
  <si>
    <t>26.24亿</t>
  </si>
  <si>
    <t>20.90亿</t>
  </si>
  <si>
    <t>9623.03万</t>
  </si>
  <si>
    <t>64631891亿</t>
  </si>
  <si>
    <t>661.16万</t>
  </si>
  <si>
    <t>-151974130亿</t>
  </si>
  <si>
    <t>1258685160亿</t>
  </si>
  <si>
    <t>8382221300亿</t>
  </si>
  <si>
    <t>6.05亿</t>
  </si>
  <si>
    <t>5.74亿</t>
  </si>
  <si>
    <t>17.12亿</t>
  </si>
  <si>
    <t>7.71万</t>
  </si>
  <si>
    <t>64.05亿</t>
  </si>
  <si>
    <t>-4.26亿</t>
  </si>
  <si>
    <t>-1.57亿</t>
  </si>
  <si>
    <t>-1.67亿</t>
  </si>
  <si>
    <t>15.05亿</t>
  </si>
  <si>
    <t>18.13亿</t>
  </si>
  <si>
    <t>-7319.69万</t>
  </si>
  <si>
    <t>-2.06亿</t>
  </si>
  <si>
    <t>1.60亿</t>
  </si>
  <si>
    <t>48.19亿</t>
  </si>
  <si>
    <t>9.91亿</t>
  </si>
  <si>
    <t>4.80亿</t>
  </si>
  <si>
    <t>4.31亿</t>
  </si>
  <si>
    <t>1.94亿</t>
  </si>
  <si>
    <t>5245.18万</t>
  </si>
  <si>
    <t>5836.34万</t>
  </si>
  <si>
    <t>8354.65万</t>
  </si>
  <si>
    <t>21008534亿</t>
  </si>
  <si>
    <t>12.68万</t>
  </si>
  <si>
    <t>528197380亿</t>
  </si>
  <si>
    <t>25.44亿</t>
  </si>
  <si>
    <t>73191814亿</t>
  </si>
  <si>
    <t>120.00万</t>
  </si>
  <si>
    <t>4448072300亿</t>
  </si>
  <si>
    <t>8345.33万</t>
  </si>
  <si>
    <t>3479.04万</t>
  </si>
  <si>
    <t>6.30亿</t>
  </si>
  <si>
    <t>-2.30亿</t>
  </si>
  <si>
    <t>-1.66亿</t>
  </si>
  <si>
    <t>6.53亿</t>
  </si>
  <si>
    <t>3.62亿</t>
  </si>
  <si>
    <t>10派11.3元(含税)</t>
  </si>
  <si>
    <t>3.88亿</t>
  </si>
  <si>
    <t>5060.21万</t>
  </si>
  <si>
    <t>10派0.88元(含税)</t>
  </si>
  <si>
    <t>24.15亿</t>
  </si>
  <si>
    <t>18.08亿</t>
  </si>
  <si>
    <t>12.96亿</t>
  </si>
  <si>
    <t>16.63亿</t>
  </si>
  <si>
    <t>1680.00万</t>
  </si>
  <si>
    <t>8.73亿</t>
  </si>
  <si>
    <t>-1422410亿</t>
  </si>
  <si>
    <t>312.64万</t>
  </si>
  <si>
    <t>-112472926亿</t>
  </si>
  <si>
    <t>5.55亿</t>
  </si>
  <si>
    <t>856079810亿</t>
  </si>
  <si>
    <t>2933626000亿</t>
  </si>
  <si>
    <t>2.88亿</t>
  </si>
  <si>
    <t>1.49亿</t>
  </si>
  <si>
    <t>17.28亿</t>
  </si>
  <si>
    <t>5112.07万</t>
  </si>
  <si>
    <t>3.24亿</t>
  </si>
  <si>
    <t>8.86亿</t>
  </si>
  <si>
    <t>9.72亿</t>
  </si>
  <si>
    <t>-3511.04万</t>
  </si>
  <si>
    <t>-5389.51万</t>
  </si>
  <si>
    <t>10.96亿</t>
  </si>
  <si>
    <t>6045.38万</t>
  </si>
  <si>
    <t>2.30亿</t>
  </si>
  <si>
    <t>3348.55万</t>
  </si>
  <si>
    <t>1953.89万</t>
  </si>
  <si>
    <t>6400.72万</t>
  </si>
  <si>
    <t>10928130亿</t>
  </si>
  <si>
    <t>44951336亿</t>
  </si>
  <si>
    <t>133350084亿</t>
  </si>
  <si>
    <t>3481.31万</t>
  </si>
  <si>
    <t>1007592680亿</t>
  </si>
  <si>
    <t>1618.09万</t>
  </si>
  <si>
    <t>2264.14万</t>
  </si>
  <si>
    <t>7650.77万</t>
  </si>
  <si>
    <t>7931.55万</t>
  </si>
  <si>
    <t>949.00万</t>
  </si>
  <si>
    <t>-1.10亿</t>
  </si>
  <si>
    <t>-1013.46万</t>
  </si>
  <si>
    <t>4759.35万</t>
  </si>
  <si>
    <t>3334.39万</t>
  </si>
  <si>
    <t>21.72亿</t>
  </si>
  <si>
    <t>33.55亿</t>
  </si>
  <si>
    <t>34.36亿</t>
  </si>
  <si>
    <t>13.75亿</t>
  </si>
  <si>
    <t>5390.46万</t>
  </si>
  <si>
    <t>-16372713亿</t>
  </si>
  <si>
    <t>626.42万</t>
  </si>
  <si>
    <t>150093320亿</t>
  </si>
  <si>
    <t>1167884400亿</t>
  </si>
  <si>
    <t>3047571200亿</t>
  </si>
  <si>
    <t>5.07亿</t>
  </si>
  <si>
    <t>15.96亿</t>
  </si>
  <si>
    <t>4639.66万</t>
  </si>
  <si>
    <t>-1.12亿</t>
  </si>
  <si>
    <t>-2961.98万</t>
  </si>
  <si>
    <t>14.77亿</t>
  </si>
  <si>
    <t>27.22亿</t>
  </si>
  <si>
    <t>1.96亿</t>
  </si>
  <si>
    <t>10派1.77元(含税)</t>
  </si>
  <si>
    <t>6-1</t>
  </si>
  <si>
    <t>3683.78万</t>
  </si>
  <si>
    <t>5.21亿</t>
  </si>
  <si>
    <t>-3-1</t>
  </si>
  <si>
    <t>公司的主营业务为研发、生产和销售齿轮磨床、螺纹磨床、外圆磨床（曲轴磨、球面磨、车轴磨）、滚齿机、车齿机、通用数控车床及加工中心、龙门式车铣镗复合加工中心、精密高效拉床、塑料机械（中空机）等高端数控装备；数控复杂刀具、高档数控系统、滚动功能部件、汽车零部件、特种齿轮箱、机器人关节减速器、螺杆转子副、精密齿轮、精密仪器仪表、精密铸件等零部件产品；提供智能制造及自动化生产线、智能机床等智能制造及核心数控技术、装备等系统集成业务。
市值75.539251亿, 利润2.75亿; PE48.93; 平均PE307.37; 平均PEG38.93, PB1.58; ROIC3.9867%; ROE6.69%; 股利率0%; 毛利19.02%; 净利5.3633%; 上一年度营收增-18.82%, 利润增-2.14%; 当季营收增-10.76%, 利润增-90.25%; 过往5年营收增7.89%, 利润增-315.03%
Income profile:
机床类 21.67亿 52.84% 51.88% 18.55%
零部件类 12.98亿 31.64% 22.28% 13.30%
工具类 3.62亿 8.82% 15.59% 33.38%
仪器仪表类 9736.43万 2.37% 3.37% 26.83%
其他业务 7741.30万 1.89% 3.98% 39.85%</t>
  </si>
  <si>
    <t>-2-0</t>
  </si>
  <si>
    <t>-2-1</t>
  </si>
  <si>
    <t>-1-1</t>
  </si>
  <si>
    <t>-4-0</t>
  </si>
  <si>
    <r>
      <t>1.科德数控自 2008 年设立以来，一直集中资源</t>
    </r>
    <r>
      <rPr>
        <b/>
        <sz val="9"/>
        <color rgb="FFFF0000"/>
        <rFont val="宋体"/>
        <family val="3"/>
        <charset val="134"/>
        <scheme val="minor"/>
      </rPr>
      <t>聚焦航空、航天产业的战略</t>
    </r>
    <r>
      <rPr>
        <sz val="9"/>
        <color theme="1"/>
        <rFont val="宋体"/>
        <family val="2"/>
        <charset val="134"/>
        <scheme val="minor"/>
      </rPr>
      <t>刚需进行重点突破;航空航 天领域销售收入 9326 万元，占营收比重为47.07%;2.2025年500台产能目标是根据市场、公司自身发展的情况进行规划的;按200万一台计算，大概10亿营收，按20%净利计算，2025年</t>
    </r>
    <r>
      <rPr>
        <sz val="9"/>
        <color rgb="FFFF0000"/>
        <rFont val="宋体"/>
        <family val="3"/>
        <charset val="134"/>
        <scheme val="minor"/>
      </rPr>
      <t>大概2亿利润</t>
    </r>
    <r>
      <rPr>
        <sz val="9"/>
        <color theme="1"/>
        <rFont val="宋体"/>
        <family val="2"/>
        <charset val="134"/>
        <scheme val="minor"/>
      </rPr>
      <t>，再配合PE计算市值；3.公司自研自制的数控系统对标西门子840D，其功能已达到西门子840D的95.85%；单独售价不到西门子840D平均售价的50%，标准产品平均毛利率在50%以上;4.五轴联动数控机床是解决航天、航空发动机叶轮、叶盘、叶片、船用螺旋桨等</t>
    </r>
    <r>
      <rPr>
        <sz val="9"/>
        <color rgb="FFFF0000"/>
        <rFont val="宋体"/>
        <family val="3"/>
        <charset val="134"/>
        <scheme val="minor"/>
      </rPr>
      <t>关键工业产品切削加工的唯一手段</t>
    </r>
    <r>
      <rPr>
        <sz val="9"/>
        <rFont val="宋体"/>
        <family val="3"/>
        <charset val="134"/>
        <scheme val="minor"/>
      </rPr>
      <t>。5.预计年报业绩：</t>
    </r>
    <r>
      <rPr>
        <sz val="9"/>
        <color rgb="FFFF0000"/>
        <rFont val="宋体"/>
        <family val="3"/>
        <charset val="134"/>
        <scheme val="minor"/>
      </rPr>
      <t>净利润1.000亿元至1.100亿元，增长幅度为65.42%至81.96%</t>
    </r>
    <r>
      <rPr>
        <sz val="9"/>
        <rFont val="宋体"/>
        <family val="3"/>
        <charset val="134"/>
        <scheme val="minor"/>
      </rPr>
      <t>。原因：（一）主营业务影响公司聚焦五轴联动数控机床产品的研发、生产和销售。2023年公司订单快速增长，产品销售多元化，除传统五轴立式加工中心外，本年度五轴卧式铣车复合加工中心销量占比明显提升，市场需求旺盛。新机型高速叶尖磨产品受市场青睐。 　　随着公司经营规模的快速增长，规模效应逐步显现，销售毛利率显著提升，费用率逐步下降，盈利水平提升。故整体净利润及扣除非经常性损益后的净利润同比增速显著，公司经营业绩保持了较好增长。（二）非经常性损益影响2023年上半年公司通过二级市场转让了持有的龙芯中科技术股份有限公司的股票，取得投资收益986.45万元，对当期的净利润有正向的影响。</t>
    </r>
    <phoneticPr fontId="1" type="noConversion"/>
  </si>
  <si>
    <t>98.23万</t>
  </si>
  <si>
    <t>453.52万</t>
  </si>
  <si>
    <t>1894.63万</t>
  </si>
  <si>
    <t>公司主要从事高端制造装备产业开展研发、生产、销售及服务，主要产品为系列化五轴立式（含车铣）、五轴卧式（含车铣）、五轴龙门、五轴卧式铣车复合四大通用加工中心和五轴磨削、五轴叶片两大系列化专用机床，以及服务于高端数控机床的高档数控系统，伺服驱动装置，系列化电机，系列化传感产品，电主轴，铣头，转台等。
市值63.174519亿, 利润6045.38万; PE68.74; 平均PE209.93; 平均PEG6.26, PB5.76; ROIC6.3667%; ROE6.7267%; 股利率0%; 毛利43.5767%; 净利23.3533%; 上一年度营收增24.02%, 利润增-17.04%; 当季营收增39.39%, 利润增191.15%; 过往5年营收增33.56%, 利润增-68.61%
Income profile:
高档数控机床 2.33亿 92.03% 93.06% 43.62%
其他 1265.79万 4.99% 3.93% 33.95%
关键功能部件 574.15万 2.26% 2.18% 41.63%
高档数控系统 181.53万 0.72% 0.83% 49.81%</t>
  </si>
  <si>
    <t>1.Cybelec 瑞士、Cybelec 中国、Infranor 法国和 Mavilor 以定制化产品为主；2.当下游行业市场低迷时，数控机床和机器人投资力度减弱，公司产品的市场需求相应下降。</t>
    <phoneticPr fontId="1" type="noConversion"/>
  </si>
  <si>
    <r>
      <t>1.公司是国内唯一的全系列（5Kg-800Kg）RV减速器产品供应商，特别是在</t>
    </r>
    <r>
      <rPr>
        <sz val="9"/>
        <color rgb="FFFF0000"/>
        <rFont val="宋体"/>
        <family val="3"/>
        <charset val="134"/>
        <scheme val="minor"/>
      </rPr>
      <t>中大规格领域</t>
    </r>
    <r>
      <rPr>
        <sz val="9"/>
        <color theme="1"/>
        <rFont val="宋体"/>
        <family val="2"/>
        <charset val="134"/>
        <scheme val="minor"/>
      </rPr>
      <t>的优势明显。公司的RV减速器目前在技术参数指标上，已经</t>
    </r>
    <r>
      <rPr>
        <b/>
        <sz val="9"/>
        <color rgb="FFFF0000"/>
        <rFont val="宋体"/>
        <family val="3"/>
        <charset val="134"/>
        <scheme val="minor"/>
      </rPr>
      <t>达到与国际品牌相当的水平</t>
    </r>
    <r>
      <rPr>
        <sz val="9"/>
        <color theme="1"/>
        <rFont val="宋体"/>
        <family val="2"/>
        <charset val="134"/>
        <scheme val="minor"/>
      </rPr>
      <t>；2.秦川机床是我国精密数控机床与复杂工具研发制造基地、机床工具行业的龙头企业，磨齿机产品被工信部评为“制造业单项冠军“；</t>
    </r>
    <phoneticPr fontId="1" type="noConversion"/>
  </si>
  <si>
    <r>
      <t xml:space="preserve">1.2018 年我国低档数控机床国产化率约 82%， 中档数控机床国产化率约 65%， </t>
    </r>
    <r>
      <rPr>
        <sz val="9"/>
        <color rgb="FFFF0000"/>
        <rFont val="宋体"/>
        <family val="3"/>
        <charset val="134"/>
        <scheme val="minor"/>
      </rPr>
      <t>高档数控机床国产化率仅约 6%</t>
    </r>
    <r>
      <rPr>
        <sz val="9"/>
        <color theme="1"/>
        <rFont val="宋体"/>
        <family val="2"/>
        <charset val="134"/>
        <scheme val="minor"/>
      </rPr>
      <t>;</t>
    </r>
    <phoneticPr fontId="1" type="noConversion"/>
  </si>
  <si>
    <t>1511.54万</t>
  </si>
  <si>
    <t>4.57亿</t>
  </si>
  <si>
    <t>8657.00万</t>
  </si>
  <si>
    <t>1166.17万</t>
  </si>
  <si>
    <t>2.16亿</t>
  </si>
  <si>
    <t>1.78亿</t>
  </si>
  <si>
    <t>1203.29万</t>
  </si>
  <si>
    <t>1316.49万</t>
  </si>
  <si>
    <t>475.88万</t>
  </si>
  <si>
    <t>60610亿</t>
  </si>
  <si>
    <t>23.91万</t>
  </si>
  <si>
    <t>6946370亿</t>
  </si>
  <si>
    <t>4095.53万</t>
  </si>
  <si>
    <t>24565667亿</t>
  </si>
  <si>
    <t>6655.29万</t>
  </si>
  <si>
    <t>425377750亿</t>
  </si>
  <si>
    <t>1455.00万</t>
  </si>
  <si>
    <t>3302.32万</t>
  </si>
  <si>
    <t>3.98亿</t>
  </si>
  <si>
    <t>3094.57万</t>
  </si>
  <si>
    <t>-2802.67万</t>
  </si>
  <si>
    <t>595.38万</t>
  </si>
  <si>
    <t>829.59万</t>
  </si>
  <si>
    <t>1129.84万</t>
  </si>
  <si>
    <t>6386.09万</t>
  </si>
  <si>
    <t>2.52亿</t>
  </si>
  <si>
    <t xml:space="preserve">
市值16.389515亿, 利润1166.17万; PE162.3; 平均PE-17.26; 平均PEG-0.67, PB18.81; ROIC0%; ROE-21.0233%; 股利率0%; 毛利18.3633%; 净利-12.8533%; 上一年度营收增-19.37%, 利润增-17.83%; 当季营收增21.31%, 利润增-56.36%; 过往5年营收增25.94%, 利润增-372.37%
Income profile:
</t>
  </si>
  <si>
    <t>1191.11万</t>
  </si>
  <si>
    <t>11.77亿</t>
  </si>
  <si>
    <t>32.96亿</t>
  </si>
  <si>
    <t>14.55亿</t>
  </si>
  <si>
    <t>3.59亿</t>
  </si>
  <si>
    <t>9.54亿</t>
  </si>
  <si>
    <t>6.62亿</t>
  </si>
  <si>
    <t>1.32亿</t>
  </si>
  <si>
    <t>9129.00万</t>
  </si>
  <si>
    <t>3646.94万</t>
  </si>
  <si>
    <t>10563011亿</t>
  </si>
  <si>
    <t>2428.67万</t>
  </si>
  <si>
    <t>426443350亿</t>
  </si>
  <si>
    <t>10.58亿</t>
  </si>
  <si>
    <t>847400560亿</t>
  </si>
  <si>
    <t>2955000600亿</t>
  </si>
  <si>
    <t>1050.06万</t>
  </si>
  <si>
    <t>6003.72万</t>
  </si>
  <si>
    <t>1.81亿</t>
  </si>
  <si>
    <t>7.49亿</t>
  </si>
  <si>
    <t>5.38亿</t>
  </si>
  <si>
    <t>8199.99万</t>
  </si>
  <si>
    <t>-6.12亿</t>
  </si>
  <si>
    <t>9.09亿</t>
  </si>
  <si>
    <t>12.00亿</t>
  </si>
  <si>
    <t>8755.64万</t>
  </si>
  <si>
    <t>3.01亿</t>
  </si>
  <si>
    <t>4-0</t>
  </si>
  <si>
    <t xml:space="preserve">
市值133.268722亿, 利润3.59亿; PE25.07; 平均PE47.48; 平均PEG44.64, PB4.06; ROIC8.63%; ROE10.0233%; 股利率2.0175%; 毛利49.97%; 净利26.9767%; 上一年度营收增11.75%, 利润增-13.91%; 当季营收增21.33%, 利润增70.57%; 过往5年营收增1.06%, 利润增13.42%
Income profile:
</t>
  </si>
  <si>
    <t>2584.10万</t>
  </si>
  <si>
    <t>30.07亿</t>
  </si>
  <si>
    <t>21.14亿</t>
  </si>
  <si>
    <t>14.46亿</t>
  </si>
  <si>
    <t>-15.30亿</t>
  </si>
  <si>
    <t>11.60亿</t>
  </si>
  <si>
    <t>6738.32万</t>
  </si>
  <si>
    <t>2546.56万</t>
  </si>
  <si>
    <t>4753733亿</t>
  </si>
  <si>
    <t>1.75万</t>
  </si>
  <si>
    <t>-61488864亿</t>
  </si>
  <si>
    <t>2.74亿</t>
  </si>
  <si>
    <t>341166710亿</t>
  </si>
  <si>
    <t>7545.23万</t>
  </si>
  <si>
    <t>2089336600亿</t>
  </si>
  <si>
    <t>2.91亿</t>
  </si>
  <si>
    <t>5.98亿</t>
  </si>
  <si>
    <t>1245.84万</t>
  </si>
  <si>
    <t>1612.45万</t>
  </si>
  <si>
    <t>19.92亿</t>
  </si>
  <si>
    <t>8.66亿</t>
  </si>
  <si>
    <t>2.34亿</t>
  </si>
  <si>
    <t>-1.32亿</t>
  </si>
  <si>
    <t>-8.95亿</t>
  </si>
  <si>
    <t>8.92亿</t>
  </si>
  <si>
    <t>-4691.30万</t>
  </si>
  <si>
    <t>-11.44亿</t>
  </si>
  <si>
    <t>7.25亿</t>
  </si>
  <si>
    <t>亏损</t>
  </si>
  <si>
    <t xml:space="preserve">
市值31.209562亿, 利润-15.30亿; PE; 平均PE-19.02; 平均PEG-2.55, PB1.48; ROIC2.575%; ROE1.29%; 股利率0%; 毛利29.0767%; 净利0.9333%; 上一年度营收增-2.11%, 利润增-3099.51%; 当季营收增7.99%, 利润增99.34%; 过往5年营收增7.46%, 利润增-603.9%
Income profile:
</t>
  </si>
  <si>
    <t>982.83万</t>
  </si>
  <si>
    <t>2.69亿</t>
  </si>
  <si>
    <t>8.03亿</t>
  </si>
  <si>
    <t>3.58亿</t>
  </si>
  <si>
    <t>5541.79万</t>
  </si>
  <si>
    <t>3677.08万</t>
  </si>
  <si>
    <t>3001.34万</t>
  </si>
  <si>
    <t>1774.85万</t>
  </si>
  <si>
    <t>5947881亿</t>
  </si>
  <si>
    <t>23.56万</t>
  </si>
  <si>
    <t>29731426亿</t>
  </si>
  <si>
    <t>263490620亿</t>
  </si>
  <si>
    <t>80.00万</t>
  </si>
  <si>
    <t>808834750亿</t>
  </si>
  <si>
    <t>578.23万</t>
  </si>
  <si>
    <t>8348.06万</t>
  </si>
  <si>
    <t>-7660.04万</t>
  </si>
  <si>
    <t>-681.67万</t>
  </si>
  <si>
    <t>-2281.11万</t>
  </si>
  <si>
    <t>2430.59万</t>
  </si>
  <si>
    <t>5289.08万</t>
  </si>
  <si>
    <t>4374.36万</t>
  </si>
  <si>
    <t>3.67亿</t>
  </si>
  <si>
    <t xml:space="preserve">
市值22.8201亿, 利润5541.79万; PE56.29; 平均PE47.28; 平均PEG0.88, PB2.85; ROIC6.0067%; ROE6.7%; 股利率1.0246%; 毛利49.55%; 净利16.48%; 上一年度营收增-18.26%, 利润增-24.63%; 当季营收增60.61%, 利润增122.17%; 过往5年营收增53.65%, 利润增179.09%
Income profile:
</t>
  </si>
  <si>
    <t>3882.49万</t>
  </si>
  <si>
    <t>40.68亿</t>
  </si>
  <si>
    <t>48.38亿</t>
  </si>
  <si>
    <t>27.86亿</t>
  </si>
  <si>
    <t>45.27亿</t>
  </si>
  <si>
    <t>3.35亿</t>
  </si>
  <si>
    <t>26.20亿</t>
  </si>
  <si>
    <t>21.54亿</t>
  </si>
  <si>
    <t>5449.78万</t>
  </si>
  <si>
    <t>11005547亿</t>
  </si>
  <si>
    <t>585.50万</t>
  </si>
  <si>
    <t>86944076亿</t>
  </si>
  <si>
    <t>2.95亿</t>
  </si>
  <si>
    <t>1662479100亿</t>
  </si>
  <si>
    <t>5.85亿</t>
  </si>
  <si>
    <t>4857038800亿</t>
  </si>
  <si>
    <t>2.58亿</t>
  </si>
  <si>
    <t>7.48亿</t>
  </si>
  <si>
    <t>4.95亿</t>
  </si>
  <si>
    <t>10.42亿</t>
  </si>
  <si>
    <t>28.78亿</t>
  </si>
  <si>
    <t>-1.86亿</t>
  </si>
  <si>
    <t>-8.11亿</t>
  </si>
  <si>
    <t>3.73亿</t>
  </si>
  <si>
    <t>20.55亿</t>
  </si>
  <si>
    <t>2.77亿</t>
  </si>
  <si>
    <t>6.89亿</t>
  </si>
  <si>
    <t>0335000000</t>
  </si>
  <si>
    <t>01005000000</t>
  </si>
  <si>
    <t>02010000000</t>
  </si>
  <si>
    <t>03350000000</t>
  </si>
  <si>
    <t>06700000000</t>
  </si>
  <si>
    <t xml:space="preserve">
市值77.285018亿, 利润3.35亿; PE128.2; 平均PE-20.48; 平均PEG-7.9, PB1.6; ROIC7.66%; ROE-2.4067%; 股利率0%; 毛利24.2333%; 净利-0.2133%; 上一年度营收增-13.97%, 利润增-33%; 当季营收增-44.83%, 利润增-126.78%; 过往5年营收增-2.59%, 利润增-4655.81%
Income profile:
</t>
  </si>
  <si>
    <t>1360.15万</t>
  </si>
  <si>
    <t>47.95亿</t>
  </si>
  <si>
    <t>25.45亿</t>
  </si>
  <si>
    <t>32.37亿</t>
  </si>
  <si>
    <t>49.84亿</t>
  </si>
  <si>
    <t>29.95亿</t>
  </si>
  <si>
    <t>25.53亿</t>
  </si>
  <si>
    <t>6077.31万</t>
  </si>
  <si>
    <t>322576亿</t>
  </si>
  <si>
    <t>473.57万</t>
  </si>
  <si>
    <t>117362057亿</t>
  </si>
  <si>
    <t>11.45亿</t>
  </si>
  <si>
    <t>1963258100亿</t>
  </si>
  <si>
    <t>3.54亿</t>
  </si>
  <si>
    <t>5881816600亿</t>
  </si>
  <si>
    <t>3.61亿</t>
  </si>
  <si>
    <t>4.40亿</t>
  </si>
  <si>
    <t>10.14亿</t>
  </si>
  <si>
    <t>37.87亿</t>
  </si>
  <si>
    <t>2.66亿</t>
  </si>
  <si>
    <t>1704.99万</t>
  </si>
  <si>
    <t>32.89亿</t>
  </si>
  <si>
    <t>8437.15万</t>
  </si>
  <si>
    <t>10派0.71元(含税)</t>
  </si>
  <si>
    <t>5838.96万</t>
  </si>
  <si>
    <t xml:space="preserve">
市值46.476427亿, 利润1.60亿; PE31.31; 平均PE22.45; 平均PEG0.48, PB1.95; ROIC8.8967%; ROE10.24%; 股利率0.649%; 毛利31.7433%; 净利8.2867%; 上一年度营收增51.35%, 利润增144.67%; 当季营收增-8.99%, 利润增16.89%; 过往5年营收增46.44%, 利润增53.74%
Income profile:
</t>
  </si>
  <si>
    <t>782.27万</t>
  </si>
  <si>
    <t>15.58亿</t>
  </si>
  <si>
    <t>3.36亿</t>
  </si>
  <si>
    <t>4721.14万</t>
  </si>
  <si>
    <t>1565.46万</t>
  </si>
  <si>
    <t>1802.55万</t>
  </si>
  <si>
    <t>1509.70万</t>
  </si>
  <si>
    <t>14275080亿</t>
  </si>
  <si>
    <t>1.40万</t>
  </si>
  <si>
    <t>79685496亿</t>
  </si>
  <si>
    <t>4.63亿</t>
  </si>
  <si>
    <t>151531260亿</t>
  </si>
  <si>
    <t>409.29万</t>
  </si>
  <si>
    <t>1618649100亿</t>
  </si>
  <si>
    <t>8121.99万</t>
  </si>
  <si>
    <t>7050.86万</t>
  </si>
  <si>
    <t>4.58亿</t>
  </si>
  <si>
    <t>452.99万</t>
  </si>
  <si>
    <t>-2642.18万</t>
  </si>
  <si>
    <t>2.41亿</t>
  </si>
  <si>
    <t>5353.67万</t>
  </si>
  <si>
    <t>2197.77万</t>
  </si>
  <si>
    <t>2998.07万</t>
  </si>
  <si>
    <t xml:space="preserve">
市值55.024803亿, 利润4721.14万; PE45.36; 平均PE67.22; 平均PEG4.24, PB3.57; ROIC2.9867%; ROE2.9467%; 股利率0.4583%; 毛利39.6833%; 净利19.09%; 上一年度营收增-17.85%, 利润增-38.35%; 当季营收增18.82%, 利润增881.37%; 过往5年营收增15.86%, 利润增33.53%
Income profile:
</t>
  </si>
  <si>
    <t>410.37万</t>
  </si>
  <si>
    <t>23.41亿</t>
  </si>
  <si>
    <t>22.65亿</t>
  </si>
  <si>
    <t>25.07亿</t>
  </si>
  <si>
    <t>31.77亿</t>
  </si>
  <si>
    <t>17.66亿</t>
  </si>
  <si>
    <t>2808.01万</t>
  </si>
  <si>
    <t>6695.65万</t>
  </si>
  <si>
    <t>13105948亿</t>
  </si>
  <si>
    <t>4845.64万</t>
  </si>
  <si>
    <t>400403400亿</t>
  </si>
  <si>
    <t>330122680亿</t>
  </si>
  <si>
    <t>115.61万</t>
  </si>
  <si>
    <t>3714474700亿</t>
  </si>
  <si>
    <t>21.83亿</t>
  </si>
  <si>
    <t>-1.89亿</t>
  </si>
  <si>
    <t>16.95亿</t>
  </si>
  <si>
    <t>23.67亿</t>
  </si>
  <si>
    <t>3.21亿</t>
  </si>
  <si>
    <t>3.90亿</t>
  </si>
  <si>
    <t>2291.14万</t>
  </si>
  <si>
    <t>7333.85万</t>
  </si>
  <si>
    <t xml:space="preserve">
市值131.283亿, 利润5.21亿; PE22.08; 平均PE60.05; 平均PEG2.62, PB5.8; ROIC13.3533%; ROE13.88%; 股利率1.4314%; 毛利26.1967%; 净利13.6733%; 上一年度营收增16.37%, 利润增40.43%; 当季营收增-4.69%, 利润增6.38%; 过往5年营收增22.92%, 利润增52.68%
Income profile:
</t>
  </si>
  <si>
    <t>183.21万</t>
  </si>
  <si>
    <t>15.83亿</t>
  </si>
  <si>
    <t>8.47亿</t>
  </si>
  <si>
    <t>11.63亿</t>
  </si>
  <si>
    <t>1.85亿</t>
  </si>
  <si>
    <t>6.32亿</t>
  </si>
  <si>
    <t>3508.62万</t>
  </si>
  <si>
    <t>2628.14万</t>
  </si>
  <si>
    <t>2711.46万</t>
  </si>
  <si>
    <t>4643954亿</t>
  </si>
  <si>
    <t>109133226亿</t>
  </si>
  <si>
    <t>76328788亿</t>
  </si>
  <si>
    <t>2.85亿</t>
  </si>
  <si>
    <t>1565186700亿</t>
  </si>
  <si>
    <t>1339.49万</t>
  </si>
  <si>
    <t>-6137.57万</t>
  </si>
  <si>
    <t>8.81亿</t>
  </si>
  <si>
    <t>8432.63万</t>
  </si>
  <si>
    <t>10派5元(含税)</t>
  </si>
  <si>
    <t>713.14万</t>
  </si>
  <si>
    <t>2427.76万</t>
  </si>
  <si>
    <t xml:space="preserve">
市值25.278亿, 利润1.85亿; PE16.79; 平均PE19.5; 平均PEG1.16, PB1.62; ROIC10.2633%; ROE10.29%; 股利率2.611%; 毛利29.4467%; 净利16.3033%; 上一年度营收增2.29%, 利润增-7.5%; 当季营收增-11.18%, 利润增-39.66%; 过往5年营收增16.76%, 利润增18.48%
Income profile:
</t>
  </si>
  <si>
    <t>171.73万</t>
  </si>
  <si>
    <t>4.69亿</t>
  </si>
  <si>
    <t>4.65亿</t>
  </si>
  <si>
    <t>6.31亿</t>
  </si>
  <si>
    <t>5968.03万</t>
  </si>
  <si>
    <t>4110.94万</t>
  </si>
  <si>
    <t>3878.82万</t>
  </si>
  <si>
    <t>2067.05万</t>
  </si>
  <si>
    <t>143187亿</t>
  </si>
  <si>
    <t>129.71万</t>
  </si>
  <si>
    <t>16692717亿</t>
  </si>
  <si>
    <t>7393.71万</t>
  </si>
  <si>
    <t>106361710亿</t>
  </si>
  <si>
    <t>9972.94万</t>
  </si>
  <si>
    <t>683050480亿</t>
  </si>
  <si>
    <t>3213.05万</t>
  </si>
  <si>
    <t>8819.32万</t>
  </si>
  <si>
    <t>950.00万</t>
  </si>
  <si>
    <t>3.82亿</t>
  </si>
  <si>
    <t>3854.97万</t>
  </si>
  <si>
    <t>-7863.74万</t>
  </si>
  <si>
    <t>2427.26万</t>
  </si>
  <si>
    <t>3.08亿</t>
  </si>
  <si>
    <t>1887.64万</t>
  </si>
  <si>
    <t>5393.18万</t>
  </si>
  <si>
    <t>10派3.0元(含税)</t>
  </si>
  <si>
    <t>615.21万</t>
  </si>
  <si>
    <t>2070.40万</t>
  </si>
  <si>
    <t xml:space="preserve">
市值28.219964亿, 利润5968.03万; PE95.18; 平均PE51.97; 平均PEG3.54, PB3.22; ROIC6.4567%; ROE7.3733%; 股利率0.5763%; 毛利32.53%; 净利10.7567%; 上一年度营收增16.64%, 利润增-18.25%; 当季营收增-5.42%, 利润增-75.69%; 过往5年营收增14.68%, 利润增14.43%
Income profile:
</t>
  </si>
  <si>
    <t>7336.27万</t>
  </si>
  <si>
    <t>26.69亿</t>
  </si>
  <si>
    <t>18.29亿</t>
  </si>
  <si>
    <t>15.18亿</t>
  </si>
  <si>
    <t>18.30亿</t>
  </si>
  <si>
    <t>749.10万</t>
  </si>
  <si>
    <t>11.27亿</t>
  </si>
  <si>
    <t>6622.75万</t>
  </si>
  <si>
    <t>6097.94万</t>
  </si>
  <si>
    <t>2990779亿</t>
  </si>
  <si>
    <t>27.95万</t>
  </si>
  <si>
    <t>95904553亿</t>
  </si>
  <si>
    <t>11.41亿</t>
  </si>
  <si>
    <t>348015590亿</t>
  </si>
  <si>
    <t>3159853400亿</t>
  </si>
  <si>
    <t>5560.08万</t>
  </si>
  <si>
    <t>4.51亿</t>
  </si>
  <si>
    <t>24.50亿</t>
  </si>
  <si>
    <t>-3719.93万</t>
  </si>
  <si>
    <t>-1516.45万</t>
  </si>
  <si>
    <t>10.11亿</t>
  </si>
  <si>
    <t>15.21亿</t>
  </si>
  <si>
    <t>6819.26万</t>
  </si>
  <si>
    <t xml:space="preserve">
市值41.122424亿, 利润749.10万; PE2204; 平均PE42.74; 平均PEG7.79, PB2.37; ROIC3.3667%; ROE6.2167%; 股利率2.0053%; 毛利25.8033%; 净利5.8567%; 上一年度营收增-8.45%, 利润增-94.24%; 当季营收增7.42%, 利润增-3.75%; 过往5年营收增5.49%, 利润增-10.72%
Income profile:
</t>
  </si>
  <si>
    <t>4723.55万</t>
  </si>
  <si>
    <t>262.30亿</t>
  </si>
  <si>
    <t>65.69亿</t>
  </si>
  <si>
    <t>66.46亿</t>
  </si>
  <si>
    <t>80.40亿</t>
  </si>
  <si>
    <t>65.08亿</t>
  </si>
  <si>
    <t>54.92亿</t>
  </si>
  <si>
    <t>9203.59万</t>
  </si>
  <si>
    <t>1.37亿</t>
  </si>
  <si>
    <t>107919123亿</t>
  </si>
  <si>
    <t>769.65万</t>
  </si>
  <si>
    <t>-38695485亿</t>
  </si>
  <si>
    <t>23.13亿</t>
  </si>
  <si>
    <t>7141325900亿</t>
  </si>
  <si>
    <t>23979652000亿</t>
  </si>
  <si>
    <t>24.76亿</t>
  </si>
  <si>
    <t>33.31亿</t>
  </si>
  <si>
    <t>36.17亿</t>
  </si>
  <si>
    <t>53.93亿</t>
  </si>
  <si>
    <t>156.05亿</t>
  </si>
  <si>
    <t>85.17亿</t>
  </si>
  <si>
    <t>-7190.05万</t>
  </si>
  <si>
    <t>6704.26万</t>
  </si>
  <si>
    <t>40.76亿</t>
  </si>
  <si>
    <t>61.22亿</t>
  </si>
  <si>
    <t>6027.42万</t>
  </si>
  <si>
    <t>9399.24万</t>
  </si>
  <si>
    <t>6.94亿</t>
  </si>
  <si>
    <t xml:space="preserve">
市值75.39591亿, 利润2.16亿; PE33.37; 平均PE-145.87; 平均PEG-49.75, PB1.45; ROIC2.21%; ROE1.7333%; 股利率0%; 毛利18.8067%; 净利1.4033%; 上一年度营收增-3.37%, 利润增31.71%; 当季营收增22.91%, 利润增136.74%; 过往5年营收增2.93%, 利润增-350.06%
Income profile:
</t>
  </si>
  <si>
    <t>6623.24万</t>
  </si>
  <si>
    <t>332.48亿</t>
  </si>
  <si>
    <t>119.28亿</t>
  </si>
  <si>
    <t>149.36亿</t>
  </si>
  <si>
    <t>238.86亿</t>
  </si>
  <si>
    <t>150.24亿</t>
  </si>
  <si>
    <t>135.71亿</t>
  </si>
  <si>
    <t>5.17亿</t>
  </si>
  <si>
    <t>75702733亿</t>
  </si>
  <si>
    <t>3448.37万</t>
  </si>
  <si>
    <t>-4882207亿</t>
  </si>
  <si>
    <t>18.26亿</t>
  </si>
  <si>
    <t>8897871800亿</t>
  </si>
  <si>
    <t>17.61亿</t>
  </si>
  <si>
    <t>30890669000亿</t>
  </si>
  <si>
    <t>5.25亿</t>
  </si>
  <si>
    <t>56.17亿</t>
  </si>
  <si>
    <t>17.14亿</t>
  </si>
  <si>
    <t>84.88亿</t>
  </si>
  <si>
    <t>207.24亿</t>
  </si>
  <si>
    <t>115.40亿</t>
  </si>
  <si>
    <t>-17.04亿</t>
  </si>
  <si>
    <t>-5.63亿</t>
  </si>
  <si>
    <t>27.15亿</t>
  </si>
  <si>
    <t>94.22亿</t>
  </si>
  <si>
    <t>188.21亿</t>
  </si>
  <si>
    <t>5114.84万</t>
  </si>
  <si>
    <t>6977.32万</t>
  </si>
  <si>
    <t>8.21亿</t>
  </si>
  <si>
    <t xml:space="preserve">
市值190.64637亿, 利润1.03亿; PE224.5; 平均PE153.92; 平均PEG7.82, PB1.62; ROIC1.6033%; ROE0.9967%; 股利率0%; 毛利9.62%; 净利0.6%; 上一年度营收增3.28%, 利润增-38.69%; 当季营收增-23.62%, 利润增-95.53%; 过往5年营收增19.69%, 利润增8.91%
Income profile:
</t>
  </si>
  <si>
    <t>1626.33万</t>
  </si>
  <si>
    <t>19.03亿</t>
  </si>
  <si>
    <t>22.62亿</t>
  </si>
  <si>
    <t>12.31亿</t>
  </si>
  <si>
    <t>17.34亿</t>
  </si>
  <si>
    <t>1309.33万</t>
  </si>
  <si>
    <t>11.66亿</t>
  </si>
  <si>
    <t>8.39亿</t>
  </si>
  <si>
    <t>7869.52万</t>
  </si>
  <si>
    <t>4568.22万</t>
  </si>
  <si>
    <t>-1620404亿</t>
  </si>
  <si>
    <t>43.02万</t>
  </si>
  <si>
    <t>48738279亿</t>
  </si>
  <si>
    <t>809813260亿</t>
  </si>
  <si>
    <t>2902533600亿</t>
  </si>
  <si>
    <t>3993.93万</t>
  </si>
  <si>
    <t>4.26亿</t>
  </si>
  <si>
    <t>-2687.57万</t>
  </si>
  <si>
    <t>-4.12亿</t>
  </si>
  <si>
    <t>3561.71万</t>
  </si>
  <si>
    <t>7.77亿</t>
  </si>
  <si>
    <t>12.29亿</t>
  </si>
  <si>
    <t>4618.72万</t>
  </si>
  <si>
    <t>7569.83万</t>
  </si>
  <si>
    <t>6.37亿</t>
  </si>
  <si>
    <t xml:space="preserve">
市值26.006199亿, 利润1309.33万; PE; 平均PE69.58; 平均PEG3.32, PB1.15; ROIC2.3633%; ROE2.0467%; 股利率0%; 毛利32.0267%; 净利4.7567%; 上一年度营收增43.78%, 利润增-79.65%; 当季营收增-8.28%, 利润增-53.06%; 过往5年营收增20.97%, 利润增7.75%
Income profile:
</t>
  </si>
  <si>
    <t>489.62万</t>
  </si>
  <si>
    <t>1650.33万</t>
  </si>
  <si>
    <t>8066.96万</t>
  </si>
  <si>
    <t xml:space="preserve">
市值49.83451亿, 利润9037.61万; PE78.25; 平均PE61.49; 平均PEG1.66, PB3.17; ROIC14.25%; ROE10.245%; 股利率.5455%; 毛利36.37%; 净利14.12%; 上一年度营收增25.7%, 利润增-17.84%; 当季营收增20.43%, 利润增-60.5%; 过往5年营收增37.04%, 利润增26.11%
Income profile:
</t>
  </si>
  <si>
    <t>1902.29万</t>
  </si>
  <si>
    <t>7236.60万</t>
  </si>
  <si>
    <t>4.33亿</t>
  </si>
  <si>
    <t>-1-0</t>
  </si>
  <si>
    <t>公司主营业务是工业自动化和新能源相关产品研发、生产和销售,公司的主要产品包括①服务于智能装备&amp;工业机器人领域的工业自动化产品,包括各种变频器、伺服系统、控制系统、工业视觉系统、传感器等核心部件及电气解决方案,②服务于新能源汽车领域动力总成核心部件,包括各种电机控制器、辅助动力系统等,③服务于轨道交通领域牵引与控制系统,包括牵引变流器、辅助变流器、高压箱、牵引电机和TCMS等,④服务于设备后服务市场的工业互联网解决方案,包括智能硬件、信息化管理平台等。
市值1627.4252亿, 利润43.20亿; PE35.73; 平均PE74.13; 平均PEG1.96, PB7.21; ROIC14.9867%; ROE17.58%; 股利率.5921%; 毛利37.0167%; 净利18.75%; 上一年度营收增28.23%, 利润增20.91%; 当季营收增31.25%, 利润增11.93%; 过往5年营收增37.73%, 利润增40.66%
Income profile:
驱动层 33.00亿 31.74% 40.61% 46.54%
电梯 22.06亿 21.22% 14.77% 25.31%
新能源汽车&amp;轨道交通 21.92亿 21.08% 12.13% 20.92%
执行层 14.22亿 13.68% 14.29% 38.01%
控制层 6.73亿 6.47% 10.59% 59.53%
工业机器人 2.66亿 2.56% 3.62% 51.41%
通用自动化-其他 1.73亿 1.66% 2.10% 45.83%</t>
  </si>
  <si>
    <t>6265.74万</t>
  </si>
  <si>
    <t>5.90亿</t>
  </si>
  <si>
    <t>公司自成立以来始终专注于高端智能机械装备及其核心控制和功能部件研发、生产和销售，主要产品包括应用于金属成形机床的数控系统、电液伺服系统、广泛适用于各种机械装备的交流伺服系统，以及工业机器人及成套设备等。 
市值126.429873亿, 利润1.66亿; PE67.86; 平均PE112.74; 平均PEG3.72, PB4.62; ROIC3.7433%; ROE4.7967%; 股利率.2063%; 毛利33.2533%; 净利5.27%; 上一年度营收增28.51%, 利润增36.07%; 当季营收增11.05%, 利润增-1.9%; 过往5年营收增30.29%, 利润增21.18%
Income profile:
工业机器人及智能制造系统 17.32亿 77.29% 78.11% 33.44%
自动化核心部件及运动控制系统 5.09亿 22.71% 21.89% 31.90%</t>
  </si>
  <si>
    <t>1535.19万</t>
  </si>
  <si>
    <t>5240.95万</t>
  </si>
  <si>
    <t>2.28亿</t>
  </si>
  <si>
    <t xml:space="preserve">
市值52.177425亿, 利润2.20亿; PE50.47; 平均PE34.81; 平均PEG1.68, PB4.1; ROIC13.8267%; ROE13.3767%; 股利率1.7783%; 毛利40.6867%; 净利16.4933%; 上一年度营收增11.22%, 利润增.92%; 当季营收增28.2%, 利润增-82.44%; 过往5年营收增20.74%, 利润增21.26%
Income profile:
</t>
  </si>
  <si>
    <t>5731.66万</t>
  </si>
  <si>
    <t>1.88亿</t>
  </si>
  <si>
    <t>7.58亿</t>
  </si>
  <si>
    <t xml:space="preserve">
市值58.258882亿, 利润-10.57亿; PE; 平均PE-39.29; 平均PEG-51.17, PB2.94; ROIC3.35%; ROE5.07%; 股利率0%; 毛利19.4233%; 净利4.4933%; 上一年度营收增-27.37%, 利润增-804.67%; 当季营收增5.4%, 利润增-152.23%; 过往5年营收增-.77%, 利润增-167.7%
Income profile:
</t>
  </si>
  <si>
    <t>4753.62万</t>
  </si>
  <si>
    <t>6.10亿</t>
  </si>
  <si>
    <t xml:space="preserve">
市值60.578427亿, 利润2.75亿; PE14.64; 平均PE48.79; 平均PEG3.24, PB2.37; ROIC5.2567%; ROE7.5033%; 股利率.7895%; 毛利33.43%; 净利6.2433%; 上一年度营收增36.16%, 利润增51.1%; 当季营收增-2.14%, 利润增-6.25%; 过往5年营收增15.07%, 利润增-.67%
Income profile:
</t>
  </si>
  <si>
    <t>8.18亿</t>
  </si>
  <si>
    <t xml:space="preserve">
市值194.5516亿, 利润4465.11万; PE114; 平均PE447.84; 平均PEG50.8, PB4.57; ROIC0%; ROE-6.59%; 股利率0%; 毛利12.9533%; 净利-12.2233%; 上一年度营收增8.43%, 利润增107.95%; 当季营收增22.37%, 利润增88.82%; 过往5年营收增8.82%, 利润增-39.99%
Income profile:
</t>
  </si>
  <si>
    <t>1.2022 年国内谐波减速器市占率约 26%，2021 年全球谐波减速器市占率约 7%.</t>
    <phoneticPr fontId="1" type="noConversion"/>
  </si>
  <si>
    <t>1.底部起来接近4倍涨幅；</t>
    <phoneticPr fontId="1" type="noConversion"/>
  </si>
  <si>
    <t>3790.77万</t>
  </si>
  <si>
    <t>1996.90万</t>
  </si>
  <si>
    <t>公司是一家专业从事高速精密电主轴及其零配件的研发设计、生产制造、销售与配套维修服务的高新技术企业。主要产品有各类主轴、转台、减速器、关节模组、末端执行机构、直线电机、运动控制器、伺服电机和伺服驱动等。
市值50.899913亿, 利润2226.99万; PE; 平均PE146.9; 平均PEG5.06, PB3.97; ROIC8.395%; ROE6.3667%; 股利率0%; 毛利41.5233%; 净利6.2633%; 上一年度营收增-13.42%, 利润增-84.09%; 当季营收增0.86%, 利润增-1336.95%; 过往5年营收增29.02%, 利润增-57.31%
Income profile:
主轴 2.29亿 45.67% 46.57% 38.92%
运动控制产品 1.64亿 32.65% 33.30% 38.93%
维修、零配件 5632.04万 11.23% 11.51% 39.09%
转台、直线电机、减速器等功能部件 5170.18万 10.31% 8.37% 30.98%</t>
  </si>
  <si>
    <t>7349.66万</t>
  </si>
  <si>
    <t>3869.55万</t>
  </si>
  <si>
    <t>公司的主营业务为研发、生产和销售齿轮磨床、螺纹磨床、外圆磨床（曲轴磨、球面磨、车轴磨）、滚齿机、车齿机、通用数控车床及加工中心、龙门式车铣镗复合加工中心、精密高效拉床、塑料机械（中空机）等高端数控装备；数控复杂刀具、高档数控系统、滚动功能部件、汽车零部件、特种齿轮箱、机器人关节减速器、螺杆转子副、精密齿轮、精密仪器仪表、精密铸件等零部件产品；提供智能制造及自动化生产线、智能机床等智能制造及核心数控技术、装备等系统集成业务。
市值100.786327亿, 利润2.75亿; PE65.28; 平均PE410.1; 平均PEG51.94, PB2.11; ROIC3.9867%; ROE6.69%; 股利率0%; 毛利19.02%; 净利5.3633%; 上一年度营收增-18.82%, 利润增-2.14%; 当季营收增-10.76%, 利润增-90.25%; 过往5年营收增7.89%, 利润增-315.03%
Income profile:
机床类 21.67亿 52.84% 51.88% 18.55%
零部件类 12.98亿 31.64% 22.28% 13.30%
工具类 3.62亿 8.82% 15.59% 33.38%
仪器仪表类 9736.43万 2.37% 3.37% 26.83%
其他业务 7741.30万 1.89% 3.98% 39.85%</t>
  </si>
  <si>
    <t>1034.99万</t>
  </si>
  <si>
    <t>5317.28万</t>
  </si>
  <si>
    <t>2.47亿</t>
  </si>
  <si>
    <t>2-0</t>
  </si>
  <si>
    <r>
      <t>1.本次分拆上市完成后，公司将仍然保持对环动科技的控股权，</t>
    </r>
    <r>
      <rPr>
        <sz val="9"/>
        <color rgb="FFFF0000"/>
        <rFont val="宋体"/>
        <family val="3"/>
        <charset val="134"/>
        <scheme val="minor"/>
      </rPr>
      <t>环动科技仍将纳入公司合并报表范围</t>
    </r>
    <r>
      <rPr>
        <sz val="9"/>
        <color theme="1"/>
        <rFont val="宋体"/>
        <family val="2"/>
        <charset val="134"/>
        <scheme val="minor"/>
      </rPr>
      <t>。2.问：除新能源汽车齿轮业务之外，公司机器减速器、民生齿轮、工业齿轮等业务，对于公司销售贡献或者业绩贡献大概是什么样节奏？答：民生、工业两个领域的业务，目前还是初始阶段，需要一段时间去培育。</t>
    </r>
    <r>
      <rPr>
        <sz val="9"/>
        <color rgb="FFFF0000"/>
        <rFont val="宋体"/>
        <family val="3"/>
        <charset val="134"/>
        <scheme val="minor"/>
      </rPr>
      <t>机器人减速器业务板块，虽然在公司的营业收入中占比还不大，但成长性非常好</t>
    </r>
    <r>
      <rPr>
        <sz val="9"/>
        <color theme="1"/>
        <rFont val="宋体"/>
        <family val="2"/>
        <charset val="134"/>
        <scheme val="minor"/>
      </rPr>
      <t>，随着后续机器人减速器产能的扩建，对公司的业务发展将会有不错的助力。</t>
    </r>
    <phoneticPr fontId="1" type="noConversion"/>
  </si>
  <si>
    <t>1827.61万</t>
  </si>
  <si>
    <t>6.47亿</t>
  </si>
  <si>
    <t>公司主营业务为机械传动齿轮及其相关零部件的研发、设计与制造，主要应用领域涵盖汽车的动力总成和传动装置包括变速器、分动箱等，新能源汽车的动力驱动装置如混合动力变速器以及各类纯电驱动电机与减速传动齿轮，非道路机械（含工程机械和农用机械）中的减速和传动装置，以及在轨道交通、风力发电、电动工具、机器人自动化等多个行业门类中的驱动、传动应用场景。
市值205.97473亿, 利润5.82亿; PE27.03; 平均PE83.76; 平均PEG3.83, PB2.61; ROIC3.75%; ROE3.7933%; 股利率0.3313%; 毛利19.3567%; 净利6.39%; 上一年度营收增26.84%, 利润增78.53%; 当季营收增26.58%, 利润增39.52%; 过往5年营收增21.86%, 利润增100.14%
Income profile:
乘用车齿轮 18.38亿 49.87% 3.73亿 47.86% 20.32%
钢材销售 4.83亿 13.10% 5295.85万 6.79% 10.97%
商用车齿轮 4.43亿 12.01% 1.10亿 14.10% 24.86%
工程机械齿轮 3.45亿 9.36% 8211.76万 10.52% 23.80%
减速器及其他 3.16亿 8.56% 1.20亿 15.37% 37.99%
民生齿轮 1.54亿 4.18% 2678.94万 3.43% 17.40%</t>
  </si>
  <si>
    <t>293.96万</t>
  </si>
  <si>
    <t>3453.47万</t>
  </si>
  <si>
    <t>2.67亿</t>
  </si>
  <si>
    <t>公司的主营业务是精密传动装置研发、设计、生产和销售。公司的主要产品为产品包括谐波减速器、机电一体化执行器及精密零部件。
市值226.18938亿, 利润1.55亿; PE226.6; 平均PE226.88; 平均PEG8.66, PB11.24; ROIC5.7467%; ROE6.77%; 股利率.0746%; 毛利47.3367%; 净利36.7967%; 上一年度营收增.68%, 利润增-17.99%; 当季营收增-18.81%, 利润增-39.88%; 过往5年营收增26.21%, 利润增35.29%
Income profile:
谐波减速器及金属件 4.16亿 93.43% 93.60% 48.78%
机电一体化产品 2565.82万 5.76% 5.01% 42.37%
其他业务 353.05万 0.79% 1.38% 85.00%
智能自动化装备 11.75万 0.03% 0.0034% 6.27%</t>
  </si>
  <si>
    <r>
      <t>1.公司是国内唯一的全系列（5Kg-800Kg）RV减速器产品供应商，特别是在</t>
    </r>
    <r>
      <rPr>
        <sz val="9"/>
        <color rgb="FFFF0000"/>
        <rFont val="宋体"/>
        <family val="3"/>
        <charset val="134"/>
        <scheme val="minor"/>
      </rPr>
      <t>中大规格领域</t>
    </r>
    <r>
      <rPr>
        <sz val="9"/>
        <color theme="1"/>
        <rFont val="宋体"/>
        <family val="2"/>
        <charset val="134"/>
        <scheme val="minor"/>
      </rPr>
      <t>的优势明显。公司的RV减速器目前在技术参数指标上，已经</t>
    </r>
    <r>
      <rPr>
        <b/>
        <sz val="9"/>
        <color rgb="FFFF0000"/>
        <rFont val="宋体"/>
        <family val="3"/>
        <charset val="134"/>
        <scheme val="minor"/>
      </rPr>
      <t>达到与国际品牌相当的水平</t>
    </r>
    <r>
      <rPr>
        <sz val="9"/>
        <color theme="1"/>
        <rFont val="宋体"/>
        <family val="2"/>
        <charset val="134"/>
        <scheme val="minor"/>
      </rPr>
      <t>；2.公司明 确 了 “</t>
    </r>
    <r>
      <rPr>
        <sz val="9"/>
        <color rgb="FFFF0000"/>
        <rFont val="宋体"/>
        <family val="3"/>
        <charset val="134"/>
        <scheme val="minor"/>
      </rPr>
      <t>5221</t>
    </r>
    <r>
      <rPr>
        <sz val="9"/>
        <color theme="1"/>
        <rFont val="宋体"/>
        <family val="2"/>
        <charset val="134"/>
        <scheme val="minor"/>
      </rPr>
      <t>” 发展目标，即到“十四五”末，实现</t>
    </r>
    <r>
      <rPr>
        <sz val="9"/>
        <color rgb="FFFF0000"/>
        <rFont val="宋体"/>
        <family val="3"/>
        <charset val="134"/>
        <scheme val="minor"/>
      </rPr>
      <t>主机板块收入占营业收入的50%，高端制造板块收入占营业收入的 20%，核心零部件板块收入占营业收入的 20%，智能制造板块收入占营业收入的10%</t>
    </r>
    <r>
      <rPr>
        <sz val="9"/>
        <color theme="1"/>
        <rFont val="宋体"/>
        <family val="2"/>
        <charset val="134"/>
        <scheme val="minor"/>
      </rPr>
      <t>。</t>
    </r>
    <r>
      <rPr>
        <sz val="9"/>
        <color theme="1"/>
        <rFont val="宋体"/>
        <family val="3"/>
        <charset val="134"/>
        <scheme val="minor"/>
      </rPr>
      <t>3.公司于 2022 年开启新一轮融资项目，积极布局</t>
    </r>
    <r>
      <rPr>
        <sz val="9"/>
        <color rgb="FFFF0000"/>
        <rFont val="宋体"/>
        <family val="3"/>
        <charset val="134"/>
        <scheme val="minor"/>
      </rPr>
      <t>滚珠丝杠、汽车零部件及刀具</t>
    </r>
    <r>
      <rPr>
        <sz val="9"/>
        <color theme="1"/>
        <rFont val="宋体"/>
        <family val="3"/>
        <charset val="134"/>
        <scheme val="minor"/>
      </rPr>
      <t>产品扩 产。</t>
    </r>
    <phoneticPr fontId="1" type="noConversion"/>
  </si>
  <si>
    <r>
      <t xml:space="preserve">1.2018 年我国低档数控机床国产化率约 82%， 中档数控机床国产化率约 65%， </t>
    </r>
    <r>
      <rPr>
        <sz val="9"/>
        <color rgb="FFFF0000"/>
        <rFont val="宋体"/>
        <family val="3"/>
        <charset val="134"/>
        <scheme val="minor"/>
      </rPr>
      <t>高档数控机床国产化率仅约 6%</t>
    </r>
    <r>
      <rPr>
        <sz val="9"/>
        <color theme="1"/>
        <rFont val="宋体"/>
        <family val="2"/>
        <charset val="134"/>
        <scheme val="minor"/>
      </rPr>
      <t>;2.在国内市场上，中高端滚珠丝杠市场 主要由德国和日本企业占据，</t>
    </r>
    <r>
      <rPr>
        <b/>
        <sz val="9"/>
        <color rgb="FFFF0000"/>
        <rFont val="宋体"/>
        <family val="3"/>
        <charset val="134"/>
        <scheme val="minor"/>
      </rPr>
      <t>THK、NSK、力士乐</t>
    </r>
    <r>
      <rPr>
        <sz val="9"/>
        <color theme="1"/>
        <rFont val="宋体"/>
        <family val="2"/>
        <charset val="134"/>
        <scheme val="minor"/>
      </rPr>
      <t>等国 际企业可以占据高端市场 90%的 市场份额</t>
    </r>
    <phoneticPr fontId="1" type="noConversion"/>
  </si>
  <si>
    <t>0.减速器头部企业，布局三大精密减速器。公司目前已实现三大精密减速器的量产：2008 年推出高精度行星减速器，2012 年开发RV减速器，2016 年开发谐波减速器。1.问：请问公司认为有哪些因素会导致精密减速器在工业机器人领域的国产替代进程被加快？答：（1）随着国内工业机器人厂家的迅速发展，市场竞争也将更加激烈，工业机器人厂家如果想要降成本，零部件国产化会是首选；（2）经过国内减速器生产厂家多年努力和不断的科技创新，国产减速器的质量也在不断提升，未来进口减速器的质量优势将不再那么明显；（3）工业机器人市场的前景也是非常广阔的，未来的增量将会很大，相比进口减速器价格较高、交货期长、服务时效性等问题，相信未来减速器实现国产替代是一个必然的趋势。</t>
    <phoneticPr fontId="1" type="noConversion"/>
  </si>
  <si>
    <r>
      <t>1.问：公司的RV减速器和谐波减速器和国外标的公司对比怎么样？答：公司的产品在精度、刚度、噪音等都已经做的比较好了，但和纳博特斯克和哈默纳科两家标杆企业相比，我们认为在实际负载寿命和大批量产品的稳定性上，可能还存在一定的差距。2.问：RV和谐波都是手动组装的吗？答：目前两个产品的装配都是手动组装的，因为产品零件较多，装配精度要求高，难度也较高，自动化装配产线没有办法完成这个装配工作。2.日企</t>
    </r>
    <r>
      <rPr>
        <b/>
        <sz val="9"/>
        <color rgb="FFFF0000"/>
        <rFont val="宋体"/>
        <family val="3"/>
        <charset val="134"/>
        <scheme val="minor"/>
      </rPr>
      <t>纳博特斯克、 哈默纳科</t>
    </r>
    <r>
      <rPr>
        <sz val="9"/>
        <color theme="1"/>
        <rFont val="宋体"/>
        <family val="2"/>
        <charset val="134"/>
        <scheme val="minor"/>
      </rPr>
      <t>分别占据全球 RV/谐波减速器 61%/82%的市场份额。3.分产品毛利率来看，减速电机维持在30%左右；减速器则由2013年的</t>
    </r>
    <r>
      <rPr>
        <sz val="9"/>
        <color rgb="FFFF0000"/>
        <rFont val="宋体"/>
        <family val="3"/>
        <charset val="134"/>
        <scheme val="minor"/>
      </rPr>
      <t>56.9%下滑至 2022 年的12.7%</t>
    </r>
    <r>
      <rPr>
        <sz val="9"/>
        <color theme="1"/>
        <rFont val="宋体"/>
        <family val="2"/>
        <charset val="134"/>
        <scheme val="minor"/>
      </rPr>
      <t>；</t>
    </r>
    <r>
      <rPr>
        <sz val="9"/>
        <color theme="1"/>
        <rFont val="宋体"/>
        <family val="3"/>
        <charset val="134"/>
        <scheme val="minor"/>
      </rPr>
      <t>4.行星减速 器领域，科峰智能为国内市占率靠前的大陆本土品牌；</t>
    </r>
    <r>
      <rPr>
        <sz val="9"/>
        <color rgb="FFFF0000"/>
        <rFont val="宋体"/>
        <family val="3"/>
        <charset val="134"/>
        <scheme val="minor"/>
      </rPr>
      <t>RV 减速器领域，双环、中大力德、秦川机床</t>
    </r>
    <r>
      <rPr>
        <sz val="9"/>
        <color theme="1"/>
        <rFont val="宋体"/>
        <family val="3"/>
        <charset val="134"/>
        <scheme val="minor"/>
      </rPr>
      <t>等众多国产品牌快速导入；谐波减速器领域，2022年</t>
    </r>
    <r>
      <rPr>
        <sz val="9"/>
        <color rgb="FFFF0000"/>
        <rFont val="宋体"/>
        <family val="3"/>
        <charset val="134"/>
        <scheme val="minor"/>
      </rPr>
      <t>绿的谐波国内市占率为 26%</t>
    </r>
    <r>
      <rPr>
        <sz val="9"/>
        <color theme="1"/>
        <rFont val="宋体"/>
        <family val="3"/>
        <charset val="134"/>
        <scheme val="minor"/>
      </rPr>
      <t>。</t>
    </r>
    <phoneticPr fontId="1" type="noConversion"/>
  </si>
  <si>
    <t>公司是从事机械传动与控制应用领域关键零部件的研发、生产、销售和服务的高新技术企业，主要产品包括精密减速器、传动行星减速器、各类小型及微型减速电机等。公司“永磁无刷电机行星齿轮减速机构”项目列入国家火炬计划，“VRSF-78VR20-200行星减速器”产品列入国家重点新产品计划。
市值51.715697亿, 利润6636.36万; PE63.79; 平均PE76.96; 平均PEG5.9, PB4.72; ROIC6.5933%; ROE7.8133%; 股利率0.2046%; 毛利24.7633%; 净利7.9867%; 上一年度营收增-5.77%, 利润增-18.43%; 当季营收增31.16%, 利润增108.95%; 过往5年营收增13.03%, 利润增5%
Income profile:
减速电机 5.35亿 56.18% 63.54% 29.68%
精密减速器 2.54亿 26.70% 19.66% 19.32%
智能执行单元 1.47亿 15.44% 16.24% 27.60%
其他业务收入 1345.73万 1.41% 0.51% 9.45%
配件 258.51万 0.27% 0.05% 5.06%</t>
  </si>
  <si>
    <r>
      <t>1.预计年报业绩：净利润8.000亿元至8.200亿元，</t>
    </r>
    <r>
      <rPr>
        <b/>
        <sz val="9"/>
        <color rgb="FFFF0000"/>
        <rFont val="宋体"/>
        <family val="3"/>
        <charset val="134"/>
        <scheme val="minor"/>
      </rPr>
      <t>增长幅度为37.44%至40.87%</t>
    </r>
    <r>
      <rPr>
        <sz val="9"/>
        <color theme="1"/>
        <rFont val="宋体"/>
        <family val="2"/>
        <charset val="134"/>
        <scheme val="minor"/>
      </rPr>
      <t xml:space="preserve"> 原因：公司始终坚持聚焦主业，紧密围绕公司发展战略和经营管理目标开展各项运营工作，积极推动高精密制造平台化延伸。报告期内，公司重型卡车自动变速箱齿轮业务、新能源汽车齿轮业务等均呈现良好增长态势；此外，公司持续推动内部降本增效、自主创新等工作，有效提升制造能力，降低单位成本，推动公司业绩稳步增长。2.预计</t>
    </r>
    <r>
      <rPr>
        <sz val="9"/>
        <color rgb="FFFF0000"/>
        <rFont val="宋体"/>
        <family val="3"/>
        <charset val="134"/>
        <scheme val="minor"/>
      </rPr>
      <t>一季报业绩：净利润2.100亿元至2.300亿元，增长幅度为22.75%至34.44%</t>
    </r>
    <r>
      <rPr>
        <sz val="9"/>
        <color theme="1"/>
        <rFont val="宋体"/>
        <family val="2"/>
        <charset val="134"/>
        <scheme val="minor"/>
      </rPr>
      <t>;3.即将拆分的子公司环动科技是从事机器人关节高精密减速器的研发、设计、生产和销售的国家高新技术企业，为客户提供覆盖 3-1000KG 负载机器人所需的高精密减速器整体方案，RV 减速器是环动科技的主要产品，上市</t>
    </r>
    <r>
      <rPr>
        <sz val="9"/>
        <color rgb="FFFF0000"/>
        <rFont val="宋体"/>
        <family val="3"/>
        <charset val="134"/>
        <scheme val="minor"/>
      </rPr>
      <t>短期对原有股东股权有稀释</t>
    </r>
    <r>
      <rPr>
        <sz val="9"/>
        <color theme="1"/>
        <rFont val="宋体"/>
        <family val="2"/>
        <charset val="134"/>
        <scheme val="minor"/>
      </rPr>
      <t>，但长期有利于提高经营效率增大总体利润有帮助；</t>
    </r>
    <phoneticPr fontId="1" type="noConversion"/>
  </si>
  <si>
    <t>67.73万</t>
  </si>
  <si>
    <t>3604.47万</t>
  </si>
  <si>
    <t>1-0</t>
  </si>
  <si>
    <t>公司的主营业务是激光切割控制系统的研发、生产和销售。主要产品包括随动控制系统、板卡控制系统、总线控制系统以及其他相关配套产品。
市值422.74448亿, 利润4.80亿; PE63.56; 平均PE132.31; 平均PEG3.67, PB8.53; ROIC12.5667%; ROE13.0933%; 股利率.3912%; 毛利80.46%; 净利60.98%; 上一年度营收增-1.64%, 利润增-12.73%; 当季营收增35.25%, 利润增51.2%; 过往5年营收增36.05%, 利润增33.88%
Income profile:
其他 1.20亿 29.36% 27.49% 73.92%
板卡系统 1.09亿 26.57% 26.87% 79.85%
随动系统 1.04亿 25.36% 27.44% 85.45%
总线系统 7650.59万 18.71% 18.20% 76.80%</t>
  </si>
  <si>
    <t>588.71万</t>
  </si>
  <si>
    <t>7.04亿</t>
  </si>
  <si>
    <t>3.25亿</t>
  </si>
  <si>
    <t>2.86亿</t>
  </si>
  <si>
    <t>2373.64万</t>
  </si>
  <si>
    <t>4080.09万</t>
  </si>
  <si>
    <t>5268.82万</t>
  </si>
  <si>
    <t>4083453亿</t>
  </si>
  <si>
    <t>65.00万</t>
  </si>
  <si>
    <t>47486024亿</t>
  </si>
  <si>
    <t>2454.88万</t>
  </si>
  <si>
    <t>63904450亿</t>
  </si>
  <si>
    <t>7763.95万</t>
  </si>
  <si>
    <t>372853920亿</t>
  </si>
  <si>
    <t>30.28万</t>
  </si>
  <si>
    <t>4457.16万</t>
  </si>
  <si>
    <t>7706.55万</t>
  </si>
  <si>
    <t>-3994.46万</t>
  </si>
  <si>
    <t>-4006.49万</t>
  </si>
  <si>
    <t>3.02亿</t>
  </si>
  <si>
    <t>4933.03万</t>
  </si>
  <si>
    <t>3473.63万</t>
  </si>
  <si>
    <t>3158.30万</t>
  </si>
  <si>
    <t>3206.01万</t>
  </si>
  <si>
    <t>9203.10万</t>
  </si>
  <si>
    <t xml:space="preserve">
市值24.557149亿, 利润5060.21万; PE37.07; 平均PE57.12; 平均PEG2.87, PB3.49; ROIC5.9267%; ROE6.26%; 股利率0.3909%; 毛利59.33%; 净利16.8833%; 上一年度营收增-6.05%, 利润增-14.39%; 当季营收增18.89%, 利润增-66.73%; 过往5年营收增19.89%, 利润增47.84%
Income profile:
</t>
  </si>
  <si>
    <r>
      <t>1.公司以自主可控的数控技术为核心，将核心技术应用领域不断延伸，形成了“</t>
    </r>
    <r>
      <rPr>
        <sz val="9"/>
        <color rgb="FFFF0000"/>
        <rFont val="宋体"/>
        <family val="3"/>
        <charset val="134"/>
        <scheme val="minor"/>
      </rPr>
      <t>一核三军</t>
    </r>
    <r>
      <rPr>
        <sz val="9"/>
        <color theme="1"/>
        <rFont val="宋体"/>
        <family val="2"/>
        <charset val="134"/>
        <scheme val="minor"/>
      </rPr>
      <t>”的发展战略，即“以数控系统技术为核心，以机床数控系统、工业机器人、新能源汽车配套为三个主体”。2.为了保障国防安全，公司</t>
    </r>
    <r>
      <rPr>
        <b/>
        <sz val="9"/>
        <color rgb="FFFF0000"/>
        <rFont val="宋体"/>
        <family val="3"/>
        <charset val="134"/>
        <scheme val="minor"/>
      </rPr>
      <t>承担了80%的国防军工领域的“换脑工程”项目</t>
    </r>
    <r>
      <rPr>
        <sz val="9"/>
        <color theme="1"/>
        <rFont val="宋体"/>
        <family val="2"/>
        <charset val="134"/>
        <scheme val="minor"/>
      </rPr>
      <t>，并于2019年实现了十大军工集团首次国产数控系统的批量配套。3.教育板块，2021 年大概占我们数控系统业务的 10%-20%。4.基本上已经可以做到</t>
    </r>
    <r>
      <rPr>
        <sz val="9"/>
        <color rgb="FFFF0000"/>
        <rFont val="宋体"/>
        <family val="3"/>
        <charset val="134"/>
        <scheme val="minor"/>
      </rPr>
      <t>供应链全国产化适配</t>
    </r>
    <r>
      <rPr>
        <sz val="9"/>
        <color theme="1"/>
        <rFont val="宋体"/>
        <family val="2"/>
        <charset val="134"/>
        <scheme val="minor"/>
      </rPr>
      <t>，即使是未来面临非常极端各类的环境，我们不会因为这一块去受限.08年受到过美国制裁。</t>
    </r>
    <phoneticPr fontId="1" type="noConversion"/>
  </si>
  <si>
    <r>
      <t>1.：公司于2022年9月26日收到并披露了</t>
    </r>
    <r>
      <rPr>
        <sz val="9"/>
        <color rgb="FFFF0000"/>
        <rFont val="宋体"/>
        <family val="3"/>
        <charset val="134"/>
        <scheme val="minor"/>
      </rPr>
      <t>公司第二大股东武汉华中科大资产管理有限公司</t>
    </r>
    <r>
      <rPr>
        <sz val="9"/>
        <color theme="1"/>
        <rFont val="宋体"/>
        <family val="2"/>
        <charset val="134"/>
        <scheme val="minor"/>
      </rPr>
      <t>股份减持计划，目前该减持计划正在实施中。华科资产的。减持是根据国家政策要求推动高校所属企业体制改革工作的需要，并遵守国家相关规定减持。</t>
    </r>
    <phoneticPr fontId="1" type="noConversion"/>
  </si>
  <si>
    <t>1700.24万</t>
  </si>
  <si>
    <t>3501.16万</t>
  </si>
  <si>
    <t>4-1</t>
  </si>
  <si>
    <t>公司的主营业务为数控系统、机电一体化、电子、计算机、激光、通信等技术的开发、技术服务及产品销售；公司的主要产品为华中8型高档数控系统、工业机器人及智能制造、教育教学方案服务、新能源汽车伺服电机、新能源汽车驱动器、新能源汽车控制器、车身轻量化。
市值67.954342亿, 利润1680.00万; PE183.3; 平均PE289.81; 平均PEG22.28, PB4.22; ROIC3.16%; ROE0.7267%; 股利率0.0585%; 毛利33.7%; 净利0.38%; 上一年度营收增1.77%, 利润增-46.2%; 当季营收增18.84%, 利润增129.15%; 过往5年营收增13.01%, 利润增-1.99%
Income profile:
机器人与智能产线 3.13亿 49.93% 46.84% 25.13%
数控系统与机床 2.83亿 45.13% 53.16% 31.55%</t>
  </si>
  <si>
    <r>
      <t>1.科德数控自 2008 年设立以来，一直集中资源</t>
    </r>
    <r>
      <rPr>
        <b/>
        <sz val="9"/>
        <color rgb="FFFF0000"/>
        <rFont val="宋体"/>
        <family val="3"/>
        <charset val="134"/>
        <scheme val="minor"/>
      </rPr>
      <t>聚焦航空、航天产业的战略</t>
    </r>
    <r>
      <rPr>
        <sz val="9"/>
        <color theme="1"/>
        <rFont val="宋体"/>
        <family val="2"/>
        <charset val="134"/>
        <scheme val="minor"/>
      </rPr>
      <t>刚需进行重点突破;航空航 天领域销售收入 9326 万元，占营收比重为47.07%;2.2025年500台产能目标是根据市场、公司自身发展的情况进行规划的;按200万一台计算，大概10亿营收，按20%净利计算，2025年</t>
    </r>
    <r>
      <rPr>
        <sz val="9"/>
        <color rgb="FFFF0000"/>
        <rFont val="宋体"/>
        <family val="3"/>
        <charset val="134"/>
        <scheme val="minor"/>
      </rPr>
      <t>大概2亿利润</t>
    </r>
    <r>
      <rPr>
        <sz val="9"/>
        <color theme="1"/>
        <rFont val="宋体"/>
        <family val="2"/>
        <charset val="134"/>
        <scheme val="minor"/>
      </rPr>
      <t>，再配合PE计算市值；3.公司自研自制的数控系统对标西门子840D，其功能已达到西门子840D的95.85%；单独售价不到西门子840D平均售价的50%，标准产品平均毛利率在50%以上;4.五轴联动数控机床是解决航天、航空发动机叶轮、叶盘、叶片、船用螺旋桨等</t>
    </r>
    <r>
      <rPr>
        <sz val="9"/>
        <color rgb="FFFF0000"/>
        <rFont val="宋体"/>
        <family val="3"/>
        <charset val="134"/>
        <scheme val="minor"/>
      </rPr>
      <t>关键工业产品切削加工的唯一手段</t>
    </r>
    <r>
      <rPr>
        <sz val="9"/>
        <rFont val="宋体"/>
        <family val="3"/>
        <charset val="134"/>
        <scheme val="minor"/>
      </rPr>
      <t>。5.预计年报业绩：</t>
    </r>
    <r>
      <rPr>
        <sz val="9"/>
        <color rgb="FFFF0000"/>
        <rFont val="宋体"/>
        <family val="3"/>
        <charset val="134"/>
        <scheme val="minor"/>
      </rPr>
      <t>净利润1.000亿元至1.100亿元，增长幅度为65.42%至81.96%</t>
    </r>
    <r>
      <rPr>
        <sz val="9"/>
        <rFont val="宋体"/>
        <family val="3"/>
        <charset val="134"/>
        <scheme val="minor"/>
      </rPr>
      <t>。原因：（一）主营业务影响公司聚焦五轴联动数控机床产品的研发、生产和销售。2023年公司订单快速增长，产品销售多元化，除传统五轴立式加工中心外，本年度五轴卧式铣车复合加工中心销量占比明显提升，市场需求旺盛。新机型高速叶尖磨产品受市场青睐。 　　随着公司经营规模的快速增长，规模效应逐步显现，销售毛利率显著提升，费用率逐步下降，盈利水平提升。故整体净利润及扣除非经常性损益后的净利润同比增速显著，公司经营业绩保持了较好增长。（二）非经常性损益影响2023年上半年公司通过二级市场转让了持有的龙芯中科技术股份有限公司的股票，取得投资收益986.45万元，对当期的净利润有正向的影响。</t>
    </r>
    <phoneticPr fontId="1" type="noConversion"/>
  </si>
  <si>
    <r>
      <t>1.公司目前用户以航空航天业为主，其对高端数控机床产品的定制化要求较高，毛利 率相对也较高。若公司在拓展其他领域下游客户过程中，行业竞争加剧，定制化配置有 所差异，下游客户的结构变化可能使公司毛利率有所波动。若产品售价及原材料采购价 格发生不利变化，公司</t>
    </r>
    <r>
      <rPr>
        <sz val="9"/>
        <color rgb="FFFF0000"/>
        <rFont val="宋体"/>
        <family val="3"/>
        <charset val="134"/>
        <scheme val="minor"/>
      </rPr>
      <t>毛利率存在下降</t>
    </r>
    <r>
      <rPr>
        <sz val="9"/>
        <color theme="1"/>
        <rFont val="宋体"/>
        <family val="2"/>
        <charset val="134"/>
        <scheme val="minor"/>
      </rPr>
      <t>的风险;2.持有龙芯中科0.05%的股份，战略合作，难道后续采用龙芯处理器做数控的控制cpu?</t>
    </r>
    <phoneticPr fontId="1" type="noConversion"/>
  </si>
  <si>
    <t>252.29万</t>
  </si>
  <si>
    <t>902.58万</t>
  </si>
  <si>
    <t>7492.12万</t>
  </si>
  <si>
    <t>公司主要从事高端制造装备产业开展研发、生产、销售及服务，主要产品为系列化五轴立式（含车铣）、五轴卧式（含车铣）、五轴龙门、五轴卧式铣车复合四大通用加工中心和五轴磨削、五轴叶片两大系列化专用机床，以及服务于高端数控机床的高档数控系统，伺服驱动装置，系列化电机，系列化传感产品，电主轴，铣头，转台等。
市值76.219405亿, 利润6045.38万; PE82.94; 平均PE253.27; 平均PEG7.55, PB6.72; ROIC6.3667%; ROE6.7267%; 股利率0%; 毛利43.5767%; 净利23.3533%; 上一年度营收增24.02%, 利润增-17.04%; 当季营收增39.39%, 利润增191.15%; 过往5年营收增33.56%, 利润增-68.61%
Income profile:
高档数控机床 2.33亿 92.03% 93.06% 43.62%
其他 1265.79万 4.99% 3.93% 33.95%
关键功能部件 574.15万 2.26% 2.18% 41.63%
高档数控系统 181.53万 0.72% 0.83% 49.81%</t>
  </si>
  <si>
    <t>1037.45万</t>
  </si>
  <si>
    <t>9.22亿</t>
  </si>
  <si>
    <t>71.36亿</t>
  </si>
  <si>
    <t xml:space="preserve">
市值53.742119亿, 利润2.33亿; PE19.46; 平均PE65.93; 平均PEG3.41, PB1.65; ROIC2.9067%; ROE3.05%; 股利率1.7421%; 毛利25.53%; 净利7.07%; 上一年度营收增3.25%, 利润增83.46%; 当季营收增-23.62%, 利润增-27.51%; 过往5年营收增19.34%, 利润增74.75%
Income profile:
</t>
  </si>
  <si>
    <r>
      <t>1.公司是国内唯一的全系列（5Kg-800Kg）RV减速器产品供应商，特别是在</t>
    </r>
    <r>
      <rPr>
        <sz val="9"/>
        <color rgb="FFFF0000"/>
        <rFont val="宋体"/>
        <family val="3"/>
        <charset val="134"/>
        <scheme val="minor"/>
      </rPr>
      <t>中大规格领域</t>
    </r>
    <r>
      <rPr>
        <sz val="9"/>
        <color theme="1"/>
        <rFont val="宋体"/>
        <family val="2"/>
        <charset val="134"/>
        <scheme val="minor"/>
      </rPr>
      <t>的优势明显。公司的RV减速器目前在技术参数指标上，已经</t>
    </r>
    <r>
      <rPr>
        <b/>
        <sz val="9"/>
        <color rgb="FFFF0000"/>
        <rFont val="宋体"/>
        <family val="3"/>
        <charset val="134"/>
        <scheme val="minor"/>
      </rPr>
      <t>达到与国际品牌相当的水平</t>
    </r>
    <r>
      <rPr>
        <sz val="9"/>
        <color theme="1"/>
        <rFont val="宋体"/>
        <family val="2"/>
        <charset val="134"/>
        <scheme val="minor"/>
      </rPr>
      <t>；2.公司明 确 了 “</t>
    </r>
    <r>
      <rPr>
        <sz val="9"/>
        <color rgb="FFFF0000"/>
        <rFont val="宋体"/>
        <family val="3"/>
        <charset val="134"/>
        <scheme val="minor"/>
      </rPr>
      <t>5221</t>
    </r>
    <r>
      <rPr>
        <sz val="9"/>
        <color theme="1"/>
        <rFont val="宋体"/>
        <family val="2"/>
        <charset val="134"/>
        <scheme val="minor"/>
      </rPr>
      <t>” 发展目标，即到“十四五”末，实现</t>
    </r>
    <r>
      <rPr>
        <sz val="9"/>
        <color rgb="FFFF0000"/>
        <rFont val="宋体"/>
        <family val="3"/>
        <charset val="134"/>
        <scheme val="minor"/>
      </rPr>
      <t>主机板块收入占营业收入的50%，高端制造板块收入占营业收入的 20%，核心零部件板块收入占营业收入的 20%，智能制造板块收入占营业收入的10%</t>
    </r>
    <r>
      <rPr>
        <sz val="9"/>
        <color theme="1"/>
        <rFont val="宋体"/>
        <family val="2"/>
        <charset val="134"/>
        <scheme val="minor"/>
      </rPr>
      <t>。</t>
    </r>
    <r>
      <rPr>
        <sz val="9"/>
        <color theme="1"/>
        <rFont val="宋体"/>
        <family val="3"/>
        <charset val="134"/>
        <scheme val="minor"/>
      </rPr>
      <t>3.公司于 2022 年开启新一轮融资项目，积极布局</t>
    </r>
    <r>
      <rPr>
        <sz val="9"/>
        <color rgb="FFFF0000"/>
        <rFont val="宋体"/>
        <family val="3"/>
        <charset val="134"/>
        <scheme val="minor"/>
      </rPr>
      <t>滚珠丝杠、汽车零部件及刀具</t>
    </r>
    <r>
      <rPr>
        <sz val="9"/>
        <color theme="1"/>
        <rFont val="宋体"/>
        <family val="3"/>
        <charset val="134"/>
        <scheme val="minor"/>
      </rPr>
      <t>产品扩 产。</t>
    </r>
    <phoneticPr fontId="1" type="noConversion"/>
  </si>
  <si>
    <r>
      <t xml:space="preserve">1.2018 年我国低档数控机床国产化率约 82%， 中档数控机床国产化率约 65%， </t>
    </r>
    <r>
      <rPr>
        <sz val="9"/>
        <color rgb="FFFF0000"/>
        <rFont val="宋体"/>
        <family val="3"/>
        <charset val="134"/>
        <scheme val="minor"/>
      </rPr>
      <t>高档数控机床国产化率仅约 6%</t>
    </r>
    <r>
      <rPr>
        <sz val="9"/>
        <color theme="1"/>
        <rFont val="宋体"/>
        <family val="2"/>
        <charset val="134"/>
        <scheme val="minor"/>
      </rPr>
      <t>;2.在国内市场上，中高端滚珠丝杠市场 主要由德国和日本企业占据，</t>
    </r>
    <r>
      <rPr>
        <b/>
        <sz val="9"/>
        <color rgb="FFFF0000"/>
        <rFont val="宋体"/>
        <family val="3"/>
        <charset val="134"/>
        <scheme val="minor"/>
      </rPr>
      <t>THK、NSK、力士乐</t>
    </r>
    <r>
      <rPr>
        <sz val="9"/>
        <color theme="1"/>
        <rFont val="宋体"/>
        <family val="2"/>
        <charset val="134"/>
        <scheme val="minor"/>
      </rPr>
      <t>等国 际企业可以占据高端市场 90%的 市场份额</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</si>
</sst>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sz val="9"/>
      <color theme="1"/>
      <name val="宋体"/>
      <family val="2"/>
      <charset val="134"/>
      <scheme val="minor"/>
    </font>
    <font>
      <b/>
      <sz val="11"/>
      <color theme="1"/>
      <name val="宋体"/>
      <family val="3"/>
      <charset val="134"/>
      <scheme val="minor"/>
    </font>
    <font>
      <b/>
      <sz val="11"/>
      <color rgb="FFFF0000"/>
      <name val="宋体"/>
      <family val="3"/>
      <charset val="134"/>
      <scheme val="minor"/>
    </font>
    <font>
      <sz val="9"/>
      <color theme="1"/>
      <name val="宋体"/>
      <family val="3"/>
      <charset val="134"/>
      <scheme val="minor"/>
    </font>
    <font>
      <b/>
      <i/>
      <sz val="11"/>
      <color rgb="FFFF0000"/>
      <name val="宋体"/>
      <family val="3"/>
      <charset val="134"/>
    </font>
    <font>
      <sz val="11"/>
      <name val="宋体"/>
      <family val="3"/>
      <charset val="134"/>
      <scheme val="minor"/>
    </font>
    <font>
      <sz val="9"/>
      <color rgb="FFFF0000"/>
      <name val="宋体"/>
      <family val="3"/>
      <charset val="134"/>
      <scheme val="minor"/>
    </font>
    <font>
      <b/>
      <sz val="9"/>
      <color rgb="FFFF0000"/>
      <name val="宋体"/>
      <family val="3"/>
      <charset val="134"/>
      <scheme val="minor"/>
    </font>
    <font>
      <sz val="9"/>
      <name val="宋体"/>
      <family val="3"/>
      <charset val="134"/>
      <scheme val="minor"/>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32">
    <xf numFmtId="0" fontId="0" fillId="0" borderId="0" xfId="0">
      <alignment vertical="center"/>
    </xf>
    <xf numFmtId="0" fontId="0" fillId="0" borderId="0" xfId="0" applyFill="1">
      <alignment vertical="center"/>
    </xf>
    <xf numFmtId="0" fontId="0" fillId="2" borderId="0" xfId="0" applyFill="1">
      <alignment vertical="center"/>
    </xf>
    <xf numFmtId="0" fontId="6" fillId="0" borderId="0" xfId="0" applyFont="1" applyAlignment="1">
      <alignment vertical="center" wrapText="1"/>
    </xf>
    <xf numFmtId="10" fontId="0" fillId="0" borderId="0" xfId="0" applyNumberFormat="1">
      <alignment vertical="center"/>
    </xf>
    <xf numFmtId="9" fontId="0" fillId="0" borderId="0" xfId="0" applyNumberFormat="1">
      <alignment vertical="center"/>
    </xf>
    <xf numFmtId="0" fontId="7" fillId="0" borderId="0" xfId="0" applyFont="1" applyFill="1" applyAlignment="1">
      <alignment vertical="center" wrapText="1"/>
    </xf>
    <xf numFmtId="0" fontId="7" fillId="0" borderId="0" xfId="0" applyFont="1" applyAlignment="1">
      <alignment vertical="center" wrapText="1"/>
    </xf>
    <xf numFmtId="0" fontId="8"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8"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7" fillId="0" borderId="0" xfId="0" applyNumberFormat="1" applyFont="1" applyAlignment="1">
      <alignment vertical="center" wrapText="1"/>
    </xf>
    <xf numFmtId="0" fontId="0" fillId="0" borderId="0" xfId="0" applyBorder="1" applyAlignment="1">
      <alignment vertical="center" wrapText="1"/>
    </xf>
    <xf numFmtId="0" fontId="0" fillId="0" borderId="1" xfId="0" applyNumberFormat="1" applyFill="1" applyBorder="1" applyAlignment="1">
      <alignment vertical="center" wrapText="1"/>
    </xf>
    <xf numFmtId="0" fontId="0" fillId="4" borderId="1" xfId="0" applyNumberFormat="1" applyFill="1" applyBorder="1" applyAlignment="1">
      <alignment vertical="center" wrapText="1"/>
    </xf>
    <xf numFmtId="0" fontId="3" fillId="0" borderId="0" xfId="0" applyFont="1">
      <alignment vertical="center"/>
    </xf>
    <xf numFmtId="0" fontId="0" fillId="6" borderId="0" xfId="0" applyFill="1">
      <alignment vertical="center"/>
    </xf>
    <xf numFmtId="0" fontId="0" fillId="7" borderId="0" xfId="0" applyFill="1">
      <alignment vertical="center"/>
    </xf>
    <xf numFmtId="0" fontId="4" fillId="0" borderId="0" xfId="0" applyFont="1">
      <alignment vertical="center"/>
    </xf>
    <xf numFmtId="0" fontId="9" fillId="0" borderId="0" xfId="0" applyFont="1" applyAlignment="1">
      <alignment vertical="center" wrapText="1"/>
    </xf>
    <xf numFmtId="14" fontId="4" fillId="2" borderId="0" xfId="0" applyNumberFormat="1" applyFont="1" applyFill="1" applyBorder="1">
      <alignment vertical="center"/>
    </xf>
    <xf numFmtId="0" fontId="0" fillId="2" borderId="0" xfId="0" applyNumberFormat="1" applyFill="1" applyBorder="1" applyAlignment="1">
      <alignment vertical="center" wrapText="1"/>
    </xf>
    <xf numFmtId="0" fontId="5" fillId="0" borderId="0" xfId="2" applyAlignment="1">
      <alignment vertical="center" wrapText="1"/>
    </xf>
    <xf numFmtId="14" fontId="0" fillId="0" borderId="0" xfId="0" applyNumberFormat="1">
      <alignment vertical="center"/>
    </xf>
    <xf numFmtId="0" fontId="0" fillId="0" borderId="0" xfId="0" applyNumberFormat="1">
      <alignment vertical="center"/>
    </xf>
    <xf numFmtId="0" fontId="11" fillId="0" borderId="0" xfId="2" applyFont="1" applyAlignment="1">
      <alignment horizontal="center" vertical="center" wrapText="1"/>
    </xf>
    <xf numFmtId="0" fontId="0" fillId="0" borderId="0" xfId="0" applyAlignment="1">
      <alignment horizontal="center" vertical="center"/>
    </xf>
    <xf numFmtId="0" fontId="5" fillId="0" borderId="0" xfId="2" applyAlignment="1">
      <alignment horizontal="center" vertical="center" wrapText="1"/>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8.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41985" name="Button 1" hidden="1">
              <a:extLst>
                <a:ext uri="{63B3BB69-23CF-44E3-9099-C40C66FF867C}">
                  <a14:compatExt spid="_x0000_s4198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9698" name="Button 2" hidden="1">
              <a:extLst>
                <a:ext uri="{63B3BB69-23CF-44E3-9099-C40C66FF867C}">
                  <a14:compatExt spid="_x0000_s2969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50800</xdr:colOff>
          <xdr:row>37</xdr:row>
          <xdr:rowOff>50800</xdr:rowOff>
        </xdr:from>
        <xdr:to>
          <xdr:col>15</xdr:col>
          <xdr:colOff>546100</xdr:colOff>
          <xdr:row>59</xdr:row>
          <xdr:rowOff>88900</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101600</xdr:colOff>
          <xdr:row>1</xdr:row>
          <xdr:rowOff>38100</xdr:rowOff>
        </xdr:from>
        <xdr:to>
          <xdr:col>25</xdr:col>
          <xdr:colOff>463550</xdr:colOff>
          <xdr:row>36</xdr:row>
          <xdr:rowOff>101600</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165100</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26426;&#22120;&#20154;&#21033;&#22522;.docx"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hyperlink" Target="&#26426;&#22120;&#20154;&#21033;&#22522;.docx" TargetMode="Externa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26426;&#22120;&#20154;&#21033;&#22522;.docx" TargetMode="Externa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hyperlink" Target="&#25968;&#25511;&#26426;&#24202;&#21033;&#22522;.docx" TargetMode="Externa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hyperlink" Target="&#25968;&#25511;&#26426;&#24202;&#21033;&#22522;.docx" TargetMode="Externa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hyperlink" Target="&#25968;&#25511;&#26426;&#24202;&#21033;&#22522;.docx" TargetMode="Externa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8.vml"/><Relationship Id="rId7" Type="http://schemas.openxmlformats.org/officeDocument/2006/relationships/image" Target="../media/image2.emf"/><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Q7"/>
  <sheetViews>
    <sheetView zoomScale="85" zoomScaleNormal="85" workbookViewId="0">
      <pane xSplit="6" ySplit="2" topLeftCell="G5" activePane="bottomRight" state="frozen"/>
      <selection pane="topRight" activeCell="G1" sqref="G1"/>
      <selection pane="bottomLeft" activeCell="A3" sqref="A3"/>
      <selection pane="bottomRight" activeCell="D7" sqref="D7"/>
    </sheetView>
  </sheetViews>
  <sheetFormatPr defaultRowHeight="14" x14ac:dyDescent="0.25"/>
  <cols>
    <col min="1" max="1" width="20.54296875" customWidth="1"/>
    <col min="2" max="2" width="38.81640625" customWidth="1"/>
    <col min="3" max="3" width="42.1796875" customWidth="1"/>
    <col min="4" max="4" width="52.54296875" customWidth="1"/>
    <col min="10" max="10" width="10.54296875" customWidth="1"/>
  </cols>
  <sheetData>
    <row r="1" spans="1:147" x14ac:dyDescent="0.25">
      <c r="A1" s="16" t="s">
        <v>63</v>
      </c>
      <c r="B1" s="17" t="s">
        <v>8</v>
      </c>
      <c r="C1" s="18" t="s">
        <v>9</v>
      </c>
      <c r="D1" s="17" t="s">
        <v>112</v>
      </c>
      <c r="E1" t="s">
        <v>2</v>
      </c>
      <c r="F1" t="s">
        <v>3</v>
      </c>
      <c r="G1" t="s">
        <v>0</v>
      </c>
      <c r="H1" t="s">
        <v>133</v>
      </c>
      <c r="I1" t="s">
        <v>151</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134</v>
      </c>
      <c r="AD1" t="s">
        <v>25</v>
      </c>
      <c r="AE1" t="s">
        <v>26</v>
      </c>
      <c r="AF1" t="s">
        <v>27</v>
      </c>
      <c r="AG1" t="s">
        <v>28</v>
      </c>
      <c r="AH1" t="s">
        <v>135</v>
      </c>
      <c r="AI1" t="s">
        <v>152</v>
      </c>
      <c r="AJ1" t="s">
        <v>136</v>
      </c>
      <c r="AK1" t="s">
        <v>29</v>
      </c>
      <c r="AL1" t="s">
        <v>137</v>
      </c>
      <c r="AM1" t="s">
        <v>64</v>
      </c>
      <c r="AN1" t="s">
        <v>138</v>
      </c>
      <c r="AO1" t="s">
        <v>139</v>
      </c>
      <c r="AP1" t="s">
        <v>140</v>
      </c>
      <c r="AQ1" t="s">
        <v>141</v>
      </c>
      <c r="AR1" t="s">
        <v>142</v>
      </c>
      <c r="AS1" t="s">
        <v>143</v>
      </c>
      <c r="AT1" t="s">
        <v>144</v>
      </c>
      <c r="AU1" t="s">
        <v>145</v>
      </c>
      <c r="AV1" t="s">
        <v>146</v>
      </c>
      <c r="AW1" t="s">
        <v>147</v>
      </c>
      <c r="AX1" t="s">
        <v>148</v>
      </c>
      <c r="AY1" t="s">
        <v>65</v>
      </c>
      <c r="AZ1" t="s">
        <v>66</v>
      </c>
      <c r="BA1" t="s">
        <v>67</v>
      </c>
      <c r="BB1" t="s">
        <v>68</v>
      </c>
      <c r="BC1" t="s">
        <v>69</v>
      </c>
      <c r="BD1" t="s">
        <v>70</v>
      </c>
      <c r="BE1" t="s">
        <v>71</v>
      </c>
      <c r="BF1" t="s">
        <v>72</v>
      </c>
      <c r="BG1" t="s">
        <v>73</v>
      </c>
      <c r="BH1" t="s">
        <v>74</v>
      </c>
      <c r="BI1" t="s">
        <v>127</v>
      </c>
      <c r="BJ1" t="s">
        <v>128</v>
      </c>
      <c r="BK1" t="s">
        <v>129</v>
      </c>
      <c r="BL1" t="s">
        <v>130</v>
      </c>
      <c r="BM1" t="s">
        <v>131</v>
      </c>
      <c r="BN1" t="s">
        <v>132</v>
      </c>
      <c r="BO1" t="s">
        <v>149</v>
      </c>
      <c r="BP1" t="s">
        <v>75</v>
      </c>
      <c r="BQ1" t="s">
        <v>76</v>
      </c>
      <c r="BR1" t="s">
        <v>77</v>
      </c>
      <c r="BS1" t="s">
        <v>150</v>
      </c>
      <c r="BT1" t="s">
        <v>78</v>
      </c>
      <c r="BU1" t="s">
        <v>79</v>
      </c>
      <c r="BV1" t="s">
        <v>80</v>
      </c>
      <c r="BW1" t="s">
        <v>81</v>
      </c>
      <c r="BX1" t="s">
        <v>81</v>
      </c>
      <c r="BY1" t="s">
        <v>82</v>
      </c>
      <c r="BZ1" t="s">
        <v>83</v>
      </c>
      <c r="CA1" t="s">
        <v>83</v>
      </c>
      <c r="CB1" t="s">
        <v>84</v>
      </c>
      <c r="CC1" t="s">
        <v>153</v>
      </c>
      <c r="CD1" t="s">
        <v>154</v>
      </c>
      <c r="CE1" t="s">
        <v>155</v>
      </c>
      <c r="CF1" t="s">
        <v>156</v>
      </c>
      <c r="CG1" s="1" t="s">
        <v>85</v>
      </c>
      <c r="CH1" s="1" t="s">
        <v>86</v>
      </c>
      <c r="CI1" s="1" t="s">
        <v>87</v>
      </c>
      <c r="CJ1" s="1" t="s">
        <v>88</v>
      </c>
      <c r="CK1" s="1" t="s">
        <v>89</v>
      </c>
      <c r="CL1" s="1" t="s">
        <v>90</v>
      </c>
      <c r="CM1" s="1" t="s">
        <v>91</v>
      </c>
      <c r="CN1" s="1" t="s">
        <v>92</v>
      </c>
      <c r="CO1" s="1" t="s">
        <v>93</v>
      </c>
      <c r="CP1" s="1" t="s">
        <v>94</v>
      </c>
      <c r="CQ1" s="1" t="s">
        <v>95</v>
      </c>
      <c r="CR1" s="1" t="s">
        <v>96</v>
      </c>
      <c r="CS1" s="1" t="s">
        <v>113</v>
      </c>
      <c r="CT1" s="1" t="s">
        <v>97</v>
      </c>
      <c r="CU1" s="1" t="s">
        <v>98</v>
      </c>
      <c r="CV1" s="1" t="s">
        <v>51</v>
      </c>
      <c r="CW1">
        <v>1</v>
      </c>
      <c r="CX1" t="s">
        <v>99</v>
      </c>
      <c r="CY1" t="s">
        <v>114</v>
      </c>
      <c r="CZ1">
        <v>3</v>
      </c>
      <c r="DA1" t="s">
        <v>115</v>
      </c>
      <c r="DB1" t="s">
        <v>116</v>
      </c>
      <c r="DC1">
        <v>6</v>
      </c>
      <c r="DD1" t="s">
        <v>100</v>
      </c>
      <c r="DE1" t="s">
        <v>101</v>
      </c>
      <c r="DF1">
        <v>10</v>
      </c>
      <c r="DG1" t="s">
        <v>102</v>
      </c>
      <c r="DH1" t="s">
        <v>103</v>
      </c>
      <c r="DI1">
        <v>20</v>
      </c>
      <c r="DJ1" t="s">
        <v>117</v>
      </c>
      <c r="DK1" t="s">
        <v>104</v>
      </c>
      <c r="DL1" t="s">
        <v>105</v>
      </c>
      <c r="DM1" s="2" t="s">
        <v>106</v>
      </c>
      <c r="DN1" t="s">
        <v>118</v>
      </c>
      <c r="DO1" t="s">
        <v>107</v>
      </c>
      <c r="DP1" s="1" t="s">
        <v>119</v>
      </c>
      <c r="DQ1" s="1" t="s">
        <v>120</v>
      </c>
      <c r="DR1" s="1" t="s">
        <v>121</v>
      </c>
      <c r="DS1" t="s">
        <v>122</v>
      </c>
      <c r="DT1" t="s">
        <v>108</v>
      </c>
      <c r="DU1" t="s">
        <v>109</v>
      </c>
      <c r="DV1" t="s">
        <v>123</v>
      </c>
      <c r="DW1" t="s">
        <v>124</v>
      </c>
      <c r="DX1" t="s">
        <v>125</v>
      </c>
      <c r="DY1" t="s">
        <v>126</v>
      </c>
      <c r="DZ1" t="s">
        <v>110</v>
      </c>
      <c r="EA1" t="s">
        <v>111</v>
      </c>
    </row>
    <row r="2" spans="1:147" ht="53.5" customHeight="1" x14ac:dyDescent="0.25">
      <c r="A2" s="26" t="s">
        <v>157</v>
      </c>
      <c r="B2" s="24"/>
      <c r="C2" s="25">
        <v>3</v>
      </c>
      <c r="D2" s="25">
        <v>7</v>
      </c>
      <c r="T2" s="4"/>
      <c r="CG2" s="1"/>
      <c r="CH2" s="1"/>
      <c r="CI2" s="1"/>
      <c r="CJ2" s="1"/>
      <c r="CK2" s="1"/>
      <c r="CL2" s="1"/>
      <c r="CM2" s="1"/>
      <c r="CN2" s="1"/>
      <c r="CO2" s="1"/>
      <c r="CP2" s="1"/>
      <c r="CQ2" s="1"/>
      <c r="CR2" s="1"/>
      <c r="CS2" s="1"/>
      <c r="CT2" s="1"/>
      <c r="CU2" s="1"/>
      <c r="CV2" s="1"/>
      <c r="DM2" s="2"/>
      <c r="DP2" s="1"/>
      <c r="DQ2" s="1"/>
      <c r="DR2" s="1"/>
    </row>
    <row r="3" spans="1:147" ht="156" x14ac:dyDescent="0.25">
      <c r="A3" s="29" t="s">
        <v>274</v>
      </c>
      <c r="B3" s="3"/>
      <c r="C3" s="3" t="s">
        <v>1081</v>
      </c>
      <c r="D3" s="3" t="s">
        <v>1489</v>
      </c>
      <c r="E3" t="s">
        <v>321</v>
      </c>
      <c r="F3" t="s">
        <v>322</v>
      </c>
      <c r="G3">
        <v>16.63</v>
      </c>
      <c r="H3">
        <v>6.19</v>
      </c>
      <c r="I3" t="s">
        <v>1487</v>
      </c>
      <c r="J3">
        <v>5089991300</v>
      </c>
      <c r="L3">
        <v>3.97</v>
      </c>
      <c r="M3" t="s">
        <v>278</v>
      </c>
      <c r="N3" t="s">
        <v>316</v>
      </c>
      <c r="O3" t="s">
        <v>733</v>
      </c>
      <c r="P3" t="s">
        <v>734</v>
      </c>
      <c r="Q3">
        <v>-4.12</v>
      </c>
      <c r="R3" t="s">
        <v>697</v>
      </c>
      <c r="S3">
        <v>-29948724</v>
      </c>
      <c r="T3" s="4">
        <v>-1.8819999999999999</v>
      </c>
      <c r="U3" t="s">
        <v>698</v>
      </c>
      <c r="V3">
        <v>210679730</v>
      </c>
      <c r="W3">
        <v>306072840</v>
      </c>
      <c r="X3">
        <v>2.04</v>
      </c>
      <c r="Y3">
        <v>0.26</v>
      </c>
      <c r="Z3">
        <v>-4.26</v>
      </c>
      <c r="AA3" t="s">
        <v>666</v>
      </c>
      <c r="AB3" t="s">
        <v>735</v>
      </c>
      <c r="AC3" t="s">
        <v>736</v>
      </c>
      <c r="AD3" t="s">
        <v>737</v>
      </c>
      <c r="AE3" t="s">
        <v>699</v>
      </c>
      <c r="AF3">
        <v>31251353</v>
      </c>
      <c r="AG3" t="s">
        <v>394</v>
      </c>
      <c r="AH3" t="s">
        <v>738</v>
      </c>
      <c r="AI3" t="s">
        <v>739</v>
      </c>
      <c r="AJ3" t="s">
        <v>740</v>
      </c>
      <c r="AK3" t="s">
        <v>741</v>
      </c>
      <c r="AL3" t="s">
        <v>742</v>
      </c>
      <c r="AM3" t="s">
        <v>743</v>
      </c>
      <c r="AN3" t="s">
        <v>7</v>
      </c>
      <c r="AO3" t="s">
        <v>744</v>
      </c>
      <c r="AP3" t="s">
        <v>745</v>
      </c>
      <c r="AQ3" t="s">
        <v>746</v>
      </c>
      <c r="AR3" t="s">
        <v>747</v>
      </c>
      <c r="AS3" t="s">
        <v>7</v>
      </c>
      <c r="AT3" t="s">
        <v>748</v>
      </c>
      <c r="AU3" t="s">
        <v>563</v>
      </c>
      <c r="AV3" t="s">
        <v>749</v>
      </c>
      <c r="AW3" t="s">
        <v>294</v>
      </c>
      <c r="AX3" t="s">
        <v>750</v>
      </c>
      <c r="AY3" t="s">
        <v>393</v>
      </c>
      <c r="AZ3" t="s">
        <v>396</v>
      </c>
      <c r="BA3" t="s">
        <v>397</v>
      </c>
      <c r="BB3" t="s">
        <v>398</v>
      </c>
      <c r="BC3" t="s">
        <v>399</v>
      </c>
      <c r="BD3" t="s">
        <v>372</v>
      </c>
      <c r="BE3" t="s">
        <v>400</v>
      </c>
      <c r="BF3" t="s">
        <v>401</v>
      </c>
      <c r="BG3" t="s">
        <v>402</v>
      </c>
      <c r="BH3" t="s">
        <v>403</v>
      </c>
      <c r="BI3" t="s">
        <v>696</v>
      </c>
      <c r="BJ3" t="s">
        <v>751</v>
      </c>
      <c r="BK3" t="s">
        <v>616</v>
      </c>
      <c r="BL3" t="s">
        <v>752</v>
      </c>
      <c r="BM3" t="s">
        <v>753</v>
      </c>
      <c r="BN3" t="s">
        <v>617</v>
      </c>
      <c r="BO3" t="s">
        <v>7</v>
      </c>
      <c r="BP3">
        <v>9.5299999999999994</v>
      </c>
      <c r="BQ3">
        <v>7.26</v>
      </c>
      <c r="BR3">
        <v>-0.94</v>
      </c>
      <c r="BS3">
        <v>11.99</v>
      </c>
      <c r="BT3">
        <v>8.0500000000000007</v>
      </c>
      <c r="BU3" t="s">
        <v>651</v>
      </c>
      <c r="BV3" t="s">
        <v>404</v>
      </c>
      <c r="BW3">
        <v>34.86</v>
      </c>
      <c r="BX3">
        <v>44.76</v>
      </c>
      <c r="BY3">
        <v>44.95</v>
      </c>
      <c r="BZ3">
        <v>-3.16</v>
      </c>
      <c r="CA3">
        <v>12.79</v>
      </c>
      <c r="CB3">
        <v>9.16</v>
      </c>
      <c r="CC3">
        <v>2.38</v>
      </c>
      <c r="CD3">
        <v>-14.55</v>
      </c>
      <c r="CE3" t="s">
        <v>1488</v>
      </c>
      <c r="CF3" t="s">
        <v>414</v>
      </c>
      <c r="CG3" s="20">
        <v>8.6206896551724137E-3</v>
      </c>
      <c r="CH3" s="21">
        <v>-13.369504788409593</v>
      </c>
      <c r="CI3" s="20">
        <v>-0.13421052694320679</v>
      </c>
      <c r="CJ3" s="20">
        <v>0.30434781312942505</v>
      </c>
      <c r="CK3" s="20">
        <v>1.4829545021057129</v>
      </c>
      <c r="CL3" s="20">
        <v>-0.2380952388048172</v>
      </c>
      <c r="CM3" s="20">
        <v>3.5874441266059875E-2</v>
      </c>
      <c r="CN3" s="21">
        <v>-0.84092926979064941</v>
      </c>
      <c r="CO3" s="21">
        <v>0.87579053640365601</v>
      </c>
      <c r="CP3" s="21">
        <v>1.4815174341201782</v>
      </c>
      <c r="CQ3" s="21">
        <v>-4.0556864738464355</v>
      </c>
      <c r="CR3" s="21">
        <v>-0.3260018527507782</v>
      </c>
      <c r="CS3">
        <v>146.90422059337092</v>
      </c>
      <c r="CT3">
        <v>5.0626217468553234</v>
      </c>
      <c r="CU3">
        <v>0</v>
      </c>
      <c r="CV3" s="20">
        <v>0.29017419815063478</v>
      </c>
      <c r="CW3" s="21">
        <v>-0.57306192517280574</v>
      </c>
      <c r="CX3">
        <v>0.06</v>
      </c>
      <c r="CY3">
        <v>189.8489911695014</v>
      </c>
      <c r="CZ3">
        <v>27105707.901315864</v>
      </c>
      <c r="DA3">
        <v>0.29017419815063478</v>
      </c>
      <c r="DB3">
        <v>52.579508270669365</v>
      </c>
      <c r="DC3">
        <v>97870662.34072426</v>
      </c>
      <c r="DD3">
        <v>0.27566548824310305</v>
      </c>
      <c r="DE3">
        <v>20.442111015961878</v>
      </c>
      <c r="DF3">
        <v>251734827.97260222</v>
      </c>
      <c r="DG3">
        <v>0.2553532943725586</v>
      </c>
      <c r="DH3">
        <v>9.2147280730404866</v>
      </c>
      <c r="DI3">
        <v>558452865.8046478</v>
      </c>
      <c r="DJ3">
        <v>0.23213935852050782</v>
      </c>
      <c r="DK3">
        <v>2.3714267667185354</v>
      </c>
      <c r="DL3">
        <v>2169997982.7421665</v>
      </c>
      <c r="DM3">
        <v>0.20312193870544434</v>
      </c>
      <c r="DN3">
        <v>22269899.999999996</v>
      </c>
      <c r="DO3">
        <v>0.29017419815063478</v>
      </c>
      <c r="DP3">
        <v>5145991300</v>
      </c>
      <c r="DQ3">
        <v>380225090</v>
      </c>
      <c r="DR3">
        <v>1981</v>
      </c>
      <c r="DS3">
        <v>-0.28155350849546235</v>
      </c>
      <c r="DT3">
        <v>-12.796442863236788</v>
      </c>
      <c r="DU3" s="22">
        <v>-0.13999999999999999</v>
      </c>
      <c r="DV3">
        <v>-1.415</v>
      </c>
      <c r="DW3">
        <v>-1.5549999999999999</v>
      </c>
      <c r="DX3">
        <v>-2.1455000000000002</v>
      </c>
      <c r="DY3">
        <v>-3.0135314009661873</v>
      </c>
      <c r="DZ3">
        <v>-2.0140361811594203</v>
      </c>
      <c r="EA3">
        <v>4250</v>
      </c>
      <c r="EB3">
        <v>-2.0023713845369064</v>
      </c>
      <c r="EC3">
        <v>2</v>
      </c>
      <c r="ED3">
        <v>6.5242639627874202E-2</v>
      </c>
      <c r="EE3">
        <v>0.67630960002854212</v>
      </c>
      <c r="EF3" s="19">
        <v>6.0718100000000002</v>
      </c>
      <c r="EG3">
        <v>6.0099099999999996</v>
      </c>
      <c r="EH3">
        <v>-211.90353140096619</v>
      </c>
      <c r="EI3" t="s">
        <v>1067</v>
      </c>
      <c r="EJ3">
        <v>0</v>
      </c>
      <c r="EK3">
        <v>0</v>
      </c>
      <c r="EL3" s="27">
        <v>45357</v>
      </c>
      <c r="EM3" s="28">
        <v>7.0000000000000007E-2</v>
      </c>
      <c r="EN3" s="28">
        <v>2.16</v>
      </c>
      <c r="EO3" s="28">
        <v>4.29</v>
      </c>
      <c r="EP3" s="28">
        <v>-3.81</v>
      </c>
      <c r="EQ3" s="28">
        <v>6.19</v>
      </c>
    </row>
    <row r="4" spans="1:147" ht="201" customHeight="1" x14ac:dyDescent="0.25">
      <c r="A4" s="29"/>
      <c r="B4" s="3" t="s">
        <v>1505</v>
      </c>
      <c r="C4" s="3" t="s">
        <v>1506</v>
      </c>
      <c r="D4" s="3" t="s">
        <v>1492</v>
      </c>
      <c r="E4" t="s">
        <v>323</v>
      </c>
      <c r="F4" t="s">
        <v>324</v>
      </c>
      <c r="G4">
        <v>9.98</v>
      </c>
      <c r="H4">
        <v>5.61</v>
      </c>
      <c r="I4" t="s">
        <v>1490</v>
      </c>
      <c r="J4">
        <v>10078632700</v>
      </c>
      <c r="K4">
        <v>65.28</v>
      </c>
      <c r="L4">
        <v>2.11</v>
      </c>
      <c r="M4" t="s">
        <v>278</v>
      </c>
      <c r="N4" t="s">
        <v>754</v>
      </c>
      <c r="O4" t="s">
        <v>755</v>
      </c>
      <c r="P4" t="s">
        <v>756</v>
      </c>
      <c r="Q4">
        <v>-8.6300000000000008</v>
      </c>
      <c r="R4" t="s">
        <v>700</v>
      </c>
      <c r="S4">
        <v>85511371</v>
      </c>
      <c r="T4" s="4">
        <v>-0.58520000000000005</v>
      </c>
      <c r="U4" t="s">
        <v>701</v>
      </c>
      <c r="V4">
        <v>693283160</v>
      </c>
      <c r="W4">
        <v>1009883040</v>
      </c>
      <c r="X4">
        <v>1.84</v>
      </c>
      <c r="Y4">
        <v>0.31</v>
      </c>
      <c r="Z4">
        <v>3.47</v>
      </c>
      <c r="AA4" t="s">
        <v>757</v>
      </c>
      <c r="AB4" t="s">
        <v>758</v>
      </c>
      <c r="AC4" t="s">
        <v>227</v>
      </c>
      <c r="AD4" t="s">
        <v>759</v>
      </c>
      <c r="AE4" t="s">
        <v>305</v>
      </c>
      <c r="AF4">
        <v>4951435</v>
      </c>
      <c r="AG4" t="s">
        <v>760</v>
      </c>
      <c r="AH4" t="s">
        <v>761</v>
      </c>
      <c r="AI4" t="s">
        <v>762</v>
      </c>
      <c r="AJ4" t="s">
        <v>763</v>
      </c>
      <c r="AK4" t="s">
        <v>764</v>
      </c>
      <c r="AL4" t="s">
        <v>765</v>
      </c>
      <c r="AM4" t="s">
        <v>766</v>
      </c>
      <c r="AN4" t="s">
        <v>7</v>
      </c>
      <c r="AO4" t="s">
        <v>559</v>
      </c>
      <c r="AP4" t="s">
        <v>644</v>
      </c>
      <c r="AQ4" t="s">
        <v>767</v>
      </c>
      <c r="AR4" t="s">
        <v>768</v>
      </c>
      <c r="AS4" t="s">
        <v>769</v>
      </c>
      <c r="AT4" t="s">
        <v>770</v>
      </c>
      <c r="AU4" t="s">
        <v>671</v>
      </c>
      <c r="AV4" t="s">
        <v>771</v>
      </c>
      <c r="AW4" t="s">
        <v>772</v>
      </c>
      <c r="AX4" t="s">
        <v>773</v>
      </c>
      <c r="AY4" t="s">
        <v>405</v>
      </c>
      <c r="AZ4" t="s">
        <v>408</v>
      </c>
      <c r="BA4" t="s">
        <v>409</v>
      </c>
      <c r="BB4" t="s">
        <v>410</v>
      </c>
      <c r="BC4" t="s">
        <v>411</v>
      </c>
      <c r="BD4" t="s">
        <v>306</v>
      </c>
      <c r="BE4" t="s">
        <v>317</v>
      </c>
      <c r="BF4" t="s">
        <v>257</v>
      </c>
      <c r="BG4" t="s">
        <v>412</v>
      </c>
      <c r="BH4" t="s">
        <v>413</v>
      </c>
      <c r="BI4" t="s">
        <v>674</v>
      </c>
      <c r="BJ4" t="s">
        <v>774</v>
      </c>
      <c r="BK4" t="s">
        <v>618</v>
      </c>
      <c r="BL4" t="s">
        <v>775</v>
      </c>
      <c r="BM4" t="s">
        <v>596</v>
      </c>
      <c r="BN4" t="s">
        <v>461</v>
      </c>
      <c r="BO4">
        <v>1.21</v>
      </c>
      <c r="BP4">
        <v>6.45</v>
      </c>
      <c r="BQ4">
        <v>4.3</v>
      </c>
      <c r="BR4">
        <v>1.64</v>
      </c>
      <c r="BS4">
        <v>11.26</v>
      </c>
      <c r="BT4">
        <v>7.17</v>
      </c>
      <c r="BU4" t="s">
        <v>651</v>
      </c>
      <c r="BV4" t="s">
        <v>368</v>
      </c>
      <c r="BW4">
        <v>18.34</v>
      </c>
      <c r="BX4">
        <v>18.52</v>
      </c>
      <c r="BY4">
        <v>20.2</v>
      </c>
      <c r="BZ4">
        <v>4.51</v>
      </c>
      <c r="CA4">
        <v>6.5</v>
      </c>
      <c r="CB4">
        <v>5.08</v>
      </c>
      <c r="CC4">
        <v>4.2699999999999996</v>
      </c>
      <c r="CD4">
        <v>12.93</v>
      </c>
      <c r="CE4" t="s">
        <v>1491</v>
      </c>
      <c r="CF4" t="s">
        <v>1246</v>
      </c>
      <c r="CG4" s="20">
        <v>-0.10762800417972831</v>
      </c>
      <c r="CH4" s="21">
        <v>-0.90248457999999998</v>
      </c>
      <c r="CI4" s="20">
        <v>-0.18824233114719391</v>
      </c>
      <c r="CJ4" s="20">
        <v>0.23369967937469482</v>
      </c>
      <c r="CK4" s="20">
        <v>0.29383891820907593</v>
      </c>
      <c r="CL4" s="20">
        <v>-7.214574608951807E-3</v>
      </c>
      <c r="CM4" s="20">
        <v>6.2666669487953186E-2</v>
      </c>
      <c r="CN4" s="21">
        <v>-2.1352313458919525E-2</v>
      </c>
      <c r="CO4" s="21">
        <v>0.83660131692886353</v>
      </c>
      <c r="CP4" s="21">
        <v>1.5134228467941284</v>
      </c>
      <c r="CQ4" s="21">
        <v>-6.4285717904567719E-2</v>
      </c>
      <c r="CR4" s="21">
        <v>-18.016105651855469</v>
      </c>
      <c r="CS4">
        <v>410.10339561222071</v>
      </c>
      <c r="CT4">
        <v>51.94491425442132</v>
      </c>
      <c r="CU4">
        <v>0</v>
      </c>
      <c r="CV4" s="20">
        <v>7.8949672263115639E-2</v>
      </c>
      <c r="CW4" s="21">
        <v>-3.1503439038991927</v>
      </c>
      <c r="CX4">
        <v>0.06</v>
      </c>
      <c r="CY4">
        <v>32.901393618627765</v>
      </c>
      <c r="CZ4">
        <v>279916188.5588271</v>
      </c>
      <c r="DA4">
        <v>7.8949672263115639E-2</v>
      </c>
      <c r="DB4">
        <v>10.853074973089271</v>
      </c>
      <c r="DC4">
        <v>848573581.48135281</v>
      </c>
      <c r="DD4">
        <v>7.5002188649959847E-2</v>
      </c>
      <c r="DE4">
        <v>5.4097910541604266</v>
      </c>
      <c r="DF4">
        <v>1702400815.0771899</v>
      </c>
      <c r="DG4">
        <v>6.9475711591541769E-2</v>
      </c>
      <c r="DH4">
        <v>3.294459223701065</v>
      </c>
      <c r="DI4">
        <v>2795491482.7125115</v>
      </c>
      <c r="DJ4">
        <v>6.3159737810492514E-2</v>
      </c>
      <c r="DK4">
        <v>1.7544919019738627</v>
      </c>
      <c r="DL4">
        <v>5249173672.2402945</v>
      </c>
      <c r="DM4">
        <v>5.5264770584180944E-2</v>
      </c>
      <c r="DN4">
        <v>275000000</v>
      </c>
      <c r="DO4">
        <v>7.8949672263115639E-2</v>
      </c>
      <c r="DP4">
        <v>9209632700</v>
      </c>
      <c r="DQ4">
        <v>2482270200</v>
      </c>
      <c r="DR4">
        <v>321</v>
      </c>
      <c r="DS4">
        <v>-0.18657767644284395</v>
      </c>
      <c r="DT4">
        <v>2.2478593238991929</v>
      </c>
      <c r="DU4" s="22">
        <v>-0.32333333333333331</v>
      </c>
      <c r="DV4">
        <v>-0.90666666666666662</v>
      </c>
      <c r="DW4">
        <v>-1.23</v>
      </c>
      <c r="DX4">
        <v>8.3302397525135348</v>
      </c>
      <c r="DY4">
        <v>-2.9645281954887115</v>
      </c>
      <c r="DZ4">
        <v>8.0480405727195024</v>
      </c>
      <c r="EA4">
        <v>4018</v>
      </c>
      <c r="EB4">
        <v>8.0102957504303038</v>
      </c>
      <c r="EC4">
        <v>8</v>
      </c>
      <c r="ED4">
        <v>3.8316813400490417E-2</v>
      </c>
      <c r="EE4">
        <v>0.26339683850914064</v>
      </c>
      <c r="EF4" s="19">
        <v>-2.0136099999999999</v>
      </c>
      <c r="EG4">
        <v>-2.0425</v>
      </c>
      <c r="EH4">
        <v>-211.85452819548871</v>
      </c>
      <c r="EI4" t="s">
        <v>1072</v>
      </c>
      <c r="EJ4">
        <v>0</v>
      </c>
      <c r="EK4">
        <v>0</v>
      </c>
      <c r="EL4" s="27">
        <v>45357</v>
      </c>
      <c r="EM4" s="28">
        <v>8.5699999999999998E-2</v>
      </c>
      <c r="EN4" s="28">
        <v>4.32</v>
      </c>
      <c r="EO4" s="28">
        <v>-1.92</v>
      </c>
      <c r="EP4" s="28">
        <v>-2.78</v>
      </c>
      <c r="EQ4" s="28">
        <v>5.61</v>
      </c>
    </row>
    <row r="5" spans="1:147" ht="180" x14ac:dyDescent="0.25">
      <c r="A5" s="29"/>
      <c r="B5" s="3" t="s">
        <v>1507</v>
      </c>
      <c r="C5" s="3" t="s">
        <v>1508</v>
      </c>
      <c r="D5" s="3" t="s">
        <v>1509</v>
      </c>
      <c r="E5" t="s">
        <v>276</v>
      </c>
      <c r="F5" t="s">
        <v>277</v>
      </c>
      <c r="G5">
        <v>34.21</v>
      </c>
      <c r="H5">
        <v>3.2</v>
      </c>
      <c r="I5" t="s">
        <v>1493</v>
      </c>
      <c r="J5">
        <v>5171569700</v>
      </c>
      <c r="K5">
        <v>63.79</v>
      </c>
      <c r="L5">
        <v>4.72</v>
      </c>
      <c r="M5" t="s">
        <v>278</v>
      </c>
      <c r="N5" t="s">
        <v>525</v>
      </c>
      <c r="O5" t="s">
        <v>776</v>
      </c>
      <c r="P5" t="s">
        <v>777</v>
      </c>
      <c r="Q5">
        <v>22.86</v>
      </c>
      <c r="R5" t="s">
        <v>704</v>
      </c>
      <c r="S5">
        <v>57324591</v>
      </c>
      <c r="T5" s="4">
        <v>0.3453</v>
      </c>
      <c r="U5" t="s">
        <v>705</v>
      </c>
      <c r="V5">
        <v>151171290</v>
      </c>
      <c r="W5">
        <v>151171290</v>
      </c>
      <c r="X5">
        <v>1.42</v>
      </c>
      <c r="Y5">
        <v>0.54</v>
      </c>
      <c r="Z5">
        <v>6.97</v>
      </c>
      <c r="AA5" t="s">
        <v>712</v>
      </c>
      <c r="AB5" t="s">
        <v>778</v>
      </c>
      <c r="AC5" t="s">
        <v>779</v>
      </c>
      <c r="AD5" t="s">
        <v>780</v>
      </c>
      <c r="AE5" t="s">
        <v>706</v>
      </c>
      <c r="AF5">
        <v>1625535</v>
      </c>
      <c r="AG5" t="s">
        <v>781</v>
      </c>
      <c r="AH5" t="s">
        <v>782</v>
      </c>
      <c r="AI5" t="s">
        <v>783</v>
      </c>
      <c r="AJ5" t="s">
        <v>784</v>
      </c>
      <c r="AK5" t="s">
        <v>785</v>
      </c>
      <c r="AL5" t="s">
        <v>7</v>
      </c>
      <c r="AM5" t="s">
        <v>786</v>
      </c>
      <c r="AN5" t="s">
        <v>7</v>
      </c>
      <c r="AO5" t="s">
        <v>713</v>
      </c>
      <c r="AP5" t="s">
        <v>179</v>
      </c>
      <c r="AQ5" t="s">
        <v>7</v>
      </c>
      <c r="AR5" t="s">
        <v>445</v>
      </c>
      <c r="AS5" t="s">
        <v>7</v>
      </c>
      <c r="AT5" t="s">
        <v>341</v>
      </c>
      <c r="AU5" t="s">
        <v>7</v>
      </c>
      <c r="AV5" t="s">
        <v>787</v>
      </c>
      <c r="AW5" t="s">
        <v>307</v>
      </c>
      <c r="AX5" t="s">
        <v>788</v>
      </c>
      <c r="AY5" t="s">
        <v>279</v>
      </c>
      <c r="AZ5" t="s">
        <v>281</v>
      </c>
      <c r="BA5" t="s">
        <v>282</v>
      </c>
      <c r="BB5" t="s">
        <v>283</v>
      </c>
      <c r="BC5" t="s">
        <v>284</v>
      </c>
      <c r="BD5" t="s">
        <v>280</v>
      </c>
      <c r="BE5" t="s">
        <v>286</v>
      </c>
      <c r="BF5" t="s">
        <v>287</v>
      </c>
      <c r="BG5" t="s">
        <v>288</v>
      </c>
      <c r="BH5" t="s">
        <v>289</v>
      </c>
      <c r="BI5" t="s">
        <v>703</v>
      </c>
      <c r="BJ5" t="s">
        <v>789</v>
      </c>
      <c r="BK5" t="s">
        <v>665</v>
      </c>
      <c r="BL5" t="s">
        <v>790</v>
      </c>
      <c r="BM5" t="s">
        <v>791</v>
      </c>
      <c r="BN5" t="s">
        <v>667</v>
      </c>
      <c r="BO5">
        <v>1.35</v>
      </c>
      <c r="BP5">
        <v>9.02</v>
      </c>
      <c r="BQ5">
        <v>9.41</v>
      </c>
      <c r="BR5">
        <v>1.43</v>
      </c>
      <c r="BS5">
        <v>11.39</v>
      </c>
      <c r="BT5">
        <v>10.62</v>
      </c>
      <c r="BU5" t="s">
        <v>685</v>
      </c>
      <c r="BV5" t="s">
        <v>301</v>
      </c>
      <c r="BW5">
        <v>21.17</v>
      </c>
      <c r="BX5">
        <v>26.24</v>
      </c>
      <c r="BY5">
        <v>26.88</v>
      </c>
      <c r="BZ5">
        <v>6.16</v>
      </c>
      <c r="CA5">
        <v>8.5399999999999991</v>
      </c>
      <c r="CB5">
        <v>9.26</v>
      </c>
      <c r="CC5">
        <v>9.6199999999999992</v>
      </c>
      <c r="CD5">
        <v>-10.83</v>
      </c>
      <c r="CE5" t="s">
        <v>1494</v>
      </c>
      <c r="CF5" t="s">
        <v>1495</v>
      </c>
      <c r="CG5" s="20">
        <v>0.31162790697674475</v>
      </c>
      <c r="CH5" s="21">
        <v>1.0895032189120872</v>
      </c>
      <c r="CI5" s="20">
        <v>-5.7712487876415253E-2</v>
      </c>
      <c r="CJ5" s="20">
        <v>0.25229960680007935</v>
      </c>
      <c r="CK5" s="20">
        <v>0.12573964893817902</v>
      </c>
      <c r="CL5" s="20">
        <v>0.12854757905006409</v>
      </c>
      <c r="CM5" s="20">
        <v>0.20281124114990234</v>
      </c>
      <c r="CN5" s="21">
        <v>-0.18432649970054626</v>
      </c>
      <c r="CO5" s="21">
        <v>0.15845493972301483</v>
      </c>
      <c r="CP5" s="21">
        <v>0.33757731318473816</v>
      </c>
      <c r="CQ5" s="21">
        <v>-0.27950689196586609</v>
      </c>
      <c r="CR5" s="21">
        <v>0.21780209243297577</v>
      </c>
      <c r="CS5">
        <v>76.961432744665302</v>
      </c>
      <c r="CT5">
        <v>5.9047978161952113</v>
      </c>
      <c r="CU5">
        <v>0.2046185325928091</v>
      </c>
      <c r="CV5" s="20">
        <v>0.13033711761236191</v>
      </c>
      <c r="CW5" s="21">
        <v>5.0000190734863281E-2</v>
      </c>
      <c r="CX5">
        <v>0.06</v>
      </c>
      <c r="CY5">
        <v>64.091403868340663</v>
      </c>
      <c r="CZ5">
        <v>70767207.866395995</v>
      </c>
      <c r="DA5">
        <v>0.13033711761236191</v>
      </c>
      <c r="DB5">
        <v>20.244356744749734</v>
      </c>
      <c r="DC5">
        <v>224041186.25188106</v>
      </c>
      <c r="DD5">
        <v>0.12382026173174381</v>
      </c>
      <c r="DE5">
        <v>9.5163565320770473</v>
      </c>
      <c r="DF5">
        <v>476607794.66509366</v>
      </c>
      <c r="DG5">
        <v>0.11469666349887848</v>
      </c>
      <c r="DH5">
        <v>5.4197095855697244</v>
      </c>
      <c r="DI5">
        <v>836865818.80258024</v>
      </c>
      <c r="DJ5">
        <v>0.10426969408988954</v>
      </c>
      <c r="DK5">
        <v>2.4840748477979724</v>
      </c>
      <c r="DL5">
        <v>1825858711.1497834</v>
      </c>
      <c r="DM5">
        <v>9.1235982328653334E-2</v>
      </c>
      <c r="DN5">
        <v>66363600</v>
      </c>
      <c r="DO5">
        <v>0.13033711761236191</v>
      </c>
      <c r="DP5">
        <v>4535569700</v>
      </c>
      <c r="DQ5">
        <v>379921970</v>
      </c>
      <c r="DR5">
        <v>1369</v>
      </c>
      <c r="DS5">
        <v>0.18129078936438284</v>
      </c>
      <c r="DT5">
        <v>1.039503028177224</v>
      </c>
      <c r="DU5" s="22">
        <v>-0.19000000000000003</v>
      </c>
      <c r="DV5">
        <v>0.70000000000000007</v>
      </c>
      <c r="DW5">
        <v>0.51</v>
      </c>
      <c r="DX5">
        <v>7.4704156479217607</v>
      </c>
      <c r="DY5">
        <v>0.45527449392712582</v>
      </c>
      <c r="DZ5">
        <v>7.1012684905417576</v>
      </c>
      <c r="EA5">
        <v>1041</v>
      </c>
      <c r="EB5">
        <v>7.0806543922519705</v>
      </c>
      <c r="EC5">
        <v>7</v>
      </c>
      <c r="ED5">
        <v>0.35173874616006784</v>
      </c>
      <c r="EE5">
        <v>1.6339081316300206</v>
      </c>
      <c r="EF5" s="19">
        <v>2.01281</v>
      </c>
      <c r="EG5">
        <v>2.0192000000000001</v>
      </c>
      <c r="EH5">
        <v>24.215274493927126</v>
      </c>
      <c r="EI5" t="s">
        <v>1496</v>
      </c>
      <c r="EJ5">
        <v>1</v>
      </c>
      <c r="EK5">
        <v>1</v>
      </c>
      <c r="EL5" s="27">
        <v>45357</v>
      </c>
      <c r="EM5" s="28">
        <v>4.2999999999999997E-2</v>
      </c>
      <c r="EN5" s="28">
        <v>2.2799999999999998</v>
      </c>
      <c r="EO5" s="28">
        <v>4.1500000000000004</v>
      </c>
      <c r="EP5" s="28">
        <v>-4.22</v>
      </c>
      <c r="EQ5" s="28">
        <v>3.2</v>
      </c>
    </row>
    <row r="6" spans="1:147" ht="204" x14ac:dyDescent="0.25">
      <c r="A6" s="29"/>
      <c r="B6" s="3" t="s">
        <v>1497</v>
      </c>
      <c r="C6" s="3" t="s">
        <v>1510</v>
      </c>
      <c r="D6" s="3" t="s">
        <v>1500</v>
      </c>
      <c r="E6" t="s">
        <v>161</v>
      </c>
      <c r="F6" t="s">
        <v>162</v>
      </c>
      <c r="G6">
        <v>24.15</v>
      </c>
      <c r="H6">
        <v>2.0999999999999999E-3</v>
      </c>
      <c r="I6" t="s">
        <v>1498</v>
      </c>
      <c r="J6">
        <v>20597473000</v>
      </c>
      <c r="K6">
        <v>27.03</v>
      </c>
      <c r="L6">
        <v>2.61</v>
      </c>
      <c r="M6" t="s">
        <v>163</v>
      </c>
      <c r="N6" t="s">
        <v>792</v>
      </c>
      <c r="O6" t="s">
        <v>793</v>
      </c>
      <c r="P6" t="s">
        <v>794</v>
      </c>
      <c r="Q6">
        <v>21.69</v>
      </c>
      <c r="R6" t="s">
        <v>708</v>
      </c>
      <c r="S6">
        <v>589434830</v>
      </c>
      <c r="T6" s="4">
        <v>0.43940000000000001</v>
      </c>
      <c r="U6" t="s">
        <v>709</v>
      </c>
      <c r="V6">
        <v>757252630</v>
      </c>
      <c r="W6">
        <v>852897450</v>
      </c>
      <c r="X6">
        <v>1.62</v>
      </c>
      <c r="Y6">
        <v>0.45</v>
      </c>
      <c r="Z6">
        <v>10.45</v>
      </c>
      <c r="AA6" t="s">
        <v>795</v>
      </c>
      <c r="AB6" t="s">
        <v>796</v>
      </c>
      <c r="AC6" t="s">
        <v>797</v>
      </c>
      <c r="AD6" t="s">
        <v>798</v>
      </c>
      <c r="AE6" t="s">
        <v>799</v>
      </c>
      <c r="AF6">
        <v>24153162</v>
      </c>
      <c r="AG6" t="s">
        <v>800</v>
      </c>
      <c r="AH6" t="s">
        <v>801</v>
      </c>
      <c r="AI6" t="s">
        <v>802</v>
      </c>
      <c r="AJ6" t="s">
        <v>387</v>
      </c>
      <c r="AK6" t="s">
        <v>803</v>
      </c>
      <c r="AL6" t="s">
        <v>804</v>
      </c>
      <c r="AM6" t="s">
        <v>805</v>
      </c>
      <c r="AN6" t="s">
        <v>7</v>
      </c>
      <c r="AO6" t="s">
        <v>806</v>
      </c>
      <c r="AP6" t="s">
        <v>807</v>
      </c>
      <c r="AQ6" t="s">
        <v>612</v>
      </c>
      <c r="AR6" t="s">
        <v>808</v>
      </c>
      <c r="AS6" t="s">
        <v>7</v>
      </c>
      <c r="AT6" t="s">
        <v>809</v>
      </c>
      <c r="AU6" t="s">
        <v>810</v>
      </c>
      <c r="AV6" t="s">
        <v>451</v>
      </c>
      <c r="AW6" t="s">
        <v>811</v>
      </c>
      <c r="AX6" t="s">
        <v>812</v>
      </c>
      <c r="AY6" t="s">
        <v>189</v>
      </c>
      <c r="AZ6" t="s">
        <v>191</v>
      </c>
      <c r="BA6" t="s">
        <v>192</v>
      </c>
      <c r="BB6" t="s">
        <v>193</v>
      </c>
      <c r="BC6" t="s">
        <v>194</v>
      </c>
      <c r="BD6" t="s">
        <v>190</v>
      </c>
      <c r="BE6" t="s">
        <v>195</v>
      </c>
      <c r="BF6" t="s">
        <v>196</v>
      </c>
      <c r="BG6" t="s">
        <v>197</v>
      </c>
      <c r="BH6" t="s">
        <v>198</v>
      </c>
      <c r="BI6" t="s">
        <v>813</v>
      </c>
      <c r="BJ6" t="s">
        <v>814</v>
      </c>
      <c r="BK6" t="s">
        <v>669</v>
      </c>
      <c r="BL6" t="s">
        <v>295</v>
      </c>
      <c r="BM6" t="s">
        <v>538</v>
      </c>
      <c r="BN6" t="s">
        <v>526</v>
      </c>
      <c r="BO6">
        <v>1.95</v>
      </c>
      <c r="BP6">
        <v>6.23</v>
      </c>
      <c r="BQ6">
        <v>3.07</v>
      </c>
      <c r="BR6">
        <v>2.2599999999999998</v>
      </c>
      <c r="BS6">
        <v>7.68</v>
      </c>
      <c r="BT6">
        <v>1.44</v>
      </c>
      <c r="BU6" t="s">
        <v>711</v>
      </c>
      <c r="BV6" t="s">
        <v>163</v>
      </c>
      <c r="BW6">
        <v>21.17</v>
      </c>
      <c r="BX6">
        <v>19.53</v>
      </c>
      <c r="BY6">
        <v>17.37</v>
      </c>
      <c r="BZ6">
        <v>10.4</v>
      </c>
      <c r="CA6">
        <v>6.57</v>
      </c>
      <c r="CB6">
        <v>2.2000000000000002</v>
      </c>
      <c r="CC6">
        <v>-0.94</v>
      </c>
      <c r="CD6">
        <v>0.28999999999999998</v>
      </c>
      <c r="CE6" t="s">
        <v>527</v>
      </c>
      <c r="CF6" t="s">
        <v>1499</v>
      </c>
      <c r="CG6" s="20">
        <v>0.26577880718008107</v>
      </c>
      <c r="CH6" s="21">
        <v>0.3951571518987339</v>
      </c>
      <c r="CI6" s="20">
        <v>0.268410325050354</v>
      </c>
      <c r="CJ6" s="20">
        <v>0.47134280204772949</v>
      </c>
      <c r="CK6" s="20">
        <v>0.13226205110549927</v>
      </c>
      <c r="CL6" s="20">
        <v>2.6975542306900024E-2</v>
      </c>
      <c r="CM6" s="20">
        <v>0.19401288032531738</v>
      </c>
      <c r="CN6" s="21">
        <v>0.78527605533599854</v>
      </c>
      <c r="CO6" s="21">
        <v>5.363347053527832</v>
      </c>
      <c r="CP6" s="21">
        <v>-0.34585297107696533</v>
      </c>
      <c r="CQ6" s="21">
        <v>-0.59837383031845093</v>
      </c>
      <c r="CR6" s="21">
        <v>-0.19753086566925049</v>
      </c>
      <c r="CS6">
        <v>83.755213656214508</v>
      </c>
      <c r="CT6">
        <v>3.8314244158101767</v>
      </c>
      <c r="CU6">
        <v>0.33126293995859218</v>
      </c>
      <c r="CV6" s="20">
        <v>0.21860072016716003</v>
      </c>
      <c r="CW6" s="21">
        <v>1.0013730883598329</v>
      </c>
      <c r="CX6">
        <v>0.06</v>
      </c>
      <c r="CY6">
        <v>26.182897062557217</v>
      </c>
      <c r="CZ6">
        <v>669080772.77102566</v>
      </c>
      <c r="DA6">
        <v>0.21860072016716003</v>
      </c>
      <c r="DB6">
        <v>7.686128527152075</v>
      </c>
      <c r="DC6">
        <v>2279232377.9278622</v>
      </c>
      <c r="DD6">
        <v>0.20767068415880202</v>
      </c>
      <c r="DE6">
        <v>3.2570386099588622</v>
      </c>
      <c r="DF6">
        <v>5378650700.1896629</v>
      </c>
      <c r="DG6">
        <v>0.19236863374710084</v>
      </c>
      <c r="DH6">
        <v>1.6367728421691436</v>
      </c>
      <c r="DI6">
        <v>10703056984.244394</v>
      </c>
      <c r="DJ6">
        <v>0.17488057613372804</v>
      </c>
      <c r="DK6">
        <v>0.5546718013685511</v>
      </c>
      <c r="DL6">
        <v>31583493079.648861</v>
      </c>
      <c r="DM6">
        <v>0.15302050411701201</v>
      </c>
      <c r="DN6">
        <v>582000000</v>
      </c>
      <c r="DO6">
        <v>0.21860072016716003</v>
      </c>
      <c r="DP6">
        <v>17518473000</v>
      </c>
      <c r="DQ6">
        <v>1747926100</v>
      </c>
      <c r="DR6">
        <v>978</v>
      </c>
      <c r="DS6">
        <v>4.7178087012921033E-2</v>
      </c>
      <c r="DT6">
        <v>-0.60621593646109895</v>
      </c>
      <c r="DU6" s="22">
        <v>-2.3333333333333355E-2</v>
      </c>
      <c r="DV6">
        <v>0.58666666666666667</v>
      </c>
      <c r="DW6">
        <v>0.56333333333333335</v>
      </c>
      <c r="DX6">
        <v>2.8999999999999998E-3</v>
      </c>
      <c r="DY6">
        <v>0.35865533230293745</v>
      </c>
      <c r="DZ6">
        <v>6.0510046367851617E-4</v>
      </c>
      <c r="EA6">
        <v>933</v>
      </c>
      <c r="EB6">
        <v>4.9474887403581577E-4</v>
      </c>
      <c r="EC6">
        <v>0</v>
      </c>
      <c r="ED6">
        <v>0.15828397657889587</v>
      </c>
      <c r="EE6">
        <v>0.75859061367811564</v>
      </c>
      <c r="EF6" s="19">
        <v>3.6299999999999999E-2</v>
      </c>
      <c r="EG6">
        <v>3.6320999999999999E-2</v>
      </c>
      <c r="EH6">
        <v>15.208655332302937</v>
      </c>
      <c r="EI6">
        <v>-1</v>
      </c>
      <c r="EJ6">
        <v>0</v>
      </c>
      <c r="EK6">
        <v>1</v>
      </c>
      <c r="EL6" s="27">
        <v>45359</v>
      </c>
      <c r="EM6" s="28">
        <v>0.25</v>
      </c>
      <c r="EN6" s="28">
        <v>-0.28999999999999998</v>
      </c>
      <c r="EO6" s="28">
        <v>2.0499999999999998</v>
      </c>
      <c r="EP6" s="28">
        <v>-3.1</v>
      </c>
      <c r="EQ6" s="28">
        <v>2.0999999999999999E-3</v>
      </c>
    </row>
    <row r="7" spans="1:147" ht="151" customHeight="1" x14ac:dyDescent="0.25">
      <c r="A7" s="29"/>
      <c r="B7" s="23" t="s">
        <v>1485</v>
      </c>
      <c r="C7" s="23" t="s">
        <v>1486</v>
      </c>
      <c r="D7" s="23" t="s">
        <v>1504</v>
      </c>
      <c r="E7" t="s">
        <v>164</v>
      </c>
      <c r="F7" t="s">
        <v>165</v>
      </c>
      <c r="G7">
        <v>134.1</v>
      </c>
      <c r="H7">
        <v>3.95</v>
      </c>
      <c r="I7" t="s">
        <v>1501</v>
      </c>
      <c r="J7">
        <v>22618938000</v>
      </c>
      <c r="K7">
        <v>226.6</v>
      </c>
      <c r="L7">
        <v>11.24</v>
      </c>
      <c r="M7" t="s">
        <v>160</v>
      </c>
      <c r="N7" t="s">
        <v>712</v>
      </c>
      <c r="O7" t="s">
        <v>424</v>
      </c>
      <c r="P7" t="s">
        <v>370</v>
      </c>
      <c r="Q7">
        <v>-26.26</v>
      </c>
      <c r="R7" t="s">
        <v>399</v>
      </c>
      <c r="S7">
        <v>72499640</v>
      </c>
      <c r="T7" s="4">
        <v>-0.43359999999999999</v>
      </c>
      <c r="U7" t="s">
        <v>250</v>
      </c>
      <c r="V7">
        <v>115743138</v>
      </c>
      <c r="W7">
        <v>168672170</v>
      </c>
      <c r="X7">
        <v>1.39</v>
      </c>
      <c r="Y7">
        <v>0.1</v>
      </c>
      <c r="Z7">
        <v>29.08</v>
      </c>
      <c r="AA7" t="s">
        <v>204</v>
      </c>
      <c r="AB7" t="s">
        <v>713</v>
      </c>
      <c r="AC7" t="s">
        <v>714</v>
      </c>
      <c r="AD7" t="s">
        <v>715</v>
      </c>
      <c r="AE7" t="s">
        <v>716</v>
      </c>
      <c r="AF7">
        <v>-26473727</v>
      </c>
      <c r="AG7" t="s">
        <v>717</v>
      </c>
      <c r="AH7" t="s">
        <v>718</v>
      </c>
      <c r="AI7" t="s">
        <v>719</v>
      </c>
      <c r="AJ7" t="s">
        <v>720</v>
      </c>
      <c r="AK7" t="s">
        <v>721</v>
      </c>
      <c r="AL7" t="s">
        <v>722</v>
      </c>
      <c r="AM7" t="s">
        <v>723</v>
      </c>
      <c r="AN7" t="s">
        <v>7</v>
      </c>
      <c r="AO7" t="s">
        <v>204</v>
      </c>
      <c r="AP7" t="s">
        <v>724</v>
      </c>
      <c r="AQ7" t="s">
        <v>725</v>
      </c>
      <c r="AR7" t="s">
        <v>726</v>
      </c>
      <c r="AS7" t="s">
        <v>7</v>
      </c>
      <c r="AT7" t="s">
        <v>727</v>
      </c>
      <c r="AU7" t="s">
        <v>380</v>
      </c>
      <c r="AV7" t="s">
        <v>728</v>
      </c>
      <c r="AW7" t="s">
        <v>729</v>
      </c>
      <c r="AX7" t="s">
        <v>190</v>
      </c>
      <c r="AY7" t="s">
        <v>200</v>
      </c>
      <c r="AZ7" t="s">
        <v>202</v>
      </c>
      <c r="BA7" t="s">
        <v>199</v>
      </c>
      <c r="BB7" t="s">
        <v>203</v>
      </c>
      <c r="BC7" t="s">
        <v>204</v>
      </c>
      <c r="BD7" t="s">
        <v>201</v>
      </c>
      <c r="BE7" t="s">
        <v>205</v>
      </c>
      <c r="BF7" t="s">
        <v>206</v>
      </c>
      <c r="BG7" t="s">
        <v>207</v>
      </c>
      <c r="BH7" t="s">
        <v>208</v>
      </c>
      <c r="BI7" t="s">
        <v>308</v>
      </c>
      <c r="BJ7" t="s">
        <v>730</v>
      </c>
      <c r="BK7" t="s">
        <v>198</v>
      </c>
      <c r="BL7" t="s">
        <v>731</v>
      </c>
      <c r="BM7" t="s">
        <v>225</v>
      </c>
      <c r="BN7" t="s">
        <v>672</v>
      </c>
      <c r="BO7">
        <v>0.9</v>
      </c>
      <c r="BP7">
        <v>9.81</v>
      </c>
      <c r="BQ7">
        <v>6.53</v>
      </c>
      <c r="BR7">
        <v>1.26</v>
      </c>
      <c r="BS7">
        <v>10.79</v>
      </c>
      <c r="BT7">
        <v>8.26</v>
      </c>
      <c r="BU7" t="s">
        <v>732</v>
      </c>
      <c r="BV7" t="s">
        <v>177</v>
      </c>
      <c r="BW7">
        <v>42.31</v>
      </c>
      <c r="BX7">
        <v>52.52</v>
      </c>
      <c r="BY7">
        <v>47.18</v>
      </c>
      <c r="BZ7">
        <v>29.98</v>
      </c>
      <c r="CA7">
        <v>42.87</v>
      </c>
      <c r="CB7">
        <v>37.54</v>
      </c>
      <c r="CC7">
        <v>3.48</v>
      </c>
      <c r="CD7">
        <v>-1.86</v>
      </c>
      <c r="CE7" t="s">
        <v>1502</v>
      </c>
      <c r="CF7" t="s">
        <v>1503</v>
      </c>
      <c r="CG7" s="20">
        <v>-0.18811881188118787</v>
      </c>
      <c r="CH7" s="21">
        <v>-0.39882176597587976</v>
      </c>
      <c r="CI7" s="20">
        <v>6.772009190171957E-3</v>
      </c>
      <c r="CJ7" s="20">
        <v>1.0414746999740601</v>
      </c>
      <c r="CK7" s="20">
        <v>0.1666666716337204</v>
      </c>
      <c r="CL7" s="20">
        <v>-0.15454545617103577</v>
      </c>
      <c r="CM7" s="20">
        <v>0.25</v>
      </c>
      <c r="CN7" s="21">
        <v>-0.17989417910575867</v>
      </c>
      <c r="CO7" s="21">
        <v>1.3034005165100098</v>
      </c>
      <c r="CP7" s="21">
        <v>0.40312901139259338</v>
      </c>
      <c r="CQ7" s="21">
        <v>-0.10125885903835297</v>
      </c>
      <c r="CR7" s="21">
        <v>0.33920261263847351</v>
      </c>
      <c r="CS7">
        <v>226.87602027536337</v>
      </c>
      <c r="CT7">
        <v>8.656958706462488</v>
      </c>
      <c r="CU7">
        <v>7.4571215510812833E-2</v>
      </c>
      <c r="CV7" s="20">
        <v>0.26207358492538335</v>
      </c>
      <c r="CW7" s="21">
        <v>0.35291582047939302</v>
      </c>
      <c r="CX7">
        <v>0.06</v>
      </c>
      <c r="CY7">
        <v>115.91499510545896</v>
      </c>
      <c r="CZ7">
        <v>184548495.90890038</v>
      </c>
      <c r="DA7">
        <v>0.26207358492538335</v>
      </c>
      <c r="DB7">
        <v>32.841099179677499</v>
      </c>
      <c r="DC7">
        <v>651377040.79154611</v>
      </c>
      <c r="DD7">
        <v>0.24896990567911417</v>
      </c>
      <c r="DE7">
        <v>13.20945553612683</v>
      </c>
      <c r="DF7">
        <v>1619441311.6797068</v>
      </c>
      <c r="DG7">
        <v>0.23062475473433736</v>
      </c>
      <c r="DH7">
        <v>6.2180433489830333</v>
      </c>
      <c r="DI7">
        <v>3440300557.4894667</v>
      </c>
      <c r="DJ7">
        <v>0.20965886794030669</v>
      </c>
      <c r="DK7">
        <v>1.7872889884975867</v>
      </c>
      <c r="DL7">
        <v>11968930675.269409</v>
      </c>
      <c r="DM7">
        <v>0.18345150944776834</v>
      </c>
      <c r="DN7">
        <v>155000000</v>
      </c>
      <c r="DO7">
        <v>0.26207358492538335</v>
      </c>
      <c r="DP7">
        <v>21391938000</v>
      </c>
      <c r="DQ7">
        <v>1084463500</v>
      </c>
      <c r="DR7">
        <v>4561</v>
      </c>
      <c r="DS7">
        <v>-0.45019239680657119</v>
      </c>
      <c r="DT7">
        <v>-0.75173758645527278</v>
      </c>
      <c r="DU7" s="22">
        <v>-2.3333333333333355E-2</v>
      </c>
      <c r="DV7">
        <v>0.1466666666666667</v>
      </c>
      <c r="DW7">
        <v>0.12333333333333334</v>
      </c>
      <c r="DX7">
        <v>4.5344827586206895</v>
      </c>
      <c r="DY7">
        <v>0.21934344569288391</v>
      </c>
      <c r="DZ7">
        <v>4.0691318416634381</v>
      </c>
      <c r="EA7">
        <v>1980</v>
      </c>
      <c r="EB7">
        <v>4.042365895927496</v>
      </c>
      <c r="EC7">
        <v>4</v>
      </c>
      <c r="ED7">
        <v>0.20474450527315799</v>
      </c>
      <c r="EE7">
        <v>1.5829523032756381</v>
      </c>
      <c r="EF7" s="19">
        <v>-2.0415000000000001</v>
      </c>
      <c r="EG7">
        <v>-2.081</v>
      </c>
      <c r="EH7">
        <v>9.1293434456928839</v>
      </c>
      <c r="EI7" t="s">
        <v>1072</v>
      </c>
      <c r="EJ7">
        <v>0</v>
      </c>
      <c r="EK7">
        <v>0</v>
      </c>
      <c r="EL7" s="27">
        <v>45357</v>
      </c>
      <c r="EM7" s="28">
        <v>4.6899999999999997E-2</v>
      </c>
      <c r="EN7" s="28">
        <v>1.22</v>
      </c>
      <c r="EO7" s="28">
        <v>3.1</v>
      </c>
      <c r="EP7" s="28">
        <v>-3.65</v>
      </c>
      <c r="EQ7" s="28">
        <v>3.95</v>
      </c>
    </row>
  </sheetData>
  <mergeCells count="1">
    <mergeCell ref="A3:A7"/>
  </mergeCells>
  <phoneticPr fontId="1" type="noConversion"/>
  <hyperlinks>
    <hyperlink ref="A2"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4577" r:id="rId5"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Q5"/>
  <sheetViews>
    <sheetView workbookViewId="0">
      <selection activeCell="D5" sqref="D5"/>
    </sheetView>
  </sheetViews>
  <sheetFormatPr defaultRowHeight="14" x14ac:dyDescent="0.25"/>
  <cols>
    <col min="1" max="1" width="9.08984375" customWidth="1"/>
    <col min="2" max="2" width="27.54296875" customWidth="1"/>
    <col min="3" max="3" width="36.54296875" customWidth="1"/>
    <col min="4" max="4" width="52.54296875" customWidth="1"/>
    <col min="10" max="10" width="10.54296875" customWidth="1"/>
  </cols>
  <sheetData>
    <row r="1" spans="1:147" x14ac:dyDescent="0.25">
      <c r="A1" s="16" t="s">
        <v>63</v>
      </c>
      <c r="B1" s="17" t="s">
        <v>8</v>
      </c>
      <c r="C1" s="18" t="s">
        <v>9</v>
      </c>
      <c r="D1" s="17" t="s">
        <v>112</v>
      </c>
      <c r="E1" t="s">
        <v>2</v>
      </c>
      <c r="F1" t="s">
        <v>3</v>
      </c>
      <c r="G1" t="s">
        <v>0</v>
      </c>
      <c r="H1" t="s">
        <v>133</v>
      </c>
      <c r="I1" t="s">
        <v>151</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134</v>
      </c>
      <c r="AD1" t="s">
        <v>25</v>
      </c>
      <c r="AE1" t="s">
        <v>26</v>
      </c>
      <c r="AF1" t="s">
        <v>27</v>
      </c>
      <c r="AG1" t="s">
        <v>28</v>
      </c>
      <c r="AH1" t="s">
        <v>135</v>
      </c>
      <c r="AI1" t="s">
        <v>152</v>
      </c>
      <c r="AJ1" t="s">
        <v>136</v>
      </c>
      <c r="AK1" t="s">
        <v>29</v>
      </c>
      <c r="AL1" t="s">
        <v>137</v>
      </c>
      <c r="AM1" t="s">
        <v>64</v>
      </c>
      <c r="AN1" t="s">
        <v>138</v>
      </c>
      <c r="AO1" t="s">
        <v>139</v>
      </c>
      <c r="AP1" t="s">
        <v>140</v>
      </c>
      <c r="AQ1" t="s">
        <v>141</v>
      </c>
      <c r="AR1" t="s">
        <v>142</v>
      </c>
      <c r="AS1" t="s">
        <v>143</v>
      </c>
      <c r="AT1" t="s">
        <v>144</v>
      </c>
      <c r="AU1" t="s">
        <v>145</v>
      </c>
      <c r="AV1" t="s">
        <v>146</v>
      </c>
      <c r="AW1" t="s">
        <v>147</v>
      </c>
      <c r="AX1" t="s">
        <v>148</v>
      </c>
      <c r="AY1" t="s">
        <v>65</v>
      </c>
      <c r="AZ1" t="s">
        <v>66</v>
      </c>
      <c r="BA1" t="s">
        <v>67</v>
      </c>
      <c r="BB1" t="s">
        <v>68</v>
      </c>
      <c r="BC1" t="s">
        <v>69</v>
      </c>
      <c r="BD1" t="s">
        <v>70</v>
      </c>
      <c r="BE1" t="s">
        <v>71</v>
      </c>
      <c r="BF1" t="s">
        <v>72</v>
      </c>
      <c r="BG1" t="s">
        <v>73</v>
      </c>
      <c r="BH1" t="s">
        <v>74</v>
      </c>
      <c r="BI1" t="s">
        <v>127</v>
      </c>
      <c r="BJ1" t="s">
        <v>128</v>
      </c>
      <c r="BK1" t="s">
        <v>129</v>
      </c>
      <c r="BL1" t="s">
        <v>130</v>
      </c>
      <c r="BM1" t="s">
        <v>131</v>
      </c>
      <c r="BN1" t="s">
        <v>132</v>
      </c>
      <c r="BO1" t="s">
        <v>149</v>
      </c>
      <c r="BP1" t="s">
        <v>75</v>
      </c>
      <c r="BQ1" t="s">
        <v>76</v>
      </c>
      <c r="BR1" t="s">
        <v>77</v>
      </c>
      <c r="BS1" t="s">
        <v>150</v>
      </c>
      <c r="BT1" t="s">
        <v>78</v>
      </c>
      <c r="BU1" t="s">
        <v>79</v>
      </c>
      <c r="BV1" t="s">
        <v>80</v>
      </c>
      <c r="BW1" t="s">
        <v>81</v>
      </c>
      <c r="BX1" t="s">
        <v>81</v>
      </c>
      <c r="BY1" t="s">
        <v>82</v>
      </c>
      <c r="BZ1" t="s">
        <v>83</v>
      </c>
      <c r="CA1" t="s">
        <v>83</v>
      </c>
      <c r="CB1" t="s">
        <v>84</v>
      </c>
      <c r="CC1" t="s">
        <v>153</v>
      </c>
      <c r="CD1" t="s">
        <v>154</v>
      </c>
      <c r="CE1" t="s">
        <v>155</v>
      </c>
      <c r="CF1" t="s">
        <v>156</v>
      </c>
      <c r="CG1" s="1" t="s">
        <v>85</v>
      </c>
      <c r="CH1" s="1" t="s">
        <v>86</v>
      </c>
      <c r="CI1" s="1" t="s">
        <v>87</v>
      </c>
      <c r="CJ1" s="1" t="s">
        <v>88</v>
      </c>
      <c r="CK1" s="1" t="s">
        <v>89</v>
      </c>
      <c r="CL1" s="1" t="s">
        <v>90</v>
      </c>
      <c r="CM1" s="1" t="s">
        <v>91</v>
      </c>
      <c r="CN1" s="1" t="s">
        <v>92</v>
      </c>
      <c r="CO1" s="1" t="s">
        <v>93</v>
      </c>
      <c r="CP1" s="1" t="s">
        <v>94</v>
      </c>
      <c r="CQ1" s="1" t="s">
        <v>95</v>
      </c>
      <c r="CR1" s="1" t="s">
        <v>96</v>
      </c>
      <c r="CS1" s="1" t="s">
        <v>113</v>
      </c>
      <c r="CT1" s="1" t="s">
        <v>97</v>
      </c>
      <c r="CU1" s="1" t="s">
        <v>98</v>
      </c>
      <c r="CV1" s="1" t="s">
        <v>51</v>
      </c>
      <c r="CW1">
        <v>1</v>
      </c>
      <c r="CX1" t="s">
        <v>99</v>
      </c>
      <c r="CY1" t="s">
        <v>114</v>
      </c>
      <c r="CZ1">
        <v>3</v>
      </c>
      <c r="DA1" t="s">
        <v>115</v>
      </c>
      <c r="DB1" t="s">
        <v>116</v>
      </c>
      <c r="DC1">
        <v>6</v>
      </c>
      <c r="DD1" t="s">
        <v>100</v>
      </c>
      <c r="DE1" t="s">
        <v>101</v>
      </c>
      <c r="DF1">
        <v>10</v>
      </c>
      <c r="DG1" t="s">
        <v>102</v>
      </c>
      <c r="DH1" t="s">
        <v>103</v>
      </c>
      <c r="DI1">
        <v>20</v>
      </c>
      <c r="DJ1" t="s">
        <v>117</v>
      </c>
      <c r="DK1" t="s">
        <v>104</v>
      </c>
      <c r="DL1" t="s">
        <v>105</v>
      </c>
      <c r="DM1" s="2" t="s">
        <v>106</v>
      </c>
      <c r="DN1" t="s">
        <v>118</v>
      </c>
      <c r="DO1" t="s">
        <v>107</v>
      </c>
      <c r="DP1" s="1" t="s">
        <v>119</v>
      </c>
      <c r="DQ1" s="1" t="s">
        <v>120</v>
      </c>
      <c r="DR1" s="1" t="s">
        <v>121</v>
      </c>
      <c r="DS1" t="s">
        <v>122</v>
      </c>
      <c r="DT1" t="s">
        <v>108</v>
      </c>
      <c r="DU1" t="s">
        <v>109</v>
      </c>
      <c r="DV1" t="s">
        <v>123</v>
      </c>
      <c r="DW1" t="s">
        <v>124</v>
      </c>
      <c r="DX1" t="s">
        <v>125</v>
      </c>
      <c r="DY1" t="s">
        <v>126</v>
      </c>
      <c r="DZ1" t="s">
        <v>110</v>
      </c>
      <c r="EA1" t="s">
        <v>111</v>
      </c>
    </row>
    <row r="2" spans="1:147" ht="53.5" customHeight="1" x14ac:dyDescent="0.25">
      <c r="A2" s="26" t="s">
        <v>157</v>
      </c>
      <c r="B2" s="24"/>
      <c r="C2" s="25">
        <v>3</v>
      </c>
      <c r="D2" s="25">
        <v>5</v>
      </c>
      <c r="T2" s="4"/>
      <c r="CG2" s="1"/>
      <c r="CH2" s="1"/>
      <c r="CI2" s="1"/>
      <c r="CJ2" s="1"/>
      <c r="CK2" s="1"/>
      <c r="CL2" s="1"/>
      <c r="CM2" s="1"/>
      <c r="CN2" s="1"/>
      <c r="CO2" s="1"/>
      <c r="CP2" s="1"/>
      <c r="CQ2" s="1"/>
      <c r="CR2" s="1"/>
      <c r="CS2" s="1"/>
      <c r="CT2" s="1"/>
      <c r="CU2" s="1"/>
      <c r="CV2" s="1"/>
      <c r="DM2" s="2"/>
      <c r="DP2" s="1"/>
      <c r="DQ2" s="1"/>
      <c r="DR2" s="1"/>
    </row>
    <row r="3" spans="1:147" ht="84" x14ac:dyDescent="0.25">
      <c r="A3" s="30" t="s">
        <v>275</v>
      </c>
      <c r="B3" s="23"/>
      <c r="C3" s="23"/>
      <c r="D3" s="23" t="s">
        <v>1463</v>
      </c>
      <c r="E3" t="s">
        <v>158</v>
      </c>
      <c r="F3" t="s">
        <v>159</v>
      </c>
      <c r="G3">
        <v>33</v>
      </c>
      <c r="H3">
        <v>5.26</v>
      </c>
      <c r="I3" t="s">
        <v>1460</v>
      </c>
      <c r="J3">
        <v>4983451000</v>
      </c>
      <c r="K3">
        <v>78.25</v>
      </c>
      <c r="L3">
        <v>3.17</v>
      </c>
      <c r="M3" t="s">
        <v>160</v>
      </c>
      <c r="N3" t="s">
        <v>815</v>
      </c>
      <c r="O3" t="s">
        <v>816</v>
      </c>
      <c r="P3" t="s">
        <v>817</v>
      </c>
      <c r="Q3">
        <v>26.14</v>
      </c>
      <c r="R3" t="s">
        <v>818</v>
      </c>
      <c r="S3">
        <v>63135509</v>
      </c>
      <c r="T3" s="4">
        <v>-0.29720000000000002</v>
      </c>
      <c r="U3" t="s">
        <v>819</v>
      </c>
      <c r="V3">
        <v>90298410</v>
      </c>
      <c r="W3">
        <v>151013670</v>
      </c>
      <c r="X3">
        <v>1.42</v>
      </c>
      <c r="Y3">
        <v>0.41</v>
      </c>
      <c r="Z3">
        <v>7.25</v>
      </c>
      <c r="AA3" t="s">
        <v>820</v>
      </c>
      <c r="AB3" t="s">
        <v>821</v>
      </c>
      <c r="AC3" t="s">
        <v>822</v>
      </c>
      <c r="AD3" t="s">
        <v>823</v>
      </c>
      <c r="AE3" t="s">
        <v>824</v>
      </c>
      <c r="AF3">
        <v>-1112762</v>
      </c>
      <c r="AG3" t="s">
        <v>825</v>
      </c>
      <c r="AH3">
        <v>1998</v>
      </c>
      <c r="AI3" t="s">
        <v>826</v>
      </c>
      <c r="AJ3" t="s">
        <v>676</v>
      </c>
      <c r="AK3" t="s">
        <v>827</v>
      </c>
      <c r="AL3" t="s">
        <v>201</v>
      </c>
      <c r="AM3" t="s">
        <v>828</v>
      </c>
      <c r="AN3" t="s">
        <v>7</v>
      </c>
      <c r="AO3" t="s">
        <v>829</v>
      </c>
      <c r="AP3" t="s">
        <v>652</v>
      </c>
      <c r="AQ3" t="s">
        <v>830</v>
      </c>
      <c r="AR3" t="s">
        <v>831</v>
      </c>
      <c r="AS3" t="s">
        <v>7</v>
      </c>
      <c r="AT3" t="s">
        <v>832</v>
      </c>
      <c r="AU3" t="s">
        <v>7</v>
      </c>
      <c r="AV3" t="s">
        <v>833</v>
      </c>
      <c r="AW3" t="s">
        <v>834</v>
      </c>
      <c r="AX3" t="s">
        <v>302</v>
      </c>
      <c r="AY3" t="s">
        <v>178</v>
      </c>
      <c r="AZ3" t="s">
        <v>181</v>
      </c>
      <c r="BA3" t="s">
        <v>182</v>
      </c>
      <c r="BB3" t="s">
        <v>183</v>
      </c>
      <c r="BC3" t="s">
        <v>7</v>
      </c>
      <c r="BD3" t="s">
        <v>179</v>
      </c>
      <c r="BE3" t="s">
        <v>184</v>
      </c>
      <c r="BF3" t="s">
        <v>185</v>
      </c>
      <c r="BG3" t="s">
        <v>186</v>
      </c>
      <c r="BH3" t="s">
        <v>7</v>
      </c>
      <c r="BI3" t="s">
        <v>835</v>
      </c>
      <c r="BJ3" t="s">
        <v>734</v>
      </c>
      <c r="BK3" t="s">
        <v>346</v>
      </c>
      <c r="BL3" t="s">
        <v>836</v>
      </c>
      <c r="BM3" t="s">
        <v>837</v>
      </c>
      <c r="BN3" t="s">
        <v>838</v>
      </c>
      <c r="BO3">
        <v>1.24</v>
      </c>
      <c r="BP3">
        <v>18.329999999999998</v>
      </c>
      <c r="BQ3">
        <v>23.18</v>
      </c>
      <c r="BR3">
        <v>1.39</v>
      </c>
      <c r="BS3">
        <v>19.100000000000001</v>
      </c>
      <c r="BT3" t="s">
        <v>7</v>
      </c>
      <c r="BU3" t="s">
        <v>839</v>
      </c>
      <c r="BV3" t="s">
        <v>296</v>
      </c>
      <c r="BW3">
        <v>29.76</v>
      </c>
      <c r="BX3">
        <v>36.47</v>
      </c>
      <c r="BY3">
        <v>42.88</v>
      </c>
      <c r="BZ3">
        <v>8.4600000000000009</v>
      </c>
      <c r="CA3">
        <v>14.41</v>
      </c>
      <c r="CB3">
        <v>19.489999999999998</v>
      </c>
      <c r="CC3">
        <v>19.18</v>
      </c>
      <c r="CD3">
        <v>-9.89</v>
      </c>
      <c r="CE3" t="s">
        <v>1461</v>
      </c>
      <c r="CF3" t="s">
        <v>1462</v>
      </c>
      <c r="CG3" s="20">
        <v>0.20425531914893616</v>
      </c>
      <c r="CH3" s="21">
        <v>-0.60501199632734759</v>
      </c>
      <c r="CI3" s="20">
        <v>0.25699067115783691</v>
      </c>
      <c r="CJ3" s="20">
        <v>0.3805147111415863</v>
      </c>
      <c r="CK3" s="20">
        <v>0.73801916837692261</v>
      </c>
      <c r="CL3" s="20">
        <v>0.10600706934928894</v>
      </c>
      <c r="CM3" s="20" t="s">
        <v>7</v>
      </c>
      <c r="CN3" s="21">
        <v>-0.17839913070201874</v>
      </c>
      <c r="CO3" s="21">
        <v>2.8037382289767265E-2</v>
      </c>
      <c r="CP3" s="21">
        <v>1.2468748092651367</v>
      </c>
      <c r="CQ3" s="21">
        <v>-5.2051693201065063E-2</v>
      </c>
      <c r="CR3" s="21" t="s">
        <v>7</v>
      </c>
      <c r="CS3">
        <v>61.488499002059058</v>
      </c>
      <c r="CT3">
        <v>1.6601332883059257</v>
      </c>
      <c r="CU3">
        <v>0.54545454545454541</v>
      </c>
      <c r="CV3" s="20">
        <v>0.37038290500640869</v>
      </c>
      <c r="CW3" s="21">
        <v>0.26111534191295505</v>
      </c>
      <c r="CX3">
        <v>0.06</v>
      </c>
      <c r="CY3">
        <v>34.837972156436315</v>
      </c>
      <c r="CZ3">
        <v>116839492.88787706</v>
      </c>
      <c r="DA3">
        <v>0.37038290500640869</v>
      </c>
      <c r="DB3">
        <v>9.0509057520446579</v>
      </c>
      <c r="DC3">
        <v>449728580.93019688</v>
      </c>
      <c r="DD3">
        <v>0.35186375975608825</v>
      </c>
      <c r="DE3">
        <v>3.1909392777386807</v>
      </c>
      <c r="DF3">
        <v>1275627846.7588396</v>
      </c>
      <c r="DG3">
        <v>0.32593695640563963</v>
      </c>
      <c r="DH3">
        <v>1.2666235706652433</v>
      </c>
      <c r="DI3">
        <v>3213623284.9844713</v>
      </c>
      <c r="DJ3">
        <v>0.29630632400512696</v>
      </c>
      <c r="DK3">
        <v>0.23482302557375151</v>
      </c>
      <c r="DL3">
        <v>17334122111.979954</v>
      </c>
      <c r="DM3">
        <v>0.25926803350448607</v>
      </c>
      <c r="DN3">
        <v>90376100</v>
      </c>
      <c r="DO3">
        <v>0.37038290500640869</v>
      </c>
      <c r="DP3">
        <v>4070451000</v>
      </c>
      <c r="DQ3">
        <v>963511300</v>
      </c>
      <c r="DR3">
        <v>4823</v>
      </c>
      <c r="DS3">
        <v>-0.16612758585747253</v>
      </c>
      <c r="DT3">
        <v>-0.86612733824030264</v>
      </c>
      <c r="DU3" s="22">
        <v>0.17199999999999999</v>
      </c>
      <c r="DV3">
        <v>-0.14399999999999999</v>
      </c>
      <c r="DW3">
        <v>2.7999999999999997E-2</v>
      </c>
      <c r="DX3">
        <v>5.5156412930135561</v>
      </c>
      <c r="DY3">
        <v>0.62457892440274598</v>
      </c>
      <c r="DZ3">
        <v>5.1054893411023556</v>
      </c>
      <c r="EA3">
        <v>2206</v>
      </c>
      <c r="EB3">
        <v>5.0599760443153823</v>
      </c>
      <c r="EC3">
        <v>5</v>
      </c>
      <c r="ED3">
        <v>0.10928348407134268</v>
      </c>
      <c r="EE3">
        <v>0.53418740171005707</v>
      </c>
      <c r="EF3" s="19">
        <v>-2.0318260000000001</v>
      </c>
      <c r="EG3">
        <v>-2.0207999999999999</v>
      </c>
      <c r="EH3">
        <v>42.204578924402746</v>
      </c>
      <c r="EI3" t="s">
        <v>1072</v>
      </c>
      <c r="EJ3">
        <v>1</v>
      </c>
      <c r="EK3">
        <v>0</v>
      </c>
      <c r="EL3" s="27">
        <v>45348</v>
      </c>
      <c r="EM3" s="28">
        <v>3.9699999999999999E-2</v>
      </c>
      <c r="EN3" s="28">
        <v>-2.9999999999999997E-4</v>
      </c>
      <c r="EO3" s="28">
        <v>2.92E-2</v>
      </c>
      <c r="EP3" s="28">
        <v>5.8400000000000001E-2</v>
      </c>
      <c r="EQ3" s="28">
        <v>5.26</v>
      </c>
    </row>
    <row r="4" spans="1:147" ht="240" x14ac:dyDescent="0.25">
      <c r="A4" s="30"/>
      <c r="B4" s="23"/>
      <c r="C4" s="23"/>
      <c r="D4" s="23" t="s">
        <v>1468</v>
      </c>
      <c r="E4" t="s">
        <v>166</v>
      </c>
      <c r="F4" t="s">
        <v>167</v>
      </c>
      <c r="G4">
        <v>60.8</v>
      </c>
      <c r="H4">
        <v>0.16</v>
      </c>
      <c r="I4" t="s">
        <v>1464</v>
      </c>
      <c r="J4">
        <v>162742520000</v>
      </c>
      <c r="K4">
        <v>35.729999999999997</v>
      </c>
      <c r="L4">
        <v>7.21</v>
      </c>
      <c r="M4" t="s">
        <v>160</v>
      </c>
      <c r="N4" t="s">
        <v>841</v>
      </c>
      <c r="O4" t="s">
        <v>842</v>
      </c>
      <c r="P4" t="s">
        <v>843</v>
      </c>
      <c r="Q4">
        <v>23.89</v>
      </c>
      <c r="R4" t="s">
        <v>844</v>
      </c>
      <c r="S4">
        <v>3319367600</v>
      </c>
      <c r="T4" s="4">
        <v>7.5999999999999998E-2</v>
      </c>
      <c r="U4" t="s">
        <v>845</v>
      </c>
      <c r="V4">
        <v>2319544200</v>
      </c>
      <c r="W4">
        <v>2665331100</v>
      </c>
      <c r="X4">
        <v>1.87</v>
      </c>
      <c r="Y4">
        <v>0.49</v>
      </c>
      <c r="Z4">
        <v>16.63</v>
      </c>
      <c r="AA4" t="s">
        <v>846</v>
      </c>
      <c r="AB4" t="s">
        <v>847</v>
      </c>
      <c r="AC4" t="s">
        <v>848</v>
      </c>
      <c r="AD4" t="s">
        <v>849</v>
      </c>
      <c r="AE4" t="s">
        <v>850</v>
      </c>
      <c r="AF4">
        <v>-4287759</v>
      </c>
      <c r="AG4" t="s">
        <v>851</v>
      </c>
      <c r="AH4" t="s">
        <v>852</v>
      </c>
      <c r="AI4" t="s">
        <v>853</v>
      </c>
      <c r="AJ4" t="s">
        <v>854</v>
      </c>
      <c r="AK4" t="s">
        <v>855</v>
      </c>
      <c r="AL4" t="s">
        <v>856</v>
      </c>
      <c r="AM4" t="s">
        <v>857</v>
      </c>
      <c r="AN4" t="s">
        <v>7</v>
      </c>
      <c r="AO4" t="s">
        <v>858</v>
      </c>
      <c r="AP4" t="s">
        <v>859</v>
      </c>
      <c r="AQ4" t="s">
        <v>860</v>
      </c>
      <c r="AR4" t="s">
        <v>861</v>
      </c>
      <c r="AS4" t="s">
        <v>7</v>
      </c>
      <c r="AT4" t="s">
        <v>862</v>
      </c>
      <c r="AU4" t="s">
        <v>863</v>
      </c>
      <c r="AV4" t="s">
        <v>864</v>
      </c>
      <c r="AW4" t="s">
        <v>865</v>
      </c>
      <c r="AX4" t="s">
        <v>866</v>
      </c>
      <c r="AY4" t="s">
        <v>209</v>
      </c>
      <c r="AZ4" t="s">
        <v>211</v>
      </c>
      <c r="BA4" t="s">
        <v>212</v>
      </c>
      <c r="BB4" t="s">
        <v>213</v>
      </c>
      <c r="BC4" t="s">
        <v>214</v>
      </c>
      <c r="BD4" t="s">
        <v>210</v>
      </c>
      <c r="BE4" t="s">
        <v>215</v>
      </c>
      <c r="BF4" t="s">
        <v>216</v>
      </c>
      <c r="BG4" t="s">
        <v>217</v>
      </c>
      <c r="BH4" t="s">
        <v>218</v>
      </c>
      <c r="BI4" t="s">
        <v>867</v>
      </c>
      <c r="BJ4" t="s">
        <v>868</v>
      </c>
      <c r="BK4" t="s">
        <v>673</v>
      </c>
      <c r="BL4" t="s">
        <v>869</v>
      </c>
      <c r="BM4" t="s">
        <v>870</v>
      </c>
      <c r="BN4" t="s">
        <v>674</v>
      </c>
      <c r="BO4">
        <v>2.85</v>
      </c>
      <c r="BP4">
        <v>23.52</v>
      </c>
      <c r="BQ4">
        <v>18.59</v>
      </c>
      <c r="BR4">
        <v>3.69</v>
      </c>
      <c r="BS4">
        <v>27.35</v>
      </c>
      <c r="BT4">
        <v>21.7</v>
      </c>
      <c r="BU4" t="s">
        <v>871</v>
      </c>
      <c r="BV4" t="s">
        <v>296</v>
      </c>
      <c r="BW4">
        <v>36.270000000000003</v>
      </c>
      <c r="BX4">
        <v>35.82</v>
      </c>
      <c r="BY4">
        <v>38.96</v>
      </c>
      <c r="BZ4">
        <v>16.79</v>
      </c>
      <c r="CA4">
        <v>20.51</v>
      </c>
      <c r="CB4">
        <v>18.95</v>
      </c>
      <c r="CC4">
        <v>-2.52</v>
      </c>
      <c r="CD4">
        <v>1.33</v>
      </c>
      <c r="CE4" t="s">
        <v>1465</v>
      </c>
      <c r="CF4" t="s">
        <v>1466</v>
      </c>
      <c r="CG4" s="20">
        <v>0.31245722108145108</v>
      </c>
      <c r="CH4" s="21">
        <v>0.11925009009009009</v>
      </c>
      <c r="CI4" s="20">
        <v>0.28228285908699036</v>
      </c>
      <c r="CJ4" s="20">
        <v>0.55876976251602173</v>
      </c>
      <c r="CK4" s="20">
        <v>0.55764544010162354</v>
      </c>
      <c r="CL4" s="20">
        <v>0.25808653235435486</v>
      </c>
      <c r="CM4" s="20">
        <v>0.22964201867580414</v>
      </c>
      <c r="CN4" s="21">
        <v>0.20906803011894226</v>
      </c>
      <c r="CO4" s="21">
        <v>0.70142853260040283</v>
      </c>
      <c r="CP4" s="21">
        <v>1.2058823108673096</v>
      </c>
      <c r="CQ4" s="21">
        <v>-0.18423311412334442</v>
      </c>
      <c r="CR4" s="21">
        <v>0.10094345360994339</v>
      </c>
      <c r="CS4">
        <v>74.131120558760998</v>
      </c>
      <c r="CT4">
        <v>1.9648556709898051</v>
      </c>
      <c r="CU4">
        <v>0.5921052631578948</v>
      </c>
      <c r="CV4" s="20">
        <v>0.3772853225469589</v>
      </c>
      <c r="CW4" s="21">
        <v>0.40661784261465073</v>
      </c>
      <c r="CX4">
        <v>0.06</v>
      </c>
      <c r="CY4">
        <v>28.467492125428695</v>
      </c>
      <c r="CZ4">
        <v>5613087352.2668514</v>
      </c>
      <c r="DA4">
        <v>0.3772853225469589</v>
      </c>
      <c r="DB4">
        <v>7.3557455636805269</v>
      </c>
      <c r="DC4">
        <v>21723225554.317173</v>
      </c>
      <c r="DD4">
        <v>0.35842105641961092</v>
      </c>
      <c r="DE4">
        <v>2.5714604392618643</v>
      </c>
      <c r="DF4">
        <v>62139987674.03466</v>
      </c>
      <c r="DG4">
        <v>0.33201108384132383</v>
      </c>
      <c r="DH4">
        <v>1.0094193372417948</v>
      </c>
      <c r="DI4">
        <v>158299444150.3591</v>
      </c>
      <c r="DJ4">
        <v>0.30182825803756713</v>
      </c>
      <c r="DK4">
        <v>0.18182086029155833</v>
      </c>
      <c r="DL4">
        <v>878834913352.45227</v>
      </c>
      <c r="DM4">
        <v>0.26409972578287122</v>
      </c>
      <c r="DN4">
        <v>4320000000</v>
      </c>
      <c r="DO4">
        <v>0.3772853225469589</v>
      </c>
      <c r="DP4">
        <v>159790520000</v>
      </c>
      <c r="DQ4">
        <v>11427512000</v>
      </c>
      <c r="DR4">
        <v>1621</v>
      </c>
      <c r="DS4">
        <v>-6.4828101465507826E-2</v>
      </c>
      <c r="DT4">
        <v>-0.28736775252456065</v>
      </c>
      <c r="DU4" s="22">
        <v>0.22666666666666657</v>
      </c>
      <c r="DV4">
        <v>0.6166666666666667</v>
      </c>
      <c r="DW4">
        <v>0.84333333333333327</v>
      </c>
      <c r="DX4">
        <v>-4.5277777777777777</v>
      </c>
      <c r="DY4">
        <v>0.517127020785216</v>
      </c>
      <c r="DZ4">
        <v>-4.0882059276366434</v>
      </c>
      <c r="EA4">
        <v>509</v>
      </c>
      <c r="EB4">
        <v>-4.079425012876805</v>
      </c>
      <c r="EC4">
        <v>4</v>
      </c>
      <c r="ED4">
        <v>2.7150848162916796E-2</v>
      </c>
      <c r="EE4">
        <v>0.16245636423932472</v>
      </c>
      <c r="EF4" s="19">
        <v>-1.056352</v>
      </c>
      <c r="EG4">
        <v>-1.0580000000000001</v>
      </c>
      <c r="EH4">
        <v>35.167127020785216</v>
      </c>
      <c r="EI4" t="s">
        <v>1467</v>
      </c>
      <c r="EJ4">
        <v>0</v>
      </c>
      <c r="EK4">
        <v>1</v>
      </c>
      <c r="EL4" s="27">
        <v>45348</v>
      </c>
      <c r="EM4" s="28">
        <v>1.01E-2</v>
      </c>
      <c r="EN4" s="28">
        <v>-1.9E-2</v>
      </c>
      <c r="EO4" s="28">
        <v>-3.0999999999999999E-3</v>
      </c>
      <c r="EP4" s="28">
        <v>-1.4800000000000001E-2</v>
      </c>
      <c r="EQ4" s="28">
        <v>0.16</v>
      </c>
    </row>
    <row r="5" spans="1:147" ht="132" x14ac:dyDescent="0.25">
      <c r="A5" s="30"/>
      <c r="B5" s="23"/>
      <c r="C5" s="23"/>
      <c r="D5" s="23" t="s">
        <v>1471</v>
      </c>
      <c r="E5" t="s">
        <v>168</v>
      </c>
      <c r="F5" t="s">
        <v>169</v>
      </c>
      <c r="G5">
        <v>17.28</v>
      </c>
      <c r="H5">
        <v>9.99</v>
      </c>
      <c r="I5" t="s">
        <v>1469</v>
      </c>
      <c r="J5">
        <v>15025504000</v>
      </c>
      <c r="K5">
        <v>80.64</v>
      </c>
      <c r="L5">
        <v>5.49</v>
      </c>
      <c r="M5" t="s">
        <v>160</v>
      </c>
      <c r="N5" t="s">
        <v>872</v>
      </c>
      <c r="O5" t="s">
        <v>873</v>
      </c>
      <c r="P5" t="s">
        <v>874</v>
      </c>
      <c r="Q5">
        <v>26.88</v>
      </c>
      <c r="R5" t="s">
        <v>875</v>
      </c>
      <c r="S5">
        <v>140269260</v>
      </c>
      <c r="T5" s="4">
        <v>0.16639999999999999</v>
      </c>
      <c r="U5" t="s">
        <v>188</v>
      </c>
      <c r="V5">
        <v>786762580</v>
      </c>
      <c r="W5">
        <v>869531450</v>
      </c>
      <c r="X5">
        <v>3.46</v>
      </c>
      <c r="Y5">
        <v>0.36</v>
      </c>
      <c r="Z5">
        <v>4.5</v>
      </c>
      <c r="AA5" t="s">
        <v>876</v>
      </c>
      <c r="AB5" t="s">
        <v>877</v>
      </c>
      <c r="AC5" t="s">
        <v>569</v>
      </c>
      <c r="AD5" t="s">
        <v>271</v>
      </c>
      <c r="AE5" t="s">
        <v>370</v>
      </c>
      <c r="AF5">
        <v>78225782</v>
      </c>
      <c r="AG5" t="s">
        <v>878</v>
      </c>
      <c r="AH5" t="s">
        <v>879</v>
      </c>
      <c r="AI5" t="s">
        <v>880</v>
      </c>
      <c r="AJ5" t="s">
        <v>817</v>
      </c>
      <c r="AK5" t="s">
        <v>881</v>
      </c>
      <c r="AL5" t="s">
        <v>188</v>
      </c>
      <c r="AM5" t="s">
        <v>882</v>
      </c>
      <c r="AN5" t="s">
        <v>7</v>
      </c>
      <c r="AO5" t="s">
        <v>537</v>
      </c>
      <c r="AP5" t="s">
        <v>687</v>
      </c>
      <c r="AQ5" t="s">
        <v>611</v>
      </c>
      <c r="AR5" t="s">
        <v>883</v>
      </c>
      <c r="AS5" t="s">
        <v>7</v>
      </c>
      <c r="AT5" t="s">
        <v>884</v>
      </c>
      <c r="AU5" t="s">
        <v>885</v>
      </c>
      <c r="AV5" t="s">
        <v>886</v>
      </c>
      <c r="AW5" t="s">
        <v>887</v>
      </c>
      <c r="AX5" t="s">
        <v>888</v>
      </c>
      <c r="AY5" t="s">
        <v>219</v>
      </c>
      <c r="AZ5" t="s">
        <v>221</v>
      </c>
      <c r="BA5" t="s">
        <v>222</v>
      </c>
      <c r="BB5" t="s">
        <v>223</v>
      </c>
      <c r="BC5" t="s">
        <v>224</v>
      </c>
      <c r="BD5" t="s">
        <v>220</v>
      </c>
      <c r="BE5" t="s">
        <v>225</v>
      </c>
      <c r="BF5" t="s">
        <v>226</v>
      </c>
      <c r="BG5" t="s">
        <v>227</v>
      </c>
      <c r="BH5" t="s">
        <v>228</v>
      </c>
      <c r="BI5" t="s">
        <v>889</v>
      </c>
      <c r="BJ5" t="s">
        <v>890</v>
      </c>
      <c r="BK5" t="s">
        <v>678</v>
      </c>
      <c r="BL5" t="s">
        <v>891</v>
      </c>
      <c r="BM5" t="s">
        <v>339</v>
      </c>
      <c r="BN5" t="s">
        <v>679</v>
      </c>
      <c r="BO5">
        <v>1.1399999999999999</v>
      </c>
      <c r="BP5">
        <v>4.87</v>
      </c>
      <c r="BQ5">
        <v>5.22</v>
      </c>
      <c r="BR5">
        <v>1.53</v>
      </c>
      <c r="BS5">
        <v>5.75</v>
      </c>
      <c r="BT5">
        <v>7.11</v>
      </c>
      <c r="BU5" t="s">
        <v>680</v>
      </c>
      <c r="BV5" t="s">
        <v>177</v>
      </c>
      <c r="BW5">
        <v>33.090000000000003</v>
      </c>
      <c r="BX5">
        <v>32.54</v>
      </c>
      <c r="BY5">
        <v>34.130000000000003</v>
      </c>
      <c r="BZ5">
        <v>4.58</v>
      </c>
      <c r="CA5">
        <v>5.19</v>
      </c>
      <c r="CB5">
        <v>6.04</v>
      </c>
      <c r="CC5">
        <v>18.84</v>
      </c>
      <c r="CD5">
        <v>1.71</v>
      </c>
      <c r="CE5" t="s">
        <v>317</v>
      </c>
      <c r="CF5" t="s">
        <v>1470</v>
      </c>
      <c r="CG5" s="20">
        <v>0.1104847801578354</v>
      </c>
      <c r="CH5" s="21">
        <v>-1.9038225655859255E-2</v>
      </c>
      <c r="CI5" s="20">
        <v>0.2850993275642395</v>
      </c>
      <c r="CJ5" s="20">
        <v>0.20318718254566193</v>
      </c>
      <c r="CK5" s="20">
        <v>0.58760291337966919</v>
      </c>
      <c r="CL5" s="20">
        <v>8.2135528326034546E-2</v>
      </c>
      <c r="CM5" s="20">
        <v>0.35654598474502563</v>
      </c>
      <c r="CN5" s="21">
        <v>0.36065572500228882</v>
      </c>
      <c r="CO5" s="21">
        <v>-4.6875E-2</v>
      </c>
      <c r="CP5" s="21">
        <v>1.0378271341323853</v>
      </c>
      <c r="CQ5" s="21">
        <v>-0.37809902429580688</v>
      </c>
      <c r="CR5" s="21">
        <v>8.5391275584697723E-2</v>
      </c>
      <c r="CS5">
        <v>133.98362229626701</v>
      </c>
      <c r="CT5">
        <v>4.4231544083542316</v>
      </c>
      <c r="CU5">
        <v>0.1736111111111111</v>
      </c>
      <c r="CV5" s="20">
        <v>0.30291418731212616</v>
      </c>
      <c r="CW5" s="21">
        <v>0.21178002208471297</v>
      </c>
      <c r="CX5">
        <v>0.06</v>
      </c>
      <c r="CY5">
        <v>93.9687505942576</v>
      </c>
      <c r="CZ5">
        <v>204041278.39038956</v>
      </c>
      <c r="DA5">
        <v>0.30291418731212616</v>
      </c>
      <c r="DB5">
        <v>25.759713623559087</v>
      </c>
      <c r="DC5">
        <v>744321318.17119539</v>
      </c>
      <c r="DD5">
        <v>0.28776847794651983</v>
      </c>
      <c r="DE5">
        <v>9.8612974609275579</v>
      </c>
      <c r="DF5">
        <v>1944318592.5553179</v>
      </c>
      <c r="DG5">
        <v>0.26656448483467104</v>
      </c>
      <c r="DH5">
        <v>4.357716612904027</v>
      </c>
      <c r="DI5">
        <v>4399896942.1792164</v>
      </c>
      <c r="DJ5">
        <v>0.24233134984970095</v>
      </c>
      <c r="DK5">
        <v>1.0657037793633888</v>
      </c>
      <c r="DL5">
        <v>17991400960.83128</v>
      </c>
      <c r="DM5">
        <v>0.21203993111848829</v>
      </c>
      <c r="DN5">
        <v>166000000</v>
      </c>
      <c r="DO5">
        <v>0.30291418731212616</v>
      </c>
      <c r="DP5">
        <v>19173504000</v>
      </c>
      <c r="DQ5">
        <v>1200539700</v>
      </c>
      <c r="DR5">
        <v>1235</v>
      </c>
      <c r="DS5">
        <v>-0.19242940715429074</v>
      </c>
      <c r="DT5">
        <v>-0.23081824774057222</v>
      </c>
      <c r="DU5" s="22">
        <v>0.10999999999999995</v>
      </c>
      <c r="DV5">
        <v>0.53666666666666674</v>
      </c>
      <c r="DW5">
        <v>0.64666666666666672</v>
      </c>
      <c r="DX5">
        <v>5.0907643312101909</v>
      </c>
      <c r="DY5">
        <v>0.94932203389830017</v>
      </c>
      <c r="DZ5">
        <v>5.0235371909748459</v>
      </c>
      <c r="EA5">
        <v>773</v>
      </c>
      <c r="EB5">
        <v>5.0199787617506022</v>
      </c>
      <c r="EC5">
        <v>5</v>
      </c>
      <c r="ED5">
        <v>0.17595683284371141</v>
      </c>
      <c r="EE5">
        <v>0.67852634887444263</v>
      </c>
      <c r="EF5" s="19">
        <v>-1.0363739999999999</v>
      </c>
      <c r="EG5">
        <v>-1.1363000000000001</v>
      </c>
      <c r="EH5">
        <v>69.2593220338983</v>
      </c>
      <c r="EI5" t="s">
        <v>1467</v>
      </c>
      <c r="EJ5">
        <v>1</v>
      </c>
      <c r="EK5">
        <v>1</v>
      </c>
      <c r="EL5" s="27">
        <v>45348</v>
      </c>
      <c r="EM5" s="28">
        <v>2.8E-3</v>
      </c>
      <c r="EN5" s="28">
        <v>4.1000000000000003E-3</v>
      </c>
      <c r="EO5" s="28">
        <v>3.8300000000000001E-2</v>
      </c>
      <c r="EP5" s="28">
        <v>3.3599999999999998E-2</v>
      </c>
      <c r="EQ5" s="28">
        <v>9.99</v>
      </c>
    </row>
  </sheetData>
  <mergeCells count="1">
    <mergeCell ref="A3:A5"/>
  </mergeCells>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Q8"/>
  <sheetViews>
    <sheetView topLeftCell="A4" workbookViewId="0">
      <selection activeCell="D8" sqref="D8"/>
    </sheetView>
  </sheetViews>
  <sheetFormatPr defaultRowHeight="14" x14ac:dyDescent="0.25"/>
  <cols>
    <col min="1" max="1" width="14.08984375" customWidth="1"/>
    <col min="2" max="2" width="30" customWidth="1"/>
    <col min="3" max="3" width="34.453125" customWidth="1"/>
    <col min="4" max="4" width="52.54296875" customWidth="1"/>
    <col min="10" max="10" width="10.54296875" customWidth="1"/>
  </cols>
  <sheetData>
    <row r="1" spans="1:147" x14ac:dyDescent="0.25">
      <c r="A1" s="16" t="s">
        <v>63</v>
      </c>
      <c r="B1" s="17" t="s">
        <v>8</v>
      </c>
      <c r="C1" s="18" t="s">
        <v>9</v>
      </c>
      <c r="D1" s="17" t="s">
        <v>112</v>
      </c>
      <c r="E1" t="s">
        <v>2</v>
      </c>
      <c r="F1" t="s">
        <v>3</v>
      </c>
      <c r="G1" t="s">
        <v>0</v>
      </c>
      <c r="H1" t="s">
        <v>133</v>
      </c>
      <c r="I1" t="s">
        <v>151</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134</v>
      </c>
      <c r="AD1" t="s">
        <v>25</v>
      </c>
      <c r="AE1" t="s">
        <v>26</v>
      </c>
      <c r="AF1" t="s">
        <v>27</v>
      </c>
      <c r="AG1" t="s">
        <v>28</v>
      </c>
      <c r="AH1" t="s">
        <v>135</v>
      </c>
      <c r="AI1" t="s">
        <v>152</v>
      </c>
      <c r="AJ1" t="s">
        <v>136</v>
      </c>
      <c r="AK1" t="s">
        <v>29</v>
      </c>
      <c r="AL1" t="s">
        <v>137</v>
      </c>
      <c r="AM1" t="s">
        <v>64</v>
      </c>
      <c r="AN1" t="s">
        <v>138</v>
      </c>
      <c r="AO1" t="s">
        <v>139</v>
      </c>
      <c r="AP1" t="s">
        <v>140</v>
      </c>
      <c r="AQ1" t="s">
        <v>141</v>
      </c>
      <c r="AR1" t="s">
        <v>142</v>
      </c>
      <c r="AS1" t="s">
        <v>143</v>
      </c>
      <c r="AT1" t="s">
        <v>144</v>
      </c>
      <c r="AU1" t="s">
        <v>145</v>
      </c>
      <c r="AV1" t="s">
        <v>146</v>
      </c>
      <c r="AW1" t="s">
        <v>147</v>
      </c>
      <c r="AX1" t="s">
        <v>148</v>
      </c>
      <c r="AY1" t="s">
        <v>65</v>
      </c>
      <c r="AZ1" t="s">
        <v>66</v>
      </c>
      <c r="BA1" t="s">
        <v>67</v>
      </c>
      <c r="BB1" t="s">
        <v>68</v>
      </c>
      <c r="BC1" t="s">
        <v>69</v>
      </c>
      <c r="BD1" t="s">
        <v>70</v>
      </c>
      <c r="BE1" t="s">
        <v>71</v>
      </c>
      <c r="BF1" t="s">
        <v>72</v>
      </c>
      <c r="BG1" t="s">
        <v>73</v>
      </c>
      <c r="BH1" t="s">
        <v>74</v>
      </c>
      <c r="BI1" t="s">
        <v>127</v>
      </c>
      <c r="BJ1" t="s">
        <v>128</v>
      </c>
      <c r="BK1" t="s">
        <v>129</v>
      </c>
      <c r="BL1" t="s">
        <v>130</v>
      </c>
      <c r="BM1" t="s">
        <v>131</v>
      </c>
      <c r="BN1" t="s">
        <v>132</v>
      </c>
      <c r="BO1" t="s">
        <v>149</v>
      </c>
      <c r="BP1" t="s">
        <v>75</v>
      </c>
      <c r="BQ1" t="s">
        <v>76</v>
      </c>
      <c r="BR1" t="s">
        <v>77</v>
      </c>
      <c r="BS1" t="s">
        <v>150</v>
      </c>
      <c r="BT1" t="s">
        <v>78</v>
      </c>
      <c r="BU1" t="s">
        <v>79</v>
      </c>
      <c r="BV1" t="s">
        <v>80</v>
      </c>
      <c r="BW1" t="s">
        <v>81</v>
      </c>
      <c r="BX1" t="s">
        <v>81</v>
      </c>
      <c r="BY1" t="s">
        <v>82</v>
      </c>
      <c r="BZ1" t="s">
        <v>83</v>
      </c>
      <c r="CA1" t="s">
        <v>83</v>
      </c>
      <c r="CB1" t="s">
        <v>84</v>
      </c>
      <c r="CC1" t="s">
        <v>153</v>
      </c>
      <c r="CD1" t="s">
        <v>154</v>
      </c>
      <c r="CE1" t="s">
        <v>155</v>
      </c>
      <c r="CF1" t="s">
        <v>156</v>
      </c>
      <c r="CG1" s="1" t="s">
        <v>85</v>
      </c>
      <c r="CH1" s="1" t="s">
        <v>86</v>
      </c>
      <c r="CI1" s="1" t="s">
        <v>87</v>
      </c>
      <c r="CJ1" s="1" t="s">
        <v>88</v>
      </c>
      <c r="CK1" s="1" t="s">
        <v>89</v>
      </c>
      <c r="CL1" s="1" t="s">
        <v>90</v>
      </c>
      <c r="CM1" s="1" t="s">
        <v>91</v>
      </c>
      <c r="CN1" s="1" t="s">
        <v>92</v>
      </c>
      <c r="CO1" s="1" t="s">
        <v>93</v>
      </c>
      <c r="CP1" s="1" t="s">
        <v>94</v>
      </c>
      <c r="CQ1" s="1" t="s">
        <v>95</v>
      </c>
      <c r="CR1" s="1" t="s">
        <v>96</v>
      </c>
      <c r="CS1" s="1" t="s">
        <v>113</v>
      </c>
      <c r="CT1" s="1" t="s">
        <v>97</v>
      </c>
      <c r="CU1" s="1" t="s">
        <v>98</v>
      </c>
      <c r="CV1" s="1" t="s">
        <v>51</v>
      </c>
      <c r="CW1">
        <v>1</v>
      </c>
      <c r="CX1" t="s">
        <v>99</v>
      </c>
      <c r="CY1" t="s">
        <v>114</v>
      </c>
      <c r="CZ1">
        <v>3</v>
      </c>
      <c r="DA1" t="s">
        <v>115</v>
      </c>
      <c r="DB1" t="s">
        <v>116</v>
      </c>
      <c r="DC1">
        <v>6</v>
      </c>
      <c r="DD1" t="s">
        <v>100</v>
      </c>
      <c r="DE1" t="s">
        <v>101</v>
      </c>
      <c r="DF1">
        <v>10</v>
      </c>
      <c r="DG1" t="s">
        <v>102</v>
      </c>
      <c r="DH1" t="s">
        <v>103</v>
      </c>
      <c r="DI1">
        <v>20</v>
      </c>
      <c r="DJ1" t="s">
        <v>117</v>
      </c>
      <c r="DK1" t="s">
        <v>104</v>
      </c>
      <c r="DL1" t="s">
        <v>105</v>
      </c>
      <c r="DM1" s="2" t="s">
        <v>106</v>
      </c>
      <c r="DN1" t="s">
        <v>118</v>
      </c>
      <c r="DO1" t="s">
        <v>107</v>
      </c>
      <c r="DP1" s="1" t="s">
        <v>119</v>
      </c>
      <c r="DQ1" s="1" t="s">
        <v>120</v>
      </c>
      <c r="DR1" s="1" t="s">
        <v>121</v>
      </c>
      <c r="DS1" t="s">
        <v>122</v>
      </c>
      <c r="DT1" t="s">
        <v>108</v>
      </c>
      <c r="DU1" t="s">
        <v>109</v>
      </c>
      <c r="DV1" t="s">
        <v>123</v>
      </c>
      <c r="DW1" t="s">
        <v>124</v>
      </c>
      <c r="DX1" t="s">
        <v>125</v>
      </c>
      <c r="DY1" t="s">
        <v>126</v>
      </c>
      <c r="DZ1" t="s">
        <v>110</v>
      </c>
      <c r="EA1" t="s">
        <v>111</v>
      </c>
    </row>
    <row r="2" spans="1:147" ht="53.5" customHeight="1" x14ac:dyDescent="0.25">
      <c r="A2" s="26" t="s">
        <v>157</v>
      </c>
      <c r="B2" s="24"/>
      <c r="C2" s="25">
        <v>3</v>
      </c>
      <c r="D2" s="25">
        <v>8</v>
      </c>
      <c r="T2" s="4"/>
      <c r="CG2" s="1"/>
      <c r="CH2" s="1"/>
      <c r="CI2" s="1"/>
      <c r="CJ2" s="1"/>
      <c r="CK2" s="1"/>
      <c r="CL2" s="1"/>
      <c r="CM2" s="1"/>
      <c r="CN2" s="1"/>
      <c r="CO2" s="1"/>
      <c r="CP2" s="1"/>
      <c r="CQ2" s="1"/>
      <c r="CR2" s="1"/>
      <c r="CS2" s="1"/>
      <c r="CT2" s="1"/>
      <c r="CU2" s="1"/>
      <c r="CV2" s="1"/>
      <c r="DM2" s="2"/>
      <c r="DP2" s="1"/>
      <c r="DQ2" s="1"/>
      <c r="DR2" s="1"/>
    </row>
    <row r="3" spans="1:147" ht="240" x14ac:dyDescent="0.25">
      <c r="A3" s="29" t="s">
        <v>273</v>
      </c>
      <c r="B3" s="23"/>
      <c r="C3" s="23"/>
      <c r="D3" s="23" t="s">
        <v>1468</v>
      </c>
      <c r="E3" t="s">
        <v>166</v>
      </c>
      <c r="F3" t="s">
        <v>167</v>
      </c>
      <c r="G3">
        <v>60.8</v>
      </c>
      <c r="H3">
        <v>0.16</v>
      </c>
      <c r="I3" t="s">
        <v>1464</v>
      </c>
      <c r="J3">
        <v>162742520000</v>
      </c>
      <c r="K3">
        <v>35.729999999999997</v>
      </c>
      <c r="L3">
        <v>7.21</v>
      </c>
      <c r="M3" t="s">
        <v>160</v>
      </c>
      <c r="N3" t="s">
        <v>841</v>
      </c>
      <c r="O3" t="s">
        <v>842</v>
      </c>
      <c r="P3" t="s">
        <v>843</v>
      </c>
      <c r="Q3">
        <v>23.89</v>
      </c>
      <c r="R3" t="s">
        <v>844</v>
      </c>
      <c r="S3">
        <v>3319367600</v>
      </c>
      <c r="T3" s="4">
        <v>7.5999999999999998E-2</v>
      </c>
      <c r="U3" t="s">
        <v>845</v>
      </c>
      <c r="V3">
        <v>2319544200</v>
      </c>
      <c r="W3">
        <v>2665331100</v>
      </c>
      <c r="X3">
        <v>1.87</v>
      </c>
      <c r="Y3">
        <v>0.49</v>
      </c>
      <c r="Z3">
        <v>16.63</v>
      </c>
      <c r="AA3" t="s">
        <v>846</v>
      </c>
      <c r="AB3" t="s">
        <v>847</v>
      </c>
      <c r="AC3" t="s">
        <v>848</v>
      </c>
      <c r="AD3" t="s">
        <v>849</v>
      </c>
      <c r="AE3" t="s">
        <v>850</v>
      </c>
      <c r="AF3">
        <v>-4287759</v>
      </c>
      <c r="AG3" t="s">
        <v>851</v>
      </c>
      <c r="AH3" t="s">
        <v>852</v>
      </c>
      <c r="AI3" t="s">
        <v>853</v>
      </c>
      <c r="AJ3" t="s">
        <v>854</v>
      </c>
      <c r="AK3" t="s">
        <v>855</v>
      </c>
      <c r="AL3" t="s">
        <v>856</v>
      </c>
      <c r="AM3" t="s">
        <v>857</v>
      </c>
      <c r="AN3" t="s">
        <v>7</v>
      </c>
      <c r="AO3" t="s">
        <v>858</v>
      </c>
      <c r="AP3" t="s">
        <v>859</v>
      </c>
      <c r="AQ3" t="s">
        <v>860</v>
      </c>
      <c r="AR3" t="s">
        <v>861</v>
      </c>
      <c r="AS3" t="s">
        <v>7</v>
      </c>
      <c r="AT3" t="s">
        <v>862</v>
      </c>
      <c r="AU3" t="s">
        <v>863</v>
      </c>
      <c r="AV3" t="s">
        <v>864</v>
      </c>
      <c r="AW3" t="s">
        <v>865</v>
      </c>
      <c r="AX3" t="s">
        <v>866</v>
      </c>
      <c r="AY3" t="s">
        <v>209</v>
      </c>
      <c r="AZ3" t="s">
        <v>211</v>
      </c>
      <c r="BA3" t="s">
        <v>212</v>
      </c>
      <c r="BB3" t="s">
        <v>213</v>
      </c>
      <c r="BC3" t="s">
        <v>214</v>
      </c>
      <c r="BD3" t="s">
        <v>210</v>
      </c>
      <c r="BE3" t="s">
        <v>215</v>
      </c>
      <c r="BF3" t="s">
        <v>216</v>
      </c>
      <c r="BG3" t="s">
        <v>217</v>
      </c>
      <c r="BH3" t="s">
        <v>218</v>
      </c>
      <c r="BI3" t="s">
        <v>867</v>
      </c>
      <c r="BJ3" t="s">
        <v>868</v>
      </c>
      <c r="BK3" t="s">
        <v>673</v>
      </c>
      <c r="BL3" t="s">
        <v>869</v>
      </c>
      <c r="BM3" t="s">
        <v>870</v>
      </c>
      <c r="BN3" t="s">
        <v>674</v>
      </c>
      <c r="BO3">
        <v>2.85</v>
      </c>
      <c r="BP3">
        <v>23.52</v>
      </c>
      <c r="BQ3">
        <v>18.59</v>
      </c>
      <c r="BR3">
        <v>3.69</v>
      </c>
      <c r="BS3">
        <v>27.35</v>
      </c>
      <c r="BT3">
        <v>21.7</v>
      </c>
      <c r="BU3" t="s">
        <v>871</v>
      </c>
      <c r="BV3" t="s">
        <v>296</v>
      </c>
      <c r="BW3">
        <v>36.270000000000003</v>
      </c>
      <c r="BX3">
        <v>35.82</v>
      </c>
      <c r="BY3">
        <v>38.96</v>
      </c>
      <c r="BZ3">
        <v>16.79</v>
      </c>
      <c r="CA3">
        <v>20.51</v>
      </c>
      <c r="CB3">
        <v>18.95</v>
      </c>
      <c r="CC3">
        <v>-2.52</v>
      </c>
      <c r="CD3">
        <v>1.33</v>
      </c>
      <c r="CE3" t="s">
        <v>1465</v>
      </c>
      <c r="CF3" t="s">
        <v>1466</v>
      </c>
      <c r="CG3" s="20">
        <v>0.31245722108145108</v>
      </c>
      <c r="CH3" s="21">
        <v>0.11925009009009009</v>
      </c>
      <c r="CI3" s="20">
        <v>0.28228285908699036</v>
      </c>
      <c r="CJ3" s="20">
        <v>0.55876976251602173</v>
      </c>
      <c r="CK3" s="20">
        <v>0.55764544010162354</v>
      </c>
      <c r="CL3" s="20">
        <v>0.25808653235435486</v>
      </c>
      <c r="CM3" s="20">
        <v>0.22964201867580414</v>
      </c>
      <c r="CN3" s="21">
        <v>0.20906803011894226</v>
      </c>
      <c r="CO3" s="21">
        <v>0.70142853260040283</v>
      </c>
      <c r="CP3" s="21">
        <v>1.2058823108673096</v>
      </c>
      <c r="CQ3" s="21">
        <v>-0.18423311412334442</v>
      </c>
      <c r="CR3" s="21">
        <v>0.10094345360994339</v>
      </c>
      <c r="CS3">
        <v>74.131120558760998</v>
      </c>
      <c r="CT3">
        <v>1.9648556709898051</v>
      </c>
      <c r="CU3">
        <v>0.5921052631578948</v>
      </c>
      <c r="CV3" s="20">
        <v>0.3772853225469589</v>
      </c>
      <c r="CW3" s="21">
        <v>0.40661784261465073</v>
      </c>
      <c r="CX3">
        <v>0.06</v>
      </c>
      <c r="CY3">
        <v>28.467492125428695</v>
      </c>
      <c r="CZ3">
        <v>5613087352.2668514</v>
      </c>
      <c r="DA3">
        <v>0.3772853225469589</v>
      </c>
      <c r="DB3">
        <v>7.3557455636805269</v>
      </c>
      <c r="DC3">
        <v>21723225554.317173</v>
      </c>
      <c r="DD3">
        <v>0.35842105641961092</v>
      </c>
      <c r="DE3">
        <v>2.5714604392618643</v>
      </c>
      <c r="DF3">
        <v>62139987674.03466</v>
      </c>
      <c r="DG3">
        <v>0.33201108384132383</v>
      </c>
      <c r="DH3">
        <v>1.0094193372417948</v>
      </c>
      <c r="DI3">
        <v>158299444150.3591</v>
      </c>
      <c r="DJ3">
        <v>0.30182825803756713</v>
      </c>
      <c r="DK3">
        <v>0.18182086029155833</v>
      </c>
      <c r="DL3">
        <v>878834913352.45227</v>
      </c>
      <c r="DM3">
        <v>0.26409972578287122</v>
      </c>
      <c r="DN3">
        <v>4320000000</v>
      </c>
      <c r="DO3">
        <v>0.3772853225469589</v>
      </c>
      <c r="DP3">
        <v>159790520000</v>
      </c>
      <c r="DQ3">
        <v>11427512000</v>
      </c>
      <c r="DR3">
        <v>1621</v>
      </c>
      <c r="DS3">
        <v>-6.4828101465507826E-2</v>
      </c>
      <c r="DT3">
        <v>-0.28736775252456065</v>
      </c>
      <c r="DU3" s="22">
        <v>0.22666666666666657</v>
      </c>
      <c r="DV3">
        <v>0.6166666666666667</v>
      </c>
      <c r="DW3">
        <v>0.84333333333333327</v>
      </c>
      <c r="DX3">
        <v>-4.5277777777777777</v>
      </c>
      <c r="DY3">
        <v>0.517127020785216</v>
      </c>
      <c r="DZ3">
        <v>-4.0882059276366434</v>
      </c>
      <c r="EA3">
        <v>509</v>
      </c>
      <c r="EB3">
        <v>-4.079425012876805</v>
      </c>
      <c r="EC3">
        <v>4</v>
      </c>
      <c r="ED3">
        <v>2.7150848162916796E-2</v>
      </c>
      <c r="EE3">
        <v>0.16245636423932472</v>
      </c>
      <c r="EF3" s="19">
        <v>-1.056352</v>
      </c>
      <c r="EG3">
        <v>-1.0580000000000001</v>
      </c>
      <c r="EH3">
        <v>35.167127020785216</v>
      </c>
      <c r="EI3" t="s">
        <v>1467</v>
      </c>
      <c r="EJ3">
        <v>0</v>
      </c>
      <c r="EK3">
        <v>1</v>
      </c>
      <c r="EL3" s="27">
        <v>45348</v>
      </c>
      <c r="EM3" s="28">
        <v>1.01E-2</v>
      </c>
      <c r="EN3" s="28">
        <v>-1.9E-2</v>
      </c>
      <c r="EO3" s="28">
        <v>-3.0999999999999999E-3</v>
      </c>
      <c r="EP3" s="28">
        <v>-1.4800000000000001E-2</v>
      </c>
      <c r="EQ3" s="28">
        <v>0.16</v>
      </c>
    </row>
    <row r="4" spans="1:147" ht="132" x14ac:dyDescent="0.25">
      <c r="A4" s="31"/>
      <c r="B4" s="23"/>
      <c r="C4" s="23"/>
      <c r="D4" s="23" t="s">
        <v>1471</v>
      </c>
      <c r="E4" t="s">
        <v>168</v>
      </c>
      <c r="F4" t="s">
        <v>169</v>
      </c>
      <c r="G4">
        <v>17.28</v>
      </c>
      <c r="H4">
        <v>9.99</v>
      </c>
      <c r="I4" t="s">
        <v>1469</v>
      </c>
      <c r="J4">
        <v>15025504000</v>
      </c>
      <c r="K4">
        <v>80.64</v>
      </c>
      <c r="L4">
        <v>5.49</v>
      </c>
      <c r="M4" t="s">
        <v>160</v>
      </c>
      <c r="N4" t="s">
        <v>872</v>
      </c>
      <c r="O4" t="s">
        <v>873</v>
      </c>
      <c r="P4" t="s">
        <v>874</v>
      </c>
      <c r="Q4">
        <v>26.88</v>
      </c>
      <c r="R4" t="s">
        <v>875</v>
      </c>
      <c r="S4">
        <v>140269260</v>
      </c>
      <c r="T4" s="4">
        <v>0.16639999999999999</v>
      </c>
      <c r="U4" t="s">
        <v>188</v>
      </c>
      <c r="V4">
        <v>786762580</v>
      </c>
      <c r="W4">
        <v>869531450</v>
      </c>
      <c r="X4">
        <v>3.46</v>
      </c>
      <c r="Y4">
        <v>0.36</v>
      </c>
      <c r="Z4">
        <v>4.5</v>
      </c>
      <c r="AA4" t="s">
        <v>876</v>
      </c>
      <c r="AB4" t="s">
        <v>877</v>
      </c>
      <c r="AC4" t="s">
        <v>569</v>
      </c>
      <c r="AD4" t="s">
        <v>271</v>
      </c>
      <c r="AE4" t="s">
        <v>370</v>
      </c>
      <c r="AF4">
        <v>78225782</v>
      </c>
      <c r="AG4" t="s">
        <v>878</v>
      </c>
      <c r="AH4" t="s">
        <v>879</v>
      </c>
      <c r="AI4" t="s">
        <v>880</v>
      </c>
      <c r="AJ4" t="s">
        <v>817</v>
      </c>
      <c r="AK4" t="s">
        <v>881</v>
      </c>
      <c r="AL4" t="s">
        <v>188</v>
      </c>
      <c r="AM4" t="s">
        <v>882</v>
      </c>
      <c r="AN4" t="s">
        <v>7</v>
      </c>
      <c r="AO4" t="s">
        <v>537</v>
      </c>
      <c r="AP4" t="s">
        <v>687</v>
      </c>
      <c r="AQ4" t="s">
        <v>611</v>
      </c>
      <c r="AR4" t="s">
        <v>883</v>
      </c>
      <c r="AS4" t="s">
        <v>7</v>
      </c>
      <c r="AT4" t="s">
        <v>884</v>
      </c>
      <c r="AU4" t="s">
        <v>885</v>
      </c>
      <c r="AV4" t="s">
        <v>886</v>
      </c>
      <c r="AW4" t="s">
        <v>887</v>
      </c>
      <c r="AX4" t="s">
        <v>888</v>
      </c>
      <c r="AY4" t="s">
        <v>219</v>
      </c>
      <c r="AZ4" t="s">
        <v>221</v>
      </c>
      <c r="BA4" t="s">
        <v>222</v>
      </c>
      <c r="BB4" t="s">
        <v>223</v>
      </c>
      <c r="BC4" t="s">
        <v>224</v>
      </c>
      <c r="BD4" t="s">
        <v>220</v>
      </c>
      <c r="BE4" t="s">
        <v>225</v>
      </c>
      <c r="BF4" t="s">
        <v>226</v>
      </c>
      <c r="BG4" t="s">
        <v>227</v>
      </c>
      <c r="BH4" t="s">
        <v>228</v>
      </c>
      <c r="BI4" t="s">
        <v>889</v>
      </c>
      <c r="BJ4" t="s">
        <v>890</v>
      </c>
      <c r="BK4" t="s">
        <v>678</v>
      </c>
      <c r="BL4" t="s">
        <v>891</v>
      </c>
      <c r="BM4" t="s">
        <v>339</v>
      </c>
      <c r="BN4" t="s">
        <v>679</v>
      </c>
      <c r="BO4">
        <v>1.1399999999999999</v>
      </c>
      <c r="BP4">
        <v>4.87</v>
      </c>
      <c r="BQ4">
        <v>5.22</v>
      </c>
      <c r="BR4">
        <v>1.53</v>
      </c>
      <c r="BS4">
        <v>5.75</v>
      </c>
      <c r="BT4">
        <v>7.11</v>
      </c>
      <c r="BU4" t="s">
        <v>680</v>
      </c>
      <c r="BV4" t="s">
        <v>177</v>
      </c>
      <c r="BW4">
        <v>33.090000000000003</v>
      </c>
      <c r="BX4">
        <v>32.54</v>
      </c>
      <c r="BY4">
        <v>34.130000000000003</v>
      </c>
      <c r="BZ4">
        <v>4.58</v>
      </c>
      <c r="CA4">
        <v>5.19</v>
      </c>
      <c r="CB4">
        <v>6.04</v>
      </c>
      <c r="CC4">
        <v>18.84</v>
      </c>
      <c r="CD4">
        <v>1.71</v>
      </c>
      <c r="CE4" t="s">
        <v>317</v>
      </c>
      <c r="CF4" t="s">
        <v>1470</v>
      </c>
      <c r="CG4" s="20">
        <v>0.1104847801578354</v>
      </c>
      <c r="CH4" s="21">
        <v>-1.9038225655859255E-2</v>
      </c>
      <c r="CI4" s="20">
        <v>0.2850993275642395</v>
      </c>
      <c r="CJ4" s="20">
        <v>0.20318718254566193</v>
      </c>
      <c r="CK4" s="20">
        <v>0.58760291337966919</v>
      </c>
      <c r="CL4" s="20">
        <v>8.2135528326034546E-2</v>
      </c>
      <c r="CM4" s="20">
        <v>0.35654598474502563</v>
      </c>
      <c r="CN4" s="21">
        <v>0.36065572500228882</v>
      </c>
      <c r="CO4" s="21">
        <v>-4.6875E-2</v>
      </c>
      <c r="CP4" s="21">
        <v>1.0378271341323853</v>
      </c>
      <c r="CQ4" s="21">
        <v>-0.37809902429580688</v>
      </c>
      <c r="CR4" s="21">
        <v>8.5391275584697723E-2</v>
      </c>
      <c r="CS4">
        <v>133.98362229626701</v>
      </c>
      <c r="CT4">
        <v>4.4231544083542316</v>
      </c>
      <c r="CU4">
        <v>0.1736111111111111</v>
      </c>
      <c r="CV4" s="20">
        <v>0.30291418731212616</v>
      </c>
      <c r="CW4" s="21">
        <v>0.21178002208471297</v>
      </c>
      <c r="CX4">
        <v>0.06</v>
      </c>
      <c r="CY4">
        <v>93.9687505942576</v>
      </c>
      <c r="CZ4">
        <v>204041278.39038956</v>
      </c>
      <c r="DA4">
        <v>0.30291418731212616</v>
      </c>
      <c r="DB4">
        <v>25.759713623559087</v>
      </c>
      <c r="DC4">
        <v>744321318.17119539</v>
      </c>
      <c r="DD4">
        <v>0.28776847794651983</v>
      </c>
      <c r="DE4">
        <v>9.8612974609275579</v>
      </c>
      <c r="DF4">
        <v>1944318592.5553179</v>
      </c>
      <c r="DG4">
        <v>0.26656448483467104</v>
      </c>
      <c r="DH4">
        <v>4.357716612904027</v>
      </c>
      <c r="DI4">
        <v>4399896942.1792164</v>
      </c>
      <c r="DJ4">
        <v>0.24233134984970095</v>
      </c>
      <c r="DK4">
        <v>1.0657037793633888</v>
      </c>
      <c r="DL4">
        <v>17991400960.83128</v>
      </c>
      <c r="DM4">
        <v>0.21203993111848829</v>
      </c>
      <c r="DN4">
        <v>166000000</v>
      </c>
      <c r="DO4">
        <v>0.30291418731212616</v>
      </c>
      <c r="DP4">
        <v>19173504000</v>
      </c>
      <c r="DQ4">
        <v>1200539700</v>
      </c>
      <c r="DR4">
        <v>1235</v>
      </c>
      <c r="DS4">
        <v>-0.19242940715429074</v>
      </c>
      <c r="DT4">
        <v>-0.23081824774057222</v>
      </c>
      <c r="DU4" s="22">
        <v>0.10999999999999995</v>
      </c>
      <c r="DV4">
        <v>0.53666666666666674</v>
      </c>
      <c r="DW4">
        <v>0.64666666666666672</v>
      </c>
      <c r="DX4">
        <v>5.0907643312101909</v>
      </c>
      <c r="DY4">
        <v>0.94932203389830017</v>
      </c>
      <c r="DZ4">
        <v>5.0235371909748459</v>
      </c>
      <c r="EA4">
        <v>773</v>
      </c>
      <c r="EB4">
        <v>5.0199787617506022</v>
      </c>
      <c r="EC4">
        <v>5</v>
      </c>
      <c r="ED4">
        <v>0.17595683284371141</v>
      </c>
      <c r="EE4">
        <v>0.67852634887444263</v>
      </c>
      <c r="EF4" s="19">
        <v>-1.0363739999999999</v>
      </c>
      <c r="EG4">
        <v>-1.1363000000000001</v>
      </c>
      <c r="EH4">
        <v>69.2593220338983</v>
      </c>
      <c r="EI4" t="s">
        <v>1467</v>
      </c>
      <c r="EJ4">
        <v>1</v>
      </c>
      <c r="EK4">
        <v>1</v>
      </c>
      <c r="EL4" s="27">
        <v>45348</v>
      </c>
      <c r="EM4" s="28">
        <v>2.8E-3</v>
      </c>
      <c r="EN4" s="28">
        <v>4.1000000000000003E-3</v>
      </c>
      <c r="EO4" s="28">
        <v>3.8300000000000001E-2</v>
      </c>
      <c r="EP4" s="28">
        <v>3.3599999999999998E-2</v>
      </c>
      <c r="EQ4" s="28">
        <v>9.99</v>
      </c>
    </row>
    <row r="5" spans="1:147" ht="84" x14ac:dyDescent="0.25">
      <c r="A5" s="31"/>
      <c r="B5" s="23"/>
      <c r="C5" s="23"/>
      <c r="D5" s="23" t="s">
        <v>1475</v>
      </c>
      <c r="E5" t="s">
        <v>170</v>
      </c>
      <c r="F5" t="s">
        <v>171</v>
      </c>
      <c r="G5">
        <v>16.87</v>
      </c>
      <c r="H5">
        <v>1.81</v>
      </c>
      <c r="I5" t="s">
        <v>1472</v>
      </c>
      <c r="J5">
        <v>5217742500</v>
      </c>
      <c r="K5">
        <v>50.47</v>
      </c>
      <c r="L5">
        <v>4.0999999999999996</v>
      </c>
      <c r="M5" t="s">
        <v>160</v>
      </c>
      <c r="N5" t="s">
        <v>892</v>
      </c>
      <c r="O5" t="s">
        <v>893</v>
      </c>
      <c r="P5" t="s">
        <v>623</v>
      </c>
      <c r="Q5">
        <v>12.13</v>
      </c>
      <c r="R5" t="s">
        <v>692</v>
      </c>
      <c r="S5">
        <v>92275525</v>
      </c>
      <c r="T5" s="4">
        <v>-0.55889999999999995</v>
      </c>
      <c r="U5" t="s">
        <v>203</v>
      </c>
      <c r="V5">
        <v>214920010</v>
      </c>
      <c r="W5">
        <v>309600000</v>
      </c>
      <c r="X5">
        <v>1.75</v>
      </c>
      <c r="Y5">
        <v>0.47</v>
      </c>
      <c r="Z5">
        <v>8.85</v>
      </c>
      <c r="AA5" t="s">
        <v>894</v>
      </c>
      <c r="AB5" t="s">
        <v>815</v>
      </c>
      <c r="AC5" t="s">
        <v>895</v>
      </c>
      <c r="AD5" t="s">
        <v>896</v>
      </c>
      <c r="AE5" t="s">
        <v>897</v>
      </c>
      <c r="AF5">
        <v>3854967</v>
      </c>
      <c r="AG5" t="s">
        <v>898</v>
      </c>
      <c r="AH5" t="s">
        <v>899</v>
      </c>
      <c r="AI5" t="s">
        <v>900</v>
      </c>
      <c r="AJ5" t="s">
        <v>901</v>
      </c>
      <c r="AK5" t="s">
        <v>902</v>
      </c>
      <c r="AL5" t="s">
        <v>227</v>
      </c>
      <c r="AM5" t="s">
        <v>903</v>
      </c>
      <c r="AN5" t="s">
        <v>7</v>
      </c>
      <c r="AO5" t="s">
        <v>904</v>
      </c>
      <c r="AP5" t="s">
        <v>745</v>
      </c>
      <c r="AQ5" t="s">
        <v>702</v>
      </c>
      <c r="AR5" t="s">
        <v>507</v>
      </c>
      <c r="AS5" t="s">
        <v>7</v>
      </c>
      <c r="AT5" t="s">
        <v>178</v>
      </c>
      <c r="AU5" t="s">
        <v>610</v>
      </c>
      <c r="AV5" t="s">
        <v>905</v>
      </c>
      <c r="AW5" t="s">
        <v>906</v>
      </c>
      <c r="AX5" t="s">
        <v>907</v>
      </c>
      <c r="AY5" t="s">
        <v>229</v>
      </c>
      <c r="AZ5" t="s">
        <v>232</v>
      </c>
      <c r="BA5" t="s">
        <v>233</v>
      </c>
      <c r="BB5" t="s">
        <v>30</v>
      </c>
      <c r="BC5" t="s">
        <v>234</v>
      </c>
      <c r="BD5" t="s">
        <v>230</v>
      </c>
      <c r="BE5" t="s">
        <v>204</v>
      </c>
      <c r="BF5" t="s">
        <v>235</v>
      </c>
      <c r="BG5" t="s">
        <v>236</v>
      </c>
      <c r="BH5" t="s">
        <v>237</v>
      </c>
      <c r="BI5" t="s">
        <v>908</v>
      </c>
      <c r="BJ5" t="s">
        <v>710</v>
      </c>
      <c r="BK5" t="s">
        <v>681</v>
      </c>
      <c r="BL5" t="s">
        <v>909</v>
      </c>
      <c r="BM5" t="s">
        <v>349</v>
      </c>
      <c r="BN5" t="s">
        <v>647</v>
      </c>
      <c r="BO5">
        <v>2.2999999999999998</v>
      </c>
      <c r="BP5">
        <v>18.28</v>
      </c>
      <c r="BQ5">
        <v>20.9</v>
      </c>
      <c r="BR5">
        <v>2.86</v>
      </c>
      <c r="BS5">
        <v>19.54</v>
      </c>
      <c r="BT5">
        <v>17.73</v>
      </c>
      <c r="BU5" t="s">
        <v>675</v>
      </c>
      <c r="BV5" t="s">
        <v>177</v>
      </c>
      <c r="BW5">
        <v>37.799999999999997</v>
      </c>
      <c r="BX5">
        <v>41.64</v>
      </c>
      <c r="BY5">
        <v>42.62</v>
      </c>
      <c r="BZ5">
        <v>10.67</v>
      </c>
      <c r="CA5">
        <v>18.93</v>
      </c>
      <c r="CB5">
        <v>19.88</v>
      </c>
      <c r="CC5">
        <v>10.99</v>
      </c>
      <c r="CD5">
        <v>-14.84</v>
      </c>
      <c r="CE5" t="s">
        <v>1473</v>
      </c>
      <c r="CF5" t="s">
        <v>1474</v>
      </c>
      <c r="CG5" s="20">
        <v>0.28195488721804468</v>
      </c>
      <c r="CH5" s="21">
        <v>-0.82435494791666675</v>
      </c>
      <c r="CI5" s="20">
        <v>0.11221939325332642</v>
      </c>
      <c r="CJ5" s="20">
        <v>0.27167025208473206</v>
      </c>
      <c r="CK5" s="20">
        <v>0.4268476665019989</v>
      </c>
      <c r="CL5" s="20">
        <v>0.11055276542901993</v>
      </c>
      <c r="CM5" s="20">
        <v>0.115887850522995</v>
      </c>
      <c r="CN5" s="21">
        <v>9.1743115335702896E-3</v>
      </c>
      <c r="CO5" s="21">
        <v>0.23863635957241058</v>
      </c>
      <c r="CP5" s="21">
        <v>0.62962961196899414</v>
      </c>
      <c r="CQ5" s="21">
        <v>0.28883510828018188</v>
      </c>
      <c r="CR5" s="21">
        <v>-0.10317256301641464</v>
      </c>
      <c r="CS5">
        <v>34.814608177877759</v>
      </c>
      <c r="CT5">
        <v>1.6783334491117901</v>
      </c>
      <c r="CU5">
        <v>1.7783046828689981</v>
      </c>
      <c r="CV5" s="20">
        <v>0.20743558555841446</v>
      </c>
      <c r="CW5" s="21">
        <v>0.21262056566774845</v>
      </c>
      <c r="CX5">
        <v>0.06</v>
      </c>
      <c r="CY5">
        <v>19.544076840109586</v>
      </c>
      <c r="CZ5">
        <v>250599838.51212376</v>
      </c>
      <c r="DA5">
        <v>0.20743558555841446</v>
      </c>
      <c r="DB5">
        <v>5.7901671687262484</v>
      </c>
      <c r="DC5">
        <v>845872382.83094883</v>
      </c>
      <c r="DD5">
        <v>0.19706380628049372</v>
      </c>
      <c r="DE5">
        <v>2.4864556101221362</v>
      </c>
      <c r="DF5">
        <v>1969768726.2389615</v>
      </c>
      <c r="DG5">
        <v>0.18254331529140472</v>
      </c>
      <c r="DH5">
        <v>1.2702314756975517</v>
      </c>
      <c r="DI5">
        <v>3855787384.9806695</v>
      </c>
      <c r="DJ5">
        <v>0.16594846844673158</v>
      </c>
      <c r="DK5">
        <v>0.44838716890156699</v>
      </c>
      <c r="DL5">
        <v>10923021084.653709</v>
      </c>
      <c r="DM5">
        <v>0.1452049098908901</v>
      </c>
      <c r="DN5">
        <v>220000000.00000003</v>
      </c>
      <c r="DO5">
        <v>0.20743558555841446</v>
      </c>
      <c r="DP5">
        <v>4897742500</v>
      </c>
      <c r="DQ5">
        <v>695333100</v>
      </c>
      <c r="DR5">
        <v>1444</v>
      </c>
      <c r="DS5">
        <v>7.4519301659630222E-2</v>
      </c>
      <c r="DT5">
        <v>-1.0369755135844152</v>
      </c>
      <c r="DU5" s="22">
        <v>-0.15666666666666665</v>
      </c>
      <c r="DV5">
        <v>0.3133333333333333</v>
      </c>
      <c r="DW5">
        <v>0.15666666666666665</v>
      </c>
      <c r="DX5">
        <v>7.4254742547425474</v>
      </c>
      <c r="DY5">
        <v>0.63986622807017191</v>
      </c>
      <c r="DZ5">
        <v>7.0978021620786382</v>
      </c>
      <c r="EA5">
        <v>1889</v>
      </c>
      <c r="EB5">
        <v>7.0616691121731918</v>
      </c>
      <c r="EC5">
        <v>7</v>
      </c>
      <c r="ED5">
        <v>0.169281330749354</v>
      </c>
      <c r="EE5">
        <v>0.73643410852713165</v>
      </c>
      <c r="EF5" s="19">
        <v>0.123101</v>
      </c>
      <c r="EG5">
        <v>0.14119999999999999</v>
      </c>
      <c r="EH5">
        <v>41.229866228070172</v>
      </c>
      <c r="EI5" t="s">
        <v>570</v>
      </c>
      <c r="EJ5">
        <v>1</v>
      </c>
      <c r="EK5">
        <v>0</v>
      </c>
      <c r="EL5" s="27">
        <v>45348</v>
      </c>
      <c r="EM5" s="28">
        <v>3.3E-3</v>
      </c>
      <c r="EN5" s="28">
        <v>1.9E-2</v>
      </c>
      <c r="EO5" s="28">
        <v>1.54E-2</v>
      </c>
      <c r="EP5" s="28">
        <v>5.0099999999999999E-2</v>
      </c>
      <c r="EQ5" s="28">
        <v>1.81</v>
      </c>
    </row>
    <row r="6" spans="1:147" ht="84" x14ac:dyDescent="0.25">
      <c r="A6" s="31"/>
      <c r="B6" s="23"/>
      <c r="C6" s="23"/>
      <c r="D6" s="23" t="s">
        <v>1479</v>
      </c>
      <c r="E6" t="s">
        <v>172</v>
      </c>
      <c r="F6" t="s">
        <v>173</v>
      </c>
      <c r="G6">
        <v>8.81</v>
      </c>
      <c r="H6">
        <v>3.4</v>
      </c>
      <c r="I6" t="s">
        <v>1476</v>
      </c>
      <c r="J6">
        <v>5825888200</v>
      </c>
      <c r="L6">
        <v>2.94</v>
      </c>
      <c r="M6" t="s">
        <v>160</v>
      </c>
      <c r="N6" t="s">
        <v>910</v>
      </c>
      <c r="O6" t="s">
        <v>911</v>
      </c>
      <c r="P6" t="s">
        <v>912</v>
      </c>
      <c r="Q6">
        <v>7.41</v>
      </c>
      <c r="R6" t="s">
        <v>683</v>
      </c>
      <c r="S6">
        <v>79170946</v>
      </c>
      <c r="T6" s="4">
        <v>2.8260000000000001</v>
      </c>
      <c r="U6" t="s">
        <v>913</v>
      </c>
      <c r="V6">
        <v>525198250</v>
      </c>
      <c r="W6">
        <v>661281290</v>
      </c>
      <c r="X6">
        <v>2.4</v>
      </c>
      <c r="Y6">
        <v>0.48</v>
      </c>
      <c r="Z6">
        <v>3.09</v>
      </c>
      <c r="AA6" t="s">
        <v>914</v>
      </c>
      <c r="AB6" t="s">
        <v>915</v>
      </c>
      <c r="AC6" t="s">
        <v>308</v>
      </c>
      <c r="AD6" t="s">
        <v>497</v>
      </c>
      <c r="AE6" t="s">
        <v>647</v>
      </c>
      <c r="AF6">
        <v>47177054</v>
      </c>
      <c r="AG6" t="s">
        <v>916</v>
      </c>
      <c r="AH6" t="s">
        <v>917</v>
      </c>
      <c r="AI6" t="s">
        <v>918</v>
      </c>
      <c r="AJ6" t="s">
        <v>268</v>
      </c>
      <c r="AK6" t="s">
        <v>919</v>
      </c>
      <c r="AL6" t="s">
        <v>920</v>
      </c>
      <c r="AM6" t="s">
        <v>921</v>
      </c>
      <c r="AN6" t="s">
        <v>7</v>
      </c>
      <c r="AO6" t="s">
        <v>922</v>
      </c>
      <c r="AP6" t="s">
        <v>923</v>
      </c>
      <c r="AQ6" t="s">
        <v>924</v>
      </c>
      <c r="AR6" t="s">
        <v>925</v>
      </c>
      <c r="AS6" t="s">
        <v>7</v>
      </c>
      <c r="AT6" t="s">
        <v>926</v>
      </c>
      <c r="AU6" t="s">
        <v>512</v>
      </c>
      <c r="AV6" t="s">
        <v>927</v>
      </c>
      <c r="AW6" t="s">
        <v>928</v>
      </c>
      <c r="AX6" t="s">
        <v>668</v>
      </c>
      <c r="AY6" t="s">
        <v>238</v>
      </c>
      <c r="AZ6" t="s">
        <v>241</v>
      </c>
      <c r="BA6" t="s">
        <v>242</v>
      </c>
      <c r="BB6" t="s">
        <v>243</v>
      </c>
      <c r="BC6" t="s">
        <v>244</v>
      </c>
      <c r="BD6" t="s">
        <v>239</v>
      </c>
      <c r="BE6" t="s">
        <v>245</v>
      </c>
      <c r="BF6" t="s">
        <v>246</v>
      </c>
      <c r="BG6" t="s">
        <v>247</v>
      </c>
      <c r="BH6" t="s">
        <v>248</v>
      </c>
      <c r="BI6" t="s">
        <v>929</v>
      </c>
      <c r="BJ6" t="s">
        <v>930</v>
      </c>
      <c r="BK6" t="s">
        <v>682</v>
      </c>
      <c r="BL6" t="s">
        <v>931</v>
      </c>
      <c r="BM6" t="s">
        <v>932</v>
      </c>
      <c r="BN6" t="s">
        <v>684</v>
      </c>
      <c r="BO6">
        <v>3.35</v>
      </c>
      <c r="BP6">
        <v>3.98</v>
      </c>
      <c r="BQ6">
        <v>2.72</v>
      </c>
      <c r="BR6">
        <v>6.62</v>
      </c>
      <c r="BS6">
        <v>5.37</v>
      </c>
      <c r="BT6">
        <v>3.22</v>
      </c>
      <c r="BU6" t="s">
        <v>651</v>
      </c>
      <c r="BV6" t="s">
        <v>177</v>
      </c>
      <c r="BW6">
        <v>19.09</v>
      </c>
      <c r="BX6">
        <v>19.690000000000001</v>
      </c>
      <c r="BY6">
        <v>19.489999999999998</v>
      </c>
      <c r="BZ6">
        <v>7.16</v>
      </c>
      <c r="CA6">
        <v>3.97</v>
      </c>
      <c r="CB6">
        <v>2.35</v>
      </c>
      <c r="CC6">
        <v>19.7</v>
      </c>
      <c r="CD6">
        <v>-5.57</v>
      </c>
      <c r="CE6" t="s">
        <v>1477</v>
      </c>
      <c r="CF6" t="s">
        <v>1478</v>
      </c>
      <c r="CG6" s="20">
        <v>5.3952321204516637E-2</v>
      </c>
      <c r="CH6" s="21">
        <v>-1.5223405428519985</v>
      </c>
      <c r="CI6" s="20">
        <v>-0.27368670701980591</v>
      </c>
      <c r="CJ6" s="20">
        <v>7.7584043145179749E-2</v>
      </c>
      <c r="CK6" s="20">
        <v>0.11969433724880219</v>
      </c>
      <c r="CL6" s="20">
        <v>5.4054236970841885E-3</v>
      </c>
      <c r="CM6" s="20">
        <v>3.2608713954687119E-2</v>
      </c>
      <c r="CN6" s="21">
        <v>-8.0466670989990234</v>
      </c>
      <c r="CO6" s="21">
        <v>0.7281564474105835</v>
      </c>
      <c r="CP6" s="21">
        <v>0.61964708566665649</v>
      </c>
      <c r="CQ6" s="21">
        <v>1.2053276300430298</v>
      </c>
      <c r="CR6" s="21">
        <v>-2.8913042545318604</v>
      </c>
      <c r="CS6">
        <v>-39.292789506614007</v>
      </c>
      <c r="CT6">
        <v>-51.170229866254793</v>
      </c>
      <c r="CU6">
        <v>0</v>
      </c>
      <c r="CV6" s="20">
        <v>-7.6788377948105334E-3</v>
      </c>
      <c r="CW6" s="21">
        <v>-1.6769680380821228</v>
      </c>
      <c r="CX6">
        <v>0.06</v>
      </c>
      <c r="CY6" t="e">
        <v>#VALUE!</v>
      </c>
      <c r="CZ6" t="s">
        <v>272</v>
      </c>
      <c r="DA6">
        <v>-7.6788377948105334E-3</v>
      </c>
      <c r="DB6" t="e">
        <v>#VALUE!</v>
      </c>
      <c r="DC6" t="s">
        <v>272</v>
      </c>
      <c r="DD6">
        <v>-7.2948959050700059E-3</v>
      </c>
      <c r="DE6" t="e">
        <v>#VALUE!</v>
      </c>
      <c r="DF6" t="s">
        <v>272</v>
      </c>
      <c r="DG6">
        <v>-6.7573772594332693E-3</v>
      </c>
      <c r="DH6" t="e">
        <v>#VALUE!</v>
      </c>
      <c r="DI6" t="s">
        <v>272</v>
      </c>
      <c r="DJ6">
        <v>-6.1430702358484272E-3</v>
      </c>
      <c r="DK6" t="e">
        <v>#VALUE!</v>
      </c>
      <c r="DL6" t="s">
        <v>272</v>
      </c>
      <c r="DM6">
        <v>-5.3751864563673733E-3</v>
      </c>
      <c r="DN6">
        <v>-1057000000</v>
      </c>
      <c r="DO6">
        <v>-7.6788377948105334E-3</v>
      </c>
      <c r="DP6">
        <v>6615888200</v>
      </c>
      <c r="DQ6">
        <v>965490900</v>
      </c>
      <c r="DR6">
        <v>1025</v>
      </c>
      <c r="DS6">
        <v>6.1631158999327168E-2</v>
      </c>
      <c r="DT6">
        <v>0.15462749523012431</v>
      </c>
      <c r="DU6" s="22">
        <v>-0.60666666666666669</v>
      </c>
      <c r="DV6">
        <v>-0.12666666666666671</v>
      </c>
      <c r="DW6">
        <v>-0.73333333333333339</v>
      </c>
      <c r="DX6">
        <v>5.2827411167512688</v>
      </c>
      <c r="DY6">
        <v>0.67802110817942229</v>
      </c>
      <c r="DZ6">
        <v>5.0701257651045362</v>
      </c>
      <c r="EA6">
        <v>3582</v>
      </c>
      <c r="EB6">
        <v>5.0209979554811355</v>
      </c>
      <c r="EC6">
        <v>5</v>
      </c>
      <c r="ED6">
        <v>0.28429656614056026</v>
      </c>
      <c r="EE6">
        <v>1.1462595592263014</v>
      </c>
      <c r="EF6" s="19">
        <v>-1.016993</v>
      </c>
      <c r="EG6">
        <v>-1.0509999999999999</v>
      </c>
      <c r="EH6">
        <v>43.248021108179422</v>
      </c>
      <c r="EI6" t="s">
        <v>1467</v>
      </c>
      <c r="EJ6">
        <v>1</v>
      </c>
      <c r="EK6">
        <v>0</v>
      </c>
      <c r="EL6" s="27">
        <v>45348</v>
      </c>
      <c r="EM6" s="28">
        <v>2.7199999999999998E-2</v>
      </c>
      <c r="EN6" s="28">
        <v>2.2499999999999999E-2</v>
      </c>
      <c r="EO6" s="28">
        <v>5.0500000000000003E-2</v>
      </c>
      <c r="EP6" s="28">
        <v>4.9299999999999997E-2</v>
      </c>
      <c r="EQ6" s="28">
        <v>3.4</v>
      </c>
    </row>
    <row r="7" spans="1:147" ht="84" x14ac:dyDescent="0.25">
      <c r="A7" s="31"/>
      <c r="B7" s="23"/>
      <c r="C7" s="23"/>
      <c r="D7" s="23" t="s">
        <v>1482</v>
      </c>
      <c r="E7" t="s">
        <v>174</v>
      </c>
      <c r="F7" t="s">
        <v>175</v>
      </c>
      <c r="G7">
        <v>7.6</v>
      </c>
      <c r="H7">
        <v>4.97</v>
      </c>
      <c r="I7" t="s">
        <v>1480</v>
      </c>
      <c r="J7">
        <v>6057842700</v>
      </c>
      <c r="K7">
        <v>14.64</v>
      </c>
      <c r="L7">
        <v>2.37</v>
      </c>
      <c r="M7" t="s">
        <v>160</v>
      </c>
      <c r="N7" t="s">
        <v>933</v>
      </c>
      <c r="O7" t="s">
        <v>934</v>
      </c>
      <c r="P7" t="s">
        <v>935</v>
      </c>
      <c r="Q7">
        <v>13.89</v>
      </c>
      <c r="R7" t="s">
        <v>936</v>
      </c>
      <c r="S7">
        <v>300826470</v>
      </c>
      <c r="T7" s="4">
        <v>0.85729999999999995</v>
      </c>
      <c r="U7" t="s">
        <v>701</v>
      </c>
      <c r="V7">
        <v>704707980</v>
      </c>
      <c r="W7">
        <v>795969100</v>
      </c>
      <c r="X7">
        <v>1.94</v>
      </c>
      <c r="Y7">
        <v>0.66</v>
      </c>
      <c r="Z7">
        <v>8.5500000000000007</v>
      </c>
      <c r="AA7" t="s">
        <v>937</v>
      </c>
      <c r="AB7" t="s">
        <v>938</v>
      </c>
      <c r="AC7" t="s">
        <v>939</v>
      </c>
      <c r="AD7" t="s">
        <v>940</v>
      </c>
      <c r="AE7" t="s">
        <v>941</v>
      </c>
      <c r="AF7">
        <v>-576570</v>
      </c>
      <c r="AG7" t="s">
        <v>942</v>
      </c>
      <c r="AH7" t="s">
        <v>943</v>
      </c>
      <c r="AI7" t="s">
        <v>944</v>
      </c>
      <c r="AJ7" t="s">
        <v>945</v>
      </c>
      <c r="AK7" t="s">
        <v>946</v>
      </c>
      <c r="AL7" t="s">
        <v>947</v>
      </c>
      <c r="AM7" t="s">
        <v>948</v>
      </c>
      <c r="AN7" t="s">
        <v>7</v>
      </c>
      <c r="AO7" t="s">
        <v>949</v>
      </c>
      <c r="AP7" t="s">
        <v>840</v>
      </c>
      <c r="AQ7" t="s">
        <v>310</v>
      </c>
      <c r="AR7" t="s">
        <v>950</v>
      </c>
      <c r="AS7" t="s">
        <v>7</v>
      </c>
      <c r="AT7" t="s">
        <v>951</v>
      </c>
      <c r="AU7" t="s">
        <v>952</v>
      </c>
      <c r="AV7" t="s">
        <v>655</v>
      </c>
      <c r="AW7" t="s">
        <v>953</v>
      </c>
      <c r="AX7" t="s">
        <v>895</v>
      </c>
      <c r="AY7" t="s">
        <v>251</v>
      </c>
      <c r="AZ7" t="s">
        <v>253</v>
      </c>
      <c r="BA7" t="s">
        <v>254</v>
      </c>
      <c r="BB7" t="s">
        <v>255</v>
      </c>
      <c r="BC7" t="s">
        <v>256</v>
      </c>
      <c r="BD7" t="s">
        <v>252</v>
      </c>
      <c r="BE7" t="s">
        <v>231</v>
      </c>
      <c r="BF7" t="s">
        <v>257</v>
      </c>
      <c r="BG7" t="s">
        <v>258</v>
      </c>
      <c r="BH7" t="s">
        <v>259</v>
      </c>
      <c r="BI7" t="s">
        <v>691</v>
      </c>
      <c r="BJ7" t="s">
        <v>954</v>
      </c>
      <c r="BK7" t="s">
        <v>688</v>
      </c>
      <c r="BL7" t="s">
        <v>798</v>
      </c>
      <c r="BM7" t="s">
        <v>747</v>
      </c>
      <c r="BN7" t="s">
        <v>689</v>
      </c>
      <c r="BO7">
        <v>3.57</v>
      </c>
      <c r="BP7">
        <v>7.91</v>
      </c>
      <c r="BQ7">
        <v>4.29</v>
      </c>
      <c r="BR7">
        <v>4.05</v>
      </c>
      <c r="BS7">
        <v>10.039999999999999</v>
      </c>
      <c r="BT7">
        <v>8.42</v>
      </c>
      <c r="BU7" t="s">
        <v>670</v>
      </c>
      <c r="BV7" t="s">
        <v>296</v>
      </c>
      <c r="BW7">
        <v>31.48</v>
      </c>
      <c r="BX7">
        <v>32.700000000000003</v>
      </c>
      <c r="BY7">
        <v>36.11</v>
      </c>
      <c r="BZ7">
        <v>10.01</v>
      </c>
      <c r="CA7">
        <v>5.3</v>
      </c>
      <c r="CB7">
        <v>3.42</v>
      </c>
      <c r="CC7">
        <v>9.99</v>
      </c>
      <c r="CD7">
        <v>-8.43</v>
      </c>
      <c r="CE7" t="s">
        <v>231</v>
      </c>
      <c r="CF7" t="s">
        <v>1481</v>
      </c>
      <c r="CG7" s="20">
        <v>-2.1409455842996899E-2</v>
      </c>
      <c r="CH7" s="21">
        <v>-6.245464006422681E-2</v>
      </c>
      <c r="CI7" s="20">
        <v>0.36158192157745361</v>
      </c>
      <c r="CJ7" s="20">
        <v>0.31627285480499268</v>
      </c>
      <c r="CK7" s="20">
        <v>1.9625449553132057E-2</v>
      </c>
      <c r="CL7" s="20">
        <v>6.2836050055921078E-3</v>
      </c>
      <c r="CM7" s="20">
        <v>4.9952875822782516E-2</v>
      </c>
      <c r="CN7" s="21">
        <v>0.51098901033401489</v>
      </c>
      <c r="CO7" s="21">
        <v>0.3382352888584137</v>
      </c>
      <c r="CP7" s="21">
        <v>1.4563758373260498</v>
      </c>
      <c r="CQ7" s="21">
        <v>-2.3303570747375488</v>
      </c>
      <c r="CR7" s="21">
        <v>-8.849557489156723E-3</v>
      </c>
      <c r="CS7">
        <v>48.787994899328858</v>
      </c>
      <c r="CT7">
        <v>3.2364941934747473</v>
      </c>
      <c r="CU7">
        <v>0.78947368421052633</v>
      </c>
      <c r="CV7" s="20">
        <v>0.15074334135279061</v>
      </c>
      <c r="CW7" s="21">
        <v>-6.7212991416454315E-3</v>
      </c>
      <c r="CX7">
        <v>0.06</v>
      </c>
      <c r="CY7">
        <v>19.782290556453848</v>
      </c>
      <c r="CZ7">
        <v>298541904.59624285</v>
      </c>
      <c r="DA7">
        <v>0.15074334135279061</v>
      </c>
      <c r="DB7">
        <v>6.1427699141542282</v>
      </c>
      <c r="DC7">
        <v>961429905.81361377</v>
      </c>
      <c r="DD7">
        <v>0.14320617428515106</v>
      </c>
      <c r="DE7">
        <v>2.8199931895702814</v>
      </c>
      <c r="DF7">
        <v>2094275518.7646213</v>
      </c>
      <c r="DG7">
        <v>0.13265414039045573</v>
      </c>
      <c r="DH7">
        <v>1.5618615592809262</v>
      </c>
      <c r="DI7">
        <v>3781284368.5832324</v>
      </c>
      <c r="DJ7">
        <v>0.12059467308223248</v>
      </c>
      <c r="DK7">
        <v>0.67064026735156412</v>
      </c>
      <c r="DL7">
        <v>8806275118.7351971</v>
      </c>
      <c r="DM7">
        <v>0.10552033894695342</v>
      </c>
      <c r="DN7">
        <v>275000000</v>
      </c>
      <c r="DO7">
        <v>0.15074334135279061</v>
      </c>
      <c r="DP7">
        <v>5905842700</v>
      </c>
      <c r="DQ7">
        <v>1709357100</v>
      </c>
      <c r="DR7">
        <v>845</v>
      </c>
      <c r="DS7">
        <v>-0.17215279719578749</v>
      </c>
      <c r="DT7">
        <v>-5.5733340922581379E-2</v>
      </c>
      <c r="DU7" s="22">
        <v>-0.12333333333333336</v>
      </c>
      <c r="DV7">
        <v>0.53333333333333333</v>
      </c>
      <c r="DW7">
        <v>0.41</v>
      </c>
      <c r="DX7">
        <v>5.8438438438438434</v>
      </c>
      <c r="DY7">
        <v>0.7529508196721284</v>
      </c>
      <c r="DZ7">
        <v>5.1881356766602664</v>
      </c>
      <c r="EA7">
        <v>1254</v>
      </c>
      <c r="EB7">
        <v>5.1419940497226611</v>
      </c>
      <c r="EC7">
        <v>5</v>
      </c>
      <c r="ED7">
        <v>0.17086090402253051</v>
      </c>
      <c r="EE7">
        <v>0.7663614077481149</v>
      </c>
      <c r="EF7" s="19">
        <v>-2.0619399999999999</v>
      </c>
      <c r="EG7">
        <v>-2.0122100000000001</v>
      </c>
      <c r="EH7">
        <v>53.222950819672128</v>
      </c>
      <c r="EI7" t="s">
        <v>1073</v>
      </c>
      <c r="EJ7">
        <v>1</v>
      </c>
      <c r="EK7">
        <v>1</v>
      </c>
      <c r="EL7" s="27">
        <v>45348</v>
      </c>
      <c r="EM7" s="28">
        <v>-1.4E-3</v>
      </c>
      <c r="EN7" s="28">
        <v>2.8999999999999998E-3</v>
      </c>
      <c r="EO7" s="28">
        <v>1.8800000000000001E-2</v>
      </c>
      <c r="EP7" s="28">
        <v>2.7E-2</v>
      </c>
      <c r="EQ7" s="28">
        <v>4.97</v>
      </c>
    </row>
    <row r="8" spans="1:147" ht="84" x14ac:dyDescent="0.25">
      <c r="A8" s="31"/>
      <c r="B8" s="23"/>
      <c r="C8" s="23"/>
      <c r="D8" s="23" t="s">
        <v>1484</v>
      </c>
      <c r="E8" t="s">
        <v>176</v>
      </c>
      <c r="F8" t="s">
        <v>177</v>
      </c>
      <c r="G8">
        <v>12.55</v>
      </c>
      <c r="H8">
        <v>15.99</v>
      </c>
      <c r="I8" t="s">
        <v>425</v>
      </c>
      <c r="J8">
        <v>19455160000</v>
      </c>
      <c r="K8">
        <v>114</v>
      </c>
      <c r="L8">
        <v>4.57</v>
      </c>
      <c r="M8" t="s">
        <v>160</v>
      </c>
      <c r="N8" t="s">
        <v>955</v>
      </c>
      <c r="O8" t="s">
        <v>956</v>
      </c>
      <c r="P8" t="s">
        <v>957</v>
      </c>
      <c r="Q8">
        <v>33.1</v>
      </c>
      <c r="R8" t="s">
        <v>958</v>
      </c>
      <c r="S8">
        <v>-79571045</v>
      </c>
      <c r="T8" s="4">
        <v>0.6129</v>
      </c>
      <c r="U8" t="s">
        <v>959</v>
      </c>
      <c r="V8">
        <v>1518235000</v>
      </c>
      <c r="W8">
        <v>1550212000</v>
      </c>
      <c r="X8">
        <v>2.83</v>
      </c>
      <c r="Y8">
        <v>0.2</v>
      </c>
      <c r="Z8">
        <v>-3.63</v>
      </c>
      <c r="AA8" t="s">
        <v>960</v>
      </c>
      <c r="AB8" t="s">
        <v>961</v>
      </c>
      <c r="AC8" t="s">
        <v>962</v>
      </c>
      <c r="AD8" t="s">
        <v>526</v>
      </c>
      <c r="AE8" t="s">
        <v>304</v>
      </c>
      <c r="AF8">
        <v>37008048</v>
      </c>
      <c r="AG8" t="s">
        <v>963</v>
      </c>
      <c r="AH8" t="s">
        <v>964</v>
      </c>
      <c r="AI8" t="s">
        <v>965</v>
      </c>
      <c r="AJ8" t="s">
        <v>695</v>
      </c>
      <c r="AK8" t="s">
        <v>966</v>
      </c>
      <c r="AL8" t="s">
        <v>300</v>
      </c>
      <c r="AM8" t="s">
        <v>967</v>
      </c>
      <c r="AN8" t="s">
        <v>7</v>
      </c>
      <c r="AO8" t="s">
        <v>931</v>
      </c>
      <c r="AP8" t="s">
        <v>968</v>
      </c>
      <c r="AQ8" t="s">
        <v>969</v>
      </c>
      <c r="AR8" t="s">
        <v>970</v>
      </c>
      <c r="AS8" t="s">
        <v>971</v>
      </c>
      <c r="AT8" t="s">
        <v>972</v>
      </c>
      <c r="AU8" t="s">
        <v>692</v>
      </c>
      <c r="AV8" t="s">
        <v>973</v>
      </c>
      <c r="AW8" t="s">
        <v>974</v>
      </c>
      <c r="AX8" t="s">
        <v>975</v>
      </c>
      <c r="AY8" t="s">
        <v>260</v>
      </c>
      <c r="AZ8" t="s">
        <v>262</v>
      </c>
      <c r="BA8" t="s">
        <v>263</v>
      </c>
      <c r="BB8" t="s">
        <v>264</v>
      </c>
      <c r="BC8" t="s">
        <v>265</v>
      </c>
      <c r="BD8" t="s">
        <v>261</v>
      </c>
      <c r="BE8" t="s">
        <v>266</v>
      </c>
      <c r="BF8" t="s">
        <v>267</v>
      </c>
      <c r="BG8" t="s">
        <v>268</v>
      </c>
      <c r="BH8" t="s">
        <v>269</v>
      </c>
      <c r="BI8" t="s">
        <v>976</v>
      </c>
      <c r="BJ8" t="s">
        <v>977</v>
      </c>
      <c r="BK8" t="s">
        <v>693</v>
      </c>
      <c r="BL8" t="s">
        <v>978</v>
      </c>
      <c r="BM8" t="s">
        <v>979</v>
      </c>
      <c r="BN8" t="s">
        <v>694</v>
      </c>
      <c r="BO8" t="s">
        <v>7</v>
      </c>
      <c r="BP8" t="s">
        <v>7</v>
      </c>
      <c r="BQ8" t="s">
        <v>7</v>
      </c>
      <c r="BR8">
        <v>-1.05</v>
      </c>
      <c r="BS8">
        <v>-12.52</v>
      </c>
      <c r="BT8">
        <v>-6.2</v>
      </c>
      <c r="BU8" t="s">
        <v>651</v>
      </c>
      <c r="BV8" t="s">
        <v>177</v>
      </c>
      <c r="BW8">
        <v>12.05</v>
      </c>
      <c r="BX8">
        <v>7.57</v>
      </c>
      <c r="BY8">
        <v>19.239999999999998</v>
      </c>
      <c r="BZ8">
        <v>-5.16</v>
      </c>
      <c r="CA8">
        <v>-16.850000000000001</v>
      </c>
      <c r="CB8">
        <v>-14.66</v>
      </c>
      <c r="CC8">
        <v>21.49</v>
      </c>
      <c r="CD8">
        <v>12.35</v>
      </c>
      <c r="CE8" t="s">
        <v>382</v>
      </c>
      <c r="CF8" t="s">
        <v>1483</v>
      </c>
      <c r="CG8" s="20">
        <v>0.22371967654986544</v>
      </c>
      <c r="CH8" s="21">
        <v>0.88817289473684213</v>
      </c>
      <c r="CI8" s="20">
        <v>8.4293551743030548E-2</v>
      </c>
      <c r="CJ8" s="20">
        <v>0.23984958231449127</v>
      </c>
      <c r="CK8" s="20">
        <v>-3.0965369194746017E-2</v>
      </c>
      <c r="CL8" s="20">
        <v>-0.11308565735816956</v>
      </c>
      <c r="CM8" s="20">
        <v>0.26069244742393494</v>
      </c>
      <c r="CN8" s="21">
        <v>1.079450249671936</v>
      </c>
      <c r="CO8" s="21">
        <v>-0.41919192671775818</v>
      </c>
      <c r="CP8" s="21">
        <v>-2.3515357971191406</v>
      </c>
      <c r="CQ8" s="21">
        <v>-0.3474387526512146</v>
      </c>
      <c r="CR8" s="21">
        <v>3.9351850748062134E-2</v>
      </c>
      <c r="CS8">
        <v>447.84372672894915</v>
      </c>
      <c r="CT8">
        <v>50.800750811419924</v>
      </c>
      <c r="CU8">
        <v>0</v>
      </c>
      <c r="CV8" s="20">
        <v>8.8156910985708242E-2</v>
      </c>
      <c r="CW8" s="21">
        <v>-0.39987287521362302</v>
      </c>
      <c r="CX8">
        <v>0.06</v>
      </c>
      <c r="CY8">
        <v>502.95772292667522</v>
      </c>
      <c r="CZ8">
        <v>45837172.686899967</v>
      </c>
      <c r="DA8">
        <v>8.8156910985708242E-2</v>
      </c>
      <c r="DB8">
        <v>164.6186646393964</v>
      </c>
      <c r="DC8">
        <v>140045845.04740721</v>
      </c>
      <c r="DD8">
        <v>8.3749065436422826E-2</v>
      </c>
      <c r="DE8">
        <v>81.20719065683781</v>
      </c>
      <c r="DF8">
        <v>283893086.48074496</v>
      </c>
      <c r="DG8">
        <v>7.7578081667423249E-2</v>
      </c>
      <c r="DH8">
        <v>48.881087324699635</v>
      </c>
      <c r="DI8">
        <v>471637626.36578512</v>
      </c>
      <c r="DJ8">
        <v>7.0525528788566591E-2</v>
      </c>
      <c r="DK8">
        <v>25.381579122824046</v>
      </c>
      <c r="DL8">
        <v>908302824.2032764</v>
      </c>
      <c r="DM8">
        <v>6.1709837689995765E-2</v>
      </c>
      <c r="DN8">
        <v>44651100</v>
      </c>
      <c r="DO8">
        <v>8.8156910985708242E-2</v>
      </c>
      <c r="DP8">
        <v>23054160000</v>
      </c>
      <c r="DQ8">
        <v>1977221300</v>
      </c>
      <c r="DR8">
        <v>1528</v>
      </c>
      <c r="DS8">
        <v>0.13556276556415719</v>
      </c>
      <c r="DT8">
        <v>1.288045769950465</v>
      </c>
      <c r="DU8" s="22">
        <v>-0.19000000000000003</v>
      </c>
      <c r="DV8">
        <v>-1.7116666666666669</v>
      </c>
      <c r="DW8">
        <v>-1.9016666666666668</v>
      </c>
      <c r="DX8">
        <v>5.5746859004187996</v>
      </c>
      <c r="DY8">
        <v>1.3856234718826403</v>
      </c>
      <c r="DZ8">
        <v>5.1756375001279951</v>
      </c>
      <c r="EA8">
        <v>4455</v>
      </c>
      <c r="EB8">
        <v>5.0226030657313165</v>
      </c>
      <c r="EC8">
        <v>5</v>
      </c>
      <c r="ED8">
        <v>0.16126826524372151</v>
      </c>
      <c r="EE8">
        <v>0.52766976387745679</v>
      </c>
      <c r="EF8" s="19">
        <v>-4.1017440000000001</v>
      </c>
      <c r="EG8">
        <v>-4.0582000000000003</v>
      </c>
      <c r="EH8">
        <v>108.30562347188264</v>
      </c>
      <c r="EI8" t="s">
        <v>1075</v>
      </c>
      <c r="EJ8">
        <v>1</v>
      </c>
      <c r="EK8">
        <v>0</v>
      </c>
      <c r="EL8" s="27">
        <v>45348</v>
      </c>
      <c r="EM8" s="28">
        <v>2.8999999999999998E-3</v>
      </c>
      <c r="EN8" s="28">
        <v>-6.7999999999999996E-3</v>
      </c>
      <c r="EO8" s="28">
        <v>2.4299999999999999E-2</v>
      </c>
      <c r="EP8" s="28">
        <v>2.6599999999999999E-2</v>
      </c>
      <c r="EQ8" s="28">
        <v>15.99</v>
      </c>
    </row>
  </sheetData>
  <mergeCells count="1">
    <mergeCell ref="A3:A8"/>
  </mergeCells>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Q3"/>
  <sheetViews>
    <sheetView workbookViewId="0">
      <selection activeCell="D2" sqref="D2"/>
    </sheetView>
  </sheetViews>
  <sheetFormatPr defaultRowHeight="14" x14ac:dyDescent="0.25"/>
  <cols>
    <col min="1" max="1" width="20.54296875" customWidth="1"/>
    <col min="2" max="2" width="38.81640625" customWidth="1"/>
    <col min="3" max="3" width="42.1796875" customWidth="1"/>
    <col min="4" max="4" width="52.54296875" customWidth="1"/>
    <col min="10" max="10" width="10.54296875" customWidth="1"/>
  </cols>
  <sheetData>
    <row r="1" spans="1:147" x14ac:dyDescent="0.25">
      <c r="A1" s="16" t="s">
        <v>63</v>
      </c>
      <c r="B1" s="17" t="s">
        <v>8</v>
      </c>
      <c r="C1" s="18" t="s">
        <v>9</v>
      </c>
      <c r="D1" s="17" t="s">
        <v>112</v>
      </c>
      <c r="E1" t="s">
        <v>2</v>
      </c>
      <c r="F1" t="s">
        <v>3</v>
      </c>
      <c r="G1" t="s">
        <v>0</v>
      </c>
      <c r="H1" t="s">
        <v>133</v>
      </c>
      <c r="I1" t="s">
        <v>151</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134</v>
      </c>
      <c r="AD1" t="s">
        <v>25</v>
      </c>
      <c r="AE1" t="s">
        <v>26</v>
      </c>
      <c r="AF1" t="s">
        <v>27</v>
      </c>
      <c r="AG1" t="s">
        <v>28</v>
      </c>
      <c r="AH1" t="s">
        <v>135</v>
      </c>
      <c r="AI1" t="s">
        <v>152</v>
      </c>
      <c r="AJ1" t="s">
        <v>136</v>
      </c>
      <c r="AK1" t="s">
        <v>29</v>
      </c>
      <c r="AL1" t="s">
        <v>137</v>
      </c>
      <c r="AM1" t="s">
        <v>64</v>
      </c>
      <c r="AN1" t="s">
        <v>138</v>
      </c>
      <c r="AO1" t="s">
        <v>139</v>
      </c>
      <c r="AP1" t="s">
        <v>140</v>
      </c>
      <c r="AQ1" t="s">
        <v>141</v>
      </c>
      <c r="AR1" t="s">
        <v>142</v>
      </c>
      <c r="AS1" t="s">
        <v>143</v>
      </c>
      <c r="AT1" t="s">
        <v>144</v>
      </c>
      <c r="AU1" t="s">
        <v>145</v>
      </c>
      <c r="AV1" t="s">
        <v>146</v>
      </c>
      <c r="AW1" t="s">
        <v>147</v>
      </c>
      <c r="AX1" t="s">
        <v>148</v>
      </c>
      <c r="AY1" t="s">
        <v>65</v>
      </c>
      <c r="AZ1" t="s">
        <v>66</v>
      </c>
      <c r="BA1" t="s">
        <v>67</v>
      </c>
      <c r="BB1" t="s">
        <v>68</v>
      </c>
      <c r="BC1" t="s">
        <v>69</v>
      </c>
      <c r="BD1" t="s">
        <v>70</v>
      </c>
      <c r="BE1" t="s">
        <v>71</v>
      </c>
      <c r="BF1" t="s">
        <v>72</v>
      </c>
      <c r="BG1" t="s">
        <v>73</v>
      </c>
      <c r="BH1" t="s">
        <v>74</v>
      </c>
      <c r="BI1" t="s">
        <v>127</v>
      </c>
      <c r="BJ1" t="s">
        <v>128</v>
      </c>
      <c r="BK1" t="s">
        <v>129</v>
      </c>
      <c r="BL1" t="s">
        <v>130</v>
      </c>
      <c r="BM1" t="s">
        <v>131</v>
      </c>
      <c r="BN1" t="s">
        <v>132</v>
      </c>
      <c r="BO1" t="s">
        <v>149</v>
      </c>
      <c r="BP1" t="s">
        <v>75</v>
      </c>
      <c r="BQ1" t="s">
        <v>76</v>
      </c>
      <c r="BR1" t="s">
        <v>77</v>
      </c>
      <c r="BS1" t="s">
        <v>150</v>
      </c>
      <c r="BT1" t="s">
        <v>78</v>
      </c>
      <c r="BU1" t="s">
        <v>79</v>
      </c>
      <c r="BV1" t="s">
        <v>80</v>
      </c>
      <c r="BW1" t="s">
        <v>81</v>
      </c>
      <c r="BX1" t="s">
        <v>81</v>
      </c>
      <c r="BY1" t="s">
        <v>82</v>
      </c>
      <c r="BZ1" t="s">
        <v>83</v>
      </c>
      <c r="CA1" t="s">
        <v>83</v>
      </c>
      <c r="CB1" t="s">
        <v>84</v>
      </c>
      <c r="CC1" t="s">
        <v>153</v>
      </c>
      <c r="CD1" t="s">
        <v>154</v>
      </c>
      <c r="CE1" t="s">
        <v>155</v>
      </c>
      <c r="CF1" t="s">
        <v>156</v>
      </c>
      <c r="CG1" s="1" t="s">
        <v>85</v>
      </c>
      <c r="CH1" s="1" t="s">
        <v>86</v>
      </c>
      <c r="CI1" s="1" t="s">
        <v>87</v>
      </c>
      <c r="CJ1" s="1" t="s">
        <v>88</v>
      </c>
      <c r="CK1" s="1" t="s">
        <v>89</v>
      </c>
      <c r="CL1" s="1" t="s">
        <v>90</v>
      </c>
      <c r="CM1" s="1" t="s">
        <v>91</v>
      </c>
      <c r="CN1" s="1" t="s">
        <v>92</v>
      </c>
      <c r="CO1" s="1" t="s">
        <v>93</v>
      </c>
      <c r="CP1" s="1" t="s">
        <v>94</v>
      </c>
      <c r="CQ1" s="1" t="s">
        <v>95</v>
      </c>
      <c r="CR1" s="1" t="s">
        <v>96</v>
      </c>
      <c r="CS1" s="1" t="s">
        <v>113</v>
      </c>
      <c r="CT1" s="1" t="s">
        <v>97</v>
      </c>
      <c r="CU1" s="1" t="s">
        <v>98</v>
      </c>
      <c r="CV1" s="1" t="s">
        <v>51</v>
      </c>
      <c r="CW1">
        <v>1</v>
      </c>
      <c r="CX1" t="s">
        <v>99</v>
      </c>
      <c r="CY1" t="s">
        <v>114</v>
      </c>
      <c r="CZ1">
        <v>3</v>
      </c>
      <c r="DA1" t="s">
        <v>115</v>
      </c>
      <c r="DB1" t="s">
        <v>116</v>
      </c>
      <c r="DC1">
        <v>6</v>
      </c>
      <c r="DD1" t="s">
        <v>100</v>
      </c>
      <c r="DE1" t="s">
        <v>101</v>
      </c>
      <c r="DF1">
        <v>10</v>
      </c>
      <c r="DG1" t="s">
        <v>102</v>
      </c>
      <c r="DH1" t="s">
        <v>103</v>
      </c>
      <c r="DI1">
        <v>20</v>
      </c>
      <c r="DJ1" t="s">
        <v>117</v>
      </c>
      <c r="DK1" t="s">
        <v>104</v>
      </c>
      <c r="DL1" t="s">
        <v>105</v>
      </c>
      <c r="DM1" s="2" t="s">
        <v>106</v>
      </c>
      <c r="DN1" t="s">
        <v>118</v>
      </c>
      <c r="DO1" t="s">
        <v>107</v>
      </c>
      <c r="DP1" s="1" t="s">
        <v>119</v>
      </c>
      <c r="DQ1" s="1" t="s">
        <v>120</v>
      </c>
      <c r="DR1" s="1" t="s">
        <v>121</v>
      </c>
      <c r="DS1" t="s">
        <v>122</v>
      </c>
      <c r="DT1" t="s">
        <v>108</v>
      </c>
      <c r="DU1" t="s">
        <v>109</v>
      </c>
      <c r="DV1" t="s">
        <v>123</v>
      </c>
      <c r="DW1" t="s">
        <v>124</v>
      </c>
      <c r="DX1" t="s">
        <v>125</v>
      </c>
      <c r="DY1" t="s">
        <v>126</v>
      </c>
      <c r="DZ1" t="s">
        <v>110</v>
      </c>
      <c r="EA1" t="s">
        <v>111</v>
      </c>
    </row>
    <row r="2" spans="1:147" ht="53.5" customHeight="1" x14ac:dyDescent="0.25">
      <c r="A2" s="26"/>
      <c r="B2" s="24"/>
      <c r="C2" s="25">
        <v>3</v>
      </c>
      <c r="D2" s="25">
        <v>4</v>
      </c>
      <c r="T2" s="4"/>
      <c r="CG2" s="1"/>
      <c r="CH2" s="1"/>
      <c r="CI2" s="1"/>
      <c r="CJ2" s="1"/>
      <c r="CK2" s="1"/>
      <c r="CL2" s="1"/>
      <c r="CM2" s="1"/>
      <c r="CN2" s="1"/>
      <c r="CO2" s="1"/>
      <c r="CP2" s="1"/>
      <c r="CQ2" s="1"/>
      <c r="CR2" s="1"/>
      <c r="CS2" s="1"/>
      <c r="CT2" s="1"/>
      <c r="CU2" s="1"/>
      <c r="CV2" s="1"/>
      <c r="DM2" s="2"/>
      <c r="DP2" s="1"/>
      <c r="DQ2" s="1"/>
      <c r="DR2" s="1"/>
    </row>
    <row r="3" spans="1:147" ht="72" x14ac:dyDescent="0.25">
      <c r="B3" s="3"/>
      <c r="C3" s="3"/>
      <c r="D3" s="3" t="s">
        <v>572</v>
      </c>
      <c r="E3" t="s">
        <v>571</v>
      </c>
      <c r="F3" t="s">
        <v>573</v>
      </c>
      <c r="G3">
        <v>95.03</v>
      </c>
      <c r="H3">
        <v>7.94</v>
      </c>
      <c r="I3" t="s">
        <v>574</v>
      </c>
      <c r="J3">
        <v>7830472000</v>
      </c>
      <c r="K3">
        <v>78.86</v>
      </c>
      <c r="L3">
        <v>8.09</v>
      </c>
      <c r="M3" t="s">
        <v>160</v>
      </c>
      <c r="N3" t="s">
        <v>575</v>
      </c>
      <c r="O3" t="s">
        <v>576</v>
      </c>
      <c r="P3" t="s">
        <v>577</v>
      </c>
      <c r="Q3">
        <v>60.43</v>
      </c>
      <c r="R3" t="s">
        <v>578</v>
      </c>
      <c r="S3">
        <v>35500742</v>
      </c>
      <c r="T3">
        <v>1.8180000000000001</v>
      </c>
      <c r="U3" t="s">
        <v>579</v>
      </c>
      <c r="V3">
        <v>16766317</v>
      </c>
      <c r="W3">
        <v>82400000</v>
      </c>
      <c r="X3">
        <v>1.35</v>
      </c>
      <c r="Y3">
        <v>0.15</v>
      </c>
      <c r="Z3">
        <v>23.88</v>
      </c>
      <c r="AA3" t="s">
        <v>339</v>
      </c>
      <c r="AB3" t="s">
        <v>580</v>
      </c>
      <c r="AC3" t="s">
        <v>581</v>
      </c>
      <c r="AD3" t="s">
        <v>582</v>
      </c>
      <c r="AE3" t="s">
        <v>583</v>
      </c>
      <c r="AF3">
        <v>-2563708</v>
      </c>
      <c r="AG3" t="s">
        <v>584</v>
      </c>
      <c r="AH3" t="s">
        <v>7</v>
      </c>
      <c r="AI3" t="s">
        <v>585</v>
      </c>
      <c r="AJ3" t="s">
        <v>540</v>
      </c>
      <c r="AK3" t="s">
        <v>586</v>
      </c>
      <c r="AL3" t="s">
        <v>587</v>
      </c>
      <c r="AM3" t="s">
        <v>588</v>
      </c>
      <c r="AN3" t="s">
        <v>589</v>
      </c>
      <c r="AO3" t="s">
        <v>590</v>
      </c>
      <c r="AP3" t="s">
        <v>7</v>
      </c>
      <c r="AQ3" t="s">
        <v>591</v>
      </c>
      <c r="AR3" t="s">
        <v>592</v>
      </c>
      <c r="AS3" t="s">
        <v>7</v>
      </c>
      <c r="AT3" t="s">
        <v>490</v>
      </c>
      <c r="AU3" t="s">
        <v>7</v>
      </c>
      <c r="AV3" t="s">
        <v>593</v>
      </c>
      <c r="AW3" t="s">
        <v>594</v>
      </c>
      <c r="AX3" t="s">
        <v>595</v>
      </c>
      <c r="AY3" t="s">
        <v>596</v>
      </c>
      <c r="AZ3" t="s">
        <v>227</v>
      </c>
      <c r="BA3" t="s">
        <v>597</v>
      </c>
      <c r="BB3" t="s">
        <v>7</v>
      </c>
      <c r="BC3" t="s">
        <v>7</v>
      </c>
      <c r="BD3" t="s">
        <v>598</v>
      </c>
      <c r="BE3" t="s">
        <v>599</v>
      </c>
      <c r="BF3" t="s">
        <v>600</v>
      </c>
      <c r="BG3" t="s">
        <v>7</v>
      </c>
      <c r="BH3" t="s">
        <v>7</v>
      </c>
      <c r="BI3" t="s">
        <v>601</v>
      </c>
      <c r="BJ3" t="s">
        <v>602</v>
      </c>
      <c r="BK3" t="s">
        <v>603</v>
      </c>
      <c r="BL3" t="s">
        <v>604</v>
      </c>
      <c r="BM3" t="s">
        <v>605</v>
      </c>
      <c r="BN3" t="s">
        <v>606</v>
      </c>
      <c r="BO3">
        <v>4.22</v>
      </c>
      <c r="BP3">
        <v>17.7</v>
      </c>
      <c r="BQ3">
        <v>22.48</v>
      </c>
      <c r="BR3">
        <v>29.84</v>
      </c>
      <c r="BS3">
        <v>28.08</v>
      </c>
      <c r="BT3" t="s">
        <v>7</v>
      </c>
      <c r="BU3" t="s">
        <v>7</v>
      </c>
      <c r="BV3" t="s">
        <v>177</v>
      </c>
      <c r="BW3">
        <v>51.37</v>
      </c>
      <c r="BX3">
        <v>52.46</v>
      </c>
      <c r="BY3">
        <v>60.49</v>
      </c>
      <c r="BZ3">
        <v>6.07</v>
      </c>
      <c r="CA3">
        <v>25.7</v>
      </c>
      <c r="CB3">
        <v>26.51</v>
      </c>
      <c r="CC3">
        <v>0.65</v>
      </c>
      <c r="CD3">
        <v>18.45</v>
      </c>
      <c r="CE3" t="s">
        <v>607</v>
      </c>
      <c r="CF3" t="s">
        <v>608</v>
      </c>
      <c r="CG3">
        <v>0.31632425334846337</v>
      </c>
      <c r="CH3">
        <v>0.75890334562655792</v>
      </c>
      <c r="CI3">
        <v>0.69417476654052734</v>
      </c>
      <c r="CJ3">
        <v>1.0396039485931396</v>
      </c>
      <c r="CK3">
        <v>0.26509344577789307</v>
      </c>
      <c r="CL3" t="e">
        <v>#VALUE!</v>
      </c>
      <c r="CM3" t="e">
        <v>#VALUE!</v>
      </c>
      <c r="CN3">
        <v>0.44032788276672363</v>
      </c>
      <c r="CO3">
        <v>0.98751860857009888</v>
      </c>
      <c r="CP3">
        <v>0.35516646504402161</v>
      </c>
      <c r="CQ3" t="e">
        <v>#VALUE!</v>
      </c>
      <c r="CR3" t="e">
        <v>#VALUE!</v>
      </c>
      <c r="CS3">
        <v>22.43688252148997</v>
      </c>
      <c r="CT3">
        <v>32233484.252921857</v>
      </c>
      <c r="CU3">
        <v>4.8357000000000001</v>
      </c>
      <c r="CV3">
        <v>0.66629072030385339</v>
      </c>
      <c r="CW3">
        <v>0.594337652126948</v>
      </c>
      <c r="CX3">
        <v>0.06</v>
      </c>
      <c r="CY3">
        <v>60.005919946998795</v>
      </c>
      <c r="CZ3">
        <v>120096017.29904705</v>
      </c>
      <c r="DA3">
        <v>0.66629072030385339</v>
      </c>
      <c r="DB3">
        <v>12.46080072466199</v>
      </c>
      <c r="DC3">
        <v>578331373.66021729</v>
      </c>
      <c r="DD3">
        <v>0.63297618428866065</v>
      </c>
      <c r="DE3">
        <v>3.0581591739172382</v>
      </c>
      <c r="DF3">
        <v>2356473809.9518642</v>
      </c>
      <c r="DG3">
        <v>0.58633583386739097</v>
      </c>
      <c r="DH3">
        <v>0.74560489214594172</v>
      </c>
      <c r="DI3">
        <v>9665269200.7678432</v>
      </c>
      <c r="DJ3">
        <v>0.53303257624308276</v>
      </c>
      <c r="DK3">
        <v>3.9723718151206511E-2</v>
      </c>
      <c r="DL3">
        <v>181414840689.60751</v>
      </c>
      <c r="DM3">
        <v>0.46640350421269733</v>
      </c>
      <c r="DN3">
        <v>76398300</v>
      </c>
      <c r="DO3">
        <v>0.66629072030385339</v>
      </c>
      <c r="DP3">
        <v>7206472000</v>
      </c>
      <c r="DQ3">
        <v>862491810</v>
      </c>
      <c r="DR3">
        <v>4615</v>
      </c>
      <c r="DS3">
        <v>-0.34996646695539002</v>
      </c>
      <c r="DT3">
        <v>0.16456569349960992</v>
      </c>
      <c r="DU3">
        <v>1.8099999999999998</v>
      </c>
      <c r="DV3">
        <v>1.56</v>
      </c>
      <c r="DW3">
        <v>3.37</v>
      </c>
      <c r="DX3">
        <v>3.0277083333333334</v>
      </c>
      <c r="DY3">
        <v>0.45420141292803978</v>
      </c>
      <c r="DZ3">
        <v>3.0031643308165479</v>
      </c>
      <c r="EA3">
        <v>19</v>
      </c>
      <c r="EB3">
        <v>3.0031519319125439</v>
      </c>
      <c r="EC3">
        <v>3</v>
      </c>
      <c r="ED3">
        <v>3.8235436893203884E-2</v>
      </c>
      <c r="EE3">
        <v>0.33480703883495144</v>
      </c>
      <c r="EF3">
        <v>7.0812099999999996</v>
      </c>
      <c r="EG3">
        <v>7.0018099999999999</v>
      </c>
      <c r="EH3">
        <v>34.11420141292804</v>
      </c>
      <c r="EI3" t="s">
        <v>609</v>
      </c>
      <c r="EJ3">
        <v>0</v>
      </c>
      <c r="EK3">
        <v>1</v>
      </c>
      <c r="EL3">
        <v>44830</v>
      </c>
      <c r="EM3">
        <v>-2.4</v>
      </c>
      <c r="EN3">
        <v>-4.5</v>
      </c>
      <c r="EO3">
        <v>3.85</v>
      </c>
      <c r="EP3">
        <v>-3.67</v>
      </c>
      <c r="EQ3">
        <v>7.94</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Q9"/>
  <sheetViews>
    <sheetView tabSelected="1" workbookViewId="0">
      <selection activeCell="A2" sqref="A2"/>
    </sheetView>
  </sheetViews>
  <sheetFormatPr defaultRowHeight="14" x14ac:dyDescent="0.25"/>
  <cols>
    <col min="1" max="1" width="20.54296875" customWidth="1"/>
    <col min="2" max="2" width="38.81640625" customWidth="1"/>
    <col min="3" max="3" width="42.1796875" customWidth="1"/>
    <col min="4" max="4" width="52.54296875" customWidth="1"/>
    <col min="10" max="10" width="10.54296875" customWidth="1"/>
  </cols>
  <sheetData>
    <row r="1" spans="1:147" x14ac:dyDescent="0.25">
      <c r="A1" s="16" t="s">
        <v>63</v>
      </c>
      <c r="B1" s="17" t="s">
        <v>8</v>
      </c>
      <c r="C1" s="18" t="s">
        <v>9</v>
      </c>
      <c r="D1" s="17" t="s">
        <v>112</v>
      </c>
      <c r="E1" t="s">
        <v>2</v>
      </c>
      <c r="F1" t="s">
        <v>3</v>
      </c>
      <c r="G1" t="s">
        <v>0</v>
      </c>
      <c r="H1" t="s">
        <v>133</v>
      </c>
      <c r="I1" t="s">
        <v>151</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134</v>
      </c>
      <c r="AD1" t="s">
        <v>25</v>
      </c>
      <c r="AE1" t="s">
        <v>26</v>
      </c>
      <c r="AF1" t="s">
        <v>27</v>
      </c>
      <c r="AG1" t="s">
        <v>28</v>
      </c>
      <c r="AH1" t="s">
        <v>135</v>
      </c>
      <c r="AI1" t="s">
        <v>152</v>
      </c>
      <c r="AJ1" t="s">
        <v>136</v>
      </c>
      <c r="AK1" t="s">
        <v>29</v>
      </c>
      <c r="AL1" t="s">
        <v>137</v>
      </c>
      <c r="AM1" t="s">
        <v>64</v>
      </c>
      <c r="AN1" t="s">
        <v>138</v>
      </c>
      <c r="AO1" t="s">
        <v>139</v>
      </c>
      <c r="AP1" t="s">
        <v>140</v>
      </c>
      <c r="AQ1" t="s">
        <v>141</v>
      </c>
      <c r="AR1" t="s">
        <v>142</v>
      </c>
      <c r="AS1" t="s">
        <v>143</v>
      </c>
      <c r="AT1" t="s">
        <v>144</v>
      </c>
      <c r="AU1" t="s">
        <v>145</v>
      </c>
      <c r="AV1" t="s">
        <v>146</v>
      </c>
      <c r="AW1" t="s">
        <v>147</v>
      </c>
      <c r="AX1" t="s">
        <v>148</v>
      </c>
      <c r="AY1" t="s">
        <v>65</v>
      </c>
      <c r="AZ1" t="s">
        <v>66</v>
      </c>
      <c r="BA1" t="s">
        <v>67</v>
      </c>
      <c r="BB1" t="s">
        <v>68</v>
      </c>
      <c r="BC1" t="s">
        <v>69</v>
      </c>
      <c r="BD1" t="s">
        <v>70</v>
      </c>
      <c r="BE1" t="s">
        <v>71</v>
      </c>
      <c r="BF1" t="s">
        <v>72</v>
      </c>
      <c r="BG1" t="s">
        <v>73</v>
      </c>
      <c r="BH1" t="s">
        <v>74</v>
      </c>
      <c r="BI1" t="s">
        <v>127</v>
      </c>
      <c r="BJ1" t="s">
        <v>128</v>
      </c>
      <c r="BK1" t="s">
        <v>129</v>
      </c>
      <c r="BL1" t="s">
        <v>130</v>
      </c>
      <c r="BM1" t="s">
        <v>131</v>
      </c>
      <c r="BN1" t="s">
        <v>132</v>
      </c>
      <c r="BO1" t="s">
        <v>149</v>
      </c>
      <c r="BP1" t="s">
        <v>75</v>
      </c>
      <c r="BQ1" t="s">
        <v>76</v>
      </c>
      <c r="BR1" t="s">
        <v>77</v>
      </c>
      <c r="BS1" t="s">
        <v>150</v>
      </c>
      <c r="BT1" t="s">
        <v>78</v>
      </c>
      <c r="BU1" t="s">
        <v>79</v>
      </c>
      <c r="BV1" t="s">
        <v>80</v>
      </c>
      <c r="BW1" t="s">
        <v>81</v>
      </c>
      <c r="BX1" t="s">
        <v>81</v>
      </c>
      <c r="BY1" t="s">
        <v>82</v>
      </c>
      <c r="BZ1" t="s">
        <v>83</v>
      </c>
      <c r="CA1" t="s">
        <v>83</v>
      </c>
      <c r="CB1" t="s">
        <v>84</v>
      </c>
      <c r="CC1" t="s">
        <v>153</v>
      </c>
      <c r="CD1" t="s">
        <v>154</v>
      </c>
      <c r="CE1" t="s">
        <v>155</v>
      </c>
      <c r="CF1" t="s">
        <v>156</v>
      </c>
      <c r="CG1" s="1" t="s">
        <v>85</v>
      </c>
      <c r="CH1" s="1" t="s">
        <v>86</v>
      </c>
      <c r="CI1" s="1" t="s">
        <v>87</v>
      </c>
      <c r="CJ1" s="1" t="s">
        <v>88</v>
      </c>
      <c r="CK1" s="1" t="s">
        <v>89</v>
      </c>
      <c r="CL1" s="1" t="s">
        <v>90</v>
      </c>
      <c r="CM1" s="1" t="s">
        <v>91</v>
      </c>
      <c r="CN1" s="1" t="s">
        <v>92</v>
      </c>
      <c r="CO1" s="1" t="s">
        <v>93</v>
      </c>
      <c r="CP1" s="1" t="s">
        <v>94</v>
      </c>
      <c r="CQ1" s="1" t="s">
        <v>95</v>
      </c>
      <c r="CR1" s="1" t="s">
        <v>96</v>
      </c>
      <c r="CS1" s="1" t="s">
        <v>113</v>
      </c>
      <c r="CT1" s="1" t="s">
        <v>97</v>
      </c>
      <c r="CU1" s="1" t="s">
        <v>98</v>
      </c>
      <c r="CV1" s="1" t="s">
        <v>51</v>
      </c>
      <c r="CW1">
        <v>1</v>
      </c>
      <c r="CX1" t="s">
        <v>99</v>
      </c>
      <c r="CY1" t="s">
        <v>114</v>
      </c>
      <c r="CZ1">
        <v>3</v>
      </c>
      <c r="DA1" t="s">
        <v>115</v>
      </c>
      <c r="DB1" t="s">
        <v>116</v>
      </c>
      <c r="DC1">
        <v>6</v>
      </c>
      <c r="DD1" t="s">
        <v>100</v>
      </c>
      <c r="DE1" t="s">
        <v>101</v>
      </c>
      <c r="DF1">
        <v>10</v>
      </c>
      <c r="DG1" t="s">
        <v>102</v>
      </c>
      <c r="DH1" t="s">
        <v>103</v>
      </c>
      <c r="DI1">
        <v>20</v>
      </c>
      <c r="DJ1" t="s">
        <v>117</v>
      </c>
      <c r="DK1" t="s">
        <v>104</v>
      </c>
      <c r="DL1" t="s">
        <v>105</v>
      </c>
      <c r="DM1" s="2" t="s">
        <v>106</v>
      </c>
      <c r="DN1" t="s">
        <v>118</v>
      </c>
      <c r="DO1" t="s">
        <v>107</v>
      </c>
      <c r="DP1" s="1" t="s">
        <v>119</v>
      </c>
      <c r="DQ1" s="1" t="s">
        <v>120</v>
      </c>
      <c r="DR1" s="1" t="s">
        <v>121</v>
      </c>
      <c r="DS1" t="s">
        <v>122</v>
      </c>
      <c r="DT1" t="s">
        <v>108</v>
      </c>
      <c r="DU1" t="s">
        <v>109</v>
      </c>
      <c r="DV1" t="s">
        <v>123</v>
      </c>
      <c r="DW1" t="s">
        <v>124</v>
      </c>
      <c r="DX1" t="s">
        <v>125</v>
      </c>
      <c r="DY1" t="s">
        <v>126</v>
      </c>
      <c r="DZ1" t="s">
        <v>110</v>
      </c>
      <c r="EA1" t="s">
        <v>111</v>
      </c>
    </row>
    <row r="2" spans="1:147" ht="53.5" customHeight="1" x14ac:dyDescent="0.25">
      <c r="A2" s="26" t="s">
        <v>318</v>
      </c>
      <c r="B2" s="24"/>
      <c r="C2" s="25">
        <v>3</v>
      </c>
      <c r="D2" s="25">
        <v>9</v>
      </c>
      <c r="T2" s="4"/>
      <c r="CG2" s="1"/>
      <c r="CH2" s="1"/>
      <c r="CI2" s="1"/>
      <c r="CJ2" s="1"/>
      <c r="CK2" s="1"/>
      <c r="CL2" s="1"/>
      <c r="CM2" s="1"/>
      <c r="CN2" s="1"/>
      <c r="CO2" s="1"/>
      <c r="CP2" s="1"/>
      <c r="CQ2" s="1"/>
      <c r="CR2" s="1"/>
      <c r="CS2" s="1"/>
      <c r="CT2" s="1"/>
      <c r="CU2" s="1"/>
      <c r="CV2" s="1"/>
      <c r="DM2" s="2"/>
      <c r="DP2" s="1"/>
      <c r="DQ2" s="1"/>
      <c r="DR2" s="1"/>
    </row>
    <row r="3" spans="1:147" ht="144" x14ac:dyDescent="0.25">
      <c r="A3" s="30" t="s">
        <v>334</v>
      </c>
      <c r="B3" s="23"/>
      <c r="C3" s="23"/>
      <c r="D3" s="23" t="s">
        <v>1514</v>
      </c>
      <c r="E3" t="s">
        <v>325</v>
      </c>
      <c r="F3" t="s">
        <v>326</v>
      </c>
      <c r="G3">
        <v>288.89</v>
      </c>
      <c r="H3">
        <v>-0.59</v>
      </c>
      <c r="I3" t="s">
        <v>1511</v>
      </c>
      <c r="J3">
        <v>42274448000</v>
      </c>
      <c r="K3">
        <v>63.56</v>
      </c>
      <c r="L3">
        <v>8.5299999999999994</v>
      </c>
      <c r="M3" t="s">
        <v>160</v>
      </c>
      <c r="N3" t="s">
        <v>530</v>
      </c>
      <c r="O3" t="s">
        <v>981</v>
      </c>
      <c r="P3" t="s">
        <v>982</v>
      </c>
      <c r="Q3">
        <v>51.91</v>
      </c>
      <c r="R3" t="s">
        <v>704</v>
      </c>
      <c r="S3">
        <v>572161500</v>
      </c>
      <c r="T3" s="4">
        <v>0.47989999999999999</v>
      </c>
      <c r="U3" t="s">
        <v>983</v>
      </c>
      <c r="V3">
        <v>146292610</v>
      </c>
      <c r="W3">
        <v>146292610</v>
      </c>
      <c r="X3">
        <v>1.04</v>
      </c>
      <c r="Y3">
        <v>0.21</v>
      </c>
      <c r="Z3">
        <v>59.92</v>
      </c>
      <c r="AA3" t="s">
        <v>984</v>
      </c>
      <c r="AB3" t="s">
        <v>985</v>
      </c>
      <c r="AC3" t="s">
        <v>986</v>
      </c>
      <c r="AD3" t="s">
        <v>987</v>
      </c>
      <c r="AE3" t="s">
        <v>988</v>
      </c>
      <c r="AF3">
        <v>-36937207</v>
      </c>
      <c r="AG3" t="s">
        <v>989</v>
      </c>
      <c r="AH3" t="s">
        <v>990</v>
      </c>
      <c r="AI3" t="s">
        <v>991</v>
      </c>
      <c r="AJ3" t="s">
        <v>992</v>
      </c>
      <c r="AK3" t="s">
        <v>993</v>
      </c>
      <c r="AL3" t="s">
        <v>994</v>
      </c>
      <c r="AM3" t="s">
        <v>995</v>
      </c>
      <c r="AN3" t="s">
        <v>7</v>
      </c>
      <c r="AO3" t="s">
        <v>996</v>
      </c>
      <c r="AP3" t="s">
        <v>7</v>
      </c>
      <c r="AQ3" t="s">
        <v>7</v>
      </c>
      <c r="AR3" t="s">
        <v>997</v>
      </c>
      <c r="AS3" t="s">
        <v>7</v>
      </c>
      <c r="AT3" t="s">
        <v>290</v>
      </c>
      <c r="AU3" t="s">
        <v>7</v>
      </c>
      <c r="AV3" t="s">
        <v>998</v>
      </c>
      <c r="AW3" t="s">
        <v>999</v>
      </c>
      <c r="AX3" t="s">
        <v>1000</v>
      </c>
      <c r="AY3" t="s">
        <v>337</v>
      </c>
      <c r="AZ3" t="s">
        <v>340</v>
      </c>
      <c r="BA3" t="s">
        <v>341</v>
      </c>
      <c r="BB3" t="s">
        <v>342</v>
      </c>
      <c r="BC3" t="s">
        <v>343</v>
      </c>
      <c r="BD3" t="s">
        <v>338</v>
      </c>
      <c r="BE3" t="s">
        <v>344</v>
      </c>
      <c r="BF3" t="s">
        <v>345</v>
      </c>
      <c r="BG3" t="s">
        <v>304</v>
      </c>
      <c r="BH3" t="s">
        <v>240</v>
      </c>
      <c r="BI3" t="s">
        <v>815</v>
      </c>
      <c r="BJ3" t="s">
        <v>1001</v>
      </c>
      <c r="BK3" t="s">
        <v>538</v>
      </c>
      <c r="BL3" t="s">
        <v>1002</v>
      </c>
      <c r="BM3" t="s">
        <v>655</v>
      </c>
      <c r="BN3" t="s">
        <v>649</v>
      </c>
      <c r="BO3">
        <v>2.96</v>
      </c>
      <c r="BP3">
        <v>18.91</v>
      </c>
      <c r="BQ3">
        <v>15.83</v>
      </c>
      <c r="BR3">
        <v>3.03</v>
      </c>
      <c r="BS3">
        <v>20.34</v>
      </c>
      <c r="BT3">
        <v>15.91</v>
      </c>
      <c r="BU3" t="s">
        <v>1003</v>
      </c>
      <c r="BV3" t="s">
        <v>296</v>
      </c>
      <c r="BW3">
        <v>80.36</v>
      </c>
      <c r="BX3">
        <v>80.290000000000006</v>
      </c>
      <c r="BY3">
        <v>80.73</v>
      </c>
      <c r="BZ3">
        <v>58.1</v>
      </c>
      <c r="CA3">
        <v>60.09</v>
      </c>
      <c r="CB3">
        <v>64.75</v>
      </c>
      <c r="CC3">
        <v>-6.87</v>
      </c>
      <c r="CD3">
        <v>-8.3000000000000007</v>
      </c>
      <c r="CE3" t="s">
        <v>1512</v>
      </c>
      <c r="CF3" t="s">
        <v>1246</v>
      </c>
      <c r="CG3" s="20">
        <v>0.35245901639344263</v>
      </c>
      <c r="CH3" s="21">
        <v>0.51195323741007193</v>
      </c>
      <c r="CI3" s="20">
        <v>-1.6429353505373001E-2</v>
      </c>
      <c r="CJ3" s="20">
        <v>0.59894919395446777</v>
      </c>
      <c r="CK3" s="20">
        <v>0.51861703395843506</v>
      </c>
      <c r="CL3" s="20">
        <v>0.53469389677047729</v>
      </c>
      <c r="CM3" s="20">
        <v>0.1666666716337204</v>
      </c>
      <c r="CN3" s="21">
        <v>-0.12727272510528564</v>
      </c>
      <c r="CO3" s="21">
        <v>0.48247978091239929</v>
      </c>
      <c r="CP3" s="21">
        <v>0.50813007354736328</v>
      </c>
      <c r="CQ3" s="21">
        <v>0.76978415250778198</v>
      </c>
      <c r="CR3" s="21">
        <v>6.106870248913765E-2</v>
      </c>
      <c r="CS3">
        <v>132.31439123630673</v>
      </c>
      <c r="CT3">
        <v>3.6703073217654238</v>
      </c>
      <c r="CU3">
        <v>0.39115234172176266</v>
      </c>
      <c r="CV3" s="20">
        <v>0.36049948856234548</v>
      </c>
      <c r="CW3" s="21">
        <v>0.33883799687027932</v>
      </c>
      <c r="CX3">
        <v>0.06</v>
      </c>
      <c r="CY3">
        <v>61.134493886915713</v>
      </c>
      <c r="CZ3">
        <v>616075240.10370362</v>
      </c>
      <c r="DA3">
        <v>0.36049948856234548</v>
      </c>
      <c r="DB3">
        <v>16.007181800115607</v>
      </c>
      <c r="DC3">
        <v>2352909367.2021632</v>
      </c>
      <c r="DD3">
        <v>0.34247451413422819</v>
      </c>
      <c r="DE3">
        <v>5.7121223709946181</v>
      </c>
      <c r="DF3">
        <v>6593599638.4198418</v>
      </c>
      <c r="DG3">
        <v>0.31723954993486403</v>
      </c>
      <c r="DH3">
        <v>2.3037373288673897</v>
      </c>
      <c r="DI3">
        <v>16348846514.770359</v>
      </c>
      <c r="DJ3">
        <v>0.28839959084987637</v>
      </c>
      <c r="DK3">
        <v>0.44503948731776594</v>
      </c>
      <c r="DL3">
        <v>84629452157.146774</v>
      </c>
      <c r="DM3">
        <v>0.25234964199364185</v>
      </c>
      <c r="DN3">
        <v>480000000</v>
      </c>
      <c r="DO3">
        <v>0.36049948856234548</v>
      </c>
      <c r="DP3">
        <v>37663448000</v>
      </c>
      <c r="DQ3">
        <v>4243072300</v>
      </c>
      <c r="DR3">
        <v>4710</v>
      </c>
      <c r="DS3">
        <v>-8.0404721689028569E-3</v>
      </c>
      <c r="DT3">
        <v>0.1731152405397926</v>
      </c>
      <c r="DU3" s="22">
        <v>5.9999999999999908E-2</v>
      </c>
      <c r="DV3">
        <v>0.73666666666666669</v>
      </c>
      <c r="DW3">
        <v>0.79666666666666663</v>
      </c>
      <c r="DX3">
        <v>-9.8277108433734934</v>
      </c>
      <c r="DY3">
        <v>0.14550639097744367</v>
      </c>
      <c r="DZ3">
        <v>-9.1121601091584381</v>
      </c>
      <c r="EA3">
        <v>570</v>
      </c>
      <c r="EB3">
        <v>-9.0996588846335431</v>
      </c>
      <c r="EC3">
        <v>9</v>
      </c>
      <c r="ED3">
        <v>0.24638770201721058</v>
      </c>
      <c r="EE3">
        <v>1.818273663994374</v>
      </c>
      <c r="EF3" s="19">
        <v>1.0376000000000001</v>
      </c>
      <c r="EG3">
        <v>1.0317000000000001</v>
      </c>
      <c r="EH3">
        <v>1.1355063909774437</v>
      </c>
      <c r="EI3" t="s">
        <v>1513</v>
      </c>
      <c r="EJ3">
        <v>0</v>
      </c>
      <c r="EK3">
        <v>1</v>
      </c>
      <c r="EL3" s="27">
        <v>45357</v>
      </c>
      <c r="EM3" s="28">
        <v>2.69E-2</v>
      </c>
      <c r="EN3" s="28">
        <v>-0.09</v>
      </c>
      <c r="EO3" s="28">
        <v>2.0099999999999998</v>
      </c>
      <c r="EP3" s="28">
        <v>1.36</v>
      </c>
      <c r="EQ3" s="28">
        <v>-0.59</v>
      </c>
    </row>
    <row r="4" spans="1:147" ht="84" x14ac:dyDescent="0.25">
      <c r="A4" s="30"/>
      <c r="B4" s="3"/>
      <c r="C4" s="3"/>
      <c r="D4" s="3" t="s">
        <v>1540</v>
      </c>
      <c r="E4" t="s">
        <v>327</v>
      </c>
      <c r="F4" t="s">
        <v>328</v>
      </c>
      <c r="G4">
        <v>22.51</v>
      </c>
      <c r="H4">
        <v>5.48</v>
      </c>
      <c r="I4" t="s">
        <v>1515</v>
      </c>
      <c r="J4">
        <v>2455714900</v>
      </c>
      <c r="K4">
        <v>37.07</v>
      </c>
      <c r="L4">
        <v>3.49</v>
      </c>
      <c r="M4" t="s">
        <v>329</v>
      </c>
      <c r="N4" t="s">
        <v>300</v>
      </c>
      <c r="O4" t="s">
        <v>1516</v>
      </c>
      <c r="P4" t="s">
        <v>1517</v>
      </c>
      <c r="Q4">
        <v>7.59</v>
      </c>
      <c r="R4" t="s">
        <v>1004</v>
      </c>
      <c r="S4">
        <v>50379503</v>
      </c>
      <c r="T4" s="4">
        <v>0.45029999999999998</v>
      </c>
      <c r="U4" t="s">
        <v>1005</v>
      </c>
      <c r="V4">
        <v>58485574</v>
      </c>
      <c r="W4">
        <v>109094400</v>
      </c>
      <c r="X4">
        <v>1.23</v>
      </c>
      <c r="Y4">
        <v>0.38</v>
      </c>
      <c r="Z4">
        <v>15.43</v>
      </c>
      <c r="AA4" t="s">
        <v>1518</v>
      </c>
      <c r="AB4" t="s">
        <v>380</v>
      </c>
      <c r="AC4" t="s">
        <v>1519</v>
      </c>
      <c r="AD4" t="s">
        <v>1520</v>
      </c>
      <c r="AE4" t="s">
        <v>1521</v>
      </c>
      <c r="AF4">
        <v>220656</v>
      </c>
      <c r="AG4" t="s">
        <v>1522</v>
      </c>
      <c r="AH4" t="s">
        <v>1523</v>
      </c>
      <c r="AI4" t="s">
        <v>1524</v>
      </c>
      <c r="AJ4" t="s">
        <v>1525</v>
      </c>
      <c r="AK4" t="s">
        <v>1526</v>
      </c>
      <c r="AL4" t="s">
        <v>1527</v>
      </c>
      <c r="AM4" t="s">
        <v>1528</v>
      </c>
      <c r="AN4" t="s">
        <v>7</v>
      </c>
      <c r="AO4" t="s">
        <v>1529</v>
      </c>
      <c r="AP4" t="s">
        <v>7</v>
      </c>
      <c r="AQ4" t="s">
        <v>7</v>
      </c>
      <c r="AR4" t="s">
        <v>1530</v>
      </c>
      <c r="AS4" t="s">
        <v>7</v>
      </c>
      <c r="AT4" t="s">
        <v>461</v>
      </c>
      <c r="AU4" t="s">
        <v>7</v>
      </c>
      <c r="AV4" t="s">
        <v>1531</v>
      </c>
      <c r="AW4" t="s">
        <v>1532</v>
      </c>
      <c r="AX4" t="s">
        <v>1533</v>
      </c>
      <c r="AY4" t="s">
        <v>347</v>
      </c>
      <c r="AZ4" t="s">
        <v>349</v>
      </c>
      <c r="BA4" t="s">
        <v>187</v>
      </c>
      <c r="BB4" t="s">
        <v>350</v>
      </c>
      <c r="BC4" t="s">
        <v>351</v>
      </c>
      <c r="BD4" t="s">
        <v>348</v>
      </c>
      <c r="BE4" t="s">
        <v>352</v>
      </c>
      <c r="BF4" t="s">
        <v>353</v>
      </c>
      <c r="BG4" t="s">
        <v>354</v>
      </c>
      <c r="BH4" t="s">
        <v>355</v>
      </c>
      <c r="BI4" t="s">
        <v>230</v>
      </c>
      <c r="BJ4" t="s">
        <v>1534</v>
      </c>
      <c r="BK4" t="s">
        <v>610</v>
      </c>
      <c r="BL4" t="s">
        <v>1535</v>
      </c>
      <c r="BM4" t="s">
        <v>1536</v>
      </c>
      <c r="BN4" t="s">
        <v>1537</v>
      </c>
      <c r="BO4">
        <v>3.09</v>
      </c>
      <c r="BP4">
        <v>9.3800000000000008</v>
      </c>
      <c r="BQ4">
        <v>5.31</v>
      </c>
      <c r="BR4">
        <v>3.4</v>
      </c>
      <c r="BS4">
        <v>10.07</v>
      </c>
      <c r="BT4">
        <v>5.31</v>
      </c>
      <c r="BU4" t="s">
        <v>1006</v>
      </c>
      <c r="BV4" t="s">
        <v>329</v>
      </c>
      <c r="BW4">
        <v>60.73</v>
      </c>
      <c r="BX4">
        <v>53.81</v>
      </c>
      <c r="BY4">
        <v>63.45</v>
      </c>
      <c r="BZ4">
        <v>22.55</v>
      </c>
      <c r="CA4">
        <v>14.2</v>
      </c>
      <c r="CB4">
        <v>13.9</v>
      </c>
      <c r="CC4">
        <v>9.11</v>
      </c>
      <c r="CD4">
        <v>-16.16</v>
      </c>
      <c r="CE4" t="s">
        <v>1538</v>
      </c>
      <c r="CF4" t="s">
        <v>1539</v>
      </c>
      <c r="CG4" s="20">
        <v>0.18888888888888855</v>
      </c>
      <c r="CH4" s="21">
        <v>-0.66726825864966866</v>
      </c>
      <c r="CI4" s="20">
        <v>-6.0532689094543457E-2</v>
      </c>
      <c r="CJ4" s="20">
        <v>0.97607654333114624</v>
      </c>
      <c r="CK4" s="20">
        <v>9.4240836799144745E-2</v>
      </c>
      <c r="CL4" s="20">
        <v>-0.16593886911869049</v>
      </c>
      <c r="CM4" s="20">
        <v>0.15075376629829407</v>
      </c>
      <c r="CN4" s="21">
        <v>-0.14392465353012085</v>
      </c>
      <c r="CO4" s="21">
        <v>1.0324801206588745</v>
      </c>
      <c r="CP4" s="21">
        <v>-0.55847316980361938</v>
      </c>
      <c r="CQ4" s="21">
        <v>3.4019706249237061</v>
      </c>
      <c r="CR4" s="21">
        <v>-1.3398252725601196</v>
      </c>
      <c r="CS4">
        <v>57.124062699541632</v>
      </c>
      <c r="CT4">
        <v>2.8717115599274261</v>
      </c>
      <c r="CU4">
        <v>0.39093736117281208</v>
      </c>
      <c r="CV4" s="20">
        <v>0.19891991764307021</v>
      </c>
      <c r="CW4" s="21">
        <v>0.47844552993774414</v>
      </c>
      <c r="CX4">
        <v>0.06</v>
      </c>
      <c r="CY4">
        <v>33.419303203311742</v>
      </c>
      <c r="CZ4">
        <v>57233835.438270189</v>
      </c>
      <c r="DA4">
        <v>0.19891991764307021</v>
      </c>
      <c r="DB4">
        <v>9.9705938459678958</v>
      </c>
      <c r="DC4">
        <v>191835604.73416546</v>
      </c>
      <c r="DD4">
        <v>0.18897392176091668</v>
      </c>
      <c r="DE4">
        <v>4.3251551153743657</v>
      </c>
      <c r="DF4">
        <v>442230359.13810092</v>
      </c>
      <c r="DG4">
        <v>0.17504952752590178</v>
      </c>
      <c r="DH4">
        <v>2.2371758988844399</v>
      </c>
      <c r="DI4">
        <v>854968489.94027197</v>
      </c>
      <c r="DJ4">
        <v>0.15913593411445617</v>
      </c>
      <c r="DK4">
        <v>0.81430998190194992</v>
      </c>
      <c r="DL4">
        <v>2348878120.7526789</v>
      </c>
      <c r="DM4">
        <v>0.13924394235014914</v>
      </c>
      <c r="DN4">
        <v>50602100</v>
      </c>
      <c r="DO4">
        <v>0.19891991764307021</v>
      </c>
      <c r="DP4">
        <v>1912714900</v>
      </c>
      <c r="DQ4">
        <v>216853920</v>
      </c>
      <c r="DR4">
        <v>1986</v>
      </c>
      <c r="DS4">
        <v>-1.0031028754181659E-2</v>
      </c>
      <c r="DT4">
        <v>-1.1457137885874129</v>
      </c>
      <c r="DU4" s="22">
        <v>-0.15666666666666665</v>
      </c>
      <c r="DV4">
        <v>0.23666666666666669</v>
      </c>
      <c r="DW4">
        <v>8.0000000000000043E-2</v>
      </c>
      <c r="DX4">
        <v>7.360506529481599</v>
      </c>
      <c r="DY4">
        <v>0.5683619649900582</v>
      </c>
      <c r="DZ4">
        <v>7.125586763001956</v>
      </c>
      <c r="EA4">
        <v>2080</v>
      </c>
      <c r="EB4">
        <v>7.0745172679786776</v>
      </c>
      <c r="EC4">
        <v>7</v>
      </c>
      <c r="ED4">
        <v>0.29387484600492786</v>
      </c>
      <c r="EE4">
        <v>0.84359050510383671</v>
      </c>
      <c r="EF4" s="19">
        <v>8.7787000000000004E-2</v>
      </c>
      <c r="EG4">
        <v>0.1426</v>
      </c>
      <c r="EH4">
        <v>22.348361964990058</v>
      </c>
      <c r="EI4" t="s">
        <v>570</v>
      </c>
      <c r="EJ4">
        <v>1</v>
      </c>
      <c r="EK4">
        <v>0</v>
      </c>
      <c r="EL4" s="27">
        <v>45352</v>
      </c>
      <c r="EM4" s="28">
        <v>14.44</v>
      </c>
      <c r="EN4" s="28">
        <v>-1.48</v>
      </c>
      <c r="EO4" s="28">
        <v>-12.81</v>
      </c>
      <c r="EP4" s="28">
        <v>5.2299999999999999E-2</v>
      </c>
      <c r="EQ4" s="28">
        <v>5.48</v>
      </c>
    </row>
    <row r="5" spans="1:147" ht="132" x14ac:dyDescent="0.25">
      <c r="A5" s="30"/>
      <c r="B5" s="3" t="s">
        <v>1541</v>
      </c>
      <c r="C5" s="3" t="s">
        <v>1542</v>
      </c>
      <c r="D5" s="3" t="s">
        <v>1546</v>
      </c>
      <c r="E5" t="s">
        <v>330</v>
      </c>
      <c r="F5" t="s">
        <v>331</v>
      </c>
      <c r="G5">
        <v>34.200000000000003</v>
      </c>
      <c r="H5">
        <v>3.35</v>
      </c>
      <c r="I5" t="s">
        <v>1543</v>
      </c>
      <c r="J5">
        <v>6795434200</v>
      </c>
      <c r="K5">
        <v>183.3</v>
      </c>
      <c r="L5">
        <v>4.22</v>
      </c>
      <c r="M5" t="s">
        <v>278</v>
      </c>
      <c r="N5" t="s">
        <v>1007</v>
      </c>
      <c r="O5" t="s">
        <v>1008</v>
      </c>
      <c r="P5" t="s">
        <v>1009</v>
      </c>
      <c r="Q5">
        <v>33.31</v>
      </c>
      <c r="R5" t="s">
        <v>1010</v>
      </c>
      <c r="S5">
        <v>-33619145</v>
      </c>
      <c r="T5" s="4">
        <v>0.37619999999999998</v>
      </c>
      <c r="U5" t="s">
        <v>1011</v>
      </c>
      <c r="V5">
        <v>168762120</v>
      </c>
      <c r="W5">
        <v>198696910</v>
      </c>
      <c r="X5">
        <v>2.34</v>
      </c>
      <c r="Y5">
        <v>0.33</v>
      </c>
      <c r="Z5">
        <v>-3.42</v>
      </c>
      <c r="AA5" t="s">
        <v>677</v>
      </c>
      <c r="AB5" t="s">
        <v>1012</v>
      </c>
      <c r="AC5" t="s">
        <v>180</v>
      </c>
      <c r="AD5" t="s">
        <v>305</v>
      </c>
      <c r="AE5" t="s">
        <v>690</v>
      </c>
      <c r="AF5">
        <v>23861033</v>
      </c>
      <c r="AG5" t="s">
        <v>1013</v>
      </c>
      <c r="AH5" t="s">
        <v>1014</v>
      </c>
      <c r="AI5" t="s">
        <v>1015</v>
      </c>
      <c r="AJ5" t="s">
        <v>1016</v>
      </c>
      <c r="AK5" t="s">
        <v>1017</v>
      </c>
      <c r="AL5" t="s">
        <v>293</v>
      </c>
      <c r="AM5" t="s">
        <v>1018</v>
      </c>
      <c r="AN5" t="s">
        <v>7</v>
      </c>
      <c r="AO5" t="s">
        <v>1019</v>
      </c>
      <c r="AP5" t="s">
        <v>30</v>
      </c>
      <c r="AQ5" t="s">
        <v>1020</v>
      </c>
      <c r="AR5" t="s">
        <v>30</v>
      </c>
      <c r="AS5" t="s">
        <v>7</v>
      </c>
      <c r="AT5" t="s">
        <v>1021</v>
      </c>
      <c r="AU5" t="s">
        <v>553</v>
      </c>
      <c r="AV5" t="s">
        <v>1022</v>
      </c>
      <c r="AW5" t="s">
        <v>639</v>
      </c>
      <c r="AX5" t="s">
        <v>1023</v>
      </c>
      <c r="AY5" t="s">
        <v>356</v>
      </c>
      <c r="AZ5" t="s">
        <v>359</v>
      </c>
      <c r="BA5" t="s">
        <v>360</v>
      </c>
      <c r="BB5" t="s">
        <v>361</v>
      </c>
      <c r="BC5" t="s">
        <v>362</v>
      </c>
      <c r="BD5" t="s">
        <v>357</v>
      </c>
      <c r="BE5" t="s">
        <v>363</v>
      </c>
      <c r="BF5" t="s">
        <v>364</v>
      </c>
      <c r="BG5" t="s">
        <v>365</v>
      </c>
      <c r="BH5" t="s">
        <v>366</v>
      </c>
      <c r="BI5" t="s">
        <v>1024</v>
      </c>
      <c r="BJ5" t="s">
        <v>1025</v>
      </c>
      <c r="BK5" t="s">
        <v>612</v>
      </c>
      <c r="BL5" t="s">
        <v>1026</v>
      </c>
      <c r="BM5" t="s">
        <v>1027</v>
      </c>
      <c r="BN5" t="s">
        <v>613</v>
      </c>
      <c r="BO5" t="s">
        <v>7</v>
      </c>
      <c r="BP5">
        <v>2.98</v>
      </c>
      <c r="BQ5">
        <v>3.34</v>
      </c>
      <c r="BR5">
        <v>-2.37</v>
      </c>
      <c r="BS5">
        <v>2.17</v>
      </c>
      <c r="BT5">
        <v>2.38</v>
      </c>
      <c r="BU5" t="s">
        <v>650</v>
      </c>
      <c r="BV5" t="s">
        <v>368</v>
      </c>
      <c r="BW5">
        <v>30.32</v>
      </c>
      <c r="BX5">
        <v>31.47</v>
      </c>
      <c r="BY5">
        <v>39.31</v>
      </c>
      <c r="BZ5">
        <v>-4.57</v>
      </c>
      <c r="CA5">
        <v>2.58</v>
      </c>
      <c r="CB5">
        <v>3.13</v>
      </c>
      <c r="CC5">
        <v>6.19</v>
      </c>
      <c r="CD5">
        <v>-14.54</v>
      </c>
      <c r="CE5" t="s">
        <v>1544</v>
      </c>
      <c r="CF5" t="s">
        <v>203</v>
      </c>
      <c r="CG5" s="20">
        <v>0.18840579710144886</v>
      </c>
      <c r="CH5" s="21">
        <v>1.2914998631690058</v>
      </c>
      <c r="CI5" s="20">
        <v>1.7747897654771805E-2</v>
      </c>
      <c r="CJ5" s="20">
        <v>0.23600605130195618</v>
      </c>
      <c r="CK5" s="20">
        <v>0.45916116237640381</v>
      </c>
      <c r="CL5" s="20">
        <v>0.10487804561853409</v>
      </c>
      <c r="CM5" s="20">
        <v>-0.1675126850605011</v>
      </c>
      <c r="CN5" s="21">
        <v>-0.46203675866127014</v>
      </c>
      <c r="CO5" s="21">
        <v>0.12436902523040771</v>
      </c>
      <c r="CP5" s="21">
        <v>0.81186354160308838</v>
      </c>
      <c r="CQ5" s="21">
        <v>-8.1153497099876404E-2</v>
      </c>
      <c r="CR5" s="21">
        <v>-0.49244904518127441</v>
      </c>
      <c r="CS5">
        <v>289.81281150931864</v>
      </c>
      <c r="CT5">
        <v>22.283677892592753</v>
      </c>
      <c r="CU5">
        <v>5.8479532163742687E-2</v>
      </c>
      <c r="CV5" s="20">
        <v>0.13005609437823296</v>
      </c>
      <c r="CW5" s="21">
        <v>-1.9881346821784975E-2</v>
      </c>
      <c r="CX5">
        <v>0.06</v>
      </c>
      <c r="CY5">
        <v>413.30545506266498</v>
      </c>
      <c r="CZ5">
        <v>17910323.005239915</v>
      </c>
      <c r="DA5">
        <v>0.13005609437823296</v>
      </c>
      <c r="DB5">
        <v>130.58031836203938</v>
      </c>
      <c r="DC5">
        <v>56688743.700841978</v>
      </c>
      <c r="DD5">
        <v>0.1235532896593213</v>
      </c>
      <c r="DE5">
        <v>61.402410516192681</v>
      </c>
      <c r="DF5">
        <v>120556084.6515606</v>
      </c>
      <c r="DG5">
        <v>0.114449363052845</v>
      </c>
      <c r="DH5">
        <v>34.982868831699498</v>
      </c>
      <c r="DI5">
        <v>211601690.976594</v>
      </c>
      <c r="DJ5">
        <v>0.10404487550258637</v>
      </c>
      <c r="DK5">
        <v>16.048155182514563</v>
      </c>
      <c r="DL5">
        <v>461263872.12814349</v>
      </c>
      <c r="DM5">
        <v>9.1039266064763064E-2</v>
      </c>
      <c r="DN5">
        <v>16800000</v>
      </c>
      <c r="DO5">
        <v>0.13005609437823296</v>
      </c>
      <c r="DP5">
        <v>7402434200</v>
      </c>
      <c r="DQ5">
        <v>1205626000</v>
      </c>
      <c r="DR5">
        <v>1657</v>
      </c>
      <c r="DS5">
        <v>5.8349702723215907E-2</v>
      </c>
      <c r="DT5">
        <v>1.3113812099907907</v>
      </c>
      <c r="DU5" s="22">
        <v>-0.25666666666666665</v>
      </c>
      <c r="DV5">
        <v>-0.45833333333333331</v>
      </c>
      <c r="DW5">
        <v>-0.71499999999999997</v>
      </c>
      <c r="DX5">
        <v>7.2986010612638692</v>
      </c>
      <c r="DY5">
        <v>1.0991436363636375</v>
      </c>
      <c r="DZ5">
        <v>7.0475204587115732</v>
      </c>
      <c r="EA5">
        <v>3557</v>
      </c>
      <c r="EB5">
        <v>7.0144680004329132</v>
      </c>
      <c r="EC5">
        <v>7</v>
      </c>
      <c r="ED5">
        <v>0.17620606178525877</v>
      </c>
      <c r="EE5">
        <v>1.107213997439618</v>
      </c>
      <c r="EF5" s="19">
        <v>4.0632099999999998</v>
      </c>
      <c r="EG5">
        <v>4.0297099999999997</v>
      </c>
      <c r="EH5">
        <v>94.159143636363638</v>
      </c>
      <c r="EI5" t="s">
        <v>1545</v>
      </c>
      <c r="EJ5">
        <v>1</v>
      </c>
      <c r="EK5">
        <v>0</v>
      </c>
      <c r="EL5" s="27">
        <v>45357</v>
      </c>
      <c r="EM5" s="28">
        <v>0.11260000000000001</v>
      </c>
      <c r="EN5" s="28">
        <v>7.82</v>
      </c>
      <c r="EO5" s="28">
        <v>-1.74</v>
      </c>
      <c r="EP5" s="28">
        <v>-5.32</v>
      </c>
      <c r="EQ5" s="28">
        <v>3.35</v>
      </c>
    </row>
    <row r="6" spans="1:147" ht="312" x14ac:dyDescent="0.25">
      <c r="A6" s="30"/>
      <c r="B6" s="3" t="s">
        <v>1547</v>
      </c>
      <c r="C6" s="3" t="s">
        <v>1548</v>
      </c>
      <c r="D6" s="3" t="s">
        <v>1552</v>
      </c>
      <c r="E6" t="s">
        <v>332</v>
      </c>
      <c r="F6" t="s">
        <v>333</v>
      </c>
      <c r="G6">
        <v>81.8</v>
      </c>
      <c r="H6">
        <v>4.3600000000000003</v>
      </c>
      <c r="I6" t="s">
        <v>1549</v>
      </c>
      <c r="J6">
        <v>7621940500</v>
      </c>
      <c r="K6">
        <v>82.94</v>
      </c>
      <c r="L6">
        <v>6.72</v>
      </c>
      <c r="M6" t="s">
        <v>278</v>
      </c>
      <c r="N6" t="s">
        <v>625</v>
      </c>
      <c r="O6" t="s">
        <v>1028</v>
      </c>
      <c r="P6" t="s">
        <v>267</v>
      </c>
      <c r="Q6">
        <v>41.62</v>
      </c>
      <c r="R6" t="s">
        <v>292</v>
      </c>
      <c r="S6">
        <v>64791155</v>
      </c>
      <c r="T6" s="4">
        <v>0.94310000000000005</v>
      </c>
      <c r="U6" t="s">
        <v>1029</v>
      </c>
      <c r="V6">
        <v>49225257</v>
      </c>
      <c r="W6">
        <v>93177757</v>
      </c>
      <c r="X6">
        <v>1.35</v>
      </c>
      <c r="Y6">
        <v>0.21</v>
      </c>
      <c r="Z6">
        <v>22.08</v>
      </c>
      <c r="AA6" t="s">
        <v>1030</v>
      </c>
      <c r="AB6" t="s">
        <v>980</v>
      </c>
      <c r="AC6" t="s">
        <v>1031</v>
      </c>
      <c r="AD6" t="s">
        <v>1032</v>
      </c>
      <c r="AE6" t="s">
        <v>1033</v>
      </c>
      <c r="AF6">
        <v>-1931222</v>
      </c>
      <c r="AG6" t="s">
        <v>1034</v>
      </c>
      <c r="AH6">
        <v>4262.41</v>
      </c>
      <c r="AI6" t="s">
        <v>1035</v>
      </c>
      <c r="AJ6" t="s">
        <v>315</v>
      </c>
      <c r="AK6" t="s">
        <v>1036</v>
      </c>
      <c r="AL6" t="s">
        <v>1037</v>
      </c>
      <c r="AM6" t="s">
        <v>1038</v>
      </c>
      <c r="AN6" t="s">
        <v>7</v>
      </c>
      <c r="AO6" t="s">
        <v>1039</v>
      </c>
      <c r="AP6" t="s">
        <v>1040</v>
      </c>
      <c r="AQ6" t="s">
        <v>1041</v>
      </c>
      <c r="AR6" t="s">
        <v>1042</v>
      </c>
      <c r="AS6" t="s">
        <v>7</v>
      </c>
      <c r="AT6" t="s">
        <v>569</v>
      </c>
      <c r="AU6" t="s">
        <v>7</v>
      </c>
      <c r="AV6" t="s">
        <v>1043</v>
      </c>
      <c r="AW6" t="s">
        <v>1044</v>
      </c>
      <c r="AX6" t="s">
        <v>1045</v>
      </c>
      <c r="AY6" t="s">
        <v>370</v>
      </c>
      <c r="AZ6" t="s">
        <v>314</v>
      </c>
      <c r="BA6" t="s">
        <v>373</v>
      </c>
      <c r="BB6" t="s">
        <v>313</v>
      </c>
      <c r="BC6" t="s">
        <v>374</v>
      </c>
      <c r="BD6" t="s">
        <v>371</v>
      </c>
      <c r="BE6" t="s">
        <v>375</v>
      </c>
      <c r="BF6" t="s">
        <v>376</v>
      </c>
      <c r="BG6" t="s">
        <v>377</v>
      </c>
      <c r="BH6" t="s">
        <v>378</v>
      </c>
      <c r="BI6" t="s">
        <v>627</v>
      </c>
      <c r="BJ6" t="s">
        <v>414</v>
      </c>
      <c r="BK6" t="s">
        <v>544</v>
      </c>
      <c r="BL6" t="s">
        <v>1046</v>
      </c>
      <c r="BM6" t="s">
        <v>1047</v>
      </c>
      <c r="BN6" t="s">
        <v>614</v>
      </c>
      <c r="BO6">
        <v>2.42</v>
      </c>
      <c r="BP6">
        <v>10.34</v>
      </c>
      <c r="BQ6">
        <v>6.34</v>
      </c>
      <c r="BR6">
        <v>2.57</v>
      </c>
      <c r="BS6">
        <v>10.97</v>
      </c>
      <c r="BT6">
        <v>6.64</v>
      </c>
      <c r="BU6" t="s">
        <v>651</v>
      </c>
      <c r="BV6" t="s">
        <v>368</v>
      </c>
      <c r="BW6">
        <v>45.44</v>
      </c>
      <c r="BX6">
        <v>43.14</v>
      </c>
      <c r="BY6">
        <v>42.15</v>
      </c>
      <c r="BZ6">
        <v>23.64</v>
      </c>
      <c r="CA6">
        <v>28.72</v>
      </c>
      <c r="CB6">
        <v>17.7</v>
      </c>
      <c r="CC6">
        <v>-5.28</v>
      </c>
      <c r="CD6">
        <v>-12.49</v>
      </c>
      <c r="CE6" t="s">
        <v>1550</v>
      </c>
      <c r="CF6" t="s">
        <v>1551</v>
      </c>
      <c r="CG6" s="20">
        <v>0.39393939393939503</v>
      </c>
      <c r="CH6" s="21">
        <v>1.9114518613824509</v>
      </c>
      <c r="CI6" s="20">
        <v>0.24015748500823975</v>
      </c>
      <c r="CJ6" s="20">
        <v>0.28282827138900757</v>
      </c>
      <c r="CK6" s="20">
        <v>0.39436620473861694</v>
      </c>
      <c r="CL6" s="20">
        <v>0.37864077091217041</v>
      </c>
      <c r="CM6" s="20">
        <v>0.38203462958335876</v>
      </c>
      <c r="CN6" s="21">
        <v>-0.17035302519798279</v>
      </c>
      <c r="CO6" s="21">
        <v>1.0681082010269165</v>
      </c>
      <c r="CP6" s="21">
        <v>-0.17022243142127991</v>
      </c>
      <c r="CQ6" s="21">
        <v>2.1306934356689453</v>
      </c>
      <c r="CR6" s="21">
        <v>-6.2886295318603516</v>
      </c>
      <c r="CS6">
        <v>253.27236295788009</v>
      </c>
      <c r="CT6">
        <v>7.5467292354412621</v>
      </c>
      <c r="CU6">
        <v>0</v>
      </c>
      <c r="CV6" s="20">
        <v>0.33560547232627869</v>
      </c>
      <c r="CW6" s="21">
        <v>-0.68608067035675047</v>
      </c>
      <c r="CX6">
        <v>0.06</v>
      </c>
      <c r="CY6">
        <v>90.662335569025117</v>
      </c>
      <c r="CZ6">
        <v>76172100.097092822</v>
      </c>
      <c r="DA6">
        <v>0.33560547232627869</v>
      </c>
      <c r="DB6">
        <v>24.21212295292402</v>
      </c>
      <c r="DC6">
        <v>285226558.34134495</v>
      </c>
      <c r="DD6">
        <v>0.31882519870996473</v>
      </c>
      <c r="DE6">
        <v>8.907008713612484</v>
      </c>
      <c r="DF6">
        <v>775337795.4425627</v>
      </c>
      <c r="DG6">
        <v>0.29533281564712527</v>
      </c>
      <c r="DH6">
        <v>3.7380815245248309</v>
      </c>
      <c r="DI6">
        <v>1847455828.5290084</v>
      </c>
      <c r="DJ6">
        <v>0.26848437786102297</v>
      </c>
      <c r="DK6">
        <v>0.8003668118385302</v>
      </c>
      <c r="DL6">
        <v>8628469344.1202278</v>
      </c>
      <c r="DM6">
        <v>0.23492383062839506</v>
      </c>
      <c r="DN6">
        <v>60453800</v>
      </c>
      <c r="DO6">
        <v>0.33560547232627869</v>
      </c>
      <c r="DP6">
        <v>6905940500</v>
      </c>
      <c r="DQ6">
        <v>736592680</v>
      </c>
      <c r="DR6">
        <v>4810</v>
      </c>
      <c r="DS6">
        <v>5.8333921613116346E-2</v>
      </c>
      <c r="DT6">
        <v>2.5975325317392013</v>
      </c>
      <c r="DU6" s="22">
        <v>0.22666666666666657</v>
      </c>
      <c r="DV6">
        <v>0.43333333333333329</v>
      </c>
      <c r="DW6">
        <v>0.65999999999999992</v>
      </c>
      <c r="DX6">
        <v>-8.4227381905524421</v>
      </c>
      <c r="DY6">
        <v>0.50047057441685638</v>
      </c>
      <c r="DZ6">
        <v>-8.0509275126437938</v>
      </c>
      <c r="EA6">
        <v>761</v>
      </c>
      <c r="EB6">
        <v>-8.0433491322914428</v>
      </c>
      <c r="EC6">
        <v>8</v>
      </c>
      <c r="ED6">
        <v>9.6866465673776631E-2</v>
      </c>
      <c r="EE6">
        <v>0.80406743424828309</v>
      </c>
      <c r="EF6" s="19">
        <v>-1.0336000000000001</v>
      </c>
      <c r="EG6">
        <v>-1.0771999999999999</v>
      </c>
      <c r="EH6">
        <v>38.120470574416856</v>
      </c>
      <c r="EI6" t="s">
        <v>1467</v>
      </c>
      <c r="EJ6">
        <v>0</v>
      </c>
      <c r="EK6">
        <v>1</v>
      </c>
      <c r="EL6" s="27">
        <v>45357</v>
      </c>
      <c r="EM6" s="28">
        <v>5.1900000000000002E-2</v>
      </c>
      <c r="EN6" s="28">
        <v>4.91</v>
      </c>
      <c r="EO6">
        <v>-1.59</v>
      </c>
      <c r="EP6">
        <v>-0.32</v>
      </c>
      <c r="EQ6">
        <v>4.3600000000000003</v>
      </c>
    </row>
    <row r="7" spans="1:147" ht="84" x14ac:dyDescent="0.25">
      <c r="A7" s="30" t="s">
        <v>335</v>
      </c>
      <c r="B7" s="3"/>
      <c r="C7" s="3"/>
      <c r="D7" s="3" t="s">
        <v>1556</v>
      </c>
      <c r="E7" t="s">
        <v>319</v>
      </c>
      <c r="F7" t="s">
        <v>320</v>
      </c>
      <c r="G7">
        <v>10.16</v>
      </c>
      <c r="H7">
        <v>1.4</v>
      </c>
      <c r="I7" t="s">
        <v>1553</v>
      </c>
      <c r="J7">
        <v>5374211900</v>
      </c>
      <c r="K7">
        <v>19.46</v>
      </c>
      <c r="L7">
        <v>1.65</v>
      </c>
      <c r="M7" t="s">
        <v>278</v>
      </c>
      <c r="N7" t="s">
        <v>1048</v>
      </c>
      <c r="O7" t="s">
        <v>1049</v>
      </c>
      <c r="P7" t="s">
        <v>763</v>
      </c>
      <c r="Q7">
        <v>-24.95</v>
      </c>
      <c r="R7" t="s">
        <v>1050</v>
      </c>
      <c r="S7">
        <v>240941940</v>
      </c>
      <c r="T7" s="4">
        <v>0.21640000000000001</v>
      </c>
      <c r="U7" t="s">
        <v>620</v>
      </c>
      <c r="V7">
        <v>524349080</v>
      </c>
      <c r="W7">
        <v>529129330</v>
      </c>
      <c r="X7">
        <v>1.65</v>
      </c>
      <c r="Y7">
        <v>0.38</v>
      </c>
      <c r="Z7">
        <v>12.19</v>
      </c>
      <c r="AA7" t="s">
        <v>1008</v>
      </c>
      <c r="AB7" t="s">
        <v>1051</v>
      </c>
      <c r="AC7" t="s">
        <v>1052</v>
      </c>
      <c r="AD7" t="s">
        <v>627</v>
      </c>
      <c r="AE7" t="s">
        <v>1020</v>
      </c>
      <c r="AF7">
        <v>17125760</v>
      </c>
      <c r="AG7" t="s">
        <v>1053</v>
      </c>
      <c r="AH7" t="s">
        <v>1054</v>
      </c>
      <c r="AI7" t="s">
        <v>1055</v>
      </c>
      <c r="AJ7" t="s">
        <v>703</v>
      </c>
      <c r="AK7" t="s">
        <v>1056</v>
      </c>
      <c r="AL7" t="s">
        <v>745</v>
      </c>
      <c r="AM7" t="s">
        <v>1057</v>
      </c>
      <c r="AN7" t="s">
        <v>7</v>
      </c>
      <c r="AO7" t="s">
        <v>525</v>
      </c>
      <c r="AP7" t="s">
        <v>686</v>
      </c>
      <c r="AQ7" t="s">
        <v>183</v>
      </c>
      <c r="AR7" t="s">
        <v>1058</v>
      </c>
      <c r="AS7" t="s">
        <v>7</v>
      </c>
      <c r="AT7" t="s">
        <v>1059</v>
      </c>
      <c r="AU7" t="s">
        <v>285</v>
      </c>
      <c r="AV7" t="s">
        <v>1060</v>
      </c>
      <c r="AW7" t="s">
        <v>1061</v>
      </c>
      <c r="AX7" t="s">
        <v>1062</v>
      </c>
      <c r="AY7" t="s">
        <v>379</v>
      </c>
      <c r="AZ7" t="s">
        <v>383</v>
      </c>
      <c r="BA7" t="s">
        <v>384</v>
      </c>
      <c r="BB7" t="s">
        <v>385</v>
      </c>
      <c r="BC7" t="s">
        <v>386</v>
      </c>
      <c r="BD7" t="s">
        <v>380</v>
      </c>
      <c r="BE7" t="s">
        <v>388</v>
      </c>
      <c r="BF7" t="s">
        <v>389</v>
      </c>
      <c r="BG7" t="s">
        <v>390</v>
      </c>
      <c r="BH7" t="s">
        <v>391</v>
      </c>
      <c r="BI7" t="s">
        <v>1063</v>
      </c>
      <c r="BJ7" t="s">
        <v>1064</v>
      </c>
      <c r="BK7" t="s">
        <v>615</v>
      </c>
      <c r="BL7" t="s">
        <v>1065</v>
      </c>
      <c r="BM7" t="s">
        <v>314</v>
      </c>
      <c r="BN7" t="s">
        <v>231</v>
      </c>
      <c r="BO7">
        <v>2.04</v>
      </c>
      <c r="BP7">
        <v>3.97</v>
      </c>
      <c r="BQ7">
        <v>2.71</v>
      </c>
      <c r="BR7">
        <v>2.38</v>
      </c>
      <c r="BS7">
        <v>4.5</v>
      </c>
      <c r="BT7">
        <v>2.27</v>
      </c>
      <c r="BU7" t="s">
        <v>1066</v>
      </c>
      <c r="BV7" t="s">
        <v>392</v>
      </c>
      <c r="BW7">
        <v>31.84</v>
      </c>
      <c r="BX7">
        <v>20.94</v>
      </c>
      <c r="BY7">
        <v>23.81</v>
      </c>
      <c r="BZ7">
        <v>13.59</v>
      </c>
      <c r="CA7">
        <v>3.95</v>
      </c>
      <c r="CB7">
        <v>3.67</v>
      </c>
      <c r="CC7">
        <v>9.94</v>
      </c>
      <c r="CD7">
        <v>-6.93</v>
      </c>
      <c r="CE7" t="s">
        <v>1554</v>
      </c>
      <c r="CF7" t="s">
        <v>1555</v>
      </c>
      <c r="CG7" s="20">
        <v>-0.23616734143049958</v>
      </c>
      <c r="CH7" s="21">
        <v>-0.27512999999999999</v>
      </c>
      <c r="CI7" s="20">
        <v>3.2451923936605453E-2</v>
      </c>
      <c r="CJ7" s="20">
        <v>0.4131634533405304</v>
      </c>
      <c r="CK7" s="20">
        <v>0.12949639558792114</v>
      </c>
      <c r="CL7" s="20">
        <v>9.1965459287166595E-3</v>
      </c>
      <c r="CM7" s="20">
        <v>0.38286480307579041</v>
      </c>
      <c r="CN7" s="21">
        <v>0.83464568853378296</v>
      </c>
      <c r="CO7" s="21">
        <v>1.039400577545166</v>
      </c>
      <c r="CP7" s="21">
        <v>1.2635499238967896</v>
      </c>
      <c r="CQ7" s="21">
        <v>0.20101542770862579</v>
      </c>
      <c r="CR7" s="21">
        <v>0.39896786212921143</v>
      </c>
      <c r="CS7">
        <v>65.932459312173506</v>
      </c>
      <c r="CT7">
        <v>3.4085138338379797</v>
      </c>
      <c r="CU7">
        <v>1.7421259842519685</v>
      </c>
      <c r="CV7" s="20">
        <v>0.19343462437391282</v>
      </c>
      <c r="CW7" s="21">
        <v>0.74751589596271517</v>
      </c>
      <c r="CX7">
        <v>0.06</v>
      </c>
      <c r="CY7">
        <v>15.976841588551245</v>
      </c>
      <c r="CZ7">
        <v>262330441.01803935</v>
      </c>
      <c r="DA7">
        <v>0.19343462437391282</v>
      </c>
      <c r="DB7">
        <v>4.7882979299490547</v>
      </c>
      <c r="DC7">
        <v>875303074.56131768</v>
      </c>
      <c r="DD7">
        <v>0.18376289315521716</v>
      </c>
      <c r="DE7">
        <v>2.090663028625102</v>
      </c>
      <c r="DF7">
        <v>2004728568.2170875</v>
      </c>
      <c r="DG7">
        <v>0.17022246944904329</v>
      </c>
      <c r="DH7">
        <v>1.0900245114761498</v>
      </c>
      <c r="DI7">
        <v>3845062065.9200711</v>
      </c>
      <c r="DJ7">
        <v>0.15474769949913025</v>
      </c>
      <c r="DK7">
        <v>0.40458602857920933</v>
      </c>
      <c r="DL7">
        <v>10359260092.886402</v>
      </c>
      <c r="DM7">
        <v>0.13540423706173896</v>
      </c>
      <c r="DN7">
        <v>233000000</v>
      </c>
      <c r="DO7">
        <v>0.19343462437391282</v>
      </c>
      <c r="DP7">
        <v>4191211900.0000005</v>
      </c>
      <c r="DQ7">
        <v>1451571200</v>
      </c>
      <c r="DR7">
        <v>566</v>
      </c>
      <c r="DS7">
        <v>-0.4296019658044124</v>
      </c>
      <c r="DT7">
        <v>-1.0226458959627152</v>
      </c>
      <c r="DU7" s="22">
        <v>-0.19000000000000003</v>
      </c>
      <c r="DV7">
        <v>1.3366666666666667</v>
      </c>
      <c r="DW7">
        <v>1.1466666666666667</v>
      </c>
      <c r="DX7">
        <v>5.697183098591549</v>
      </c>
      <c r="DY7">
        <v>0.13920403587443952</v>
      </c>
      <c r="DZ7">
        <v>5.0900788700814754</v>
      </c>
      <c r="EA7">
        <v>221</v>
      </c>
      <c r="EB7">
        <v>5.0861861383083022</v>
      </c>
      <c r="EC7">
        <v>5</v>
      </c>
      <c r="ED7">
        <v>1.7424851500860861</v>
      </c>
      <c r="EE7">
        <v>13.48630589047105</v>
      </c>
      <c r="EF7" s="19">
        <v>0.10439999999999999</v>
      </c>
      <c r="EG7">
        <v>0.11840000000000001</v>
      </c>
      <c r="EH7">
        <v>1.1292040358744395</v>
      </c>
      <c r="EI7" t="s">
        <v>570</v>
      </c>
      <c r="EJ7">
        <v>1</v>
      </c>
      <c r="EK7">
        <v>1</v>
      </c>
      <c r="EL7" s="27">
        <v>45357</v>
      </c>
      <c r="EM7" s="28">
        <v>5.4600000000000003E-2</v>
      </c>
      <c r="EN7" s="28">
        <v>1.89</v>
      </c>
      <c r="EO7" s="28">
        <v>0.1</v>
      </c>
      <c r="EP7" s="28">
        <v>-2.2400000000000002</v>
      </c>
      <c r="EQ7" s="28">
        <v>1.4</v>
      </c>
    </row>
    <row r="8" spans="1:147" ht="156" x14ac:dyDescent="0.25">
      <c r="A8" s="30"/>
      <c r="B8" s="3"/>
      <c r="C8" s="3" t="s">
        <v>1081</v>
      </c>
      <c r="D8" s="3" t="s">
        <v>1489</v>
      </c>
      <c r="E8" t="s">
        <v>321</v>
      </c>
      <c r="F8" t="s">
        <v>322</v>
      </c>
      <c r="G8">
        <v>16.63</v>
      </c>
      <c r="H8">
        <v>6.19</v>
      </c>
      <c r="I8" t="s">
        <v>1487</v>
      </c>
      <c r="J8">
        <v>5089991300</v>
      </c>
      <c r="L8">
        <v>3.97</v>
      </c>
      <c r="M8" t="s">
        <v>278</v>
      </c>
      <c r="N8" t="s">
        <v>316</v>
      </c>
      <c r="O8" t="s">
        <v>733</v>
      </c>
      <c r="P8" t="s">
        <v>734</v>
      </c>
      <c r="Q8">
        <v>-4.12</v>
      </c>
      <c r="R8" t="s">
        <v>697</v>
      </c>
      <c r="S8">
        <v>-29948724</v>
      </c>
      <c r="T8" s="4">
        <v>-1.8819999999999999</v>
      </c>
      <c r="U8" t="s">
        <v>698</v>
      </c>
      <c r="V8">
        <v>210679730</v>
      </c>
      <c r="W8">
        <v>306072840</v>
      </c>
      <c r="X8">
        <v>2.04</v>
      </c>
      <c r="Y8">
        <v>0.26</v>
      </c>
      <c r="Z8">
        <v>-4.26</v>
      </c>
      <c r="AA8" t="s">
        <v>666</v>
      </c>
      <c r="AB8" t="s">
        <v>735</v>
      </c>
      <c r="AC8" t="s">
        <v>736</v>
      </c>
      <c r="AD8" t="s">
        <v>737</v>
      </c>
      <c r="AE8" t="s">
        <v>699</v>
      </c>
      <c r="AF8">
        <v>31251353</v>
      </c>
      <c r="AG8" t="s">
        <v>394</v>
      </c>
      <c r="AH8" t="s">
        <v>738</v>
      </c>
      <c r="AI8" t="s">
        <v>739</v>
      </c>
      <c r="AJ8" t="s">
        <v>740</v>
      </c>
      <c r="AK8" t="s">
        <v>741</v>
      </c>
      <c r="AL8" t="s">
        <v>742</v>
      </c>
      <c r="AM8" t="s">
        <v>743</v>
      </c>
      <c r="AN8" t="s">
        <v>7</v>
      </c>
      <c r="AO8" t="s">
        <v>744</v>
      </c>
      <c r="AP8" t="s">
        <v>745</v>
      </c>
      <c r="AQ8" t="s">
        <v>746</v>
      </c>
      <c r="AR8" t="s">
        <v>747</v>
      </c>
      <c r="AS8" t="s">
        <v>7</v>
      </c>
      <c r="AT8" t="s">
        <v>748</v>
      </c>
      <c r="AU8" t="s">
        <v>563</v>
      </c>
      <c r="AV8" t="s">
        <v>749</v>
      </c>
      <c r="AW8" t="s">
        <v>294</v>
      </c>
      <c r="AX8" t="s">
        <v>750</v>
      </c>
      <c r="AY8" t="s">
        <v>393</v>
      </c>
      <c r="AZ8" t="s">
        <v>396</v>
      </c>
      <c r="BA8" t="s">
        <v>397</v>
      </c>
      <c r="BB8" t="s">
        <v>398</v>
      </c>
      <c r="BC8" t="s">
        <v>399</v>
      </c>
      <c r="BD8" t="s">
        <v>372</v>
      </c>
      <c r="BE8" t="s">
        <v>400</v>
      </c>
      <c r="BF8" t="s">
        <v>401</v>
      </c>
      <c r="BG8" t="s">
        <v>402</v>
      </c>
      <c r="BH8" t="s">
        <v>403</v>
      </c>
      <c r="BI8" t="s">
        <v>696</v>
      </c>
      <c r="BJ8" t="s">
        <v>751</v>
      </c>
      <c r="BK8" t="s">
        <v>616</v>
      </c>
      <c r="BL8" t="s">
        <v>752</v>
      </c>
      <c r="BM8" t="s">
        <v>753</v>
      </c>
      <c r="BN8" t="s">
        <v>617</v>
      </c>
      <c r="BO8" t="s">
        <v>7</v>
      </c>
      <c r="BP8">
        <v>9.5299999999999994</v>
      </c>
      <c r="BQ8">
        <v>7.26</v>
      </c>
      <c r="BR8">
        <v>-0.94</v>
      </c>
      <c r="BS8">
        <v>11.99</v>
      </c>
      <c r="BT8">
        <v>8.0500000000000007</v>
      </c>
      <c r="BU8" t="s">
        <v>651</v>
      </c>
      <c r="BV8" t="s">
        <v>404</v>
      </c>
      <c r="BW8">
        <v>34.86</v>
      </c>
      <c r="BX8">
        <v>44.76</v>
      </c>
      <c r="BY8">
        <v>44.95</v>
      </c>
      <c r="BZ8">
        <v>-3.16</v>
      </c>
      <c r="CA8">
        <v>12.79</v>
      </c>
      <c r="CB8">
        <v>9.16</v>
      </c>
      <c r="CC8">
        <v>2.38</v>
      </c>
      <c r="CD8">
        <v>-14.55</v>
      </c>
      <c r="CE8" t="s">
        <v>1488</v>
      </c>
      <c r="CF8" t="s">
        <v>414</v>
      </c>
      <c r="CG8" s="20">
        <v>8.6206896551724137E-3</v>
      </c>
      <c r="CH8" s="21">
        <v>-13.369504788409593</v>
      </c>
      <c r="CI8" s="20">
        <v>-0.13421052694320679</v>
      </c>
      <c r="CJ8" s="20">
        <v>0.30434781312942505</v>
      </c>
      <c r="CK8" s="20">
        <v>1.4829545021057129</v>
      </c>
      <c r="CL8" s="20">
        <v>-0.2380952388048172</v>
      </c>
      <c r="CM8" s="20">
        <v>3.5874441266059875E-2</v>
      </c>
      <c r="CN8" s="21">
        <v>-0.84092926979064941</v>
      </c>
      <c r="CO8" s="21">
        <v>0.87579053640365601</v>
      </c>
      <c r="CP8" s="21">
        <v>1.4815174341201782</v>
      </c>
      <c r="CQ8" s="21">
        <v>-4.0556864738464355</v>
      </c>
      <c r="CR8" s="21">
        <v>-0.3260018527507782</v>
      </c>
      <c r="CS8">
        <v>146.90422059337092</v>
      </c>
      <c r="CT8">
        <v>5.0626217468553234</v>
      </c>
      <c r="CU8">
        <v>0</v>
      </c>
      <c r="CV8" s="20">
        <v>0.29017419815063478</v>
      </c>
      <c r="CW8" s="21">
        <v>-0.57306192517280574</v>
      </c>
      <c r="CX8">
        <v>0.06</v>
      </c>
      <c r="CY8">
        <v>189.8489911695014</v>
      </c>
      <c r="CZ8">
        <v>27105707.901315864</v>
      </c>
      <c r="DA8">
        <v>0.29017419815063478</v>
      </c>
      <c r="DB8">
        <v>52.579508270669365</v>
      </c>
      <c r="DC8">
        <v>97870662.34072426</v>
      </c>
      <c r="DD8">
        <v>0.27566548824310305</v>
      </c>
      <c r="DE8">
        <v>20.442111015961878</v>
      </c>
      <c r="DF8">
        <v>251734827.97260222</v>
      </c>
      <c r="DG8">
        <v>0.2553532943725586</v>
      </c>
      <c r="DH8">
        <v>9.2147280730404866</v>
      </c>
      <c r="DI8">
        <v>558452865.8046478</v>
      </c>
      <c r="DJ8">
        <v>0.23213935852050782</v>
      </c>
      <c r="DK8">
        <v>2.3714267667185354</v>
      </c>
      <c r="DL8">
        <v>2169997982.7421665</v>
      </c>
      <c r="DM8">
        <v>0.20312193870544434</v>
      </c>
      <c r="DN8">
        <v>22269899.999999996</v>
      </c>
      <c r="DO8">
        <v>0.29017419815063478</v>
      </c>
      <c r="DP8">
        <v>5145991300</v>
      </c>
      <c r="DQ8">
        <v>380225090</v>
      </c>
      <c r="DR8">
        <v>1981</v>
      </c>
      <c r="DS8">
        <v>-0.28155350849546235</v>
      </c>
      <c r="DT8">
        <v>-12.796442863236788</v>
      </c>
      <c r="DU8" s="22">
        <v>-0.13999999999999999</v>
      </c>
      <c r="DV8">
        <v>-1.415</v>
      </c>
      <c r="DW8">
        <v>-1.5549999999999999</v>
      </c>
      <c r="DX8">
        <v>-2.1455000000000002</v>
      </c>
      <c r="DY8">
        <v>-3.0135314009661873</v>
      </c>
      <c r="DZ8">
        <v>-2.0140361811594203</v>
      </c>
      <c r="EA8">
        <v>4250</v>
      </c>
      <c r="EB8">
        <v>-2.0023713845369064</v>
      </c>
      <c r="EC8">
        <v>2</v>
      </c>
      <c r="ED8">
        <v>6.5242639627874202E-2</v>
      </c>
      <c r="EE8">
        <v>0.67630960002854212</v>
      </c>
      <c r="EF8" s="19">
        <v>6.0718100000000002</v>
      </c>
      <c r="EG8">
        <v>6.0099099999999996</v>
      </c>
      <c r="EH8">
        <v>-211.90353140096619</v>
      </c>
      <c r="EI8" t="s">
        <v>1067</v>
      </c>
      <c r="EJ8">
        <v>0</v>
      </c>
      <c r="EK8">
        <v>0</v>
      </c>
      <c r="EL8" s="27">
        <v>45357</v>
      </c>
      <c r="EM8" s="28">
        <v>7.0000000000000007E-2</v>
      </c>
      <c r="EN8" s="28">
        <v>2.16</v>
      </c>
      <c r="EO8" s="28">
        <v>4.29</v>
      </c>
      <c r="EP8" s="28">
        <v>-3.81</v>
      </c>
      <c r="EQ8" s="28">
        <v>6.19</v>
      </c>
    </row>
    <row r="9" spans="1:147" ht="204" x14ac:dyDescent="0.25">
      <c r="A9" t="s">
        <v>336</v>
      </c>
      <c r="B9" s="3" t="s">
        <v>1557</v>
      </c>
      <c r="C9" s="3" t="s">
        <v>1558</v>
      </c>
      <c r="D9" s="3" t="s">
        <v>1492</v>
      </c>
      <c r="E9" t="s">
        <v>323</v>
      </c>
      <c r="F9" t="s">
        <v>324</v>
      </c>
      <c r="G9">
        <v>9.98</v>
      </c>
      <c r="H9">
        <v>5.61</v>
      </c>
      <c r="I9" t="s">
        <v>1490</v>
      </c>
      <c r="J9">
        <v>10078632700</v>
      </c>
      <c r="K9">
        <v>65.28</v>
      </c>
      <c r="L9">
        <v>2.11</v>
      </c>
      <c r="M9" t="s">
        <v>278</v>
      </c>
      <c r="N9" t="s">
        <v>754</v>
      </c>
      <c r="O9" t="s">
        <v>755</v>
      </c>
      <c r="P9" t="s">
        <v>756</v>
      </c>
      <c r="Q9">
        <v>-8.6300000000000008</v>
      </c>
      <c r="R9" t="s">
        <v>700</v>
      </c>
      <c r="S9">
        <v>85511371</v>
      </c>
      <c r="T9" s="4">
        <v>-0.58520000000000005</v>
      </c>
      <c r="U9" t="s">
        <v>701</v>
      </c>
      <c r="V9">
        <v>693283160</v>
      </c>
      <c r="W9">
        <v>1009883040</v>
      </c>
      <c r="X9">
        <v>1.84</v>
      </c>
      <c r="Y9">
        <v>0.31</v>
      </c>
      <c r="Z9">
        <v>3.47</v>
      </c>
      <c r="AA9" t="s">
        <v>757</v>
      </c>
      <c r="AB9" t="s">
        <v>758</v>
      </c>
      <c r="AC9" t="s">
        <v>227</v>
      </c>
      <c r="AD9" t="s">
        <v>759</v>
      </c>
      <c r="AE9" t="s">
        <v>305</v>
      </c>
      <c r="AF9">
        <v>4951435</v>
      </c>
      <c r="AG9" t="s">
        <v>760</v>
      </c>
      <c r="AH9" t="s">
        <v>761</v>
      </c>
      <c r="AI9" t="s">
        <v>762</v>
      </c>
      <c r="AJ9" t="s">
        <v>763</v>
      </c>
      <c r="AK9" t="s">
        <v>764</v>
      </c>
      <c r="AL9" t="s">
        <v>765</v>
      </c>
      <c r="AM9" t="s">
        <v>766</v>
      </c>
      <c r="AN9" t="s">
        <v>7</v>
      </c>
      <c r="AO9" t="s">
        <v>559</v>
      </c>
      <c r="AP9" t="s">
        <v>644</v>
      </c>
      <c r="AQ9" t="s">
        <v>767</v>
      </c>
      <c r="AR9" t="s">
        <v>768</v>
      </c>
      <c r="AS9" t="s">
        <v>769</v>
      </c>
      <c r="AT9" t="s">
        <v>770</v>
      </c>
      <c r="AU9" t="s">
        <v>671</v>
      </c>
      <c r="AV9" t="s">
        <v>771</v>
      </c>
      <c r="AW9" t="s">
        <v>772</v>
      </c>
      <c r="AX9" t="s">
        <v>773</v>
      </c>
      <c r="AY9" t="s">
        <v>405</v>
      </c>
      <c r="AZ9" t="s">
        <v>408</v>
      </c>
      <c r="BA9" t="s">
        <v>409</v>
      </c>
      <c r="BB9" t="s">
        <v>410</v>
      </c>
      <c r="BC9" t="s">
        <v>411</v>
      </c>
      <c r="BD9" t="s">
        <v>306</v>
      </c>
      <c r="BE9" t="s">
        <v>317</v>
      </c>
      <c r="BF9" t="s">
        <v>257</v>
      </c>
      <c r="BG9" t="s">
        <v>412</v>
      </c>
      <c r="BH9" t="s">
        <v>413</v>
      </c>
      <c r="BI9" t="s">
        <v>674</v>
      </c>
      <c r="BJ9" t="s">
        <v>774</v>
      </c>
      <c r="BK9" t="s">
        <v>618</v>
      </c>
      <c r="BL9" t="s">
        <v>775</v>
      </c>
      <c r="BM9" t="s">
        <v>596</v>
      </c>
      <c r="BN9" t="s">
        <v>461</v>
      </c>
      <c r="BO9">
        <v>1.21</v>
      </c>
      <c r="BP9">
        <v>6.45</v>
      </c>
      <c r="BQ9">
        <v>4.3</v>
      </c>
      <c r="BR9">
        <v>1.64</v>
      </c>
      <c r="BS9">
        <v>11.26</v>
      </c>
      <c r="BT9">
        <v>7.17</v>
      </c>
      <c r="BU9" t="s">
        <v>651</v>
      </c>
      <c r="BV9" t="s">
        <v>368</v>
      </c>
      <c r="BW9">
        <v>18.34</v>
      </c>
      <c r="BX9">
        <v>18.52</v>
      </c>
      <c r="BY9">
        <v>20.2</v>
      </c>
      <c r="BZ9">
        <v>4.51</v>
      </c>
      <c r="CA9">
        <v>6.5</v>
      </c>
      <c r="CB9">
        <v>5.08</v>
      </c>
      <c r="CC9">
        <v>4.2699999999999996</v>
      </c>
      <c r="CD9">
        <v>12.93</v>
      </c>
      <c r="CE9" t="s">
        <v>1491</v>
      </c>
      <c r="CF9" t="s">
        <v>1246</v>
      </c>
      <c r="CG9" s="20">
        <v>-0.10762800417972831</v>
      </c>
      <c r="CH9" s="21">
        <v>-0.90248457999999998</v>
      </c>
      <c r="CI9" s="20">
        <v>-0.18824233114719391</v>
      </c>
      <c r="CJ9" s="20">
        <v>0.23369967937469482</v>
      </c>
      <c r="CK9" s="20">
        <v>0.29383891820907593</v>
      </c>
      <c r="CL9" s="20">
        <v>-7.214574608951807E-3</v>
      </c>
      <c r="CM9" s="20">
        <v>6.2666669487953186E-2</v>
      </c>
      <c r="CN9" s="21">
        <v>-2.1352313458919525E-2</v>
      </c>
      <c r="CO9" s="21">
        <v>0.83660131692886353</v>
      </c>
      <c r="CP9" s="21">
        <v>1.5134228467941284</v>
      </c>
      <c r="CQ9" s="21">
        <v>-6.4285717904567719E-2</v>
      </c>
      <c r="CR9" s="21">
        <v>-18.016105651855469</v>
      </c>
      <c r="CS9">
        <v>410.10339561222071</v>
      </c>
      <c r="CT9">
        <v>51.94491425442132</v>
      </c>
      <c r="CU9">
        <v>0</v>
      </c>
      <c r="CV9" s="20">
        <v>7.8949672263115639E-2</v>
      </c>
      <c r="CW9" s="21">
        <v>-3.1503439038991927</v>
      </c>
      <c r="CX9">
        <v>0.06</v>
      </c>
      <c r="CY9">
        <v>32.901393618627765</v>
      </c>
      <c r="CZ9">
        <v>279916188.5588271</v>
      </c>
      <c r="DA9">
        <v>7.8949672263115639E-2</v>
      </c>
      <c r="DB9">
        <v>10.853074973089271</v>
      </c>
      <c r="DC9">
        <v>848573581.48135281</v>
      </c>
      <c r="DD9">
        <v>7.5002188649959847E-2</v>
      </c>
      <c r="DE9">
        <v>5.4097910541604266</v>
      </c>
      <c r="DF9">
        <v>1702400815.0771899</v>
      </c>
      <c r="DG9">
        <v>6.9475711591541769E-2</v>
      </c>
      <c r="DH9">
        <v>3.294459223701065</v>
      </c>
      <c r="DI9">
        <v>2795491482.7125115</v>
      </c>
      <c r="DJ9">
        <v>6.3159737810492514E-2</v>
      </c>
      <c r="DK9">
        <v>1.7544919019738627</v>
      </c>
      <c r="DL9">
        <v>5249173672.2402945</v>
      </c>
      <c r="DM9">
        <v>5.5264770584180944E-2</v>
      </c>
      <c r="DN9">
        <v>275000000</v>
      </c>
      <c r="DO9">
        <v>7.8949672263115639E-2</v>
      </c>
      <c r="DP9">
        <v>9209632700</v>
      </c>
      <c r="DQ9">
        <v>2482270200</v>
      </c>
      <c r="DR9">
        <v>321</v>
      </c>
      <c r="DS9">
        <v>-0.18657767644284395</v>
      </c>
      <c r="DT9">
        <v>2.2478593238991929</v>
      </c>
      <c r="DU9" s="22">
        <v>-0.32333333333333331</v>
      </c>
      <c r="DV9">
        <v>-0.90666666666666662</v>
      </c>
      <c r="DW9">
        <v>-1.23</v>
      </c>
      <c r="DX9">
        <v>8.3302397525135348</v>
      </c>
      <c r="DY9">
        <v>-2.9645281954887115</v>
      </c>
      <c r="DZ9">
        <v>8.0480405727195024</v>
      </c>
      <c r="EA9">
        <v>4018</v>
      </c>
      <c r="EB9">
        <v>8.0102957504303038</v>
      </c>
      <c r="EC9">
        <v>8</v>
      </c>
      <c r="ED9">
        <v>3.8316813400490417E-2</v>
      </c>
      <c r="EE9">
        <v>0.26339683850914064</v>
      </c>
      <c r="EF9" s="19">
        <v>-2.0136099999999999</v>
      </c>
      <c r="EG9">
        <v>-2.0425</v>
      </c>
      <c r="EH9">
        <v>-211.85452819548871</v>
      </c>
      <c r="EI9" t="s">
        <v>1072</v>
      </c>
      <c r="EJ9">
        <v>0</v>
      </c>
      <c r="EK9">
        <v>0</v>
      </c>
      <c r="EL9" s="27">
        <v>45357</v>
      </c>
      <c r="EM9" s="28">
        <v>8.5699999999999998E-2</v>
      </c>
      <c r="EN9" s="28">
        <v>4.32</v>
      </c>
      <c r="EO9" s="28">
        <v>-1.92</v>
      </c>
      <c r="EP9" s="28">
        <v>-2.78</v>
      </c>
      <c r="EQ9" s="28">
        <v>5.61</v>
      </c>
    </row>
  </sheetData>
  <mergeCells count="2">
    <mergeCell ref="A3:A6"/>
    <mergeCell ref="A7:A8"/>
  </mergeCells>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Q14"/>
  <sheetViews>
    <sheetView topLeftCell="A4" workbookViewId="0">
      <selection activeCell="D14" sqref="D14"/>
    </sheetView>
  </sheetViews>
  <sheetFormatPr defaultRowHeight="14" x14ac:dyDescent="0.25"/>
  <cols>
    <col min="1" max="1" width="20.54296875" customWidth="1"/>
    <col min="2" max="2" width="38.81640625" customWidth="1"/>
    <col min="3" max="3" width="42.1796875" customWidth="1"/>
    <col min="4" max="4" width="52.54296875" customWidth="1"/>
    <col min="10" max="10" width="10.54296875" customWidth="1"/>
  </cols>
  <sheetData>
    <row r="1" spans="1:147" x14ac:dyDescent="0.25">
      <c r="A1" s="16" t="s">
        <v>63</v>
      </c>
      <c r="B1" s="17" t="s">
        <v>8</v>
      </c>
      <c r="C1" s="18" t="s">
        <v>9</v>
      </c>
      <c r="D1" s="17" t="s">
        <v>112</v>
      </c>
      <c r="E1" t="s">
        <v>2</v>
      </c>
      <c r="F1" t="s">
        <v>3</v>
      </c>
      <c r="G1" t="s">
        <v>0</v>
      </c>
      <c r="H1" t="s">
        <v>133</v>
      </c>
      <c r="I1" t="s">
        <v>151</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134</v>
      </c>
      <c r="AD1" t="s">
        <v>25</v>
      </c>
      <c r="AE1" t="s">
        <v>26</v>
      </c>
      <c r="AF1" t="s">
        <v>27</v>
      </c>
      <c r="AG1" t="s">
        <v>28</v>
      </c>
      <c r="AH1" t="s">
        <v>135</v>
      </c>
      <c r="AI1" t="s">
        <v>152</v>
      </c>
      <c r="AJ1" t="s">
        <v>136</v>
      </c>
      <c r="AK1" t="s">
        <v>29</v>
      </c>
      <c r="AL1" t="s">
        <v>137</v>
      </c>
      <c r="AM1" t="s">
        <v>64</v>
      </c>
      <c r="AN1" t="s">
        <v>138</v>
      </c>
      <c r="AO1" t="s">
        <v>139</v>
      </c>
      <c r="AP1" t="s">
        <v>140</v>
      </c>
      <c r="AQ1" t="s">
        <v>141</v>
      </c>
      <c r="AR1" t="s">
        <v>142</v>
      </c>
      <c r="AS1" t="s">
        <v>143</v>
      </c>
      <c r="AT1" t="s">
        <v>144</v>
      </c>
      <c r="AU1" t="s">
        <v>145</v>
      </c>
      <c r="AV1" t="s">
        <v>146</v>
      </c>
      <c r="AW1" t="s">
        <v>147</v>
      </c>
      <c r="AX1" t="s">
        <v>148</v>
      </c>
      <c r="AY1" t="s">
        <v>65</v>
      </c>
      <c r="AZ1" t="s">
        <v>66</v>
      </c>
      <c r="BA1" t="s">
        <v>67</v>
      </c>
      <c r="BB1" t="s">
        <v>68</v>
      </c>
      <c r="BC1" t="s">
        <v>69</v>
      </c>
      <c r="BD1" t="s">
        <v>70</v>
      </c>
      <c r="BE1" t="s">
        <v>71</v>
      </c>
      <c r="BF1" t="s">
        <v>72</v>
      </c>
      <c r="BG1" t="s">
        <v>73</v>
      </c>
      <c r="BH1" t="s">
        <v>74</v>
      </c>
      <c r="BI1" t="s">
        <v>127</v>
      </c>
      <c r="BJ1" t="s">
        <v>128</v>
      </c>
      <c r="BK1" t="s">
        <v>129</v>
      </c>
      <c r="BL1" t="s">
        <v>130</v>
      </c>
      <c r="BM1" t="s">
        <v>131</v>
      </c>
      <c r="BN1" t="s">
        <v>132</v>
      </c>
      <c r="BO1" t="s">
        <v>149</v>
      </c>
      <c r="BP1" t="s">
        <v>75</v>
      </c>
      <c r="BQ1" t="s">
        <v>76</v>
      </c>
      <c r="BR1" t="s">
        <v>77</v>
      </c>
      <c r="BS1" t="s">
        <v>150</v>
      </c>
      <c r="BT1" t="s">
        <v>78</v>
      </c>
      <c r="BU1" t="s">
        <v>79</v>
      </c>
      <c r="BV1" t="s">
        <v>80</v>
      </c>
      <c r="BW1" t="s">
        <v>81</v>
      </c>
      <c r="BX1" t="s">
        <v>81</v>
      </c>
      <c r="BY1" t="s">
        <v>82</v>
      </c>
      <c r="BZ1" t="s">
        <v>83</v>
      </c>
      <c r="CA1" t="s">
        <v>83</v>
      </c>
      <c r="CB1" t="s">
        <v>84</v>
      </c>
      <c r="CC1" t="s">
        <v>153</v>
      </c>
      <c r="CD1" t="s">
        <v>154</v>
      </c>
      <c r="CE1" t="s">
        <v>155</v>
      </c>
      <c r="CF1" t="s">
        <v>156</v>
      </c>
      <c r="CG1" s="1" t="s">
        <v>85</v>
      </c>
      <c r="CH1" s="1" t="s">
        <v>86</v>
      </c>
      <c r="CI1" s="1" t="s">
        <v>87</v>
      </c>
      <c r="CJ1" s="1" t="s">
        <v>88</v>
      </c>
      <c r="CK1" s="1" t="s">
        <v>89</v>
      </c>
      <c r="CL1" s="1" t="s">
        <v>90</v>
      </c>
      <c r="CM1" s="1" t="s">
        <v>91</v>
      </c>
      <c r="CN1" s="1" t="s">
        <v>92</v>
      </c>
      <c r="CO1" s="1" t="s">
        <v>93</v>
      </c>
      <c r="CP1" s="1" t="s">
        <v>94</v>
      </c>
      <c r="CQ1" s="1" t="s">
        <v>95</v>
      </c>
      <c r="CR1" s="1" t="s">
        <v>96</v>
      </c>
      <c r="CS1" s="1" t="s">
        <v>113</v>
      </c>
      <c r="CT1" s="1" t="s">
        <v>97</v>
      </c>
      <c r="CU1" s="1" t="s">
        <v>98</v>
      </c>
      <c r="CV1" s="1" t="s">
        <v>51</v>
      </c>
      <c r="CW1">
        <v>1</v>
      </c>
      <c r="CX1" t="s">
        <v>99</v>
      </c>
      <c r="CY1" t="s">
        <v>114</v>
      </c>
      <c r="CZ1">
        <v>3</v>
      </c>
      <c r="DA1" t="s">
        <v>115</v>
      </c>
      <c r="DB1" t="s">
        <v>116</v>
      </c>
      <c r="DC1">
        <v>6</v>
      </c>
      <c r="DD1" t="s">
        <v>100</v>
      </c>
      <c r="DE1" t="s">
        <v>101</v>
      </c>
      <c r="DF1">
        <v>10</v>
      </c>
      <c r="DG1" t="s">
        <v>102</v>
      </c>
      <c r="DH1" t="s">
        <v>103</v>
      </c>
      <c r="DI1">
        <v>20</v>
      </c>
      <c r="DJ1" t="s">
        <v>117</v>
      </c>
      <c r="DK1" t="s">
        <v>104</v>
      </c>
      <c r="DL1" t="s">
        <v>105</v>
      </c>
      <c r="DM1" s="2" t="s">
        <v>106</v>
      </c>
      <c r="DN1" t="s">
        <v>118</v>
      </c>
      <c r="DO1" t="s">
        <v>107</v>
      </c>
      <c r="DP1" s="1" t="s">
        <v>119</v>
      </c>
      <c r="DQ1" s="1" t="s">
        <v>120</v>
      </c>
      <c r="DR1" s="1" t="s">
        <v>121</v>
      </c>
      <c r="DS1" t="s">
        <v>122</v>
      </c>
      <c r="DT1" t="s">
        <v>108</v>
      </c>
      <c r="DU1" t="s">
        <v>109</v>
      </c>
      <c r="DV1" t="s">
        <v>123</v>
      </c>
      <c r="DW1" t="s">
        <v>124</v>
      </c>
      <c r="DX1" t="s">
        <v>125</v>
      </c>
      <c r="DY1" t="s">
        <v>126</v>
      </c>
      <c r="DZ1" t="s">
        <v>110</v>
      </c>
      <c r="EA1" t="s">
        <v>111</v>
      </c>
    </row>
    <row r="2" spans="1:147" ht="53.5" customHeight="1" x14ac:dyDescent="0.25">
      <c r="A2" s="26" t="s">
        <v>318</v>
      </c>
      <c r="B2" s="24"/>
      <c r="C2" s="25">
        <v>3</v>
      </c>
      <c r="D2" s="25">
        <v>14</v>
      </c>
      <c r="T2" s="4"/>
      <c r="CG2" s="1"/>
      <c r="CH2" s="1"/>
      <c r="CI2" s="1"/>
      <c r="CJ2" s="1"/>
      <c r="CK2" s="1"/>
      <c r="CL2" s="1"/>
      <c r="CM2" s="1"/>
      <c r="CN2" s="1"/>
      <c r="CO2" s="1"/>
      <c r="CP2" s="1"/>
      <c r="CQ2" s="1"/>
      <c r="CR2" s="1"/>
      <c r="CS2" s="1"/>
      <c r="CT2" s="1"/>
      <c r="CU2" s="1"/>
      <c r="CV2" s="1"/>
      <c r="DM2" s="2"/>
      <c r="DP2" s="1"/>
      <c r="DQ2" s="1"/>
      <c r="DR2" s="1"/>
    </row>
    <row r="3" spans="1:147" ht="204" x14ac:dyDescent="0.25">
      <c r="B3" s="3" t="s">
        <v>1082</v>
      </c>
      <c r="C3" s="3" t="s">
        <v>1083</v>
      </c>
      <c r="D3" s="3" t="s">
        <v>1071</v>
      </c>
      <c r="E3" t="s">
        <v>323</v>
      </c>
      <c r="F3" t="s">
        <v>324</v>
      </c>
      <c r="G3">
        <v>7.48</v>
      </c>
      <c r="H3">
        <v>5.3499999999999999E-2</v>
      </c>
      <c r="I3" t="s">
        <v>1068</v>
      </c>
      <c r="J3">
        <v>7553925100</v>
      </c>
      <c r="K3">
        <v>48.93</v>
      </c>
      <c r="L3">
        <v>1.58</v>
      </c>
      <c r="M3" t="s">
        <v>278</v>
      </c>
      <c r="N3" t="s">
        <v>754</v>
      </c>
      <c r="O3" t="s">
        <v>755</v>
      </c>
      <c r="P3" t="s">
        <v>756</v>
      </c>
      <c r="Q3">
        <v>-8.6300000000000008</v>
      </c>
      <c r="R3" t="s">
        <v>700</v>
      </c>
      <c r="S3">
        <v>85511371</v>
      </c>
      <c r="T3" s="4">
        <v>-0.58520000000000005</v>
      </c>
      <c r="U3" t="s">
        <v>701</v>
      </c>
      <c r="V3">
        <v>693283160</v>
      </c>
      <c r="W3">
        <v>1009883040</v>
      </c>
      <c r="X3">
        <v>1.84</v>
      </c>
      <c r="Y3">
        <v>0.31</v>
      </c>
      <c r="Z3">
        <v>3.47</v>
      </c>
      <c r="AA3" t="s">
        <v>757</v>
      </c>
      <c r="AB3" t="s">
        <v>758</v>
      </c>
      <c r="AC3" t="s">
        <v>227</v>
      </c>
      <c r="AD3" t="s">
        <v>759</v>
      </c>
      <c r="AE3" t="s">
        <v>305</v>
      </c>
      <c r="AF3">
        <v>4951435</v>
      </c>
      <c r="AG3" t="s">
        <v>760</v>
      </c>
      <c r="AH3" t="s">
        <v>761</v>
      </c>
      <c r="AI3" t="s">
        <v>762</v>
      </c>
      <c r="AJ3" t="s">
        <v>763</v>
      </c>
      <c r="AK3" t="s">
        <v>764</v>
      </c>
      <c r="AL3" t="s">
        <v>765</v>
      </c>
      <c r="AM3" t="s">
        <v>766</v>
      </c>
      <c r="AN3" t="s">
        <v>7</v>
      </c>
      <c r="AO3" t="s">
        <v>559</v>
      </c>
      <c r="AP3" t="s">
        <v>644</v>
      </c>
      <c r="AQ3" t="s">
        <v>767</v>
      </c>
      <c r="AR3" t="s">
        <v>768</v>
      </c>
      <c r="AS3" t="s">
        <v>769</v>
      </c>
      <c r="AT3" t="s">
        <v>770</v>
      </c>
      <c r="AU3" t="s">
        <v>671</v>
      </c>
      <c r="AV3" t="s">
        <v>771</v>
      </c>
      <c r="AW3" t="s">
        <v>772</v>
      </c>
      <c r="AX3" t="s">
        <v>773</v>
      </c>
      <c r="AY3" t="s">
        <v>405</v>
      </c>
      <c r="AZ3" t="s">
        <v>408</v>
      </c>
      <c r="BA3" t="s">
        <v>409</v>
      </c>
      <c r="BB3" t="s">
        <v>410</v>
      </c>
      <c r="BC3" t="s">
        <v>411</v>
      </c>
      <c r="BD3" t="s">
        <v>306</v>
      </c>
      <c r="BE3" t="s">
        <v>317</v>
      </c>
      <c r="BF3" t="s">
        <v>257</v>
      </c>
      <c r="BG3" t="s">
        <v>412</v>
      </c>
      <c r="BH3" t="s">
        <v>413</v>
      </c>
      <c r="BI3" t="s">
        <v>674</v>
      </c>
      <c r="BJ3" t="s">
        <v>774</v>
      </c>
      <c r="BK3" t="s">
        <v>618</v>
      </c>
      <c r="BL3" t="s">
        <v>775</v>
      </c>
      <c r="BM3" t="s">
        <v>596</v>
      </c>
      <c r="BN3" t="s">
        <v>461</v>
      </c>
      <c r="BO3">
        <v>1.21</v>
      </c>
      <c r="BP3">
        <v>6.45</v>
      </c>
      <c r="BQ3">
        <v>4.3</v>
      </c>
      <c r="BR3">
        <v>1.64</v>
      </c>
      <c r="BS3">
        <v>11.26</v>
      </c>
      <c r="BT3">
        <v>7.17</v>
      </c>
      <c r="BU3" t="s">
        <v>651</v>
      </c>
      <c r="BV3" t="s">
        <v>368</v>
      </c>
      <c r="BW3">
        <v>18.34</v>
      </c>
      <c r="BX3">
        <v>18.52</v>
      </c>
      <c r="BY3">
        <v>20.2</v>
      </c>
      <c r="BZ3">
        <v>4.51</v>
      </c>
      <c r="CA3">
        <v>6.5</v>
      </c>
      <c r="CB3">
        <v>5.08</v>
      </c>
      <c r="CC3">
        <v>2.89</v>
      </c>
      <c r="CD3">
        <v>-27.8</v>
      </c>
      <c r="CE3" t="s">
        <v>840</v>
      </c>
      <c r="CF3" t="s">
        <v>1069</v>
      </c>
      <c r="CG3" s="20">
        <v>-0.10762800417972831</v>
      </c>
      <c r="CH3" s="21">
        <v>-0.90248457999999998</v>
      </c>
      <c r="CI3" s="20">
        <v>-0.18824233114719391</v>
      </c>
      <c r="CJ3" s="20">
        <v>0.23369967937469482</v>
      </c>
      <c r="CK3" s="20">
        <v>0.29383891820907593</v>
      </c>
      <c r="CL3" s="20">
        <v>-7.214574608951807E-3</v>
      </c>
      <c r="CM3" s="20">
        <v>6.2666669487953186E-2</v>
      </c>
      <c r="CN3" s="21">
        <v>-2.1352313458919525E-2</v>
      </c>
      <c r="CO3" s="21">
        <v>0.83660131692886353</v>
      </c>
      <c r="CP3" s="21">
        <v>1.5134228467941284</v>
      </c>
      <c r="CQ3" s="21">
        <v>-6.4285717904567719E-2</v>
      </c>
      <c r="CR3" s="21">
        <v>-18.016105651855469</v>
      </c>
      <c r="CS3">
        <v>307.37208368654848</v>
      </c>
      <c r="CT3">
        <v>38.932661134066436</v>
      </c>
      <c r="CU3">
        <v>0</v>
      </c>
      <c r="CV3" s="20">
        <v>7.8949672263115639E-2</v>
      </c>
      <c r="CW3" s="21">
        <v>-3.1503439038991927</v>
      </c>
      <c r="CX3">
        <v>0.06</v>
      </c>
      <c r="CY3">
        <v>23.881880981653541</v>
      </c>
      <c r="CZ3">
        <v>279916188.5588271</v>
      </c>
      <c r="DA3">
        <v>7.8949672263115639E-2</v>
      </c>
      <c r="DB3">
        <v>7.8778378750963975</v>
      </c>
      <c r="DC3">
        <v>848573581.48135281</v>
      </c>
      <c r="DD3">
        <v>7.5002188649959847E-2</v>
      </c>
      <c r="DE3">
        <v>3.9267633337551549</v>
      </c>
      <c r="DF3">
        <v>1702400815.0771902</v>
      </c>
      <c r="DG3">
        <v>6.9475711591541769E-2</v>
      </c>
      <c r="DH3">
        <v>2.391323722980371</v>
      </c>
      <c r="DI3">
        <v>2795491482.7125115</v>
      </c>
      <c r="DJ3">
        <v>6.3159737810492514E-2</v>
      </c>
      <c r="DK3">
        <v>1.2735195132431085</v>
      </c>
      <c r="DL3">
        <v>5249173672.2402945</v>
      </c>
      <c r="DM3">
        <v>5.5264770584180944E-2</v>
      </c>
      <c r="DN3">
        <v>275000000</v>
      </c>
      <c r="DO3">
        <v>7.8949672263115639E-2</v>
      </c>
      <c r="DP3">
        <v>6684925100</v>
      </c>
      <c r="DQ3">
        <v>2482270200</v>
      </c>
      <c r="DR3">
        <v>322</v>
      </c>
      <c r="DS3">
        <v>-0.18657767644284395</v>
      </c>
      <c r="DT3">
        <v>2.2478593238991929</v>
      </c>
      <c r="DU3" s="22">
        <v>-0.32333333333333331</v>
      </c>
      <c r="DV3">
        <v>-0.90666666666666662</v>
      </c>
      <c r="DW3">
        <v>-1.23</v>
      </c>
      <c r="DX3">
        <v>6.0941674812642557</v>
      </c>
      <c r="DY3">
        <v>0.61023032629558749</v>
      </c>
      <c r="DZ3">
        <v>6.0263885840011158</v>
      </c>
      <c r="EA3">
        <v>4019</v>
      </c>
      <c r="EB3">
        <v>6.0056381009057365</v>
      </c>
      <c r="EC3">
        <v>6</v>
      </c>
      <c r="ED3">
        <v>0.14457119707644561</v>
      </c>
      <c r="EE3">
        <v>0.51590132655361753</v>
      </c>
      <c r="EF3" s="19">
        <v>-3.0992999999999999</v>
      </c>
      <c r="EG3">
        <v>-3.0998350000000001</v>
      </c>
      <c r="EH3">
        <v>33.280230326295587</v>
      </c>
      <c r="EI3" t="s">
        <v>1070</v>
      </c>
      <c r="EJ3">
        <v>0</v>
      </c>
      <c r="EK3">
        <v>0</v>
      </c>
      <c r="EL3" s="27">
        <v>45330</v>
      </c>
      <c r="EM3" s="28">
        <v>-4.68</v>
      </c>
      <c r="EN3" s="28">
        <v>-9.9600000000000009</v>
      </c>
      <c r="EO3" s="28">
        <v>5.77</v>
      </c>
      <c r="EP3" s="28">
        <v>7.58</v>
      </c>
      <c r="EQ3" s="28">
        <v>5.3499999999999999E-2</v>
      </c>
    </row>
    <row r="4" spans="1:147" ht="84" x14ac:dyDescent="0.25">
      <c r="B4" s="3"/>
      <c r="C4" s="3"/>
      <c r="D4" s="3" t="s">
        <v>1110</v>
      </c>
      <c r="E4" t="s">
        <v>462</v>
      </c>
      <c r="F4" t="s">
        <v>463</v>
      </c>
      <c r="G4">
        <v>5.33</v>
      </c>
      <c r="H4">
        <v>0.09</v>
      </c>
      <c r="I4" t="s">
        <v>1084</v>
      </c>
      <c r="J4">
        <v>1638951500</v>
      </c>
      <c r="K4">
        <v>162.30000000000001</v>
      </c>
      <c r="L4">
        <v>18.809999999999999</v>
      </c>
      <c r="M4" t="s">
        <v>278</v>
      </c>
      <c r="N4" t="s">
        <v>1085</v>
      </c>
      <c r="O4" t="s">
        <v>1086</v>
      </c>
      <c r="P4" t="s">
        <v>259</v>
      </c>
      <c r="Q4">
        <v>14.68</v>
      </c>
      <c r="R4" t="s">
        <v>370</v>
      </c>
      <c r="S4">
        <v>9736965</v>
      </c>
      <c r="T4" s="4">
        <v>-0.13819999999999999</v>
      </c>
      <c r="U4" t="s">
        <v>1087</v>
      </c>
      <c r="V4">
        <v>307495600</v>
      </c>
      <c r="W4">
        <v>307495600</v>
      </c>
      <c r="X4">
        <v>6.28</v>
      </c>
      <c r="Y4">
        <v>0.41</v>
      </c>
      <c r="Z4">
        <v>4.24</v>
      </c>
      <c r="AA4" t="s">
        <v>1088</v>
      </c>
      <c r="AB4" t="s">
        <v>1089</v>
      </c>
      <c r="AC4" t="s">
        <v>1090</v>
      </c>
      <c r="AD4" t="s">
        <v>1091</v>
      </c>
      <c r="AE4" t="s">
        <v>1092</v>
      </c>
      <c r="AF4">
        <v>4641520</v>
      </c>
      <c r="AG4" t="s">
        <v>1093</v>
      </c>
      <c r="AH4" t="s">
        <v>1094</v>
      </c>
      <c r="AI4" t="s">
        <v>1095</v>
      </c>
      <c r="AJ4" t="s">
        <v>1096</v>
      </c>
      <c r="AK4" t="s">
        <v>1097</v>
      </c>
      <c r="AL4" t="s">
        <v>1098</v>
      </c>
      <c r="AM4" t="s">
        <v>1099</v>
      </c>
      <c r="AN4" t="s">
        <v>7</v>
      </c>
      <c r="AO4" t="s">
        <v>1100</v>
      </c>
      <c r="AP4" t="s">
        <v>372</v>
      </c>
      <c r="AQ4" t="s">
        <v>7</v>
      </c>
      <c r="AR4" t="s">
        <v>1101</v>
      </c>
      <c r="AS4" t="s">
        <v>7</v>
      </c>
      <c r="AT4" t="s">
        <v>1102</v>
      </c>
      <c r="AU4" t="s">
        <v>7</v>
      </c>
      <c r="AV4" t="s">
        <v>1103</v>
      </c>
      <c r="AW4" t="s">
        <v>1104</v>
      </c>
      <c r="AX4" t="s">
        <v>1105</v>
      </c>
      <c r="AY4" t="s">
        <v>292</v>
      </c>
      <c r="AZ4" t="s">
        <v>343</v>
      </c>
      <c r="BA4" t="s">
        <v>300</v>
      </c>
      <c r="BB4" t="s">
        <v>484</v>
      </c>
      <c r="BC4" t="s">
        <v>485</v>
      </c>
      <c r="BD4" t="s">
        <v>483</v>
      </c>
      <c r="BE4" t="s">
        <v>486</v>
      </c>
      <c r="BF4" t="s">
        <v>487</v>
      </c>
      <c r="BG4" t="s">
        <v>488</v>
      </c>
      <c r="BH4" t="s">
        <v>489</v>
      </c>
      <c r="BI4" t="s">
        <v>619</v>
      </c>
      <c r="BJ4" t="s">
        <v>652</v>
      </c>
      <c r="BK4" t="s">
        <v>231</v>
      </c>
      <c r="BL4" t="s">
        <v>1106</v>
      </c>
      <c r="BM4" t="s">
        <v>1107</v>
      </c>
      <c r="BN4" t="s">
        <v>621</v>
      </c>
      <c r="BO4" t="s">
        <v>7</v>
      </c>
      <c r="BP4" t="s">
        <v>7</v>
      </c>
      <c r="BQ4" t="s">
        <v>7</v>
      </c>
      <c r="BR4">
        <v>6.01</v>
      </c>
      <c r="BS4">
        <v>25.33</v>
      </c>
      <c r="BT4">
        <v>-94.41</v>
      </c>
      <c r="BU4" t="s">
        <v>651</v>
      </c>
      <c r="BV4" t="s">
        <v>368</v>
      </c>
      <c r="BW4">
        <v>22.85</v>
      </c>
      <c r="BX4">
        <v>17.63</v>
      </c>
      <c r="BY4">
        <v>14.61</v>
      </c>
      <c r="BZ4">
        <v>5.4</v>
      </c>
      <c r="CA4">
        <v>3.89</v>
      </c>
      <c r="CB4">
        <v>-47.85</v>
      </c>
      <c r="CC4">
        <v>-11.02</v>
      </c>
      <c r="CD4">
        <v>-31.84</v>
      </c>
      <c r="CE4" t="s">
        <v>1108</v>
      </c>
      <c r="CF4" t="s">
        <v>1109</v>
      </c>
      <c r="CG4" s="20">
        <v>0.21311475409836017</v>
      </c>
      <c r="CH4" s="21">
        <v>-0.56360456665253467</v>
      </c>
      <c r="CI4" s="20">
        <v>-0.19365079700946808</v>
      </c>
      <c r="CJ4" s="20">
        <v>0.5</v>
      </c>
      <c r="CK4" s="20">
        <v>0.30434781312942505</v>
      </c>
      <c r="CL4" s="20">
        <v>0.93779563903808594</v>
      </c>
      <c r="CM4" s="20">
        <v>-0.25149461627006531</v>
      </c>
      <c r="CN4" s="21">
        <v>-0.17829637229442596</v>
      </c>
      <c r="CO4" s="21">
        <v>1.1680142879486084</v>
      </c>
      <c r="CP4" s="21">
        <v>-4.1712689399719238</v>
      </c>
      <c r="CQ4" s="21">
        <v>1.046323299407959</v>
      </c>
      <c r="CR4" s="21">
        <v>-16.483085632324219</v>
      </c>
      <c r="CS4">
        <v>-17.2568863752903</v>
      </c>
      <c r="CT4">
        <v>-0.66526262407019665</v>
      </c>
      <c r="CU4">
        <v>0</v>
      </c>
      <c r="CV4" s="20">
        <v>0.25939960777759552</v>
      </c>
      <c r="CW4" s="21">
        <v>-3.7236626714468004</v>
      </c>
      <c r="CX4">
        <v>0.06</v>
      </c>
      <c r="CY4">
        <v>145.02499064577677</v>
      </c>
      <c r="CZ4">
        <v>13855415.477377344</v>
      </c>
      <c r="DA4">
        <v>0.25939960777759552</v>
      </c>
      <c r="DB4">
        <v>41.177870815474378</v>
      </c>
      <c r="DC4">
        <v>48797605.612111628</v>
      </c>
      <c r="DD4">
        <v>0.24642962738871574</v>
      </c>
      <c r="DE4">
        <v>16.616173576662543</v>
      </c>
      <c r="DF4">
        <v>120929255.50694664</v>
      </c>
      <c r="DG4">
        <v>0.22827165484428405</v>
      </c>
      <c r="DH4">
        <v>7.8536662950336567</v>
      </c>
      <c r="DI4">
        <v>255852671.16208544</v>
      </c>
      <c r="DJ4">
        <v>0.20751968622207642</v>
      </c>
      <c r="DK4">
        <v>2.2809483073130501</v>
      </c>
      <c r="DL4">
        <v>880941270.59242523</v>
      </c>
      <c r="DM4">
        <v>0.18157972544431686</v>
      </c>
      <c r="DN4">
        <v>11661700</v>
      </c>
      <c r="DO4">
        <v>0.25939960777759552</v>
      </c>
      <c r="DP4">
        <v>2009381500</v>
      </c>
      <c r="DQ4">
        <v>27377750</v>
      </c>
      <c r="DR4">
        <v>762</v>
      </c>
      <c r="DS4">
        <v>-4.6284853679235349E-2</v>
      </c>
      <c r="DT4">
        <v>3.160058104794266</v>
      </c>
      <c r="DU4" s="22">
        <v>-0.19000000000000003</v>
      </c>
      <c r="DV4">
        <v>-1.3733333333333333</v>
      </c>
      <c r="DW4">
        <v>-1.5633333333333332</v>
      </c>
      <c r="DX4">
        <v>-9.3461055276381906</v>
      </c>
      <c r="DY4">
        <v>0.5634162698412708</v>
      </c>
      <c r="DZ4">
        <v>-9.0877087717855147</v>
      </c>
      <c r="EA4">
        <v>4257</v>
      </c>
      <c r="EB4">
        <v>-9.0146553103316052</v>
      </c>
      <c r="EC4">
        <v>9</v>
      </c>
      <c r="ED4">
        <v>0.20768069526848515</v>
      </c>
      <c r="EE4">
        <v>0.81952392164310639</v>
      </c>
      <c r="EF4" s="19">
        <v>-3.1189100000000001</v>
      </c>
      <c r="EG4">
        <v>-3.1180099999999999</v>
      </c>
      <c r="EH4">
        <v>31.253416269841271</v>
      </c>
      <c r="EI4" t="s">
        <v>1070</v>
      </c>
      <c r="EJ4">
        <v>0</v>
      </c>
      <c r="EK4">
        <v>0</v>
      </c>
      <c r="EL4" s="27">
        <v>45330</v>
      </c>
      <c r="EM4" s="28">
        <v>-5.18</v>
      </c>
      <c r="EN4" s="28">
        <v>-10.039999999999999</v>
      </c>
      <c r="EO4" s="28">
        <v>-0.78</v>
      </c>
      <c r="EP4" s="28">
        <v>-3.55</v>
      </c>
      <c r="EQ4" s="28">
        <v>0.09</v>
      </c>
    </row>
    <row r="5" spans="1:147" ht="84" x14ac:dyDescent="0.25">
      <c r="B5" s="23"/>
      <c r="C5" s="23"/>
      <c r="D5" s="23" t="s">
        <v>1139</v>
      </c>
      <c r="E5" t="s">
        <v>464</v>
      </c>
      <c r="F5" t="s">
        <v>465</v>
      </c>
      <c r="G5">
        <v>14.87</v>
      </c>
      <c r="H5">
        <v>-2.4900000000000002</v>
      </c>
      <c r="I5" t="s">
        <v>1111</v>
      </c>
      <c r="J5">
        <v>13326872200</v>
      </c>
      <c r="K5">
        <v>25.07</v>
      </c>
      <c r="L5">
        <v>4.0599999999999996</v>
      </c>
      <c r="M5" t="s">
        <v>466</v>
      </c>
      <c r="N5" t="s">
        <v>1112</v>
      </c>
      <c r="O5" t="s">
        <v>1113</v>
      </c>
      <c r="P5" t="s">
        <v>1114</v>
      </c>
      <c r="Q5">
        <v>21.23</v>
      </c>
      <c r="R5" t="s">
        <v>970</v>
      </c>
      <c r="S5">
        <v>459276610</v>
      </c>
      <c r="T5" s="4">
        <v>0.5998</v>
      </c>
      <c r="U5" t="s">
        <v>1115</v>
      </c>
      <c r="V5">
        <v>759224770</v>
      </c>
      <c r="W5">
        <v>896225430</v>
      </c>
      <c r="X5">
        <v>1.36</v>
      </c>
      <c r="Y5">
        <v>0.33</v>
      </c>
      <c r="Z5">
        <v>32.03</v>
      </c>
      <c r="AA5" t="s">
        <v>1116</v>
      </c>
      <c r="AB5" t="s">
        <v>1117</v>
      </c>
      <c r="AC5" t="s">
        <v>1118</v>
      </c>
      <c r="AD5" t="s">
        <v>1119</v>
      </c>
      <c r="AE5" t="s">
        <v>1120</v>
      </c>
      <c r="AF5">
        <v>-6357841</v>
      </c>
      <c r="AG5" t="s">
        <v>1121</v>
      </c>
      <c r="AH5" t="s">
        <v>1122</v>
      </c>
      <c r="AI5" t="s">
        <v>1123</v>
      </c>
      <c r="AJ5" t="s">
        <v>1124</v>
      </c>
      <c r="AK5" t="s">
        <v>1125</v>
      </c>
      <c r="AL5" t="s">
        <v>395</v>
      </c>
      <c r="AM5" t="s">
        <v>1126</v>
      </c>
      <c r="AN5" t="s">
        <v>7</v>
      </c>
      <c r="AO5" t="s">
        <v>1127</v>
      </c>
      <c r="AP5" t="s">
        <v>1128</v>
      </c>
      <c r="AQ5" t="s">
        <v>249</v>
      </c>
      <c r="AR5" t="s">
        <v>1129</v>
      </c>
      <c r="AS5" t="s">
        <v>7</v>
      </c>
      <c r="AT5" t="s">
        <v>1130</v>
      </c>
      <c r="AU5" t="s">
        <v>1030</v>
      </c>
      <c r="AV5" t="s">
        <v>1131</v>
      </c>
      <c r="AW5" t="s">
        <v>1132</v>
      </c>
      <c r="AX5" t="s">
        <v>1133</v>
      </c>
      <c r="AY5" t="s">
        <v>492</v>
      </c>
      <c r="AZ5" t="s">
        <v>494</v>
      </c>
      <c r="BA5" t="s">
        <v>229</v>
      </c>
      <c r="BB5" t="s">
        <v>495</v>
      </c>
      <c r="BC5" t="s">
        <v>496</v>
      </c>
      <c r="BD5" t="s">
        <v>291</v>
      </c>
      <c r="BE5" t="s">
        <v>369</v>
      </c>
      <c r="BF5" t="s">
        <v>497</v>
      </c>
      <c r="BG5" t="s">
        <v>395</v>
      </c>
      <c r="BH5" t="s">
        <v>498</v>
      </c>
      <c r="BI5" t="s">
        <v>1134</v>
      </c>
      <c r="BJ5" t="s">
        <v>1135</v>
      </c>
      <c r="BK5" t="s">
        <v>358</v>
      </c>
      <c r="BL5" t="s">
        <v>369</v>
      </c>
      <c r="BM5" t="s">
        <v>369</v>
      </c>
      <c r="BN5" t="s">
        <v>199</v>
      </c>
      <c r="BO5">
        <v>3.21</v>
      </c>
      <c r="BP5">
        <v>12.98</v>
      </c>
      <c r="BQ5">
        <v>9.6999999999999993</v>
      </c>
      <c r="BR5">
        <v>3.48</v>
      </c>
      <c r="BS5">
        <v>15.07</v>
      </c>
      <c r="BT5">
        <v>11.52</v>
      </c>
      <c r="BU5" t="s">
        <v>675</v>
      </c>
      <c r="BV5" t="s">
        <v>499</v>
      </c>
      <c r="BW5">
        <v>54.34</v>
      </c>
      <c r="BX5">
        <v>48.43</v>
      </c>
      <c r="BY5">
        <v>47.14</v>
      </c>
      <c r="BZ5">
        <v>32.01</v>
      </c>
      <c r="CA5">
        <v>27.47</v>
      </c>
      <c r="CB5">
        <v>21.45</v>
      </c>
      <c r="CC5">
        <v>-2.81</v>
      </c>
      <c r="CD5">
        <v>14.12</v>
      </c>
      <c r="CE5" t="s">
        <v>1136</v>
      </c>
      <c r="CF5" t="s">
        <v>1137</v>
      </c>
      <c r="CG5" s="20">
        <v>0.21333333333333335</v>
      </c>
      <c r="CH5" s="21">
        <v>0.70570900990099006</v>
      </c>
      <c r="CI5" s="20">
        <v>0.11749347299337387</v>
      </c>
      <c r="CJ5" s="20">
        <v>0.11988303810358047</v>
      </c>
      <c r="CK5" s="20">
        <v>0.13715705275535583</v>
      </c>
      <c r="CL5" s="20">
        <v>3.7963759154081345E-2</v>
      </c>
      <c r="CM5" s="20">
        <v>-0.35931447148323059</v>
      </c>
      <c r="CN5" s="21">
        <v>-0.13908873498439789</v>
      </c>
      <c r="CO5" s="21">
        <v>0.45296168327331543</v>
      </c>
      <c r="CP5" s="21">
        <v>0.90066224336624146</v>
      </c>
      <c r="CQ5" s="21">
        <v>-7.9268291592597961E-2</v>
      </c>
      <c r="CR5" s="21">
        <v>-0.46405228972434998</v>
      </c>
      <c r="CS5">
        <v>47.482917577197149</v>
      </c>
      <c r="CT5">
        <v>44.641191866628773</v>
      </c>
      <c r="CU5">
        <v>2.0174848688634834</v>
      </c>
      <c r="CV5" s="20">
        <v>1.0636570304632187E-2</v>
      </c>
      <c r="CW5" s="21">
        <v>0.13424292206764221</v>
      </c>
      <c r="CX5">
        <v>0.06</v>
      </c>
      <c r="CY5">
        <v>32.744591554568736</v>
      </c>
      <c r="CZ5">
        <v>342281630.88619149</v>
      </c>
      <c r="DA5">
        <v>1.0636570304632187E-2</v>
      </c>
      <c r="DB5">
        <v>11.451171310373885</v>
      </c>
      <c r="DC5">
        <v>978753342.88698697</v>
      </c>
      <c r="DD5">
        <v>1.0104741789400577E-2</v>
      </c>
      <c r="DE5">
        <v>6.1541748060602979</v>
      </c>
      <c r="DF5">
        <v>1821181970.4833691</v>
      </c>
      <c r="DG5">
        <v>9.3601818680763248E-3</v>
      </c>
      <c r="DH5">
        <v>4.0638596380372833</v>
      </c>
      <c r="DI5">
        <v>2757937822.2356739</v>
      </c>
      <c r="DJ5">
        <v>8.5092562437057498E-3</v>
      </c>
      <c r="DK5">
        <v>2.5513629715953354</v>
      </c>
      <c r="DL5">
        <v>4392896002.9516525</v>
      </c>
      <c r="DM5">
        <v>7.4455992132425302E-3</v>
      </c>
      <c r="DN5">
        <v>359000000</v>
      </c>
      <c r="DO5">
        <v>1.0636570304632187E-2</v>
      </c>
      <c r="DP5">
        <v>11207872200</v>
      </c>
      <c r="DQ5">
        <v>2206000600</v>
      </c>
      <c r="DR5">
        <v>782</v>
      </c>
      <c r="DS5">
        <v>0.20269676302870115</v>
      </c>
      <c r="DT5">
        <v>0.57146608783334785</v>
      </c>
      <c r="DU5" s="22">
        <v>-0.54</v>
      </c>
      <c r="DV5">
        <v>0.91666666666666663</v>
      </c>
      <c r="DW5">
        <v>0.37666666666666659</v>
      </c>
      <c r="DX5">
        <v>-6.1659775546367399</v>
      </c>
      <c r="DY5">
        <v>0.44088504983388754</v>
      </c>
      <c r="DZ5">
        <v>-6.0482803892518149</v>
      </c>
      <c r="EA5">
        <v>1321</v>
      </c>
      <c r="EB5">
        <v>-6.035796851533739</v>
      </c>
      <c r="EC5">
        <v>6</v>
      </c>
      <c r="ED5">
        <v>9.7694616855493605E-2</v>
      </c>
      <c r="EE5">
        <v>0.33585300073442459</v>
      </c>
      <c r="EF5" s="19">
        <v>4.1005000000000003</v>
      </c>
      <c r="EG5">
        <v>4.0755999999999997</v>
      </c>
      <c r="EH5">
        <v>15.290885049833888</v>
      </c>
      <c r="EI5" t="s">
        <v>1138</v>
      </c>
      <c r="EJ5">
        <v>0</v>
      </c>
      <c r="EK5">
        <v>1</v>
      </c>
      <c r="EL5" s="27">
        <v>45310</v>
      </c>
      <c r="EM5">
        <v>3.73</v>
      </c>
      <c r="EN5">
        <v>1.18</v>
      </c>
      <c r="EO5">
        <v>3.55</v>
      </c>
      <c r="EP5">
        <v>-3.54</v>
      </c>
      <c r="EQ5">
        <v>-2.4900000000000002</v>
      </c>
    </row>
    <row r="6" spans="1:147" ht="84" x14ac:dyDescent="0.25">
      <c r="B6" s="3"/>
      <c r="C6" s="3"/>
      <c r="D6" s="3" t="s">
        <v>1169</v>
      </c>
      <c r="E6" t="s">
        <v>467</v>
      </c>
      <c r="F6" t="s">
        <v>468</v>
      </c>
      <c r="G6">
        <v>3.9</v>
      </c>
      <c r="H6">
        <v>8.9399999999999993E-2</v>
      </c>
      <c r="I6" t="s">
        <v>1140</v>
      </c>
      <c r="J6">
        <v>3120956200</v>
      </c>
      <c r="L6">
        <v>1.48</v>
      </c>
      <c r="M6" t="s">
        <v>278</v>
      </c>
      <c r="N6" t="s">
        <v>1141</v>
      </c>
      <c r="O6" t="s">
        <v>1142</v>
      </c>
      <c r="P6" t="s">
        <v>1143</v>
      </c>
      <c r="Q6">
        <v>-4.58</v>
      </c>
      <c r="R6" t="s">
        <v>618</v>
      </c>
      <c r="S6">
        <v>-54696464</v>
      </c>
      <c r="T6" s="4">
        <v>0.95220000000000005</v>
      </c>
      <c r="U6" t="s">
        <v>1144</v>
      </c>
      <c r="V6">
        <v>644940170</v>
      </c>
      <c r="W6">
        <v>800245170</v>
      </c>
      <c r="X6">
        <v>2.42</v>
      </c>
      <c r="Y6">
        <v>0.26</v>
      </c>
      <c r="Z6">
        <v>-3.73</v>
      </c>
      <c r="AA6" t="s">
        <v>976</v>
      </c>
      <c r="AB6" t="s">
        <v>1145</v>
      </c>
      <c r="AC6" t="s">
        <v>1146</v>
      </c>
      <c r="AD6" t="s">
        <v>297</v>
      </c>
      <c r="AE6" t="s">
        <v>1147</v>
      </c>
      <c r="AF6">
        <v>45659214</v>
      </c>
      <c r="AG6" t="s">
        <v>1148</v>
      </c>
      <c r="AH6" t="s">
        <v>1149</v>
      </c>
      <c r="AI6" t="s">
        <v>1150</v>
      </c>
      <c r="AJ6" t="s">
        <v>1151</v>
      </c>
      <c r="AK6" t="s">
        <v>1152</v>
      </c>
      <c r="AL6" t="s">
        <v>1153</v>
      </c>
      <c r="AM6" t="s">
        <v>1154</v>
      </c>
      <c r="AN6" t="s">
        <v>7</v>
      </c>
      <c r="AO6" t="s">
        <v>1155</v>
      </c>
      <c r="AP6" t="s">
        <v>1156</v>
      </c>
      <c r="AQ6" t="s">
        <v>1157</v>
      </c>
      <c r="AR6" t="s">
        <v>637</v>
      </c>
      <c r="AS6" t="s">
        <v>1158</v>
      </c>
      <c r="AT6" t="s">
        <v>1159</v>
      </c>
      <c r="AU6" t="s">
        <v>1160</v>
      </c>
      <c r="AV6" t="s">
        <v>1161</v>
      </c>
      <c r="AW6" t="s">
        <v>1162</v>
      </c>
      <c r="AX6" t="s">
        <v>1163</v>
      </c>
      <c r="AY6" t="s">
        <v>500</v>
      </c>
      <c r="AZ6" t="s">
        <v>502</v>
      </c>
      <c r="BA6" t="s">
        <v>503</v>
      </c>
      <c r="BB6" t="s">
        <v>504</v>
      </c>
      <c r="BC6" t="s">
        <v>505</v>
      </c>
      <c r="BD6" t="s">
        <v>501</v>
      </c>
      <c r="BE6" t="s">
        <v>235</v>
      </c>
      <c r="BF6" t="s">
        <v>204</v>
      </c>
      <c r="BG6" t="s">
        <v>497</v>
      </c>
      <c r="BH6" t="s">
        <v>506</v>
      </c>
      <c r="BI6" t="s">
        <v>1164</v>
      </c>
      <c r="BJ6" t="s">
        <v>640</v>
      </c>
      <c r="BK6" t="s">
        <v>629</v>
      </c>
      <c r="BL6" t="s">
        <v>1165</v>
      </c>
      <c r="BM6" t="s">
        <v>1166</v>
      </c>
      <c r="BN6" t="s">
        <v>630</v>
      </c>
      <c r="BO6" t="s">
        <v>7</v>
      </c>
      <c r="BP6">
        <v>1.81</v>
      </c>
      <c r="BQ6">
        <v>3.34</v>
      </c>
      <c r="BR6">
        <v>-1.46</v>
      </c>
      <c r="BS6">
        <v>1.63</v>
      </c>
      <c r="BT6">
        <v>3.7</v>
      </c>
      <c r="BU6" t="s">
        <v>651</v>
      </c>
      <c r="BV6" t="s">
        <v>368</v>
      </c>
      <c r="BW6">
        <v>18.670000000000002</v>
      </c>
      <c r="BX6">
        <v>32.72</v>
      </c>
      <c r="BY6">
        <v>35.840000000000003</v>
      </c>
      <c r="BZ6">
        <v>-5.17</v>
      </c>
      <c r="CA6">
        <v>2.33</v>
      </c>
      <c r="CB6">
        <v>5.64</v>
      </c>
      <c r="CC6">
        <v>-11.96</v>
      </c>
      <c r="CD6">
        <v>-40.090000000000003</v>
      </c>
      <c r="CE6" t="s">
        <v>546</v>
      </c>
      <c r="CF6" t="s">
        <v>1167</v>
      </c>
      <c r="CG6" s="20">
        <v>7.9922027290448339E-2</v>
      </c>
      <c r="CH6" s="21">
        <v>0.99339905390666128</v>
      </c>
      <c r="CI6" s="20">
        <v>-2.1052572876214981E-2</v>
      </c>
      <c r="CJ6" s="20">
        <v>0.14099216461181641</v>
      </c>
      <c r="CK6" s="20">
        <v>-0.11342595517635345</v>
      </c>
      <c r="CL6" s="20">
        <v>9.7003519535064697E-2</v>
      </c>
      <c r="CM6" s="20">
        <v>0.26950353384017944</v>
      </c>
      <c r="CN6" s="21">
        <v>-30.9951171875</v>
      </c>
      <c r="CO6" s="21">
        <v>-0.52770090103149414</v>
      </c>
      <c r="CP6" s="21">
        <v>-0.38636362552642822</v>
      </c>
      <c r="CQ6" s="21">
        <v>0.16556291282176971</v>
      </c>
      <c r="CR6" s="21">
        <v>1.5486222505569458</v>
      </c>
      <c r="CS6">
        <v>-19.015842899271284</v>
      </c>
      <c r="CT6">
        <v>-2.5488992182458761</v>
      </c>
      <c r="CU6">
        <v>0</v>
      </c>
      <c r="CV6" s="20">
        <v>7.4604137986898425E-2</v>
      </c>
      <c r="CW6" s="21">
        <v>-6.038999310135841</v>
      </c>
      <c r="CX6">
        <v>0.06</v>
      </c>
      <c r="CY6" t="e">
        <v>#VALUE!</v>
      </c>
      <c r="CZ6" t="s">
        <v>1168</v>
      </c>
      <c r="DA6">
        <v>7.4604137986898425E-2</v>
      </c>
      <c r="DB6" t="e">
        <v>#VALUE!</v>
      </c>
      <c r="DC6" t="s">
        <v>272</v>
      </c>
      <c r="DD6">
        <v>7.0873931087553507E-2</v>
      </c>
      <c r="DE6" t="e">
        <v>#VALUE!</v>
      </c>
      <c r="DF6" t="s">
        <v>272</v>
      </c>
      <c r="DG6">
        <v>6.5651641428470617E-2</v>
      </c>
      <c r="DH6" t="e">
        <v>#VALUE!</v>
      </c>
      <c r="DI6" t="s">
        <v>272</v>
      </c>
      <c r="DJ6">
        <v>5.968331038951874E-2</v>
      </c>
      <c r="DK6" t="e">
        <v>#VALUE!</v>
      </c>
      <c r="DL6" t="s">
        <v>272</v>
      </c>
      <c r="DM6">
        <v>5.2222896590828898E-2</v>
      </c>
      <c r="DN6">
        <v>-1530000000</v>
      </c>
      <c r="DO6">
        <v>7.4604137986898425E-2</v>
      </c>
      <c r="DP6">
        <v>4013956200</v>
      </c>
      <c r="DQ6">
        <v>97336599.999999762</v>
      </c>
      <c r="DR6">
        <v>1020</v>
      </c>
      <c r="DS6">
        <v>5.3178893035499136E-3</v>
      </c>
      <c r="DT6">
        <v>7.0323983640425025</v>
      </c>
      <c r="DU6" s="22">
        <v>-0.34</v>
      </c>
      <c r="DV6">
        <v>-1.6150000000000002</v>
      </c>
      <c r="DW6">
        <v>-1.9550000000000003</v>
      </c>
      <c r="DX6">
        <v>-9.2983287602893494</v>
      </c>
      <c r="DY6">
        <v>0.43241379310344841</v>
      </c>
      <c r="DZ6">
        <v>-9.0514359931533352</v>
      </c>
      <c r="EA6">
        <v>4486</v>
      </c>
      <c r="EB6">
        <v>-9.0062898641598181</v>
      </c>
      <c r="EC6">
        <v>9</v>
      </c>
      <c r="ED6">
        <v>0.15620212990476406</v>
      </c>
      <c r="EE6">
        <v>0.90597235344763161</v>
      </c>
      <c r="EF6" s="19">
        <v>6.9609999999999991E-2</v>
      </c>
      <c r="EG6">
        <v>6.8715999999999985E-2</v>
      </c>
      <c r="EH6">
        <v>26.172413793103448</v>
      </c>
      <c r="EI6">
        <v>-1</v>
      </c>
      <c r="EJ6">
        <v>0</v>
      </c>
      <c r="EK6">
        <v>0</v>
      </c>
      <c r="EL6" s="27">
        <v>45330</v>
      </c>
      <c r="EM6" s="28">
        <v>-6.55</v>
      </c>
      <c r="EN6" s="28">
        <v>-9.9</v>
      </c>
      <c r="EO6" s="28">
        <v>1.88</v>
      </c>
      <c r="EP6" s="28">
        <v>-5.79</v>
      </c>
      <c r="EQ6" s="28">
        <v>8.9399999999999993E-2</v>
      </c>
    </row>
    <row r="7" spans="1:147" ht="84" x14ac:dyDescent="0.25">
      <c r="B7" s="3"/>
      <c r="C7" s="3"/>
      <c r="D7" s="3" t="s">
        <v>1193</v>
      </c>
      <c r="E7" t="s">
        <v>469</v>
      </c>
      <c r="F7" t="s">
        <v>470</v>
      </c>
      <c r="G7">
        <v>14.64</v>
      </c>
      <c r="H7">
        <v>9.9900000000000003E-2</v>
      </c>
      <c r="I7" t="s">
        <v>1170</v>
      </c>
      <c r="J7">
        <v>2282010000</v>
      </c>
      <c r="K7">
        <v>56.29</v>
      </c>
      <c r="L7">
        <v>2.85</v>
      </c>
      <c r="M7" t="s">
        <v>278</v>
      </c>
      <c r="N7" t="s">
        <v>1171</v>
      </c>
      <c r="O7" t="s">
        <v>1172</v>
      </c>
      <c r="P7" t="s">
        <v>686</v>
      </c>
      <c r="Q7">
        <v>-1.86</v>
      </c>
      <c r="R7" t="s">
        <v>1173</v>
      </c>
      <c r="S7">
        <v>38014001</v>
      </c>
      <c r="T7" s="4">
        <v>-0.28129999999999999</v>
      </c>
      <c r="U7" t="s">
        <v>1174</v>
      </c>
      <c r="V7">
        <v>99371233</v>
      </c>
      <c r="W7">
        <v>152235000</v>
      </c>
      <c r="X7">
        <v>1.33</v>
      </c>
      <c r="Y7">
        <v>0.28999999999999998</v>
      </c>
      <c r="Z7">
        <v>17.010000000000002</v>
      </c>
      <c r="AA7" t="s">
        <v>526</v>
      </c>
      <c r="AB7" t="s">
        <v>619</v>
      </c>
      <c r="AC7" t="s">
        <v>1175</v>
      </c>
      <c r="AD7" t="s">
        <v>1176</v>
      </c>
      <c r="AE7" t="s">
        <v>1177</v>
      </c>
      <c r="AF7">
        <v>1216266</v>
      </c>
      <c r="AG7" t="s">
        <v>1178</v>
      </c>
      <c r="AH7" t="s">
        <v>1179</v>
      </c>
      <c r="AI7" t="s">
        <v>1180</v>
      </c>
      <c r="AJ7" t="s">
        <v>381</v>
      </c>
      <c r="AK7" t="s">
        <v>1181</v>
      </c>
      <c r="AL7" t="s">
        <v>1182</v>
      </c>
      <c r="AM7" t="s">
        <v>1183</v>
      </c>
      <c r="AN7" t="s">
        <v>7</v>
      </c>
      <c r="AO7" t="s">
        <v>1184</v>
      </c>
      <c r="AP7" t="s">
        <v>7</v>
      </c>
      <c r="AQ7" t="s">
        <v>1185</v>
      </c>
      <c r="AR7" t="s">
        <v>647</v>
      </c>
      <c r="AS7" t="s">
        <v>7</v>
      </c>
      <c r="AT7" t="s">
        <v>641</v>
      </c>
      <c r="AU7" t="s">
        <v>7</v>
      </c>
      <c r="AV7" t="s">
        <v>1186</v>
      </c>
      <c r="AW7" t="s">
        <v>1187</v>
      </c>
      <c r="AX7" t="s">
        <v>1188</v>
      </c>
      <c r="AY7" t="s">
        <v>508</v>
      </c>
      <c r="AZ7" t="s">
        <v>510</v>
      </c>
      <c r="BA7" t="s">
        <v>511</v>
      </c>
      <c r="BB7" t="s">
        <v>512</v>
      </c>
      <c r="BC7" t="s">
        <v>382</v>
      </c>
      <c r="BD7" t="s">
        <v>509</v>
      </c>
      <c r="BE7" t="s">
        <v>513</v>
      </c>
      <c r="BF7" t="s">
        <v>514</v>
      </c>
      <c r="BG7" t="s">
        <v>515</v>
      </c>
      <c r="BH7" t="s">
        <v>516</v>
      </c>
      <c r="BI7" t="s">
        <v>985</v>
      </c>
      <c r="BJ7" t="s">
        <v>498</v>
      </c>
      <c r="BK7" t="s">
        <v>632</v>
      </c>
      <c r="BL7" t="s">
        <v>1189</v>
      </c>
      <c r="BM7" t="s">
        <v>1190</v>
      </c>
      <c r="BN7" t="s">
        <v>633</v>
      </c>
      <c r="BO7">
        <v>2.27</v>
      </c>
      <c r="BP7">
        <v>9.35</v>
      </c>
      <c r="BQ7">
        <v>6.4</v>
      </c>
      <c r="BR7">
        <v>2.54</v>
      </c>
      <c r="BS7">
        <v>10.67</v>
      </c>
      <c r="BT7">
        <v>6.89</v>
      </c>
      <c r="BU7" t="s">
        <v>657</v>
      </c>
      <c r="BV7" t="s">
        <v>368</v>
      </c>
      <c r="BW7">
        <v>51.08</v>
      </c>
      <c r="BX7">
        <v>50.43</v>
      </c>
      <c r="BY7">
        <v>47.14</v>
      </c>
      <c r="BZ7">
        <v>19.28</v>
      </c>
      <c r="CA7">
        <v>16.47</v>
      </c>
      <c r="CB7">
        <v>13.69</v>
      </c>
      <c r="CC7">
        <v>-9.52</v>
      </c>
      <c r="CD7">
        <v>-41.9</v>
      </c>
      <c r="CE7" t="s">
        <v>1191</v>
      </c>
      <c r="CF7" t="s">
        <v>1192</v>
      </c>
      <c r="CG7" s="20">
        <v>0.60606060606060608</v>
      </c>
      <c r="CH7" s="21">
        <v>1.2217343598055106</v>
      </c>
      <c r="CI7" s="20">
        <v>-0.18264840543270111</v>
      </c>
      <c r="CJ7" s="20">
        <v>0.44078946113586426</v>
      </c>
      <c r="CK7" s="20">
        <v>3.26802659034729</v>
      </c>
      <c r="CL7" s="20">
        <v>-0.6438634991645813</v>
      </c>
      <c r="CM7" s="20">
        <v>-0.20000000298023224</v>
      </c>
      <c r="CN7" s="21">
        <v>-0.24626518785953522</v>
      </c>
      <c r="CO7" s="21">
        <v>0.69626021385192871</v>
      </c>
      <c r="CP7" s="21">
        <v>9.954559326171875</v>
      </c>
      <c r="CQ7" s="21">
        <v>-0.88479691743850708</v>
      </c>
      <c r="CR7" s="21">
        <v>-0.56512552499771118</v>
      </c>
      <c r="CS7">
        <v>47.284078264959582</v>
      </c>
      <c r="CT7">
        <v>0.88140784430415786</v>
      </c>
      <c r="CU7">
        <v>1.0245901639344261</v>
      </c>
      <c r="CV7" s="20">
        <v>0.53646082878112789</v>
      </c>
      <c r="CW7" s="21">
        <v>1.79092638194561</v>
      </c>
      <c r="CX7">
        <v>0.06</v>
      </c>
      <c r="CY7">
        <v>21.760968525061756</v>
      </c>
      <c r="CZ7">
        <v>80327766.569160059</v>
      </c>
      <c r="DA7">
        <v>0.53646082878112789</v>
      </c>
      <c r="DB7">
        <v>4.9742041855872969</v>
      </c>
      <c r="DC7">
        <v>351415007.26183301</v>
      </c>
      <c r="DD7">
        <v>0.50963778734207144</v>
      </c>
      <c r="DE7">
        <v>1.4301433503317704</v>
      </c>
      <c r="DF7">
        <v>1222262089.737011</v>
      </c>
      <c r="DG7">
        <v>0.47208552932739256</v>
      </c>
      <c r="DH7">
        <v>0.43222244839109109</v>
      </c>
      <c r="DI7">
        <v>4044236958.3227544</v>
      </c>
      <c r="DJ7">
        <v>0.42916866302490231</v>
      </c>
      <c r="DK7">
        <v>3.9682112142386254E-2</v>
      </c>
      <c r="DL7">
        <v>44050326598.741493</v>
      </c>
      <c r="DM7">
        <v>0.37552258014678952</v>
      </c>
      <c r="DN7">
        <v>55417900</v>
      </c>
      <c r="DO7">
        <v>0.53646082878112789</v>
      </c>
      <c r="DP7">
        <v>1748010000</v>
      </c>
      <c r="DQ7">
        <v>552834750</v>
      </c>
      <c r="DR7">
        <v>1377</v>
      </c>
      <c r="DS7">
        <v>6.9599777279478192E-2</v>
      </c>
      <c r="DT7">
        <v>-0.56919202214009945</v>
      </c>
      <c r="DU7" s="22">
        <v>-0.39166666666666661</v>
      </c>
      <c r="DV7">
        <v>-6.6666666666666341E-3</v>
      </c>
      <c r="DW7">
        <v>-0.39833333333333326</v>
      </c>
      <c r="DX7">
        <v>-9.2272076372315031</v>
      </c>
      <c r="DY7">
        <v>0.39919237057220758</v>
      </c>
      <c r="DZ7">
        <v>-9.0270814168937328</v>
      </c>
      <c r="EA7">
        <v>3112</v>
      </c>
      <c r="EB7">
        <v>-9.0105920078987616</v>
      </c>
      <c r="EC7">
        <v>9</v>
      </c>
      <c r="ED7">
        <v>0.28734259532958911</v>
      </c>
      <c r="EE7">
        <v>2.4107465431733832</v>
      </c>
      <c r="EF7" s="19">
        <v>-3.0247100000000002</v>
      </c>
      <c r="EG7">
        <v>-3.023711</v>
      </c>
      <c r="EH7">
        <v>28.119192370572208</v>
      </c>
      <c r="EI7" t="s">
        <v>1070</v>
      </c>
      <c r="EJ7">
        <v>0</v>
      </c>
      <c r="EK7">
        <v>0</v>
      </c>
      <c r="EL7" s="27">
        <v>45330</v>
      </c>
      <c r="EM7" s="28">
        <v>-4.2</v>
      </c>
      <c r="EN7" s="28">
        <v>-10</v>
      </c>
      <c r="EO7" s="28">
        <v>2.2200000000000002</v>
      </c>
      <c r="EP7" s="28">
        <v>-6.66</v>
      </c>
      <c r="EQ7" s="28">
        <v>9.9900000000000003E-2</v>
      </c>
    </row>
    <row r="8" spans="1:147" ht="84" x14ac:dyDescent="0.25">
      <c r="B8" s="3"/>
      <c r="C8" s="3"/>
      <c r="D8" s="3" t="s">
        <v>1226</v>
      </c>
      <c r="E8" t="s">
        <v>471</v>
      </c>
      <c r="F8" t="s">
        <v>472</v>
      </c>
      <c r="G8">
        <v>4.6100000000000003</v>
      </c>
      <c r="H8">
        <v>7.7100000000000002E-2</v>
      </c>
      <c r="I8" t="s">
        <v>1194</v>
      </c>
      <c r="J8">
        <v>7728501800</v>
      </c>
      <c r="K8">
        <v>128.19999999999999</v>
      </c>
      <c r="L8">
        <v>1.6</v>
      </c>
      <c r="M8" t="s">
        <v>278</v>
      </c>
      <c r="N8" t="s">
        <v>1195</v>
      </c>
      <c r="O8" t="s">
        <v>1196</v>
      </c>
      <c r="P8" t="s">
        <v>1197</v>
      </c>
      <c r="Q8">
        <v>-28.22</v>
      </c>
      <c r="R8" t="s">
        <v>1198</v>
      </c>
      <c r="S8">
        <v>162148490</v>
      </c>
      <c r="T8" s="4">
        <v>-0.62890000000000001</v>
      </c>
      <c r="U8" t="s">
        <v>1199</v>
      </c>
      <c r="V8">
        <v>1352900800</v>
      </c>
      <c r="W8">
        <v>1675864600</v>
      </c>
      <c r="X8">
        <v>1.84</v>
      </c>
      <c r="Y8">
        <v>0.31</v>
      </c>
      <c r="Z8">
        <v>6.26</v>
      </c>
      <c r="AA8" t="s">
        <v>1200</v>
      </c>
      <c r="AB8" t="s">
        <v>1201</v>
      </c>
      <c r="AC8" t="s">
        <v>747</v>
      </c>
      <c r="AD8" t="s">
        <v>493</v>
      </c>
      <c r="AE8" t="s">
        <v>1202</v>
      </c>
      <c r="AF8">
        <v>32274442</v>
      </c>
      <c r="AG8" t="s">
        <v>1203</v>
      </c>
      <c r="AH8" t="s">
        <v>1204</v>
      </c>
      <c r="AI8" t="s">
        <v>1205</v>
      </c>
      <c r="AJ8" t="s">
        <v>1206</v>
      </c>
      <c r="AK8" t="s">
        <v>1207</v>
      </c>
      <c r="AL8" t="s">
        <v>1208</v>
      </c>
      <c r="AM8" t="s">
        <v>1209</v>
      </c>
      <c r="AN8" t="s">
        <v>7</v>
      </c>
      <c r="AO8" t="s">
        <v>1210</v>
      </c>
      <c r="AP8" t="s">
        <v>1211</v>
      </c>
      <c r="AQ8" t="s">
        <v>1212</v>
      </c>
      <c r="AR8" t="s">
        <v>1213</v>
      </c>
      <c r="AS8" t="s">
        <v>7</v>
      </c>
      <c r="AT8" t="s">
        <v>1214</v>
      </c>
      <c r="AU8" t="s">
        <v>269</v>
      </c>
      <c r="AV8" t="s">
        <v>1215</v>
      </c>
      <c r="AW8" t="s">
        <v>1216</v>
      </c>
      <c r="AX8" t="s">
        <v>1217</v>
      </c>
      <c r="AY8" t="s">
        <v>517</v>
      </c>
      <c r="AZ8" t="s">
        <v>491</v>
      </c>
      <c r="BA8" t="s">
        <v>519</v>
      </c>
      <c r="BB8" t="s">
        <v>520</v>
      </c>
      <c r="BC8" t="s">
        <v>521</v>
      </c>
      <c r="BD8" t="s">
        <v>518</v>
      </c>
      <c r="BE8" t="s">
        <v>522</v>
      </c>
      <c r="BF8" t="s">
        <v>523</v>
      </c>
      <c r="BG8" t="s">
        <v>524</v>
      </c>
      <c r="BH8" t="s">
        <v>525</v>
      </c>
      <c r="BI8" t="s">
        <v>1218</v>
      </c>
      <c r="BJ8" t="s">
        <v>875</v>
      </c>
      <c r="BK8" t="s">
        <v>635</v>
      </c>
      <c r="BL8" t="s">
        <v>290</v>
      </c>
      <c r="BM8" t="s">
        <v>531</v>
      </c>
      <c r="BN8" t="s">
        <v>1219</v>
      </c>
      <c r="BO8">
        <v>2.23</v>
      </c>
      <c r="BP8">
        <v>13.09</v>
      </c>
      <c r="BQ8" t="s">
        <v>7</v>
      </c>
      <c r="BR8">
        <v>2.59</v>
      </c>
      <c r="BS8">
        <v>18.95</v>
      </c>
      <c r="BT8">
        <v>-28.76</v>
      </c>
      <c r="BU8" t="s">
        <v>651</v>
      </c>
      <c r="BV8" t="s">
        <v>368</v>
      </c>
      <c r="BW8">
        <v>23.25</v>
      </c>
      <c r="BX8">
        <v>30.01</v>
      </c>
      <c r="BY8">
        <v>19.440000000000001</v>
      </c>
      <c r="BZ8">
        <v>10.58</v>
      </c>
      <c r="CA8">
        <v>9.44</v>
      </c>
      <c r="CB8">
        <v>-20.66</v>
      </c>
      <c r="CC8">
        <v>8.73</v>
      </c>
      <c r="CD8">
        <v>-24.05</v>
      </c>
      <c r="CE8" t="s">
        <v>985</v>
      </c>
      <c r="CF8" t="s">
        <v>1220</v>
      </c>
      <c r="CG8" s="20">
        <v>-0.44830188679245281</v>
      </c>
      <c r="CH8" s="21">
        <v>-1.2678219374999997</v>
      </c>
      <c r="CI8" s="20">
        <v>-0.13968074321746826</v>
      </c>
      <c r="CJ8" s="20">
        <v>0.53590202331542969</v>
      </c>
      <c r="CK8" s="20">
        <v>-0.3685956597328186</v>
      </c>
      <c r="CL8" s="20">
        <v>-1.4708541333675385E-2</v>
      </c>
      <c r="CM8" s="20">
        <v>-0.14247903227806091</v>
      </c>
      <c r="CN8" s="21">
        <v>-0.33000001311302185</v>
      </c>
      <c r="CO8" s="21">
        <v>1.7173600196838379</v>
      </c>
      <c r="CP8" s="21">
        <v>-227.96189880371094</v>
      </c>
      <c r="CQ8" s="21">
        <v>1.001071572303772</v>
      </c>
      <c r="CR8" s="21">
        <v>-7.2169194221496582</v>
      </c>
      <c r="CS8">
        <v>-20.482537570745372</v>
      </c>
      <c r="CT8">
        <v>-7.9045341080036211</v>
      </c>
      <c r="CU8">
        <v>0</v>
      </c>
      <c r="CV8" s="20">
        <v>-2.5912390649318696E-2</v>
      </c>
      <c r="CW8" s="21">
        <v>-46.5580773293972</v>
      </c>
      <c r="CX8">
        <v>0.06</v>
      </c>
      <c r="CY8">
        <v>20.771647164179104</v>
      </c>
      <c r="CZ8" t="s">
        <v>1221</v>
      </c>
      <c r="DA8">
        <v>-2.5912390649318696E-2</v>
      </c>
      <c r="DB8">
        <v>6.9238823880597016</v>
      </c>
      <c r="DC8" t="s">
        <v>1222</v>
      </c>
      <c r="DD8">
        <v>-2.4616771116852759E-2</v>
      </c>
      <c r="DE8">
        <v>3.4619411940298508</v>
      </c>
      <c r="DF8" t="s">
        <v>1223</v>
      </c>
      <c r="DG8">
        <v>-2.2802903771400453E-2</v>
      </c>
      <c r="DH8">
        <v>2.0771647164179106</v>
      </c>
      <c r="DI8" t="s">
        <v>1224</v>
      </c>
      <c r="DJ8">
        <v>-2.0729912519454958E-2</v>
      </c>
      <c r="DK8">
        <v>1.0385823582089553</v>
      </c>
      <c r="DL8" t="s">
        <v>1225</v>
      </c>
      <c r="DM8">
        <v>-1.8138673454523087E-2</v>
      </c>
      <c r="DN8">
        <v>335000000</v>
      </c>
      <c r="DO8">
        <v>-2.5912390649318696E-2</v>
      </c>
      <c r="DP8">
        <v>6958501800</v>
      </c>
      <c r="DQ8">
        <v>1979038800</v>
      </c>
      <c r="DR8">
        <v>1584</v>
      </c>
      <c r="DS8">
        <v>-0.42238949614313409</v>
      </c>
      <c r="DT8">
        <v>45.290255391897198</v>
      </c>
      <c r="DU8" s="22">
        <v>-0.42333333333333334</v>
      </c>
      <c r="DV8">
        <v>-1.3733333333333333</v>
      </c>
      <c r="DW8">
        <v>-1.7966666666666666</v>
      </c>
      <c r="DX8">
        <v>7.2663209273947533</v>
      </c>
      <c r="DY8">
        <v>0.53156748911466067</v>
      </c>
      <c r="DZ8">
        <v>7.0749873148252282</v>
      </c>
      <c r="EA8">
        <v>4400</v>
      </c>
      <c r="EB8">
        <v>7.0104316143300212</v>
      </c>
      <c r="EC8">
        <v>7</v>
      </c>
      <c r="ED8">
        <v>0.11576114203975667</v>
      </c>
      <c r="EE8">
        <v>0.41113106631645541</v>
      </c>
      <c r="EF8" s="19">
        <v>-4.1086</v>
      </c>
      <c r="EG8">
        <v>-4.1093710000000003</v>
      </c>
      <c r="EH8">
        <v>25.281567489114661</v>
      </c>
      <c r="EI8" t="s">
        <v>1075</v>
      </c>
      <c r="EJ8">
        <v>1</v>
      </c>
      <c r="EK8">
        <v>0</v>
      </c>
      <c r="EL8" s="27">
        <v>45330</v>
      </c>
      <c r="EM8" s="28">
        <v>-5.66</v>
      </c>
      <c r="EN8" s="28">
        <v>-8.5</v>
      </c>
      <c r="EO8" s="28">
        <v>9.56</v>
      </c>
      <c r="EP8" s="28">
        <v>6.73</v>
      </c>
      <c r="EQ8" s="28">
        <v>7.7100000000000002E-2</v>
      </c>
    </row>
    <row r="9" spans="1:147" ht="84" x14ac:dyDescent="0.25">
      <c r="B9" s="23"/>
      <c r="C9" s="23"/>
      <c r="D9" s="23" t="s">
        <v>1252</v>
      </c>
      <c r="E9" t="s">
        <v>473</v>
      </c>
      <c r="F9" t="s">
        <v>474</v>
      </c>
      <c r="G9">
        <v>10.94</v>
      </c>
      <c r="H9">
        <v>0.10059999999999999</v>
      </c>
      <c r="I9" t="s">
        <v>1227</v>
      </c>
      <c r="J9">
        <v>4647642700</v>
      </c>
      <c r="K9">
        <v>31.31</v>
      </c>
      <c r="L9">
        <v>1.95</v>
      </c>
      <c r="M9" t="s">
        <v>160</v>
      </c>
      <c r="N9" t="s">
        <v>1228</v>
      </c>
      <c r="O9" t="s">
        <v>1229</v>
      </c>
      <c r="P9" t="s">
        <v>1230</v>
      </c>
      <c r="Q9">
        <v>-1.56</v>
      </c>
      <c r="R9" t="s">
        <v>1231</v>
      </c>
      <c r="S9">
        <v>128789456</v>
      </c>
      <c r="T9" s="4">
        <v>-8.0299999999999996E-2</v>
      </c>
      <c r="U9" t="s">
        <v>980</v>
      </c>
      <c r="V9">
        <v>285225200</v>
      </c>
      <c r="W9">
        <v>424830190</v>
      </c>
      <c r="X9">
        <v>2.88</v>
      </c>
      <c r="Y9">
        <v>0.46</v>
      </c>
      <c r="Z9">
        <v>4.09</v>
      </c>
      <c r="AA9" t="s">
        <v>1232</v>
      </c>
      <c r="AB9" t="s">
        <v>1233</v>
      </c>
      <c r="AC9" t="s">
        <v>204</v>
      </c>
      <c r="AD9" t="s">
        <v>225</v>
      </c>
      <c r="AE9" t="s">
        <v>1234</v>
      </c>
      <c r="AF9">
        <v>31622624</v>
      </c>
      <c r="AG9" t="s">
        <v>1235</v>
      </c>
      <c r="AH9" t="s">
        <v>1236</v>
      </c>
      <c r="AI9" t="s">
        <v>1237</v>
      </c>
      <c r="AJ9" t="s">
        <v>1238</v>
      </c>
      <c r="AK9" t="s">
        <v>1239</v>
      </c>
      <c r="AL9" t="s">
        <v>1240</v>
      </c>
      <c r="AM9" t="s">
        <v>1241</v>
      </c>
      <c r="AN9" t="s">
        <v>7</v>
      </c>
      <c r="AO9" t="s">
        <v>1242</v>
      </c>
      <c r="AP9" t="s">
        <v>631</v>
      </c>
      <c r="AQ9" t="s">
        <v>1243</v>
      </c>
      <c r="AR9" t="s">
        <v>1244</v>
      </c>
      <c r="AS9" t="s">
        <v>7</v>
      </c>
      <c r="AT9" t="s">
        <v>1245</v>
      </c>
      <c r="AU9" t="s">
        <v>1246</v>
      </c>
      <c r="AV9" t="s">
        <v>1247</v>
      </c>
      <c r="AW9" t="s">
        <v>532</v>
      </c>
      <c r="AX9" t="s">
        <v>290</v>
      </c>
      <c r="AY9" t="s">
        <v>528</v>
      </c>
      <c r="AZ9" t="s">
        <v>533</v>
      </c>
      <c r="BA9" t="s">
        <v>534</v>
      </c>
      <c r="BB9" t="s">
        <v>535</v>
      </c>
      <c r="BC9" t="s">
        <v>299</v>
      </c>
      <c r="BD9" t="s">
        <v>529</v>
      </c>
      <c r="BE9" t="s">
        <v>536</v>
      </c>
      <c r="BF9" t="s">
        <v>537</v>
      </c>
      <c r="BG9" t="s">
        <v>308</v>
      </c>
      <c r="BH9" t="s">
        <v>248</v>
      </c>
      <c r="BI9" t="s">
        <v>653</v>
      </c>
      <c r="BJ9" t="s">
        <v>1248</v>
      </c>
      <c r="BK9" t="s">
        <v>763</v>
      </c>
      <c r="BL9" t="s">
        <v>1249</v>
      </c>
      <c r="BM9" t="s">
        <v>372</v>
      </c>
      <c r="BN9" t="s">
        <v>381</v>
      </c>
      <c r="BO9">
        <v>0.54</v>
      </c>
      <c r="BP9">
        <v>2.67</v>
      </c>
      <c r="BQ9">
        <v>23.48</v>
      </c>
      <c r="BR9">
        <v>0.51</v>
      </c>
      <c r="BS9">
        <v>2.98</v>
      </c>
      <c r="BT9">
        <v>27.23</v>
      </c>
      <c r="BU9" t="s">
        <v>1250</v>
      </c>
      <c r="BV9" t="s">
        <v>177</v>
      </c>
      <c r="BW9">
        <v>21.37</v>
      </c>
      <c r="BX9">
        <v>24.54</v>
      </c>
      <c r="BY9">
        <v>49.32</v>
      </c>
      <c r="BZ9">
        <v>4.1399999999999997</v>
      </c>
      <c r="CA9">
        <v>2.06</v>
      </c>
      <c r="CB9">
        <v>18.66</v>
      </c>
      <c r="CC9">
        <v>1.77</v>
      </c>
      <c r="CD9">
        <v>-26.72</v>
      </c>
      <c r="CE9" t="s">
        <v>1251</v>
      </c>
      <c r="CF9" t="s">
        <v>676</v>
      </c>
      <c r="CG9" s="20">
        <v>-8.9887640449438588E-2</v>
      </c>
      <c r="CH9" s="21">
        <v>0.16889357894736842</v>
      </c>
      <c r="CI9" s="20">
        <v>0.51351356506347656</v>
      </c>
      <c r="CJ9" s="20">
        <v>0.1952812522649765</v>
      </c>
      <c r="CK9" s="20">
        <v>0.65963858366012573</v>
      </c>
      <c r="CL9" s="20">
        <v>0.38564273715019226</v>
      </c>
      <c r="CM9" s="20">
        <v>0.56806284189224243</v>
      </c>
      <c r="CN9" s="21">
        <v>1.4466590881347656</v>
      </c>
      <c r="CO9" s="21">
        <v>-0.87423980236053467</v>
      </c>
      <c r="CP9" s="21">
        <v>1.7807486057281494</v>
      </c>
      <c r="CQ9" s="21">
        <v>8.7209299206733704E-2</v>
      </c>
      <c r="CR9" s="21">
        <v>0.24637681245803833</v>
      </c>
      <c r="CS9">
        <v>22.445236391348228</v>
      </c>
      <c r="CT9">
        <v>0.48328796390663187</v>
      </c>
      <c r="CU9">
        <v>0.64899451553930532</v>
      </c>
      <c r="CV9" s="20">
        <v>0.46442779600620271</v>
      </c>
      <c r="CW9" s="21">
        <v>0.53735080063343044</v>
      </c>
      <c r="CX9">
        <v>0.06</v>
      </c>
      <c r="CY9">
        <v>31.204599511239032</v>
      </c>
      <c r="CZ9">
        <v>221045705.05754</v>
      </c>
      <c r="DA9">
        <v>0.46442779600620271</v>
      </c>
      <c r="DB9">
        <v>7.5346325201859754</v>
      </c>
      <c r="DC9">
        <v>915458409.0890404</v>
      </c>
      <c r="DD9">
        <v>0.44120640620589258</v>
      </c>
      <c r="DE9">
        <v>2.366654027295422</v>
      </c>
      <c r="DF9">
        <v>2914512480.6782708</v>
      </c>
      <c r="DG9">
        <v>0.40869646048545838</v>
      </c>
      <c r="DH9">
        <v>0.80574177384818091</v>
      </c>
      <c r="DI9">
        <v>8560612002.3505993</v>
      </c>
      <c r="DJ9">
        <v>0.37154223680496218</v>
      </c>
      <c r="DK9">
        <v>0.10044247859251</v>
      </c>
      <c r="DL9">
        <v>68672565598.300133</v>
      </c>
      <c r="DM9">
        <v>0.32509945720434186</v>
      </c>
      <c r="DN9">
        <v>160000000</v>
      </c>
      <c r="DO9">
        <v>0.46442779600620271</v>
      </c>
      <c r="DP9">
        <v>6897642700</v>
      </c>
      <c r="DQ9">
        <v>2094816600.0000005</v>
      </c>
      <c r="DR9">
        <v>2082</v>
      </c>
      <c r="DS9">
        <v>-0.5543154364556413</v>
      </c>
      <c r="DT9">
        <v>-0.36845722168606199</v>
      </c>
      <c r="DU9" s="22">
        <v>0.35999999999999993</v>
      </c>
      <c r="DV9">
        <v>0.40000000000000008</v>
      </c>
      <c r="DW9">
        <v>0.76</v>
      </c>
      <c r="DX9">
        <v>-3.1212380952380951</v>
      </c>
      <c r="DY9">
        <v>0.5666191780821912</v>
      </c>
      <c r="DZ9">
        <v>-3.0323244013046313</v>
      </c>
      <c r="EA9">
        <v>615</v>
      </c>
      <c r="EB9">
        <v>-3.0284348480269268</v>
      </c>
      <c r="EC9">
        <v>3</v>
      </c>
      <c r="ED9">
        <v>0.13744220955671724</v>
      </c>
      <c r="EE9">
        <v>0.51550008722308549</v>
      </c>
      <c r="EF9" s="19">
        <v>-1.0184</v>
      </c>
      <c r="EG9">
        <v>-1.019406</v>
      </c>
      <c r="EH9">
        <v>30.266619178082191</v>
      </c>
      <c r="EI9" t="s">
        <v>1074</v>
      </c>
      <c r="EJ9">
        <v>0</v>
      </c>
      <c r="EK9">
        <v>1</v>
      </c>
      <c r="EL9" s="27">
        <v>45330</v>
      </c>
      <c r="EM9" s="28">
        <v>-4.1900000000000004</v>
      </c>
      <c r="EN9" s="28">
        <v>-10.39</v>
      </c>
      <c r="EO9" s="28">
        <v>6.18</v>
      </c>
      <c r="EP9" s="28">
        <v>1.43</v>
      </c>
      <c r="EQ9" s="28">
        <v>0.10059999999999999</v>
      </c>
    </row>
    <row r="10" spans="1:147" ht="96" x14ac:dyDescent="0.25">
      <c r="B10" s="3"/>
      <c r="C10" s="3"/>
      <c r="D10" s="3" t="s">
        <v>1276</v>
      </c>
      <c r="E10" t="s">
        <v>475</v>
      </c>
      <c r="F10" t="s">
        <v>476</v>
      </c>
      <c r="G10">
        <v>21.82</v>
      </c>
      <c r="H10">
        <v>0.12939999999999999</v>
      </c>
      <c r="I10" t="s">
        <v>1253</v>
      </c>
      <c r="J10">
        <v>5502480300</v>
      </c>
      <c r="K10">
        <v>45.36</v>
      </c>
      <c r="L10">
        <v>3.57</v>
      </c>
      <c r="M10" t="s">
        <v>278</v>
      </c>
      <c r="N10" t="s">
        <v>703</v>
      </c>
      <c r="O10" t="s">
        <v>1254</v>
      </c>
      <c r="P10" t="s">
        <v>578</v>
      </c>
      <c r="Q10">
        <v>44.79</v>
      </c>
      <c r="R10" t="s">
        <v>1255</v>
      </c>
      <c r="S10">
        <v>96079891</v>
      </c>
      <c r="T10" s="4">
        <v>3.3719999999999999</v>
      </c>
      <c r="U10" t="s">
        <v>1256</v>
      </c>
      <c r="V10">
        <v>118265450</v>
      </c>
      <c r="W10">
        <v>252176000</v>
      </c>
      <c r="X10">
        <v>1.35</v>
      </c>
      <c r="Y10">
        <v>0.17</v>
      </c>
      <c r="Z10">
        <v>28.82</v>
      </c>
      <c r="AA10" t="s">
        <v>636</v>
      </c>
      <c r="AB10" t="s">
        <v>350</v>
      </c>
      <c r="AC10" t="s">
        <v>1257</v>
      </c>
      <c r="AD10" t="s">
        <v>1258</v>
      </c>
      <c r="AE10" t="s">
        <v>1259</v>
      </c>
      <c r="AF10">
        <v>-8162052</v>
      </c>
      <c r="AG10" t="s">
        <v>1260</v>
      </c>
      <c r="AH10" t="s">
        <v>1261</v>
      </c>
      <c r="AI10" t="s">
        <v>1262</v>
      </c>
      <c r="AJ10" t="s">
        <v>1263</v>
      </c>
      <c r="AK10" t="s">
        <v>1264</v>
      </c>
      <c r="AL10" t="s">
        <v>1265</v>
      </c>
      <c r="AM10" t="s">
        <v>1266</v>
      </c>
      <c r="AN10" t="s">
        <v>7</v>
      </c>
      <c r="AO10" t="s">
        <v>372</v>
      </c>
      <c r="AP10" t="s">
        <v>7</v>
      </c>
      <c r="AQ10" t="s">
        <v>1267</v>
      </c>
      <c r="AR10" t="s">
        <v>1268</v>
      </c>
      <c r="AS10" t="s">
        <v>7</v>
      </c>
      <c r="AT10" t="s">
        <v>1269</v>
      </c>
      <c r="AU10" t="s">
        <v>7</v>
      </c>
      <c r="AV10" t="s">
        <v>1270</v>
      </c>
      <c r="AW10" t="s">
        <v>293</v>
      </c>
      <c r="AX10" t="s">
        <v>1271</v>
      </c>
      <c r="AY10" t="s">
        <v>538</v>
      </c>
      <c r="AZ10" t="s">
        <v>367</v>
      </c>
      <c r="BA10" t="s">
        <v>541</v>
      </c>
      <c r="BB10" t="s">
        <v>542</v>
      </c>
      <c r="BC10" t="s">
        <v>526</v>
      </c>
      <c r="BD10" t="s">
        <v>539</v>
      </c>
      <c r="BE10" t="s">
        <v>543</v>
      </c>
      <c r="BF10" t="s">
        <v>544</v>
      </c>
      <c r="BG10" t="s">
        <v>248</v>
      </c>
      <c r="BH10" t="s">
        <v>545</v>
      </c>
      <c r="BI10" t="s">
        <v>649</v>
      </c>
      <c r="BJ10" t="s">
        <v>1272</v>
      </c>
      <c r="BK10" t="s">
        <v>461</v>
      </c>
      <c r="BL10" t="s">
        <v>1273</v>
      </c>
      <c r="BM10" t="s">
        <v>1274</v>
      </c>
      <c r="BN10" t="s">
        <v>638</v>
      </c>
      <c r="BO10">
        <v>0.93</v>
      </c>
      <c r="BP10">
        <v>5.65</v>
      </c>
      <c r="BQ10">
        <v>2.38</v>
      </c>
      <c r="BR10">
        <v>1.02</v>
      </c>
      <c r="BS10">
        <v>5.4</v>
      </c>
      <c r="BT10">
        <v>2.42</v>
      </c>
      <c r="BU10" t="s">
        <v>732</v>
      </c>
      <c r="BV10" t="s">
        <v>368</v>
      </c>
      <c r="BW10">
        <v>36.22</v>
      </c>
      <c r="BX10">
        <v>37.06</v>
      </c>
      <c r="BY10">
        <v>45.77</v>
      </c>
      <c r="BZ10">
        <v>23.12</v>
      </c>
      <c r="CA10">
        <v>19.77</v>
      </c>
      <c r="CB10">
        <v>14.38</v>
      </c>
      <c r="CC10">
        <v>0.46</v>
      </c>
      <c r="CD10">
        <v>-23.14</v>
      </c>
      <c r="CE10" t="s">
        <v>1275</v>
      </c>
      <c r="CF10" t="s">
        <v>624</v>
      </c>
      <c r="CG10" s="20">
        <v>0.18823529411764706</v>
      </c>
      <c r="CH10" s="21">
        <v>8.8136887248149645</v>
      </c>
      <c r="CI10" s="20">
        <v>-0.17848411202430725</v>
      </c>
      <c r="CJ10" s="20">
        <v>0.77056276798248291</v>
      </c>
      <c r="CK10" s="20">
        <v>-0.45647057890892029</v>
      </c>
      <c r="CL10" s="20">
        <v>5.985037237405777E-2</v>
      </c>
      <c r="CM10" s="20">
        <v>0.59760957956314087</v>
      </c>
      <c r="CN10" s="21">
        <v>-0.38346925377845764</v>
      </c>
      <c r="CO10" s="21">
        <v>1.2828835248947144</v>
      </c>
      <c r="CP10" s="21">
        <v>-0.76210278272628784</v>
      </c>
      <c r="CQ10" s="21">
        <v>2.1739130839705467E-2</v>
      </c>
      <c r="CR10" s="21">
        <v>1.5175360441207886</v>
      </c>
      <c r="CS10">
        <v>67.22005601996797</v>
      </c>
      <c r="CT10">
        <v>4.2379754045737812</v>
      </c>
      <c r="CU10">
        <v>0.45829514207149402</v>
      </c>
      <c r="CV10" s="20">
        <v>0.15861360579729081</v>
      </c>
      <c r="CW10" s="21">
        <v>0.33531733267009256</v>
      </c>
      <c r="CX10">
        <v>0.06</v>
      </c>
      <c r="CY10">
        <v>86.90254244611377</v>
      </c>
      <c r="CZ10">
        <v>51603556.970507748</v>
      </c>
      <c r="DA10">
        <v>0.15861360579729081</v>
      </c>
      <c r="DB10">
        <v>26.808311949603265</v>
      </c>
      <c r="DC10">
        <v>167279473.18840289</v>
      </c>
      <c r="DD10">
        <v>0.15068292550742626</v>
      </c>
      <c r="DE10">
        <v>12.194500854377038</v>
      </c>
      <c r="DF10">
        <v>367746113.88791376</v>
      </c>
      <c r="DG10">
        <v>0.13957997310161591</v>
      </c>
      <c r="DH10">
        <v>6.6805136703366719</v>
      </c>
      <c r="DI10">
        <v>671277767.14421415</v>
      </c>
      <c r="DJ10">
        <v>0.12689088463783266</v>
      </c>
      <c r="DK10">
        <v>2.7950055817104409</v>
      </c>
      <c r="DL10">
        <v>1604462019.4481552</v>
      </c>
      <c r="DM10">
        <v>0.11102952405810355</v>
      </c>
      <c r="DN10">
        <v>47211400</v>
      </c>
      <c r="DO10">
        <v>0.15861360579729081</v>
      </c>
      <c r="DP10">
        <v>4484480300</v>
      </c>
      <c r="DQ10">
        <v>1160649100</v>
      </c>
      <c r="DR10">
        <v>2274</v>
      </c>
      <c r="DS10">
        <v>2.9621688320356249E-2</v>
      </c>
      <c r="DT10">
        <v>8.4783713921448722</v>
      </c>
      <c r="DU10" s="22">
        <v>-0.34</v>
      </c>
      <c r="DV10">
        <v>0.66666666666666663</v>
      </c>
      <c r="DW10">
        <v>0.32666666666666661</v>
      </c>
      <c r="DX10">
        <v>-3.0807500000000001</v>
      </c>
      <c r="DY10">
        <v>0.51748994413407556</v>
      </c>
      <c r="DZ10">
        <v>-3.0135248129888268</v>
      </c>
      <c r="EA10">
        <v>1458</v>
      </c>
      <c r="EB10">
        <v>-3.0096666292013667</v>
      </c>
      <c r="EC10">
        <v>3</v>
      </c>
      <c r="ED10">
        <v>0.11888799885794049</v>
      </c>
      <c r="EE10">
        <v>0.70982171182031595</v>
      </c>
      <c r="EF10" s="19">
        <v>1.07141</v>
      </c>
      <c r="EG10">
        <v>1.0701160000000001</v>
      </c>
      <c r="EH10">
        <v>35.167489944134076</v>
      </c>
      <c r="EI10" t="s">
        <v>309</v>
      </c>
      <c r="EJ10">
        <v>0</v>
      </c>
      <c r="EK10">
        <v>1</v>
      </c>
      <c r="EL10" s="27">
        <v>45330</v>
      </c>
      <c r="EM10" s="28">
        <v>-5.0599999999999996</v>
      </c>
      <c r="EN10" s="28">
        <v>-9.26</v>
      </c>
      <c r="EO10" s="28">
        <v>5.51</v>
      </c>
      <c r="EP10" s="28">
        <v>-2.13</v>
      </c>
      <c r="EQ10" s="28">
        <v>0.12939999999999999</v>
      </c>
    </row>
    <row r="11" spans="1:147" ht="84" x14ac:dyDescent="0.25">
      <c r="B11" s="3"/>
      <c r="C11" s="3"/>
      <c r="D11" s="3" t="s">
        <v>1299</v>
      </c>
      <c r="E11" t="s">
        <v>477</v>
      </c>
      <c r="F11" t="s">
        <v>478</v>
      </c>
      <c r="G11">
        <v>25.15</v>
      </c>
      <c r="H11">
        <v>1.41E-2</v>
      </c>
      <c r="I11" t="s">
        <v>1277</v>
      </c>
      <c r="J11">
        <v>13128300000</v>
      </c>
      <c r="K11">
        <v>22.08</v>
      </c>
      <c r="L11">
        <v>5.8</v>
      </c>
      <c r="M11" t="s">
        <v>278</v>
      </c>
      <c r="N11" t="s">
        <v>1278</v>
      </c>
      <c r="O11" t="s">
        <v>1279</v>
      </c>
      <c r="P11" t="s">
        <v>1280</v>
      </c>
      <c r="Q11">
        <v>5.95</v>
      </c>
      <c r="R11" t="s">
        <v>1281</v>
      </c>
      <c r="S11">
        <v>463552700</v>
      </c>
      <c r="T11" s="4">
        <v>0.18940000000000001</v>
      </c>
      <c r="U11" t="s">
        <v>1069</v>
      </c>
      <c r="V11">
        <v>522000000</v>
      </c>
      <c r="W11">
        <v>522000000</v>
      </c>
      <c r="X11">
        <v>2.0299999999999998</v>
      </c>
      <c r="Y11">
        <v>0.55000000000000004</v>
      </c>
      <c r="Z11">
        <v>18.489999999999998</v>
      </c>
      <c r="AA11" t="s">
        <v>622</v>
      </c>
      <c r="AB11" t="s">
        <v>1282</v>
      </c>
      <c r="AC11" t="s">
        <v>527</v>
      </c>
      <c r="AD11" t="s">
        <v>1283</v>
      </c>
      <c r="AE11" t="s">
        <v>1284</v>
      </c>
      <c r="AF11">
        <v>-10396909</v>
      </c>
      <c r="AG11" t="s">
        <v>1285</v>
      </c>
      <c r="AH11" t="s">
        <v>1286</v>
      </c>
      <c r="AI11" t="s">
        <v>1287</v>
      </c>
      <c r="AJ11" t="s">
        <v>1117</v>
      </c>
      <c r="AK11" t="s">
        <v>1288</v>
      </c>
      <c r="AL11" t="s">
        <v>1289</v>
      </c>
      <c r="AM11" t="s">
        <v>1290</v>
      </c>
      <c r="AN11" t="s">
        <v>7</v>
      </c>
      <c r="AO11" t="s">
        <v>707</v>
      </c>
      <c r="AP11" t="s">
        <v>7</v>
      </c>
      <c r="AQ11" t="s">
        <v>200</v>
      </c>
      <c r="AR11" t="s">
        <v>1269</v>
      </c>
      <c r="AS11" t="s">
        <v>7</v>
      </c>
      <c r="AT11" t="s">
        <v>1291</v>
      </c>
      <c r="AU11" t="s">
        <v>7</v>
      </c>
      <c r="AV11" t="s">
        <v>453</v>
      </c>
      <c r="AW11" t="s">
        <v>461</v>
      </c>
      <c r="AX11" t="s">
        <v>1292</v>
      </c>
      <c r="AY11" t="s">
        <v>547</v>
      </c>
      <c r="AZ11" t="s">
        <v>548</v>
      </c>
      <c r="BA11" t="s">
        <v>549</v>
      </c>
      <c r="BB11" t="s">
        <v>550</v>
      </c>
      <c r="BC11" t="s">
        <v>551</v>
      </c>
      <c r="BD11" t="s">
        <v>344</v>
      </c>
      <c r="BE11" t="s">
        <v>248</v>
      </c>
      <c r="BF11" t="s">
        <v>552</v>
      </c>
      <c r="BG11" t="s">
        <v>381</v>
      </c>
      <c r="BH11" t="s">
        <v>313</v>
      </c>
      <c r="BI11" t="s">
        <v>1293</v>
      </c>
      <c r="BJ11" t="s">
        <v>1294</v>
      </c>
      <c r="BK11" t="s">
        <v>640</v>
      </c>
      <c r="BL11" t="s">
        <v>1295</v>
      </c>
      <c r="BM11" t="s">
        <v>1296</v>
      </c>
      <c r="BN11" t="s">
        <v>641</v>
      </c>
      <c r="BO11">
        <v>6.68</v>
      </c>
      <c r="BP11">
        <v>23.56</v>
      </c>
      <c r="BQ11">
        <v>9.82</v>
      </c>
      <c r="BR11">
        <v>6.6</v>
      </c>
      <c r="BS11">
        <v>24.71</v>
      </c>
      <c r="BT11">
        <v>10.33</v>
      </c>
      <c r="BU11" t="s">
        <v>871</v>
      </c>
      <c r="BV11" t="s">
        <v>368</v>
      </c>
      <c r="BW11">
        <v>28.84</v>
      </c>
      <c r="BX11">
        <v>25.72</v>
      </c>
      <c r="BY11">
        <v>24.03</v>
      </c>
      <c r="BZ11">
        <v>18.96</v>
      </c>
      <c r="CA11">
        <v>13.59</v>
      </c>
      <c r="CB11">
        <v>8.4700000000000006</v>
      </c>
      <c r="CC11">
        <v>20.97</v>
      </c>
      <c r="CD11">
        <v>1.37</v>
      </c>
      <c r="CE11" t="s">
        <v>1297</v>
      </c>
      <c r="CF11" t="s">
        <v>1298</v>
      </c>
      <c r="CG11" s="20">
        <v>-4.6948356807511735E-2</v>
      </c>
      <c r="CH11" s="21">
        <v>6.3826119402985076E-2</v>
      </c>
      <c r="CI11" s="20">
        <v>0.16373629868030548</v>
      </c>
      <c r="CJ11" s="20">
        <v>0.67279404401779175</v>
      </c>
      <c r="CK11" s="20">
        <v>0.40085843205451965</v>
      </c>
      <c r="CL11" s="20">
        <v>-8.4119550883769989E-2</v>
      </c>
      <c r="CM11" s="20">
        <v>-7.0257117040455341E-3</v>
      </c>
      <c r="CN11" s="21">
        <v>0.40431267023086548</v>
      </c>
      <c r="CO11" s="21">
        <v>1.6884057521820068</v>
      </c>
      <c r="CP11" s="21">
        <v>0.7987862229347229</v>
      </c>
      <c r="CQ11" s="21">
        <v>-0.24785882234573364</v>
      </c>
      <c r="CR11" s="21">
        <v>-9.7087379544973373E-3</v>
      </c>
      <c r="CS11">
        <v>60.050846279201387</v>
      </c>
      <c r="CT11">
        <v>2.6194628646485882</v>
      </c>
      <c r="CU11">
        <v>1.4314115308151094</v>
      </c>
      <c r="CV11" s="20">
        <v>0.22924870243296028</v>
      </c>
      <c r="CW11" s="21">
        <v>0.52678741700947285</v>
      </c>
      <c r="CX11">
        <v>0.06</v>
      </c>
      <c r="CY11">
        <v>21.854645502206576</v>
      </c>
      <c r="CZ11">
        <v>604187333.9316721</v>
      </c>
      <c r="DA11">
        <v>0.22924870243296028</v>
      </c>
      <c r="DB11">
        <v>6.359791368257647</v>
      </c>
      <c r="DC11">
        <v>2076215906.3745358</v>
      </c>
      <c r="DD11">
        <v>0.21778626731131226</v>
      </c>
      <c r="DE11">
        <v>2.6609341224851275</v>
      </c>
      <c r="DF11">
        <v>4962279933.3596811</v>
      </c>
      <c r="DG11">
        <v>0.20173885814100503</v>
      </c>
      <c r="DH11">
        <v>1.3162282021036731</v>
      </c>
      <c r="DI11">
        <v>10031923019.804707</v>
      </c>
      <c r="DJ11">
        <v>0.18339896194636823</v>
      </c>
      <c r="DK11">
        <v>0.42876299230376302</v>
      </c>
      <c r="DL11">
        <v>30796267954.59351</v>
      </c>
      <c r="DM11">
        <v>0.1604740917030722</v>
      </c>
      <c r="DN11">
        <v>521000000</v>
      </c>
      <c r="DO11">
        <v>0.22924870243296028</v>
      </c>
      <c r="DP11">
        <v>13204300000</v>
      </c>
      <c r="DQ11">
        <v>1531474700</v>
      </c>
      <c r="DR11">
        <v>3809</v>
      </c>
      <c r="DS11">
        <v>-0.276197059240472</v>
      </c>
      <c r="DT11">
        <v>-0.46296129760648774</v>
      </c>
      <c r="DU11" s="22">
        <v>0.16</v>
      </c>
      <c r="DV11">
        <v>0.83666666666666678</v>
      </c>
      <c r="DW11">
        <v>0.99666666666666681</v>
      </c>
      <c r="DX11">
        <v>5.0653314258464475</v>
      </c>
      <c r="DY11">
        <v>0.52240618842251774</v>
      </c>
      <c r="DZ11">
        <v>5.0204099417328969</v>
      </c>
      <c r="EA11">
        <v>336</v>
      </c>
      <c r="EB11">
        <v>5.0190681807424342</v>
      </c>
      <c r="EC11">
        <v>5</v>
      </c>
      <c r="ED11">
        <v>4.3891570881226055E-2</v>
      </c>
      <c r="EE11">
        <v>0.14049521072796936</v>
      </c>
      <c r="EF11" s="19">
        <v>-1.0305</v>
      </c>
      <c r="EG11">
        <v>-1.0306409999999999</v>
      </c>
      <c r="EH11">
        <v>21.312406188422518</v>
      </c>
      <c r="EI11" t="s">
        <v>1074</v>
      </c>
      <c r="EJ11">
        <v>1</v>
      </c>
      <c r="EK11">
        <v>1</v>
      </c>
      <c r="EL11" s="27">
        <v>45330</v>
      </c>
      <c r="EM11" s="28">
        <v>5</v>
      </c>
      <c r="EN11" s="28">
        <v>9.99</v>
      </c>
      <c r="EO11" s="28">
        <v>3.25</v>
      </c>
      <c r="EP11" s="28">
        <v>0.04</v>
      </c>
      <c r="EQ11" s="28">
        <v>1.41E-2</v>
      </c>
    </row>
    <row r="12" spans="1:147" ht="312" x14ac:dyDescent="0.25">
      <c r="B12" s="3" t="s">
        <v>1076</v>
      </c>
      <c r="C12" s="3" t="s">
        <v>643</v>
      </c>
      <c r="D12" s="3" t="s">
        <v>1080</v>
      </c>
      <c r="E12" t="s">
        <v>332</v>
      </c>
      <c r="F12" t="s">
        <v>333</v>
      </c>
      <c r="G12">
        <v>67.8</v>
      </c>
      <c r="H12">
        <v>4.3099999999999999E-2</v>
      </c>
      <c r="I12" t="s">
        <v>1077</v>
      </c>
      <c r="J12">
        <v>6317451900</v>
      </c>
      <c r="K12">
        <v>68.739999999999995</v>
      </c>
      <c r="L12">
        <v>5.76</v>
      </c>
      <c r="M12" t="s">
        <v>278</v>
      </c>
      <c r="N12" t="s">
        <v>625</v>
      </c>
      <c r="O12" t="s">
        <v>1028</v>
      </c>
      <c r="P12" t="s">
        <v>267</v>
      </c>
      <c r="Q12">
        <v>41.62</v>
      </c>
      <c r="R12" t="s">
        <v>292</v>
      </c>
      <c r="S12">
        <v>64791155</v>
      </c>
      <c r="T12" s="4">
        <v>0.94310000000000005</v>
      </c>
      <c r="U12" t="s">
        <v>1029</v>
      </c>
      <c r="V12">
        <v>49225257</v>
      </c>
      <c r="W12">
        <v>93177757</v>
      </c>
      <c r="X12">
        <v>1.35</v>
      </c>
      <c r="Y12">
        <v>0.21</v>
      </c>
      <c r="Z12">
        <v>22.08</v>
      </c>
      <c r="AA12" t="s">
        <v>1030</v>
      </c>
      <c r="AB12" t="s">
        <v>980</v>
      </c>
      <c r="AC12" t="s">
        <v>1031</v>
      </c>
      <c r="AD12" t="s">
        <v>1032</v>
      </c>
      <c r="AE12" t="s">
        <v>1033</v>
      </c>
      <c r="AF12">
        <v>-1931222</v>
      </c>
      <c r="AG12" t="s">
        <v>1034</v>
      </c>
      <c r="AH12">
        <v>4262.41</v>
      </c>
      <c r="AI12" t="s">
        <v>1035</v>
      </c>
      <c r="AJ12" t="s">
        <v>315</v>
      </c>
      <c r="AK12" t="s">
        <v>1036</v>
      </c>
      <c r="AL12" t="s">
        <v>1037</v>
      </c>
      <c r="AM12" t="s">
        <v>1038</v>
      </c>
      <c r="AN12" t="s">
        <v>7</v>
      </c>
      <c r="AO12" t="s">
        <v>1039</v>
      </c>
      <c r="AP12" t="s">
        <v>1040</v>
      </c>
      <c r="AQ12" t="s">
        <v>1041</v>
      </c>
      <c r="AR12" t="s">
        <v>1042</v>
      </c>
      <c r="AS12" t="s">
        <v>7</v>
      </c>
      <c r="AT12" t="s">
        <v>569</v>
      </c>
      <c r="AU12" t="s">
        <v>7</v>
      </c>
      <c r="AV12" t="s">
        <v>1043</v>
      </c>
      <c r="AW12" t="s">
        <v>1044</v>
      </c>
      <c r="AX12" t="s">
        <v>1045</v>
      </c>
      <c r="AY12" t="s">
        <v>370</v>
      </c>
      <c r="AZ12" t="s">
        <v>314</v>
      </c>
      <c r="BA12" t="s">
        <v>373</v>
      </c>
      <c r="BB12" t="s">
        <v>313</v>
      </c>
      <c r="BC12" t="s">
        <v>374</v>
      </c>
      <c r="BD12" t="s">
        <v>371</v>
      </c>
      <c r="BE12" t="s">
        <v>375</v>
      </c>
      <c r="BF12" t="s">
        <v>376</v>
      </c>
      <c r="BG12" t="s">
        <v>377</v>
      </c>
      <c r="BH12" t="s">
        <v>378</v>
      </c>
      <c r="BI12" t="s">
        <v>627</v>
      </c>
      <c r="BJ12" t="s">
        <v>414</v>
      </c>
      <c r="BK12" t="s">
        <v>544</v>
      </c>
      <c r="BL12" t="s">
        <v>1046</v>
      </c>
      <c r="BM12" t="s">
        <v>1047</v>
      </c>
      <c r="BN12" t="s">
        <v>614</v>
      </c>
      <c r="BO12">
        <v>2.42</v>
      </c>
      <c r="BP12">
        <v>10.34</v>
      </c>
      <c r="BQ12">
        <v>6.34</v>
      </c>
      <c r="BR12">
        <v>2.57</v>
      </c>
      <c r="BS12">
        <v>10.97</v>
      </c>
      <c r="BT12">
        <v>6.64</v>
      </c>
      <c r="BU12" t="s">
        <v>651</v>
      </c>
      <c r="BV12" t="s">
        <v>368</v>
      </c>
      <c r="BW12">
        <v>45.44</v>
      </c>
      <c r="BX12">
        <v>43.14</v>
      </c>
      <c r="BY12">
        <v>42.15</v>
      </c>
      <c r="BZ12">
        <v>23.64</v>
      </c>
      <c r="CA12">
        <v>28.72</v>
      </c>
      <c r="CB12">
        <v>17.7</v>
      </c>
      <c r="CC12">
        <v>5.67</v>
      </c>
      <c r="CD12">
        <v>-8.09</v>
      </c>
      <c r="CE12" t="s">
        <v>1078</v>
      </c>
      <c r="CF12" t="s">
        <v>1079</v>
      </c>
      <c r="CG12" s="20">
        <v>0.39393939393939503</v>
      </c>
      <c r="CH12" s="21">
        <v>1.9114518613824509</v>
      </c>
      <c r="CI12" s="20">
        <v>0.24015748500823975</v>
      </c>
      <c r="CJ12" s="20">
        <v>0.28282827138900757</v>
      </c>
      <c r="CK12" s="20">
        <v>0.39436620473861694</v>
      </c>
      <c r="CL12" s="20">
        <v>0.37864077091217041</v>
      </c>
      <c r="CM12" s="20">
        <v>0.38203462958335876</v>
      </c>
      <c r="CN12" s="21">
        <v>-0.17035302519798279</v>
      </c>
      <c r="CO12" s="21">
        <v>1.0681082010269165</v>
      </c>
      <c r="CP12" s="21">
        <v>-0.17022243142127991</v>
      </c>
      <c r="CQ12" s="21">
        <v>2.1306934356689453</v>
      </c>
      <c r="CR12" s="21">
        <v>-6.2886295318603516</v>
      </c>
      <c r="CS12">
        <v>209.92501457939082</v>
      </c>
      <c r="CT12">
        <v>6.2551129790666771</v>
      </c>
      <c r="CU12">
        <v>0</v>
      </c>
      <c r="CV12" s="20">
        <v>0.33560547232627869</v>
      </c>
      <c r="CW12" s="21">
        <v>-0.68608067035675047</v>
      </c>
      <c r="CX12">
        <v>0.06</v>
      </c>
      <c r="CY12">
        <v>73.536792248869403</v>
      </c>
      <c r="CZ12">
        <v>76172100.097092822</v>
      </c>
      <c r="DA12">
        <v>0.33560547232627869</v>
      </c>
      <c r="DB12">
        <v>19.638605649395593</v>
      </c>
      <c r="DC12">
        <v>285226558.34134501</v>
      </c>
      <c r="DD12">
        <v>0.31882519870996473</v>
      </c>
      <c r="DE12">
        <v>7.2245309501553345</v>
      </c>
      <c r="DF12">
        <v>775337795.4425627</v>
      </c>
      <c r="DG12">
        <v>0.29533281564712527</v>
      </c>
      <c r="DH12">
        <v>3.031981503157247</v>
      </c>
      <c r="DI12">
        <v>1847455828.5290084</v>
      </c>
      <c r="DJ12">
        <v>0.26848437786102297</v>
      </c>
      <c r="DK12">
        <v>0.64918256953848297</v>
      </c>
      <c r="DL12">
        <v>8628469344.1202297</v>
      </c>
      <c r="DM12">
        <v>0.23492383062839506</v>
      </c>
      <c r="DN12">
        <v>60453800</v>
      </c>
      <c r="DO12">
        <v>0.33560547232627869</v>
      </c>
      <c r="DP12">
        <v>5601451900</v>
      </c>
      <c r="DQ12">
        <v>736592680</v>
      </c>
      <c r="DR12">
        <v>4808</v>
      </c>
      <c r="DS12">
        <v>5.8333921613116346E-2</v>
      </c>
      <c r="DT12">
        <v>2.5975325317392013</v>
      </c>
      <c r="DU12" s="22">
        <v>0.22666666666666657</v>
      </c>
      <c r="DV12">
        <v>0.43333333333333329</v>
      </c>
      <c r="DW12">
        <v>0.65999999999999992</v>
      </c>
      <c r="DX12">
        <v>6.4120639534883725</v>
      </c>
      <c r="DY12">
        <v>0.50937127565804419</v>
      </c>
      <c r="DZ12">
        <v>6.0986362741992082</v>
      </c>
      <c r="EA12">
        <v>760</v>
      </c>
      <c r="EB12">
        <v>6.0839691702290661</v>
      </c>
      <c r="EC12">
        <v>6</v>
      </c>
      <c r="ED12">
        <v>4.8672560340768882E-2</v>
      </c>
      <c r="EE12">
        <v>0.20333500837544308</v>
      </c>
      <c r="EF12" s="19">
        <v>-1.0679000000000001</v>
      </c>
      <c r="EG12">
        <v>-1.0683309999999999</v>
      </c>
      <c r="EH12">
        <v>27.239371275658044</v>
      </c>
      <c r="EI12" t="s">
        <v>1074</v>
      </c>
      <c r="EJ12">
        <v>0</v>
      </c>
      <c r="EK12">
        <v>1</v>
      </c>
      <c r="EL12" s="27">
        <v>45330</v>
      </c>
      <c r="EM12" s="28">
        <v>-4.9400000000000004</v>
      </c>
      <c r="EN12" s="28">
        <v>-5.89</v>
      </c>
      <c r="EO12">
        <v>7.04</v>
      </c>
      <c r="EP12">
        <v>5.79</v>
      </c>
      <c r="EQ12">
        <v>4.3099999999999999E-2</v>
      </c>
    </row>
    <row r="13" spans="1:147" ht="84" x14ac:dyDescent="0.25">
      <c r="B13" s="3"/>
      <c r="C13" s="3"/>
      <c r="D13" s="3" t="s">
        <v>1321</v>
      </c>
      <c r="E13" t="s">
        <v>479</v>
      </c>
      <c r="F13" t="s">
        <v>480</v>
      </c>
      <c r="G13">
        <v>19.149999999999999</v>
      </c>
      <c r="H13">
        <v>7.1599999999999997E-2</v>
      </c>
      <c r="I13" t="s">
        <v>1300</v>
      </c>
      <c r="J13">
        <v>2527800000</v>
      </c>
      <c r="K13">
        <v>16.79</v>
      </c>
      <c r="L13">
        <v>1.62</v>
      </c>
      <c r="M13" t="s">
        <v>278</v>
      </c>
      <c r="N13" t="s">
        <v>1243</v>
      </c>
      <c r="O13" t="s">
        <v>1301</v>
      </c>
      <c r="P13" t="s">
        <v>1302</v>
      </c>
      <c r="Q13">
        <v>-3.8</v>
      </c>
      <c r="R13" t="s">
        <v>1303</v>
      </c>
      <c r="S13">
        <v>115202118</v>
      </c>
      <c r="T13" s="4">
        <v>-0.23280000000000001</v>
      </c>
      <c r="U13" t="s">
        <v>1304</v>
      </c>
      <c r="V13">
        <v>132000000</v>
      </c>
      <c r="W13">
        <v>132000000</v>
      </c>
      <c r="X13">
        <v>1.28</v>
      </c>
      <c r="Y13">
        <v>0.42</v>
      </c>
      <c r="Z13">
        <v>13.5</v>
      </c>
      <c r="AA13" t="s">
        <v>312</v>
      </c>
      <c r="AB13" t="s">
        <v>1305</v>
      </c>
      <c r="AC13" t="s">
        <v>1306</v>
      </c>
      <c r="AD13" t="s">
        <v>1307</v>
      </c>
      <c r="AE13" t="s">
        <v>1308</v>
      </c>
      <c r="AF13">
        <v>-10495920</v>
      </c>
      <c r="AG13" t="s">
        <v>1309</v>
      </c>
      <c r="AH13">
        <v>76.64</v>
      </c>
      <c r="AI13" t="s">
        <v>1310</v>
      </c>
      <c r="AJ13" t="s">
        <v>655</v>
      </c>
      <c r="AK13" t="s">
        <v>1311</v>
      </c>
      <c r="AL13" t="s">
        <v>1312</v>
      </c>
      <c r="AM13" t="s">
        <v>1313</v>
      </c>
      <c r="AN13" t="s">
        <v>7</v>
      </c>
      <c r="AO13" t="s">
        <v>1314</v>
      </c>
      <c r="AP13" t="s">
        <v>7</v>
      </c>
      <c r="AQ13" t="s">
        <v>7</v>
      </c>
      <c r="AR13" t="s">
        <v>939</v>
      </c>
      <c r="AS13" t="s">
        <v>7</v>
      </c>
      <c r="AT13" t="s">
        <v>538</v>
      </c>
      <c r="AU13" t="s">
        <v>7</v>
      </c>
      <c r="AV13" t="s">
        <v>179</v>
      </c>
      <c r="AW13" t="s">
        <v>610</v>
      </c>
      <c r="AX13" t="s">
        <v>1315</v>
      </c>
      <c r="AY13" t="s">
        <v>407</v>
      </c>
      <c r="AZ13" t="s">
        <v>427</v>
      </c>
      <c r="BA13" t="s">
        <v>554</v>
      </c>
      <c r="BB13" t="s">
        <v>298</v>
      </c>
      <c r="BC13" t="s">
        <v>555</v>
      </c>
      <c r="BD13" t="s">
        <v>512</v>
      </c>
      <c r="BE13" t="s">
        <v>339</v>
      </c>
      <c r="BF13" t="s">
        <v>556</v>
      </c>
      <c r="BG13" t="s">
        <v>557</v>
      </c>
      <c r="BH13" t="s">
        <v>558</v>
      </c>
      <c r="BI13" t="s">
        <v>303</v>
      </c>
      <c r="BJ13" t="s">
        <v>1316</v>
      </c>
      <c r="BK13" t="s">
        <v>645</v>
      </c>
      <c r="BL13" t="s">
        <v>1317</v>
      </c>
      <c r="BM13" t="s">
        <v>239</v>
      </c>
      <c r="BN13" t="s">
        <v>646</v>
      </c>
      <c r="BO13">
        <v>2.34</v>
      </c>
      <c r="BP13">
        <v>15.08</v>
      </c>
      <c r="BQ13">
        <v>13.37</v>
      </c>
      <c r="BR13">
        <v>2.38</v>
      </c>
      <c r="BS13">
        <v>15.31</v>
      </c>
      <c r="BT13">
        <v>13.18</v>
      </c>
      <c r="BU13" t="s">
        <v>1318</v>
      </c>
      <c r="BV13" t="s">
        <v>368</v>
      </c>
      <c r="BW13">
        <v>25.59</v>
      </c>
      <c r="BX13">
        <v>30.15</v>
      </c>
      <c r="BY13">
        <v>32.6</v>
      </c>
      <c r="BZ13">
        <v>14.61</v>
      </c>
      <c r="CA13">
        <v>17.73</v>
      </c>
      <c r="CB13">
        <v>16.57</v>
      </c>
      <c r="CC13">
        <v>-3.38</v>
      </c>
      <c r="CD13">
        <v>-29.39</v>
      </c>
      <c r="CE13" t="s">
        <v>1319</v>
      </c>
      <c r="CF13" t="s">
        <v>1320</v>
      </c>
      <c r="CG13" s="20">
        <v>-0.11182108626198045</v>
      </c>
      <c r="CH13" s="21">
        <v>-0.39657600400252474</v>
      </c>
      <c r="CI13" s="20">
        <v>2.2867308929562569E-2</v>
      </c>
      <c r="CJ13" s="20">
        <v>0.54483687877655029</v>
      </c>
      <c r="CK13" s="20">
        <v>0.10676691681146622</v>
      </c>
      <c r="CL13" s="20">
        <v>-0.10618279874324799</v>
      </c>
      <c r="CM13" s="20">
        <v>0.26962456107139587</v>
      </c>
      <c r="CN13" s="21">
        <v>-7.5000002980232239E-2</v>
      </c>
      <c r="CO13" s="21">
        <v>0.66666668653488159</v>
      </c>
      <c r="CP13" s="21">
        <v>0.4236598014831543</v>
      </c>
      <c r="CQ13" s="21">
        <v>-0.11770949512720108</v>
      </c>
      <c r="CR13" s="21">
        <v>2.6323325932025909E-2</v>
      </c>
      <c r="CS13">
        <v>19.496859469200739</v>
      </c>
      <c r="CT13">
        <v>1.1634180736832163</v>
      </c>
      <c r="CU13">
        <v>2.6109660574412534</v>
      </c>
      <c r="CV13" s="20">
        <v>0.16758257336914539</v>
      </c>
      <c r="CW13" s="21">
        <v>0.1847880631685257</v>
      </c>
      <c r="CX13">
        <v>0.06</v>
      </c>
      <c r="CY13">
        <v>6.7956904382651606</v>
      </c>
      <c r="CZ13">
        <v>203776203.84272817</v>
      </c>
      <c r="DA13">
        <v>0.16758257336914539</v>
      </c>
      <c r="DB13">
        <v>2.0807915418351199</v>
      </c>
      <c r="DC13">
        <v>665515969.35976505</v>
      </c>
      <c r="DD13">
        <v>0.15920344470068812</v>
      </c>
      <c r="DE13">
        <v>0.93661691369675681</v>
      </c>
      <c r="DF13">
        <v>1478512697.9335639</v>
      </c>
      <c r="DG13">
        <v>0.14747266456484795</v>
      </c>
      <c r="DH13">
        <v>0.50669384208108892</v>
      </c>
      <c r="DI13">
        <v>2733011307.7995195</v>
      </c>
      <c r="DJ13">
        <v>0.13406605869531632</v>
      </c>
      <c r="DK13">
        <v>0.20570632359788207</v>
      </c>
      <c r="DL13">
        <v>6731927224.1092043</v>
      </c>
      <c r="DM13">
        <v>0.11730780135840177</v>
      </c>
      <c r="DN13">
        <v>185000000</v>
      </c>
      <c r="DO13">
        <v>0.16758257336914539</v>
      </c>
      <c r="DP13">
        <v>1384800000</v>
      </c>
      <c r="DQ13">
        <v>1156186700</v>
      </c>
      <c r="DR13">
        <v>4973</v>
      </c>
      <c r="DS13">
        <v>-0.27940365963112584</v>
      </c>
      <c r="DT13">
        <v>-0.58136406717105049</v>
      </c>
      <c r="DU13" s="22">
        <v>-0.19000000000000003</v>
      </c>
      <c r="DV13">
        <v>0.21333333333333335</v>
      </c>
      <c r="DW13">
        <v>2.3333333333333317E-2</v>
      </c>
      <c r="DX13">
        <v>-8.1150051037767952</v>
      </c>
      <c r="DY13">
        <v>0.63374402741621716</v>
      </c>
      <c r="DZ13">
        <v>-8.0337820623568152</v>
      </c>
      <c r="EA13">
        <v>2234</v>
      </c>
      <c r="EB13">
        <v>-8.0190160425358172</v>
      </c>
      <c r="EC13">
        <v>8</v>
      </c>
      <c r="ED13">
        <v>5.4025757575757574E-2</v>
      </c>
      <c r="EE13">
        <v>0.18392121212121215</v>
      </c>
      <c r="EF13" s="19">
        <v>-1.0451999999999999</v>
      </c>
      <c r="EG13">
        <v>-1.0459160000000001</v>
      </c>
      <c r="EH13">
        <v>34.293744027416217</v>
      </c>
      <c r="EI13" t="s">
        <v>1074</v>
      </c>
      <c r="EJ13">
        <v>0</v>
      </c>
      <c r="EK13">
        <v>0</v>
      </c>
      <c r="EL13" s="27">
        <v>45330</v>
      </c>
      <c r="EM13" s="28">
        <v>-5.45</v>
      </c>
      <c r="EN13" s="28">
        <v>-10.35</v>
      </c>
      <c r="EO13">
        <v>5.77</v>
      </c>
      <c r="EP13">
        <v>0.56000000000000005</v>
      </c>
      <c r="EQ13">
        <v>7.1599999999999997E-2</v>
      </c>
    </row>
    <row r="14" spans="1:147" ht="84" x14ac:dyDescent="0.25">
      <c r="B14" s="3"/>
      <c r="C14" s="3"/>
      <c r="D14" s="3" t="s">
        <v>1350</v>
      </c>
      <c r="E14" t="s">
        <v>481</v>
      </c>
      <c r="F14" t="s">
        <v>482</v>
      </c>
      <c r="G14">
        <v>52.06</v>
      </c>
      <c r="H14">
        <v>0.1293</v>
      </c>
      <c r="I14" t="s">
        <v>1322</v>
      </c>
      <c r="J14">
        <v>2821996400</v>
      </c>
      <c r="K14">
        <v>95.18</v>
      </c>
      <c r="L14">
        <v>3.22</v>
      </c>
      <c r="M14" t="s">
        <v>278</v>
      </c>
      <c r="N14" t="s">
        <v>1323</v>
      </c>
      <c r="O14" t="s">
        <v>634</v>
      </c>
      <c r="P14" t="s">
        <v>1324</v>
      </c>
      <c r="Q14">
        <v>3.62</v>
      </c>
      <c r="R14" t="s">
        <v>1325</v>
      </c>
      <c r="S14">
        <v>23899572</v>
      </c>
      <c r="T14" s="4">
        <v>-0.55689999999999995</v>
      </c>
      <c r="U14" t="s">
        <v>1326</v>
      </c>
      <c r="V14">
        <v>32401639</v>
      </c>
      <c r="W14">
        <v>54089320</v>
      </c>
      <c r="X14">
        <v>1.54</v>
      </c>
      <c r="Y14">
        <v>0.34</v>
      </c>
      <c r="Z14">
        <v>4.82</v>
      </c>
      <c r="AA14" t="s">
        <v>660</v>
      </c>
      <c r="AB14" t="s">
        <v>626</v>
      </c>
      <c r="AC14" t="s">
        <v>1327</v>
      </c>
      <c r="AD14" t="s">
        <v>1328</v>
      </c>
      <c r="AE14" t="s">
        <v>1329</v>
      </c>
      <c r="AF14">
        <v>2191857</v>
      </c>
      <c r="AG14" t="s">
        <v>1330</v>
      </c>
      <c r="AH14" t="s">
        <v>1331</v>
      </c>
      <c r="AI14" t="s">
        <v>1332</v>
      </c>
      <c r="AJ14" t="s">
        <v>1333</v>
      </c>
      <c r="AK14" t="s">
        <v>1334</v>
      </c>
      <c r="AL14" t="s">
        <v>1335</v>
      </c>
      <c r="AM14" t="s">
        <v>1336</v>
      </c>
      <c r="AN14" t="s">
        <v>7</v>
      </c>
      <c r="AO14" t="s">
        <v>1337</v>
      </c>
      <c r="AP14" t="s">
        <v>1338</v>
      </c>
      <c r="AQ14" t="s">
        <v>1339</v>
      </c>
      <c r="AR14" t="s">
        <v>799</v>
      </c>
      <c r="AS14" t="s">
        <v>7</v>
      </c>
      <c r="AT14" t="s">
        <v>1340</v>
      </c>
      <c r="AU14" t="s">
        <v>7</v>
      </c>
      <c r="AV14" t="s">
        <v>1341</v>
      </c>
      <c r="AW14" t="s">
        <v>1342</v>
      </c>
      <c r="AX14" t="s">
        <v>1343</v>
      </c>
      <c r="AY14" t="s">
        <v>560</v>
      </c>
      <c r="AZ14" t="s">
        <v>270</v>
      </c>
      <c r="BA14" t="s">
        <v>562</v>
      </c>
      <c r="BB14" t="s">
        <v>563</v>
      </c>
      <c r="BC14" t="s">
        <v>564</v>
      </c>
      <c r="BD14" t="s">
        <v>561</v>
      </c>
      <c r="BE14" t="s">
        <v>565</v>
      </c>
      <c r="BF14" t="s">
        <v>566</v>
      </c>
      <c r="BG14" t="s">
        <v>567</v>
      </c>
      <c r="BH14" t="s">
        <v>568</v>
      </c>
      <c r="BI14" t="s">
        <v>1344</v>
      </c>
      <c r="BJ14" t="s">
        <v>268</v>
      </c>
      <c r="BK14" t="s">
        <v>183</v>
      </c>
      <c r="BL14" t="s">
        <v>1345</v>
      </c>
      <c r="BM14" t="s">
        <v>1346</v>
      </c>
      <c r="BN14" t="s">
        <v>648</v>
      </c>
      <c r="BO14">
        <v>1</v>
      </c>
      <c r="BP14">
        <v>9.1</v>
      </c>
      <c r="BQ14">
        <v>9.27</v>
      </c>
      <c r="BR14">
        <v>1.08</v>
      </c>
      <c r="BS14">
        <v>9.2799999999999994</v>
      </c>
      <c r="BT14">
        <v>11.76</v>
      </c>
      <c r="BU14" t="s">
        <v>1347</v>
      </c>
      <c r="BV14" t="s">
        <v>368</v>
      </c>
      <c r="BW14">
        <v>27.95</v>
      </c>
      <c r="BX14">
        <v>34.43</v>
      </c>
      <c r="BY14">
        <v>35.21</v>
      </c>
      <c r="BZ14">
        <v>5.8</v>
      </c>
      <c r="CA14">
        <v>13.5</v>
      </c>
      <c r="CB14">
        <v>12.97</v>
      </c>
      <c r="CC14">
        <v>-10.23</v>
      </c>
      <c r="CD14">
        <v>-45.88</v>
      </c>
      <c r="CE14" t="s">
        <v>1348</v>
      </c>
      <c r="CF14" t="s">
        <v>1349</v>
      </c>
      <c r="CG14" s="20">
        <v>-5.4216867469879158E-2</v>
      </c>
      <c r="CH14" s="21">
        <v>-0.75694133017201748</v>
      </c>
      <c r="CI14" s="20">
        <v>0.1663585901260376</v>
      </c>
      <c r="CJ14" s="20">
        <v>0.31630170345306396</v>
      </c>
      <c r="CK14" s="20">
        <v>6.7532464861869812E-2</v>
      </c>
      <c r="CL14" s="20">
        <v>-9.8360657691955566E-2</v>
      </c>
      <c r="CM14" s="20">
        <v>0.28228229284286499</v>
      </c>
      <c r="CN14" s="21">
        <v>-0.18253672122955322</v>
      </c>
      <c r="CO14" s="21">
        <v>0.37141194939613342</v>
      </c>
      <c r="CP14" s="21">
        <v>0.16747371852397919</v>
      </c>
      <c r="CQ14" s="21">
        <v>-0.20922400057315826</v>
      </c>
      <c r="CR14" s="21">
        <v>0.57425069808959961</v>
      </c>
      <c r="CS14">
        <v>51.968697199082534</v>
      </c>
      <c r="CT14">
        <v>3.5395503516018585</v>
      </c>
      <c r="CU14">
        <v>0.57625816365731841</v>
      </c>
      <c r="CV14" s="20">
        <v>0.14682287871837615</v>
      </c>
      <c r="CW14" s="21">
        <v>0.14427512884140015</v>
      </c>
      <c r="CX14">
        <v>0.06</v>
      </c>
      <c r="CY14">
        <v>37.479452598424295</v>
      </c>
      <c r="CZ14">
        <v>64568616.461109713</v>
      </c>
      <c r="DA14">
        <v>0.14682287871837615</v>
      </c>
      <c r="DB14">
        <v>11.67623875266724</v>
      </c>
      <c r="DC14">
        <v>207258214.84655687</v>
      </c>
      <c r="DD14">
        <v>0.13948173478245735</v>
      </c>
      <c r="DE14">
        <v>5.3847957757921847</v>
      </c>
      <c r="DF14">
        <v>449412846.97913766</v>
      </c>
      <c r="DG14">
        <v>0.12920413327217101</v>
      </c>
      <c r="DH14">
        <v>2.9985640253304888</v>
      </c>
      <c r="DI14">
        <v>807051768.63224673</v>
      </c>
      <c r="DJ14">
        <v>0.11745830297470093</v>
      </c>
      <c r="DK14">
        <v>1.3040870522999812</v>
      </c>
      <c r="DL14">
        <v>1855701577.38467</v>
      </c>
      <c r="DM14">
        <v>0.1027760151028633</v>
      </c>
      <c r="DN14">
        <v>59680300</v>
      </c>
      <c r="DO14">
        <v>0.14682287871837615</v>
      </c>
      <c r="DP14">
        <v>2419996400</v>
      </c>
      <c r="DQ14">
        <v>301050480</v>
      </c>
      <c r="DR14">
        <v>4989</v>
      </c>
      <c r="DS14">
        <v>-0.20103974618825532</v>
      </c>
      <c r="DT14">
        <v>-0.90121645901341763</v>
      </c>
      <c r="DU14" s="22">
        <v>-2.3333333333333355E-2</v>
      </c>
      <c r="DV14">
        <v>-0.12</v>
      </c>
      <c r="DW14">
        <v>-0.14333333333333334</v>
      </c>
      <c r="DX14">
        <v>-9.2229729729729737</v>
      </c>
      <c r="DY14">
        <v>0.6771454791344641</v>
      </c>
      <c r="DZ14">
        <v>-9.0662554108880897</v>
      </c>
      <c r="EA14">
        <v>2600</v>
      </c>
      <c r="EB14">
        <v>-9.0325508387282323</v>
      </c>
      <c r="EC14">
        <v>9</v>
      </c>
      <c r="ED14">
        <v>0.11373964398147361</v>
      </c>
      <c r="EE14">
        <v>0.38277427041049877</v>
      </c>
      <c r="EF14" s="19">
        <v>0.11890999999999999</v>
      </c>
      <c r="EG14">
        <v>0.117617</v>
      </c>
      <c r="EH14">
        <v>38.297145479134464</v>
      </c>
      <c r="EI14">
        <v>-1</v>
      </c>
      <c r="EJ14">
        <v>0</v>
      </c>
      <c r="EK14">
        <v>0</v>
      </c>
      <c r="EL14" s="27">
        <v>45330</v>
      </c>
      <c r="EM14" s="28">
        <v>-5.85</v>
      </c>
      <c r="EN14" s="28">
        <v>-12.27</v>
      </c>
      <c r="EO14">
        <v>7.77</v>
      </c>
      <c r="EP14">
        <v>-10.69</v>
      </c>
      <c r="EQ14">
        <v>0.1293</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mc:AlternateContent xmlns:mc="http://schemas.openxmlformats.org/markup-compatibility/2006">
          <mc:Choice Requires="x14">
            <control shapeId="29698" r:id="rId5" name="Button 2">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Q6"/>
  <sheetViews>
    <sheetView workbookViewId="0">
      <selection activeCell="D6" sqref="D6"/>
    </sheetView>
  </sheetViews>
  <sheetFormatPr defaultRowHeight="14" x14ac:dyDescent="0.25"/>
  <cols>
    <col min="1" max="1" width="20.54296875" customWidth="1"/>
    <col min="2" max="2" width="38.81640625" customWidth="1"/>
    <col min="3" max="3" width="42.1796875" customWidth="1"/>
    <col min="4" max="4" width="52.54296875" customWidth="1"/>
    <col min="10" max="10" width="10.54296875" customWidth="1"/>
  </cols>
  <sheetData>
    <row r="1" spans="1:147" x14ac:dyDescent="0.25">
      <c r="A1" s="16" t="s">
        <v>63</v>
      </c>
      <c r="B1" s="17" t="s">
        <v>8</v>
      </c>
      <c r="C1" s="18" t="s">
        <v>9</v>
      </c>
      <c r="D1" s="17" t="s">
        <v>112</v>
      </c>
      <c r="E1" t="s">
        <v>2</v>
      </c>
      <c r="F1" t="s">
        <v>3</v>
      </c>
      <c r="G1" t="s">
        <v>0</v>
      </c>
      <c r="H1" t="s">
        <v>133</v>
      </c>
      <c r="I1" t="s">
        <v>151</v>
      </c>
      <c r="J1" t="s">
        <v>4</v>
      </c>
      <c r="K1" t="s">
        <v>5</v>
      </c>
      <c r="L1" t="s">
        <v>1</v>
      </c>
      <c r="M1" t="s">
        <v>6</v>
      </c>
      <c r="N1" t="s">
        <v>10</v>
      </c>
      <c r="O1" t="s">
        <v>11</v>
      </c>
      <c r="P1" t="s">
        <v>12</v>
      </c>
      <c r="Q1" t="s">
        <v>13</v>
      </c>
      <c r="R1" t="s">
        <v>14</v>
      </c>
      <c r="S1" t="s">
        <v>15</v>
      </c>
      <c r="T1" t="s">
        <v>16</v>
      </c>
      <c r="U1" t="s">
        <v>17</v>
      </c>
      <c r="V1" t="s">
        <v>18</v>
      </c>
      <c r="W1" t="s">
        <v>19</v>
      </c>
      <c r="X1" t="s">
        <v>20</v>
      </c>
      <c r="Y1" t="s">
        <v>21</v>
      </c>
      <c r="Z1" t="s">
        <v>22</v>
      </c>
      <c r="AA1" t="s">
        <v>23</v>
      </c>
      <c r="AB1" t="s">
        <v>24</v>
      </c>
      <c r="AC1" t="s">
        <v>134</v>
      </c>
      <c r="AD1" t="s">
        <v>25</v>
      </c>
      <c r="AE1" t="s">
        <v>26</v>
      </c>
      <c r="AF1" t="s">
        <v>27</v>
      </c>
      <c r="AG1" t="s">
        <v>28</v>
      </c>
      <c r="AH1" t="s">
        <v>135</v>
      </c>
      <c r="AI1" t="s">
        <v>152</v>
      </c>
      <c r="AJ1" t="s">
        <v>136</v>
      </c>
      <c r="AK1" t="s">
        <v>29</v>
      </c>
      <c r="AL1" t="s">
        <v>137</v>
      </c>
      <c r="AM1" t="s">
        <v>64</v>
      </c>
      <c r="AN1" t="s">
        <v>138</v>
      </c>
      <c r="AO1" t="s">
        <v>139</v>
      </c>
      <c r="AP1" t="s">
        <v>140</v>
      </c>
      <c r="AQ1" t="s">
        <v>141</v>
      </c>
      <c r="AR1" t="s">
        <v>142</v>
      </c>
      <c r="AS1" t="s">
        <v>143</v>
      </c>
      <c r="AT1" t="s">
        <v>144</v>
      </c>
      <c r="AU1" t="s">
        <v>145</v>
      </c>
      <c r="AV1" t="s">
        <v>146</v>
      </c>
      <c r="AW1" t="s">
        <v>147</v>
      </c>
      <c r="AX1" t="s">
        <v>148</v>
      </c>
      <c r="AY1" t="s">
        <v>65</v>
      </c>
      <c r="AZ1" t="s">
        <v>66</v>
      </c>
      <c r="BA1" t="s">
        <v>67</v>
      </c>
      <c r="BB1" t="s">
        <v>68</v>
      </c>
      <c r="BC1" t="s">
        <v>69</v>
      </c>
      <c r="BD1" t="s">
        <v>70</v>
      </c>
      <c r="BE1" t="s">
        <v>71</v>
      </c>
      <c r="BF1" t="s">
        <v>72</v>
      </c>
      <c r="BG1" t="s">
        <v>73</v>
      </c>
      <c r="BH1" t="s">
        <v>74</v>
      </c>
      <c r="BI1" t="s">
        <v>127</v>
      </c>
      <c r="BJ1" t="s">
        <v>128</v>
      </c>
      <c r="BK1" t="s">
        <v>129</v>
      </c>
      <c r="BL1" t="s">
        <v>130</v>
      </c>
      <c r="BM1" t="s">
        <v>131</v>
      </c>
      <c r="BN1" t="s">
        <v>132</v>
      </c>
      <c r="BO1" t="s">
        <v>149</v>
      </c>
      <c r="BP1" t="s">
        <v>75</v>
      </c>
      <c r="BQ1" t="s">
        <v>76</v>
      </c>
      <c r="BR1" t="s">
        <v>77</v>
      </c>
      <c r="BS1" t="s">
        <v>150</v>
      </c>
      <c r="BT1" t="s">
        <v>78</v>
      </c>
      <c r="BU1" t="s">
        <v>79</v>
      </c>
      <c r="BV1" t="s">
        <v>80</v>
      </c>
      <c r="BW1" t="s">
        <v>81</v>
      </c>
      <c r="BX1" t="s">
        <v>81</v>
      </c>
      <c r="BY1" t="s">
        <v>82</v>
      </c>
      <c r="BZ1" t="s">
        <v>83</v>
      </c>
      <c r="CA1" t="s">
        <v>83</v>
      </c>
      <c r="CB1" t="s">
        <v>84</v>
      </c>
      <c r="CC1" t="s">
        <v>153</v>
      </c>
      <c r="CD1" t="s">
        <v>154</v>
      </c>
      <c r="CE1" t="s">
        <v>155</v>
      </c>
      <c r="CF1" t="s">
        <v>156</v>
      </c>
      <c r="CG1" s="1" t="s">
        <v>85</v>
      </c>
      <c r="CH1" s="1" t="s">
        <v>86</v>
      </c>
      <c r="CI1" s="1" t="s">
        <v>87</v>
      </c>
      <c r="CJ1" s="1" t="s">
        <v>88</v>
      </c>
      <c r="CK1" s="1" t="s">
        <v>89</v>
      </c>
      <c r="CL1" s="1" t="s">
        <v>90</v>
      </c>
      <c r="CM1" s="1" t="s">
        <v>91</v>
      </c>
      <c r="CN1" s="1" t="s">
        <v>92</v>
      </c>
      <c r="CO1" s="1" t="s">
        <v>93</v>
      </c>
      <c r="CP1" s="1" t="s">
        <v>94</v>
      </c>
      <c r="CQ1" s="1" t="s">
        <v>95</v>
      </c>
      <c r="CR1" s="1" t="s">
        <v>96</v>
      </c>
      <c r="CS1" s="1" t="s">
        <v>113</v>
      </c>
      <c r="CT1" s="1" t="s">
        <v>97</v>
      </c>
      <c r="CU1" s="1" t="s">
        <v>98</v>
      </c>
      <c r="CV1" s="1" t="s">
        <v>51</v>
      </c>
      <c r="CW1">
        <v>1</v>
      </c>
      <c r="CX1" t="s">
        <v>99</v>
      </c>
      <c r="CY1" t="s">
        <v>114</v>
      </c>
      <c r="CZ1">
        <v>3</v>
      </c>
      <c r="DA1" t="s">
        <v>115</v>
      </c>
      <c r="DB1" t="s">
        <v>116</v>
      </c>
      <c r="DC1">
        <v>6</v>
      </c>
      <c r="DD1" t="s">
        <v>100</v>
      </c>
      <c r="DE1" t="s">
        <v>101</v>
      </c>
      <c r="DF1">
        <v>10</v>
      </c>
      <c r="DG1" t="s">
        <v>102</v>
      </c>
      <c r="DH1" t="s">
        <v>103</v>
      </c>
      <c r="DI1">
        <v>20</v>
      </c>
      <c r="DJ1" t="s">
        <v>117</v>
      </c>
      <c r="DK1" t="s">
        <v>104</v>
      </c>
      <c r="DL1" t="s">
        <v>105</v>
      </c>
      <c r="DM1" s="2" t="s">
        <v>106</v>
      </c>
      <c r="DN1" t="s">
        <v>118</v>
      </c>
      <c r="DO1" t="s">
        <v>107</v>
      </c>
      <c r="DP1" s="1" t="s">
        <v>119</v>
      </c>
      <c r="DQ1" s="1" t="s">
        <v>120</v>
      </c>
      <c r="DR1" s="1" t="s">
        <v>121</v>
      </c>
      <c r="DS1" t="s">
        <v>122</v>
      </c>
      <c r="DT1" t="s">
        <v>108</v>
      </c>
      <c r="DU1" t="s">
        <v>109</v>
      </c>
      <c r="DV1" t="s">
        <v>123</v>
      </c>
      <c r="DW1" t="s">
        <v>124</v>
      </c>
      <c r="DX1" t="s">
        <v>125</v>
      </c>
      <c r="DY1" t="s">
        <v>126</v>
      </c>
      <c r="DZ1" t="s">
        <v>110</v>
      </c>
      <c r="EA1" t="s">
        <v>111</v>
      </c>
    </row>
    <row r="2" spans="1:147" ht="53.5" customHeight="1" x14ac:dyDescent="0.25">
      <c r="A2" s="26" t="s">
        <v>318</v>
      </c>
      <c r="B2" s="24"/>
      <c r="C2" s="25">
        <v>3</v>
      </c>
      <c r="D2" s="25">
        <v>6</v>
      </c>
      <c r="T2" s="4"/>
      <c r="CG2" s="1"/>
      <c r="CH2" s="1"/>
      <c r="CI2" s="1"/>
      <c r="CJ2" s="1"/>
      <c r="CK2" s="1"/>
      <c r="CL2" s="1"/>
      <c r="CM2" s="1"/>
      <c r="CN2" s="1"/>
      <c r="CO2" s="1"/>
      <c r="CP2" s="1"/>
      <c r="CQ2" s="1"/>
      <c r="CR2" s="1"/>
      <c r="CS2" s="1"/>
      <c r="CT2" s="1"/>
      <c r="CU2" s="1"/>
      <c r="CV2" s="1"/>
      <c r="DM2" s="2"/>
      <c r="DP2" s="1"/>
      <c r="DQ2" s="1"/>
      <c r="DR2" s="1"/>
    </row>
    <row r="3" spans="1:147" ht="84" x14ac:dyDescent="0.25">
      <c r="B3" s="3"/>
      <c r="C3" s="3"/>
      <c r="D3" s="3" t="s">
        <v>1374</v>
      </c>
      <c r="E3" t="s">
        <v>415</v>
      </c>
      <c r="F3" t="s">
        <v>416</v>
      </c>
      <c r="G3">
        <v>7.48</v>
      </c>
      <c r="H3">
        <v>0.1</v>
      </c>
      <c r="I3" t="s">
        <v>1351</v>
      </c>
      <c r="J3">
        <v>4112242400</v>
      </c>
      <c r="K3">
        <v>2204</v>
      </c>
      <c r="L3">
        <v>2.37</v>
      </c>
      <c r="M3" t="s">
        <v>278</v>
      </c>
      <c r="N3" t="s">
        <v>1352</v>
      </c>
      <c r="O3" t="s">
        <v>1353</v>
      </c>
      <c r="P3" t="s">
        <v>1354</v>
      </c>
      <c r="Q3">
        <v>-0.21</v>
      </c>
      <c r="R3" t="s">
        <v>1355</v>
      </c>
      <c r="S3">
        <v>100574972</v>
      </c>
      <c r="T3" s="4">
        <v>-5.2999999999999999E-2</v>
      </c>
      <c r="U3" t="s">
        <v>1356</v>
      </c>
      <c r="V3">
        <v>480409640</v>
      </c>
      <c r="W3">
        <v>555128020</v>
      </c>
      <c r="X3">
        <v>2.46</v>
      </c>
      <c r="Y3">
        <v>0.35</v>
      </c>
      <c r="Z3">
        <v>5.59</v>
      </c>
      <c r="AA3" t="s">
        <v>654</v>
      </c>
      <c r="AB3" t="s">
        <v>1357</v>
      </c>
      <c r="AC3" t="s">
        <v>339</v>
      </c>
      <c r="AD3" t="s">
        <v>1358</v>
      </c>
      <c r="AE3" t="s">
        <v>1359</v>
      </c>
      <c r="AF3">
        <v>-4877369</v>
      </c>
      <c r="AG3" t="s">
        <v>1360</v>
      </c>
      <c r="AH3" t="s">
        <v>1361</v>
      </c>
      <c r="AI3" t="s">
        <v>1362</v>
      </c>
      <c r="AJ3" t="s">
        <v>1363</v>
      </c>
      <c r="AK3" t="s">
        <v>1364</v>
      </c>
      <c r="AL3" t="s">
        <v>628</v>
      </c>
      <c r="AM3" t="s">
        <v>1365</v>
      </c>
      <c r="AN3" t="s">
        <v>7</v>
      </c>
      <c r="AO3" t="s">
        <v>1366</v>
      </c>
      <c r="AP3" t="s">
        <v>1367</v>
      </c>
      <c r="AQ3" t="s">
        <v>616</v>
      </c>
      <c r="AR3" t="s">
        <v>541</v>
      </c>
      <c r="AS3" t="s">
        <v>7</v>
      </c>
      <c r="AT3" t="s">
        <v>1368</v>
      </c>
      <c r="AU3" t="s">
        <v>239</v>
      </c>
      <c r="AV3" t="s">
        <v>230</v>
      </c>
      <c r="AW3" t="s">
        <v>1369</v>
      </c>
      <c r="AX3" t="s">
        <v>1370</v>
      </c>
      <c r="AY3" t="s">
        <v>424</v>
      </c>
      <c r="AZ3" t="s">
        <v>428</v>
      </c>
      <c r="BA3" t="s">
        <v>429</v>
      </c>
      <c r="BB3" t="s">
        <v>430</v>
      </c>
      <c r="BC3" t="s">
        <v>431</v>
      </c>
      <c r="BD3" t="s">
        <v>425</v>
      </c>
      <c r="BE3" t="s">
        <v>231</v>
      </c>
      <c r="BF3" t="s">
        <v>432</v>
      </c>
      <c r="BG3" t="s">
        <v>406</v>
      </c>
      <c r="BH3" t="s">
        <v>433</v>
      </c>
      <c r="BI3" t="s">
        <v>1371</v>
      </c>
      <c r="BJ3" t="s">
        <v>1372</v>
      </c>
      <c r="BK3" t="s">
        <v>426</v>
      </c>
      <c r="BL3" t="s">
        <v>1373</v>
      </c>
      <c r="BM3" t="s">
        <v>895</v>
      </c>
      <c r="BN3" t="s">
        <v>656</v>
      </c>
      <c r="BO3">
        <v>1.67</v>
      </c>
      <c r="BP3">
        <v>3.09</v>
      </c>
      <c r="BQ3">
        <v>5.34</v>
      </c>
      <c r="BR3">
        <v>2.84</v>
      </c>
      <c r="BS3">
        <v>7.47</v>
      </c>
      <c r="BT3">
        <v>8.34</v>
      </c>
      <c r="BU3" t="s">
        <v>657</v>
      </c>
      <c r="BV3" t="s">
        <v>368</v>
      </c>
      <c r="BW3">
        <v>25.26</v>
      </c>
      <c r="BX3">
        <v>25.47</v>
      </c>
      <c r="BY3">
        <v>26.68</v>
      </c>
      <c r="BZ3">
        <v>5.76</v>
      </c>
      <c r="CA3">
        <v>4.17</v>
      </c>
      <c r="CB3">
        <v>7.64</v>
      </c>
      <c r="CC3">
        <v>-8.56</v>
      </c>
      <c r="CD3">
        <v>-33.979999999999997</v>
      </c>
      <c r="CE3" t="s">
        <v>569</v>
      </c>
      <c r="CF3" t="s">
        <v>773</v>
      </c>
      <c r="CG3" s="20">
        <v>7.4152542372881353E-2</v>
      </c>
      <c r="CH3" s="21">
        <v>-3.7482180754620523E-2</v>
      </c>
      <c r="CI3" s="20">
        <v>-8.4542244672775269E-2</v>
      </c>
      <c r="CJ3" s="20">
        <v>0.21964603662490845</v>
      </c>
      <c r="CK3" s="20">
        <v>0.11648505926132202</v>
      </c>
      <c r="CL3" s="20">
        <v>-4.2400483042001724E-2</v>
      </c>
      <c r="CM3" s="20">
        <v>6.5323047339916229E-2</v>
      </c>
      <c r="CN3" s="21">
        <v>-0.94237691164016724</v>
      </c>
      <c r="CO3" s="21">
        <v>-4.4117648154497147E-2</v>
      </c>
      <c r="CP3" s="21">
        <v>0.4011114239692688</v>
      </c>
      <c r="CQ3" s="21">
        <v>-0.13334107398986816</v>
      </c>
      <c r="CR3" s="21">
        <v>0.18257975578308105</v>
      </c>
      <c r="CS3">
        <v>42.741989207729553</v>
      </c>
      <c r="CT3">
        <v>7.7851023295530792</v>
      </c>
      <c r="CU3">
        <v>2.0053475935828877</v>
      </c>
      <c r="CV3" s="20">
        <v>5.4902283102273942E-2</v>
      </c>
      <c r="CW3" s="21">
        <v>-0.10722889080643654</v>
      </c>
      <c r="CX3">
        <v>0.06</v>
      </c>
      <c r="CY3">
        <v>664.28696429416141</v>
      </c>
      <c r="CZ3">
        <v>7454974.5308671063</v>
      </c>
      <c r="DA3">
        <v>5.4902283102273942E-2</v>
      </c>
      <c r="DB3">
        <v>223.65744106734948</v>
      </c>
      <c r="DC3">
        <v>22142086.471018605</v>
      </c>
      <c r="DD3">
        <v>5.2157168947160243E-2</v>
      </c>
      <c r="DE3">
        <v>114.52061735868608</v>
      </c>
      <c r="DF3">
        <v>43243238.76537665</v>
      </c>
      <c r="DG3">
        <v>4.831400913000107E-2</v>
      </c>
      <c r="DH3">
        <v>71.837639857532594</v>
      </c>
      <c r="DI3">
        <v>68936596.606197223</v>
      </c>
      <c r="DJ3">
        <v>4.3921826481819158E-2</v>
      </c>
      <c r="DK3">
        <v>40.731349990879195</v>
      </c>
      <c r="DL3">
        <v>121583065.65112463</v>
      </c>
      <c r="DM3">
        <v>3.8431598171591759E-2</v>
      </c>
      <c r="DN3">
        <v>7491000</v>
      </c>
      <c r="DO3">
        <v>5.4902283102273942E-2</v>
      </c>
      <c r="DP3">
        <v>4952242400</v>
      </c>
      <c r="DQ3">
        <v>709853400</v>
      </c>
      <c r="DR3">
        <v>1058</v>
      </c>
      <c r="DS3">
        <v>1.925025927060741E-2</v>
      </c>
      <c r="DT3">
        <v>6.9746710051816013E-2</v>
      </c>
      <c r="DU3" s="22">
        <v>-0.28999999999999998</v>
      </c>
      <c r="DV3">
        <v>-0.10000000000000002</v>
      </c>
      <c r="DW3">
        <v>-0.39</v>
      </c>
      <c r="DX3">
        <v>-9.2519128899352552</v>
      </c>
      <c r="DY3">
        <v>0.59508305647840387</v>
      </c>
      <c r="DZ3">
        <v>-9.0567013232329359</v>
      </c>
      <c r="EA3">
        <v>3095</v>
      </c>
      <c r="EB3">
        <v>-9.0223654603086665</v>
      </c>
      <c r="EC3">
        <v>9</v>
      </c>
      <c r="ED3">
        <v>0.48817568243087422</v>
      </c>
      <c r="EE3">
        <v>2.1688690835674267</v>
      </c>
      <c r="EF3" s="19">
        <v>3.0468099999999998</v>
      </c>
      <c r="EG3">
        <v>3.0458099999999999</v>
      </c>
      <c r="EH3">
        <v>37.225083056478404</v>
      </c>
      <c r="EI3" t="s">
        <v>642</v>
      </c>
      <c r="EJ3">
        <v>0</v>
      </c>
      <c r="EK3">
        <v>0</v>
      </c>
      <c r="EL3" s="27">
        <v>45330</v>
      </c>
      <c r="EM3" s="28">
        <v>-3.67</v>
      </c>
      <c r="EN3" s="28">
        <v>-10.029999999999999</v>
      </c>
      <c r="EO3" s="28">
        <v>2.2599999999999998</v>
      </c>
      <c r="EP3" s="28">
        <v>-6.21</v>
      </c>
      <c r="EQ3" s="28">
        <v>0.1</v>
      </c>
    </row>
    <row r="4" spans="1:147" ht="84" x14ac:dyDescent="0.25">
      <c r="B4" s="3"/>
      <c r="C4" s="3"/>
      <c r="D4" s="3" t="s">
        <v>1403</v>
      </c>
      <c r="E4" t="s">
        <v>417</v>
      </c>
      <c r="F4" t="s">
        <v>418</v>
      </c>
      <c r="G4">
        <v>2.23</v>
      </c>
      <c r="H4">
        <v>2.29E-2</v>
      </c>
      <c r="I4" t="s">
        <v>1375</v>
      </c>
      <c r="J4">
        <v>7539591000</v>
      </c>
      <c r="K4">
        <v>33.369999999999997</v>
      </c>
      <c r="L4">
        <v>1.45</v>
      </c>
      <c r="M4" t="s">
        <v>419</v>
      </c>
      <c r="N4" t="s">
        <v>1376</v>
      </c>
      <c r="O4" t="s">
        <v>1377</v>
      </c>
      <c r="P4" t="s">
        <v>1378</v>
      </c>
      <c r="Q4">
        <v>8.56</v>
      </c>
      <c r="R4" t="s">
        <v>1379</v>
      </c>
      <c r="S4">
        <v>103971223</v>
      </c>
      <c r="T4" s="4">
        <v>0.1062</v>
      </c>
      <c r="U4" t="s">
        <v>1088</v>
      </c>
      <c r="V4">
        <v>2563955000</v>
      </c>
      <c r="W4">
        <v>3380982500</v>
      </c>
      <c r="X4">
        <v>4.99</v>
      </c>
      <c r="Y4">
        <v>0.21</v>
      </c>
      <c r="Z4">
        <v>2.27</v>
      </c>
      <c r="AA4" t="s">
        <v>1380</v>
      </c>
      <c r="AB4" t="s">
        <v>1381</v>
      </c>
      <c r="AC4" t="s">
        <v>1382</v>
      </c>
      <c r="AD4" t="s">
        <v>928</v>
      </c>
      <c r="AE4" t="s">
        <v>1383</v>
      </c>
      <c r="AF4">
        <v>405594050</v>
      </c>
      <c r="AG4" t="s">
        <v>1384</v>
      </c>
      <c r="AH4" t="s">
        <v>1385</v>
      </c>
      <c r="AI4" t="s">
        <v>1386</v>
      </c>
      <c r="AJ4" t="s">
        <v>1387</v>
      </c>
      <c r="AK4" t="s">
        <v>1388</v>
      </c>
      <c r="AL4" t="s">
        <v>1116</v>
      </c>
      <c r="AM4" t="s">
        <v>1389</v>
      </c>
      <c r="AN4" t="s">
        <v>7</v>
      </c>
      <c r="AO4" t="s">
        <v>1390</v>
      </c>
      <c r="AP4" t="s">
        <v>1391</v>
      </c>
      <c r="AQ4" t="s">
        <v>1392</v>
      </c>
      <c r="AR4" t="s">
        <v>1393</v>
      </c>
      <c r="AS4" t="s">
        <v>7</v>
      </c>
      <c r="AT4" t="s">
        <v>1394</v>
      </c>
      <c r="AU4" t="s">
        <v>1395</v>
      </c>
      <c r="AV4" t="s">
        <v>1396</v>
      </c>
      <c r="AW4" t="s">
        <v>1397</v>
      </c>
      <c r="AX4" t="s">
        <v>235</v>
      </c>
      <c r="AY4" t="s">
        <v>434</v>
      </c>
      <c r="AZ4" t="s">
        <v>435</v>
      </c>
      <c r="BA4" t="s">
        <v>436</v>
      </c>
      <c r="BB4" t="s">
        <v>437</v>
      </c>
      <c r="BC4" t="s">
        <v>438</v>
      </c>
      <c r="BD4" t="s">
        <v>395</v>
      </c>
      <c r="BE4" t="s">
        <v>439</v>
      </c>
      <c r="BF4" t="s">
        <v>440</v>
      </c>
      <c r="BG4" t="s">
        <v>441</v>
      </c>
      <c r="BH4" t="s">
        <v>442</v>
      </c>
      <c r="BI4" t="s">
        <v>1398</v>
      </c>
      <c r="BJ4" t="s">
        <v>1399</v>
      </c>
      <c r="BK4" t="s">
        <v>658</v>
      </c>
      <c r="BL4" t="s">
        <v>1400</v>
      </c>
      <c r="BM4" t="s">
        <v>1401</v>
      </c>
      <c r="BN4" t="s">
        <v>659</v>
      </c>
      <c r="BO4">
        <v>0.66</v>
      </c>
      <c r="BP4">
        <v>3.92</v>
      </c>
      <c r="BQ4">
        <v>2.0499999999999998</v>
      </c>
      <c r="BR4">
        <v>0.71</v>
      </c>
      <c r="BS4">
        <v>3.48</v>
      </c>
      <c r="BT4">
        <v>1.01</v>
      </c>
      <c r="BU4" t="s">
        <v>651</v>
      </c>
      <c r="BV4" t="s">
        <v>443</v>
      </c>
      <c r="BW4">
        <v>16.84</v>
      </c>
      <c r="BX4">
        <v>20.59</v>
      </c>
      <c r="BY4">
        <v>18.989999999999998</v>
      </c>
      <c r="BZ4">
        <v>1.75</v>
      </c>
      <c r="CA4">
        <v>2.09</v>
      </c>
      <c r="CB4">
        <v>0.37</v>
      </c>
      <c r="CC4">
        <v>5.19</v>
      </c>
      <c r="CD4">
        <v>-2.19</v>
      </c>
      <c r="CE4" t="s">
        <v>343</v>
      </c>
      <c r="CF4" t="s">
        <v>1402</v>
      </c>
      <c r="CG4" s="20">
        <v>0.22907699665231901</v>
      </c>
      <c r="CH4" s="21">
        <v>1.3673630005255146</v>
      </c>
      <c r="CI4" s="20">
        <v>-3.3653847873210907E-2</v>
      </c>
      <c r="CJ4" s="20">
        <v>-3.3794019371271133E-2</v>
      </c>
      <c r="CK4" s="20">
        <v>0.22350101172924042</v>
      </c>
      <c r="CL4" s="20">
        <v>9.4897300004959106E-2</v>
      </c>
      <c r="CM4" s="20">
        <v>-0.10436110943555832</v>
      </c>
      <c r="CN4" s="21">
        <v>0.31707316637039185</v>
      </c>
      <c r="CO4" s="21">
        <v>3.8631067276000977</v>
      </c>
      <c r="CP4" s="21">
        <v>1.0414291620254517</v>
      </c>
      <c r="CQ4" s="21">
        <v>-22.451423645019531</v>
      </c>
      <c r="CR4" s="21">
        <v>-0.27308914065361023</v>
      </c>
      <c r="CS4">
        <v>-145.86710347484993</v>
      </c>
      <c r="CT4">
        <v>-49.753654800657088</v>
      </c>
      <c r="CU4">
        <v>0</v>
      </c>
      <c r="CV4" s="20">
        <v>2.9317867010831833E-2</v>
      </c>
      <c r="CW4" s="21">
        <v>-3.5005807459354399</v>
      </c>
      <c r="CX4">
        <v>0.06</v>
      </c>
      <c r="CY4">
        <v>129.68237124543623</v>
      </c>
      <c r="CZ4">
        <v>209747791.76824498</v>
      </c>
      <c r="DA4">
        <v>2.9317867010831833E-2</v>
      </c>
      <c r="DB4">
        <v>44.628944728850641</v>
      </c>
      <c r="DC4">
        <v>609483176.56312454</v>
      </c>
      <c r="DD4">
        <v>2.7851973660290241E-2</v>
      </c>
      <c r="DE4">
        <v>23.504111739129009</v>
      </c>
      <c r="DF4">
        <v>1157269472.7585554</v>
      </c>
      <c r="DG4">
        <v>2.5799722969532014E-2</v>
      </c>
      <c r="DH4">
        <v>15.195932964863294</v>
      </c>
      <c r="DI4">
        <v>1789991510.4189</v>
      </c>
      <c r="DJ4">
        <v>2.3454293608665466E-2</v>
      </c>
      <c r="DK4">
        <v>9.1583635607387546</v>
      </c>
      <c r="DL4">
        <v>2970027431.1676135</v>
      </c>
      <c r="DM4">
        <v>2.0522506907582283E-2</v>
      </c>
      <c r="DN4">
        <v>216000000</v>
      </c>
      <c r="DO4">
        <v>2.9317867010831833E-2</v>
      </c>
      <c r="DP4">
        <v>27200591000</v>
      </c>
      <c r="DQ4">
        <v>8374651999.9999981</v>
      </c>
      <c r="DR4">
        <v>2973</v>
      </c>
      <c r="DS4">
        <v>0.19975912964148718</v>
      </c>
      <c r="DT4">
        <v>4.8679437464609547</v>
      </c>
      <c r="DU4" s="22">
        <v>-0.3066666666666667</v>
      </c>
      <c r="DV4">
        <v>0.49</v>
      </c>
      <c r="DW4">
        <v>0.18333333333333329</v>
      </c>
      <c r="DX4">
        <v>4.4219653179190752</v>
      </c>
      <c r="DY4">
        <v>0.59259365994236379</v>
      </c>
      <c r="DZ4">
        <v>4.1276840299178756</v>
      </c>
      <c r="EA4">
        <v>1811</v>
      </c>
      <c r="EB4">
        <v>4.0824412636918392</v>
      </c>
      <c r="EC4">
        <v>4</v>
      </c>
      <c r="ED4">
        <v>6.2112122733554521E-2</v>
      </c>
      <c r="EE4">
        <v>0.20526577703374685</v>
      </c>
      <c r="EF4" s="19">
        <v>-1.0105</v>
      </c>
      <c r="EG4">
        <v>-1.010729</v>
      </c>
      <c r="EH4">
        <v>29.302593659942364</v>
      </c>
      <c r="EI4" t="s">
        <v>1074</v>
      </c>
      <c r="EJ4">
        <v>0</v>
      </c>
      <c r="EK4">
        <v>0</v>
      </c>
      <c r="EL4" s="27">
        <v>45330</v>
      </c>
      <c r="EM4" s="28">
        <v>-3.3</v>
      </c>
      <c r="EN4" s="28">
        <v>-5.37</v>
      </c>
      <c r="EO4" s="28">
        <v>5.67</v>
      </c>
      <c r="EP4" s="28">
        <v>6.34</v>
      </c>
      <c r="EQ4" s="28">
        <v>2.29E-2</v>
      </c>
    </row>
    <row r="5" spans="1:147" ht="84" x14ac:dyDescent="0.25">
      <c r="D5" s="3" t="s">
        <v>1433</v>
      </c>
      <c r="E5" t="s">
        <v>420</v>
      </c>
      <c r="F5" t="s">
        <v>421</v>
      </c>
      <c r="G5">
        <v>2.78</v>
      </c>
      <c r="H5">
        <v>-7.1000000000000004E-3</v>
      </c>
      <c r="I5" t="s">
        <v>1404</v>
      </c>
      <c r="J5">
        <v>19064637000</v>
      </c>
      <c r="K5">
        <v>224.5</v>
      </c>
      <c r="L5">
        <v>1.62</v>
      </c>
      <c r="M5" t="s">
        <v>419</v>
      </c>
      <c r="N5" t="s">
        <v>1405</v>
      </c>
      <c r="O5" t="s">
        <v>1406</v>
      </c>
      <c r="P5" t="s">
        <v>1407</v>
      </c>
      <c r="Q5">
        <v>-20.64</v>
      </c>
      <c r="R5" t="s">
        <v>1408</v>
      </c>
      <c r="S5">
        <v>51432071</v>
      </c>
      <c r="T5" s="4">
        <v>-0.26290000000000002</v>
      </c>
      <c r="U5" t="s">
        <v>313</v>
      </c>
      <c r="V5">
        <v>6857782900</v>
      </c>
      <c r="W5">
        <v>6857782900</v>
      </c>
      <c r="X5">
        <v>3.79</v>
      </c>
      <c r="Y5">
        <v>0.35</v>
      </c>
      <c r="Z5">
        <v>0.36</v>
      </c>
      <c r="AA5" t="s">
        <v>1409</v>
      </c>
      <c r="AB5" t="s">
        <v>1410</v>
      </c>
      <c r="AC5" t="s">
        <v>707</v>
      </c>
      <c r="AD5" t="s">
        <v>1411</v>
      </c>
      <c r="AE5" t="s">
        <v>702</v>
      </c>
      <c r="AF5">
        <v>399567330</v>
      </c>
      <c r="AG5" t="s">
        <v>1412</v>
      </c>
      <c r="AH5" t="s">
        <v>1413</v>
      </c>
      <c r="AI5" t="s">
        <v>1414</v>
      </c>
      <c r="AJ5" t="s">
        <v>1415</v>
      </c>
      <c r="AK5" t="s">
        <v>1416</v>
      </c>
      <c r="AL5" t="s">
        <v>1417</v>
      </c>
      <c r="AM5" t="s">
        <v>1418</v>
      </c>
      <c r="AN5" t="s">
        <v>7</v>
      </c>
      <c r="AO5" t="s">
        <v>1419</v>
      </c>
      <c r="AP5" t="s">
        <v>1420</v>
      </c>
      <c r="AQ5" t="s">
        <v>1421</v>
      </c>
      <c r="AR5" t="s">
        <v>1422</v>
      </c>
      <c r="AS5" t="s">
        <v>7</v>
      </c>
      <c r="AT5" t="s">
        <v>1423</v>
      </c>
      <c r="AU5" t="s">
        <v>1424</v>
      </c>
      <c r="AV5" t="s">
        <v>1425</v>
      </c>
      <c r="AW5" t="s">
        <v>1426</v>
      </c>
      <c r="AX5" t="s">
        <v>1427</v>
      </c>
      <c r="AY5" t="s">
        <v>444</v>
      </c>
      <c r="AZ5" t="s">
        <v>446</v>
      </c>
      <c r="BA5" t="s">
        <v>447</v>
      </c>
      <c r="BB5" t="s">
        <v>448</v>
      </c>
      <c r="BC5" t="s">
        <v>449</v>
      </c>
      <c r="BD5" t="s">
        <v>445</v>
      </c>
      <c r="BE5" t="s">
        <v>425</v>
      </c>
      <c r="BF5" t="s">
        <v>180</v>
      </c>
      <c r="BG5" t="s">
        <v>180</v>
      </c>
      <c r="BH5" t="s">
        <v>450</v>
      </c>
      <c r="BI5" t="s">
        <v>1428</v>
      </c>
      <c r="BJ5" t="s">
        <v>1429</v>
      </c>
      <c r="BK5" t="s">
        <v>661</v>
      </c>
      <c r="BL5" t="s">
        <v>1430</v>
      </c>
      <c r="BM5" t="s">
        <v>1431</v>
      </c>
      <c r="BN5" t="s">
        <v>662</v>
      </c>
      <c r="BO5">
        <v>0.41</v>
      </c>
      <c r="BP5">
        <v>2.34</v>
      </c>
      <c r="BQ5">
        <v>2.06</v>
      </c>
      <c r="BR5">
        <v>0.32</v>
      </c>
      <c r="BS5">
        <v>1.5</v>
      </c>
      <c r="BT5">
        <v>1.17</v>
      </c>
      <c r="BU5" t="s">
        <v>651</v>
      </c>
      <c r="BV5" t="s">
        <v>443</v>
      </c>
      <c r="BW5">
        <v>10.029999999999999</v>
      </c>
      <c r="BX5">
        <v>8.86</v>
      </c>
      <c r="BY5">
        <v>9.9700000000000006</v>
      </c>
      <c r="BZ5">
        <v>0.56000000000000005</v>
      </c>
      <c r="CA5">
        <v>0.57999999999999996</v>
      </c>
      <c r="CB5">
        <v>0.66</v>
      </c>
      <c r="CC5">
        <v>8.17</v>
      </c>
      <c r="CD5">
        <v>-2.46</v>
      </c>
      <c r="CE5" t="s">
        <v>636</v>
      </c>
      <c r="CF5" t="s">
        <v>1432</v>
      </c>
      <c r="CG5" s="20">
        <v>-0.23618229671699656</v>
      </c>
      <c r="CH5" s="21">
        <v>-0.95532669805823711</v>
      </c>
      <c r="CI5" s="20">
        <v>3.2774109393358231E-2</v>
      </c>
      <c r="CJ5" s="20">
        <v>0.16203586757183075</v>
      </c>
      <c r="CK5" s="20">
        <v>0.51181167364120483</v>
      </c>
      <c r="CL5" s="20">
        <v>0.25249740481376648</v>
      </c>
      <c r="CM5" s="20">
        <v>2.5263294577598572E-2</v>
      </c>
      <c r="CN5" s="21">
        <v>-0.38690477609634399</v>
      </c>
      <c r="CO5" s="21">
        <v>0.29230770468711853</v>
      </c>
      <c r="CP5" s="21">
        <v>7.7519379556179047E-3</v>
      </c>
      <c r="CQ5" s="21">
        <v>0</v>
      </c>
      <c r="CR5" s="21">
        <v>0.53236860036849976</v>
      </c>
      <c r="CS5">
        <v>153.91600781179989</v>
      </c>
      <c r="CT5">
        <v>7.8178975787279352</v>
      </c>
      <c r="CU5">
        <v>0</v>
      </c>
      <c r="CV5" s="20">
        <v>0.19687646999955177</v>
      </c>
      <c r="CW5" s="21">
        <v>8.9104693382978439E-2</v>
      </c>
      <c r="CX5">
        <v>0.06</v>
      </c>
      <c r="CY5">
        <v>347.24459545204661</v>
      </c>
      <c r="CZ5">
        <v>116300260.76410739</v>
      </c>
      <c r="DA5">
        <v>0.19687646999955177</v>
      </c>
      <c r="DB5">
        <v>103.77468789006139</v>
      </c>
      <c r="DC5">
        <v>389156911.19961131</v>
      </c>
      <c r="DD5">
        <v>0.18703264649957418</v>
      </c>
      <c r="DE5">
        <v>45.125709673617607</v>
      </c>
      <c r="DF5">
        <v>894936329.91240382</v>
      </c>
      <c r="DG5">
        <v>0.17325129359960556</v>
      </c>
      <c r="DH5">
        <v>23.410527158804683</v>
      </c>
      <c r="DI5">
        <v>1725063119.0853541</v>
      </c>
      <c r="DJ5">
        <v>0.15750117599964142</v>
      </c>
      <c r="DK5">
        <v>8.5836214881500634</v>
      </c>
      <c r="DL5">
        <v>4704848303.9183578</v>
      </c>
      <c r="DM5">
        <v>0.13781352899968624</v>
      </c>
      <c r="DN5">
        <v>103000000</v>
      </c>
      <c r="DO5">
        <v>0.19687646999955177</v>
      </c>
      <c r="DP5">
        <v>40384637000</v>
      </c>
      <c r="DQ5">
        <v>10166669000</v>
      </c>
      <c r="DR5">
        <v>3661</v>
      </c>
      <c r="DS5">
        <v>-0.4330587667165483</v>
      </c>
      <c r="DT5">
        <v>-1.0444313914412156</v>
      </c>
      <c r="DU5" s="22">
        <v>-4.0000000000000036E-2</v>
      </c>
      <c r="DV5">
        <v>-0.13666666666666669</v>
      </c>
      <c r="DW5">
        <v>-0.17666666666666672</v>
      </c>
      <c r="DX5">
        <v>5.3011015911872708</v>
      </c>
      <c r="DY5">
        <v>0.64104750304506841</v>
      </c>
      <c r="DZ5">
        <v>5.1026899458373149</v>
      </c>
      <c r="EA5">
        <v>2676</v>
      </c>
      <c r="EB5">
        <v>5.0489238931938685</v>
      </c>
      <c r="EC5">
        <v>5</v>
      </c>
      <c r="ED5">
        <v>4.0829522322732029E-2</v>
      </c>
      <c r="EE5">
        <v>0.11971799223915358</v>
      </c>
      <c r="EF5" s="19">
        <v>3.0369999999999999</v>
      </c>
      <c r="EG5">
        <v>3.0369290000000002</v>
      </c>
      <c r="EH5">
        <v>30.341047503045068</v>
      </c>
      <c r="EI5" t="s">
        <v>642</v>
      </c>
      <c r="EJ5">
        <v>1</v>
      </c>
      <c r="EK5">
        <v>0</v>
      </c>
      <c r="EL5" s="27">
        <v>45330</v>
      </c>
      <c r="EM5" s="28">
        <v>-2.33</v>
      </c>
      <c r="EN5" s="28">
        <v>-4.78</v>
      </c>
      <c r="EO5" s="28">
        <v>8.7899999999999991</v>
      </c>
      <c r="EP5" s="28">
        <v>7.69</v>
      </c>
      <c r="EQ5" s="28">
        <v>-7.1000000000000004E-3</v>
      </c>
    </row>
    <row r="6" spans="1:147" ht="84" x14ac:dyDescent="0.25">
      <c r="B6" s="3"/>
      <c r="C6" s="3"/>
      <c r="D6" s="3" t="s">
        <v>1459</v>
      </c>
      <c r="E6" t="s">
        <v>422</v>
      </c>
      <c r="F6" t="s">
        <v>423</v>
      </c>
      <c r="G6">
        <v>5.26</v>
      </c>
      <c r="H6">
        <v>0.1004</v>
      </c>
      <c r="I6" t="s">
        <v>1434</v>
      </c>
      <c r="J6">
        <v>2600619900</v>
      </c>
      <c r="L6">
        <v>1.1499999999999999</v>
      </c>
      <c r="M6" t="s">
        <v>419</v>
      </c>
      <c r="N6" t="s">
        <v>1435</v>
      </c>
      <c r="O6" t="s">
        <v>1436</v>
      </c>
      <c r="P6" t="s">
        <v>1437</v>
      </c>
      <c r="Q6">
        <v>0.17</v>
      </c>
      <c r="R6" t="s">
        <v>1438</v>
      </c>
      <c r="S6">
        <v>74093795</v>
      </c>
      <c r="T6" s="4">
        <v>-0.40539999999999998</v>
      </c>
      <c r="U6" t="s">
        <v>1439</v>
      </c>
      <c r="V6">
        <v>494414440</v>
      </c>
      <c r="W6">
        <v>494414440</v>
      </c>
      <c r="X6">
        <v>1.84</v>
      </c>
      <c r="Y6">
        <v>0.3</v>
      </c>
      <c r="Z6">
        <v>6.01</v>
      </c>
      <c r="AA6" t="s">
        <v>1440</v>
      </c>
      <c r="AB6" t="s">
        <v>1441</v>
      </c>
      <c r="AC6" t="s">
        <v>373</v>
      </c>
      <c r="AD6" t="s">
        <v>1442</v>
      </c>
      <c r="AE6" t="s">
        <v>1443</v>
      </c>
      <c r="AF6">
        <v>21513409</v>
      </c>
      <c r="AG6" t="s">
        <v>1444</v>
      </c>
      <c r="AH6" t="s">
        <v>1445</v>
      </c>
      <c r="AI6" t="s">
        <v>1446</v>
      </c>
      <c r="AJ6" t="s">
        <v>620</v>
      </c>
      <c r="AK6" t="s">
        <v>1447</v>
      </c>
      <c r="AL6" t="s">
        <v>931</v>
      </c>
      <c r="AM6" t="s">
        <v>1448</v>
      </c>
      <c r="AN6" t="s">
        <v>7</v>
      </c>
      <c r="AO6" t="s">
        <v>1449</v>
      </c>
      <c r="AP6" t="s">
        <v>1325</v>
      </c>
      <c r="AQ6" t="s">
        <v>198</v>
      </c>
      <c r="AR6" t="s">
        <v>1450</v>
      </c>
      <c r="AS6" t="s">
        <v>7</v>
      </c>
      <c r="AT6" t="s">
        <v>806</v>
      </c>
      <c r="AU6" t="s">
        <v>7</v>
      </c>
      <c r="AV6" t="s">
        <v>1451</v>
      </c>
      <c r="AW6" t="s">
        <v>1452</v>
      </c>
      <c r="AX6" t="s">
        <v>1453</v>
      </c>
      <c r="AY6" t="s">
        <v>451</v>
      </c>
      <c r="AZ6" t="s">
        <v>454</v>
      </c>
      <c r="BA6" t="s">
        <v>455</v>
      </c>
      <c r="BB6" t="s">
        <v>311</v>
      </c>
      <c r="BC6" t="s">
        <v>312</v>
      </c>
      <c r="BD6" t="s">
        <v>452</v>
      </c>
      <c r="BE6" t="s">
        <v>456</v>
      </c>
      <c r="BF6" t="s">
        <v>457</v>
      </c>
      <c r="BG6" t="s">
        <v>458</v>
      </c>
      <c r="BH6" t="s">
        <v>459</v>
      </c>
      <c r="BI6" t="s">
        <v>1454</v>
      </c>
      <c r="BJ6" t="s">
        <v>1455</v>
      </c>
      <c r="BK6" t="s">
        <v>663</v>
      </c>
      <c r="BL6" t="s">
        <v>1456</v>
      </c>
      <c r="BM6" t="s">
        <v>546</v>
      </c>
      <c r="BN6" t="s">
        <v>664</v>
      </c>
      <c r="BO6">
        <v>0.98</v>
      </c>
      <c r="BP6">
        <v>3.96</v>
      </c>
      <c r="BQ6">
        <v>2.15</v>
      </c>
      <c r="BR6">
        <v>0.88</v>
      </c>
      <c r="BS6">
        <v>3.73</v>
      </c>
      <c r="BT6">
        <v>1.53</v>
      </c>
      <c r="BU6" t="s">
        <v>651</v>
      </c>
      <c r="BV6" t="s">
        <v>460</v>
      </c>
      <c r="BW6">
        <v>30.9</v>
      </c>
      <c r="BX6">
        <v>31.54</v>
      </c>
      <c r="BY6">
        <v>33.64</v>
      </c>
      <c r="BZ6">
        <v>5.94</v>
      </c>
      <c r="CA6">
        <v>5.3</v>
      </c>
      <c r="CB6">
        <v>3.03</v>
      </c>
      <c r="CC6">
        <v>-4.3600000000000003</v>
      </c>
      <c r="CD6">
        <v>-26.33</v>
      </c>
      <c r="CE6" t="s">
        <v>1457</v>
      </c>
      <c r="CF6" t="s">
        <v>1458</v>
      </c>
      <c r="CG6" s="20">
        <v>-8.2828282828282834E-2</v>
      </c>
      <c r="CH6" s="21">
        <v>-0.53055080796832055</v>
      </c>
      <c r="CI6" s="20">
        <v>0.43781095743179321</v>
      </c>
      <c r="CJ6" s="20">
        <v>0.43914079666137695</v>
      </c>
      <c r="CK6" s="20">
        <v>0.20575539767742157</v>
      </c>
      <c r="CL6" s="20">
        <v>-0.13016270101070404</v>
      </c>
      <c r="CM6" s="20">
        <v>9.6021950244903564E-2</v>
      </c>
      <c r="CN6" s="21">
        <v>-0.79648721218109131</v>
      </c>
      <c r="CO6" s="21">
        <v>1.4837758541107178</v>
      </c>
      <c r="CP6" s="21">
        <v>-5.1534049212932587E-2</v>
      </c>
      <c r="CQ6" s="21">
        <v>-0.46921518445014954</v>
      </c>
      <c r="CR6" s="21">
        <v>0.22071251273155212</v>
      </c>
      <c r="CS6">
        <v>69.583572023904281</v>
      </c>
      <c r="CT6">
        <v>3.3180336484759407</v>
      </c>
      <c r="CU6">
        <v>0</v>
      </c>
      <c r="CV6" s="20">
        <v>0.20971328020095825</v>
      </c>
      <c r="CW6" s="21">
        <v>7.745038419961929E-2</v>
      </c>
      <c r="CX6">
        <v>0.06</v>
      </c>
      <c r="CY6">
        <v>150.01554757827452</v>
      </c>
      <c r="CZ6">
        <v>14942583.860052083</v>
      </c>
      <c r="DA6">
        <v>0.20971328020095825</v>
      </c>
      <c r="DB6">
        <v>44.360675558965823</v>
      </c>
      <c r="DC6">
        <v>50531689.87519943</v>
      </c>
      <c r="DD6">
        <v>0.19922761619091034</v>
      </c>
      <c r="DE6">
        <v>18.99815100854418</v>
      </c>
      <c r="DF6">
        <v>117991477.11752895</v>
      </c>
      <c r="DG6">
        <v>0.18454768657684326</v>
      </c>
      <c r="DH6">
        <v>9.6730446224763149</v>
      </c>
      <c r="DI6">
        <v>231738815.18042058</v>
      </c>
      <c r="DJ6">
        <v>0.1677706241607666</v>
      </c>
      <c r="DK6">
        <v>3.3864254066442929</v>
      </c>
      <c r="DL6">
        <v>661942795.37410104</v>
      </c>
      <c r="DM6">
        <v>0.14679929614067078</v>
      </c>
      <c r="DN6">
        <v>13093300</v>
      </c>
      <c r="DO6">
        <v>0.20971328020095825</v>
      </c>
      <c r="DP6">
        <v>2241619900</v>
      </c>
      <c r="DQ6">
        <v>1043533600</v>
      </c>
      <c r="DR6">
        <v>3858</v>
      </c>
      <c r="DS6">
        <v>-0.29254156302924106</v>
      </c>
      <c r="DT6">
        <v>-0.6080011921679398</v>
      </c>
      <c r="DU6" s="22">
        <v>1.0000000000000011E-2</v>
      </c>
      <c r="DV6">
        <v>-0.26999999999999996</v>
      </c>
      <c r="DW6">
        <v>-0.25999999999999995</v>
      </c>
      <c r="DX6">
        <v>-8.1655905810862137</v>
      </c>
      <c r="DY6">
        <v>0.38883564207221299</v>
      </c>
      <c r="DZ6">
        <v>-8.0196780630244913</v>
      </c>
      <c r="EA6">
        <v>2832</v>
      </c>
      <c r="EB6">
        <v>-8.0087744679383324</v>
      </c>
      <c r="EC6">
        <v>8</v>
      </c>
      <c r="ED6">
        <v>0.15310697640627163</v>
      </c>
      <c r="EE6">
        <v>1.2883927904694692</v>
      </c>
      <c r="EF6" s="19">
        <v>-1.14401</v>
      </c>
      <c r="EG6">
        <v>-1.143006</v>
      </c>
      <c r="EH6">
        <v>27.118835642072213</v>
      </c>
      <c r="EI6" t="s">
        <v>1074</v>
      </c>
      <c r="EJ6">
        <v>0</v>
      </c>
      <c r="EK6">
        <v>0</v>
      </c>
      <c r="EL6" s="27">
        <v>45330</v>
      </c>
      <c r="EM6" s="28">
        <v>-3.64</v>
      </c>
      <c r="EN6" s="28">
        <v>-10</v>
      </c>
      <c r="EO6" s="28">
        <v>5.03</v>
      </c>
      <c r="EP6" s="28">
        <v>-4.59</v>
      </c>
      <c r="EQ6" s="28">
        <v>0.1004</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zoomScale="85" zoomScaleNormal="85" workbookViewId="0">
      <selection activeCell="Z2" sqref="Z2"/>
    </sheetView>
  </sheetViews>
  <sheetFormatPr defaultRowHeight="14" x14ac:dyDescent="0.25"/>
  <cols>
    <col min="1" max="1" width="8.90625" style="1"/>
    <col min="2" max="2" width="12.54296875" customWidth="1"/>
    <col min="4" max="4" width="13.90625" bestFit="1" customWidth="1"/>
    <col min="5" max="12" width="8.81640625" customWidth="1"/>
    <col min="13" max="13" width="15.90625" customWidth="1"/>
    <col min="14" max="17" width="8.81640625" customWidth="1"/>
    <col min="18" max="18" width="13.54296875" customWidth="1"/>
    <col min="19" max="19" width="12.90625" customWidth="1"/>
  </cols>
  <sheetData>
    <row r="1" spans="1:32" s="7" customFormat="1" ht="56" x14ac:dyDescent="0.25">
      <c r="A1" s="6" t="s">
        <v>31</v>
      </c>
      <c r="B1" s="7" t="s">
        <v>35</v>
      </c>
      <c r="C1" s="7" t="s">
        <v>32</v>
      </c>
      <c r="D1" s="7" t="s">
        <v>36</v>
      </c>
      <c r="E1" s="8" t="s">
        <v>33</v>
      </c>
      <c r="F1" s="8" t="s">
        <v>34</v>
      </c>
      <c r="G1" s="8" t="s">
        <v>42</v>
      </c>
      <c r="H1" s="8" t="s">
        <v>37</v>
      </c>
      <c r="I1" s="8" t="s">
        <v>38</v>
      </c>
      <c r="J1" s="8" t="s">
        <v>39</v>
      </c>
      <c r="K1" s="8" t="s">
        <v>40</v>
      </c>
      <c r="L1" s="7" t="s">
        <v>41</v>
      </c>
      <c r="M1" s="7" t="s">
        <v>43</v>
      </c>
      <c r="N1" s="7" t="s">
        <v>44</v>
      </c>
      <c r="O1" s="7" t="s">
        <v>45</v>
      </c>
      <c r="P1" s="7" t="s">
        <v>46</v>
      </c>
      <c r="Q1" s="7" t="s">
        <v>47</v>
      </c>
      <c r="R1" s="11" t="s">
        <v>48</v>
      </c>
      <c r="S1" s="7" t="s">
        <v>49</v>
      </c>
      <c r="T1" s="7" t="s">
        <v>50</v>
      </c>
      <c r="U1" s="7" t="s">
        <v>51</v>
      </c>
      <c r="V1" s="7" t="s">
        <v>52</v>
      </c>
      <c r="W1" s="7" t="s">
        <v>53</v>
      </c>
      <c r="X1" s="7" t="s">
        <v>54</v>
      </c>
      <c r="Y1" s="7" t="s">
        <v>55</v>
      </c>
      <c r="Z1" s="7" t="s">
        <v>56</v>
      </c>
      <c r="AA1" s="7" t="s">
        <v>57</v>
      </c>
      <c r="AB1" s="7" t="s">
        <v>58</v>
      </c>
      <c r="AC1" s="7" t="s">
        <v>59</v>
      </c>
      <c r="AD1" s="15" t="s">
        <v>60</v>
      </c>
      <c r="AE1" s="7" t="s">
        <v>61</v>
      </c>
      <c r="AF1" s="7" t="s">
        <v>62</v>
      </c>
    </row>
    <row r="2" spans="1:32" x14ac:dyDescent="0.25">
      <c r="A2" s="2">
        <v>1</v>
      </c>
      <c r="B2">
        <v>1</v>
      </c>
      <c r="C2" s="5">
        <v>0.08</v>
      </c>
      <c r="D2">
        <f>H2</f>
        <v>7.06</v>
      </c>
      <c r="E2">
        <v>11.56</v>
      </c>
      <c r="F2">
        <v>20.440000000000001</v>
      </c>
      <c r="G2">
        <f>F2</f>
        <v>20.440000000000001</v>
      </c>
      <c r="H2" s="9">
        <v>7.06</v>
      </c>
      <c r="I2" s="10">
        <v>0.37</v>
      </c>
      <c r="J2">
        <v>9</v>
      </c>
      <c r="K2">
        <v>85</v>
      </c>
      <c r="L2">
        <f>K2-F2+E2</f>
        <v>76.12</v>
      </c>
      <c r="M2">
        <f>SUMIF(A2:A51,"&lt;"&amp;J2+1,D2:D51)</f>
        <v>88.162158341966133</v>
      </c>
      <c r="O2">
        <f>M2/L2</f>
        <v>1.1581996629265126</v>
      </c>
      <c r="R2">
        <f>S2</f>
        <v>7.06</v>
      </c>
      <c r="S2">
        <f>$H$2</f>
        <v>7.06</v>
      </c>
      <c r="T2" s="5">
        <v>0.37</v>
      </c>
      <c r="U2" s="5">
        <v>0.06</v>
      </c>
      <c r="V2">
        <f>SUM($R$2:R2)</f>
        <v>7.06</v>
      </c>
      <c r="W2" s="2">
        <f>X2-Y2</f>
        <v>474.26</v>
      </c>
      <c r="X2" s="14">
        <f>579-579*10%</f>
        <v>521.1</v>
      </c>
      <c r="Y2" s="14">
        <f>57.79-10.95</f>
        <v>46.84</v>
      </c>
      <c r="Z2">
        <f>$W$2/S2</f>
        <v>67.175637393767701</v>
      </c>
      <c r="AA2" s="5">
        <v>0.3</v>
      </c>
      <c r="AB2">
        <f>S2/AA2</f>
        <v>23.533333333333331</v>
      </c>
      <c r="AC2">
        <f>AC3*(1-$U$2)</f>
        <v>222.37291878719995</v>
      </c>
      <c r="AD2" s="5">
        <v>0</v>
      </c>
      <c r="AE2">
        <f>AC2*AD2</f>
        <v>0</v>
      </c>
      <c r="AF2">
        <f>IF(AB2&gt;AE2, 1, 0)</f>
        <v>1</v>
      </c>
    </row>
    <row r="3" spans="1:32" x14ac:dyDescent="0.25">
      <c r="A3" s="2">
        <v>2</v>
      </c>
      <c r="B3">
        <f>B2+B2*C2</f>
        <v>1.08</v>
      </c>
      <c r="C3" s="5">
        <v>0.08</v>
      </c>
      <c r="D3">
        <f>D2+D2*C2</f>
        <v>7.6247999999999996</v>
      </c>
      <c r="Q3">
        <f>$D$2*((1+$C$2)^A2)</f>
        <v>7.6248000000000005</v>
      </c>
      <c r="R3">
        <f>S3/((1+$U$2)^A2)</f>
        <v>9.1247169811320745</v>
      </c>
      <c r="S3">
        <f>S2*(1+T2)</f>
        <v>9.6722000000000001</v>
      </c>
      <c r="T3" s="5">
        <v>0.37</v>
      </c>
      <c r="V3">
        <f>SUM($R$2:R3)</f>
        <v>16.184716981132073</v>
      </c>
      <c r="W3">
        <f>V3/$W$2</f>
        <v>3.4126253492034062E-2</v>
      </c>
      <c r="Z3">
        <f t="shared" ref="Z3:Z13" si="0">$W$2/S3</f>
        <v>49.033311966253798</v>
      </c>
      <c r="AA3" s="5">
        <v>0.3</v>
      </c>
      <c r="AB3">
        <f t="shared" ref="AB3:AB66" si="1">S3/AA3</f>
        <v>32.240666666666669</v>
      </c>
      <c r="AC3">
        <f>AC4*(1-$U$2)</f>
        <v>236.56693487999996</v>
      </c>
      <c r="AD3" s="5">
        <v>0.1</v>
      </c>
      <c r="AE3">
        <f t="shared" ref="AE3:AE66" si="2">AC3*AD3</f>
        <v>23.656693487999998</v>
      </c>
      <c r="AF3">
        <f t="shared" ref="AF3:AF66" si="3">IF(AB3&gt;AE3, 1, 0)</f>
        <v>1</v>
      </c>
    </row>
    <row r="4" spans="1:32" x14ac:dyDescent="0.25">
      <c r="A4" s="2">
        <v>3</v>
      </c>
      <c r="B4">
        <f t="shared" ref="B4:B51" si="4">B3+B3*C3</f>
        <v>1.1664000000000001</v>
      </c>
      <c r="C4" s="5">
        <v>0.08</v>
      </c>
      <c r="D4">
        <f t="shared" ref="D4:D51" si="5">D3+D3*C3</f>
        <v>8.2347839999999994</v>
      </c>
      <c r="Q4">
        <f>$D$2*((1+$C$2)^A3)</f>
        <v>8.2347839999999994</v>
      </c>
      <c r="R4">
        <f t="shared" ref="R4:R67" si="6">S4/((1+$U$2)^A3)</f>
        <v>11.793266286934852</v>
      </c>
      <c r="S4">
        <f t="shared" ref="S4:S67" si="7">S3*(1+T3)</f>
        <v>13.250914000000002</v>
      </c>
      <c r="T4" s="5">
        <v>0.37</v>
      </c>
      <c r="V4">
        <f>SUM($R$2:R4)</f>
        <v>27.977983268066925</v>
      </c>
      <c r="W4">
        <f t="shared" ref="W4:W67" si="8">V4/$W$2</f>
        <v>5.8992922169415353E-2</v>
      </c>
      <c r="Z4">
        <f t="shared" si="0"/>
        <v>35.79073866149912</v>
      </c>
      <c r="AA4" s="5">
        <v>0.3</v>
      </c>
      <c r="AB4">
        <f t="shared" si="1"/>
        <v>44.169713333333341</v>
      </c>
      <c r="AC4">
        <f>AC5*(1-$U$2)</f>
        <v>251.66695199999998</v>
      </c>
      <c r="AD4" s="5">
        <v>0.15</v>
      </c>
      <c r="AE4">
        <f t="shared" si="2"/>
        <v>37.750042799999996</v>
      </c>
      <c r="AF4">
        <f t="shared" si="3"/>
        <v>1</v>
      </c>
    </row>
    <row r="5" spans="1:32" x14ac:dyDescent="0.25">
      <c r="A5" s="2">
        <v>4</v>
      </c>
      <c r="B5">
        <f t="shared" si="4"/>
        <v>1.2597120000000002</v>
      </c>
      <c r="C5" s="5">
        <v>0.08</v>
      </c>
      <c r="D5">
        <f t="shared" si="5"/>
        <v>8.893566719999999</v>
      </c>
      <c r="Q5">
        <f t="shared" ref="Q5:Q51" si="9">$D$2*((1+$C$2)^A4)</f>
        <v>8.8935667200000008</v>
      </c>
      <c r="R5">
        <f t="shared" si="6"/>
        <v>15.242240389717686</v>
      </c>
      <c r="S5">
        <f>S4*(1+T4)</f>
        <v>18.153752180000005</v>
      </c>
      <c r="T5" s="5">
        <v>0.37</v>
      </c>
      <c r="V5">
        <f>SUM($R$2:R5)</f>
        <v>43.220223657784615</v>
      </c>
      <c r="W5">
        <f t="shared" si="8"/>
        <v>9.1131918478860999E-2</v>
      </c>
      <c r="Z5">
        <f t="shared" si="0"/>
        <v>26.12462676021833</v>
      </c>
      <c r="AA5" s="5">
        <v>0.3</v>
      </c>
      <c r="AB5">
        <f t="shared" si="1"/>
        <v>60.512507266666688</v>
      </c>
      <c r="AC5">
        <f>AC6*(1-$U$2)</f>
        <v>267.73079999999999</v>
      </c>
      <c r="AD5" s="5">
        <v>0.15</v>
      </c>
      <c r="AE5">
        <f t="shared" si="2"/>
        <v>40.159619999999997</v>
      </c>
      <c r="AF5">
        <f t="shared" si="3"/>
        <v>1</v>
      </c>
    </row>
    <row r="6" spans="1:32" x14ac:dyDescent="0.25">
      <c r="A6" s="2">
        <v>5</v>
      </c>
      <c r="B6">
        <f t="shared" si="4"/>
        <v>1.3604889600000001</v>
      </c>
      <c r="C6" s="5">
        <v>0.08</v>
      </c>
      <c r="D6">
        <f t="shared" si="5"/>
        <v>9.6050520575999982</v>
      </c>
      <c r="Q6">
        <f t="shared" si="9"/>
        <v>9.6050520576000018</v>
      </c>
      <c r="R6">
        <f t="shared" si="6"/>
        <v>19.699876730106823</v>
      </c>
      <c r="S6">
        <f>S5*(1+T5)</f>
        <v>24.87064048660001</v>
      </c>
      <c r="T6" s="5">
        <v>0.37</v>
      </c>
      <c r="V6">
        <f>SUM($R$2:R6)</f>
        <v>62.920100387891438</v>
      </c>
      <c r="W6" s="12">
        <f t="shared" si="8"/>
        <v>0.13267005521842754</v>
      </c>
      <c r="Z6">
        <f t="shared" si="0"/>
        <v>19.06907062789659</v>
      </c>
      <c r="AA6" s="5">
        <v>0.3</v>
      </c>
      <c r="AB6">
        <f t="shared" si="1"/>
        <v>82.902134955333366</v>
      </c>
      <c r="AC6">
        <f>AC7*(1-$U$2)</f>
        <v>284.82</v>
      </c>
      <c r="AD6" s="5">
        <v>0.2</v>
      </c>
      <c r="AE6">
        <f t="shared" si="2"/>
        <v>56.963999999999999</v>
      </c>
      <c r="AF6">
        <f t="shared" si="3"/>
        <v>1</v>
      </c>
    </row>
    <row r="7" spans="1:32" x14ac:dyDescent="0.25">
      <c r="A7" s="2">
        <v>6</v>
      </c>
      <c r="B7">
        <f t="shared" si="4"/>
        <v>1.4693280768000001</v>
      </c>
      <c r="C7" s="5">
        <v>0.08</v>
      </c>
      <c r="D7">
        <f t="shared" si="5"/>
        <v>10.373456222207999</v>
      </c>
      <c r="Q7">
        <f t="shared" si="9"/>
        <v>10.373456222208002</v>
      </c>
      <c r="R7">
        <f t="shared" si="6"/>
        <v>25.461161434194668</v>
      </c>
      <c r="S7">
        <f t="shared" si="7"/>
        <v>34.072777466642016</v>
      </c>
      <c r="T7" s="5">
        <v>0.37</v>
      </c>
      <c r="V7">
        <f>SUM($R$2:R7)</f>
        <v>88.381261822086103</v>
      </c>
      <c r="W7" s="13">
        <f t="shared" si="8"/>
        <v>0.18635613760824465</v>
      </c>
      <c r="Z7">
        <f t="shared" si="0"/>
        <v>13.919029655398969</v>
      </c>
      <c r="AA7" s="5">
        <v>0.3</v>
      </c>
      <c r="AB7">
        <f t="shared" si="1"/>
        <v>113.57592488880672</v>
      </c>
      <c r="AC7">
        <v>303</v>
      </c>
      <c r="AD7" s="5">
        <v>0.2</v>
      </c>
      <c r="AE7">
        <f t="shared" si="2"/>
        <v>60.6</v>
      </c>
      <c r="AF7">
        <f t="shared" si="3"/>
        <v>1</v>
      </c>
    </row>
    <row r="8" spans="1:32" x14ac:dyDescent="0.25">
      <c r="A8" s="2">
        <v>7</v>
      </c>
      <c r="B8">
        <f t="shared" si="4"/>
        <v>1.5868743229440001</v>
      </c>
      <c r="C8" s="5">
        <v>0.08</v>
      </c>
      <c r="D8">
        <f t="shared" si="5"/>
        <v>11.203332719984639</v>
      </c>
      <c r="Q8">
        <f t="shared" si="9"/>
        <v>11.203332719984644</v>
      </c>
      <c r="R8">
        <f t="shared" si="6"/>
        <v>32.907350155515751</v>
      </c>
      <c r="S8">
        <f>S7*(1+T7)</f>
        <v>46.679705129299563</v>
      </c>
      <c r="T8" s="5">
        <v>0.37</v>
      </c>
      <c r="V8">
        <f>SUM($R$2:R8)</f>
        <v>121.28861197760185</v>
      </c>
      <c r="W8">
        <f t="shared" si="8"/>
        <v>0.25574286673470636</v>
      </c>
      <c r="Z8">
        <f t="shared" si="0"/>
        <v>10.15987566087516</v>
      </c>
      <c r="AA8" s="5">
        <v>0.3</v>
      </c>
      <c r="AB8">
        <f t="shared" si="1"/>
        <v>155.59901709766521</v>
      </c>
      <c r="AC8">
        <f t="shared" ref="AC8:AC67" si="10">AC7*(1+$U$2)</f>
        <v>321.18</v>
      </c>
      <c r="AD8" s="5">
        <v>0.2</v>
      </c>
      <c r="AE8">
        <f t="shared" si="2"/>
        <v>64.236000000000004</v>
      </c>
      <c r="AF8">
        <f t="shared" si="3"/>
        <v>1</v>
      </c>
    </row>
    <row r="9" spans="1:32" x14ac:dyDescent="0.25">
      <c r="A9" s="2">
        <v>8</v>
      </c>
      <c r="B9">
        <f t="shared" si="4"/>
        <v>1.7138242687795202</v>
      </c>
      <c r="C9" s="5">
        <v>0.08</v>
      </c>
      <c r="D9">
        <f t="shared" si="5"/>
        <v>12.09959933758341</v>
      </c>
      <c r="Q9">
        <f t="shared" si="9"/>
        <v>12.099599337583415</v>
      </c>
      <c r="R9">
        <f t="shared" si="6"/>
        <v>42.531197842506202</v>
      </c>
      <c r="S9">
        <f t="shared" si="7"/>
        <v>63.951196027140405</v>
      </c>
      <c r="T9" s="5">
        <v>0.1</v>
      </c>
      <c r="V9">
        <f>SUM($R$2:R9)</f>
        <v>163.81980982010805</v>
      </c>
      <c r="W9" s="12">
        <f t="shared" si="8"/>
        <v>0.34542194117173713</v>
      </c>
      <c r="Z9">
        <f t="shared" si="0"/>
        <v>7.4159676356752984</v>
      </c>
      <c r="AA9" s="5">
        <v>0.3</v>
      </c>
      <c r="AB9">
        <f t="shared" si="1"/>
        <v>213.17065342380135</v>
      </c>
      <c r="AC9">
        <f t="shared" si="10"/>
        <v>340.45080000000002</v>
      </c>
      <c r="AD9" s="5">
        <v>0.2</v>
      </c>
      <c r="AE9">
        <f t="shared" si="2"/>
        <v>68.090160000000012</v>
      </c>
      <c r="AF9" s="2">
        <f t="shared" si="3"/>
        <v>1</v>
      </c>
    </row>
    <row r="10" spans="1:32" x14ac:dyDescent="0.25">
      <c r="A10" s="2">
        <v>9</v>
      </c>
      <c r="B10">
        <f t="shared" si="4"/>
        <v>1.8509302102818819</v>
      </c>
      <c r="C10" s="5">
        <v>0.08</v>
      </c>
      <c r="D10">
        <f t="shared" si="5"/>
        <v>13.067567284590082</v>
      </c>
      <c r="Q10">
        <f t="shared" si="9"/>
        <v>13.067567284590089</v>
      </c>
      <c r="R10">
        <f t="shared" si="6"/>
        <v>44.136148704487567</v>
      </c>
      <c r="S10">
        <f t="shared" si="7"/>
        <v>70.346315629854445</v>
      </c>
      <c r="T10" s="5">
        <v>0.1</v>
      </c>
      <c r="V10">
        <f>SUM($R$2:R10)</f>
        <v>207.95595852459562</v>
      </c>
      <c r="W10">
        <f t="shared" si="8"/>
        <v>0.43848513162525959</v>
      </c>
      <c r="Z10">
        <f t="shared" si="0"/>
        <v>6.7417887597048169</v>
      </c>
      <c r="AA10" s="5">
        <v>0.3</v>
      </c>
      <c r="AB10">
        <f t="shared" si="1"/>
        <v>234.4877187661815</v>
      </c>
      <c r="AC10">
        <f t="shared" si="10"/>
        <v>360.87784800000003</v>
      </c>
      <c r="AD10" s="5">
        <v>0.2</v>
      </c>
      <c r="AE10">
        <f t="shared" si="2"/>
        <v>72.175569600000003</v>
      </c>
      <c r="AF10" s="1">
        <f t="shared" si="3"/>
        <v>1</v>
      </c>
    </row>
    <row r="11" spans="1:32" x14ac:dyDescent="0.25">
      <c r="A11" s="2">
        <v>10</v>
      </c>
      <c r="B11">
        <f t="shared" si="4"/>
        <v>1.9990046271044324</v>
      </c>
      <c r="C11" s="5">
        <v>0.08</v>
      </c>
      <c r="D11">
        <f t="shared" si="5"/>
        <v>14.112972667357289</v>
      </c>
      <c r="Q11">
        <f t="shared" si="9"/>
        <v>14.112972667357296</v>
      </c>
      <c r="R11">
        <f t="shared" si="6"/>
        <v>45.801663749939934</v>
      </c>
      <c r="S11">
        <f t="shared" si="7"/>
        <v>77.380947192839898</v>
      </c>
      <c r="T11" s="5">
        <v>0.1</v>
      </c>
      <c r="V11">
        <f>SUM($R$2:R11)</f>
        <v>253.75762227453555</v>
      </c>
      <c r="W11">
        <f t="shared" si="8"/>
        <v>0.53506014058646223</v>
      </c>
      <c r="Z11">
        <f t="shared" si="0"/>
        <v>6.1288988724589242</v>
      </c>
      <c r="AA11" s="5">
        <v>0.3</v>
      </c>
      <c r="AB11">
        <f t="shared" si="1"/>
        <v>257.9364906427997</v>
      </c>
      <c r="AC11">
        <f t="shared" si="10"/>
        <v>382.53051888000005</v>
      </c>
      <c r="AD11" s="5">
        <v>0.2</v>
      </c>
      <c r="AE11">
        <f t="shared" si="2"/>
        <v>76.506103776000018</v>
      </c>
      <c r="AF11">
        <f t="shared" si="3"/>
        <v>1</v>
      </c>
    </row>
    <row r="12" spans="1:32" x14ac:dyDescent="0.25">
      <c r="A12" s="2">
        <v>11</v>
      </c>
      <c r="B12">
        <f t="shared" si="4"/>
        <v>2.1589249972727869</v>
      </c>
      <c r="C12" s="5">
        <v>0.08</v>
      </c>
      <c r="D12">
        <f t="shared" si="5"/>
        <v>15.242010480745872</v>
      </c>
      <c r="Q12">
        <f t="shared" si="9"/>
        <v>15.242010480745881</v>
      </c>
      <c r="R12">
        <f t="shared" si="6"/>
        <v>47.530028419748987</v>
      </c>
      <c r="S12">
        <f t="shared" si="7"/>
        <v>85.11904191212389</v>
      </c>
      <c r="T12" s="5">
        <v>0.08</v>
      </c>
      <c r="V12">
        <f>SUM($R$2:R12)</f>
        <v>301.28765069428454</v>
      </c>
      <c r="W12" s="13">
        <f t="shared" si="8"/>
        <v>0.6352794895084648</v>
      </c>
      <c r="Z12">
        <f t="shared" si="0"/>
        <v>5.5717262476899307</v>
      </c>
      <c r="AA12" s="5">
        <v>0.3</v>
      </c>
      <c r="AB12">
        <f t="shared" si="1"/>
        <v>283.73013970707967</v>
      </c>
      <c r="AC12">
        <f t="shared" si="10"/>
        <v>405.48235001280005</v>
      </c>
      <c r="AD12" s="5">
        <v>0.2</v>
      </c>
      <c r="AE12">
        <f t="shared" si="2"/>
        <v>81.096470002560011</v>
      </c>
      <c r="AF12" s="1">
        <f t="shared" si="3"/>
        <v>1</v>
      </c>
    </row>
    <row r="13" spans="1:32" x14ac:dyDescent="0.25">
      <c r="A13" s="2">
        <v>12</v>
      </c>
      <c r="B13">
        <f t="shared" si="4"/>
        <v>2.3316389970546099</v>
      </c>
      <c r="C13" s="5">
        <v>0.08</v>
      </c>
      <c r="D13">
        <f t="shared" si="5"/>
        <v>16.46137131920554</v>
      </c>
      <c r="Q13">
        <f t="shared" si="9"/>
        <v>16.461371319205551</v>
      </c>
      <c r="R13">
        <f t="shared" si="6"/>
        <v>48.426821408800855</v>
      </c>
      <c r="S13">
        <f t="shared" si="7"/>
        <v>91.928565265093809</v>
      </c>
      <c r="T13" s="5">
        <v>0.08</v>
      </c>
      <c r="V13">
        <f>SUM($R$2:R13)</f>
        <v>349.71447210308537</v>
      </c>
      <c r="W13" s="13">
        <f t="shared" si="8"/>
        <v>0.73738976954220337</v>
      </c>
      <c r="Z13">
        <f t="shared" si="0"/>
        <v>5.1590057848980839</v>
      </c>
      <c r="AA13" s="5">
        <v>0.3</v>
      </c>
      <c r="AB13">
        <f t="shared" si="1"/>
        <v>306.42855088364604</v>
      </c>
      <c r="AC13">
        <f t="shared" si="10"/>
        <v>429.81129101356805</v>
      </c>
      <c r="AD13" s="5">
        <v>0.2</v>
      </c>
      <c r="AE13">
        <f t="shared" si="2"/>
        <v>85.962258202713613</v>
      </c>
      <c r="AF13">
        <f t="shared" si="3"/>
        <v>1</v>
      </c>
    </row>
    <row r="14" spans="1:32" x14ac:dyDescent="0.25">
      <c r="A14" s="2">
        <v>13</v>
      </c>
      <c r="B14">
        <f t="shared" si="4"/>
        <v>2.5181701168189785</v>
      </c>
      <c r="C14" s="5">
        <v>0.08</v>
      </c>
      <c r="D14">
        <f t="shared" si="5"/>
        <v>17.778281024741982</v>
      </c>
      <c r="Q14">
        <f t="shared" si="9"/>
        <v>17.778281024741997</v>
      </c>
      <c r="R14">
        <f t="shared" si="6"/>
        <v>49.34053502028766</v>
      </c>
      <c r="S14">
        <f t="shared" si="7"/>
        <v>99.282850486301314</v>
      </c>
      <c r="T14" s="5">
        <v>0.08</v>
      </c>
      <c r="V14">
        <f>SUM($R$2:R14)</f>
        <v>399.055007123373</v>
      </c>
      <c r="W14" s="13">
        <f t="shared" si="8"/>
        <v>0.84142665863318222</v>
      </c>
      <c r="Z14">
        <f>$W$2/S14</f>
        <v>4.7768572082389662</v>
      </c>
      <c r="AA14" s="5">
        <v>0.3</v>
      </c>
      <c r="AB14">
        <f>S14/AA14</f>
        <v>330.94283495433774</v>
      </c>
      <c r="AC14">
        <f t="shared" si="10"/>
        <v>455.59996847438214</v>
      </c>
      <c r="AD14" s="5">
        <v>0.2</v>
      </c>
      <c r="AE14">
        <f t="shared" si="2"/>
        <v>91.119993694876428</v>
      </c>
      <c r="AF14">
        <f t="shared" si="3"/>
        <v>1</v>
      </c>
    </row>
    <row r="15" spans="1:32" x14ac:dyDescent="0.25">
      <c r="A15" s="2">
        <v>14</v>
      </c>
      <c r="B15">
        <f t="shared" si="4"/>
        <v>2.7196237261644969</v>
      </c>
      <c r="C15" s="5">
        <v>0.08</v>
      </c>
      <c r="D15">
        <f t="shared" si="5"/>
        <v>19.200543506721342</v>
      </c>
      <c r="Q15">
        <f t="shared" si="9"/>
        <v>19.200543506721356</v>
      </c>
      <c r="R15">
        <f t="shared" si="6"/>
        <v>50.271488511236484</v>
      </c>
      <c r="S15">
        <f t="shared" si="7"/>
        <v>107.22547852520543</v>
      </c>
      <c r="T15" s="5">
        <v>0.08</v>
      </c>
      <c r="V15">
        <f>SUM($R$2:R15)</f>
        <v>449.3264956346095</v>
      </c>
      <c r="W15" s="13">
        <f t="shared" si="8"/>
        <v>0.94742650789568905</v>
      </c>
      <c r="Z15">
        <f t="shared" ref="Z15:Z78" si="11">$W$2/S15</f>
        <v>4.4230159335545975</v>
      </c>
      <c r="AA15" s="5">
        <v>0.3</v>
      </c>
      <c r="AB15">
        <f t="shared" si="1"/>
        <v>357.41826175068479</v>
      </c>
      <c r="AC15">
        <f t="shared" si="10"/>
        <v>482.93596658284508</v>
      </c>
      <c r="AD15" s="5">
        <v>0.2</v>
      </c>
      <c r="AE15">
        <f t="shared" si="2"/>
        <v>96.587193316569028</v>
      </c>
      <c r="AF15">
        <f t="shared" si="3"/>
        <v>1</v>
      </c>
    </row>
    <row r="16" spans="1:32" x14ac:dyDescent="0.25">
      <c r="A16" s="2">
        <v>15</v>
      </c>
      <c r="B16">
        <f t="shared" si="4"/>
        <v>2.9371936242576568</v>
      </c>
      <c r="C16" s="5">
        <v>0.08</v>
      </c>
      <c r="D16">
        <f t="shared" si="5"/>
        <v>20.736586987259049</v>
      </c>
      <c r="Q16">
        <f t="shared" si="9"/>
        <v>20.73658698725907</v>
      </c>
      <c r="R16">
        <f t="shared" si="6"/>
        <v>51.220007162391894</v>
      </c>
      <c r="S16">
        <f t="shared" si="7"/>
        <v>115.80351680722187</v>
      </c>
      <c r="T16" s="5">
        <v>0.08</v>
      </c>
      <c r="V16">
        <f>SUM($R$2:R16)</f>
        <v>500.54650279700138</v>
      </c>
      <c r="W16">
        <f t="shared" si="8"/>
        <v>1.0554263543140923</v>
      </c>
      <c r="Z16">
        <f t="shared" si="11"/>
        <v>4.0953851236616643</v>
      </c>
      <c r="AA16" s="5">
        <v>0.3</v>
      </c>
      <c r="AB16">
        <f t="shared" si="1"/>
        <v>386.01172269073959</v>
      </c>
      <c r="AC16">
        <f t="shared" si="10"/>
        <v>511.9121245778158</v>
      </c>
      <c r="AD16" s="5">
        <v>0.2</v>
      </c>
      <c r="AE16">
        <f t="shared" si="2"/>
        <v>102.38242491556316</v>
      </c>
      <c r="AF16">
        <f t="shared" si="3"/>
        <v>1</v>
      </c>
    </row>
    <row r="17" spans="1:32" x14ac:dyDescent="0.25">
      <c r="A17" s="2">
        <v>16</v>
      </c>
      <c r="B17">
        <f t="shared" si="4"/>
        <v>3.1721691141982693</v>
      </c>
      <c r="C17" s="5">
        <v>0.08</v>
      </c>
      <c r="D17">
        <f t="shared" si="5"/>
        <v>22.395513946239774</v>
      </c>
      <c r="Q17">
        <f t="shared" si="9"/>
        <v>22.395513946239795</v>
      </c>
      <c r="R17">
        <f t="shared" si="6"/>
        <v>52.18642239187097</v>
      </c>
      <c r="S17">
        <f t="shared" si="7"/>
        <v>125.06779815179962</v>
      </c>
      <c r="T17" s="5">
        <v>0.08</v>
      </c>
      <c r="V17">
        <f>SUM($R$2:R17)</f>
        <v>552.7329251888724</v>
      </c>
      <c r="W17">
        <f t="shared" si="8"/>
        <v>1.1654639336837862</v>
      </c>
      <c r="Z17">
        <f t="shared" si="11"/>
        <v>3.7920232626496895</v>
      </c>
      <c r="AA17" s="5">
        <v>0.3</v>
      </c>
      <c r="AB17">
        <f t="shared" si="1"/>
        <v>416.89266050599878</v>
      </c>
      <c r="AC17">
        <f t="shared" si="10"/>
        <v>542.62685205248476</v>
      </c>
      <c r="AD17" s="5">
        <v>0.2</v>
      </c>
      <c r="AE17">
        <f t="shared" si="2"/>
        <v>108.52537041049696</v>
      </c>
      <c r="AF17">
        <f t="shared" si="3"/>
        <v>1</v>
      </c>
    </row>
    <row r="18" spans="1:32" x14ac:dyDescent="0.25">
      <c r="A18" s="2">
        <v>17</v>
      </c>
      <c r="B18">
        <f t="shared" si="4"/>
        <v>3.4259426433341309</v>
      </c>
      <c r="C18" s="5">
        <v>0.08</v>
      </c>
      <c r="D18">
        <f t="shared" si="5"/>
        <v>24.187155061938956</v>
      </c>
      <c r="Q18">
        <f t="shared" si="9"/>
        <v>24.187155061938977</v>
      </c>
      <c r="R18">
        <f t="shared" si="6"/>
        <v>53.171071870962898</v>
      </c>
      <c r="S18">
        <f t="shared" si="7"/>
        <v>135.07322200394361</v>
      </c>
      <c r="T18" s="5">
        <v>0.08</v>
      </c>
      <c r="V18">
        <f>SUM($R$2:R18)</f>
        <v>605.90399705983532</v>
      </c>
      <c r="W18" s="13">
        <f t="shared" si="8"/>
        <v>1.2775776937963044</v>
      </c>
      <c r="Z18">
        <f t="shared" si="11"/>
        <v>3.5111326506015637</v>
      </c>
      <c r="AA18" s="5">
        <v>0.3</v>
      </c>
      <c r="AB18">
        <f t="shared" si="1"/>
        <v>450.24407334647873</v>
      </c>
      <c r="AC18">
        <f t="shared" si="10"/>
        <v>575.18446317563382</v>
      </c>
      <c r="AD18" s="5">
        <v>0.2</v>
      </c>
      <c r="AE18">
        <f t="shared" si="2"/>
        <v>115.03689263512678</v>
      </c>
      <c r="AF18">
        <f t="shared" si="3"/>
        <v>1</v>
      </c>
    </row>
    <row r="19" spans="1:32" x14ac:dyDescent="0.25">
      <c r="A19" s="2">
        <v>18</v>
      </c>
      <c r="B19">
        <f t="shared" si="4"/>
        <v>3.7000180548008612</v>
      </c>
      <c r="C19" s="5">
        <v>0.08</v>
      </c>
      <c r="D19">
        <f t="shared" si="5"/>
        <v>26.122127466894071</v>
      </c>
      <c r="Q19">
        <f t="shared" si="9"/>
        <v>26.122127466894099</v>
      </c>
      <c r="R19">
        <f t="shared" si="6"/>
        <v>54.174299642113134</v>
      </c>
      <c r="S19">
        <f t="shared" si="7"/>
        <v>145.8790797642591</v>
      </c>
      <c r="T19" s="5">
        <v>0.08</v>
      </c>
      <c r="V19">
        <f>SUM($R$2:R19)</f>
        <v>660.07829670194849</v>
      </c>
      <c r="W19">
        <f t="shared" si="8"/>
        <v>1.3918068078732098</v>
      </c>
      <c r="Z19">
        <f t="shared" si="11"/>
        <v>3.2510487505570032</v>
      </c>
      <c r="AA19" s="5">
        <v>0.3</v>
      </c>
      <c r="AB19">
        <f t="shared" si="1"/>
        <v>486.26359921419703</v>
      </c>
      <c r="AC19">
        <f t="shared" si="10"/>
        <v>609.69553096617187</v>
      </c>
      <c r="AD19" s="5">
        <v>0.2</v>
      </c>
      <c r="AE19">
        <f t="shared" si="2"/>
        <v>121.93910619323438</v>
      </c>
      <c r="AF19">
        <f t="shared" si="3"/>
        <v>1</v>
      </c>
    </row>
    <row r="20" spans="1:32" x14ac:dyDescent="0.25">
      <c r="A20" s="2">
        <v>19</v>
      </c>
      <c r="B20">
        <f t="shared" si="4"/>
        <v>3.9960194991849303</v>
      </c>
      <c r="C20" s="5">
        <v>0.08</v>
      </c>
      <c r="D20">
        <f t="shared" si="5"/>
        <v>28.211897664245598</v>
      </c>
      <c r="Q20">
        <f t="shared" si="9"/>
        <v>28.21189766424563</v>
      </c>
      <c r="R20">
        <f t="shared" si="6"/>
        <v>55.196456239134143</v>
      </c>
      <c r="S20">
        <f t="shared" si="7"/>
        <v>157.54940614539984</v>
      </c>
      <c r="T20" s="5">
        <v>0.08</v>
      </c>
      <c r="V20">
        <f>SUM($R$2:R20)</f>
        <v>715.27475294108262</v>
      </c>
      <c r="W20">
        <f t="shared" si="8"/>
        <v>1.5081911882534531</v>
      </c>
      <c r="Z20">
        <f t="shared" si="11"/>
        <v>3.0102303245898177</v>
      </c>
      <c r="AA20" s="5">
        <v>0.3</v>
      </c>
      <c r="AB20">
        <f t="shared" si="1"/>
        <v>525.16468715133283</v>
      </c>
      <c r="AC20">
        <f t="shared" si="10"/>
        <v>646.27726282414221</v>
      </c>
      <c r="AD20" s="5">
        <v>0.2</v>
      </c>
      <c r="AE20">
        <f t="shared" si="2"/>
        <v>129.25545256482846</v>
      </c>
      <c r="AF20">
        <f t="shared" si="3"/>
        <v>1</v>
      </c>
    </row>
    <row r="21" spans="1:32" x14ac:dyDescent="0.25">
      <c r="A21" s="2">
        <v>20</v>
      </c>
      <c r="B21">
        <f t="shared" si="4"/>
        <v>4.3157010591197249</v>
      </c>
      <c r="C21" s="5">
        <v>0.08</v>
      </c>
      <c r="D21">
        <f t="shared" si="5"/>
        <v>30.468849477385245</v>
      </c>
      <c r="Q21">
        <f t="shared" si="9"/>
        <v>30.46884947738528</v>
      </c>
      <c r="R21">
        <f t="shared" si="6"/>
        <v>56.237898809683834</v>
      </c>
      <c r="S21">
        <f t="shared" si="7"/>
        <v>170.15335863703183</v>
      </c>
      <c r="T21" s="5">
        <v>0.08</v>
      </c>
      <c r="V21">
        <f>SUM($R$2:R21)</f>
        <v>771.51265175076651</v>
      </c>
      <c r="W21" s="12">
        <f t="shared" si="8"/>
        <v>1.626771500338984</v>
      </c>
      <c r="Z21">
        <f t="shared" si="11"/>
        <v>2.7872503005461273</v>
      </c>
      <c r="AA21" s="5">
        <v>0.3</v>
      </c>
      <c r="AB21">
        <f t="shared" si="1"/>
        <v>567.17786212343947</v>
      </c>
      <c r="AC21">
        <f t="shared" si="10"/>
        <v>685.05389859359082</v>
      </c>
      <c r="AD21" s="5">
        <v>0.2</v>
      </c>
      <c r="AE21">
        <f t="shared" si="2"/>
        <v>137.01077971871817</v>
      </c>
      <c r="AF21">
        <f t="shared" si="3"/>
        <v>1</v>
      </c>
    </row>
    <row r="22" spans="1:32" x14ac:dyDescent="0.25">
      <c r="A22" s="2">
        <v>21</v>
      </c>
      <c r="B22">
        <f t="shared" si="4"/>
        <v>4.6609571438493029</v>
      </c>
      <c r="C22" s="5">
        <v>0.08</v>
      </c>
      <c r="D22">
        <f t="shared" si="5"/>
        <v>32.906357435576062</v>
      </c>
      <c r="Q22">
        <f t="shared" si="9"/>
        <v>32.906357435576105</v>
      </c>
      <c r="R22">
        <f t="shared" si="6"/>
        <v>57.298991240055237</v>
      </c>
      <c r="S22">
        <f t="shared" si="7"/>
        <v>183.76562732799439</v>
      </c>
      <c r="T22" s="5">
        <v>0.08</v>
      </c>
      <c r="V22">
        <f>SUM($R$2:R22)</f>
        <v>828.81164299082172</v>
      </c>
      <c r="W22">
        <f t="shared" si="8"/>
        <v>1.747589176803487</v>
      </c>
      <c r="Z22">
        <f t="shared" si="11"/>
        <v>2.5807873153204883</v>
      </c>
      <c r="AA22" s="5">
        <v>0.3</v>
      </c>
      <c r="AB22">
        <f t="shared" si="1"/>
        <v>612.55209109331463</v>
      </c>
      <c r="AC22">
        <f t="shared" si="10"/>
        <v>726.15713250920635</v>
      </c>
      <c r="AD22" s="5">
        <v>0.2</v>
      </c>
      <c r="AE22">
        <f t="shared" si="2"/>
        <v>145.23142650184127</v>
      </c>
      <c r="AF22">
        <f t="shared" si="3"/>
        <v>1</v>
      </c>
    </row>
    <row r="23" spans="1:32" x14ac:dyDescent="0.25">
      <c r="A23" s="2">
        <v>22</v>
      </c>
      <c r="B23">
        <f t="shared" si="4"/>
        <v>5.0338337153572468</v>
      </c>
      <c r="C23" s="5">
        <v>0.08</v>
      </c>
      <c r="D23">
        <f t="shared" si="5"/>
        <v>35.538866030422149</v>
      </c>
      <c r="Q23">
        <f t="shared" si="9"/>
        <v>35.538866030422191</v>
      </c>
      <c r="R23">
        <f t="shared" si="6"/>
        <v>58.380104282320424</v>
      </c>
      <c r="S23">
        <f t="shared" si="7"/>
        <v>198.46687751423397</v>
      </c>
      <c r="T23" s="5">
        <v>0.08</v>
      </c>
      <c r="V23">
        <f>SUM($R$2:R23)</f>
        <v>887.19174727314214</v>
      </c>
      <c r="W23">
        <f t="shared" si="8"/>
        <v>1.8706864320692072</v>
      </c>
      <c r="Z23">
        <f t="shared" si="11"/>
        <v>2.3896178845560074</v>
      </c>
      <c r="AA23" s="5">
        <v>0.3</v>
      </c>
      <c r="AB23">
        <f t="shared" si="1"/>
        <v>661.55625838077992</v>
      </c>
      <c r="AC23">
        <f t="shared" si="10"/>
        <v>769.72656045975873</v>
      </c>
      <c r="AD23" s="5">
        <v>0.2</v>
      </c>
      <c r="AE23">
        <f t="shared" si="2"/>
        <v>153.94531209195176</v>
      </c>
      <c r="AF23">
        <f t="shared" si="3"/>
        <v>1</v>
      </c>
    </row>
    <row r="24" spans="1:32" x14ac:dyDescent="0.25">
      <c r="A24" s="2">
        <v>23</v>
      </c>
      <c r="B24">
        <f t="shared" si="4"/>
        <v>5.4365404125858268</v>
      </c>
      <c r="C24" s="5">
        <v>0.08</v>
      </c>
      <c r="D24">
        <f t="shared" si="5"/>
        <v>38.381975312855921</v>
      </c>
      <c r="Q24">
        <f t="shared" si="9"/>
        <v>38.381975312855971</v>
      </c>
      <c r="R24">
        <f t="shared" si="6"/>
        <v>59.481615683873642</v>
      </c>
      <c r="S24">
        <f t="shared" si="7"/>
        <v>214.34422771537271</v>
      </c>
      <c r="T24" s="5">
        <v>0.08</v>
      </c>
      <c r="V24">
        <f>SUM($R$2:R24)</f>
        <v>946.6733629570158</v>
      </c>
      <c r="W24">
        <f t="shared" si="8"/>
        <v>1.996106277056922</v>
      </c>
      <c r="Z24">
        <f t="shared" si="11"/>
        <v>2.2126091523666731</v>
      </c>
      <c r="AA24" s="5">
        <v>0.3</v>
      </c>
      <c r="AB24">
        <f t="shared" si="1"/>
        <v>714.48075905124244</v>
      </c>
      <c r="AC24">
        <f t="shared" si="10"/>
        <v>815.91015408734427</v>
      </c>
      <c r="AD24" s="5">
        <v>0.2</v>
      </c>
      <c r="AE24">
        <f t="shared" si="2"/>
        <v>163.18203081746887</v>
      </c>
      <c r="AF24">
        <f t="shared" si="3"/>
        <v>1</v>
      </c>
    </row>
    <row r="25" spans="1:32" x14ac:dyDescent="0.25">
      <c r="A25" s="2">
        <v>24</v>
      </c>
      <c r="B25">
        <f t="shared" si="4"/>
        <v>5.8714636455926925</v>
      </c>
      <c r="C25" s="5">
        <v>0.08</v>
      </c>
      <c r="D25">
        <f t="shared" si="5"/>
        <v>41.452533337884397</v>
      </c>
      <c r="Q25">
        <f t="shared" si="9"/>
        <v>41.452533337884454</v>
      </c>
      <c r="R25">
        <f t="shared" si="6"/>
        <v>60.603910319418425</v>
      </c>
      <c r="S25">
        <f t="shared" si="7"/>
        <v>231.49176593260253</v>
      </c>
      <c r="T25" s="5">
        <v>0.08</v>
      </c>
      <c r="V25">
        <f>SUM($R$2:R25)</f>
        <v>1007.2772732764342</v>
      </c>
      <c r="W25">
        <f t="shared" si="8"/>
        <v>2.1238925342142165</v>
      </c>
      <c r="Z25">
        <f t="shared" si="11"/>
        <v>2.0487121781172899</v>
      </c>
      <c r="AA25" s="5">
        <v>0.3</v>
      </c>
      <c r="AB25">
        <f t="shared" si="1"/>
        <v>771.63921977534176</v>
      </c>
      <c r="AC25">
        <f t="shared" si="10"/>
        <v>864.86476333258497</v>
      </c>
      <c r="AD25" s="5">
        <v>0.2</v>
      </c>
      <c r="AE25">
        <f t="shared" si="2"/>
        <v>172.97295266651702</v>
      </c>
      <c r="AF25">
        <f t="shared" si="3"/>
        <v>1</v>
      </c>
    </row>
    <row r="26" spans="1:32" x14ac:dyDescent="0.25">
      <c r="A26" s="2">
        <v>25</v>
      </c>
      <c r="B26">
        <f t="shared" si="4"/>
        <v>6.3411807372401077</v>
      </c>
      <c r="C26" s="5">
        <v>0.08</v>
      </c>
      <c r="D26">
        <f t="shared" si="5"/>
        <v>44.768736004915148</v>
      </c>
      <c r="Q26">
        <f t="shared" si="9"/>
        <v>44.768736004915205</v>
      </c>
      <c r="R26">
        <f t="shared" si="6"/>
        <v>61.747380325445199</v>
      </c>
      <c r="S26">
        <f t="shared" si="7"/>
        <v>250.01110720721076</v>
      </c>
      <c r="T26" s="5">
        <v>0.08</v>
      </c>
      <c r="V26">
        <f>SUM($R$2:R26)</f>
        <v>1069.0246536018794</v>
      </c>
      <c r="W26">
        <f t="shared" si="8"/>
        <v>2.2540898528273088</v>
      </c>
      <c r="Z26">
        <f t="shared" si="11"/>
        <v>1.896955720478972</v>
      </c>
      <c r="AA26" s="5">
        <v>0.3</v>
      </c>
      <c r="AB26">
        <f t="shared" si="1"/>
        <v>833.37035735736924</v>
      </c>
      <c r="AC26">
        <f t="shared" si="10"/>
        <v>916.75664913254013</v>
      </c>
      <c r="AD26" s="5">
        <v>0.2</v>
      </c>
      <c r="AE26">
        <f t="shared" si="2"/>
        <v>183.35132982650805</v>
      </c>
      <c r="AF26">
        <f t="shared" si="3"/>
        <v>1</v>
      </c>
    </row>
    <row r="27" spans="1:32" x14ac:dyDescent="0.25">
      <c r="A27" s="2">
        <v>26</v>
      </c>
      <c r="B27">
        <f t="shared" si="4"/>
        <v>6.848475196219316</v>
      </c>
      <c r="C27" s="5">
        <v>0.08</v>
      </c>
      <c r="D27">
        <f t="shared" si="5"/>
        <v>48.35023488530836</v>
      </c>
      <c r="Q27">
        <f t="shared" si="9"/>
        <v>48.350234885308431</v>
      </c>
      <c r="R27">
        <f t="shared" si="6"/>
        <v>62.912425237246062</v>
      </c>
      <c r="S27">
        <f t="shared" si="7"/>
        <v>270.01199578378765</v>
      </c>
      <c r="T27" s="5">
        <v>0.08</v>
      </c>
      <c r="V27">
        <f>SUM($R$2:R27)</f>
        <v>1131.9370788391254</v>
      </c>
      <c r="W27">
        <f t="shared" si="8"/>
        <v>2.38674372462178</v>
      </c>
      <c r="Z27">
        <f t="shared" si="11"/>
        <v>1.7564404819249739</v>
      </c>
      <c r="AA27" s="5">
        <v>0.3</v>
      </c>
      <c r="AB27">
        <f t="shared" si="1"/>
        <v>900.03998594595885</v>
      </c>
      <c r="AC27">
        <f t="shared" si="10"/>
        <v>971.7620480804926</v>
      </c>
      <c r="AD27" s="5">
        <v>0.2</v>
      </c>
      <c r="AE27">
        <f t="shared" si="2"/>
        <v>194.35240961609853</v>
      </c>
      <c r="AF27">
        <f t="shared" si="3"/>
        <v>1</v>
      </c>
    </row>
    <row r="28" spans="1:32" x14ac:dyDescent="0.25">
      <c r="A28" s="2">
        <v>27</v>
      </c>
      <c r="B28">
        <f t="shared" si="4"/>
        <v>7.3963532119168613</v>
      </c>
      <c r="C28" s="5">
        <v>0.08</v>
      </c>
      <c r="D28">
        <f t="shared" si="5"/>
        <v>52.218253676133031</v>
      </c>
      <c r="Q28">
        <f t="shared" si="9"/>
        <v>52.218253676133102</v>
      </c>
      <c r="R28">
        <f t="shared" si="6"/>
        <v>64.099452128514855</v>
      </c>
      <c r="S28">
        <f t="shared" si="7"/>
        <v>291.61295544649067</v>
      </c>
      <c r="T28" s="5">
        <v>0.08</v>
      </c>
      <c r="V28">
        <f>SUM($R$2:R28)</f>
        <v>1196.0365309676404</v>
      </c>
      <c r="W28">
        <f t="shared" si="8"/>
        <v>2.5219004996576571</v>
      </c>
      <c r="Z28">
        <f t="shared" si="11"/>
        <v>1.6263337795601609</v>
      </c>
      <c r="AA28" s="5">
        <v>0.3</v>
      </c>
      <c r="AB28">
        <f t="shared" si="1"/>
        <v>972.04318482163558</v>
      </c>
      <c r="AC28">
        <f t="shared" si="10"/>
        <v>1030.0677709653223</v>
      </c>
      <c r="AD28" s="5">
        <v>0.2</v>
      </c>
      <c r="AE28">
        <f t="shared" si="2"/>
        <v>206.01355419306446</v>
      </c>
      <c r="AF28">
        <f t="shared" si="3"/>
        <v>1</v>
      </c>
    </row>
    <row r="29" spans="1:32" x14ac:dyDescent="0.25">
      <c r="A29" s="2">
        <v>28</v>
      </c>
      <c r="B29">
        <f t="shared" si="4"/>
        <v>7.9880614688702103</v>
      </c>
      <c r="C29" s="5">
        <v>0.08</v>
      </c>
      <c r="D29">
        <f t="shared" si="5"/>
        <v>56.395713970223674</v>
      </c>
      <c r="Q29">
        <f t="shared" si="9"/>
        <v>56.395713970223753</v>
      </c>
      <c r="R29">
        <f t="shared" si="6"/>
        <v>65.308875753581162</v>
      </c>
      <c r="S29">
        <f t="shared" si="7"/>
        <v>314.94199188220995</v>
      </c>
      <c r="T29" s="5">
        <v>0.08</v>
      </c>
      <c r="V29">
        <f>SUM($R$2:R29)</f>
        <v>1261.3454067212215</v>
      </c>
      <c r="W29">
        <f t="shared" si="8"/>
        <v>2.659607402524399</v>
      </c>
      <c r="Z29">
        <f t="shared" si="11"/>
        <v>1.5058646107038527</v>
      </c>
      <c r="AA29" s="5">
        <v>0.3</v>
      </c>
      <c r="AB29">
        <f t="shared" si="1"/>
        <v>1049.8066396073666</v>
      </c>
      <c r="AC29">
        <f t="shared" si="10"/>
        <v>1091.8718372232418</v>
      </c>
      <c r="AD29" s="5">
        <v>0.2</v>
      </c>
      <c r="AE29">
        <f t="shared" si="2"/>
        <v>218.37436744464836</v>
      </c>
      <c r="AF29">
        <f t="shared" si="3"/>
        <v>1</v>
      </c>
    </row>
    <row r="30" spans="1:32" x14ac:dyDescent="0.25">
      <c r="A30" s="2">
        <v>29</v>
      </c>
      <c r="B30">
        <f t="shared" si="4"/>
        <v>8.6271063863798272</v>
      </c>
      <c r="C30" s="5">
        <v>0.08</v>
      </c>
      <c r="D30">
        <f t="shared" si="5"/>
        <v>60.907371087841568</v>
      </c>
      <c r="Q30">
        <f t="shared" si="9"/>
        <v>60.907371087841653</v>
      </c>
      <c r="R30">
        <f t="shared" si="6"/>
        <v>66.541118692327984</v>
      </c>
      <c r="S30">
        <f t="shared" si="7"/>
        <v>340.13735123278678</v>
      </c>
      <c r="T30" s="5">
        <v>0.08</v>
      </c>
      <c r="V30">
        <f>SUM($R$2:R30)</f>
        <v>1327.8865254135494</v>
      </c>
      <c r="W30">
        <f t="shared" si="8"/>
        <v>2.7999125488414571</v>
      </c>
      <c r="Z30">
        <f t="shared" si="11"/>
        <v>1.3943190839850486</v>
      </c>
      <c r="AA30" s="5">
        <v>0.3</v>
      </c>
      <c r="AB30">
        <f t="shared" si="1"/>
        <v>1133.7911707759561</v>
      </c>
      <c r="AC30">
        <f t="shared" si="10"/>
        <v>1157.3841474566364</v>
      </c>
      <c r="AD30" s="5">
        <v>0.2</v>
      </c>
      <c r="AE30">
        <f t="shared" si="2"/>
        <v>231.47682949132729</v>
      </c>
      <c r="AF30">
        <f t="shared" si="3"/>
        <v>1</v>
      </c>
    </row>
    <row r="31" spans="1:32" x14ac:dyDescent="0.25">
      <c r="A31" s="2">
        <v>30</v>
      </c>
      <c r="B31">
        <f t="shared" si="4"/>
        <v>9.3172748972902131</v>
      </c>
      <c r="C31" s="5">
        <v>0.08</v>
      </c>
      <c r="D31">
        <f t="shared" si="5"/>
        <v>65.779960774868897</v>
      </c>
      <c r="Q31">
        <f t="shared" si="9"/>
        <v>65.779960774868982</v>
      </c>
      <c r="R31">
        <f t="shared" si="6"/>
        <v>67.796611497843614</v>
      </c>
      <c r="S31">
        <f t="shared" si="7"/>
        <v>367.34833933140976</v>
      </c>
      <c r="T31" s="5">
        <v>0.08</v>
      </c>
      <c r="V31">
        <f>SUM($R$2:R31)</f>
        <v>1395.6831369113929</v>
      </c>
      <c r="W31">
        <f t="shared" si="8"/>
        <v>2.9428649620701575</v>
      </c>
      <c r="Z31">
        <f t="shared" si="11"/>
        <v>1.2910361888750448</v>
      </c>
      <c r="AA31" s="5">
        <v>0.3</v>
      </c>
      <c r="AB31">
        <f t="shared" si="1"/>
        <v>1224.4944644380325</v>
      </c>
      <c r="AC31">
        <f t="shared" si="10"/>
        <v>1226.8271963040345</v>
      </c>
      <c r="AD31" s="5">
        <v>0.2</v>
      </c>
      <c r="AE31">
        <f t="shared" si="2"/>
        <v>245.36543926080691</v>
      </c>
      <c r="AF31">
        <f t="shared" si="3"/>
        <v>1</v>
      </c>
    </row>
    <row r="32" spans="1:32" x14ac:dyDescent="0.25">
      <c r="A32" s="2">
        <v>31</v>
      </c>
      <c r="B32">
        <f t="shared" si="4"/>
        <v>10.06265688907343</v>
      </c>
      <c r="C32" s="5">
        <v>0.08</v>
      </c>
      <c r="D32">
        <f t="shared" si="5"/>
        <v>71.042357636858412</v>
      </c>
      <c r="Q32">
        <f t="shared" si="9"/>
        <v>71.042357636858512</v>
      </c>
      <c r="R32">
        <f t="shared" si="6"/>
        <v>69.075792846859528</v>
      </c>
      <c r="S32">
        <f t="shared" si="7"/>
        <v>396.73620647792256</v>
      </c>
      <c r="T32" s="5">
        <v>0.08</v>
      </c>
      <c r="V32">
        <f>SUM($R$2:R32)</f>
        <v>1464.7589297582524</v>
      </c>
      <c r="W32">
        <f t="shared" si="8"/>
        <v>3.088514590642796</v>
      </c>
      <c r="Z32">
        <f t="shared" si="11"/>
        <v>1.1954038785880043</v>
      </c>
      <c r="AA32" s="5">
        <v>0.3</v>
      </c>
      <c r="AB32">
        <f t="shared" si="1"/>
        <v>1322.4540215930754</v>
      </c>
      <c r="AC32">
        <f t="shared" si="10"/>
        <v>1300.4368280822766</v>
      </c>
      <c r="AD32" s="5">
        <v>0.2</v>
      </c>
      <c r="AE32">
        <f t="shared" si="2"/>
        <v>260.08736561645532</v>
      </c>
      <c r="AF32">
        <f t="shared" si="3"/>
        <v>1</v>
      </c>
    </row>
    <row r="33" spans="1:32" x14ac:dyDescent="0.25">
      <c r="A33" s="2">
        <v>32</v>
      </c>
      <c r="B33">
        <f t="shared" si="4"/>
        <v>10.867669440199306</v>
      </c>
      <c r="C33" s="5">
        <v>0.08</v>
      </c>
      <c r="D33">
        <f t="shared" si="5"/>
        <v>76.725746247807081</v>
      </c>
      <c r="Q33">
        <f t="shared" si="9"/>
        <v>76.725746247807209</v>
      </c>
      <c r="R33">
        <f t="shared" si="6"/>
        <v>70.379109693026678</v>
      </c>
      <c r="S33">
        <f t="shared" si="7"/>
        <v>428.47510299615641</v>
      </c>
      <c r="T33" s="5">
        <v>0.08</v>
      </c>
      <c r="V33">
        <f>SUM($R$2:R33)</f>
        <v>1535.1380394512792</v>
      </c>
      <c r="W33">
        <f t="shared" si="8"/>
        <v>3.2369123254149184</v>
      </c>
      <c r="Z33">
        <f t="shared" si="11"/>
        <v>1.106855443137041</v>
      </c>
      <c r="AA33" s="5">
        <v>0.3</v>
      </c>
      <c r="AB33">
        <f t="shared" si="1"/>
        <v>1428.2503433205213</v>
      </c>
      <c r="AC33">
        <f t="shared" si="10"/>
        <v>1378.4630377672133</v>
      </c>
      <c r="AD33" s="5">
        <v>0.2</v>
      </c>
      <c r="AE33">
        <f t="shared" si="2"/>
        <v>275.69260755344266</v>
      </c>
      <c r="AF33">
        <f t="shared" si="3"/>
        <v>1</v>
      </c>
    </row>
    <row r="34" spans="1:32" x14ac:dyDescent="0.25">
      <c r="A34" s="2">
        <v>33</v>
      </c>
      <c r="B34">
        <f t="shared" si="4"/>
        <v>11.73708299541525</v>
      </c>
      <c r="C34" s="5">
        <v>0.08</v>
      </c>
      <c r="D34">
        <f t="shared" si="5"/>
        <v>82.863805947631647</v>
      </c>
      <c r="Q34">
        <f t="shared" si="9"/>
        <v>82.863805947631789</v>
      </c>
      <c r="R34">
        <f t="shared" si="6"/>
        <v>71.707017423083812</v>
      </c>
      <c r="S34">
        <f t="shared" si="7"/>
        <v>462.75311123584896</v>
      </c>
      <c r="T34" s="5">
        <v>0.08</v>
      </c>
      <c r="V34">
        <f>SUM($R$2:R34)</f>
        <v>1606.8450568743629</v>
      </c>
      <c r="W34">
        <f t="shared" si="8"/>
        <v>3.3881100174468917</v>
      </c>
      <c r="Z34">
        <f t="shared" si="11"/>
        <v>1.0248661510528156</v>
      </c>
      <c r="AA34" s="5">
        <v>0.3</v>
      </c>
      <c r="AB34">
        <f t="shared" si="1"/>
        <v>1542.5103707861633</v>
      </c>
      <c r="AC34">
        <f t="shared" si="10"/>
        <v>1461.1708200332462</v>
      </c>
      <c r="AD34" s="5">
        <v>0.2</v>
      </c>
      <c r="AE34">
        <f t="shared" si="2"/>
        <v>292.23416400664922</v>
      </c>
      <c r="AF34">
        <f t="shared" si="3"/>
        <v>1</v>
      </c>
    </row>
    <row r="35" spans="1:32" x14ac:dyDescent="0.25">
      <c r="A35" s="2">
        <v>34</v>
      </c>
      <c r="B35">
        <f t="shared" si="4"/>
        <v>12.67604963504847</v>
      </c>
      <c r="C35" s="5">
        <v>0.08</v>
      </c>
      <c r="D35">
        <f t="shared" si="5"/>
        <v>89.492910423442183</v>
      </c>
      <c r="Q35">
        <f t="shared" si="9"/>
        <v>89.492910423442325</v>
      </c>
      <c r="R35">
        <f t="shared" si="6"/>
        <v>73.059980015972187</v>
      </c>
      <c r="S35">
        <f t="shared" si="7"/>
        <v>499.77336013471694</v>
      </c>
      <c r="T35" s="5">
        <v>0.08</v>
      </c>
      <c r="V35">
        <f>SUM($R$2:R35)</f>
        <v>1679.9050368903349</v>
      </c>
      <c r="W35">
        <f t="shared" si="8"/>
        <v>3.5421604961209781</v>
      </c>
      <c r="Z35">
        <f t="shared" si="11"/>
        <v>0.94895013986371812</v>
      </c>
      <c r="AA35" s="5">
        <v>0.3</v>
      </c>
      <c r="AB35">
        <f t="shared" si="1"/>
        <v>1665.9112004490564</v>
      </c>
      <c r="AC35">
        <f t="shared" si="10"/>
        <v>1548.8410692352411</v>
      </c>
      <c r="AD35" s="5">
        <v>0.2</v>
      </c>
      <c r="AE35">
        <f t="shared" si="2"/>
        <v>309.76821384704823</v>
      </c>
      <c r="AF35">
        <f t="shared" si="3"/>
        <v>1</v>
      </c>
    </row>
    <row r="36" spans="1:32" x14ac:dyDescent="0.25">
      <c r="A36" s="2">
        <v>35</v>
      </c>
      <c r="B36">
        <f t="shared" si="4"/>
        <v>13.690133605852347</v>
      </c>
      <c r="C36" s="5">
        <v>0.08</v>
      </c>
      <c r="D36">
        <f t="shared" si="5"/>
        <v>96.652343257317554</v>
      </c>
      <c r="Q36">
        <f t="shared" si="9"/>
        <v>96.65234325731771</v>
      </c>
      <c r="R36">
        <f t="shared" si="6"/>
        <v>74.438470204952793</v>
      </c>
      <c r="S36">
        <f t="shared" si="7"/>
        <v>539.75522894549431</v>
      </c>
      <c r="T36" s="5">
        <v>0.08</v>
      </c>
      <c r="V36">
        <f>SUM($R$2:R36)</f>
        <v>1754.3435070952878</v>
      </c>
      <c r="W36">
        <f t="shared" si="8"/>
        <v>3.6991175876002358</v>
      </c>
      <c r="Z36">
        <f t="shared" si="11"/>
        <v>0.87865753691085002</v>
      </c>
      <c r="AA36" s="5">
        <v>0.3</v>
      </c>
      <c r="AB36">
        <f t="shared" si="1"/>
        <v>1799.1840964849812</v>
      </c>
      <c r="AC36">
        <f t="shared" si="10"/>
        <v>1641.7715333893557</v>
      </c>
      <c r="AD36" s="5">
        <v>0.2</v>
      </c>
      <c r="AE36">
        <f t="shared" si="2"/>
        <v>328.35430667787114</v>
      </c>
      <c r="AF36">
        <f t="shared" si="3"/>
        <v>1</v>
      </c>
    </row>
    <row r="37" spans="1:32" x14ac:dyDescent="0.25">
      <c r="A37" s="2">
        <v>36</v>
      </c>
      <c r="B37">
        <f t="shared" si="4"/>
        <v>14.785344294320534</v>
      </c>
      <c r="C37" s="5">
        <v>0.08</v>
      </c>
      <c r="D37">
        <f t="shared" si="5"/>
        <v>104.38453071790296</v>
      </c>
      <c r="Q37">
        <f t="shared" si="9"/>
        <v>104.38453071790315</v>
      </c>
      <c r="R37">
        <f t="shared" si="6"/>
        <v>75.84296964278208</v>
      </c>
      <c r="S37">
        <f t="shared" si="7"/>
        <v>582.93564726113391</v>
      </c>
      <c r="T37" s="5">
        <v>0.08</v>
      </c>
      <c r="V37">
        <f>SUM($R$2:R37)</f>
        <v>1830.1864767380698</v>
      </c>
      <c r="W37">
        <f t="shared" si="8"/>
        <v>3.8590361336357057</v>
      </c>
      <c r="Z37">
        <f t="shared" si="11"/>
        <v>0.81357179343597219</v>
      </c>
      <c r="AA37" s="5">
        <v>0.3</v>
      </c>
      <c r="AB37">
        <f t="shared" si="1"/>
        <v>1943.1188242037797</v>
      </c>
      <c r="AC37">
        <f t="shared" si="10"/>
        <v>1740.2778253927172</v>
      </c>
      <c r="AD37" s="5">
        <v>0.2</v>
      </c>
      <c r="AE37">
        <f t="shared" si="2"/>
        <v>348.05556507854345</v>
      </c>
      <c r="AF37">
        <f t="shared" si="3"/>
        <v>1</v>
      </c>
    </row>
    <row r="38" spans="1:32" x14ac:dyDescent="0.25">
      <c r="A38" s="2">
        <v>37</v>
      </c>
      <c r="B38">
        <f t="shared" si="4"/>
        <v>15.968171837866176</v>
      </c>
      <c r="C38" s="5">
        <v>0.08</v>
      </c>
      <c r="D38">
        <f t="shared" si="5"/>
        <v>112.7352931753352</v>
      </c>
      <c r="Q38">
        <f t="shared" si="9"/>
        <v>112.73529317533541</v>
      </c>
      <c r="R38">
        <f t="shared" si="6"/>
        <v>77.273969070004384</v>
      </c>
      <c r="S38">
        <f t="shared" si="7"/>
        <v>629.57049904202461</v>
      </c>
      <c r="T38" s="5">
        <v>0.08</v>
      </c>
      <c r="V38">
        <f>SUM($R$2:R38)</f>
        <v>1907.4604458080742</v>
      </c>
      <c r="W38" s="13">
        <f t="shared" si="8"/>
        <v>4.0219720107284491</v>
      </c>
      <c r="Z38">
        <f t="shared" si="11"/>
        <v>0.75330721614441876</v>
      </c>
      <c r="AA38" s="5">
        <v>0.3</v>
      </c>
      <c r="AB38">
        <f t="shared" si="1"/>
        <v>2098.5683301400823</v>
      </c>
      <c r="AC38">
        <f t="shared" si="10"/>
        <v>1844.6944949162803</v>
      </c>
      <c r="AD38" s="5">
        <v>0.2</v>
      </c>
      <c r="AE38">
        <f t="shared" si="2"/>
        <v>368.93889898325608</v>
      </c>
      <c r="AF38">
        <f t="shared" si="3"/>
        <v>1</v>
      </c>
    </row>
    <row r="39" spans="1:32" x14ac:dyDescent="0.25">
      <c r="A39" s="2">
        <v>38</v>
      </c>
      <c r="B39">
        <f t="shared" si="4"/>
        <v>17.245625584895471</v>
      </c>
      <c r="C39" s="5">
        <v>0.08</v>
      </c>
      <c r="D39">
        <f t="shared" si="5"/>
        <v>121.75411662936202</v>
      </c>
      <c r="Q39">
        <f t="shared" si="9"/>
        <v>121.75411662936224</v>
      </c>
      <c r="R39">
        <f t="shared" si="6"/>
        <v>78.731968486419561</v>
      </c>
      <c r="S39">
        <f t="shared" si="7"/>
        <v>679.93613896538659</v>
      </c>
      <c r="T39" s="5">
        <v>0.08</v>
      </c>
      <c r="V39">
        <f>SUM($R$2:R39)</f>
        <v>1986.1924142944938</v>
      </c>
      <c r="W39">
        <f t="shared" si="8"/>
        <v>4.1879821496531306</v>
      </c>
      <c r="Z39">
        <f t="shared" si="11"/>
        <v>0.69750668161520246</v>
      </c>
      <c r="AA39" s="5">
        <v>0.3</v>
      </c>
      <c r="AB39">
        <f t="shared" si="1"/>
        <v>2266.4537965512886</v>
      </c>
      <c r="AC39">
        <f t="shared" si="10"/>
        <v>1955.3761646112573</v>
      </c>
      <c r="AD39" s="5">
        <v>0.2</v>
      </c>
      <c r="AE39">
        <f t="shared" si="2"/>
        <v>391.07523292225147</v>
      </c>
      <c r="AF39">
        <f t="shared" si="3"/>
        <v>1</v>
      </c>
    </row>
    <row r="40" spans="1:32" x14ac:dyDescent="0.25">
      <c r="A40" s="2">
        <v>39</v>
      </c>
      <c r="B40">
        <f t="shared" si="4"/>
        <v>18.62527563168711</v>
      </c>
      <c r="C40" s="5">
        <v>0.08</v>
      </c>
      <c r="D40">
        <f t="shared" si="5"/>
        <v>131.49444595971099</v>
      </c>
      <c r="Q40">
        <f t="shared" si="9"/>
        <v>131.49444595971124</v>
      </c>
      <c r="R40">
        <f t="shared" si="6"/>
        <v>80.21747732578595</v>
      </c>
      <c r="S40">
        <f t="shared" si="7"/>
        <v>734.33103008261753</v>
      </c>
      <c r="T40" s="5">
        <v>0.08</v>
      </c>
      <c r="V40">
        <f>SUM($R$2:R40)</f>
        <v>2066.4098916202797</v>
      </c>
      <c r="W40">
        <f t="shared" si="8"/>
        <v>4.3571245553499764</v>
      </c>
      <c r="Z40">
        <f t="shared" si="11"/>
        <v>0.64583952001407641</v>
      </c>
      <c r="AA40" s="5">
        <v>0.3</v>
      </c>
      <c r="AB40">
        <f t="shared" si="1"/>
        <v>2447.770100275392</v>
      </c>
      <c r="AC40">
        <f t="shared" si="10"/>
        <v>2072.6987344879331</v>
      </c>
      <c r="AD40" s="5">
        <v>0.2</v>
      </c>
      <c r="AE40">
        <f t="shared" si="2"/>
        <v>414.53974689758661</v>
      </c>
      <c r="AF40">
        <f t="shared" si="3"/>
        <v>1</v>
      </c>
    </row>
    <row r="41" spans="1:32" x14ac:dyDescent="0.25">
      <c r="A41" s="2">
        <v>40</v>
      </c>
      <c r="B41">
        <f t="shared" si="4"/>
        <v>20.115297682222078</v>
      </c>
      <c r="C41" s="5">
        <v>0.08</v>
      </c>
      <c r="D41">
        <f t="shared" si="5"/>
        <v>142.01400163648788</v>
      </c>
      <c r="Q41">
        <f t="shared" si="9"/>
        <v>142.01400163648813</v>
      </c>
      <c r="R41">
        <f t="shared" si="6"/>
        <v>81.73101463381964</v>
      </c>
      <c r="S41">
        <f t="shared" si="7"/>
        <v>793.07751248922693</v>
      </c>
      <c r="T41" s="5">
        <v>0.08</v>
      </c>
      <c r="V41">
        <f>SUM($R$2:R41)</f>
        <v>2148.1409062540993</v>
      </c>
      <c r="W41">
        <f t="shared" si="8"/>
        <v>4.529458327192045</v>
      </c>
      <c r="Z41">
        <f t="shared" si="11"/>
        <v>0.59799955556858919</v>
      </c>
      <c r="AA41" s="5">
        <v>0.3</v>
      </c>
      <c r="AB41">
        <f t="shared" si="1"/>
        <v>2643.5917082974233</v>
      </c>
      <c r="AC41">
        <f t="shared" si="10"/>
        <v>2197.0606585572091</v>
      </c>
      <c r="AD41" s="5">
        <v>0.2</v>
      </c>
      <c r="AE41">
        <f t="shared" si="2"/>
        <v>439.41213171144182</v>
      </c>
      <c r="AF41">
        <f t="shared" si="3"/>
        <v>1</v>
      </c>
    </row>
    <row r="42" spans="1:32" x14ac:dyDescent="0.25">
      <c r="A42" s="2">
        <v>41</v>
      </c>
      <c r="B42">
        <f t="shared" si="4"/>
        <v>21.724521496799845</v>
      </c>
      <c r="C42" s="5">
        <v>0.08</v>
      </c>
      <c r="D42">
        <f t="shared" si="5"/>
        <v>153.37512176740691</v>
      </c>
      <c r="Q42">
        <f t="shared" si="9"/>
        <v>153.37512176740719</v>
      </c>
      <c r="R42">
        <f t="shared" si="6"/>
        <v>83.273109249552107</v>
      </c>
      <c r="S42">
        <f t="shared" si="7"/>
        <v>856.52371348836516</v>
      </c>
      <c r="T42" s="5">
        <v>0.08</v>
      </c>
      <c r="V42" s="1">
        <f>SUM($R$2:R42)</f>
        <v>2231.4140155036512</v>
      </c>
      <c r="W42">
        <f t="shared" si="8"/>
        <v>4.7050436796349073</v>
      </c>
      <c r="Z42">
        <f t="shared" si="11"/>
        <v>0.55370329219313819</v>
      </c>
      <c r="AA42" s="5">
        <v>0.3</v>
      </c>
      <c r="AB42">
        <f t="shared" si="1"/>
        <v>2855.0790449612173</v>
      </c>
      <c r="AC42">
        <f t="shared" si="10"/>
        <v>2328.8842980706418</v>
      </c>
      <c r="AD42" s="5">
        <v>0.2</v>
      </c>
      <c r="AE42">
        <f t="shared" si="2"/>
        <v>465.7768596141284</v>
      </c>
      <c r="AF42">
        <f t="shared" si="3"/>
        <v>1</v>
      </c>
    </row>
    <row r="43" spans="1:32" x14ac:dyDescent="0.25">
      <c r="A43" s="2">
        <v>42</v>
      </c>
      <c r="B43">
        <f t="shared" si="4"/>
        <v>23.462483216543834</v>
      </c>
      <c r="C43" s="5">
        <v>0.08</v>
      </c>
      <c r="D43">
        <f t="shared" si="5"/>
        <v>165.64513150879947</v>
      </c>
      <c r="Q43">
        <f t="shared" si="9"/>
        <v>165.64513150879978</v>
      </c>
      <c r="R43">
        <f t="shared" si="6"/>
        <v>84.844299990109704</v>
      </c>
      <c r="S43">
        <f t="shared" si="7"/>
        <v>925.04561056743444</v>
      </c>
      <c r="T43" s="5">
        <v>0.08</v>
      </c>
      <c r="V43">
        <f>SUM($R$2:R43)</f>
        <v>2316.2583154937611</v>
      </c>
      <c r="W43">
        <f t="shared" si="8"/>
        <v>4.8839419632559382</v>
      </c>
      <c r="Z43">
        <f t="shared" si="11"/>
        <v>0.51268823351216486</v>
      </c>
      <c r="AA43" s="5">
        <v>0.3</v>
      </c>
      <c r="AB43">
        <f t="shared" si="1"/>
        <v>3083.4853685581147</v>
      </c>
      <c r="AC43">
        <f t="shared" si="10"/>
        <v>2468.6173559548802</v>
      </c>
      <c r="AD43" s="5">
        <v>0.2</v>
      </c>
      <c r="AE43">
        <f t="shared" si="2"/>
        <v>493.72347119097606</v>
      </c>
      <c r="AF43">
        <f t="shared" si="3"/>
        <v>1</v>
      </c>
    </row>
    <row r="44" spans="1:32" x14ac:dyDescent="0.25">
      <c r="A44" s="2">
        <v>43</v>
      </c>
      <c r="B44">
        <f t="shared" si="4"/>
        <v>25.339481873867342</v>
      </c>
      <c r="C44" s="5">
        <v>0.08</v>
      </c>
      <c r="D44">
        <f t="shared" si="5"/>
        <v>178.89674202950343</v>
      </c>
      <c r="Q44">
        <f t="shared" si="9"/>
        <v>178.89674202950374</v>
      </c>
      <c r="R44">
        <f t="shared" si="6"/>
        <v>86.445135838979681</v>
      </c>
      <c r="S44">
        <f t="shared" si="7"/>
        <v>999.0492594128292</v>
      </c>
      <c r="T44" s="5">
        <v>0.08</v>
      </c>
      <c r="V44">
        <f>SUM($R$2:R44)</f>
        <v>2402.7034513327408</v>
      </c>
      <c r="W44">
        <f t="shared" si="8"/>
        <v>5.0662156861905725</v>
      </c>
      <c r="Z44">
        <f t="shared" si="11"/>
        <v>0.47471132732607862</v>
      </c>
      <c r="AA44" s="5">
        <v>0.3</v>
      </c>
      <c r="AB44">
        <f t="shared" si="1"/>
        <v>3330.1641980427639</v>
      </c>
      <c r="AC44">
        <f t="shared" si="10"/>
        <v>2616.7343973121733</v>
      </c>
      <c r="AD44" s="5">
        <v>0.2</v>
      </c>
      <c r="AE44">
        <f t="shared" si="2"/>
        <v>523.34687946243469</v>
      </c>
      <c r="AF44">
        <f t="shared" si="3"/>
        <v>1</v>
      </c>
    </row>
    <row r="45" spans="1:32" x14ac:dyDescent="0.25">
      <c r="A45" s="2">
        <v>44</v>
      </c>
      <c r="B45">
        <f t="shared" si="4"/>
        <v>27.36664042377673</v>
      </c>
      <c r="C45" s="5">
        <v>0.08</v>
      </c>
      <c r="D45">
        <f t="shared" si="5"/>
        <v>193.2084813918637</v>
      </c>
      <c r="Q45">
        <f t="shared" si="9"/>
        <v>193.20848139186404</v>
      </c>
      <c r="R45">
        <f t="shared" si="6"/>
        <v>88.076176137828355</v>
      </c>
      <c r="S45">
        <f t="shared" si="7"/>
        <v>1078.9732001658556</v>
      </c>
      <c r="T45" s="5">
        <v>0.08</v>
      </c>
      <c r="V45">
        <f>SUM($R$2:R45)</f>
        <v>2490.7796274705693</v>
      </c>
      <c r="W45">
        <f t="shared" si="8"/>
        <v>5.2519285359730299</v>
      </c>
      <c r="Z45">
        <f t="shared" si="11"/>
        <v>0.43954752530192465</v>
      </c>
      <c r="AA45" s="5">
        <v>0.3</v>
      </c>
      <c r="AB45">
        <f t="shared" si="1"/>
        <v>3596.5773338861854</v>
      </c>
      <c r="AC45">
        <f t="shared" si="10"/>
        <v>2773.7384611509037</v>
      </c>
      <c r="AD45" s="5">
        <v>0.2</v>
      </c>
      <c r="AE45">
        <f t="shared" si="2"/>
        <v>554.74769223018075</v>
      </c>
      <c r="AF45">
        <f t="shared" si="3"/>
        <v>1</v>
      </c>
    </row>
    <row r="46" spans="1:32" x14ac:dyDescent="0.25">
      <c r="A46" s="2">
        <v>45</v>
      </c>
      <c r="B46">
        <f t="shared" si="4"/>
        <v>29.555971657678867</v>
      </c>
      <c r="C46" s="5">
        <v>0.08</v>
      </c>
      <c r="D46">
        <f t="shared" si="5"/>
        <v>208.66515990321278</v>
      </c>
      <c r="Q46">
        <f t="shared" si="9"/>
        <v>208.66515990321321</v>
      </c>
      <c r="R46">
        <f t="shared" si="6"/>
        <v>89.737990781938322</v>
      </c>
      <c r="S46">
        <f t="shared" si="7"/>
        <v>1165.2910561791241</v>
      </c>
      <c r="T46" s="5">
        <v>0.08</v>
      </c>
      <c r="V46">
        <f>SUM($R$2:R46)</f>
        <v>2580.5176182525074</v>
      </c>
      <c r="W46">
        <f t="shared" si="8"/>
        <v>5.441145401789119</v>
      </c>
      <c r="Z46">
        <f t="shared" si="11"/>
        <v>0.40698844935363387</v>
      </c>
      <c r="AA46" s="5">
        <v>0.3</v>
      </c>
      <c r="AB46">
        <f t="shared" si="1"/>
        <v>3884.3035205970805</v>
      </c>
      <c r="AC46">
        <f t="shared" si="10"/>
        <v>2940.1627688199583</v>
      </c>
      <c r="AD46" s="5">
        <v>0.2</v>
      </c>
      <c r="AE46">
        <f t="shared" si="2"/>
        <v>588.0325537639917</v>
      </c>
      <c r="AF46">
        <f t="shared" si="3"/>
        <v>1</v>
      </c>
    </row>
    <row r="47" spans="1:32" x14ac:dyDescent="0.25">
      <c r="A47" s="2">
        <v>46</v>
      </c>
      <c r="B47">
        <f t="shared" si="4"/>
        <v>31.920449390293179</v>
      </c>
      <c r="C47" s="5">
        <v>0.08</v>
      </c>
      <c r="D47">
        <f t="shared" si="5"/>
        <v>225.3583726954698</v>
      </c>
      <c r="Q47">
        <f t="shared" si="9"/>
        <v>225.35837269547025</v>
      </c>
      <c r="R47">
        <f t="shared" si="6"/>
        <v>91.431160419333395</v>
      </c>
      <c r="S47">
        <f t="shared" si="7"/>
        <v>1258.5143406734542</v>
      </c>
      <c r="T47" s="5">
        <v>0.08</v>
      </c>
      <c r="V47">
        <f>SUM($R$2:R47)</f>
        <v>2671.948778671841</v>
      </c>
      <c r="W47">
        <f t="shared" si="8"/>
        <v>5.6339323971489081</v>
      </c>
      <c r="Z47">
        <f t="shared" si="11"/>
        <v>0.37684115680892022</v>
      </c>
      <c r="AA47" s="5">
        <v>0.3</v>
      </c>
      <c r="AB47">
        <f t="shared" si="1"/>
        <v>4195.0478022448478</v>
      </c>
      <c r="AC47">
        <f t="shared" si="10"/>
        <v>3116.5725349491559</v>
      </c>
      <c r="AD47" s="5">
        <v>0.2</v>
      </c>
      <c r="AE47">
        <f t="shared" si="2"/>
        <v>623.31450698983122</v>
      </c>
      <c r="AF47">
        <f t="shared" si="3"/>
        <v>1</v>
      </c>
    </row>
    <row r="48" spans="1:32" x14ac:dyDescent="0.25">
      <c r="A48" s="2">
        <v>47</v>
      </c>
      <c r="B48">
        <f t="shared" si="4"/>
        <v>34.474085341516634</v>
      </c>
      <c r="C48" s="5">
        <v>0.08</v>
      </c>
      <c r="D48">
        <f t="shared" si="5"/>
        <v>243.38704251110738</v>
      </c>
      <c r="Q48">
        <f t="shared" si="9"/>
        <v>243.38704251110792</v>
      </c>
      <c r="R48">
        <f t="shared" si="6"/>
        <v>93.156276653660441</v>
      </c>
      <c r="S48">
        <f t="shared" si="7"/>
        <v>1359.1954879273305</v>
      </c>
      <c r="T48" s="5">
        <v>0.08</v>
      </c>
      <c r="V48">
        <f>SUM($R$2:R48)</f>
        <v>2765.1050553255013</v>
      </c>
      <c r="W48">
        <f t="shared" si="8"/>
        <v>5.830356882987183</v>
      </c>
      <c r="Z48">
        <f t="shared" si="11"/>
        <v>0.34892699704529651</v>
      </c>
      <c r="AA48" s="5">
        <v>0.3</v>
      </c>
      <c r="AB48">
        <f t="shared" si="1"/>
        <v>4530.6516264244356</v>
      </c>
      <c r="AC48">
        <f t="shared" si="10"/>
        <v>3303.5668870461054</v>
      </c>
      <c r="AD48" s="5">
        <v>0.2</v>
      </c>
      <c r="AE48">
        <f t="shared" si="2"/>
        <v>660.71337740922115</v>
      </c>
      <c r="AF48">
        <f t="shared" si="3"/>
        <v>1</v>
      </c>
    </row>
    <row r="49" spans="1:32" x14ac:dyDescent="0.25">
      <c r="A49" s="2">
        <v>48</v>
      </c>
      <c r="B49">
        <f t="shared" si="4"/>
        <v>37.232012168837969</v>
      </c>
      <c r="C49" s="5">
        <v>0.08</v>
      </c>
      <c r="D49">
        <f t="shared" si="5"/>
        <v>262.85800591199597</v>
      </c>
      <c r="Q49">
        <f t="shared" si="9"/>
        <v>262.8580059119966</v>
      </c>
      <c r="R49">
        <f t="shared" si="6"/>
        <v>94.913942250899282</v>
      </c>
      <c r="S49">
        <f t="shared" si="7"/>
        <v>1467.9311269615171</v>
      </c>
      <c r="T49" s="5">
        <v>0.08</v>
      </c>
      <c r="V49" s="1">
        <f>SUM($R$2:R49)</f>
        <v>2860.0189975764006</v>
      </c>
      <c r="W49">
        <f t="shared" si="8"/>
        <v>6.0304874911997652</v>
      </c>
      <c r="Z49">
        <f t="shared" si="11"/>
        <v>0.32308055281971898</v>
      </c>
      <c r="AA49" s="5">
        <v>0.3</v>
      </c>
      <c r="AB49">
        <f t="shared" si="1"/>
        <v>4893.1037565383904</v>
      </c>
      <c r="AC49">
        <f t="shared" si="10"/>
        <v>3501.7809002688718</v>
      </c>
      <c r="AD49" s="5">
        <v>0.2</v>
      </c>
      <c r="AE49">
        <f t="shared" si="2"/>
        <v>700.35618005377444</v>
      </c>
      <c r="AF49">
        <f t="shared" si="3"/>
        <v>1</v>
      </c>
    </row>
    <row r="50" spans="1:32" x14ac:dyDescent="0.25">
      <c r="A50" s="2">
        <v>49</v>
      </c>
      <c r="B50">
        <f t="shared" si="4"/>
        <v>40.210573142345005</v>
      </c>
      <c r="C50" s="5">
        <v>0.08</v>
      </c>
      <c r="D50">
        <f t="shared" si="5"/>
        <v>283.88664638495567</v>
      </c>
      <c r="Q50">
        <f t="shared" si="9"/>
        <v>283.88664638495629</v>
      </c>
      <c r="R50">
        <f t="shared" si="6"/>
        <v>96.704771349972873</v>
      </c>
      <c r="S50">
        <f t="shared" si="7"/>
        <v>1585.3656171184384</v>
      </c>
      <c r="T50" s="5">
        <v>0.08</v>
      </c>
      <c r="V50">
        <f>SUM($R$2:R50)</f>
        <v>2956.7237689263734</v>
      </c>
      <c r="W50">
        <f t="shared" si="8"/>
        <v>6.2343941486239052</v>
      </c>
      <c r="Z50">
        <f t="shared" si="11"/>
        <v>0.29914866001825829</v>
      </c>
      <c r="AA50" s="5">
        <v>0.3</v>
      </c>
      <c r="AB50">
        <f t="shared" si="1"/>
        <v>5284.5520570614617</v>
      </c>
      <c r="AC50">
        <f t="shared" si="10"/>
        <v>3711.8877542850041</v>
      </c>
      <c r="AD50" s="5">
        <v>0.2</v>
      </c>
      <c r="AE50">
        <f t="shared" si="2"/>
        <v>742.37755085700087</v>
      </c>
      <c r="AF50">
        <f t="shared" si="3"/>
        <v>1</v>
      </c>
    </row>
    <row r="51" spans="1:32" x14ac:dyDescent="0.25">
      <c r="A51" s="2">
        <v>50</v>
      </c>
      <c r="B51">
        <f t="shared" si="4"/>
        <v>43.427418993732608</v>
      </c>
      <c r="C51" s="5">
        <v>0.08</v>
      </c>
      <c r="D51">
        <f t="shared" si="5"/>
        <v>306.59757809575211</v>
      </c>
      <c r="Q51">
        <f t="shared" si="9"/>
        <v>306.59757809575279</v>
      </c>
      <c r="R51">
        <f t="shared" si="6"/>
        <v>98.529389677330869</v>
      </c>
      <c r="S51">
        <f t="shared" si="7"/>
        <v>1712.1948664879137</v>
      </c>
      <c r="T51" s="5">
        <v>0.08</v>
      </c>
      <c r="V51">
        <f>SUM($R$2:R51)</f>
        <v>3055.2531586037044</v>
      </c>
      <c r="W51">
        <f t="shared" si="8"/>
        <v>6.442148101471143</v>
      </c>
      <c r="Z51">
        <f t="shared" si="11"/>
        <v>0.27698950001690581</v>
      </c>
      <c r="AA51" s="5">
        <v>0.3</v>
      </c>
      <c r="AB51">
        <f t="shared" si="1"/>
        <v>5707.316221626379</v>
      </c>
      <c r="AC51">
        <f t="shared" si="10"/>
        <v>3934.6010195421045</v>
      </c>
      <c r="AD51" s="5">
        <v>0.2</v>
      </c>
      <c r="AE51">
        <f t="shared" si="2"/>
        <v>786.92020390842094</v>
      </c>
      <c r="AF51">
        <f t="shared" si="3"/>
        <v>1</v>
      </c>
    </row>
    <row r="52" spans="1:32" x14ac:dyDescent="0.25">
      <c r="A52" s="2">
        <v>51</v>
      </c>
      <c r="B52">
        <f t="shared" ref="B52:B101" si="12">B51+B51*C51</f>
        <v>46.901612513231214</v>
      </c>
      <c r="C52" s="5">
        <v>0.08</v>
      </c>
      <c r="D52">
        <f t="shared" ref="D52:D101" si="13">D51+D51*C51</f>
        <v>331.12538434341229</v>
      </c>
      <c r="Q52">
        <f t="shared" ref="Q52:Q101" si="14">$D$2*((1+$C$2)^A51)</f>
        <v>331.12538434341303</v>
      </c>
      <c r="R52">
        <f t="shared" si="6"/>
        <v>100.3884347655824</v>
      </c>
      <c r="S52">
        <f t="shared" si="7"/>
        <v>1849.1704558069468</v>
      </c>
      <c r="T52" s="5">
        <v>0.08</v>
      </c>
      <c r="V52">
        <f>SUM($R$2:R52)</f>
        <v>3155.641593369287</v>
      </c>
      <c r="W52">
        <f t="shared" si="8"/>
        <v>6.6538219402211594</v>
      </c>
      <c r="Z52">
        <f t="shared" si="11"/>
        <v>0.25647175927491278</v>
      </c>
      <c r="AA52" s="5">
        <v>0.3</v>
      </c>
      <c r="AB52">
        <f t="shared" si="1"/>
        <v>6163.9015193564901</v>
      </c>
      <c r="AC52">
        <f t="shared" si="10"/>
        <v>4170.6770807146313</v>
      </c>
      <c r="AD52" s="5">
        <v>0.2</v>
      </c>
      <c r="AE52">
        <f t="shared" si="2"/>
        <v>834.13541614292626</v>
      </c>
      <c r="AF52">
        <f t="shared" si="3"/>
        <v>1</v>
      </c>
    </row>
    <row r="53" spans="1:32" x14ac:dyDescent="0.25">
      <c r="A53" s="2">
        <v>52</v>
      </c>
      <c r="B53">
        <f t="shared" si="12"/>
        <v>50.653741514289713</v>
      </c>
      <c r="C53" s="5">
        <v>0.08</v>
      </c>
      <c r="D53">
        <f t="shared" si="13"/>
        <v>357.61541509088528</v>
      </c>
      <c r="Q53">
        <f t="shared" si="14"/>
        <v>357.61541509088613</v>
      </c>
      <c r="R53">
        <f t="shared" si="6"/>
        <v>102.28255617625375</v>
      </c>
      <c r="S53">
        <f t="shared" si="7"/>
        <v>1997.1040922715026</v>
      </c>
      <c r="T53" s="5">
        <v>0.08</v>
      </c>
      <c r="V53">
        <f>SUM($R$2:R53)</f>
        <v>3257.9241495455408</v>
      </c>
      <c r="W53">
        <f t="shared" si="8"/>
        <v>6.8694896249853263</v>
      </c>
      <c r="Z53">
        <f t="shared" si="11"/>
        <v>0.23747385118047479</v>
      </c>
      <c r="AA53" s="5">
        <v>0.3</v>
      </c>
      <c r="AB53">
        <f t="shared" si="1"/>
        <v>6657.0136409050092</v>
      </c>
      <c r="AC53">
        <f t="shared" si="10"/>
        <v>4420.9177055575092</v>
      </c>
      <c r="AD53" s="5">
        <v>0.2</v>
      </c>
      <c r="AE53">
        <f t="shared" si="2"/>
        <v>884.18354111150188</v>
      </c>
      <c r="AF53">
        <f t="shared" si="3"/>
        <v>1</v>
      </c>
    </row>
    <row r="54" spans="1:32" x14ac:dyDescent="0.25">
      <c r="A54" s="2">
        <v>53</v>
      </c>
      <c r="B54">
        <f t="shared" si="12"/>
        <v>54.706040835432887</v>
      </c>
      <c r="C54" s="5">
        <v>0.08</v>
      </c>
      <c r="D54">
        <f t="shared" si="13"/>
        <v>386.22464829815613</v>
      </c>
      <c r="Q54">
        <f t="shared" si="14"/>
        <v>386.22464829815704</v>
      </c>
      <c r="R54">
        <f t="shared" si="6"/>
        <v>104.21241572674911</v>
      </c>
      <c r="S54">
        <f t="shared" si="7"/>
        <v>2156.872419653223</v>
      </c>
      <c r="T54" s="5">
        <v>0.08</v>
      </c>
      <c r="V54">
        <f>SUM($R$2:R54)</f>
        <v>3362.1365652722898</v>
      </c>
      <c r="W54">
        <f t="shared" si="8"/>
        <v>7.0892265113488167</v>
      </c>
      <c r="Z54">
        <f t="shared" si="11"/>
        <v>0.21988319553747662</v>
      </c>
      <c r="AA54" s="5">
        <v>0.3</v>
      </c>
      <c r="AB54">
        <f t="shared" si="1"/>
        <v>7189.5747321774106</v>
      </c>
      <c r="AC54">
        <f t="shared" si="10"/>
        <v>4686.1727678909601</v>
      </c>
      <c r="AD54" s="5">
        <v>0.2</v>
      </c>
      <c r="AE54">
        <f t="shared" si="2"/>
        <v>937.23455357819205</v>
      </c>
      <c r="AF54">
        <f t="shared" si="3"/>
        <v>1</v>
      </c>
    </row>
    <row r="55" spans="1:32" x14ac:dyDescent="0.25">
      <c r="A55" s="2">
        <v>54</v>
      </c>
      <c r="B55">
        <f t="shared" si="12"/>
        <v>59.08252410226752</v>
      </c>
      <c r="C55" s="5">
        <v>0.08</v>
      </c>
      <c r="D55">
        <f t="shared" si="13"/>
        <v>417.12262016200862</v>
      </c>
      <c r="Q55">
        <f t="shared" si="14"/>
        <v>417.12262016200958</v>
      </c>
      <c r="R55">
        <f t="shared" si="6"/>
        <v>106.17868772159341</v>
      </c>
      <c r="S55">
        <f t="shared" si="7"/>
        <v>2329.4222132254808</v>
      </c>
      <c r="T55" s="5">
        <v>0.08</v>
      </c>
      <c r="V55">
        <f>SUM($R$2:R55)</f>
        <v>3468.3152529938834</v>
      </c>
      <c r="W55">
        <f t="shared" si="8"/>
        <v>7.3131093767002984</v>
      </c>
      <c r="Z55">
        <f t="shared" si="11"/>
        <v>0.20359555142358948</v>
      </c>
      <c r="AA55" s="5">
        <v>0.3</v>
      </c>
      <c r="AB55">
        <f t="shared" si="1"/>
        <v>7764.7407107516028</v>
      </c>
      <c r="AC55">
        <f t="shared" si="10"/>
        <v>4967.3431339644176</v>
      </c>
      <c r="AD55" s="5">
        <v>0.2</v>
      </c>
      <c r="AE55">
        <f t="shared" si="2"/>
        <v>993.46862679288358</v>
      </c>
      <c r="AF55">
        <f t="shared" si="3"/>
        <v>1</v>
      </c>
    </row>
    <row r="56" spans="1:32" x14ac:dyDescent="0.25">
      <c r="A56" s="2">
        <v>55</v>
      </c>
      <c r="B56">
        <f t="shared" si="12"/>
        <v>63.809126030448923</v>
      </c>
      <c r="C56" s="5">
        <v>0.08</v>
      </c>
      <c r="D56">
        <f t="shared" si="13"/>
        <v>450.49242977496931</v>
      </c>
      <c r="Q56">
        <f t="shared" si="14"/>
        <v>450.49242977497045</v>
      </c>
      <c r="R56">
        <f t="shared" si="6"/>
        <v>108.18205918803858</v>
      </c>
      <c r="S56">
        <f t="shared" si="7"/>
        <v>2515.7759902835196</v>
      </c>
      <c r="T56" s="5">
        <v>0.08</v>
      </c>
      <c r="V56">
        <f>SUM($R$2:R56)</f>
        <v>3576.4973121819221</v>
      </c>
      <c r="W56">
        <f t="shared" si="8"/>
        <v>7.5412164470584111</v>
      </c>
      <c r="Z56">
        <f t="shared" si="11"/>
        <v>0.18851439946628654</v>
      </c>
      <c r="AA56" s="5">
        <v>0.3</v>
      </c>
      <c r="AB56">
        <f t="shared" si="1"/>
        <v>8385.9199676117332</v>
      </c>
      <c r="AC56">
        <f t="shared" si="10"/>
        <v>5265.3837220022833</v>
      </c>
      <c r="AD56" s="5">
        <v>0.2</v>
      </c>
      <c r="AE56">
        <f t="shared" si="2"/>
        <v>1053.0767444004566</v>
      </c>
      <c r="AF56">
        <f t="shared" si="3"/>
        <v>1</v>
      </c>
    </row>
    <row r="57" spans="1:32" x14ac:dyDescent="0.25">
      <c r="A57" s="2">
        <v>56</v>
      </c>
      <c r="B57">
        <f t="shared" si="12"/>
        <v>68.913856112884844</v>
      </c>
      <c r="C57" s="5">
        <v>0.08</v>
      </c>
      <c r="D57">
        <f t="shared" si="13"/>
        <v>486.53182415696688</v>
      </c>
      <c r="Q57">
        <f t="shared" si="14"/>
        <v>486.53182415696807</v>
      </c>
      <c r="R57">
        <f t="shared" si="6"/>
        <v>110.22323011611476</v>
      </c>
      <c r="S57">
        <f t="shared" si="7"/>
        <v>2717.0380695062013</v>
      </c>
      <c r="T57" s="5">
        <v>0.08</v>
      </c>
      <c r="V57">
        <f>SUM($R$2:R57)</f>
        <v>3686.7205422980369</v>
      </c>
      <c r="W57">
        <f t="shared" si="8"/>
        <v>7.7736274244044132</v>
      </c>
      <c r="Z57">
        <f t="shared" si="11"/>
        <v>0.17455036987619121</v>
      </c>
      <c r="AA57" s="5">
        <v>0.3</v>
      </c>
      <c r="AB57">
        <f t="shared" si="1"/>
        <v>9056.7935650206709</v>
      </c>
      <c r="AC57">
        <f t="shared" si="10"/>
        <v>5581.3067453224203</v>
      </c>
      <c r="AD57" s="5">
        <v>0.2</v>
      </c>
      <c r="AE57">
        <f t="shared" si="2"/>
        <v>1116.2613490644842</v>
      </c>
      <c r="AF57">
        <f t="shared" si="3"/>
        <v>1</v>
      </c>
    </row>
    <row r="58" spans="1:32" x14ac:dyDescent="0.25">
      <c r="A58" s="2">
        <v>57</v>
      </c>
      <c r="B58">
        <f t="shared" si="12"/>
        <v>74.426964601915628</v>
      </c>
      <c r="C58" s="5">
        <v>0.08</v>
      </c>
      <c r="D58">
        <f t="shared" si="13"/>
        <v>525.45437008952422</v>
      </c>
      <c r="Q58">
        <f t="shared" si="14"/>
        <v>525.45437008952547</v>
      </c>
      <c r="R58">
        <f t="shared" si="6"/>
        <v>112.3029137032113</v>
      </c>
      <c r="S58">
        <f t="shared" si="7"/>
        <v>2934.4011150666975</v>
      </c>
      <c r="T58" s="5">
        <v>0.08</v>
      </c>
      <c r="V58">
        <f>SUM($R$2:R58)</f>
        <v>3799.0234560012482</v>
      </c>
      <c r="W58">
        <f t="shared" si="8"/>
        <v>8.0104235145305278</v>
      </c>
      <c r="Z58">
        <f t="shared" si="11"/>
        <v>0.16162071284832522</v>
      </c>
      <c r="AA58" s="5">
        <v>0.3</v>
      </c>
      <c r="AB58">
        <f t="shared" si="1"/>
        <v>9781.3370502223261</v>
      </c>
      <c r="AC58">
        <f t="shared" si="10"/>
        <v>5916.1851500417661</v>
      </c>
      <c r="AD58" s="5">
        <v>0.2</v>
      </c>
      <c r="AE58">
        <f t="shared" si="2"/>
        <v>1183.2370300083533</v>
      </c>
      <c r="AF58">
        <f t="shared" si="3"/>
        <v>1</v>
      </c>
    </row>
    <row r="59" spans="1:32" x14ac:dyDescent="0.25">
      <c r="A59" s="2">
        <v>58</v>
      </c>
      <c r="B59">
        <f t="shared" si="12"/>
        <v>80.381121770068873</v>
      </c>
      <c r="C59" s="5">
        <v>0.08</v>
      </c>
      <c r="D59">
        <f t="shared" si="13"/>
        <v>567.49071969668614</v>
      </c>
      <c r="Q59">
        <f t="shared" si="14"/>
        <v>567.49071969668762</v>
      </c>
      <c r="R59">
        <f t="shared" si="6"/>
        <v>114.42183660327188</v>
      </c>
      <c r="S59">
        <f t="shared" si="7"/>
        <v>3169.1532042720332</v>
      </c>
      <c r="T59" s="5">
        <v>0.08</v>
      </c>
      <c r="V59">
        <f>SUM($R$2:R59)</f>
        <v>3913.4452926045201</v>
      </c>
      <c r="W59">
        <f t="shared" si="8"/>
        <v>8.2516874554137392</v>
      </c>
      <c r="Z59">
        <f t="shared" si="11"/>
        <v>0.1496488081928937</v>
      </c>
      <c r="AA59" s="5">
        <v>0.3</v>
      </c>
      <c r="AB59">
        <f t="shared" si="1"/>
        <v>10563.84401424011</v>
      </c>
      <c r="AC59">
        <f t="shared" si="10"/>
        <v>6271.1562590442727</v>
      </c>
      <c r="AD59" s="5">
        <v>0.2</v>
      </c>
      <c r="AE59">
        <f t="shared" si="2"/>
        <v>1254.2312518088547</v>
      </c>
      <c r="AF59">
        <f t="shared" si="3"/>
        <v>1</v>
      </c>
    </row>
    <row r="60" spans="1:32" x14ac:dyDescent="0.25">
      <c r="A60" s="2">
        <v>59</v>
      </c>
      <c r="B60">
        <f t="shared" si="12"/>
        <v>86.811611511674386</v>
      </c>
      <c r="C60" s="5">
        <v>0.08</v>
      </c>
      <c r="D60">
        <f t="shared" si="13"/>
        <v>612.88997727242099</v>
      </c>
      <c r="Q60">
        <f t="shared" si="14"/>
        <v>612.88997727242258</v>
      </c>
      <c r="R60">
        <f t="shared" si="6"/>
        <v>116.58073918069212</v>
      </c>
      <c r="S60">
        <f t="shared" si="7"/>
        <v>3422.6854606137963</v>
      </c>
      <c r="T60" s="5">
        <v>0.08</v>
      </c>
      <c r="V60">
        <f>SUM($R$2:R60)</f>
        <v>4030.0260317852121</v>
      </c>
      <c r="W60">
        <f t="shared" si="8"/>
        <v>8.4975035461249355</v>
      </c>
      <c r="Z60">
        <f t="shared" si="11"/>
        <v>0.13856371128971637</v>
      </c>
      <c r="AA60" s="5">
        <v>0.3</v>
      </c>
      <c r="AB60">
        <f t="shared" si="1"/>
        <v>11408.951535379321</v>
      </c>
      <c r="AC60">
        <f t="shared" si="10"/>
        <v>6647.4256345869298</v>
      </c>
      <c r="AD60" s="5">
        <v>0.2</v>
      </c>
      <c r="AE60">
        <f t="shared" si="2"/>
        <v>1329.485126917386</v>
      </c>
      <c r="AF60">
        <f t="shared" si="3"/>
        <v>1</v>
      </c>
    </row>
    <row r="61" spans="1:32" x14ac:dyDescent="0.25">
      <c r="A61" s="2">
        <v>60</v>
      </c>
      <c r="B61">
        <f t="shared" si="12"/>
        <v>93.756540432608332</v>
      </c>
      <c r="C61" s="5">
        <v>0.08</v>
      </c>
      <c r="D61">
        <f t="shared" si="13"/>
        <v>661.92117545421468</v>
      </c>
      <c r="Q61">
        <f t="shared" si="14"/>
        <v>661.92117545421638</v>
      </c>
      <c r="R61">
        <f t="shared" si="6"/>
        <v>118.78037576900705</v>
      </c>
      <c r="S61">
        <f t="shared" si="7"/>
        <v>3696.5002974629001</v>
      </c>
      <c r="T61" s="5">
        <v>0.08</v>
      </c>
      <c r="V61">
        <f>SUM($R$2:R61)</f>
        <v>4148.8064075542188</v>
      </c>
      <c r="W61">
        <f t="shared" si="8"/>
        <v>8.7479576762835123</v>
      </c>
      <c r="Z61">
        <f t="shared" si="11"/>
        <v>0.1282997326756633</v>
      </c>
      <c r="AA61" s="5">
        <v>0.3</v>
      </c>
      <c r="AB61">
        <f t="shared" si="1"/>
        <v>12321.667658209668</v>
      </c>
      <c r="AC61">
        <f t="shared" si="10"/>
        <v>7046.2711726621455</v>
      </c>
      <c r="AD61" s="5">
        <v>0.2</v>
      </c>
      <c r="AE61">
        <f t="shared" si="2"/>
        <v>1409.2542345324291</v>
      </c>
      <c r="AF61">
        <f t="shared" si="3"/>
        <v>1</v>
      </c>
    </row>
    <row r="62" spans="1:32" x14ac:dyDescent="0.25">
      <c r="A62" s="2">
        <v>61</v>
      </c>
      <c r="B62">
        <f t="shared" si="12"/>
        <v>101.257063667217</v>
      </c>
      <c r="C62" s="5">
        <v>0.08</v>
      </c>
      <c r="D62">
        <f t="shared" si="13"/>
        <v>714.87486949055187</v>
      </c>
      <c r="Q62">
        <f t="shared" si="14"/>
        <v>714.87486949055381</v>
      </c>
      <c r="R62">
        <f t="shared" si="6"/>
        <v>121.02151493446003</v>
      </c>
      <c r="S62">
        <f t="shared" si="7"/>
        <v>3992.2203212599325</v>
      </c>
      <c r="T62" s="5">
        <v>0.08</v>
      </c>
      <c r="V62">
        <f>SUM($R$2:R62)</f>
        <v>4269.8279224886792</v>
      </c>
      <c r="W62">
        <f t="shared" si="8"/>
        <v>9.0031373560677252</v>
      </c>
      <c r="Z62">
        <f t="shared" si="11"/>
        <v>0.11879604877376232</v>
      </c>
      <c r="AA62" s="5">
        <v>0.3</v>
      </c>
      <c r="AB62">
        <f t="shared" si="1"/>
        <v>13307.401070866443</v>
      </c>
      <c r="AC62">
        <f t="shared" si="10"/>
        <v>7469.0474430218746</v>
      </c>
      <c r="AD62" s="5">
        <v>0.2</v>
      </c>
      <c r="AE62">
        <f t="shared" si="2"/>
        <v>1493.809488604375</v>
      </c>
      <c r="AF62">
        <f t="shared" si="3"/>
        <v>1</v>
      </c>
    </row>
    <row r="63" spans="1:32" x14ac:dyDescent="0.25">
      <c r="A63" s="2">
        <v>62</v>
      </c>
      <c r="B63">
        <f t="shared" si="12"/>
        <v>109.35762876059435</v>
      </c>
      <c r="C63" s="5">
        <v>0.08</v>
      </c>
      <c r="D63">
        <f t="shared" si="13"/>
        <v>772.06485904979604</v>
      </c>
      <c r="Q63">
        <f t="shared" si="14"/>
        <v>772.06485904979809</v>
      </c>
      <c r="R63">
        <f t="shared" si="6"/>
        <v>123.30493974454416</v>
      </c>
      <c r="S63">
        <f t="shared" si="7"/>
        <v>4311.5979469607273</v>
      </c>
      <c r="T63" s="5">
        <v>0.08</v>
      </c>
      <c r="V63">
        <f>SUM($R$2:R63)</f>
        <v>4393.132862233223</v>
      </c>
      <c r="W63">
        <f t="shared" si="8"/>
        <v>9.2631317467912595</v>
      </c>
      <c r="Z63">
        <f t="shared" si="11"/>
        <v>0.10999634145718733</v>
      </c>
      <c r="AA63" s="5">
        <v>0.3</v>
      </c>
      <c r="AB63">
        <f t="shared" si="1"/>
        <v>14371.993156535758</v>
      </c>
      <c r="AC63">
        <f t="shared" si="10"/>
        <v>7917.1902896031879</v>
      </c>
      <c r="AD63" s="5">
        <v>0.2</v>
      </c>
      <c r="AE63">
        <f t="shared" si="2"/>
        <v>1583.4380579206377</v>
      </c>
      <c r="AF63">
        <f t="shared" si="3"/>
        <v>1</v>
      </c>
    </row>
    <row r="64" spans="1:32" x14ac:dyDescent="0.25">
      <c r="A64" s="2">
        <v>63</v>
      </c>
      <c r="B64">
        <f t="shared" si="12"/>
        <v>118.1062390614419</v>
      </c>
      <c r="C64" s="5">
        <v>0.08</v>
      </c>
      <c r="D64">
        <f t="shared" si="13"/>
        <v>833.83004777377971</v>
      </c>
      <c r="Q64">
        <f t="shared" si="14"/>
        <v>833.8300477737821</v>
      </c>
      <c r="R64">
        <f t="shared" si="6"/>
        <v>125.63144804161102</v>
      </c>
      <c r="S64">
        <f t="shared" si="7"/>
        <v>4656.5257827175856</v>
      </c>
      <c r="T64" s="5">
        <v>0.08</v>
      </c>
      <c r="V64">
        <f>SUM($R$2:R64)</f>
        <v>4518.7643102748343</v>
      </c>
      <c r="W64">
        <f t="shared" si="8"/>
        <v>9.52803169205675</v>
      </c>
      <c r="Z64">
        <f t="shared" si="11"/>
        <v>0.10184846431221048</v>
      </c>
      <c r="AA64" s="5">
        <v>0.3</v>
      </c>
      <c r="AB64">
        <f t="shared" si="1"/>
        <v>15521.75260905862</v>
      </c>
      <c r="AC64">
        <f t="shared" si="10"/>
        <v>8392.2217069793787</v>
      </c>
      <c r="AD64" s="5">
        <v>0.2</v>
      </c>
      <c r="AE64">
        <f t="shared" si="2"/>
        <v>1678.4443413958759</v>
      </c>
      <c r="AF64">
        <f t="shared" si="3"/>
        <v>1</v>
      </c>
    </row>
    <row r="65" spans="1:32" x14ac:dyDescent="0.25">
      <c r="A65" s="2">
        <v>64</v>
      </c>
      <c r="B65">
        <f t="shared" si="12"/>
        <v>127.55473818635726</v>
      </c>
      <c r="C65" s="5">
        <v>0.08</v>
      </c>
      <c r="D65">
        <f t="shared" si="13"/>
        <v>900.53645159568214</v>
      </c>
      <c r="Q65">
        <f t="shared" si="14"/>
        <v>900.53645159568475</v>
      </c>
      <c r="R65">
        <f t="shared" si="6"/>
        <v>128.0018527216414</v>
      </c>
      <c r="S65">
        <f t="shared" si="7"/>
        <v>5029.0478453349924</v>
      </c>
      <c r="T65" s="5">
        <v>0.08</v>
      </c>
      <c r="V65">
        <f>SUM($R$2:R65)</f>
        <v>4646.7661629964759</v>
      </c>
      <c r="W65">
        <f t="shared" si="8"/>
        <v>9.7979297494970616</v>
      </c>
      <c r="Z65">
        <f t="shared" si="11"/>
        <v>9.4304133622417116E-2</v>
      </c>
      <c r="AA65" s="5">
        <v>0.3</v>
      </c>
      <c r="AB65">
        <f t="shared" si="1"/>
        <v>16763.49281778331</v>
      </c>
      <c r="AC65">
        <f t="shared" si="10"/>
        <v>8895.7550093981426</v>
      </c>
      <c r="AD65" s="5">
        <v>0.2</v>
      </c>
      <c r="AE65">
        <f t="shared" si="2"/>
        <v>1779.1510018796287</v>
      </c>
      <c r="AF65">
        <f t="shared" si="3"/>
        <v>1</v>
      </c>
    </row>
    <row r="66" spans="1:32" x14ac:dyDescent="0.25">
      <c r="A66" s="2">
        <v>65</v>
      </c>
      <c r="B66">
        <f t="shared" si="12"/>
        <v>137.75911724126584</v>
      </c>
      <c r="C66" s="5">
        <v>0.08</v>
      </c>
      <c r="D66">
        <f t="shared" si="13"/>
        <v>972.57936772333676</v>
      </c>
      <c r="Q66">
        <f t="shared" si="14"/>
        <v>972.5793677233396</v>
      </c>
      <c r="R66">
        <f t="shared" si="6"/>
        <v>130.41698201827617</v>
      </c>
      <c r="S66">
        <f t="shared" si="7"/>
        <v>5431.3716729617918</v>
      </c>
      <c r="T66" s="5">
        <v>0.08</v>
      </c>
      <c r="V66">
        <f>SUM($R$2:R66)</f>
        <v>4777.183145014752</v>
      </c>
      <c r="W66">
        <f t="shared" si="8"/>
        <v>10.07292022311549</v>
      </c>
      <c r="Z66">
        <f t="shared" si="11"/>
        <v>8.7318642242978806E-2</v>
      </c>
      <c r="AA66" s="5">
        <v>0.3</v>
      </c>
      <c r="AB66">
        <f t="shared" si="1"/>
        <v>18104.572243205974</v>
      </c>
      <c r="AC66">
        <f t="shared" si="10"/>
        <v>9429.5003099620317</v>
      </c>
      <c r="AD66" s="5">
        <v>0.2</v>
      </c>
      <c r="AE66">
        <f t="shared" si="2"/>
        <v>1885.9000619924063</v>
      </c>
      <c r="AF66">
        <f t="shared" si="3"/>
        <v>1</v>
      </c>
    </row>
    <row r="67" spans="1:32" x14ac:dyDescent="0.25">
      <c r="A67" s="2">
        <v>66</v>
      </c>
      <c r="B67">
        <f t="shared" si="12"/>
        <v>148.7798466205671</v>
      </c>
      <c r="C67" s="5">
        <v>0.08</v>
      </c>
      <c r="D67">
        <f t="shared" si="13"/>
        <v>1050.3857171412037</v>
      </c>
      <c r="Q67">
        <f t="shared" si="14"/>
        <v>1050.3857171412069</v>
      </c>
      <c r="R67">
        <f t="shared" si="6"/>
        <v>132.87767979220592</v>
      </c>
      <c r="S67">
        <f t="shared" si="7"/>
        <v>5865.881406798736</v>
      </c>
      <c r="T67" s="5">
        <v>0.08</v>
      </c>
      <c r="V67">
        <f>SUM($R$2:R67)</f>
        <v>4910.0608248069575</v>
      </c>
      <c r="W67">
        <f t="shared" si="8"/>
        <v>10.353099196236153</v>
      </c>
      <c r="Z67">
        <f t="shared" si="11"/>
        <v>8.0850594669424805E-2</v>
      </c>
      <c r="AA67" s="5">
        <v>0.3</v>
      </c>
      <c r="AB67">
        <f t="shared" ref="AB67:AB130" si="15">S67/AA67</f>
        <v>19552.938022662453</v>
      </c>
      <c r="AC67">
        <f t="shared" si="10"/>
        <v>9995.2703285597545</v>
      </c>
      <c r="AD67" s="5">
        <v>0.2</v>
      </c>
      <c r="AE67">
        <f t="shared" ref="AE67:AE130" si="16">AC67*AD67</f>
        <v>1999.0540657119509</v>
      </c>
      <c r="AF67">
        <f t="shared" ref="AF67:AF130" si="17">IF(AB67&gt;AE67, 1, 0)</f>
        <v>1</v>
      </c>
    </row>
    <row r="68" spans="1:32" x14ac:dyDescent="0.25">
      <c r="A68" s="2">
        <v>67</v>
      </c>
      <c r="B68">
        <f t="shared" si="12"/>
        <v>160.68223435021247</v>
      </c>
      <c r="C68" s="5">
        <v>0.08</v>
      </c>
      <c r="D68">
        <f t="shared" si="13"/>
        <v>1134.4165745125001</v>
      </c>
      <c r="Q68">
        <f t="shared" si="14"/>
        <v>1134.4165745125033</v>
      </c>
      <c r="R68">
        <f t="shared" ref="R68:R101" si="18">S68/((1+$U$2)^A67)</f>
        <v>135.38480582602116</v>
      </c>
      <c r="S68">
        <f t="shared" ref="S68:S101" si="19">S67*(1+T67)</f>
        <v>6335.1519193426357</v>
      </c>
      <c r="T68" s="5">
        <v>0.08</v>
      </c>
      <c r="V68">
        <f>SUM($R$2:R68)</f>
        <v>5045.4456306329785</v>
      </c>
      <c r="W68">
        <f t="shared" ref="W68:W101" si="20">V68/$W$2</f>
        <v>10.638564565076074</v>
      </c>
      <c r="Z68">
        <f t="shared" si="11"/>
        <v>7.4861661730948895E-2</v>
      </c>
      <c r="AA68" s="5">
        <v>0.3</v>
      </c>
      <c r="AB68">
        <f t="shared" si="15"/>
        <v>21117.173064475453</v>
      </c>
      <c r="AC68">
        <f t="shared" ref="AC68:AC131" si="21">AC67*(1+$U$2)</f>
        <v>10594.98654827334</v>
      </c>
      <c r="AD68" s="5">
        <v>0.2</v>
      </c>
      <c r="AE68">
        <f t="shared" si="16"/>
        <v>2118.9973096546682</v>
      </c>
      <c r="AF68">
        <f t="shared" si="17"/>
        <v>1</v>
      </c>
    </row>
    <row r="69" spans="1:32" x14ac:dyDescent="0.25">
      <c r="A69" s="2">
        <v>68</v>
      </c>
      <c r="B69">
        <f t="shared" si="12"/>
        <v>173.53681309822946</v>
      </c>
      <c r="C69" s="5">
        <v>0.08</v>
      </c>
      <c r="D69">
        <f t="shared" si="13"/>
        <v>1225.1699004735001</v>
      </c>
      <c r="Q69">
        <f t="shared" si="14"/>
        <v>1225.1699004735037</v>
      </c>
      <c r="R69">
        <f t="shared" si="18"/>
        <v>137.93923612462532</v>
      </c>
      <c r="S69">
        <f t="shared" si="19"/>
        <v>6841.9640728900467</v>
      </c>
      <c r="T69" s="5">
        <v>0.08</v>
      </c>
      <c r="V69">
        <f>SUM($R$2:R69)</f>
        <v>5183.384866757604</v>
      </c>
      <c r="W69">
        <f t="shared" si="20"/>
        <v>10.92941607295071</v>
      </c>
      <c r="Z69">
        <f t="shared" si="11"/>
        <v>6.93163534545823E-2</v>
      </c>
      <c r="AA69" s="5">
        <v>0.3</v>
      </c>
      <c r="AB69">
        <f t="shared" si="15"/>
        <v>22806.546909633489</v>
      </c>
      <c r="AC69">
        <f t="shared" si="21"/>
        <v>11230.685741169742</v>
      </c>
      <c r="AD69" s="5">
        <v>0.2</v>
      </c>
      <c r="AE69">
        <f t="shared" si="16"/>
        <v>2246.1371482339487</v>
      </c>
      <c r="AF69">
        <f t="shared" si="17"/>
        <v>1</v>
      </c>
    </row>
    <row r="70" spans="1:32" x14ac:dyDescent="0.25">
      <c r="A70" s="2">
        <v>69</v>
      </c>
      <c r="B70">
        <f t="shared" si="12"/>
        <v>187.41975814608782</v>
      </c>
      <c r="C70" s="5">
        <v>0.08</v>
      </c>
      <c r="D70">
        <f t="shared" si="13"/>
        <v>1323.1834925113801</v>
      </c>
      <c r="Q70">
        <f t="shared" si="14"/>
        <v>1323.1834925113842</v>
      </c>
      <c r="R70">
        <f t="shared" si="18"/>
        <v>140.54186322131633</v>
      </c>
      <c r="S70">
        <f t="shared" si="19"/>
        <v>7389.3211987212508</v>
      </c>
      <c r="T70" s="5">
        <v>0.08</v>
      </c>
      <c r="V70">
        <f>SUM($R$2:R70)</f>
        <v>5323.9267299789199</v>
      </c>
      <c r="W70">
        <f t="shared" si="20"/>
        <v>11.225755345124869</v>
      </c>
      <c r="Z70">
        <f t="shared" si="11"/>
        <v>6.4181808754242869E-2</v>
      </c>
      <c r="AA70" s="5">
        <v>0.3</v>
      </c>
      <c r="AB70">
        <f t="shared" si="15"/>
        <v>24631.07066240417</v>
      </c>
      <c r="AC70">
        <f t="shared" si="21"/>
        <v>11904.526885639927</v>
      </c>
      <c r="AD70" s="5">
        <v>0.2</v>
      </c>
      <c r="AE70">
        <f t="shared" si="16"/>
        <v>2380.9053771279855</v>
      </c>
      <c r="AF70">
        <f t="shared" si="17"/>
        <v>1</v>
      </c>
    </row>
    <row r="71" spans="1:32" x14ac:dyDescent="0.25">
      <c r="A71" s="2">
        <v>70</v>
      </c>
      <c r="B71">
        <f t="shared" si="12"/>
        <v>202.41333879777483</v>
      </c>
      <c r="C71" s="5">
        <v>0.08</v>
      </c>
      <c r="D71">
        <f t="shared" si="13"/>
        <v>1429.0381719122906</v>
      </c>
      <c r="Q71">
        <f t="shared" si="14"/>
        <v>1429.0381719122947</v>
      </c>
      <c r="R71">
        <f t="shared" si="18"/>
        <v>143.19359648964306</v>
      </c>
      <c r="S71">
        <f t="shared" si="19"/>
        <v>7980.4668946189513</v>
      </c>
      <c r="T71" s="5">
        <v>0.08</v>
      </c>
      <c r="V71">
        <f>SUM($R$2:R71)</f>
        <v>5467.1203264685628</v>
      </c>
      <c r="W71">
        <f t="shared" si="20"/>
        <v>11.52768592432118</v>
      </c>
      <c r="Z71">
        <f t="shared" si="11"/>
        <v>5.9427600698373023E-2</v>
      </c>
      <c r="AA71" s="5">
        <v>0.3</v>
      </c>
      <c r="AB71">
        <f t="shared" si="15"/>
        <v>26601.556315396505</v>
      </c>
      <c r="AC71">
        <f t="shared" si="21"/>
        <v>12618.798498778324</v>
      </c>
      <c r="AD71" s="5">
        <v>0.2</v>
      </c>
      <c r="AE71">
        <f t="shared" si="16"/>
        <v>2523.7596997556648</v>
      </c>
      <c r="AF71">
        <f t="shared" si="17"/>
        <v>1</v>
      </c>
    </row>
    <row r="72" spans="1:32" x14ac:dyDescent="0.25">
      <c r="A72" s="2">
        <v>71</v>
      </c>
      <c r="B72">
        <f t="shared" si="12"/>
        <v>218.60640590159682</v>
      </c>
      <c r="C72" s="5">
        <v>0.08</v>
      </c>
      <c r="D72">
        <f t="shared" si="13"/>
        <v>1543.3612256652739</v>
      </c>
      <c r="Q72">
        <f t="shared" si="14"/>
        <v>1543.3612256652787</v>
      </c>
      <c r="R72">
        <f t="shared" si="18"/>
        <v>145.89536246114577</v>
      </c>
      <c r="S72">
        <f t="shared" si="19"/>
        <v>8618.9042461884674</v>
      </c>
      <c r="T72" s="5">
        <v>0.08</v>
      </c>
      <c r="V72">
        <f>SUM($R$2:R72)</f>
        <v>5613.0156889297086</v>
      </c>
      <c r="W72">
        <f t="shared" si="20"/>
        <v>11.835313306898556</v>
      </c>
      <c r="Z72">
        <f t="shared" si="11"/>
        <v>5.5025556202197248E-2</v>
      </c>
      <c r="AA72" s="5">
        <v>0.3</v>
      </c>
      <c r="AB72">
        <f t="shared" si="15"/>
        <v>28729.680820628226</v>
      </c>
      <c r="AC72">
        <f t="shared" si="21"/>
        <v>13375.926408705023</v>
      </c>
      <c r="AD72" s="5">
        <v>0.2</v>
      </c>
      <c r="AE72">
        <f t="shared" si="16"/>
        <v>2675.1852817410049</v>
      </c>
      <c r="AF72">
        <f t="shared" si="17"/>
        <v>1</v>
      </c>
    </row>
    <row r="73" spans="1:32" x14ac:dyDescent="0.25">
      <c r="A73" s="2">
        <v>72</v>
      </c>
      <c r="B73">
        <f t="shared" si="12"/>
        <v>236.09491837372457</v>
      </c>
      <c r="C73" s="5">
        <v>0.08</v>
      </c>
      <c r="D73">
        <f t="shared" si="13"/>
        <v>1666.8301237184958</v>
      </c>
      <c r="Q73">
        <f t="shared" si="14"/>
        <v>1666.830123718501</v>
      </c>
      <c r="R73">
        <f t="shared" si="18"/>
        <v>148.64810514909189</v>
      </c>
      <c r="S73">
        <f t="shared" si="19"/>
        <v>9308.4165858835458</v>
      </c>
      <c r="T73" s="5">
        <v>0.08</v>
      </c>
      <c r="V73">
        <f>SUM($R$2:R73)</f>
        <v>5761.6637940788005</v>
      </c>
      <c r="W73">
        <f t="shared" si="20"/>
        <v>12.148744979713239</v>
      </c>
      <c r="Z73">
        <f t="shared" si="11"/>
        <v>5.0949589076108553E-2</v>
      </c>
      <c r="AA73" s="5">
        <v>0.3</v>
      </c>
      <c r="AB73">
        <f t="shared" si="15"/>
        <v>31028.055286278486</v>
      </c>
      <c r="AC73">
        <f t="shared" si="21"/>
        <v>14178.481993227326</v>
      </c>
      <c r="AD73" s="5">
        <v>0.2</v>
      </c>
      <c r="AE73">
        <f t="shared" si="16"/>
        <v>2835.6963986454653</v>
      </c>
      <c r="AF73">
        <f t="shared" si="17"/>
        <v>1</v>
      </c>
    </row>
    <row r="74" spans="1:32" x14ac:dyDescent="0.25">
      <c r="A74" s="2">
        <v>73</v>
      </c>
      <c r="B74">
        <f t="shared" si="12"/>
        <v>254.98251184362255</v>
      </c>
      <c r="C74" s="5">
        <v>0.08</v>
      </c>
      <c r="D74">
        <f t="shared" si="13"/>
        <v>1800.1765336159754</v>
      </c>
      <c r="Q74">
        <f t="shared" si="14"/>
        <v>1800.176533615981</v>
      </c>
      <c r="R74">
        <f t="shared" si="18"/>
        <v>151.45278637832007</v>
      </c>
      <c r="S74">
        <f t="shared" si="19"/>
        <v>10053.089912754231</v>
      </c>
      <c r="T74" s="5">
        <v>0.08</v>
      </c>
      <c r="V74">
        <f>SUM($R$2:R74)</f>
        <v>5913.116580457121</v>
      </c>
      <c r="W74">
        <f t="shared" si="20"/>
        <v>12.46809045767537</v>
      </c>
      <c r="Z74">
        <f t="shared" si="11"/>
        <v>4.7175545440841252E-2</v>
      </c>
      <c r="AA74" s="5">
        <v>0.3</v>
      </c>
      <c r="AB74">
        <f t="shared" si="15"/>
        <v>33510.29970918077</v>
      </c>
      <c r="AC74">
        <f t="shared" si="21"/>
        <v>15029.190912820966</v>
      </c>
      <c r="AD74" s="5">
        <v>0.2</v>
      </c>
      <c r="AE74">
        <f t="shared" si="16"/>
        <v>3005.8381825641936</v>
      </c>
      <c r="AF74">
        <f t="shared" si="17"/>
        <v>1</v>
      </c>
    </row>
    <row r="75" spans="1:32" x14ac:dyDescent="0.25">
      <c r="A75" s="2">
        <v>74</v>
      </c>
      <c r="B75">
        <f t="shared" si="12"/>
        <v>275.38111279111234</v>
      </c>
      <c r="C75" s="5">
        <v>0.08</v>
      </c>
      <c r="D75">
        <f t="shared" si="13"/>
        <v>1944.1906563052535</v>
      </c>
      <c r="Q75">
        <f t="shared" si="14"/>
        <v>1944.1906563052598</v>
      </c>
      <c r="R75">
        <f t="shared" si="18"/>
        <v>154.31038612130729</v>
      </c>
      <c r="S75">
        <f t="shared" si="19"/>
        <v>10857.33710577457</v>
      </c>
      <c r="T75" s="5">
        <v>0.08</v>
      </c>
      <c r="V75">
        <f>SUM($R$2:R75)</f>
        <v>6067.4269665784286</v>
      </c>
      <c r="W75">
        <f t="shared" si="20"/>
        <v>12.793461322014146</v>
      </c>
      <c r="Z75">
        <f t="shared" si="11"/>
        <v>4.3681060593371526E-2</v>
      </c>
      <c r="AA75" s="5">
        <v>0.3</v>
      </c>
      <c r="AB75">
        <f t="shared" si="15"/>
        <v>36191.123685915234</v>
      </c>
      <c r="AC75">
        <f t="shared" si="21"/>
        <v>15930.942367590225</v>
      </c>
      <c r="AD75" s="5">
        <v>0.2</v>
      </c>
      <c r="AE75">
        <f t="shared" si="16"/>
        <v>3186.1884735180452</v>
      </c>
      <c r="AF75">
        <f t="shared" si="17"/>
        <v>1</v>
      </c>
    </row>
    <row r="76" spans="1:32" x14ac:dyDescent="0.25">
      <c r="A76" s="2">
        <v>75</v>
      </c>
      <c r="B76">
        <f t="shared" si="12"/>
        <v>297.41160181440131</v>
      </c>
      <c r="C76" s="5">
        <v>0.08</v>
      </c>
      <c r="D76">
        <f t="shared" si="13"/>
        <v>2099.7259088096739</v>
      </c>
      <c r="Q76">
        <f t="shared" si="14"/>
        <v>2099.7259088096807</v>
      </c>
      <c r="R76">
        <f t="shared" si="18"/>
        <v>157.22190284057723</v>
      </c>
      <c r="S76">
        <f t="shared" si="19"/>
        <v>11725.924074236536</v>
      </c>
      <c r="T76" s="5">
        <v>0.08</v>
      </c>
      <c r="V76">
        <f>SUM($R$2:R76)</f>
        <v>6224.6488694190057</v>
      </c>
      <c r="W76">
        <f t="shared" si="20"/>
        <v>13.124971259264973</v>
      </c>
      <c r="Z76">
        <f t="shared" si="11"/>
        <v>4.0445426475344E-2</v>
      </c>
      <c r="AA76" s="5">
        <v>0.3</v>
      </c>
      <c r="AB76">
        <f t="shared" si="15"/>
        <v>39086.41358078846</v>
      </c>
      <c r="AC76">
        <f t="shared" si="21"/>
        <v>16886.79890964564</v>
      </c>
      <c r="AD76" s="5">
        <v>0.2</v>
      </c>
      <c r="AE76">
        <f t="shared" si="16"/>
        <v>3377.3597819291281</v>
      </c>
      <c r="AF76">
        <f t="shared" si="17"/>
        <v>1</v>
      </c>
    </row>
    <row r="77" spans="1:32" x14ac:dyDescent="0.25">
      <c r="A77" s="2">
        <v>76</v>
      </c>
      <c r="B77">
        <f t="shared" si="12"/>
        <v>321.20452995955338</v>
      </c>
      <c r="C77" s="5">
        <v>0.08</v>
      </c>
      <c r="D77">
        <f t="shared" si="13"/>
        <v>2267.7039815144481</v>
      </c>
      <c r="Q77">
        <f t="shared" si="14"/>
        <v>2267.7039815144553</v>
      </c>
      <c r="R77">
        <f t="shared" si="18"/>
        <v>160.18835383756922</v>
      </c>
      <c r="S77">
        <f t="shared" si="19"/>
        <v>12663.998000175459</v>
      </c>
      <c r="T77" s="5">
        <v>0.08</v>
      </c>
      <c r="V77">
        <f>SUM($R$2:R77)</f>
        <v>6384.8372232565753</v>
      </c>
      <c r="W77">
        <f t="shared" si="20"/>
        <v>13.462736100992231</v>
      </c>
      <c r="Z77">
        <f t="shared" si="11"/>
        <v>3.7449468958651852E-2</v>
      </c>
      <c r="AA77" s="5">
        <v>0.3</v>
      </c>
      <c r="AB77">
        <f t="shared" si="15"/>
        <v>42213.326667251531</v>
      </c>
      <c r="AC77">
        <f t="shared" si="21"/>
        <v>17900.006844224379</v>
      </c>
      <c r="AD77" s="5">
        <v>0.2</v>
      </c>
      <c r="AE77">
        <f t="shared" si="16"/>
        <v>3580.0013688448762</v>
      </c>
      <c r="AF77">
        <f t="shared" si="17"/>
        <v>1</v>
      </c>
    </row>
    <row r="78" spans="1:32" x14ac:dyDescent="0.25">
      <c r="A78" s="2">
        <v>77</v>
      </c>
      <c r="B78">
        <f t="shared" si="12"/>
        <v>346.90089235631763</v>
      </c>
      <c r="C78" s="5">
        <v>0.08</v>
      </c>
      <c r="D78">
        <f t="shared" si="13"/>
        <v>2449.120300035604</v>
      </c>
      <c r="Q78">
        <f t="shared" si="14"/>
        <v>2449.1203000356118</v>
      </c>
      <c r="R78">
        <f t="shared" si="18"/>
        <v>163.21077560808939</v>
      </c>
      <c r="S78">
        <f t="shared" si="19"/>
        <v>13677.117840189498</v>
      </c>
      <c r="T78" s="5">
        <v>0.08</v>
      </c>
      <c r="V78">
        <f>SUM($R$2:R78)</f>
        <v>6548.0479988646648</v>
      </c>
      <c r="W78">
        <f t="shared" si="20"/>
        <v>13.806873864261512</v>
      </c>
      <c r="Z78">
        <f t="shared" si="11"/>
        <v>3.4675434220973932E-2</v>
      </c>
      <c r="AA78" s="5">
        <v>0.3</v>
      </c>
      <c r="AB78">
        <f t="shared" si="15"/>
        <v>45590.392800631664</v>
      </c>
      <c r="AC78">
        <f t="shared" si="21"/>
        <v>18974.007254877844</v>
      </c>
      <c r="AD78" s="5">
        <v>0.2</v>
      </c>
      <c r="AE78">
        <f t="shared" si="16"/>
        <v>3794.801450975569</v>
      </c>
      <c r="AF78">
        <f t="shared" si="17"/>
        <v>1</v>
      </c>
    </row>
    <row r="79" spans="1:32" x14ac:dyDescent="0.25">
      <c r="A79" s="2">
        <v>78</v>
      </c>
      <c r="B79">
        <f t="shared" si="12"/>
        <v>374.65296374482301</v>
      </c>
      <c r="C79" s="5">
        <v>0.08</v>
      </c>
      <c r="D79">
        <f t="shared" si="13"/>
        <v>2645.0499240384524</v>
      </c>
      <c r="Q79">
        <f t="shared" si="14"/>
        <v>2645.0499240384602</v>
      </c>
      <c r="R79">
        <f t="shared" si="18"/>
        <v>166.29022420446842</v>
      </c>
      <c r="S79">
        <f t="shared" si="19"/>
        <v>14771.287267404658</v>
      </c>
      <c r="T79" s="5">
        <v>0.08</v>
      </c>
      <c r="V79">
        <f>SUM($R$2:R79)</f>
        <v>6714.3382230691332</v>
      </c>
      <c r="W79">
        <f t="shared" si="20"/>
        <v>14.157504792875498</v>
      </c>
      <c r="Z79">
        <f t="shared" ref="Z79:Z142" si="22">$W$2/S79</f>
        <v>3.2106883537938828E-2</v>
      </c>
      <c r="AA79" s="5">
        <v>0.3</v>
      </c>
      <c r="AB79">
        <f t="shared" si="15"/>
        <v>49237.624224682193</v>
      </c>
      <c r="AC79">
        <f t="shared" si="21"/>
        <v>20112.447690170517</v>
      </c>
      <c r="AD79" s="5">
        <v>0.2</v>
      </c>
      <c r="AE79">
        <f t="shared" si="16"/>
        <v>4022.4895380341036</v>
      </c>
      <c r="AF79">
        <f t="shared" si="17"/>
        <v>1</v>
      </c>
    </row>
    <row r="80" spans="1:32" x14ac:dyDescent="0.25">
      <c r="A80" s="2">
        <v>79</v>
      </c>
      <c r="B80">
        <f t="shared" si="12"/>
        <v>404.62520084440882</v>
      </c>
      <c r="C80" s="5">
        <v>0.08</v>
      </c>
      <c r="D80">
        <f t="shared" si="13"/>
        <v>2856.6539179615288</v>
      </c>
      <c r="Q80">
        <f t="shared" si="14"/>
        <v>2856.6539179615379</v>
      </c>
      <c r="R80">
        <f t="shared" si="18"/>
        <v>169.42777560455275</v>
      </c>
      <c r="S80">
        <f t="shared" si="19"/>
        <v>15952.99024879703</v>
      </c>
      <c r="T80" s="5">
        <v>0.08</v>
      </c>
      <c r="V80">
        <f>SUM($R$2:R80)</f>
        <v>6883.7659986736862</v>
      </c>
      <c r="W80">
        <f t="shared" si="20"/>
        <v>14.51475139938786</v>
      </c>
      <c r="Z80">
        <f t="shared" si="22"/>
        <v>2.9728595868461875E-2</v>
      </c>
      <c r="AA80" s="5">
        <v>0.3</v>
      </c>
      <c r="AB80">
        <f t="shared" si="15"/>
        <v>53176.634162656766</v>
      </c>
      <c r="AC80">
        <f t="shared" si="21"/>
        <v>21319.194551580749</v>
      </c>
      <c r="AD80" s="5">
        <v>0.2</v>
      </c>
      <c r="AE80">
        <f t="shared" si="16"/>
        <v>4263.8389103161498</v>
      </c>
      <c r="AF80">
        <f t="shared" si="17"/>
        <v>1</v>
      </c>
    </row>
    <row r="81" spans="1:32" x14ac:dyDescent="0.25">
      <c r="A81" s="2">
        <v>80</v>
      </c>
      <c r="B81">
        <f t="shared" si="12"/>
        <v>436.99521691196151</v>
      </c>
      <c r="C81" s="5">
        <v>0.08</v>
      </c>
      <c r="D81">
        <f t="shared" si="13"/>
        <v>3085.1862313984511</v>
      </c>
      <c r="Q81">
        <f t="shared" si="14"/>
        <v>3085.1862313984611</v>
      </c>
      <c r="R81">
        <f t="shared" si="18"/>
        <v>172.62452608765747</v>
      </c>
      <c r="S81">
        <f t="shared" si="19"/>
        <v>17229.229468700792</v>
      </c>
      <c r="T81" s="5">
        <v>0.08</v>
      </c>
      <c r="V81">
        <f>SUM($R$2:R81)</f>
        <v>7056.3905247613438</v>
      </c>
      <c r="W81">
        <f t="shared" si="20"/>
        <v>14.878738507909889</v>
      </c>
      <c r="Z81">
        <f t="shared" si="22"/>
        <v>2.752647765598322E-2</v>
      </c>
      <c r="AA81" s="5">
        <v>0.3</v>
      </c>
      <c r="AB81">
        <f t="shared" si="15"/>
        <v>57430.764895669308</v>
      </c>
      <c r="AC81">
        <f t="shared" si="21"/>
        <v>22598.346224675595</v>
      </c>
      <c r="AD81" s="5">
        <v>0.2</v>
      </c>
      <c r="AE81">
        <f t="shared" si="16"/>
        <v>4519.6692449351194</v>
      </c>
      <c r="AF81">
        <f t="shared" si="17"/>
        <v>1</v>
      </c>
    </row>
    <row r="82" spans="1:32" x14ac:dyDescent="0.25">
      <c r="A82" s="2">
        <v>81</v>
      </c>
      <c r="B82">
        <f t="shared" si="12"/>
        <v>471.95483426491842</v>
      </c>
      <c r="C82" s="5">
        <v>0.08</v>
      </c>
      <c r="D82">
        <f t="shared" si="13"/>
        <v>3332.0011299103271</v>
      </c>
      <c r="Q82">
        <f t="shared" si="14"/>
        <v>3332.001129910338</v>
      </c>
      <c r="R82">
        <f t="shared" si="18"/>
        <v>175.88159261761334</v>
      </c>
      <c r="S82">
        <f t="shared" si="19"/>
        <v>18607.567826196857</v>
      </c>
      <c r="T82" s="5">
        <v>0.08</v>
      </c>
      <c r="V82">
        <f>SUM($R$2:R82)</f>
        <v>7232.2721173789569</v>
      </c>
      <c r="W82">
        <f t="shared" si="20"/>
        <v>15.249593297724786</v>
      </c>
      <c r="Z82">
        <f t="shared" si="22"/>
        <v>2.5487479311095573E-2</v>
      </c>
      <c r="AA82" s="5">
        <v>0.3</v>
      </c>
      <c r="AB82">
        <f t="shared" si="15"/>
        <v>62025.226087322859</v>
      </c>
      <c r="AC82">
        <f t="shared" si="21"/>
        <v>23954.246998156133</v>
      </c>
      <c r="AD82" s="5">
        <v>0.2</v>
      </c>
      <c r="AE82">
        <f t="shared" si="16"/>
        <v>4790.8493996312272</v>
      </c>
      <c r="AF82">
        <f t="shared" si="17"/>
        <v>1</v>
      </c>
    </row>
    <row r="83" spans="1:32" x14ac:dyDescent="0.25">
      <c r="A83" s="2">
        <v>82</v>
      </c>
      <c r="B83">
        <f t="shared" si="12"/>
        <v>509.71122100611188</v>
      </c>
      <c r="C83" s="5">
        <v>0.08</v>
      </c>
      <c r="D83">
        <f t="shared" si="13"/>
        <v>3598.5612203031533</v>
      </c>
      <c r="Q83">
        <f t="shared" si="14"/>
        <v>3598.5612203031651</v>
      </c>
      <c r="R83">
        <f t="shared" si="18"/>
        <v>179.20011323303999</v>
      </c>
      <c r="S83">
        <f t="shared" si="19"/>
        <v>20096.173252292607</v>
      </c>
      <c r="T83" s="5">
        <v>0.08</v>
      </c>
      <c r="V83">
        <f>SUM($R$2:R83)</f>
        <v>7411.4722306119966</v>
      </c>
      <c r="W83">
        <f t="shared" si="20"/>
        <v>15.627445347724869</v>
      </c>
      <c r="Z83">
        <f t="shared" si="22"/>
        <v>2.3599517880644048E-2</v>
      </c>
      <c r="AA83" s="5">
        <v>0.3</v>
      </c>
      <c r="AB83">
        <f t="shared" si="15"/>
        <v>66987.244174308697</v>
      </c>
      <c r="AC83">
        <f t="shared" si="21"/>
        <v>25391.501818045504</v>
      </c>
      <c r="AD83" s="5">
        <v>0.2</v>
      </c>
      <c r="AE83">
        <f t="shared" si="16"/>
        <v>5078.3003636091016</v>
      </c>
      <c r="AF83">
        <f t="shared" si="17"/>
        <v>1</v>
      </c>
    </row>
    <row r="84" spans="1:32" x14ac:dyDescent="0.25">
      <c r="A84" s="2">
        <v>83</v>
      </c>
      <c r="B84">
        <f t="shared" si="12"/>
        <v>550.48811868660084</v>
      </c>
      <c r="C84" s="5">
        <v>0.08</v>
      </c>
      <c r="D84">
        <f t="shared" si="13"/>
        <v>3886.4461179274058</v>
      </c>
      <c r="Q84">
        <f t="shared" si="14"/>
        <v>3886.4461179274185</v>
      </c>
      <c r="R84">
        <f t="shared" si="18"/>
        <v>182.58124744498417</v>
      </c>
      <c r="S84">
        <f t="shared" si="19"/>
        <v>21703.867112476019</v>
      </c>
      <c r="T84" s="5">
        <v>0.08</v>
      </c>
      <c r="V84">
        <f>SUM($R$2:R84)</f>
        <v>7594.0534780569806</v>
      </c>
      <c r="W84">
        <f t="shared" si="20"/>
        <v>16.01242668168722</v>
      </c>
      <c r="Z84">
        <f t="shared" si="22"/>
        <v>2.1851405445040779E-2</v>
      </c>
      <c r="AA84" s="5">
        <v>0.3</v>
      </c>
      <c r="AB84">
        <f t="shared" si="15"/>
        <v>72346.223708253397</v>
      </c>
      <c r="AC84">
        <f t="shared" si="21"/>
        <v>26914.991927128238</v>
      </c>
      <c r="AD84" s="5">
        <v>0.2</v>
      </c>
      <c r="AE84">
        <f t="shared" si="16"/>
        <v>5382.9983854256479</v>
      </c>
      <c r="AF84">
        <f t="shared" si="17"/>
        <v>1</v>
      </c>
    </row>
    <row r="85" spans="1:32" x14ac:dyDescent="0.25">
      <c r="A85" s="2">
        <v>84</v>
      </c>
      <c r="B85">
        <f t="shared" si="12"/>
        <v>594.52716818152885</v>
      </c>
      <c r="C85" s="5">
        <v>0.08</v>
      </c>
      <c r="D85">
        <f t="shared" si="13"/>
        <v>4197.361807361598</v>
      </c>
      <c r="Q85">
        <f t="shared" si="14"/>
        <v>4197.3618073616126</v>
      </c>
      <c r="R85">
        <f t="shared" si="18"/>
        <v>186.02617664205931</v>
      </c>
      <c r="S85">
        <f t="shared" si="19"/>
        <v>23440.1764814741</v>
      </c>
      <c r="T85" s="5">
        <v>0.08</v>
      </c>
      <c r="V85">
        <f>SUM($R$2:R85)</f>
        <v>7780.0796546990396</v>
      </c>
      <c r="W85">
        <f t="shared" si="20"/>
        <v>16.404671814403574</v>
      </c>
      <c r="Z85">
        <f t="shared" si="22"/>
        <v>2.0232782819482206E-2</v>
      </c>
      <c r="AA85" s="5">
        <v>0.3</v>
      </c>
      <c r="AB85">
        <f t="shared" si="15"/>
        <v>78133.921604913674</v>
      </c>
      <c r="AC85">
        <f t="shared" si="21"/>
        <v>28529.891442755932</v>
      </c>
      <c r="AD85" s="5">
        <v>0.2</v>
      </c>
      <c r="AE85">
        <f t="shared" si="16"/>
        <v>5705.9782885511868</v>
      </c>
      <c r="AF85">
        <f t="shared" si="17"/>
        <v>1</v>
      </c>
    </row>
    <row r="86" spans="1:32" x14ac:dyDescent="0.25">
      <c r="A86" s="2">
        <v>85</v>
      </c>
      <c r="B86">
        <f t="shared" si="12"/>
        <v>642.08934163605113</v>
      </c>
      <c r="C86" s="5">
        <v>0.08</v>
      </c>
      <c r="D86">
        <f t="shared" si="13"/>
        <v>4533.1507519505258</v>
      </c>
      <c r="Q86">
        <f t="shared" si="14"/>
        <v>4533.1507519505412</v>
      </c>
      <c r="R86">
        <f t="shared" si="18"/>
        <v>189.53610450323023</v>
      </c>
      <c r="S86">
        <f t="shared" si="19"/>
        <v>25315.390599992028</v>
      </c>
      <c r="T86" s="5">
        <v>0.08</v>
      </c>
      <c r="V86">
        <f>SUM($R$2:R86)</f>
        <v>7969.6157592022701</v>
      </c>
      <c r="W86">
        <f t="shared" si="20"/>
        <v>16.804317798680618</v>
      </c>
      <c r="Z86">
        <f t="shared" si="22"/>
        <v>1.8734058166187225E-2</v>
      </c>
      <c r="AA86" s="5">
        <v>0.3</v>
      </c>
      <c r="AB86">
        <f t="shared" si="15"/>
        <v>84384.635333306767</v>
      </c>
      <c r="AC86">
        <f t="shared" si="21"/>
        <v>30241.684929321291</v>
      </c>
      <c r="AD86" s="5">
        <v>0.2</v>
      </c>
      <c r="AE86">
        <f t="shared" si="16"/>
        <v>6048.3369858642582</v>
      </c>
      <c r="AF86">
        <f t="shared" si="17"/>
        <v>1</v>
      </c>
    </row>
    <row r="87" spans="1:32" x14ac:dyDescent="0.25">
      <c r="A87" s="2">
        <v>86</v>
      </c>
      <c r="B87">
        <f t="shared" si="12"/>
        <v>693.45648896693524</v>
      </c>
      <c r="C87" s="5">
        <v>0.08</v>
      </c>
      <c r="D87">
        <f t="shared" si="13"/>
        <v>4895.8028121065681</v>
      </c>
      <c r="Q87">
        <f t="shared" si="14"/>
        <v>4895.8028121065854</v>
      </c>
      <c r="R87">
        <f t="shared" si="18"/>
        <v>193.1122574183855</v>
      </c>
      <c r="S87">
        <f t="shared" si="19"/>
        <v>27340.621847991391</v>
      </c>
      <c r="T87" s="5">
        <v>0.08</v>
      </c>
      <c r="V87">
        <f>SUM($R$2:R87)</f>
        <v>8162.7280166206556</v>
      </c>
      <c r="W87">
        <f t="shared" si="20"/>
        <v>17.211504273227039</v>
      </c>
      <c r="Z87">
        <f t="shared" si="22"/>
        <v>1.734635015387706E-2</v>
      </c>
      <c r="AA87" s="5">
        <v>0.3</v>
      </c>
      <c r="AB87">
        <f t="shared" si="15"/>
        <v>91135.406159971302</v>
      </c>
      <c r="AC87">
        <f t="shared" si="21"/>
        <v>32056.186025080569</v>
      </c>
      <c r="AD87" s="5">
        <v>0.2</v>
      </c>
      <c r="AE87">
        <f t="shared" si="16"/>
        <v>6411.2372050161139</v>
      </c>
      <c r="AF87">
        <f t="shared" si="17"/>
        <v>1</v>
      </c>
    </row>
    <row r="88" spans="1:32" x14ac:dyDescent="0.25">
      <c r="A88" s="2">
        <v>87</v>
      </c>
      <c r="B88">
        <f t="shared" si="12"/>
        <v>748.93300808429001</v>
      </c>
      <c r="C88" s="5">
        <v>0.08</v>
      </c>
      <c r="D88">
        <f t="shared" si="13"/>
        <v>5287.4670370750937</v>
      </c>
      <c r="Q88">
        <f t="shared" si="14"/>
        <v>5287.4670370751119</v>
      </c>
      <c r="R88">
        <f t="shared" si="18"/>
        <v>196.75588491684559</v>
      </c>
      <c r="S88">
        <f t="shared" si="19"/>
        <v>29527.871595830704</v>
      </c>
      <c r="T88" s="5">
        <v>0.08</v>
      </c>
      <c r="V88">
        <f>SUM($R$2:R88)</f>
        <v>8359.4839015375019</v>
      </c>
      <c r="W88">
        <f t="shared" si="20"/>
        <v>17.62637351144415</v>
      </c>
      <c r="Z88">
        <f t="shared" si="22"/>
        <v>1.6061435327663943E-2</v>
      </c>
      <c r="AA88" s="5">
        <v>0.3</v>
      </c>
      <c r="AB88">
        <f t="shared" si="15"/>
        <v>98426.238652769011</v>
      </c>
      <c r="AC88">
        <f t="shared" si="21"/>
        <v>33979.557186585407</v>
      </c>
      <c r="AD88" s="5">
        <v>0.2</v>
      </c>
      <c r="AE88">
        <f t="shared" si="16"/>
        <v>6795.9114373170814</v>
      </c>
      <c r="AF88">
        <f t="shared" si="17"/>
        <v>1</v>
      </c>
    </row>
    <row r="89" spans="1:32" x14ac:dyDescent="0.25">
      <c r="A89" s="2">
        <v>88</v>
      </c>
      <c r="B89">
        <f t="shared" si="12"/>
        <v>808.84764873103325</v>
      </c>
      <c r="C89" s="5">
        <v>0.08</v>
      </c>
      <c r="D89">
        <f t="shared" si="13"/>
        <v>5710.4644000411008</v>
      </c>
      <c r="Q89">
        <f t="shared" si="14"/>
        <v>5710.4644000411217</v>
      </c>
      <c r="R89">
        <f t="shared" si="18"/>
        <v>200.46826010395588</v>
      </c>
      <c r="S89">
        <f t="shared" si="19"/>
        <v>31890.101323497162</v>
      </c>
      <c r="T89" s="5">
        <v>0.08</v>
      </c>
      <c r="V89">
        <f>SUM($R$2:R89)</f>
        <v>8559.9521616414586</v>
      </c>
      <c r="W89">
        <f t="shared" si="20"/>
        <v>18.049070471137053</v>
      </c>
      <c r="Z89">
        <f t="shared" si="22"/>
        <v>1.4871699377466614E-2</v>
      </c>
      <c r="AA89" s="5">
        <v>0.3</v>
      </c>
      <c r="AB89">
        <f t="shared" si="15"/>
        <v>106300.33774499054</v>
      </c>
      <c r="AC89">
        <f t="shared" si="21"/>
        <v>36018.330617780535</v>
      </c>
      <c r="AD89" s="5">
        <v>0.2</v>
      </c>
      <c r="AE89">
        <f t="shared" si="16"/>
        <v>7203.6661235561078</v>
      </c>
      <c r="AF89">
        <f t="shared" si="17"/>
        <v>1</v>
      </c>
    </row>
    <row r="90" spans="1:32" x14ac:dyDescent="0.25">
      <c r="A90" s="2">
        <v>89</v>
      </c>
      <c r="B90">
        <f t="shared" si="12"/>
        <v>873.55546062951589</v>
      </c>
      <c r="C90" s="5">
        <v>0.08</v>
      </c>
      <c r="D90">
        <f t="shared" si="13"/>
        <v>6167.3015520443887</v>
      </c>
      <c r="Q90">
        <f t="shared" si="14"/>
        <v>6167.3015520444114</v>
      </c>
      <c r="R90">
        <f t="shared" si="18"/>
        <v>204.25068010591735</v>
      </c>
      <c r="S90">
        <f t="shared" si="19"/>
        <v>34441.309429376939</v>
      </c>
      <c r="T90" s="5">
        <v>0.08</v>
      </c>
      <c r="V90">
        <f>SUM($R$2:R90)</f>
        <v>8764.2028417473757</v>
      </c>
      <c r="W90">
        <f t="shared" si="20"/>
        <v>18.479742845163784</v>
      </c>
      <c r="Z90">
        <f t="shared" si="22"/>
        <v>1.377009201617279E-2</v>
      </c>
      <c r="AA90" s="5">
        <v>0.3</v>
      </c>
      <c r="AB90">
        <f t="shared" si="15"/>
        <v>114804.3647645898</v>
      </c>
      <c r="AC90">
        <f t="shared" si="21"/>
        <v>38179.430454847366</v>
      </c>
      <c r="AD90" s="5">
        <v>0.2</v>
      </c>
      <c r="AE90">
        <f t="shared" si="16"/>
        <v>7635.886090969474</v>
      </c>
      <c r="AF90">
        <f t="shared" si="17"/>
        <v>1</v>
      </c>
    </row>
    <row r="91" spans="1:32" x14ac:dyDescent="0.25">
      <c r="A91" s="2">
        <v>90</v>
      </c>
      <c r="B91">
        <f t="shared" si="12"/>
        <v>943.43989747987712</v>
      </c>
      <c r="C91" s="5">
        <v>0.08</v>
      </c>
      <c r="D91">
        <f t="shared" si="13"/>
        <v>6660.6856762079397</v>
      </c>
      <c r="Q91">
        <f t="shared" si="14"/>
        <v>6660.6856762079651</v>
      </c>
      <c r="R91">
        <f t="shared" si="18"/>
        <v>208.10446652301019</v>
      </c>
      <c r="S91">
        <f t="shared" si="19"/>
        <v>37196.614183727099</v>
      </c>
      <c r="T91" s="5">
        <v>0.08</v>
      </c>
      <c r="V91">
        <f>SUM($R$2:R91)</f>
        <v>8972.3073082703868</v>
      </c>
      <c r="W91">
        <f t="shared" si="20"/>
        <v>18.918541113040078</v>
      </c>
      <c r="Z91">
        <f t="shared" si="22"/>
        <v>1.2750085200159989E-2</v>
      </c>
      <c r="AA91" s="5">
        <v>0.3</v>
      </c>
      <c r="AB91">
        <f t="shared" si="15"/>
        <v>123988.713945757</v>
      </c>
      <c r="AC91">
        <f t="shared" si="21"/>
        <v>40470.196282138211</v>
      </c>
      <c r="AD91" s="5">
        <v>0.2</v>
      </c>
      <c r="AE91">
        <f t="shared" si="16"/>
        <v>8094.0392564276426</v>
      </c>
      <c r="AF91">
        <f t="shared" si="17"/>
        <v>1</v>
      </c>
    </row>
    <row r="92" spans="1:32" x14ac:dyDescent="0.25">
      <c r="A92" s="2">
        <v>91</v>
      </c>
      <c r="B92">
        <f t="shared" si="12"/>
        <v>1018.9150892782673</v>
      </c>
      <c r="C92" s="5">
        <v>0.08</v>
      </c>
      <c r="D92">
        <f t="shared" si="13"/>
        <v>7193.5405303045745</v>
      </c>
      <c r="Q92">
        <f t="shared" si="14"/>
        <v>7193.5405303046018</v>
      </c>
      <c r="R92">
        <f t="shared" si="18"/>
        <v>212.03096589136888</v>
      </c>
      <c r="S92">
        <f t="shared" si="19"/>
        <v>40172.343318425272</v>
      </c>
      <c r="T92" s="5">
        <v>0.08</v>
      </c>
      <c r="V92">
        <f>SUM($R$2:R92)</f>
        <v>9184.3382741617552</v>
      </c>
      <c r="W92">
        <f t="shared" si="20"/>
        <v>19.365618593517809</v>
      </c>
      <c r="Z92">
        <f t="shared" si="22"/>
        <v>1.180563444459258E-2</v>
      </c>
      <c r="AA92" s="5">
        <v>0.3</v>
      </c>
      <c r="AB92">
        <f t="shared" si="15"/>
        <v>133907.81106141757</v>
      </c>
      <c r="AC92">
        <f t="shared" si="21"/>
        <v>42898.408059066503</v>
      </c>
      <c r="AD92" s="5">
        <v>0.2</v>
      </c>
      <c r="AE92">
        <f t="shared" si="16"/>
        <v>8579.6816118133011</v>
      </c>
      <c r="AF92">
        <f t="shared" si="17"/>
        <v>1</v>
      </c>
    </row>
    <row r="93" spans="1:32" x14ac:dyDescent="0.25">
      <c r="A93" s="2">
        <v>92</v>
      </c>
      <c r="B93">
        <f t="shared" si="12"/>
        <v>1100.4282964205286</v>
      </c>
      <c r="C93" s="5">
        <v>0.08</v>
      </c>
      <c r="D93">
        <f t="shared" si="13"/>
        <v>7769.0237727289405</v>
      </c>
      <c r="Q93">
        <f t="shared" si="14"/>
        <v>7769.0237727289696</v>
      </c>
      <c r="R93">
        <f t="shared" si="18"/>
        <v>216.03155015347014</v>
      </c>
      <c r="S93">
        <f t="shared" si="19"/>
        <v>43386.130783899294</v>
      </c>
      <c r="T93" s="5">
        <v>0.08</v>
      </c>
      <c r="V93">
        <f>SUM($R$2:R93)</f>
        <v>9400.3698243152248</v>
      </c>
      <c r="W93">
        <f t="shared" si="20"/>
        <v>19.821131498155495</v>
      </c>
      <c r="Z93">
        <f t="shared" si="22"/>
        <v>1.0931143004252389E-2</v>
      </c>
      <c r="AA93" s="5">
        <v>0.3</v>
      </c>
      <c r="AB93">
        <f t="shared" si="15"/>
        <v>144620.43594633098</v>
      </c>
      <c r="AC93">
        <f t="shared" si="21"/>
        <v>45472.312542610496</v>
      </c>
      <c r="AD93" s="5">
        <v>0.2</v>
      </c>
      <c r="AE93">
        <f t="shared" si="16"/>
        <v>9094.4625085220996</v>
      </c>
      <c r="AF93">
        <f t="shared" si="17"/>
        <v>1</v>
      </c>
    </row>
    <row r="94" spans="1:32" x14ac:dyDescent="0.25">
      <c r="A94" s="2">
        <v>93</v>
      </c>
      <c r="B94">
        <f t="shared" si="12"/>
        <v>1188.4625601341709</v>
      </c>
      <c r="C94" s="5">
        <v>0.08</v>
      </c>
      <c r="D94">
        <f t="shared" si="13"/>
        <v>8390.5456745472547</v>
      </c>
      <c r="Q94">
        <f t="shared" si="14"/>
        <v>8390.5456745472875</v>
      </c>
      <c r="R94">
        <f t="shared" si="18"/>
        <v>220.1076171374979</v>
      </c>
      <c r="S94">
        <f t="shared" si="19"/>
        <v>46857.021246611243</v>
      </c>
      <c r="T94" s="5">
        <v>0.08</v>
      </c>
      <c r="V94">
        <f>SUM($R$2:R94)</f>
        <v>9620.4774414527219</v>
      </c>
      <c r="W94">
        <f t="shared" si="20"/>
        <v>20.285238985899554</v>
      </c>
      <c r="Z94">
        <f t="shared" si="22"/>
        <v>1.01214287076411E-2</v>
      </c>
      <c r="AA94" s="5">
        <v>0.3</v>
      </c>
      <c r="AB94">
        <f t="shared" si="15"/>
        <v>156190.07082203749</v>
      </c>
      <c r="AC94">
        <f t="shared" si="21"/>
        <v>48200.651295167125</v>
      </c>
      <c r="AD94" s="5">
        <v>0.2</v>
      </c>
      <c r="AE94">
        <f t="shared" si="16"/>
        <v>9640.1302590334253</v>
      </c>
      <c r="AF94">
        <f t="shared" si="17"/>
        <v>1</v>
      </c>
    </row>
    <row r="95" spans="1:32" x14ac:dyDescent="0.25">
      <c r="A95" s="2">
        <v>94</v>
      </c>
      <c r="B95">
        <f t="shared" si="12"/>
        <v>1283.5395649449044</v>
      </c>
      <c r="C95" s="5">
        <v>0.08</v>
      </c>
      <c r="D95">
        <f t="shared" si="13"/>
        <v>9061.7893285110349</v>
      </c>
      <c r="Q95">
        <f t="shared" si="14"/>
        <v>9061.7893285110713</v>
      </c>
      <c r="R95">
        <f t="shared" si="18"/>
        <v>224.26059104575256</v>
      </c>
      <c r="S95">
        <f t="shared" si="19"/>
        <v>50605.582946340146</v>
      </c>
      <c r="T95" s="5">
        <v>0.08</v>
      </c>
      <c r="V95">
        <f>SUM($R$2:R95)</f>
        <v>9844.7380324984751</v>
      </c>
      <c r="W95">
        <f t="shared" si="20"/>
        <v>20.758103218695389</v>
      </c>
      <c r="Z95">
        <f t="shared" si="22"/>
        <v>9.3716932478158325E-3</v>
      </c>
      <c r="AA95" s="5">
        <v>0.3</v>
      </c>
      <c r="AB95">
        <f t="shared" si="15"/>
        <v>168685.2764878005</v>
      </c>
      <c r="AC95">
        <f t="shared" si="21"/>
        <v>51092.690372877158</v>
      </c>
      <c r="AD95" s="5">
        <v>0.2</v>
      </c>
      <c r="AE95">
        <f t="shared" si="16"/>
        <v>10218.538074575432</v>
      </c>
      <c r="AF95">
        <f t="shared" si="17"/>
        <v>1</v>
      </c>
    </row>
    <row r="96" spans="1:32" x14ac:dyDescent="0.25">
      <c r="A96" s="2">
        <v>95</v>
      </c>
      <c r="B96">
        <f t="shared" si="12"/>
        <v>1386.2227301404969</v>
      </c>
      <c r="C96" s="5">
        <v>0.08</v>
      </c>
      <c r="D96">
        <f t="shared" si="13"/>
        <v>9786.7324747919174</v>
      </c>
      <c r="Q96">
        <f t="shared" si="14"/>
        <v>9786.7324747919592</v>
      </c>
      <c r="R96">
        <f t="shared" si="18"/>
        <v>228.49192295227621</v>
      </c>
      <c r="S96">
        <f t="shared" si="19"/>
        <v>54654.029582047362</v>
      </c>
      <c r="T96" s="5">
        <v>0.08</v>
      </c>
      <c r="V96">
        <f>SUM($R$2:R96)</f>
        <v>10073.229955450752</v>
      </c>
      <c r="W96">
        <f t="shared" si="20"/>
        <v>21.239889418147751</v>
      </c>
      <c r="Z96">
        <f t="shared" si="22"/>
        <v>8.6774937479776222E-3</v>
      </c>
      <c r="AA96" s="5">
        <v>0.3</v>
      </c>
      <c r="AB96">
        <f t="shared" si="15"/>
        <v>182180.09860682455</v>
      </c>
      <c r="AC96">
        <f t="shared" si="21"/>
        <v>54158.251795249787</v>
      </c>
      <c r="AD96" s="5">
        <v>0.2</v>
      </c>
      <c r="AE96">
        <f t="shared" si="16"/>
        <v>10831.650359049958</v>
      </c>
      <c r="AF96">
        <f t="shared" si="17"/>
        <v>1</v>
      </c>
    </row>
    <row r="97" spans="1:32" x14ac:dyDescent="0.25">
      <c r="A97" s="2">
        <v>96</v>
      </c>
      <c r="B97">
        <f t="shared" si="12"/>
        <v>1497.1205485517366</v>
      </c>
      <c r="C97" s="5">
        <v>0.08</v>
      </c>
      <c r="D97">
        <f t="shared" si="13"/>
        <v>10569.671072775271</v>
      </c>
      <c r="Q97">
        <f t="shared" si="14"/>
        <v>10569.671072775316</v>
      </c>
      <c r="R97">
        <f t="shared" si="18"/>
        <v>232.80309130986629</v>
      </c>
      <c r="S97">
        <f t="shared" si="19"/>
        <v>59026.351948611155</v>
      </c>
      <c r="T97" s="5">
        <v>0.08</v>
      </c>
      <c r="V97">
        <f>SUM($R$2:R97)</f>
        <v>10306.033046760618</v>
      </c>
      <c r="W97">
        <f t="shared" si="20"/>
        <v>21.730765923250154</v>
      </c>
      <c r="Z97">
        <f t="shared" si="22"/>
        <v>8.0347164333126123E-3</v>
      </c>
      <c r="AA97" s="5">
        <v>0.3</v>
      </c>
      <c r="AB97">
        <f t="shared" si="15"/>
        <v>196754.50649537053</v>
      </c>
      <c r="AC97">
        <f t="shared" si="21"/>
        <v>57407.746902964776</v>
      </c>
      <c r="AD97" s="5">
        <v>0.2</v>
      </c>
      <c r="AE97">
        <f t="shared" si="16"/>
        <v>11481.549380592956</v>
      </c>
      <c r="AF97">
        <f t="shared" si="17"/>
        <v>1</v>
      </c>
    </row>
    <row r="98" spans="1:32" x14ac:dyDescent="0.25">
      <c r="A98" s="2">
        <v>97</v>
      </c>
      <c r="B98">
        <f t="shared" si="12"/>
        <v>1616.8901924358756</v>
      </c>
      <c r="C98" s="5">
        <v>0.08</v>
      </c>
      <c r="D98">
        <f t="shared" si="13"/>
        <v>11415.244758597291</v>
      </c>
      <c r="Q98">
        <f t="shared" si="14"/>
        <v>11415.244758597342</v>
      </c>
      <c r="R98">
        <f t="shared" si="18"/>
        <v>237.19560246665628</v>
      </c>
      <c r="S98">
        <f t="shared" si="19"/>
        <v>63748.460104500053</v>
      </c>
      <c r="T98" s="5">
        <v>0.08</v>
      </c>
      <c r="V98">
        <f>SUM($R$2:R98)</f>
        <v>10543.228649227274</v>
      </c>
      <c r="W98">
        <f t="shared" si="20"/>
        <v>22.230904249203547</v>
      </c>
      <c r="Z98">
        <f t="shared" si="22"/>
        <v>7.4395522530672333E-3</v>
      </c>
      <c r="AA98" s="5">
        <v>0.3</v>
      </c>
      <c r="AB98">
        <f t="shared" si="15"/>
        <v>212494.86701500017</v>
      </c>
      <c r="AC98">
        <f t="shared" si="21"/>
        <v>60852.211717142665</v>
      </c>
      <c r="AD98" s="5">
        <v>0.2</v>
      </c>
      <c r="AE98">
        <f t="shared" si="16"/>
        <v>12170.442343428535</v>
      </c>
      <c r="AF98">
        <f t="shared" si="17"/>
        <v>1</v>
      </c>
    </row>
    <row r="99" spans="1:32" x14ac:dyDescent="0.25">
      <c r="A99" s="2">
        <v>98</v>
      </c>
      <c r="B99">
        <f t="shared" si="12"/>
        <v>1746.2414078307456</v>
      </c>
      <c r="C99" s="5">
        <v>0.08</v>
      </c>
      <c r="D99">
        <f t="shared" si="13"/>
        <v>12328.464339285074</v>
      </c>
      <c r="Q99">
        <f t="shared" si="14"/>
        <v>12328.464339285129</v>
      </c>
      <c r="R99">
        <f t="shared" si="18"/>
        <v>241.67099119244227</v>
      </c>
      <c r="S99">
        <f t="shared" si="19"/>
        <v>68848.336912860061</v>
      </c>
      <c r="T99" s="5">
        <v>0.08</v>
      </c>
      <c r="V99">
        <f>SUM($R$2:R99)</f>
        <v>10784.899640419717</v>
      </c>
      <c r="W99">
        <f t="shared" si="20"/>
        <v>22.740479147344743</v>
      </c>
      <c r="Z99">
        <f t="shared" si="22"/>
        <v>6.8884743083955854E-3</v>
      </c>
      <c r="AA99" s="5">
        <v>0.3</v>
      </c>
      <c r="AB99">
        <f t="shared" si="15"/>
        <v>229494.45637620022</v>
      </c>
      <c r="AC99">
        <f t="shared" si="21"/>
        <v>64503.344420171226</v>
      </c>
      <c r="AD99" s="5">
        <v>0.2</v>
      </c>
      <c r="AE99">
        <f t="shared" si="16"/>
        <v>12900.668884034247</v>
      </c>
      <c r="AF99">
        <f t="shared" si="17"/>
        <v>1</v>
      </c>
    </row>
    <row r="100" spans="1:32" x14ac:dyDescent="0.25">
      <c r="A100" s="2">
        <v>99</v>
      </c>
      <c r="B100">
        <f t="shared" si="12"/>
        <v>1885.9407204572053</v>
      </c>
      <c r="C100" s="5">
        <v>0.08</v>
      </c>
      <c r="D100">
        <f t="shared" si="13"/>
        <v>13314.74148642788</v>
      </c>
      <c r="Q100">
        <f t="shared" si="14"/>
        <v>13314.74148642794</v>
      </c>
      <c r="R100">
        <f t="shared" si="18"/>
        <v>246.23082121494116</v>
      </c>
      <c r="S100">
        <f t="shared" si="19"/>
        <v>74356.203865888863</v>
      </c>
      <c r="T100" s="5">
        <v>0.08</v>
      </c>
      <c r="V100">
        <f>SUM($R$2:R100)</f>
        <v>11031.130461634659</v>
      </c>
      <c r="W100">
        <f t="shared" si="20"/>
        <v>23.259668666205581</v>
      </c>
      <c r="Z100">
        <f t="shared" si="22"/>
        <v>6.378216952218135E-3</v>
      </c>
      <c r="AA100" s="5">
        <v>0.3</v>
      </c>
      <c r="AB100">
        <f t="shared" si="15"/>
        <v>247854.01288629623</v>
      </c>
      <c r="AC100">
        <f t="shared" si="21"/>
        <v>68373.545085381498</v>
      </c>
      <c r="AD100" s="5">
        <v>0.2</v>
      </c>
      <c r="AE100">
        <f t="shared" si="16"/>
        <v>13674.7090170763</v>
      </c>
      <c r="AF100">
        <f t="shared" si="17"/>
        <v>1</v>
      </c>
    </row>
    <row r="101" spans="1:32" x14ac:dyDescent="0.25">
      <c r="A101" s="2">
        <v>100</v>
      </c>
      <c r="B101">
        <f t="shared" si="12"/>
        <v>2036.8159780937817</v>
      </c>
      <c r="C101" s="5">
        <v>0.08</v>
      </c>
      <c r="D101">
        <f t="shared" si="13"/>
        <v>14379.92080534211</v>
      </c>
      <c r="Q101">
        <f t="shared" si="14"/>
        <v>14379.920805342177</v>
      </c>
      <c r="R101">
        <f t="shared" si="18"/>
        <v>250.87668576616642</v>
      </c>
      <c r="S101">
        <f t="shared" si="19"/>
        <v>80304.700175159975</v>
      </c>
      <c r="T101" s="5">
        <v>0.08</v>
      </c>
      <c r="V101">
        <f>SUM($R$2:R101)</f>
        <v>11282.007147400825</v>
      </c>
      <c r="W101">
        <f t="shared" si="20"/>
        <v>23.788654213724172</v>
      </c>
      <c r="Z101">
        <f t="shared" si="22"/>
        <v>5.9057564372390139E-3</v>
      </c>
      <c r="AA101" s="5">
        <v>0.3</v>
      </c>
      <c r="AB101">
        <f t="shared" si="15"/>
        <v>267682.33391719993</v>
      </c>
      <c r="AC101">
        <f t="shared" si="21"/>
        <v>72475.957790504399</v>
      </c>
      <c r="AD101" s="5">
        <v>0.2</v>
      </c>
      <c r="AE101">
        <f t="shared" si="16"/>
        <v>14495.19155810088</v>
      </c>
      <c r="AF101">
        <f t="shared" si="17"/>
        <v>1</v>
      </c>
    </row>
    <row r="102" spans="1:32" x14ac:dyDescent="0.25">
      <c r="A102" s="2">
        <v>101</v>
      </c>
      <c r="B102">
        <f t="shared" ref="B102:B165" si="23">B101+B101*C101</f>
        <v>2199.761256341284</v>
      </c>
      <c r="C102" s="5">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5">
        <v>0.08</v>
      </c>
      <c r="V102">
        <f>SUM($R$2:R102)</f>
        <v>11537.617355539938</v>
      </c>
      <c r="W102">
        <f t="shared" ref="W102:W165" si="28">V102/$W$2</f>
        <v>24.327620620629904</v>
      </c>
      <c r="Z102">
        <f t="shared" si="22"/>
        <v>5.468292997443531E-3</v>
      </c>
      <c r="AA102" s="5">
        <v>0.3</v>
      </c>
      <c r="AB102">
        <f t="shared" si="15"/>
        <v>289096.92063057591</v>
      </c>
      <c r="AC102">
        <f t="shared" si="21"/>
        <v>76824.515257934661</v>
      </c>
      <c r="AD102" s="5">
        <v>0.2</v>
      </c>
      <c r="AE102">
        <f t="shared" si="16"/>
        <v>15364.903051586933</v>
      </c>
      <c r="AF102">
        <f t="shared" si="17"/>
        <v>1</v>
      </c>
    </row>
    <row r="103" spans="1:32" x14ac:dyDescent="0.25">
      <c r="A103" s="2">
        <v>102</v>
      </c>
      <c r="B103">
        <f t="shared" si="23"/>
        <v>2375.7421568485865</v>
      </c>
      <c r="C103" s="5">
        <v>0.08</v>
      </c>
      <c r="D103">
        <f t="shared" si="24"/>
        <v>16772.739627351039</v>
      </c>
      <c r="Q103">
        <f t="shared" si="25"/>
        <v>16772.739627351115</v>
      </c>
      <c r="R103">
        <f t="shared" si="26"/>
        <v>260.43304225494529</v>
      </c>
      <c r="S103">
        <f t="shared" si="27"/>
        <v>93667.402284306605</v>
      </c>
      <c r="T103" s="5">
        <v>0.08</v>
      </c>
      <c r="V103">
        <f>SUM($R$2:R103)</f>
        <v>11798.050397794883</v>
      </c>
      <c r="W103">
        <f t="shared" si="28"/>
        <v>24.876756205024424</v>
      </c>
      <c r="Z103">
        <f t="shared" si="22"/>
        <v>5.0632342568921584E-3</v>
      </c>
      <c r="AA103" s="5">
        <v>0.3</v>
      </c>
      <c r="AB103">
        <f t="shared" si="15"/>
        <v>312224.67428102205</v>
      </c>
      <c r="AC103">
        <f t="shared" si="21"/>
        <v>81433.98617341074</v>
      </c>
      <c r="AD103" s="5">
        <v>0.2</v>
      </c>
      <c r="AE103">
        <f t="shared" si="16"/>
        <v>16286.797234682148</v>
      </c>
      <c r="AF103">
        <f t="shared" si="17"/>
        <v>1</v>
      </c>
    </row>
    <row r="104" spans="1:32" x14ac:dyDescent="0.25">
      <c r="A104" s="2">
        <v>103</v>
      </c>
      <c r="B104">
        <f t="shared" si="23"/>
        <v>2565.8015293964736</v>
      </c>
      <c r="C104" s="5">
        <v>0.08</v>
      </c>
      <c r="D104">
        <f t="shared" si="24"/>
        <v>18114.558797539121</v>
      </c>
      <c r="Q104">
        <f t="shared" si="25"/>
        <v>18114.558797539208</v>
      </c>
      <c r="R104">
        <f t="shared" si="26"/>
        <v>265.34687324088759</v>
      </c>
      <c r="S104">
        <f t="shared" si="27"/>
        <v>101160.79446705114</v>
      </c>
      <c r="T104" s="5">
        <v>0.08</v>
      </c>
      <c r="V104">
        <f>SUM($R$2:R104)</f>
        <v>12063.39727103577</v>
      </c>
      <c r="W104">
        <f t="shared" si="28"/>
        <v>25.436252838181105</v>
      </c>
      <c r="Z104">
        <f t="shared" si="22"/>
        <v>4.6881798674927389E-3</v>
      </c>
      <c r="AA104" s="5">
        <v>0.3</v>
      </c>
      <c r="AB104">
        <f t="shared" si="15"/>
        <v>337202.64822350378</v>
      </c>
      <c r="AC104">
        <f t="shared" si="21"/>
        <v>86320.025343815389</v>
      </c>
      <c r="AD104" s="5">
        <v>0.2</v>
      </c>
      <c r="AE104">
        <f t="shared" si="16"/>
        <v>17264.005068763079</v>
      </c>
      <c r="AF104">
        <f t="shared" si="17"/>
        <v>1</v>
      </c>
    </row>
    <row r="105" spans="1:32" x14ac:dyDescent="0.25">
      <c r="A105" s="2">
        <v>104</v>
      </c>
      <c r="B105">
        <f t="shared" si="23"/>
        <v>2771.0656517481916</v>
      </c>
      <c r="C105" s="5">
        <v>0.08</v>
      </c>
      <c r="D105">
        <f t="shared" si="24"/>
        <v>19563.723501342251</v>
      </c>
      <c r="Q105">
        <f t="shared" si="25"/>
        <v>19563.723501342345</v>
      </c>
      <c r="R105">
        <f t="shared" si="26"/>
        <v>270.35341801901751</v>
      </c>
      <c r="S105">
        <f t="shared" si="27"/>
        <v>109253.65802441523</v>
      </c>
      <c r="T105" s="5">
        <v>0.08</v>
      </c>
      <c r="V105">
        <f>SUM($R$2:R105)</f>
        <v>12333.750689054788</v>
      </c>
      <c r="W105">
        <f t="shared" si="28"/>
        <v>26.006306011586027</v>
      </c>
      <c r="Z105">
        <f t="shared" si="22"/>
        <v>4.3409072847154992E-3</v>
      </c>
      <c r="AA105" s="5">
        <v>0.3</v>
      </c>
      <c r="AB105">
        <f t="shared" si="15"/>
        <v>364178.86008138413</v>
      </c>
      <c r="AC105">
        <f t="shared" si="21"/>
        <v>91499.22686444431</v>
      </c>
      <c r="AD105" s="5">
        <v>0.2</v>
      </c>
      <c r="AE105">
        <f t="shared" si="16"/>
        <v>18299.845372888863</v>
      </c>
      <c r="AF105">
        <f t="shared" si="17"/>
        <v>1</v>
      </c>
    </row>
    <row r="106" spans="1:32" x14ac:dyDescent="0.25">
      <c r="A106" s="2">
        <v>105</v>
      </c>
      <c r="B106">
        <f t="shared" si="23"/>
        <v>2992.7509038880471</v>
      </c>
      <c r="C106" s="5">
        <v>0.08</v>
      </c>
      <c r="D106">
        <f t="shared" si="24"/>
        <v>21128.82138144963</v>
      </c>
      <c r="Q106">
        <f t="shared" si="25"/>
        <v>21128.821381449732</v>
      </c>
      <c r="R106">
        <f t="shared" si="26"/>
        <v>275.45442590616886</v>
      </c>
      <c r="S106">
        <f t="shared" si="27"/>
        <v>117993.95066636846</v>
      </c>
      <c r="T106" s="5">
        <v>0.08</v>
      </c>
      <c r="V106">
        <f>SUM($R$2:R106)</f>
        <v>12609.205114960958</v>
      </c>
      <c r="W106">
        <f t="shared" si="28"/>
        <v>26.587114905243872</v>
      </c>
      <c r="Z106">
        <f t="shared" si="22"/>
        <v>4.0193585969587947E-3</v>
      </c>
      <c r="AA106" s="5">
        <v>0.3</v>
      </c>
      <c r="AB106">
        <f t="shared" si="15"/>
        <v>393313.16888789489</v>
      </c>
      <c r="AC106">
        <f t="shared" si="21"/>
        <v>96989.180476310969</v>
      </c>
      <c r="AD106" s="5">
        <v>0.2</v>
      </c>
      <c r="AE106">
        <f t="shared" si="16"/>
        <v>19397.836095262195</v>
      </c>
      <c r="AF106">
        <f t="shared" si="17"/>
        <v>1</v>
      </c>
    </row>
    <row r="107" spans="1:32" x14ac:dyDescent="0.25">
      <c r="A107" s="2">
        <v>106</v>
      </c>
      <c r="B107">
        <f t="shared" si="23"/>
        <v>3232.170976199091</v>
      </c>
      <c r="C107" s="5">
        <v>0.08</v>
      </c>
      <c r="D107">
        <f t="shared" si="24"/>
        <v>22819.127091965602</v>
      </c>
      <c r="Q107">
        <f t="shared" si="25"/>
        <v>22819.127091965714</v>
      </c>
      <c r="R107">
        <f t="shared" si="26"/>
        <v>280.65167922515326</v>
      </c>
      <c r="S107">
        <f t="shared" si="27"/>
        <v>127433.46671967795</v>
      </c>
      <c r="T107" s="5">
        <v>0.08</v>
      </c>
      <c r="V107">
        <f>SUM($R$2:R107)</f>
        <v>12889.856794186111</v>
      </c>
      <c r="W107">
        <f t="shared" si="28"/>
        <v>27.178882457272618</v>
      </c>
      <c r="Z107">
        <f t="shared" si="22"/>
        <v>3.7216283305174023E-3</v>
      </c>
      <c r="AA107" s="5">
        <v>0.3</v>
      </c>
      <c r="AB107">
        <f t="shared" si="15"/>
        <v>424778.2223989265</v>
      </c>
      <c r="AC107">
        <f t="shared" si="21"/>
        <v>102808.53130488964</v>
      </c>
      <c r="AD107" s="5">
        <v>0.2</v>
      </c>
      <c r="AE107">
        <f t="shared" si="16"/>
        <v>20561.706260977928</v>
      </c>
      <c r="AF107">
        <f t="shared" si="17"/>
        <v>1</v>
      </c>
    </row>
    <row r="108" spans="1:32" x14ac:dyDescent="0.25">
      <c r="A108" s="2">
        <v>107</v>
      </c>
      <c r="B108">
        <f t="shared" si="23"/>
        <v>3490.7446542950183</v>
      </c>
      <c r="C108" s="5">
        <v>0.08</v>
      </c>
      <c r="D108">
        <f t="shared" si="24"/>
        <v>24644.657259322848</v>
      </c>
      <c r="Q108">
        <f t="shared" si="25"/>
        <v>24644.657259322968</v>
      </c>
      <c r="R108">
        <f t="shared" si="26"/>
        <v>285.9469939275146</v>
      </c>
      <c r="S108">
        <f t="shared" si="27"/>
        <v>137628.14405725218</v>
      </c>
      <c r="T108" s="5">
        <v>0.08</v>
      </c>
      <c r="V108">
        <f>SUM($R$2:R108)</f>
        <v>13175.803788113626</v>
      </c>
      <c r="W108">
        <f t="shared" si="28"/>
        <v>27.781815434811339</v>
      </c>
      <c r="Z108">
        <f t="shared" si="22"/>
        <v>3.4459521578864838E-3</v>
      </c>
      <c r="AA108" s="5">
        <v>0.3</v>
      </c>
      <c r="AB108">
        <f t="shared" si="15"/>
        <v>458760.48019084061</v>
      </c>
      <c r="AC108">
        <f t="shared" si="21"/>
        <v>108977.04318318302</v>
      </c>
      <c r="AD108" s="5">
        <v>0.2</v>
      </c>
      <c r="AE108">
        <f t="shared" si="16"/>
        <v>21795.408636636606</v>
      </c>
      <c r="AF108">
        <f t="shared" si="17"/>
        <v>1</v>
      </c>
    </row>
    <row r="109" spans="1:32" x14ac:dyDescent="0.25">
      <c r="A109" s="2">
        <v>108</v>
      </c>
      <c r="B109">
        <f t="shared" si="23"/>
        <v>3770.0042266386199</v>
      </c>
      <c r="C109" s="5">
        <v>0.08</v>
      </c>
      <c r="D109">
        <f t="shared" si="24"/>
        <v>26616.229840068678</v>
      </c>
      <c r="Q109">
        <f t="shared" si="25"/>
        <v>26616.229840068805</v>
      </c>
      <c r="R109">
        <f t="shared" si="26"/>
        <v>291.34222022803368</v>
      </c>
      <c r="S109">
        <f t="shared" si="27"/>
        <v>148638.39558183236</v>
      </c>
      <c r="T109" s="5">
        <v>0.08</v>
      </c>
      <c r="V109">
        <f>SUM($R$2:R109)</f>
        <v>13467.14600834166</v>
      </c>
      <c r="W109">
        <f t="shared" si="28"/>
        <v>28.396124506265888</v>
      </c>
      <c r="Z109">
        <f t="shared" si="22"/>
        <v>3.1906964424874848E-3</v>
      </c>
      <c r="AA109" s="5">
        <v>0.3</v>
      </c>
      <c r="AB109">
        <f t="shared" si="15"/>
        <v>495461.3186061079</v>
      </c>
      <c r="AC109">
        <f t="shared" si="21"/>
        <v>115515.66577417401</v>
      </c>
      <c r="AD109" s="5">
        <v>0.2</v>
      </c>
      <c r="AE109">
        <f t="shared" si="16"/>
        <v>23103.133154834803</v>
      </c>
      <c r="AF109">
        <f t="shared" si="17"/>
        <v>1</v>
      </c>
    </row>
    <row r="110" spans="1:32" x14ac:dyDescent="0.25">
      <c r="A110" s="2">
        <v>109</v>
      </c>
      <c r="B110">
        <f t="shared" si="23"/>
        <v>4071.6045647697097</v>
      </c>
      <c r="C110" s="5">
        <v>0.08</v>
      </c>
      <c r="D110">
        <f t="shared" si="24"/>
        <v>28745.528227274172</v>
      </c>
      <c r="Q110">
        <f t="shared" si="25"/>
        <v>28745.528227274317</v>
      </c>
      <c r="R110">
        <f t="shared" si="26"/>
        <v>296.83924325120415</v>
      </c>
      <c r="S110">
        <f t="shared" si="27"/>
        <v>160529.46722837896</v>
      </c>
      <c r="T110" s="5">
        <v>0.08</v>
      </c>
      <c r="V110">
        <f>SUM($R$2:R110)</f>
        <v>13763.985251592865</v>
      </c>
      <c r="W110">
        <f t="shared" si="28"/>
        <v>29.022024314917694</v>
      </c>
      <c r="Z110">
        <f t="shared" si="22"/>
        <v>2.954348557858782E-3</v>
      </c>
      <c r="AA110" s="5">
        <v>0.3</v>
      </c>
      <c r="AB110">
        <f t="shared" si="15"/>
        <v>535098.22409459658</v>
      </c>
      <c r="AC110">
        <f t="shared" si="21"/>
        <v>122446.60572062446</v>
      </c>
      <c r="AD110" s="5">
        <v>0.2</v>
      </c>
      <c r="AE110">
        <f t="shared" si="16"/>
        <v>24489.321144124893</v>
      </c>
      <c r="AF110">
        <f t="shared" si="17"/>
        <v>1</v>
      </c>
    </row>
    <row r="111" spans="1:32" x14ac:dyDescent="0.25">
      <c r="A111" s="2">
        <v>110</v>
      </c>
      <c r="B111">
        <f t="shared" si="23"/>
        <v>4397.3329299512861</v>
      </c>
      <c r="C111" s="5">
        <v>0.08</v>
      </c>
      <c r="D111">
        <f t="shared" si="24"/>
        <v>31045.170485456107</v>
      </c>
      <c r="Q111">
        <f t="shared" si="25"/>
        <v>31045.170485456259</v>
      </c>
      <c r="R111">
        <f t="shared" si="26"/>
        <v>302.43998368990606</v>
      </c>
      <c r="S111">
        <f t="shared" si="27"/>
        <v>173371.82460664929</v>
      </c>
      <c r="T111" s="5">
        <v>0.08</v>
      </c>
      <c r="V111">
        <f>SUM($R$2:R111)</f>
        <v>14066.425235282772</v>
      </c>
      <c r="W111">
        <f t="shared" si="28"/>
        <v>29.65973355392142</v>
      </c>
      <c r="Z111">
        <f t="shared" si="22"/>
        <v>2.7355079239433167E-3</v>
      </c>
      <c r="AA111" s="5">
        <v>0.3</v>
      </c>
      <c r="AB111">
        <f t="shared" si="15"/>
        <v>577906.08202216437</v>
      </c>
      <c r="AC111">
        <f t="shared" si="21"/>
        <v>129793.40206386193</v>
      </c>
      <c r="AD111" s="5">
        <v>0.2</v>
      </c>
      <c r="AE111">
        <f t="shared" si="16"/>
        <v>25958.680412772388</v>
      </c>
      <c r="AF111">
        <f t="shared" si="17"/>
        <v>1</v>
      </c>
    </row>
    <row r="112" spans="1:32" x14ac:dyDescent="0.25">
      <c r="A112" s="2">
        <v>111</v>
      </c>
      <c r="B112">
        <f t="shared" si="23"/>
        <v>4749.1195643473893</v>
      </c>
      <c r="C112" s="5">
        <v>0.08</v>
      </c>
      <c r="D112">
        <f t="shared" si="24"/>
        <v>33528.784124292593</v>
      </c>
      <c r="Q112">
        <f t="shared" si="25"/>
        <v>33528.784124292768</v>
      </c>
      <c r="R112">
        <f t="shared" si="26"/>
        <v>308.14639847650812</v>
      </c>
      <c r="S112">
        <f t="shared" si="27"/>
        <v>187241.57057518125</v>
      </c>
      <c r="T112" s="5">
        <v>0.08</v>
      </c>
      <c r="V112">
        <f>SUM($R$2:R112)</f>
        <v>14374.57163375928</v>
      </c>
      <c r="W112">
        <f t="shared" si="28"/>
        <v>30.309475042717665</v>
      </c>
      <c r="Z112">
        <f t="shared" si="22"/>
        <v>2.5328777073549223E-3</v>
      </c>
      <c r="AA112" s="5">
        <v>0.3</v>
      </c>
      <c r="AB112">
        <f t="shared" si="15"/>
        <v>624138.56858393748</v>
      </c>
      <c r="AC112">
        <f t="shared" si="21"/>
        <v>137581.00618769365</v>
      </c>
      <c r="AD112" s="5">
        <v>0.2</v>
      </c>
      <c r="AE112">
        <f t="shared" si="16"/>
        <v>27516.201237538731</v>
      </c>
      <c r="AF112">
        <f t="shared" si="17"/>
        <v>1</v>
      </c>
    </row>
    <row r="113" spans="1:32" x14ac:dyDescent="0.25">
      <c r="A113" s="2">
        <v>112</v>
      </c>
      <c r="B113">
        <f t="shared" si="23"/>
        <v>5129.0491294951808</v>
      </c>
      <c r="C113" s="5">
        <v>0.08</v>
      </c>
      <c r="D113">
        <f t="shared" si="24"/>
        <v>36211.086854236004</v>
      </c>
      <c r="Q113">
        <f t="shared" si="25"/>
        <v>36211.086854236193</v>
      </c>
      <c r="R113">
        <f t="shared" si="26"/>
        <v>313.96048146663088</v>
      </c>
      <c r="S113">
        <f t="shared" si="27"/>
        <v>202220.89622119576</v>
      </c>
      <c r="T113" s="5">
        <v>0.08</v>
      </c>
      <c r="V113">
        <f>SUM($R$2:R113)</f>
        <v>14688.532115225911</v>
      </c>
      <c r="W113">
        <f t="shared" si="28"/>
        <v>30.971475804887429</v>
      </c>
      <c r="Z113">
        <f t="shared" si="22"/>
        <v>2.3452571364397431E-3</v>
      </c>
      <c r="AA113" s="5">
        <v>0.3</v>
      </c>
      <c r="AB113">
        <f t="shared" si="15"/>
        <v>674069.65407065256</v>
      </c>
      <c r="AC113">
        <f t="shared" si="21"/>
        <v>145835.86655895528</v>
      </c>
      <c r="AD113" s="5">
        <v>0.2</v>
      </c>
      <c r="AE113">
        <f t="shared" si="16"/>
        <v>29167.173311791059</v>
      </c>
      <c r="AF113">
        <f t="shared" si="17"/>
        <v>1</v>
      </c>
    </row>
    <row r="114" spans="1:32" x14ac:dyDescent="0.25">
      <c r="A114" s="2">
        <v>113</v>
      </c>
      <c r="B114">
        <f t="shared" si="23"/>
        <v>5539.3730598547954</v>
      </c>
      <c r="C114" s="5">
        <v>0.08</v>
      </c>
      <c r="D114">
        <f t="shared" si="24"/>
        <v>39107.973802574881</v>
      </c>
      <c r="Q114">
        <f t="shared" si="25"/>
        <v>39107.973802575085</v>
      </c>
      <c r="R114">
        <f t="shared" si="26"/>
        <v>319.88426413581266</v>
      </c>
      <c r="S114">
        <f t="shared" si="27"/>
        <v>218398.56791889144</v>
      </c>
      <c r="T114" s="5">
        <v>0.08</v>
      </c>
      <c r="V114">
        <f>SUM($R$2:R114)</f>
        <v>15008.416379361724</v>
      </c>
      <c r="W114">
        <f t="shared" si="28"/>
        <v>31.645967147475488</v>
      </c>
      <c r="Z114">
        <f t="shared" si="22"/>
        <v>2.1715343855923542E-3</v>
      </c>
      <c r="AA114" s="5">
        <v>0.3</v>
      </c>
      <c r="AB114">
        <f t="shared" si="15"/>
        <v>727995.22639630479</v>
      </c>
      <c r="AC114">
        <f t="shared" si="21"/>
        <v>154586.01855249261</v>
      </c>
      <c r="AD114" s="5">
        <v>0.2</v>
      </c>
      <c r="AE114">
        <f t="shared" si="16"/>
        <v>30917.203710498521</v>
      </c>
      <c r="AF114">
        <f t="shared" si="17"/>
        <v>1</v>
      </c>
    </row>
    <row r="115" spans="1:32" x14ac:dyDescent="0.25">
      <c r="A115" s="2">
        <v>114</v>
      </c>
      <c r="B115">
        <f t="shared" si="23"/>
        <v>5982.5229046431787</v>
      </c>
      <c r="C115" s="5">
        <v>0.08</v>
      </c>
      <c r="D115">
        <f t="shared" si="24"/>
        <v>42236.611706780874</v>
      </c>
      <c r="Q115">
        <f t="shared" si="25"/>
        <v>42236.611706781092</v>
      </c>
      <c r="R115">
        <f t="shared" si="26"/>
        <v>325.91981628931853</v>
      </c>
      <c r="S115">
        <f t="shared" si="27"/>
        <v>235870.45335240278</v>
      </c>
      <c r="T115" s="5">
        <v>0.08</v>
      </c>
      <c r="V115">
        <f>SUM($R$2:R115)</f>
        <v>15334.336195651043</v>
      </c>
      <c r="W115">
        <f t="shared" si="28"/>
        <v>32.333184741810491</v>
      </c>
      <c r="Z115">
        <f t="shared" si="22"/>
        <v>2.010679986659587E-3</v>
      </c>
      <c r="AA115" s="5">
        <v>0.3</v>
      </c>
      <c r="AB115">
        <f t="shared" si="15"/>
        <v>786234.84450800926</v>
      </c>
      <c r="AC115">
        <f t="shared" si="21"/>
        <v>163861.17966564218</v>
      </c>
      <c r="AD115" s="5">
        <v>0.2</v>
      </c>
      <c r="AE115">
        <f t="shared" si="16"/>
        <v>32772.235933128439</v>
      </c>
      <c r="AF115">
        <f t="shared" si="17"/>
        <v>1</v>
      </c>
    </row>
    <row r="116" spans="1:32" x14ac:dyDescent="0.25">
      <c r="A116" s="2">
        <v>115</v>
      </c>
      <c r="B116">
        <f t="shared" si="23"/>
        <v>6461.124737014633</v>
      </c>
      <c r="C116" s="5">
        <v>0.08</v>
      </c>
      <c r="D116">
        <f t="shared" si="24"/>
        <v>45615.540643323344</v>
      </c>
      <c r="Q116">
        <f t="shared" si="25"/>
        <v>45615.540643323584</v>
      </c>
      <c r="R116">
        <f t="shared" si="26"/>
        <v>332.06924678534347</v>
      </c>
      <c r="S116">
        <f t="shared" si="27"/>
        <v>254740.08962059501</v>
      </c>
      <c r="T116" s="5">
        <v>0.08</v>
      </c>
      <c r="V116">
        <f>SUM($R$2:R116)</f>
        <v>15666.405442436388</v>
      </c>
      <c r="W116">
        <f t="shared" si="28"/>
        <v>33.033368705849931</v>
      </c>
      <c r="Z116">
        <f t="shared" si="22"/>
        <v>1.8617407283885066E-3</v>
      </c>
      <c r="AA116" s="5">
        <v>0.3</v>
      </c>
      <c r="AB116">
        <f t="shared" si="15"/>
        <v>849133.6320686501</v>
      </c>
      <c r="AC116">
        <f t="shared" si="21"/>
        <v>173692.85044558073</v>
      </c>
      <c r="AD116" s="5">
        <v>0.2</v>
      </c>
      <c r="AE116">
        <f t="shared" si="16"/>
        <v>34738.570089116147</v>
      </c>
      <c r="AF116">
        <f t="shared" si="17"/>
        <v>1</v>
      </c>
    </row>
    <row r="117" spans="1:32" x14ac:dyDescent="0.25">
      <c r="A117" s="2">
        <v>116</v>
      </c>
      <c r="B117">
        <f t="shared" si="23"/>
        <v>6978.0147159758035</v>
      </c>
      <c r="C117" s="5">
        <v>0.08</v>
      </c>
      <c r="D117">
        <f t="shared" si="24"/>
        <v>49264.783894789209</v>
      </c>
      <c r="Q117">
        <f t="shared" si="25"/>
        <v>49264.783894789478</v>
      </c>
      <c r="R117">
        <f t="shared" si="26"/>
        <v>338.33470427185938</v>
      </c>
      <c r="S117">
        <f t="shared" si="27"/>
        <v>275119.2967902426</v>
      </c>
      <c r="T117" s="5">
        <v>0.08</v>
      </c>
      <c r="V117">
        <f>SUM($R$2:R117)</f>
        <v>16004.740146708247</v>
      </c>
      <c r="W117">
        <f t="shared" si="28"/>
        <v>33.746763688078794</v>
      </c>
      <c r="Z117">
        <f t="shared" si="22"/>
        <v>1.7238340077671357E-3</v>
      </c>
      <c r="AA117" s="5">
        <v>0.3</v>
      </c>
      <c r="AB117">
        <f t="shared" si="15"/>
        <v>917064.32263414201</v>
      </c>
      <c r="AC117">
        <f t="shared" si="21"/>
        <v>184114.42147231559</v>
      </c>
      <c r="AD117" s="5">
        <v>0.2</v>
      </c>
      <c r="AE117">
        <f t="shared" si="16"/>
        <v>36822.884294463118</v>
      </c>
      <c r="AF117">
        <f t="shared" si="17"/>
        <v>1</v>
      </c>
    </row>
    <row r="118" spans="1:32" x14ac:dyDescent="0.25">
      <c r="A118" s="2">
        <v>117</v>
      </c>
      <c r="B118">
        <f t="shared" si="23"/>
        <v>7536.2558932538677</v>
      </c>
      <c r="C118" s="5">
        <v>0.08</v>
      </c>
      <c r="D118">
        <f t="shared" si="24"/>
        <v>53205.966606372349</v>
      </c>
      <c r="Q118">
        <f t="shared" si="25"/>
        <v>53205.966606372633</v>
      </c>
      <c r="R118">
        <f t="shared" si="26"/>
        <v>344.71837793736609</v>
      </c>
      <c r="S118">
        <f t="shared" si="27"/>
        <v>297128.840533462</v>
      </c>
      <c r="T118" s="5">
        <v>0.08</v>
      </c>
      <c r="V118">
        <f>SUM($R$2:R118)</f>
        <v>16349.458524645614</v>
      </c>
      <c r="W118">
        <f t="shared" si="28"/>
        <v>34.473618952991217</v>
      </c>
      <c r="Z118">
        <f t="shared" si="22"/>
        <v>1.596142599784385E-3</v>
      </c>
      <c r="AA118" s="5">
        <v>0.3</v>
      </c>
      <c r="AB118">
        <f t="shared" si="15"/>
        <v>990429.46844487335</v>
      </c>
      <c r="AC118">
        <f t="shared" si="21"/>
        <v>195161.28676065453</v>
      </c>
      <c r="AD118" s="5">
        <v>0.2</v>
      </c>
      <c r="AE118">
        <f t="shared" si="16"/>
        <v>39032.25735213091</v>
      </c>
      <c r="AF118">
        <f t="shared" si="17"/>
        <v>1</v>
      </c>
    </row>
    <row r="119" spans="1:32" x14ac:dyDescent="0.25">
      <c r="A119" s="2">
        <v>118</v>
      </c>
      <c r="B119">
        <f t="shared" si="23"/>
        <v>8139.1563647141775</v>
      </c>
      <c r="C119" s="5">
        <v>0.08</v>
      </c>
      <c r="D119">
        <f t="shared" si="24"/>
        <v>57462.44393488214</v>
      </c>
      <c r="Q119">
        <f t="shared" si="25"/>
        <v>57462.443934882445</v>
      </c>
      <c r="R119">
        <f t="shared" si="26"/>
        <v>351.22249827580691</v>
      </c>
      <c r="S119">
        <f t="shared" si="27"/>
        <v>320899.14777613897</v>
      </c>
      <c r="T119" s="5">
        <v>0.08</v>
      </c>
      <c r="V119">
        <f>SUM($R$2:R119)</f>
        <v>16700.681022921421</v>
      </c>
      <c r="W119">
        <f t="shared" si="28"/>
        <v>35.214188468185007</v>
      </c>
      <c r="Z119">
        <f t="shared" si="22"/>
        <v>1.4779098146151712E-3</v>
      </c>
      <c r="AA119" s="5">
        <v>0.3</v>
      </c>
      <c r="AB119">
        <f t="shared" si="15"/>
        <v>1069663.8259204633</v>
      </c>
      <c r="AC119">
        <f t="shared" si="21"/>
        <v>206870.96396629381</v>
      </c>
      <c r="AD119" s="5">
        <v>0.2</v>
      </c>
      <c r="AE119">
        <f t="shared" si="16"/>
        <v>41374.192793258764</v>
      </c>
      <c r="AF119">
        <f t="shared" si="17"/>
        <v>1</v>
      </c>
    </row>
    <row r="120" spans="1:32" x14ac:dyDescent="0.25">
      <c r="A120" s="2">
        <v>119</v>
      </c>
      <c r="B120">
        <f t="shared" si="23"/>
        <v>8790.2888738913116</v>
      </c>
      <c r="C120" s="5">
        <v>0.08</v>
      </c>
      <c r="D120">
        <f t="shared" si="24"/>
        <v>62059.439449672711</v>
      </c>
      <c r="Q120">
        <f t="shared" si="25"/>
        <v>62059.439449673038</v>
      </c>
      <c r="R120">
        <f t="shared" si="26"/>
        <v>357.84933786591654</v>
      </c>
      <c r="S120">
        <f t="shared" si="27"/>
        <v>346571.07959823014</v>
      </c>
      <c r="T120" s="5">
        <v>0.08</v>
      </c>
      <c r="V120">
        <f>SUM($R$2:R120)</f>
        <v>17058.530360787336</v>
      </c>
      <c r="W120">
        <f t="shared" si="28"/>
        <v>35.968730993099427</v>
      </c>
      <c r="Z120">
        <f t="shared" si="22"/>
        <v>1.3684350135325658E-3</v>
      </c>
      <c r="AA120" s="5">
        <v>0.3</v>
      </c>
      <c r="AB120">
        <f t="shared" si="15"/>
        <v>1155236.9319941006</v>
      </c>
      <c r="AC120">
        <f t="shared" si="21"/>
        <v>219283.22180427145</v>
      </c>
      <c r="AD120" s="5">
        <v>0.2</v>
      </c>
      <c r="AE120">
        <f t="shared" si="16"/>
        <v>43856.64436085429</v>
      </c>
      <c r="AF120">
        <f t="shared" si="17"/>
        <v>1</v>
      </c>
    </row>
    <row r="121" spans="1:32" x14ac:dyDescent="0.25">
      <c r="A121" s="2">
        <v>120</v>
      </c>
      <c r="B121">
        <f t="shared" si="23"/>
        <v>9493.5119838026167</v>
      </c>
      <c r="C121" s="5">
        <v>0.08</v>
      </c>
      <c r="D121">
        <f t="shared" si="24"/>
        <v>67024.194605646524</v>
      </c>
      <c r="Q121">
        <f t="shared" si="25"/>
        <v>67024.194605646888</v>
      </c>
      <c r="R121">
        <f t="shared" si="26"/>
        <v>364.60121216527341</v>
      </c>
      <c r="S121">
        <f t="shared" si="27"/>
        <v>374296.76596608857</v>
      </c>
      <c r="T121" s="5">
        <v>0.08</v>
      </c>
      <c r="V121">
        <f>SUM($R$2:R121)</f>
        <v>17423.13157295261</v>
      </c>
      <c r="W121">
        <f t="shared" si="28"/>
        <v>36.737510169427338</v>
      </c>
      <c r="Z121">
        <f t="shared" si="22"/>
        <v>1.2670694569745979E-3</v>
      </c>
      <c r="AA121" s="5">
        <v>0.3</v>
      </c>
      <c r="AB121">
        <f t="shared" si="15"/>
        <v>1247655.8865536286</v>
      </c>
      <c r="AC121">
        <f t="shared" si="21"/>
        <v>232440.21511252775</v>
      </c>
      <c r="AD121" s="5">
        <v>0.2</v>
      </c>
      <c r="AE121">
        <f t="shared" si="16"/>
        <v>46488.043022505553</v>
      </c>
      <c r="AF121">
        <f t="shared" si="17"/>
        <v>1</v>
      </c>
    </row>
    <row r="122" spans="1:32" x14ac:dyDescent="0.25">
      <c r="A122" s="2">
        <v>121</v>
      </c>
      <c r="B122">
        <f t="shared" si="23"/>
        <v>10252.992942506826</v>
      </c>
      <c r="C122" s="5">
        <v>0.08</v>
      </c>
      <c r="D122">
        <f t="shared" si="24"/>
        <v>72386.130174098245</v>
      </c>
      <c r="Q122">
        <f t="shared" si="25"/>
        <v>72386.130174098653</v>
      </c>
      <c r="R122">
        <f t="shared" si="26"/>
        <v>371.4804803193353</v>
      </c>
      <c r="S122">
        <f t="shared" si="27"/>
        <v>404240.5072433757</v>
      </c>
      <c r="T122" s="5">
        <v>0.08</v>
      </c>
      <c r="V122">
        <f>SUM($R$2:R122)</f>
        <v>17794.612053271947</v>
      </c>
      <c r="W122">
        <f t="shared" si="28"/>
        <v>37.520794613233136</v>
      </c>
      <c r="Z122">
        <f t="shared" si="22"/>
        <v>1.1732124601616645E-3</v>
      </c>
      <c r="AA122" s="5">
        <v>0.3</v>
      </c>
      <c r="AB122">
        <f t="shared" si="15"/>
        <v>1347468.357477919</v>
      </c>
      <c r="AC122">
        <f t="shared" si="21"/>
        <v>246386.62801927942</v>
      </c>
      <c r="AD122" s="5">
        <v>0.2</v>
      </c>
      <c r="AE122">
        <f t="shared" si="16"/>
        <v>49277.32560385589</v>
      </c>
      <c r="AF122">
        <f t="shared" si="17"/>
        <v>1</v>
      </c>
    </row>
    <row r="123" spans="1:32" x14ac:dyDescent="0.25">
      <c r="A123" s="2">
        <v>122</v>
      </c>
      <c r="B123">
        <f t="shared" si="23"/>
        <v>11073.232377907372</v>
      </c>
      <c r="C123" s="5">
        <v>0.08</v>
      </c>
      <c r="D123">
        <f t="shared" si="24"/>
        <v>78177.020588026106</v>
      </c>
      <c r="Q123">
        <f t="shared" si="25"/>
        <v>78177.020588026542</v>
      </c>
      <c r="R123">
        <f t="shared" si="26"/>
        <v>378.48954598573783</v>
      </c>
      <c r="S123">
        <f t="shared" si="27"/>
        <v>436579.74782284576</v>
      </c>
      <c r="T123" s="5">
        <v>0.08</v>
      </c>
      <c r="V123">
        <f>SUM($R$2:R123)</f>
        <v>18173.101599257683</v>
      </c>
      <c r="W123">
        <f t="shared" si="28"/>
        <v>38.318858008808846</v>
      </c>
      <c r="Z123">
        <f t="shared" si="22"/>
        <v>1.0863078334830227E-3</v>
      </c>
      <c r="AA123" s="5">
        <v>0.3</v>
      </c>
      <c r="AB123">
        <f t="shared" si="15"/>
        <v>1455265.8260761525</v>
      </c>
      <c r="AC123">
        <f t="shared" si="21"/>
        <v>261169.82570043619</v>
      </c>
      <c r="AD123" s="5">
        <v>0.2</v>
      </c>
      <c r="AE123">
        <f t="shared" si="16"/>
        <v>52233.965140087239</v>
      </c>
      <c r="AF123">
        <f t="shared" si="17"/>
        <v>1</v>
      </c>
    </row>
    <row r="124" spans="1:32" x14ac:dyDescent="0.25">
      <c r="A124" s="2">
        <v>123</v>
      </c>
      <c r="B124">
        <f t="shared" si="23"/>
        <v>11959.090968139963</v>
      </c>
      <c r="C124" s="5">
        <v>0.08</v>
      </c>
      <c r="D124">
        <f t="shared" si="24"/>
        <v>84431.18223506819</v>
      </c>
      <c r="Q124">
        <f t="shared" si="25"/>
        <v>84431.182235068671</v>
      </c>
      <c r="R124">
        <f t="shared" si="26"/>
        <v>385.63085817414793</v>
      </c>
      <c r="S124">
        <f t="shared" si="27"/>
        <v>471506.12764867343</v>
      </c>
      <c r="T124" s="5">
        <v>0.08</v>
      </c>
      <c r="V124">
        <f>SUM($R$2:R124)</f>
        <v>18558.73245743183</v>
      </c>
      <c r="W124">
        <f t="shared" si="28"/>
        <v>39.131979204301082</v>
      </c>
      <c r="Z124">
        <f t="shared" si="22"/>
        <v>1.0058405865583544E-3</v>
      </c>
      <c r="AA124" s="5">
        <v>0.3</v>
      </c>
      <c r="AB124">
        <f t="shared" si="15"/>
        <v>1571687.0921622447</v>
      </c>
      <c r="AC124">
        <f t="shared" si="21"/>
        <v>276840.0152424624</v>
      </c>
      <c r="AD124" s="5">
        <v>0.2</v>
      </c>
      <c r="AE124">
        <f t="shared" si="16"/>
        <v>55368.003048492479</v>
      </c>
      <c r="AF124">
        <f t="shared" si="17"/>
        <v>1</v>
      </c>
    </row>
    <row r="125" spans="1:32" x14ac:dyDescent="0.25">
      <c r="A125" s="2">
        <v>124</v>
      </c>
      <c r="B125">
        <f t="shared" si="23"/>
        <v>12915.818245591159</v>
      </c>
      <c r="C125" s="5">
        <v>0.08</v>
      </c>
      <c r="D125">
        <f t="shared" si="24"/>
        <v>91185.676813873652</v>
      </c>
      <c r="Q125">
        <f t="shared" si="25"/>
        <v>91185.676813874161</v>
      </c>
      <c r="R125">
        <f t="shared" si="26"/>
        <v>392.90691210196206</v>
      </c>
      <c r="S125">
        <f t="shared" si="27"/>
        <v>509226.61786056735</v>
      </c>
      <c r="T125" s="5">
        <v>0.08</v>
      </c>
      <c r="V125">
        <f>SUM($R$2:R125)</f>
        <v>18951.639369533794</v>
      </c>
      <c r="W125">
        <f t="shared" si="28"/>
        <v>39.96044230914223</v>
      </c>
      <c r="Z125">
        <f t="shared" si="22"/>
        <v>9.3133387644292063E-4</v>
      </c>
      <c r="AA125" s="5">
        <v>0.3</v>
      </c>
      <c r="AB125">
        <f t="shared" si="15"/>
        <v>1697422.0595352245</v>
      </c>
      <c r="AC125">
        <f t="shared" si="21"/>
        <v>293450.41615701013</v>
      </c>
      <c r="AD125" s="5">
        <v>0.2</v>
      </c>
      <c r="AE125">
        <f t="shared" si="16"/>
        <v>58690.08323140203</v>
      </c>
      <c r="AF125">
        <f t="shared" si="17"/>
        <v>1</v>
      </c>
    </row>
    <row r="126" spans="1:32" x14ac:dyDescent="0.25">
      <c r="A126" s="2">
        <v>125</v>
      </c>
      <c r="B126">
        <f t="shared" si="23"/>
        <v>13949.083705238452</v>
      </c>
      <c r="C126" s="5">
        <v>0.08</v>
      </c>
      <c r="D126">
        <f t="shared" si="24"/>
        <v>98480.530958983538</v>
      </c>
      <c r="Q126">
        <f t="shared" si="25"/>
        <v>98480.530958984091</v>
      </c>
      <c r="R126">
        <f t="shared" si="26"/>
        <v>400.32025006615009</v>
      </c>
      <c r="S126">
        <f t="shared" si="27"/>
        <v>549964.74728941277</v>
      </c>
      <c r="T126" s="5">
        <v>0.08</v>
      </c>
      <c r="V126">
        <f>SUM($R$2:R126)</f>
        <v>19351.959619599944</v>
      </c>
      <c r="W126">
        <f t="shared" si="28"/>
        <v>40.804536793320004</v>
      </c>
      <c r="Z126">
        <f t="shared" si="22"/>
        <v>8.623461818915931E-4</v>
      </c>
      <c r="AA126" s="5">
        <v>0.3</v>
      </c>
      <c r="AB126">
        <f t="shared" si="15"/>
        <v>1833215.8242980426</v>
      </c>
      <c r="AC126">
        <f t="shared" si="21"/>
        <v>311057.44112643076</v>
      </c>
      <c r="AD126" s="5">
        <v>0.2</v>
      </c>
      <c r="AE126">
        <f t="shared" si="16"/>
        <v>62211.488225286157</v>
      </c>
      <c r="AF126">
        <f t="shared" si="17"/>
        <v>1</v>
      </c>
    </row>
    <row r="127" spans="1:32" x14ac:dyDescent="0.25">
      <c r="A127" s="2">
        <v>126</v>
      </c>
      <c r="B127">
        <f t="shared" si="23"/>
        <v>15065.010401657528</v>
      </c>
      <c r="C127" s="5">
        <v>0.08</v>
      </c>
      <c r="D127">
        <f t="shared" si="24"/>
        <v>106358.97343570222</v>
      </c>
      <c r="Q127">
        <f t="shared" si="25"/>
        <v>106358.97343570284</v>
      </c>
      <c r="R127">
        <f t="shared" si="26"/>
        <v>407.87346233154904</v>
      </c>
      <c r="S127">
        <f t="shared" si="27"/>
        <v>593961.92707256589</v>
      </c>
      <c r="T127" s="5">
        <v>0.08</v>
      </c>
      <c r="V127">
        <f>SUM($R$2:R127)</f>
        <v>19759.833081931494</v>
      </c>
      <c r="W127">
        <f t="shared" si="28"/>
        <v>41.664557588519997</v>
      </c>
      <c r="Z127">
        <f t="shared" si="22"/>
        <v>7.9846868693666021E-4</v>
      </c>
      <c r="AA127" s="5">
        <v>0.3</v>
      </c>
      <c r="AB127">
        <f t="shared" si="15"/>
        <v>1979873.0902418864</v>
      </c>
      <c r="AC127">
        <f t="shared" si="21"/>
        <v>329720.88759401662</v>
      </c>
      <c r="AD127" s="5">
        <v>0.2</v>
      </c>
      <c r="AE127">
        <f t="shared" si="16"/>
        <v>65944.177518803321</v>
      </c>
      <c r="AF127">
        <f t="shared" si="17"/>
        <v>1</v>
      </c>
    </row>
    <row r="128" spans="1:32" x14ac:dyDescent="0.25">
      <c r="A128" s="2">
        <v>127</v>
      </c>
      <c r="B128">
        <f t="shared" si="23"/>
        <v>16270.211233790131</v>
      </c>
      <c r="C128" s="5">
        <v>0.08</v>
      </c>
      <c r="D128">
        <f t="shared" si="24"/>
        <v>114867.69131055841</v>
      </c>
      <c r="Q128">
        <f t="shared" si="25"/>
        <v>114867.69131055908</v>
      </c>
      <c r="R128">
        <f t="shared" si="26"/>
        <v>415.56918803591799</v>
      </c>
      <c r="S128">
        <f t="shared" si="27"/>
        <v>641478.88123837125</v>
      </c>
      <c r="T128" s="5">
        <v>0.08</v>
      </c>
      <c r="V128">
        <f>SUM($R$2:R128)</f>
        <v>20175.402269967413</v>
      </c>
      <c r="W128">
        <f t="shared" si="28"/>
        <v>42.540805191176595</v>
      </c>
      <c r="Z128">
        <f t="shared" si="22"/>
        <v>7.393228582746852E-4</v>
      </c>
      <c r="AA128" s="5">
        <v>0.3</v>
      </c>
      <c r="AB128">
        <f t="shared" si="15"/>
        <v>2138262.9374612374</v>
      </c>
      <c r="AC128">
        <f t="shared" si="21"/>
        <v>349504.14084965765</v>
      </c>
      <c r="AD128" s="5">
        <v>0.2</v>
      </c>
      <c r="AE128">
        <f t="shared" si="16"/>
        <v>69900.828169931527</v>
      </c>
      <c r="AF128">
        <f t="shared" si="17"/>
        <v>1</v>
      </c>
    </row>
    <row r="129" spans="1:32" x14ac:dyDescent="0.25">
      <c r="A129" s="2">
        <v>128</v>
      </c>
      <c r="B129">
        <f t="shared" si="23"/>
        <v>17571.828132493341</v>
      </c>
      <c r="C129" s="5">
        <v>0.08</v>
      </c>
      <c r="D129">
        <f t="shared" si="24"/>
        <v>124057.10661540309</v>
      </c>
      <c r="Q129">
        <f t="shared" si="25"/>
        <v>124057.10661540383</v>
      </c>
      <c r="R129">
        <f t="shared" si="26"/>
        <v>423.41011611206733</v>
      </c>
      <c r="S129">
        <f t="shared" si="27"/>
        <v>692797.191737441</v>
      </c>
      <c r="T129" s="5">
        <v>0.08</v>
      </c>
      <c r="V129">
        <f>SUM($R$2:R129)</f>
        <v>20598.81238607948</v>
      </c>
      <c r="W129">
        <f t="shared" si="28"/>
        <v>43.433585767468223</v>
      </c>
      <c r="Z129">
        <f t="shared" si="22"/>
        <v>6.8455820210619001E-4</v>
      </c>
      <c r="AA129" s="5">
        <v>0.3</v>
      </c>
      <c r="AB129">
        <f t="shared" si="15"/>
        <v>2309323.9724581367</v>
      </c>
      <c r="AC129">
        <f t="shared" si="21"/>
        <v>370474.38930063712</v>
      </c>
      <c r="AD129" s="5">
        <v>0.2</v>
      </c>
      <c r="AE129">
        <f t="shared" si="16"/>
        <v>74094.877860127424</v>
      </c>
      <c r="AF129">
        <f t="shared" si="17"/>
        <v>1</v>
      </c>
    </row>
    <row r="130" spans="1:32" x14ac:dyDescent="0.25">
      <c r="A130" s="2">
        <v>129</v>
      </c>
      <c r="B130">
        <f t="shared" si="23"/>
        <v>18977.574383092808</v>
      </c>
      <c r="C130" s="5">
        <v>0.08</v>
      </c>
      <c r="D130">
        <f t="shared" si="24"/>
        <v>133981.67514463534</v>
      </c>
      <c r="Q130">
        <f t="shared" si="25"/>
        <v>133981.67514463613</v>
      </c>
      <c r="R130">
        <f t="shared" si="26"/>
        <v>431.39898622738957</v>
      </c>
      <c r="S130">
        <f t="shared" si="27"/>
        <v>748220.96707643638</v>
      </c>
      <c r="T130" s="5">
        <v>0.08</v>
      </c>
      <c r="V130">
        <f>SUM($R$2:R130)</f>
        <v>21030.211372306869</v>
      </c>
      <c r="W130">
        <f t="shared" si="28"/>
        <v>44.343211260293657</v>
      </c>
      <c r="Z130">
        <f t="shared" si="22"/>
        <v>6.3385018713536096E-4</v>
      </c>
      <c r="AA130" s="5">
        <v>0.3</v>
      </c>
      <c r="AB130">
        <f t="shared" si="15"/>
        <v>2494069.8902547881</v>
      </c>
      <c r="AC130">
        <f t="shared" si="21"/>
        <v>392702.85265867534</v>
      </c>
      <c r="AD130" s="5">
        <v>0.2</v>
      </c>
      <c r="AE130">
        <f t="shared" si="16"/>
        <v>78540.570531735066</v>
      </c>
      <c r="AF130">
        <f t="shared" si="17"/>
        <v>1</v>
      </c>
    </row>
    <row r="131" spans="1:32" x14ac:dyDescent="0.25">
      <c r="A131" s="2">
        <v>130</v>
      </c>
      <c r="B131">
        <f t="shared" si="23"/>
        <v>20495.780333740233</v>
      </c>
      <c r="C131" s="5">
        <v>0.08</v>
      </c>
      <c r="D131">
        <f t="shared" si="24"/>
        <v>144700.20915620617</v>
      </c>
      <c r="Q131">
        <f t="shared" si="25"/>
        <v>144700.20915620704</v>
      </c>
      <c r="R131">
        <f t="shared" si="26"/>
        <v>439.53858974111381</v>
      </c>
      <c r="S131">
        <f t="shared" si="27"/>
        <v>808078.6444425513</v>
      </c>
      <c r="T131" s="5">
        <v>0.08</v>
      </c>
      <c r="V131">
        <f>SUM($R$2:R131)</f>
        <v>21469.749962047983</v>
      </c>
      <c r="W131">
        <f t="shared" si="28"/>
        <v>45.269999498266742</v>
      </c>
      <c r="Z131">
        <f t="shared" si="22"/>
        <v>5.8689832142163061E-4</v>
      </c>
      <c r="AA131" s="5">
        <v>0.3</v>
      </c>
      <c r="AB131">
        <f t="shared" ref="AB131:AB194" si="29">S131/AA131</f>
        <v>2693595.4814751712</v>
      </c>
      <c r="AC131">
        <f t="shared" si="21"/>
        <v>416265.02381819586</v>
      </c>
      <c r="AD131" s="5">
        <v>0.2</v>
      </c>
      <c r="AE131">
        <f t="shared" ref="AE131:AE194" si="30">AC131*AD131</f>
        <v>83253.004763639183</v>
      </c>
      <c r="AF131">
        <f t="shared" ref="AF131:AF194" si="31">IF(AB131&gt;AE131, 1, 0)</f>
        <v>1</v>
      </c>
    </row>
    <row r="132" spans="1:32" x14ac:dyDescent="0.25">
      <c r="A132" s="2">
        <v>131</v>
      </c>
      <c r="B132">
        <f t="shared" si="23"/>
        <v>22135.442760439451</v>
      </c>
      <c r="C132" s="5">
        <v>0.08</v>
      </c>
      <c r="D132">
        <f t="shared" si="24"/>
        <v>156276.22588870267</v>
      </c>
      <c r="Q132">
        <f t="shared" si="25"/>
        <v>156276.2258887036</v>
      </c>
      <c r="R132">
        <f t="shared" si="26"/>
        <v>447.83177067962544</v>
      </c>
      <c r="S132">
        <f t="shared" si="27"/>
        <v>872724.9359979555</v>
      </c>
      <c r="T132" s="5">
        <v>0.08</v>
      </c>
      <c r="V132">
        <f>SUM($R$2:R132)</f>
        <v>21917.581732727609</v>
      </c>
      <c r="W132">
        <f t="shared" si="28"/>
        <v>46.214274306767614</v>
      </c>
      <c r="Z132">
        <f t="shared" si="22"/>
        <v>5.4342437168669491E-4</v>
      </c>
      <c r="AA132" s="5">
        <v>0.3</v>
      </c>
      <c r="AB132">
        <f t="shared" si="29"/>
        <v>2909083.1199931852</v>
      </c>
      <c r="AC132">
        <f t="shared" ref="AC132:AC195" si="32">AC131*(1+$U$2)</f>
        <v>441240.92524728761</v>
      </c>
      <c r="AD132" s="5">
        <v>0.2</v>
      </c>
      <c r="AE132">
        <f t="shared" si="30"/>
        <v>88248.185049457534</v>
      </c>
      <c r="AF132">
        <f t="shared" si="31"/>
        <v>1</v>
      </c>
    </row>
    <row r="133" spans="1:32" x14ac:dyDescent="0.25">
      <c r="A133" s="2">
        <v>132</v>
      </c>
      <c r="B133">
        <f t="shared" si="23"/>
        <v>23906.278181274607</v>
      </c>
      <c r="C133" s="5">
        <v>0.08</v>
      </c>
      <c r="D133">
        <f t="shared" si="24"/>
        <v>168778.32395979887</v>
      </c>
      <c r="Q133">
        <f t="shared" si="25"/>
        <v>168778.32395979989</v>
      </c>
      <c r="R133">
        <f t="shared" si="26"/>
        <v>456.28142673018436</v>
      </c>
      <c r="S133">
        <f t="shared" si="27"/>
        <v>942542.93087779195</v>
      </c>
      <c r="T133" s="5">
        <v>0.08</v>
      </c>
      <c r="V133">
        <f>SUM($R$2:R133)</f>
        <v>22373.863159457793</v>
      </c>
      <c r="W133">
        <f t="shared" si="28"/>
        <v>47.176365621089261</v>
      </c>
      <c r="Z133">
        <f t="shared" si="22"/>
        <v>5.0317071452471755E-4</v>
      </c>
      <c r="AA133" s="5">
        <v>0.3</v>
      </c>
      <c r="AB133">
        <f t="shared" si="29"/>
        <v>3141809.76959264</v>
      </c>
      <c r="AC133">
        <f t="shared" si="32"/>
        <v>467715.3807621249</v>
      </c>
      <c r="AD133" s="5">
        <v>0.2</v>
      </c>
      <c r="AE133">
        <f t="shared" si="30"/>
        <v>93543.076152424983</v>
      </c>
      <c r="AF133">
        <f t="shared" si="31"/>
        <v>1</v>
      </c>
    </row>
    <row r="134" spans="1:32" x14ac:dyDescent="0.25">
      <c r="A134" s="2">
        <v>133</v>
      </c>
      <c r="B134">
        <f t="shared" si="23"/>
        <v>25818.780435776574</v>
      </c>
      <c r="C134" s="5">
        <v>0.08</v>
      </c>
      <c r="D134">
        <f t="shared" si="24"/>
        <v>182280.58987658279</v>
      </c>
      <c r="Q134">
        <f t="shared" si="25"/>
        <v>182280.58987658392</v>
      </c>
      <c r="R134">
        <f t="shared" si="26"/>
        <v>464.89051025339541</v>
      </c>
      <c r="S134">
        <f t="shared" si="27"/>
        <v>1017946.3653480153</v>
      </c>
      <c r="T134" s="5">
        <v>0.08</v>
      </c>
      <c r="V134">
        <f>SUM($R$2:R134)</f>
        <v>22838.753669711186</v>
      </c>
      <c r="W134">
        <f t="shared" si="28"/>
        <v>48.156609601718863</v>
      </c>
      <c r="Z134">
        <f t="shared" si="22"/>
        <v>4.6589880974510876E-4</v>
      </c>
      <c r="AA134" s="5">
        <v>0.3</v>
      </c>
      <c r="AB134">
        <f t="shared" si="29"/>
        <v>3393154.551160051</v>
      </c>
      <c r="AC134">
        <f t="shared" si="32"/>
        <v>495778.30360785243</v>
      </c>
      <c r="AD134" s="5">
        <v>0.2</v>
      </c>
      <c r="AE134">
        <f t="shared" si="30"/>
        <v>99155.660721570486</v>
      </c>
      <c r="AF134">
        <f t="shared" si="31"/>
        <v>1</v>
      </c>
    </row>
    <row r="135" spans="1:32" x14ac:dyDescent="0.25">
      <c r="A135" s="2">
        <v>134</v>
      </c>
      <c r="B135">
        <f t="shared" si="23"/>
        <v>27884.282870638701</v>
      </c>
      <c r="C135" s="5">
        <v>0.08</v>
      </c>
      <c r="D135">
        <f t="shared" si="24"/>
        <v>196863.03706670942</v>
      </c>
      <c r="Q135">
        <f t="shared" si="25"/>
        <v>196863.03706671062</v>
      </c>
      <c r="R135">
        <f t="shared" si="26"/>
        <v>473.66202931478023</v>
      </c>
      <c r="S135">
        <f t="shared" si="27"/>
        <v>1099382.0745758566</v>
      </c>
      <c r="T135" s="5">
        <v>0.08</v>
      </c>
      <c r="V135">
        <f>SUM($R$2:R135)</f>
        <v>23312.415699025965</v>
      </c>
      <c r="W135">
        <f t="shared" si="28"/>
        <v>49.1553487517943</v>
      </c>
      <c r="Z135">
        <f t="shared" si="22"/>
        <v>4.3138778680102666E-4</v>
      </c>
      <c r="AA135" s="5">
        <v>0.3</v>
      </c>
      <c r="AB135">
        <f t="shared" si="29"/>
        <v>3664606.9152528555</v>
      </c>
      <c r="AC135">
        <f t="shared" si="32"/>
        <v>525525.00182432355</v>
      </c>
      <c r="AD135" s="5">
        <v>0.2</v>
      </c>
      <c r="AE135">
        <f t="shared" si="30"/>
        <v>105105.00036486471</v>
      </c>
      <c r="AF135">
        <f t="shared" si="31"/>
        <v>1</v>
      </c>
    </row>
    <row r="136" spans="1:32" x14ac:dyDescent="0.25">
      <c r="A136" s="2">
        <v>135</v>
      </c>
      <c r="B136">
        <f t="shared" si="23"/>
        <v>30115.025500289797</v>
      </c>
      <c r="C136" s="5">
        <v>0.08</v>
      </c>
      <c r="D136">
        <f t="shared" si="24"/>
        <v>212612.08003204619</v>
      </c>
      <c r="Q136">
        <f t="shared" si="25"/>
        <v>212612.0800320475</v>
      </c>
      <c r="R136">
        <f t="shared" si="26"/>
        <v>482.59904873581371</v>
      </c>
      <c r="S136">
        <f t="shared" si="27"/>
        <v>1187332.6405419251</v>
      </c>
      <c r="T136" s="5">
        <v>0.08</v>
      </c>
      <c r="V136">
        <f>SUM($R$2:R136)</f>
        <v>23795.014747761779</v>
      </c>
      <c r="W136">
        <f t="shared" si="28"/>
        <v>50.172932036776828</v>
      </c>
      <c r="Z136">
        <f t="shared" si="22"/>
        <v>3.9943313592687651E-4</v>
      </c>
      <c r="AA136" s="5">
        <v>0.3</v>
      </c>
      <c r="AB136">
        <f t="shared" si="29"/>
        <v>3957775.4684730838</v>
      </c>
      <c r="AC136">
        <f t="shared" si="32"/>
        <v>557056.50193378294</v>
      </c>
      <c r="AD136" s="5">
        <v>0.2</v>
      </c>
      <c r="AE136">
        <f t="shared" si="30"/>
        <v>111411.3003867566</v>
      </c>
      <c r="AF136">
        <f t="shared" si="31"/>
        <v>1</v>
      </c>
    </row>
    <row r="137" spans="1:32" x14ac:dyDescent="0.25">
      <c r="A137" s="2">
        <v>136</v>
      </c>
      <c r="B137">
        <f t="shared" si="23"/>
        <v>32524.227540312982</v>
      </c>
      <c r="C137" s="5">
        <v>0.08</v>
      </c>
      <c r="D137">
        <f t="shared" si="24"/>
        <v>229621.04643460989</v>
      </c>
      <c r="Q137">
        <f t="shared" si="25"/>
        <v>229621.04643461131</v>
      </c>
      <c r="R137">
        <f t="shared" si="26"/>
        <v>491.70469116479137</v>
      </c>
      <c r="S137">
        <f t="shared" si="27"/>
        <v>1282319.2517852793</v>
      </c>
      <c r="T137" s="5">
        <v>0.08</v>
      </c>
      <c r="V137">
        <f>SUM($R$2:R137)</f>
        <v>24286.719438926571</v>
      </c>
      <c r="W137">
        <f t="shared" si="28"/>
        <v>51.209715006381671</v>
      </c>
      <c r="Z137">
        <f t="shared" si="22"/>
        <v>3.6984549622858935E-4</v>
      </c>
      <c r="AA137" s="5">
        <v>0.3</v>
      </c>
      <c r="AB137">
        <f t="shared" si="29"/>
        <v>4274397.5059509315</v>
      </c>
      <c r="AC137">
        <f t="shared" si="32"/>
        <v>590479.89204980992</v>
      </c>
      <c r="AD137" s="5">
        <v>0.2</v>
      </c>
      <c r="AE137">
        <f t="shared" si="30"/>
        <v>118095.97840996199</v>
      </c>
      <c r="AF137">
        <f t="shared" si="31"/>
        <v>1</v>
      </c>
    </row>
    <row r="138" spans="1:32" x14ac:dyDescent="0.25">
      <c r="A138" s="2">
        <v>137</v>
      </c>
      <c r="B138">
        <f t="shared" si="23"/>
        <v>35126.165743538018</v>
      </c>
      <c r="C138" s="5">
        <v>0.08</v>
      </c>
      <c r="D138">
        <f t="shared" si="24"/>
        <v>247990.73014937868</v>
      </c>
      <c r="Q138">
        <f t="shared" si="25"/>
        <v>247990.73014938019</v>
      </c>
      <c r="R138">
        <f t="shared" si="26"/>
        <v>500.98213816790076</v>
      </c>
      <c r="S138">
        <f t="shared" si="27"/>
        <v>1384904.7919281018</v>
      </c>
      <c r="T138" s="5">
        <v>0.08</v>
      </c>
      <c r="V138">
        <f>SUM($R$2:R138)</f>
        <v>24787.701577094471</v>
      </c>
      <c r="W138">
        <f t="shared" si="28"/>
        <v>52.266059918809241</v>
      </c>
      <c r="Z138">
        <f t="shared" si="22"/>
        <v>3.4244953354499008E-4</v>
      </c>
      <c r="AA138" s="5">
        <v>0.3</v>
      </c>
      <c r="AB138">
        <f t="shared" si="29"/>
        <v>4616349.3064270066</v>
      </c>
      <c r="AC138">
        <f t="shared" si="32"/>
        <v>625908.6855727986</v>
      </c>
      <c r="AD138" s="5">
        <v>0.2</v>
      </c>
      <c r="AE138">
        <f t="shared" si="30"/>
        <v>125181.73711455973</v>
      </c>
      <c r="AF138">
        <f t="shared" si="31"/>
        <v>1</v>
      </c>
    </row>
    <row r="139" spans="1:32" x14ac:dyDescent="0.25">
      <c r="A139" s="2">
        <v>138</v>
      </c>
      <c r="B139">
        <f t="shared" si="23"/>
        <v>37936.259003021063</v>
      </c>
      <c r="C139" s="5">
        <v>0.08</v>
      </c>
      <c r="D139">
        <f t="shared" si="24"/>
        <v>267829.98856132897</v>
      </c>
      <c r="Q139">
        <f t="shared" si="25"/>
        <v>267829.98856133065</v>
      </c>
      <c r="R139">
        <f t="shared" si="26"/>
        <v>510.43463134088006</v>
      </c>
      <c r="S139">
        <f t="shared" si="27"/>
        <v>1495697.17528235</v>
      </c>
      <c r="T139" s="5">
        <v>0.08</v>
      </c>
      <c r="V139">
        <f>SUM($R$2:R139)</f>
        <v>25298.13620843535</v>
      </c>
      <c r="W139">
        <f t="shared" si="28"/>
        <v>53.342335867320351</v>
      </c>
      <c r="Z139">
        <f t="shared" si="22"/>
        <v>3.1708290143054636E-4</v>
      </c>
      <c r="AA139" s="5">
        <v>0.3</v>
      </c>
      <c r="AB139">
        <f t="shared" si="29"/>
        <v>4985657.2509411667</v>
      </c>
      <c r="AC139">
        <f t="shared" si="32"/>
        <v>663463.20670716651</v>
      </c>
      <c r="AD139" s="5">
        <v>0.2</v>
      </c>
      <c r="AE139">
        <f t="shared" si="30"/>
        <v>132692.64134143331</v>
      </c>
      <c r="AF139">
        <f t="shared" si="31"/>
        <v>1</v>
      </c>
    </row>
    <row r="140" spans="1:32" x14ac:dyDescent="0.25">
      <c r="A140" s="2">
        <v>139</v>
      </c>
      <c r="B140">
        <f t="shared" si="23"/>
        <v>40971.159723262746</v>
      </c>
      <c r="C140" s="5">
        <v>0.08</v>
      </c>
      <c r="D140">
        <f t="shared" si="24"/>
        <v>289256.38764623529</v>
      </c>
      <c r="Q140">
        <f t="shared" si="25"/>
        <v>289256.38764623716</v>
      </c>
      <c r="R140">
        <f t="shared" si="26"/>
        <v>520.06547344165131</v>
      </c>
      <c r="S140">
        <f t="shared" si="27"/>
        <v>1615352.9493049381</v>
      </c>
      <c r="T140" s="5">
        <v>0.08</v>
      </c>
      <c r="V140">
        <f>SUM($R$2:R140)</f>
        <v>25818.201681877003</v>
      </c>
      <c r="W140">
        <f t="shared" si="28"/>
        <v>54.4389189091996</v>
      </c>
      <c r="Z140">
        <f t="shared" si="22"/>
        <v>2.9359527910235772E-4</v>
      </c>
      <c r="AA140" s="5">
        <v>0.3</v>
      </c>
      <c r="AB140">
        <f t="shared" si="29"/>
        <v>5384509.8310164604</v>
      </c>
      <c r="AC140">
        <f t="shared" si="32"/>
        <v>703270.99910959648</v>
      </c>
      <c r="AD140" s="5">
        <v>0.2</v>
      </c>
      <c r="AE140">
        <f t="shared" si="30"/>
        <v>140654.19982191929</v>
      </c>
      <c r="AF140">
        <f t="shared" si="31"/>
        <v>1</v>
      </c>
    </row>
    <row r="141" spans="1:32" x14ac:dyDescent="0.25">
      <c r="A141" s="2">
        <v>140</v>
      </c>
      <c r="B141">
        <f t="shared" si="23"/>
        <v>44248.852501123765</v>
      </c>
      <c r="C141" s="5">
        <v>0.08</v>
      </c>
      <c r="D141">
        <f t="shared" si="24"/>
        <v>312396.8986579341</v>
      </c>
      <c r="Q141">
        <f t="shared" si="25"/>
        <v>312396.89865793608</v>
      </c>
      <c r="R141">
        <f t="shared" si="26"/>
        <v>529.87802954432402</v>
      </c>
      <c r="S141">
        <f t="shared" si="27"/>
        <v>1744581.1852493333</v>
      </c>
      <c r="T141" s="5">
        <v>0.08</v>
      </c>
      <c r="V141">
        <f>SUM($R$2:R141)</f>
        <v>26348.079711421327</v>
      </c>
      <c r="W141">
        <f t="shared" si="28"/>
        <v>55.556192197152043</v>
      </c>
      <c r="Z141">
        <f t="shared" si="22"/>
        <v>2.718474806503312E-4</v>
      </c>
      <c r="AA141" s="5">
        <v>0.3</v>
      </c>
      <c r="AB141">
        <f t="shared" si="29"/>
        <v>5815270.6174977776</v>
      </c>
      <c r="AC141">
        <f t="shared" si="32"/>
        <v>745467.25905617233</v>
      </c>
      <c r="AD141" s="5">
        <v>0.2</v>
      </c>
      <c r="AE141">
        <f t="shared" si="30"/>
        <v>149093.45181123447</v>
      </c>
      <c r="AF141">
        <f t="shared" si="31"/>
        <v>1</v>
      </c>
    </row>
    <row r="142" spans="1:32" x14ac:dyDescent="0.25">
      <c r="A142" s="2">
        <v>141</v>
      </c>
      <c r="B142">
        <f t="shared" si="23"/>
        <v>47788.760701213665</v>
      </c>
      <c r="C142" s="5">
        <v>0.08</v>
      </c>
      <c r="D142">
        <f t="shared" si="24"/>
        <v>337388.65055056883</v>
      </c>
      <c r="Q142">
        <f t="shared" si="25"/>
        <v>337388.65055057098</v>
      </c>
      <c r="R142">
        <f t="shared" si="26"/>
        <v>539.87572821497156</v>
      </c>
      <c r="S142">
        <f t="shared" si="27"/>
        <v>1884147.6800692801</v>
      </c>
      <c r="T142" s="5">
        <v>0.08</v>
      </c>
      <c r="V142">
        <f>SUM($R$2:R142)</f>
        <v>26887.955439636298</v>
      </c>
      <c r="W142">
        <f t="shared" si="28"/>
        <v>56.694546113179058</v>
      </c>
      <c r="Z142">
        <f t="shared" si="22"/>
        <v>2.5171063023178813E-4</v>
      </c>
      <c r="AA142" s="5">
        <v>0.3</v>
      </c>
      <c r="AB142">
        <f t="shared" si="29"/>
        <v>6280492.2668976001</v>
      </c>
      <c r="AC142">
        <f t="shared" si="32"/>
        <v>790195.29459954274</v>
      </c>
      <c r="AD142" s="5">
        <v>0.2</v>
      </c>
      <c r="AE142">
        <f t="shared" si="30"/>
        <v>158039.05891990857</v>
      </c>
      <c r="AF142">
        <f t="shared" si="31"/>
        <v>1</v>
      </c>
    </row>
    <row r="143" spans="1:32" x14ac:dyDescent="0.25">
      <c r="A143" s="2">
        <v>142</v>
      </c>
      <c r="B143">
        <f t="shared" si="23"/>
        <v>51611.86155731076</v>
      </c>
      <c r="C143" s="5">
        <v>0.08</v>
      </c>
      <c r="D143">
        <f t="shared" si="24"/>
        <v>364379.74259461433</v>
      </c>
      <c r="Q143">
        <f t="shared" si="25"/>
        <v>364379.74259461666</v>
      </c>
      <c r="R143">
        <f t="shared" si="26"/>
        <v>550.06206270959376</v>
      </c>
      <c r="S143">
        <f t="shared" si="27"/>
        <v>2034879.4944748227</v>
      </c>
      <c r="T143" s="5">
        <v>0.08</v>
      </c>
      <c r="V143">
        <f>SUM($R$2:R143)</f>
        <v>27438.017502345891</v>
      </c>
      <c r="W143">
        <f t="shared" si="28"/>
        <v>57.85437840498016</v>
      </c>
      <c r="Z143">
        <f t="shared" ref="Z143:Z201" si="33">$W$2/S143</f>
        <v>2.3306539836276676E-4</v>
      </c>
      <c r="AA143" s="5">
        <v>0.3</v>
      </c>
      <c r="AB143">
        <f t="shared" si="29"/>
        <v>6782931.6482494092</v>
      </c>
      <c r="AC143">
        <f t="shared" si="32"/>
        <v>837607.01227551536</v>
      </c>
      <c r="AD143" s="5">
        <v>0.2</v>
      </c>
      <c r="AE143">
        <f t="shared" si="30"/>
        <v>167521.40245510309</v>
      </c>
      <c r="AF143">
        <f t="shared" si="31"/>
        <v>1</v>
      </c>
    </row>
    <row r="144" spans="1:32" x14ac:dyDescent="0.25">
      <c r="A144" s="2">
        <v>143</v>
      </c>
      <c r="B144">
        <f t="shared" si="23"/>
        <v>55740.81048189562</v>
      </c>
      <c r="C144" s="5">
        <v>0.08</v>
      </c>
      <c r="D144">
        <f t="shared" si="24"/>
        <v>393530.12200218346</v>
      </c>
      <c r="Q144">
        <f t="shared" si="25"/>
        <v>393530.12200218608</v>
      </c>
      <c r="R144">
        <f t="shared" si="26"/>
        <v>560.44059219468033</v>
      </c>
      <c r="S144">
        <f t="shared" si="27"/>
        <v>2197669.8540328084</v>
      </c>
      <c r="T144" s="5">
        <v>0.08</v>
      </c>
      <c r="V144">
        <f>SUM($R$2:R144)</f>
        <v>27998.458094540572</v>
      </c>
      <c r="W144">
        <f t="shared" si="28"/>
        <v>59.036094324928463</v>
      </c>
      <c r="Z144">
        <f t="shared" si="33"/>
        <v>2.158012947803396E-4</v>
      </c>
      <c r="AA144" s="5">
        <v>0.3</v>
      </c>
      <c r="AB144">
        <f t="shared" si="29"/>
        <v>7325566.1801093621</v>
      </c>
      <c r="AC144">
        <f t="shared" si="32"/>
        <v>887863.43301204627</v>
      </c>
      <c r="AD144" s="5">
        <v>0.2</v>
      </c>
      <c r="AE144">
        <f t="shared" si="30"/>
        <v>177572.68660240926</v>
      </c>
      <c r="AF144">
        <f t="shared" si="31"/>
        <v>1</v>
      </c>
    </row>
    <row r="145" spans="1:32" x14ac:dyDescent="0.25">
      <c r="A145" s="2">
        <v>144</v>
      </c>
      <c r="B145">
        <f t="shared" si="23"/>
        <v>60200.075320447271</v>
      </c>
      <c r="C145" s="5">
        <v>0.08</v>
      </c>
      <c r="D145">
        <f t="shared" si="24"/>
        <v>425012.53176235815</v>
      </c>
      <c r="Q145">
        <f t="shared" si="25"/>
        <v>425012.531762361</v>
      </c>
      <c r="R145">
        <f t="shared" si="26"/>
        <v>571.01494299080628</v>
      </c>
      <c r="S145">
        <f t="shared" si="27"/>
        <v>2373483.4423554335</v>
      </c>
      <c r="T145" s="5">
        <v>0.08</v>
      </c>
      <c r="V145">
        <f>SUM($R$2:R145)</f>
        <v>28569.473037531377</v>
      </c>
      <c r="W145">
        <f t="shared" si="28"/>
        <v>60.240106771668238</v>
      </c>
      <c r="Z145">
        <f t="shared" si="33"/>
        <v>1.9981601368549961E-4</v>
      </c>
      <c r="AA145" s="5">
        <v>0.3</v>
      </c>
      <c r="AB145">
        <f t="shared" si="29"/>
        <v>7911611.4745181119</v>
      </c>
      <c r="AC145">
        <f t="shared" si="32"/>
        <v>941135.23899276904</v>
      </c>
      <c r="AD145" s="5">
        <v>0.2</v>
      </c>
      <c r="AE145">
        <f t="shared" si="30"/>
        <v>188227.04779855383</v>
      </c>
      <c r="AF145">
        <f t="shared" si="31"/>
        <v>1</v>
      </c>
    </row>
    <row r="146" spans="1:32" x14ac:dyDescent="0.25">
      <c r="A146" s="2">
        <v>145</v>
      </c>
      <c r="B146">
        <f t="shared" si="23"/>
        <v>65016.081346083054</v>
      </c>
      <c r="C146" s="5">
        <v>0.08</v>
      </c>
      <c r="D146">
        <f t="shared" si="24"/>
        <v>459013.53430334682</v>
      </c>
      <c r="Q146">
        <f t="shared" si="25"/>
        <v>459013.53430334991</v>
      </c>
      <c r="R146">
        <f t="shared" si="26"/>
        <v>581.78880983968975</v>
      </c>
      <c r="S146">
        <f t="shared" si="27"/>
        <v>2563362.1177438684</v>
      </c>
      <c r="T146" s="5">
        <v>0.08</v>
      </c>
      <c r="V146">
        <f>SUM($R$2:R146)</f>
        <v>29151.261847371068</v>
      </c>
      <c r="W146">
        <f t="shared" si="28"/>
        <v>61.466836434384241</v>
      </c>
      <c r="Z146">
        <f t="shared" si="33"/>
        <v>1.8501482748657368E-4</v>
      </c>
      <c r="AA146" s="5">
        <v>0.3</v>
      </c>
      <c r="AB146">
        <f t="shared" si="29"/>
        <v>8544540.3924795613</v>
      </c>
      <c r="AC146">
        <f t="shared" si="32"/>
        <v>997603.35333233525</v>
      </c>
      <c r="AD146" s="5">
        <v>0.2</v>
      </c>
      <c r="AE146">
        <f t="shared" si="30"/>
        <v>199520.67066646705</v>
      </c>
      <c r="AF146">
        <f t="shared" si="31"/>
        <v>1</v>
      </c>
    </row>
    <row r="147" spans="1:32" x14ac:dyDescent="0.25">
      <c r="A147" s="2">
        <v>146</v>
      </c>
      <c r="B147">
        <f t="shared" si="23"/>
        <v>70217.367853769698</v>
      </c>
      <c r="C147" s="5">
        <v>0.08</v>
      </c>
      <c r="D147">
        <f t="shared" si="24"/>
        <v>495734.61704761459</v>
      </c>
      <c r="Q147">
        <f t="shared" si="25"/>
        <v>495734.61704761785</v>
      </c>
      <c r="R147">
        <f t="shared" si="26"/>
        <v>592.76595719515547</v>
      </c>
      <c r="S147">
        <f t="shared" si="27"/>
        <v>2768431.087163378</v>
      </c>
      <c r="T147" s="5">
        <v>0.08</v>
      </c>
      <c r="V147">
        <f>SUM($R$2:R147)</f>
        <v>29744.027804566223</v>
      </c>
      <c r="W147">
        <f t="shared" si="28"/>
        <v>62.716711939792994</v>
      </c>
      <c r="Z147">
        <f t="shared" si="33"/>
        <v>1.7131002545053118E-4</v>
      </c>
      <c r="AA147" s="5">
        <v>0.3</v>
      </c>
      <c r="AB147">
        <f t="shared" si="29"/>
        <v>9228103.6238779277</v>
      </c>
      <c r="AC147">
        <f t="shared" si="32"/>
        <v>1057459.5545322753</v>
      </c>
      <c r="AD147" s="5">
        <v>0.2</v>
      </c>
      <c r="AE147">
        <f t="shared" si="30"/>
        <v>211491.91090645507</v>
      </c>
      <c r="AF147">
        <f t="shared" si="31"/>
        <v>1</v>
      </c>
    </row>
    <row r="148" spans="1:32" x14ac:dyDescent="0.25">
      <c r="A148" s="2">
        <v>147</v>
      </c>
      <c r="B148">
        <f t="shared" si="23"/>
        <v>75834.757282071281</v>
      </c>
      <c r="C148" s="5">
        <v>0.08</v>
      </c>
      <c r="D148">
        <f t="shared" si="24"/>
        <v>535393.38641142379</v>
      </c>
      <c r="Q148">
        <f t="shared" si="25"/>
        <v>535393.38641142729</v>
      </c>
      <c r="R148">
        <f t="shared" si="26"/>
        <v>603.95022053846037</v>
      </c>
      <c r="S148">
        <f t="shared" si="27"/>
        <v>2989905.5741364486</v>
      </c>
      <c r="T148" s="5">
        <v>0.08</v>
      </c>
      <c r="V148">
        <f>SUM($R$2:R148)</f>
        <v>30347.978025104683</v>
      </c>
      <c r="W148">
        <f t="shared" si="28"/>
        <v>63.990170001907572</v>
      </c>
      <c r="Z148">
        <f t="shared" si="33"/>
        <v>1.5862039393567699E-4</v>
      </c>
      <c r="AA148" s="5">
        <v>0.3</v>
      </c>
      <c r="AB148">
        <f t="shared" si="29"/>
        <v>9966351.9137881622</v>
      </c>
      <c r="AC148">
        <f t="shared" si="32"/>
        <v>1120907.1278042118</v>
      </c>
      <c r="AD148" s="5">
        <v>0.2</v>
      </c>
      <c r="AE148">
        <f t="shared" si="30"/>
        <v>224181.42556084238</v>
      </c>
      <c r="AF148">
        <f t="shared" si="31"/>
        <v>1</v>
      </c>
    </row>
    <row r="149" spans="1:32" x14ac:dyDescent="0.25">
      <c r="A149" s="2">
        <v>148</v>
      </c>
      <c r="B149">
        <f t="shared" si="23"/>
        <v>81901.537864636979</v>
      </c>
      <c r="C149" s="5">
        <v>0.08</v>
      </c>
      <c r="D149">
        <f t="shared" si="24"/>
        <v>578224.8573243377</v>
      </c>
      <c r="Q149">
        <f t="shared" si="25"/>
        <v>578224.85732434154</v>
      </c>
      <c r="R149">
        <f t="shared" si="26"/>
        <v>615.34550771843124</v>
      </c>
      <c r="S149">
        <f t="shared" si="27"/>
        <v>3229098.0200673644</v>
      </c>
      <c r="T149" s="5">
        <v>0.08</v>
      </c>
      <c r="V149">
        <f>SUM($R$2:R149)</f>
        <v>30963.323532823113</v>
      </c>
      <c r="W149">
        <f t="shared" si="28"/>
        <v>65.287655574628076</v>
      </c>
      <c r="Z149">
        <f t="shared" si="33"/>
        <v>1.4687073512562686E-4</v>
      </c>
      <c r="AA149" s="5">
        <v>0.3</v>
      </c>
      <c r="AB149">
        <f t="shared" si="29"/>
        <v>10763660.066891216</v>
      </c>
      <c r="AC149">
        <f t="shared" si="32"/>
        <v>1188161.5554724645</v>
      </c>
      <c r="AD149" s="5">
        <v>0.2</v>
      </c>
      <c r="AE149">
        <f t="shared" si="30"/>
        <v>237632.31109449291</v>
      </c>
      <c r="AF149">
        <f t="shared" si="31"/>
        <v>1</v>
      </c>
    </row>
    <row r="150" spans="1:32" x14ac:dyDescent="0.25">
      <c r="A150" s="2">
        <v>149</v>
      </c>
      <c r="B150">
        <f t="shared" si="23"/>
        <v>88453.660893807944</v>
      </c>
      <c r="C150" s="5">
        <v>0.08</v>
      </c>
      <c r="D150">
        <f t="shared" si="24"/>
        <v>624482.84591028467</v>
      </c>
      <c r="Q150">
        <f t="shared" si="25"/>
        <v>624482.84591028886</v>
      </c>
      <c r="R150">
        <f t="shared" si="26"/>
        <v>626.95580031689224</v>
      </c>
      <c r="S150">
        <f t="shared" si="27"/>
        <v>3487425.8616727539</v>
      </c>
      <c r="T150" s="5">
        <v>0.08</v>
      </c>
      <c r="V150">
        <f>SUM($R$2:R150)</f>
        <v>31590.279333140006</v>
      </c>
      <c r="W150">
        <f t="shared" si="28"/>
        <v>66.609622007211243</v>
      </c>
      <c r="Z150">
        <f t="shared" si="33"/>
        <v>1.3599142141261744E-4</v>
      </c>
      <c r="AA150" s="5">
        <v>0.3</v>
      </c>
      <c r="AB150">
        <f t="shared" si="29"/>
        <v>11624752.872242514</v>
      </c>
      <c r="AC150">
        <f t="shared" si="32"/>
        <v>1259451.2488008125</v>
      </c>
      <c r="AD150" s="5">
        <v>0.2</v>
      </c>
      <c r="AE150">
        <f t="shared" si="30"/>
        <v>251890.24976016252</v>
      </c>
      <c r="AF150">
        <f t="shared" si="31"/>
        <v>1</v>
      </c>
    </row>
    <row r="151" spans="1:32" x14ac:dyDescent="0.25">
      <c r="A151" s="2">
        <v>150</v>
      </c>
      <c r="B151">
        <f t="shared" si="23"/>
        <v>95529.953765312574</v>
      </c>
      <c r="C151" s="5">
        <v>0.08</v>
      </c>
      <c r="D151">
        <f t="shared" si="24"/>
        <v>674441.47358310746</v>
      </c>
      <c r="Q151">
        <f t="shared" si="25"/>
        <v>674441.47358311201</v>
      </c>
      <c r="R151">
        <f t="shared" si="26"/>
        <v>638.78515503985238</v>
      </c>
      <c r="S151">
        <f t="shared" si="27"/>
        <v>3766419.9306065743</v>
      </c>
      <c r="T151" s="5">
        <v>0.08</v>
      </c>
      <c r="V151">
        <f>SUM($R$2:R151)</f>
        <v>32229.064488179858</v>
      </c>
      <c r="W151">
        <f t="shared" si="28"/>
        <v>67.956531202673347</v>
      </c>
      <c r="Z151">
        <f t="shared" si="33"/>
        <v>1.2591798278946059E-4</v>
      </c>
      <c r="AA151" s="5">
        <v>0.3</v>
      </c>
      <c r="AB151">
        <f t="shared" si="29"/>
        <v>12554733.102021914</v>
      </c>
      <c r="AC151">
        <f t="shared" si="32"/>
        <v>1335018.3237288613</v>
      </c>
      <c r="AD151" s="5">
        <v>0.2</v>
      </c>
      <c r="AE151">
        <f t="shared" si="30"/>
        <v>267003.66474577226</v>
      </c>
      <c r="AF151">
        <f t="shared" si="31"/>
        <v>1</v>
      </c>
    </row>
    <row r="152" spans="1:32" x14ac:dyDescent="0.25">
      <c r="A152" s="2">
        <v>151</v>
      </c>
      <c r="B152">
        <f t="shared" si="23"/>
        <v>103172.35006653758</v>
      </c>
      <c r="C152" s="5">
        <v>0.08</v>
      </c>
      <c r="D152">
        <f t="shared" si="24"/>
        <v>728396.79146975605</v>
      </c>
      <c r="Q152">
        <f t="shared" si="25"/>
        <v>728396.79146976105</v>
      </c>
      <c r="R152">
        <f t="shared" si="26"/>
        <v>650.83770513494403</v>
      </c>
      <c r="S152">
        <f t="shared" si="27"/>
        <v>4067733.5250551007</v>
      </c>
      <c r="T152" s="5">
        <v>0.08</v>
      </c>
      <c r="V152">
        <f>SUM($R$2:R152)</f>
        <v>32879.902193314803</v>
      </c>
      <c r="W152">
        <f t="shared" si="28"/>
        <v>69.328853779181898</v>
      </c>
      <c r="Z152">
        <f t="shared" si="33"/>
        <v>1.165907248050561E-4</v>
      </c>
      <c r="AA152" s="5">
        <v>0.3</v>
      </c>
      <c r="AB152">
        <f t="shared" si="29"/>
        <v>13559111.75018367</v>
      </c>
      <c r="AC152">
        <f t="shared" si="32"/>
        <v>1415119.423152593</v>
      </c>
      <c r="AD152" s="5">
        <v>0.2</v>
      </c>
      <c r="AE152">
        <f t="shared" si="30"/>
        <v>283023.88463051862</v>
      </c>
      <c r="AF152">
        <f t="shared" si="31"/>
        <v>1</v>
      </c>
    </row>
    <row r="153" spans="1:32" x14ac:dyDescent="0.25">
      <c r="A153" s="2">
        <v>152</v>
      </c>
      <c r="B153">
        <f t="shared" si="23"/>
        <v>111426.13807186058</v>
      </c>
      <c r="C153" s="5">
        <v>0.08</v>
      </c>
      <c r="D153">
        <f t="shared" si="24"/>
        <v>786668.53478733648</v>
      </c>
      <c r="Q153">
        <f t="shared" si="25"/>
        <v>786668.53478734207</v>
      </c>
      <c r="R153">
        <f t="shared" si="26"/>
        <v>663.11766183560326</v>
      </c>
      <c r="S153">
        <f t="shared" si="27"/>
        <v>4393152.2070595091</v>
      </c>
      <c r="T153" s="5">
        <v>0.08</v>
      </c>
      <c r="V153">
        <f>SUM($R$2:R153)</f>
        <v>33543.019855150407</v>
      </c>
      <c r="W153">
        <f t="shared" si="28"/>
        <v>70.72706923449249</v>
      </c>
      <c r="Z153">
        <f t="shared" si="33"/>
        <v>1.0795437481949638E-4</v>
      </c>
      <c r="AA153" s="5">
        <v>0.3</v>
      </c>
      <c r="AB153">
        <f t="shared" si="29"/>
        <v>14643840.690198364</v>
      </c>
      <c r="AC153">
        <f t="shared" si="32"/>
        <v>1500026.5885417487</v>
      </c>
      <c r="AD153" s="5">
        <v>0.2</v>
      </c>
      <c r="AE153">
        <f t="shared" si="30"/>
        <v>300005.31770834973</v>
      </c>
      <c r="AF153">
        <f t="shared" si="31"/>
        <v>1</v>
      </c>
    </row>
    <row r="154" spans="1:32" x14ac:dyDescent="0.25">
      <c r="A154" s="2">
        <v>153</v>
      </c>
      <c r="B154">
        <f t="shared" si="23"/>
        <v>120340.22911760943</v>
      </c>
      <c r="C154" s="5">
        <v>0.08</v>
      </c>
      <c r="D154">
        <f t="shared" si="24"/>
        <v>849602.01757032343</v>
      </c>
      <c r="Q154">
        <f t="shared" si="25"/>
        <v>849602.01757032925</v>
      </c>
      <c r="R154">
        <f t="shared" si="26"/>
        <v>675.62931583250167</v>
      </c>
      <c r="S154">
        <f t="shared" si="27"/>
        <v>4744604.3836242706</v>
      </c>
      <c r="T154" s="5">
        <v>0.08</v>
      </c>
      <c r="V154">
        <f>SUM($R$2:R154)</f>
        <v>34218.649170982906</v>
      </c>
      <c r="W154">
        <f t="shared" si="28"/>
        <v>72.15166611348819</v>
      </c>
      <c r="Z154">
        <f t="shared" si="33"/>
        <v>9.9957754462496633E-5</v>
      </c>
      <c r="AA154" s="5">
        <v>0.3</v>
      </c>
      <c r="AB154">
        <f t="shared" si="29"/>
        <v>15815347.945414236</v>
      </c>
      <c r="AC154">
        <f t="shared" si="32"/>
        <v>1590028.1838542537</v>
      </c>
      <c r="AD154" s="5">
        <v>0.2</v>
      </c>
      <c r="AE154">
        <f t="shared" si="30"/>
        <v>318005.63677085075</v>
      </c>
      <c r="AF154">
        <f t="shared" si="31"/>
        <v>1</v>
      </c>
    </row>
    <row r="155" spans="1:32" x14ac:dyDescent="0.25">
      <c r="A155" s="2">
        <v>154</v>
      </c>
      <c r="B155">
        <f t="shared" si="23"/>
        <v>129967.44744701819</v>
      </c>
      <c r="C155" s="5">
        <v>0.08</v>
      </c>
      <c r="D155">
        <f t="shared" si="24"/>
        <v>917570.1789759493</v>
      </c>
      <c r="Q155">
        <f t="shared" si="25"/>
        <v>917570.17897595582</v>
      </c>
      <c r="R155">
        <f t="shared" si="26"/>
        <v>688.37703877273759</v>
      </c>
      <c r="S155">
        <f t="shared" si="27"/>
        <v>5124172.7343142126</v>
      </c>
      <c r="T155" s="5">
        <v>0.08</v>
      </c>
      <c r="V155">
        <f>SUM($R$2:R155)</f>
        <v>34907.026209755641</v>
      </c>
      <c r="W155">
        <f t="shared" si="28"/>
        <v>73.60314217888002</v>
      </c>
      <c r="Z155">
        <f t="shared" si="33"/>
        <v>9.2553476354163532E-5</v>
      </c>
      <c r="AA155" s="5">
        <v>0.3</v>
      </c>
      <c r="AB155">
        <f t="shared" si="29"/>
        <v>17080575.781047378</v>
      </c>
      <c r="AC155">
        <f t="shared" si="32"/>
        <v>1685429.874885509</v>
      </c>
      <c r="AD155" s="5">
        <v>0.2</v>
      </c>
      <c r="AE155">
        <f t="shared" si="30"/>
        <v>337085.97497710184</v>
      </c>
      <c r="AF155">
        <f t="shared" si="31"/>
        <v>1</v>
      </c>
    </row>
    <row r="156" spans="1:32" x14ac:dyDescent="0.25">
      <c r="A156" s="2">
        <v>155</v>
      </c>
      <c r="B156">
        <f t="shared" si="23"/>
        <v>140364.84324277964</v>
      </c>
      <c r="C156" s="5">
        <v>0.08</v>
      </c>
      <c r="D156">
        <f t="shared" si="24"/>
        <v>990975.79329402524</v>
      </c>
      <c r="Q156">
        <f t="shared" si="25"/>
        <v>990975.79329403222</v>
      </c>
      <c r="R156">
        <f t="shared" si="26"/>
        <v>701.36528478731759</v>
      </c>
      <c r="S156">
        <f t="shared" si="27"/>
        <v>5534106.5530593498</v>
      </c>
      <c r="T156" s="5">
        <v>0.08</v>
      </c>
      <c r="V156">
        <f>SUM($R$2:R156)</f>
        <v>35608.391494542957</v>
      </c>
      <c r="W156">
        <f t="shared" si="28"/>
        <v>75.082004585128317</v>
      </c>
      <c r="Z156">
        <f t="shared" si="33"/>
        <v>8.5697663290892158E-5</v>
      </c>
      <c r="AA156" s="5">
        <v>0.3</v>
      </c>
      <c r="AB156">
        <f t="shared" si="29"/>
        <v>18447021.843531165</v>
      </c>
      <c r="AC156">
        <f t="shared" si="32"/>
        <v>1786555.6673786396</v>
      </c>
      <c r="AD156" s="5">
        <v>0.2</v>
      </c>
      <c r="AE156">
        <f t="shared" si="30"/>
        <v>357311.13347572793</v>
      </c>
      <c r="AF156">
        <f t="shared" si="31"/>
        <v>1</v>
      </c>
    </row>
    <row r="157" spans="1:32" x14ac:dyDescent="0.25">
      <c r="A157" s="2">
        <v>156</v>
      </c>
      <c r="B157">
        <f t="shared" si="23"/>
        <v>151594.030702202</v>
      </c>
      <c r="C157" s="5">
        <v>0.08</v>
      </c>
      <c r="D157">
        <f t="shared" si="24"/>
        <v>1070253.8567575472</v>
      </c>
      <c r="Q157">
        <f t="shared" si="25"/>
        <v>1070253.8567575549</v>
      </c>
      <c r="R157">
        <f t="shared" si="26"/>
        <v>714.59859204745555</v>
      </c>
      <c r="S157">
        <f t="shared" si="27"/>
        <v>5976835.0773040978</v>
      </c>
      <c r="T157" s="5">
        <v>0.08</v>
      </c>
      <c r="V157">
        <f>SUM($R$2:R157)</f>
        <v>36322.990086590413</v>
      </c>
      <c r="W157">
        <f t="shared" si="28"/>
        <v>76.588770055645455</v>
      </c>
      <c r="Z157">
        <f t="shared" si="33"/>
        <v>7.9349688232307558E-5</v>
      </c>
      <c r="AA157" s="5">
        <v>0.3</v>
      </c>
      <c r="AB157">
        <f t="shared" si="29"/>
        <v>19922783.591013659</v>
      </c>
      <c r="AC157">
        <f t="shared" si="32"/>
        <v>1893749.007421358</v>
      </c>
      <c r="AD157" s="5">
        <v>0.2</v>
      </c>
      <c r="AE157">
        <f t="shared" si="30"/>
        <v>378749.80148427165</v>
      </c>
      <c r="AF157">
        <f t="shared" si="31"/>
        <v>1</v>
      </c>
    </row>
    <row r="158" spans="1:32" x14ac:dyDescent="0.25">
      <c r="A158" s="2">
        <v>157</v>
      </c>
      <c r="B158">
        <f t="shared" si="23"/>
        <v>163721.55315837817</v>
      </c>
      <c r="C158" s="5">
        <v>0.08</v>
      </c>
      <c r="D158">
        <f t="shared" si="24"/>
        <v>1155874.1652981511</v>
      </c>
      <c r="Q158">
        <f t="shared" si="25"/>
        <v>1155874.1652981592</v>
      </c>
      <c r="R158">
        <f t="shared" si="26"/>
        <v>728.08158435023768</v>
      </c>
      <c r="S158">
        <f t="shared" si="27"/>
        <v>6454981.883488426</v>
      </c>
      <c r="T158" s="5">
        <v>0.08</v>
      </c>
      <c r="V158">
        <f>SUM($R$2:R158)</f>
        <v>37051.071670940648</v>
      </c>
      <c r="W158">
        <f t="shared" si="28"/>
        <v>78.123965063342155</v>
      </c>
      <c r="Z158">
        <f t="shared" si="33"/>
        <v>7.3471933548432922E-5</v>
      </c>
      <c r="AA158" s="5">
        <v>0.3</v>
      </c>
      <c r="AB158">
        <f t="shared" si="29"/>
        <v>21516606.278294753</v>
      </c>
      <c r="AC158">
        <f t="shared" si="32"/>
        <v>2007373.9478666396</v>
      </c>
      <c r="AD158" s="5">
        <v>0.2</v>
      </c>
      <c r="AE158">
        <f t="shared" si="30"/>
        <v>401474.78957332793</v>
      </c>
      <c r="AF158">
        <f t="shared" si="31"/>
        <v>1</v>
      </c>
    </row>
    <row r="159" spans="1:32" x14ac:dyDescent="0.25">
      <c r="A159" s="2">
        <v>158</v>
      </c>
      <c r="B159">
        <f t="shared" si="23"/>
        <v>176819.27741104842</v>
      </c>
      <c r="C159" s="5">
        <v>0.08</v>
      </c>
      <c r="D159">
        <f t="shared" si="24"/>
        <v>1248344.0985220033</v>
      </c>
      <c r="Q159">
        <f t="shared" si="25"/>
        <v>1248344.0985220121</v>
      </c>
      <c r="R159">
        <f t="shared" si="26"/>
        <v>741.81897273420441</v>
      </c>
      <c r="S159">
        <f t="shared" si="27"/>
        <v>6971380.4341675006</v>
      </c>
      <c r="T159" s="5">
        <v>0.08</v>
      </c>
      <c r="V159">
        <f>SUM($R$2:R159)</f>
        <v>37792.890643674851</v>
      </c>
      <c r="W159">
        <f t="shared" si="28"/>
        <v>79.688126014580291</v>
      </c>
      <c r="Z159">
        <f t="shared" si="33"/>
        <v>6.8029568100400851E-5</v>
      </c>
      <c r="AA159" s="5">
        <v>0.3</v>
      </c>
      <c r="AB159">
        <f t="shared" si="29"/>
        <v>23237934.780558337</v>
      </c>
      <c r="AC159">
        <f t="shared" si="32"/>
        <v>2127816.3847386381</v>
      </c>
      <c r="AD159" s="5">
        <v>0.2</v>
      </c>
      <c r="AE159">
        <f t="shared" si="30"/>
        <v>425563.27694772766</v>
      </c>
      <c r="AF159">
        <f t="shared" si="31"/>
        <v>1</v>
      </c>
    </row>
    <row r="160" spans="1:32" x14ac:dyDescent="0.25">
      <c r="A160" s="2">
        <v>159</v>
      </c>
      <c r="B160">
        <f t="shared" si="23"/>
        <v>190964.81960393229</v>
      </c>
      <c r="C160" s="5">
        <v>0.08</v>
      </c>
      <c r="D160">
        <f t="shared" si="24"/>
        <v>1348211.6264037634</v>
      </c>
      <c r="Q160">
        <f t="shared" si="25"/>
        <v>1348211.6264037732</v>
      </c>
      <c r="R160">
        <f t="shared" si="26"/>
        <v>755.81555712541581</v>
      </c>
      <c r="S160">
        <f t="shared" si="27"/>
        <v>7529090.8689009007</v>
      </c>
      <c r="T160" s="5">
        <v>0.08</v>
      </c>
      <c r="V160">
        <f>SUM($R$2:R160)</f>
        <v>38548.706200800269</v>
      </c>
      <c r="W160">
        <f t="shared" si="28"/>
        <v>81.281799436596529</v>
      </c>
      <c r="Z160">
        <f t="shared" si="33"/>
        <v>6.2990340833704486E-5</v>
      </c>
      <c r="AA160" s="5">
        <v>0.3</v>
      </c>
      <c r="AB160">
        <f t="shared" si="29"/>
        <v>25096969.563003004</v>
      </c>
      <c r="AC160">
        <f t="shared" si="32"/>
        <v>2255485.3678229563</v>
      </c>
      <c r="AD160" s="5">
        <v>0.2</v>
      </c>
      <c r="AE160">
        <f t="shared" si="30"/>
        <v>451097.07356459129</v>
      </c>
      <c r="AF160">
        <f t="shared" si="31"/>
        <v>1</v>
      </c>
    </row>
    <row r="161" spans="1:32" x14ac:dyDescent="0.25">
      <c r="A161" s="2">
        <v>160</v>
      </c>
      <c r="B161">
        <f t="shared" si="23"/>
        <v>206242.00517224689</v>
      </c>
      <c r="C161" s="5">
        <v>0.08</v>
      </c>
      <c r="D161">
        <f t="shared" si="24"/>
        <v>1456068.5565160646</v>
      </c>
      <c r="Q161">
        <f t="shared" si="25"/>
        <v>1456068.5565160753</v>
      </c>
      <c r="R161">
        <f t="shared" si="26"/>
        <v>770.07622801457444</v>
      </c>
      <c r="S161">
        <f t="shared" si="27"/>
        <v>8131418.1384129729</v>
      </c>
      <c r="T161" s="5">
        <v>0.08</v>
      </c>
      <c r="V161">
        <f>SUM($R$2:R161)</f>
        <v>39318.78242881484</v>
      </c>
      <c r="W161">
        <f t="shared" si="28"/>
        <v>82.905542168462105</v>
      </c>
      <c r="Z161">
        <f t="shared" si="33"/>
        <v>5.8324389660837484E-5</v>
      </c>
      <c r="AA161" s="5">
        <v>0.3</v>
      </c>
      <c r="AB161">
        <f t="shared" si="29"/>
        <v>27104727.128043246</v>
      </c>
      <c r="AC161">
        <f t="shared" si="32"/>
        <v>2390814.4898923337</v>
      </c>
      <c r="AD161" s="5">
        <v>0.2</v>
      </c>
      <c r="AE161">
        <f t="shared" si="30"/>
        <v>478162.89797846676</v>
      </c>
      <c r="AF161">
        <f t="shared" si="31"/>
        <v>1</v>
      </c>
    </row>
    <row r="162" spans="1:32" x14ac:dyDescent="0.25">
      <c r="A162" s="2">
        <v>161</v>
      </c>
      <c r="B162">
        <f t="shared" si="23"/>
        <v>222741.36558602663</v>
      </c>
      <c r="C162" s="5">
        <v>0.08</v>
      </c>
      <c r="D162">
        <f t="shared" si="24"/>
        <v>1572554.0410373497</v>
      </c>
      <c r="Q162">
        <f t="shared" si="25"/>
        <v>1572554.0410373614</v>
      </c>
      <c r="R162">
        <f t="shared" si="26"/>
        <v>784.60596816579323</v>
      </c>
      <c r="S162">
        <f t="shared" si="27"/>
        <v>8781931.5894860122</v>
      </c>
      <c r="T162" s="5">
        <v>0.08</v>
      </c>
      <c r="V162">
        <f>SUM($R$2:R162)</f>
        <v>40103.388396980634</v>
      </c>
      <c r="W162">
        <f t="shared" si="28"/>
        <v>84.559921555645914</v>
      </c>
      <c r="Z162">
        <f t="shared" si="33"/>
        <v>5.4004064500775441E-5</v>
      </c>
      <c r="AA162" s="5">
        <v>0.3</v>
      </c>
      <c r="AB162">
        <f t="shared" si="29"/>
        <v>29273105.29828671</v>
      </c>
      <c r="AC162">
        <f t="shared" si="32"/>
        <v>2534263.3592858738</v>
      </c>
      <c r="AD162" s="5">
        <v>0.2</v>
      </c>
      <c r="AE162">
        <f t="shared" si="30"/>
        <v>506852.67185717478</v>
      </c>
      <c r="AF162">
        <f t="shared" si="31"/>
        <v>1</v>
      </c>
    </row>
    <row r="163" spans="1:32" x14ac:dyDescent="0.25">
      <c r="A163" s="2">
        <v>162</v>
      </c>
      <c r="B163">
        <f t="shared" si="23"/>
        <v>240560.67483290876</v>
      </c>
      <c r="C163" s="5">
        <v>0.08</v>
      </c>
      <c r="D163">
        <f t="shared" si="24"/>
        <v>1698358.3643203378</v>
      </c>
      <c r="Q163">
        <f t="shared" si="25"/>
        <v>1698358.3643203501</v>
      </c>
      <c r="R163">
        <f t="shared" si="26"/>
        <v>799.40985435760069</v>
      </c>
      <c r="S163">
        <f t="shared" si="27"/>
        <v>9484486.1166448947</v>
      </c>
      <c r="T163" s="5">
        <v>0.08</v>
      </c>
      <c r="V163">
        <f>SUM($R$2:R163)</f>
        <v>40902.798251338238</v>
      </c>
      <c r="W163">
        <f t="shared" si="28"/>
        <v>86.245515648248301</v>
      </c>
      <c r="Z163">
        <f t="shared" si="33"/>
        <v>5.0003763426643918E-5</v>
      </c>
      <c r="AA163" s="5">
        <v>0.3</v>
      </c>
      <c r="AB163">
        <f t="shared" si="29"/>
        <v>31614953.722149651</v>
      </c>
      <c r="AC163">
        <f t="shared" si="32"/>
        <v>2686319.1608430264</v>
      </c>
      <c r="AD163" s="5">
        <v>0.2</v>
      </c>
      <c r="AE163">
        <f t="shared" si="30"/>
        <v>537263.8321686053</v>
      </c>
      <c r="AF163">
        <f t="shared" si="31"/>
        <v>1</v>
      </c>
    </row>
    <row r="164" spans="1:32" x14ac:dyDescent="0.25">
      <c r="A164" s="2">
        <v>163</v>
      </c>
      <c r="B164">
        <f t="shared" si="23"/>
        <v>259805.52881954145</v>
      </c>
      <c r="C164" s="5">
        <v>0.08</v>
      </c>
      <c r="D164">
        <f t="shared" si="24"/>
        <v>1834227.0334659647</v>
      </c>
      <c r="Q164">
        <f t="shared" si="25"/>
        <v>1834227.0334659782</v>
      </c>
      <c r="R164">
        <f t="shared" si="26"/>
        <v>814.49305915680065</v>
      </c>
      <c r="S164">
        <f t="shared" si="27"/>
        <v>10243245.005976487</v>
      </c>
      <c r="T164" s="5">
        <v>0.08</v>
      </c>
      <c r="V164">
        <f>SUM($R$2:R164)</f>
        <v>41717.291310495035</v>
      </c>
      <c r="W164">
        <f t="shared" si="28"/>
        <v>87.962913402975232</v>
      </c>
      <c r="Z164">
        <f t="shared" si="33"/>
        <v>4.6299780950596215E-5</v>
      </c>
      <c r="AA164" s="5">
        <v>0.3</v>
      </c>
      <c r="AB164">
        <f t="shared" si="29"/>
        <v>34144150.019921623</v>
      </c>
      <c r="AC164">
        <f t="shared" si="32"/>
        <v>2847498.310493608</v>
      </c>
      <c r="AD164" s="5">
        <v>0.2</v>
      </c>
      <c r="AE164">
        <f t="shared" si="30"/>
        <v>569499.6620987216</v>
      </c>
      <c r="AF164">
        <f t="shared" si="31"/>
        <v>1</v>
      </c>
    </row>
    <row r="165" spans="1:32" x14ac:dyDescent="0.25">
      <c r="A165" s="2">
        <v>164</v>
      </c>
      <c r="B165">
        <f t="shared" si="23"/>
        <v>280589.97112510476</v>
      </c>
      <c r="C165" s="5">
        <v>0.08</v>
      </c>
      <c r="D165">
        <f t="shared" si="24"/>
        <v>1980965.1961432418</v>
      </c>
      <c r="Q165">
        <f t="shared" si="25"/>
        <v>1980965.1961432567</v>
      </c>
      <c r="R165">
        <f t="shared" si="26"/>
        <v>829.8608527257968</v>
      </c>
      <c r="S165">
        <f t="shared" si="27"/>
        <v>11062704.606454607</v>
      </c>
      <c r="T165" s="5">
        <v>0.08</v>
      </c>
      <c r="V165">
        <f>SUM($R$2:R165)</f>
        <v>42547.152163220831</v>
      </c>
      <c r="W165">
        <f t="shared" si="28"/>
        <v>89.712714888923443</v>
      </c>
      <c r="Z165">
        <f t="shared" si="33"/>
        <v>4.2870167546848345E-5</v>
      </c>
      <c r="AA165" s="5">
        <v>0.3</v>
      </c>
      <c r="AB165">
        <f t="shared" si="29"/>
        <v>36875682.021515362</v>
      </c>
      <c r="AC165">
        <f t="shared" si="32"/>
        <v>3018348.2091232245</v>
      </c>
      <c r="AD165" s="5">
        <v>0.2</v>
      </c>
      <c r="AE165">
        <f t="shared" si="30"/>
        <v>603669.64182464487</v>
      </c>
      <c r="AF165">
        <f t="shared" si="31"/>
        <v>1</v>
      </c>
    </row>
    <row r="166" spans="1:32" x14ac:dyDescent="0.25">
      <c r="A166" s="2">
        <v>165</v>
      </c>
      <c r="B166">
        <f t="shared" ref="B166:B200" si="34">B165+B165*C165</f>
        <v>303037.16881511314</v>
      </c>
      <c r="C166" s="5">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5">
        <v>0.08</v>
      </c>
      <c r="V166">
        <f>SUM($R$2:R166)</f>
        <v>43392.670767884854</v>
      </c>
      <c r="W166">
        <f t="shared" ref="W166:W200" si="39">V166/$W$2</f>
        <v>91.495531497248038</v>
      </c>
      <c r="Z166">
        <f t="shared" si="33"/>
        <v>3.9694599580415133E-5</v>
      </c>
      <c r="AA166" s="5">
        <v>0.3</v>
      </c>
      <c r="AB166">
        <f t="shared" si="29"/>
        <v>39825736.58323659</v>
      </c>
      <c r="AC166">
        <f t="shared" si="32"/>
        <v>3199449.1016706182</v>
      </c>
      <c r="AD166" s="5">
        <v>0.2</v>
      </c>
      <c r="AE166">
        <f t="shared" si="30"/>
        <v>639889.82033412368</v>
      </c>
      <c r="AF166">
        <f t="shared" si="31"/>
        <v>1</v>
      </c>
    </row>
    <row r="167" spans="1:32" x14ac:dyDescent="0.25">
      <c r="A167" s="2">
        <v>166</v>
      </c>
      <c r="B167">
        <f t="shared" si="34"/>
        <v>327280.14232032216</v>
      </c>
      <c r="C167" s="5">
        <v>0.08</v>
      </c>
      <c r="D167">
        <f t="shared" si="35"/>
        <v>2310597.804781477</v>
      </c>
      <c r="Q167">
        <f t="shared" si="36"/>
        <v>2310597.8047814951</v>
      </c>
      <c r="R167">
        <f t="shared" si="37"/>
        <v>861.47178588409531</v>
      </c>
      <c r="S167">
        <f t="shared" si="38"/>
        <v>12903538.652968654</v>
      </c>
      <c r="T167" s="5">
        <v>0.08</v>
      </c>
      <c r="V167">
        <f>SUM($R$2:R167)</f>
        <v>44254.14255376895</v>
      </c>
      <c r="W167">
        <f t="shared" si="39"/>
        <v>93.311986154786297</v>
      </c>
      <c r="Z167">
        <f t="shared" si="33"/>
        <v>3.6754258870754755E-5</v>
      </c>
      <c r="AA167" s="5">
        <v>0.3</v>
      </c>
      <c r="AB167">
        <f t="shared" si="29"/>
        <v>43011795.509895518</v>
      </c>
      <c r="AC167">
        <f t="shared" si="32"/>
        <v>3391416.0477708555</v>
      </c>
      <c r="AD167" s="5">
        <v>0.2</v>
      </c>
      <c r="AE167">
        <f t="shared" si="30"/>
        <v>678283.20955417119</v>
      </c>
      <c r="AF167">
        <f t="shared" si="31"/>
        <v>1</v>
      </c>
    </row>
    <row r="168" spans="1:32" x14ac:dyDescent="0.25">
      <c r="A168" s="2">
        <v>167</v>
      </c>
      <c r="B168">
        <f t="shared" si="34"/>
        <v>353462.55370594794</v>
      </c>
      <c r="C168" s="5">
        <v>0.08</v>
      </c>
      <c r="D168">
        <f t="shared" si="35"/>
        <v>2495445.6291639949</v>
      </c>
      <c r="Q168">
        <f t="shared" si="36"/>
        <v>2495445.6291640149</v>
      </c>
      <c r="R168">
        <f t="shared" si="37"/>
        <v>877.72597052341769</v>
      </c>
      <c r="S168">
        <f t="shared" si="38"/>
        <v>13935821.745206147</v>
      </c>
      <c r="T168" s="5">
        <v>0.08</v>
      </c>
      <c r="V168">
        <f>SUM($R$2:R168)</f>
        <v>45131.868524292368</v>
      </c>
      <c r="W168">
        <f t="shared" si="39"/>
        <v>95.16271354171208</v>
      </c>
      <c r="Z168">
        <f t="shared" si="33"/>
        <v>3.4031721176624766E-5</v>
      </c>
      <c r="AA168" s="5">
        <v>0.3</v>
      </c>
      <c r="AB168">
        <f t="shared" si="29"/>
        <v>46452739.150687158</v>
      </c>
      <c r="AC168">
        <f t="shared" si="32"/>
        <v>3594901.0106371068</v>
      </c>
      <c r="AD168" s="5">
        <v>0.2</v>
      </c>
      <c r="AE168">
        <f t="shared" si="30"/>
        <v>718980.20212742139</v>
      </c>
      <c r="AF168">
        <f t="shared" si="31"/>
        <v>1</v>
      </c>
    </row>
    <row r="169" spans="1:32" x14ac:dyDescent="0.25">
      <c r="A169" s="2">
        <v>168</v>
      </c>
      <c r="B169">
        <f t="shared" si="34"/>
        <v>381739.55800242379</v>
      </c>
      <c r="C169" s="5">
        <v>0.08</v>
      </c>
      <c r="D169">
        <f t="shared" si="35"/>
        <v>2695081.2794971145</v>
      </c>
      <c r="Q169">
        <f t="shared" si="36"/>
        <v>2695081.2794971359</v>
      </c>
      <c r="R169">
        <f t="shared" si="37"/>
        <v>894.28683789178399</v>
      </c>
      <c r="S169">
        <f t="shared" si="38"/>
        <v>15050687.48482264</v>
      </c>
      <c r="T169" s="5">
        <v>0.08</v>
      </c>
      <c r="V169">
        <f>SUM($R$2:R169)</f>
        <v>46026.155362184152</v>
      </c>
      <c r="W169">
        <f t="shared" si="39"/>
        <v>97.048360313296826</v>
      </c>
      <c r="Z169">
        <f t="shared" si="33"/>
        <v>3.1510852941319226E-5</v>
      </c>
      <c r="AA169" s="5">
        <v>0.3</v>
      </c>
      <c r="AB169">
        <f t="shared" si="29"/>
        <v>50168958.282742135</v>
      </c>
      <c r="AC169">
        <f t="shared" si="32"/>
        <v>3810595.0712753334</v>
      </c>
      <c r="AD169" s="5">
        <v>0.2</v>
      </c>
      <c r="AE169">
        <f t="shared" si="30"/>
        <v>762119.01425506675</v>
      </c>
      <c r="AF169">
        <f t="shared" si="31"/>
        <v>1</v>
      </c>
    </row>
    <row r="170" spans="1:32" x14ac:dyDescent="0.25">
      <c r="A170" s="2">
        <v>169</v>
      </c>
      <c r="B170">
        <f t="shared" si="34"/>
        <v>412278.72264261771</v>
      </c>
      <c r="C170" s="5">
        <v>0.08</v>
      </c>
      <c r="D170">
        <f t="shared" si="35"/>
        <v>2910687.7818568838</v>
      </c>
      <c r="Q170">
        <f t="shared" si="36"/>
        <v>2910687.7818569071</v>
      </c>
      <c r="R170">
        <f t="shared" si="37"/>
        <v>911.16017445578018</v>
      </c>
      <c r="S170">
        <f t="shared" si="38"/>
        <v>16254742.483608453</v>
      </c>
      <c r="T170" s="5">
        <v>0.08</v>
      </c>
      <c r="V170">
        <f>SUM($R$2:R170)</f>
        <v>46937.31553663993</v>
      </c>
      <c r="W170">
        <f t="shared" si="39"/>
        <v>98.969585325854865</v>
      </c>
      <c r="Z170">
        <f t="shared" si="33"/>
        <v>2.917671568640669E-5</v>
      </c>
      <c r="AA170" s="5">
        <v>0.3</v>
      </c>
      <c r="AB170">
        <f t="shared" si="29"/>
        <v>54182474.94536151</v>
      </c>
      <c r="AC170">
        <f t="shared" si="32"/>
        <v>4039230.7755518537</v>
      </c>
      <c r="AD170" s="5">
        <v>0.2</v>
      </c>
      <c r="AE170">
        <f t="shared" si="30"/>
        <v>807846.15511037083</v>
      </c>
      <c r="AF170">
        <f t="shared" si="31"/>
        <v>1</v>
      </c>
    </row>
    <row r="171" spans="1:32" x14ac:dyDescent="0.25">
      <c r="A171" s="2">
        <v>170</v>
      </c>
      <c r="B171">
        <f t="shared" si="34"/>
        <v>445261.02045402711</v>
      </c>
      <c r="C171" s="5">
        <v>0.08</v>
      </c>
      <c r="D171">
        <f t="shared" si="35"/>
        <v>3143542.8044054345</v>
      </c>
      <c r="Q171">
        <f t="shared" si="36"/>
        <v>3143542.8044054601</v>
      </c>
      <c r="R171">
        <f t="shared" si="37"/>
        <v>928.35187586060624</v>
      </c>
      <c r="S171">
        <f t="shared" si="38"/>
        <v>17555121.882297128</v>
      </c>
      <c r="T171" s="5">
        <v>0.08</v>
      </c>
      <c r="V171">
        <f>SUM($R$2:R171)</f>
        <v>47865.667412500537</v>
      </c>
      <c r="W171">
        <f t="shared" si="39"/>
        <v>100.92705986695175</v>
      </c>
      <c r="Z171">
        <f t="shared" si="33"/>
        <v>2.7015477487413603E-5</v>
      </c>
      <c r="AA171" s="5">
        <v>0.3</v>
      </c>
      <c r="AB171">
        <f t="shared" si="29"/>
        <v>58517072.940990433</v>
      </c>
      <c r="AC171">
        <f t="shared" si="32"/>
        <v>4281584.622084965</v>
      </c>
      <c r="AD171" s="5">
        <v>0.2</v>
      </c>
      <c r="AE171">
        <f t="shared" si="30"/>
        <v>856316.92441699305</v>
      </c>
      <c r="AF171">
        <f t="shared" si="31"/>
        <v>1</v>
      </c>
    </row>
    <row r="172" spans="1:32" x14ac:dyDescent="0.25">
      <c r="A172" s="2">
        <v>171</v>
      </c>
      <c r="B172">
        <f t="shared" si="34"/>
        <v>480881.90209034929</v>
      </c>
      <c r="C172" s="5">
        <v>0.08</v>
      </c>
      <c r="D172">
        <f t="shared" si="35"/>
        <v>3395026.2287578695</v>
      </c>
      <c r="Q172">
        <f t="shared" si="36"/>
        <v>3395026.2287578965</v>
      </c>
      <c r="R172">
        <f t="shared" si="37"/>
        <v>945.86794899005145</v>
      </c>
      <c r="S172">
        <f t="shared" si="38"/>
        <v>18959531.6328809</v>
      </c>
      <c r="T172" s="5">
        <v>0.08</v>
      </c>
      <c r="V172">
        <f>SUM($R$2:R172)</f>
        <v>48811.535361490591</v>
      </c>
      <c r="W172">
        <f t="shared" si="39"/>
        <v>102.92146788995612</v>
      </c>
      <c r="Z172">
        <f t="shared" si="33"/>
        <v>2.5014331006864447E-5</v>
      </c>
      <c r="AA172" s="5">
        <v>0.3</v>
      </c>
      <c r="AB172">
        <f t="shared" si="29"/>
        <v>63198438.776269667</v>
      </c>
      <c r="AC172">
        <f t="shared" si="32"/>
        <v>4538479.6994100632</v>
      </c>
      <c r="AD172" s="5">
        <v>0.2</v>
      </c>
      <c r="AE172">
        <f t="shared" si="30"/>
        <v>907695.93988201267</v>
      </c>
      <c r="AF172">
        <f t="shared" si="31"/>
        <v>1</v>
      </c>
    </row>
    <row r="173" spans="1:32" x14ac:dyDescent="0.25">
      <c r="A173" s="2">
        <v>172</v>
      </c>
      <c r="B173">
        <f t="shared" si="34"/>
        <v>519352.45425757725</v>
      </c>
      <c r="C173" s="5">
        <v>0.08</v>
      </c>
      <c r="D173">
        <f t="shared" si="35"/>
        <v>3666628.3270584992</v>
      </c>
      <c r="Q173">
        <f t="shared" si="36"/>
        <v>3666628.3270585281</v>
      </c>
      <c r="R173">
        <f t="shared" si="37"/>
        <v>963.71451406533538</v>
      </c>
      <c r="S173">
        <f t="shared" si="38"/>
        <v>20476294.163511373</v>
      </c>
      <c r="T173" s="5">
        <v>0.08</v>
      </c>
      <c r="V173">
        <f>SUM($R$2:R173)</f>
        <v>49775.249875555928</v>
      </c>
      <c r="W173">
        <f t="shared" si="39"/>
        <v>104.95350625301718</v>
      </c>
      <c r="Z173">
        <f t="shared" si="33"/>
        <v>2.3161417598948559E-5</v>
      </c>
      <c r="AA173" s="5">
        <v>0.3</v>
      </c>
      <c r="AB173">
        <f t="shared" si="29"/>
        <v>68254313.878371254</v>
      </c>
      <c r="AC173">
        <f t="shared" si="32"/>
        <v>4810788.481374667</v>
      </c>
      <c r="AD173" s="5">
        <v>0.2</v>
      </c>
      <c r="AE173">
        <f t="shared" si="30"/>
        <v>962157.69627493341</v>
      </c>
      <c r="AF173">
        <f t="shared" si="31"/>
        <v>1</v>
      </c>
    </row>
    <row r="174" spans="1:32" x14ac:dyDescent="0.25">
      <c r="A174" s="2">
        <v>173</v>
      </c>
      <c r="B174">
        <f t="shared" si="34"/>
        <v>560900.65059818339</v>
      </c>
      <c r="C174" s="5">
        <v>0.08</v>
      </c>
      <c r="D174">
        <f t="shared" si="35"/>
        <v>3959958.5932231792</v>
      </c>
      <c r="Q174">
        <f t="shared" si="36"/>
        <v>3959958.5932232109</v>
      </c>
      <c r="R174">
        <f t="shared" si="37"/>
        <v>981.89780678354941</v>
      </c>
      <c r="S174">
        <f t="shared" si="38"/>
        <v>22114397.696592286</v>
      </c>
      <c r="T174" s="5">
        <v>0.08</v>
      </c>
      <c r="V174">
        <f>SUM($R$2:R174)</f>
        <v>50757.147682339477</v>
      </c>
      <c r="W174">
        <f t="shared" si="39"/>
        <v>107.02388496255108</v>
      </c>
      <c r="Z174">
        <f t="shared" si="33"/>
        <v>2.1445757036063478E-5</v>
      </c>
      <c r="AA174" s="5">
        <v>0.3</v>
      </c>
      <c r="AB174">
        <f t="shared" si="29"/>
        <v>73714658.988640964</v>
      </c>
      <c r="AC174">
        <f t="shared" si="32"/>
        <v>5099435.7902571475</v>
      </c>
      <c r="AD174" s="5">
        <v>0.2</v>
      </c>
      <c r="AE174">
        <f t="shared" si="30"/>
        <v>1019887.1580514295</v>
      </c>
      <c r="AF174">
        <f t="shared" si="31"/>
        <v>1</v>
      </c>
    </row>
    <row r="175" spans="1:32" x14ac:dyDescent="0.25">
      <c r="A175" s="2">
        <v>174</v>
      </c>
      <c r="B175">
        <f t="shared" si="34"/>
        <v>605772.70264603803</v>
      </c>
      <c r="C175" s="5">
        <v>0.08</v>
      </c>
      <c r="D175">
        <f t="shared" si="35"/>
        <v>4276755.2806810336</v>
      </c>
      <c r="Q175">
        <f t="shared" si="36"/>
        <v>4276755.2806810681</v>
      </c>
      <c r="R175">
        <f t="shared" si="37"/>
        <v>1000.4241804964466</v>
      </c>
      <c r="S175">
        <f t="shared" si="38"/>
        <v>23883549.512319669</v>
      </c>
      <c r="T175" s="5">
        <v>0.08</v>
      </c>
      <c r="V175">
        <f>SUM($R$2:R175)</f>
        <v>51757.571862835925</v>
      </c>
      <c r="W175">
        <f t="shared" si="39"/>
        <v>109.13332742132148</v>
      </c>
      <c r="Z175">
        <f t="shared" si="33"/>
        <v>1.9857182440799518E-5</v>
      </c>
      <c r="AA175" s="5">
        <v>0.3</v>
      </c>
      <c r="AB175">
        <f t="shared" si="29"/>
        <v>79611831.70773223</v>
      </c>
      <c r="AC175">
        <f t="shared" si="32"/>
        <v>5405401.9376725769</v>
      </c>
      <c r="AD175" s="5">
        <v>0.2</v>
      </c>
      <c r="AE175">
        <f t="shared" si="30"/>
        <v>1081080.3875345155</v>
      </c>
      <c r="AF175">
        <f t="shared" si="31"/>
        <v>1</v>
      </c>
    </row>
    <row r="176" spans="1:32" x14ac:dyDescent="0.25">
      <c r="A176" s="2">
        <v>175</v>
      </c>
      <c r="B176">
        <f t="shared" si="34"/>
        <v>654234.51885772112</v>
      </c>
      <c r="C176" s="5">
        <v>0.08</v>
      </c>
      <c r="D176">
        <f t="shared" si="35"/>
        <v>4618895.7031355165</v>
      </c>
      <c r="Q176">
        <f t="shared" si="36"/>
        <v>4618895.7031355537</v>
      </c>
      <c r="R176">
        <f t="shared" si="37"/>
        <v>1019.3001084303418</v>
      </c>
      <c r="S176">
        <f t="shared" si="38"/>
        <v>25794233.473305244</v>
      </c>
      <c r="T176" s="5">
        <v>0.08</v>
      </c>
      <c r="V176">
        <f>SUM($R$2:R176)</f>
        <v>52776.871971266264</v>
      </c>
      <c r="W176">
        <f t="shared" si="39"/>
        <v>111.28257068120074</v>
      </c>
      <c r="Z176">
        <f t="shared" si="33"/>
        <v>1.838628003777733E-5</v>
      </c>
      <c r="AA176" s="5">
        <v>0.3</v>
      </c>
      <c r="AB176">
        <f t="shared" si="29"/>
        <v>85980778.244350821</v>
      </c>
      <c r="AC176">
        <f t="shared" si="32"/>
        <v>5729726.0539329322</v>
      </c>
      <c r="AD176" s="5">
        <v>0.2</v>
      </c>
      <c r="AE176">
        <f t="shared" si="30"/>
        <v>1145945.2107865864</v>
      </c>
      <c r="AF176">
        <f t="shared" si="31"/>
        <v>1</v>
      </c>
    </row>
    <row r="177" spans="1:32" x14ac:dyDescent="0.25">
      <c r="A177" s="2">
        <v>176</v>
      </c>
      <c r="B177">
        <f t="shared" si="34"/>
        <v>706573.28036633879</v>
      </c>
      <c r="C177" s="5">
        <v>0.08</v>
      </c>
      <c r="D177">
        <f t="shared" si="35"/>
        <v>4988407.3593863575</v>
      </c>
      <c r="Q177">
        <f t="shared" si="36"/>
        <v>4988407.3593863985</v>
      </c>
      <c r="R177">
        <f t="shared" si="37"/>
        <v>1038.5321859478952</v>
      </c>
      <c r="S177">
        <f t="shared" si="38"/>
        <v>27857772.151169665</v>
      </c>
      <c r="T177" s="5">
        <v>0.08</v>
      </c>
      <c r="V177">
        <f>SUM($R$2:R177)</f>
        <v>53815.404157214158</v>
      </c>
      <c r="W177">
        <f t="shared" si="39"/>
        <v>113.47236570070038</v>
      </c>
      <c r="Z177">
        <f t="shared" si="33"/>
        <v>1.7024333368312341E-5</v>
      </c>
      <c r="AA177" s="5">
        <v>0.3</v>
      </c>
      <c r="AB177">
        <f t="shared" si="29"/>
        <v>92859240.503898889</v>
      </c>
      <c r="AC177">
        <f t="shared" si="32"/>
        <v>6073509.617168908</v>
      </c>
      <c r="AD177" s="5">
        <v>0.2</v>
      </c>
      <c r="AE177">
        <f t="shared" si="30"/>
        <v>1214701.9234337816</v>
      </c>
      <c r="AF177">
        <f t="shared" si="31"/>
        <v>1</v>
      </c>
    </row>
    <row r="178" spans="1:32" x14ac:dyDescent="0.25">
      <c r="A178" s="2">
        <v>177</v>
      </c>
      <c r="B178">
        <f t="shared" si="34"/>
        <v>763099.14279564586</v>
      </c>
      <c r="C178" s="5">
        <v>0.08</v>
      </c>
      <c r="D178">
        <f t="shared" si="35"/>
        <v>5387479.9481372666</v>
      </c>
      <c r="Q178">
        <f t="shared" si="36"/>
        <v>5387479.9481373094</v>
      </c>
      <c r="R178">
        <f t="shared" si="37"/>
        <v>1058.1271328525727</v>
      </c>
      <c r="S178">
        <f t="shared" si="38"/>
        <v>30086393.923263241</v>
      </c>
      <c r="T178" s="5">
        <v>0.08</v>
      </c>
      <c r="V178">
        <f>SUM($R$2:R178)</f>
        <v>54873.531290066734</v>
      </c>
      <c r="W178">
        <f t="shared" si="39"/>
        <v>115.70347760736038</v>
      </c>
      <c r="Z178">
        <f t="shared" si="33"/>
        <v>1.5763271637326241E-5</v>
      </c>
      <c r="AA178" s="5">
        <v>0.3</v>
      </c>
      <c r="AB178">
        <f t="shared" si="29"/>
        <v>100287979.74421081</v>
      </c>
      <c r="AC178">
        <f t="shared" si="32"/>
        <v>6437920.1941990424</v>
      </c>
      <c r="AD178" s="5">
        <v>0.2</v>
      </c>
      <c r="AE178">
        <f t="shared" si="30"/>
        <v>1287584.0388398087</v>
      </c>
      <c r="AF178">
        <f t="shared" si="31"/>
        <v>1</v>
      </c>
    </row>
    <row r="179" spans="1:32" x14ac:dyDescent="0.25">
      <c r="A179" s="2">
        <v>178</v>
      </c>
      <c r="B179">
        <f t="shared" si="34"/>
        <v>824147.0742192975</v>
      </c>
      <c r="C179" s="5">
        <v>0.08</v>
      </c>
      <c r="D179">
        <f t="shared" si="35"/>
        <v>5818478.3439882481</v>
      </c>
      <c r="Q179">
        <f t="shared" si="36"/>
        <v>5818478.3439882947</v>
      </c>
      <c r="R179">
        <f t="shared" si="37"/>
        <v>1078.0917957365834</v>
      </c>
      <c r="S179">
        <f t="shared" si="38"/>
        <v>32493305.437124301</v>
      </c>
      <c r="T179" s="5">
        <v>0.08</v>
      </c>
      <c r="V179">
        <f>SUM($R$2:R179)</f>
        <v>55951.623085803316</v>
      </c>
      <c r="W179">
        <f t="shared" si="39"/>
        <v>117.97668596508944</v>
      </c>
      <c r="Z179">
        <f t="shared" si="33"/>
        <v>1.4595621886413185E-5</v>
      </c>
      <c r="AA179" s="5">
        <v>0.3</v>
      </c>
      <c r="AB179">
        <f t="shared" si="29"/>
        <v>108311018.12374768</v>
      </c>
      <c r="AC179">
        <f t="shared" si="32"/>
        <v>6824195.4058509851</v>
      </c>
      <c r="AD179" s="5">
        <v>0.2</v>
      </c>
      <c r="AE179">
        <f t="shared" si="30"/>
        <v>1364839.0811701971</v>
      </c>
      <c r="AF179">
        <f t="shared" si="31"/>
        <v>1</v>
      </c>
    </row>
    <row r="180" spans="1:32" x14ac:dyDescent="0.25">
      <c r="A180" s="2">
        <v>179</v>
      </c>
      <c r="B180">
        <f t="shared" si="34"/>
        <v>890078.84015684132</v>
      </c>
      <c r="C180" s="5">
        <v>0.08</v>
      </c>
      <c r="D180">
        <f t="shared" si="35"/>
        <v>6283956.6115073077</v>
      </c>
      <c r="Q180">
        <f t="shared" si="36"/>
        <v>6283956.611507359</v>
      </c>
      <c r="R180">
        <f t="shared" si="37"/>
        <v>1098.433150373123</v>
      </c>
      <c r="S180">
        <f t="shared" si="38"/>
        <v>35092769.872094244</v>
      </c>
      <c r="T180" s="5">
        <v>0.08</v>
      </c>
      <c r="V180">
        <f>SUM($R$2:R180)</f>
        <v>57050.056236176439</v>
      </c>
      <c r="W180">
        <f t="shared" si="39"/>
        <v>120.29278504654924</v>
      </c>
      <c r="Z180">
        <f t="shared" si="33"/>
        <v>1.3514464709641839E-5</v>
      </c>
      <c r="AA180" s="5">
        <v>0.3</v>
      </c>
      <c r="AB180">
        <f t="shared" si="29"/>
        <v>116975899.57364748</v>
      </c>
      <c r="AC180">
        <f t="shared" si="32"/>
        <v>7233647.1302020447</v>
      </c>
      <c r="AD180" s="5">
        <v>0.2</v>
      </c>
      <c r="AE180">
        <f t="shared" si="30"/>
        <v>1446729.4260404091</v>
      </c>
      <c r="AF180">
        <f t="shared" si="31"/>
        <v>1</v>
      </c>
    </row>
    <row r="181" spans="1:32" x14ac:dyDescent="0.25">
      <c r="A181" s="2">
        <v>180</v>
      </c>
      <c r="B181">
        <f t="shared" si="34"/>
        <v>961285.14736938861</v>
      </c>
      <c r="C181" s="5">
        <v>0.08</v>
      </c>
      <c r="D181">
        <f t="shared" si="35"/>
        <v>6786673.1404278921</v>
      </c>
      <c r="Q181">
        <f t="shared" si="36"/>
        <v>6786673.1404279489</v>
      </c>
      <c r="R181">
        <f t="shared" si="37"/>
        <v>1119.1583041537478</v>
      </c>
      <c r="S181">
        <f t="shared" si="38"/>
        <v>37900191.461861789</v>
      </c>
      <c r="T181" s="5">
        <v>0.08</v>
      </c>
      <c r="V181">
        <f>SUM($R$2:R181)</f>
        <v>58169.214540330184</v>
      </c>
      <c r="W181">
        <f t="shared" si="39"/>
        <v>122.65258411067808</v>
      </c>
      <c r="Z181">
        <f t="shared" si="33"/>
        <v>1.2513393249668367E-5</v>
      </c>
      <c r="AA181" s="5">
        <v>0.3</v>
      </c>
      <c r="AB181">
        <f t="shared" si="29"/>
        <v>126333971.53953931</v>
      </c>
      <c r="AC181">
        <f t="shared" si="32"/>
        <v>7667665.9580141678</v>
      </c>
      <c r="AD181" s="5">
        <v>0.2</v>
      </c>
      <c r="AE181">
        <f t="shared" si="30"/>
        <v>1533533.1916028336</v>
      </c>
      <c r="AF181">
        <f t="shared" si="31"/>
        <v>1</v>
      </c>
    </row>
    <row r="182" spans="1:32" x14ac:dyDescent="0.25">
      <c r="A182" s="2">
        <v>181</v>
      </c>
      <c r="B182">
        <f t="shared" si="34"/>
        <v>1038187.9591589397</v>
      </c>
      <c r="C182" s="5">
        <v>0.08</v>
      </c>
      <c r="D182">
        <f t="shared" si="35"/>
        <v>7329606.9916621232</v>
      </c>
      <c r="Q182">
        <f t="shared" si="36"/>
        <v>7329606.9916621847</v>
      </c>
      <c r="R182">
        <f t="shared" si="37"/>
        <v>1140.2744985717432</v>
      </c>
      <c r="S182">
        <f t="shared" si="38"/>
        <v>40932206.778810732</v>
      </c>
      <c r="T182" s="5">
        <v>0.08</v>
      </c>
      <c r="V182">
        <f>SUM($R$2:R182)</f>
        <v>59309.489038901927</v>
      </c>
      <c r="W182">
        <f t="shared" si="39"/>
        <v>125.05690768545087</v>
      </c>
      <c r="Z182">
        <f t="shared" si="33"/>
        <v>1.1586475231174414E-5</v>
      </c>
      <c r="AA182" s="5">
        <v>0.3</v>
      </c>
      <c r="AB182">
        <f t="shared" si="29"/>
        <v>136440689.26270244</v>
      </c>
      <c r="AC182">
        <f t="shared" si="32"/>
        <v>8127725.9154950185</v>
      </c>
      <c r="AD182" s="5">
        <v>0.2</v>
      </c>
      <c r="AE182">
        <f t="shared" si="30"/>
        <v>1625545.1830990037</v>
      </c>
      <c r="AF182">
        <f t="shared" si="31"/>
        <v>1</v>
      </c>
    </row>
    <row r="183" spans="1:32" x14ac:dyDescent="0.25">
      <c r="A183" s="2">
        <v>182</v>
      </c>
      <c r="B183">
        <f t="shared" si="34"/>
        <v>1121242.9958916549</v>
      </c>
      <c r="C183" s="5">
        <v>0.08</v>
      </c>
      <c r="D183">
        <f t="shared" si="35"/>
        <v>7915975.5509950928</v>
      </c>
      <c r="Q183">
        <f t="shared" si="36"/>
        <v>7915975.550995159</v>
      </c>
      <c r="R183">
        <f t="shared" si="37"/>
        <v>1161.7891117523416</v>
      </c>
      <c r="S183">
        <f t="shared" si="38"/>
        <v>44206783.321115591</v>
      </c>
      <c r="T183" s="5">
        <v>0.08</v>
      </c>
      <c r="V183">
        <f>SUM($R$2:R183)</f>
        <v>60471.278150654267</v>
      </c>
      <c r="W183">
        <f t="shared" si="39"/>
        <v>127.50659585597408</v>
      </c>
      <c r="Z183">
        <f t="shared" si="33"/>
        <v>1.0728217806642976E-5</v>
      </c>
      <c r="AA183" s="5">
        <v>0.3</v>
      </c>
      <c r="AB183">
        <f t="shared" si="29"/>
        <v>147355944.40371865</v>
      </c>
      <c r="AC183">
        <f t="shared" si="32"/>
        <v>8615389.4704247192</v>
      </c>
      <c r="AD183" s="5">
        <v>0.2</v>
      </c>
      <c r="AE183">
        <f t="shared" si="30"/>
        <v>1723077.8940849439</v>
      </c>
      <c r="AF183">
        <f t="shared" si="31"/>
        <v>1</v>
      </c>
    </row>
    <row r="184" spans="1:32" x14ac:dyDescent="0.25">
      <c r="A184" s="2">
        <v>183</v>
      </c>
      <c r="B184">
        <f t="shared" si="34"/>
        <v>1210942.4355629873</v>
      </c>
      <c r="C184" s="5">
        <v>0.08</v>
      </c>
      <c r="D184">
        <f t="shared" si="35"/>
        <v>8549253.5950747002</v>
      </c>
      <c r="Q184">
        <f t="shared" si="36"/>
        <v>8549253.5950747747</v>
      </c>
      <c r="R184">
        <f t="shared" si="37"/>
        <v>1183.7096610306878</v>
      </c>
      <c r="S184">
        <f t="shared" si="38"/>
        <v>47743325.986804843</v>
      </c>
      <c r="T184" s="5">
        <v>0.08</v>
      </c>
      <c r="V184">
        <f>SUM($R$2:R184)</f>
        <v>61654.987811684958</v>
      </c>
      <c r="W184">
        <f t="shared" si="39"/>
        <v>130.00250455801662</v>
      </c>
      <c r="Z184">
        <f t="shared" si="33"/>
        <v>9.9335350061509023E-6</v>
      </c>
      <c r="AA184" s="5">
        <v>0.3</v>
      </c>
      <c r="AB184">
        <f t="shared" si="29"/>
        <v>159144419.95601615</v>
      </c>
      <c r="AC184">
        <f t="shared" si="32"/>
        <v>9132312.8386502024</v>
      </c>
      <c r="AD184" s="5">
        <v>0.2</v>
      </c>
      <c r="AE184">
        <f t="shared" si="30"/>
        <v>1826462.5677300405</v>
      </c>
      <c r="AF184">
        <f t="shared" si="31"/>
        <v>1</v>
      </c>
    </row>
    <row r="185" spans="1:32" x14ac:dyDescent="0.25">
      <c r="A185" s="2">
        <v>184</v>
      </c>
      <c r="B185">
        <f t="shared" si="34"/>
        <v>1307817.8304080262</v>
      </c>
      <c r="C185" s="5">
        <v>0.08</v>
      </c>
      <c r="D185">
        <f t="shared" si="35"/>
        <v>9233193.8826806769</v>
      </c>
      <c r="Q185">
        <f t="shared" si="36"/>
        <v>9233193.8826807551</v>
      </c>
      <c r="R185">
        <f t="shared" si="37"/>
        <v>1206.0438055784366</v>
      </c>
      <c r="S185">
        <f t="shared" si="38"/>
        <v>51562792.065749235</v>
      </c>
      <c r="T185" s="5">
        <v>0.08</v>
      </c>
      <c r="V185">
        <f>SUM($R$2:R185)</f>
        <v>62861.031617263397</v>
      </c>
      <c r="W185">
        <f t="shared" si="39"/>
        <v>132.54550587707882</v>
      </c>
      <c r="Z185">
        <f t="shared" si="33"/>
        <v>9.1977175982878715E-6</v>
      </c>
      <c r="AA185" s="5">
        <v>0.3</v>
      </c>
      <c r="AB185">
        <f t="shared" si="29"/>
        <v>171875973.55249745</v>
      </c>
      <c r="AC185">
        <f t="shared" si="32"/>
        <v>9680251.6089692153</v>
      </c>
      <c r="AD185" s="5">
        <v>0.2</v>
      </c>
      <c r="AE185">
        <f t="shared" si="30"/>
        <v>1936050.3217938431</v>
      </c>
      <c r="AF185">
        <f t="shared" si="31"/>
        <v>1</v>
      </c>
    </row>
    <row r="186" spans="1:32" x14ac:dyDescent="0.25">
      <c r="A186" s="2">
        <v>185</v>
      </c>
      <c r="B186">
        <f t="shared" si="34"/>
        <v>1412443.2568406684</v>
      </c>
      <c r="C186" s="5">
        <v>0.08</v>
      </c>
      <c r="D186">
        <f t="shared" si="35"/>
        <v>9971849.3932951316</v>
      </c>
      <c r="Q186">
        <f t="shared" si="36"/>
        <v>9971849.3932952154</v>
      </c>
      <c r="R186">
        <f t="shared" si="37"/>
        <v>1228.799349079917</v>
      </c>
      <c r="S186">
        <f t="shared" si="38"/>
        <v>55687815.431009181</v>
      </c>
      <c r="T186" s="5">
        <v>0.08</v>
      </c>
      <c r="V186">
        <f>SUM($R$2:R186)</f>
        <v>64089.830966343317</v>
      </c>
      <c r="W186">
        <f t="shared" si="39"/>
        <v>135.13648835310445</v>
      </c>
      <c r="Z186">
        <f t="shared" si="33"/>
        <v>8.5164051835998808E-6</v>
      </c>
      <c r="AA186" s="5">
        <v>0.3</v>
      </c>
      <c r="AB186">
        <f t="shared" si="29"/>
        <v>185626051.43669727</v>
      </c>
      <c r="AC186">
        <f t="shared" si="32"/>
        <v>10261066.705507368</v>
      </c>
      <c r="AD186" s="5">
        <v>0.2</v>
      </c>
      <c r="AE186">
        <f t="shared" si="30"/>
        <v>2052213.3411014737</v>
      </c>
      <c r="AF186">
        <f t="shared" si="31"/>
        <v>1</v>
      </c>
    </row>
    <row r="187" spans="1:32" x14ac:dyDescent="0.25">
      <c r="A187" s="2">
        <v>186</v>
      </c>
      <c r="B187">
        <f t="shared" si="34"/>
        <v>1525438.7173879219</v>
      </c>
      <c r="C187" s="5">
        <v>0.08</v>
      </c>
      <c r="D187">
        <f t="shared" si="35"/>
        <v>10769597.344758742</v>
      </c>
      <c r="Q187">
        <f t="shared" si="36"/>
        <v>10769597.344758835</v>
      </c>
      <c r="R187">
        <f t="shared" si="37"/>
        <v>1251.9842424587835</v>
      </c>
      <c r="S187">
        <f t="shared" si="38"/>
        <v>60142840.665489919</v>
      </c>
      <c r="T187" s="5">
        <v>0.08</v>
      </c>
      <c r="V187">
        <f>SUM($R$2:R187)</f>
        <v>65341.815208802102</v>
      </c>
      <c r="W187">
        <f t="shared" si="39"/>
        <v>137.77635729094189</v>
      </c>
      <c r="Z187">
        <f t="shared" si="33"/>
        <v>7.885560355185074E-6</v>
      </c>
      <c r="AA187" s="5">
        <v>0.3</v>
      </c>
      <c r="AB187">
        <f t="shared" si="29"/>
        <v>200476135.55163306</v>
      </c>
      <c r="AC187">
        <f t="shared" si="32"/>
        <v>10876730.707837811</v>
      </c>
      <c r="AD187" s="5">
        <v>0.2</v>
      </c>
      <c r="AE187">
        <f t="shared" si="30"/>
        <v>2175346.1415675622</v>
      </c>
      <c r="AF187">
        <f t="shared" si="31"/>
        <v>1</v>
      </c>
    </row>
    <row r="188" spans="1:32" x14ac:dyDescent="0.25">
      <c r="A188" s="2">
        <v>187</v>
      </c>
      <c r="B188">
        <f t="shared" si="34"/>
        <v>1647473.8147789557</v>
      </c>
      <c r="C188" s="5">
        <v>0.08</v>
      </c>
      <c r="D188">
        <f t="shared" si="35"/>
        <v>11631165.13233944</v>
      </c>
      <c r="Q188">
        <f t="shared" si="36"/>
        <v>11631165.132339541</v>
      </c>
      <c r="R188">
        <f t="shared" si="37"/>
        <v>1275.6065866561191</v>
      </c>
      <c r="S188">
        <f t="shared" si="38"/>
        <v>64954267.918729119</v>
      </c>
      <c r="T188" s="5">
        <v>0.08</v>
      </c>
      <c r="V188">
        <f>SUM($R$2:R188)</f>
        <v>66617.421795458227</v>
      </c>
      <c r="W188">
        <f t="shared" si="39"/>
        <v>140.46603507666308</v>
      </c>
      <c r="Z188">
        <f t="shared" si="33"/>
        <v>7.3014447733195125E-6</v>
      </c>
      <c r="AA188" s="5">
        <v>0.3</v>
      </c>
      <c r="AB188">
        <f t="shared" si="29"/>
        <v>216514226.39576373</v>
      </c>
      <c r="AC188">
        <f t="shared" si="32"/>
        <v>11529334.55030808</v>
      </c>
      <c r="AD188" s="5">
        <v>0.2</v>
      </c>
      <c r="AE188">
        <f t="shared" si="30"/>
        <v>2305866.910061616</v>
      </c>
      <c r="AF188">
        <f t="shared" si="31"/>
        <v>1</v>
      </c>
    </row>
    <row r="189" spans="1:32" x14ac:dyDescent="0.25">
      <c r="A189" s="2">
        <v>188</v>
      </c>
      <c r="B189">
        <f t="shared" si="34"/>
        <v>1779271.7199612721</v>
      </c>
      <c r="C189" s="5">
        <v>0.08</v>
      </c>
      <c r="D189">
        <f t="shared" si="35"/>
        <v>12561658.342926595</v>
      </c>
      <c r="Q189">
        <f t="shared" si="36"/>
        <v>12561658.342926703</v>
      </c>
      <c r="R189">
        <f t="shared" si="37"/>
        <v>1299.6746354609513</v>
      </c>
      <c r="S189">
        <f t="shared" si="38"/>
        <v>70150609.352227449</v>
      </c>
      <c r="T189" s="5">
        <v>0.08</v>
      </c>
      <c r="V189">
        <f>SUM($R$2:R189)</f>
        <v>67917.096430919177</v>
      </c>
      <c r="W189">
        <f t="shared" si="39"/>
        <v>143.20646149985066</v>
      </c>
      <c r="Z189">
        <f t="shared" si="33"/>
        <v>6.7605970123328813E-6</v>
      </c>
      <c r="AA189" s="5">
        <v>0.3</v>
      </c>
      <c r="AB189">
        <f t="shared" si="29"/>
        <v>233835364.50742483</v>
      </c>
      <c r="AC189">
        <f t="shared" si="32"/>
        <v>12221094.623326566</v>
      </c>
      <c r="AD189" s="5">
        <v>0.2</v>
      </c>
      <c r="AE189">
        <f t="shared" si="30"/>
        <v>2444218.9246653132</v>
      </c>
      <c r="AF189">
        <f t="shared" si="31"/>
        <v>1</v>
      </c>
    </row>
    <row r="190" spans="1:32" x14ac:dyDescent="0.25">
      <c r="A190" s="2">
        <v>189</v>
      </c>
      <c r="B190">
        <f t="shared" si="34"/>
        <v>1921613.4575581739</v>
      </c>
      <c r="C190" s="5">
        <v>0.08</v>
      </c>
      <c r="D190">
        <f t="shared" si="35"/>
        <v>13566591.010360723</v>
      </c>
      <c r="Q190">
        <f t="shared" si="36"/>
        <v>13566591.010360841</v>
      </c>
      <c r="R190">
        <f t="shared" si="37"/>
        <v>1324.1967983941768</v>
      </c>
      <c r="S190">
        <f t="shared" si="38"/>
        <v>75762658.100405648</v>
      </c>
      <c r="T190" s="5">
        <v>0.08</v>
      </c>
      <c r="V190">
        <f>SUM($R$2:R190)</f>
        <v>69241.293229313349</v>
      </c>
      <c r="W190">
        <f t="shared" si="39"/>
        <v>145.99859408196633</v>
      </c>
      <c r="Z190">
        <f t="shared" si="33"/>
        <v>6.2598120484563715E-6</v>
      </c>
      <c r="AA190" s="5">
        <v>0.3</v>
      </c>
      <c r="AB190">
        <f t="shared" si="29"/>
        <v>252542193.66801885</v>
      </c>
      <c r="AC190">
        <f t="shared" si="32"/>
        <v>12954360.30072616</v>
      </c>
      <c r="AD190" s="5">
        <v>0.2</v>
      </c>
      <c r="AE190">
        <f t="shared" si="30"/>
        <v>2590872.0601452324</v>
      </c>
      <c r="AF190">
        <f t="shared" si="31"/>
        <v>1</v>
      </c>
    </row>
    <row r="191" spans="1:32" x14ac:dyDescent="0.25">
      <c r="A191" s="2">
        <v>190</v>
      </c>
      <c r="B191">
        <f t="shared" si="34"/>
        <v>2075342.5341628278</v>
      </c>
      <c r="C191" s="5">
        <v>0.08</v>
      </c>
      <c r="D191">
        <f t="shared" si="35"/>
        <v>14651918.291189581</v>
      </c>
      <c r="Q191">
        <f t="shared" si="36"/>
        <v>14651918.291189708</v>
      </c>
      <c r="R191">
        <f t="shared" si="37"/>
        <v>1349.1816436468969</v>
      </c>
      <c r="S191">
        <f t="shared" si="38"/>
        <v>81823670.748438105</v>
      </c>
      <c r="T191" s="5">
        <v>0.08</v>
      </c>
      <c r="V191">
        <f>SUM($R$2:R191)</f>
        <v>70590.474872960243</v>
      </c>
      <c r="W191">
        <f t="shared" si="39"/>
        <v>148.84340841091435</v>
      </c>
      <c r="Z191">
        <f t="shared" si="33"/>
        <v>5.7961222670892322E-6</v>
      </c>
      <c r="AA191" s="5">
        <v>0.3</v>
      </c>
      <c r="AB191">
        <f t="shared" si="29"/>
        <v>272745569.16146034</v>
      </c>
      <c r="AC191">
        <f t="shared" si="32"/>
        <v>13731621.91876973</v>
      </c>
      <c r="AD191" s="5">
        <v>0.2</v>
      </c>
      <c r="AE191">
        <f t="shared" si="30"/>
        <v>2746324.3837539461</v>
      </c>
      <c r="AF191">
        <f t="shared" si="31"/>
        <v>1</v>
      </c>
    </row>
    <row r="192" spans="1:32" x14ac:dyDescent="0.25">
      <c r="A192" s="2">
        <v>191</v>
      </c>
      <c r="B192">
        <f t="shared" si="34"/>
        <v>2241369.9368958538</v>
      </c>
      <c r="C192" s="5">
        <v>0.08</v>
      </c>
      <c r="D192">
        <f t="shared" si="35"/>
        <v>15824071.754484748</v>
      </c>
      <c r="Q192">
        <f t="shared" si="36"/>
        <v>15824071.754484888</v>
      </c>
      <c r="R192">
        <f t="shared" si="37"/>
        <v>1374.6379010741969</v>
      </c>
      <c r="S192">
        <f t="shared" si="38"/>
        <v>88369564.408313155</v>
      </c>
      <c r="T192" s="5">
        <v>0.08</v>
      </c>
      <c r="V192">
        <f>SUM($R$2:R192)</f>
        <v>71965.112774034438</v>
      </c>
      <c r="W192">
        <f t="shared" si="39"/>
        <v>151.74189848191801</v>
      </c>
      <c r="Z192">
        <f t="shared" si="33"/>
        <v>5.3667798769344741E-6</v>
      </c>
      <c r="AA192" s="5">
        <v>0.3</v>
      </c>
      <c r="AB192">
        <f t="shared" si="29"/>
        <v>294565214.69437718</v>
      </c>
      <c r="AC192">
        <f t="shared" si="32"/>
        <v>14555519.233895915</v>
      </c>
      <c r="AD192" s="5">
        <v>0.2</v>
      </c>
      <c r="AE192">
        <f t="shared" si="30"/>
        <v>2911103.846779183</v>
      </c>
      <c r="AF192">
        <f t="shared" si="31"/>
        <v>1</v>
      </c>
    </row>
    <row r="193" spans="1:32" x14ac:dyDescent="0.25">
      <c r="A193" s="2">
        <v>192</v>
      </c>
      <c r="B193">
        <f t="shared" si="34"/>
        <v>2420679.5318475221</v>
      </c>
      <c r="C193" s="5">
        <v>0.08</v>
      </c>
      <c r="D193">
        <f t="shared" si="35"/>
        <v>17089997.494843528</v>
      </c>
      <c r="Q193">
        <f t="shared" si="36"/>
        <v>17089997.494843684</v>
      </c>
      <c r="R193">
        <f t="shared" si="37"/>
        <v>1400.574465245408</v>
      </c>
      <c r="S193">
        <f t="shared" si="38"/>
        <v>95439129.560978219</v>
      </c>
      <c r="T193" s="5">
        <v>0.08</v>
      </c>
      <c r="V193">
        <f>SUM($R$2:R193)</f>
        <v>73365.68723927984</v>
      </c>
      <c r="W193">
        <f t="shared" si="39"/>
        <v>154.6950770448274</v>
      </c>
      <c r="Z193">
        <f t="shared" si="33"/>
        <v>4.9692406267911792E-6</v>
      </c>
      <c r="AA193" s="5">
        <v>0.3</v>
      </c>
      <c r="AB193">
        <f t="shared" si="29"/>
        <v>318130431.86992741</v>
      </c>
      <c r="AC193">
        <f t="shared" si="32"/>
        <v>15428850.387929671</v>
      </c>
      <c r="AD193" s="5">
        <v>0.2</v>
      </c>
      <c r="AE193">
        <f t="shared" si="30"/>
        <v>3085770.0775859342</v>
      </c>
      <c r="AF193">
        <f t="shared" si="31"/>
        <v>1</v>
      </c>
    </row>
    <row r="194" spans="1:32" x14ac:dyDescent="0.25">
      <c r="A194" s="2">
        <v>193</v>
      </c>
      <c r="B194">
        <f t="shared" si="34"/>
        <v>2614333.8943953239</v>
      </c>
      <c r="C194" s="5">
        <v>0.08</v>
      </c>
      <c r="D194">
        <f t="shared" si="35"/>
        <v>18457197.294431008</v>
      </c>
      <c r="Q194">
        <f t="shared" si="36"/>
        <v>18457197.294431176</v>
      </c>
      <c r="R194">
        <f t="shared" si="37"/>
        <v>1427.0003985519259</v>
      </c>
      <c r="S194">
        <f t="shared" si="38"/>
        <v>103074259.92585649</v>
      </c>
      <c r="T194" s="5">
        <v>0.08</v>
      </c>
      <c r="V194">
        <f>SUM($R$2:R194)</f>
        <v>74792.687637831768</v>
      </c>
      <c r="W194">
        <f t="shared" si="39"/>
        <v>157.70397595798036</v>
      </c>
      <c r="Z194">
        <f t="shared" si="33"/>
        <v>4.6011487285103514E-6</v>
      </c>
      <c r="AA194" s="5">
        <v>0.3</v>
      </c>
      <c r="AB194">
        <f t="shared" si="29"/>
        <v>343580866.41952163</v>
      </c>
      <c r="AC194">
        <f t="shared" si="32"/>
        <v>16354581.411205452</v>
      </c>
      <c r="AD194" s="5">
        <v>0.2</v>
      </c>
      <c r="AE194">
        <f t="shared" si="30"/>
        <v>3270916.2822410907</v>
      </c>
      <c r="AF194">
        <f t="shared" si="31"/>
        <v>1</v>
      </c>
    </row>
    <row r="195" spans="1:32" x14ac:dyDescent="0.25">
      <c r="A195" s="2">
        <v>194</v>
      </c>
      <c r="B195">
        <f t="shared" si="34"/>
        <v>2823480.6059469497</v>
      </c>
      <c r="C195" s="5">
        <v>0.08</v>
      </c>
      <c r="D195">
        <f t="shared" si="35"/>
        <v>19933773.077985488</v>
      </c>
      <c r="Q195">
        <f t="shared" si="36"/>
        <v>19933773.077985674</v>
      </c>
      <c r="R195">
        <f t="shared" si="37"/>
        <v>1453.9249343736603</v>
      </c>
      <c r="S195">
        <f t="shared" si="38"/>
        <v>111320200.71992502</v>
      </c>
      <c r="T195" s="5">
        <v>0.08</v>
      </c>
      <c r="V195">
        <f>SUM($R$2:R195)</f>
        <v>76246.612572205428</v>
      </c>
      <c r="W195">
        <f t="shared" si="39"/>
        <v>160.76964654873998</v>
      </c>
      <c r="Z195">
        <f t="shared" si="33"/>
        <v>4.2603228967688431E-6</v>
      </c>
      <c r="AA195" s="5">
        <v>0.3</v>
      </c>
      <c r="AB195">
        <f t="shared" ref="AB195:AB201" si="40">S195/AA195</f>
        <v>371067335.73308343</v>
      </c>
      <c r="AC195">
        <f t="shared" si="32"/>
        <v>17335856.295877781</v>
      </c>
      <c r="AD195" s="5">
        <v>0.2</v>
      </c>
      <c r="AE195">
        <f t="shared" ref="AE195:AE201" si="41">AC195*AD195</f>
        <v>3467171.2591755562</v>
      </c>
      <c r="AF195">
        <f t="shared" ref="AF195:AF201" si="42">IF(AB195&gt;AE195, 1, 0)</f>
        <v>1</v>
      </c>
    </row>
    <row r="196" spans="1:32" x14ac:dyDescent="0.25">
      <c r="A196" s="2">
        <v>195</v>
      </c>
      <c r="B196">
        <f t="shared" si="34"/>
        <v>3049359.0544227054</v>
      </c>
      <c r="C196" s="5">
        <v>0.08</v>
      </c>
      <c r="D196">
        <f t="shared" si="35"/>
        <v>21528474.924224328</v>
      </c>
      <c r="Q196">
        <f t="shared" si="36"/>
        <v>21528474.924224526</v>
      </c>
      <c r="R196">
        <f t="shared" si="37"/>
        <v>1481.3574803052388</v>
      </c>
      <c r="S196">
        <f t="shared" si="38"/>
        <v>120225816.77751903</v>
      </c>
      <c r="T196" s="5">
        <v>0.08</v>
      </c>
      <c r="V196">
        <f>SUM($R$2:R196)</f>
        <v>77727.97005251066</v>
      </c>
      <c r="W196">
        <f t="shared" si="39"/>
        <v>163.8931599808347</v>
      </c>
      <c r="Z196">
        <f t="shared" si="33"/>
        <v>3.9447434229341137E-6</v>
      </c>
      <c r="AA196" s="5">
        <v>0.3</v>
      </c>
      <c r="AB196">
        <f t="shared" si="40"/>
        <v>400752722.59173012</v>
      </c>
      <c r="AC196">
        <f t="shared" ref="AC196:AC201" si="43">AC195*(1+$U$2)</f>
        <v>18376007.67363045</v>
      </c>
      <c r="AD196" s="5">
        <v>0.2</v>
      </c>
      <c r="AE196">
        <f t="shared" si="41"/>
        <v>3675201.5347260903</v>
      </c>
      <c r="AF196">
        <f t="shared" si="42"/>
        <v>1</v>
      </c>
    </row>
    <row r="197" spans="1:32" x14ac:dyDescent="0.25">
      <c r="A197" s="2">
        <v>196</v>
      </c>
      <c r="B197">
        <f t="shared" si="34"/>
        <v>3293307.7787765218</v>
      </c>
      <c r="C197" s="5">
        <v>0.08</v>
      </c>
      <c r="D197">
        <f t="shared" si="35"/>
        <v>23250752.918162275</v>
      </c>
      <c r="Q197">
        <f t="shared" si="36"/>
        <v>23250752.918162487</v>
      </c>
      <c r="R197">
        <f t="shared" si="37"/>
        <v>1509.3076214430735</v>
      </c>
      <c r="S197">
        <f t="shared" si="38"/>
        <v>129843882.11972056</v>
      </c>
      <c r="T197" s="5">
        <v>0.08</v>
      </c>
      <c r="V197">
        <f>SUM($R$2:R197)</f>
        <v>79237.277673953737</v>
      </c>
      <c r="W197">
        <f t="shared" si="39"/>
        <v>167.07560762862931</v>
      </c>
      <c r="Z197">
        <f t="shared" si="33"/>
        <v>3.6525402064204753E-6</v>
      </c>
      <c r="AA197" s="5">
        <v>0.3</v>
      </c>
      <c r="AB197">
        <f t="shared" si="40"/>
        <v>432812940.39906853</v>
      </c>
      <c r="AC197">
        <f t="shared" si="43"/>
        <v>19478568.134048279</v>
      </c>
      <c r="AD197" s="5">
        <v>0.2</v>
      </c>
      <c r="AE197">
        <f t="shared" si="41"/>
        <v>3895713.6268096562</v>
      </c>
      <c r="AF197">
        <f t="shared" si="42"/>
        <v>1</v>
      </c>
    </row>
    <row r="198" spans="1:32" x14ac:dyDescent="0.25">
      <c r="A198" s="2">
        <v>197</v>
      </c>
      <c r="B198">
        <f t="shared" si="34"/>
        <v>3556772.4010786437</v>
      </c>
      <c r="C198" s="5">
        <v>0.08</v>
      </c>
      <c r="D198">
        <f t="shared" si="35"/>
        <v>25110813.151615258</v>
      </c>
      <c r="Q198">
        <f t="shared" si="36"/>
        <v>25110813.151615489</v>
      </c>
      <c r="R198">
        <f t="shared" si="37"/>
        <v>1537.7851237344521</v>
      </c>
      <c r="S198">
        <f t="shared" si="38"/>
        <v>140231392.68929821</v>
      </c>
      <c r="T198" s="5">
        <v>0.08</v>
      </c>
      <c r="V198">
        <f>SUM($R$2:R198)</f>
        <v>80775.062797688195</v>
      </c>
      <c r="W198">
        <f t="shared" si="39"/>
        <v>170.31810145845779</v>
      </c>
      <c r="Z198">
        <f t="shared" si="33"/>
        <v>3.381981672611551E-6</v>
      </c>
      <c r="AA198" s="5">
        <v>0.3</v>
      </c>
      <c r="AB198">
        <f t="shared" si="40"/>
        <v>467437975.63099408</v>
      </c>
      <c r="AC198">
        <f t="shared" si="43"/>
        <v>20647282.222091176</v>
      </c>
      <c r="AD198" s="5">
        <v>0.2</v>
      </c>
      <c r="AE198">
        <f t="shared" si="41"/>
        <v>4129456.4444182352</v>
      </c>
      <c r="AF198">
        <f t="shared" si="42"/>
        <v>1</v>
      </c>
    </row>
    <row r="199" spans="1:32" x14ac:dyDescent="0.25">
      <c r="A199" s="2">
        <v>198</v>
      </c>
      <c r="B199">
        <f t="shared" si="34"/>
        <v>3841314.1931649353</v>
      </c>
      <c r="C199" s="5">
        <v>0.08</v>
      </c>
      <c r="D199">
        <f t="shared" si="35"/>
        <v>27119678.203744479</v>
      </c>
      <c r="Q199">
        <f t="shared" si="36"/>
        <v>27119678.203744728</v>
      </c>
      <c r="R199">
        <f t="shared" si="37"/>
        <v>1566.7999373898194</v>
      </c>
      <c r="S199">
        <f t="shared" si="38"/>
        <v>151449904.10444209</v>
      </c>
      <c r="T199" s="5">
        <v>0.08</v>
      </c>
      <c r="V199">
        <f>SUM($R$2:R199)</f>
        <v>82341.862735078015</v>
      </c>
      <c r="W199">
        <f t="shared" si="39"/>
        <v>173.62177441715096</v>
      </c>
      <c r="Z199">
        <f t="shared" si="33"/>
        <v>3.1314645116773618E-6</v>
      </c>
      <c r="AA199" s="5">
        <v>0.3</v>
      </c>
      <c r="AB199">
        <f t="shared" si="40"/>
        <v>504833013.68147367</v>
      </c>
      <c r="AC199">
        <f t="shared" si="43"/>
        <v>21886119.155416649</v>
      </c>
      <c r="AD199" s="5">
        <v>0.2</v>
      </c>
      <c r="AE199">
        <f t="shared" si="41"/>
        <v>4377223.8310833303</v>
      </c>
      <c r="AF199">
        <f t="shared" si="42"/>
        <v>1</v>
      </c>
    </row>
    <row r="200" spans="1:32" x14ac:dyDescent="0.25">
      <c r="A200" s="2">
        <v>199</v>
      </c>
      <c r="B200">
        <f t="shared" si="34"/>
        <v>4148619.3286181302</v>
      </c>
      <c r="C200" s="5">
        <v>0.08</v>
      </c>
      <c r="D200">
        <f t="shared" si="35"/>
        <v>29289252.460044038</v>
      </c>
      <c r="Q200">
        <f t="shared" si="36"/>
        <v>29289252.460044313</v>
      </c>
      <c r="R200">
        <f t="shared" si="37"/>
        <v>1596.3622003594385</v>
      </c>
      <c r="S200">
        <f t="shared" si="38"/>
        <v>163565896.43279746</v>
      </c>
      <c r="T200" s="5">
        <v>0.08</v>
      </c>
      <c r="V200">
        <f>SUM($R$2:R200)</f>
        <v>83938.224935437451</v>
      </c>
      <c r="W200">
        <f t="shared" si="39"/>
        <v>176.98778082789494</v>
      </c>
      <c r="Z200">
        <f t="shared" si="33"/>
        <v>2.8995041774790384E-6</v>
      </c>
      <c r="AA200" s="5">
        <v>0.3</v>
      </c>
      <c r="AB200">
        <f t="shared" si="40"/>
        <v>545219654.77599156</v>
      </c>
      <c r="AC200">
        <f t="shared" si="43"/>
        <v>23199286.304741647</v>
      </c>
      <c r="AD200" s="5">
        <v>0.2</v>
      </c>
      <c r="AE200">
        <f t="shared" si="41"/>
        <v>4639857.2609483292</v>
      </c>
      <c r="AF200">
        <f t="shared" si="42"/>
        <v>1</v>
      </c>
    </row>
    <row r="201" spans="1:32" x14ac:dyDescent="0.25">
      <c r="A201" s="2">
        <v>200</v>
      </c>
      <c r="B201">
        <f>B200+B200*C200</f>
        <v>4480508.8749075802</v>
      </c>
      <c r="C201" s="5">
        <v>0.08</v>
      </c>
      <c r="D201">
        <f>D200+D200*C200</f>
        <v>31632392.656847559</v>
      </c>
      <c r="Q201">
        <f>$D$2*((1+$C$2)^A200)</f>
        <v>31632392.656847857</v>
      </c>
      <c r="R201">
        <f>S201/((1+$U$2)^A200)</f>
        <v>1626.4822418756539</v>
      </c>
      <c r="S201">
        <f>S200*(1+T200)</f>
        <v>176651168.14742127</v>
      </c>
      <c r="T201" s="5">
        <v>0.08</v>
      </c>
      <c r="V201">
        <f>SUM($R$2:R201)</f>
        <v>85564.707177313103</v>
      </c>
      <c r="W201">
        <f>V201/$W$2</f>
        <v>180.41729679355862</v>
      </c>
      <c r="Z201">
        <f t="shared" si="33"/>
        <v>2.6847260902583686E-6</v>
      </c>
      <c r="AA201" s="5">
        <v>0.3</v>
      </c>
      <c r="AB201">
        <f t="shared" si="40"/>
        <v>588837227.15807092</v>
      </c>
      <c r="AC201">
        <f t="shared" si="43"/>
        <v>24591243.483026147</v>
      </c>
      <c r="AD201" s="5">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4" x14ac:dyDescent="0.25"/>
  <sheetData>
    <row r="3" spans="3:3" x14ac:dyDescent="0.25">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50800</xdr:colOff>
                <xdr:row>37</xdr:row>
                <xdr:rowOff>50800</xdr:rowOff>
              </from>
              <to>
                <xdr:col>15</xdr:col>
                <xdr:colOff>546100</xdr:colOff>
                <xdr:row>59</xdr:row>
                <xdr:rowOff>88900</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101600</xdr:colOff>
                <xdr:row>1</xdr:row>
                <xdr:rowOff>38100</xdr:rowOff>
              </from>
              <to>
                <xdr:col>25</xdr:col>
                <xdr:colOff>463550</xdr:colOff>
                <xdr:row>36</xdr:row>
                <xdr:rowOff>101600</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165100</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vt:i4>
      </vt:variant>
    </vt:vector>
  </HeadingPairs>
  <TitlesOfParts>
    <vt:vector size="9" baseType="lpstr">
      <vt:lpstr>机器人减速器</vt:lpstr>
      <vt:lpstr>机器人伺服器</vt:lpstr>
      <vt:lpstr>机器人控制器</vt:lpstr>
      <vt:lpstr>特殊机器人</vt:lpstr>
      <vt:lpstr>数控机床上游</vt:lpstr>
      <vt:lpstr>数控机床金属削割</vt:lpstr>
      <vt:lpstr>数控机床金属成型</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2024-03-16T04:30:02Z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