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D:\88 HXF\value-investment\估值分析\行业利基详细分析\高端制造及机械设备\"/>
    </mc:Choice>
  </mc:AlternateContent>
  <bookViews>
    <workbookView xWindow="-108" yWindow="-108" windowWidth="20268" windowHeight="9132"/>
  </bookViews>
  <sheets>
    <sheet name="农用机械" sheetId="45" r:id="rId1"/>
    <sheet name="公司价值折现" sheetId="42" r:id="rId2"/>
    <sheet name="基本面模型" sheetId="23" r:id="rId3"/>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<sst xmlns="http://schemas.openxmlformats.org/spreadsheetml/2006/main" count="486" uniqueCount="446">
  <si>
    <t>现价</t>
  </si>
  <si>
    <t>市净率</t>
  </si>
  <si>
    <t>代码</t>
  </si>
  <si>
    <t xml:space="preserve">    名称</t>
  </si>
  <si>
    <t>总市值</t>
  </si>
  <si>
    <t>TTM市盈率</t>
  </si>
  <si>
    <t>所属行业</t>
  </si>
  <si>
    <t>--</t>
  </si>
  <si>
    <t>预期多</t>
    <phoneticPr fontId="1" type="noConversion"/>
  </si>
  <si>
    <t>预期空</t>
    <phoneticPr fontId="1" type="noConversion"/>
  </si>
  <si>
    <t>负债合计</t>
  </si>
  <si>
    <t>所有者权益合计</t>
  </si>
  <si>
    <t>主营业务收入</t>
  </si>
  <si>
    <t>当季营业收入(同比增长率) %</t>
  </si>
  <si>
    <t>去年营业总收入</t>
  </si>
  <si>
    <t>净利润？</t>
  </si>
  <si>
    <t>净利润增长率</t>
  </si>
  <si>
    <t>去年净利润</t>
  </si>
  <si>
    <t>销售毛利率同比增长率</t>
  </si>
  <si>
    <t>总股本</t>
  </si>
  <si>
    <t>权益乘数</t>
  </si>
  <si>
    <t>总资产周转率</t>
  </si>
  <si>
    <t>净利润／营业总收入</t>
  </si>
  <si>
    <t>营业总成本</t>
  </si>
  <si>
    <t>营业成本</t>
  </si>
  <si>
    <t>管理费用</t>
  </si>
  <si>
    <t>研发费用总额</t>
  </si>
  <si>
    <t>财务费用</t>
  </si>
  <si>
    <t>投资收益</t>
  </si>
  <si>
    <t>应收账款</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</si>
  <si>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</si>
  <si>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</si>
  <si>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</si>
  <si>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</si>
  <si>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</si>
  <si>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</si>
  <si>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</si>
  <si>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</si>
  <si>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</si>
  <si>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</si>
  <si>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</si>
  <si>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</si>
  <si>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</si>
  <si>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</si>
  <si>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</si>
  <si>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</si>
  <si>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</si>
  <si>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</si>
  <si>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</si>
  <si>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</si>
  <si>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</si>
  <si>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</si>
  <si>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</si>
  <si>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</si>
  <si>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</si>
  <si>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</si>
  <si>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</si>
  <si>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</si>
  <si>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</si>
  <si>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</si>
  <si>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</si>
  <si>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</si>
  <si>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</si>
  <si>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</si>
  <si>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</si>
  <si>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</si>
  <si>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</si>
  <si>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</si>
  <si>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营业收入[20151231]</t>
  </si>
  <si>
    <t>净利润[20191231]</t>
  </si>
  <si>
    <t>净利润[20181231]</t>
  </si>
  <si>
    <t>净利润[20171231]</t>
  </si>
  <si>
    <t>净利润[20161231]</t>
  </si>
  <si>
    <t>净利润[20151231]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</si>
  <si>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</si>
  <si>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</si>
  <si>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</si>
  <si>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</si>
  <si>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</si>
  <si>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</si>
  <si>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</si>
  <si>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</si>
  <si>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</si>
  <si>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</si>
  <si>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N-1年营收增速</t>
  </si>
  <si>
    <t>N-2年营收增速</t>
  </si>
  <si>
    <t>N-3年营收增速</t>
  </si>
  <si>
    <t>N-4年营收增速</t>
  </si>
  <si>
    <t>N-5年营收增速</t>
  </si>
  <si>
    <t>N-1年利润增速</t>
  </si>
  <si>
    <t>N-2年利润增速</t>
  </si>
  <si>
    <t>N-3年利润增速</t>
  </si>
  <si>
    <t>N-4年利润增速</t>
  </si>
  <si>
    <t>N-5年利润增速</t>
  </si>
  <si>
    <t>市销率</t>
    <phoneticPr fontId="1" type="noConversion"/>
  </si>
  <si>
    <t>扣非对比净利润</t>
    <phoneticPr fontId="1" type="noConversion"/>
  </si>
  <si>
    <t>过往营收增速均值</t>
    <phoneticPr fontId="1" type="noConversion"/>
  </si>
  <si>
    <t>过往利润增速均值</t>
    <phoneticPr fontId="1" type="noConversion"/>
  </si>
  <si>
    <t>1年自由现金流折现</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</si>
  <si>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</si>
  <si>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</si>
  <si>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</si>
  <si>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</si>
  <si>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20增速</t>
  </si>
  <si>
    <t>当期自由现金流估计值</t>
  </si>
  <si>
    <t>自由现金流估计增速</t>
  </si>
  <si>
    <t>清算价格</t>
    <phoneticPr fontId="1" type="noConversion"/>
  </si>
  <si>
    <t>利润成长策略</t>
    <phoneticPr fontId="1" type="noConversion"/>
  </si>
  <si>
    <t>营收和利润加权</t>
    <phoneticPr fontId="1" type="noConversion"/>
  </si>
  <si>
    <t>综合策略</t>
    <phoneticPr fontId="1" type="noConversion"/>
  </si>
  <si>
    <t>机会区域号</t>
    <phoneticPr fontId="1" type="noConversion"/>
  </si>
  <si>
    <t>已知和基本信息</t>
    <phoneticPr fontId="1" type="noConversion"/>
  </si>
  <si>
    <t>近期roe</t>
    <phoneticPr fontId="1" type="noConversion"/>
  </si>
  <si>
    <t>1增速</t>
    <phoneticPr fontId="1" type="noConversion"/>
  </si>
  <si>
    <t>3年自由现金流折现</t>
    <phoneticPr fontId="1" type="noConversion"/>
  </si>
  <si>
    <t>3增速</t>
    <phoneticPr fontId="1" type="noConversion"/>
  </si>
  <si>
    <t>20年自由现金流折现</t>
    <phoneticPr fontId="1" type="noConversion"/>
  </si>
  <si>
    <t>承担负债现期溢价</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</si>
  <si>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</si>
  <si>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</si>
  <si>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</si>
  <si>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</si>
  <si>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价格变动策略</t>
    <phoneticPr fontId="1" type="noConversion"/>
  </si>
  <si>
    <t>成交量变动策略</t>
    <phoneticPr fontId="1" type="noConversion"/>
  </si>
  <si>
    <t>量价齐升策略</t>
    <phoneticPr fontId="1" type="noConversion"/>
  </si>
  <si>
    <t>基本面排序</t>
    <phoneticPr fontId="1" type="noConversion"/>
  </si>
  <si>
    <t>CYLQ营业收入[20210331]</t>
  </si>
  <si>
    <t>LYCQ营业收入[20200630]</t>
  </si>
  <si>
    <t>LYLQ营业收入[20200331]</t>
  </si>
  <si>
    <t>CYLQ净利润[20210331]</t>
  </si>
  <si>
    <t>LYCQ净利润[20200630]</t>
  </si>
  <si>
    <t>LYLQ净利润[20200331]</t>
  </si>
  <si>
    <t>涨幅%</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</si>
  <si>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</si>
  <si>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</si>
  <si>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</si>
  <si>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</si>
  <si>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</si>
  <si>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</si>
  <si>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</si>
  <si>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</si>
  <si>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</si>
  <si>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</si>
  <si>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</si>
  <si>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</si>
  <si>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</si>
  <si>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</si>
  <si>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</si>
  <si>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投入资本回报率roic%[20211231]</t>
  </si>
  <si>
    <t>净资产收益率%[20211231]</t>
  </si>
  <si>
    <t>量比</t>
  </si>
  <si>
    <t>扣除非经常性损益后的净利润[20220331]</t>
  </si>
  <si>
    <t>区间涨跌幅:前复权%[20220613-20220617]</t>
  </si>
  <si>
    <t>区间涨跌幅:前复权%[20220506-20220617]</t>
  </si>
  <si>
    <t>区间成交量[20220613-20220617]</t>
  </si>
  <si>
    <t>指数@区间成交量[20220506-20220617]</t>
  </si>
  <si>
    <t>7.51亿</t>
  </si>
  <si>
    <t>1.10亿</t>
  </si>
  <si>
    <t>5.44亿</t>
  </si>
  <si>
    <t>2.83亿</t>
  </si>
  <si>
    <t>1.07亿</t>
  </si>
  <si>
    <t>1.86亿</t>
  </si>
  <si>
    <t>1.36亿</t>
  </si>
  <si>
    <t>1.31亿</t>
  </si>
  <si>
    <t>1.71亿</t>
  </si>
  <si>
    <t>2.52亿</t>
  </si>
  <si>
    <t>亏损</t>
  </si>
  <si>
    <t>扭亏</t>
  </si>
  <si>
    <t>2.05亿</t>
  </si>
  <si>
    <t>4.21亿</t>
  </si>
  <si>
    <t>1.61亿</t>
  </si>
  <si>
    <t>4.06亿</t>
  </si>
  <si>
    <t>1.19亿</t>
  </si>
  <si>
    <t>4.02亿</t>
  </si>
  <si>
    <t>2.81亿</t>
  </si>
  <si>
    <t>1.92亿</t>
  </si>
  <si>
    <t>1.32亿</t>
  </si>
  <si>
    <t>2.79亿</t>
  </si>
  <si>
    <t>1.24亿</t>
  </si>
  <si>
    <t>12.50亿</t>
  </si>
  <si>
    <t>1.53亿</t>
  </si>
  <si>
    <t>-3.04亿</t>
  </si>
  <si>
    <t>1.20亿</t>
  </si>
  <si>
    <t>2.10亿</t>
  </si>
  <si>
    <t>5.11亿</t>
  </si>
  <si>
    <t>1.40亿</t>
  </si>
  <si>
    <t>1.42亿</t>
  </si>
  <si>
    <t>0亿</t>
  </si>
  <si>
    <t>4.62亿</t>
  </si>
  <si>
    <t>1.12亿</t>
  </si>
  <si>
    <t>专用设备</t>
  </si>
  <si>
    <t>1.62亿</t>
  </si>
  <si>
    <t>6.15亿</t>
  </si>
  <si>
    <t>2.39亿</t>
  </si>
  <si>
    <t>1.11亿</t>
  </si>
  <si>
    <t>1.59亿</t>
  </si>
  <si>
    <t>4.38亿</t>
  </si>
  <si>
    <t>2.51亿</t>
  </si>
  <si>
    <t>1.35亿</t>
  </si>
  <si>
    <t>-1-1</t>
  </si>
  <si>
    <t>4.81亿</t>
  </si>
  <si>
    <t>4.10亿</t>
  </si>
  <si>
    <t>5.67亿</t>
  </si>
  <si>
    <t>5.96亿</t>
  </si>
  <si>
    <t>SH601038</t>
  </si>
  <si>
    <t>一拖股份</t>
  </si>
  <si>
    <t>SZ300159</t>
  </si>
  <si>
    <t>ST新研</t>
  </si>
  <si>
    <t>SZ300879</t>
  </si>
  <si>
    <t>大叶股份</t>
  </si>
  <si>
    <t>SH603789</t>
  </si>
  <si>
    <t>星光农机</t>
  </si>
  <si>
    <t>SZ002890</t>
  </si>
  <si>
    <t>弘宇股份</t>
  </si>
  <si>
    <t>SH603029</t>
  </si>
  <si>
    <t>天鹅股份</t>
  </si>
  <si>
    <t>75.02亿</t>
  </si>
  <si>
    <t>64.19亿</t>
  </si>
  <si>
    <t>6550726500亿</t>
  </si>
  <si>
    <t>93.34亿</t>
  </si>
  <si>
    <t>59.28亿</t>
  </si>
  <si>
    <t>54.84亿</t>
  </si>
  <si>
    <t>6620.77万</t>
  </si>
  <si>
    <t>32825671亿</t>
  </si>
  <si>
    <t>378.17万</t>
  </si>
  <si>
    <t>606677080亿</t>
  </si>
  <si>
    <t>59.34亿</t>
  </si>
  <si>
    <t>987261560亿</t>
  </si>
  <si>
    <t>2369.03万</t>
  </si>
  <si>
    <t>9161877100亿</t>
  </si>
  <si>
    <t>23.72亿</t>
  </si>
  <si>
    <t>9408.61万</t>
  </si>
  <si>
    <t>5.70亿</t>
  </si>
  <si>
    <t>14.27亿</t>
  </si>
  <si>
    <t>22.34亿</t>
  </si>
  <si>
    <t>343.78万</t>
  </si>
  <si>
    <t>70.74亿</t>
  </si>
  <si>
    <t>32.76亿</t>
  </si>
  <si>
    <t>-4.01亿</t>
  </si>
  <si>
    <t>75.82亿</t>
  </si>
  <si>
    <t>57.37亿</t>
  </si>
  <si>
    <t>55.41亿</t>
  </si>
  <si>
    <t>72.19亿</t>
  </si>
  <si>
    <t>86.88亿</t>
  </si>
  <si>
    <t>2.80亿</t>
  </si>
  <si>
    <t>6147.54万</t>
  </si>
  <si>
    <t>-13.00亿</t>
  </si>
  <si>
    <t>5651.42万</t>
  </si>
  <si>
    <t>2.23亿</t>
  </si>
  <si>
    <t>42.13亿</t>
  </si>
  <si>
    <t>55.75亿</t>
  </si>
  <si>
    <t>32.22亿</t>
  </si>
  <si>
    <t>3.88亿</t>
  </si>
  <si>
    <t>农用机械</t>
  </si>
  <si>
    <t>31.62亿</t>
  </si>
  <si>
    <t>557096610亿</t>
  </si>
  <si>
    <t>13.63亿</t>
  </si>
  <si>
    <t>2312.84万</t>
  </si>
  <si>
    <t>7207.29万</t>
  </si>
  <si>
    <t>3139.63万</t>
  </si>
  <si>
    <t>-1933324亿</t>
  </si>
  <si>
    <t>47.37万</t>
  </si>
  <si>
    <t>-74361441亿</t>
  </si>
  <si>
    <t>272691930亿</t>
  </si>
  <si>
    <t>3963.88万</t>
  </si>
  <si>
    <t>1544661000亿</t>
  </si>
  <si>
    <t>11.15亿</t>
  </si>
  <si>
    <t>12.65亿</t>
  </si>
  <si>
    <t>5.55亿</t>
  </si>
  <si>
    <t>29.99亿</t>
  </si>
  <si>
    <t>6513.55万</t>
  </si>
  <si>
    <t>-215.47万</t>
  </si>
  <si>
    <t>-7373.38万</t>
  </si>
  <si>
    <t>9.26亿</t>
  </si>
  <si>
    <t>18.80亿</t>
  </si>
  <si>
    <t>18.54亿</t>
  </si>
  <si>
    <t>17.91亿</t>
  </si>
  <si>
    <t>-7.03亿</t>
  </si>
  <si>
    <t>-19.79亿</t>
  </si>
  <si>
    <t>2.97亿</t>
  </si>
  <si>
    <t>4.05亿</t>
  </si>
  <si>
    <t>-3210.87万</t>
  </si>
  <si>
    <t>-2.39亿</t>
  </si>
  <si>
    <t>-4396.11万</t>
  </si>
  <si>
    <t>13.17亿</t>
  </si>
  <si>
    <t>10.13亿</t>
  </si>
  <si>
    <t>1102638490亿</t>
  </si>
  <si>
    <t>16.07亿</t>
  </si>
  <si>
    <t>5552.29万</t>
  </si>
  <si>
    <t>10.16亿</t>
  </si>
  <si>
    <t>9.21亿</t>
  </si>
  <si>
    <t>3856.00万</t>
  </si>
  <si>
    <t>3545.92万</t>
  </si>
  <si>
    <t>2878.51万</t>
  </si>
  <si>
    <t>635510亿</t>
  </si>
  <si>
    <t>2.18万</t>
  </si>
  <si>
    <t>74306212亿</t>
  </si>
  <si>
    <t>208282600亿</t>
  </si>
  <si>
    <t>5000.00万</t>
  </si>
  <si>
    <t>1300017680亿</t>
  </si>
  <si>
    <t>4197.92万</t>
  </si>
  <si>
    <t>5.85亿</t>
  </si>
  <si>
    <t>2.58亿</t>
  </si>
  <si>
    <t>2.35亿</t>
  </si>
  <si>
    <t>11.66亿</t>
  </si>
  <si>
    <t>1.13亿</t>
  </si>
  <si>
    <t>3.67亿</t>
  </si>
  <si>
    <t>-9271.01万</t>
  </si>
  <si>
    <t>-1.62亿</t>
  </si>
  <si>
    <t>10.01亿</t>
  </si>
  <si>
    <t>9.88亿</t>
  </si>
  <si>
    <t>7.83亿</t>
  </si>
  <si>
    <t>7.47亿</t>
  </si>
  <si>
    <t>5.24亿</t>
  </si>
  <si>
    <t>7670.16万</t>
  </si>
  <si>
    <t>8148.25万</t>
  </si>
  <si>
    <t>6251.66万</t>
  </si>
  <si>
    <t>5395.98万</t>
  </si>
  <si>
    <t>2957.58万</t>
  </si>
  <si>
    <t>8.00亿</t>
  </si>
  <si>
    <t>9.12亿</t>
  </si>
  <si>
    <t>6055.97万</t>
  </si>
  <si>
    <t>6340.99万</t>
  </si>
  <si>
    <t>4039.59万</t>
  </si>
  <si>
    <t>6.38亿</t>
  </si>
  <si>
    <t>6.56亿</t>
  </si>
  <si>
    <t>179064820亿</t>
  </si>
  <si>
    <t>-1.85亿</t>
  </si>
  <si>
    <t>1027.90万</t>
  </si>
  <si>
    <t>1679.09万</t>
  </si>
  <si>
    <t>1332.04万</t>
  </si>
  <si>
    <t>-3383508亿</t>
  </si>
  <si>
    <t>3.63万</t>
  </si>
  <si>
    <t>-28680285亿</t>
  </si>
  <si>
    <t>399326130亿</t>
  </si>
  <si>
    <t>739324290亿</t>
  </si>
  <si>
    <t>2.85亿</t>
  </si>
  <si>
    <t>116.85万</t>
  </si>
  <si>
    <t>8611.34万</t>
  </si>
  <si>
    <t>104.22万</t>
  </si>
  <si>
    <t>5.72亿</t>
  </si>
  <si>
    <t>3402.08万</t>
  </si>
  <si>
    <t>5358.83万</t>
  </si>
  <si>
    <t>-215.53万</t>
  </si>
  <si>
    <t>-5549.94万</t>
  </si>
  <si>
    <t>2.48亿</t>
  </si>
  <si>
    <t>7.05亿</t>
  </si>
  <si>
    <t>5.21亿</t>
  </si>
  <si>
    <t>-2.77亿</t>
  </si>
  <si>
    <t>1208.65万</t>
  </si>
  <si>
    <t>-5854.89万</t>
  </si>
  <si>
    <t>2529.48万</t>
  </si>
  <si>
    <t>3320.69万</t>
  </si>
  <si>
    <t>6633.83万</t>
  </si>
  <si>
    <t>1.16亿</t>
  </si>
  <si>
    <t>-1095.86万</t>
  </si>
  <si>
    <t>-4537.21万</t>
  </si>
  <si>
    <t>-3544.48万</t>
  </si>
  <si>
    <t>199107020亿</t>
  </si>
  <si>
    <t>2474.50万</t>
  </si>
  <si>
    <t>602.08万</t>
  </si>
  <si>
    <t>761.35万</t>
  </si>
  <si>
    <t>494.92万</t>
  </si>
  <si>
    <t>-468417亿</t>
  </si>
  <si>
    <t>6778750亿</t>
  </si>
  <si>
    <t>6118.95万</t>
  </si>
  <si>
    <t>101946265亿</t>
  </si>
  <si>
    <t>1150.00万</t>
  </si>
  <si>
    <t>532716430亿</t>
  </si>
  <si>
    <t>34.19万</t>
  </si>
  <si>
    <t>4141.00万</t>
  </si>
  <si>
    <t>7411.40万</t>
  </si>
  <si>
    <t>-107.16万</t>
  </si>
  <si>
    <t>-7834.53万</t>
  </si>
  <si>
    <t>-933.38万</t>
  </si>
  <si>
    <t>2.82亿</t>
  </si>
  <si>
    <t>2341.99万</t>
  </si>
  <si>
    <t>855.34万</t>
  </si>
  <si>
    <t>2812.56万</t>
  </si>
  <si>
    <t>4010.26万</t>
  </si>
  <si>
    <t>3777.33万</t>
  </si>
  <si>
    <t>2.12亿</t>
  </si>
  <si>
    <t>418.86万</t>
  </si>
  <si>
    <t>959.51万</t>
  </si>
  <si>
    <t>423.12万</t>
  </si>
  <si>
    <t>7.24亿</t>
  </si>
  <si>
    <t>7.45亿</t>
  </si>
  <si>
    <t>146235860亿</t>
  </si>
  <si>
    <t>5.22亿</t>
  </si>
  <si>
    <t>3613.55万</t>
  </si>
  <si>
    <t>9238.87万</t>
  </si>
  <si>
    <t>1056.28万</t>
  </si>
  <si>
    <t>2953.50万</t>
  </si>
  <si>
    <t>1841.78万</t>
  </si>
  <si>
    <t>307.98万</t>
  </si>
  <si>
    <t>-3076635亿</t>
  </si>
  <si>
    <t>1.49亿</t>
  </si>
  <si>
    <t>88347046亿</t>
  </si>
  <si>
    <t>1085452470亿</t>
  </si>
  <si>
    <t>1786.56万</t>
  </si>
  <si>
    <t>5.98亿</t>
  </si>
  <si>
    <t>-2.85亿</t>
  </si>
  <si>
    <t>-1855.97万</t>
  </si>
  <si>
    <t>7709.87万</t>
  </si>
  <si>
    <t>4.48亿</t>
  </si>
  <si>
    <t>3.32亿</t>
  </si>
  <si>
    <t>3.07亿</t>
  </si>
  <si>
    <t>1367.46万</t>
  </si>
  <si>
    <t>1015.83万</t>
  </si>
  <si>
    <t>1509.94万</t>
  </si>
  <si>
    <t>1102.71万</t>
  </si>
  <si>
    <t>2814.08万</t>
  </si>
  <si>
    <t>8869.92万</t>
  </si>
  <si>
    <t>8017.36万</t>
  </si>
  <si>
    <t>298.93万</t>
  </si>
  <si>
    <t>541.14万</t>
  </si>
  <si>
    <t>176.26万</t>
  </si>
  <si>
    <t>678.08万</t>
  </si>
  <si>
    <t>1775.06万</t>
  </si>
  <si>
    <t>-2-0</t>
  </si>
  <si>
    <t>公司的主营业务为农业机械、动力机械及相关零部件产品研发、制造和销售。其中，农业机械业务包括用于农业生产的全系列轮式和履带式拖拉机产品及铸锻件、齿轮、变速箱、覆盖件等关键零部件的研发、制造和销售。
市值106.97103亿, 利润4.38亿; PE21.05, PB1.83; 毛利17.3733%; 净利5.85%; 上一年度营收增23.11%, 利润增56.43%; 当季营收增-.65%, 利润增-18.32%; 过往5年营收增3.73%, 利润增-391.67%
Income profile:
农业机械 84.62亿 91.89% 80.75% 14.28%
动力机械 22.77亿 24.73% 19.25% 12.64%</t>
  </si>
  <si>
    <t>2468.34万</t>
  </si>
  <si>
    <t>1.08亿</t>
  </si>
  <si>
    <t>10.25亿</t>
  </si>
  <si>
    <t xml:space="preserve">
市值29.807204亿, 利润-3.04亿; PE, PB18.8; 毛利26.4833%; 净利-89.1033%; 上一年度营收增47.19%, 利润增56.76%; 当季营收增40.71%, 利润增80.18%; 过往5年营收增-1.46%, 利润增-122.08%
Income profile:
</t>
  </si>
  <si>
    <r>
      <t>1.问：公司在</t>
    </r>
    <r>
      <rPr>
        <sz val="9"/>
        <color rgb="FFFF0000"/>
        <rFont val="宋体"/>
        <family val="3"/>
        <charset val="134"/>
        <scheme val="minor"/>
      </rPr>
      <t>家得宝渠道实现高增</t>
    </r>
    <r>
      <rPr>
        <sz val="9"/>
        <color theme="1"/>
        <rFont val="宋体"/>
        <family val="2"/>
        <charset val="134"/>
        <scheme val="minor"/>
      </rPr>
      <t>的主要契机是？答：
　　1）公司产能提前在全球布局；
　　2）公司营销和售后团队具有在北美本地化运作的专业能力；
　　3）公司美国海外仓，满足客户全方位需求；
　　4）差异化的产品研发设计能力，能够吸引客户和消费者；2.问：相比竞争对手，公司的差异化优势主要是？答：主要体现在技术研发优势、产品优势、优质客户优势、质量管理优势、人才优势等;</t>
    </r>
    <phoneticPr fontId="1" type="noConversion"/>
  </si>
  <si>
    <t>207.82万</t>
  </si>
  <si>
    <t>829.38万</t>
  </si>
  <si>
    <t>9773.46万</t>
  </si>
  <si>
    <t>-4-0</t>
  </si>
  <si>
    <t>公司的主营业务是从事割草机、打草机/割灌机、其他动力机械及配件的研发设计、生产制造和销售；
市值28.432亿, 利润5552.29万; PE42.46, PB2.81; 毛利19.85%; 净利7.8267%; 上一年度营收增60.54%, 利润增-27.61%; 当季营收增-17.76%, 利润增-37.92%; 过往5年营收增27.08%, 利润增19.03%
Income profile:
割草机 9.66亿 87.61% 85.45% 16.10%
其他动力机械 6226.83万 5.65% 2.00% 5.84%
配件 5908.34万 5.36% 9.94% 30.63%
打草机/割灌机 1404.03万 1.27% 1.92% 24.84%</t>
  </si>
  <si>
    <t>326.73万</t>
  </si>
  <si>
    <t>972.91万</t>
  </si>
  <si>
    <t>1.23亿</t>
  </si>
  <si>
    <t>-1-0</t>
  </si>
  <si>
    <t xml:space="preserve">
市值20.306亿, 利润-1.85亿; PE, PB3.36; 毛利9.5133%; 净利-43.27%; 上一年度营收增62.1%, 利润增33.21%; 当季营收增-30.84%, 利润增-22.33%; 过往5年营收增6.29%, 利润增-518.65%
Income profile:
</t>
  </si>
  <si>
    <t>68.86万</t>
  </si>
  <si>
    <t>561.25万</t>
  </si>
  <si>
    <t>3542.30万</t>
  </si>
  <si>
    <t/>
  </si>
  <si>
    <t>公司主要从事拖拉机液压提升器的研发、生产和销售，主要产品为中、大马力拖拉机液压提升器系列产品。
市值15.886128亿, 利润2474.50万; PE66.49, PB2.8; 毛利14.3533%; 净利4.1867%; 上一年度营收增.99%, 利润增5.66%; 当季营收增-11%, 利润增-15.11%; 过往5年营收增9.55%, 利润增17.24%
Income profile:
提升器总成 1.45亿 72.75% 76.46% 14.58%
其他配件 5426.18万 27.25% 23.54% 11.98%</t>
  </si>
  <si>
    <t>343.41万</t>
  </si>
  <si>
    <t>654.95万</t>
  </si>
  <si>
    <t>3787.35万</t>
  </si>
  <si>
    <t>1-0</t>
  </si>
  <si>
    <t>公司主营业务是棉花采摘及棉花加工机械成套设备的研发、生产及销售。公司主要产品轧花设备、剥绒设备、箱式采棉机、打包采棉机、智能配肥机、玉米收获机、秸秆打捆机、粮食烘干机。
市值14.41543亿, 利润3613.55万; PE41.45, PB1.94; 毛利35.9233%; 净利2.6533%; 上一年度营收增16.52%, 利润增164.25%; 当季营收增4.94%, 利润增-70.82%; 过往5年营收增16.52%, 利润增28.45%
Income profile:
采棉机 1.92亿 36.77% 33.71% 26.29%
轧花设备 1.71亿 32.72% 35.32% 30.95%
棉机辅机 5835.51万 11.19% 10.27% 26.33%
其他业务 3089.49万 5.92% 8.49% 41.11%
其他农机设备 2964.58万 5.68% 2.70% 13.61%
棉机配件 2637.69万 5.06% 7.12% 40.38%
剥绒设备 1393.01万 2.67% 2.39% 25.66%</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</si>
</sst>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b/>
      <i/>
      <sz val="11"/>
      <color rgb="FFFF0000"/>
      <name val="宋体"/>
      <family val="3"/>
      <charset val="134"/>
    </font>
    <font>
      <sz val="9"/>
      <color rgb="FFFF0000"/>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28">
    <xf numFmtId="0" fontId="0" fillId="0" borderId="0" xfId="0">
      <alignment vertical="center"/>
    </xf>
    <xf numFmtId="0" fontId="0" fillId="0" borderId="0" xfId="0" applyFill="1">
      <alignment vertical="center"/>
    </xf>
    <xf numFmtId="0" fontId="0" fillId="2" borderId="0" xfId="0" applyFill="1">
      <alignment vertical="center"/>
    </xf>
    <xf numFmtId="0" fontId="6"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7" fillId="0" borderId="0" xfId="0" applyFont="1" applyFill="1" applyAlignment="1">
      <alignment vertical="center" wrapText="1"/>
    </xf>
    <xf numFmtId="0" fontId="7" fillId="0" borderId="0" xfId="0" applyFont="1" applyAlignment="1">
      <alignment vertical="center" wrapText="1"/>
    </xf>
    <xf numFmtId="0" fontId="8"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8"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7" fillId="0" borderId="0" xfId="0" applyNumberFormat="1" applyFont="1" applyAlignment="1">
      <alignment vertical="center" wrapText="1"/>
    </xf>
    <xf numFmtId="0" fontId="0" fillId="0" borderId="0" xfId="0" applyBorder="1" applyAlignment="1">
      <alignment vertical="center" wrapText="1"/>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0" fontId="3" fillId="0" borderId="0" xfId="0" applyFon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14" fontId="4" fillId="2" borderId="0" xfId="0" applyNumberFormat="1" applyFont="1" applyFill="1" applyBorder="1">
      <alignment vertical="center"/>
    </xf>
    <xf numFmtId="0" fontId="0" fillId="2" borderId="0" xfId="0" applyNumberFormat="1" applyFill="1" applyBorder="1" applyAlignment="1">
      <alignment vertical="center" wrapText="1"/>
    </xf>
    <xf numFmtId="0" fontId="5" fillId="0" borderId="0" xfId="2" applyAlignment="1">
      <alignment vertical="center" wrapText="1"/>
    </xf>
    <xf numFmtId="14" fontId="0" fillId="0" borderId="0" xfId="0" applyNumberFormat="1">
      <alignment vertical="center"/>
    </xf>
    <xf numFmtId="0" fontId="0" fillId="0" borderId="0" xfId="0" applyNumberFormat="1">
      <alignment vertical="center"/>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53340</xdr:colOff>
          <xdr:row>37</xdr:row>
          <xdr:rowOff>53340</xdr:rowOff>
        </xdr:from>
        <xdr:to>
          <xdr:col>15</xdr:col>
          <xdr:colOff>548640</xdr:colOff>
          <xdr:row>59</xdr:row>
          <xdr:rowOff>91440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xdr:row>
          <xdr:rowOff>38100</xdr:rowOff>
        </xdr:from>
        <xdr:to>
          <xdr:col>25</xdr:col>
          <xdr:colOff>464820</xdr:colOff>
          <xdr:row>36</xdr:row>
          <xdr:rowOff>99060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167640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Q8"/>
  <sheetViews>
    <sheetView tabSelected="1" workbookViewId="0">
      <selection activeCell="D8" sqref="D8"/>
    </sheetView>
  </sheetViews>
  <sheetFormatPr defaultRowHeight="14.4" x14ac:dyDescent="0.25"/>
  <cols>
    <col min="1" max="1" width="20.5546875" customWidth="1"/>
    <col min="2" max="2" width="38.77734375" customWidth="1"/>
    <col min="3" max="3" width="42.21875" customWidth="1"/>
    <col min="4" max="4" width="52.5546875" customWidth="1"/>
    <col min="10" max="10" width="10.5546875" customWidth="1"/>
  </cols>
  <sheetData>
    <row r="1" spans="1:147" x14ac:dyDescent="0.25">
      <c r="A1" s="16" t="s">
        <v>62</v>
      </c>
      <c r="B1" s="17" t="s">
        <v>8</v>
      </c>
      <c r="C1" s="18" t="s">
        <v>9</v>
      </c>
      <c r="D1" s="17" t="s">
        <v>111</v>
      </c>
      <c r="E1" t="s">
        <v>2</v>
      </c>
      <c r="F1" t="s">
        <v>3</v>
      </c>
      <c r="G1" t="s">
        <v>0</v>
      </c>
      <c r="H1" t="s">
        <v>132</v>
      </c>
      <c r="I1" t="s">
        <v>150</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133</v>
      </c>
      <c r="AD1" t="s">
        <v>25</v>
      </c>
      <c r="AE1" t="s">
        <v>26</v>
      </c>
      <c r="AF1" t="s">
        <v>27</v>
      </c>
      <c r="AG1" t="s">
        <v>28</v>
      </c>
      <c r="AH1" t="s">
        <v>134</v>
      </c>
      <c r="AI1" t="s">
        <v>151</v>
      </c>
      <c r="AJ1" t="s">
        <v>135</v>
      </c>
      <c r="AK1" t="s">
        <v>29</v>
      </c>
      <c r="AL1" t="s">
        <v>136</v>
      </c>
      <c r="AM1" t="s">
        <v>63</v>
      </c>
      <c r="AN1" t="s">
        <v>137</v>
      </c>
      <c r="AO1" t="s">
        <v>138</v>
      </c>
      <c r="AP1" t="s">
        <v>139</v>
      </c>
      <c r="AQ1" t="s">
        <v>140</v>
      </c>
      <c r="AR1" t="s">
        <v>141</v>
      </c>
      <c r="AS1" t="s">
        <v>142</v>
      </c>
      <c r="AT1" t="s">
        <v>143</v>
      </c>
      <c r="AU1" t="s">
        <v>144</v>
      </c>
      <c r="AV1" t="s">
        <v>145</v>
      </c>
      <c r="AW1" t="s">
        <v>146</v>
      </c>
      <c r="AX1" t="s">
        <v>147</v>
      </c>
      <c r="AY1" t="s">
        <v>64</v>
      </c>
      <c r="AZ1" t="s">
        <v>65</v>
      </c>
      <c r="BA1" t="s">
        <v>66</v>
      </c>
      <c r="BB1" t="s">
        <v>67</v>
      </c>
      <c r="BC1" t="s">
        <v>68</v>
      </c>
      <c r="BD1" t="s">
        <v>69</v>
      </c>
      <c r="BE1" t="s">
        <v>70</v>
      </c>
      <c r="BF1" t="s">
        <v>71</v>
      </c>
      <c r="BG1" t="s">
        <v>72</v>
      </c>
      <c r="BH1" t="s">
        <v>73</v>
      </c>
      <c r="BI1" t="s">
        <v>126</v>
      </c>
      <c r="BJ1" t="s">
        <v>127</v>
      </c>
      <c r="BK1" t="s">
        <v>128</v>
      </c>
      <c r="BL1" t="s">
        <v>129</v>
      </c>
      <c r="BM1" t="s">
        <v>130</v>
      </c>
      <c r="BN1" t="s">
        <v>131</v>
      </c>
      <c r="BO1" t="s">
        <v>148</v>
      </c>
      <c r="BP1" t="s">
        <v>74</v>
      </c>
      <c r="BQ1" t="s">
        <v>75</v>
      </c>
      <c r="BR1" t="s">
        <v>76</v>
      </c>
      <c r="BS1" t="s">
        <v>149</v>
      </c>
      <c r="BT1" t="s">
        <v>77</v>
      </c>
      <c r="BU1" t="s">
        <v>78</v>
      </c>
      <c r="BV1" t="s">
        <v>79</v>
      </c>
      <c r="BW1" t="s">
        <v>80</v>
      </c>
      <c r="BX1" t="s">
        <v>80</v>
      </c>
      <c r="BY1" t="s">
        <v>81</v>
      </c>
      <c r="BZ1" t="s">
        <v>82</v>
      </c>
      <c r="CA1" t="s">
        <v>82</v>
      </c>
      <c r="CB1" t="s">
        <v>83</v>
      </c>
      <c r="CC1" t="s">
        <v>152</v>
      </c>
      <c r="CD1" t="s">
        <v>153</v>
      </c>
      <c r="CE1" t="s">
        <v>154</v>
      </c>
      <c r="CF1" t="s">
        <v>155</v>
      </c>
      <c r="CG1" s="1" t="s">
        <v>84</v>
      </c>
      <c r="CH1" s="1" t="s">
        <v>85</v>
      </c>
      <c r="CI1" s="1" t="s">
        <v>86</v>
      </c>
      <c r="CJ1" s="1" t="s">
        <v>87</v>
      </c>
      <c r="CK1" s="1" t="s">
        <v>88</v>
      </c>
      <c r="CL1" s="1" t="s">
        <v>89</v>
      </c>
      <c r="CM1" s="1" t="s">
        <v>90</v>
      </c>
      <c r="CN1" s="1" t="s">
        <v>91</v>
      </c>
      <c r="CO1" s="1" t="s">
        <v>92</v>
      </c>
      <c r="CP1" s="1" t="s">
        <v>93</v>
      </c>
      <c r="CQ1" s="1" t="s">
        <v>94</v>
      </c>
      <c r="CR1" s="1" t="s">
        <v>95</v>
      </c>
      <c r="CS1" s="1" t="s">
        <v>112</v>
      </c>
      <c r="CT1" s="1" t="s">
        <v>96</v>
      </c>
      <c r="CU1" s="1" t="s">
        <v>97</v>
      </c>
      <c r="CV1" s="1" t="s">
        <v>50</v>
      </c>
      <c r="CW1">
        <v>1</v>
      </c>
      <c r="CX1" t="s">
        <v>98</v>
      </c>
      <c r="CY1" t="s">
        <v>113</v>
      </c>
      <c r="CZ1">
        <v>3</v>
      </c>
      <c r="DA1" t="s">
        <v>114</v>
      </c>
      <c r="DB1" t="s">
        <v>115</v>
      </c>
      <c r="DC1">
        <v>6</v>
      </c>
      <c r="DD1" t="s">
        <v>99</v>
      </c>
      <c r="DE1" t="s">
        <v>100</v>
      </c>
      <c r="DF1">
        <v>10</v>
      </c>
      <c r="DG1" t="s">
        <v>101</v>
      </c>
      <c r="DH1" t="s">
        <v>102</v>
      </c>
      <c r="DI1">
        <v>20</v>
      </c>
      <c r="DJ1" t="s">
        <v>116</v>
      </c>
      <c r="DK1" t="s">
        <v>103</v>
      </c>
      <c r="DL1" t="s">
        <v>104</v>
      </c>
      <c r="DM1" s="2" t="s">
        <v>105</v>
      </c>
      <c r="DN1" t="s">
        <v>117</v>
      </c>
      <c r="DO1" t="s">
        <v>106</v>
      </c>
      <c r="DP1" s="1" t="s">
        <v>118</v>
      </c>
      <c r="DQ1" s="1" t="s">
        <v>119</v>
      </c>
      <c r="DR1" s="1" t="s">
        <v>120</v>
      </c>
      <c r="DS1" t="s">
        <v>121</v>
      </c>
      <c r="DT1" t="s">
        <v>107</v>
      </c>
      <c r="DU1" t="s">
        <v>108</v>
      </c>
      <c r="DV1" t="s">
        <v>122</v>
      </c>
      <c r="DW1" t="s">
        <v>123</v>
      </c>
      <c r="DX1" t="s">
        <v>124</v>
      </c>
      <c r="DY1" t="s">
        <v>125</v>
      </c>
      <c r="DZ1" t="s">
        <v>109</v>
      </c>
      <c r="EA1" t="s">
        <v>110</v>
      </c>
    </row>
    <row r="2" spans="1:147" ht="53.55" customHeight="1" x14ac:dyDescent="0.25">
      <c r="A2" s="25"/>
      <c r="B2" s="23"/>
      <c r="C2" s="24">
        <v>3</v>
      </c>
      <c r="D2" s="24">
        <v>8</v>
      </c>
      <c r="T2" s="4"/>
      <c r="CG2" s="1"/>
      <c r="CH2" s="1"/>
      <c r="CI2" s="1"/>
      <c r="CJ2" s="1"/>
      <c r="CK2" s="1"/>
      <c r="CL2" s="1"/>
      <c r="CM2" s="1"/>
      <c r="CN2" s="1"/>
      <c r="CO2" s="1"/>
      <c r="CP2" s="1"/>
      <c r="CQ2" s="1"/>
      <c r="CR2" s="1"/>
      <c r="CS2" s="1"/>
      <c r="CT2" s="1"/>
      <c r="CU2" s="1"/>
      <c r="CV2" s="1"/>
      <c r="DM2" s="2"/>
      <c r="DP2" s="1"/>
      <c r="DQ2" s="1"/>
      <c r="DR2" s="1"/>
    </row>
    <row r="3" spans="1:147" ht="108" x14ac:dyDescent="0.25">
      <c r="D3" s="3" t="s">
        <v>420</v>
      </c>
      <c r="E3" t="s">
        <v>204</v>
      </c>
      <c r="F3" t="s">
        <v>205</v>
      </c>
      <c r="G3">
        <v>9.52</v>
      </c>
      <c r="H3">
        <v>3.7</v>
      </c>
      <c r="I3" t="s">
        <v>417</v>
      </c>
      <c r="J3">
        <v>10697103000</v>
      </c>
      <c r="K3">
        <v>21.05</v>
      </c>
      <c r="L3">
        <v>1.83</v>
      </c>
      <c r="M3" t="s">
        <v>190</v>
      </c>
      <c r="N3" t="s">
        <v>216</v>
      </c>
      <c r="O3" t="s">
        <v>217</v>
      </c>
      <c r="P3" t="s">
        <v>218</v>
      </c>
      <c r="Q3">
        <v>17.5</v>
      </c>
      <c r="R3" t="s">
        <v>219</v>
      </c>
      <c r="S3">
        <v>581466910</v>
      </c>
      <c r="T3" s="4">
        <v>0.1371</v>
      </c>
      <c r="U3" t="s">
        <v>196</v>
      </c>
      <c r="V3">
        <v>593910000</v>
      </c>
      <c r="W3">
        <v>1123645280</v>
      </c>
      <c r="X3">
        <v>2.17</v>
      </c>
      <c r="Y3">
        <v>0.5</v>
      </c>
      <c r="Z3">
        <v>8.77</v>
      </c>
      <c r="AA3" t="s">
        <v>220</v>
      </c>
      <c r="AB3" t="s">
        <v>221</v>
      </c>
      <c r="AC3" t="s">
        <v>222</v>
      </c>
      <c r="AD3" t="s">
        <v>195</v>
      </c>
      <c r="AE3" t="s">
        <v>161</v>
      </c>
      <c r="AF3">
        <v>-2210210</v>
      </c>
      <c r="AG3" t="s">
        <v>223</v>
      </c>
      <c r="AH3" t="s">
        <v>224</v>
      </c>
      <c r="AI3" t="s">
        <v>225</v>
      </c>
      <c r="AJ3" t="s">
        <v>226</v>
      </c>
      <c r="AK3" t="s">
        <v>227</v>
      </c>
      <c r="AL3" t="s">
        <v>228</v>
      </c>
      <c r="AM3" t="s">
        <v>229</v>
      </c>
      <c r="AN3" t="s">
        <v>230</v>
      </c>
      <c r="AO3" t="s">
        <v>231</v>
      </c>
      <c r="AP3" t="s">
        <v>232</v>
      </c>
      <c r="AQ3" t="s">
        <v>233</v>
      </c>
      <c r="AR3" t="s">
        <v>234</v>
      </c>
      <c r="AS3" t="s">
        <v>235</v>
      </c>
      <c r="AT3" t="s">
        <v>236</v>
      </c>
      <c r="AU3" t="s">
        <v>157</v>
      </c>
      <c r="AV3" t="s">
        <v>237</v>
      </c>
      <c r="AW3" t="s">
        <v>238</v>
      </c>
      <c r="AX3" t="s">
        <v>189</v>
      </c>
      <c r="AY3" t="s">
        <v>239</v>
      </c>
      <c r="AZ3" t="s">
        <v>240</v>
      </c>
      <c r="BA3" t="s">
        <v>241</v>
      </c>
      <c r="BB3" t="s">
        <v>242</v>
      </c>
      <c r="BC3" t="s">
        <v>243</v>
      </c>
      <c r="BD3" t="s">
        <v>244</v>
      </c>
      <c r="BE3" t="s">
        <v>245</v>
      </c>
      <c r="BF3" t="s">
        <v>246</v>
      </c>
      <c r="BG3" t="s">
        <v>247</v>
      </c>
      <c r="BH3" t="s">
        <v>248</v>
      </c>
      <c r="BI3" t="s">
        <v>249</v>
      </c>
      <c r="BJ3" t="s">
        <v>250</v>
      </c>
      <c r="BK3" t="s">
        <v>251</v>
      </c>
      <c r="BL3" t="s">
        <v>200</v>
      </c>
      <c r="BM3" t="s">
        <v>184</v>
      </c>
      <c r="BN3" t="s">
        <v>252</v>
      </c>
      <c r="BO3">
        <v>6.2</v>
      </c>
      <c r="BP3">
        <v>4.92</v>
      </c>
      <c r="BQ3">
        <v>3.19</v>
      </c>
      <c r="BR3">
        <v>0.65</v>
      </c>
      <c r="BS3">
        <v>8.49</v>
      </c>
      <c r="BT3">
        <v>6.66</v>
      </c>
      <c r="BU3">
        <v>1.52</v>
      </c>
      <c r="BV3" t="s">
        <v>253</v>
      </c>
      <c r="BW3">
        <v>16.399999999999999</v>
      </c>
      <c r="BX3">
        <v>19.53</v>
      </c>
      <c r="BY3">
        <v>16.190000000000001</v>
      </c>
      <c r="BZ3">
        <v>11.58</v>
      </c>
      <c r="CA3">
        <v>3.76</v>
      </c>
      <c r="CB3">
        <v>2.21</v>
      </c>
      <c r="CC3">
        <v>6.73</v>
      </c>
      <c r="CD3">
        <v>-8.81</v>
      </c>
      <c r="CE3" t="s">
        <v>418</v>
      </c>
      <c r="CF3" t="s">
        <v>176</v>
      </c>
      <c r="CG3" s="20">
        <v>-6.491075223119625E-3</v>
      </c>
      <c r="CH3" s="21">
        <v>-0.18319585365853649</v>
      </c>
      <c r="CI3" s="20">
        <v>0.2310735285282135</v>
      </c>
      <c r="CJ3" s="20">
        <v>0.32159668207168579</v>
      </c>
      <c r="CK3" s="20">
        <v>3.5372629761695862E-2</v>
      </c>
      <c r="CL3" s="20">
        <v>-0.23244212567806244</v>
      </c>
      <c r="CM3" s="20">
        <v>-0.16908381879329681</v>
      </c>
      <c r="CN3" s="21">
        <v>0.56428569555282593</v>
      </c>
      <c r="CO3" s="21">
        <v>3.5546674728393555</v>
      </c>
      <c r="CP3" s="21">
        <v>1.0472887754440308</v>
      </c>
      <c r="CQ3" s="21">
        <v>-24.003067016601563</v>
      </c>
      <c r="CR3" s="21">
        <v>-0.74657303094863892</v>
      </c>
      <c r="CS3">
        <v>1.146036318834369</v>
      </c>
      <c r="CT3">
        <v>138510748.85844749</v>
      </c>
      <c r="CU3">
        <v>9.5154499999999995</v>
      </c>
      <c r="CV3" s="20">
        <v>3.7303379178047179E-2</v>
      </c>
      <c r="CW3" s="21">
        <v>-3.9166796207427979</v>
      </c>
      <c r="CX3">
        <v>0.06</v>
      </c>
      <c r="CY3">
        <v>27.483690539100959</v>
      </c>
      <c r="CZ3">
        <v>428621584.98111761</v>
      </c>
      <c r="DA3">
        <v>3.7303379178047179E-2</v>
      </c>
      <c r="DB3">
        <v>9.3937179182182451</v>
      </c>
      <c r="DC3">
        <v>1254040530.3371503</v>
      </c>
      <c r="DD3">
        <v>3.5438210219144818E-2</v>
      </c>
      <c r="DE3">
        <v>4.904228696865907</v>
      </c>
      <c r="DF3">
        <v>2402029702.9639306</v>
      </c>
      <c r="DG3">
        <v>3.2826973676681519E-2</v>
      </c>
      <c r="DH3">
        <v>3.1414195962419709</v>
      </c>
      <c r="DI3">
        <v>3749929813.2896175</v>
      </c>
      <c r="DJ3">
        <v>2.9842703342437743E-2</v>
      </c>
      <c r="DK3">
        <v>1.8587211689164276</v>
      </c>
      <c r="DL3">
        <v>6337746186.4640017</v>
      </c>
      <c r="DM3">
        <v>2.6112365424633025E-2</v>
      </c>
      <c r="DN3">
        <v>438000000</v>
      </c>
      <c r="DO3">
        <v>3.7303379178047179E-2</v>
      </c>
      <c r="DP3">
        <v>11780103000</v>
      </c>
      <c r="DQ3">
        <v>2087877100.000001</v>
      </c>
      <c r="DR3">
        <v>3518</v>
      </c>
      <c r="DS3">
        <v>-4.3794454401166805E-2</v>
      </c>
      <c r="DT3">
        <v>3.7334837670842616</v>
      </c>
      <c r="DU3" s="22">
        <v>0.6</v>
      </c>
      <c r="DV3">
        <v>0.6</v>
      </c>
      <c r="DW3">
        <v>1.2</v>
      </c>
      <c r="DX3">
        <v>7.4330759330759335</v>
      </c>
      <c r="DY3">
        <v>0.74447424242423976</v>
      </c>
      <c r="DZ3">
        <v>7.058237558012558</v>
      </c>
      <c r="EA3">
        <v>1134</v>
      </c>
      <c r="EB3">
        <v>7.0446459978589786</v>
      </c>
      <c r="EC3">
        <v>7</v>
      </c>
      <c r="ED3">
        <v>1.5797334190733217E-2</v>
      </c>
      <c r="EE3">
        <v>0.11747479596051878</v>
      </c>
      <c r="EF3" s="19">
        <v>-2.0293000000000001</v>
      </c>
      <c r="EG3">
        <v>-2.0663</v>
      </c>
      <c r="EH3">
        <v>61.13447424242424</v>
      </c>
      <c r="EI3" t="s">
        <v>419</v>
      </c>
      <c r="EJ3">
        <v>1</v>
      </c>
      <c r="EK3">
        <v>1</v>
      </c>
      <c r="EL3" s="26">
        <v>44847</v>
      </c>
      <c r="EM3" s="27">
        <v>-1.35</v>
      </c>
      <c r="EN3" s="27">
        <v>-1.48</v>
      </c>
      <c r="EO3" s="27">
        <v>2.54</v>
      </c>
      <c r="EP3" s="27">
        <v>3.26</v>
      </c>
      <c r="EQ3" s="27">
        <v>3.7</v>
      </c>
    </row>
    <row r="4" spans="1:147" ht="64.8" x14ac:dyDescent="0.25">
      <c r="B4" s="3"/>
      <c r="C4" s="3"/>
      <c r="D4" s="3" t="s">
        <v>424</v>
      </c>
      <c r="E4" t="s">
        <v>206</v>
      </c>
      <c r="F4" t="s">
        <v>207</v>
      </c>
      <c r="G4">
        <v>2</v>
      </c>
      <c r="H4">
        <v>1.52</v>
      </c>
      <c r="I4" t="s">
        <v>421</v>
      </c>
      <c r="J4">
        <v>2980720400</v>
      </c>
      <c r="L4">
        <v>18.8</v>
      </c>
      <c r="M4" t="s">
        <v>190</v>
      </c>
      <c r="N4" t="s">
        <v>254</v>
      </c>
      <c r="O4" t="s">
        <v>172</v>
      </c>
      <c r="P4" t="s">
        <v>255</v>
      </c>
      <c r="Q4">
        <v>38.42</v>
      </c>
      <c r="R4" t="s">
        <v>256</v>
      </c>
      <c r="S4">
        <v>-70762297</v>
      </c>
      <c r="T4" s="4">
        <v>0.70389999999999997</v>
      </c>
      <c r="U4" t="s">
        <v>181</v>
      </c>
      <c r="V4">
        <v>1420468700</v>
      </c>
      <c r="W4">
        <v>1490360200</v>
      </c>
      <c r="X4">
        <v>27.59</v>
      </c>
      <c r="Y4">
        <v>0.17</v>
      </c>
      <c r="Z4">
        <v>-14.05</v>
      </c>
      <c r="AA4" t="s">
        <v>192</v>
      </c>
      <c r="AB4" t="s">
        <v>169</v>
      </c>
      <c r="AC4" t="s">
        <v>257</v>
      </c>
      <c r="AD4" t="s">
        <v>258</v>
      </c>
      <c r="AE4" t="s">
        <v>259</v>
      </c>
      <c r="AF4">
        <v>60422362</v>
      </c>
      <c r="AG4" t="s">
        <v>260</v>
      </c>
      <c r="AH4" t="s">
        <v>261</v>
      </c>
      <c r="AI4" t="s">
        <v>262</v>
      </c>
      <c r="AJ4" t="s">
        <v>170</v>
      </c>
      <c r="AK4" t="s">
        <v>263</v>
      </c>
      <c r="AL4" t="s">
        <v>264</v>
      </c>
      <c r="AM4" t="s">
        <v>265</v>
      </c>
      <c r="AN4" t="s">
        <v>266</v>
      </c>
      <c r="AO4" t="s">
        <v>174</v>
      </c>
      <c r="AP4" t="s">
        <v>267</v>
      </c>
      <c r="AQ4" t="s">
        <v>7</v>
      </c>
      <c r="AR4" t="s">
        <v>268</v>
      </c>
      <c r="AS4" t="s">
        <v>7</v>
      </c>
      <c r="AT4" t="s">
        <v>269</v>
      </c>
      <c r="AU4" t="s">
        <v>182</v>
      </c>
      <c r="AV4" t="s">
        <v>270</v>
      </c>
      <c r="AW4" t="s">
        <v>271</v>
      </c>
      <c r="AX4" t="s">
        <v>272</v>
      </c>
      <c r="AY4" t="s">
        <v>273</v>
      </c>
      <c r="AZ4" t="s">
        <v>179</v>
      </c>
      <c r="BA4" t="s">
        <v>274</v>
      </c>
      <c r="BB4" t="s">
        <v>275</v>
      </c>
      <c r="BC4" t="s">
        <v>276</v>
      </c>
      <c r="BD4" t="s">
        <v>277</v>
      </c>
      <c r="BE4" t="s">
        <v>278</v>
      </c>
      <c r="BF4" t="s">
        <v>279</v>
      </c>
      <c r="BG4" t="s">
        <v>280</v>
      </c>
      <c r="BH4" t="s">
        <v>197</v>
      </c>
      <c r="BI4" t="s">
        <v>186</v>
      </c>
      <c r="BJ4" t="s">
        <v>173</v>
      </c>
      <c r="BK4" t="s">
        <v>160</v>
      </c>
      <c r="BL4" t="s">
        <v>281</v>
      </c>
      <c r="BM4" t="s">
        <v>282</v>
      </c>
      <c r="BN4" t="s">
        <v>283</v>
      </c>
      <c r="BO4">
        <v>-3.28</v>
      </c>
      <c r="BP4">
        <v>-11.63</v>
      </c>
      <c r="BQ4">
        <v>-14.9</v>
      </c>
      <c r="BR4">
        <v>-25.84</v>
      </c>
      <c r="BS4">
        <v>-80.400000000000006</v>
      </c>
      <c r="BT4">
        <v>-90.62</v>
      </c>
      <c r="BU4">
        <v>-36.840000000000003</v>
      </c>
      <c r="BV4" t="s">
        <v>253</v>
      </c>
      <c r="BW4">
        <v>33.97</v>
      </c>
      <c r="BX4">
        <v>18.79</v>
      </c>
      <c r="BY4">
        <v>26.69</v>
      </c>
      <c r="BZ4">
        <v>-23.85</v>
      </c>
      <c r="CA4">
        <v>-82.05</v>
      </c>
      <c r="CB4">
        <v>-161.41</v>
      </c>
      <c r="CC4">
        <v>6.38</v>
      </c>
      <c r="CD4">
        <v>-14.89</v>
      </c>
      <c r="CE4" t="s">
        <v>422</v>
      </c>
      <c r="CF4" t="s">
        <v>423</v>
      </c>
      <c r="CG4" s="20">
        <v>0.40710715254237317</v>
      </c>
      <c r="CH4" s="21">
        <v>0.8018159608160218</v>
      </c>
      <c r="CI4" s="20">
        <v>0.47192230820655823</v>
      </c>
      <c r="CJ4" s="20">
        <v>-0.25920000672340393</v>
      </c>
      <c r="CK4" s="20">
        <v>-0.33510637283325195</v>
      </c>
      <c r="CL4" s="20">
        <v>1.4023732393980026E-2</v>
      </c>
      <c r="CM4" s="20">
        <v>3.5175841301679611E-2</v>
      </c>
      <c r="CN4" s="21">
        <v>0.56756758689880371</v>
      </c>
      <c r="CO4" s="21">
        <v>0.64477008581161499</v>
      </c>
      <c r="CP4" s="21">
        <v>-7.663299560546875</v>
      </c>
      <c r="CQ4" s="21">
        <v>-0.26666668057441711</v>
      </c>
      <c r="CR4" s="21">
        <v>0.61354583501815796</v>
      </c>
      <c r="CS4">
        <v>2.1868821716801174</v>
      </c>
      <c r="CT4">
        <v>24461000.328947369</v>
      </c>
      <c r="CU4">
        <v>-65.89871500000001</v>
      </c>
      <c r="CV4" s="20">
        <v>-1.4636899530887603E-2</v>
      </c>
      <c r="CW4" s="21">
        <v>-1.220816546678543</v>
      </c>
      <c r="CX4">
        <v>0.06</v>
      </c>
      <c r="CY4" t="e">
        <v>#VALUE!</v>
      </c>
      <c r="CZ4" t="s">
        <v>166</v>
      </c>
      <c r="DA4">
        <v>-1.4636899530887603E-2</v>
      </c>
      <c r="DB4" t="e">
        <v>#VALUE!</v>
      </c>
      <c r="DC4" t="s">
        <v>167</v>
      </c>
      <c r="DD4">
        <v>-1.3905054554343222E-2</v>
      </c>
      <c r="DE4" t="e">
        <v>#VALUE!</v>
      </c>
      <c r="DF4" t="s">
        <v>167</v>
      </c>
      <c r="DG4">
        <v>-1.2880471587181091E-2</v>
      </c>
      <c r="DH4" t="e">
        <v>#VALUE!</v>
      </c>
      <c r="DI4" t="s">
        <v>167</v>
      </c>
      <c r="DJ4">
        <v>-1.1709519624710084E-2</v>
      </c>
      <c r="DK4" t="e">
        <v>#VALUE!</v>
      </c>
      <c r="DL4" t="s">
        <v>167</v>
      </c>
      <c r="DM4">
        <v>-1.0245829671621321E-2</v>
      </c>
      <c r="DN4">
        <v>-304000000</v>
      </c>
      <c r="DO4">
        <v>-1.4636899530887603E-2</v>
      </c>
      <c r="DP4">
        <v>6023720400</v>
      </c>
      <c r="DQ4">
        <v>-1454339000</v>
      </c>
      <c r="DR4">
        <v>1651</v>
      </c>
      <c r="DS4">
        <v>0.42174405207326077</v>
      </c>
      <c r="DT4">
        <v>2.0226325074945648</v>
      </c>
      <c r="DU4" s="22">
        <v>0.44</v>
      </c>
      <c r="DV4" t="e">
        <v>#VALUE!</v>
      </c>
      <c r="DW4" t="e">
        <v>#VALUE!</v>
      </c>
      <c r="DX4">
        <v>7.2999529854254819</v>
      </c>
      <c r="DY4">
        <v>0.39536585365853666</v>
      </c>
      <c r="DZ4">
        <v>7.0316048023667825</v>
      </c>
      <c r="EA4">
        <v>4410</v>
      </c>
      <c r="EB4">
        <v>7.0029204684631994</v>
      </c>
      <c r="EC4">
        <v>7</v>
      </c>
      <c r="ED4">
        <v>7.2465703257507813E-2</v>
      </c>
      <c r="EE4">
        <v>0.68775320221245839</v>
      </c>
      <c r="EF4" s="19">
        <v>-1.0277099999999999</v>
      </c>
      <c r="EG4">
        <v>-1.01251</v>
      </c>
      <c r="EH4">
        <v>29.105365853658537</v>
      </c>
      <c r="EI4" t="s">
        <v>199</v>
      </c>
      <c r="EJ4">
        <v>1</v>
      </c>
      <c r="EK4">
        <v>0</v>
      </c>
      <c r="EL4" s="26">
        <v>44847</v>
      </c>
      <c r="EM4" s="27">
        <v>2.13</v>
      </c>
      <c r="EN4" s="27">
        <v>1.04</v>
      </c>
      <c r="EO4" s="27">
        <v>-0.52</v>
      </c>
      <c r="EP4" s="27">
        <v>2.0699999999999998</v>
      </c>
      <c r="EQ4" s="27">
        <v>1.52</v>
      </c>
    </row>
    <row r="5" spans="1:147" ht="108" x14ac:dyDescent="0.25">
      <c r="B5" s="3" t="s">
        <v>425</v>
      </c>
      <c r="C5" s="3"/>
      <c r="D5" s="3" t="s">
        <v>430</v>
      </c>
      <c r="E5" t="s">
        <v>208</v>
      </c>
      <c r="F5" t="s">
        <v>209</v>
      </c>
      <c r="G5">
        <v>17.77</v>
      </c>
      <c r="H5">
        <v>1.1399999999999999</v>
      </c>
      <c r="I5" t="s">
        <v>426</v>
      </c>
      <c r="J5">
        <v>2843200000</v>
      </c>
      <c r="K5">
        <v>42.46</v>
      </c>
      <c r="L5">
        <v>2.81</v>
      </c>
      <c r="M5" t="s">
        <v>190</v>
      </c>
      <c r="N5" t="s">
        <v>284</v>
      </c>
      <c r="O5" t="s">
        <v>285</v>
      </c>
      <c r="P5" t="s">
        <v>286</v>
      </c>
      <c r="Q5">
        <v>20.88</v>
      </c>
      <c r="R5" t="s">
        <v>287</v>
      </c>
      <c r="S5">
        <v>74846428</v>
      </c>
      <c r="T5" s="4">
        <v>0.1804</v>
      </c>
      <c r="U5" t="s">
        <v>288</v>
      </c>
      <c r="V5">
        <v>55000000</v>
      </c>
      <c r="W5">
        <v>160000000</v>
      </c>
      <c r="X5">
        <v>2.2999999999999998</v>
      </c>
      <c r="Y5">
        <v>0.46</v>
      </c>
      <c r="Z5">
        <v>6.79</v>
      </c>
      <c r="AA5" t="s">
        <v>289</v>
      </c>
      <c r="AB5" t="s">
        <v>290</v>
      </c>
      <c r="AC5" t="s">
        <v>291</v>
      </c>
      <c r="AD5" t="s">
        <v>292</v>
      </c>
      <c r="AE5" t="s">
        <v>293</v>
      </c>
      <c r="AF5">
        <v>-12483652</v>
      </c>
      <c r="AG5" t="s">
        <v>294</v>
      </c>
      <c r="AH5" t="s">
        <v>295</v>
      </c>
      <c r="AI5" t="s">
        <v>296</v>
      </c>
      <c r="AJ5" t="s">
        <v>244</v>
      </c>
      <c r="AK5" t="s">
        <v>297</v>
      </c>
      <c r="AL5" t="s">
        <v>298</v>
      </c>
      <c r="AM5" t="s">
        <v>299</v>
      </c>
      <c r="AN5" t="s">
        <v>156</v>
      </c>
      <c r="AO5" t="s">
        <v>300</v>
      </c>
      <c r="AP5" t="s">
        <v>301</v>
      </c>
      <c r="AQ5" t="s">
        <v>302</v>
      </c>
      <c r="AR5" t="s">
        <v>303</v>
      </c>
      <c r="AS5" t="s">
        <v>7</v>
      </c>
      <c r="AT5" t="s">
        <v>304</v>
      </c>
      <c r="AU5" t="s">
        <v>305</v>
      </c>
      <c r="AV5" t="s">
        <v>306</v>
      </c>
      <c r="AW5" t="s">
        <v>307</v>
      </c>
      <c r="AX5" t="s">
        <v>308</v>
      </c>
      <c r="AY5" t="s">
        <v>309</v>
      </c>
      <c r="AZ5" t="s">
        <v>310</v>
      </c>
      <c r="BA5" t="s">
        <v>311</v>
      </c>
      <c r="BB5" t="s">
        <v>312</v>
      </c>
      <c r="BC5" t="s">
        <v>313</v>
      </c>
      <c r="BD5" t="s">
        <v>314</v>
      </c>
      <c r="BE5" t="s">
        <v>315</v>
      </c>
      <c r="BF5" t="s">
        <v>316</v>
      </c>
      <c r="BG5" t="s">
        <v>317</v>
      </c>
      <c r="BH5" t="s">
        <v>318</v>
      </c>
      <c r="BI5" t="s">
        <v>319</v>
      </c>
      <c r="BJ5" t="s">
        <v>320</v>
      </c>
      <c r="BK5" t="s">
        <v>158</v>
      </c>
      <c r="BL5" t="s">
        <v>321</v>
      </c>
      <c r="BM5" t="s">
        <v>322</v>
      </c>
      <c r="BN5" t="s">
        <v>323</v>
      </c>
      <c r="BO5">
        <v>3.78</v>
      </c>
      <c r="BP5">
        <v>3.3</v>
      </c>
      <c r="BQ5">
        <v>6.11</v>
      </c>
      <c r="BR5">
        <v>8.9600000000000009</v>
      </c>
      <c r="BS5">
        <v>5.92</v>
      </c>
      <c r="BT5">
        <v>12.62</v>
      </c>
      <c r="BU5">
        <v>18.61</v>
      </c>
      <c r="BV5" t="s">
        <v>253</v>
      </c>
      <c r="BW5">
        <v>17.75</v>
      </c>
      <c r="BX5">
        <v>19.309999999999999</v>
      </c>
      <c r="BY5">
        <v>22.49</v>
      </c>
      <c r="BZ5">
        <v>7.57</v>
      </c>
      <c r="CA5">
        <v>7.66</v>
      </c>
      <c r="CB5">
        <v>8.25</v>
      </c>
      <c r="CC5">
        <v>-0.11</v>
      </c>
      <c r="CD5">
        <v>-22.84</v>
      </c>
      <c r="CE5" t="s">
        <v>427</v>
      </c>
      <c r="CF5" t="s">
        <v>428</v>
      </c>
      <c r="CG5" s="20">
        <v>-0.17761279891304321</v>
      </c>
      <c r="CH5" s="21">
        <v>-0.37921578169809683</v>
      </c>
      <c r="CI5" s="20">
        <v>0.60539466142654419</v>
      </c>
      <c r="CJ5" s="20">
        <v>1.315789483487606E-2</v>
      </c>
      <c r="CK5" s="20">
        <v>0.26181355118751526</v>
      </c>
      <c r="CL5" s="20">
        <v>4.8192769289016724E-2</v>
      </c>
      <c r="CM5" s="20">
        <v>0.42557251453399658</v>
      </c>
      <c r="CN5" s="21">
        <v>-0.27611809968948364</v>
      </c>
      <c r="CO5" s="21">
        <v>-5.8673903346061707E-2</v>
      </c>
      <c r="CP5" s="21">
        <v>0.30337375402450562</v>
      </c>
      <c r="CQ5" s="21">
        <v>0.15857730805873871</v>
      </c>
      <c r="CR5" s="21">
        <v>0.82445782423019409</v>
      </c>
      <c r="CS5">
        <v>1.7692594897324208</v>
      </c>
      <c r="CT5">
        <v>133829846.7839396</v>
      </c>
      <c r="CU5">
        <v>7.1838200000000008</v>
      </c>
      <c r="CV5" s="20">
        <v>0.27082627825438976</v>
      </c>
      <c r="CW5" s="21">
        <v>0.19032337665557861</v>
      </c>
      <c r="CX5">
        <v>0.06</v>
      </c>
      <c r="CY5">
        <v>47.279391637242881</v>
      </c>
      <c r="CZ5">
        <v>66566000.344236463</v>
      </c>
      <c r="DA5">
        <v>0.27082627825438976</v>
      </c>
      <c r="DB5">
        <v>13.300498169753704</v>
      </c>
      <c r="DC5">
        <v>236622715.91878873</v>
      </c>
      <c r="DD5">
        <v>0.25728496434167025</v>
      </c>
      <c r="DE5">
        <v>5.2935527744032811</v>
      </c>
      <c r="DF5">
        <v>594534546.85823357</v>
      </c>
      <c r="DG5">
        <v>0.23832712486386298</v>
      </c>
      <c r="DH5">
        <v>2.4586228874211469</v>
      </c>
      <c r="DI5">
        <v>1280066176.9243932</v>
      </c>
      <c r="DJ5">
        <v>0.21666102260351183</v>
      </c>
      <c r="DK5">
        <v>0.68298602079649107</v>
      </c>
      <c r="DL5">
        <v>4608000609.3386345</v>
      </c>
      <c r="DM5">
        <v>0.18957839477807281</v>
      </c>
      <c r="DN5">
        <v>55522900</v>
      </c>
      <c r="DO5">
        <v>0.27082627825438976</v>
      </c>
      <c r="DP5">
        <v>3147200000</v>
      </c>
      <c r="DQ5">
        <v>134017680</v>
      </c>
      <c r="DR5">
        <v>2345</v>
      </c>
      <c r="DS5">
        <v>-0.44843907716743298</v>
      </c>
      <c r="DT5">
        <v>-0.56953915835367541</v>
      </c>
      <c r="DU5" s="22">
        <v>0.44</v>
      </c>
      <c r="DV5">
        <v>0.6</v>
      </c>
      <c r="DW5">
        <v>1.04</v>
      </c>
      <c r="DX5">
        <v>-3.0773571428571427</v>
      </c>
      <c r="DY5">
        <v>0.41486042813905927</v>
      </c>
      <c r="DZ5">
        <v>-3.0065645602624715</v>
      </c>
      <c r="EA5">
        <v>1066</v>
      </c>
      <c r="EB5">
        <v>-3.0051243830161667</v>
      </c>
      <c r="EC5">
        <v>3</v>
      </c>
      <c r="ED5">
        <v>5.183625E-2</v>
      </c>
      <c r="EE5">
        <v>0.61084124999999989</v>
      </c>
      <c r="EF5" s="19">
        <v>-4.0117000000000003</v>
      </c>
      <c r="EG5">
        <v>-4.0231000000000003</v>
      </c>
      <c r="EH5">
        <v>33.084860428139059</v>
      </c>
      <c r="EI5" t="s">
        <v>429</v>
      </c>
      <c r="EJ5">
        <v>0</v>
      </c>
      <c r="EK5">
        <v>1</v>
      </c>
      <c r="EL5" s="26">
        <v>44847</v>
      </c>
      <c r="EM5" s="27">
        <v>-3.82</v>
      </c>
      <c r="EN5" s="27">
        <v>-1.23</v>
      </c>
      <c r="EO5" s="27">
        <v>-0.77</v>
      </c>
      <c r="EP5" s="27">
        <v>4.7699999999999996</v>
      </c>
      <c r="EQ5" s="27">
        <v>1.1399999999999999</v>
      </c>
    </row>
    <row r="6" spans="1:147" ht="64.8" x14ac:dyDescent="0.25">
      <c r="D6" s="3" t="s">
        <v>435</v>
      </c>
      <c r="E6" t="s">
        <v>210</v>
      </c>
      <c r="F6" t="s">
        <v>211</v>
      </c>
      <c r="G6">
        <v>7.81</v>
      </c>
      <c r="H6">
        <v>3.58</v>
      </c>
      <c r="I6" t="s">
        <v>431</v>
      </c>
      <c r="J6">
        <v>2030600000</v>
      </c>
      <c r="L6">
        <v>3.36</v>
      </c>
      <c r="M6" t="s">
        <v>190</v>
      </c>
      <c r="N6" t="s">
        <v>324</v>
      </c>
      <c r="O6" t="s">
        <v>325</v>
      </c>
      <c r="P6" t="s">
        <v>326</v>
      </c>
      <c r="Q6">
        <v>-35.869999999999997</v>
      </c>
      <c r="R6" t="s">
        <v>173</v>
      </c>
      <c r="S6">
        <v>-23102307</v>
      </c>
      <c r="T6" s="4">
        <v>0.49080000000000001</v>
      </c>
      <c r="U6" t="s">
        <v>327</v>
      </c>
      <c r="V6">
        <v>260000000</v>
      </c>
      <c r="W6">
        <v>260000000</v>
      </c>
      <c r="X6">
        <v>1.97</v>
      </c>
      <c r="Y6">
        <v>0.14000000000000001</v>
      </c>
      <c r="Z6">
        <v>-10.25</v>
      </c>
      <c r="AA6" t="s">
        <v>183</v>
      </c>
      <c r="AB6" t="s">
        <v>191</v>
      </c>
      <c r="AC6" t="s">
        <v>328</v>
      </c>
      <c r="AD6" t="s">
        <v>329</v>
      </c>
      <c r="AE6" t="s">
        <v>330</v>
      </c>
      <c r="AF6">
        <v>6011350</v>
      </c>
      <c r="AG6" t="s">
        <v>331</v>
      </c>
      <c r="AH6" t="s">
        <v>332</v>
      </c>
      <c r="AI6" t="s">
        <v>333</v>
      </c>
      <c r="AJ6" t="s">
        <v>162</v>
      </c>
      <c r="AK6" t="s">
        <v>334</v>
      </c>
      <c r="AL6" t="s">
        <v>7</v>
      </c>
      <c r="AM6" t="s">
        <v>335</v>
      </c>
      <c r="AN6" t="s">
        <v>336</v>
      </c>
      <c r="AO6" t="s">
        <v>337</v>
      </c>
      <c r="AP6" t="s">
        <v>338</v>
      </c>
      <c r="AQ6" t="s">
        <v>182</v>
      </c>
      <c r="AR6" t="s">
        <v>172</v>
      </c>
      <c r="AS6" t="s">
        <v>339</v>
      </c>
      <c r="AT6" t="s">
        <v>340</v>
      </c>
      <c r="AU6" t="s">
        <v>341</v>
      </c>
      <c r="AV6" t="s">
        <v>342</v>
      </c>
      <c r="AW6" t="s">
        <v>343</v>
      </c>
      <c r="AX6" t="s">
        <v>344</v>
      </c>
      <c r="AY6" t="s">
        <v>345</v>
      </c>
      <c r="AZ6" t="s">
        <v>346</v>
      </c>
      <c r="BA6" t="s">
        <v>203</v>
      </c>
      <c r="BB6" t="s">
        <v>324</v>
      </c>
      <c r="BC6" t="s">
        <v>347</v>
      </c>
      <c r="BD6" t="s">
        <v>348</v>
      </c>
      <c r="BE6" t="s">
        <v>349</v>
      </c>
      <c r="BF6" t="s">
        <v>350</v>
      </c>
      <c r="BG6" t="s">
        <v>351</v>
      </c>
      <c r="BH6" t="s">
        <v>352</v>
      </c>
      <c r="BI6" t="s">
        <v>353</v>
      </c>
      <c r="BJ6" t="s">
        <v>177</v>
      </c>
      <c r="BK6" t="s">
        <v>354</v>
      </c>
      <c r="BL6" t="s">
        <v>355</v>
      </c>
      <c r="BM6" t="s">
        <v>356</v>
      </c>
      <c r="BN6" t="s">
        <v>357</v>
      </c>
      <c r="BO6">
        <v>-2.58</v>
      </c>
      <c r="BP6">
        <v>-19.440000000000001</v>
      </c>
      <c r="BQ6">
        <v>-24.07</v>
      </c>
      <c r="BR6">
        <v>0.96</v>
      </c>
      <c r="BS6">
        <v>-26.45</v>
      </c>
      <c r="BT6">
        <v>-30.6</v>
      </c>
      <c r="BU6">
        <v>1.17</v>
      </c>
      <c r="BV6" t="s">
        <v>253</v>
      </c>
      <c r="BW6">
        <v>4.92</v>
      </c>
      <c r="BX6">
        <v>-1.47</v>
      </c>
      <c r="BY6">
        <v>25.09</v>
      </c>
      <c r="BZ6">
        <v>-11.92</v>
      </c>
      <c r="CA6">
        <v>-119.9</v>
      </c>
      <c r="CB6">
        <v>2.0099999999999998</v>
      </c>
      <c r="CC6">
        <v>3.58</v>
      </c>
      <c r="CD6">
        <v>-10.54</v>
      </c>
      <c r="CE6" t="s">
        <v>432</v>
      </c>
      <c r="CF6" t="s">
        <v>433</v>
      </c>
      <c r="CG6" s="20">
        <v>-0.30842625766871168</v>
      </c>
      <c r="CH6" s="21">
        <v>-0.22326382802977665</v>
      </c>
      <c r="CI6" s="20">
        <v>0.62096774578094482</v>
      </c>
      <c r="CJ6" s="20">
        <v>-0.64822697639465332</v>
      </c>
      <c r="CK6" s="20">
        <v>0.18288590013980865</v>
      </c>
      <c r="CL6" s="20">
        <v>-6.5830722451210022E-2</v>
      </c>
      <c r="CM6" s="20">
        <v>0.22456814348697662</v>
      </c>
      <c r="CN6" s="21">
        <v>0.33212995529174805</v>
      </c>
      <c r="CO6" s="21">
        <v>-23.918130874633789</v>
      </c>
      <c r="CP6" s="21">
        <v>1.2064342498779297</v>
      </c>
      <c r="CQ6" s="21">
        <v>-3.3146612644195557</v>
      </c>
      <c r="CR6" s="21">
        <v>-0.23826675117015839</v>
      </c>
      <c r="CS6">
        <v>5.0512437810945281</v>
      </c>
      <c r="CT6">
        <v>15502856.756756756</v>
      </c>
      <c r="CU6">
        <v>-2.8269500000000005</v>
      </c>
      <c r="CV6" s="20">
        <v>6.2872818112373358E-2</v>
      </c>
      <c r="CW6" s="21">
        <v>-5.1864989370107653</v>
      </c>
      <c r="CX6">
        <v>0.06</v>
      </c>
      <c r="CY6" t="e">
        <v>#VALUE!</v>
      </c>
      <c r="CZ6" t="s">
        <v>166</v>
      </c>
      <c r="DA6">
        <v>6.2872818112373358E-2</v>
      </c>
      <c r="DB6" t="e">
        <v>#VALUE!</v>
      </c>
      <c r="DC6" t="s">
        <v>167</v>
      </c>
      <c r="DD6">
        <v>5.9729177206754684E-2</v>
      </c>
      <c r="DE6" t="e">
        <v>#VALUE!</v>
      </c>
      <c r="DF6" t="s">
        <v>167</v>
      </c>
      <c r="DG6">
        <v>5.5328079938888552E-2</v>
      </c>
      <c r="DH6" t="e">
        <v>#VALUE!</v>
      </c>
      <c r="DI6" t="s">
        <v>167</v>
      </c>
      <c r="DJ6">
        <v>5.0298254489898692E-2</v>
      </c>
      <c r="DK6" t="e">
        <v>#VALUE!</v>
      </c>
      <c r="DL6" t="s">
        <v>167</v>
      </c>
      <c r="DM6">
        <v>4.4010972678661345E-2</v>
      </c>
      <c r="DN6">
        <v>-185000000</v>
      </c>
      <c r="DO6">
        <v>6.2872818112373358E-2</v>
      </c>
      <c r="DP6">
        <v>2012600000</v>
      </c>
      <c r="DQ6">
        <v>167324290</v>
      </c>
      <c r="DR6">
        <v>4143</v>
      </c>
      <c r="DS6">
        <v>-0.37129907578108501</v>
      </c>
      <c r="DT6">
        <v>4.9632351089809887</v>
      </c>
      <c r="DU6" s="22">
        <v>-0.22</v>
      </c>
      <c r="DV6" t="e">
        <v>#VALUE!</v>
      </c>
      <c r="DW6" t="e">
        <v>#VALUE!</v>
      </c>
      <c r="DX6">
        <v>6.2535410764872523</v>
      </c>
      <c r="DY6">
        <v>0.57909837398374009</v>
      </c>
      <c r="DZ6">
        <v>6.020054686888229</v>
      </c>
      <c r="EA6">
        <v>4458</v>
      </c>
      <c r="EB6">
        <v>6.0016550585392423</v>
      </c>
      <c r="EC6">
        <v>6</v>
      </c>
      <c r="ED6">
        <v>3.7419615384615385E-2</v>
      </c>
      <c r="EE6">
        <v>0.47307692307692306</v>
      </c>
      <c r="EF6" s="19">
        <v>-1.0134099999999999</v>
      </c>
      <c r="EG6">
        <v>-1.0224</v>
      </c>
      <c r="EH6">
        <v>50.07909837398374</v>
      </c>
      <c r="EI6" t="s">
        <v>434</v>
      </c>
      <c r="EJ6">
        <v>0</v>
      </c>
      <c r="EK6">
        <v>0</v>
      </c>
      <c r="EL6" s="26">
        <v>44847</v>
      </c>
      <c r="EM6" s="27">
        <v>-1.99</v>
      </c>
      <c r="EN6" s="27">
        <v>-1.49</v>
      </c>
      <c r="EO6" s="27">
        <v>1.65</v>
      </c>
      <c r="EP6" s="27">
        <v>1.89</v>
      </c>
      <c r="EQ6" s="27">
        <v>3.58</v>
      </c>
    </row>
    <row r="7" spans="1:147" ht="86.4" x14ac:dyDescent="0.25">
      <c r="B7" s="3"/>
      <c r="C7" s="3"/>
      <c r="D7" s="3" t="s">
        <v>440</v>
      </c>
      <c r="E7" t="s">
        <v>212</v>
      </c>
      <c r="F7" t="s">
        <v>213</v>
      </c>
      <c r="G7">
        <v>17.02</v>
      </c>
      <c r="H7">
        <v>1.31</v>
      </c>
      <c r="I7" t="s">
        <v>436</v>
      </c>
      <c r="J7">
        <v>1588612800</v>
      </c>
      <c r="K7">
        <v>66.489999999999995</v>
      </c>
      <c r="L7">
        <v>2.8</v>
      </c>
      <c r="M7" t="s">
        <v>190</v>
      </c>
      <c r="N7" t="s">
        <v>185</v>
      </c>
      <c r="O7" t="s">
        <v>202</v>
      </c>
      <c r="P7" t="s">
        <v>358</v>
      </c>
      <c r="Q7">
        <v>-5.89</v>
      </c>
      <c r="R7" t="s">
        <v>201</v>
      </c>
      <c r="S7">
        <v>8741893</v>
      </c>
      <c r="T7" s="4">
        <v>-8.8900000000000007E-2</v>
      </c>
      <c r="U7" t="s">
        <v>359</v>
      </c>
      <c r="V7">
        <v>72040797</v>
      </c>
      <c r="W7">
        <v>93338000</v>
      </c>
      <c r="X7">
        <v>1.25</v>
      </c>
      <c r="Y7">
        <v>0.28000000000000003</v>
      </c>
      <c r="Z7">
        <v>4.3899999999999997</v>
      </c>
      <c r="AA7" t="s">
        <v>175</v>
      </c>
      <c r="AB7" t="s">
        <v>164</v>
      </c>
      <c r="AC7" t="s">
        <v>360</v>
      </c>
      <c r="AD7" t="s">
        <v>361</v>
      </c>
      <c r="AE7" t="s">
        <v>362</v>
      </c>
      <c r="AF7">
        <v>-112809</v>
      </c>
      <c r="AG7" t="s">
        <v>363</v>
      </c>
      <c r="AH7">
        <v>1428.48</v>
      </c>
      <c r="AI7" t="s">
        <v>364</v>
      </c>
      <c r="AJ7" t="s">
        <v>365</v>
      </c>
      <c r="AK7" t="s">
        <v>366</v>
      </c>
      <c r="AL7" t="s">
        <v>367</v>
      </c>
      <c r="AM7" t="s">
        <v>368</v>
      </c>
      <c r="AN7" t="s">
        <v>185</v>
      </c>
      <c r="AO7" t="s">
        <v>369</v>
      </c>
      <c r="AP7" t="s">
        <v>7</v>
      </c>
      <c r="AQ7" t="s">
        <v>370</v>
      </c>
      <c r="AR7" t="s">
        <v>371</v>
      </c>
      <c r="AS7" t="s">
        <v>7</v>
      </c>
      <c r="AT7" t="s">
        <v>163</v>
      </c>
      <c r="AU7" t="s">
        <v>7</v>
      </c>
      <c r="AV7" t="s">
        <v>372</v>
      </c>
      <c r="AW7" t="s">
        <v>373</v>
      </c>
      <c r="AX7" t="s">
        <v>374</v>
      </c>
      <c r="AY7" t="s">
        <v>171</v>
      </c>
      <c r="AZ7" t="s">
        <v>375</v>
      </c>
      <c r="BA7" t="s">
        <v>193</v>
      </c>
      <c r="BB7" t="s">
        <v>159</v>
      </c>
      <c r="BC7" t="s">
        <v>375</v>
      </c>
      <c r="BD7" t="s">
        <v>376</v>
      </c>
      <c r="BE7" t="s">
        <v>377</v>
      </c>
      <c r="BF7" t="s">
        <v>378</v>
      </c>
      <c r="BG7" t="s">
        <v>379</v>
      </c>
      <c r="BH7" t="s">
        <v>380</v>
      </c>
      <c r="BI7" t="s">
        <v>194</v>
      </c>
      <c r="BJ7" t="s">
        <v>381</v>
      </c>
      <c r="BK7" t="s">
        <v>305</v>
      </c>
      <c r="BL7" t="s">
        <v>382</v>
      </c>
      <c r="BM7" t="s">
        <v>383</v>
      </c>
      <c r="BN7" t="s">
        <v>384</v>
      </c>
      <c r="BO7">
        <v>1.44</v>
      </c>
      <c r="BP7">
        <v>4.26</v>
      </c>
      <c r="BQ7">
        <v>4.2</v>
      </c>
      <c r="BR7">
        <v>1.52</v>
      </c>
      <c r="BS7">
        <v>4.43</v>
      </c>
      <c r="BT7">
        <v>4.29</v>
      </c>
      <c r="BU7">
        <v>1.6</v>
      </c>
      <c r="BV7" t="s">
        <v>253</v>
      </c>
      <c r="BW7">
        <v>13.38</v>
      </c>
      <c r="BX7">
        <v>16.47</v>
      </c>
      <c r="BY7">
        <v>13.21</v>
      </c>
      <c r="BZ7">
        <v>3.77</v>
      </c>
      <c r="CA7">
        <v>5.76</v>
      </c>
      <c r="CB7">
        <v>3.03</v>
      </c>
      <c r="CC7">
        <v>1.86</v>
      </c>
      <c r="CD7">
        <v>-22.46</v>
      </c>
      <c r="CE7" t="s">
        <v>437</v>
      </c>
      <c r="CF7" t="s">
        <v>438</v>
      </c>
      <c r="CG7" s="20">
        <v>-0.1100301010101013</v>
      </c>
      <c r="CH7" s="21">
        <v>-0.15112269057961558</v>
      </c>
      <c r="CI7" s="20">
        <v>9.8522165790200233E-3</v>
      </c>
      <c r="CJ7" s="20">
        <v>0.43971630930900574</v>
      </c>
      <c r="CK7" s="20">
        <v>0.17991632223129272</v>
      </c>
      <c r="CL7" s="20">
        <v>-0.15547703206539154</v>
      </c>
      <c r="CM7" s="20">
        <v>3.5460991784930229E-3</v>
      </c>
      <c r="CN7" s="21">
        <v>5.6580089032649994E-2</v>
      </c>
      <c r="CO7" s="21">
        <v>1.7380807399749756</v>
      </c>
      <c r="CP7" s="21">
        <v>-0.69588559865951538</v>
      </c>
      <c r="CQ7" s="21">
        <v>-0.29865893721580505</v>
      </c>
      <c r="CR7" s="21">
        <v>6.1665251851081848E-2</v>
      </c>
      <c r="CS7">
        <v>3.8746653658536592</v>
      </c>
      <c r="CT7">
        <v>27394423.115780964</v>
      </c>
      <c r="CU7">
        <v>1.5365</v>
      </c>
      <c r="CV7" s="20">
        <v>9.5510783046483999E-2</v>
      </c>
      <c r="CW7" s="21">
        <v>0.17235630899667739</v>
      </c>
      <c r="CX7">
        <v>0.06</v>
      </c>
      <c r="CY7">
        <v>45.421674361712697</v>
      </c>
      <c r="CZ7">
        <v>25573975.779703062</v>
      </c>
      <c r="DA7">
        <v>9.5510783046483999E-2</v>
      </c>
      <c r="DB7">
        <v>14.774318260723991</v>
      </c>
      <c r="DC7">
        <v>78623783.480286092</v>
      </c>
      <c r="DD7">
        <v>9.0735243894159795E-2</v>
      </c>
      <c r="DE7">
        <v>7.2277413875593055</v>
      </c>
      <c r="DF7">
        <v>160715877.57683432</v>
      </c>
      <c r="DG7">
        <v>8.4049489080905926E-2</v>
      </c>
      <c r="DH7">
        <v>4.3098198080770436</v>
      </c>
      <c r="DI7">
        <v>269526999.2084167</v>
      </c>
      <c r="DJ7">
        <v>7.640862643718721E-2</v>
      </c>
      <c r="DK7">
        <v>2.1919859275007241</v>
      </c>
      <c r="DL7">
        <v>529936248.87202489</v>
      </c>
      <c r="DM7">
        <v>6.6857548132538788E-2</v>
      </c>
      <c r="DN7">
        <v>24745000</v>
      </c>
      <c r="DO7">
        <v>9.5510783046483999E-2</v>
      </c>
      <c r="DP7">
        <v>1161612800</v>
      </c>
      <c r="DQ7">
        <v>401716430</v>
      </c>
      <c r="DR7">
        <v>1359</v>
      </c>
      <c r="DS7">
        <v>-0.2055408840565853</v>
      </c>
      <c r="DT7">
        <v>-0.323478999576293</v>
      </c>
      <c r="DU7" s="22">
        <v>0</v>
      </c>
      <c r="DV7">
        <v>0</v>
      </c>
      <c r="DW7">
        <v>0</v>
      </c>
      <c r="DX7">
        <v>-3.073059523809524</v>
      </c>
      <c r="DY7">
        <v>0.2884422550320408</v>
      </c>
      <c r="DZ7">
        <v>-3.0115757157039482</v>
      </c>
      <c r="EA7">
        <v>3175</v>
      </c>
      <c r="EB7">
        <v>-3.0040118347901728</v>
      </c>
      <c r="EC7">
        <v>3</v>
      </c>
      <c r="ED7">
        <v>6.0130922025327306E-2</v>
      </c>
      <c r="EE7">
        <v>0.37951316719878292</v>
      </c>
      <c r="EF7" s="19">
        <v>1.95E-2</v>
      </c>
      <c r="EG7">
        <v>3.2600000000000004E-2</v>
      </c>
      <c r="EH7">
        <v>13.158442255032041</v>
      </c>
      <c r="EI7" t="s">
        <v>439</v>
      </c>
      <c r="EJ7">
        <v>0</v>
      </c>
      <c r="EK7">
        <v>0</v>
      </c>
      <c r="EL7" s="26">
        <v>44847</v>
      </c>
      <c r="EM7" s="27">
        <v>-1.86</v>
      </c>
      <c r="EN7" s="27">
        <v>0.61</v>
      </c>
      <c r="EO7" s="27">
        <v>-2.73</v>
      </c>
      <c r="EP7" s="27">
        <v>4.67</v>
      </c>
      <c r="EQ7" s="27">
        <v>1.31</v>
      </c>
    </row>
    <row r="8" spans="1:147" ht="162" x14ac:dyDescent="0.25">
      <c r="B8" s="3"/>
      <c r="C8" s="3"/>
      <c r="D8" s="3" t="s">
        <v>445</v>
      </c>
      <c r="E8" t="s">
        <v>214</v>
      </c>
      <c r="F8" t="s">
        <v>215</v>
      </c>
      <c r="G8">
        <v>11.88</v>
      </c>
      <c r="H8">
        <v>10</v>
      </c>
      <c r="I8" t="s">
        <v>441</v>
      </c>
      <c r="J8">
        <v>1441543000</v>
      </c>
      <c r="K8">
        <v>41.45</v>
      </c>
      <c r="L8">
        <v>1.94</v>
      </c>
      <c r="M8" t="s">
        <v>190</v>
      </c>
      <c r="N8" t="s">
        <v>385</v>
      </c>
      <c r="O8" t="s">
        <v>386</v>
      </c>
      <c r="P8" t="s">
        <v>387</v>
      </c>
      <c r="Q8">
        <v>8.34</v>
      </c>
      <c r="R8" t="s">
        <v>388</v>
      </c>
      <c r="S8">
        <v>4054019</v>
      </c>
      <c r="T8" s="4">
        <v>-0.25080000000000002</v>
      </c>
      <c r="U8" t="s">
        <v>389</v>
      </c>
      <c r="V8">
        <v>121342000</v>
      </c>
      <c r="W8">
        <v>121342000</v>
      </c>
      <c r="X8">
        <v>1.97</v>
      </c>
      <c r="Y8">
        <v>0.1</v>
      </c>
      <c r="Z8">
        <v>2.77</v>
      </c>
      <c r="AA8" t="s">
        <v>180</v>
      </c>
      <c r="AB8" t="s">
        <v>390</v>
      </c>
      <c r="AC8" t="s">
        <v>391</v>
      </c>
      <c r="AD8" t="s">
        <v>392</v>
      </c>
      <c r="AE8" t="s">
        <v>393</v>
      </c>
      <c r="AF8">
        <v>-369184</v>
      </c>
      <c r="AG8" t="s">
        <v>187</v>
      </c>
      <c r="AH8" t="s">
        <v>394</v>
      </c>
      <c r="AI8" t="s">
        <v>395</v>
      </c>
      <c r="AJ8" t="s">
        <v>396</v>
      </c>
      <c r="AK8" t="s">
        <v>397</v>
      </c>
      <c r="AL8" t="s">
        <v>7</v>
      </c>
      <c r="AM8" t="s">
        <v>398</v>
      </c>
      <c r="AN8" t="s">
        <v>168</v>
      </c>
      <c r="AO8" t="s">
        <v>399</v>
      </c>
      <c r="AP8" t="s">
        <v>182</v>
      </c>
      <c r="AQ8" t="s">
        <v>7</v>
      </c>
      <c r="AR8" t="s">
        <v>178</v>
      </c>
      <c r="AS8" t="s">
        <v>7</v>
      </c>
      <c r="AT8" t="s">
        <v>400</v>
      </c>
      <c r="AU8" t="s">
        <v>7</v>
      </c>
      <c r="AV8" t="s">
        <v>401</v>
      </c>
      <c r="AW8" t="s">
        <v>402</v>
      </c>
      <c r="AX8" t="s">
        <v>403</v>
      </c>
      <c r="AY8" t="s">
        <v>404</v>
      </c>
      <c r="AZ8" t="s">
        <v>188</v>
      </c>
      <c r="BA8" t="s">
        <v>405</v>
      </c>
      <c r="BB8" t="s">
        <v>406</v>
      </c>
      <c r="BC8" t="s">
        <v>165</v>
      </c>
      <c r="BD8" t="s">
        <v>407</v>
      </c>
      <c r="BE8" t="s">
        <v>408</v>
      </c>
      <c r="BF8" t="s">
        <v>409</v>
      </c>
      <c r="BG8" t="s">
        <v>410</v>
      </c>
      <c r="BH8" t="s">
        <v>411</v>
      </c>
      <c r="BI8" t="s">
        <v>412</v>
      </c>
      <c r="BJ8" t="s">
        <v>198</v>
      </c>
      <c r="BK8" t="s">
        <v>413</v>
      </c>
      <c r="BL8" t="s">
        <v>414</v>
      </c>
      <c r="BM8" t="s">
        <v>415</v>
      </c>
      <c r="BN8" t="s">
        <v>416</v>
      </c>
      <c r="BO8">
        <v>0.37</v>
      </c>
      <c r="BP8">
        <v>3.58</v>
      </c>
      <c r="BQ8">
        <v>1.57</v>
      </c>
      <c r="BR8">
        <v>1.36</v>
      </c>
      <c r="BS8">
        <v>4.9400000000000004</v>
      </c>
      <c r="BT8">
        <v>1.91</v>
      </c>
      <c r="BU8">
        <v>1.41</v>
      </c>
      <c r="BV8" t="s">
        <v>253</v>
      </c>
      <c r="BW8">
        <v>32</v>
      </c>
      <c r="BX8">
        <v>34.119999999999997</v>
      </c>
      <c r="BY8">
        <v>41.65</v>
      </c>
      <c r="BZ8">
        <v>3.37</v>
      </c>
      <c r="CA8">
        <v>-0.43</v>
      </c>
      <c r="CB8">
        <v>5.0199999999999996</v>
      </c>
      <c r="CC8">
        <v>9.19</v>
      </c>
      <c r="CD8">
        <v>-3.88</v>
      </c>
      <c r="CE8" t="s">
        <v>442</v>
      </c>
      <c r="CF8" t="s">
        <v>443</v>
      </c>
      <c r="CG8" s="20">
        <v>4.9433484598660496E-2</v>
      </c>
      <c r="CH8" s="21">
        <v>-0.70820023021267264</v>
      </c>
      <c r="CI8" s="20">
        <v>0.1651785671710968</v>
      </c>
      <c r="CJ8" s="20">
        <v>-3.0303031206130981E-2</v>
      </c>
      <c r="CK8" s="20">
        <v>0.39156627655029297</v>
      </c>
      <c r="CL8" s="20">
        <v>8.1433221697807312E-2</v>
      </c>
      <c r="CM8" s="20">
        <v>0.2182539701461792</v>
      </c>
      <c r="CN8" s="21">
        <v>1.6425269842147827</v>
      </c>
      <c r="CO8" s="21">
        <v>0.34615042805671692</v>
      </c>
      <c r="CP8" s="21">
        <v>-0.32723817229270935</v>
      </c>
      <c r="CQ8" s="21">
        <v>0.3692992627620697</v>
      </c>
      <c r="CR8" s="21">
        <v>-0.60814547538757324</v>
      </c>
      <c r="CS8">
        <v>2.7615766283524903</v>
      </c>
      <c r="CT8">
        <v>-8514161.9736823905</v>
      </c>
      <c r="CU8">
        <v>0.54569000000000001</v>
      </c>
      <c r="CV8" s="20">
        <v>0.16522580087184907</v>
      </c>
      <c r="CW8" s="21">
        <v>0.28451860547065733</v>
      </c>
      <c r="CX8">
        <v>0.06</v>
      </c>
      <c r="CY8">
        <v>35.761529821168288</v>
      </c>
      <c r="CZ8">
        <v>39722657.47868368</v>
      </c>
      <c r="DA8">
        <v>0.16522580087184907</v>
      </c>
      <c r="DB8">
        <v>10.97140600005616</v>
      </c>
      <c r="DC8">
        <v>129476841.89179844</v>
      </c>
      <c r="DD8">
        <v>0.1569645108282566</v>
      </c>
      <c r="DE8">
        <v>4.952172328510998</v>
      </c>
      <c r="DF8">
        <v>286852497.4023115</v>
      </c>
      <c r="DG8">
        <v>0.14539870476722719</v>
      </c>
      <c r="DH8">
        <v>2.6879415322067799</v>
      </c>
      <c r="DI8">
        <v>528487313.7972405</v>
      </c>
      <c r="DJ8">
        <v>0.13218064069747926</v>
      </c>
      <c r="DK8">
        <v>1.0999652986032145</v>
      </c>
      <c r="DL8">
        <v>1291443468.0838292</v>
      </c>
      <c r="DM8">
        <v>0.11565806061029434</v>
      </c>
      <c r="DN8">
        <v>36135500</v>
      </c>
      <c r="DO8">
        <v>0.16522580087184907</v>
      </c>
      <c r="DP8">
        <v>1420543000</v>
      </c>
      <c r="DQ8">
        <v>487452470</v>
      </c>
      <c r="DR8">
        <v>3741</v>
      </c>
      <c r="DS8">
        <v>-0.11579231627318858</v>
      </c>
      <c r="DT8">
        <v>-0.99271883568332997</v>
      </c>
      <c r="DU8" s="22">
        <v>0</v>
      </c>
      <c r="DV8">
        <v>-0.22</v>
      </c>
      <c r="DW8">
        <v>-0.22</v>
      </c>
      <c r="DX8">
        <v>5.4221980413492927</v>
      </c>
      <c r="DY8">
        <v>1.272930941159379</v>
      </c>
      <c r="DZ8">
        <v>5.0730111046461825</v>
      </c>
      <c r="EA8">
        <v>2554</v>
      </c>
      <c r="EB8">
        <v>5.0346348211997221</v>
      </c>
      <c r="EC8">
        <v>5</v>
      </c>
      <c r="ED8">
        <v>5.3975540208666413E-2</v>
      </c>
      <c r="EE8">
        <v>0.31212193634520613</v>
      </c>
      <c r="EF8" s="19">
        <v>1.0058</v>
      </c>
      <c r="EG8">
        <v>1.1057999999999999</v>
      </c>
      <c r="EH8">
        <v>110.17293094115938</v>
      </c>
      <c r="EI8" t="s">
        <v>444</v>
      </c>
      <c r="EJ8">
        <v>1</v>
      </c>
      <c r="EK8">
        <v>0</v>
      </c>
      <c r="EL8" s="26">
        <v>44847</v>
      </c>
      <c r="EM8" s="27">
        <v>-0.83</v>
      </c>
      <c r="EN8" s="27">
        <v>-2.41</v>
      </c>
      <c r="EO8" s="27">
        <v>-0.66</v>
      </c>
      <c r="EP8" s="27">
        <v>3.25</v>
      </c>
      <c r="EQ8" s="27">
        <v>10</v>
      </c>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4.4" x14ac:dyDescent="0.25"/>
  <cols>
    <col min="1" max="1" width="8.88671875" style="1"/>
    <col min="2" max="2" width="12.5546875" customWidth="1"/>
    <col min="4" max="4" width="13.88671875" bestFit="1" customWidth="1"/>
    <col min="5" max="12" width="8.77734375" customWidth="1"/>
    <col min="13" max="13" width="15.88671875" customWidth="1"/>
    <col min="14" max="17" width="8.77734375" customWidth="1"/>
    <col min="18" max="18" width="13.6640625" customWidth="1"/>
    <col min="19" max="19" width="12.88671875" customWidth="1"/>
  </cols>
  <sheetData>
    <row r="1" spans="1:32" s="7" customFormat="1" ht="57.6" x14ac:dyDescent="0.25">
      <c r="A1" s="6" t="s">
        <v>30</v>
      </c>
      <c r="B1" s="7" t="s">
        <v>34</v>
      </c>
      <c r="C1" s="7" t="s">
        <v>31</v>
      </c>
      <c r="D1" s="7" t="s">
        <v>35</v>
      </c>
      <c r="E1" s="8" t="s">
        <v>32</v>
      </c>
      <c r="F1" s="8" t="s">
        <v>33</v>
      </c>
      <c r="G1" s="8" t="s">
        <v>41</v>
      </c>
      <c r="H1" s="8" t="s">
        <v>36</v>
      </c>
      <c r="I1" s="8" t="s">
        <v>37</v>
      </c>
      <c r="J1" s="8" t="s">
        <v>38</v>
      </c>
      <c r="K1" s="8" t="s">
        <v>39</v>
      </c>
      <c r="L1" s="7" t="s">
        <v>40</v>
      </c>
      <c r="M1" s="7" t="s">
        <v>42</v>
      </c>
      <c r="N1" s="7" t="s">
        <v>43</v>
      </c>
      <c r="O1" s="7" t="s">
        <v>44</v>
      </c>
      <c r="P1" s="7" t="s">
        <v>45</v>
      </c>
      <c r="Q1" s="7" t="s">
        <v>46</v>
      </c>
      <c r="R1" s="11" t="s">
        <v>47</v>
      </c>
      <c r="S1" s="7" t="s">
        <v>48</v>
      </c>
      <c r="T1" s="7" t="s">
        <v>49</v>
      </c>
      <c r="U1" s="7" t="s">
        <v>50</v>
      </c>
      <c r="V1" s="7" t="s">
        <v>51</v>
      </c>
      <c r="W1" s="7" t="s">
        <v>52</v>
      </c>
      <c r="X1" s="7" t="s">
        <v>53</v>
      </c>
      <c r="Y1" s="7" t="s">
        <v>54</v>
      </c>
      <c r="Z1" s="7" t="s">
        <v>55</v>
      </c>
      <c r="AA1" s="7" t="s">
        <v>56</v>
      </c>
      <c r="AB1" s="7" t="s">
        <v>57</v>
      </c>
      <c r="AC1" s="7" t="s">
        <v>58</v>
      </c>
      <c r="AD1" s="15" t="s">
        <v>59</v>
      </c>
      <c r="AE1" s="7" t="s">
        <v>60</v>
      </c>
      <c r="AF1" s="7" t="s">
        <v>61</v>
      </c>
    </row>
    <row r="2" spans="1:32" x14ac:dyDescent="0.25">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x14ac:dyDescent="0.25">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x14ac:dyDescent="0.25">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x14ac:dyDescent="0.25">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x14ac:dyDescent="0.25">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x14ac:dyDescent="0.25">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x14ac:dyDescent="0.25">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x14ac:dyDescent="0.25">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x14ac:dyDescent="0.25">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x14ac:dyDescent="0.25">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x14ac:dyDescent="0.25">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x14ac:dyDescent="0.25">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x14ac:dyDescent="0.25">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x14ac:dyDescent="0.25">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x14ac:dyDescent="0.25">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x14ac:dyDescent="0.25">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x14ac:dyDescent="0.25">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x14ac:dyDescent="0.25">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x14ac:dyDescent="0.25">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x14ac:dyDescent="0.25">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x14ac:dyDescent="0.25">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x14ac:dyDescent="0.25">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x14ac:dyDescent="0.25">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x14ac:dyDescent="0.25">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x14ac:dyDescent="0.25">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x14ac:dyDescent="0.25">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x14ac:dyDescent="0.25">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x14ac:dyDescent="0.25">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x14ac:dyDescent="0.25">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x14ac:dyDescent="0.25">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x14ac:dyDescent="0.25">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x14ac:dyDescent="0.25">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x14ac:dyDescent="0.25">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x14ac:dyDescent="0.25">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x14ac:dyDescent="0.25">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x14ac:dyDescent="0.25">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x14ac:dyDescent="0.25">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x14ac:dyDescent="0.25">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x14ac:dyDescent="0.25">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x14ac:dyDescent="0.25">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x14ac:dyDescent="0.25">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x14ac:dyDescent="0.25">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x14ac:dyDescent="0.25">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x14ac:dyDescent="0.25">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x14ac:dyDescent="0.25">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x14ac:dyDescent="0.25">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x14ac:dyDescent="0.25">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x14ac:dyDescent="0.25">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x14ac:dyDescent="0.25">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x14ac:dyDescent="0.25">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x14ac:dyDescent="0.25">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x14ac:dyDescent="0.25">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x14ac:dyDescent="0.25">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x14ac:dyDescent="0.25">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x14ac:dyDescent="0.25">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x14ac:dyDescent="0.25">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x14ac:dyDescent="0.25">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x14ac:dyDescent="0.25">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x14ac:dyDescent="0.25">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x14ac:dyDescent="0.25">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x14ac:dyDescent="0.25">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x14ac:dyDescent="0.25">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x14ac:dyDescent="0.25">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x14ac:dyDescent="0.25">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x14ac:dyDescent="0.25">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x14ac:dyDescent="0.25">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x14ac:dyDescent="0.25">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x14ac:dyDescent="0.25">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x14ac:dyDescent="0.25">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x14ac:dyDescent="0.25">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x14ac:dyDescent="0.25">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x14ac:dyDescent="0.25">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x14ac:dyDescent="0.25">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x14ac:dyDescent="0.25">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x14ac:dyDescent="0.25">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x14ac:dyDescent="0.25">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x14ac:dyDescent="0.25">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x14ac:dyDescent="0.25">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x14ac:dyDescent="0.25">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x14ac:dyDescent="0.25">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x14ac:dyDescent="0.25">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x14ac:dyDescent="0.25">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x14ac:dyDescent="0.25">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x14ac:dyDescent="0.25">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x14ac:dyDescent="0.25">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x14ac:dyDescent="0.25">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x14ac:dyDescent="0.25">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x14ac:dyDescent="0.25">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x14ac:dyDescent="0.25">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x14ac:dyDescent="0.25">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x14ac:dyDescent="0.25">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x14ac:dyDescent="0.25">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x14ac:dyDescent="0.25">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x14ac:dyDescent="0.25">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x14ac:dyDescent="0.25">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x14ac:dyDescent="0.25">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x14ac:dyDescent="0.25">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x14ac:dyDescent="0.25">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x14ac:dyDescent="0.25">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x14ac:dyDescent="0.25">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x14ac:dyDescent="0.25">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x14ac:dyDescent="0.25">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x14ac:dyDescent="0.25">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x14ac:dyDescent="0.25">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x14ac:dyDescent="0.25">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x14ac:dyDescent="0.25">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x14ac:dyDescent="0.25">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x14ac:dyDescent="0.25">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x14ac:dyDescent="0.25">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x14ac:dyDescent="0.25">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x14ac:dyDescent="0.25">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x14ac:dyDescent="0.25">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x14ac:dyDescent="0.25">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x14ac:dyDescent="0.25">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x14ac:dyDescent="0.25">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x14ac:dyDescent="0.25">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x14ac:dyDescent="0.25">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x14ac:dyDescent="0.25">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x14ac:dyDescent="0.25">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x14ac:dyDescent="0.25">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x14ac:dyDescent="0.25">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x14ac:dyDescent="0.25">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x14ac:dyDescent="0.25">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x14ac:dyDescent="0.25">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x14ac:dyDescent="0.25">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x14ac:dyDescent="0.25">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x14ac:dyDescent="0.25">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x14ac:dyDescent="0.25">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x14ac:dyDescent="0.25">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x14ac:dyDescent="0.25">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x14ac:dyDescent="0.25">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x14ac:dyDescent="0.25">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x14ac:dyDescent="0.25">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x14ac:dyDescent="0.25">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x14ac:dyDescent="0.25">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x14ac:dyDescent="0.25">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x14ac:dyDescent="0.25">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x14ac:dyDescent="0.25">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x14ac:dyDescent="0.25">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x14ac:dyDescent="0.25">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x14ac:dyDescent="0.25">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x14ac:dyDescent="0.25">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x14ac:dyDescent="0.25">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x14ac:dyDescent="0.25">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x14ac:dyDescent="0.25">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x14ac:dyDescent="0.25">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x14ac:dyDescent="0.25">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x14ac:dyDescent="0.25">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x14ac:dyDescent="0.25">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x14ac:dyDescent="0.25">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x14ac:dyDescent="0.25">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x14ac:dyDescent="0.25">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x14ac:dyDescent="0.25">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x14ac:dyDescent="0.25">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x14ac:dyDescent="0.25">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x14ac:dyDescent="0.25">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x14ac:dyDescent="0.25">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x14ac:dyDescent="0.25">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x14ac:dyDescent="0.25">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x14ac:dyDescent="0.25">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x14ac:dyDescent="0.25">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x14ac:dyDescent="0.25">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x14ac:dyDescent="0.25">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x14ac:dyDescent="0.25">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x14ac:dyDescent="0.25">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x14ac:dyDescent="0.25">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x14ac:dyDescent="0.25">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x14ac:dyDescent="0.25">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x14ac:dyDescent="0.25">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x14ac:dyDescent="0.25">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x14ac:dyDescent="0.25">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x14ac:dyDescent="0.25">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x14ac:dyDescent="0.25">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x14ac:dyDescent="0.25">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x14ac:dyDescent="0.25">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x14ac:dyDescent="0.25">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x14ac:dyDescent="0.25">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x14ac:dyDescent="0.25">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x14ac:dyDescent="0.25">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x14ac:dyDescent="0.25">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x14ac:dyDescent="0.25">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x14ac:dyDescent="0.25">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x14ac:dyDescent="0.25">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x14ac:dyDescent="0.25">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x14ac:dyDescent="0.25">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x14ac:dyDescent="0.25">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x14ac:dyDescent="0.25">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x14ac:dyDescent="0.25">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x14ac:dyDescent="0.25">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x14ac:dyDescent="0.25">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x14ac:dyDescent="0.25">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x14ac:dyDescent="0.25">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x14ac:dyDescent="0.25">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x14ac:dyDescent="0.25">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x14ac:dyDescent="0.25">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x14ac:dyDescent="0.25">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x14ac:dyDescent="0.25">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x14ac:dyDescent="0.25">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x14ac:dyDescent="0.25">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x14ac:dyDescent="0.25">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4" x14ac:dyDescent="0.25"/>
  <sheetData>
    <row r="3" spans="3:3" x14ac:dyDescent="0.25">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53340</xdr:colOff>
                <xdr:row>37</xdr:row>
                <xdr:rowOff>53340</xdr:rowOff>
              </from>
              <to>
                <xdr:col>15</xdr:col>
                <xdr:colOff>548640</xdr:colOff>
                <xdr:row>59</xdr:row>
                <xdr:rowOff>91440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99060</xdr:colOff>
                <xdr:row>1</xdr:row>
                <xdr:rowOff>38100</xdr:rowOff>
              </from>
              <to>
                <xdr:col>25</xdr:col>
                <xdr:colOff>464820</xdr:colOff>
                <xdr:row>36</xdr:row>
                <xdr:rowOff>99060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167640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农用机械</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Administrator</cp:lastModifiedBy>
  <dcterms:created xsi:type="dcterms:W3CDTF">2018-08-09T11:49:58Z</dcterms:created>
  <dcterms:modified xsi:type="dcterms:W3CDTF">2023-06-10T11:33:48Z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