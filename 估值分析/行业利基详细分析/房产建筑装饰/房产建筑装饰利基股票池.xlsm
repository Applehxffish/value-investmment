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C:\004Investment\value-investment\估值分析\行业利基详细分析\房产建筑装饰\"/>
    </mc:Choice>
  </mc:AlternateContent>
  <bookViews>
    <workbookView xWindow="-110" yWindow="-110" windowWidth="20270" windowHeight="9130" activeTab="2"/>
  </bookViews>
  <sheets>
    <sheet name="瓷砖地板" sheetId="31" r:id="rId1"/>
    <sheet name="家具" sheetId="45" r:id="rId2"/>
    <sheet name="国资大基建" sheetId="46" r:id="rId3"/>
    <sheet name="公司价值折现" sheetId="42" r:id="rId4"/>
    <sheet name="基本面模型" sheetId="23" r:id="rId5"/>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<sst xmlns="http://schemas.openxmlformats.org/spreadsheetml/2006/main" count="3426" uniqueCount="2530">
  <si>
    <t>现价</t>
  </si>
  <si>
    <t>市净率</t>
  </si>
  <si>
    <t>代码</t>
  </si>
  <si>
    <t xml:space="preserve">    名称</t>
  </si>
  <si>
    <t>总市值</t>
  </si>
  <si>
    <t>TTM市盈率</t>
  </si>
  <si>
    <t>所属行业</t>
  </si>
  <si>
    <t>负债合计</t>
  </si>
  <si>
    <t>所有者权益合计</t>
  </si>
  <si>
    <t>主营业务收入</t>
  </si>
  <si>
    <t>净利润增长率</t>
  </si>
  <si>
    <t>总股本</t>
  </si>
  <si>
    <t>财务费用</t>
  </si>
  <si>
    <t>投资收益</t>
  </si>
  <si>
    <t>应收账款</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</si>
  <si>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</si>
  <si>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</si>
  <si>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</si>
  <si>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</si>
  <si>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</si>
  <si>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</si>
  <si>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</si>
  <si>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</si>
  <si>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</si>
  <si>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</si>
  <si>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</si>
  <si>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</si>
  <si>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</si>
  <si>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</si>
  <si>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</si>
  <si>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</si>
  <si>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</si>
  <si>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</si>
  <si>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</si>
  <si>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</si>
  <si>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</si>
  <si>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</si>
  <si>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</si>
  <si>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</si>
  <si>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</si>
  <si>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</si>
  <si>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</si>
  <si>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</si>
  <si>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</si>
  <si>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</si>
  <si>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</si>
  <si>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</si>
  <si>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事件触发</t>
    <phoneticPr fontId="1" type="noConversion"/>
  </si>
  <si>
    <t>流动资产</t>
  </si>
  <si>
    <t>营业收入[20191231]</t>
  </si>
  <si>
    <t>营业收入[20181231]</t>
  </si>
  <si>
    <t>营业收入[20171231]</t>
  </si>
  <si>
    <t>营业收入[20161231]</t>
  </si>
  <si>
    <t>净利润[20191231]</t>
  </si>
  <si>
    <t>净利润[20181231]</t>
  </si>
  <si>
    <t>净利润[20171231]</t>
  </si>
  <si>
    <t>净利润[20161231]</t>
  </si>
  <si>
    <t>营业收入[20201231]</t>
  </si>
  <si>
    <t>净利润[20201231]</t>
  </si>
  <si>
    <t>投入资本回报率roic%[20201231]</t>
  </si>
  <si>
    <t>投入资本回报率roic%[20191231]</t>
  </si>
  <si>
    <t>投入资本回报率roic%[20181231]</t>
  </si>
  <si>
    <t>净资产收益率%[20201231]</t>
  </si>
  <si>
    <t>净资产收益率%[20191231]</t>
  </si>
  <si>
    <t>净资产收益率%[20181231]</t>
  </si>
  <si>
    <t>销售毛利率%[20201231]</t>
  </si>
  <si>
    <t>销售毛利率%[20191231]</t>
  </si>
  <si>
    <t>销售净利率%[20201231]</t>
  </si>
  <si>
    <t>销售净利率%[20191231]</t>
  </si>
  <si>
    <t>权益乘数[20210331]</t>
  </si>
  <si>
    <t>总资产周转率[20210331]</t>
  </si>
  <si>
    <t>净利润／营业总收入%[20210331]</t>
  </si>
  <si>
    <t>营业总成本[20210331]</t>
  </si>
  <si>
    <t>营业成本[20210331]</t>
  </si>
  <si>
    <t>管理费用[20210331]</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</si>
  <si>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</si>
  <si>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</si>
  <si>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</si>
  <si>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</si>
  <si>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</si>
  <si>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</si>
  <si>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</si>
  <si>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</si>
  <si>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</si>
  <si>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</si>
  <si>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</si>
  <si>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</si>
  <si>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</si>
  <si>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</si>
  <si>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</si>
  <si>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涨幅%</t>
  </si>
  <si>
    <t>LYear营业总收入[20211231]</t>
  </si>
  <si>
    <t>LYear净利润[20211231]</t>
  </si>
  <si>
    <t>流通股本</t>
  </si>
  <si>
    <t>销售费用[20220331]</t>
  </si>
  <si>
    <t>其他收入[20220331]</t>
  </si>
  <si>
    <t>货币资金[20220331]</t>
  </si>
  <si>
    <t>应收票据[20220331]</t>
  </si>
  <si>
    <t>固定资产[20220331]</t>
  </si>
  <si>
    <t>在建工程[20220331]</t>
  </si>
  <si>
    <t>短期借款[20220331]</t>
  </si>
  <si>
    <t>应付票据[20220331]</t>
  </si>
  <si>
    <t>应付账款[20220331]</t>
  </si>
  <si>
    <t>预收款项[20220331]</t>
  </si>
  <si>
    <t>流动负债[20220331]</t>
  </si>
  <si>
    <t>长期借款[20220331]</t>
  </si>
  <si>
    <t>经营活动产生的现金流量净额[20220331]</t>
  </si>
  <si>
    <t>投资活动产生的现金流量净额[20220331]</t>
  </si>
  <si>
    <t>筹资活动产生的现金流量净额[20220331]</t>
  </si>
  <si>
    <t>LYCQ营业收入[20210331]</t>
  </si>
  <si>
    <t>CYLQ净利润[20211231]</t>
  </si>
  <si>
    <t>LYCQ净利润[20210331]</t>
  </si>
  <si>
    <t>LYLQ净利润[20201231]</t>
  </si>
  <si>
    <t>投入资本回报率roic%[20211231]</t>
  </si>
  <si>
    <t>净资产收益率%[20211231]</t>
  </si>
  <si>
    <t>销售毛利率%[20211231]</t>
  </si>
  <si>
    <t>销售净利率%[20211231]</t>
  </si>
  <si>
    <t>预期多</t>
    <phoneticPr fontId="1" type="noConversion"/>
  </si>
  <si>
    <t>预期空</t>
    <phoneticPr fontId="1" type="noConversion"/>
  </si>
  <si>
    <t>已知和基本信息</t>
    <phoneticPr fontId="1" type="noConversion"/>
  </si>
  <si>
    <t>成交量[20220517]</t>
  </si>
  <si>
    <t>营业收入(同比增长率) %[20220331]</t>
  </si>
  <si>
    <t>净利润?</t>
  </si>
  <si>
    <t>研发费用总额[20211231]</t>
  </si>
  <si>
    <t>扣非净利润</t>
  </si>
  <si>
    <t>营业总收入[20201231]</t>
  </si>
  <si>
    <t>营业收入[20220331]</t>
  </si>
  <si>
    <t>区间涨跌幅:前复权%[20220511-20220517]</t>
  </si>
  <si>
    <t>区间涨跌幅:前复权%[20220330-20220517]</t>
  </si>
  <si>
    <t>区间成交量[20220511-20220517]</t>
  </si>
  <si>
    <t>指数@区间成交量[20220330-20220517]</t>
  </si>
  <si>
    <t>市销率</t>
    <phoneticPr fontId="1" type="noConversion"/>
  </si>
  <si>
    <t>扣非对比净利润</t>
    <phoneticPr fontId="1" type="noConversion"/>
  </si>
  <si>
    <t>近期roe</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</si>
  <si>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</si>
  <si>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</si>
  <si>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</si>
  <si>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</si>
  <si>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</si>
  <si>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</si>
  <si>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</si>
  <si>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</si>
  <si>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</si>
  <si>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</si>
  <si>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</si>
  <si>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</si>
  <si>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</si>
  <si>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</si>
  <si>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原始排序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</si>
  <si>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</si>
  <si>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</si>
  <si>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</si>
  <si>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</si>
  <si>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</si>
  <si>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</si>
  <si>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</si>
  <si>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</si>
  <si>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</si>
  <si>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</si>
  <si>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</si>
  <si>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</si>
  <si>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</si>
  <si>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</si>
  <si>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</si>
  <si>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</si>
  <si>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</si>
  <si>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</si>
  <si>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1.58亿</t>
  </si>
  <si>
    <t>6.62亿</t>
  </si>
  <si>
    <t>5.21亿</t>
  </si>
  <si>
    <t>--</t>
  </si>
  <si>
    <t>1.22亿</t>
  </si>
  <si>
    <t>1.15亿</t>
  </si>
  <si>
    <t>1.09亿</t>
  </si>
  <si>
    <t>扭亏</t>
  </si>
  <si>
    <t>3.79亿</t>
  </si>
  <si>
    <t>1.51亿</t>
  </si>
  <si>
    <t>1.02亿</t>
  </si>
  <si>
    <t>5.28亿</t>
  </si>
  <si>
    <t>2.33亿</t>
  </si>
  <si>
    <t>4.23亿</t>
  </si>
  <si>
    <t>1.11亿</t>
  </si>
  <si>
    <t>1.10亿</t>
  </si>
  <si>
    <t>1.60亿</t>
  </si>
  <si>
    <t/>
  </si>
  <si>
    <t>1.13亿</t>
  </si>
  <si>
    <t>2.25亿</t>
  </si>
  <si>
    <t>7.96亿</t>
  </si>
  <si>
    <t>2.13亿</t>
  </si>
  <si>
    <t>7.91亿</t>
  </si>
  <si>
    <t>14.78亿</t>
  </si>
  <si>
    <t>21.83亿</t>
  </si>
  <si>
    <t>1.37亿</t>
  </si>
  <si>
    <t>1.38亿</t>
  </si>
  <si>
    <t>3.48亿</t>
  </si>
  <si>
    <t>2.52亿</t>
  </si>
  <si>
    <t>2.42亿</t>
  </si>
  <si>
    <t>2.91亿</t>
  </si>
  <si>
    <t>5.00亿</t>
  </si>
  <si>
    <t>3.55亿</t>
  </si>
  <si>
    <t>1.42亿</t>
  </si>
  <si>
    <t>3.06亿</t>
  </si>
  <si>
    <t>4-0</t>
  </si>
  <si>
    <t>18.90亿</t>
  </si>
  <si>
    <t>7.84亿</t>
  </si>
  <si>
    <t>1.78亿</t>
  </si>
  <si>
    <t>10.69亿</t>
  </si>
  <si>
    <t>6.30亿</t>
  </si>
  <si>
    <t>4.06亿</t>
  </si>
  <si>
    <t>1-0</t>
  </si>
  <si>
    <t>2.40亿</t>
  </si>
  <si>
    <t>7.17亿</t>
  </si>
  <si>
    <t>2.21亿</t>
  </si>
  <si>
    <t>2.64亿</t>
  </si>
  <si>
    <t>5.65亿</t>
  </si>
  <si>
    <t>1.92亿</t>
  </si>
  <si>
    <t>1.01亿</t>
  </si>
  <si>
    <t>4.05亿</t>
  </si>
  <si>
    <t>4.80亿</t>
  </si>
  <si>
    <t>1.81亿</t>
  </si>
  <si>
    <t>1.89亿</t>
  </si>
  <si>
    <t>1.75亿</t>
  </si>
  <si>
    <t>3.59亿</t>
  </si>
  <si>
    <t>3.07亿</t>
  </si>
  <si>
    <t>1.63亿</t>
  </si>
  <si>
    <t>2.11亿</t>
  </si>
  <si>
    <t>3-1</t>
  </si>
  <si>
    <t>1.04亿</t>
  </si>
  <si>
    <t>1.69亿</t>
  </si>
  <si>
    <t>1.85亿</t>
  </si>
  <si>
    <t>-1.96亿</t>
  </si>
  <si>
    <t>20.34亿</t>
  </si>
  <si>
    <t>9.28亿</t>
  </si>
  <si>
    <t>1.07亿</t>
  </si>
  <si>
    <t>2-0</t>
  </si>
  <si>
    <t>5.48亿</t>
  </si>
  <si>
    <t>1.18亿</t>
  </si>
  <si>
    <t>2.10亿</t>
  </si>
  <si>
    <t>3.12亿</t>
  </si>
  <si>
    <t>1.20亿</t>
  </si>
  <si>
    <t>3.57亿</t>
  </si>
  <si>
    <t>5.06亿</t>
  </si>
  <si>
    <t>5.66亿</t>
  </si>
  <si>
    <t>2.88亿</t>
  </si>
  <si>
    <t>1.74亿</t>
  </si>
  <si>
    <t>9.63亿</t>
  </si>
  <si>
    <t>8.43亿</t>
  </si>
  <si>
    <t>1.53亿</t>
  </si>
  <si>
    <t>1.52亿</t>
  </si>
  <si>
    <t>4.12亿</t>
  </si>
  <si>
    <t>64.81亿</t>
  </si>
  <si>
    <t>13.52亿</t>
  </si>
  <si>
    <t>4.47亿</t>
  </si>
  <si>
    <t>2.19亿</t>
  </si>
  <si>
    <t>14.68亿</t>
  </si>
  <si>
    <t>13.32亿</t>
  </si>
  <si>
    <t>1.71亿</t>
  </si>
  <si>
    <t>2.61亿</t>
  </si>
  <si>
    <t>1.70亿</t>
  </si>
  <si>
    <t>-3.80亿</t>
  </si>
  <si>
    <t>1.26亿</t>
  </si>
  <si>
    <t>1.77亿</t>
  </si>
  <si>
    <t>9.38亿</t>
  </si>
  <si>
    <t>3-0</t>
  </si>
  <si>
    <t>2.43亿</t>
  </si>
  <si>
    <t>3.31亿</t>
  </si>
  <si>
    <t>2.18亿</t>
  </si>
  <si>
    <t>2.20亿</t>
  </si>
  <si>
    <t>-1-1</t>
  </si>
  <si>
    <t>2.29亿</t>
  </si>
  <si>
    <t>2.28亿</t>
  </si>
  <si>
    <t>15.80亿</t>
  </si>
  <si>
    <t>1.83亿</t>
  </si>
  <si>
    <t>2.38亿</t>
  </si>
  <si>
    <t>21.24亿</t>
  </si>
  <si>
    <t>10.22亿</t>
  </si>
  <si>
    <t>1.40亿</t>
  </si>
  <si>
    <t>3.39亿</t>
  </si>
  <si>
    <t>22.23亿</t>
  </si>
  <si>
    <t>13.01亿</t>
  </si>
  <si>
    <t>3.33亿</t>
  </si>
  <si>
    <t>2.04亿</t>
  </si>
  <si>
    <t>8.22亿</t>
  </si>
  <si>
    <t>10.70亿</t>
  </si>
  <si>
    <t>5.97亿</t>
  </si>
  <si>
    <t>23.05亿</t>
  </si>
  <si>
    <t>39.71亿</t>
  </si>
  <si>
    <t>1.36亿</t>
  </si>
  <si>
    <t>1.23亿</t>
  </si>
  <si>
    <t>8.89亿</t>
  </si>
  <si>
    <t>1.56亿</t>
  </si>
  <si>
    <t>6.76亿</t>
  </si>
  <si>
    <t>3.74亿</t>
  </si>
  <si>
    <t>48.17亿</t>
  </si>
  <si>
    <t>6.85亿</t>
  </si>
  <si>
    <t>11.46亿</t>
  </si>
  <si>
    <t>2.67亿</t>
  </si>
  <si>
    <t>1.35亿</t>
  </si>
  <si>
    <t>7.68亿</t>
  </si>
  <si>
    <t>1.05亿</t>
  </si>
  <si>
    <t>2.66亿</t>
  </si>
  <si>
    <t>9.15亿</t>
  </si>
  <si>
    <t>19.08亿</t>
  </si>
  <si>
    <t>5.94亿</t>
  </si>
  <si>
    <t>-2-0</t>
  </si>
  <si>
    <t>31.62亿</t>
  </si>
  <si>
    <t>1.17亿</t>
  </si>
  <si>
    <t>17.98亿</t>
  </si>
  <si>
    <t>2.45亿</t>
  </si>
  <si>
    <t>1.30亿</t>
  </si>
  <si>
    <t>14.73亿</t>
  </si>
  <si>
    <t>6.01亿</t>
  </si>
  <si>
    <t>2.46亿</t>
  </si>
  <si>
    <t>2.53亿</t>
  </si>
  <si>
    <t>8.88亿</t>
  </si>
  <si>
    <t>4.44亿</t>
  </si>
  <si>
    <t>3.85亿</t>
  </si>
  <si>
    <t>4.93亿</t>
  </si>
  <si>
    <t>2.97亿</t>
  </si>
  <si>
    <t>3.23亿</t>
  </si>
  <si>
    <t>5.36亿</t>
  </si>
  <si>
    <t>4.16亿</t>
  </si>
  <si>
    <t>1.54亿</t>
  </si>
  <si>
    <t>2.35亿</t>
  </si>
  <si>
    <t>1.33亿</t>
  </si>
  <si>
    <t>-1.16亿</t>
  </si>
  <si>
    <t>3.78亿</t>
  </si>
  <si>
    <t>2.44亿</t>
  </si>
  <si>
    <t>1.27亿</t>
  </si>
  <si>
    <t>3.10亿</t>
  </si>
  <si>
    <t>2.01亿</t>
  </si>
  <si>
    <t>3.26亿</t>
  </si>
  <si>
    <t>3.28亿</t>
  </si>
  <si>
    <t>4.33亿</t>
  </si>
  <si>
    <t>1.16亿</t>
  </si>
  <si>
    <t>SZ003012</t>
  </si>
  <si>
    <t>东鹏控股</t>
  </si>
  <si>
    <t>2246.67万</t>
  </si>
  <si>
    <t>家用轻工</t>
  </si>
  <si>
    <t>SZ002918</t>
  </si>
  <si>
    <t>蒙娜丽莎</t>
  </si>
  <si>
    <t>1990.22万</t>
  </si>
  <si>
    <t>SZ000910</t>
  </si>
  <si>
    <t>大亚圣象</t>
  </si>
  <si>
    <t>754.16万</t>
  </si>
  <si>
    <t>SZ002162</t>
  </si>
  <si>
    <t>悦心健康</t>
  </si>
  <si>
    <t>2340.47万</t>
  </si>
  <si>
    <t>SH601996</t>
  </si>
  <si>
    <t>丰林集团</t>
  </si>
  <si>
    <t>1186.33万</t>
  </si>
  <si>
    <t>SZ002798</t>
  </si>
  <si>
    <t>帝欧家居</t>
  </si>
  <si>
    <t>446.56万</t>
  </si>
  <si>
    <t>SZ003011</t>
  </si>
  <si>
    <t>海象新材</t>
  </si>
  <si>
    <t>275.23万</t>
  </si>
  <si>
    <t>SH603221</t>
  </si>
  <si>
    <t>爱丽家居</t>
  </si>
  <si>
    <t>154.60万</t>
  </si>
  <si>
    <t>SH603226</t>
  </si>
  <si>
    <t>菲林格尔</t>
  </si>
  <si>
    <t>362.62万</t>
  </si>
  <si>
    <t>SZ301356</t>
  </si>
  <si>
    <t>天振股份</t>
  </si>
  <si>
    <t>SH603833</t>
  </si>
  <si>
    <t>欧派家居</t>
  </si>
  <si>
    <t>577.31万</t>
  </si>
  <si>
    <t>SH603816</t>
  </si>
  <si>
    <t>顾家家居</t>
  </si>
  <si>
    <t>2077.90万</t>
  </si>
  <si>
    <t>SZ002572</t>
  </si>
  <si>
    <t>索菲亚</t>
  </si>
  <si>
    <t>4855.96万</t>
  </si>
  <si>
    <t>SZ001323</t>
  </si>
  <si>
    <t>慕思股份</t>
  </si>
  <si>
    <t>251.10万</t>
  </si>
  <si>
    <t>SH603008</t>
  </si>
  <si>
    <t>喜临门</t>
  </si>
  <si>
    <t>869.81万</t>
  </si>
  <si>
    <t>SH603801</t>
  </si>
  <si>
    <t>志邦家居</t>
  </si>
  <si>
    <t>583.39万</t>
  </si>
  <si>
    <t>SZ002489</t>
  </si>
  <si>
    <t>浙江永强</t>
  </si>
  <si>
    <t>3965.37万</t>
  </si>
  <si>
    <t>SH603208</t>
  </si>
  <si>
    <t>江山欧派</t>
  </si>
  <si>
    <t>404.86万</t>
  </si>
  <si>
    <t>SH603848</t>
  </si>
  <si>
    <t>好太太</t>
  </si>
  <si>
    <t>520.24万</t>
  </si>
  <si>
    <t>SH603313</t>
  </si>
  <si>
    <t>梦百合</t>
  </si>
  <si>
    <t>760.35万</t>
  </si>
  <si>
    <t>SH603610</t>
  </si>
  <si>
    <t>麒盛科技</t>
  </si>
  <si>
    <t>837.50万</t>
  </si>
  <si>
    <t>SH603661</t>
  </si>
  <si>
    <t>恒林股份</t>
  </si>
  <si>
    <t>74.24万</t>
  </si>
  <si>
    <t>SH603180</t>
  </si>
  <si>
    <t>金牌厨柜</t>
  </si>
  <si>
    <t>398.72万</t>
  </si>
  <si>
    <t>SH600337</t>
  </si>
  <si>
    <t>美克家居</t>
  </si>
  <si>
    <t>1218.34万</t>
  </si>
  <si>
    <t>SZ300616</t>
  </si>
  <si>
    <t>尚品宅配</t>
  </si>
  <si>
    <t>542.04万</t>
  </si>
  <si>
    <t>SZ002631</t>
  </si>
  <si>
    <t>德尔未来</t>
  </si>
  <si>
    <t>2117.66万</t>
  </si>
  <si>
    <t>SH605268</t>
  </si>
  <si>
    <t>王力安防</t>
  </si>
  <si>
    <t>204.21万</t>
  </si>
  <si>
    <t>SH603818</t>
  </si>
  <si>
    <t>曲美家居</t>
  </si>
  <si>
    <t>1261.54万</t>
  </si>
  <si>
    <t>SZ301061</t>
  </si>
  <si>
    <t>匠心家居</t>
  </si>
  <si>
    <t>115.92万</t>
  </si>
  <si>
    <t>SH603898</t>
  </si>
  <si>
    <t>好莱客</t>
  </si>
  <si>
    <t>297.70万</t>
  </si>
  <si>
    <t>SZ002853</t>
  </si>
  <si>
    <t>皮阿诺</t>
  </si>
  <si>
    <t>1012.32万</t>
  </si>
  <si>
    <t>SH603600</t>
  </si>
  <si>
    <t>永艺股份</t>
  </si>
  <si>
    <t>831.59万</t>
  </si>
  <si>
    <t>SH603216</t>
  </si>
  <si>
    <t>梦天家居</t>
  </si>
  <si>
    <t>418.82万</t>
  </si>
  <si>
    <t>SZ301227</t>
  </si>
  <si>
    <t>森鹰窗业</t>
  </si>
  <si>
    <t>380.26万</t>
  </si>
  <si>
    <t>SH603326</t>
  </si>
  <si>
    <t>我乐家居</t>
  </si>
  <si>
    <t>177.70万</t>
  </si>
  <si>
    <t>SZ301336</t>
  </si>
  <si>
    <t>趣睡科技</t>
  </si>
  <si>
    <t>202.98万</t>
  </si>
  <si>
    <t>SZ300749</t>
  </si>
  <si>
    <t>顶固集创</t>
  </si>
  <si>
    <t>359.76万</t>
  </si>
  <si>
    <t>SH603389</t>
  </si>
  <si>
    <t>亚振家居</t>
  </si>
  <si>
    <t>384.73万</t>
  </si>
  <si>
    <t>SH603709</t>
  </si>
  <si>
    <t>中源家居</t>
  </si>
  <si>
    <t>424.01万</t>
  </si>
  <si>
    <t>59.00亿</t>
  </si>
  <si>
    <t>71.88亿</t>
  </si>
  <si>
    <t>5055997900亿</t>
  </si>
  <si>
    <t>79.79亿</t>
  </si>
  <si>
    <t>48.80亿</t>
  </si>
  <si>
    <t>35.90亿</t>
  </si>
  <si>
    <t>7.07亿</t>
  </si>
  <si>
    <t>4.26亿</t>
  </si>
  <si>
    <t>8631.70万</t>
  </si>
  <si>
    <t>35489496亿</t>
  </si>
  <si>
    <t>1486.40万</t>
  </si>
  <si>
    <t>204136440亿</t>
  </si>
  <si>
    <t>28.36亿</t>
  </si>
  <si>
    <t>1251460370亿</t>
  </si>
  <si>
    <t>6746267100亿</t>
  </si>
  <si>
    <t>7175.27万</t>
  </si>
  <si>
    <t>12.20亿</t>
  </si>
  <si>
    <t>20.12亿</t>
  </si>
  <si>
    <t>13.49亿</t>
  </si>
  <si>
    <t>55.85亿</t>
  </si>
  <si>
    <t>-5497.68万</t>
  </si>
  <si>
    <t>-10.59亿</t>
  </si>
  <si>
    <t>2.17亿</t>
  </si>
  <si>
    <t>71.58亿</t>
  </si>
  <si>
    <t>67.52亿</t>
  </si>
  <si>
    <t>66.19亿</t>
  </si>
  <si>
    <t>66.32亿</t>
  </si>
  <si>
    <t>52.26亿</t>
  </si>
  <si>
    <t>8.52亿</t>
  </si>
  <si>
    <t>7.94亿</t>
  </si>
  <si>
    <t>9.90亿</t>
  </si>
  <si>
    <t>7.67亿</t>
  </si>
  <si>
    <t>31.32亿</t>
  </si>
  <si>
    <t>57.38亿</t>
  </si>
  <si>
    <t>36.25亿</t>
  </si>
  <si>
    <t>3.91亿</t>
  </si>
  <si>
    <t>3.87亿</t>
  </si>
  <si>
    <t>瓷砖地板</t>
  </si>
  <si>
    <t>3857.21万</t>
  </si>
  <si>
    <t>1.93亿</t>
  </si>
  <si>
    <t>-3-0</t>
  </si>
  <si>
    <t>71.03亿</t>
  </si>
  <si>
    <t>35.15亿</t>
  </si>
  <si>
    <t>4693927400亿</t>
  </si>
  <si>
    <t>69.87亿</t>
  </si>
  <si>
    <t>3.15亿</t>
  </si>
  <si>
    <t>45.81亿</t>
  </si>
  <si>
    <t>35.98亿</t>
  </si>
  <si>
    <t>3.90亿</t>
  </si>
  <si>
    <t>1.29亿</t>
  </si>
  <si>
    <t>-19962483亿</t>
  </si>
  <si>
    <t>623.30万</t>
  </si>
  <si>
    <t>-373330440亿</t>
  </si>
  <si>
    <t>19.29亿</t>
  </si>
  <si>
    <t>1106734290亿</t>
  </si>
  <si>
    <t>1.88亿</t>
  </si>
  <si>
    <t>6299072900亿</t>
  </si>
  <si>
    <t>2.55亿</t>
  </si>
  <si>
    <t>11.42亿</t>
  </si>
  <si>
    <t>13.46亿</t>
  </si>
  <si>
    <t>45.09亿</t>
  </si>
  <si>
    <t>14.47亿</t>
  </si>
  <si>
    <t>4.65亿</t>
  </si>
  <si>
    <t>-7.50亿</t>
  </si>
  <si>
    <t>-2507.95万</t>
  </si>
  <si>
    <t>48.64亿</t>
  </si>
  <si>
    <t>38.04亿</t>
  </si>
  <si>
    <t>32.08亿</t>
  </si>
  <si>
    <t>28.90亿</t>
  </si>
  <si>
    <t>23.24亿</t>
  </si>
  <si>
    <t>3.62亿</t>
  </si>
  <si>
    <t>3.02亿</t>
  </si>
  <si>
    <t>29.25亿</t>
  </si>
  <si>
    <t>49.27亿</t>
  </si>
  <si>
    <t>30.80亿</t>
  </si>
  <si>
    <t>-4.88亿</t>
  </si>
  <si>
    <t>4.17亿</t>
  </si>
  <si>
    <t>2.82亿</t>
  </si>
  <si>
    <t>3638.80万</t>
  </si>
  <si>
    <t>29.62亿</t>
  </si>
  <si>
    <t>65.82亿</t>
  </si>
  <si>
    <t>5281739100亿</t>
  </si>
  <si>
    <t>87.51亿</t>
  </si>
  <si>
    <t>5.95亿</t>
  </si>
  <si>
    <t>49.75亿</t>
  </si>
  <si>
    <t>40.06亿</t>
  </si>
  <si>
    <t>6847.86万</t>
  </si>
  <si>
    <t>-311938亿</t>
  </si>
  <si>
    <t>1462.38万</t>
  </si>
  <si>
    <t>248176660亿</t>
  </si>
  <si>
    <t>1735445800亿</t>
  </si>
  <si>
    <t>358.77万</t>
  </si>
  <si>
    <t>6926921600亿</t>
  </si>
  <si>
    <t>4960.63万</t>
  </si>
  <si>
    <t>1.96亿</t>
  </si>
  <si>
    <t>16.43亿</t>
  </si>
  <si>
    <t>28.27亿</t>
  </si>
  <si>
    <t>-3.05亿</t>
  </si>
  <si>
    <t>-1.27亿</t>
  </si>
  <si>
    <t>72.64亿</t>
  </si>
  <si>
    <t>72.98亿</t>
  </si>
  <si>
    <t>72.61亿</t>
  </si>
  <si>
    <t>70.48亿</t>
  </si>
  <si>
    <t>65.31亿</t>
  </si>
  <si>
    <t>6.26亿</t>
  </si>
  <si>
    <t>7.20亿</t>
  </si>
  <si>
    <t>7.25亿</t>
  </si>
  <si>
    <t>6.59亿</t>
  </si>
  <si>
    <t>5.41亿</t>
  </si>
  <si>
    <t>33.28亿</t>
  </si>
  <si>
    <t>61.36亿</t>
  </si>
  <si>
    <t>35.63亿</t>
  </si>
  <si>
    <t>1.91亿</t>
  </si>
  <si>
    <t>4.79亿</t>
  </si>
  <si>
    <t>1891.72万</t>
  </si>
  <si>
    <t>6-0</t>
  </si>
  <si>
    <t>14.05亿</t>
  </si>
  <si>
    <t>12.12亿</t>
  </si>
  <si>
    <t>849678340亿</t>
  </si>
  <si>
    <t>12.61亿</t>
  </si>
  <si>
    <t>4617.10万</t>
  </si>
  <si>
    <t>8.55亿</t>
  </si>
  <si>
    <t>6.54亿</t>
  </si>
  <si>
    <t>4991.37万</t>
  </si>
  <si>
    <t>1477.05万</t>
  </si>
  <si>
    <t>-2262522亿</t>
  </si>
  <si>
    <t>148.75万</t>
  </si>
  <si>
    <t>-78805653亿</t>
  </si>
  <si>
    <t>290891490亿</t>
  </si>
  <si>
    <t>983642010亿</t>
  </si>
  <si>
    <t>1810.08万</t>
  </si>
  <si>
    <t>1.61亿</t>
  </si>
  <si>
    <t>9.07亿</t>
  </si>
  <si>
    <t>-3258.48万</t>
  </si>
  <si>
    <t>-7810.70万</t>
  </si>
  <si>
    <t>-1829.93万</t>
  </si>
  <si>
    <t>11.95亿</t>
  </si>
  <si>
    <t>11.66亿</t>
  </si>
  <si>
    <t>9.78亿</t>
  </si>
  <si>
    <t>9.00亿</t>
  </si>
  <si>
    <t>7.78亿</t>
  </si>
  <si>
    <t>5719.50万</t>
  </si>
  <si>
    <t>3787.25万</t>
  </si>
  <si>
    <t>2434.71万</t>
  </si>
  <si>
    <t>2017.23万</t>
  </si>
  <si>
    <t>1702.63万</t>
  </si>
  <si>
    <t>4.99亿</t>
  </si>
  <si>
    <t>9.01亿</t>
  </si>
  <si>
    <t>5.64亿</t>
  </si>
  <si>
    <t>-860.88万</t>
  </si>
  <si>
    <t>4345.18万</t>
  </si>
  <si>
    <t>2473.15万</t>
  </si>
  <si>
    <t>6358.48万</t>
  </si>
  <si>
    <t>4.84亿</t>
  </si>
  <si>
    <t xml:space="preserve">
市值38.07915亿, 利润4617.10万; PE, PB3.18; 毛利29.34%; 净利2.1067%; 上一年度营收增5.52%, 利润增-19.27%; 当季营收增4.06%, 利润增-511.08%; 过往5年营收增10.32%, 利润增25.29%
Income profile:
</t>
  </si>
  <si>
    <t>12.77亿</t>
  </si>
  <si>
    <t>28.11亿</t>
  </si>
  <si>
    <t>1389230300亿</t>
  </si>
  <si>
    <t>20.66亿</t>
  </si>
  <si>
    <t>1.68亿</t>
  </si>
  <si>
    <t>13.71亿</t>
  </si>
  <si>
    <t>12.37亿</t>
  </si>
  <si>
    <t>892.05万</t>
  </si>
  <si>
    <t>8090.74万</t>
  </si>
  <si>
    <t>858.20万</t>
  </si>
  <si>
    <t>3205816亿</t>
  </si>
  <si>
    <t>145.47万</t>
  </si>
  <si>
    <t>40415353亿</t>
  </si>
  <si>
    <t>247459650亿</t>
  </si>
  <si>
    <t>1963213400亿</t>
  </si>
  <si>
    <t>7.13亿</t>
  </si>
  <si>
    <t>1821.25万</t>
  </si>
  <si>
    <t>3.56亿</t>
  </si>
  <si>
    <t>7.18亿</t>
  </si>
  <si>
    <t>5.04亿</t>
  </si>
  <si>
    <t>-1.81亿</t>
  </si>
  <si>
    <t>-4961.54万</t>
  </si>
  <si>
    <t>17.40亿</t>
  </si>
  <si>
    <t>19.43亿</t>
  </si>
  <si>
    <t>15.97亿</t>
  </si>
  <si>
    <t>13.02亿</t>
  </si>
  <si>
    <t>12.49亿</t>
  </si>
  <si>
    <t>1.72亿</t>
  </si>
  <si>
    <t>1.39亿</t>
  </si>
  <si>
    <t>8870.36万</t>
  </si>
  <si>
    <t>7.81亿</t>
  </si>
  <si>
    <t>14.77亿</t>
  </si>
  <si>
    <t>9.02亿</t>
  </si>
  <si>
    <t>4118.93万</t>
  </si>
  <si>
    <t>7046.58万</t>
  </si>
  <si>
    <t>4690.79万</t>
  </si>
  <si>
    <t>2.23亿</t>
  </si>
  <si>
    <t xml:space="preserve">
市值32.192001亿, 利润1.68亿; PE28.25, PB1.15; 毛利21.2167%; 净利7.7733%; 上一年度营收增18.74%, 利润增-2.33%; 当季营收增5.78%, 利润增-78.96%; 过往5年营收增11.37%, 利润增14.45%
Income profile:
</t>
  </si>
  <si>
    <t>54.30亿</t>
  </si>
  <si>
    <t>39.54亿</t>
  </si>
  <si>
    <t>3115351100亿</t>
  </si>
  <si>
    <t>61.47亿</t>
  </si>
  <si>
    <t>6911.60万</t>
  </si>
  <si>
    <t>35.10亿</t>
  </si>
  <si>
    <t>25.76亿</t>
  </si>
  <si>
    <t>117772亿</t>
  </si>
  <si>
    <t>235.01万</t>
  </si>
  <si>
    <t>-411055240亿</t>
  </si>
  <si>
    <t>10.43亿</t>
  </si>
  <si>
    <t>2638355200亿</t>
  </si>
  <si>
    <t>5350678600亿</t>
  </si>
  <si>
    <t>8203.92万</t>
  </si>
  <si>
    <t>12.78亿</t>
  </si>
  <si>
    <t>9.70亿</t>
  </si>
  <si>
    <t>4.19亿</t>
  </si>
  <si>
    <t>34.59亿</t>
  </si>
  <si>
    <t>4.74亿</t>
  </si>
  <si>
    <t>-6107.64万</t>
  </si>
  <si>
    <t>-3.19亿</t>
  </si>
  <si>
    <t>56.37亿</t>
  </si>
  <si>
    <t>55.70亿</t>
  </si>
  <si>
    <t>43.08亿</t>
  </si>
  <si>
    <t>5.34亿</t>
  </si>
  <si>
    <t>4.27亿</t>
  </si>
  <si>
    <t>5.67亿</t>
  </si>
  <si>
    <t>3.81亿</t>
  </si>
  <si>
    <t>5452.51万</t>
  </si>
  <si>
    <t>5063.11万</t>
  </si>
  <si>
    <t>19.99亿</t>
  </si>
  <si>
    <t>46.04亿</t>
  </si>
  <si>
    <t>31.30亿</t>
  </si>
  <si>
    <t>-2.49亿</t>
  </si>
  <si>
    <t>3.49亿</t>
  </si>
  <si>
    <t>2.73亿</t>
  </si>
  <si>
    <t>1204.22万</t>
  </si>
  <si>
    <t>6451.56万</t>
  </si>
  <si>
    <t xml:space="preserve">
市值28.564661亿, 利润6911.60万; PE, PB.776; 毛利27.96%; 净利2.52%; 上一年度营收增9.05%, 利润增-87.81%; 当季营收增-24.26%, 利润增-292.49%; 过往5年营收增154.27%, 利润增113.47%
Income profile:
</t>
  </si>
  <si>
    <t>14.31亿</t>
  </si>
  <si>
    <t>1432839800亿</t>
  </si>
  <si>
    <t>9697.15万</t>
  </si>
  <si>
    <t>13.04亿</t>
  </si>
  <si>
    <t>11.53亿</t>
  </si>
  <si>
    <t>1.00亿</t>
  </si>
  <si>
    <t>2675.85万</t>
  </si>
  <si>
    <t>2212.00万</t>
  </si>
  <si>
    <t>-415909亿</t>
  </si>
  <si>
    <t>9.97万</t>
  </si>
  <si>
    <t>136244770亿</t>
  </si>
  <si>
    <t>359469880亿</t>
  </si>
  <si>
    <t>1106994760亿</t>
  </si>
  <si>
    <t>3.04亿</t>
  </si>
  <si>
    <t>5.30亿</t>
  </si>
  <si>
    <t>1.79亿</t>
  </si>
  <si>
    <t>9.74亿</t>
  </si>
  <si>
    <t>-2.18亿</t>
  </si>
  <si>
    <t>4148.34万</t>
  </si>
  <si>
    <t>12.24亿</t>
  </si>
  <si>
    <t>8.59亿</t>
  </si>
  <si>
    <t>3.89亿</t>
  </si>
  <si>
    <t>2.08亿</t>
  </si>
  <si>
    <t>8957.34万</t>
  </si>
  <si>
    <t>73.09万</t>
  </si>
  <si>
    <t>1882.71万</t>
  </si>
  <si>
    <t>9.56亿</t>
  </si>
  <si>
    <t>8.26亿</t>
  </si>
  <si>
    <t>7440.41万</t>
  </si>
  <si>
    <t>7693.42万</t>
  </si>
  <si>
    <t>5261.09万</t>
  </si>
  <si>
    <t>894.86万</t>
  </si>
  <si>
    <t xml:space="preserve">
市值22.691396亿, 利润9697.15万; PE14.8, PB1.59; 毛利27.03%; 净利13.09%; 上一年度营收增46.9%, 利润增-48.42%; 当季营收增.39%, 利润增142.02%; 过往5年营收增57.5%, 利润增2420.2%
Income profile:
</t>
  </si>
  <si>
    <t>3.84亿</t>
  </si>
  <si>
    <t>14.67亿</t>
  </si>
  <si>
    <t>626386130亿</t>
  </si>
  <si>
    <t>10.78亿</t>
  </si>
  <si>
    <t>587.98万</t>
  </si>
  <si>
    <t>6.11亿</t>
  </si>
  <si>
    <t>1653.20万</t>
  </si>
  <si>
    <t>5178.59万</t>
  </si>
  <si>
    <t>1267.38万</t>
  </si>
  <si>
    <t>7318889亿</t>
  </si>
  <si>
    <t>-36284492亿</t>
  </si>
  <si>
    <t>2.16亿</t>
  </si>
  <si>
    <t>126545835亿</t>
  </si>
  <si>
    <t>583106080亿</t>
  </si>
  <si>
    <t>1.03亿</t>
  </si>
  <si>
    <t>8071.85万</t>
  </si>
  <si>
    <t>5565.84万</t>
  </si>
  <si>
    <t>2.77亿</t>
  </si>
  <si>
    <t>3531.26万</t>
  </si>
  <si>
    <t>-2.44亿</t>
  </si>
  <si>
    <t>4050.77万</t>
  </si>
  <si>
    <t>13.73亿</t>
  </si>
  <si>
    <t>10.55亿</t>
  </si>
  <si>
    <t>7930.05万</t>
  </si>
  <si>
    <t>4.58亿</t>
  </si>
  <si>
    <t>7.88亿</t>
  </si>
  <si>
    <t>4.90亿</t>
  </si>
  <si>
    <t>-1133.77万</t>
  </si>
  <si>
    <t>402.67万</t>
  </si>
  <si>
    <t>780.31万</t>
  </si>
  <si>
    <t>397.00万</t>
  </si>
  <si>
    <t>2949.89万</t>
  </si>
  <si>
    <t xml:space="preserve">
市值19.824亿, 利润587.98万; PE, PB1.41; 毛利14.97%; 净利5.3633%; 上一年度营收增0%, 利润增-92.59%; 当季营收增-43.49%, 利润增-346.52%; 过往5年营收增3.61%, 利润增-30.18%
Income profile:
</t>
  </si>
  <si>
    <t>344178660亿</t>
  </si>
  <si>
    <t>2033.13万</t>
  </si>
  <si>
    <t>3.52亿</t>
  </si>
  <si>
    <t>2880.85万</t>
  </si>
  <si>
    <t>2885.73万</t>
  </si>
  <si>
    <t>893.98万</t>
  </si>
  <si>
    <t>678751亿</t>
  </si>
  <si>
    <t>384.82万</t>
  </si>
  <si>
    <t>-7442927亿</t>
  </si>
  <si>
    <t>1.21亿</t>
  </si>
  <si>
    <t>20332339亿</t>
  </si>
  <si>
    <t>5.72万</t>
  </si>
  <si>
    <t>805589900亿</t>
  </si>
  <si>
    <t>7005.42万</t>
  </si>
  <si>
    <t>2802.92万</t>
  </si>
  <si>
    <t>6576.59万</t>
  </si>
  <si>
    <t>3127.28万</t>
  </si>
  <si>
    <t>-9295.94万</t>
  </si>
  <si>
    <t>6080.79万</t>
  </si>
  <si>
    <t>6.02亿</t>
  </si>
  <si>
    <t>7.97亿</t>
  </si>
  <si>
    <t>8.35亿</t>
  </si>
  <si>
    <t>6.95亿</t>
  </si>
  <si>
    <t>6087.71万</t>
  </si>
  <si>
    <t>9881.73万</t>
  </si>
  <si>
    <t>8007.23万</t>
  </si>
  <si>
    <t>7018.43万</t>
  </si>
  <si>
    <t>-596.09万</t>
  </si>
  <si>
    <t>4551.07万</t>
  </si>
  <si>
    <t>2232.20万</t>
  </si>
  <si>
    <t>945.10万</t>
  </si>
  <si>
    <t>4423.35万</t>
  </si>
  <si>
    <t xml:space="preserve">
市值18.59222亿, 利润2033.13万; PE, PB1.88; 毛利22.7533%; 净利6.92%; 上一年度营收增29.73%, 利润增-66.6%; 当季营收增-32.51%, 利润增-82.34%; 过往5年营收增4.03%, 利润增-12.18%
Income profile:
</t>
  </si>
  <si>
    <t>8.77亿</t>
  </si>
  <si>
    <t>2546047900亿</t>
  </si>
  <si>
    <t>31.81亿</t>
  </si>
  <si>
    <t>2.79亿</t>
  </si>
  <si>
    <t>21.08亿</t>
  </si>
  <si>
    <t>19.71亿</t>
  </si>
  <si>
    <t>3869.15万</t>
  </si>
  <si>
    <t>-2336067亿</t>
  </si>
  <si>
    <t>210.05万</t>
  </si>
  <si>
    <t>372133300亿</t>
  </si>
  <si>
    <t>7.19亿</t>
  </si>
  <si>
    <t>622233150亿</t>
  </si>
  <si>
    <t>1665400500亿</t>
  </si>
  <si>
    <t>6110.37万</t>
  </si>
  <si>
    <t>8.40万</t>
  </si>
  <si>
    <t>-2.55亿</t>
  </si>
  <si>
    <t>22.43亿</t>
  </si>
  <si>
    <t>17.28亿</t>
  </si>
  <si>
    <t>20.57亿</t>
  </si>
  <si>
    <t>3.72亿</t>
  </si>
  <si>
    <t>3.38亿</t>
  </si>
  <si>
    <t>2.84亿</t>
  </si>
  <si>
    <t>17.97亿</t>
  </si>
  <si>
    <t>20.09亿</t>
  </si>
  <si>
    <t>11.74亿</t>
  </si>
  <si>
    <t>16-1</t>
  </si>
  <si>
    <t>127.59亿</t>
  </si>
  <si>
    <t>157.49亿</t>
  </si>
  <si>
    <t>16268711000亿</t>
  </si>
  <si>
    <t>204.42亿</t>
  </si>
  <si>
    <t>26.66亿</t>
  </si>
  <si>
    <t>140.24亿</t>
  </si>
  <si>
    <t>110.57亿</t>
  </si>
  <si>
    <t>13.16亿</t>
  </si>
  <si>
    <t>9.86亿</t>
  </si>
  <si>
    <t>20971996亿</t>
  </si>
  <si>
    <t>1863.34万</t>
  </si>
  <si>
    <t>1920559600亿</t>
  </si>
  <si>
    <t>94.58亿</t>
  </si>
  <si>
    <t>1293970590亿</t>
  </si>
  <si>
    <t>13588073000亿</t>
  </si>
  <si>
    <t>46.91亿</t>
  </si>
  <si>
    <t>8083.23万</t>
  </si>
  <si>
    <t>3.20亿</t>
  </si>
  <si>
    <t>101.49亿</t>
  </si>
  <si>
    <t>19.64亿</t>
  </si>
  <si>
    <t>-51.66亿</t>
  </si>
  <si>
    <t>33.04亿</t>
  </si>
  <si>
    <t>147.40亿</t>
  </si>
  <si>
    <t>135.33亿</t>
  </si>
  <si>
    <t>115.09亿</t>
  </si>
  <si>
    <t>97.10亿</t>
  </si>
  <si>
    <t>71.34亿</t>
  </si>
  <si>
    <t>20.63亿</t>
  </si>
  <si>
    <t>18.39亿</t>
  </si>
  <si>
    <t>15.72亿</t>
  </si>
  <si>
    <t>13.00亿</t>
  </si>
  <si>
    <t>9.50亿</t>
  </si>
  <si>
    <t>96.93亿</t>
  </si>
  <si>
    <t>144.02亿</t>
  </si>
  <si>
    <t>82.00亿</t>
  </si>
  <si>
    <t>10.18亿</t>
  </si>
  <si>
    <t>21.13亿</t>
  </si>
  <si>
    <t>10.12亿</t>
  </si>
  <si>
    <t>家具</t>
  </si>
  <si>
    <t>1604.91万</t>
  </si>
  <si>
    <t xml:space="preserve">
市值596.1161亿, 利润26.66亿; PE23.45, PB3.87; 毛利34.0467%; 净利12.69%; 上一年度营收增38.68%, 利润增29.23%; 当季营收增6.03%, 利润增-11.67%; 过往5年营收增23.97%, 利润增23.23%
Income profile:
</t>
  </si>
  <si>
    <t>64.00亿</t>
  </si>
  <si>
    <t>89.16亿</t>
  </si>
  <si>
    <t>13762034000亿</t>
  </si>
  <si>
    <t>183.42亿</t>
  </si>
  <si>
    <t>16.64亿</t>
  </si>
  <si>
    <t>121.37亿</t>
  </si>
  <si>
    <t>97.24亿</t>
  </si>
  <si>
    <t>20.48亿</t>
  </si>
  <si>
    <t>2.51亿</t>
  </si>
  <si>
    <t>1.50亿</t>
  </si>
  <si>
    <t>15719501亿</t>
  </si>
  <si>
    <t>1281119060亿</t>
  </si>
  <si>
    <t>30.21亿</t>
  </si>
  <si>
    <t>1593143100亿</t>
  </si>
  <si>
    <t>639.21万</t>
  </si>
  <si>
    <t>7491945800亿</t>
  </si>
  <si>
    <t>14.41亿</t>
  </si>
  <si>
    <t>8874.37万</t>
  </si>
  <si>
    <t>15.81亿</t>
  </si>
  <si>
    <t>59.54亿</t>
  </si>
  <si>
    <t>8.74亿</t>
  </si>
  <si>
    <t>-5.88亿</t>
  </si>
  <si>
    <t>-4.75亿</t>
  </si>
  <si>
    <t>126.66亿</t>
  </si>
  <si>
    <t>110.94亿</t>
  </si>
  <si>
    <t>91.72亿</t>
  </si>
  <si>
    <t>66.65亿</t>
  </si>
  <si>
    <t>47.95亿</t>
  </si>
  <si>
    <t>8.45亿</t>
  </si>
  <si>
    <t>11.61亿</t>
  </si>
  <si>
    <t>9.89亿</t>
  </si>
  <si>
    <t>5.75亿</t>
  </si>
  <si>
    <t>90.16亿</t>
  </si>
  <si>
    <t>132.25亿</t>
  </si>
  <si>
    <t>80.16亿</t>
  </si>
  <si>
    <t>8.91亿</t>
  </si>
  <si>
    <t>12.38亿</t>
  </si>
  <si>
    <t>7.72亿</t>
  </si>
  <si>
    <t>3745.45万</t>
  </si>
  <si>
    <t xml:space="preserve">
市值286.67576亿, 利润16.64亿; PE15.67, PB3.37; 毛利33.01%; 净利9.3533%; 上一年度营收增44.81%, 利润增96.92%; 当季营收增-8.89%, 利润增9.89%; 过往5年营收增31.31%, 利润增30.07%
Income profile:
</t>
  </si>
  <si>
    <t>64.87亿</t>
  </si>
  <si>
    <t>61.42亿</t>
  </si>
  <si>
    <t>7933831400亿</t>
  </si>
  <si>
    <t>104.07亿</t>
  </si>
  <si>
    <t>69.88亿</t>
  </si>
  <si>
    <t>53.28亿</t>
  </si>
  <si>
    <t>7.82亿</t>
  </si>
  <si>
    <t>5.09亿</t>
  </si>
  <si>
    <t>25232882亿</t>
  </si>
  <si>
    <t>922.52万</t>
  </si>
  <si>
    <t>751177360亿</t>
  </si>
  <si>
    <t>20.29亿</t>
  </si>
  <si>
    <t>1280036320亿</t>
  </si>
  <si>
    <t>7451.05万</t>
  </si>
  <si>
    <t>5468710100亿</t>
  </si>
  <si>
    <t>6.35亿</t>
  </si>
  <si>
    <t>7.87亿</t>
  </si>
  <si>
    <t>49.08亿</t>
  </si>
  <si>
    <t>14.28亿</t>
  </si>
  <si>
    <t>8.66亿</t>
  </si>
  <si>
    <t>-7.31亿</t>
  </si>
  <si>
    <t>-7.94亿</t>
  </si>
  <si>
    <t>83.53亿</t>
  </si>
  <si>
    <t>76.86亿</t>
  </si>
  <si>
    <t>73.11亿</t>
  </si>
  <si>
    <t>61.61亿</t>
  </si>
  <si>
    <t>45.30亿</t>
  </si>
  <si>
    <t>11.92亿</t>
  </si>
  <si>
    <t>10.77亿</t>
  </si>
  <si>
    <t>9.59亿</t>
  </si>
  <si>
    <t>6.64亿</t>
  </si>
  <si>
    <t>47.81亿</t>
  </si>
  <si>
    <t>72.44亿</t>
  </si>
  <si>
    <t>43.00亿</t>
  </si>
  <si>
    <t>8.49亿</t>
  </si>
  <si>
    <t>4.46亿</t>
  </si>
  <si>
    <t>8547.68万</t>
  </si>
  <si>
    <t>4.98亿</t>
  </si>
  <si>
    <t>-4-0</t>
  </si>
  <si>
    <t xml:space="preserve">
市值149.81116亿, 利润1.23亿; PE194.1, PB2.55; 毛利35.2867%; 净利12.5833%; 上一年度营收增24.59%, 利润增-89.68%; 当季营收增7.09%, 利润增-2.86%; 过往5年营收增18.61%, 利润增-4.87%
Income profile:
</t>
  </si>
  <si>
    <t>13.97亿</t>
  </si>
  <si>
    <t>40.78亿</t>
  </si>
  <si>
    <t>4153464900亿</t>
  </si>
  <si>
    <t>6.86亿</t>
  </si>
  <si>
    <t>36.44亿</t>
  </si>
  <si>
    <t>10.51亿</t>
  </si>
  <si>
    <t>7085.26万</t>
  </si>
  <si>
    <t>985205亿</t>
  </si>
  <si>
    <t>412.01万</t>
  </si>
  <si>
    <t>413907020亿</t>
  </si>
  <si>
    <t>21.10亿</t>
  </si>
  <si>
    <t>165591740亿</t>
  </si>
  <si>
    <t>2856111200亿</t>
  </si>
  <si>
    <t>11.88亿</t>
  </si>
  <si>
    <t>9379.49万</t>
  </si>
  <si>
    <t>-4.39亿</t>
  </si>
  <si>
    <t>10.30亿</t>
  </si>
  <si>
    <t>44.52亿</t>
  </si>
  <si>
    <t>38.62亿</t>
  </si>
  <si>
    <t>31.88亿</t>
  </si>
  <si>
    <t>27.52亿</t>
  </si>
  <si>
    <t>42.72亿</t>
  </si>
  <si>
    <t>28.09亿</t>
  </si>
  <si>
    <t>4.13亿</t>
  </si>
  <si>
    <t>596.24万</t>
  </si>
  <si>
    <t>3499.90万</t>
  </si>
  <si>
    <t xml:space="preserve">
市值138.60347亿, 利润6.86亿; PE19.84, PB3.4; 毛利49.6067%; 净利10.6067%; 上一年度营收增45.58%, 利润增27.99%; 当季营收增-4.21%, 利润增35.94%; 过往5年营收增27.33%, 利润增47.7%
Income profile:
</t>
  </si>
  <si>
    <t>49.99亿</t>
  </si>
  <si>
    <t>38.59亿</t>
  </si>
  <si>
    <t>5741049900亿</t>
  </si>
  <si>
    <t>77.72亿</t>
  </si>
  <si>
    <t>5.59亿</t>
  </si>
  <si>
    <t>52.78亿</t>
  </si>
  <si>
    <t>38.21亿</t>
  </si>
  <si>
    <t>9.83亿</t>
  </si>
  <si>
    <t>2.92亿</t>
  </si>
  <si>
    <t>7825.84万</t>
  </si>
  <si>
    <t>1460077亿</t>
  </si>
  <si>
    <t>270.57万</t>
  </si>
  <si>
    <t>365191000亿</t>
  </si>
  <si>
    <t>17.73亿</t>
  </si>
  <si>
    <t>1344526600亿</t>
  </si>
  <si>
    <t>284.78万</t>
  </si>
  <si>
    <t>5012340900亿</t>
  </si>
  <si>
    <t>6.47亿</t>
  </si>
  <si>
    <t>44.59亿</t>
  </si>
  <si>
    <t>1743.12万</t>
  </si>
  <si>
    <t>-3.01亿</t>
  </si>
  <si>
    <t>3892.30万</t>
  </si>
  <si>
    <t>56.23亿</t>
  </si>
  <si>
    <t>48.71亿</t>
  </si>
  <si>
    <t>42.11亿</t>
  </si>
  <si>
    <t>31.87亿</t>
  </si>
  <si>
    <t>22.17亿</t>
  </si>
  <si>
    <t>3.13亿</t>
  </si>
  <si>
    <t>3.80亿</t>
  </si>
  <si>
    <t>-4.38亿</t>
  </si>
  <si>
    <t>36.06亿</t>
  </si>
  <si>
    <t>50.43亿</t>
  </si>
  <si>
    <t>31.07亿</t>
  </si>
  <si>
    <t>2288.51万</t>
  </si>
  <si>
    <t xml:space="preserve">
市值109.251816亿, 利润5.59亿; PE19.03, PB3; 毛利34.1333%; 净利7.0667%; 上一年度营收增38.22%, 利润增78.59%; 当季营收增10.28%, 利润增8.32%; 过往5年营收增29.04%, 利润增6.54%
Income profile:
</t>
  </si>
  <si>
    <t>30.60亿</t>
  </si>
  <si>
    <t>26.36亿</t>
  </si>
  <si>
    <t>3516961800亿</t>
  </si>
  <si>
    <t>51.53亿</t>
  </si>
  <si>
    <t>22.24亿</t>
  </si>
  <si>
    <t>5.50亿</t>
  </si>
  <si>
    <t>9039869亿</t>
  </si>
  <si>
    <t>316.20万</t>
  </si>
  <si>
    <t>296917590亿</t>
  </si>
  <si>
    <t>7.45亿</t>
  </si>
  <si>
    <t>184706160亿</t>
  </si>
  <si>
    <t>2363.92万</t>
  </si>
  <si>
    <t>2757934200亿</t>
  </si>
  <si>
    <t>5.27亿</t>
  </si>
  <si>
    <t>28.40亿</t>
  </si>
  <si>
    <t>10000.00万</t>
  </si>
  <si>
    <t>5.99亿</t>
  </si>
  <si>
    <t>-1.48亿</t>
  </si>
  <si>
    <t>38.40亿</t>
  </si>
  <si>
    <t>24.33亿</t>
  </si>
  <si>
    <t>21.57亿</t>
  </si>
  <si>
    <t>15.70亿</t>
  </si>
  <si>
    <t>3.95亿</t>
  </si>
  <si>
    <t>3.29亿</t>
  </si>
  <si>
    <t>2.34亿</t>
  </si>
  <si>
    <t>20.35亿</t>
  </si>
  <si>
    <t>33.22亿</t>
  </si>
  <si>
    <t>3.00亿</t>
  </si>
  <si>
    <t>1568.15万</t>
  </si>
  <si>
    <t>7204.18万</t>
  </si>
  <si>
    <t xml:space="preserve">
市值76.808137亿, 利润5.06亿; PE14.76, PB2.91; 毛利37.62%; 净利9.7233%; 上一年度营收增34.19%, 利润增28.1%; 当季营收增4.81%, 利润增6.03%; 过往5年营收增27.15%, 利润增23.36%
Income profile:
</t>
  </si>
  <si>
    <t>41.83亿</t>
  </si>
  <si>
    <t>33.64亿</t>
  </si>
  <si>
    <t>5546226200亿</t>
  </si>
  <si>
    <t>81.51亿</t>
  </si>
  <si>
    <t>1.25亿</t>
  </si>
  <si>
    <t>55.22亿</t>
  </si>
  <si>
    <t>4.37亿</t>
  </si>
  <si>
    <t>22614731亿</t>
  </si>
  <si>
    <t>81.53万</t>
  </si>
  <si>
    <t>266364290亿</t>
  </si>
  <si>
    <t>17.72亿</t>
  </si>
  <si>
    <t>673389360亿</t>
  </si>
  <si>
    <t>5266000000亿</t>
  </si>
  <si>
    <t>5263.11万</t>
  </si>
  <si>
    <t>7.00亿</t>
  </si>
  <si>
    <t>13.93亿</t>
  </si>
  <si>
    <t>323.54万</t>
  </si>
  <si>
    <t>34.31亿</t>
  </si>
  <si>
    <t>15.51亿</t>
  </si>
  <si>
    <t>-8323.28万</t>
  </si>
  <si>
    <t>-11.55亿</t>
  </si>
  <si>
    <t>49.55亿</t>
  </si>
  <si>
    <t>46.85亿</t>
  </si>
  <si>
    <t>43.86亿</t>
  </si>
  <si>
    <t>45.36亿</t>
  </si>
  <si>
    <t>37.92亿</t>
  </si>
  <si>
    <t>-1.08亿</t>
  </si>
  <si>
    <t>7824.66万</t>
  </si>
  <si>
    <t>6094.84万</t>
  </si>
  <si>
    <t>50.80亿</t>
  </si>
  <si>
    <t>42.06亿</t>
  </si>
  <si>
    <t>3.45亿</t>
  </si>
  <si>
    <t>22.70亿</t>
  </si>
  <si>
    <t xml:space="preserve">
市值75.933204亿, 利润1.25亿; PE, PB2.28; 毛利23.69%; 净利8.6767%; 上一年度营收增64.5%, 利润增-76.42%; 当季营收增-29.15%, 利润增-19.3%; 过往5年营收增18.68%, 利润增56.58%
Income profile:
</t>
  </si>
  <si>
    <t>27.99亿</t>
  </si>
  <si>
    <t>18.03亿</t>
  </si>
  <si>
    <t>2213133300亿</t>
  </si>
  <si>
    <t>31.57亿</t>
  </si>
  <si>
    <t>2.57亿</t>
  </si>
  <si>
    <t>20.31亿</t>
  </si>
  <si>
    <t>16.28亿</t>
  </si>
  <si>
    <t>2.27亿</t>
  </si>
  <si>
    <t>7126.86万</t>
  </si>
  <si>
    <t>4779.06万</t>
  </si>
  <si>
    <t>-12385801亿</t>
  </si>
  <si>
    <t>189.98万</t>
  </si>
  <si>
    <t>-38740180亿</t>
  </si>
  <si>
    <t>9.30亿</t>
  </si>
  <si>
    <t>996735860亿</t>
  </si>
  <si>
    <t>9332.45万</t>
  </si>
  <si>
    <t>2778769000亿</t>
  </si>
  <si>
    <t>7979.69万</t>
  </si>
  <si>
    <t>5500.00万</t>
  </si>
  <si>
    <t>6.70亿</t>
  </si>
  <si>
    <t>18.87亿</t>
  </si>
  <si>
    <t>8088.00万</t>
  </si>
  <si>
    <t>2.71亿</t>
  </si>
  <si>
    <t>-1.98亿</t>
  </si>
  <si>
    <t>-1.53亿</t>
  </si>
  <si>
    <t>30.12亿</t>
  </si>
  <si>
    <t>20.27亿</t>
  </si>
  <si>
    <t>12.83亿</t>
  </si>
  <si>
    <t>10.10亿</t>
  </si>
  <si>
    <t>7.66亿</t>
  </si>
  <si>
    <t>12.70亿</t>
  </si>
  <si>
    <t>22.88亿</t>
  </si>
  <si>
    <t>14.07亿</t>
  </si>
  <si>
    <t>1062.47万</t>
  </si>
  <si>
    <t>4003.47万</t>
  </si>
  <si>
    <t xml:space="preserve">
市值65.301386亿, 利润2.57亿; PE, PB3.82; 毛利31.0333%; 净利12.2667%; 上一年度营收增4.81%, 利润增-39.67%; 当季营收增7.05%, 利润增-175.51%; 过往5年营收增34.06%, 利润增26.32%
Income profile:
</t>
  </si>
  <si>
    <t>23.50亿</t>
  </si>
  <si>
    <t>1008063160亿</t>
  </si>
  <si>
    <t>14.25亿</t>
  </si>
  <si>
    <t>8.16亿</t>
  </si>
  <si>
    <t>5.53亿</t>
  </si>
  <si>
    <t>1.73亿</t>
  </si>
  <si>
    <t>5594.36万</t>
  </si>
  <si>
    <t>2055.68万</t>
  </si>
  <si>
    <t>-11282521亿</t>
  </si>
  <si>
    <t>692.16万</t>
  </si>
  <si>
    <t>176130650亿</t>
  </si>
  <si>
    <t>111610601亿</t>
  </si>
  <si>
    <t>677.48万</t>
  </si>
  <si>
    <t>496658070亿</t>
  </si>
  <si>
    <t>3283.38万</t>
  </si>
  <si>
    <t>7504.25万</t>
  </si>
  <si>
    <t>5410.70万</t>
  </si>
  <si>
    <t>1.67亿</t>
  </si>
  <si>
    <t>4.30亿</t>
  </si>
  <si>
    <t>4971.53万</t>
  </si>
  <si>
    <t>-6.72亿</t>
  </si>
  <si>
    <t>3.73亿</t>
  </si>
  <si>
    <t>11.60亿</t>
  </si>
  <si>
    <t>12.60亿</t>
  </si>
  <si>
    <t>13.10亿</t>
  </si>
  <si>
    <t>11.13亿</t>
  </si>
  <si>
    <t>8.08亿</t>
  </si>
  <si>
    <t>2.06亿</t>
  </si>
  <si>
    <t>6.23亿</t>
  </si>
  <si>
    <t>9.48亿</t>
  </si>
  <si>
    <t>5.79亿</t>
  </si>
  <si>
    <t>1.28亿</t>
  </si>
  <si>
    <t>1501.51万</t>
  </si>
  <si>
    <t>4700.95万</t>
  </si>
  <si>
    <t xml:space="preserve">
市值57.5836亿, 利润3.00亿; PE22.66, PB2.95; 毛利47.34%; 净利20.67%; 上一年度营收增22.84%, 利润增12.78%; 当季营收增4.35%, 利润增-24.1%; 过往5年营收增13.31%, 利润增15.45%
Income profile:
</t>
  </si>
  <si>
    <t>63.26亿</t>
  </si>
  <si>
    <t>30.85亿</t>
  </si>
  <si>
    <t>6067937200亿</t>
  </si>
  <si>
    <t>81.39亿</t>
  </si>
  <si>
    <t>-2.76亿</t>
  </si>
  <si>
    <t>42.69亿</t>
  </si>
  <si>
    <t>10.04亿</t>
  </si>
  <si>
    <t>4.49亿</t>
  </si>
  <si>
    <t>4997.82万</t>
  </si>
  <si>
    <t>53416028亿</t>
  </si>
  <si>
    <t>339.71万</t>
  </si>
  <si>
    <t>89251562亿</t>
  </si>
  <si>
    <t>1405926900亿</t>
  </si>
  <si>
    <t>4183439700亿</t>
  </si>
  <si>
    <t>390.00万</t>
  </si>
  <si>
    <t>12.96亿</t>
  </si>
  <si>
    <t>42.09亿</t>
  </si>
  <si>
    <t>-4.15亿</t>
  </si>
  <si>
    <t>65.30亿</t>
  </si>
  <si>
    <t>38.32亿</t>
  </si>
  <si>
    <t>30.49亿</t>
  </si>
  <si>
    <t>23.39亿</t>
  </si>
  <si>
    <t>17.23亿</t>
  </si>
  <si>
    <t>1.86亿</t>
  </si>
  <si>
    <t>2.00亿</t>
  </si>
  <si>
    <t>40.83亿</t>
  </si>
  <si>
    <t>61.10亿</t>
  </si>
  <si>
    <t>39.00亿</t>
  </si>
  <si>
    <t>8366.33万</t>
  </si>
  <si>
    <t>-1.80亿</t>
  </si>
  <si>
    <t>881.57万</t>
  </si>
  <si>
    <t>2085.10万</t>
  </si>
  <si>
    <t xml:space="preserve">
市值51.053459亿, 利润-2.76亿; PE1533, PB1.7; 毛利34.2133%; 净利6.28%; 上一年度营收增24.64%, 利润增-172.82%; 当季营收增-10.18%, 利润增107.99%; 过往5年营收增37.37%, 利润增-14.64%
Income profile:
</t>
  </si>
  <si>
    <t>14.00亿</t>
  </si>
  <si>
    <t>32.85亿</t>
  </si>
  <si>
    <t>2111867700亿</t>
  </si>
  <si>
    <t>29.67亿</t>
  </si>
  <si>
    <t>18.78亿</t>
  </si>
  <si>
    <t>14.51亿</t>
  </si>
  <si>
    <t>2.02亿</t>
  </si>
  <si>
    <t>2.36亿</t>
  </si>
  <si>
    <t>7288.26万</t>
  </si>
  <si>
    <t>6102986亿</t>
  </si>
  <si>
    <t>94.06万</t>
  </si>
  <si>
    <t>209376410亿</t>
  </si>
  <si>
    <t>16.69亿</t>
  </si>
  <si>
    <t>377245510亿</t>
  </si>
  <si>
    <t>3011048300亿</t>
  </si>
  <si>
    <t>6959.16万</t>
  </si>
  <si>
    <t>7.32亿</t>
  </si>
  <si>
    <t>-3009.16万</t>
  </si>
  <si>
    <t>1.48亿</t>
  </si>
  <si>
    <t>22.60亿</t>
  </si>
  <si>
    <t>25.29亿</t>
  </si>
  <si>
    <t>23.91亿</t>
  </si>
  <si>
    <t>13.88亿</t>
  </si>
  <si>
    <t>12.65亿</t>
  </si>
  <si>
    <t>2.93亿</t>
  </si>
  <si>
    <t>2651.49万</t>
  </si>
  <si>
    <t>14.33亿</t>
  </si>
  <si>
    <t>21.78亿</t>
  </si>
  <si>
    <t>13.27亿</t>
  </si>
  <si>
    <t>9761.96万</t>
  </si>
  <si>
    <t>3790.30万</t>
  </si>
  <si>
    <t xml:space="preserve">
市值50.152646亿, 利润3.57亿; PE18.41, PB1.53; 毛利36.47%; 净利11.4267%; 上一年度营收增31.28%, 利润增30.77%; 当季营收增-20.23%, 利润增-40.41%; 过往5年营收增21.68%, 利润增104.03%
Income profile:
</t>
  </si>
  <si>
    <t>44.56亿</t>
  </si>
  <si>
    <t>32.51亿</t>
  </si>
  <si>
    <t>4630093600亿</t>
  </si>
  <si>
    <t>57.78亿</t>
  </si>
  <si>
    <t>43.22亿</t>
  </si>
  <si>
    <t>35.87亿</t>
  </si>
  <si>
    <t>3.96亿</t>
  </si>
  <si>
    <t>9584.57万</t>
  </si>
  <si>
    <t>68068265亿</t>
  </si>
  <si>
    <t>17.34万</t>
  </si>
  <si>
    <t>321988000亿</t>
  </si>
  <si>
    <t>10.93亿</t>
  </si>
  <si>
    <t>708403270亿</t>
  </si>
  <si>
    <t>495.19万</t>
  </si>
  <si>
    <t>4125845300亿</t>
  </si>
  <si>
    <t>9.98亿</t>
  </si>
  <si>
    <t>102.24万</t>
  </si>
  <si>
    <t>32.82亿</t>
  </si>
  <si>
    <t>4.45亿</t>
  </si>
  <si>
    <t>-1.37亿</t>
  </si>
  <si>
    <t>-2.95亿</t>
  </si>
  <si>
    <t>47.43亿</t>
  </si>
  <si>
    <t>29.04亿</t>
  </si>
  <si>
    <t>23.18亿</t>
  </si>
  <si>
    <t>18.96亿</t>
  </si>
  <si>
    <t>3.63亿</t>
  </si>
  <si>
    <t>1.66亿</t>
  </si>
  <si>
    <t>29.52亿</t>
  </si>
  <si>
    <t>24.08亿</t>
  </si>
  <si>
    <t>2.65亿</t>
  </si>
  <si>
    <t>340.06万</t>
  </si>
  <si>
    <t>2963.96万</t>
  </si>
  <si>
    <t xml:space="preserve">
市值44.696144亿, 利润3.38亿; PE12.17, PB1.39; 毛利24.74%; 净利7.83%; 上一年度营收增21.82%, 利润增-6.89%; 当季营收增7.36%, 利润增-15.35%; 过往5年营收增28.55%, 利润增10.1%
Income profile:
</t>
  </si>
  <si>
    <t>24.73亿</t>
  </si>
  <si>
    <t>2488803000亿</t>
  </si>
  <si>
    <t>34.48亿</t>
  </si>
  <si>
    <t>23.80亿</t>
  </si>
  <si>
    <t>17.80亿</t>
  </si>
  <si>
    <t>9026.54万</t>
  </si>
  <si>
    <t>24274593亿</t>
  </si>
  <si>
    <t>739.56万</t>
  </si>
  <si>
    <t>96056256亿</t>
  </si>
  <si>
    <t>149824460亿</t>
  </si>
  <si>
    <t>4635.41万</t>
  </si>
  <si>
    <t>2155658100亿</t>
  </si>
  <si>
    <t>2.56亿</t>
  </si>
  <si>
    <t>4.21亿</t>
  </si>
  <si>
    <t>7.04亿</t>
  </si>
  <si>
    <t>19.32亿</t>
  </si>
  <si>
    <t>7949.56万</t>
  </si>
  <si>
    <t>-3.40亿</t>
  </si>
  <si>
    <t>-8542.70万</t>
  </si>
  <si>
    <t>26.40亿</t>
  </si>
  <si>
    <t>21.25亿</t>
  </si>
  <si>
    <t>17.02亿</t>
  </si>
  <si>
    <t>14.42亿</t>
  </si>
  <si>
    <t>10.99亿</t>
  </si>
  <si>
    <t>9622.53万</t>
  </si>
  <si>
    <t>22.20亿</t>
  </si>
  <si>
    <t>9257.71万</t>
  </si>
  <si>
    <t>8676.70万</t>
  </si>
  <si>
    <t>768.08万</t>
  </si>
  <si>
    <t>3649.11万</t>
  </si>
  <si>
    <t xml:space="preserve">
市值42.497771亿, 利润3.38亿; PE12.34, PB1.73; 毛利32.5033%; 净利9.5767%; 上一年度营收增30.61%, 利润增15.36%; 当季营收增18.45%, 利润增1.02%; 过往5年营收增25.79%, 利润增30.19%
Income profile:
</t>
  </si>
  <si>
    <t>54.95亿</t>
  </si>
  <si>
    <t>42.71亿</t>
  </si>
  <si>
    <t>3336386500亿</t>
  </si>
  <si>
    <t>52.75亿</t>
  </si>
  <si>
    <t>36.04亿</t>
  </si>
  <si>
    <t>11.31亿</t>
  </si>
  <si>
    <t>3.86亿</t>
  </si>
  <si>
    <t>4020.93万</t>
  </si>
  <si>
    <t>-3887513亿</t>
  </si>
  <si>
    <t>347.96万</t>
  </si>
  <si>
    <t>-238219030亿</t>
  </si>
  <si>
    <t>6.71亿</t>
  </si>
  <si>
    <t>346559440亿</t>
  </si>
  <si>
    <t>3848794100亿</t>
  </si>
  <si>
    <t>8.23亿</t>
  </si>
  <si>
    <t>30.29亿</t>
  </si>
  <si>
    <t>4931.23万</t>
  </si>
  <si>
    <t>-1.31亿</t>
  </si>
  <si>
    <t>-3.00亿</t>
  </si>
  <si>
    <t>45.71亿</t>
  </si>
  <si>
    <t>55.88亿</t>
  </si>
  <si>
    <t>52.61亿</t>
  </si>
  <si>
    <t>41.79亿</t>
  </si>
  <si>
    <t>34.67亿</t>
  </si>
  <si>
    <t>4.64亿</t>
  </si>
  <si>
    <t>4.51亿</t>
  </si>
  <si>
    <t>3.65亿</t>
  </si>
  <si>
    <t>37.23亿</t>
  </si>
  <si>
    <t>23.81亿</t>
  </si>
  <si>
    <t>3603.10万</t>
  </si>
  <si>
    <t>3334.73万</t>
  </si>
  <si>
    <t>-3-1</t>
  </si>
  <si>
    <t xml:space="preserve">
市值42.33524亿, 利润2.29亿; PE, PB.995; 毛利48.5033%; 净利1.8433%; 上一年度营收增15.4%, 利润增-25.16%; 当季营收增-9.66%, 利润增-133.59%; 过往5年营收增9.97%, 利润增-4.5%
Income profile:
</t>
  </si>
  <si>
    <t>42.83亿</t>
  </si>
  <si>
    <t>35.34亿</t>
  </si>
  <si>
    <t>3760015800亿</t>
  </si>
  <si>
    <t>73.10亿</t>
  </si>
  <si>
    <t>8970.47万</t>
  </si>
  <si>
    <t>38.72亿</t>
  </si>
  <si>
    <t>24.63亿</t>
  </si>
  <si>
    <t>9.39亿</t>
  </si>
  <si>
    <t>21544060亿</t>
  </si>
  <si>
    <t>322.93万</t>
  </si>
  <si>
    <t>-78186910亿</t>
  </si>
  <si>
    <t>164071720亿</t>
  </si>
  <si>
    <t>864.81万</t>
  </si>
  <si>
    <t>3706454900亿</t>
  </si>
  <si>
    <t>2.58亿</t>
  </si>
  <si>
    <t>4.61亿</t>
  </si>
  <si>
    <t>33.42亿</t>
  </si>
  <si>
    <t>4.86亿</t>
  </si>
  <si>
    <t>-1.11亿</t>
  </si>
  <si>
    <t>-2374.52万</t>
  </si>
  <si>
    <t>65.13亿</t>
  </si>
  <si>
    <t>66.45亿</t>
  </si>
  <si>
    <t>53.23亿</t>
  </si>
  <si>
    <t>40.26亿</t>
  </si>
  <si>
    <t>4.77亿</t>
  </si>
  <si>
    <t>51.64亿</t>
  </si>
  <si>
    <t>31.77亿</t>
  </si>
  <si>
    <t>-1.01亿</t>
  </si>
  <si>
    <t>8704.40万</t>
  </si>
  <si>
    <t>4264.14万</t>
  </si>
  <si>
    <t>1280.12万</t>
  </si>
  <si>
    <t>7223.73万</t>
  </si>
  <si>
    <t xml:space="preserve">
市值42.1191亿, 利润8970.47万; PE, PB1.19; 毛利35.97%; 净利1.48%; 上一年度营收增12.24%, 利润增-11.18%; 当季营收增-26.77%, 利润增60.51%; 过往5年营收增13.65%, 利润增-1.48%
Income profile:
</t>
  </si>
  <si>
    <t>26.79亿</t>
  </si>
  <si>
    <t>18.49亿</t>
  </si>
  <si>
    <t>1327507340亿</t>
  </si>
  <si>
    <t>7613.82万</t>
  </si>
  <si>
    <t>6453.86万</t>
  </si>
  <si>
    <t>1565.32万</t>
  </si>
  <si>
    <t>24290996亿</t>
  </si>
  <si>
    <t>240.75万</t>
  </si>
  <si>
    <t>-10879853亿</t>
  </si>
  <si>
    <t>7.89亿</t>
  </si>
  <si>
    <t>205309440亿</t>
  </si>
  <si>
    <t>2588.75万</t>
  </si>
  <si>
    <t>3352785800亿</t>
  </si>
  <si>
    <t>544.15万</t>
  </si>
  <si>
    <t>3159.80万</t>
  </si>
  <si>
    <t>19.26亿</t>
  </si>
  <si>
    <t>-5174.56万</t>
  </si>
  <si>
    <t>-5.64亿</t>
  </si>
  <si>
    <t>15.68亿</t>
  </si>
  <si>
    <t>17.68亿</t>
  </si>
  <si>
    <t>16.00亿</t>
  </si>
  <si>
    <t>11.32亿</t>
  </si>
  <si>
    <t>-2697.57万</t>
  </si>
  <si>
    <t>7968.92万</t>
  </si>
  <si>
    <t>8564.44万</t>
  </si>
  <si>
    <t>13.22亿</t>
  </si>
  <si>
    <t>225.13万</t>
  </si>
  <si>
    <t>4825.98万</t>
  </si>
  <si>
    <t>3472.48万</t>
  </si>
  <si>
    <t xml:space="preserve">
市值41.823802亿, 利润7613.82万; PE96.52, PB2.41; 毛利27.13%; 净利-.0933%; 上一年度营收增29.72%, 利润增382.25%; 当季营收增6.66%, 利润增-2.46%; 过往5年营收增14.09%, 利润增38.26%
Income profile:
</t>
  </si>
  <si>
    <t>21.80亿</t>
  </si>
  <si>
    <t>17.71亿</t>
  </si>
  <si>
    <t>1588312700亿</t>
  </si>
  <si>
    <t>26.45亿</t>
  </si>
  <si>
    <t>15.42亿</t>
  </si>
  <si>
    <t>12.21亿</t>
  </si>
  <si>
    <t>7228.74万</t>
  </si>
  <si>
    <t>3369.39万</t>
  </si>
  <si>
    <t>-2791889亿</t>
  </si>
  <si>
    <t>108.88万</t>
  </si>
  <si>
    <t>2138301亿</t>
  </si>
  <si>
    <t>2.39亿</t>
  </si>
  <si>
    <t>986552610亿</t>
  </si>
  <si>
    <t>2170854200亿</t>
  </si>
  <si>
    <t>3.09亿</t>
  </si>
  <si>
    <t>8.60亿</t>
  </si>
  <si>
    <t>21.34亿</t>
  </si>
  <si>
    <t>-3.27亿</t>
  </si>
  <si>
    <t>21.14亿</t>
  </si>
  <si>
    <t>19.51亿</t>
  </si>
  <si>
    <t>17.27亿</t>
  </si>
  <si>
    <t>17.15亿</t>
  </si>
  <si>
    <t>14.50亿</t>
  </si>
  <si>
    <t>2.12亿</t>
  </si>
  <si>
    <t>1.41亿</t>
  </si>
  <si>
    <t>9.95亿</t>
  </si>
  <si>
    <t>18.06亿</t>
  </si>
  <si>
    <t>10.21亿</t>
  </si>
  <si>
    <t>-1259.54万</t>
  </si>
  <si>
    <t>7744.37万</t>
  </si>
  <si>
    <t>513.30万</t>
  </si>
  <si>
    <t>2208.10万</t>
  </si>
  <si>
    <t xml:space="preserve">
市值40.392374亿, 利润1.38亿; PE6076, PB2.36; 毛利27.53%; 净利6.9233%; 上一年度营收增25.12%, 利润增-42.5%; 当季营收增-24.42%, 利润增-65.87%; 过往5年营收增13.08%, 利润增6.24%
Income profile:
</t>
  </si>
  <si>
    <t>52.96亿</t>
  </si>
  <si>
    <t>21.50亿</t>
  </si>
  <si>
    <t>3750432700亿</t>
  </si>
  <si>
    <t>50.73亿</t>
  </si>
  <si>
    <t>35.79亿</t>
  </si>
  <si>
    <t>24.66亿</t>
  </si>
  <si>
    <t>4946.19万</t>
  </si>
  <si>
    <t>-5800927亿</t>
  </si>
  <si>
    <t>30.97万</t>
  </si>
  <si>
    <t>123696280亿</t>
  </si>
  <si>
    <t>5.44亿</t>
  </si>
  <si>
    <t>591979720亿</t>
  </si>
  <si>
    <t>1322.88万</t>
  </si>
  <si>
    <t>2439450500亿</t>
  </si>
  <si>
    <t>4592.31万</t>
  </si>
  <si>
    <t>2.03亿</t>
  </si>
  <si>
    <t>4229.64万</t>
  </si>
  <si>
    <t>22.41亿</t>
  </si>
  <si>
    <t>8.80亿</t>
  </si>
  <si>
    <t>-2742.59万</t>
  </si>
  <si>
    <t>-2.53亿</t>
  </si>
  <si>
    <t>42.79亿</t>
  </si>
  <si>
    <t>28.92亿</t>
  </si>
  <si>
    <t>20.97亿</t>
  </si>
  <si>
    <t>8215.53万</t>
  </si>
  <si>
    <t>-5906.42万</t>
  </si>
  <si>
    <t>25.37亿</t>
  </si>
  <si>
    <t>37.43亿</t>
  </si>
  <si>
    <t>25.13亿</t>
  </si>
  <si>
    <t>3918.83万</t>
  </si>
  <si>
    <t xml:space="preserve">
市值39.062801亿, 利润1.78亿; PE24.91, PB1.82; 毛利40.41%; 净利3.3533%; 上一年度营收增18.56%, 利润增71.15%; 当季营收增-1.35%, 利润增-35.25%; 过往5年营收增26.09%, 利润增49.16%
Income profile:
</t>
  </si>
  <si>
    <t>26.25亿</t>
  </si>
  <si>
    <t>1109084650亿</t>
  </si>
  <si>
    <t>19.25亿</t>
  </si>
  <si>
    <t>2.98亿</t>
  </si>
  <si>
    <t>7.69亿</t>
  </si>
  <si>
    <t>3565.51万</t>
  </si>
  <si>
    <t>3573.50万</t>
  </si>
  <si>
    <t>4867.98万</t>
  </si>
  <si>
    <t>29843854亿</t>
  </si>
  <si>
    <t>5.16万</t>
  </si>
  <si>
    <t>227953070亿</t>
  </si>
  <si>
    <t>210450090亿</t>
  </si>
  <si>
    <t>2743935800亿</t>
  </si>
  <si>
    <t>82.87万</t>
  </si>
  <si>
    <t>273.48万</t>
  </si>
  <si>
    <t>3.08亿</t>
  </si>
  <si>
    <t>8941.18万</t>
  </si>
  <si>
    <t>-2.46亿</t>
  </si>
  <si>
    <t>-1.74亿</t>
  </si>
  <si>
    <t>13.18亿</t>
  </si>
  <si>
    <t>11.75亿</t>
  </si>
  <si>
    <t>10.97亿</t>
  </si>
  <si>
    <t>8.96亿</t>
  </si>
  <si>
    <t>14.90亿</t>
  </si>
  <si>
    <t>9.82亿</t>
  </si>
  <si>
    <t>289.96万</t>
  </si>
  <si>
    <t>1667.53万</t>
  </si>
  <si>
    <t xml:space="preserve">
市值38.656亿, 利润2.98亿; PE12.12, PB1.47; 毛利32.56%; 净利15.7533%; 上一年度营收增46.05%, 利润增44.66%; 当季营收增-35.61%, 利润增-2.45%; 过往5年营收增21.94%, 利润增35.38%
Income profile:
</t>
  </si>
  <si>
    <t>14.15亿</t>
  </si>
  <si>
    <t>29.91亿</t>
  </si>
  <si>
    <t>2121480200亿</t>
  </si>
  <si>
    <t>33.71亿</t>
  </si>
  <si>
    <t>6530.59万</t>
  </si>
  <si>
    <t>18.41亿</t>
  </si>
  <si>
    <t>13.58亿</t>
  </si>
  <si>
    <t>6602.09万</t>
  </si>
  <si>
    <t>195144030亿</t>
  </si>
  <si>
    <t>152.85万</t>
  </si>
  <si>
    <t>197325210亿</t>
  </si>
  <si>
    <t>489101150亿</t>
  </si>
  <si>
    <t>945.53万</t>
  </si>
  <si>
    <t>1878666700亿</t>
  </si>
  <si>
    <t>8064.56万</t>
  </si>
  <si>
    <t>6178.61万</t>
  </si>
  <si>
    <t>-7357.98万</t>
  </si>
  <si>
    <t>22.25亿</t>
  </si>
  <si>
    <t>21.33亿</t>
  </si>
  <si>
    <t>18.63亿</t>
  </si>
  <si>
    <t>2.76亿</t>
  </si>
  <si>
    <t>3.82亿</t>
  </si>
  <si>
    <t>13.96亿</t>
  </si>
  <si>
    <t>24.29亿</t>
  </si>
  <si>
    <t>15.24亿</t>
  </si>
  <si>
    <t>972.02万</t>
  </si>
  <si>
    <t>8177.48万</t>
  </si>
  <si>
    <t xml:space="preserve">
市值36.419448亿, 利润6530.59万; PE17.16, PB1.26; 毛利37.6533%; 净利13.1967%; 上一年度营收增54.42%, 利润增-76.34%; 当季营收增-19.84%, 利润增166.37%; 过往5年营收增20.27%, 利润增-11.46%
Income profile:
</t>
  </si>
  <si>
    <t>11.23亿</t>
  </si>
  <si>
    <t>12.22亿</t>
  </si>
  <si>
    <t>980503850亿</t>
  </si>
  <si>
    <t>18.24亿</t>
  </si>
  <si>
    <t>-7.29亿</t>
  </si>
  <si>
    <t>6.91亿</t>
  </si>
  <si>
    <t>1.12亿</t>
  </si>
  <si>
    <t>4103.84万</t>
  </si>
  <si>
    <t>2232.92万</t>
  </si>
  <si>
    <t>12050497亿</t>
  </si>
  <si>
    <t>110.44万</t>
  </si>
  <si>
    <t>83236347亿</t>
  </si>
  <si>
    <t>329274670亿</t>
  </si>
  <si>
    <t>1410895100亿</t>
  </si>
  <si>
    <t>3.32亿</t>
  </si>
  <si>
    <t>9947.50万</t>
  </si>
  <si>
    <t>-1.75亿</t>
  </si>
  <si>
    <t>-1.47亿</t>
  </si>
  <si>
    <t>14.94亿</t>
  </si>
  <si>
    <t>14.71亿</t>
  </si>
  <si>
    <t>11.10亿</t>
  </si>
  <si>
    <t>1.97亿</t>
  </si>
  <si>
    <t>8753.99万</t>
  </si>
  <si>
    <t>13.17亿</t>
  </si>
  <si>
    <t>8.44亿</t>
  </si>
  <si>
    <t>5956.87万</t>
  </si>
  <si>
    <t>9765.41万</t>
  </si>
  <si>
    <t>3014.83万</t>
  </si>
  <si>
    <t xml:space="preserve">
市值36.226602亿, 利润-7.29亿; PE, PB2.96; 毛利33.2633%; 净利12.15%; 上一年度营收增22.09%, 利润增-470.05%; 当季营收增-14.27%, 利润增-27.36%; 过往5年营收增24.33%, 利润增-75.74%
Income profile:
</t>
  </si>
  <si>
    <t>1.2020 年，新冠疫情在全球范围内蔓延后，各国政府相继出台疫情防控措施，要求减少外出、居家办公，进一步强化了居家办公的趋势，进而拉动了家庭办公家具消费需求的快速增长，且办公椅等家庭办公类产品作为相对小件的活动家具适合电商平台销售；2.已成为国内办公椅行业建设国外产能最早、目前国外产能
规模最大、拥有客户资源最多的企业</t>
    <phoneticPr fontId="1" type="noConversion"/>
  </si>
  <si>
    <t>1.在利用越南生产基地、新产品等差异化优势继续扩大美国市场份额的基础上，加快拓展欧洲、亚洲、澳洲、南美洲等市场。但需关注越南市场受疫情影响的程度；2.Steelcase、Herman Miller、Haworth 是全球具有影响力的知名办公椅品牌；3.按摩椅没有全球龙头，竞争较为分散，国内主要是：傲胜（OSIM）较为领先，奥佳华、荣泰健康，艾力斯特紧随其后；4.销售前五大客户占比64.71%，集中度太高</t>
    <phoneticPr fontId="1" type="noConversion"/>
  </si>
  <si>
    <t>12.75亿</t>
  </si>
  <si>
    <t>17.33亿</t>
  </si>
  <si>
    <t>3188010600亿</t>
  </si>
  <si>
    <t>46.59亿</t>
  </si>
  <si>
    <t>29.58亿</t>
  </si>
  <si>
    <t>25.89亿</t>
  </si>
  <si>
    <t>1.45亿</t>
  </si>
  <si>
    <t>7048.69万</t>
  </si>
  <si>
    <t>2962479亿</t>
  </si>
  <si>
    <t>344.71万</t>
  </si>
  <si>
    <t>192447070亿</t>
  </si>
  <si>
    <t>6.17亿</t>
  </si>
  <si>
    <t>434681340亿</t>
  </si>
  <si>
    <t>309.97万</t>
  </si>
  <si>
    <t>1686631000亿</t>
  </si>
  <si>
    <t>51.79万</t>
  </si>
  <si>
    <t>12.01亿</t>
  </si>
  <si>
    <t>5005.00万</t>
  </si>
  <si>
    <t>416.53万</t>
  </si>
  <si>
    <t>-4.01亿</t>
  </si>
  <si>
    <t>34.34亿</t>
  </si>
  <si>
    <t>24.50亿</t>
  </si>
  <si>
    <t>24.11亿</t>
  </si>
  <si>
    <t>14.02亿</t>
  </si>
  <si>
    <t>2.32亿</t>
  </si>
  <si>
    <t>22.11亿</t>
  </si>
  <si>
    <t>34.56亿</t>
  </si>
  <si>
    <t>24.04亿</t>
  </si>
  <si>
    <t>1.14亿</t>
  </si>
  <si>
    <t>3988.59万</t>
  </si>
  <si>
    <t>公司聚焦健康家具的研发、设计和制造，为国际知名家具品牌提供 ODM 为主的产品解决方案，与国内外多家知名采购商、零售商、品牌商建立了长期战略合作关系，同时大力推进自主品牌业务发展，加快布局国内线上线下销售渠道
市值33.548652亿, 利润1.81亿; PE10.98, PB1.95; 毛利18.9867%; 净利6.89%; 上一年度营收增35.67%, 利润增-21.98%; 当季营收增-7.13%, 利润增216.86%; 过往5年营收增27.95%, 利润增13.51%
Income profile:
办公椅 16.40亿 74.17% 73.52% 20.03%
沙发 4.74亿 21.45% 16.80% 15.83%
其他 2.09亿 9.46% 3.14% 6.71%
按摩椅椅身 1.87亿 8.44% 6.77% 16.22%</t>
  </si>
  <si>
    <t>5.73亿</t>
  </si>
  <si>
    <t>16.79亿</t>
  </si>
  <si>
    <t>940060460亿</t>
  </si>
  <si>
    <t>15.20亿</t>
  </si>
  <si>
    <t>8.09亿</t>
  </si>
  <si>
    <t>6835.70万</t>
  </si>
  <si>
    <t>4692.93万</t>
  </si>
  <si>
    <t>2439.75万</t>
  </si>
  <si>
    <t>5235758亿</t>
  </si>
  <si>
    <t>96.52万</t>
  </si>
  <si>
    <t>115229204亿</t>
  </si>
  <si>
    <t>77113821亿</t>
  </si>
  <si>
    <t>1531314800亿</t>
  </si>
  <si>
    <t>9082.96万</t>
  </si>
  <si>
    <t>9486.61万</t>
  </si>
  <si>
    <t>5.62亿</t>
  </si>
  <si>
    <t>7230.04万</t>
  </si>
  <si>
    <t>-10.16亿</t>
  </si>
  <si>
    <t>-3496.40万</t>
  </si>
  <si>
    <t>12.27亿</t>
  </si>
  <si>
    <t>13.48亿</t>
  </si>
  <si>
    <t>13.45亿</t>
  </si>
  <si>
    <t>14.82亿</t>
  </si>
  <si>
    <t>9425.51万</t>
  </si>
  <si>
    <t>6889.96万</t>
  </si>
  <si>
    <t>5.52亿</t>
  </si>
  <si>
    <t>9.62亿</t>
  </si>
  <si>
    <t>5.38亿</t>
  </si>
  <si>
    <t>7044.13万</t>
  </si>
  <si>
    <t>1.06亿</t>
  </si>
  <si>
    <t>5369.93万</t>
  </si>
  <si>
    <t>1171.76万</t>
  </si>
  <si>
    <t>9698.90万</t>
  </si>
  <si>
    <t xml:space="preserve">
市值32.27328亿, 利润1.83亿; PE15.61, PB1.92; 毛利35.2967%; 净利13.5333%; 上一年度营收增23.88%, 利润增7.02%; 当季营收增-8.48%, 利润增12.6%; 过往5年营收增1.47%, 利润增33.56%
Income profile:
</t>
  </si>
  <si>
    <t>3.88亿</t>
  </si>
  <si>
    <t>17.67亿</t>
  </si>
  <si>
    <t>670337960亿</t>
  </si>
  <si>
    <t>9.57亿</t>
  </si>
  <si>
    <t>3746.77万</t>
  </si>
  <si>
    <t>2490.54万</t>
  </si>
  <si>
    <t>975.36万</t>
  </si>
  <si>
    <t>0亿</t>
  </si>
  <si>
    <t>63.84万</t>
  </si>
  <si>
    <t>81679594亿</t>
  </si>
  <si>
    <t>338886500亿</t>
  </si>
  <si>
    <t>1818.90万</t>
  </si>
  <si>
    <t>1508039200亿</t>
  </si>
  <si>
    <t>148.31万</t>
  </si>
  <si>
    <t>6835.34万</t>
  </si>
  <si>
    <t>3.70亿</t>
  </si>
  <si>
    <t>-1989.07万</t>
  </si>
  <si>
    <t>-1654.39万</t>
  </si>
  <si>
    <t>7.28亿</t>
  </si>
  <si>
    <t>8.37亿</t>
  </si>
  <si>
    <t>4.00亿</t>
  </si>
  <si>
    <t>7586.28万</t>
  </si>
  <si>
    <t>5977.53万</t>
  </si>
  <si>
    <t>6107.41万</t>
  </si>
  <si>
    <t>6993.49万</t>
  </si>
  <si>
    <t>6.89亿</t>
  </si>
  <si>
    <t>2398.38万</t>
  </si>
  <si>
    <t>9439.05万</t>
  </si>
  <si>
    <t>4219.94万</t>
  </si>
  <si>
    <t>1002.83万</t>
  </si>
  <si>
    <t>9174.78万</t>
  </si>
  <si>
    <t xml:space="preserve">
市值25.30212亿, 利润1.28亿; PE20.96, PB1.43; 毛利35.5967%; 净利11.0867%; 上一年度营收增14.34%, 利润增.79%; 当季营收增4.79%, 利润增20.05%; 过往5年营收增19.56%, 利润增16.06%
Income profile:
</t>
  </si>
  <si>
    <t>9.79亿</t>
  </si>
  <si>
    <t>1172434500亿</t>
  </si>
  <si>
    <t>17.25亿</t>
  </si>
  <si>
    <t>-1.62亿</t>
  </si>
  <si>
    <t>10.76亿</t>
  </si>
  <si>
    <t>2.83亿</t>
  </si>
  <si>
    <t>7858.03万</t>
  </si>
  <si>
    <t>-1102473亿</t>
  </si>
  <si>
    <t>33.15万</t>
  </si>
  <si>
    <t>78058659亿</t>
  </si>
  <si>
    <t>2.05亿</t>
  </si>
  <si>
    <t>199570040亿</t>
  </si>
  <si>
    <t>1136.19万</t>
  </si>
  <si>
    <t>778479030亿</t>
  </si>
  <si>
    <t>8721.16万</t>
  </si>
  <si>
    <t>6101.23万</t>
  </si>
  <si>
    <t>5348.97万</t>
  </si>
  <si>
    <t>8245.66万</t>
  </si>
  <si>
    <t>7.44亿</t>
  </si>
  <si>
    <t>2.95亿</t>
  </si>
  <si>
    <t>-1.60亿</t>
  </si>
  <si>
    <t>-1.29亿</t>
  </si>
  <si>
    <t>15.84亿</t>
  </si>
  <si>
    <t>10.82亿</t>
  </si>
  <si>
    <t>8376.55万</t>
  </si>
  <si>
    <t>6874.10万</t>
  </si>
  <si>
    <t>7.11亿</t>
  </si>
  <si>
    <t>12.42亿</t>
  </si>
  <si>
    <t>4037.65万</t>
  </si>
  <si>
    <t>5252.29万</t>
  </si>
  <si>
    <t>543.37万</t>
  </si>
  <si>
    <t>2684.27万</t>
  </si>
  <si>
    <t xml:space="preserve">
市值24.010515亿, 利润-1.62亿; PE, PB2.45; 毛利43.1%; 净利10.3667%; 上一年度营收增8.9%, 利润增-173.64%; 当季营收增-7.16%, 利润增8.09%; 过往5年营收增20.91%, 利润增-7.23%
Income profile:
</t>
  </si>
  <si>
    <t>8744.74万</t>
  </si>
  <si>
    <t>247464110亿</t>
  </si>
  <si>
    <t>4.73亿</t>
  </si>
  <si>
    <t>6845.51万</t>
  </si>
  <si>
    <t>1.80亿</t>
  </si>
  <si>
    <t>2511.73万</t>
  </si>
  <si>
    <t>815.45万</t>
  </si>
  <si>
    <t>353.98万</t>
  </si>
  <si>
    <t>2410312亿</t>
  </si>
  <si>
    <t>1.07万</t>
  </si>
  <si>
    <t>26994035亿</t>
  </si>
  <si>
    <t>2.37亿</t>
  </si>
  <si>
    <t>42015343亿</t>
  </si>
  <si>
    <t>830587420亿</t>
  </si>
  <si>
    <t>3023.36万</t>
  </si>
  <si>
    <t>4708.16万</t>
  </si>
  <si>
    <t>8689.50万</t>
  </si>
  <si>
    <t>-2731.79万</t>
  </si>
  <si>
    <t>-2.84亿</t>
  </si>
  <si>
    <t>6787.95万</t>
  </si>
  <si>
    <t>7392.98万</t>
  </si>
  <si>
    <t>4387.00万</t>
  </si>
  <si>
    <t>2514.49万</t>
  </si>
  <si>
    <t>3.34亿</t>
  </si>
  <si>
    <t>2490.59万</t>
  </si>
  <si>
    <t>5159.84万</t>
  </si>
  <si>
    <t>3296.93万</t>
  </si>
  <si>
    <t>741.22万</t>
  </si>
  <si>
    <t>3953.40万</t>
  </si>
  <si>
    <t>12-0</t>
  </si>
  <si>
    <t xml:space="preserve">
市值20.856亿, 利润6845.51万; PE43.95, PB2.68; 毛利29.7133%; 净利13.7867%; 上一年度营收增-1.25%, 利润增.85%; 当季营收增-39.02%, 利润增-69.42%; 过往5年营收增14.09%, 利润增33.91%
Income profile:
</t>
  </si>
  <si>
    <t>8.04亿</t>
  </si>
  <si>
    <t>7.52亿</t>
  </si>
  <si>
    <t>755434190亿</t>
  </si>
  <si>
    <t>12.98亿</t>
  </si>
  <si>
    <t>-8482.84万</t>
  </si>
  <si>
    <t>7.23亿</t>
  </si>
  <si>
    <t>5.13亿</t>
  </si>
  <si>
    <t>9353.57万</t>
  </si>
  <si>
    <t>7021.95万</t>
  </si>
  <si>
    <t>2289.85万</t>
  </si>
  <si>
    <t>8825660亿</t>
  </si>
  <si>
    <t>70.55万</t>
  </si>
  <si>
    <t>36909437亿</t>
  </si>
  <si>
    <t>223232980亿</t>
  </si>
  <si>
    <t>3680.53万</t>
  </si>
  <si>
    <t>755633350亿</t>
  </si>
  <si>
    <t>4661.04万</t>
  </si>
  <si>
    <t>1.59亿</t>
  </si>
  <si>
    <t>1.49亿</t>
  </si>
  <si>
    <t>6.42亿</t>
  </si>
  <si>
    <t>643.17万</t>
  </si>
  <si>
    <t>-3110.24万</t>
  </si>
  <si>
    <t>-2329.61万</t>
  </si>
  <si>
    <t>8.72亿</t>
  </si>
  <si>
    <t>8.31亿</t>
  </si>
  <si>
    <t>2174.10万</t>
  </si>
  <si>
    <t>7788.74万</t>
  </si>
  <si>
    <t>7651.27万</t>
  </si>
  <si>
    <t>7431.12万</t>
  </si>
  <si>
    <t>4041.62万</t>
  </si>
  <si>
    <t>8.87亿</t>
  </si>
  <si>
    <t>5.22亿</t>
  </si>
  <si>
    <t>2664.12万</t>
  </si>
  <si>
    <t>7219.43万</t>
  </si>
  <si>
    <t>4116.32万</t>
  </si>
  <si>
    <t>886.69万</t>
  </si>
  <si>
    <t>4737.30万</t>
  </si>
  <si>
    <t xml:space="preserve">
市值16.075097亿, 利润-8482.84万; PE, PB2.15; 毛利35.04%; 净利5.3267%; 上一年度营收增48.85%, 利润增-490.18%; 当季营收增-24.54%, 利润增-43.88%; 过往5年营收增13.76%, 利润增-94.73%
Income profile:
</t>
  </si>
  <si>
    <t xml:space="preserve">
</t>
    <phoneticPr fontId="1" type="noConversion"/>
  </si>
  <si>
    <t>5.17亿</t>
  </si>
  <si>
    <t>155383200亿</t>
  </si>
  <si>
    <t>-6683.49万</t>
  </si>
  <si>
    <t>8966.49万</t>
  </si>
  <si>
    <t>6179.60万</t>
  </si>
  <si>
    <t>4926.19万</t>
  </si>
  <si>
    <t>494.25万</t>
  </si>
  <si>
    <t>-2569627亿</t>
  </si>
  <si>
    <t>-71598207亿</t>
  </si>
  <si>
    <t>2825.00万</t>
  </si>
  <si>
    <t>31279661亿</t>
  </si>
  <si>
    <t>107.73万</t>
  </si>
  <si>
    <t>290625990亿</t>
  </si>
  <si>
    <t>7403.03万</t>
  </si>
  <si>
    <t>1500.00万</t>
  </si>
  <si>
    <t>3519.75万</t>
  </si>
  <si>
    <t>-942.59万</t>
  </si>
  <si>
    <t>-2576.73万</t>
  </si>
  <si>
    <t>-2401.31万</t>
  </si>
  <si>
    <t>1671.25万</t>
  </si>
  <si>
    <t>-1.25亿</t>
  </si>
  <si>
    <t>-8610.90万</t>
  </si>
  <si>
    <t>6105.35万</t>
  </si>
  <si>
    <t>7552.37万</t>
  </si>
  <si>
    <t>9728.13万</t>
  </si>
  <si>
    <t>1.95亿</t>
  </si>
  <si>
    <t>-5360.86万</t>
  </si>
  <si>
    <t>-3350.80万</t>
  </si>
  <si>
    <t>-1827.95万</t>
  </si>
  <si>
    <t>1593.80万</t>
  </si>
  <si>
    <t>9488.05万</t>
  </si>
  <si>
    <t>亏损</t>
  </si>
  <si>
    <t xml:space="preserve">
市值14.976864亿, 利润-6683.49万; PE, PB2.84; 毛利46.97%; 净利-29.01%; 上一年度营收增-11.54%, 利润增-499.91%; 当季营收增-13.28%, 利润增12.04%; 过往5年营收增-12.75%, 利润增-138.38%
Income profile:
</t>
  </si>
  <si>
    <t>4.14亿</t>
  </si>
  <si>
    <t>6.06亿</t>
  </si>
  <si>
    <t>534838860亿</t>
  </si>
  <si>
    <t>-1533.07万</t>
  </si>
  <si>
    <t>4.39亿</t>
  </si>
  <si>
    <t>7587.62万</t>
  </si>
  <si>
    <t>2649.14万</t>
  </si>
  <si>
    <t>1192.73万</t>
  </si>
  <si>
    <t>-567484亿</t>
  </si>
  <si>
    <t>149.01万</t>
  </si>
  <si>
    <t>-9481493亿</t>
  </si>
  <si>
    <t>6233.19万</t>
  </si>
  <si>
    <t>93513806亿</t>
  </si>
  <si>
    <t>309874850亿</t>
  </si>
  <si>
    <t>3497.00万</t>
  </si>
  <si>
    <t>8544.48万</t>
  </si>
  <si>
    <t>9926.52万</t>
  </si>
  <si>
    <t>247.52万</t>
  </si>
  <si>
    <t>-8575.20万</t>
  </si>
  <si>
    <t>-1.13亿</t>
  </si>
  <si>
    <t>11.62亿</t>
  </si>
  <si>
    <t>7.85亿</t>
  </si>
  <si>
    <t>5.92亿</t>
  </si>
  <si>
    <t>4171.84万</t>
  </si>
  <si>
    <t>3370.83万</t>
  </si>
  <si>
    <t>8377.40万</t>
  </si>
  <si>
    <t>8268.17万</t>
  </si>
  <si>
    <t>7322.09万</t>
  </si>
  <si>
    <t>5.15亿</t>
  </si>
  <si>
    <t>362.43万</t>
  </si>
  <si>
    <t>946.79万</t>
  </si>
  <si>
    <t>1054.37万</t>
  </si>
  <si>
    <t>666.15万</t>
  </si>
  <si>
    <t>2081.48万</t>
  </si>
  <si>
    <t xml:space="preserve">
市值14.192亿, 利润-1533.07万; PE, PB2.34; 毛利22.7033%; 净利2.5667%; 上一年度营收增-12.13%, 利润增-136.75%; 当季营收增-31.81%, 利润增-662.27%; 过往5年营收增12.54%, 利润增-31.7%
Income profile:
</t>
  </si>
  <si>
    <t>https://xueqiu.com/9508834377/201548035</t>
    <phoneticPr fontId="1" type="noConversion"/>
  </si>
  <si>
    <t>1.解决消费者的痛点和爽点是非常重要的方向。00后已经开始成长，未来会成为消费的主流。他们的特点之一是倾向懒人经济，希望交钥匙工程，从设计到选材、运输、铺贴，到整体硬装、软装，到整体交付，未来对整装业务肯定是这样的需求；</t>
    <phoneticPr fontId="1" type="noConversion"/>
  </si>
  <si>
    <t>公司主营业务为生产销售瓷砖、卫浴（卫生陶瓷和卫浴产品）、木地板、涂料、硅藻泥、集成墙板、辅材（防水、瓷砖胶、美缝剂）和整装家居等产品和服务，为用户提供装修一站式硬装产品解决方案。
市值95.2476亿, 利润1.54亿; PE, PB1.33; 毛利31.9633%; 净利9.11%; 上一年度营收增11.47%, 利润增-81.92%; 当季营收增-8.94%, 利润增1794.5%; 过往5年营收增9.24%, 利润增-13.07%
Income profile:
瓷砖 25.93亿 82.78% 84.79% 28.46%
洁具 4.28亿 13.67% 10.51% 21.36%
其他 1.11亿 3.55% 4.70% 36.82%</t>
  </si>
  <si>
    <r>
      <t>1.公司推出“</t>
    </r>
    <r>
      <rPr>
        <sz val="9"/>
        <color rgb="FFFF0000"/>
        <rFont val="宋体"/>
        <family val="3"/>
        <charset val="134"/>
        <scheme val="minor"/>
      </rPr>
      <t>微笑铺贴”服务，一直以来包铺贴</t>
    </r>
    <r>
      <rPr>
        <sz val="9"/>
        <color theme="1"/>
        <rFont val="宋体"/>
        <family val="2"/>
        <charset val="134"/>
        <scheme val="minor"/>
      </rPr>
      <t>是行业短板与痛点，家装业务传统的其他材料（如门窗、橱柜、涂料、空调等）均包安装，但瓷砖瓷板一直以来没有介入到安装；2.终端得益于</t>
    </r>
    <r>
      <rPr>
        <b/>
        <sz val="9"/>
        <color rgb="FFFF0000"/>
        <rFont val="宋体"/>
        <family val="3"/>
        <charset val="134"/>
        <scheme val="minor"/>
      </rPr>
      <t>渠道下沉布局县乡村市场</t>
    </r>
    <r>
      <rPr>
        <sz val="9"/>
        <color theme="1"/>
        <rFont val="宋体"/>
        <family val="2"/>
        <charset val="134"/>
        <scheme val="minor"/>
      </rPr>
      <t>，以及新农村振兴建设、建材下乡等政策，有信心在C端保持增长和市场份额的进一步提升。</t>
    </r>
    <phoneticPr fontId="1" type="noConversion"/>
  </si>
  <si>
    <t>公司主要从事高品质建筑陶瓷产品的研发、生产和销售。主要产品可分为陶瓷砖、陶瓷板、岩板、瓷艺,其中,陶瓷砖产品可分为瓷质有釉砖、瓷质无釉砖和非瓷质有釉砖三类。
市值66.039164亿, 利润3.15亿; PE, PB2.19; 毛利31.3%; 净利2.0533%; 上一年度营收增43.65%, 利润增-44.35%; 当季营收增-4.23%, 利润增-12.24%; 过往5年营收增25.09%, 利润增11.09%
Income profile:
瓷质有釉砖 20.35亿 69.59% 72.67% 21.23%
陶瓷板、薄型陶瓷砖 3.58亿 12.25% 18.22% 30.22%
非瓷质有釉砖 3.56亿 12.19% 6.67% 11.13%</t>
  </si>
  <si>
    <t>公司主要从事人造板和地板的生产销售业务。人造板业务主要产品有“大亚”中高密度纤维板和刨花板，地板业务主要产品有“圣象”强化木地板、三层实木地板、多层实木地板。
市值47.349884亿, 利润5.95亿; PE10.78, PB.744; 毛利29.9133%; 净利8.1733%; 上一年度营收增20.47%, 利润增-4.95%; 当季营收增-24.07%, 利润增-25.13%; 过往5年营收增6.29%, 利润增2.63%
Income profile:
木地板 20.80亿 62.51% 78.70% 30.38%
中高密度板 6.39亿 19.19% 7.59% 9.55%
竹、石塑地板等 5.53亿 16.63% 11.42% 16.58%
木门及衣帽间 3293.39万 0.99% 1.05% 25.59%</t>
  </si>
  <si>
    <r>
      <t>1.同时叠加国内外疫情反复、</t>
    </r>
    <r>
      <rPr>
        <b/>
        <sz val="9"/>
        <color rgb="FFFF0000"/>
        <rFont val="宋体"/>
        <family val="3"/>
        <charset val="134"/>
        <scheme val="minor"/>
      </rPr>
      <t>双碳政策和限电限产、能源和
原材料价格上涨</t>
    </r>
    <r>
      <rPr>
        <sz val="9"/>
        <color theme="1"/>
        <rFont val="宋体"/>
        <family val="2"/>
        <charset val="134"/>
        <scheme val="minor"/>
      </rPr>
      <t>等多重不利因素，致使公司本年度利润下滑;</t>
    </r>
    <phoneticPr fontId="1" type="noConversion"/>
  </si>
  <si>
    <t>SH601668</t>
  </si>
  <si>
    <t>中国建筑</t>
  </si>
  <si>
    <t>建筑装饰</t>
  </si>
  <si>
    <t>SH601390</t>
  </si>
  <si>
    <t>中国中铁</t>
  </si>
  <si>
    <t>9241.27万</t>
  </si>
  <si>
    <t>SH601800</t>
  </si>
  <si>
    <t>中国交建</t>
  </si>
  <si>
    <t>5358.28万</t>
  </si>
  <si>
    <t>SH601186</t>
  </si>
  <si>
    <t>中国铁建</t>
  </si>
  <si>
    <t>5569.92万</t>
  </si>
  <si>
    <t>SH601868</t>
  </si>
  <si>
    <t>中国能建</t>
  </si>
  <si>
    <t>1.32亿</t>
  </si>
  <si>
    <t>SH601669</t>
  </si>
  <si>
    <t>中国电建</t>
  </si>
  <si>
    <t>7084.80万</t>
  </si>
  <si>
    <t>SH601618</t>
  </si>
  <si>
    <t>中国中冶</t>
  </si>
  <si>
    <t>SH600039</t>
  </si>
  <si>
    <t>四川路桥</t>
  </si>
  <si>
    <t>2681.17万</t>
  </si>
  <si>
    <t>SH601117</t>
  </si>
  <si>
    <t>中国化学</t>
  </si>
  <si>
    <t>3240.71万</t>
  </si>
  <si>
    <t>SH600970</t>
  </si>
  <si>
    <t>中材国际</t>
  </si>
  <si>
    <t>1338.74万</t>
  </si>
  <si>
    <t>SZ000628</t>
  </si>
  <si>
    <t>高新发展</t>
  </si>
  <si>
    <t>3150.81万</t>
  </si>
  <si>
    <t>SH601611</t>
  </si>
  <si>
    <t>中国核建</t>
  </si>
  <si>
    <t>1055.13万</t>
  </si>
  <si>
    <t>SH600170</t>
  </si>
  <si>
    <t>上海建工</t>
  </si>
  <si>
    <t>7561.25万</t>
  </si>
  <si>
    <t>SH600720</t>
  </si>
  <si>
    <t>中交设计</t>
  </si>
  <si>
    <t>662.28万</t>
  </si>
  <si>
    <t>SZ000032</t>
  </si>
  <si>
    <t>深桑达Ａ</t>
  </si>
  <si>
    <t>1687.30万</t>
  </si>
  <si>
    <t>SH600820</t>
  </si>
  <si>
    <t>隧道股份</t>
  </si>
  <si>
    <t>3235.99万</t>
  </si>
  <si>
    <t>21330.19亿</t>
  </si>
  <si>
    <t>7194.17亿</t>
  </si>
  <si>
    <t>16712.42亿</t>
  </si>
  <si>
    <t>20550.52亿</t>
  </si>
  <si>
    <t>509.50亿</t>
  </si>
  <si>
    <t>15986.13亿</t>
  </si>
  <si>
    <t>15220.34亿</t>
  </si>
  <si>
    <t>50.64亿</t>
  </si>
  <si>
    <t>234.09亿</t>
  </si>
  <si>
    <t>193.70亿</t>
  </si>
  <si>
    <t>2624409000亿</t>
  </si>
  <si>
    <t>10.86亿</t>
  </si>
  <si>
    <t>41059343000亿</t>
  </si>
  <si>
    <t>3424.43亿</t>
  </si>
  <si>
    <t>249546210000亿</t>
  </si>
  <si>
    <t>49.70亿</t>
  </si>
  <si>
    <t>2024147200000亿</t>
  </si>
  <si>
    <t>47.53亿</t>
  </si>
  <si>
    <t>1334.96亿</t>
  </si>
  <si>
    <t>138.12亿</t>
  </si>
  <si>
    <t>6338.01亿</t>
  </si>
  <si>
    <t>15813.28亿</t>
  </si>
  <si>
    <t>4234.57亿</t>
  </si>
  <si>
    <t>-163.51亿</t>
  </si>
  <si>
    <t>-212.15亿</t>
  </si>
  <si>
    <t>460.31亿</t>
  </si>
  <si>
    <t>18927.06亿</t>
  </si>
  <si>
    <t>16150.51亿</t>
  </si>
  <si>
    <t>14198.37亿</t>
  </si>
  <si>
    <t>11993.25亿</t>
  </si>
  <si>
    <t>10541.07亿</t>
  </si>
  <si>
    <t>515.49亿</t>
  </si>
  <si>
    <t>449.25亿</t>
  </si>
  <si>
    <t>418.81亿</t>
  </si>
  <si>
    <t>382.41亿</t>
  </si>
  <si>
    <t>329.42亿</t>
  </si>
  <si>
    <t>11133.13亿</t>
  </si>
  <si>
    <t>15359.93亿</t>
  </si>
  <si>
    <t>10612.27亿</t>
  </si>
  <si>
    <t>289.72亿</t>
  </si>
  <si>
    <t>435.36亿</t>
  </si>
  <si>
    <t>285.14亿</t>
  </si>
  <si>
    <t>10派2.527元(含税)</t>
  </si>
  <si>
    <t>房屋建设</t>
  </si>
  <si>
    <t>7.70亿</t>
  </si>
  <si>
    <t>52.79亿</t>
  </si>
  <si>
    <t>12904.88亿</t>
  </si>
  <si>
    <t>4486.59亿</t>
  </si>
  <si>
    <t>8829.18亿</t>
  </si>
  <si>
    <t>11543.58亿</t>
  </si>
  <si>
    <t>312.76亿</t>
  </si>
  <si>
    <t>8514.58亿</t>
  </si>
  <si>
    <t>8026.73亿</t>
  </si>
  <si>
    <t>44.19亿</t>
  </si>
  <si>
    <t>188.60亿</t>
  </si>
  <si>
    <t>102.95亿</t>
  </si>
  <si>
    <t>560058000亿</t>
  </si>
  <si>
    <t>5.54亿</t>
  </si>
  <si>
    <t>22597997000亿</t>
  </si>
  <si>
    <t>1941.40亿</t>
  </si>
  <si>
    <t>161177200000亿</t>
  </si>
  <si>
    <t>37.49亿</t>
  </si>
  <si>
    <t>946403780000亿</t>
  </si>
  <si>
    <t>576.19亿</t>
  </si>
  <si>
    <t>985.19亿</t>
  </si>
  <si>
    <t>662.83亿</t>
  </si>
  <si>
    <t>4325.12亿</t>
  </si>
  <si>
    <t>10.96亿</t>
  </si>
  <si>
    <t>9440.19亿</t>
  </si>
  <si>
    <t>2774.07亿</t>
  </si>
  <si>
    <t>-337.23亿</t>
  </si>
  <si>
    <t>-508.54亿</t>
  </si>
  <si>
    <t>444.12亿</t>
  </si>
  <si>
    <t>10704.17亿</t>
  </si>
  <si>
    <t>9714.05亿</t>
  </si>
  <si>
    <t>8484.40亿</t>
  </si>
  <si>
    <t>7377.14亿</t>
  </si>
  <si>
    <t>6899.45亿</t>
  </si>
  <si>
    <t>276.18亿</t>
  </si>
  <si>
    <t>251.88亿</t>
  </si>
  <si>
    <t>236.78亿</t>
  </si>
  <si>
    <t>171.98亿</t>
  </si>
  <si>
    <t>160.67亿</t>
  </si>
  <si>
    <t>5894.72亿</t>
  </si>
  <si>
    <t>8481.85亿</t>
  </si>
  <si>
    <t>5594.05亿</t>
  </si>
  <si>
    <t>162.39亿</t>
  </si>
  <si>
    <t>230.06亿</t>
  </si>
  <si>
    <t>151.15亿</t>
  </si>
  <si>
    <t>10派2元(含税)</t>
  </si>
  <si>
    <t>基础建设</t>
  </si>
  <si>
    <t>6.05亿</t>
  </si>
  <si>
    <t>41.10亿</t>
  </si>
  <si>
    <t>公司主营业务为基建建设、勘察设计与咨询服务、工程设备和零部件制造、房地产开发以及其他业务。公司是全球最大的多功能综合型建设集团之一,能够为客户提供全套工程和工业产品及相关服务。
市值1757.2947亿, 利润312.76亿; PE5.25; 平均PE7.48; 平均PEG.69, PB.644; ROIC4.0467%; ROE8.8%; 股利率2.8169%; 毛利9.6%; 净利2.92%; 上一年度营收增7.84%, 利润增13.24%; 当季营收增1.62%, 利润增-1.5%; 过往5年营收增10.89%, 利润增14.8%
Income profile:
基础设施建设 4837.01亿 86.28% 73.24% 7.68%
其他 319.79亿 5.70% 10.38% 16.47%
房地产开发 234.47亿 4.18% 6.63% 14.35%
工程设备与零部件制造 127.56亿 2.28% 4.97% 19.77%
勘察设计与咨询服务 87.05亿 1.55% 4.77% 27.81%</t>
  </si>
  <si>
    <r>
      <t>1.前10大股东占比</t>
    </r>
    <r>
      <rPr>
        <sz val="9"/>
        <color rgb="FFFF0000"/>
        <rFont val="宋体"/>
        <family val="3"/>
        <charset val="134"/>
        <scheme val="minor"/>
      </rPr>
      <t>接近90%</t>
    </r>
    <r>
      <rPr>
        <sz val="9"/>
        <color theme="1"/>
        <rFont val="宋体"/>
        <family val="2"/>
        <charset val="134"/>
        <scheme val="minor"/>
      </rPr>
      <t>。2.公司主要参与海上风电的安装环节，占据</t>
    </r>
    <r>
      <rPr>
        <sz val="9"/>
        <color rgb="FFFF0000"/>
        <rFont val="宋体"/>
        <family val="3"/>
        <charset val="134"/>
        <scheme val="minor"/>
      </rPr>
      <t>接近市场50%的份额</t>
    </r>
    <r>
      <rPr>
        <sz val="9"/>
        <color theme="1"/>
        <rFont val="宋体"/>
        <family val="2"/>
        <charset val="134"/>
        <scheme val="minor"/>
      </rPr>
      <t>。目前正在规划向产业链的前后端延伸，包括整机制造、风电投资、风电运维等，构建公司在风电领域全方位发展的产业链优势。</t>
    </r>
    <r>
      <rPr>
        <sz val="9"/>
        <color theme="1"/>
        <rFont val="宋体"/>
        <family val="3"/>
        <charset val="134"/>
        <scheme val="minor"/>
      </rPr>
      <t>3.本集团是世界最大的港口、公路与桥梁的设计与建设公司、世界规模最大的疏浚公司；中国最大的国际工程承包公司、中国最大的高速公路投资商；拥有世界上最大的工程船船队。</t>
    </r>
    <phoneticPr fontId="1" type="noConversion"/>
  </si>
  <si>
    <r>
      <t>1.上半年，公司批复</t>
    </r>
    <r>
      <rPr>
        <sz val="9"/>
        <color rgb="FFFF0000"/>
        <rFont val="宋体"/>
        <family val="3"/>
        <charset val="134"/>
        <scheme val="minor"/>
      </rPr>
      <t>境内</t>
    </r>
    <r>
      <rPr>
        <sz val="9"/>
        <color theme="1"/>
        <rFont val="宋体"/>
        <family val="2"/>
        <charset val="134"/>
        <scheme val="minor"/>
      </rPr>
      <t>基础设施等投资类项目投资额为 443.1亿元，</t>
    </r>
    <r>
      <rPr>
        <sz val="9"/>
        <color rgb="FFFF0000"/>
        <rFont val="宋体"/>
        <family val="3"/>
        <charset val="134"/>
        <scheme val="minor"/>
      </rPr>
      <t>占年度计划的 16%</t>
    </r>
    <r>
      <rPr>
        <sz val="9"/>
        <color theme="1"/>
        <rFont val="宋体"/>
        <family val="2"/>
        <charset val="134"/>
        <scheme val="minor"/>
      </rPr>
      <t>。</t>
    </r>
    <r>
      <rPr>
        <sz val="9"/>
        <color theme="1"/>
        <rFont val="宋体"/>
        <family val="3"/>
        <charset val="134"/>
        <scheme val="minor"/>
      </rPr>
      <t>2.中国国内业务</t>
    </r>
    <r>
      <rPr>
        <b/>
        <sz val="9"/>
        <color rgb="FFFF0000"/>
        <rFont val="宋体"/>
        <family val="3"/>
        <charset val="134"/>
        <scheme val="minor"/>
      </rPr>
      <t>占比86%</t>
    </r>
    <r>
      <rPr>
        <sz val="9"/>
        <color theme="1"/>
        <rFont val="宋体"/>
        <family val="3"/>
        <charset val="134"/>
        <scheme val="minor"/>
      </rPr>
      <t>。</t>
    </r>
    <phoneticPr fontId="1" type="noConversion"/>
  </si>
  <si>
    <t>13483.94亿</t>
  </si>
  <si>
    <t>4451.23亿</t>
  </si>
  <si>
    <t>5477.02亿</t>
  </si>
  <si>
    <t>7202.75亿</t>
  </si>
  <si>
    <t>191.04亿</t>
  </si>
  <si>
    <t>5194.08亿</t>
  </si>
  <si>
    <t>4860.25亿</t>
  </si>
  <si>
    <t>122.12亿</t>
  </si>
  <si>
    <t>94.18亿</t>
  </si>
  <si>
    <t>-186066200亿</t>
  </si>
  <si>
    <t>15268399000亿</t>
  </si>
  <si>
    <t>1594.07亿</t>
  </si>
  <si>
    <t>119803162000亿</t>
  </si>
  <si>
    <t>16.30亿</t>
  </si>
  <si>
    <t>768551280000亿</t>
  </si>
  <si>
    <t>153.90亿</t>
  </si>
  <si>
    <t>1012.15亿</t>
  </si>
  <si>
    <t>474.60亿</t>
  </si>
  <si>
    <t>3617.28亿</t>
  </si>
  <si>
    <t>8260.42亿</t>
  </si>
  <si>
    <t>4242.43亿</t>
  </si>
  <si>
    <t>-498.30亿</t>
  </si>
  <si>
    <t>-502.07亿</t>
  </si>
  <si>
    <t>1466.99亿</t>
  </si>
  <si>
    <t>6858.31亿</t>
  </si>
  <si>
    <t>6275.86亿</t>
  </si>
  <si>
    <t>5554.46亿</t>
  </si>
  <si>
    <t>4908.72亿</t>
  </si>
  <si>
    <t>4828.04亿</t>
  </si>
  <si>
    <t>179.95亿</t>
  </si>
  <si>
    <t>162.06亿</t>
  </si>
  <si>
    <t>200.13亿</t>
  </si>
  <si>
    <t>196.80亿</t>
  </si>
  <si>
    <t>205.81亿</t>
  </si>
  <si>
    <t>3657.88亿</t>
  </si>
  <si>
    <t>5420.01亿</t>
  </si>
  <si>
    <t>3639.46亿</t>
  </si>
  <si>
    <t>114.03亿</t>
  </si>
  <si>
    <t>158.36亿</t>
  </si>
  <si>
    <t>111.03亿</t>
  </si>
  <si>
    <t>10派2.1707元(含税)</t>
  </si>
  <si>
    <t>4.54亿</t>
  </si>
  <si>
    <t>23.57亿</t>
  </si>
  <si>
    <t>公司的主营业务是基建设计、基建建设、疏浚（为疏通、扩宽或挖深河湖等水域，用人力或机械进行水下土石方开挖工程）和装备制造业务。
市值1444.0459亿, 利润191.04亿; PE6.06; 平均PE7.63; 平均PEG.91, PB.564; ROIC2.4067%; ROE5.61%; 股利率2.4472%; 毛利12.1%; 净利3.49%; 上一年度营收增5.02%, 利润增6.16%; 当季营收增2.17%, 利润增2.32%; 过往5年营收增8.42%, 利润增-.9%
Income profile:
基建建设业务 3232.32亿 88.82% 82.94% 9.61%
疏浚业务 262.24亿 7.21% 6.75% 9.64%
基建设计业务 220.19亿 6.05% 7.44% 12.66%</t>
  </si>
  <si>
    <t>12711.58亿</t>
  </si>
  <si>
    <t>4105.07亿</t>
  </si>
  <si>
    <t>8064.63亿</t>
  </si>
  <si>
    <t>10963.13亿</t>
  </si>
  <si>
    <t>266.42亿</t>
  </si>
  <si>
    <t>7726.87亿</t>
  </si>
  <si>
    <t>7325.48亿</t>
  </si>
  <si>
    <t>47.78亿</t>
  </si>
  <si>
    <t>158.01亿</t>
  </si>
  <si>
    <t>82.93亿</t>
  </si>
  <si>
    <t>-3114990000亿</t>
  </si>
  <si>
    <t>18432954000亿</t>
  </si>
  <si>
    <t>1563.92亿</t>
  </si>
  <si>
    <t>172040040000亿</t>
  </si>
  <si>
    <t>1113426780000亿</t>
  </si>
  <si>
    <t>92.90亿</t>
  </si>
  <si>
    <t>1137.87亿</t>
  </si>
  <si>
    <t>627.54亿</t>
  </si>
  <si>
    <t>4590.41亿</t>
  </si>
  <si>
    <t>9.49亿</t>
  </si>
  <si>
    <t>10294.62亿</t>
  </si>
  <si>
    <t>1619.74亿</t>
  </si>
  <si>
    <t>-431.83亿</t>
  </si>
  <si>
    <t>-398.66亿</t>
  </si>
  <si>
    <t>778.48亿</t>
  </si>
  <si>
    <t>10200.10亿</t>
  </si>
  <si>
    <t>9103.25亿</t>
  </si>
  <si>
    <t>8304.52亿</t>
  </si>
  <si>
    <t>7301.23亿</t>
  </si>
  <si>
    <t>6809.81亿</t>
  </si>
  <si>
    <t>246.91亿</t>
  </si>
  <si>
    <t>223.93亿</t>
  </si>
  <si>
    <t>201.97亿</t>
  </si>
  <si>
    <t>179.35亿</t>
  </si>
  <si>
    <t>160.57亿</t>
  </si>
  <si>
    <t>5410.60亿</t>
  </si>
  <si>
    <t>7984.22亿</t>
  </si>
  <si>
    <t>5404.97亿</t>
  </si>
  <si>
    <t>136.49亿</t>
  </si>
  <si>
    <t>187.68亿</t>
  </si>
  <si>
    <t>134.90亿</t>
  </si>
  <si>
    <t>10派2.8元(含税)</t>
  </si>
  <si>
    <t>25.30亿</t>
  </si>
  <si>
    <t>公司主要业务为工程承包、勘察设计咨询、工业制造、房地产开发、物流与物资贸易。公司具有科研、规划、勘察、设计、施工、监理、维护、运营和投融资等完善的行业产业链,具备为业主提供一站式综合服务的能力。
市值1166.48261亿, 利润266.42亿; PE4.47; 平均PE5.47; 平均PEG.55, PB.477; ROIC3.9567%; ROE8.2733%; 股利率3.2596%; 毛利9.2567%; 净利2.9133%; 上一年度营收增7.48%, 利润增7.9%; 当季营收增2.9%, 利润增9.33%; 过往5年营收增10.02%, 利润增10.67%
Income profile:
工程承包业务 4846.68亿 89.67% 73.51% 7.10%
物流与物资贸易及其他业务 445.19亿 8.24% 7.44% 7.83%
房地产开发业务 213.83亿 3.96% 7.39% 16.18%
工业制造业务 108.03亿 2.00% 5.84% 25.31%
勘察设计咨询业务 91.08亿 1.69% 7.05% 36.24%</t>
  </si>
  <si>
    <t>5848.78亿</t>
  </si>
  <si>
    <t>1777.77亿</t>
  </si>
  <si>
    <t>2853.13亿</t>
  </si>
  <si>
    <t>3663.93亿</t>
  </si>
  <si>
    <t>78.09亿</t>
  </si>
  <si>
    <t>2769.73亿</t>
  </si>
  <si>
    <t>2540.74亿</t>
  </si>
  <si>
    <t>12.89亿</t>
  </si>
  <si>
    <t>103.69亿</t>
  </si>
  <si>
    <t>41.66亿</t>
  </si>
  <si>
    <t>-116242000亿</t>
  </si>
  <si>
    <t>2885032000亿</t>
  </si>
  <si>
    <t>644.48亿</t>
  </si>
  <si>
    <t>92782797000亿</t>
  </si>
  <si>
    <t>58.55亿</t>
  </si>
  <si>
    <t>438771510000亿</t>
  </si>
  <si>
    <t>194.25亿</t>
  </si>
  <si>
    <t>372.57亿</t>
  </si>
  <si>
    <t>150.88亿</t>
  </si>
  <si>
    <t>1973.01亿</t>
  </si>
  <si>
    <t>3664.00万</t>
  </si>
  <si>
    <t>4024.32亿</t>
  </si>
  <si>
    <t>1632.93亿</t>
  </si>
  <si>
    <t>-147.47亿</t>
  </si>
  <si>
    <t>-232.04亿</t>
  </si>
  <si>
    <t>287.79亿</t>
  </si>
  <si>
    <t>3223.19亿</t>
  </si>
  <si>
    <t>2703.28亿</t>
  </si>
  <si>
    <t>2469.17亿</t>
  </si>
  <si>
    <t>2237.81亿</t>
  </si>
  <si>
    <t>2342.93亿</t>
  </si>
  <si>
    <t>65.04亿</t>
  </si>
  <si>
    <t>46.71亿</t>
  </si>
  <si>
    <t>51.12亿</t>
  </si>
  <si>
    <t>47.03亿</t>
  </si>
  <si>
    <t>52.00亿</t>
  </si>
  <si>
    <t>1921.20亿</t>
  </si>
  <si>
    <t>2417.84亿</t>
  </si>
  <si>
    <t>1582.87亿</t>
  </si>
  <si>
    <t>26.58亿</t>
  </si>
  <si>
    <t>41.94亿</t>
  </si>
  <si>
    <t>28.08亿</t>
  </si>
  <si>
    <t>10派0.252元(含税)</t>
  </si>
  <si>
    <t>8.63亿</t>
  </si>
  <si>
    <t>42.78亿</t>
  </si>
  <si>
    <t>-1-0</t>
  </si>
  <si>
    <t xml:space="preserve">
市值908.86737亿, 利润78.09亿; PE11.38; 平均PE16.04; 平均PEG1.66, PB.953; ROIC3.3567%; ROE5.16%; 股利率1.156%; 毛利12.58%; 净利2.8467%; 上一年度营收增13.67%, 利润增20.06%; 当季营收增11.61%, 利润增-70.04%; 过往5年营收增9.65%, 利润增9.96%
Income profile:
</t>
  </si>
  <si>
    <t>9336.31亿</t>
  </si>
  <si>
    <t>2649.67亿</t>
  </si>
  <si>
    <t>4206.35亿</t>
  </si>
  <si>
    <t>5726.13亿</t>
  </si>
  <si>
    <t>114.35亿</t>
  </si>
  <si>
    <t>4044.13亿</t>
  </si>
  <si>
    <t>3688.96亿</t>
  </si>
  <si>
    <t>8.97亿</t>
  </si>
  <si>
    <t>123.59亿</t>
  </si>
  <si>
    <t>79.47亿</t>
  </si>
  <si>
    <t>716109870亿</t>
  </si>
  <si>
    <t>9249685200亿</t>
  </si>
  <si>
    <t>1032.01亿</t>
  </si>
  <si>
    <t>137835340000亿</t>
  </si>
  <si>
    <t>8.79亿</t>
  </si>
  <si>
    <t>511171840000亿</t>
  </si>
  <si>
    <t>436.33亿</t>
  </si>
  <si>
    <t>699.27亿</t>
  </si>
  <si>
    <t>230.07亿</t>
  </si>
  <si>
    <t>2160.38亿</t>
  </si>
  <si>
    <t>5522.92亿</t>
  </si>
  <si>
    <t>3434.84亿</t>
  </si>
  <si>
    <t>-359.23亿</t>
  </si>
  <si>
    <t>-620.36亿</t>
  </si>
  <si>
    <t>1006.23亿</t>
  </si>
  <si>
    <t>5650.70亿</t>
  </si>
  <si>
    <t>4011.81亿</t>
  </si>
  <si>
    <t>3480.28亿</t>
  </si>
  <si>
    <t>2946.78亿</t>
  </si>
  <si>
    <t>2662.28亿</t>
  </si>
  <si>
    <t>98.64亿</t>
  </si>
  <si>
    <t>79.87亿</t>
  </si>
  <si>
    <t>72.40亿</t>
  </si>
  <si>
    <t>76.95亿</t>
  </si>
  <si>
    <t>74.14亿</t>
  </si>
  <si>
    <t>2812.93亿</t>
  </si>
  <si>
    <t>3965.13亿</t>
  </si>
  <si>
    <t>2656.47亿</t>
  </si>
  <si>
    <t>67.78亿</t>
  </si>
  <si>
    <t>86.14亿</t>
  </si>
  <si>
    <t>60.97亿</t>
  </si>
  <si>
    <t>10派1.2007元(含税)</t>
  </si>
  <si>
    <t>33.73亿</t>
  </si>
  <si>
    <t>公司主营业务是工程承包与勘察设计、电力投资与运营、房地产开发、设备制造与租赁等。主要产品是工程承包与勘测设计、电力投资与运营、房地产开发、设备制造与租赁。
市值871.64366亿, 利润114.35亿; PE7.08; 平均PE10.13; 平均PEG.59, PB.686; ROIC2.5467%; ROE6.0733%; 股利率2.3729%; 毛利13.1167%; 净利3.09%; 上一年度营收增1.33%, 利润增15.93%; 当季营收增6.48%, 利润增7.77%; 过往5年营收增17.25%, 利润增9.52%
Income profile:
工程承包与勘测设计 2346.44亿 88.33% 68.92% 9.01%
其他 180.46亿 6.79% 13.64% 23.20%
电力投资与运营 119.86亿 4.51% 16.28% 41.69%</t>
  </si>
  <si>
    <t>5040.50亿</t>
  </si>
  <si>
    <t>1723.41亿</t>
  </si>
  <si>
    <t>4673.25亿</t>
  </si>
  <si>
    <t>5926.69亿</t>
  </si>
  <si>
    <t>102.72亿</t>
  </si>
  <si>
    <t>4497.34亿</t>
  </si>
  <si>
    <t>4242.19亿</t>
  </si>
  <si>
    <t>20.15亿</t>
  </si>
  <si>
    <t>80.84亿</t>
  </si>
  <si>
    <t>96.96亿</t>
  </si>
  <si>
    <t>-805497000亿</t>
  </si>
  <si>
    <t>1.87亿</t>
  </si>
  <si>
    <t>7949007000亿</t>
  </si>
  <si>
    <t>528.92亿</t>
  </si>
  <si>
    <t>121819755000亿</t>
  </si>
  <si>
    <t>55.78亿</t>
  </si>
  <si>
    <t>513593180000亿</t>
  </si>
  <si>
    <t>46.73亿</t>
  </si>
  <si>
    <t>459.50亿</t>
  </si>
  <si>
    <t>332.39亿</t>
  </si>
  <si>
    <t>2346.63亿</t>
  </si>
  <si>
    <t>4558.43亿</t>
  </si>
  <si>
    <t>369.23亿</t>
  </si>
  <si>
    <t>-224.77亿</t>
  </si>
  <si>
    <t>-33.67亿</t>
  </si>
  <si>
    <t>328.18亿</t>
  </si>
  <si>
    <t>5005.72亿</t>
  </si>
  <si>
    <t>4001.15亿</t>
  </si>
  <si>
    <t>3386.38亿</t>
  </si>
  <si>
    <t>2895.35亿</t>
  </si>
  <si>
    <t>2440.00亿</t>
  </si>
  <si>
    <t>83.75亿</t>
  </si>
  <si>
    <t>78.62亿</t>
  </si>
  <si>
    <t>66.00亿</t>
  </si>
  <si>
    <t>63.72亿</t>
  </si>
  <si>
    <t>60.61亿</t>
  </si>
  <si>
    <t>3344.59亿</t>
  </si>
  <si>
    <t>3970.44亿</t>
  </si>
  <si>
    <t>2892.02亿</t>
  </si>
  <si>
    <t>72.18亿</t>
  </si>
  <si>
    <t>67.11亿</t>
  </si>
  <si>
    <t>58.73亿</t>
  </si>
  <si>
    <t>10派0.83元(含税)</t>
  </si>
  <si>
    <t>专业工程</t>
  </si>
  <si>
    <t>8.17亿</t>
  </si>
  <si>
    <t>34.39亿</t>
  </si>
  <si>
    <t xml:space="preserve">
市值700.45833亿, 利润102.72亿; PE8.08; 平均PE9.23; 平均PEG.47, PB.714; ROIC4.0067%; ROE7.12%; 股利率2.4556%; 毛利10.4133%; 净利2.4167%; 上一年度营收增18.4%, 利润增22.65%; 当季营收增23.2%, 利润增15.25%; 过往5年营收增19.46%, 利润增11.4%
Income profile:
</t>
  </si>
  <si>
    <t>1808.47亿</t>
  </si>
  <si>
    <t>499.93亿</t>
  </si>
  <si>
    <t>895.53亿</t>
  </si>
  <si>
    <t>1351.51亿</t>
  </si>
  <si>
    <t>112.13亿</t>
  </si>
  <si>
    <t>800.83亿</t>
  </si>
  <si>
    <t>742.92亿</t>
  </si>
  <si>
    <t>1786.16万</t>
  </si>
  <si>
    <t>11.64亿</t>
  </si>
  <si>
    <t>15.33亿</t>
  </si>
  <si>
    <t>62101584亿</t>
  </si>
  <si>
    <t>4233.85万</t>
  </si>
  <si>
    <t>7724095300亿</t>
  </si>
  <si>
    <t>209.95亿</t>
  </si>
  <si>
    <t>20783563000亿</t>
  </si>
  <si>
    <t>7382.53万</t>
  </si>
  <si>
    <t>142414730000亿</t>
  </si>
  <si>
    <t>36.83亿</t>
  </si>
  <si>
    <t>14.70亿</t>
  </si>
  <si>
    <t>727.29亿</t>
  </si>
  <si>
    <t>1133.02亿</t>
  </si>
  <si>
    <t>615.71亿</t>
  </si>
  <si>
    <t>-66.03亿</t>
  </si>
  <si>
    <t>-61.78亿</t>
  </si>
  <si>
    <t>23.66亿</t>
  </si>
  <si>
    <t>1025.53亿</t>
  </si>
  <si>
    <t>645.65亿</t>
  </si>
  <si>
    <t>527.25亿</t>
  </si>
  <si>
    <t>400.19亿</t>
  </si>
  <si>
    <t>327.63亿</t>
  </si>
  <si>
    <t>67.02亿</t>
  </si>
  <si>
    <t>30.10亿</t>
  </si>
  <si>
    <t>11.72亿</t>
  </si>
  <si>
    <t>10.64亿</t>
  </si>
  <si>
    <t>665.12亿</t>
  </si>
  <si>
    <t>866.23亿</t>
  </si>
  <si>
    <t>568.00亿</t>
  </si>
  <si>
    <t>56.52亿</t>
  </si>
  <si>
    <t>73.81亿</t>
  </si>
  <si>
    <t>45.92亿</t>
  </si>
  <si>
    <t>10转4股派9.1元(含税)</t>
  </si>
  <si>
    <t>7.64亿</t>
  </si>
  <si>
    <t xml:space="preserve">
市值685.88632亿, 利润112.13亿; PE5.92; 平均PE16.55; 平均PEG.5, PB1.54; ROIC6.73%; ROE15.2133%; 股利率11.5629%; 毛利15.6733%; 净利6.7633%; 上一年度营收增31.79%, 利润增67.31%; 当季营收增-22.74%, 利润增-24.63%; 过往5年营收增33.4%, 利润增64.44%
Income profile:
</t>
  </si>
  <si>
    <r>
      <t>0.国资委实控人（前身为原国家重工业设计院和建设公司）；0-1.与尼龙 6 相比，尼龙66熔点和软化点更高，耐热性和耐低温性更好，更适合制造户外、运动、防寒服。另外，尼龙66凭借更高的强度和更好的耐磨性广泛运用于军用装备，在军用被装领域，欧美尼龙66渗透率达40%，而国内仅12%，有广阔的替代空间。1.</t>
    </r>
    <r>
      <rPr>
        <sz val="9"/>
        <color rgb="FFFF0000"/>
        <rFont val="宋体"/>
        <family val="3"/>
        <charset val="134"/>
        <scheme val="minor"/>
      </rPr>
      <t>“一带一路”</t>
    </r>
    <r>
      <rPr>
        <sz val="9"/>
        <color theme="1"/>
        <rFont val="宋体"/>
        <family val="2"/>
        <charset val="134"/>
        <scheme val="minor"/>
      </rPr>
      <t>沿线国家</t>
    </r>
    <r>
      <rPr>
        <b/>
        <sz val="9"/>
        <color rgb="FFFF0000"/>
        <rFont val="宋体"/>
        <family val="3"/>
        <charset val="134"/>
        <scheme val="minor"/>
      </rPr>
      <t>新签</t>
    </r>
    <r>
      <rPr>
        <sz val="9"/>
        <color theme="1"/>
        <rFont val="宋体"/>
        <family val="2"/>
        <charset val="134"/>
        <scheme val="minor"/>
      </rPr>
      <t>合同额和完成营业额分别</t>
    </r>
    <r>
      <rPr>
        <b/>
        <sz val="9"/>
        <color rgb="FFFF0000"/>
        <rFont val="宋体"/>
        <family val="3"/>
        <charset val="134"/>
        <scheme val="minor"/>
      </rPr>
      <t>占总额的 51%和 55%</t>
    </r>
    <r>
      <rPr>
        <sz val="9"/>
        <color theme="1"/>
        <rFont val="宋体"/>
        <family val="2"/>
        <charset val="134"/>
        <scheme val="minor"/>
      </rPr>
      <t>，是国际工程的重要组成。</t>
    </r>
    <r>
      <rPr>
        <sz val="9"/>
        <color theme="1"/>
        <rFont val="宋体"/>
        <family val="3"/>
        <charset val="134"/>
        <scheme val="minor"/>
      </rPr>
      <t>2.中国化学并无母公司支撑，化工业务建设过程复杂，技术性较强，近些年公司不断积极签订化工订单，提升化工建设市占率，拓宽业务领域，因此新签订单总额大幅增加。3.按照中国化学十四五规划的目标， 随着“两商”目标的持续推进，化学工程将保持 60%及以上的占比。基础设施业务占比提升至约 18%，实业业务占比提升至约 15%，</t>
    </r>
    <r>
      <rPr>
        <b/>
        <sz val="9"/>
        <color rgb="FFFF0000"/>
        <rFont val="宋体"/>
        <family val="3"/>
        <charset val="134"/>
        <scheme val="minor"/>
      </rPr>
      <t>实业收入的大幅增长是未来的看点</t>
    </r>
    <r>
      <rPr>
        <sz val="9"/>
        <color theme="1"/>
        <rFont val="宋体"/>
        <family val="3"/>
        <charset val="134"/>
        <scheme val="minor"/>
      </rPr>
      <t>.4.国内</t>
    </r>
    <r>
      <rPr>
        <sz val="9"/>
        <color rgb="FFFF0000"/>
        <rFont val="宋体"/>
        <family val="3"/>
        <charset val="134"/>
        <scheme val="minor"/>
      </rPr>
      <t>90%以上的多晶硅工厂的设计建造</t>
    </r>
    <r>
      <rPr>
        <sz val="9"/>
        <color theme="1"/>
        <rFont val="宋体"/>
        <family val="3"/>
        <charset val="134"/>
        <scheme val="minor"/>
      </rPr>
      <t>由中国化学完成;4.期待爆发业务：</t>
    </r>
    <r>
      <rPr>
        <b/>
        <sz val="9"/>
        <color rgb="FFFF0000"/>
        <rFont val="宋体"/>
        <family val="3"/>
        <charset val="134"/>
        <scheme val="minor"/>
      </rPr>
      <t>己二腈-己二胺-尼龙66， 气凝胶</t>
    </r>
    <r>
      <rPr>
        <sz val="9"/>
        <color theme="1"/>
        <rFont val="宋体"/>
        <family val="3"/>
        <charset val="134"/>
        <scheme val="minor"/>
      </rPr>
      <t>；</t>
    </r>
    <phoneticPr fontId="1" type="noConversion"/>
  </si>
  <si>
    <r>
      <t>1.公司层面解售条件为 2023-2025 年扣非加权 ROE不 低于9.05/9.15/9.25%，</t>
    </r>
    <r>
      <rPr>
        <sz val="9"/>
        <color rgb="FFFF0000"/>
        <rFont val="宋体"/>
        <family val="3"/>
        <charset val="134"/>
        <scheme val="minor"/>
      </rPr>
      <t>扣非净利复合增速(以2021年为基数)</t>
    </r>
    <r>
      <rPr>
        <b/>
        <sz val="9"/>
        <color rgb="FFFF0000"/>
        <rFont val="宋体"/>
        <family val="3"/>
        <charset val="134"/>
        <scheme val="minor"/>
      </rPr>
      <t>不低于15%</t>
    </r>
    <r>
      <rPr>
        <sz val="9"/>
        <color theme="1"/>
        <rFont val="宋体"/>
        <family val="2"/>
        <charset val="134"/>
        <scheme val="minor"/>
      </rPr>
      <t>；</t>
    </r>
    <r>
      <rPr>
        <sz val="9"/>
        <color theme="1"/>
        <rFont val="宋体"/>
        <family val="3"/>
        <charset val="134"/>
        <scheme val="minor"/>
      </rPr>
      <t>2.化学工程还可以细分为</t>
    </r>
    <r>
      <rPr>
        <sz val="9"/>
        <color rgb="FFFF0000"/>
        <rFont val="宋体"/>
        <family val="3"/>
        <charset val="134"/>
        <scheme val="minor"/>
      </rPr>
      <t>化工、石油化工和煤化工</t>
    </r>
    <r>
      <rPr>
        <sz val="9"/>
        <color theme="1"/>
        <rFont val="宋体"/>
        <family val="3"/>
        <charset val="134"/>
        <scheme val="minor"/>
      </rPr>
      <t>三项业务。化工业务呈现逐年增长趋势，而石油化工和煤化工业务在近两年呈现下降趋势.3.订单增速转化为营收增速</t>
    </r>
    <r>
      <rPr>
        <b/>
        <sz val="9"/>
        <color rgb="FFFF0000"/>
        <rFont val="宋体"/>
        <family val="3"/>
        <charset val="134"/>
        <scheme val="minor"/>
      </rPr>
      <t>需五个季度</t>
    </r>
    <r>
      <rPr>
        <sz val="9"/>
        <color theme="1"/>
        <rFont val="宋体"/>
        <family val="3"/>
        <charset val="134"/>
        <scheme val="minor"/>
      </rPr>
      <t>，与项目周期有关.</t>
    </r>
    <phoneticPr fontId="1" type="noConversion"/>
  </si>
  <si>
    <t>1502.91亿</t>
  </si>
  <si>
    <t>614.23亿</t>
  </si>
  <si>
    <t>1310.36亿</t>
  </si>
  <si>
    <t>1584.37亿</t>
  </si>
  <si>
    <t>54.15亿</t>
  </si>
  <si>
    <t>1268.43亿</t>
  </si>
  <si>
    <t>1202.69亿</t>
  </si>
  <si>
    <t>3.05亿</t>
  </si>
  <si>
    <t>20.87亿</t>
  </si>
  <si>
    <t>24.35亿</t>
  </si>
  <si>
    <t>-22134549亿</t>
  </si>
  <si>
    <t>4245.05万</t>
  </si>
  <si>
    <t>3707301400亿</t>
  </si>
  <si>
    <t>357.98亿</t>
  </si>
  <si>
    <t>28019564000亿</t>
  </si>
  <si>
    <t>80.81亿</t>
  </si>
  <si>
    <t>167980550000亿</t>
  </si>
  <si>
    <t>49.61亿</t>
  </si>
  <si>
    <t>7.53亿</t>
  </si>
  <si>
    <t>112.52亿</t>
  </si>
  <si>
    <t>726.32亿</t>
  </si>
  <si>
    <t>3575.81万</t>
  </si>
  <si>
    <t>1371.57亿</t>
  </si>
  <si>
    <t>86.69亿</t>
  </si>
  <si>
    <t>-32.06亿</t>
  </si>
  <si>
    <t>17.38亿</t>
  </si>
  <si>
    <t>1372.89亿</t>
  </si>
  <si>
    <t>1094.57亿</t>
  </si>
  <si>
    <t>1036.22亿</t>
  </si>
  <si>
    <t>814.45亿</t>
  </si>
  <si>
    <t>585.71亿</t>
  </si>
  <si>
    <t>46.33亿</t>
  </si>
  <si>
    <t>36.59亿</t>
  </si>
  <si>
    <t>30.61亿</t>
  </si>
  <si>
    <t>15.57亿</t>
  </si>
  <si>
    <t>909.29亿</t>
  </si>
  <si>
    <t>1200.53亿</t>
  </si>
  <si>
    <t>747.98亿</t>
  </si>
  <si>
    <t>29.46亿</t>
  </si>
  <si>
    <t>37.20亿</t>
  </si>
  <si>
    <t>26.49亿</t>
  </si>
  <si>
    <t>10派1.77元(含税)</t>
  </si>
  <si>
    <t>19.18亿</t>
  </si>
  <si>
    <t>公司是一家集研发、投资、勘察、设计、采购、建造和运营一体化的知识密集型工程建设企业，是目前行业内资质最齐全、功能最完备、业务链最完整、知识技术相对密集的工程公司，业务领域主要包括建筑工程（化学工程、基础设施、环境治理）、实业和现代服务业业务，工程业绩遍布全国所有省份和全球80多个国家和地区。
市值414.22211亿, 利润54.15亿; PE7.65; 平均PE12.27; 平均PEG.54, PB.744; ROIC5.5%; ROE7.9367%; 股利率2.6106%; 毛利9.6167%; 净利3.5533%; 上一年度营收增15.4%, 利润增16.88%; 当季营收增-11.38%, 利润增-27.48%; 过往5年营收增22.55%, 利润增29.11%
Income profile:
(国内占比78.78%）
化学工程 708.57亿 77.93% 64.15亿 84.63% 9.05%
基础设施 126.91亿 13.96% 8.16亿 10.76% 6.43%
实业 41.66亿 4.58% 1.60亿 2.12% 3.85%
现代服务业 15.87亿 1.75% 7448.09万 0.98% 4.69%
环境治理 14.49亿 1.59% 1.24亿 1.63% 8.55%</t>
  </si>
  <si>
    <t>331.52亿</t>
  </si>
  <si>
    <t>196.24亿</t>
  </si>
  <si>
    <t>315.10亿</t>
  </si>
  <si>
    <t>388.19亿</t>
  </si>
  <si>
    <t>21.94亿</t>
  </si>
  <si>
    <t>288.98亿</t>
  </si>
  <si>
    <t>256.43亿</t>
  </si>
  <si>
    <t>3.66亿</t>
  </si>
  <si>
    <t>-33177872亿</t>
  </si>
  <si>
    <t>9659.15万</t>
  </si>
  <si>
    <t>2006307800亿</t>
  </si>
  <si>
    <t>73.58亿</t>
  </si>
  <si>
    <t>10398182300亿</t>
  </si>
  <si>
    <t>7041.03万</t>
  </si>
  <si>
    <t>38485582000亿</t>
  </si>
  <si>
    <t>7.27亿</t>
  </si>
  <si>
    <t>20.89亿</t>
  </si>
  <si>
    <t>19.81亿</t>
  </si>
  <si>
    <t>115.97亿</t>
  </si>
  <si>
    <t>394.52万</t>
  </si>
  <si>
    <t>298.76亿</t>
  </si>
  <si>
    <t>13.92亿</t>
  </si>
  <si>
    <t>-1424.99万</t>
  </si>
  <si>
    <t>-2.11亿</t>
  </si>
  <si>
    <t>-11.37亿</t>
  </si>
  <si>
    <t>365.35亿</t>
  </si>
  <si>
    <t>305.38亿</t>
  </si>
  <si>
    <t>243.74亿</t>
  </si>
  <si>
    <t>215.01亿</t>
  </si>
  <si>
    <t>195.54亿</t>
  </si>
  <si>
    <t>18.12亿</t>
  </si>
  <si>
    <t>15.21亿</t>
  </si>
  <si>
    <t>15.92亿</t>
  </si>
  <si>
    <t>13.68亿</t>
  </si>
  <si>
    <t>9.77亿</t>
  </si>
  <si>
    <t>205.49亿</t>
  </si>
  <si>
    <t>299.92亿</t>
  </si>
  <si>
    <t>207.14亿</t>
  </si>
  <si>
    <t>18.62亿</t>
  </si>
  <si>
    <t>12.84亿</t>
  </si>
  <si>
    <t>10派3元(含税)</t>
  </si>
  <si>
    <t>8428.85万</t>
  </si>
  <si>
    <t>5.60亿</t>
  </si>
  <si>
    <t xml:space="preserve">
市值308.35844亿, 利润21.94亿; PE10.58; 平均PE19.55; 平均PEG1.31, PB1.7; ROIC6.4233%; ROE9.5233%; 股利率2.5707%; 毛利17.1933%; 净利5.9133%; 上一年度营收增6.25%, 利润增21.08%; 当季营收增18.14%, 利润增9.66%; 过往5年营收增14.9%, 利润增18.43%
Income profile:
</t>
  </si>
  <si>
    <t>103.59亿</t>
  </si>
  <si>
    <t>20.91亿</t>
  </si>
  <si>
    <t>45.06亿</t>
  </si>
  <si>
    <t>65.71亿</t>
  </si>
  <si>
    <t>1.99亿</t>
  </si>
  <si>
    <t>42.80亿</t>
  </si>
  <si>
    <t>40.02亿</t>
  </si>
  <si>
    <t>6442.96万</t>
  </si>
  <si>
    <t>1.19亿</t>
  </si>
  <si>
    <t>1282.95万</t>
  </si>
  <si>
    <t>234311960亿</t>
  </si>
  <si>
    <t>89.63万</t>
  </si>
  <si>
    <t>106760055亿</t>
  </si>
  <si>
    <t>8.03亿</t>
  </si>
  <si>
    <t>967543380亿</t>
  </si>
  <si>
    <t>127.30万</t>
  </si>
  <si>
    <t>10608406700亿</t>
  </si>
  <si>
    <t>4.04亿</t>
  </si>
  <si>
    <t>53.94亿</t>
  </si>
  <si>
    <t>129.22万</t>
  </si>
  <si>
    <t>85.65亿</t>
  </si>
  <si>
    <t>17.04亿</t>
  </si>
  <si>
    <t>-19.37亿</t>
  </si>
  <si>
    <t>-8.03亿</t>
  </si>
  <si>
    <t>10.03亿</t>
  </si>
  <si>
    <t>66.12亿</t>
  </si>
  <si>
    <t>55.33亿</t>
  </si>
  <si>
    <t>33.11亿</t>
  </si>
  <si>
    <t>9.53亿</t>
  </si>
  <si>
    <t>2.41亿</t>
  </si>
  <si>
    <t>5474.47万</t>
  </si>
  <si>
    <t>2439.72万</t>
  </si>
  <si>
    <t>28.32亿</t>
  </si>
  <si>
    <t>41.32亿</t>
  </si>
  <si>
    <t>23.84亿</t>
  </si>
  <si>
    <t>9331.32万</t>
  </si>
  <si>
    <t>8303.56万</t>
  </si>
  <si>
    <t>6811.47万</t>
  </si>
  <si>
    <t>10派0.25元(含税)</t>
  </si>
  <si>
    <t>1.98亿</t>
  </si>
  <si>
    <t>16.32亿</t>
  </si>
  <si>
    <t>9-1</t>
  </si>
  <si>
    <t xml:space="preserve">
市值257.1644亿, 利润1.99亿; PE70.28; 平均PE196.02; 平均PEG2.45, PB12.2; ROIC6.8433%; ROE11.0567%; 股利率.0342%; 毛利10.15%; 净利3.5367%; 上一年度营收增-.62%, 利润增22.09%; 当季营收增-4.23%, 利润增976.03%; 过往5年营收增79.95%, 利润增67.09%
Income profile:
</t>
  </si>
  <si>
    <t>1771.20亿</t>
  </si>
  <si>
    <t>382.89亿</t>
  </si>
  <si>
    <t>785.93亿</t>
  </si>
  <si>
    <t>991.38亿</t>
  </si>
  <si>
    <t>17.55亿</t>
  </si>
  <si>
    <t>759.33亿</t>
  </si>
  <si>
    <t>705.49亿</t>
  </si>
  <si>
    <t>3292.89万</t>
  </si>
  <si>
    <t>17.65亿</t>
  </si>
  <si>
    <t>179704900亿</t>
  </si>
  <si>
    <t>5331.53万</t>
  </si>
  <si>
    <t>1375474000亿</t>
  </si>
  <si>
    <t>151.97亿</t>
  </si>
  <si>
    <t>46263340000亿</t>
  </si>
  <si>
    <t>2.14亿</t>
  </si>
  <si>
    <t>144919670000亿</t>
  </si>
  <si>
    <t>6.84亿</t>
  </si>
  <si>
    <t>253.26亿</t>
  </si>
  <si>
    <t>29.71亿</t>
  </si>
  <si>
    <t>508.01亿</t>
  </si>
  <si>
    <t>1308.40亿</t>
  </si>
  <si>
    <t>395.17亿</t>
  </si>
  <si>
    <t>-159.40亿</t>
  </si>
  <si>
    <t>-8.41亿</t>
  </si>
  <si>
    <t>127.71亿</t>
  </si>
  <si>
    <t>837.20亿</t>
  </si>
  <si>
    <t>728.00亿</t>
  </si>
  <si>
    <t>635.93亿</t>
  </si>
  <si>
    <t>513.55亿</t>
  </si>
  <si>
    <t>453.34亿</t>
  </si>
  <si>
    <t>13.60亿</t>
  </si>
  <si>
    <t>12.07亿</t>
  </si>
  <si>
    <t>9.61亿</t>
  </si>
  <si>
    <t>8.53亿</t>
  </si>
  <si>
    <t>545.73亿</t>
  </si>
  <si>
    <t>772.79亿</t>
  </si>
  <si>
    <t>528.00亿</t>
  </si>
  <si>
    <t>8.94亿</t>
  </si>
  <si>
    <t>12.86亿</t>
  </si>
  <si>
    <t>8.33亿</t>
  </si>
  <si>
    <t>10派0.79元(含税)</t>
  </si>
  <si>
    <t>6314.16万</t>
  </si>
  <si>
    <t>5.83亿</t>
  </si>
  <si>
    <t>公司是我国国防军工工程重要承包商之一，是我国核电工程建设领域历史最久、规模最大、专业一体化程度最高的企业，是国内唯一一家30余年来不间断从事核电工程建设的企业，一直是核电工程建设领军企业，代表了我国核电工程建设的最高水平。
市值216.71535亿, 利润17.55亿; PE11.53; 平均PE16.96; 平均PEG1, PB1.18; ROIC2.7967%; ROE8.0667%; 股利率1.1003%; 毛利9.71%; 净利2.4467%; 上一年度营收增18.42%, 利润增14.48%; 当季营收增-1.88%, 利润增14.24%; 过往5年营收增17%, 利润增15.63%
Income profile:
工业与民用工程 414.32亿 78.47% 63.51% 6.71%
核电工程 84.03亿 15.91% 23.80% 12.40%</t>
  </si>
  <si>
    <t>3105.80亿</t>
  </si>
  <si>
    <t>530.17亿</t>
  </si>
  <si>
    <t>2230.41亿</t>
  </si>
  <si>
    <t>2860.37亿</t>
  </si>
  <si>
    <t>13.56亿</t>
  </si>
  <si>
    <t>2205.88亿</t>
  </si>
  <si>
    <t>2048.26亿</t>
  </si>
  <si>
    <t>4.85亿</t>
  </si>
  <si>
    <t>56.34亿</t>
  </si>
  <si>
    <t>43.98亿</t>
  </si>
  <si>
    <t>140202280亿</t>
  </si>
  <si>
    <t>787730920亿</t>
  </si>
  <si>
    <t>776.68亿</t>
  </si>
  <si>
    <t>55871022000亿</t>
  </si>
  <si>
    <t>12.11亿</t>
  </si>
  <si>
    <t>272641780000亿</t>
  </si>
  <si>
    <t>14.09亿</t>
  </si>
  <si>
    <t>106.28亿</t>
  </si>
  <si>
    <t>125.72亿</t>
  </si>
  <si>
    <t>1446.25亿</t>
  </si>
  <si>
    <t>7009.03万</t>
  </si>
  <si>
    <t>2389.09亿</t>
  </si>
  <si>
    <t>579.64亿</t>
  </si>
  <si>
    <t>-55.98亿</t>
  </si>
  <si>
    <t>-41.18亿</t>
  </si>
  <si>
    <t>-28.55亿</t>
  </si>
  <si>
    <t>2810.55亿</t>
  </si>
  <si>
    <t>2313.27亿</t>
  </si>
  <si>
    <t>2054.97亿</t>
  </si>
  <si>
    <t>1705.46亿</t>
  </si>
  <si>
    <t>1420.83亿</t>
  </si>
  <si>
    <t>37.69亿</t>
  </si>
  <si>
    <t>33.51亿</t>
  </si>
  <si>
    <t>39.30亿</t>
  </si>
  <si>
    <t>27.80亿</t>
  </si>
  <si>
    <t>25.84亿</t>
  </si>
  <si>
    <t>1443.69亿</t>
  </si>
  <si>
    <t>1847.78亿</t>
  </si>
  <si>
    <t>991.89亿</t>
  </si>
  <si>
    <t>7.56亿</t>
  </si>
  <si>
    <t>-9.63亿</t>
  </si>
  <si>
    <t>10派0.5元(含税)</t>
  </si>
  <si>
    <t>16.67亿</t>
  </si>
  <si>
    <t xml:space="preserve">
市值213.26255亿, 利润13.56亿; PE8.61; 平均PE7.2; 平均PEG.47, PB.702; ROIC2.9567%; ROE7.61%; 股利率2.0833%; 毛利9.0667%; 净利1.1333%; 上一年度营收增1.77%, 利润增-64.02%; 当季营收增-8.08%, 利润增-52.54%; 过往5年营收增15.27%, 利润增-3.47%
Income profile:
</t>
  </si>
  <si>
    <t>37.10亿</t>
  </si>
  <si>
    <t>100.29亿</t>
  </si>
  <si>
    <t>56.80亿</t>
  </si>
  <si>
    <t>79.74亿</t>
  </si>
  <si>
    <t>7.58亿</t>
  </si>
  <si>
    <t>49.45亿</t>
  </si>
  <si>
    <t>5496.55万</t>
  </si>
  <si>
    <t>5.18亿</t>
  </si>
  <si>
    <t>17244717亿</t>
  </si>
  <si>
    <t>655.95万</t>
  </si>
  <si>
    <t>543731600亿</t>
  </si>
  <si>
    <t>27.06亿</t>
  </si>
  <si>
    <t>426627110亿</t>
  </si>
  <si>
    <t>4341506100亿</t>
  </si>
  <si>
    <t>12.14亿</t>
  </si>
  <si>
    <t>11.27亿</t>
  </si>
  <si>
    <t>33.97亿</t>
  </si>
  <si>
    <t>18.86亿</t>
  </si>
  <si>
    <t>-2.79亿</t>
  </si>
  <si>
    <t>-1.76亿</t>
  </si>
  <si>
    <t>76.73亿</t>
  </si>
  <si>
    <t>78.12亿</t>
  </si>
  <si>
    <t>69.31亿</t>
  </si>
  <si>
    <t>57.75亿</t>
  </si>
  <si>
    <t>59.69亿</t>
  </si>
  <si>
    <t>14.37亿</t>
  </si>
  <si>
    <t>12.34亿</t>
  </si>
  <si>
    <t>6.55亿</t>
  </si>
  <si>
    <t>33.44亿</t>
  </si>
  <si>
    <t>64.60亿</t>
  </si>
  <si>
    <t>39.51亿</t>
  </si>
  <si>
    <t>8.42亿</t>
  </si>
  <si>
    <t>5.02亿</t>
  </si>
  <si>
    <t>不分配不转增</t>
  </si>
  <si>
    <t>水泥</t>
  </si>
  <si>
    <t>5343.53万</t>
  </si>
  <si>
    <t xml:space="preserve">
市值205.96468亿, 利润7.58亿; PE11.66; 平均PE22.04; 平均PEG3.48, PB.923; ROIC9.6367%; ROE10.5833%; 股利率0%; 毛利28.3333%; 净利13.7467%; 上一年度营收增3.92%, 利润增-20.04%; 当季营收增-6.9%, 利润增-10.29%; 过往5年营收增6.32%, 利润增12.94%
Income profile:
</t>
  </si>
  <si>
    <t>480.46亿</t>
  </si>
  <si>
    <t>111.50亿</t>
  </si>
  <si>
    <t>386.71亿</t>
  </si>
  <si>
    <t>510.52亿</t>
  </si>
  <si>
    <t>381.44亿</t>
  </si>
  <si>
    <t>345.03亿</t>
  </si>
  <si>
    <t>7.05亿</t>
  </si>
  <si>
    <t>8.67亿</t>
  </si>
  <si>
    <t>-46381686亿</t>
  </si>
  <si>
    <t>1433.27万</t>
  </si>
  <si>
    <t>-339551500亿</t>
  </si>
  <si>
    <t>105.27亿</t>
  </si>
  <si>
    <t>11662544300亿</t>
  </si>
  <si>
    <t>3.22亿</t>
  </si>
  <si>
    <t>48302584000亿</t>
  </si>
  <si>
    <t>24.49亿</t>
  </si>
  <si>
    <t>213.16亿</t>
  </si>
  <si>
    <t>159.84万</t>
  </si>
  <si>
    <t>402.82亿</t>
  </si>
  <si>
    <t>59.34亿</t>
  </si>
  <si>
    <t>5651.46万</t>
  </si>
  <si>
    <t>-2.85亿</t>
  </si>
  <si>
    <t>11.16亿</t>
  </si>
  <si>
    <t>441.34亿</t>
  </si>
  <si>
    <t>320.58亿</t>
  </si>
  <si>
    <t>15.01亿</t>
  </si>
  <si>
    <t>16.01亿</t>
  </si>
  <si>
    <t>18.82亿</t>
  </si>
  <si>
    <t>1.34亿</t>
  </si>
  <si>
    <t>3733.95万</t>
  </si>
  <si>
    <t>267.20亿</t>
  </si>
  <si>
    <t>347.02亿</t>
  </si>
  <si>
    <t>227.39亿</t>
  </si>
  <si>
    <t>-1.49亿</t>
  </si>
  <si>
    <t>-5.21亿</t>
  </si>
  <si>
    <t>-3.20亿</t>
  </si>
  <si>
    <t>10派0.8元(含税)</t>
  </si>
  <si>
    <t>9.06亿</t>
  </si>
  <si>
    <t>-6-1</t>
  </si>
  <si>
    <t xml:space="preserve">
市值205.17405亿, 利润-1.62亿; PE229.7; 平均PE171.61; 平均PEG.41, PB3.49; ROIC3.89%; ROE5.6%; 股利率.4437%; 毛利15.74%; 净利5.15%; 上一年度营收增15.67%, 利润增-141.86%; 当季营收增-.1%, 利润增39.9%; 过往5年营收增413.59%, 利润增42.1%
Income profile:
</t>
  </si>
  <si>
    <t>1193.46亿</t>
  </si>
  <si>
    <t>342.85亿</t>
  </si>
  <si>
    <t>469.07亿</t>
  </si>
  <si>
    <t>652.74亿</t>
  </si>
  <si>
    <t>458.54亿</t>
  </si>
  <si>
    <t>413.40亿</t>
  </si>
  <si>
    <t>564.35万</t>
  </si>
  <si>
    <t>9.24亿</t>
  </si>
  <si>
    <t>1157406070亿</t>
  </si>
  <si>
    <t>1471.43万</t>
  </si>
  <si>
    <t>1419010200亿</t>
  </si>
  <si>
    <t>22875819000亿</t>
  </si>
  <si>
    <t>1191.11万</t>
  </si>
  <si>
    <t>80570240000亿</t>
  </si>
  <si>
    <t>37.04亿</t>
  </si>
  <si>
    <t>67.16亿</t>
  </si>
  <si>
    <t>623.24亿</t>
  </si>
  <si>
    <t>878.68亿</t>
  </si>
  <si>
    <t>227.87亿</t>
  </si>
  <si>
    <t>3.68亿</t>
  </si>
  <si>
    <t>-16.96亿</t>
  </si>
  <si>
    <t>8529.35万</t>
  </si>
  <si>
    <t>622.26亿</t>
  </si>
  <si>
    <t>540.14亿</t>
  </si>
  <si>
    <t>465.68亿</t>
  </si>
  <si>
    <t>372.66亿</t>
  </si>
  <si>
    <t>315.26亿</t>
  </si>
  <si>
    <t>23.93亿</t>
  </si>
  <si>
    <t>22.18亿</t>
  </si>
  <si>
    <t>19.79亿</t>
  </si>
  <si>
    <t>18.10亿</t>
  </si>
  <si>
    <t>233.83亿</t>
  </si>
  <si>
    <t>430.21亿</t>
  </si>
  <si>
    <t>201.59亿</t>
  </si>
  <si>
    <t>7.74亿</t>
  </si>
  <si>
    <t>13.83亿</t>
  </si>
  <si>
    <t>5.33亿</t>
  </si>
  <si>
    <t>10派2.7元(含税)</t>
  </si>
  <si>
    <t>9.45亿</t>
  </si>
  <si>
    <t xml:space="preserve">
市值204.99507亿, 利润28.09亿; PE7.02; 平均PE9.13; 平均PEG.58, PB.743; ROIC4.1767%; ROE7.1433%; 股利率4.1411%; 毛利11.9767%; 净利3.9333%; 上一年度营收增4.9%, 利润增17.38%; 当季营收增2.9%, 利润增-15.27%; 过往5年营收增15.85%, 利润增9.32%
Income profile:
</t>
  </si>
  <si>
    <t>公司是一家建筑房地产综合企业,主要从事于房建、基建、地产和设计。其主要产品是房屋建筑工程和基础设施建设与投资。
市值2164.2375亿, 利润509.50亿; PE4.24; 平均PE4.99; 平均PEG.35, PB.535; ROIC5.4033%; ROE11.7333%; 股利率4.8596%; 毛利10.58%; 净利4.03%; 上一年度营收增8.58%, 利润增-1.16%; 当季营收增17.52%, 利润增-2.27%; 过往5年营收增14.34%, 利润增9.29%
Income profile:
房屋建筑工程 7366.38亿 66.17% 522.21亿 48.98% 7.09%
基础设施建设与投资 2412.80亿 21.67% 252.16亿 23.65% 10.45%
房地产开发与投资 1275.45亿 11.46% 230.85亿 21.65% 18.10%
其他 213.71亿 1.92% 60.75亿 5.70% 28.43%
勘察设计 52.78亿 0.47% 9.03亿 0.85% 17.11%</t>
  </si>
</sst>
</file>

<file path=xl/styles.xml><?xml version="1.0" encoding="utf-8"?>
<styleSheet xmlns="http://schemas.openxmlformats.org/spreadsheetml/2006/main" xmlns:mc="http://schemas.openxmlformats.org/markup-compatibility/2006" xmlns:x14ac="http://schemas.microsoft.com/office/spreadsheetml/2009/9/ac" mc:Ignorable="x14ac">
  <fonts count="13">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b/>
      <i/>
      <sz val="11"/>
      <color rgb="FFFF0000"/>
      <name val="宋体"/>
      <family val="3"/>
      <charset val="134"/>
    </font>
    <font>
      <sz val="9"/>
      <color theme="1"/>
      <name val="宋体"/>
      <family val="2"/>
      <charset val="134"/>
      <scheme val="minor"/>
    </font>
    <font>
      <sz val="9"/>
      <color rgb="FFFF0000"/>
      <name val="宋体"/>
      <family val="3"/>
      <charset val="134"/>
      <scheme val="minor"/>
    </font>
    <font>
      <b/>
      <sz val="9"/>
      <color rgb="FFFF0000"/>
      <name val="宋体"/>
      <family val="3"/>
      <charset val="134"/>
      <scheme val="minor"/>
    </font>
    <font>
      <sz val="9"/>
      <color theme="1"/>
      <name val="宋体"/>
      <family val="3"/>
      <charset val="134"/>
      <scheme val="minor"/>
    </font>
  </fonts>
  <fills count="8">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applyFill="0" applyProtection="0"/>
    <xf numFmtId="0" fontId="5" fillId="0" borderId="0" applyNumberFormat="0" applyFill="0" applyBorder="0" applyAlignment="0" applyProtection="0">
      <alignment vertical="center"/>
    </xf>
  </cellStyleXfs>
  <cellXfs count="32">
    <xf numFmtId="0" fontId="0" fillId="0" borderId="0" xfId="0">
      <alignment vertical="center"/>
    </xf>
    <xf numFmtId="0" fontId="0" fillId="0" borderId="0" xfId="0" applyFill="1">
      <alignment vertical="center"/>
    </xf>
    <xf numFmtId="0" fontId="0" fillId="2" borderId="0" xfId="0" applyFill="1">
      <alignment vertical="center"/>
    </xf>
    <xf numFmtId="9" fontId="0" fillId="0" borderId="0" xfId="0" applyNumberFormat="1">
      <alignment vertical="center"/>
    </xf>
    <xf numFmtId="0" fontId="6" fillId="0" borderId="0" xfId="0" applyFont="1" applyFill="1" applyAlignment="1">
      <alignment vertical="center" wrapText="1"/>
    </xf>
    <xf numFmtId="0" fontId="6" fillId="0" borderId="0" xfId="0" applyFont="1" applyAlignment="1">
      <alignment vertical="center" wrapText="1"/>
    </xf>
    <xf numFmtId="0" fontId="7"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7"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6" fillId="0" borderId="0" xfId="0" applyNumberFormat="1" applyFont="1" applyAlignment="1">
      <alignment vertical="center" wrapText="1"/>
    </xf>
    <xf numFmtId="0" fontId="0" fillId="0" borderId="0" xfId="0" applyBorder="1">
      <alignment vertical="center"/>
    </xf>
    <xf numFmtId="0" fontId="0" fillId="0" borderId="0" xfId="0" applyBorder="1" applyAlignment="1">
      <alignment vertical="center" wrapText="1"/>
    </xf>
    <xf numFmtId="0" fontId="0" fillId="0" borderId="0" xfId="0" applyFill="1" applyBorder="1">
      <alignment vertical="center"/>
    </xf>
    <xf numFmtId="0" fontId="0" fillId="0" borderId="0" xfId="0" applyFill="1" applyBorder="1" applyAlignment="1" applyProtection="1">
      <alignment horizontal="left"/>
    </xf>
    <xf numFmtId="0" fontId="0" fillId="0" borderId="1" xfId="0" applyNumberFormat="1" applyFill="1" applyBorder="1" applyAlignment="1">
      <alignment vertical="center" wrapText="1"/>
    </xf>
    <xf numFmtId="0" fontId="0" fillId="4" borderId="1" xfId="0" applyNumberFormat="1" applyFill="1" applyBorder="1" applyAlignment="1">
      <alignment vertical="center" wrapText="1"/>
    </xf>
    <xf numFmtId="0" fontId="0" fillId="0" borderId="0" xfId="0" applyAlignment="1">
      <alignment vertical="center" wrapText="1"/>
    </xf>
    <xf numFmtId="14" fontId="5" fillId="0" borderId="0" xfId="2" applyNumberFormat="1" applyBorder="1" applyAlignment="1">
      <alignment vertical="center" wrapText="1"/>
    </xf>
    <xf numFmtId="14" fontId="4" fillId="2" borderId="0" xfId="0" applyNumberFormat="1" applyFont="1" applyFill="1" applyBorder="1">
      <alignment vertical="center"/>
    </xf>
    <xf numFmtId="0" fontId="0" fillId="2" borderId="0" xfId="0" applyFill="1" applyBorder="1">
      <alignment vertical="center"/>
    </xf>
    <xf numFmtId="0" fontId="9" fillId="0" borderId="0" xfId="0" applyFont="1" applyAlignment="1">
      <alignment vertical="center" wrapText="1"/>
    </xf>
    <xf numFmtId="10" fontId="0" fillId="0" borderId="0" xfId="0" applyNumberFormat="1">
      <alignment vertical="center"/>
    </xf>
    <xf numFmtId="0" fontId="0" fillId="6" borderId="0" xfId="0" applyFill="1">
      <alignment vertical="center"/>
    </xf>
    <xf numFmtId="0" fontId="0" fillId="7" borderId="0" xfId="0" applyFill="1">
      <alignment vertical="center"/>
    </xf>
    <xf numFmtId="0" fontId="4" fillId="0" borderId="0" xfId="0" applyFont="1">
      <alignment vertical="center"/>
    </xf>
    <xf numFmtId="0" fontId="3" fillId="0" borderId="0" xfId="0" applyFont="1">
      <alignment vertical="center"/>
    </xf>
    <xf numFmtId="14" fontId="0" fillId="0" borderId="0" xfId="0" applyNumberFormat="1">
      <alignment vertical="center"/>
    </xf>
    <xf numFmtId="0" fontId="0" fillId="0" borderId="0" xfId="0" applyNumberFormat="1">
      <alignment vertical="center"/>
    </xf>
  </cellXfs>
  <cellStyles count="3">
    <cellStyle name="常规" xfId="0" builtinId="0"/>
    <cellStyle name="常规 2" xfId="1"/>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4.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50800</xdr:colOff>
          <xdr:row>37</xdr:row>
          <xdr:rowOff>50800</xdr:rowOff>
        </xdr:from>
        <xdr:to>
          <xdr:col>15</xdr:col>
          <xdr:colOff>546100</xdr:colOff>
          <xdr:row>59</xdr:row>
          <xdr:rowOff>88900</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101600</xdr:colOff>
          <xdr:row>1</xdr:row>
          <xdr:rowOff>38100</xdr:rowOff>
        </xdr:from>
        <xdr:to>
          <xdr:col>25</xdr:col>
          <xdr:colOff>463550</xdr:colOff>
          <xdr:row>36</xdr:row>
          <xdr:rowOff>101600</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165100</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xueqiu.com/9508834377/201548035"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4.vml"/><Relationship Id="rId7" Type="http://schemas.openxmlformats.org/officeDocument/2006/relationships/image" Target="../media/image2.emf"/><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EQ12"/>
  <sheetViews>
    <sheetView zoomScale="85" zoomScaleNormal="85" workbookViewId="0">
      <selection activeCell="D5" sqref="D5"/>
    </sheetView>
  </sheetViews>
  <sheetFormatPr defaultRowHeight="14"/>
  <cols>
    <col min="1" max="1" width="16.08984375" style="20" customWidth="1"/>
    <col min="2" max="2" width="34.81640625" customWidth="1"/>
    <col min="3" max="3" width="36.08984375" customWidth="1"/>
    <col min="4" max="4" width="44.90625" customWidth="1"/>
    <col min="13" max="13" width="12.81640625" customWidth="1"/>
    <col min="24" max="24" width="10.54296875" customWidth="1"/>
  </cols>
  <sheetData>
    <row r="1" spans="1:147" s="14" customFormat="1">
      <c r="A1" s="15" t="s">
        <v>47</v>
      </c>
      <c r="B1" s="18" t="s">
        <v>117</v>
      </c>
      <c r="C1" s="19" t="s">
        <v>118</v>
      </c>
      <c r="D1" s="18" t="s">
        <v>119</v>
      </c>
      <c r="E1" t="s">
        <v>2</v>
      </c>
      <c r="F1" t="s">
        <v>3</v>
      </c>
      <c r="G1" t="s">
        <v>0</v>
      </c>
      <c r="H1" t="s">
        <v>90</v>
      </c>
      <c r="I1" t="s">
        <v>120</v>
      </c>
      <c r="J1" t="s">
        <v>4</v>
      </c>
      <c r="K1" t="s">
        <v>5</v>
      </c>
      <c r="L1" t="s">
        <v>1</v>
      </c>
      <c r="M1" t="s">
        <v>6</v>
      </c>
      <c r="N1" t="s">
        <v>7</v>
      </c>
      <c r="O1" t="s">
        <v>8</v>
      </c>
      <c r="P1" t="s">
        <v>9</v>
      </c>
      <c r="Q1" t="s">
        <v>121</v>
      </c>
      <c r="R1" t="s">
        <v>91</v>
      </c>
      <c r="S1" t="s">
        <v>122</v>
      </c>
      <c r="T1" t="s">
        <v>10</v>
      </c>
      <c r="U1" t="s">
        <v>92</v>
      </c>
      <c r="V1" t="s">
        <v>93</v>
      </c>
      <c r="W1" t="s">
        <v>11</v>
      </c>
      <c r="X1" t="s">
        <v>69</v>
      </c>
      <c r="Y1" t="s">
        <v>70</v>
      </c>
      <c r="Z1" t="s">
        <v>71</v>
      </c>
      <c r="AA1" t="s">
        <v>72</v>
      </c>
      <c r="AB1" t="s">
        <v>73</v>
      </c>
      <c r="AC1" t="s">
        <v>94</v>
      </c>
      <c r="AD1" t="s">
        <v>74</v>
      </c>
      <c r="AE1" t="s">
        <v>123</v>
      </c>
      <c r="AF1" t="s">
        <v>12</v>
      </c>
      <c r="AG1" t="s">
        <v>13</v>
      </c>
      <c r="AH1" t="s">
        <v>95</v>
      </c>
      <c r="AI1" t="s">
        <v>124</v>
      </c>
      <c r="AJ1" t="s">
        <v>96</v>
      </c>
      <c r="AK1" t="s">
        <v>14</v>
      </c>
      <c r="AL1" t="s">
        <v>97</v>
      </c>
      <c r="AM1" t="s">
        <v>48</v>
      </c>
      <c r="AN1" t="s">
        <v>98</v>
      </c>
      <c r="AO1" t="s">
        <v>99</v>
      </c>
      <c r="AP1" t="s">
        <v>100</v>
      </c>
      <c r="AQ1" t="s">
        <v>101</v>
      </c>
      <c r="AR1" t="s">
        <v>102</v>
      </c>
      <c r="AS1" t="s">
        <v>103</v>
      </c>
      <c r="AT1" t="s">
        <v>104</v>
      </c>
      <c r="AU1" t="s">
        <v>105</v>
      </c>
      <c r="AV1" t="s">
        <v>106</v>
      </c>
      <c r="AW1" t="s">
        <v>107</v>
      </c>
      <c r="AX1" t="s">
        <v>108</v>
      </c>
      <c r="AY1" t="s">
        <v>125</v>
      </c>
      <c r="AZ1" t="s">
        <v>49</v>
      </c>
      <c r="BA1" t="s">
        <v>50</v>
      </c>
      <c r="BB1" t="s">
        <v>51</v>
      </c>
      <c r="BC1" t="s">
        <v>52</v>
      </c>
      <c r="BD1" t="s">
        <v>58</v>
      </c>
      <c r="BE1" t="s">
        <v>53</v>
      </c>
      <c r="BF1" t="s">
        <v>54</v>
      </c>
      <c r="BG1" t="s">
        <v>55</v>
      </c>
      <c r="BH1" t="s">
        <v>56</v>
      </c>
      <c r="BI1" t="s">
        <v>126</v>
      </c>
      <c r="BJ1" t="s">
        <v>109</v>
      </c>
      <c r="BK1" t="s">
        <v>57</v>
      </c>
      <c r="BL1" t="s">
        <v>110</v>
      </c>
      <c r="BM1" t="s">
        <v>111</v>
      </c>
      <c r="BN1" t="s">
        <v>112</v>
      </c>
      <c r="BO1" t="s">
        <v>113</v>
      </c>
      <c r="BP1" t="s">
        <v>59</v>
      </c>
      <c r="BQ1" t="s">
        <v>60</v>
      </c>
      <c r="BR1" t="s">
        <v>61</v>
      </c>
      <c r="BS1" t="s">
        <v>114</v>
      </c>
      <c r="BT1" t="s">
        <v>62</v>
      </c>
      <c r="BU1" t="s">
        <v>63</v>
      </c>
      <c r="BV1" t="s">
        <v>64</v>
      </c>
      <c r="BW1" t="s">
        <v>115</v>
      </c>
      <c r="BX1" t="s">
        <v>65</v>
      </c>
      <c r="BY1" t="s">
        <v>66</v>
      </c>
      <c r="BZ1" t="s">
        <v>116</v>
      </c>
      <c r="CA1" t="s">
        <v>67</v>
      </c>
      <c r="CB1" t="s">
        <v>68</v>
      </c>
      <c r="CC1" t="s">
        <v>127</v>
      </c>
      <c r="CD1" t="s">
        <v>128</v>
      </c>
      <c r="CE1" t="s">
        <v>129</v>
      </c>
      <c r="CF1" t="s">
        <v>130</v>
      </c>
      <c r="CG1" s="1" t="s">
        <v>75</v>
      </c>
      <c r="CH1" s="1" t="s">
        <v>76</v>
      </c>
      <c r="CI1" s="1" t="s">
        <v>77</v>
      </c>
      <c r="CJ1" s="1" t="s">
        <v>78</v>
      </c>
      <c r="CK1" s="1" t="s">
        <v>79</v>
      </c>
      <c r="CL1" s="1" t="s">
        <v>80</v>
      </c>
      <c r="CM1" s="1" t="s">
        <v>81</v>
      </c>
      <c r="CN1" s="1" t="s">
        <v>82</v>
      </c>
      <c r="CO1" s="1" t="s">
        <v>83</v>
      </c>
      <c r="CP1" s="1" t="s">
        <v>84</v>
      </c>
      <c r="CQ1" s="1" t="s">
        <v>85</v>
      </c>
      <c r="CR1" s="1" t="s">
        <v>86</v>
      </c>
      <c r="CS1" s="1" t="s">
        <v>131</v>
      </c>
      <c r="CT1" s="1" t="s">
        <v>132</v>
      </c>
      <c r="CU1" s="1" t="s">
        <v>133</v>
      </c>
      <c r="CV1" s="1" t="s">
        <v>134</v>
      </c>
      <c r="CW1" s="1" t="s">
        <v>135</v>
      </c>
      <c r="CX1" s="1" t="s">
        <v>136</v>
      </c>
      <c r="CY1">
        <v>1</v>
      </c>
      <c r="CZ1" t="s">
        <v>137</v>
      </c>
      <c r="DA1" t="s">
        <v>138</v>
      </c>
      <c r="DB1">
        <v>3</v>
      </c>
      <c r="DC1" t="s">
        <v>139</v>
      </c>
      <c r="DD1" t="s">
        <v>140</v>
      </c>
      <c r="DE1">
        <v>6</v>
      </c>
      <c r="DF1" t="s">
        <v>141</v>
      </c>
      <c r="DG1" t="s">
        <v>142</v>
      </c>
      <c r="DH1">
        <v>10</v>
      </c>
      <c r="DI1" t="s">
        <v>143</v>
      </c>
      <c r="DJ1" t="s">
        <v>144</v>
      </c>
      <c r="DK1">
        <v>20</v>
      </c>
      <c r="DL1" t="s">
        <v>145</v>
      </c>
      <c r="DM1" t="s">
        <v>87</v>
      </c>
      <c r="DN1" t="s">
        <v>88</v>
      </c>
      <c r="DO1" s="2" t="s">
        <v>89</v>
      </c>
      <c r="DP1" t="s">
        <v>146</v>
      </c>
      <c r="DQ1" t="s">
        <v>147</v>
      </c>
      <c r="DR1" s="1" t="s">
        <v>148</v>
      </c>
      <c r="DS1" s="1" t="s">
        <v>149</v>
      </c>
      <c r="DT1" s="1" t="s">
        <v>150</v>
      </c>
      <c r="DU1" t="s">
        <v>151</v>
      </c>
      <c r="DV1" t="s">
        <v>152</v>
      </c>
      <c r="DW1" t="s">
        <v>153</v>
      </c>
      <c r="DX1" t="s">
        <v>154</v>
      </c>
      <c r="DY1" t="s">
        <v>155</v>
      </c>
      <c r="DZ1" t="s">
        <v>156</v>
      </c>
      <c r="EA1" t="s">
        <v>157</v>
      </c>
      <c r="EB1" t="s">
        <v>158</v>
      </c>
      <c r="EC1" t="s">
        <v>159</v>
      </c>
      <c r="ED1" t="s">
        <v>160</v>
      </c>
      <c r="EE1" t="s">
        <v>161</v>
      </c>
      <c r="EF1" t="s">
        <v>162</v>
      </c>
      <c r="EG1" t="s">
        <v>163</v>
      </c>
      <c r="EH1" t="s">
        <v>164</v>
      </c>
      <c r="EI1" t="s">
        <v>165</v>
      </c>
      <c r="EJ1" t="s">
        <v>166</v>
      </c>
      <c r="EK1"/>
    </row>
    <row r="2" spans="1:147" s="14" customFormat="1" ht="71.5" customHeight="1">
      <c r="A2" s="21" t="s">
        <v>1772</v>
      </c>
      <c r="B2" s="22"/>
      <c r="C2" s="23">
        <v>3</v>
      </c>
      <c r="D2" s="23">
        <v>5</v>
      </c>
      <c r="T2" s="16"/>
      <c r="U2" s="16"/>
      <c r="V2" s="16"/>
      <c r="AB2" s="17"/>
    </row>
    <row r="3" spans="1:147" ht="144">
      <c r="B3" s="24" t="s">
        <v>1773</v>
      </c>
      <c r="C3" s="24" t="s">
        <v>1778</v>
      </c>
      <c r="D3" s="24" t="s">
        <v>1774</v>
      </c>
      <c r="E3" t="s">
        <v>335</v>
      </c>
      <c r="F3" t="s">
        <v>336</v>
      </c>
      <c r="G3">
        <v>8.1199999999999992</v>
      </c>
      <c r="H3">
        <v>10.029999999999999</v>
      </c>
      <c r="I3" t="s">
        <v>337</v>
      </c>
      <c r="J3">
        <v>9524760000</v>
      </c>
      <c r="L3">
        <v>1.33</v>
      </c>
      <c r="M3" t="s">
        <v>338</v>
      </c>
      <c r="N3" t="s">
        <v>452</v>
      </c>
      <c r="O3" t="s">
        <v>453</v>
      </c>
      <c r="P3" t="s">
        <v>454</v>
      </c>
      <c r="Q3">
        <v>-11.89</v>
      </c>
      <c r="R3" t="s">
        <v>455</v>
      </c>
      <c r="S3">
        <v>193779910</v>
      </c>
      <c r="T3" s="25">
        <v>-0.504</v>
      </c>
      <c r="U3" t="s">
        <v>322</v>
      </c>
      <c r="V3">
        <v>642618650</v>
      </c>
      <c r="W3">
        <v>1173000000</v>
      </c>
      <c r="X3">
        <v>1.82</v>
      </c>
      <c r="Y3">
        <v>0.39</v>
      </c>
      <c r="Z3">
        <v>3.78</v>
      </c>
      <c r="AA3" t="s">
        <v>456</v>
      </c>
      <c r="AB3" t="s">
        <v>457</v>
      </c>
      <c r="AC3" t="s">
        <v>458</v>
      </c>
      <c r="AD3" t="s">
        <v>459</v>
      </c>
      <c r="AE3" t="s">
        <v>460</v>
      </c>
      <c r="AF3">
        <v>-21146069</v>
      </c>
      <c r="AG3" t="s">
        <v>461</v>
      </c>
      <c r="AH3" t="s">
        <v>462</v>
      </c>
      <c r="AI3" t="s">
        <v>463</v>
      </c>
      <c r="AJ3" t="s">
        <v>464</v>
      </c>
      <c r="AK3" t="s">
        <v>465</v>
      </c>
      <c r="AL3" t="s">
        <v>193</v>
      </c>
      <c r="AM3" t="s">
        <v>466</v>
      </c>
      <c r="AN3" t="s">
        <v>170</v>
      </c>
      <c r="AO3" t="s">
        <v>467</v>
      </c>
      <c r="AP3" t="s">
        <v>468</v>
      </c>
      <c r="AQ3" t="s">
        <v>469</v>
      </c>
      <c r="AR3" t="s">
        <v>470</v>
      </c>
      <c r="AS3" t="s">
        <v>170</v>
      </c>
      <c r="AT3" t="s">
        <v>471</v>
      </c>
      <c r="AU3" t="s">
        <v>170</v>
      </c>
      <c r="AV3" t="s">
        <v>472</v>
      </c>
      <c r="AW3" t="s">
        <v>473</v>
      </c>
      <c r="AX3" t="s">
        <v>474</v>
      </c>
      <c r="AY3" t="s">
        <v>475</v>
      </c>
      <c r="AZ3" t="s">
        <v>476</v>
      </c>
      <c r="BA3" t="s">
        <v>477</v>
      </c>
      <c r="BB3" t="s">
        <v>478</v>
      </c>
      <c r="BC3" t="s">
        <v>479</v>
      </c>
      <c r="BD3" t="s">
        <v>480</v>
      </c>
      <c r="BE3" t="s">
        <v>481</v>
      </c>
      <c r="BF3" t="s">
        <v>481</v>
      </c>
      <c r="BG3" t="s">
        <v>482</v>
      </c>
      <c r="BH3" t="s">
        <v>483</v>
      </c>
      <c r="BI3" t="s">
        <v>484</v>
      </c>
      <c r="BJ3" t="s">
        <v>485</v>
      </c>
      <c r="BK3" t="s">
        <v>486</v>
      </c>
      <c r="BL3" t="s">
        <v>236</v>
      </c>
      <c r="BM3" t="s">
        <v>487</v>
      </c>
      <c r="BN3" t="s">
        <v>488</v>
      </c>
      <c r="BO3">
        <v>1.79</v>
      </c>
      <c r="BP3">
        <v>-0.73</v>
      </c>
      <c r="BQ3">
        <v>9.5399999999999991</v>
      </c>
      <c r="BR3">
        <v>12.36</v>
      </c>
      <c r="BS3">
        <v>-1.06</v>
      </c>
      <c r="BT3">
        <v>14.58</v>
      </c>
      <c r="BU3">
        <v>16.649999999999999</v>
      </c>
      <c r="BV3" t="s">
        <v>489</v>
      </c>
      <c r="BW3">
        <v>27.78</v>
      </c>
      <c r="BX3">
        <v>32.42</v>
      </c>
      <c r="BY3">
        <v>35.69</v>
      </c>
      <c r="BZ3">
        <v>3.74</v>
      </c>
      <c r="CA3">
        <v>11.85</v>
      </c>
      <c r="CB3">
        <v>11.74</v>
      </c>
      <c r="CC3">
        <v>9.8800000000000008</v>
      </c>
      <c r="CD3">
        <v>0.37</v>
      </c>
      <c r="CE3" t="s">
        <v>490</v>
      </c>
      <c r="CF3" t="s">
        <v>491</v>
      </c>
      <c r="CG3" s="26">
        <v>-8.944727875059158E-2</v>
      </c>
      <c r="CH3" s="27">
        <v>17.9449775</v>
      </c>
      <c r="CI3" s="26">
        <v>0.11469679325819016</v>
      </c>
      <c r="CJ3" s="26">
        <v>6.0130350291728973E-2</v>
      </c>
      <c r="CK3" s="26">
        <v>2.0093699917197227E-2</v>
      </c>
      <c r="CL3" s="26">
        <v>-1.9602219108492136E-3</v>
      </c>
      <c r="CM3" s="26">
        <v>0.26903945207595825</v>
      </c>
      <c r="CN3" s="27">
        <v>-0.81924885511398315</v>
      </c>
      <c r="CO3" s="27">
        <v>7.3047861456871033E-2</v>
      </c>
      <c r="CP3" s="27">
        <v>0</v>
      </c>
      <c r="CQ3" s="27">
        <v>-0.19797979295253754</v>
      </c>
      <c r="CR3" s="27">
        <v>0.2907431423664093</v>
      </c>
      <c r="CS3">
        <v>1.193728537410703</v>
      </c>
      <c r="CT3">
        <v>132556129.87012987</v>
      </c>
      <c r="CU3">
        <v>2.6830440000000002</v>
      </c>
      <c r="CV3" s="26">
        <v>9.2400014726445073E-2</v>
      </c>
      <c r="CW3" s="27">
        <v>-0.13068752884864807</v>
      </c>
      <c r="CX3">
        <v>0.06</v>
      </c>
      <c r="CY3">
        <v>51.899103857462947</v>
      </c>
      <c r="CZ3">
        <v>158707171.95082313</v>
      </c>
      <c r="DA3">
        <v>9.2400014726445073E-2</v>
      </c>
      <c r="DB3">
        <v>16.925719403527395</v>
      </c>
      <c r="DC3">
        <v>486641648.93832654</v>
      </c>
      <c r="DD3">
        <v>8.7780013990122821E-2</v>
      </c>
      <c r="DE3">
        <v>8.3095103654993387</v>
      </c>
      <c r="DF3">
        <v>991244927.52287853</v>
      </c>
      <c r="DG3">
        <v>8.1312012959271665E-2</v>
      </c>
      <c r="DH3">
        <v>4.9747059767207853</v>
      </c>
      <c r="DI3">
        <v>1655728004.5381672</v>
      </c>
      <c r="DJ3">
        <v>7.3920011781156064E-2</v>
      </c>
      <c r="DK3">
        <v>2.5525638470481105</v>
      </c>
      <c r="DL3">
        <v>3226857580.6733794</v>
      </c>
      <c r="DM3">
        <v>6.4680010308511546E-2</v>
      </c>
      <c r="DN3">
        <v>154000000</v>
      </c>
      <c r="DO3">
        <v>9.2400014726445073E-2</v>
      </c>
      <c r="DP3">
        <v>8236760000</v>
      </c>
      <c r="DQ3">
        <v>1161267100</v>
      </c>
      <c r="DR3">
        <v>1473</v>
      </c>
      <c r="DS3">
        <v>-0.18184729347703665</v>
      </c>
      <c r="DT3">
        <v>18.075665028848647</v>
      </c>
      <c r="DU3" s="28">
        <v>0</v>
      </c>
      <c r="DV3">
        <v>-0.22</v>
      </c>
      <c r="DW3">
        <v>-0.22</v>
      </c>
      <c r="DX3">
        <v>5.037449392712551</v>
      </c>
      <c r="DY3">
        <v>1.5898554404144953</v>
      </c>
      <c r="DZ3">
        <v>5.0074844648738228</v>
      </c>
      <c r="EA3">
        <v>3852</v>
      </c>
      <c r="EB3">
        <v>5.0015778558400257</v>
      </c>
      <c r="EC3">
        <v>5</v>
      </c>
      <c r="ED3">
        <v>3.288329070758738E-2</v>
      </c>
      <c r="EE3">
        <v>0.16453537936913895</v>
      </c>
      <c r="EF3" s="29">
        <v>-3.0705100000000001</v>
      </c>
      <c r="EG3">
        <v>-3.0297999999999998</v>
      </c>
      <c r="EH3">
        <v>139.1998554404145</v>
      </c>
      <c r="EI3" t="s">
        <v>492</v>
      </c>
      <c r="EJ3">
        <v>1</v>
      </c>
      <c r="EK3">
        <v>0</v>
      </c>
      <c r="EL3" s="30">
        <v>44876</v>
      </c>
      <c r="EM3" s="31">
        <v>0.14000000000000001</v>
      </c>
      <c r="EN3" s="31">
        <v>0</v>
      </c>
      <c r="EO3" s="31">
        <v>0.54</v>
      </c>
      <c r="EP3" s="31">
        <v>-0.81</v>
      </c>
      <c r="EQ3" s="31">
        <v>10.029999999999999</v>
      </c>
    </row>
    <row r="4" spans="1:147" ht="132">
      <c r="B4" s="24" t="s">
        <v>1775</v>
      </c>
      <c r="C4" s="24"/>
      <c r="D4" s="24" t="s">
        <v>1776</v>
      </c>
      <c r="E4" t="s">
        <v>339</v>
      </c>
      <c r="F4" t="s">
        <v>340</v>
      </c>
      <c r="G4">
        <v>15.93</v>
      </c>
      <c r="H4">
        <v>10.01</v>
      </c>
      <c r="I4" t="s">
        <v>341</v>
      </c>
      <c r="J4">
        <v>6603916400</v>
      </c>
      <c r="L4">
        <v>2.19</v>
      </c>
      <c r="M4" t="s">
        <v>338</v>
      </c>
      <c r="N4" t="s">
        <v>493</v>
      </c>
      <c r="O4" t="s">
        <v>494</v>
      </c>
      <c r="P4" t="s">
        <v>495</v>
      </c>
      <c r="Q4">
        <v>-4.7300000000000004</v>
      </c>
      <c r="R4" t="s">
        <v>496</v>
      </c>
      <c r="S4">
        <v>-369527140</v>
      </c>
      <c r="T4" s="25">
        <v>-1.887</v>
      </c>
      <c r="U4" t="s">
        <v>497</v>
      </c>
      <c r="V4">
        <v>218841020</v>
      </c>
      <c r="W4">
        <v>414558470</v>
      </c>
      <c r="X4">
        <v>3.02</v>
      </c>
      <c r="Y4">
        <v>0.43</v>
      </c>
      <c r="Z4">
        <v>-7.52</v>
      </c>
      <c r="AA4" t="s">
        <v>498</v>
      </c>
      <c r="AB4" t="s">
        <v>499</v>
      </c>
      <c r="AC4" t="s">
        <v>500</v>
      </c>
      <c r="AD4" t="s">
        <v>319</v>
      </c>
      <c r="AE4" t="s">
        <v>501</v>
      </c>
      <c r="AF4">
        <v>52886838</v>
      </c>
      <c r="AG4" t="s">
        <v>502</v>
      </c>
      <c r="AH4" t="s">
        <v>503</v>
      </c>
      <c r="AI4" t="s">
        <v>504</v>
      </c>
      <c r="AJ4" t="s">
        <v>505</v>
      </c>
      <c r="AK4" t="s">
        <v>506</v>
      </c>
      <c r="AL4" t="s">
        <v>507</v>
      </c>
      <c r="AM4" t="s">
        <v>508</v>
      </c>
      <c r="AN4" t="s">
        <v>170</v>
      </c>
      <c r="AO4" t="s">
        <v>303</v>
      </c>
      <c r="AP4" t="s">
        <v>509</v>
      </c>
      <c r="AQ4" t="s">
        <v>510</v>
      </c>
      <c r="AR4" t="s">
        <v>511</v>
      </c>
      <c r="AS4" t="s">
        <v>170</v>
      </c>
      <c r="AT4" t="s">
        <v>512</v>
      </c>
      <c r="AU4" t="s">
        <v>513</v>
      </c>
      <c r="AV4" t="s">
        <v>514</v>
      </c>
      <c r="AW4" t="s">
        <v>515</v>
      </c>
      <c r="AX4" t="s">
        <v>516</v>
      </c>
      <c r="AY4" t="s">
        <v>517</v>
      </c>
      <c r="AZ4" t="s">
        <v>518</v>
      </c>
      <c r="BA4" t="s">
        <v>519</v>
      </c>
      <c r="BB4" t="s">
        <v>520</v>
      </c>
      <c r="BC4" t="s">
        <v>521</v>
      </c>
      <c r="BD4" t="s">
        <v>242</v>
      </c>
      <c r="BE4" t="s">
        <v>333</v>
      </c>
      <c r="BF4" t="s">
        <v>522</v>
      </c>
      <c r="BG4" t="s">
        <v>523</v>
      </c>
      <c r="BH4" t="s">
        <v>179</v>
      </c>
      <c r="BI4" t="s">
        <v>524</v>
      </c>
      <c r="BJ4" t="s">
        <v>525</v>
      </c>
      <c r="BK4" t="s">
        <v>526</v>
      </c>
      <c r="BL4" t="s">
        <v>527</v>
      </c>
      <c r="BM4" t="s">
        <v>528</v>
      </c>
      <c r="BN4" t="s">
        <v>529</v>
      </c>
      <c r="BO4">
        <v>-4.8899999999999997</v>
      </c>
      <c r="BP4">
        <v>-0.96</v>
      </c>
      <c r="BQ4">
        <v>11.94</v>
      </c>
      <c r="BR4">
        <v>11.81</v>
      </c>
      <c r="BS4">
        <v>-1.94</v>
      </c>
      <c r="BT4">
        <v>17.91</v>
      </c>
      <c r="BU4">
        <v>15.91</v>
      </c>
      <c r="BV4" t="s">
        <v>489</v>
      </c>
      <c r="BW4">
        <v>21.1</v>
      </c>
      <c r="BX4">
        <v>34.29</v>
      </c>
      <c r="BY4">
        <v>38.51</v>
      </c>
      <c r="BZ4">
        <v>-16.87</v>
      </c>
      <c r="CA4">
        <v>11.65</v>
      </c>
      <c r="CB4">
        <v>11.38</v>
      </c>
      <c r="CC4">
        <v>13.95</v>
      </c>
      <c r="CD4">
        <v>5.08</v>
      </c>
      <c r="CE4" t="s">
        <v>530</v>
      </c>
      <c r="CF4" t="s">
        <v>270</v>
      </c>
      <c r="CG4" s="26">
        <v>-4.2269951272333517E-2</v>
      </c>
      <c r="CH4" s="27">
        <v>-0.12242325925925926</v>
      </c>
      <c r="CI4" s="26">
        <v>0.43647199869155884</v>
      </c>
      <c r="CJ4" s="26">
        <v>0.27865403890609741</v>
      </c>
      <c r="CK4" s="26">
        <v>0.18578553199768066</v>
      </c>
      <c r="CL4" s="26">
        <v>0.11003465205430984</v>
      </c>
      <c r="CM4" s="26">
        <v>0.24354556202888489</v>
      </c>
      <c r="CN4" s="27">
        <v>-0.44346290826797485</v>
      </c>
      <c r="CO4" s="27">
        <v>0.30715936422348022</v>
      </c>
      <c r="CP4" s="27">
        <v>0.1961326003074646</v>
      </c>
      <c r="CQ4" s="27">
        <v>0.1986754983663559</v>
      </c>
      <c r="CR4" s="27">
        <v>0.29613733291625977</v>
      </c>
      <c r="CS4">
        <v>0.94517194790324888</v>
      </c>
      <c r="CT4">
        <v>-118517600</v>
      </c>
      <c r="CU4">
        <v>-9.765471999999999</v>
      </c>
      <c r="CV4" s="26">
        <v>0.25089835673570632</v>
      </c>
      <c r="CW4" s="27">
        <v>0.11092837750911713</v>
      </c>
      <c r="CX4">
        <v>0.06</v>
      </c>
      <c r="CY4">
        <v>27.417581439432865</v>
      </c>
      <c r="CZ4">
        <v>371729228.65259194</v>
      </c>
      <c r="DA4">
        <v>0.25089835673570632</v>
      </c>
      <c r="DB4">
        <v>7.8388528094529617</v>
      </c>
      <c r="DC4">
        <v>1300179585.9350047</v>
      </c>
      <c r="DD4">
        <v>0.23835343889892099</v>
      </c>
      <c r="DE4">
        <v>3.1956905084905238</v>
      </c>
      <c r="DF4">
        <v>3189268914.7842808</v>
      </c>
      <c r="DG4">
        <v>0.22079055392742156</v>
      </c>
      <c r="DH4">
        <v>1.5301012341582707</v>
      </c>
      <c r="DI4">
        <v>6660942539.2736912</v>
      </c>
      <c r="DJ4">
        <v>0.20071868538856508</v>
      </c>
      <c r="DK4">
        <v>0.45918931750272157</v>
      </c>
      <c r="DL4">
        <v>22195456234.540112</v>
      </c>
      <c r="DM4">
        <v>0.1756288497149944</v>
      </c>
      <c r="DN4">
        <v>315000000</v>
      </c>
      <c r="DO4">
        <v>0.25089835673570632</v>
      </c>
      <c r="DP4">
        <v>10191916400</v>
      </c>
      <c r="DQ4">
        <v>1790072900</v>
      </c>
      <c r="DR4">
        <v>1386</v>
      </c>
      <c r="DS4">
        <v>-0.29316830800803984</v>
      </c>
      <c r="DT4">
        <v>-0.23335163676837639</v>
      </c>
      <c r="DU4" s="28">
        <v>0</v>
      </c>
      <c r="DV4">
        <v>-0.89833333333333332</v>
      </c>
      <c r="DW4">
        <v>-0.89833333333333332</v>
      </c>
      <c r="DX4">
        <v>5.3641577060931898</v>
      </c>
      <c r="DY4">
        <v>1.359596491228072</v>
      </c>
      <c r="DZ4">
        <v>5.0581182921461361</v>
      </c>
      <c r="EA4">
        <v>3401</v>
      </c>
      <c r="EB4">
        <v>5.0176224282680355</v>
      </c>
      <c r="EC4">
        <v>5</v>
      </c>
      <c r="ED4">
        <v>8.7775314300055182E-2</v>
      </c>
      <c r="EE4">
        <v>0.54998273223075134</v>
      </c>
      <c r="EF4" s="29">
        <v>-1.1115999999999999</v>
      </c>
      <c r="EG4">
        <v>6.1700000000000005E-2</v>
      </c>
      <c r="EH4">
        <v>120.15959649122807</v>
      </c>
      <c r="EI4" t="s">
        <v>184</v>
      </c>
      <c r="EJ4">
        <v>1</v>
      </c>
      <c r="EK4">
        <v>0</v>
      </c>
      <c r="EL4" s="30">
        <v>44876</v>
      </c>
      <c r="EM4" s="31">
        <v>2.86</v>
      </c>
      <c r="EN4" s="31">
        <v>-0.7</v>
      </c>
      <c r="EO4" s="31">
        <v>2.1</v>
      </c>
      <c r="EP4" s="31">
        <v>-0.69</v>
      </c>
      <c r="EQ4" s="31">
        <v>10.01</v>
      </c>
    </row>
    <row r="5" spans="1:147" ht="144">
      <c r="B5" s="24"/>
      <c r="C5" s="24"/>
      <c r="D5" s="24" t="s">
        <v>1777</v>
      </c>
      <c r="E5" t="s">
        <v>342</v>
      </c>
      <c r="F5" t="s">
        <v>343</v>
      </c>
      <c r="G5">
        <v>8.65</v>
      </c>
      <c r="H5">
        <v>3.35</v>
      </c>
      <c r="I5" t="s">
        <v>344</v>
      </c>
      <c r="J5">
        <v>4734988400</v>
      </c>
      <c r="K5">
        <v>10.78</v>
      </c>
      <c r="L5">
        <v>0.74399999999999999</v>
      </c>
      <c r="M5" t="s">
        <v>338</v>
      </c>
      <c r="N5" t="s">
        <v>531</v>
      </c>
      <c r="O5" t="s">
        <v>532</v>
      </c>
      <c r="P5" t="s">
        <v>533</v>
      </c>
      <c r="Q5">
        <v>-13.93</v>
      </c>
      <c r="R5" t="s">
        <v>534</v>
      </c>
      <c r="S5">
        <v>323511710</v>
      </c>
      <c r="T5" s="25">
        <v>-0.3251</v>
      </c>
      <c r="U5" t="s">
        <v>535</v>
      </c>
      <c r="V5">
        <v>547126000</v>
      </c>
      <c r="W5">
        <v>547397500</v>
      </c>
      <c r="X5">
        <v>1.45</v>
      </c>
      <c r="Y5">
        <v>0.56000000000000005</v>
      </c>
      <c r="Z5">
        <v>6.24</v>
      </c>
      <c r="AA5" t="s">
        <v>536</v>
      </c>
      <c r="AB5" t="s">
        <v>537</v>
      </c>
      <c r="AC5" t="s">
        <v>180</v>
      </c>
      <c r="AD5" t="s">
        <v>459</v>
      </c>
      <c r="AE5" t="s">
        <v>538</v>
      </c>
      <c r="AF5">
        <v>-39073693</v>
      </c>
      <c r="AG5" t="s">
        <v>539</v>
      </c>
      <c r="AH5" t="s">
        <v>540</v>
      </c>
      <c r="AI5" t="s">
        <v>541</v>
      </c>
      <c r="AJ5" t="s">
        <v>191</v>
      </c>
      <c r="AK5" t="s">
        <v>542</v>
      </c>
      <c r="AL5" t="s">
        <v>543</v>
      </c>
      <c r="AM5" t="s">
        <v>544</v>
      </c>
      <c r="AN5" t="s">
        <v>170</v>
      </c>
      <c r="AO5" t="s">
        <v>545</v>
      </c>
      <c r="AP5" t="s">
        <v>546</v>
      </c>
      <c r="AQ5" t="s">
        <v>170</v>
      </c>
      <c r="AR5" t="s">
        <v>547</v>
      </c>
      <c r="AS5" t="s">
        <v>170</v>
      </c>
      <c r="AT5" t="s">
        <v>548</v>
      </c>
      <c r="AU5" t="s">
        <v>170</v>
      </c>
      <c r="AV5" t="s">
        <v>528</v>
      </c>
      <c r="AW5" t="s">
        <v>549</v>
      </c>
      <c r="AX5" t="s">
        <v>550</v>
      </c>
      <c r="AY5" t="s">
        <v>551</v>
      </c>
      <c r="AZ5" t="s">
        <v>552</v>
      </c>
      <c r="BA5" t="s">
        <v>553</v>
      </c>
      <c r="BB5" t="s">
        <v>554</v>
      </c>
      <c r="BC5" t="s">
        <v>555</v>
      </c>
      <c r="BD5" t="s">
        <v>556</v>
      </c>
      <c r="BE5" t="s">
        <v>557</v>
      </c>
      <c r="BF5" t="s">
        <v>558</v>
      </c>
      <c r="BG5" t="s">
        <v>559</v>
      </c>
      <c r="BH5" t="s">
        <v>560</v>
      </c>
      <c r="BI5" t="s">
        <v>561</v>
      </c>
      <c r="BJ5" t="s">
        <v>562</v>
      </c>
      <c r="BK5" t="s">
        <v>563</v>
      </c>
      <c r="BL5" t="s">
        <v>564</v>
      </c>
      <c r="BM5" t="s">
        <v>565</v>
      </c>
      <c r="BN5" t="s">
        <v>523</v>
      </c>
      <c r="BO5">
        <v>4.62</v>
      </c>
      <c r="BP5">
        <v>-0.32</v>
      </c>
      <c r="BQ5">
        <v>10.57</v>
      </c>
      <c r="BR5">
        <v>14.4</v>
      </c>
      <c r="BS5">
        <v>-0.36</v>
      </c>
      <c r="BT5">
        <v>11.71</v>
      </c>
      <c r="BU5">
        <v>15.51</v>
      </c>
      <c r="BV5" t="s">
        <v>489</v>
      </c>
      <c r="BW5">
        <v>24.13</v>
      </c>
      <c r="BX5">
        <v>29.44</v>
      </c>
      <c r="BY5">
        <v>36.17</v>
      </c>
      <c r="BZ5">
        <v>5.68</v>
      </c>
      <c r="CA5">
        <v>8.74</v>
      </c>
      <c r="CB5">
        <v>10.1</v>
      </c>
      <c r="CC5">
        <v>5.23</v>
      </c>
      <c r="CD5">
        <v>4.09</v>
      </c>
      <c r="CE5" t="s">
        <v>566</v>
      </c>
      <c r="CF5" t="s">
        <v>227</v>
      </c>
      <c r="CG5" s="26">
        <v>-0.24067660318694117</v>
      </c>
      <c r="CH5" s="27">
        <v>-0.25134627118644065</v>
      </c>
      <c r="CI5" s="26">
        <v>0.20470808446407318</v>
      </c>
      <c r="CJ5" s="26">
        <v>-4.6587930992245674E-3</v>
      </c>
      <c r="CK5" s="26">
        <v>5.0956727936863899E-3</v>
      </c>
      <c r="CL5" s="26">
        <v>3.0221367254853249E-2</v>
      </c>
      <c r="CM5" s="26">
        <v>7.9160958528518677E-2</v>
      </c>
      <c r="CN5" s="27">
        <v>-4.9520768225193024E-2</v>
      </c>
      <c r="CO5" s="27">
        <v>-0.13055555522441864</v>
      </c>
      <c r="CP5" s="27">
        <v>-6.8965516984462738E-3</v>
      </c>
      <c r="CQ5" s="27">
        <v>0.10015174746513367</v>
      </c>
      <c r="CR5" s="27">
        <v>0.21811459958553314</v>
      </c>
      <c r="CS5">
        <v>0.54107969374928577</v>
      </c>
      <c r="CT5">
        <v>41710363.025210083</v>
      </c>
      <c r="CU5">
        <v>5.0668800000000003</v>
      </c>
      <c r="CV5" s="26">
        <v>6.2905457988381389E-2</v>
      </c>
      <c r="CW5" s="27">
        <v>2.6258694380521773E-2</v>
      </c>
      <c r="CX5">
        <v>0.06</v>
      </c>
      <c r="CY5">
        <v>1.8688076857136102</v>
      </c>
      <c r="CZ5">
        <v>596630893.87083673</v>
      </c>
      <c r="DA5">
        <v>6.2905457988381389E-2</v>
      </c>
      <c r="DB5">
        <v>0.62492608585592735</v>
      </c>
      <c r="DC5">
        <v>1784192443.2916925</v>
      </c>
      <c r="DD5">
        <v>5.9760185088962317E-2</v>
      </c>
      <c r="DE5">
        <v>0.31714864229029749</v>
      </c>
      <c r="DF5">
        <v>3515665058.340096</v>
      </c>
      <c r="DG5">
        <v>5.5356803029775623E-2</v>
      </c>
      <c r="DH5">
        <v>0.1970180837778221</v>
      </c>
      <c r="DI5">
        <v>5659320091.9433203</v>
      </c>
      <c r="DJ5">
        <v>5.0324366390705116E-2</v>
      </c>
      <c r="DK5">
        <v>0.10946371654551387</v>
      </c>
      <c r="DL5">
        <v>10185917628.115618</v>
      </c>
      <c r="DM5">
        <v>4.4033820591866966E-2</v>
      </c>
      <c r="DN5">
        <v>595000000</v>
      </c>
      <c r="DO5">
        <v>6.2905457988381389E-2</v>
      </c>
      <c r="DP5">
        <v>1114988400.000001</v>
      </c>
      <c r="DQ5">
        <v>4099921600</v>
      </c>
      <c r="DR5">
        <v>377</v>
      </c>
      <c r="DS5">
        <v>-0.30358206117532255</v>
      </c>
      <c r="DT5">
        <v>-0.2776049655669624</v>
      </c>
      <c r="DU5" s="28">
        <v>0</v>
      </c>
      <c r="DV5">
        <v>-0.22</v>
      </c>
      <c r="DW5">
        <v>-0.22</v>
      </c>
      <c r="DX5">
        <v>4.7820267686424476</v>
      </c>
      <c r="DY5">
        <v>0.84189615384615368</v>
      </c>
      <c r="DZ5">
        <v>4.1422476614207975</v>
      </c>
      <c r="EA5">
        <v>3292</v>
      </c>
      <c r="EB5">
        <v>4.0463084478585634</v>
      </c>
      <c r="EC5">
        <v>4</v>
      </c>
      <c r="ED5">
        <v>3.4558433313999423E-2</v>
      </c>
      <c r="EE5">
        <v>0.18998990678620198</v>
      </c>
      <c r="EF5" s="29">
        <v>6.0281099999999999</v>
      </c>
      <c r="EG5">
        <v>6.0053999999999998</v>
      </c>
      <c r="EH5">
        <v>66.181896153846154</v>
      </c>
      <c r="EI5" t="s">
        <v>567</v>
      </c>
      <c r="EJ5">
        <v>0</v>
      </c>
      <c r="EK5">
        <v>0</v>
      </c>
      <c r="EL5" s="30">
        <v>44876</v>
      </c>
      <c r="EM5" s="31">
        <v>1.22</v>
      </c>
      <c r="EN5" s="31">
        <v>0.12</v>
      </c>
      <c r="EO5" s="31">
        <v>0.72</v>
      </c>
      <c r="EP5" s="31">
        <v>-0.24</v>
      </c>
      <c r="EQ5" s="31">
        <v>3.35</v>
      </c>
    </row>
    <row r="6" spans="1:147" ht="84">
      <c r="B6" s="24"/>
      <c r="C6" s="24"/>
      <c r="D6" s="24" t="s">
        <v>606</v>
      </c>
      <c r="E6" t="s">
        <v>345</v>
      </c>
      <c r="F6" t="s">
        <v>346</v>
      </c>
      <c r="G6">
        <v>4.1100000000000003</v>
      </c>
      <c r="H6">
        <v>1.48</v>
      </c>
      <c r="I6" t="s">
        <v>347</v>
      </c>
      <c r="J6">
        <v>3807915000</v>
      </c>
      <c r="L6">
        <v>3.18</v>
      </c>
      <c r="M6" t="s">
        <v>338</v>
      </c>
      <c r="N6" t="s">
        <v>568</v>
      </c>
      <c r="O6" t="s">
        <v>569</v>
      </c>
      <c r="P6" t="s">
        <v>570</v>
      </c>
      <c r="Q6">
        <v>-5.74</v>
      </c>
      <c r="R6" t="s">
        <v>571</v>
      </c>
      <c r="S6">
        <v>-85563340</v>
      </c>
      <c r="T6" s="25">
        <v>-2.9689999999999999</v>
      </c>
      <c r="U6" t="s">
        <v>572</v>
      </c>
      <c r="V6">
        <v>853482310</v>
      </c>
      <c r="W6">
        <v>926500000</v>
      </c>
      <c r="X6">
        <v>2.16</v>
      </c>
      <c r="Y6">
        <v>0.32</v>
      </c>
      <c r="Z6">
        <v>-10.06</v>
      </c>
      <c r="AA6" t="s">
        <v>573</v>
      </c>
      <c r="AB6" t="s">
        <v>574</v>
      </c>
      <c r="AC6" t="s">
        <v>172</v>
      </c>
      <c r="AD6" t="s">
        <v>575</v>
      </c>
      <c r="AE6" t="s">
        <v>576</v>
      </c>
      <c r="AF6">
        <v>20589490</v>
      </c>
      <c r="AG6" t="s">
        <v>577</v>
      </c>
      <c r="AH6" t="s">
        <v>578</v>
      </c>
      <c r="AI6" t="s">
        <v>579</v>
      </c>
      <c r="AJ6" t="s">
        <v>327</v>
      </c>
      <c r="AK6" t="s">
        <v>580</v>
      </c>
      <c r="AL6" t="s">
        <v>170</v>
      </c>
      <c r="AM6" t="s">
        <v>581</v>
      </c>
      <c r="AN6" t="s">
        <v>170</v>
      </c>
      <c r="AO6" t="s">
        <v>582</v>
      </c>
      <c r="AP6" t="s">
        <v>280</v>
      </c>
      <c r="AQ6" t="s">
        <v>583</v>
      </c>
      <c r="AR6" t="s">
        <v>237</v>
      </c>
      <c r="AS6" t="s">
        <v>170</v>
      </c>
      <c r="AT6" t="s">
        <v>584</v>
      </c>
      <c r="AU6" t="s">
        <v>243</v>
      </c>
      <c r="AV6" t="s">
        <v>585</v>
      </c>
      <c r="AW6" t="s">
        <v>586</v>
      </c>
      <c r="AX6" t="s">
        <v>587</v>
      </c>
      <c r="AY6" t="s">
        <v>588</v>
      </c>
      <c r="AZ6" t="s">
        <v>589</v>
      </c>
      <c r="BA6" t="s">
        <v>590</v>
      </c>
      <c r="BB6" t="s">
        <v>591</v>
      </c>
      <c r="BC6" t="s">
        <v>592</v>
      </c>
      <c r="BD6" t="s">
        <v>593</v>
      </c>
      <c r="BE6" t="s">
        <v>594</v>
      </c>
      <c r="BF6" t="s">
        <v>595</v>
      </c>
      <c r="BG6" t="s">
        <v>596</v>
      </c>
      <c r="BH6" t="s">
        <v>597</v>
      </c>
      <c r="BI6" t="s">
        <v>598</v>
      </c>
      <c r="BJ6" t="s">
        <v>599</v>
      </c>
      <c r="BK6" t="s">
        <v>600</v>
      </c>
      <c r="BL6" t="s">
        <v>601</v>
      </c>
      <c r="BM6" t="s">
        <v>602</v>
      </c>
      <c r="BN6" t="s">
        <v>603</v>
      </c>
      <c r="BO6">
        <v>-4.03</v>
      </c>
      <c r="BP6">
        <v>-0.72</v>
      </c>
      <c r="BQ6">
        <v>3.09</v>
      </c>
      <c r="BR6">
        <v>2.13</v>
      </c>
      <c r="BS6">
        <v>-1.2</v>
      </c>
      <c r="BT6">
        <v>5.68</v>
      </c>
      <c r="BU6">
        <v>3.98</v>
      </c>
      <c r="BV6" t="s">
        <v>489</v>
      </c>
      <c r="BW6">
        <v>24.82</v>
      </c>
      <c r="BX6">
        <v>28.3</v>
      </c>
      <c r="BY6">
        <v>34.9</v>
      </c>
      <c r="BZ6">
        <v>-1.64</v>
      </c>
      <c r="CA6">
        <v>4.78</v>
      </c>
      <c r="CB6">
        <v>3.18</v>
      </c>
      <c r="CC6">
        <v>3.53</v>
      </c>
      <c r="CD6">
        <v>-1.44</v>
      </c>
      <c r="CE6" t="s">
        <v>604</v>
      </c>
      <c r="CF6" t="s">
        <v>605</v>
      </c>
      <c r="CG6" s="26">
        <v>4.0588545994065285E-2</v>
      </c>
      <c r="CH6" s="27">
        <v>-5.1107535669834352</v>
      </c>
      <c r="CI6" s="26">
        <v>5.5230014026165009E-2</v>
      </c>
      <c r="CJ6" s="26">
        <v>2.4871410802006721E-2</v>
      </c>
      <c r="CK6" s="26">
        <v>0.19222903251647949</v>
      </c>
      <c r="CL6" s="26">
        <v>8.6666665971279144E-2</v>
      </c>
      <c r="CM6" s="26">
        <v>0.15681234002113342</v>
      </c>
      <c r="CN6" s="27">
        <v>-0.19274412095546722</v>
      </c>
      <c r="CO6" s="27">
        <v>0.51019871234893799</v>
      </c>
      <c r="CP6" s="27">
        <v>0.55552405118942261</v>
      </c>
      <c r="CQ6" s="27">
        <v>0.20695707201957703</v>
      </c>
      <c r="CR6" s="27">
        <v>0.18477296829223633</v>
      </c>
      <c r="CS6">
        <v>3.0197581284694688</v>
      </c>
      <c r="CT6">
        <v>-170682144.63624352</v>
      </c>
      <c r="CU6">
        <v>-6.9534720000000005</v>
      </c>
      <c r="CV6" s="26">
        <v>0.10316189266741276</v>
      </c>
      <c r="CW6" s="27">
        <v>0.25294173657894137</v>
      </c>
      <c r="CX6">
        <v>0.06</v>
      </c>
      <c r="CY6">
        <v>83.263882551899712</v>
      </c>
      <c r="CZ6">
        <v>48051026.175799161</v>
      </c>
      <c r="DA6">
        <v>0.10316189266741276</v>
      </c>
      <c r="DB6">
        <v>26.908731820645986</v>
      </c>
      <c r="DC6">
        <v>148684636.14960328</v>
      </c>
      <c r="DD6">
        <v>9.8003798034042119E-2</v>
      </c>
      <c r="DE6">
        <v>13.049892281668003</v>
      </c>
      <c r="DF6">
        <v>306586055.55084425</v>
      </c>
      <c r="DG6">
        <v>9.0782465547323221E-2</v>
      </c>
      <c r="DH6">
        <v>7.7048038189879584</v>
      </c>
      <c r="DI6">
        <v>519275388.96448219</v>
      </c>
      <c r="DJ6">
        <v>8.2529514133930212E-2</v>
      </c>
      <c r="DK6">
        <v>3.8332915745651603</v>
      </c>
      <c r="DL6">
        <v>1043728326.4719707</v>
      </c>
      <c r="DM6">
        <v>7.2213324867188927E-2</v>
      </c>
      <c r="DN6">
        <v>46171000</v>
      </c>
      <c r="DO6">
        <v>0.10316189266741276</v>
      </c>
      <c r="DP6">
        <v>4000915000</v>
      </c>
      <c r="DQ6">
        <v>76642010</v>
      </c>
      <c r="DR6">
        <v>665</v>
      </c>
      <c r="DS6">
        <v>-6.2573346673347463E-2</v>
      </c>
      <c r="DT6">
        <v>-5.3636953035623769</v>
      </c>
      <c r="DU6" s="28">
        <v>0</v>
      </c>
      <c r="DV6">
        <v>-0.89833333333333332</v>
      </c>
      <c r="DW6">
        <v>-0.89833333333333332</v>
      </c>
      <c r="DX6">
        <v>4.4079320113314449</v>
      </c>
      <c r="DY6">
        <v>0.71137355371900834</v>
      </c>
      <c r="DZ6">
        <v>4.0535914780043543</v>
      </c>
      <c r="EA6">
        <v>3740</v>
      </c>
      <c r="EB6">
        <v>4.0125277353827018</v>
      </c>
      <c r="EC6">
        <v>4</v>
      </c>
      <c r="ED6">
        <v>6.862903399892066E-2</v>
      </c>
      <c r="EE6">
        <v>0.52239611440906641</v>
      </c>
      <c r="EF6" s="29">
        <v>-1.04521</v>
      </c>
      <c r="EG6">
        <v>-1.03041</v>
      </c>
      <c r="EH6">
        <v>58.131373553719008</v>
      </c>
      <c r="EI6" t="s">
        <v>268</v>
      </c>
      <c r="EJ6">
        <v>0</v>
      </c>
      <c r="EK6">
        <v>0</v>
      </c>
      <c r="EL6" s="30">
        <v>44876</v>
      </c>
      <c r="EM6" s="31">
        <v>1.01</v>
      </c>
      <c r="EN6" s="31">
        <v>-0.5</v>
      </c>
      <c r="EO6" s="31">
        <v>1</v>
      </c>
      <c r="EP6" s="31">
        <v>0.5</v>
      </c>
      <c r="EQ6" s="31">
        <v>1.48</v>
      </c>
    </row>
    <row r="7" spans="1:147" ht="84">
      <c r="B7" s="24"/>
      <c r="C7" s="24"/>
      <c r="D7" s="24" t="s">
        <v>644</v>
      </c>
      <c r="E7" t="s">
        <v>348</v>
      </c>
      <c r="F7" t="s">
        <v>349</v>
      </c>
      <c r="G7">
        <v>2.81</v>
      </c>
      <c r="H7">
        <v>1.08</v>
      </c>
      <c r="I7" t="s">
        <v>350</v>
      </c>
      <c r="J7">
        <v>3219200100</v>
      </c>
      <c r="K7">
        <v>28.25</v>
      </c>
      <c r="L7">
        <v>1.1499999999999999</v>
      </c>
      <c r="M7" t="s">
        <v>338</v>
      </c>
      <c r="N7" t="s">
        <v>607</v>
      </c>
      <c r="O7" t="s">
        <v>608</v>
      </c>
      <c r="P7" t="s">
        <v>609</v>
      </c>
      <c r="Q7">
        <v>-5.92</v>
      </c>
      <c r="R7" t="s">
        <v>610</v>
      </c>
      <c r="S7">
        <v>47612186</v>
      </c>
      <c r="T7" s="25">
        <v>-0.52959999999999996</v>
      </c>
      <c r="U7" t="s">
        <v>611</v>
      </c>
      <c r="V7">
        <v>1145622800</v>
      </c>
      <c r="W7">
        <v>1145622800</v>
      </c>
      <c r="X7">
        <v>1.45</v>
      </c>
      <c r="Y7">
        <v>0.34</v>
      </c>
      <c r="Z7">
        <v>3.4</v>
      </c>
      <c r="AA7" t="s">
        <v>612</v>
      </c>
      <c r="AB7" t="s">
        <v>613</v>
      </c>
      <c r="AC7" t="s">
        <v>614</v>
      </c>
      <c r="AD7" t="s">
        <v>615</v>
      </c>
      <c r="AE7" t="s">
        <v>616</v>
      </c>
      <c r="AF7">
        <v>17219619</v>
      </c>
      <c r="AG7" t="s">
        <v>617</v>
      </c>
      <c r="AH7" t="s">
        <v>618</v>
      </c>
      <c r="AI7" t="s">
        <v>619</v>
      </c>
      <c r="AJ7" t="s">
        <v>483</v>
      </c>
      <c r="AK7" t="s">
        <v>620</v>
      </c>
      <c r="AL7" t="s">
        <v>170</v>
      </c>
      <c r="AM7" t="s">
        <v>621</v>
      </c>
      <c r="AN7" t="s">
        <v>170</v>
      </c>
      <c r="AO7" t="s">
        <v>622</v>
      </c>
      <c r="AP7" t="s">
        <v>186</v>
      </c>
      <c r="AQ7" t="s">
        <v>623</v>
      </c>
      <c r="AR7" t="s">
        <v>624</v>
      </c>
      <c r="AS7" t="s">
        <v>170</v>
      </c>
      <c r="AT7" t="s">
        <v>625</v>
      </c>
      <c r="AU7" t="s">
        <v>626</v>
      </c>
      <c r="AV7" t="s">
        <v>216</v>
      </c>
      <c r="AW7" t="s">
        <v>627</v>
      </c>
      <c r="AX7" t="s">
        <v>628</v>
      </c>
      <c r="AY7" t="s">
        <v>629</v>
      </c>
      <c r="AZ7" t="s">
        <v>630</v>
      </c>
      <c r="BA7" t="s">
        <v>631</v>
      </c>
      <c r="BB7" t="s">
        <v>632</v>
      </c>
      <c r="BC7" t="s">
        <v>633</v>
      </c>
      <c r="BD7" t="s">
        <v>634</v>
      </c>
      <c r="BE7" t="s">
        <v>258</v>
      </c>
      <c r="BF7" t="s">
        <v>635</v>
      </c>
      <c r="BG7" t="s">
        <v>239</v>
      </c>
      <c r="BH7" t="s">
        <v>636</v>
      </c>
      <c r="BI7" t="s">
        <v>637</v>
      </c>
      <c r="BJ7" t="s">
        <v>638</v>
      </c>
      <c r="BK7" t="s">
        <v>639</v>
      </c>
      <c r="BL7" t="s">
        <v>640</v>
      </c>
      <c r="BM7" t="s">
        <v>216</v>
      </c>
      <c r="BN7" t="s">
        <v>641</v>
      </c>
      <c r="BO7">
        <v>1.31</v>
      </c>
      <c r="BP7">
        <v>0.89</v>
      </c>
      <c r="BQ7">
        <v>4.91</v>
      </c>
      <c r="BR7">
        <v>4.95</v>
      </c>
      <c r="BS7">
        <v>1.1200000000000001</v>
      </c>
      <c r="BT7">
        <v>6.07</v>
      </c>
      <c r="BU7">
        <v>6.28</v>
      </c>
      <c r="BV7" t="s">
        <v>489</v>
      </c>
      <c r="BW7">
        <v>13.54</v>
      </c>
      <c r="BX7">
        <v>26.38</v>
      </c>
      <c r="BY7">
        <v>23.73</v>
      </c>
      <c r="BZ7">
        <v>5.22</v>
      </c>
      <c r="CA7">
        <v>9.52</v>
      </c>
      <c r="CB7">
        <v>8.58</v>
      </c>
      <c r="CC7">
        <v>3.31</v>
      </c>
      <c r="CD7">
        <v>-2.4300000000000002</v>
      </c>
      <c r="CE7" t="s">
        <v>642</v>
      </c>
      <c r="CF7" t="s">
        <v>643</v>
      </c>
      <c r="CG7" s="26">
        <v>5.7791826086956523E-2</v>
      </c>
      <c r="CH7" s="27">
        <v>-0.78964944226473921</v>
      </c>
      <c r="CI7" s="26">
        <v>0.18735632300376892</v>
      </c>
      <c r="CJ7" s="26">
        <v>-0.1044776439666748</v>
      </c>
      <c r="CK7" s="26">
        <v>0.21665631234645844</v>
      </c>
      <c r="CL7" s="26">
        <v>0.22657445073127747</v>
      </c>
      <c r="CM7" s="26">
        <v>4.2433999478816986E-2</v>
      </c>
      <c r="CN7" s="27">
        <v>-2.3255813866853714E-2</v>
      </c>
      <c r="CO7" s="27">
        <v>1.1764706112444401E-2</v>
      </c>
      <c r="CP7" s="27">
        <v>0.22302158176898956</v>
      </c>
      <c r="CQ7" s="27">
        <v>0.15833333134651184</v>
      </c>
      <c r="CR7" s="27">
        <v>0.35281994938850403</v>
      </c>
      <c r="CS7">
        <v>1.5581801064859633</v>
      </c>
      <c r="CT7">
        <v>24056757.738095239</v>
      </c>
      <c r="CU7">
        <v>1.6761999999999999</v>
      </c>
      <c r="CV7" s="26">
        <v>0.11370868831872941</v>
      </c>
      <c r="CW7" s="27">
        <v>0.14453675094991922</v>
      </c>
      <c r="CX7">
        <v>0.06</v>
      </c>
      <c r="CY7">
        <v>9.5472094869021316</v>
      </c>
      <c r="CZ7">
        <v>176512320.41277978</v>
      </c>
      <c r="DA7">
        <v>0.11370868831872941</v>
      </c>
      <c r="DB7">
        <v>3.058093475484756</v>
      </c>
      <c r="DC7">
        <v>551062324.78157628</v>
      </c>
      <c r="DD7">
        <v>0.10802325390279294</v>
      </c>
      <c r="DE7">
        <v>1.4653042020782137</v>
      </c>
      <c r="DF7">
        <v>1150068427.845844</v>
      </c>
      <c r="DG7">
        <v>0.10006364572048188</v>
      </c>
      <c r="DH7">
        <v>0.85324994827726586</v>
      </c>
      <c r="DI7">
        <v>1975036861.5930929</v>
      </c>
      <c r="DJ7">
        <v>9.096695065498353E-2</v>
      </c>
      <c r="DK7">
        <v>0.41149078819799412</v>
      </c>
      <c r="DL7">
        <v>4095353160.5892091</v>
      </c>
      <c r="DM7">
        <v>7.9596081823110579E-2</v>
      </c>
      <c r="DN7">
        <v>168000000</v>
      </c>
      <c r="DO7">
        <v>0.11370868831872941</v>
      </c>
      <c r="DP7">
        <v>1685200100</v>
      </c>
      <c r="DQ7">
        <v>1245213400</v>
      </c>
      <c r="DR7">
        <v>3727</v>
      </c>
      <c r="DS7">
        <v>-5.5916862231772883E-2</v>
      </c>
      <c r="DT7">
        <v>-0.93418619321465846</v>
      </c>
      <c r="DU7" s="28">
        <v>0</v>
      </c>
      <c r="DV7">
        <v>-0.22</v>
      </c>
      <c r="DW7">
        <v>-0.22</v>
      </c>
      <c r="DX7">
        <v>4.7341389728096681</v>
      </c>
      <c r="DY7">
        <v>0.54034932735425834</v>
      </c>
      <c r="DZ7">
        <v>4.1544256391150611</v>
      </c>
      <c r="EA7">
        <v>2426</v>
      </c>
      <c r="EB7">
        <v>4.0776715722244363</v>
      </c>
      <c r="EC7">
        <v>4</v>
      </c>
      <c r="ED7">
        <v>4.094532685627416E-2</v>
      </c>
      <c r="EE7">
        <v>0.19465394718052051</v>
      </c>
      <c r="EF7" s="29">
        <v>8.7110000000000007E-2</v>
      </c>
      <c r="EG7">
        <v>7.6309999999999989E-2</v>
      </c>
      <c r="EH7">
        <v>33.210349327354258</v>
      </c>
      <c r="EI7">
        <v>-1</v>
      </c>
      <c r="EJ7">
        <v>0</v>
      </c>
      <c r="EK7">
        <v>0</v>
      </c>
      <c r="EL7" s="30">
        <v>44876</v>
      </c>
      <c r="EM7" s="31">
        <v>1.47</v>
      </c>
      <c r="EN7" s="31">
        <v>0.36</v>
      </c>
      <c r="EO7" s="31">
        <v>0.72</v>
      </c>
      <c r="EP7" s="31">
        <v>-0.36</v>
      </c>
      <c r="EQ7" s="31">
        <v>1.08</v>
      </c>
    </row>
    <row r="8" spans="1:147" ht="84">
      <c r="B8" s="24"/>
      <c r="C8" s="24"/>
      <c r="D8" s="24" t="s">
        <v>683</v>
      </c>
      <c r="E8" t="s">
        <v>351</v>
      </c>
      <c r="F8" t="s">
        <v>352</v>
      </c>
      <c r="G8">
        <v>7.42</v>
      </c>
      <c r="H8">
        <v>3.63</v>
      </c>
      <c r="I8" t="s">
        <v>353</v>
      </c>
      <c r="J8">
        <v>2856466100</v>
      </c>
      <c r="L8">
        <v>0.77600000000000002</v>
      </c>
      <c r="M8" t="s">
        <v>338</v>
      </c>
      <c r="N8" t="s">
        <v>645</v>
      </c>
      <c r="O8" t="s">
        <v>646</v>
      </c>
      <c r="P8" t="s">
        <v>647</v>
      </c>
      <c r="Q8">
        <v>-32.33</v>
      </c>
      <c r="R8" t="s">
        <v>648</v>
      </c>
      <c r="S8">
        <v>-395295390</v>
      </c>
      <c r="T8" s="25">
        <v>-2.1309999999999998</v>
      </c>
      <c r="U8" t="s">
        <v>649</v>
      </c>
      <c r="V8">
        <v>231205310</v>
      </c>
      <c r="W8">
        <v>384968480</v>
      </c>
      <c r="X8">
        <v>2.37</v>
      </c>
      <c r="Y8">
        <v>0.3</v>
      </c>
      <c r="Z8">
        <v>-12.68</v>
      </c>
      <c r="AA8" t="s">
        <v>650</v>
      </c>
      <c r="AB8" t="s">
        <v>651</v>
      </c>
      <c r="AC8" t="s">
        <v>528</v>
      </c>
      <c r="AD8" t="s">
        <v>491</v>
      </c>
      <c r="AE8" t="s">
        <v>239</v>
      </c>
      <c r="AF8">
        <v>126316271</v>
      </c>
      <c r="AG8" t="s">
        <v>652</v>
      </c>
      <c r="AH8" t="s">
        <v>653</v>
      </c>
      <c r="AI8" t="s">
        <v>654</v>
      </c>
      <c r="AJ8" t="s">
        <v>655</v>
      </c>
      <c r="AK8" t="s">
        <v>656</v>
      </c>
      <c r="AL8" t="s">
        <v>324</v>
      </c>
      <c r="AM8" t="s">
        <v>657</v>
      </c>
      <c r="AN8" t="s">
        <v>170</v>
      </c>
      <c r="AO8" t="s">
        <v>658</v>
      </c>
      <c r="AP8" t="s">
        <v>659</v>
      </c>
      <c r="AQ8" t="s">
        <v>660</v>
      </c>
      <c r="AR8" t="s">
        <v>661</v>
      </c>
      <c r="AS8" t="s">
        <v>170</v>
      </c>
      <c r="AT8" t="s">
        <v>662</v>
      </c>
      <c r="AU8" t="s">
        <v>663</v>
      </c>
      <c r="AV8" t="s">
        <v>664</v>
      </c>
      <c r="AW8" t="s">
        <v>627</v>
      </c>
      <c r="AX8" t="s">
        <v>665</v>
      </c>
      <c r="AY8" t="s">
        <v>666</v>
      </c>
      <c r="AZ8" t="s">
        <v>667</v>
      </c>
      <c r="BA8" t="s">
        <v>668</v>
      </c>
      <c r="BB8" t="s">
        <v>669</v>
      </c>
      <c r="BC8" t="s">
        <v>670</v>
      </c>
      <c r="BD8" t="s">
        <v>671</v>
      </c>
      <c r="BE8" t="s">
        <v>242</v>
      </c>
      <c r="BF8" t="s">
        <v>672</v>
      </c>
      <c r="BG8" t="s">
        <v>673</v>
      </c>
      <c r="BH8" t="s">
        <v>674</v>
      </c>
      <c r="BI8" t="s">
        <v>675</v>
      </c>
      <c r="BJ8" t="s">
        <v>676</v>
      </c>
      <c r="BK8" t="s">
        <v>677</v>
      </c>
      <c r="BL8" t="s">
        <v>678</v>
      </c>
      <c r="BM8" t="s">
        <v>679</v>
      </c>
      <c r="BN8" t="s">
        <v>680</v>
      </c>
      <c r="BO8">
        <v>-4.3099999999999996</v>
      </c>
      <c r="BP8">
        <v>-0.91</v>
      </c>
      <c r="BQ8">
        <v>8.4</v>
      </c>
      <c r="BR8">
        <v>11.12</v>
      </c>
      <c r="BS8">
        <v>-2.02</v>
      </c>
      <c r="BT8">
        <v>14.25</v>
      </c>
      <c r="BU8">
        <v>16.579999999999998</v>
      </c>
      <c r="BV8" t="s">
        <v>489</v>
      </c>
      <c r="BW8">
        <v>17.48</v>
      </c>
      <c r="BX8">
        <v>30.46</v>
      </c>
      <c r="BY8">
        <v>35.94</v>
      </c>
      <c r="BZ8">
        <v>-12.44</v>
      </c>
      <c r="CA8">
        <v>9.99</v>
      </c>
      <c r="CB8">
        <v>10.01</v>
      </c>
      <c r="CC8">
        <v>6.92</v>
      </c>
      <c r="CD8">
        <v>0.82</v>
      </c>
      <c r="CE8" t="s">
        <v>681</v>
      </c>
      <c r="CF8" t="s">
        <v>682</v>
      </c>
      <c r="CG8" s="26">
        <v>-0.24263833107191299</v>
      </c>
      <c r="CH8" s="27">
        <v>-2.924939342105263</v>
      </c>
      <c r="CI8" s="26">
        <v>9.0473584830760956E-2</v>
      </c>
      <c r="CJ8" s="26">
        <v>1.202878262847662E-2</v>
      </c>
      <c r="CK8" s="26">
        <v>0.29294341802597046</v>
      </c>
      <c r="CL8" s="26">
        <v>7.0674152374267578</v>
      </c>
      <c r="CM8" s="26">
        <v>0.25058546662330627</v>
      </c>
      <c r="CN8" s="27">
        <v>-0.87810230255126953</v>
      </c>
      <c r="CO8" s="27">
        <v>1.7667844658717513E-3</v>
      </c>
      <c r="CP8" s="27">
        <v>0.48556429147720337</v>
      </c>
      <c r="CQ8" s="27">
        <v>5.9876079559326172</v>
      </c>
      <c r="CR8" s="27">
        <v>7.6909251511096954E-2</v>
      </c>
      <c r="CS8">
        <v>0.4646927118919798</v>
      </c>
      <c r="CT8">
        <v>-594732391.9208287</v>
      </c>
      <c r="CU8">
        <v>-9.0154800000000002</v>
      </c>
      <c r="CV8" s="26">
        <v>1.5426892979070543</v>
      </c>
      <c r="CW8" s="27">
        <v>1.1347491961671039</v>
      </c>
      <c r="CX8">
        <v>0.06</v>
      </c>
      <c r="CY8">
        <v>26.13178927368044</v>
      </c>
      <c r="CZ8">
        <v>165792937.27749431</v>
      </c>
      <c r="DA8">
        <v>1.5426892979070543</v>
      </c>
      <c r="DB8">
        <v>3.0847700848699176</v>
      </c>
      <c r="DC8">
        <v>1404469694.9214277</v>
      </c>
      <c r="DD8">
        <v>1.4655548330117016</v>
      </c>
      <c r="DE8">
        <v>0.28739315290551443</v>
      </c>
      <c r="DF8">
        <v>15075049827.037371</v>
      </c>
      <c r="DG8">
        <v>1.3575665821582079</v>
      </c>
      <c r="DH8">
        <v>1.9052490638310094E-2</v>
      </c>
      <c r="DI8">
        <v>227396311707.84705</v>
      </c>
      <c r="DJ8">
        <v>1.2341514383256436</v>
      </c>
      <c r="DK8">
        <v>4.2954609829944744E-5</v>
      </c>
      <c r="DL8">
        <v>100861493496321.52</v>
      </c>
      <c r="DM8">
        <v>1.0798825085349379</v>
      </c>
      <c r="DN8">
        <v>69116000</v>
      </c>
      <c r="DO8">
        <v>1.5426892979070543</v>
      </c>
      <c r="DP8">
        <v>4332466100</v>
      </c>
      <c r="DQ8">
        <v>1891678599.9999995</v>
      </c>
      <c r="DR8">
        <v>1275</v>
      </c>
      <c r="DS8">
        <v>-1.7853276289789672</v>
      </c>
      <c r="DT8">
        <v>-4.0596885382723666</v>
      </c>
      <c r="DU8" s="28">
        <v>-0.22</v>
      </c>
      <c r="DV8">
        <v>-0.89833333333333332</v>
      </c>
      <c r="DW8">
        <v>-1.1183333333333334</v>
      </c>
      <c r="DX8">
        <v>5.1184971098265892</v>
      </c>
      <c r="DY8">
        <v>0.76665563057616903</v>
      </c>
      <c r="DZ8">
        <v>5.0221181527561356</v>
      </c>
      <c r="EA8">
        <v>3599</v>
      </c>
      <c r="EB8">
        <v>5.0058093570648161</v>
      </c>
      <c r="EC8">
        <v>5</v>
      </c>
      <c r="ED8">
        <v>3.1281002538181828E-2</v>
      </c>
      <c r="EE8">
        <v>0.16758670735848297</v>
      </c>
      <c r="EF8" s="29">
        <v>-3.0796999999999999</v>
      </c>
      <c r="EG8">
        <v>-3.1160000000000001</v>
      </c>
      <c r="EH8">
        <v>58.186655630576169</v>
      </c>
      <c r="EI8" t="s">
        <v>492</v>
      </c>
      <c r="EJ8">
        <v>1</v>
      </c>
      <c r="EK8">
        <v>0</v>
      </c>
      <c r="EL8" s="30">
        <v>44876</v>
      </c>
      <c r="EM8" s="31">
        <v>2.02</v>
      </c>
      <c r="EN8" s="31">
        <v>0.42</v>
      </c>
      <c r="EO8" s="31">
        <v>0.56000000000000005</v>
      </c>
      <c r="EP8" s="31">
        <v>0.14000000000000001</v>
      </c>
      <c r="EQ8" s="31">
        <v>3.63</v>
      </c>
    </row>
    <row r="9" spans="1:147" ht="84">
      <c r="B9" s="24"/>
      <c r="C9" s="24"/>
      <c r="D9" s="24" t="s">
        <v>716</v>
      </c>
      <c r="E9" t="s">
        <v>354</v>
      </c>
      <c r="F9" t="s">
        <v>355</v>
      </c>
      <c r="G9">
        <v>22.1</v>
      </c>
      <c r="H9">
        <v>2.31</v>
      </c>
      <c r="I9" t="s">
        <v>356</v>
      </c>
      <c r="J9">
        <v>2269139600</v>
      </c>
      <c r="K9">
        <v>14.8</v>
      </c>
      <c r="L9">
        <v>1.59</v>
      </c>
      <c r="M9" t="s">
        <v>338</v>
      </c>
      <c r="N9" t="s">
        <v>275</v>
      </c>
      <c r="O9" t="s">
        <v>684</v>
      </c>
      <c r="P9" t="s">
        <v>685</v>
      </c>
      <c r="Q9">
        <v>10.1</v>
      </c>
      <c r="R9" t="s">
        <v>307</v>
      </c>
      <c r="S9">
        <v>133272111</v>
      </c>
      <c r="T9" s="25">
        <v>0.73229999999999995</v>
      </c>
      <c r="U9" t="s">
        <v>686</v>
      </c>
      <c r="V9">
        <v>55280195</v>
      </c>
      <c r="W9">
        <v>102676000</v>
      </c>
      <c r="X9">
        <v>1.71</v>
      </c>
      <c r="Y9">
        <v>0.61</v>
      </c>
      <c r="Z9">
        <v>9.3000000000000007</v>
      </c>
      <c r="AA9" t="s">
        <v>687</v>
      </c>
      <c r="AB9" t="s">
        <v>688</v>
      </c>
      <c r="AC9" t="s">
        <v>689</v>
      </c>
      <c r="AD9" t="s">
        <v>690</v>
      </c>
      <c r="AE9" t="s">
        <v>691</v>
      </c>
      <c r="AF9">
        <v>-14836641</v>
      </c>
      <c r="AG9" t="s">
        <v>692</v>
      </c>
      <c r="AH9" t="s">
        <v>693</v>
      </c>
      <c r="AI9" t="s">
        <v>694</v>
      </c>
      <c r="AJ9" t="s">
        <v>332</v>
      </c>
      <c r="AK9" t="s">
        <v>695</v>
      </c>
      <c r="AL9" t="s">
        <v>170</v>
      </c>
      <c r="AM9" t="s">
        <v>696</v>
      </c>
      <c r="AN9" t="s">
        <v>170</v>
      </c>
      <c r="AO9" t="s">
        <v>697</v>
      </c>
      <c r="AP9" t="s">
        <v>698</v>
      </c>
      <c r="AQ9" t="s">
        <v>330</v>
      </c>
      <c r="AR9" t="s">
        <v>699</v>
      </c>
      <c r="AS9" t="s">
        <v>170</v>
      </c>
      <c r="AT9" t="s">
        <v>700</v>
      </c>
      <c r="AU9" t="s">
        <v>170</v>
      </c>
      <c r="AV9" t="s">
        <v>247</v>
      </c>
      <c r="AW9" t="s">
        <v>701</v>
      </c>
      <c r="AX9" t="s">
        <v>702</v>
      </c>
      <c r="AY9" t="s">
        <v>703</v>
      </c>
      <c r="AZ9" t="s">
        <v>704</v>
      </c>
      <c r="BA9" t="s">
        <v>204</v>
      </c>
      <c r="BB9" t="s">
        <v>705</v>
      </c>
      <c r="BC9" t="s">
        <v>706</v>
      </c>
      <c r="BD9" t="s">
        <v>507</v>
      </c>
      <c r="BE9" t="s">
        <v>193</v>
      </c>
      <c r="BF9" t="s">
        <v>707</v>
      </c>
      <c r="BG9" t="s">
        <v>708</v>
      </c>
      <c r="BH9" t="s">
        <v>709</v>
      </c>
      <c r="BI9" t="s">
        <v>710</v>
      </c>
      <c r="BJ9" t="s">
        <v>279</v>
      </c>
      <c r="BK9" t="s">
        <v>711</v>
      </c>
      <c r="BL9" t="s">
        <v>712</v>
      </c>
      <c r="BM9" t="s">
        <v>713</v>
      </c>
      <c r="BN9" t="s">
        <v>714</v>
      </c>
      <c r="BO9">
        <v>6.47</v>
      </c>
      <c r="BP9">
        <v>0.86</v>
      </c>
      <c r="BQ9">
        <v>16.86</v>
      </c>
      <c r="BR9">
        <v>22.12</v>
      </c>
      <c r="BS9">
        <v>1.34</v>
      </c>
      <c r="BT9">
        <v>28.52</v>
      </c>
      <c r="BU9">
        <v>39.15</v>
      </c>
      <c r="BV9" t="s">
        <v>489</v>
      </c>
      <c r="BW9">
        <v>18.29</v>
      </c>
      <c r="BX9">
        <v>29.75</v>
      </c>
      <c r="BY9">
        <v>33.049999999999997</v>
      </c>
      <c r="BZ9">
        <v>7.78</v>
      </c>
      <c r="CA9">
        <v>15.38</v>
      </c>
      <c r="CB9">
        <v>16.11</v>
      </c>
      <c r="CC9">
        <v>1.52</v>
      </c>
      <c r="CD9">
        <v>-6.32</v>
      </c>
      <c r="CE9" t="s">
        <v>715</v>
      </c>
      <c r="CF9" t="s">
        <v>689</v>
      </c>
      <c r="CG9" s="26">
        <v>3.8732631578947368E-3</v>
      </c>
      <c r="CH9" s="27">
        <v>1.4202312597386046</v>
      </c>
      <c r="CI9" s="26">
        <v>0.46895423531532288</v>
      </c>
      <c r="CJ9" s="26">
        <v>0.42491269111633301</v>
      </c>
      <c r="CK9" s="26">
        <v>9.5663264393806458E-2</v>
      </c>
      <c r="CL9" s="26">
        <v>1.0154241323471069</v>
      </c>
      <c r="CM9" s="26">
        <v>0.87019228935241699</v>
      </c>
      <c r="CN9" s="27">
        <v>-0.48419412970542908</v>
      </c>
      <c r="CO9" s="27">
        <v>0.36231884360313416</v>
      </c>
      <c r="CP9" s="27">
        <v>0.54063594341278076</v>
      </c>
      <c r="CQ9" s="27">
        <v>121.55219268798828</v>
      </c>
      <c r="CR9" s="27">
        <v>-0.96117830276489258</v>
      </c>
      <c r="CS9">
        <v>1.2620353726362625</v>
      </c>
      <c r="CT9">
        <v>140499806.6442202</v>
      </c>
      <c r="CU9">
        <v>9.7008299999999998</v>
      </c>
      <c r="CV9" s="26">
        <v>0.57502932250499728</v>
      </c>
      <c r="CW9" s="27">
        <v>24.201955008506776</v>
      </c>
      <c r="CX9">
        <v>0.06</v>
      </c>
      <c r="CY9">
        <v>12.909774211928637</v>
      </c>
      <c r="CZ9">
        <v>144087694.28989938</v>
      </c>
      <c r="DA9">
        <v>0.57502932250499728</v>
      </c>
      <c r="DB9">
        <v>2.8669377997391701</v>
      </c>
      <c r="DC9">
        <v>648824540.30542028</v>
      </c>
      <c r="DD9">
        <v>0.54627785637974735</v>
      </c>
      <c r="DE9">
        <v>0.78625700794558895</v>
      </c>
      <c r="DF9">
        <v>2365816242.2747226</v>
      </c>
      <c r="DG9">
        <v>0.50602580380439766</v>
      </c>
      <c r="DH9">
        <v>0.22290881090187717</v>
      </c>
      <c r="DI9">
        <v>8344845555.7856789</v>
      </c>
      <c r="DJ9">
        <v>0.46002345800399785</v>
      </c>
      <c r="DK9">
        <v>1.7386832125536059E-2</v>
      </c>
      <c r="DL9">
        <v>106985538628.85757</v>
      </c>
      <c r="DM9">
        <v>0.40252052575349806</v>
      </c>
      <c r="DN9">
        <v>96971500</v>
      </c>
      <c r="DO9">
        <v>0.57502932250499728</v>
      </c>
      <c r="DP9">
        <v>1860139600</v>
      </c>
      <c r="DQ9">
        <v>132994760</v>
      </c>
      <c r="DR9">
        <v>1472</v>
      </c>
      <c r="DS9">
        <v>-0.57115605934710256</v>
      </c>
      <c r="DT9">
        <v>-22.781723748768172</v>
      </c>
      <c r="DU9" s="28">
        <v>0.6</v>
      </c>
      <c r="DV9">
        <v>0.6</v>
      </c>
      <c r="DW9">
        <v>1.2</v>
      </c>
      <c r="DX9">
        <v>-2.0632000000000001</v>
      </c>
      <c r="DY9">
        <v>0.52948600000000079</v>
      </c>
      <c r="DZ9">
        <v>-2.0056555152</v>
      </c>
      <c r="EA9">
        <v>672</v>
      </c>
      <c r="EB9">
        <v>-2.0048768824988321</v>
      </c>
      <c r="EC9">
        <v>2</v>
      </c>
      <c r="ED9">
        <v>8.7153765242120845E-2</v>
      </c>
      <c r="EE9">
        <v>0.97393743425922319</v>
      </c>
      <c r="EF9" s="29">
        <v>3.0493000000000001</v>
      </c>
      <c r="EG9">
        <v>3.0724</v>
      </c>
      <c r="EH9">
        <v>44.089486000000001</v>
      </c>
      <c r="EI9" t="s">
        <v>263</v>
      </c>
      <c r="EJ9">
        <v>0</v>
      </c>
      <c r="EK9">
        <v>1</v>
      </c>
      <c r="EL9" s="30">
        <v>44876</v>
      </c>
      <c r="EM9" s="31">
        <v>0.09</v>
      </c>
      <c r="EN9" s="31">
        <v>0.23</v>
      </c>
      <c r="EO9" s="31">
        <v>-0.78</v>
      </c>
      <c r="EP9" s="31">
        <v>-0.32</v>
      </c>
      <c r="EQ9" s="31">
        <v>2.31</v>
      </c>
    </row>
    <row r="10" spans="1:147" ht="84">
      <c r="B10" s="24"/>
      <c r="C10" s="24"/>
      <c r="D10" s="24" t="s">
        <v>749</v>
      </c>
      <c r="E10" t="s">
        <v>357</v>
      </c>
      <c r="F10" t="s">
        <v>358</v>
      </c>
      <c r="G10">
        <v>8.26</v>
      </c>
      <c r="H10">
        <v>1.23</v>
      </c>
      <c r="I10" t="s">
        <v>359</v>
      </c>
      <c r="J10">
        <v>1982400000</v>
      </c>
      <c r="L10">
        <v>1.41</v>
      </c>
      <c r="M10" t="s">
        <v>338</v>
      </c>
      <c r="N10" t="s">
        <v>717</v>
      </c>
      <c r="O10" t="s">
        <v>718</v>
      </c>
      <c r="P10" t="s">
        <v>719</v>
      </c>
      <c r="Q10">
        <v>-20.55</v>
      </c>
      <c r="R10" t="s">
        <v>720</v>
      </c>
      <c r="S10">
        <v>-28200172</v>
      </c>
      <c r="T10" s="25">
        <v>-8.0030000000000001</v>
      </c>
      <c r="U10" t="s">
        <v>721</v>
      </c>
      <c r="V10">
        <v>60720000</v>
      </c>
      <c r="W10">
        <v>240000000</v>
      </c>
      <c r="X10">
        <v>1.26</v>
      </c>
      <c r="Y10">
        <v>0.34</v>
      </c>
      <c r="Z10">
        <v>-5.74</v>
      </c>
      <c r="AA10" t="s">
        <v>294</v>
      </c>
      <c r="AB10" t="s">
        <v>722</v>
      </c>
      <c r="AC10" t="s">
        <v>723</v>
      </c>
      <c r="AD10" t="s">
        <v>724</v>
      </c>
      <c r="AE10" t="s">
        <v>725</v>
      </c>
      <c r="AF10">
        <v>-16358595</v>
      </c>
      <c r="AG10" t="s">
        <v>726</v>
      </c>
      <c r="AH10">
        <v>3507.95</v>
      </c>
      <c r="AI10" t="s">
        <v>727</v>
      </c>
      <c r="AJ10" t="s">
        <v>728</v>
      </c>
      <c r="AK10" t="s">
        <v>729</v>
      </c>
      <c r="AL10" t="s">
        <v>170</v>
      </c>
      <c r="AM10" t="s">
        <v>730</v>
      </c>
      <c r="AN10" t="s">
        <v>170</v>
      </c>
      <c r="AO10" t="s">
        <v>329</v>
      </c>
      <c r="AP10" t="s">
        <v>731</v>
      </c>
      <c r="AQ10" t="s">
        <v>732</v>
      </c>
      <c r="AR10" t="s">
        <v>733</v>
      </c>
      <c r="AS10" t="s">
        <v>170</v>
      </c>
      <c r="AT10" t="s">
        <v>734</v>
      </c>
      <c r="AU10" t="s">
        <v>170</v>
      </c>
      <c r="AV10" t="s">
        <v>735</v>
      </c>
      <c r="AW10" t="s">
        <v>736</v>
      </c>
      <c r="AX10" t="s">
        <v>737</v>
      </c>
      <c r="AY10" t="s">
        <v>720</v>
      </c>
      <c r="AZ10" t="s">
        <v>295</v>
      </c>
      <c r="BA10" t="s">
        <v>738</v>
      </c>
      <c r="BB10" t="s">
        <v>739</v>
      </c>
      <c r="BC10" t="s">
        <v>710</v>
      </c>
      <c r="BD10" t="s">
        <v>740</v>
      </c>
      <c r="BE10" t="s">
        <v>200</v>
      </c>
      <c r="BF10" t="s">
        <v>221</v>
      </c>
      <c r="BG10" t="s">
        <v>172</v>
      </c>
      <c r="BH10" t="s">
        <v>253</v>
      </c>
      <c r="BI10" t="s">
        <v>741</v>
      </c>
      <c r="BJ10" t="s">
        <v>742</v>
      </c>
      <c r="BK10" t="s">
        <v>743</v>
      </c>
      <c r="BL10" t="s">
        <v>744</v>
      </c>
      <c r="BM10" t="s">
        <v>745</v>
      </c>
      <c r="BN10" t="s">
        <v>746</v>
      </c>
      <c r="BO10">
        <v>-1.76</v>
      </c>
      <c r="BP10">
        <v>-0.65</v>
      </c>
      <c r="BQ10">
        <v>6.69</v>
      </c>
      <c r="BR10">
        <v>18.52</v>
      </c>
      <c r="BS10">
        <v>-0.74</v>
      </c>
      <c r="BT10">
        <v>6.32</v>
      </c>
      <c r="BU10">
        <v>22.23</v>
      </c>
      <c r="BV10" t="s">
        <v>489</v>
      </c>
      <c r="BW10">
        <v>3.38</v>
      </c>
      <c r="BX10">
        <v>17.809999999999999</v>
      </c>
      <c r="BY10">
        <v>23.72</v>
      </c>
      <c r="BZ10">
        <v>-3.67</v>
      </c>
      <c r="CA10">
        <v>7.36</v>
      </c>
      <c r="CB10">
        <v>12.4</v>
      </c>
      <c r="CC10">
        <v>2.1</v>
      </c>
      <c r="CD10">
        <v>-0.12</v>
      </c>
      <c r="CE10" t="s">
        <v>747</v>
      </c>
      <c r="CF10" t="s">
        <v>748</v>
      </c>
      <c r="CG10" s="26">
        <v>-0.43494587248322136</v>
      </c>
      <c r="CH10" s="27">
        <v>-3.4652240228789331</v>
      </c>
      <c r="CI10" s="26">
        <v>0</v>
      </c>
      <c r="CJ10" s="26">
        <v>-5.9336822479963303E-2</v>
      </c>
      <c r="CK10" s="26">
        <v>-0.16533134877681732</v>
      </c>
      <c r="CL10" s="26">
        <v>0.30142173171043396</v>
      </c>
      <c r="CM10" s="26">
        <v>0.10355648398399353</v>
      </c>
      <c r="CN10" s="27">
        <v>-0.92585420608520508</v>
      </c>
      <c r="CO10" s="27">
        <v>-0.44154581427574158</v>
      </c>
      <c r="CP10" s="27">
        <v>-0.18857142329216003</v>
      </c>
      <c r="CQ10" s="27">
        <v>0.52173912525177002</v>
      </c>
      <c r="CR10" s="27">
        <v>-0.47488585114479065</v>
      </c>
      <c r="CS10">
        <v>1.8389610389610389</v>
      </c>
      <c r="CT10">
        <v>-617104187.21725225</v>
      </c>
      <c r="CU10">
        <v>-2.4590160000000005</v>
      </c>
      <c r="CV10" s="26">
        <v>3.6062008887529376E-2</v>
      </c>
      <c r="CW10" s="27">
        <v>-0.30182363390922545</v>
      </c>
      <c r="CX10">
        <v>0.06</v>
      </c>
      <c r="CY10">
        <v>156.49859597736403</v>
      </c>
      <c r="CZ10">
        <v>5747016.4149593348</v>
      </c>
      <c r="DA10">
        <v>3.6062008887529376E-2</v>
      </c>
      <c r="DB10">
        <v>53.546954914494407</v>
      </c>
      <c r="DC10">
        <v>16796473.327683944</v>
      </c>
      <c r="DD10">
        <v>3.4258908443152908E-2</v>
      </c>
      <c r="DE10">
        <v>27.993624083478831</v>
      </c>
      <c r="DF10">
        <v>32128744.649779174</v>
      </c>
      <c r="DG10">
        <v>3.173456782102585E-2</v>
      </c>
      <c r="DH10">
        <v>17.957443529002333</v>
      </c>
      <c r="DI10">
        <v>50085080.236917675</v>
      </c>
      <c r="DJ10">
        <v>2.8849607110023504E-2</v>
      </c>
      <c r="DK10">
        <v>10.655973560797745</v>
      </c>
      <c r="DL10">
        <v>84403362.571093649</v>
      </c>
      <c r="DM10">
        <v>2.524340622127056E-2</v>
      </c>
      <c r="DN10">
        <v>5879800</v>
      </c>
      <c r="DO10">
        <v>3.6062008887529376E-2</v>
      </c>
      <c r="DP10">
        <v>899400000</v>
      </c>
      <c r="DQ10">
        <v>306106080</v>
      </c>
      <c r="DR10">
        <v>3891</v>
      </c>
      <c r="DS10">
        <v>-0.47100788137075073</v>
      </c>
      <c r="DT10">
        <v>-3.1634003889697078</v>
      </c>
      <c r="DU10" s="28">
        <v>-0.22</v>
      </c>
      <c r="DV10">
        <v>-0.89833333333333332</v>
      </c>
      <c r="DW10">
        <v>-1.1183333333333334</v>
      </c>
      <c r="DX10">
        <v>-1.1999999999999999E-3</v>
      </c>
      <c r="DY10">
        <v>0.76458128947181081</v>
      </c>
      <c r="DZ10">
        <v>-1.6149754736617295E-4</v>
      </c>
      <c r="EA10">
        <v>4529</v>
      </c>
      <c r="EB10">
        <v>-1.1646616814770104E-5</v>
      </c>
      <c r="EC10">
        <v>0</v>
      </c>
      <c r="ED10">
        <v>1.6541666666666666E-2</v>
      </c>
      <c r="EE10">
        <v>0.12291208333333334</v>
      </c>
      <c r="EF10" s="29">
        <v>3.0521099999999999</v>
      </c>
      <c r="EG10">
        <v>3.0398100000000001</v>
      </c>
      <c r="EH10">
        <v>63.134581289471811</v>
      </c>
      <c r="EI10" t="s">
        <v>226</v>
      </c>
      <c r="EJ10">
        <v>0</v>
      </c>
      <c r="EK10">
        <v>0</v>
      </c>
      <c r="EL10" s="30">
        <v>44876</v>
      </c>
      <c r="EM10" s="31">
        <v>1.1100000000000001</v>
      </c>
      <c r="EN10" s="31">
        <v>-0.24</v>
      </c>
      <c r="EO10" s="31">
        <v>0.25</v>
      </c>
      <c r="EP10" s="31">
        <v>-0.24</v>
      </c>
      <c r="EQ10" s="31">
        <v>1.23</v>
      </c>
    </row>
    <row r="11" spans="1:147" ht="84">
      <c r="B11" s="24"/>
      <c r="C11" s="24"/>
      <c r="D11" s="24" t="s">
        <v>782</v>
      </c>
      <c r="E11" t="s">
        <v>360</v>
      </c>
      <c r="F11" t="s">
        <v>361</v>
      </c>
      <c r="G11">
        <v>5.23</v>
      </c>
      <c r="H11">
        <v>1.95</v>
      </c>
      <c r="I11" t="s">
        <v>362</v>
      </c>
      <c r="J11">
        <v>1859222000</v>
      </c>
      <c r="L11">
        <v>1.88</v>
      </c>
      <c r="M11" t="s">
        <v>338</v>
      </c>
      <c r="N11" t="s">
        <v>222</v>
      </c>
      <c r="O11" t="s">
        <v>206</v>
      </c>
      <c r="P11" t="s">
        <v>750</v>
      </c>
      <c r="Q11">
        <v>-33.92</v>
      </c>
      <c r="R11" t="s">
        <v>637</v>
      </c>
      <c r="S11">
        <v>-1866852</v>
      </c>
      <c r="T11" s="25">
        <v>-1.0409999999999999</v>
      </c>
      <c r="U11" t="s">
        <v>751</v>
      </c>
      <c r="V11">
        <v>355491770</v>
      </c>
      <c r="W11">
        <v>355491770</v>
      </c>
      <c r="X11">
        <v>1.34</v>
      </c>
      <c r="Y11">
        <v>0.24</v>
      </c>
      <c r="Z11">
        <v>-0.83</v>
      </c>
      <c r="AA11" t="s">
        <v>752</v>
      </c>
      <c r="AB11" t="s">
        <v>243</v>
      </c>
      <c r="AC11" t="s">
        <v>753</v>
      </c>
      <c r="AD11" t="s">
        <v>754</v>
      </c>
      <c r="AE11" t="s">
        <v>755</v>
      </c>
      <c r="AF11">
        <v>-9963496</v>
      </c>
      <c r="AG11" t="s">
        <v>756</v>
      </c>
      <c r="AH11" t="s">
        <v>757</v>
      </c>
      <c r="AI11" t="s">
        <v>758</v>
      </c>
      <c r="AJ11" t="s">
        <v>759</v>
      </c>
      <c r="AK11" t="s">
        <v>760</v>
      </c>
      <c r="AL11" t="s">
        <v>761</v>
      </c>
      <c r="AM11" t="s">
        <v>762</v>
      </c>
      <c r="AN11" t="s">
        <v>170</v>
      </c>
      <c r="AO11" t="s">
        <v>281</v>
      </c>
      <c r="AP11" t="s">
        <v>763</v>
      </c>
      <c r="AQ11" t="s">
        <v>764</v>
      </c>
      <c r="AR11" t="s">
        <v>765</v>
      </c>
      <c r="AS11" t="s">
        <v>170</v>
      </c>
      <c r="AT11" t="s">
        <v>277</v>
      </c>
      <c r="AU11" t="s">
        <v>170</v>
      </c>
      <c r="AV11" t="s">
        <v>766</v>
      </c>
      <c r="AW11" t="s">
        <v>767</v>
      </c>
      <c r="AX11" t="s">
        <v>768</v>
      </c>
      <c r="AY11" t="s">
        <v>769</v>
      </c>
      <c r="AZ11" t="s">
        <v>770</v>
      </c>
      <c r="BA11" t="s">
        <v>771</v>
      </c>
      <c r="BB11" t="s">
        <v>187</v>
      </c>
      <c r="BC11" t="s">
        <v>772</v>
      </c>
      <c r="BD11" t="s">
        <v>773</v>
      </c>
      <c r="BE11" t="s">
        <v>185</v>
      </c>
      <c r="BF11" t="s">
        <v>774</v>
      </c>
      <c r="BG11" t="s">
        <v>775</v>
      </c>
      <c r="BH11" t="s">
        <v>776</v>
      </c>
      <c r="BI11" t="s">
        <v>491</v>
      </c>
      <c r="BJ11" t="s">
        <v>169</v>
      </c>
      <c r="BK11" t="s">
        <v>318</v>
      </c>
      <c r="BL11" t="s">
        <v>777</v>
      </c>
      <c r="BM11" t="s">
        <v>778</v>
      </c>
      <c r="BN11" t="s">
        <v>779</v>
      </c>
      <c r="BO11">
        <v>-0.16</v>
      </c>
      <c r="BP11">
        <v>-0.62</v>
      </c>
      <c r="BQ11">
        <v>5.87</v>
      </c>
      <c r="BR11">
        <v>12.53</v>
      </c>
      <c r="BS11">
        <v>-0.65</v>
      </c>
      <c r="BT11">
        <v>6.38</v>
      </c>
      <c r="BU11">
        <v>12.86</v>
      </c>
      <c r="BV11" t="s">
        <v>489</v>
      </c>
      <c r="BW11">
        <v>14.97</v>
      </c>
      <c r="BX11">
        <v>25.88</v>
      </c>
      <c r="BY11">
        <v>27.41</v>
      </c>
      <c r="BZ11">
        <v>-3.5</v>
      </c>
      <c r="CA11">
        <v>10.1</v>
      </c>
      <c r="CB11">
        <v>14.16</v>
      </c>
      <c r="CC11">
        <v>4.8099999999999996</v>
      </c>
      <c r="CD11">
        <v>4.5999999999999996</v>
      </c>
      <c r="CE11" t="s">
        <v>780</v>
      </c>
      <c r="CF11" t="s">
        <v>781</v>
      </c>
      <c r="CG11" s="26">
        <v>-0.32509526785714288</v>
      </c>
      <c r="CH11" s="27">
        <v>-0.82344642002354596</v>
      </c>
      <c r="CI11" s="26">
        <v>0.29734218120574951</v>
      </c>
      <c r="CJ11" s="26">
        <v>-0.24466750025749207</v>
      </c>
      <c r="CK11" s="26">
        <v>-4.5508980751037598E-2</v>
      </c>
      <c r="CL11" s="26">
        <v>4.8994973301887512E-2</v>
      </c>
      <c r="CM11" s="26">
        <v>0.1453237384557724</v>
      </c>
      <c r="CN11" s="27">
        <v>-0.66602712869644165</v>
      </c>
      <c r="CO11" s="27">
        <v>-0.46126461029052734</v>
      </c>
      <c r="CP11" s="27">
        <v>0.14352451264858246</v>
      </c>
      <c r="CQ11" s="27">
        <v>0.2341008186340332</v>
      </c>
      <c r="CR11" s="27">
        <v>0.14088620245456696</v>
      </c>
      <c r="CS11">
        <v>2.3805659411011524</v>
      </c>
      <c r="CT11">
        <v>-36608219.838377282</v>
      </c>
      <c r="CU11">
        <v>-0.266928</v>
      </c>
      <c r="CV11" s="26">
        <v>4.0296882390975952E-2</v>
      </c>
      <c r="CW11" s="27">
        <v>-0.12175604104995727</v>
      </c>
      <c r="CX11">
        <v>0.06</v>
      </c>
      <c r="CY11">
        <v>57.595340598312333</v>
      </c>
      <c r="CZ11">
        <v>19953384.910335518</v>
      </c>
      <c r="DA11">
        <v>4.0296882390975952E-2</v>
      </c>
      <c r="DB11">
        <v>19.635254723263447</v>
      </c>
      <c r="DC11">
        <v>58528499.690835454</v>
      </c>
      <c r="DD11">
        <v>3.8282038271427156E-2</v>
      </c>
      <c r="DE11">
        <v>10.21744212475352</v>
      </c>
      <c r="DF11">
        <v>112476487.3603552</v>
      </c>
      <c r="DG11">
        <v>3.546125650405884E-2</v>
      </c>
      <c r="DH11">
        <v>6.5218668470964341</v>
      </c>
      <c r="DI11">
        <v>176210589.22900873</v>
      </c>
      <c r="DJ11">
        <v>3.223750591278076E-2</v>
      </c>
      <c r="DK11">
        <v>3.8317422572746294</v>
      </c>
      <c r="DL11">
        <v>299921529.90410095</v>
      </c>
      <c r="DM11">
        <v>2.8207817673683164E-2</v>
      </c>
      <c r="DN11">
        <v>20331300</v>
      </c>
      <c r="DO11">
        <v>4.0296882390975952E-2</v>
      </c>
      <c r="DP11">
        <v>1149222000</v>
      </c>
      <c r="DQ11">
        <v>466589900</v>
      </c>
      <c r="DR11">
        <v>3895</v>
      </c>
      <c r="DS11">
        <v>-0.36539215024811883</v>
      </c>
      <c r="DT11">
        <v>-0.70169037897358866</v>
      </c>
      <c r="DU11" s="28">
        <v>-0.22</v>
      </c>
      <c r="DV11">
        <v>-0.89833333333333332</v>
      </c>
      <c r="DW11">
        <v>-1.1183333333333334</v>
      </c>
      <c r="DX11">
        <v>4.9563409563409566</v>
      </c>
      <c r="DY11">
        <v>0.8336615913278419</v>
      </c>
      <c r="DZ11">
        <v>4.2043333305837969</v>
      </c>
      <c r="EA11">
        <v>4394</v>
      </c>
      <c r="EB11">
        <v>4.0203872837521635</v>
      </c>
      <c r="EC11">
        <v>4</v>
      </c>
      <c r="ED11">
        <v>2.6585706892736222E-2</v>
      </c>
      <c r="EE11">
        <v>0.12442904093110228</v>
      </c>
      <c r="EF11" s="29">
        <v>2.0158</v>
      </c>
      <c r="EG11">
        <v>2.0352999999999999</v>
      </c>
      <c r="EH11">
        <v>62.213661591327842</v>
      </c>
      <c r="EI11" t="s">
        <v>234</v>
      </c>
      <c r="EJ11">
        <v>0</v>
      </c>
      <c r="EK11">
        <v>0</v>
      </c>
      <c r="EL11" s="30">
        <v>44876</v>
      </c>
      <c r="EM11" s="31">
        <v>2.4</v>
      </c>
      <c r="EN11" s="31">
        <v>0.59</v>
      </c>
      <c r="EO11" s="31">
        <v>0.39</v>
      </c>
      <c r="EP11" s="31">
        <v>-0.57999999999999996</v>
      </c>
      <c r="EQ11" s="31">
        <v>1.95</v>
      </c>
    </row>
    <row r="12" spans="1:147">
      <c r="D12" s="24" t="e">
        <v>#VALUE!</v>
      </c>
      <c r="E12" t="s">
        <v>363</v>
      </c>
      <c r="F12" t="s">
        <v>364</v>
      </c>
      <c r="G12" t="s">
        <v>170</v>
      </c>
      <c r="H12">
        <v>0</v>
      </c>
      <c r="I12" t="s">
        <v>170</v>
      </c>
      <c r="J12" t="s">
        <v>170</v>
      </c>
      <c r="K12">
        <v>0</v>
      </c>
      <c r="L12">
        <v>0</v>
      </c>
      <c r="M12" t="s">
        <v>338</v>
      </c>
      <c r="N12" t="s">
        <v>783</v>
      </c>
      <c r="O12" t="s">
        <v>271</v>
      </c>
      <c r="P12" t="s">
        <v>784</v>
      </c>
      <c r="Q12">
        <v>26.71</v>
      </c>
      <c r="R12" t="s">
        <v>785</v>
      </c>
      <c r="S12">
        <v>441433400</v>
      </c>
      <c r="T12" t="s">
        <v>170</v>
      </c>
      <c r="U12" t="s">
        <v>786</v>
      </c>
      <c r="V12" t="s">
        <v>170</v>
      </c>
      <c r="W12" t="s">
        <v>170</v>
      </c>
      <c r="X12">
        <v>1.55</v>
      </c>
      <c r="Y12" t="s">
        <v>170</v>
      </c>
      <c r="Z12">
        <v>14.82</v>
      </c>
      <c r="AA12" t="s">
        <v>787</v>
      </c>
      <c r="AB12" t="s">
        <v>788</v>
      </c>
      <c r="AC12" t="s">
        <v>247</v>
      </c>
      <c r="AD12" t="s">
        <v>789</v>
      </c>
      <c r="AE12" t="s">
        <v>170</v>
      </c>
      <c r="AF12">
        <v>-92923228</v>
      </c>
      <c r="AG12" t="s">
        <v>790</v>
      </c>
      <c r="AH12" t="s">
        <v>791</v>
      </c>
      <c r="AI12" t="s">
        <v>792</v>
      </c>
      <c r="AJ12" t="s">
        <v>793</v>
      </c>
      <c r="AK12" t="s">
        <v>794</v>
      </c>
      <c r="AL12" t="s">
        <v>170</v>
      </c>
      <c r="AM12" t="s">
        <v>795</v>
      </c>
      <c r="AN12" t="s">
        <v>170</v>
      </c>
      <c r="AO12" t="s">
        <v>796</v>
      </c>
      <c r="AP12" t="s">
        <v>199</v>
      </c>
      <c r="AQ12" t="s">
        <v>212</v>
      </c>
      <c r="AR12" t="s">
        <v>312</v>
      </c>
      <c r="AS12" t="s">
        <v>797</v>
      </c>
      <c r="AT12" t="s">
        <v>704</v>
      </c>
      <c r="AU12" t="s">
        <v>170</v>
      </c>
      <c r="AV12" t="s">
        <v>217</v>
      </c>
      <c r="AW12" t="s">
        <v>325</v>
      </c>
      <c r="AX12" t="s">
        <v>798</v>
      </c>
      <c r="AY12" t="s">
        <v>799</v>
      </c>
      <c r="AZ12" t="s">
        <v>800</v>
      </c>
      <c r="BA12" t="s">
        <v>801</v>
      </c>
      <c r="BB12" t="s">
        <v>170</v>
      </c>
      <c r="BC12" t="s">
        <v>170</v>
      </c>
      <c r="BD12" t="s">
        <v>802</v>
      </c>
      <c r="BE12" t="s">
        <v>803</v>
      </c>
      <c r="BF12" t="s">
        <v>804</v>
      </c>
      <c r="BG12" t="s">
        <v>170</v>
      </c>
      <c r="BH12" t="s">
        <v>170</v>
      </c>
      <c r="BI12" t="s">
        <v>805</v>
      </c>
      <c r="BJ12" t="s">
        <v>806</v>
      </c>
      <c r="BK12" t="s">
        <v>807</v>
      </c>
      <c r="BL12" t="s">
        <v>643</v>
      </c>
      <c r="BM12" t="s">
        <v>193</v>
      </c>
      <c r="BN12" t="s">
        <v>299</v>
      </c>
      <c r="BO12">
        <v>18.23</v>
      </c>
      <c r="BP12">
        <v>3.83</v>
      </c>
      <c r="BQ12">
        <v>29.55</v>
      </c>
      <c r="BR12">
        <v>39.11</v>
      </c>
      <c r="BS12" t="s">
        <v>170</v>
      </c>
      <c r="BT12" t="s">
        <v>170</v>
      </c>
      <c r="BU12" t="s">
        <v>170</v>
      </c>
      <c r="BV12" t="s">
        <v>489</v>
      </c>
      <c r="BW12">
        <v>20.37</v>
      </c>
      <c r="BX12">
        <v>30.68</v>
      </c>
      <c r="BY12">
        <v>35.43</v>
      </c>
      <c r="BZ12">
        <v>12.41</v>
      </c>
      <c r="CA12">
        <v>16.600000000000001</v>
      </c>
      <c r="CB12">
        <v>19.59</v>
      </c>
      <c r="CC12" t="s">
        <v>170</v>
      </c>
      <c r="CD12" t="s">
        <v>170</v>
      </c>
      <c r="CE12" t="s">
        <v>170</v>
      </c>
      <c r="CF12" t="s">
        <v>170</v>
      </c>
      <c r="CG12" s="26">
        <v>-0.10293664670658682</v>
      </c>
      <c r="CH12" s="27">
        <v>5.6191939393939396</v>
      </c>
      <c r="CI12" s="26">
        <v>0.41818985342979431</v>
      </c>
      <c r="CJ12" s="26">
        <v>0.29803243279457092</v>
      </c>
      <c r="CK12" s="26">
        <v>-0.15994164347648621</v>
      </c>
      <c r="CL12" s="26" t="e">
        <v>#VALUE!</v>
      </c>
      <c r="CM12" s="26" t="e">
        <v>#VALUE!</v>
      </c>
      <c r="CN12" s="27">
        <v>-0.25</v>
      </c>
      <c r="CO12" s="27">
        <v>0.10059171915054321</v>
      </c>
      <c r="CP12" s="27">
        <v>0.19014084339141846</v>
      </c>
      <c r="CQ12" s="27" t="e">
        <v>#VALUE!</v>
      </c>
      <c r="CR12" s="27" t="e">
        <v>#VALUE!</v>
      </c>
      <c r="CS12" s="26" t="e">
        <v>#VALUE!</v>
      </c>
      <c r="CT12" s="27">
        <v>133381111.1111111</v>
      </c>
      <c r="CU12" t="e">
        <v>#VALUE!</v>
      </c>
      <c r="CV12">
        <v>0.18542688091595969</v>
      </c>
      <c r="CW12">
        <v>1.3577520847320557E-2</v>
      </c>
      <c r="CX12">
        <v>0.06</v>
      </c>
      <c r="CY12" t="e">
        <v>#VALUE!</v>
      </c>
      <c r="CZ12">
        <v>312013301.67504972</v>
      </c>
      <c r="DA12">
        <v>0.18542688091595969</v>
      </c>
      <c r="DB12" t="e">
        <v>#VALUE!</v>
      </c>
      <c r="DC12">
        <v>1034206050.7590472</v>
      </c>
      <c r="DD12">
        <v>0.17615553687016169</v>
      </c>
      <c r="DE12" t="e">
        <v>#VALUE!</v>
      </c>
      <c r="DF12">
        <v>2346352699.9396114</v>
      </c>
      <c r="DG12">
        <v>0.16317565520604452</v>
      </c>
      <c r="DH12" t="e">
        <v>#VALUE!</v>
      </c>
      <c r="DI12">
        <v>4448679850.6832638</v>
      </c>
      <c r="DJ12">
        <v>0.14834150473276775</v>
      </c>
      <c r="DK12" t="e">
        <v>#VALUE!</v>
      </c>
      <c r="DL12">
        <v>11652187432.764458</v>
      </c>
      <c r="DM12">
        <v>0.12979881664117177</v>
      </c>
      <c r="DN12">
        <v>279000000</v>
      </c>
      <c r="DO12">
        <v>0.18542688091595969</v>
      </c>
      <c r="DP12" t="e">
        <v>#VALUE!</v>
      </c>
      <c r="DQ12">
        <v>806400500</v>
      </c>
      <c r="DR12" s="28">
        <v>2712</v>
      </c>
      <c r="DS12">
        <v>-0.28836352762254652</v>
      </c>
      <c r="DT12">
        <v>5.6056164185466191</v>
      </c>
      <c r="DU12">
        <v>0.6</v>
      </c>
      <c r="DV12">
        <v>0.6</v>
      </c>
      <c r="DW12">
        <v>1.2</v>
      </c>
      <c r="DX12" t="e">
        <v>#VALUE!</v>
      </c>
      <c r="DY12" t="e">
        <v>#VALUE!</v>
      </c>
      <c r="DZ12" t="e">
        <v>#VALUE!</v>
      </c>
      <c r="EA12">
        <v>816</v>
      </c>
      <c r="EB12" t="e">
        <v>#VALUE!</v>
      </c>
      <c r="EC12" s="29" t="e">
        <v>#VALUE!</v>
      </c>
      <c r="ED12" t="e">
        <v>#VALUE!</v>
      </c>
      <c r="EE12" t="e">
        <v>#VALUE!</v>
      </c>
      <c r="EF12">
        <v>16.04261</v>
      </c>
      <c r="EG12">
        <v>16.04261</v>
      </c>
      <c r="EH12" t="e">
        <v>#VALUE!</v>
      </c>
      <c r="EI12" s="30" t="s">
        <v>808</v>
      </c>
      <c r="EJ12" s="31" t="e">
        <v>#VALUE!</v>
      </c>
      <c r="EK12" s="31">
        <v>1</v>
      </c>
      <c r="EL12" s="31">
        <v>44876</v>
      </c>
      <c r="EM12" s="31">
        <v>0</v>
      </c>
      <c r="EN12" s="31">
        <v>0</v>
      </c>
      <c r="EO12" s="31">
        <v>0</v>
      </c>
      <c r="EP12" s="31">
        <v>0</v>
      </c>
      <c r="EQ12" s="31">
        <v>0</v>
      </c>
    </row>
  </sheetData>
  <phoneticPr fontId="1" type="noConversion"/>
  <hyperlinks>
    <hyperlink ref="A2" r:id="rId1"/>
  </hyperlinks>
  <pageMargins left="0.7" right="0.7" top="0.75" bottom="0.75" header="0.3" footer="0.3"/>
  <pageSetup paperSize="9" orientation="portrait" horizontalDpi="0"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Q31"/>
  <sheetViews>
    <sheetView workbookViewId="0">
      <selection sqref="A1:XFD1048576"/>
    </sheetView>
  </sheetViews>
  <sheetFormatPr defaultRowHeight="14"/>
  <cols>
    <col min="1" max="1" width="16.08984375" style="20" customWidth="1"/>
    <col min="2" max="2" width="34.81640625" customWidth="1"/>
    <col min="3" max="3" width="36.08984375" customWidth="1"/>
    <col min="4" max="4" width="44.90625" customWidth="1"/>
    <col min="13" max="13" width="12.81640625" customWidth="1"/>
    <col min="24" max="24" width="10.54296875" customWidth="1"/>
  </cols>
  <sheetData>
    <row r="1" spans="1:147" s="14" customFormat="1">
      <c r="A1" s="15" t="s">
        <v>47</v>
      </c>
      <c r="B1" s="18" t="s">
        <v>117</v>
      </c>
      <c r="C1" s="19" t="s">
        <v>118</v>
      </c>
      <c r="D1" s="18" t="s">
        <v>119</v>
      </c>
      <c r="E1" t="s">
        <v>2</v>
      </c>
      <c r="F1" t="s">
        <v>3</v>
      </c>
      <c r="G1" t="s">
        <v>0</v>
      </c>
      <c r="H1" t="s">
        <v>90</v>
      </c>
      <c r="I1" t="s">
        <v>120</v>
      </c>
      <c r="J1" t="s">
        <v>4</v>
      </c>
      <c r="K1" t="s">
        <v>5</v>
      </c>
      <c r="L1" t="s">
        <v>1</v>
      </c>
      <c r="M1" t="s">
        <v>6</v>
      </c>
      <c r="N1" t="s">
        <v>7</v>
      </c>
      <c r="O1" t="s">
        <v>8</v>
      </c>
      <c r="P1" t="s">
        <v>9</v>
      </c>
      <c r="Q1" t="s">
        <v>121</v>
      </c>
      <c r="R1" t="s">
        <v>91</v>
      </c>
      <c r="S1" t="s">
        <v>122</v>
      </c>
      <c r="T1" t="s">
        <v>10</v>
      </c>
      <c r="U1" t="s">
        <v>92</v>
      </c>
      <c r="V1" t="s">
        <v>93</v>
      </c>
      <c r="W1" t="s">
        <v>11</v>
      </c>
      <c r="X1" t="s">
        <v>69</v>
      </c>
      <c r="Y1" t="s">
        <v>70</v>
      </c>
      <c r="Z1" t="s">
        <v>71</v>
      </c>
      <c r="AA1" t="s">
        <v>72</v>
      </c>
      <c r="AB1" t="s">
        <v>73</v>
      </c>
      <c r="AC1" t="s">
        <v>94</v>
      </c>
      <c r="AD1" t="s">
        <v>74</v>
      </c>
      <c r="AE1" t="s">
        <v>123</v>
      </c>
      <c r="AF1" t="s">
        <v>12</v>
      </c>
      <c r="AG1" t="s">
        <v>13</v>
      </c>
      <c r="AH1" t="s">
        <v>95</v>
      </c>
      <c r="AI1" t="s">
        <v>124</v>
      </c>
      <c r="AJ1" t="s">
        <v>96</v>
      </c>
      <c r="AK1" t="s">
        <v>14</v>
      </c>
      <c r="AL1" t="s">
        <v>97</v>
      </c>
      <c r="AM1" t="s">
        <v>48</v>
      </c>
      <c r="AN1" t="s">
        <v>98</v>
      </c>
      <c r="AO1" t="s">
        <v>99</v>
      </c>
      <c r="AP1" t="s">
        <v>100</v>
      </c>
      <c r="AQ1" t="s">
        <v>101</v>
      </c>
      <c r="AR1" t="s">
        <v>102</v>
      </c>
      <c r="AS1" t="s">
        <v>103</v>
      </c>
      <c r="AT1" t="s">
        <v>104</v>
      </c>
      <c r="AU1" t="s">
        <v>105</v>
      </c>
      <c r="AV1" t="s">
        <v>106</v>
      </c>
      <c r="AW1" t="s">
        <v>107</v>
      </c>
      <c r="AX1" t="s">
        <v>108</v>
      </c>
      <c r="AY1" t="s">
        <v>125</v>
      </c>
      <c r="AZ1" t="s">
        <v>49</v>
      </c>
      <c r="BA1" t="s">
        <v>50</v>
      </c>
      <c r="BB1" t="s">
        <v>51</v>
      </c>
      <c r="BC1" t="s">
        <v>52</v>
      </c>
      <c r="BD1" t="s">
        <v>58</v>
      </c>
      <c r="BE1" t="s">
        <v>53</v>
      </c>
      <c r="BF1" t="s">
        <v>54</v>
      </c>
      <c r="BG1" t="s">
        <v>55</v>
      </c>
      <c r="BH1" t="s">
        <v>56</v>
      </c>
      <c r="BI1" t="s">
        <v>126</v>
      </c>
      <c r="BJ1" t="s">
        <v>109</v>
      </c>
      <c r="BK1" t="s">
        <v>57</v>
      </c>
      <c r="BL1" t="s">
        <v>110</v>
      </c>
      <c r="BM1" t="s">
        <v>111</v>
      </c>
      <c r="BN1" t="s">
        <v>112</v>
      </c>
      <c r="BO1" t="s">
        <v>113</v>
      </c>
      <c r="BP1" t="s">
        <v>59</v>
      </c>
      <c r="BQ1" t="s">
        <v>60</v>
      </c>
      <c r="BR1" t="s">
        <v>61</v>
      </c>
      <c r="BS1" t="s">
        <v>114</v>
      </c>
      <c r="BT1" t="s">
        <v>62</v>
      </c>
      <c r="BU1" t="s">
        <v>63</v>
      </c>
      <c r="BV1" t="s">
        <v>64</v>
      </c>
      <c r="BW1" t="s">
        <v>115</v>
      </c>
      <c r="BX1" t="s">
        <v>65</v>
      </c>
      <c r="BY1" t="s">
        <v>66</v>
      </c>
      <c r="BZ1" t="s">
        <v>116</v>
      </c>
      <c r="CA1" t="s">
        <v>67</v>
      </c>
      <c r="CB1" t="s">
        <v>68</v>
      </c>
      <c r="CC1" t="s">
        <v>127</v>
      </c>
      <c r="CD1" t="s">
        <v>128</v>
      </c>
      <c r="CE1" t="s">
        <v>129</v>
      </c>
      <c r="CF1" t="s">
        <v>130</v>
      </c>
      <c r="CG1" s="1" t="s">
        <v>75</v>
      </c>
      <c r="CH1" s="1" t="s">
        <v>76</v>
      </c>
      <c r="CI1" s="1" t="s">
        <v>77</v>
      </c>
      <c r="CJ1" s="1" t="s">
        <v>78</v>
      </c>
      <c r="CK1" s="1" t="s">
        <v>79</v>
      </c>
      <c r="CL1" s="1" t="s">
        <v>80</v>
      </c>
      <c r="CM1" s="1" t="s">
        <v>81</v>
      </c>
      <c r="CN1" s="1" t="s">
        <v>82</v>
      </c>
      <c r="CO1" s="1" t="s">
        <v>83</v>
      </c>
      <c r="CP1" s="1" t="s">
        <v>84</v>
      </c>
      <c r="CQ1" s="1" t="s">
        <v>85</v>
      </c>
      <c r="CR1" s="1" t="s">
        <v>86</v>
      </c>
      <c r="CS1" s="1" t="s">
        <v>131</v>
      </c>
      <c r="CT1" s="1" t="s">
        <v>132</v>
      </c>
      <c r="CU1" s="1" t="s">
        <v>133</v>
      </c>
      <c r="CV1" s="1" t="s">
        <v>134</v>
      </c>
      <c r="CW1" s="1" t="s">
        <v>135</v>
      </c>
      <c r="CX1" s="1" t="s">
        <v>136</v>
      </c>
      <c r="CY1">
        <v>1</v>
      </c>
      <c r="CZ1" t="s">
        <v>137</v>
      </c>
      <c r="DA1" t="s">
        <v>138</v>
      </c>
      <c r="DB1">
        <v>3</v>
      </c>
      <c r="DC1" t="s">
        <v>139</v>
      </c>
      <c r="DD1" t="s">
        <v>140</v>
      </c>
      <c r="DE1">
        <v>6</v>
      </c>
      <c r="DF1" t="s">
        <v>141</v>
      </c>
      <c r="DG1" t="s">
        <v>142</v>
      </c>
      <c r="DH1">
        <v>10</v>
      </c>
      <c r="DI1" t="s">
        <v>143</v>
      </c>
      <c r="DJ1" t="s">
        <v>144</v>
      </c>
      <c r="DK1">
        <v>20</v>
      </c>
      <c r="DL1" t="s">
        <v>145</v>
      </c>
      <c r="DM1" t="s">
        <v>87</v>
      </c>
      <c r="DN1" t="s">
        <v>88</v>
      </c>
      <c r="DO1" s="2" t="s">
        <v>89</v>
      </c>
      <c r="DP1" t="s">
        <v>146</v>
      </c>
      <c r="DQ1" t="s">
        <v>147</v>
      </c>
      <c r="DR1" s="1" t="s">
        <v>148</v>
      </c>
      <c r="DS1" s="1" t="s">
        <v>149</v>
      </c>
      <c r="DT1" s="1" t="s">
        <v>150</v>
      </c>
      <c r="DU1" t="s">
        <v>151</v>
      </c>
      <c r="DV1" t="s">
        <v>152</v>
      </c>
      <c r="DW1" t="s">
        <v>153</v>
      </c>
      <c r="DX1" t="s">
        <v>154</v>
      </c>
      <c r="DY1" t="s">
        <v>155</v>
      </c>
      <c r="DZ1" t="s">
        <v>156</v>
      </c>
      <c r="EA1" t="s">
        <v>157</v>
      </c>
      <c r="EB1" t="s">
        <v>158</v>
      </c>
      <c r="EC1" t="s">
        <v>159</v>
      </c>
      <c r="ED1" t="s">
        <v>160</v>
      </c>
      <c r="EE1" t="s">
        <v>161</v>
      </c>
      <c r="EF1" t="s">
        <v>162</v>
      </c>
      <c r="EG1" t="s">
        <v>163</v>
      </c>
      <c r="EH1" t="s">
        <v>164</v>
      </c>
      <c r="EI1" t="s">
        <v>165</v>
      </c>
      <c r="EJ1" t="s">
        <v>166</v>
      </c>
      <c r="EK1"/>
    </row>
    <row r="2" spans="1:147" s="14" customFormat="1" ht="71.5" customHeight="1">
      <c r="A2" s="21"/>
      <c r="B2" s="22"/>
      <c r="C2" s="23">
        <v>3</v>
      </c>
      <c r="D2" s="23">
        <v>31</v>
      </c>
      <c r="T2" s="16"/>
      <c r="U2" s="16"/>
      <c r="V2" s="16"/>
      <c r="AB2" s="17"/>
    </row>
    <row r="3" spans="1:147" ht="84">
      <c r="B3" s="24"/>
      <c r="C3" s="24"/>
      <c r="D3" s="24" t="s">
        <v>849</v>
      </c>
      <c r="E3" t="s">
        <v>365</v>
      </c>
      <c r="F3" t="s">
        <v>366</v>
      </c>
      <c r="G3">
        <v>97.86</v>
      </c>
      <c r="H3">
        <v>8.66</v>
      </c>
      <c r="I3" t="s">
        <v>367</v>
      </c>
      <c r="J3">
        <v>59611610000</v>
      </c>
      <c r="K3">
        <v>23.45</v>
      </c>
      <c r="L3">
        <v>3.87</v>
      </c>
      <c r="M3" t="s">
        <v>338</v>
      </c>
      <c r="N3" t="s">
        <v>809</v>
      </c>
      <c r="O3" t="s">
        <v>810</v>
      </c>
      <c r="P3" t="s">
        <v>811</v>
      </c>
      <c r="Q3">
        <v>12.96</v>
      </c>
      <c r="R3" t="s">
        <v>812</v>
      </c>
      <c r="S3">
        <v>1990468400</v>
      </c>
      <c r="T3" s="25">
        <v>-5.8200000000000002E-2</v>
      </c>
      <c r="U3" t="s">
        <v>813</v>
      </c>
      <c r="V3">
        <v>609151950</v>
      </c>
      <c r="W3">
        <v>609151950</v>
      </c>
      <c r="X3">
        <v>1.81</v>
      </c>
      <c r="Y3">
        <v>0.63</v>
      </c>
      <c r="Z3">
        <v>12.22</v>
      </c>
      <c r="AA3" t="s">
        <v>814</v>
      </c>
      <c r="AB3" t="s">
        <v>815</v>
      </c>
      <c r="AC3" t="s">
        <v>816</v>
      </c>
      <c r="AD3" t="s">
        <v>817</v>
      </c>
      <c r="AE3" t="s">
        <v>743</v>
      </c>
      <c r="AF3">
        <v>-210434100</v>
      </c>
      <c r="AG3" t="s">
        <v>818</v>
      </c>
      <c r="AH3" t="s">
        <v>819</v>
      </c>
      <c r="AI3" t="s">
        <v>820</v>
      </c>
      <c r="AJ3" t="s">
        <v>821</v>
      </c>
      <c r="AK3" t="s">
        <v>822</v>
      </c>
      <c r="AL3" t="s">
        <v>183</v>
      </c>
      <c r="AM3" t="s">
        <v>823</v>
      </c>
      <c r="AN3" t="s">
        <v>170</v>
      </c>
      <c r="AO3" t="s">
        <v>262</v>
      </c>
      <c r="AP3" t="s">
        <v>824</v>
      </c>
      <c r="AQ3" t="s">
        <v>825</v>
      </c>
      <c r="AR3" t="s">
        <v>190</v>
      </c>
      <c r="AS3" t="s">
        <v>826</v>
      </c>
      <c r="AT3" t="s">
        <v>827</v>
      </c>
      <c r="AU3" t="s">
        <v>323</v>
      </c>
      <c r="AV3" t="s">
        <v>828</v>
      </c>
      <c r="AW3" t="s">
        <v>829</v>
      </c>
      <c r="AX3" t="s">
        <v>830</v>
      </c>
      <c r="AY3" t="s">
        <v>831</v>
      </c>
      <c r="AZ3" t="s">
        <v>832</v>
      </c>
      <c r="BA3" t="s">
        <v>833</v>
      </c>
      <c r="BB3" t="s">
        <v>834</v>
      </c>
      <c r="BC3" t="s">
        <v>835</v>
      </c>
      <c r="BD3" t="s">
        <v>836</v>
      </c>
      <c r="BE3" t="s">
        <v>837</v>
      </c>
      <c r="BF3" t="s">
        <v>838</v>
      </c>
      <c r="BG3" t="s">
        <v>839</v>
      </c>
      <c r="BH3" t="s">
        <v>840</v>
      </c>
      <c r="BI3" t="s">
        <v>841</v>
      </c>
      <c r="BJ3" t="s">
        <v>842</v>
      </c>
      <c r="BK3" t="s">
        <v>843</v>
      </c>
      <c r="BL3" t="s">
        <v>844</v>
      </c>
      <c r="BM3" t="s">
        <v>845</v>
      </c>
      <c r="BN3" t="s">
        <v>846</v>
      </c>
      <c r="BO3">
        <v>9.1999999999999993</v>
      </c>
      <c r="BP3">
        <v>1.29</v>
      </c>
      <c r="BQ3">
        <v>15.54</v>
      </c>
      <c r="BR3">
        <v>19.09</v>
      </c>
      <c r="BS3">
        <v>1.74</v>
      </c>
      <c r="BT3">
        <v>19.260000000000002</v>
      </c>
      <c r="BU3">
        <v>21.66</v>
      </c>
      <c r="BV3" t="s">
        <v>847</v>
      </c>
      <c r="BW3">
        <v>31.29</v>
      </c>
      <c r="BX3">
        <v>35.01</v>
      </c>
      <c r="BY3">
        <v>35.840000000000003</v>
      </c>
      <c r="BZ3">
        <v>10.49</v>
      </c>
      <c r="CA3">
        <v>13.99</v>
      </c>
      <c r="CB3">
        <v>13.59</v>
      </c>
      <c r="CC3">
        <v>8.84</v>
      </c>
      <c r="CD3">
        <v>-19.079999999999998</v>
      </c>
      <c r="CE3" t="s">
        <v>848</v>
      </c>
      <c r="CF3" t="s">
        <v>177</v>
      </c>
      <c r="CG3" s="26">
        <v>6.0256530151563688E-2</v>
      </c>
      <c r="CH3" s="27">
        <v>-0.11674078110808356</v>
      </c>
      <c r="CI3" s="26">
        <v>0.38683852553367615</v>
      </c>
      <c r="CJ3" s="26">
        <v>8.9189395308494568E-2</v>
      </c>
      <c r="CK3" s="26">
        <v>0.17586232721805573</v>
      </c>
      <c r="CL3" s="26">
        <v>0.18527291715145111</v>
      </c>
      <c r="CM3" s="26">
        <v>0.36108773946762085</v>
      </c>
      <c r="CN3" s="27">
        <v>0.29229268431663513</v>
      </c>
      <c r="CO3" s="27">
        <v>0.12180532515048981</v>
      </c>
      <c r="CP3" s="27">
        <v>0.16984736919403076</v>
      </c>
      <c r="CQ3" s="27">
        <v>0.20923076570034027</v>
      </c>
      <c r="CR3" s="27">
        <v>0.3684210479259491</v>
      </c>
      <c r="CS3">
        <v>2.9161339399276001</v>
      </c>
      <c r="CT3">
        <v>72038994.748687178</v>
      </c>
      <c r="CU3">
        <v>13.934466000000002</v>
      </c>
      <c r="CV3" s="26">
        <v>0.23965018093585969</v>
      </c>
      <c r="CW3" s="27">
        <v>0.23231943845748901</v>
      </c>
      <c r="CX3">
        <v>0.06</v>
      </c>
      <c r="CY3">
        <v>18.160541175852465</v>
      </c>
      <c r="CZ3">
        <v>3117837153.1839638</v>
      </c>
      <c r="DA3">
        <v>0.23965018093585969</v>
      </c>
      <c r="DB3">
        <v>5.2400420481911949</v>
      </c>
      <c r="DC3">
        <v>10805564054.499365</v>
      </c>
      <c r="DD3">
        <v>0.2276676718890667</v>
      </c>
      <c r="DE3">
        <v>2.1652831256470693</v>
      </c>
      <c r="DF3">
        <v>26149748884.723473</v>
      </c>
      <c r="DG3">
        <v>0.21089215922355653</v>
      </c>
      <c r="DH3">
        <v>1.054498935861901</v>
      </c>
      <c r="DI3">
        <v>53695274669.689438</v>
      </c>
      <c r="DJ3">
        <v>0.19172014474868776</v>
      </c>
      <c r="DK3">
        <v>0.33032178320587174</v>
      </c>
      <c r="DL3">
        <v>171413490961.66269</v>
      </c>
      <c r="DM3">
        <v>0.16775512665510178</v>
      </c>
      <c r="DN3">
        <v>2666000000</v>
      </c>
      <c r="DO3">
        <v>0.23965018093585969</v>
      </c>
      <c r="DP3">
        <v>56621610000</v>
      </c>
      <c r="DQ3">
        <v>3439073000</v>
      </c>
      <c r="DR3">
        <v>4185</v>
      </c>
      <c r="DS3">
        <v>-0.179393650784296</v>
      </c>
      <c r="DT3">
        <v>-0.34906021956557254</v>
      </c>
      <c r="DU3" s="28">
        <v>0.6</v>
      </c>
      <c r="DV3">
        <v>0</v>
      </c>
      <c r="DW3">
        <v>0.6</v>
      </c>
      <c r="DX3">
        <v>7.3166189111747855</v>
      </c>
      <c r="DY3">
        <v>0.71734411764705674</v>
      </c>
      <c r="DZ3">
        <v>7.0498181232091692</v>
      </c>
      <c r="EA3">
        <v>1513</v>
      </c>
      <c r="EB3">
        <v>7.0343756277337599</v>
      </c>
      <c r="EC3">
        <v>7</v>
      </c>
      <c r="ED3">
        <v>2.6346628292004976E-2</v>
      </c>
      <c r="EE3">
        <v>0.16744590573829732</v>
      </c>
      <c r="EF3" s="29">
        <v>-2.0354100000000002</v>
      </c>
      <c r="EG3">
        <v>-2.0512000000000001</v>
      </c>
      <c r="EH3">
        <v>56.157344117647057</v>
      </c>
      <c r="EI3" t="s">
        <v>304</v>
      </c>
      <c r="EJ3">
        <v>1</v>
      </c>
      <c r="EK3">
        <v>0</v>
      </c>
      <c r="EL3" s="30">
        <v>44876</v>
      </c>
      <c r="EM3" s="31">
        <v>0.99</v>
      </c>
      <c r="EN3" s="31">
        <v>-1.26</v>
      </c>
      <c r="EO3" s="31">
        <v>1.38</v>
      </c>
      <c r="EP3" s="31">
        <v>-0.92</v>
      </c>
      <c r="EQ3" s="31">
        <v>8.66</v>
      </c>
    </row>
    <row r="4" spans="1:147" ht="84">
      <c r="B4" s="24"/>
      <c r="C4" s="24"/>
      <c r="D4" s="24" t="s">
        <v>889</v>
      </c>
      <c r="E4" t="s">
        <v>368</v>
      </c>
      <c r="F4" t="s">
        <v>369</v>
      </c>
      <c r="G4">
        <v>34.880000000000003</v>
      </c>
      <c r="H4">
        <v>8.8000000000000007</v>
      </c>
      <c r="I4" t="s">
        <v>370</v>
      </c>
      <c r="J4">
        <v>28667576000</v>
      </c>
      <c r="K4">
        <v>15.67</v>
      </c>
      <c r="L4">
        <v>3.37</v>
      </c>
      <c r="M4" t="s">
        <v>338</v>
      </c>
      <c r="N4" t="s">
        <v>850</v>
      </c>
      <c r="O4" t="s">
        <v>851</v>
      </c>
      <c r="P4" t="s">
        <v>852</v>
      </c>
      <c r="Q4">
        <v>4.0599999999999996</v>
      </c>
      <c r="R4" t="s">
        <v>853</v>
      </c>
      <c r="S4">
        <v>1403102200</v>
      </c>
      <c r="T4" s="25">
        <v>0.13350000000000001</v>
      </c>
      <c r="U4" t="s">
        <v>854</v>
      </c>
      <c r="V4">
        <v>821891520</v>
      </c>
      <c r="W4">
        <v>821891520</v>
      </c>
      <c r="X4">
        <v>1.72</v>
      </c>
      <c r="Y4">
        <v>0.88</v>
      </c>
      <c r="Z4">
        <v>10.48</v>
      </c>
      <c r="AA4" t="s">
        <v>855</v>
      </c>
      <c r="AB4" t="s">
        <v>856</v>
      </c>
      <c r="AC4" t="s">
        <v>857</v>
      </c>
      <c r="AD4" t="s">
        <v>858</v>
      </c>
      <c r="AE4" t="s">
        <v>859</v>
      </c>
      <c r="AF4">
        <v>-188451820</v>
      </c>
      <c r="AG4" t="s">
        <v>860</v>
      </c>
      <c r="AH4" t="s">
        <v>256</v>
      </c>
      <c r="AI4" t="s">
        <v>861</v>
      </c>
      <c r="AJ4" t="s">
        <v>862</v>
      </c>
      <c r="AK4" t="s">
        <v>863</v>
      </c>
      <c r="AL4" t="s">
        <v>864</v>
      </c>
      <c r="AM4" t="s">
        <v>865</v>
      </c>
      <c r="AN4" t="s">
        <v>170</v>
      </c>
      <c r="AO4" t="s">
        <v>866</v>
      </c>
      <c r="AP4" t="s">
        <v>254</v>
      </c>
      <c r="AQ4" t="s">
        <v>867</v>
      </c>
      <c r="AR4" t="s">
        <v>868</v>
      </c>
      <c r="AS4" t="s">
        <v>170</v>
      </c>
      <c r="AT4" t="s">
        <v>869</v>
      </c>
      <c r="AU4" t="s">
        <v>170</v>
      </c>
      <c r="AV4" t="s">
        <v>870</v>
      </c>
      <c r="AW4" t="s">
        <v>871</v>
      </c>
      <c r="AX4" t="s">
        <v>872</v>
      </c>
      <c r="AY4" t="s">
        <v>873</v>
      </c>
      <c r="AZ4" t="s">
        <v>874</v>
      </c>
      <c r="BA4" t="s">
        <v>875</v>
      </c>
      <c r="BB4" t="s">
        <v>876</v>
      </c>
      <c r="BC4" t="s">
        <v>877</v>
      </c>
      <c r="BD4" t="s">
        <v>878</v>
      </c>
      <c r="BE4" t="s">
        <v>879</v>
      </c>
      <c r="BF4" t="s">
        <v>880</v>
      </c>
      <c r="BG4" t="s">
        <v>282</v>
      </c>
      <c r="BH4" t="s">
        <v>881</v>
      </c>
      <c r="BI4" t="s">
        <v>882</v>
      </c>
      <c r="BJ4" t="s">
        <v>883</v>
      </c>
      <c r="BK4" t="s">
        <v>884</v>
      </c>
      <c r="BL4" t="s">
        <v>885</v>
      </c>
      <c r="BM4" t="s">
        <v>886</v>
      </c>
      <c r="BN4" t="s">
        <v>887</v>
      </c>
      <c r="BO4">
        <v>11.97</v>
      </c>
      <c r="BP4">
        <v>3.78</v>
      </c>
      <c r="BQ4">
        <v>9.6999999999999993</v>
      </c>
      <c r="BR4">
        <v>15.83</v>
      </c>
      <c r="BS4">
        <v>5.39</v>
      </c>
      <c r="BT4">
        <v>13.76</v>
      </c>
      <c r="BU4">
        <v>21.98</v>
      </c>
      <c r="BV4" t="s">
        <v>847</v>
      </c>
      <c r="BW4">
        <v>28.96</v>
      </c>
      <c r="BX4">
        <v>35.21</v>
      </c>
      <c r="BY4">
        <v>34.86</v>
      </c>
      <c r="BZ4">
        <v>10.220000000000001</v>
      </c>
      <c r="CA4">
        <v>6.84</v>
      </c>
      <c r="CB4">
        <v>11</v>
      </c>
      <c r="CC4">
        <v>6.18</v>
      </c>
      <c r="CD4">
        <v>-9.24</v>
      </c>
      <c r="CE4" t="s">
        <v>888</v>
      </c>
      <c r="CF4" t="s">
        <v>273</v>
      </c>
      <c r="CG4" s="26">
        <v>-8.8878095603762725E-2</v>
      </c>
      <c r="CH4" s="27">
        <v>9.8931759656652365E-2</v>
      </c>
      <c r="CI4" s="26">
        <v>0.44812884926795959</v>
      </c>
      <c r="CJ4" s="26">
        <v>0.14169828593730927</v>
      </c>
      <c r="CK4" s="26">
        <v>0.20955079793930054</v>
      </c>
      <c r="CL4" s="26">
        <v>0.37614402174949646</v>
      </c>
      <c r="CM4" s="26">
        <v>0.38998961448669434</v>
      </c>
      <c r="CN4" s="27">
        <v>0.9692307710647583</v>
      </c>
      <c r="CO4" s="27">
        <v>-0.27217912673950195</v>
      </c>
      <c r="CP4" s="27">
        <v>0.17391297221183777</v>
      </c>
      <c r="CQ4" s="27">
        <v>0.20316301286220551</v>
      </c>
      <c r="CR4" s="27">
        <v>0.42956522107124329</v>
      </c>
      <c r="CS4">
        <v>1.5629471159088431</v>
      </c>
      <c r="CT4">
        <v>76990328.125</v>
      </c>
      <c r="CU4">
        <v>15.862528000000001</v>
      </c>
      <c r="CV4" s="26">
        <v>0.31310231387615206</v>
      </c>
      <c r="CW4" s="27">
        <v>0.30073857009410859</v>
      </c>
      <c r="CX4">
        <v>0.06</v>
      </c>
      <c r="CY4">
        <v>12.686792682397416</v>
      </c>
      <c r="CZ4">
        <v>2061322877.6319969</v>
      </c>
      <c r="DA4">
        <v>0.31310231387615206</v>
      </c>
      <c r="DB4">
        <v>3.4495391688937875</v>
      </c>
      <c r="DC4">
        <v>7581179606.778141</v>
      </c>
      <c r="DD4">
        <v>0.29744719818234444</v>
      </c>
      <c r="DE4">
        <v>1.304287030886351</v>
      </c>
      <c r="DF4">
        <v>20050476145.751629</v>
      </c>
      <c r="DG4">
        <v>0.2755300362110138</v>
      </c>
      <c r="DH4">
        <v>0.56722180824266699</v>
      </c>
      <c r="DI4">
        <v>46104673022.042763</v>
      </c>
      <c r="DJ4">
        <v>0.25048185110092164</v>
      </c>
      <c r="DK4">
        <v>0.13312728858992343</v>
      </c>
      <c r="DL4">
        <v>196440386317.45593</v>
      </c>
      <c r="DM4">
        <v>0.21917161971330643</v>
      </c>
      <c r="DN4">
        <v>1664000000</v>
      </c>
      <c r="DO4">
        <v>0.31310231387615206</v>
      </c>
      <c r="DP4">
        <v>26151576000</v>
      </c>
      <c r="DQ4">
        <v>1537945800</v>
      </c>
      <c r="DR4">
        <v>4175</v>
      </c>
      <c r="DS4">
        <v>-0.40198040947991476</v>
      </c>
      <c r="DT4">
        <v>-0.20180681043745624</v>
      </c>
      <c r="DU4" s="28">
        <v>0.6</v>
      </c>
      <c r="DV4">
        <v>0.6</v>
      </c>
      <c r="DW4">
        <v>1.2</v>
      </c>
      <c r="DX4">
        <v>7.4007782101167319</v>
      </c>
      <c r="DY4">
        <v>1.3973718487395013</v>
      </c>
      <c r="DZ4">
        <v>7.0630712078605757</v>
      </c>
      <c r="EA4">
        <v>1489</v>
      </c>
      <c r="EB4">
        <v>7.0438306775380193</v>
      </c>
      <c r="EC4">
        <v>7</v>
      </c>
      <c r="ED4">
        <v>4.5571099212703886E-2</v>
      </c>
      <c r="EE4">
        <v>0.28957592846316266</v>
      </c>
      <c r="EF4" s="29">
        <v>-3.0015000000000001</v>
      </c>
      <c r="EG4">
        <v>-3.0895000000000001</v>
      </c>
      <c r="EH4">
        <v>124.1573718487395</v>
      </c>
      <c r="EI4" t="s">
        <v>492</v>
      </c>
      <c r="EJ4">
        <v>1</v>
      </c>
      <c r="EK4">
        <v>1</v>
      </c>
      <c r="EL4" s="30">
        <v>44876</v>
      </c>
      <c r="EM4" s="31">
        <v>0.61</v>
      </c>
      <c r="EN4" s="31">
        <v>-1.66</v>
      </c>
      <c r="EO4" s="31">
        <v>0.31</v>
      </c>
      <c r="EP4" s="31">
        <v>-1.66</v>
      </c>
      <c r="EQ4" s="31">
        <v>8.8000000000000007</v>
      </c>
    </row>
    <row r="5" spans="1:147" ht="84">
      <c r="B5" s="24"/>
      <c r="C5" s="24"/>
      <c r="D5" s="24" t="s">
        <v>929</v>
      </c>
      <c r="E5" t="s">
        <v>371</v>
      </c>
      <c r="F5" t="s">
        <v>372</v>
      </c>
      <c r="G5">
        <v>16.420000000000002</v>
      </c>
      <c r="H5">
        <v>9.98</v>
      </c>
      <c r="I5" t="s">
        <v>373</v>
      </c>
      <c r="J5">
        <v>14981116000</v>
      </c>
      <c r="K5">
        <v>194.1</v>
      </c>
      <c r="L5">
        <v>2.5499999999999998</v>
      </c>
      <c r="M5" t="s">
        <v>338</v>
      </c>
      <c r="N5" t="s">
        <v>890</v>
      </c>
      <c r="O5" t="s">
        <v>891</v>
      </c>
      <c r="P5" t="s">
        <v>892</v>
      </c>
      <c r="Q5">
        <v>9.5299999999999994</v>
      </c>
      <c r="R5" t="s">
        <v>893</v>
      </c>
      <c r="S5">
        <v>803458590</v>
      </c>
      <c r="T5" s="25">
        <v>-5.3499999999999999E-2</v>
      </c>
      <c r="U5" t="s">
        <v>288</v>
      </c>
      <c r="V5">
        <v>638779340</v>
      </c>
      <c r="W5">
        <v>912370040</v>
      </c>
      <c r="X5">
        <v>2.06</v>
      </c>
      <c r="Y5">
        <v>0.63</v>
      </c>
      <c r="Z5">
        <v>10.32</v>
      </c>
      <c r="AA5" t="s">
        <v>894</v>
      </c>
      <c r="AB5" t="s">
        <v>895</v>
      </c>
      <c r="AC5" t="s">
        <v>896</v>
      </c>
      <c r="AD5" t="s">
        <v>897</v>
      </c>
      <c r="AE5" t="s">
        <v>290</v>
      </c>
      <c r="AF5">
        <v>53708541</v>
      </c>
      <c r="AG5" t="s">
        <v>898</v>
      </c>
      <c r="AH5" t="s">
        <v>899</v>
      </c>
      <c r="AI5" t="s">
        <v>900</v>
      </c>
      <c r="AJ5" t="s">
        <v>901</v>
      </c>
      <c r="AK5" t="s">
        <v>902</v>
      </c>
      <c r="AL5" t="s">
        <v>903</v>
      </c>
      <c r="AM5" t="s">
        <v>904</v>
      </c>
      <c r="AN5" t="s">
        <v>170</v>
      </c>
      <c r="AO5" t="s">
        <v>905</v>
      </c>
      <c r="AP5" t="s">
        <v>906</v>
      </c>
      <c r="AQ5" t="s">
        <v>299</v>
      </c>
      <c r="AR5" t="s">
        <v>310</v>
      </c>
      <c r="AS5" t="s">
        <v>170</v>
      </c>
      <c r="AT5" t="s">
        <v>907</v>
      </c>
      <c r="AU5" t="s">
        <v>908</v>
      </c>
      <c r="AV5" t="s">
        <v>909</v>
      </c>
      <c r="AW5" t="s">
        <v>910</v>
      </c>
      <c r="AX5" t="s">
        <v>911</v>
      </c>
      <c r="AY5" t="s">
        <v>912</v>
      </c>
      <c r="AZ5" t="s">
        <v>913</v>
      </c>
      <c r="BA5" t="s">
        <v>914</v>
      </c>
      <c r="BB5" t="s">
        <v>915</v>
      </c>
      <c r="BC5" t="s">
        <v>916</v>
      </c>
      <c r="BD5" t="s">
        <v>917</v>
      </c>
      <c r="BE5" t="s">
        <v>918</v>
      </c>
      <c r="BF5" t="s">
        <v>919</v>
      </c>
      <c r="BG5" t="s">
        <v>584</v>
      </c>
      <c r="BH5" t="s">
        <v>920</v>
      </c>
      <c r="BI5" t="s">
        <v>921</v>
      </c>
      <c r="BJ5" t="s">
        <v>922</v>
      </c>
      <c r="BK5" t="s">
        <v>923</v>
      </c>
      <c r="BL5" t="s">
        <v>249</v>
      </c>
      <c r="BM5" t="s">
        <v>924</v>
      </c>
      <c r="BN5" t="s">
        <v>925</v>
      </c>
      <c r="BO5">
        <v>8.52</v>
      </c>
      <c r="BP5">
        <v>1.22</v>
      </c>
      <c r="BQ5">
        <v>16.760000000000002</v>
      </c>
      <c r="BR5">
        <v>18.75</v>
      </c>
      <c r="BS5">
        <v>2.0099999999999998</v>
      </c>
      <c r="BT5">
        <v>20.92</v>
      </c>
      <c r="BU5">
        <v>21.34</v>
      </c>
      <c r="BV5" t="s">
        <v>847</v>
      </c>
      <c r="BW5">
        <v>31.97</v>
      </c>
      <c r="BX5">
        <v>36.56</v>
      </c>
      <c r="BY5">
        <v>37.33</v>
      </c>
      <c r="BZ5">
        <v>8.86</v>
      </c>
      <c r="CA5">
        <v>14.65</v>
      </c>
      <c r="CB5">
        <v>14.24</v>
      </c>
      <c r="CC5">
        <v>10.42</v>
      </c>
      <c r="CD5">
        <v>-1.56</v>
      </c>
      <c r="CE5" t="s">
        <v>926</v>
      </c>
      <c r="CF5" t="s">
        <v>927</v>
      </c>
      <c r="CG5" s="26">
        <v>7.0934578804347823E-2</v>
      </c>
      <c r="CH5" s="27">
        <v>-2.8638734491315137E-2</v>
      </c>
      <c r="CI5" s="26">
        <v>0.24589969217777252</v>
      </c>
      <c r="CJ5" s="26">
        <v>8.6781136691570282E-2</v>
      </c>
      <c r="CK5" s="26">
        <v>5.1292579621076584E-2</v>
      </c>
      <c r="CL5" s="26">
        <v>0.18665803968906403</v>
      </c>
      <c r="CM5" s="26">
        <v>0.36004418134689331</v>
      </c>
      <c r="CN5" s="27">
        <v>-0.8968120813369751</v>
      </c>
      <c r="CO5" s="27">
        <v>0.10677815228700638</v>
      </c>
      <c r="CP5" s="27">
        <v>0.12304477393627167</v>
      </c>
      <c r="CQ5" s="27">
        <v>5.7331863790750504E-2</v>
      </c>
      <c r="CR5" s="27">
        <v>0.36596384644508362</v>
      </c>
      <c r="CS5">
        <v>1.4395230133563948</v>
      </c>
      <c r="CT5">
        <v>610713300.81300819</v>
      </c>
      <c r="CU5">
        <v>13.393296000000001</v>
      </c>
      <c r="CV5" s="26">
        <v>0.18613512590527534</v>
      </c>
      <c r="CW5" s="27">
        <v>-4.8738688975572583E-2</v>
      </c>
      <c r="CX5">
        <v>0.06</v>
      </c>
      <c r="CY5">
        <v>111.35217258761151</v>
      </c>
      <c r="CZ5">
        <v>137636434.42108384</v>
      </c>
      <c r="DA5">
        <v>0.18613512590527534</v>
      </c>
      <c r="DB5">
        <v>33.574545965807147</v>
      </c>
      <c r="DC5">
        <v>456480216.16162318</v>
      </c>
      <c r="DD5">
        <v>0.17682836961001155</v>
      </c>
      <c r="DE5">
        <v>14.786343274749036</v>
      </c>
      <c r="DF5">
        <v>1036504814.9648159</v>
      </c>
      <c r="DG5">
        <v>0.1637989107966423</v>
      </c>
      <c r="DH5">
        <v>7.7907879796502186</v>
      </c>
      <c r="DI5">
        <v>1967209997.2470427</v>
      </c>
      <c r="DJ5">
        <v>0.14890810072422028</v>
      </c>
      <c r="DK5">
        <v>2.9670743781442415</v>
      </c>
      <c r="DL5">
        <v>5165396632.0809689</v>
      </c>
      <c r="DM5">
        <v>0.13029458813369274</v>
      </c>
      <c r="DN5">
        <v>123000000</v>
      </c>
      <c r="DO5">
        <v>0.18613512590527534</v>
      </c>
      <c r="DP5">
        <v>15326116000</v>
      </c>
      <c r="DQ5">
        <v>560710100</v>
      </c>
      <c r="DR5">
        <v>1064</v>
      </c>
      <c r="DS5">
        <v>-0.11520054710092752</v>
      </c>
      <c r="DT5">
        <v>2.0099954484257446E-2</v>
      </c>
      <c r="DU5" s="28">
        <v>0.6</v>
      </c>
      <c r="DV5">
        <v>0</v>
      </c>
      <c r="DW5">
        <v>0.6</v>
      </c>
      <c r="DX5">
        <v>5.1497120921305184</v>
      </c>
      <c r="DY5">
        <v>1.4816401606425678</v>
      </c>
      <c r="DZ5">
        <v>5.0256966075434173</v>
      </c>
      <c r="EA5">
        <v>3140</v>
      </c>
      <c r="EB5">
        <v>5.0091657024652916</v>
      </c>
      <c r="EC5">
        <v>5</v>
      </c>
      <c r="ED5">
        <v>9.3686548497361882E-2</v>
      </c>
      <c r="EE5">
        <v>0.54583116297856527</v>
      </c>
      <c r="EF5" s="29">
        <v>-4.0401999999999996</v>
      </c>
      <c r="EG5">
        <v>-4.1399999999999997</v>
      </c>
      <c r="EH5">
        <v>131.17164016064257</v>
      </c>
      <c r="EI5" t="s">
        <v>928</v>
      </c>
      <c r="EJ5">
        <v>1</v>
      </c>
      <c r="EK5">
        <v>0</v>
      </c>
      <c r="EL5" s="30">
        <v>44876</v>
      </c>
      <c r="EM5" s="31">
        <v>0.61</v>
      </c>
      <c r="EN5" s="31">
        <v>-0.8</v>
      </c>
      <c r="EO5" s="31">
        <v>1.55</v>
      </c>
      <c r="EP5" s="31">
        <v>-0.93</v>
      </c>
      <c r="EQ5" s="31">
        <v>9.98</v>
      </c>
    </row>
    <row r="6" spans="1:147" ht="84">
      <c r="B6" s="24"/>
      <c r="C6" s="24"/>
      <c r="D6" s="24" t="s">
        <v>956</v>
      </c>
      <c r="E6" t="s">
        <v>374</v>
      </c>
      <c r="F6" t="s">
        <v>375</v>
      </c>
      <c r="G6">
        <v>34.65</v>
      </c>
      <c r="H6">
        <v>4.05</v>
      </c>
      <c r="I6" t="s">
        <v>376</v>
      </c>
      <c r="J6">
        <v>13860347000</v>
      </c>
      <c r="K6">
        <v>19.84</v>
      </c>
      <c r="L6">
        <v>3.4</v>
      </c>
      <c r="M6" t="s">
        <v>338</v>
      </c>
      <c r="N6" t="s">
        <v>930</v>
      </c>
      <c r="O6" t="s">
        <v>931</v>
      </c>
      <c r="P6" t="s">
        <v>932</v>
      </c>
      <c r="Q6">
        <v>-2.77</v>
      </c>
      <c r="R6" t="s">
        <v>250</v>
      </c>
      <c r="S6">
        <v>425267010</v>
      </c>
      <c r="T6" s="25">
        <v>2.9700000000000001E-2</v>
      </c>
      <c r="U6" t="s">
        <v>933</v>
      </c>
      <c r="V6">
        <v>40010000</v>
      </c>
      <c r="W6">
        <v>400010000</v>
      </c>
      <c r="X6">
        <v>1.34</v>
      </c>
      <c r="Y6">
        <v>0.83</v>
      </c>
      <c r="Z6">
        <v>10.24</v>
      </c>
      <c r="AA6" t="s">
        <v>934</v>
      </c>
      <c r="AB6" t="s">
        <v>278</v>
      </c>
      <c r="AC6" t="s">
        <v>935</v>
      </c>
      <c r="AD6" t="s">
        <v>273</v>
      </c>
      <c r="AE6" t="s">
        <v>936</v>
      </c>
      <c r="AF6">
        <v>-6424928</v>
      </c>
      <c r="AG6" t="s">
        <v>937</v>
      </c>
      <c r="AH6" t="s">
        <v>938</v>
      </c>
      <c r="AI6" t="s">
        <v>939</v>
      </c>
      <c r="AJ6" t="s">
        <v>940</v>
      </c>
      <c r="AK6" t="s">
        <v>941</v>
      </c>
      <c r="AL6" t="s">
        <v>170</v>
      </c>
      <c r="AM6" t="s">
        <v>942</v>
      </c>
      <c r="AN6" t="s">
        <v>170</v>
      </c>
      <c r="AO6" t="s">
        <v>181</v>
      </c>
      <c r="AP6" t="s">
        <v>170</v>
      </c>
      <c r="AQ6" t="s">
        <v>170</v>
      </c>
      <c r="AR6" t="s">
        <v>208</v>
      </c>
      <c r="AS6" t="s">
        <v>170</v>
      </c>
      <c r="AT6" t="s">
        <v>943</v>
      </c>
      <c r="AU6" t="s">
        <v>170</v>
      </c>
      <c r="AV6" t="s">
        <v>944</v>
      </c>
      <c r="AW6" t="s">
        <v>945</v>
      </c>
      <c r="AX6" t="s">
        <v>946</v>
      </c>
      <c r="AY6" t="s">
        <v>947</v>
      </c>
      <c r="AZ6" t="s">
        <v>948</v>
      </c>
      <c r="BA6" t="s">
        <v>949</v>
      </c>
      <c r="BB6" t="s">
        <v>170</v>
      </c>
      <c r="BC6" t="s">
        <v>170</v>
      </c>
      <c r="BD6" t="s">
        <v>320</v>
      </c>
      <c r="BE6" t="s">
        <v>280</v>
      </c>
      <c r="BF6" t="s">
        <v>728</v>
      </c>
      <c r="BG6" t="s">
        <v>170</v>
      </c>
      <c r="BH6" t="s">
        <v>170</v>
      </c>
      <c r="BI6" t="s">
        <v>950</v>
      </c>
      <c r="BJ6" t="s">
        <v>951</v>
      </c>
      <c r="BK6" t="s">
        <v>952</v>
      </c>
      <c r="BL6" t="s">
        <v>223</v>
      </c>
      <c r="BM6" t="s">
        <v>953</v>
      </c>
      <c r="BN6" t="s">
        <v>331</v>
      </c>
      <c r="BO6">
        <v>11.19</v>
      </c>
      <c r="BP6">
        <v>4.18</v>
      </c>
      <c r="BQ6">
        <v>32.53</v>
      </c>
      <c r="BR6">
        <v>28.51</v>
      </c>
      <c r="BS6">
        <v>4.72</v>
      </c>
      <c r="BT6" t="s">
        <v>170</v>
      </c>
      <c r="BU6" t="s">
        <v>170</v>
      </c>
      <c r="BV6" t="s">
        <v>847</v>
      </c>
      <c r="BW6">
        <v>46.05</v>
      </c>
      <c r="BX6">
        <v>49.28</v>
      </c>
      <c r="BY6">
        <v>53.49</v>
      </c>
      <c r="BZ6">
        <v>11.15</v>
      </c>
      <c r="CA6">
        <v>12.05</v>
      </c>
      <c r="CB6">
        <v>8.6199999999999992</v>
      </c>
      <c r="CC6">
        <v>4.68</v>
      </c>
      <c r="CD6">
        <v>-9.81</v>
      </c>
      <c r="CE6" t="s">
        <v>954</v>
      </c>
      <c r="CF6" t="s">
        <v>955</v>
      </c>
      <c r="CG6" s="26">
        <v>-4.2060902255639097E-2</v>
      </c>
      <c r="CH6" s="27">
        <v>0.35939091954022989</v>
      </c>
      <c r="CI6" s="26">
        <v>0.45575028657913208</v>
      </c>
      <c r="CJ6" s="26">
        <v>0.15277056396007538</v>
      </c>
      <c r="CK6" s="26">
        <v>0.2114177793264389</v>
      </c>
      <c r="CL6" s="26" t="e">
        <v>#VALUE!</v>
      </c>
      <c r="CM6" s="26" t="e">
        <v>#VALUE!</v>
      </c>
      <c r="CN6" s="27">
        <v>0.27985075116157532</v>
      </c>
      <c r="CO6" s="27">
        <v>0.60960960388183594</v>
      </c>
      <c r="CP6" s="27">
        <v>0.54166668653488159</v>
      </c>
      <c r="CQ6" s="27" t="e">
        <v>#VALUE!</v>
      </c>
      <c r="CR6" s="27" t="e">
        <v>#VALUE!</v>
      </c>
      <c r="CS6">
        <v>2.1386124054929794</v>
      </c>
      <c r="CT6">
        <v>60336300.29154519</v>
      </c>
      <c r="CU6">
        <v>11.388928000000002</v>
      </c>
      <c r="CV6" s="26">
        <v>0.27331287662188214</v>
      </c>
      <c r="CW6" s="27">
        <v>0.47704234719276428</v>
      </c>
      <c r="CX6">
        <v>0.06</v>
      </c>
      <c r="CY6">
        <v>13.566351183045054</v>
      </c>
      <c r="CZ6">
        <v>824049654.11567092</v>
      </c>
      <c r="DA6">
        <v>0.27331287662188214</v>
      </c>
      <c r="DB6">
        <v>3.8087702726515693</v>
      </c>
      <c r="DC6">
        <v>2935159172.0487838</v>
      </c>
      <c r="DD6">
        <v>0.259647232790788</v>
      </c>
      <c r="DE6">
        <v>1.511329629834576</v>
      </c>
      <c r="DF6">
        <v>7397027610.2001953</v>
      </c>
      <c r="DG6">
        <v>0.24051533142725628</v>
      </c>
      <c r="DH6">
        <v>0.69926736207482654</v>
      </c>
      <c r="DI6">
        <v>15987228356.875223</v>
      </c>
      <c r="DJ6">
        <v>0.21865030129750573</v>
      </c>
      <c r="DK6">
        <v>0.19236654325690319</v>
      </c>
      <c r="DL6">
        <v>58114819815.991165</v>
      </c>
      <c r="DM6">
        <v>0.19131901363531748</v>
      </c>
      <c r="DN6">
        <v>686000000</v>
      </c>
      <c r="DO6">
        <v>0.27331287662188214</v>
      </c>
      <c r="DP6">
        <v>11179347000</v>
      </c>
      <c r="DQ6">
        <v>1668111200</v>
      </c>
      <c r="DR6">
        <v>495</v>
      </c>
      <c r="DS6">
        <v>-0.31537377887752122</v>
      </c>
      <c r="DT6">
        <v>-0.11765142765253439</v>
      </c>
      <c r="DU6" s="28">
        <v>0</v>
      </c>
      <c r="DV6">
        <v>0.44</v>
      </c>
      <c r="DW6">
        <v>0.44</v>
      </c>
      <c r="DX6">
        <v>6.3229813664596275</v>
      </c>
      <c r="DY6">
        <v>0.89035915311866742</v>
      </c>
      <c r="DZ6">
        <v>6.0550228320631696</v>
      </c>
      <c r="EA6">
        <v>660</v>
      </c>
      <c r="EB6">
        <v>6.0475827441382171</v>
      </c>
      <c r="EC6">
        <v>6</v>
      </c>
      <c r="ED6">
        <v>1.4905627359316017E-2</v>
      </c>
      <c r="EE6">
        <v>8.7495312617184573E-2</v>
      </c>
      <c r="EF6" s="29">
        <v>6.1410000000000006E-2</v>
      </c>
      <c r="EG6">
        <v>2.0910000000000002E-2</v>
      </c>
      <c r="EH6">
        <v>72.170359153118667</v>
      </c>
      <c r="EI6">
        <v>-1</v>
      </c>
      <c r="EJ6">
        <v>0</v>
      </c>
      <c r="EK6">
        <v>1</v>
      </c>
      <c r="EL6" s="30">
        <v>44876</v>
      </c>
      <c r="EM6" s="31">
        <v>0.88</v>
      </c>
      <c r="EN6" s="31">
        <v>-1.17</v>
      </c>
      <c r="EO6" s="31">
        <v>1.42</v>
      </c>
      <c r="EP6" s="31">
        <v>-0.51</v>
      </c>
      <c r="EQ6" s="31">
        <v>4.05</v>
      </c>
    </row>
    <row r="7" spans="1:147" ht="84">
      <c r="B7" s="24"/>
      <c r="C7" s="24"/>
      <c r="D7" s="24" t="s">
        <v>991</v>
      </c>
      <c r="E7" t="s">
        <v>377</v>
      </c>
      <c r="F7" t="s">
        <v>378</v>
      </c>
      <c r="G7">
        <v>28.2</v>
      </c>
      <c r="H7">
        <v>7.92</v>
      </c>
      <c r="I7" t="s">
        <v>379</v>
      </c>
      <c r="J7">
        <v>10925181600</v>
      </c>
      <c r="K7">
        <v>19.03</v>
      </c>
      <c r="L7">
        <v>3</v>
      </c>
      <c r="M7" t="s">
        <v>338</v>
      </c>
      <c r="N7" t="s">
        <v>957</v>
      </c>
      <c r="O7" t="s">
        <v>958</v>
      </c>
      <c r="P7" t="s">
        <v>959</v>
      </c>
      <c r="Q7">
        <v>13.85</v>
      </c>
      <c r="R7" t="s">
        <v>960</v>
      </c>
      <c r="S7">
        <v>388977210</v>
      </c>
      <c r="T7" s="25">
        <v>4.07E-2</v>
      </c>
      <c r="U7" t="s">
        <v>961</v>
      </c>
      <c r="V7">
        <v>387417790</v>
      </c>
      <c r="W7">
        <v>387417790</v>
      </c>
      <c r="X7">
        <v>2.2999999999999998</v>
      </c>
      <c r="Y7">
        <v>0.67</v>
      </c>
      <c r="Z7">
        <v>7.16</v>
      </c>
      <c r="AA7" t="s">
        <v>962</v>
      </c>
      <c r="AB7" t="s">
        <v>963</v>
      </c>
      <c r="AC7" t="s">
        <v>964</v>
      </c>
      <c r="AD7" t="s">
        <v>965</v>
      </c>
      <c r="AE7" t="s">
        <v>966</v>
      </c>
      <c r="AF7">
        <v>27433956</v>
      </c>
      <c r="AG7" t="s">
        <v>967</v>
      </c>
      <c r="AH7" t="s">
        <v>968</v>
      </c>
      <c r="AI7" t="s">
        <v>969</v>
      </c>
      <c r="AJ7" t="s">
        <v>970</v>
      </c>
      <c r="AK7" t="s">
        <v>971</v>
      </c>
      <c r="AL7" t="s">
        <v>972</v>
      </c>
      <c r="AM7" t="s">
        <v>973</v>
      </c>
      <c r="AN7" t="s">
        <v>170</v>
      </c>
      <c r="AO7" t="s">
        <v>270</v>
      </c>
      <c r="AP7" t="s">
        <v>203</v>
      </c>
      <c r="AQ7" t="s">
        <v>974</v>
      </c>
      <c r="AR7" t="s">
        <v>571</v>
      </c>
      <c r="AS7" t="s">
        <v>170</v>
      </c>
      <c r="AT7" t="s">
        <v>975</v>
      </c>
      <c r="AU7" t="s">
        <v>706</v>
      </c>
      <c r="AV7" t="s">
        <v>976</v>
      </c>
      <c r="AW7" t="s">
        <v>977</v>
      </c>
      <c r="AX7" t="s">
        <v>978</v>
      </c>
      <c r="AY7" t="s">
        <v>979</v>
      </c>
      <c r="AZ7" t="s">
        <v>980</v>
      </c>
      <c r="BA7" t="s">
        <v>981</v>
      </c>
      <c r="BB7" t="s">
        <v>982</v>
      </c>
      <c r="BC7" t="s">
        <v>983</v>
      </c>
      <c r="BD7" t="s">
        <v>984</v>
      </c>
      <c r="BE7" t="s">
        <v>985</v>
      </c>
      <c r="BF7" t="s">
        <v>986</v>
      </c>
      <c r="BG7" t="s">
        <v>804</v>
      </c>
      <c r="BH7" t="s">
        <v>281</v>
      </c>
      <c r="BI7" t="s">
        <v>987</v>
      </c>
      <c r="BJ7" t="s">
        <v>988</v>
      </c>
      <c r="BK7" t="s">
        <v>989</v>
      </c>
      <c r="BL7" t="s">
        <v>267</v>
      </c>
      <c r="BM7" t="s">
        <v>292</v>
      </c>
      <c r="BN7" t="s">
        <v>266</v>
      </c>
      <c r="BO7">
        <v>6.15</v>
      </c>
      <c r="BP7">
        <v>0.88</v>
      </c>
      <c r="BQ7">
        <v>6.03</v>
      </c>
      <c r="BR7">
        <v>8.31</v>
      </c>
      <c r="BS7">
        <v>1.67</v>
      </c>
      <c r="BT7">
        <v>10.199999999999999</v>
      </c>
      <c r="BU7">
        <v>15.39</v>
      </c>
      <c r="BV7" t="s">
        <v>847</v>
      </c>
      <c r="BW7">
        <v>33.89</v>
      </c>
      <c r="BX7">
        <v>33.76</v>
      </c>
      <c r="BY7">
        <v>34.75</v>
      </c>
      <c r="BZ7">
        <v>6.49</v>
      </c>
      <c r="CA7">
        <v>6.24</v>
      </c>
      <c r="CB7">
        <v>8.4700000000000006</v>
      </c>
      <c r="CC7">
        <v>7.55</v>
      </c>
      <c r="CD7">
        <v>-8.2899999999999991</v>
      </c>
      <c r="CE7" t="s">
        <v>990</v>
      </c>
      <c r="CF7" t="s">
        <v>244</v>
      </c>
      <c r="CG7" s="26">
        <v>0.10281503099173554</v>
      </c>
      <c r="CH7" s="27">
        <v>8.3187243589743609E-2</v>
      </c>
      <c r="CI7" s="26">
        <v>0.38218036293983459</v>
      </c>
      <c r="CJ7" s="26">
        <v>0.15438307821750641</v>
      </c>
      <c r="CK7" s="26">
        <v>0.15673236548900604</v>
      </c>
      <c r="CL7" s="26">
        <v>0.32130530476570129</v>
      </c>
      <c r="CM7" s="26">
        <v>0.43752825260162354</v>
      </c>
      <c r="CN7" s="27">
        <v>0.78594249486923218</v>
      </c>
      <c r="CO7" s="27">
        <v>-0.1763157844543457</v>
      </c>
      <c r="CP7" s="27">
        <v>1.8675799369812012</v>
      </c>
      <c r="CQ7" s="27">
        <v>-2.5422534942626953</v>
      </c>
      <c r="CR7" s="27">
        <v>0.39215686917304993</v>
      </c>
      <c r="CS7">
        <v>1.4057104477611941</v>
      </c>
      <c r="CT7">
        <v>65329338.103756711</v>
      </c>
      <c r="CU7">
        <v>11.03356</v>
      </c>
      <c r="CV7" s="26">
        <v>0.29042587280273435</v>
      </c>
      <c r="CW7" s="27">
        <v>6.5422004461288458E-2</v>
      </c>
      <c r="CX7">
        <v>0.06</v>
      </c>
      <c r="CY7">
        <v>17.729433478538287</v>
      </c>
      <c r="CZ7">
        <v>680517040.46861184</v>
      </c>
      <c r="DA7">
        <v>0.29042587280273435</v>
      </c>
      <c r="DB7">
        <v>4.9092485246664079</v>
      </c>
      <c r="DC7">
        <v>2457643270.5288334</v>
      </c>
      <c r="DD7">
        <v>0.27590457916259764</v>
      </c>
      <c r="DE7">
        <v>1.9080585929915677</v>
      </c>
      <c r="DF7">
        <v>6323276258.0332985</v>
      </c>
      <c r="DG7">
        <v>0.25557476806640622</v>
      </c>
      <c r="DH7">
        <v>0.85976262338430975</v>
      </c>
      <c r="DI7">
        <v>14033154351.962242</v>
      </c>
      <c r="DJ7">
        <v>0.2323406982421875</v>
      </c>
      <c r="DK7">
        <v>0.22103972947163206</v>
      </c>
      <c r="DL7">
        <v>54583769301.746407</v>
      </c>
      <c r="DM7">
        <v>0.20329811096191402</v>
      </c>
      <c r="DN7">
        <v>559000000</v>
      </c>
      <c r="DO7">
        <v>0.29042587280273435</v>
      </c>
      <c r="DP7">
        <v>12065181600</v>
      </c>
      <c r="DQ7">
        <v>553340900</v>
      </c>
      <c r="DR7">
        <v>3738</v>
      </c>
      <c r="DS7">
        <v>-0.1876108418109988</v>
      </c>
      <c r="DT7">
        <v>1.7765239128455151E-2</v>
      </c>
      <c r="DU7" s="28">
        <v>0.6</v>
      </c>
      <c r="DV7">
        <v>0.44</v>
      </c>
      <c r="DW7">
        <v>1.04</v>
      </c>
      <c r="DX7">
        <v>7.4766414141414144</v>
      </c>
      <c r="DY7">
        <v>0.74152356321839419</v>
      </c>
      <c r="DZ7">
        <v>7.0626895771653313</v>
      </c>
      <c r="EA7">
        <v>2092</v>
      </c>
      <c r="EB7">
        <v>7.0358207807240545</v>
      </c>
      <c r="EC7">
        <v>7</v>
      </c>
      <c r="ED7">
        <v>5.9070854748306742E-2</v>
      </c>
      <c r="EE7">
        <v>0.44912754264588622</v>
      </c>
      <c r="EF7" s="29">
        <v>1.01301</v>
      </c>
      <c r="EG7">
        <v>1.0662</v>
      </c>
      <c r="EH7">
        <v>61.131523563218394</v>
      </c>
      <c r="EI7" t="s">
        <v>209</v>
      </c>
      <c r="EJ7">
        <v>1</v>
      </c>
      <c r="EK7">
        <v>0</v>
      </c>
      <c r="EL7" s="30">
        <v>44876</v>
      </c>
      <c r="EM7" s="31">
        <v>0.11</v>
      </c>
      <c r="EN7" s="31">
        <v>-0.84</v>
      </c>
      <c r="EO7" s="31">
        <v>3.73</v>
      </c>
      <c r="EP7" s="31">
        <v>-3.22</v>
      </c>
      <c r="EQ7" s="31">
        <v>7.92</v>
      </c>
    </row>
    <row r="8" spans="1:147" ht="84">
      <c r="B8" s="24"/>
      <c r="C8" s="24"/>
      <c r="D8" s="24" t="s">
        <v>1022</v>
      </c>
      <c r="E8" t="s">
        <v>380</v>
      </c>
      <c r="F8" t="s">
        <v>381</v>
      </c>
      <c r="G8">
        <v>24.63</v>
      </c>
      <c r="H8">
        <v>10</v>
      </c>
      <c r="I8" t="s">
        <v>382</v>
      </c>
      <c r="J8">
        <v>7680813700</v>
      </c>
      <c r="K8">
        <v>14.76</v>
      </c>
      <c r="L8">
        <v>2.91</v>
      </c>
      <c r="M8" t="s">
        <v>338</v>
      </c>
      <c r="N8" t="s">
        <v>992</v>
      </c>
      <c r="O8" t="s">
        <v>993</v>
      </c>
      <c r="P8" t="s">
        <v>994</v>
      </c>
      <c r="Q8">
        <v>5.86</v>
      </c>
      <c r="R8" t="s">
        <v>995</v>
      </c>
      <c r="S8">
        <v>314921360</v>
      </c>
      <c r="T8" s="25">
        <v>4.9500000000000002E-2</v>
      </c>
      <c r="U8" t="s">
        <v>241</v>
      </c>
      <c r="V8">
        <v>308610400</v>
      </c>
      <c r="W8">
        <v>311847900</v>
      </c>
      <c r="X8">
        <v>2.16</v>
      </c>
      <c r="Y8">
        <v>0.64</v>
      </c>
      <c r="Z8">
        <v>8.9499999999999993</v>
      </c>
      <c r="AA8" t="s">
        <v>305</v>
      </c>
      <c r="AB8" t="s">
        <v>996</v>
      </c>
      <c r="AC8" t="s">
        <v>997</v>
      </c>
      <c r="AD8" t="s">
        <v>564</v>
      </c>
      <c r="AE8" t="s">
        <v>306</v>
      </c>
      <c r="AF8">
        <v>-17496948</v>
      </c>
      <c r="AG8" t="s">
        <v>998</v>
      </c>
      <c r="AH8" t="s">
        <v>999</v>
      </c>
      <c r="AI8" t="s">
        <v>1000</v>
      </c>
      <c r="AJ8" t="s">
        <v>1001</v>
      </c>
      <c r="AK8" t="s">
        <v>1002</v>
      </c>
      <c r="AL8" t="s">
        <v>1003</v>
      </c>
      <c r="AM8" t="s">
        <v>1004</v>
      </c>
      <c r="AN8" t="s">
        <v>170</v>
      </c>
      <c r="AO8" t="s">
        <v>177</v>
      </c>
      <c r="AP8" t="s">
        <v>320</v>
      </c>
      <c r="AQ8" t="s">
        <v>235</v>
      </c>
      <c r="AR8" t="s">
        <v>1005</v>
      </c>
      <c r="AS8" t="s">
        <v>170</v>
      </c>
      <c r="AT8" t="s">
        <v>1006</v>
      </c>
      <c r="AU8" t="s">
        <v>1007</v>
      </c>
      <c r="AV8" t="s">
        <v>1008</v>
      </c>
      <c r="AW8" t="s">
        <v>527</v>
      </c>
      <c r="AX8" t="s">
        <v>1009</v>
      </c>
      <c r="AY8" t="s">
        <v>1010</v>
      </c>
      <c r="AZ8" t="s">
        <v>531</v>
      </c>
      <c r="BA8" t="s">
        <v>1011</v>
      </c>
      <c r="BB8" t="s">
        <v>1012</v>
      </c>
      <c r="BC8" t="s">
        <v>1013</v>
      </c>
      <c r="BD8" t="s">
        <v>1014</v>
      </c>
      <c r="BE8" t="s">
        <v>1015</v>
      </c>
      <c r="BF8" t="s">
        <v>680</v>
      </c>
      <c r="BG8" t="s">
        <v>1016</v>
      </c>
      <c r="BH8" t="s">
        <v>205</v>
      </c>
      <c r="BI8" t="s">
        <v>1017</v>
      </c>
      <c r="BJ8" t="s">
        <v>1018</v>
      </c>
      <c r="BK8" t="s">
        <v>302</v>
      </c>
      <c r="BL8" t="s">
        <v>167</v>
      </c>
      <c r="BM8" t="s">
        <v>1019</v>
      </c>
      <c r="BN8" t="s">
        <v>248</v>
      </c>
      <c r="BO8">
        <v>7.2</v>
      </c>
      <c r="BP8">
        <v>1.27</v>
      </c>
      <c r="BQ8">
        <v>15.45</v>
      </c>
      <c r="BR8">
        <v>16.260000000000002</v>
      </c>
      <c r="BS8">
        <v>1.96</v>
      </c>
      <c r="BT8">
        <v>19.170000000000002</v>
      </c>
      <c r="BU8">
        <v>17.59</v>
      </c>
      <c r="BV8" t="s">
        <v>847</v>
      </c>
      <c r="BW8">
        <v>36.26</v>
      </c>
      <c r="BX8">
        <v>38.07</v>
      </c>
      <c r="BY8">
        <v>38.53</v>
      </c>
      <c r="BZ8">
        <v>7.75</v>
      </c>
      <c r="CA8">
        <v>10.3</v>
      </c>
      <c r="CB8">
        <v>11.12</v>
      </c>
      <c r="CC8">
        <v>13.82</v>
      </c>
      <c r="CD8">
        <v>2.97</v>
      </c>
      <c r="CE8" t="s">
        <v>1020</v>
      </c>
      <c r="CF8" t="s">
        <v>1021</v>
      </c>
      <c r="CG8" s="26">
        <v>4.8063507779349021E-2</v>
      </c>
      <c r="CH8" s="27">
        <v>6.0279459459459457E-2</v>
      </c>
      <c r="CI8" s="26">
        <v>0.34192708134651184</v>
      </c>
      <c r="CJ8" s="26">
        <v>0.29642137885093689</v>
      </c>
      <c r="CK8" s="26">
        <v>0.21742703020572662</v>
      </c>
      <c r="CL8" s="26">
        <v>0.12795549631118774</v>
      </c>
      <c r="CM8" s="26">
        <v>0.37388530373573303</v>
      </c>
      <c r="CN8" s="27">
        <v>0.28101265430450439</v>
      </c>
      <c r="CO8" s="27">
        <v>0.20060789585113525</v>
      </c>
      <c r="CP8" s="27">
        <v>0.20512820780277252</v>
      </c>
      <c r="CQ8" s="27">
        <v>0.1666666716337204</v>
      </c>
      <c r="CR8" s="27">
        <v>0.31460675597190857</v>
      </c>
      <c r="CS8">
        <v>1.490551853289346</v>
      </c>
      <c r="CT8">
        <v>58679365.612648226</v>
      </c>
      <c r="CU8">
        <v>12.372479999999999</v>
      </c>
      <c r="CV8" s="26">
        <v>0.2715232580900192</v>
      </c>
      <c r="CW8" s="27">
        <v>0.23360443711280823</v>
      </c>
      <c r="CX8">
        <v>0.06</v>
      </c>
      <c r="CY8">
        <v>13.35285326020472</v>
      </c>
      <c r="CZ8">
        <v>606972423.20146191</v>
      </c>
      <c r="DA8">
        <v>0.2715232580900192</v>
      </c>
      <c r="DB8">
        <v>3.7542655155148754</v>
      </c>
      <c r="DC8">
        <v>2158828049.4562922</v>
      </c>
      <c r="DD8">
        <v>0.25794709518551823</v>
      </c>
      <c r="DE8">
        <v>1.4929271907799633</v>
      </c>
      <c r="DF8">
        <v>5428807077.8359461</v>
      </c>
      <c r="DG8">
        <v>0.2389404671192169</v>
      </c>
      <c r="DH8">
        <v>0.69265680334154656</v>
      </c>
      <c r="DI8">
        <v>11701052614.946375</v>
      </c>
      <c r="DJ8">
        <v>0.21721860647201538</v>
      </c>
      <c r="DK8">
        <v>0.19189000096525088</v>
      </c>
      <c r="DL8">
        <v>42236769290.900627</v>
      </c>
      <c r="DM8">
        <v>0.19006628066301343</v>
      </c>
      <c r="DN8">
        <v>505999999.99999994</v>
      </c>
      <c r="DO8">
        <v>0.2715232580900192</v>
      </c>
      <c r="DP8">
        <v>8104813700</v>
      </c>
      <c r="DQ8">
        <v>-82065800</v>
      </c>
      <c r="DR8">
        <v>4166</v>
      </c>
      <c r="DS8">
        <v>-0.22345975031067017</v>
      </c>
      <c r="DT8">
        <v>-0.17332497765334878</v>
      </c>
      <c r="DU8" s="28">
        <v>0.44</v>
      </c>
      <c r="DV8">
        <v>0.44</v>
      </c>
      <c r="DW8">
        <v>0.88</v>
      </c>
      <c r="DX8">
        <v>5.2149059334298116</v>
      </c>
      <c r="DY8">
        <v>0.80767224028272377</v>
      </c>
      <c r="DZ8">
        <v>5.0467790559797177</v>
      </c>
      <c r="EA8">
        <v>1196</v>
      </c>
      <c r="EB8">
        <v>5.035316701758914</v>
      </c>
      <c r="EC8">
        <v>5</v>
      </c>
      <c r="ED8">
        <v>5.0285732243186505E-2</v>
      </c>
      <c r="EE8">
        <v>0.23101582534305987</v>
      </c>
      <c r="EF8" s="29">
        <v>1.04711</v>
      </c>
      <c r="EG8">
        <v>1.0528999999999999</v>
      </c>
      <c r="EH8">
        <v>59.217672240282724</v>
      </c>
      <c r="EI8" t="s">
        <v>209</v>
      </c>
      <c r="EJ8">
        <v>1</v>
      </c>
      <c r="EK8">
        <v>1</v>
      </c>
      <c r="EL8" s="30">
        <v>44876</v>
      </c>
      <c r="EM8" s="31">
        <v>2.82</v>
      </c>
      <c r="EN8" s="31">
        <v>-1.53</v>
      </c>
      <c r="EO8" s="31">
        <v>3.42</v>
      </c>
      <c r="EP8" s="31">
        <v>-1.19</v>
      </c>
      <c r="EQ8" s="31">
        <v>10</v>
      </c>
    </row>
    <row r="9" spans="1:147" ht="84">
      <c r="B9" s="24"/>
      <c r="C9" s="24"/>
      <c r="D9" s="24" t="s">
        <v>1056</v>
      </c>
      <c r="E9" t="s">
        <v>383</v>
      </c>
      <c r="F9" t="s">
        <v>384</v>
      </c>
      <c r="G9">
        <v>3.49</v>
      </c>
      <c r="H9">
        <v>0.87</v>
      </c>
      <c r="I9" t="s">
        <v>385</v>
      </c>
      <c r="J9">
        <v>7593320400</v>
      </c>
      <c r="L9">
        <v>2.2799999999999998</v>
      </c>
      <c r="M9" t="s">
        <v>338</v>
      </c>
      <c r="N9" t="s">
        <v>1023</v>
      </c>
      <c r="O9" t="s">
        <v>1024</v>
      </c>
      <c r="P9" t="s">
        <v>1025</v>
      </c>
      <c r="Q9">
        <v>9.18</v>
      </c>
      <c r="R9" t="s">
        <v>1026</v>
      </c>
      <c r="S9">
        <v>144187260</v>
      </c>
      <c r="T9" s="25">
        <v>-0.58250000000000002</v>
      </c>
      <c r="U9" t="s">
        <v>1027</v>
      </c>
      <c r="V9">
        <v>1881461900</v>
      </c>
      <c r="W9">
        <v>2175736500</v>
      </c>
      <c r="X9">
        <v>2.2400000000000002</v>
      </c>
      <c r="Y9">
        <v>0.65</v>
      </c>
      <c r="Z9">
        <v>1.83</v>
      </c>
      <c r="AA9" t="s">
        <v>1028</v>
      </c>
      <c r="AB9" t="s">
        <v>293</v>
      </c>
      <c r="AC9" t="s">
        <v>1029</v>
      </c>
      <c r="AD9" t="s">
        <v>179</v>
      </c>
      <c r="AE9" t="s">
        <v>299</v>
      </c>
      <c r="AF9">
        <v>-136671130</v>
      </c>
      <c r="AG9" t="s">
        <v>1030</v>
      </c>
      <c r="AH9" t="s">
        <v>1031</v>
      </c>
      <c r="AI9" t="s">
        <v>1032</v>
      </c>
      <c r="AJ9" t="s">
        <v>1033</v>
      </c>
      <c r="AK9" t="s">
        <v>1034</v>
      </c>
      <c r="AL9" t="s">
        <v>170</v>
      </c>
      <c r="AM9" t="s">
        <v>1035</v>
      </c>
      <c r="AN9" t="s">
        <v>170</v>
      </c>
      <c r="AO9" t="s">
        <v>1036</v>
      </c>
      <c r="AP9" t="s">
        <v>1037</v>
      </c>
      <c r="AQ9" t="s">
        <v>1038</v>
      </c>
      <c r="AR9" t="s">
        <v>189</v>
      </c>
      <c r="AS9" t="s">
        <v>1039</v>
      </c>
      <c r="AT9" t="s">
        <v>1040</v>
      </c>
      <c r="AU9" t="s">
        <v>170</v>
      </c>
      <c r="AV9" t="s">
        <v>1041</v>
      </c>
      <c r="AW9" t="s">
        <v>1042</v>
      </c>
      <c r="AX9" t="s">
        <v>1043</v>
      </c>
      <c r="AY9" t="s">
        <v>1044</v>
      </c>
      <c r="AZ9" t="s">
        <v>1045</v>
      </c>
      <c r="BA9" t="s">
        <v>1046</v>
      </c>
      <c r="BB9" t="s">
        <v>1047</v>
      </c>
      <c r="BC9" t="s">
        <v>1048</v>
      </c>
      <c r="BD9" t="s">
        <v>698</v>
      </c>
      <c r="BE9" t="s">
        <v>198</v>
      </c>
      <c r="BF9" t="s">
        <v>1049</v>
      </c>
      <c r="BG9" t="s">
        <v>1050</v>
      </c>
      <c r="BH9" t="s">
        <v>1051</v>
      </c>
      <c r="BI9" t="s">
        <v>525</v>
      </c>
      <c r="BJ9" t="s">
        <v>1052</v>
      </c>
      <c r="BK9" t="s">
        <v>1053</v>
      </c>
      <c r="BL9" t="s">
        <v>786</v>
      </c>
      <c r="BM9" t="s">
        <v>1054</v>
      </c>
      <c r="BN9" t="s">
        <v>741</v>
      </c>
      <c r="BO9">
        <v>2.2000000000000002</v>
      </c>
      <c r="BP9">
        <v>1.83</v>
      </c>
      <c r="BQ9">
        <v>8.92</v>
      </c>
      <c r="BR9">
        <v>8.57</v>
      </c>
      <c r="BS9">
        <v>3.86</v>
      </c>
      <c r="BT9">
        <v>14.1</v>
      </c>
      <c r="BU9">
        <v>14.28</v>
      </c>
      <c r="BV9" t="s">
        <v>847</v>
      </c>
      <c r="BW9">
        <v>14.45</v>
      </c>
      <c r="BX9">
        <v>28.31</v>
      </c>
      <c r="BY9">
        <v>28.31</v>
      </c>
      <c r="BZ9">
        <v>4.8099999999999996</v>
      </c>
      <c r="CA9">
        <v>10.59</v>
      </c>
      <c r="CB9">
        <v>10.63</v>
      </c>
      <c r="CC9">
        <v>2.65</v>
      </c>
      <c r="CD9">
        <v>-9.59</v>
      </c>
      <c r="CE9" t="s">
        <v>215</v>
      </c>
      <c r="CF9" t="s">
        <v>1055</v>
      </c>
      <c r="CG9" s="26">
        <v>-0.2915032036613272</v>
      </c>
      <c r="CH9" s="27">
        <v>-0.19303309734513274</v>
      </c>
      <c r="CI9" s="26">
        <v>0.64500510692596436</v>
      </c>
      <c r="CJ9" s="26">
        <v>5.7630650699138641E-2</v>
      </c>
      <c r="CK9" s="26">
        <v>6.8171530961990356E-2</v>
      </c>
      <c r="CL9" s="26">
        <v>-3.3068809658288956E-2</v>
      </c>
      <c r="CM9" s="26">
        <v>0.19620253145694733</v>
      </c>
      <c r="CN9" s="27">
        <v>-0.76415091753005981</v>
      </c>
      <c r="CO9" s="27">
        <v>5.9999998658895493E-2</v>
      </c>
      <c r="CP9" s="27">
        <v>5.6296296119689941</v>
      </c>
      <c r="CQ9" s="27">
        <v>-2.3802516460418701</v>
      </c>
      <c r="CR9" s="27">
        <v>0.28381714224815369</v>
      </c>
      <c r="CS9">
        <v>0.93158145012881843</v>
      </c>
      <c r="CT9">
        <v>213091432</v>
      </c>
      <c r="CU9">
        <v>2.6644800000000006</v>
      </c>
      <c r="CV9" s="26">
        <v>0.18678820207715036</v>
      </c>
      <c r="CW9" s="27">
        <v>0.5658088378608227</v>
      </c>
      <c r="CX9">
        <v>0.06</v>
      </c>
      <c r="CY9">
        <v>60.10885250387971</v>
      </c>
      <c r="CZ9">
        <v>139951438.92419222</v>
      </c>
      <c r="DA9">
        <v>0.18678820207715036</v>
      </c>
      <c r="DB9">
        <v>18.114034041962942</v>
      </c>
      <c r="DC9">
        <v>464408998.04604715</v>
      </c>
      <c r="DD9">
        <v>0.17744879197329283</v>
      </c>
      <c r="DE9">
        <v>7.9713317158111154</v>
      </c>
      <c r="DF9">
        <v>1055321833.2783949</v>
      </c>
      <c r="DG9">
        <v>0.16437361782789231</v>
      </c>
      <c r="DH9">
        <v>4.1960829528737458</v>
      </c>
      <c r="DI9">
        <v>2004803168.688242</v>
      </c>
      <c r="DJ9">
        <v>0.14943056166172028</v>
      </c>
      <c r="DK9">
        <v>1.5943995622624747</v>
      </c>
      <c r="DL9">
        <v>5276168282.4741888</v>
      </c>
      <c r="DM9">
        <v>0.13075174145400525</v>
      </c>
      <c r="DN9">
        <v>125000000</v>
      </c>
      <c r="DO9">
        <v>0.18678820207715036</v>
      </c>
      <c r="DP9">
        <v>8412320400</v>
      </c>
      <c r="DQ9">
        <v>1835000000</v>
      </c>
      <c r="DR9">
        <v>983</v>
      </c>
      <c r="DS9">
        <v>-0.47829140573847756</v>
      </c>
      <c r="DT9">
        <v>-0.75884193520595544</v>
      </c>
      <c r="DU9" s="28">
        <v>0.44</v>
      </c>
      <c r="DV9">
        <v>-0.22</v>
      </c>
      <c r="DW9">
        <v>0.22</v>
      </c>
      <c r="DX9">
        <v>6.2165032679738559</v>
      </c>
      <c r="DY9">
        <v>0.34458149302800423</v>
      </c>
      <c r="DZ9">
        <v>6.0183121696506712</v>
      </c>
      <c r="EA9">
        <v>3710</v>
      </c>
      <c r="EB9">
        <v>6.004393269957168</v>
      </c>
      <c r="EC9">
        <v>6</v>
      </c>
      <c r="ED9">
        <v>8.8245980154306375E-2</v>
      </c>
      <c r="EE9">
        <v>1.0433248695326847</v>
      </c>
      <c r="EF9" s="29">
        <v>-1.0379100000000001</v>
      </c>
      <c r="EG9">
        <v>-1.02921</v>
      </c>
      <c r="EH9">
        <v>26.084581493028004</v>
      </c>
      <c r="EI9" t="s">
        <v>268</v>
      </c>
      <c r="EJ9">
        <v>0</v>
      </c>
      <c r="EK9">
        <v>0</v>
      </c>
      <c r="EL9" s="30">
        <v>44876</v>
      </c>
      <c r="EM9" s="31">
        <v>3.82</v>
      </c>
      <c r="EN9" s="31">
        <v>-0.85</v>
      </c>
      <c r="EO9" s="31">
        <v>-1.43</v>
      </c>
      <c r="EP9" s="31">
        <v>0.28999999999999998</v>
      </c>
      <c r="EQ9" s="31">
        <v>0.87</v>
      </c>
    </row>
    <row r="10" spans="1:147" ht="84">
      <c r="B10" s="24"/>
      <c r="C10" s="24"/>
      <c r="D10" s="24" t="s">
        <v>1092</v>
      </c>
      <c r="E10" t="s">
        <v>386</v>
      </c>
      <c r="F10" t="s">
        <v>387</v>
      </c>
      <c r="G10">
        <v>47.81</v>
      </c>
      <c r="H10">
        <v>8.39</v>
      </c>
      <c r="I10" t="s">
        <v>388</v>
      </c>
      <c r="J10">
        <v>6530138600</v>
      </c>
      <c r="L10">
        <v>3.82</v>
      </c>
      <c r="M10" t="s">
        <v>338</v>
      </c>
      <c r="N10" t="s">
        <v>1057</v>
      </c>
      <c r="O10" t="s">
        <v>1058</v>
      </c>
      <c r="P10" t="s">
        <v>1059</v>
      </c>
      <c r="Q10">
        <v>-3.26</v>
      </c>
      <c r="R10" t="s">
        <v>1060</v>
      </c>
      <c r="S10">
        <v>30914485</v>
      </c>
      <c r="T10" s="25">
        <v>-0.89370000000000005</v>
      </c>
      <c r="U10" t="s">
        <v>1061</v>
      </c>
      <c r="V10">
        <v>136585200</v>
      </c>
      <c r="W10">
        <v>136585200</v>
      </c>
      <c r="X10">
        <v>2.5499999999999998</v>
      </c>
      <c r="Y10">
        <v>0.48</v>
      </c>
      <c r="Z10">
        <v>1.1499999999999999</v>
      </c>
      <c r="AA10" t="s">
        <v>1062</v>
      </c>
      <c r="AB10" t="s">
        <v>1063</v>
      </c>
      <c r="AC10" t="s">
        <v>1064</v>
      </c>
      <c r="AD10" t="s">
        <v>1065</v>
      </c>
      <c r="AE10" t="s">
        <v>1066</v>
      </c>
      <c r="AF10">
        <v>6878153</v>
      </c>
      <c r="AG10" t="s">
        <v>1067</v>
      </c>
      <c r="AH10" t="s">
        <v>1068</v>
      </c>
      <c r="AI10" t="s">
        <v>1069</v>
      </c>
      <c r="AJ10" t="s">
        <v>1070</v>
      </c>
      <c r="AK10" t="s">
        <v>1071</v>
      </c>
      <c r="AL10" t="s">
        <v>1072</v>
      </c>
      <c r="AM10" t="s">
        <v>1073</v>
      </c>
      <c r="AN10" t="s">
        <v>170</v>
      </c>
      <c r="AO10" t="s">
        <v>1074</v>
      </c>
      <c r="AP10" t="s">
        <v>1075</v>
      </c>
      <c r="AQ10" t="s">
        <v>1076</v>
      </c>
      <c r="AR10" t="s">
        <v>316</v>
      </c>
      <c r="AS10" t="s">
        <v>170</v>
      </c>
      <c r="AT10" t="s">
        <v>1077</v>
      </c>
      <c r="AU10" t="s">
        <v>1078</v>
      </c>
      <c r="AV10" t="s">
        <v>1079</v>
      </c>
      <c r="AW10" t="s">
        <v>1080</v>
      </c>
      <c r="AX10" t="s">
        <v>1081</v>
      </c>
      <c r="AY10" t="s">
        <v>1082</v>
      </c>
      <c r="AZ10" t="s">
        <v>1083</v>
      </c>
      <c r="BA10" t="s">
        <v>1084</v>
      </c>
      <c r="BB10" t="s">
        <v>1085</v>
      </c>
      <c r="BC10" t="s">
        <v>1086</v>
      </c>
      <c r="BD10" t="s">
        <v>459</v>
      </c>
      <c r="BE10" t="s">
        <v>257</v>
      </c>
      <c r="BF10" t="s">
        <v>247</v>
      </c>
      <c r="BG10" t="s">
        <v>193</v>
      </c>
      <c r="BH10" t="s">
        <v>173</v>
      </c>
      <c r="BI10" t="s">
        <v>1087</v>
      </c>
      <c r="BJ10" t="s">
        <v>1088</v>
      </c>
      <c r="BK10" t="s">
        <v>1089</v>
      </c>
      <c r="BL10" t="s">
        <v>306</v>
      </c>
      <c r="BM10" t="s">
        <v>197</v>
      </c>
      <c r="BN10" t="s">
        <v>261</v>
      </c>
      <c r="BO10">
        <v>0.85</v>
      </c>
      <c r="BP10">
        <v>1.54</v>
      </c>
      <c r="BQ10">
        <v>17.88</v>
      </c>
      <c r="BR10">
        <v>15.19</v>
      </c>
      <c r="BS10">
        <v>2.96</v>
      </c>
      <c r="BT10">
        <v>28.72</v>
      </c>
      <c r="BU10">
        <v>21.76</v>
      </c>
      <c r="BV10" t="s">
        <v>847</v>
      </c>
      <c r="BW10">
        <v>28.68</v>
      </c>
      <c r="BX10">
        <v>32.200000000000003</v>
      </c>
      <c r="BY10">
        <v>32.22</v>
      </c>
      <c r="BZ10">
        <v>8.94</v>
      </c>
      <c r="CA10">
        <v>14.59</v>
      </c>
      <c r="CB10">
        <v>13.27</v>
      </c>
      <c r="CC10">
        <v>17.3</v>
      </c>
      <c r="CD10">
        <v>22.03</v>
      </c>
      <c r="CE10" t="s">
        <v>1090</v>
      </c>
      <c r="CF10" t="s">
        <v>1091</v>
      </c>
      <c r="CG10" s="26">
        <v>7.052587968217934E-2</v>
      </c>
      <c r="CH10" s="27">
        <v>-1.7551360964912281</v>
      </c>
      <c r="CI10" s="26">
        <v>4.8140749335289001E-2</v>
      </c>
      <c r="CJ10" s="26">
        <v>0.48593977093696594</v>
      </c>
      <c r="CK10" s="26">
        <v>0.57989084720611572</v>
      </c>
      <c r="CL10" s="26">
        <v>0.27029708027839661</v>
      </c>
      <c r="CM10" s="26">
        <v>0.31853786110877991</v>
      </c>
      <c r="CN10" s="27">
        <v>-0.39671361446380615</v>
      </c>
      <c r="CO10" s="27">
        <v>0.63218390941619873</v>
      </c>
      <c r="CP10" s="27">
        <v>0.70588237047195435</v>
      </c>
      <c r="CQ10" s="27">
        <v>0.10869564861059189</v>
      </c>
      <c r="CR10" s="27">
        <v>0.26605504751205444</v>
      </c>
      <c r="CS10">
        <v>2.0684632879315807</v>
      </c>
      <c r="CT10">
        <v>-15074000.000000002</v>
      </c>
      <c r="CU10">
        <v>1.4076</v>
      </c>
      <c r="CV10" s="26">
        <v>0.34056126177310941</v>
      </c>
      <c r="CW10" s="27">
        <v>0.26322067230939866</v>
      </c>
      <c r="CX10">
        <v>0.06</v>
      </c>
      <c r="CY10">
        <v>23.155719948742473</v>
      </c>
      <c r="CZ10">
        <v>325022871.9581973</v>
      </c>
      <c r="DA10">
        <v>0.34056126177310941</v>
      </c>
      <c r="DB10">
        <v>6.1595941917174359</v>
      </c>
      <c r="DC10">
        <v>1221856240.1594739</v>
      </c>
      <c r="DD10">
        <v>0.3235331986844539</v>
      </c>
      <c r="DE10">
        <v>2.2522827877722529</v>
      </c>
      <c r="DF10">
        <v>3341560234.2919607</v>
      </c>
      <c r="DG10">
        <v>0.29969391036033627</v>
      </c>
      <c r="DH10">
        <v>0.93780684246301083</v>
      </c>
      <c r="DI10">
        <v>8025254518.5463896</v>
      </c>
      <c r="DJ10">
        <v>0.27244900941848754</v>
      </c>
      <c r="DK10">
        <v>0.19674479362961025</v>
      </c>
      <c r="DL10">
        <v>38253305010.798058</v>
      </c>
      <c r="DM10">
        <v>0.23839288324117658</v>
      </c>
      <c r="DN10">
        <v>256999999.99999997</v>
      </c>
      <c r="DO10">
        <v>0.34056126177310941</v>
      </c>
      <c r="DP10">
        <v>7526138600</v>
      </c>
      <c r="DQ10">
        <v>891769000</v>
      </c>
      <c r="DR10">
        <v>3879</v>
      </c>
      <c r="DS10">
        <v>-0.27003538209093009</v>
      </c>
      <c r="DT10">
        <v>-2.018356768800627</v>
      </c>
      <c r="DU10" s="28">
        <v>0</v>
      </c>
      <c r="DV10">
        <v>-0.44</v>
      </c>
      <c r="DW10">
        <v>-0.44</v>
      </c>
      <c r="DX10">
        <v>9.7852927825692237</v>
      </c>
      <c r="DY10">
        <v>0.87538727653760218</v>
      </c>
      <c r="DZ10">
        <v>9.2084067128506835</v>
      </c>
      <c r="EA10">
        <v>2394</v>
      </c>
      <c r="EB10">
        <v>9.1061887922269307</v>
      </c>
      <c r="EC10">
        <v>9</v>
      </c>
      <c r="ED10">
        <v>7.7788076599807299E-2</v>
      </c>
      <c r="EE10">
        <v>0.29311155234974212</v>
      </c>
      <c r="EF10" s="29">
        <v>4.0381999999999998</v>
      </c>
      <c r="EG10">
        <v>4.1220999999999997</v>
      </c>
      <c r="EH10">
        <v>61.265387276537602</v>
      </c>
      <c r="EI10" t="s">
        <v>202</v>
      </c>
      <c r="EJ10">
        <v>1</v>
      </c>
      <c r="EK10">
        <v>0</v>
      </c>
      <c r="EL10" s="30">
        <v>44876</v>
      </c>
      <c r="EM10" s="31">
        <v>8.39</v>
      </c>
      <c r="EN10" s="31">
        <v>-3.58</v>
      </c>
      <c r="EO10" s="31">
        <v>1.03</v>
      </c>
      <c r="EP10" s="31">
        <v>2.4900000000000002</v>
      </c>
      <c r="EQ10" s="31">
        <v>8.39</v>
      </c>
    </row>
    <row r="11" spans="1:147" ht="84">
      <c r="D11" s="24" t="s">
        <v>1127</v>
      </c>
      <c r="E11" t="s">
        <v>389</v>
      </c>
      <c r="F11" t="s">
        <v>390</v>
      </c>
      <c r="G11">
        <v>14.36</v>
      </c>
      <c r="H11">
        <v>2.35</v>
      </c>
      <c r="I11" t="s">
        <v>391</v>
      </c>
      <c r="J11">
        <v>5758360000</v>
      </c>
      <c r="K11">
        <v>22.66</v>
      </c>
      <c r="L11">
        <v>2.95</v>
      </c>
      <c r="M11" t="s">
        <v>338</v>
      </c>
      <c r="N11" t="s">
        <v>252</v>
      </c>
      <c r="O11" t="s">
        <v>1093</v>
      </c>
      <c r="P11" t="s">
        <v>1094</v>
      </c>
      <c r="Q11">
        <v>6.31</v>
      </c>
      <c r="R11" t="s">
        <v>1095</v>
      </c>
      <c r="S11">
        <v>172311770</v>
      </c>
      <c r="T11" s="25">
        <v>-0.21110000000000001</v>
      </c>
      <c r="U11" t="s">
        <v>1019</v>
      </c>
      <c r="V11">
        <v>401000000</v>
      </c>
      <c r="W11">
        <v>401000000</v>
      </c>
      <c r="X11">
        <v>1.19</v>
      </c>
      <c r="Y11">
        <v>0.39</v>
      </c>
      <c r="Z11">
        <v>17.09</v>
      </c>
      <c r="AA11" t="s">
        <v>1096</v>
      </c>
      <c r="AB11" t="s">
        <v>1097</v>
      </c>
      <c r="AC11" t="s">
        <v>1098</v>
      </c>
      <c r="AD11" t="s">
        <v>1099</v>
      </c>
      <c r="AE11" t="s">
        <v>1100</v>
      </c>
      <c r="AF11">
        <v>-6132157</v>
      </c>
      <c r="AG11" t="s">
        <v>1101</v>
      </c>
      <c r="AH11" t="s">
        <v>1102</v>
      </c>
      <c r="AI11" t="s">
        <v>1103</v>
      </c>
      <c r="AJ11" t="s">
        <v>192</v>
      </c>
      <c r="AK11" t="s">
        <v>1104</v>
      </c>
      <c r="AL11" t="s">
        <v>1105</v>
      </c>
      <c r="AM11" t="s">
        <v>1106</v>
      </c>
      <c r="AN11" t="s">
        <v>170</v>
      </c>
      <c r="AO11" t="s">
        <v>1107</v>
      </c>
      <c r="AP11" t="s">
        <v>1108</v>
      </c>
      <c r="AQ11" t="s">
        <v>1109</v>
      </c>
      <c r="AR11" t="s">
        <v>1110</v>
      </c>
      <c r="AS11" t="s">
        <v>170</v>
      </c>
      <c r="AT11" t="s">
        <v>1111</v>
      </c>
      <c r="AU11" t="s">
        <v>170</v>
      </c>
      <c r="AV11" t="s">
        <v>1112</v>
      </c>
      <c r="AW11" t="s">
        <v>1113</v>
      </c>
      <c r="AX11" t="s">
        <v>1114</v>
      </c>
      <c r="AY11" t="s">
        <v>1115</v>
      </c>
      <c r="AZ11" t="s">
        <v>1116</v>
      </c>
      <c r="BA11" t="s">
        <v>1117</v>
      </c>
      <c r="BB11" t="s">
        <v>1118</v>
      </c>
      <c r="BC11" t="s">
        <v>1119</v>
      </c>
      <c r="BD11" t="s">
        <v>300</v>
      </c>
      <c r="BE11" t="s">
        <v>786</v>
      </c>
      <c r="BF11" t="s">
        <v>257</v>
      </c>
      <c r="BG11" t="s">
        <v>1120</v>
      </c>
      <c r="BH11" t="s">
        <v>248</v>
      </c>
      <c r="BI11" t="s">
        <v>1121</v>
      </c>
      <c r="BJ11" t="s">
        <v>1122</v>
      </c>
      <c r="BK11" t="s">
        <v>1123</v>
      </c>
      <c r="BL11" t="s">
        <v>227</v>
      </c>
      <c r="BM11" t="s">
        <v>266</v>
      </c>
      <c r="BN11" t="s">
        <v>1124</v>
      </c>
      <c r="BO11">
        <v>8.1999999999999993</v>
      </c>
      <c r="BP11">
        <v>2.19</v>
      </c>
      <c r="BQ11">
        <v>15.86</v>
      </c>
      <c r="BR11">
        <v>19.690000000000001</v>
      </c>
      <c r="BS11">
        <v>2.38</v>
      </c>
      <c r="BT11">
        <v>16.62</v>
      </c>
      <c r="BU11">
        <v>19.59</v>
      </c>
      <c r="BV11" t="s">
        <v>847</v>
      </c>
      <c r="BW11">
        <v>44.09</v>
      </c>
      <c r="BX11">
        <v>48.41</v>
      </c>
      <c r="BY11">
        <v>49.52</v>
      </c>
      <c r="BZ11">
        <v>16.64</v>
      </c>
      <c r="CA11">
        <v>23.07</v>
      </c>
      <c r="CB11">
        <v>22.3</v>
      </c>
      <c r="CC11">
        <v>12.28</v>
      </c>
      <c r="CD11">
        <v>-1.85</v>
      </c>
      <c r="CE11" t="s">
        <v>1125</v>
      </c>
      <c r="CF11" t="s">
        <v>1126</v>
      </c>
      <c r="CG11" s="26">
        <v>4.3531598915989157E-2</v>
      </c>
      <c r="CH11" s="27">
        <v>-0.24098033333333357</v>
      </c>
      <c r="CI11" s="26">
        <v>0.22844822704792023</v>
      </c>
      <c r="CJ11" s="26">
        <v>-7.9365082085132599E-2</v>
      </c>
      <c r="CK11" s="26">
        <v>-3.8167938590049744E-2</v>
      </c>
      <c r="CL11" s="26">
        <v>0.17699916660785675</v>
      </c>
      <c r="CM11" s="26">
        <v>0.37747517228126526</v>
      </c>
      <c r="CN11" s="27">
        <v>0.12781955301761627</v>
      </c>
      <c r="CO11" s="27">
        <v>-4.6594981104135513E-2</v>
      </c>
      <c r="CP11" s="27">
        <v>6.8965516984462738E-2</v>
      </c>
      <c r="CQ11" s="27">
        <v>0.2669903039932251</v>
      </c>
      <c r="CR11" s="27">
        <v>0.35526314377784729</v>
      </c>
      <c r="CS11">
        <v>4.0409543859649126</v>
      </c>
      <c r="CT11">
        <v>58710216.666666664</v>
      </c>
      <c r="CU11">
        <v>7.9314689999999999</v>
      </c>
      <c r="CV11" s="26">
        <v>0.13307790905237199</v>
      </c>
      <c r="CW11" s="27">
        <v>0.15448870733380318</v>
      </c>
      <c r="CX11">
        <v>0.06</v>
      </c>
      <c r="CY11">
        <v>12.022361296755602</v>
      </c>
      <c r="CZ11">
        <v>320682427.09029394</v>
      </c>
      <c r="DA11">
        <v>0.13307790905237199</v>
      </c>
      <c r="DB11">
        <v>3.7887482270817605</v>
      </c>
      <c r="DC11">
        <v>1017581472.5407463</v>
      </c>
      <c r="DD11">
        <v>0.12642401359975339</v>
      </c>
      <c r="DE11">
        <v>1.7753607963386973</v>
      </c>
      <c r="DF11">
        <v>2171592392.9101381</v>
      </c>
      <c r="DG11">
        <v>0.11710855996608735</v>
      </c>
      <c r="DH11">
        <v>1.0073553435760458</v>
      </c>
      <c r="DI11">
        <v>3827209558.7578096</v>
      </c>
      <c r="DJ11">
        <v>0.10646232724189759</v>
      </c>
      <c r="DK11">
        <v>0.45776409525291806</v>
      </c>
      <c r="DL11">
        <v>8422154642.4908772</v>
      </c>
      <c r="DM11">
        <v>9.315453633666039E-2</v>
      </c>
      <c r="DN11">
        <v>300000000</v>
      </c>
      <c r="DO11">
        <v>0.13307790905237199</v>
      </c>
      <c r="DP11">
        <v>3855360000</v>
      </c>
      <c r="DQ11">
        <v>66658070</v>
      </c>
      <c r="DR11">
        <v>4190</v>
      </c>
      <c r="DS11">
        <v>-8.954631013638284E-2</v>
      </c>
      <c r="DT11">
        <v>-0.39546904066713673</v>
      </c>
      <c r="DU11" s="28">
        <v>0.6</v>
      </c>
      <c r="DV11">
        <v>-0.22</v>
      </c>
      <c r="DW11">
        <v>0.38</v>
      </c>
      <c r="DX11">
        <v>5.1506514657980453</v>
      </c>
      <c r="DY11">
        <v>0.84940565204905627</v>
      </c>
      <c r="DZ11">
        <v>5.0481189296653701</v>
      </c>
      <c r="EA11">
        <v>2740</v>
      </c>
      <c r="EB11">
        <v>5.021106869168932</v>
      </c>
      <c r="EC11">
        <v>5</v>
      </c>
      <c r="ED11">
        <v>3.7444139650872815E-2</v>
      </c>
      <c r="EE11">
        <v>0.11723067331670822</v>
      </c>
      <c r="EF11" s="29">
        <v>0.1217</v>
      </c>
      <c r="EG11">
        <v>0.1452</v>
      </c>
      <c r="EH11">
        <v>53.319405652049056</v>
      </c>
      <c r="EI11" t="s">
        <v>184</v>
      </c>
      <c r="EJ11">
        <v>1</v>
      </c>
      <c r="EK11">
        <v>0</v>
      </c>
      <c r="EL11" s="30">
        <v>44876</v>
      </c>
      <c r="EM11" s="31">
        <v>1.8</v>
      </c>
      <c r="EN11" s="31">
        <v>-2.0699999999999998</v>
      </c>
      <c r="EO11" s="31">
        <v>3.45</v>
      </c>
      <c r="EP11" s="31">
        <v>6.37</v>
      </c>
      <c r="EQ11" s="31">
        <v>2.35</v>
      </c>
    </row>
    <row r="12" spans="1:147" ht="84">
      <c r="B12" s="24"/>
      <c r="C12" s="24"/>
      <c r="D12" s="24" t="s">
        <v>1160</v>
      </c>
      <c r="E12" t="s">
        <v>392</v>
      </c>
      <c r="F12" t="s">
        <v>393</v>
      </c>
      <c r="G12">
        <v>10.52</v>
      </c>
      <c r="H12">
        <v>4.0599999999999996</v>
      </c>
      <c r="I12" t="s">
        <v>394</v>
      </c>
      <c r="J12">
        <v>5105345900</v>
      </c>
      <c r="K12">
        <v>1533</v>
      </c>
      <c r="L12">
        <v>1.7</v>
      </c>
      <c r="M12" t="s">
        <v>338</v>
      </c>
      <c r="N12" t="s">
        <v>1128</v>
      </c>
      <c r="O12" t="s">
        <v>1129</v>
      </c>
      <c r="P12" t="s">
        <v>1130</v>
      </c>
      <c r="Q12">
        <v>-0.7</v>
      </c>
      <c r="R12" t="s">
        <v>1131</v>
      </c>
      <c r="S12">
        <v>98751539</v>
      </c>
      <c r="T12" s="25">
        <v>1.548</v>
      </c>
      <c r="U12" t="s">
        <v>1132</v>
      </c>
      <c r="V12">
        <v>485299040</v>
      </c>
      <c r="W12">
        <v>485299040</v>
      </c>
      <c r="X12">
        <v>3.05</v>
      </c>
      <c r="Y12">
        <v>0.65</v>
      </c>
      <c r="Z12">
        <v>1.82</v>
      </c>
      <c r="AA12" t="s">
        <v>452</v>
      </c>
      <c r="AB12" t="s">
        <v>1133</v>
      </c>
      <c r="AC12" t="s">
        <v>1134</v>
      </c>
      <c r="AD12" t="s">
        <v>1135</v>
      </c>
      <c r="AE12" t="s">
        <v>1136</v>
      </c>
      <c r="AF12">
        <v>67250823</v>
      </c>
      <c r="AG12" t="s">
        <v>1137</v>
      </c>
      <c r="AH12" t="s">
        <v>1138</v>
      </c>
      <c r="AI12" t="s">
        <v>1139</v>
      </c>
      <c r="AJ12" t="s">
        <v>311</v>
      </c>
      <c r="AK12" t="s">
        <v>1140</v>
      </c>
      <c r="AL12" t="s">
        <v>170</v>
      </c>
      <c r="AM12" t="s">
        <v>1141</v>
      </c>
      <c r="AN12" t="s">
        <v>170</v>
      </c>
      <c r="AO12" t="s">
        <v>329</v>
      </c>
      <c r="AP12" t="s">
        <v>805</v>
      </c>
      <c r="AQ12" t="s">
        <v>1142</v>
      </c>
      <c r="AR12" t="s">
        <v>1143</v>
      </c>
      <c r="AS12" t="s">
        <v>170</v>
      </c>
      <c r="AT12" t="s">
        <v>1144</v>
      </c>
      <c r="AU12" t="s">
        <v>769</v>
      </c>
      <c r="AV12" t="s">
        <v>210</v>
      </c>
      <c r="AW12" t="s">
        <v>1145</v>
      </c>
      <c r="AX12" t="s">
        <v>627</v>
      </c>
      <c r="AY12" t="s">
        <v>1146</v>
      </c>
      <c r="AZ12" t="s">
        <v>1147</v>
      </c>
      <c r="BA12" t="s">
        <v>1148</v>
      </c>
      <c r="BB12" t="s">
        <v>1149</v>
      </c>
      <c r="BC12" t="s">
        <v>1150</v>
      </c>
      <c r="BD12" t="s">
        <v>175</v>
      </c>
      <c r="BE12" t="s">
        <v>292</v>
      </c>
      <c r="BF12" t="s">
        <v>1151</v>
      </c>
      <c r="BG12" t="s">
        <v>290</v>
      </c>
      <c r="BH12" t="s">
        <v>1152</v>
      </c>
      <c r="BI12" t="s">
        <v>1153</v>
      </c>
      <c r="BJ12" t="s">
        <v>1154</v>
      </c>
      <c r="BK12" t="s">
        <v>1155</v>
      </c>
      <c r="BL12" t="s">
        <v>1156</v>
      </c>
      <c r="BM12" t="s">
        <v>1157</v>
      </c>
      <c r="BN12" t="s">
        <v>1158</v>
      </c>
      <c r="BO12">
        <v>1.59</v>
      </c>
      <c r="BP12">
        <v>0.5</v>
      </c>
      <c r="BQ12">
        <v>7.93</v>
      </c>
      <c r="BR12">
        <v>11.04</v>
      </c>
      <c r="BS12">
        <v>1.06</v>
      </c>
      <c r="BT12">
        <v>14.24</v>
      </c>
      <c r="BU12">
        <v>18.29</v>
      </c>
      <c r="BV12" t="s">
        <v>847</v>
      </c>
      <c r="BW12">
        <v>29</v>
      </c>
      <c r="BX12">
        <v>33.92</v>
      </c>
      <c r="BY12">
        <v>39.72</v>
      </c>
      <c r="BZ12">
        <v>2.2200000000000002</v>
      </c>
      <c r="CA12">
        <v>6.38</v>
      </c>
      <c r="CB12">
        <v>10.24</v>
      </c>
      <c r="CC12">
        <v>4.26</v>
      </c>
      <c r="CD12">
        <v>4.47</v>
      </c>
      <c r="CE12" t="s">
        <v>1159</v>
      </c>
      <c r="CF12" t="s">
        <v>182</v>
      </c>
      <c r="CG12" s="26">
        <v>-0.10183837104072398</v>
      </c>
      <c r="CH12" s="27">
        <v>1.079909875079244</v>
      </c>
      <c r="CI12" s="26">
        <v>0.24640122056007385</v>
      </c>
      <c r="CJ12" s="26">
        <v>0.70407092571258545</v>
      </c>
      <c r="CK12" s="26">
        <v>0.25680553913116455</v>
      </c>
      <c r="CL12" s="26">
        <v>0.30354845523834229</v>
      </c>
      <c r="CM12" s="26">
        <v>0.35751596093177795</v>
      </c>
      <c r="CN12" s="27">
        <v>-1.7282321453094482</v>
      </c>
      <c r="CO12" s="27">
        <v>1.3368983753025532E-2</v>
      </c>
      <c r="CP12" s="27">
        <v>1.0107526779174805</v>
      </c>
      <c r="CQ12" s="27">
        <v>0.19230769574642181</v>
      </c>
      <c r="CR12" s="27">
        <v>-0.2199999988079071</v>
      </c>
      <c r="CS12">
        <v>0.62726943113404598</v>
      </c>
      <c r="CT12">
        <v>-32337522.463768117</v>
      </c>
      <c r="CU12">
        <v>3.6081500000000002</v>
      </c>
      <c r="CV12" s="26">
        <v>0.37366842031478881</v>
      </c>
      <c r="CW12" s="27">
        <v>-0.14636055734008552</v>
      </c>
      <c r="CX12">
        <v>0.06</v>
      </c>
      <c r="CY12" t="e">
        <v>#VALUE!</v>
      </c>
      <c r="CZ12" t="s">
        <v>174</v>
      </c>
      <c r="DA12">
        <v>0.37366842031478881</v>
      </c>
      <c r="DB12" t="e">
        <v>#VALUE!</v>
      </c>
      <c r="DC12" t="s">
        <v>174</v>
      </c>
      <c r="DD12">
        <v>0.35498499929904936</v>
      </c>
      <c r="DE12" t="e">
        <v>#VALUE!</v>
      </c>
      <c r="DF12" t="s">
        <v>174</v>
      </c>
      <c r="DG12">
        <v>0.32882820987701417</v>
      </c>
      <c r="DH12" t="e">
        <v>#VALUE!</v>
      </c>
      <c r="DI12" t="s">
        <v>174</v>
      </c>
      <c r="DJ12">
        <v>0.29893473625183103</v>
      </c>
      <c r="DK12" t="e">
        <v>#VALUE!</v>
      </c>
      <c r="DL12" t="s">
        <v>174</v>
      </c>
      <c r="DM12">
        <v>0.26156789422035215</v>
      </c>
      <c r="DN12">
        <v>-276000000</v>
      </c>
      <c r="DO12">
        <v>0.37366842031478881</v>
      </c>
      <c r="DP12">
        <v>8346345900</v>
      </c>
      <c r="DQ12">
        <v>-25560300.000000477</v>
      </c>
      <c r="DR12">
        <v>3939</v>
      </c>
      <c r="DS12">
        <v>-0.47550679135551277</v>
      </c>
      <c r="DT12">
        <v>1.2262704324193294</v>
      </c>
      <c r="DU12" s="28">
        <v>0</v>
      </c>
      <c r="DV12" t="e">
        <v>#VALUE!</v>
      </c>
      <c r="DW12" t="e">
        <v>#VALUE!</v>
      </c>
      <c r="DX12">
        <v>8.9530201342281881</v>
      </c>
      <c r="DY12">
        <v>0.75955454545454837</v>
      </c>
      <c r="DZ12">
        <v>8.1806492983526535</v>
      </c>
      <c r="EA12">
        <v>2804</v>
      </c>
      <c r="EB12">
        <v>8.0768712543901788</v>
      </c>
      <c r="EC12">
        <v>8</v>
      </c>
      <c r="ED12">
        <v>4.2965261171750924E-2</v>
      </c>
      <c r="EE12">
        <v>0.22666436760311748</v>
      </c>
      <c r="EF12" s="29">
        <v>4.5499999999999999E-2</v>
      </c>
      <c r="EG12">
        <v>8.6099999999999996E-2</v>
      </c>
      <c r="EH12">
        <v>57.189554545454548</v>
      </c>
      <c r="EI12" t="s">
        <v>184</v>
      </c>
      <c r="EJ12">
        <v>0</v>
      </c>
      <c r="EK12">
        <v>0</v>
      </c>
      <c r="EL12" s="30">
        <v>44876</v>
      </c>
      <c r="EM12" s="31">
        <v>1.49</v>
      </c>
      <c r="EN12" s="31">
        <v>-1.56</v>
      </c>
      <c r="EO12" s="31">
        <v>0.99</v>
      </c>
      <c r="EP12" s="31">
        <v>-0.69</v>
      </c>
      <c r="EQ12" s="31">
        <v>4.0599999999999996</v>
      </c>
    </row>
    <row r="13" spans="1:147" ht="84">
      <c r="B13" s="24"/>
      <c r="C13" s="24"/>
      <c r="D13" s="24" t="s">
        <v>1192</v>
      </c>
      <c r="E13" t="s">
        <v>395</v>
      </c>
      <c r="F13" t="s">
        <v>396</v>
      </c>
      <c r="G13">
        <v>13.99</v>
      </c>
      <c r="H13">
        <v>0.43</v>
      </c>
      <c r="I13" t="s">
        <v>397</v>
      </c>
      <c r="J13">
        <v>5015264600</v>
      </c>
      <c r="K13">
        <v>18.41</v>
      </c>
      <c r="L13">
        <v>1.53</v>
      </c>
      <c r="M13" t="s">
        <v>338</v>
      </c>
      <c r="N13" t="s">
        <v>1161</v>
      </c>
      <c r="O13" t="s">
        <v>1162</v>
      </c>
      <c r="P13" t="s">
        <v>1163</v>
      </c>
      <c r="Q13">
        <v>-3.02</v>
      </c>
      <c r="R13" t="s">
        <v>1164</v>
      </c>
      <c r="S13">
        <v>166741650</v>
      </c>
      <c r="T13" s="25">
        <v>-0.3367</v>
      </c>
      <c r="U13" t="s">
        <v>240</v>
      </c>
      <c r="V13">
        <v>208207770</v>
      </c>
      <c r="W13">
        <v>358489250</v>
      </c>
      <c r="X13">
        <v>1.43</v>
      </c>
      <c r="Y13">
        <v>0.46</v>
      </c>
      <c r="Z13">
        <v>7.81</v>
      </c>
      <c r="AA13" t="s">
        <v>1165</v>
      </c>
      <c r="AB13" t="s">
        <v>1166</v>
      </c>
      <c r="AC13" t="s">
        <v>1167</v>
      </c>
      <c r="AD13" t="s">
        <v>1168</v>
      </c>
      <c r="AE13" t="s">
        <v>1169</v>
      </c>
      <c r="AF13">
        <v>-133255754</v>
      </c>
      <c r="AG13" t="s">
        <v>1170</v>
      </c>
      <c r="AH13" t="s">
        <v>1171</v>
      </c>
      <c r="AI13" t="s">
        <v>1172</v>
      </c>
      <c r="AJ13" t="s">
        <v>1173</v>
      </c>
      <c r="AK13" t="s">
        <v>1174</v>
      </c>
      <c r="AL13" t="s">
        <v>170</v>
      </c>
      <c r="AM13" t="s">
        <v>1175</v>
      </c>
      <c r="AN13" t="s">
        <v>170</v>
      </c>
      <c r="AO13" t="s">
        <v>1176</v>
      </c>
      <c r="AP13" t="s">
        <v>497</v>
      </c>
      <c r="AQ13" t="s">
        <v>170</v>
      </c>
      <c r="AR13" t="s">
        <v>564</v>
      </c>
      <c r="AS13" t="s">
        <v>170</v>
      </c>
      <c r="AT13" t="s">
        <v>1177</v>
      </c>
      <c r="AU13" t="s">
        <v>679</v>
      </c>
      <c r="AV13" t="s">
        <v>1054</v>
      </c>
      <c r="AW13" t="s">
        <v>1178</v>
      </c>
      <c r="AX13" t="s">
        <v>1179</v>
      </c>
      <c r="AY13" t="s">
        <v>1180</v>
      </c>
      <c r="AZ13" t="s">
        <v>1181</v>
      </c>
      <c r="BA13" t="s">
        <v>1182</v>
      </c>
      <c r="BB13" t="s">
        <v>1183</v>
      </c>
      <c r="BC13" t="s">
        <v>1184</v>
      </c>
      <c r="BD13" t="s">
        <v>680</v>
      </c>
      <c r="BE13" t="s">
        <v>1014</v>
      </c>
      <c r="BF13" t="s">
        <v>1185</v>
      </c>
      <c r="BG13" t="s">
        <v>185</v>
      </c>
      <c r="BH13" t="s">
        <v>1186</v>
      </c>
      <c r="BI13" t="s">
        <v>1187</v>
      </c>
      <c r="BJ13" t="s">
        <v>1188</v>
      </c>
      <c r="BK13" t="s">
        <v>1189</v>
      </c>
      <c r="BL13" t="s">
        <v>1190</v>
      </c>
      <c r="BM13" t="s">
        <v>858</v>
      </c>
      <c r="BN13" t="s">
        <v>297</v>
      </c>
      <c r="BO13">
        <v>4.3600000000000003</v>
      </c>
      <c r="BP13">
        <v>1.5</v>
      </c>
      <c r="BQ13">
        <v>9.24</v>
      </c>
      <c r="BR13">
        <v>19.34</v>
      </c>
      <c r="BS13">
        <v>1.74</v>
      </c>
      <c r="BT13">
        <v>9.4600000000000009</v>
      </c>
      <c r="BU13">
        <v>29.65</v>
      </c>
      <c r="BV13" t="s">
        <v>847</v>
      </c>
      <c r="BW13">
        <v>32.1</v>
      </c>
      <c r="BX13">
        <v>38.01</v>
      </c>
      <c r="BY13">
        <v>39.299999999999997</v>
      </c>
      <c r="BZ13">
        <v>6.72</v>
      </c>
      <c r="CA13">
        <v>11.98</v>
      </c>
      <c r="CB13">
        <v>15.58</v>
      </c>
      <c r="CC13">
        <v>3.86</v>
      </c>
      <c r="CD13">
        <v>1.3</v>
      </c>
      <c r="CE13" t="s">
        <v>1191</v>
      </c>
      <c r="CF13" t="s">
        <v>965</v>
      </c>
      <c r="CG13" s="26">
        <v>-0.20227062279670976</v>
      </c>
      <c r="CH13" s="27">
        <v>-0.4041202586206894</v>
      </c>
      <c r="CI13" s="26">
        <v>0.31283187866210938</v>
      </c>
      <c r="CJ13" s="26">
        <v>-0.10636612772941589</v>
      </c>
      <c r="CK13" s="26">
        <v>5.7716380804777145E-2</v>
      </c>
      <c r="CL13" s="26">
        <v>0.72262251377105713</v>
      </c>
      <c r="CM13" s="26">
        <v>9.7233258187770844E-2</v>
      </c>
      <c r="CN13" s="27">
        <v>0.30769231915473938</v>
      </c>
      <c r="CO13" s="27">
        <v>-0.30886074900627136</v>
      </c>
      <c r="CP13" s="27">
        <v>0.34812286496162415</v>
      </c>
      <c r="CQ13" s="27">
        <v>1.5929203033447266</v>
      </c>
      <c r="CR13" s="27">
        <v>3.2617547512054443</v>
      </c>
      <c r="CS13">
        <v>1.6903487023929895</v>
      </c>
      <c r="CT13">
        <v>58648854.341736697</v>
      </c>
      <c r="CU13">
        <v>5.1374180000000003</v>
      </c>
      <c r="CV13" s="26">
        <v>0.21680758073925971</v>
      </c>
      <c r="CW13" s="27">
        <v>1.0403258979320527</v>
      </c>
      <c r="CX13">
        <v>0.06</v>
      </c>
      <c r="CY13">
        <v>7.6383014185211797</v>
      </c>
      <c r="CZ13">
        <v>409811609.73954308</v>
      </c>
      <c r="DA13">
        <v>0.21680758073925971</v>
      </c>
      <c r="DB13">
        <v>2.2455676004024632</v>
      </c>
      <c r="DC13">
        <v>1393974779.2224009</v>
      </c>
      <c r="DD13">
        <v>0.20596720170229671</v>
      </c>
      <c r="DE13">
        <v>0.95360832660216166</v>
      </c>
      <c r="DF13">
        <v>3282547470.1480069</v>
      </c>
      <c r="DG13">
        <v>0.19079067105054853</v>
      </c>
      <c r="DH13">
        <v>0.48049213617407982</v>
      </c>
      <c r="DI13">
        <v>6514705162.3461351</v>
      </c>
      <c r="DJ13">
        <v>0.17344606459140777</v>
      </c>
      <c r="DK13">
        <v>0.16390774194465532</v>
      </c>
      <c r="DL13">
        <v>19097722675.33865</v>
      </c>
      <c r="DM13">
        <v>0.1517653065174818</v>
      </c>
      <c r="DN13">
        <v>357000000</v>
      </c>
      <c r="DO13">
        <v>0.21680758073925971</v>
      </c>
      <c r="DP13">
        <v>3130264600</v>
      </c>
      <c r="DQ13">
        <v>2279048300</v>
      </c>
      <c r="DR13">
        <v>4066</v>
      </c>
      <c r="DS13">
        <v>-0.41907820353596947</v>
      </c>
      <c r="DT13">
        <v>-1.444446156552742</v>
      </c>
      <c r="DU13" s="28">
        <v>0</v>
      </c>
      <c r="DV13">
        <v>-0.22</v>
      </c>
      <c r="DW13">
        <v>-0.22</v>
      </c>
      <c r="DX13">
        <v>4.3367875647668397</v>
      </c>
      <c r="DY13">
        <v>0.40980479452054897</v>
      </c>
      <c r="DZ13">
        <v>4.0437166406416356</v>
      </c>
      <c r="EA13">
        <v>1396</v>
      </c>
      <c r="EB13">
        <v>4.0312133768973775</v>
      </c>
      <c r="EC13">
        <v>4</v>
      </c>
      <c r="ED13">
        <v>0.10572980919232586</v>
      </c>
      <c r="EE13">
        <v>0.81452930596942585</v>
      </c>
      <c r="EF13" s="29">
        <v>7.2209999999999996E-2</v>
      </c>
      <c r="EG13">
        <v>6.7909999999999998E-2</v>
      </c>
      <c r="EH13">
        <v>28.129804794520549</v>
      </c>
      <c r="EI13">
        <v>-1</v>
      </c>
      <c r="EJ13">
        <v>0</v>
      </c>
      <c r="EK13">
        <v>1</v>
      </c>
      <c r="EL13" s="30">
        <v>44876</v>
      </c>
      <c r="EM13" s="31">
        <v>0.22</v>
      </c>
      <c r="EN13" s="31">
        <v>4</v>
      </c>
      <c r="EO13" s="31">
        <v>0.85</v>
      </c>
      <c r="EP13" s="31">
        <v>-1.62</v>
      </c>
      <c r="EQ13" s="31">
        <v>0.43</v>
      </c>
    </row>
    <row r="14" spans="1:147" ht="84">
      <c r="B14" s="24"/>
      <c r="C14" s="24"/>
      <c r="D14" s="24" t="s">
        <v>1225</v>
      </c>
      <c r="E14" t="s">
        <v>398</v>
      </c>
      <c r="F14" t="s">
        <v>399</v>
      </c>
      <c r="G14">
        <v>32.14</v>
      </c>
      <c r="H14">
        <v>0.44</v>
      </c>
      <c r="I14" t="s">
        <v>400</v>
      </c>
      <c r="J14">
        <v>4469614400</v>
      </c>
      <c r="K14">
        <v>12.17</v>
      </c>
      <c r="L14">
        <v>1.39</v>
      </c>
      <c r="M14" t="s">
        <v>338</v>
      </c>
      <c r="N14" t="s">
        <v>1193</v>
      </c>
      <c r="O14" t="s">
        <v>1194</v>
      </c>
      <c r="P14" t="s">
        <v>1195</v>
      </c>
      <c r="Q14">
        <v>16.600000000000001</v>
      </c>
      <c r="R14" t="s">
        <v>1196</v>
      </c>
      <c r="S14">
        <v>294805690</v>
      </c>
      <c r="T14" s="25">
        <v>0.1113</v>
      </c>
      <c r="U14" t="s">
        <v>803</v>
      </c>
      <c r="V14">
        <v>139067030</v>
      </c>
      <c r="W14">
        <v>139067030</v>
      </c>
      <c r="X14">
        <v>2.37</v>
      </c>
      <c r="Y14">
        <v>0.61</v>
      </c>
      <c r="Z14">
        <v>6.23</v>
      </c>
      <c r="AA14" t="s">
        <v>1197</v>
      </c>
      <c r="AB14" t="s">
        <v>1198</v>
      </c>
      <c r="AC14" t="s">
        <v>1199</v>
      </c>
      <c r="AD14" t="s">
        <v>225</v>
      </c>
      <c r="AE14" t="s">
        <v>1200</v>
      </c>
      <c r="AF14">
        <v>-36791066</v>
      </c>
      <c r="AG14" t="s">
        <v>1201</v>
      </c>
      <c r="AH14" t="s">
        <v>1202</v>
      </c>
      <c r="AI14" t="s">
        <v>1203</v>
      </c>
      <c r="AJ14" t="s">
        <v>1204</v>
      </c>
      <c r="AK14" t="s">
        <v>1205</v>
      </c>
      <c r="AL14" t="s">
        <v>1206</v>
      </c>
      <c r="AM14" t="s">
        <v>1207</v>
      </c>
      <c r="AN14" t="s">
        <v>170</v>
      </c>
      <c r="AO14" t="s">
        <v>332</v>
      </c>
      <c r="AP14" t="s">
        <v>1204</v>
      </c>
      <c r="AQ14" t="s">
        <v>802</v>
      </c>
      <c r="AR14" t="s">
        <v>1208</v>
      </c>
      <c r="AS14" t="s">
        <v>1209</v>
      </c>
      <c r="AT14" t="s">
        <v>1210</v>
      </c>
      <c r="AU14" t="s">
        <v>211</v>
      </c>
      <c r="AV14" t="s">
        <v>1211</v>
      </c>
      <c r="AW14" t="s">
        <v>1212</v>
      </c>
      <c r="AX14" t="s">
        <v>1213</v>
      </c>
      <c r="AY14" t="s">
        <v>1214</v>
      </c>
      <c r="AZ14" t="s">
        <v>1215</v>
      </c>
      <c r="BA14" t="s">
        <v>1216</v>
      </c>
      <c r="BB14" t="s">
        <v>1217</v>
      </c>
      <c r="BC14" t="s">
        <v>1150</v>
      </c>
      <c r="BD14" t="s">
        <v>1218</v>
      </c>
      <c r="BE14" t="s">
        <v>264</v>
      </c>
      <c r="BF14" t="s">
        <v>256</v>
      </c>
      <c r="BG14" t="s">
        <v>1219</v>
      </c>
      <c r="BH14" t="s">
        <v>213</v>
      </c>
      <c r="BI14" t="s">
        <v>1220</v>
      </c>
      <c r="BJ14" t="s">
        <v>286</v>
      </c>
      <c r="BK14" t="s">
        <v>1221</v>
      </c>
      <c r="BL14" t="s">
        <v>225</v>
      </c>
      <c r="BM14" t="s">
        <v>1222</v>
      </c>
      <c r="BN14" t="s">
        <v>1219</v>
      </c>
      <c r="BO14">
        <v>5.05</v>
      </c>
      <c r="BP14">
        <v>1.25</v>
      </c>
      <c r="BQ14">
        <v>10.61</v>
      </c>
      <c r="BR14">
        <v>9.33</v>
      </c>
      <c r="BS14">
        <v>2.38</v>
      </c>
      <c r="BT14">
        <v>13.69</v>
      </c>
      <c r="BU14">
        <v>10.29</v>
      </c>
      <c r="BV14" t="s">
        <v>847</v>
      </c>
      <c r="BW14">
        <v>19.760000000000002</v>
      </c>
      <c r="BX14">
        <v>29.49</v>
      </c>
      <c r="BY14">
        <v>24.97</v>
      </c>
      <c r="BZ14">
        <v>6.99</v>
      </c>
      <c r="CA14">
        <v>7.98</v>
      </c>
      <c r="CB14">
        <v>8.52</v>
      </c>
      <c r="CC14">
        <v>-0.03</v>
      </c>
      <c r="CD14">
        <v>10.98</v>
      </c>
      <c r="CE14" t="s">
        <v>1223</v>
      </c>
      <c r="CF14" t="s">
        <v>1224</v>
      </c>
      <c r="CG14" s="26">
        <v>7.3636340371081258E-2</v>
      </c>
      <c r="CH14" s="27">
        <v>-0.15347787878787877</v>
      </c>
      <c r="CI14" s="26">
        <v>0.21821627020835876</v>
      </c>
      <c r="CJ14" s="26">
        <v>0.63326448202133179</v>
      </c>
      <c r="CK14" s="26">
        <v>0.25280407071113586</v>
      </c>
      <c r="CL14" s="26">
        <v>0.2225739061832428</v>
      </c>
      <c r="CM14" s="26">
        <v>0.1004062294960022</v>
      </c>
      <c r="CN14" s="27">
        <v>-6.8870522081851959E-2</v>
      </c>
      <c r="CO14" s="27">
        <v>0.49382716417312622</v>
      </c>
      <c r="CP14" s="27">
        <v>0.42105263471603394</v>
      </c>
      <c r="CQ14" s="27">
        <v>3.0120482668280602E-2</v>
      </c>
      <c r="CR14" s="27">
        <v>-0.37121212482452393</v>
      </c>
      <c r="CS14">
        <v>0.77355735548632742</v>
      </c>
      <c r="CT14">
        <v>95262721.893491119</v>
      </c>
      <c r="CU14">
        <v>9.006711000000001</v>
      </c>
      <c r="CV14" s="26">
        <v>0.28545299172401428</v>
      </c>
      <c r="CW14" s="27">
        <v>0.10098352693021298</v>
      </c>
      <c r="CX14">
        <v>0.06</v>
      </c>
      <c r="CY14">
        <v>13.844246436528435</v>
      </c>
      <c r="CZ14">
        <v>409889727.54973286</v>
      </c>
      <c r="DA14">
        <v>0.28545299172401428</v>
      </c>
      <c r="DB14">
        <v>3.8488473974648363</v>
      </c>
      <c r="DC14">
        <v>1474367210.2296813</v>
      </c>
      <c r="DD14">
        <v>0.27118034213781356</v>
      </c>
      <c r="DE14">
        <v>1.50496022047324</v>
      </c>
      <c r="DF14">
        <v>3770607570.0895257</v>
      </c>
      <c r="DG14">
        <v>0.25119863271713255</v>
      </c>
      <c r="DH14">
        <v>0.68338419568971875</v>
      </c>
      <c r="DI14">
        <v>8303695689.4690628</v>
      </c>
      <c r="DJ14">
        <v>0.22836239337921144</v>
      </c>
      <c r="DK14">
        <v>0.17920222060615587</v>
      </c>
      <c r="DL14">
        <v>31665982602.255032</v>
      </c>
      <c r="DM14">
        <v>0.19981709420680999</v>
      </c>
      <c r="DN14">
        <v>338000000</v>
      </c>
      <c r="DO14">
        <v>0.28545299172401428</v>
      </c>
      <c r="DP14">
        <v>5674614400</v>
      </c>
      <c r="DQ14">
        <v>843845300</v>
      </c>
      <c r="DR14">
        <v>4092</v>
      </c>
      <c r="DS14">
        <v>-0.21181665135293304</v>
      </c>
      <c r="DT14">
        <v>-0.25446140571809173</v>
      </c>
      <c r="DU14" s="28">
        <v>0.6</v>
      </c>
      <c r="DV14">
        <v>0.6</v>
      </c>
      <c r="DW14">
        <v>1.2</v>
      </c>
      <c r="DX14">
        <v>2.1097999999999999</v>
      </c>
      <c r="DY14">
        <v>0.38473164280219807</v>
      </c>
      <c r="DZ14">
        <v>2.0125975343796814</v>
      </c>
      <c r="EA14">
        <v>1354</v>
      </c>
      <c r="EB14">
        <v>2.0091029509848672</v>
      </c>
      <c r="EC14">
        <v>2</v>
      </c>
      <c r="ED14">
        <v>2.4452956247070209E-2</v>
      </c>
      <c r="EE14">
        <v>0.21313175380246491</v>
      </c>
      <c r="EF14" s="29">
        <v>1.0273000000000001</v>
      </c>
      <c r="EG14">
        <v>1.0317000000000001</v>
      </c>
      <c r="EH14">
        <v>27.114731642802198</v>
      </c>
      <c r="EI14" t="s">
        <v>209</v>
      </c>
      <c r="EJ14">
        <v>1</v>
      </c>
      <c r="EK14">
        <v>1</v>
      </c>
      <c r="EL14" s="30">
        <v>44876</v>
      </c>
      <c r="EM14" s="31">
        <v>-0.53</v>
      </c>
      <c r="EN14" s="31">
        <v>-0.31</v>
      </c>
      <c r="EO14" s="31">
        <v>-0.16</v>
      </c>
      <c r="EP14" s="31">
        <v>0.53</v>
      </c>
      <c r="EQ14" s="31">
        <v>0.44</v>
      </c>
    </row>
    <row r="15" spans="1:147" ht="84">
      <c r="B15" s="24"/>
      <c r="C15" s="24"/>
      <c r="D15" s="24" t="s">
        <v>1256</v>
      </c>
      <c r="E15" t="s">
        <v>401</v>
      </c>
      <c r="F15" t="s">
        <v>402</v>
      </c>
      <c r="G15">
        <v>27.55</v>
      </c>
      <c r="H15">
        <v>6.7</v>
      </c>
      <c r="I15" t="s">
        <v>403</v>
      </c>
      <c r="J15">
        <v>4249777100</v>
      </c>
      <c r="K15">
        <v>12.34</v>
      </c>
      <c r="L15">
        <v>1.73</v>
      </c>
      <c r="M15" t="s">
        <v>338</v>
      </c>
      <c r="N15" t="s">
        <v>806</v>
      </c>
      <c r="O15" t="s">
        <v>1226</v>
      </c>
      <c r="P15" t="s">
        <v>1227</v>
      </c>
      <c r="Q15">
        <v>12.13</v>
      </c>
      <c r="R15" t="s">
        <v>1228</v>
      </c>
      <c r="S15">
        <v>164536150</v>
      </c>
      <c r="T15" s="25">
        <v>4.0599999999999997E-2</v>
      </c>
      <c r="U15" t="s">
        <v>803</v>
      </c>
      <c r="V15">
        <v>144239370</v>
      </c>
      <c r="W15">
        <v>154256880</v>
      </c>
      <c r="X15">
        <v>1.81</v>
      </c>
      <c r="Y15">
        <v>0.55000000000000004</v>
      </c>
      <c r="Z15">
        <v>6.49</v>
      </c>
      <c r="AA15" t="s">
        <v>1229</v>
      </c>
      <c r="AB15" t="s">
        <v>1230</v>
      </c>
      <c r="AC15" t="s">
        <v>319</v>
      </c>
      <c r="AD15" t="s">
        <v>171</v>
      </c>
      <c r="AE15" t="s">
        <v>1231</v>
      </c>
      <c r="AF15">
        <v>1595115</v>
      </c>
      <c r="AG15" t="s">
        <v>1232</v>
      </c>
      <c r="AH15" t="s">
        <v>1233</v>
      </c>
      <c r="AI15" t="s">
        <v>1234</v>
      </c>
      <c r="AJ15" t="s">
        <v>321</v>
      </c>
      <c r="AK15" t="s">
        <v>1235</v>
      </c>
      <c r="AL15" t="s">
        <v>1236</v>
      </c>
      <c r="AM15" t="s">
        <v>1237</v>
      </c>
      <c r="AN15" t="s">
        <v>170</v>
      </c>
      <c r="AO15" t="s">
        <v>1238</v>
      </c>
      <c r="AP15" t="s">
        <v>1239</v>
      </c>
      <c r="AQ15" t="s">
        <v>200</v>
      </c>
      <c r="AR15" t="s">
        <v>1240</v>
      </c>
      <c r="AS15" t="s">
        <v>170</v>
      </c>
      <c r="AT15" t="s">
        <v>1241</v>
      </c>
      <c r="AU15" t="s">
        <v>170</v>
      </c>
      <c r="AV15" t="s">
        <v>1242</v>
      </c>
      <c r="AW15" t="s">
        <v>1243</v>
      </c>
      <c r="AX15" t="s">
        <v>1244</v>
      </c>
      <c r="AY15" t="s">
        <v>1245</v>
      </c>
      <c r="AZ15" t="s">
        <v>1246</v>
      </c>
      <c r="BA15" t="s">
        <v>1247</v>
      </c>
      <c r="BB15" t="s">
        <v>1248</v>
      </c>
      <c r="BC15" t="s">
        <v>1249</v>
      </c>
      <c r="BD15" t="s">
        <v>1185</v>
      </c>
      <c r="BE15" t="s">
        <v>196</v>
      </c>
      <c r="BF15" t="s">
        <v>237</v>
      </c>
      <c r="BG15" t="s">
        <v>1110</v>
      </c>
      <c r="BH15" t="s">
        <v>1250</v>
      </c>
      <c r="BI15" t="s">
        <v>684</v>
      </c>
      <c r="BJ15" t="s">
        <v>1251</v>
      </c>
      <c r="BK15" t="s">
        <v>1189</v>
      </c>
      <c r="BL15" t="s">
        <v>1252</v>
      </c>
      <c r="BM15" t="s">
        <v>167</v>
      </c>
      <c r="BN15" t="s">
        <v>1253</v>
      </c>
      <c r="BO15">
        <v>4.7699999999999996</v>
      </c>
      <c r="BP15">
        <v>0.89</v>
      </c>
      <c r="BQ15">
        <v>13.81</v>
      </c>
      <c r="BR15">
        <v>17.38</v>
      </c>
      <c r="BS15">
        <v>1.24</v>
      </c>
      <c r="BT15">
        <v>21.28</v>
      </c>
      <c r="BU15">
        <v>22.92</v>
      </c>
      <c r="BV15" t="s">
        <v>847</v>
      </c>
      <c r="BW15">
        <v>28.94</v>
      </c>
      <c r="BX15">
        <v>32.729999999999997</v>
      </c>
      <c r="BY15">
        <v>35.840000000000003</v>
      </c>
      <c r="BZ15">
        <v>6.3</v>
      </c>
      <c r="CA15">
        <v>11.04</v>
      </c>
      <c r="CB15">
        <v>11.39</v>
      </c>
      <c r="CC15">
        <v>8.17</v>
      </c>
      <c r="CD15">
        <v>7.24</v>
      </c>
      <c r="CE15" t="s">
        <v>1254</v>
      </c>
      <c r="CF15" t="s">
        <v>1255</v>
      </c>
      <c r="CG15" s="26">
        <v>0.18454983202687569</v>
      </c>
      <c r="CH15" s="27">
        <v>1.0192607358949011E-2</v>
      </c>
      <c r="CI15" s="26">
        <v>0.30606061220169067</v>
      </c>
      <c r="CJ15" s="26">
        <v>0.24235297739505768</v>
      </c>
      <c r="CK15" s="26">
        <v>0.24853110313415527</v>
      </c>
      <c r="CL15" s="26">
        <v>0.18030513823032379</v>
      </c>
      <c r="CM15" s="26">
        <v>0.31210184097290039</v>
      </c>
      <c r="CN15" s="27">
        <v>0.15358361601829529</v>
      </c>
      <c r="CO15" s="27">
        <v>0.21074379980564117</v>
      </c>
      <c r="CP15" s="27">
        <v>0.15238095819950104</v>
      </c>
      <c r="CQ15" s="27">
        <v>0.257485032081604</v>
      </c>
      <c r="CR15" s="27">
        <v>0.73551040887832642</v>
      </c>
      <c r="CS15">
        <v>1.2325339617169375</v>
      </c>
      <c r="CT15">
        <v>28419010.650887575</v>
      </c>
      <c r="CU15">
        <v>6.460795000000001</v>
      </c>
      <c r="CV15" s="26">
        <v>0.25787033438682555</v>
      </c>
      <c r="CW15" s="27">
        <v>0.30194076299667361</v>
      </c>
      <c r="CX15">
        <v>0.06</v>
      </c>
      <c r="CY15">
        <v>9.4386162689450668</v>
      </c>
      <c r="CZ15">
        <v>401094502.85164815</v>
      </c>
      <c r="DA15">
        <v>0.25787033438682555</v>
      </c>
      <c r="DB15">
        <v>2.6832983524146794</v>
      </c>
      <c r="DC15">
        <v>1410867001.2759514</v>
      </c>
      <c r="DD15">
        <v>0.24497681766748425</v>
      </c>
      <c r="DE15">
        <v>1.0847666951558312</v>
      </c>
      <c r="DF15">
        <v>3489945918.2383518</v>
      </c>
      <c r="DG15">
        <v>0.22692589426040649</v>
      </c>
      <c r="DH15">
        <v>0.51391357779621638</v>
      </c>
      <c r="DI15">
        <v>7366563686.1246452</v>
      </c>
      <c r="DJ15">
        <v>0.20629626750946045</v>
      </c>
      <c r="DK15">
        <v>0.15014199847867843</v>
      </c>
      <c r="DL15">
        <v>25214644392.372437</v>
      </c>
      <c r="DM15">
        <v>0.18050923407077787</v>
      </c>
      <c r="DN15">
        <v>338000000</v>
      </c>
      <c r="DO15">
        <v>0.25787033438682555</v>
      </c>
      <c r="DP15">
        <v>3785777100</v>
      </c>
      <c r="DQ15">
        <v>223658100</v>
      </c>
      <c r="DR15">
        <v>3859</v>
      </c>
      <c r="DS15">
        <v>-7.3320502359949857E-2</v>
      </c>
      <c r="DT15">
        <v>-0.2917481556377246</v>
      </c>
      <c r="DU15" s="28">
        <v>0.6</v>
      </c>
      <c r="DV15">
        <v>0.44</v>
      </c>
      <c r="DW15">
        <v>1.04</v>
      </c>
      <c r="DX15">
        <v>5.8861689106487152</v>
      </c>
      <c r="DY15">
        <v>1.2804842002570422</v>
      </c>
      <c r="DZ15">
        <v>5.1865245544505552</v>
      </c>
      <c r="EA15">
        <v>850</v>
      </c>
      <c r="EB15">
        <v>5.1540423025999154</v>
      </c>
      <c r="EC15">
        <v>5</v>
      </c>
      <c r="ED15">
        <v>4.9792268584714014E-2</v>
      </c>
      <c r="EE15">
        <v>0.23656059943647245</v>
      </c>
      <c r="EF15" s="29">
        <v>5.6910000000000002E-2</v>
      </c>
      <c r="EG15">
        <v>1.0100000000000005E-2</v>
      </c>
      <c r="EH15">
        <v>107.21048420025704</v>
      </c>
      <c r="EI15" t="s">
        <v>184</v>
      </c>
      <c r="EJ15">
        <v>1</v>
      </c>
      <c r="EK15">
        <v>1</v>
      </c>
      <c r="EL15" s="30">
        <v>44876</v>
      </c>
      <c r="EM15" s="31">
        <v>2.91</v>
      </c>
      <c r="EN15" s="31">
        <v>-1.91</v>
      </c>
      <c r="EO15" s="31">
        <v>1.4</v>
      </c>
      <c r="EP15" s="31">
        <v>-0.96</v>
      </c>
      <c r="EQ15" s="31">
        <v>6.7</v>
      </c>
    </row>
    <row r="16" spans="1:147" ht="84">
      <c r="B16" s="24"/>
      <c r="C16" s="24"/>
      <c r="D16" s="24" t="s">
        <v>1289</v>
      </c>
      <c r="E16" t="s">
        <v>404</v>
      </c>
      <c r="F16" t="s">
        <v>405</v>
      </c>
      <c r="G16">
        <v>2.83</v>
      </c>
      <c r="H16">
        <v>2.54</v>
      </c>
      <c r="I16" t="s">
        <v>406</v>
      </c>
      <c r="J16">
        <v>4233524000</v>
      </c>
      <c r="L16">
        <v>0.995</v>
      </c>
      <c r="M16" t="s">
        <v>338</v>
      </c>
      <c r="N16" t="s">
        <v>1257</v>
      </c>
      <c r="O16" t="s">
        <v>1258</v>
      </c>
      <c r="P16" t="s">
        <v>1259</v>
      </c>
      <c r="Q16">
        <v>-10.38</v>
      </c>
      <c r="R16" t="s">
        <v>1260</v>
      </c>
      <c r="S16">
        <v>-234622310</v>
      </c>
      <c r="T16" s="25">
        <v>-2.5550000000000002</v>
      </c>
      <c r="U16" t="s">
        <v>269</v>
      </c>
      <c r="V16">
        <v>1495944900</v>
      </c>
      <c r="W16">
        <v>1495944900</v>
      </c>
      <c r="X16">
        <v>2.29</v>
      </c>
      <c r="Y16">
        <v>0.34</v>
      </c>
      <c r="Z16">
        <v>-7.02</v>
      </c>
      <c r="AA16" t="s">
        <v>1261</v>
      </c>
      <c r="AB16" t="s">
        <v>1217</v>
      </c>
      <c r="AC16" t="s">
        <v>1262</v>
      </c>
      <c r="AD16" t="s">
        <v>1263</v>
      </c>
      <c r="AE16" t="s">
        <v>1264</v>
      </c>
      <c r="AF16">
        <v>102931109</v>
      </c>
      <c r="AG16" t="s">
        <v>1265</v>
      </c>
      <c r="AH16" t="s">
        <v>1266</v>
      </c>
      <c r="AI16" t="s">
        <v>1267</v>
      </c>
      <c r="AJ16" t="s">
        <v>1268</v>
      </c>
      <c r="AK16" t="s">
        <v>1269</v>
      </c>
      <c r="AL16" t="s">
        <v>170</v>
      </c>
      <c r="AM16" t="s">
        <v>1270</v>
      </c>
      <c r="AN16" t="s">
        <v>170</v>
      </c>
      <c r="AO16" t="s">
        <v>1029</v>
      </c>
      <c r="AP16" t="s">
        <v>1271</v>
      </c>
      <c r="AQ16" t="s">
        <v>1123</v>
      </c>
      <c r="AR16" t="s">
        <v>985</v>
      </c>
      <c r="AS16" t="s">
        <v>170</v>
      </c>
      <c r="AT16" t="s">
        <v>1272</v>
      </c>
      <c r="AU16" t="s">
        <v>298</v>
      </c>
      <c r="AV16" t="s">
        <v>1273</v>
      </c>
      <c r="AW16" t="s">
        <v>1274</v>
      </c>
      <c r="AX16" t="s">
        <v>1275</v>
      </c>
      <c r="AY16" t="s">
        <v>1276</v>
      </c>
      <c r="AZ16" t="s">
        <v>1277</v>
      </c>
      <c r="BA16" t="s">
        <v>1278</v>
      </c>
      <c r="BB16" t="s">
        <v>1279</v>
      </c>
      <c r="BC16" t="s">
        <v>1280</v>
      </c>
      <c r="BD16" t="s">
        <v>201</v>
      </c>
      <c r="BE16" t="s">
        <v>1281</v>
      </c>
      <c r="BF16" t="s">
        <v>1282</v>
      </c>
      <c r="BG16" t="s">
        <v>1283</v>
      </c>
      <c r="BH16" t="s">
        <v>265</v>
      </c>
      <c r="BI16" t="s">
        <v>274</v>
      </c>
      <c r="BJ16" t="s">
        <v>1284</v>
      </c>
      <c r="BK16" t="s">
        <v>1285</v>
      </c>
      <c r="BL16" t="s">
        <v>230</v>
      </c>
      <c r="BM16" t="s">
        <v>176</v>
      </c>
      <c r="BN16" t="s">
        <v>1286</v>
      </c>
      <c r="BO16">
        <v>-3.1</v>
      </c>
      <c r="BP16">
        <v>-1.33</v>
      </c>
      <c r="BQ16">
        <v>4.34</v>
      </c>
      <c r="BR16">
        <v>6.12</v>
      </c>
      <c r="BS16">
        <v>-2.2799999999999998</v>
      </c>
      <c r="BT16">
        <v>6.73</v>
      </c>
      <c r="BU16">
        <v>9.93</v>
      </c>
      <c r="BV16" t="s">
        <v>847</v>
      </c>
      <c r="BW16">
        <v>44.22</v>
      </c>
      <c r="BX16">
        <v>48.7</v>
      </c>
      <c r="BY16">
        <v>52.59</v>
      </c>
      <c r="BZ16">
        <v>-9.25</v>
      </c>
      <c r="CA16">
        <v>6.59</v>
      </c>
      <c r="CB16">
        <v>8.19</v>
      </c>
      <c r="CC16">
        <v>4.8099999999999996</v>
      </c>
      <c r="CD16">
        <v>1.43</v>
      </c>
      <c r="CE16" t="s">
        <v>1287</v>
      </c>
      <c r="CF16" t="s">
        <v>546</v>
      </c>
      <c r="CG16" s="26">
        <v>-9.6582339791355692E-2</v>
      </c>
      <c r="CH16" s="27">
        <v>-1.3359367307709034</v>
      </c>
      <c r="CI16" s="26">
        <v>0.15401443839073181</v>
      </c>
      <c r="CJ16" s="26">
        <v>-0.18199713528156281</v>
      </c>
      <c r="CK16" s="26">
        <v>6.2155395746231079E-2</v>
      </c>
      <c r="CL16" s="26">
        <v>0.25891363620758057</v>
      </c>
      <c r="CM16" s="26">
        <v>0.20536486804485321</v>
      </c>
      <c r="CN16" s="27">
        <v>-0.25163400173187256</v>
      </c>
      <c r="CO16" s="27">
        <v>-0.34051725268363953</v>
      </c>
      <c r="CP16" s="27">
        <v>2.8824834153056145E-2</v>
      </c>
      <c r="CQ16" s="27">
        <v>0.23561644554138184</v>
      </c>
      <c r="CR16" s="27">
        <v>0.1027190312743187</v>
      </c>
      <c r="CS16">
        <v>0.80256379146919432</v>
      </c>
      <c r="CT16">
        <v>-104025777.29257642</v>
      </c>
      <c r="CU16">
        <v>-5.4657720000000003</v>
      </c>
      <c r="CV16" s="26">
        <v>9.969024062156677E-2</v>
      </c>
      <c r="CW16" s="27">
        <v>-4.4998188689351085E-2</v>
      </c>
      <c r="CX16">
        <v>0.06</v>
      </c>
      <c r="CY16">
        <v>22.971833841534895</v>
      </c>
      <c r="CZ16">
        <v>237574589.71918753</v>
      </c>
      <c r="DA16">
        <v>9.969024062156677E-2</v>
      </c>
      <c r="DB16">
        <v>7.4457015762859662</v>
      </c>
      <c r="DC16">
        <v>732976462.20227635</v>
      </c>
      <c r="DD16">
        <v>9.4705728590488425E-2</v>
      </c>
      <c r="DE16">
        <v>3.6252419031923773</v>
      </c>
      <c r="DF16">
        <v>1505423402.2822368</v>
      </c>
      <c r="DG16">
        <v>8.7727411746978762E-2</v>
      </c>
      <c r="DH16">
        <v>2.1500543078669931</v>
      </c>
      <c r="DI16">
        <v>2538319139.2101402</v>
      </c>
      <c r="DJ16">
        <v>7.9752192497253419E-2</v>
      </c>
      <c r="DK16">
        <v>1.0805056697054445</v>
      </c>
      <c r="DL16">
        <v>5050898068.3903027</v>
      </c>
      <c r="DM16">
        <v>6.9783168435096729E-2</v>
      </c>
      <c r="DN16">
        <v>229000000</v>
      </c>
      <c r="DO16">
        <v>9.969024062156677E-2</v>
      </c>
      <c r="DP16">
        <v>5457524000</v>
      </c>
      <c r="DQ16">
        <v>819794100</v>
      </c>
      <c r="DR16">
        <v>2996</v>
      </c>
      <c r="DS16">
        <v>-0.19627258041292245</v>
      </c>
      <c r="DT16">
        <v>-1.2909385420815522</v>
      </c>
      <c r="DU16" s="28">
        <v>0</v>
      </c>
      <c r="DV16">
        <v>-0.89833333333333332</v>
      </c>
      <c r="DW16">
        <v>-0.89833333333333332</v>
      </c>
      <c r="DX16">
        <v>4.2972972972972974</v>
      </c>
      <c r="DY16">
        <v>0.74013928571428489</v>
      </c>
      <c r="DZ16">
        <v>4.0505819498069497</v>
      </c>
      <c r="EA16">
        <v>4083</v>
      </c>
      <c r="EB16">
        <v>4.0082696980016284</v>
      </c>
      <c r="EC16">
        <v>4</v>
      </c>
      <c r="ED16">
        <v>2.2291796977281716E-2</v>
      </c>
      <c r="EE16">
        <v>0.13102086848252231</v>
      </c>
      <c r="EF16" s="29">
        <v>-3.0291100000000002</v>
      </c>
      <c r="EG16">
        <v>-3.0037099999999999</v>
      </c>
      <c r="EH16">
        <v>57.170139285714285</v>
      </c>
      <c r="EI16" t="s">
        <v>1288</v>
      </c>
      <c r="EJ16">
        <v>0</v>
      </c>
      <c r="EK16">
        <v>0</v>
      </c>
      <c r="EL16" s="30">
        <v>44876</v>
      </c>
      <c r="EM16" s="31">
        <v>1.48</v>
      </c>
      <c r="EN16" s="31">
        <v>-0.73</v>
      </c>
      <c r="EO16" s="31">
        <v>0.74</v>
      </c>
      <c r="EP16" s="31">
        <v>0.73</v>
      </c>
      <c r="EQ16" s="31">
        <v>2.54</v>
      </c>
    </row>
    <row r="17" spans="2:147" ht="84">
      <c r="B17" s="24"/>
      <c r="C17" s="24"/>
      <c r="D17" s="24" t="s">
        <v>1322</v>
      </c>
      <c r="E17" t="s">
        <v>407</v>
      </c>
      <c r="F17" t="s">
        <v>408</v>
      </c>
      <c r="G17">
        <v>21.2</v>
      </c>
      <c r="H17">
        <v>7.02</v>
      </c>
      <c r="I17" t="s">
        <v>409</v>
      </c>
      <c r="J17">
        <v>4211910000</v>
      </c>
      <c r="L17">
        <v>1.19</v>
      </c>
      <c r="M17" t="s">
        <v>338</v>
      </c>
      <c r="N17" t="s">
        <v>1290</v>
      </c>
      <c r="O17" t="s">
        <v>1291</v>
      </c>
      <c r="P17" t="s">
        <v>1292</v>
      </c>
      <c r="Q17">
        <v>-27.18</v>
      </c>
      <c r="R17" t="s">
        <v>1293</v>
      </c>
      <c r="S17">
        <v>-29729984</v>
      </c>
      <c r="T17" s="25">
        <v>-1.3420000000000001</v>
      </c>
      <c r="U17" t="s">
        <v>1294</v>
      </c>
      <c r="V17">
        <v>130125262</v>
      </c>
      <c r="W17">
        <v>198675000</v>
      </c>
      <c r="X17">
        <v>2.21</v>
      </c>
      <c r="Y17">
        <v>0.48</v>
      </c>
      <c r="Z17">
        <v>-0.81</v>
      </c>
      <c r="AA17" t="s">
        <v>1295</v>
      </c>
      <c r="AB17" t="s">
        <v>1296</v>
      </c>
      <c r="AC17" t="s">
        <v>1297</v>
      </c>
      <c r="AD17" t="s">
        <v>213</v>
      </c>
      <c r="AE17" t="s">
        <v>247</v>
      </c>
      <c r="AF17">
        <v>50229719</v>
      </c>
      <c r="AG17" t="s">
        <v>1298</v>
      </c>
      <c r="AH17" t="s">
        <v>1299</v>
      </c>
      <c r="AI17" t="s">
        <v>1300</v>
      </c>
      <c r="AJ17" t="s">
        <v>1038</v>
      </c>
      <c r="AK17" t="s">
        <v>1301</v>
      </c>
      <c r="AL17" t="s">
        <v>1302</v>
      </c>
      <c r="AM17" t="s">
        <v>1303</v>
      </c>
      <c r="AN17" t="s">
        <v>170</v>
      </c>
      <c r="AO17" t="s">
        <v>1304</v>
      </c>
      <c r="AP17" t="s">
        <v>1118</v>
      </c>
      <c r="AQ17" t="s">
        <v>315</v>
      </c>
      <c r="AR17" t="s">
        <v>1305</v>
      </c>
      <c r="AS17" t="s">
        <v>170</v>
      </c>
      <c r="AT17" t="s">
        <v>1306</v>
      </c>
      <c r="AU17" t="s">
        <v>1307</v>
      </c>
      <c r="AV17" t="s">
        <v>1308</v>
      </c>
      <c r="AW17" t="s">
        <v>1309</v>
      </c>
      <c r="AX17" t="s">
        <v>324</v>
      </c>
      <c r="AY17" t="s">
        <v>1310</v>
      </c>
      <c r="AZ17" t="s">
        <v>553</v>
      </c>
      <c r="BA17" t="s">
        <v>1311</v>
      </c>
      <c r="BB17" t="s">
        <v>1312</v>
      </c>
      <c r="BC17" t="s">
        <v>1313</v>
      </c>
      <c r="BD17" t="s">
        <v>216</v>
      </c>
      <c r="BE17" t="s">
        <v>178</v>
      </c>
      <c r="BF17" t="s">
        <v>1314</v>
      </c>
      <c r="BG17" t="s">
        <v>985</v>
      </c>
      <c r="BH17" t="s">
        <v>1238</v>
      </c>
      <c r="BI17" t="s">
        <v>285</v>
      </c>
      <c r="BJ17" t="s">
        <v>1315</v>
      </c>
      <c r="BK17" t="s">
        <v>1316</v>
      </c>
      <c r="BL17" t="s">
        <v>1317</v>
      </c>
      <c r="BM17" t="s">
        <v>1318</v>
      </c>
      <c r="BN17" t="s">
        <v>1319</v>
      </c>
      <c r="BO17">
        <v>-0.46</v>
      </c>
      <c r="BP17">
        <v>-1.58</v>
      </c>
      <c r="BQ17">
        <v>2.39</v>
      </c>
      <c r="BR17">
        <v>16.100000000000001</v>
      </c>
      <c r="BS17">
        <v>-2.84</v>
      </c>
      <c r="BT17">
        <v>2.9</v>
      </c>
      <c r="BU17">
        <v>16.14</v>
      </c>
      <c r="BV17" t="s">
        <v>847</v>
      </c>
      <c r="BW17">
        <v>33.11</v>
      </c>
      <c r="BX17">
        <v>33.229999999999997</v>
      </c>
      <c r="BY17">
        <v>41.57</v>
      </c>
      <c r="BZ17">
        <v>-4.3899999999999997</v>
      </c>
      <c r="CA17">
        <v>1.55</v>
      </c>
      <c r="CB17">
        <v>7.28</v>
      </c>
      <c r="CC17">
        <v>7.56</v>
      </c>
      <c r="CD17">
        <v>13.01</v>
      </c>
      <c r="CE17" t="s">
        <v>1320</v>
      </c>
      <c r="CF17" t="s">
        <v>1321</v>
      </c>
      <c r="CG17" s="26">
        <v>-0.26773236034222447</v>
      </c>
      <c r="CH17" s="27">
        <v>0.60508654898587022</v>
      </c>
      <c r="CI17" s="26">
        <v>0.12237067520618439</v>
      </c>
      <c r="CJ17" s="26">
        <v>-0.10301614552736282</v>
      </c>
      <c r="CK17" s="26">
        <v>9.2701278626918793E-2</v>
      </c>
      <c r="CL17" s="26">
        <v>0.24835626780986786</v>
      </c>
      <c r="CM17" s="26">
        <v>0.32215598225593567</v>
      </c>
      <c r="CN17" s="27">
        <v>-0.11183461546897888</v>
      </c>
      <c r="CO17" s="27">
        <v>-0.80871212482452393</v>
      </c>
      <c r="CP17" s="27">
        <v>0.10691823810338974</v>
      </c>
      <c r="CQ17" s="27">
        <v>0.25526314973831177</v>
      </c>
      <c r="CR17" s="27">
        <v>0.484375</v>
      </c>
      <c r="CS17">
        <v>0.57618467852257194</v>
      </c>
      <c r="CT17">
        <v>-87160327.162344888</v>
      </c>
      <c r="CU17">
        <v>-0.85924800000000001</v>
      </c>
      <c r="CV17" s="26">
        <v>0.13651361167430878</v>
      </c>
      <c r="CW17" s="27">
        <v>-1.4798070490360259E-2</v>
      </c>
      <c r="CX17">
        <v>0.06</v>
      </c>
      <c r="CY17">
        <v>51.57952921385133</v>
      </c>
      <c r="CZ17">
        <v>96179823.189773932</v>
      </c>
      <c r="DA17">
        <v>0.13651361167430878</v>
      </c>
      <c r="DB17">
        <v>16.208131140315697</v>
      </c>
      <c r="DC17">
        <v>306075386.30165434</v>
      </c>
      <c r="DD17">
        <v>0.12968793109059334</v>
      </c>
      <c r="DE17">
        <v>7.564788385689817</v>
      </c>
      <c r="DF17">
        <v>655789659.54744613</v>
      </c>
      <c r="DG17">
        <v>0.12013197827339173</v>
      </c>
      <c r="DH17">
        <v>4.2723602357387023</v>
      </c>
      <c r="DI17">
        <v>1161163789.163075</v>
      </c>
      <c r="DJ17">
        <v>0.10921088933944703</v>
      </c>
      <c r="DK17">
        <v>1.9205135278227443</v>
      </c>
      <c r="DL17">
        <v>2583116405.1336336</v>
      </c>
      <c r="DM17">
        <v>9.5559528172016142E-2</v>
      </c>
      <c r="DN17">
        <v>89704700</v>
      </c>
      <c r="DO17">
        <v>0.13651361167430878</v>
      </c>
      <c r="DP17">
        <v>4960910000</v>
      </c>
      <c r="DQ17">
        <v>364454900</v>
      </c>
      <c r="DR17">
        <v>2096</v>
      </c>
      <c r="DS17">
        <v>-0.40424597201653323</v>
      </c>
      <c r="DT17">
        <v>0.61988461947623053</v>
      </c>
      <c r="DU17" s="28">
        <v>-0.22</v>
      </c>
      <c r="DV17">
        <v>-0.89833333333333332</v>
      </c>
      <c r="DW17">
        <v>-1.1183333333333334</v>
      </c>
      <c r="DX17">
        <v>9.5810914681014605</v>
      </c>
      <c r="DY17">
        <v>0.90721039835156203</v>
      </c>
      <c r="DZ17">
        <v>9.1029754505409564</v>
      </c>
      <c r="EA17">
        <v>4149</v>
      </c>
      <c r="EB17">
        <v>9.0154431530006107</v>
      </c>
      <c r="EC17">
        <v>9</v>
      </c>
      <c r="ED17">
        <v>6.4432867748836026E-2</v>
      </c>
      <c r="EE17">
        <v>0.36359531898829744</v>
      </c>
      <c r="EF17" s="29">
        <v>-3.0507</v>
      </c>
      <c r="EG17">
        <v>-3.1208999999999998</v>
      </c>
      <c r="EH17">
        <v>73.177210398351562</v>
      </c>
      <c r="EI17" t="s">
        <v>492</v>
      </c>
      <c r="EJ17">
        <v>1</v>
      </c>
      <c r="EK17">
        <v>0</v>
      </c>
      <c r="EL17" s="30">
        <v>44876</v>
      </c>
      <c r="EM17" s="31">
        <v>0.86</v>
      </c>
      <c r="EN17" s="31">
        <v>-1.86</v>
      </c>
      <c r="EO17" s="31">
        <v>0.26</v>
      </c>
      <c r="EP17" s="31">
        <v>1.28</v>
      </c>
      <c r="EQ17" s="31">
        <v>7.02</v>
      </c>
    </row>
    <row r="18" spans="2:147" ht="84">
      <c r="B18" s="24"/>
      <c r="C18" s="24"/>
      <c r="D18" s="24" t="s">
        <v>1352</v>
      </c>
      <c r="E18" t="s">
        <v>410</v>
      </c>
      <c r="F18" t="s">
        <v>411</v>
      </c>
      <c r="G18">
        <v>6.35</v>
      </c>
      <c r="H18">
        <v>2.42</v>
      </c>
      <c r="I18" t="s">
        <v>412</v>
      </c>
      <c r="J18">
        <v>4182380200</v>
      </c>
      <c r="K18">
        <v>96.52</v>
      </c>
      <c r="L18">
        <v>2.41</v>
      </c>
      <c r="M18" t="s">
        <v>338</v>
      </c>
      <c r="N18" t="s">
        <v>1323</v>
      </c>
      <c r="O18" t="s">
        <v>1324</v>
      </c>
      <c r="P18" t="s">
        <v>1325</v>
      </c>
      <c r="Q18">
        <v>0.39</v>
      </c>
      <c r="R18" t="s">
        <v>231</v>
      </c>
      <c r="S18">
        <v>15452680</v>
      </c>
      <c r="T18" s="25">
        <v>-0.67979999999999996</v>
      </c>
      <c r="U18" t="s">
        <v>1326</v>
      </c>
      <c r="V18">
        <v>654921160</v>
      </c>
      <c r="W18">
        <v>658642560</v>
      </c>
      <c r="X18">
        <v>2.4500000000000002</v>
      </c>
      <c r="Y18">
        <v>0.31</v>
      </c>
      <c r="Z18">
        <v>0.35</v>
      </c>
      <c r="AA18" t="s">
        <v>251</v>
      </c>
      <c r="AB18" t="s">
        <v>844</v>
      </c>
      <c r="AC18" t="s">
        <v>256</v>
      </c>
      <c r="AD18" t="s">
        <v>1327</v>
      </c>
      <c r="AE18" t="s">
        <v>1328</v>
      </c>
      <c r="AF18">
        <v>48733838</v>
      </c>
      <c r="AG18" t="s">
        <v>1329</v>
      </c>
      <c r="AH18" t="s">
        <v>1330</v>
      </c>
      <c r="AI18" t="s">
        <v>1331</v>
      </c>
      <c r="AJ18" t="s">
        <v>1332</v>
      </c>
      <c r="AK18" t="s">
        <v>1333</v>
      </c>
      <c r="AL18" t="s">
        <v>1334</v>
      </c>
      <c r="AM18" t="s">
        <v>1335</v>
      </c>
      <c r="AN18" t="s">
        <v>170</v>
      </c>
      <c r="AO18" t="s">
        <v>1336</v>
      </c>
      <c r="AP18" t="s">
        <v>317</v>
      </c>
      <c r="AQ18" t="s">
        <v>1337</v>
      </c>
      <c r="AR18" t="s">
        <v>1185</v>
      </c>
      <c r="AS18" t="s">
        <v>170</v>
      </c>
      <c r="AT18" t="s">
        <v>1338</v>
      </c>
      <c r="AU18" t="s">
        <v>170</v>
      </c>
      <c r="AV18" t="s">
        <v>1339</v>
      </c>
      <c r="AW18" t="s">
        <v>1340</v>
      </c>
      <c r="AX18" t="s">
        <v>802</v>
      </c>
      <c r="AY18" t="s">
        <v>1341</v>
      </c>
      <c r="AZ18" t="s">
        <v>307</v>
      </c>
      <c r="BA18" t="s">
        <v>1342</v>
      </c>
      <c r="BB18" t="s">
        <v>1343</v>
      </c>
      <c r="BC18" t="s">
        <v>1344</v>
      </c>
      <c r="BD18" t="s">
        <v>1345</v>
      </c>
      <c r="BE18" t="s">
        <v>1346</v>
      </c>
      <c r="BF18" t="s">
        <v>227</v>
      </c>
      <c r="BG18" t="s">
        <v>1347</v>
      </c>
      <c r="BH18" t="s">
        <v>564</v>
      </c>
      <c r="BI18" t="s">
        <v>1271</v>
      </c>
      <c r="BJ18" t="s">
        <v>1348</v>
      </c>
      <c r="BK18" t="s">
        <v>924</v>
      </c>
      <c r="BL18" t="s">
        <v>1349</v>
      </c>
      <c r="BM18" t="s">
        <v>1350</v>
      </c>
      <c r="BN18" t="s">
        <v>1351</v>
      </c>
      <c r="BO18">
        <v>0.42</v>
      </c>
      <c r="BP18">
        <v>-0.76</v>
      </c>
      <c r="BQ18">
        <v>-0.99</v>
      </c>
      <c r="BR18">
        <v>3.81</v>
      </c>
      <c r="BS18">
        <v>-1.46</v>
      </c>
      <c r="BT18">
        <v>-1.49</v>
      </c>
      <c r="BU18">
        <v>4.5199999999999996</v>
      </c>
      <c r="BV18" t="s">
        <v>847</v>
      </c>
      <c r="BW18">
        <v>22.13</v>
      </c>
      <c r="BX18">
        <v>28.2</v>
      </c>
      <c r="BY18">
        <v>31.06</v>
      </c>
      <c r="BZ18">
        <v>-0.84</v>
      </c>
      <c r="CA18">
        <v>-3.27</v>
      </c>
      <c r="CB18">
        <v>3.83</v>
      </c>
      <c r="CC18">
        <v>12.79</v>
      </c>
      <c r="CD18">
        <v>18.03</v>
      </c>
      <c r="CE18" t="s">
        <v>181</v>
      </c>
      <c r="CF18" t="s">
        <v>222</v>
      </c>
      <c r="CG18" s="26">
        <v>6.6611712473572934E-2</v>
      </c>
      <c r="CH18" s="27">
        <v>-2.4648688585149073E-2</v>
      </c>
      <c r="CI18" s="26">
        <v>0.29719388484954834</v>
      </c>
      <c r="CJ18" s="26">
        <v>-0.12791991233825684</v>
      </c>
      <c r="CK18" s="26">
        <v>1.6968326643109322E-2</v>
      </c>
      <c r="CL18" s="26">
        <v>0.10499999672174454</v>
      </c>
      <c r="CM18" s="26">
        <v>0.41342756152153015</v>
      </c>
      <c r="CN18" s="27">
        <v>3.8224737644195557</v>
      </c>
      <c r="CO18" s="27">
        <v>-1.3385113477706909</v>
      </c>
      <c r="CP18" s="27">
        <v>-0.23375768959522247</v>
      </c>
      <c r="CQ18" s="27">
        <v>0.21432341635227203</v>
      </c>
      <c r="CR18" s="27">
        <v>-0.55159997940063477</v>
      </c>
      <c r="CS18">
        <v>2.0562341199606688</v>
      </c>
      <c r="CT18">
        <v>-14289611.522205673</v>
      </c>
      <c r="CU18">
        <v>0.26582499999999998</v>
      </c>
      <c r="CV18" s="26">
        <v>0.1409339714795351</v>
      </c>
      <c r="CW18" s="27">
        <v>0.3825856328010559</v>
      </c>
      <c r="CX18">
        <v>0.06</v>
      </c>
      <c r="CY18">
        <v>61.162714825258121</v>
      </c>
      <c r="CZ18">
        <v>81951565.006889746</v>
      </c>
      <c r="DA18">
        <v>0.1409339714795351</v>
      </c>
      <c r="DB18">
        <v>19.148513507676686</v>
      </c>
      <c r="DC18">
        <v>261763410.40731567</v>
      </c>
      <c r="DD18">
        <v>0.13388727290555832</v>
      </c>
      <c r="DE18">
        <v>8.8914606090117694</v>
      </c>
      <c r="DF18">
        <v>563729675.06821072</v>
      </c>
      <c r="DG18">
        <v>0.12402189490199089</v>
      </c>
      <c r="DH18">
        <v>4.9914454901174503</v>
      </c>
      <c r="DI18">
        <v>1004194117.700774</v>
      </c>
      <c r="DJ18">
        <v>0.11274717718362809</v>
      </c>
      <c r="DK18">
        <v>2.2123872633486861</v>
      </c>
      <c r="DL18">
        <v>2265598018.5011659</v>
      </c>
      <c r="DM18">
        <v>9.8653780035674557E-2</v>
      </c>
      <c r="DN18">
        <v>76138200</v>
      </c>
      <c r="DO18">
        <v>0.1409339714795351</v>
      </c>
      <c r="DP18">
        <v>5012380200</v>
      </c>
      <c r="DQ18">
        <v>1426785799.9999998</v>
      </c>
      <c r="DR18">
        <v>1120</v>
      </c>
      <c r="DS18">
        <v>-7.4322259005962163E-2</v>
      </c>
      <c r="DT18">
        <v>-0.40723432138620497</v>
      </c>
      <c r="DU18" s="28">
        <v>0.44</v>
      </c>
      <c r="DV18">
        <v>-0.44</v>
      </c>
      <c r="DW18">
        <v>0</v>
      </c>
      <c r="DX18">
        <v>9.7093732667775932</v>
      </c>
      <c r="DY18">
        <v>0.53919220055710282</v>
      </c>
      <c r="DZ18">
        <v>9.2193326813713448</v>
      </c>
      <c r="EA18">
        <v>3999</v>
      </c>
      <c r="EB18">
        <v>9.0396335638126466</v>
      </c>
      <c r="EC18">
        <v>9</v>
      </c>
      <c r="ED18">
        <v>0.1685284352107462</v>
      </c>
      <c r="EE18">
        <v>0.54506043460052145</v>
      </c>
      <c r="EF18" s="29">
        <v>2.7299999999999998E-2</v>
      </c>
      <c r="EG18">
        <v>5.1500000000000004E-2</v>
      </c>
      <c r="EH18">
        <v>23.309192200557103</v>
      </c>
      <c r="EI18" t="s">
        <v>184</v>
      </c>
      <c r="EJ18">
        <v>1</v>
      </c>
      <c r="EK18">
        <v>0</v>
      </c>
      <c r="EL18" s="30">
        <v>44876</v>
      </c>
      <c r="EM18" s="31">
        <v>9.9499999999999993</v>
      </c>
      <c r="EN18" s="31">
        <v>-0.16</v>
      </c>
      <c r="EO18" s="31">
        <v>0.81</v>
      </c>
      <c r="EP18" s="31">
        <v>-0.48</v>
      </c>
      <c r="EQ18" s="31">
        <v>2.42</v>
      </c>
    </row>
    <row r="19" spans="2:147" ht="84">
      <c r="D19" s="24" t="s">
        <v>1385</v>
      </c>
      <c r="E19" t="s">
        <v>413</v>
      </c>
      <c r="F19" t="s">
        <v>414</v>
      </c>
      <c r="G19">
        <v>9.11</v>
      </c>
      <c r="H19">
        <v>1.33</v>
      </c>
      <c r="I19" t="s">
        <v>415</v>
      </c>
      <c r="J19">
        <v>4039237400</v>
      </c>
      <c r="K19">
        <v>6076</v>
      </c>
      <c r="L19">
        <v>2.36</v>
      </c>
      <c r="M19" t="s">
        <v>338</v>
      </c>
      <c r="N19" t="s">
        <v>1353</v>
      </c>
      <c r="O19" t="s">
        <v>1354</v>
      </c>
      <c r="P19" t="s">
        <v>1355</v>
      </c>
      <c r="Q19">
        <v>-12.08</v>
      </c>
      <c r="R19" t="s">
        <v>1356</v>
      </c>
      <c r="S19">
        <v>11487498</v>
      </c>
      <c r="T19" s="25">
        <v>-0.92259999999999998</v>
      </c>
      <c r="U19" t="s">
        <v>193</v>
      </c>
      <c r="V19">
        <v>74380000</v>
      </c>
      <c r="W19">
        <v>443385000</v>
      </c>
      <c r="X19">
        <v>2.23</v>
      </c>
      <c r="Y19">
        <v>0.42</v>
      </c>
      <c r="Z19">
        <v>0.6</v>
      </c>
      <c r="AA19" t="s">
        <v>1357</v>
      </c>
      <c r="AB19" t="s">
        <v>1358</v>
      </c>
      <c r="AC19" t="s">
        <v>220</v>
      </c>
      <c r="AD19" t="s">
        <v>1359</v>
      </c>
      <c r="AE19" t="s">
        <v>1360</v>
      </c>
      <c r="AF19">
        <v>-8111484</v>
      </c>
      <c r="AG19" t="s">
        <v>1361</v>
      </c>
      <c r="AH19" t="s">
        <v>1362</v>
      </c>
      <c r="AI19" t="s">
        <v>1363</v>
      </c>
      <c r="AJ19" t="s">
        <v>1364</v>
      </c>
      <c r="AK19" t="s">
        <v>1365</v>
      </c>
      <c r="AL19" t="s">
        <v>172</v>
      </c>
      <c r="AM19" t="s">
        <v>1366</v>
      </c>
      <c r="AN19" t="s">
        <v>170</v>
      </c>
      <c r="AO19" t="s">
        <v>1367</v>
      </c>
      <c r="AP19" t="s">
        <v>1305</v>
      </c>
      <c r="AQ19" t="s">
        <v>171</v>
      </c>
      <c r="AR19" t="s">
        <v>1368</v>
      </c>
      <c r="AS19" t="s">
        <v>170</v>
      </c>
      <c r="AT19" t="s">
        <v>1369</v>
      </c>
      <c r="AU19" t="s">
        <v>170</v>
      </c>
      <c r="AV19" t="s">
        <v>1274</v>
      </c>
      <c r="AW19" t="s">
        <v>1370</v>
      </c>
      <c r="AX19" t="s">
        <v>529</v>
      </c>
      <c r="AY19" t="s">
        <v>1371</v>
      </c>
      <c r="AZ19" t="s">
        <v>1372</v>
      </c>
      <c r="BA19" t="s">
        <v>1373</v>
      </c>
      <c r="BB19" t="s">
        <v>1374</v>
      </c>
      <c r="BC19" t="s">
        <v>1375</v>
      </c>
      <c r="BD19" t="s">
        <v>210</v>
      </c>
      <c r="BE19" t="s">
        <v>1376</v>
      </c>
      <c r="BF19" t="s">
        <v>176</v>
      </c>
      <c r="BG19" t="s">
        <v>706</v>
      </c>
      <c r="BH19" t="s">
        <v>1377</v>
      </c>
      <c r="BI19" t="s">
        <v>1378</v>
      </c>
      <c r="BJ19" t="s">
        <v>1379</v>
      </c>
      <c r="BK19" t="s">
        <v>1380</v>
      </c>
      <c r="BL19" t="s">
        <v>1381</v>
      </c>
      <c r="BM19" t="s">
        <v>1179</v>
      </c>
      <c r="BN19" t="s">
        <v>1382</v>
      </c>
      <c r="BO19">
        <v>0.45</v>
      </c>
      <c r="BP19">
        <v>-0.26</v>
      </c>
      <c r="BQ19">
        <v>19.97</v>
      </c>
      <c r="BR19">
        <v>22.91</v>
      </c>
      <c r="BS19">
        <v>-0.4</v>
      </c>
      <c r="BT19">
        <v>24.45</v>
      </c>
      <c r="BU19" t="s">
        <v>170</v>
      </c>
      <c r="BV19" t="s">
        <v>847</v>
      </c>
      <c r="BW19">
        <v>21.55</v>
      </c>
      <c r="BX19">
        <v>31.84</v>
      </c>
      <c r="BY19">
        <v>29.2</v>
      </c>
      <c r="BZ19">
        <v>-1.38</v>
      </c>
      <c r="CA19">
        <v>11.34</v>
      </c>
      <c r="CB19">
        <v>10.81</v>
      </c>
      <c r="CC19">
        <v>2.71</v>
      </c>
      <c r="CD19">
        <v>6.55</v>
      </c>
      <c r="CE19" t="s">
        <v>1383</v>
      </c>
      <c r="CF19" t="s">
        <v>1384</v>
      </c>
      <c r="CG19" s="26">
        <v>-0.24418764331210141</v>
      </c>
      <c r="CH19" s="27">
        <v>-0.65867118882367703</v>
      </c>
      <c r="CI19" s="26">
        <v>0.25118255615234375</v>
      </c>
      <c r="CJ19" s="26">
        <v>8.3546862006187439E-2</v>
      </c>
      <c r="CK19" s="26">
        <v>0.12970468401908875</v>
      </c>
      <c r="CL19" s="26">
        <v>6.9971592165529728E-3</v>
      </c>
      <c r="CM19" s="26">
        <v>0.18275856971740723</v>
      </c>
      <c r="CN19" s="27">
        <v>-0.42500001192092896</v>
      </c>
      <c r="CO19" s="27">
        <v>0.1320754736661911</v>
      </c>
      <c r="CP19" s="27">
        <v>0.40397351980209351</v>
      </c>
      <c r="CQ19" s="27">
        <v>-0.27403846383094788</v>
      </c>
      <c r="CR19" s="27">
        <v>0.47517731785774231</v>
      </c>
      <c r="CS19">
        <v>1.5271218903591683</v>
      </c>
      <c r="CT19">
        <v>1549493.4782608696</v>
      </c>
      <c r="CU19">
        <v>0.56196000000000002</v>
      </c>
      <c r="CV19" s="26">
        <v>0.13083796622231603</v>
      </c>
      <c r="CW19" s="27">
        <v>6.243756711483002E-2</v>
      </c>
      <c r="CX19">
        <v>0.06</v>
      </c>
      <c r="CY19">
        <v>30.214426495456472</v>
      </c>
      <c r="CZ19">
        <v>147222301.26290527</v>
      </c>
      <c r="DA19">
        <v>0.13083796622231603</v>
      </c>
      <c r="DB19">
        <v>9.5397301387492188</v>
      </c>
      <c r="DC19">
        <v>466285454.12744987</v>
      </c>
      <c r="DD19">
        <v>0.12429606791120022</v>
      </c>
      <c r="DE19">
        <v>4.4817901531992659</v>
      </c>
      <c r="DF19">
        <v>992513537.65965259</v>
      </c>
      <c r="DG19">
        <v>0.11513741027563811</v>
      </c>
      <c r="DH19">
        <v>2.5507222439933335</v>
      </c>
      <c r="DI19">
        <v>1743912889.9569929</v>
      </c>
      <c r="DJ19">
        <v>0.10467037297785282</v>
      </c>
      <c r="DK19">
        <v>1.1672721031131938</v>
      </c>
      <c r="DL19">
        <v>3810797318.0685539</v>
      </c>
      <c r="DM19">
        <v>9.1586576355621216E-2</v>
      </c>
      <c r="DN19">
        <v>138000000</v>
      </c>
      <c r="DO19">
        <v>0.13083796622231603</v>
      </c>
      <c r="DP19">
        <v>4448237400</v>
      </c>
      <c r="DQ19">
        <v>36854200</v>
      </c>
      <c r="DR19">
        <v>4350</v>
      </c>
      <c r="DS19">
        <v>-0.37502560953441744</v>
      </c>
      <c r="DT19">
        <v>-0.7211087559385071</v>
      </c>
      <c r="DU19" s="28">
        <v>0</v>
      </c>
      <c r="DV19">
        <v>-0.44</v>
      </c>
      <c r="DW19">
        <v>-0.44</v>
      </c>
      <c r="DX19">
        <v>8.4137404580152673</v>
      </c>
      <c r="DY19">
        <v>0.89246229790316878</v>
      </c>
      <c r="DZ19">
        <v>8.0961790576057417</v>
      </c>
      <c r="EA19">
        <v>3621</v>
      </c>
      <c r="EB19">
        <v>8.0248280296216414</v>
      </c>
      <c r="EC19">
        <v>8</v>
      </c>
      <c r="ED19">
        <v>1.157684630738523E-2</v>
      </c>
      <c r="EE19">
        <v>4.980096304566009E-2</v>
      </c>
      <c r="EF19" s="29">
        <v>3.9600000000000003E-2</v>
      </c>
      <c r="EG19">
        <v>5.2900000000000003E-2</v>
      </c>
      <c r="EH19">
        <v>66.232462297903169</v>
      </c>
      <c r="EI19" t="s">
        <v>184</v>
      </c>
      <c r="EJ19">
        <v>0</v>
      </c>
      <c r="EK19">
        <v>0</v>
      </c>
      <c r="EL19" s="30">
        <v>44876</v>
      </c>
      <c r="EM19" s="31">
        <v>1.58</v>
      </c>
      <c r="EN19" s="31">
        <v>-0.89</v>
      </c>
      <c r="EO19">
        <v>0.45</v>
      </c>
      <c r="EP19">
        <v>0.22</v>
      </c>
      <c r="EQ19">
        <v>1.33</v>
      </c>
    </row>
    <row r="20" spans="2:147" ht="84">
      <c r="B20" s="24"/>
      <c r="C20" s="24"/>
      <c r="D20" s="24" t="s">
        <v>1416</v>
      </c>
      <c r="E20" t="s">
        <v>416</v>
      </c>
      <c r="F20" t="s">
        <v>417</v>
      </c>
      <c r="G20">
        <v>6.65</v>
      </c>
      <c r="H20">
        <v>2.94</v>
      </c>
      <c r="I20" t="s">
        <v>418</v>
      </c>
      <c r="J20">
        <v>3906280100</v>
      </c>
      <c r="K20">
        <v>24.91</v>
      </c>
      <c r="L20">
        <v>1.82</v>
      </c>
      <c r="M20" t="s">
        <v>338</v>
      </c>
      <c r="N20" t="s">
        <v>1386</v>
      </c>
      <c r="O20" t="s">
        <v>1387</v>
      </c>
      <c r="P20" t="s">
        <v>1388</v>
      </c>
      <c r="Q20">
        <v>0.21</v>
      </c>
      <c r="R20" t="s">
        <v>1389</v>
      </c>
      <c r="S20">
        <v>160315010</v>
      </c>
      <c r="T20" s="25">
        <v>-0.11609999999999999</v>
      </c>
      <c r="U20" t="s">
        <v>205</v>
      </c>
      <c r="V20">
        <v>580395550</v>
      </c>
      <c r="W20">
        <v>587410550</v>
      </c>
      <c r="X20">
        <v>3.46</v>
      </c>
      <c r="Y20">
        <v>0.5</v>
      </c>
      <c r="Z20">
        <v>4.29</v>
      </c>
      <c r="AA20" t="s">
        <v>1390</v>
      </c>
      <c r="AB20" t="s">
        <v>1391</v>
      </c>
      <c r="AC20" t="s">
        <v>207</v>
      </c>
      <c r="AD20" t="s">
        <v>243</v>
      </c>
      <c r="AE20" t="s">
        <v>1392</v>
      </c>
      <c r="AF20">
        <v>109409802</v>
      </c>
      <c r="AG20" t="s">
        <v>1393</v>
      </c>
      <c r="AH20" t="s">
        <v>1394</v>
      </c>
      <c r="AI20" t="s">
        <v>1395</v>
      </c>
      <c r="AJ20" t="s">
        <v>1396</v>
      </c>
      <c r="AK20" t="s">
        <v>1397</v>
      </c>
      <c r="AL20" t="s">
        <v>1398</v>
      </c>
      <c r="AM20" t="s">
        <v>1399</v>
      </c>
      <c r="AN20" t="s">
        <v>170</v>
      </c>
      <c r="AO20" t="s">
        <v>1400</v>
      </c>
      <c r="AP20" t="s">
        <v>1401</v>
      </c>
      <c r="AQ20" t="s">
        <v>170</v>
      </c>
      <c r="AR20" t="s">
        <v>223</v>
      </c>
      <c r="AS20" t="s">
        <v>1402</v>
      </c>
      <c r="AT20" t="s">
        <v>1403</v>
      </c>
      <c r="AU20" t="s">
        <v>1404</v>
      </c>
      <c r="AV20" t="s">
        <v>1019</v>
      </c>
      <c r="AW20" t="s">
        <v>1405</v>
      </c>
      <c r="AX20" t="s">
        <v>1406</v>
      </c>
      <c r="AY20" t="s">
        <v>1407</v>
      </c>
      <c r="AZ20" t="s">
        <v>1407</v>
      </c>
      <c r="BA20" t="s">
        <v>1408</v>
      </c>
      <c r="BB20" t="s">
        <v>1409</v>
      </c>
      <c r="BC20" t="s">
        <v>854</v>
      </c>
      <c r="BD20" t="s">
        <v>227</v>
      </c>
      <c r="BE20" t="s">
        <v>1410</v>
      </c>
      <c r="BF20" t="s">
        <v>1411</v>
      </c>
      <c r="BG20" t="s">
        <v>312</v>
      </c>
      <c r="BH20" t="s">
        <v>229</v>
      </c>
      <c r="BI20" t="s">
        <v>1412</v>
      </c>
      <c r="BJ20" t="s">
        <v>1413</v>
      </c>
      <c r="BK20" t="s">
        <v>1414</v>
      </c>
      <c r="BL20" t="s">
        <v>260</v>
      </c>
      <c r="BM20" t="s">
        <v>219</v>
      </c>
      <c r="BN20" t="s">
        <v>1124</v>
      </c>
      <c r="BO20">
        <v>2.75</v>
      </c>
      <c r="BP20">
        <v>0.97</v>
      </c>
      <c r="BQ20">
        <v>1.87</v>
      </c>
      <c r="BR20">
        <v>1.51</v>
      </c>
      <c r="BS20">
        <v>2.81</v>
      </c>
      <c r="BT20">
        <v>5.85</v>
      </c>
      <c r="BU20">
        <v>5.78</v>
      </c>
      <c r="BV20" t="s">
        <v>847</v>
      </c>
      <c r="BW20">
        <v>34.229999999999997</v>
      </c>
      <c r="BX20">
        <v>43.41</v>
      </c>
      <c r="BY20">
        <v>43.59</v>
      </c>
      <c r="BZ20">
        <v>4.9800000000000004</v>
      </c>
      <c r="CA20">
        <v>2.8</v>
      </c>
      <c r="CB20">
        <v>2.2799999999999998</v>
      </c>
      <c r="CC20">
        <v>5.0599999999999996</v>
      </c>
      <c r="CD20">
        <v>-2.92</v>
      </c>
      <c r="CE20" t="s">
        <v>1415</v>
      </c>
      <c r="CF20" t="s">
        <v>179</v>
      </c>
      <c r="CG20" s="26">
        <v>-1.3469349593495935E-2</v>
      </c>
      <c r="CH20" s="27">
        <v>-0.3525469811320755</v>
      </c>
      <c r="CI20" s="26">
        <v>0.18555733561515808</v>
      </c>
      <c r="CJ20" s="26">
        <v>0</v>
      </c>
      <c r="CK20" s="26">
        <v>0.47959890961647034</v>
      </c>
      <c r="CL20" s="26">
        <v>0.37911304831504822</v>
      </c>
      <c r="CM20" s="26">
        <v>0.26021629571914673</v>
      </c>
      <c r="CN20" s="27">
        <v>0.71153843402862549</v>
      </c>
      <c r="CO20" s="27">
        <v>0.26589527726173401</v>
      </c>
      <c r="CP20" s="27">
        <v>2.390949010848999</v>
      </c>
      <c r="CQ20" s="27">
        <v>-1.2400983572006226</v>
      </c>
      <c r="CR20" s="27">
        <v>0.32972973585128784</v>
      </c>
      <c r="CS20">
        <v>0.77001381825349891</v>
      </c>
      <c r="CT20">
        <v>69492292.134831458</v>
      </c>
      <c r="CU20">
        <v>7.4217000000000004</v>
      </c>
      <c r="CV20" s="26">
        <v>0.26089711785316466</v>
      </c>
      <c r="CW20" s="27">
        <v>0.49160282015800477</v>
      </c>
      <c r="CX20">
        <v>0.06</v>
      </c>
      <c r="CY20">
        <v>33.307018944191043</v>
      </c>
      <c r="CZ20">
        <v>211735553.75270122</v>
      </c>
      <c r="DA20">
        <v>0.26089711785316466</v>
      </c>
      <c r="DB20">
        <v>9.4455799231658535</v>
      </c>
      <c r="DC20">
        <v>746622246.31691051</v>
      </c>
      <c r="DD20">
        <v>0.24785226196050641</v>
      </c>
      <c r="DE20">
        <v>3.8046251466818486</v>
      </c>
      <c r="DF20">
        <v>1853607077.7302592</v>
      </c>
      <c r="DG20">
        <v>0.2295894637107849</v>
      </c>
      <c r="DH20">
        <v>1.7941592224387701</v>
      </c>
      <c r="DI20">
        <v>3930687985.6593528</v>
      </c>
      <c r="DJ20">
        <v>0.20871769428253173</v>
      </c>
      <c r="DK20">
        <v>0.51806502076312566</v>
      </c>
      <c r="DL20">
        <v>13612731640.541519</v>
      </c>
      <c r="DM20">
        <v>0.18262798249721526</v>
      </c>
      <c r="DN20">
        <v>178000000</v>
      </c>
      <c r="DO20">
        <v>0.26089711785316466</v>
      </c>
      <c r="DP20">
        <v>7052280100</v>
      </c>
      <c r="DQ20">
        <v>198450500</v>
      </c>
      <c r="DR20">
        <v>4177</v>
      </c>
      <c r="DS20">
        <v>-0.2743664674466606</v>
      </c>
      <c r="DT20">
        <v>-0.84414980129008033</v>
      </c>
      <c r="DU20" s="28">
        <v>0.6</v>
      </c>
      <c r="DV20">
        <v>0</v>
      </c>
      <c r="DW20">
        <v>0.6</v>
      </c>
      <c r="DX20">
        <v>4.5770750988142295</v>
      </c>
      <c r="DY20">
        <v>0.63819012875536285</v>
      </c>
      <c r="DZ20">
        <v>4.0970583351710799</v>
      </c>
      <c r="EA20">
        <v>1750</v>
      </c>
      <c r="EB20">
        <v>4.0622597105963223</v>
      </c>
      <c r="EC20">
        <v>4</v>
      </c>
      <c r="ED20">
        <v>6.6713646869297802E-2</v>
      </c>
      <c r="EE20">
        <v>0.39665613768768709</v>
      </c>
      <c r="EF20" s="29">
        <v>-2.0731000000000002</v>
      </c>
      <c r="EG20">
        <v>-2.1025</v>
      </c>
      <c r="EH20">
        <v>47.168190128755363</v>
      </c>
      <c r="EI20" t="s">
        <v>304</v>
      </c>
      <c r="EJ20">
        <v>0</v>
      </c>
      <c r="EK20">
        <v>0</v>
      </c>
      <c r="EL20" s="30">
        <v>44876</v>
      </c>
      <c r="EM20" s="31">
        <v>2.37</v>
      </c>
      <c r="EN20" s="31">
        <v>-0.62</v>
      </c>
      <c r="EO20" s="31">
        <v>0.62</v>
      </c>
      <c r="EP20" s="31">
        <v>-0.31</v>
      </c>
      <c r="EQ20" s="31">
        <v>2.94</v>
      </c>
    </row>
    <row r="21" spans="2:147" ht="84">
      <c r="D21" s="24" t="s">
        <v>1444</v>
      </c>
      <c r="E21" t="s">
        <v>419</v>
      </c>
      <c r="F21" t="s">
        <v>420</v>
      </c>
      <c r="G21">
        <v>30.2</v>
      </c>
      <c r="H21">
        <v>1.62</v>
      </c>
      <c r="I21" t="s">
        <v>421</v>
      </c>
      <c r="J21">
        <v>3865600000</v>
      </c>
      <c r="K21">
        <v>12.12</v>
      </c>
      <c r="L21">
        <v>1.47</v>
      </c>
      <c r="M21" t="s">
        <v>338</v>
      </c>
      <c r="N21" t="s">
        <v>252</v>
      </c>
      <c r="O21" t="s">
        <v>1417</v>
      </c>
      <c r="P21" t="s">
        <v>1418</v>
      </c>
      <c r="Q21">
        <v>-25.55</v>
      </c>
      <c r="R21" t="s">
        <v>1419</v>
      </c>
      <c r="S21">
        <v>256890150</v>
      </c>
      <c r="T21" s="25">
        <v>8.6699999999999999E-2</v>
      </c>
      <c r="U21" t="s">
        <v>1420</v>
      </c>
      <c r="V21">
        <v>32000000</v>
      </c>
      <c r="W21">
        <v>128000000</v>
      </c>
      <c r="X21">
        <v>1.17</v>
      </c>
      <c r="Y21">
        <v>0.36</v>
      </c>
      <c r="Z21">
        <v>23.16</v>
      </c>
      <c r="AA21" t="s">
        <v>246</v>
      </c>
      <c r="AB21" t="s">
        <v>1421</v>
      </c>
      <c r="AC21" t="s">
        <v>1422</v>
      </c>
      <c r="AD21" t="s">
        <v>1423</v>
      </c>
      <c r="AE21" t="s">
        <v>1424</v>
      </c>
      <c r="AF21">
        <v>-76677340</v>
      </c>
      <c r="AG21" t="s">
        <v>1425</v>
      </c>
      <c r="AH21" t="s">
        <v>1426</v>
      </c>
      <c r="AI21" t="s">
        <v>1427</v>
      </c>
      <c r="AJ21" t="s">
        <v>214</v>
      </c>
      <c r="AK21" t="s">
        <v>1428</v>
      </c>
      <c r="AL21" t="s">
        <v>170</v>
      </c>
      <c r="AM21" t="s">
        <v>1429</v>
      </c>
      <c r="AN21" t="s">
        <v>170</v>
      </c>
      <c r="AO21" t="s">
        <v>1430</v>
      </c>
      <c r="AP21" t="s">
        <v>170</v>
      </c>
      <c r="AQ21" t="s">
        <v>227</v>
      </c>
      <c r="AR21" t="s">
        <v>233</v>
      </c>
      <c r="AS21" t="s">
        <v>1431</v>
      </c>
      <c r="AT21" t="s">
        <v>1432</v>
      </c>
      <c r="AU21" t="s">
        <v>170</v>
      </c>
      <c r="AV21" t="s">
        <v>1433</v>
      </c>
      <c r="AW21" t="s">
        <v>1434</v>
      </c>
      <c r="AX21" t="s">
        <v>1435</v>
      </c>
      <c r="AY21" t="s">
        <v>1436</v>
      </c>
      <c r="AZ21" t="s">
        <v>1437</v>
      </c>
      <c r="BA21" t="s">
        <v>1438</v>
      </c>
      <c r="BB21" t="s">
        <v>1439</v>
      </c>
      <c r="BC21" t="s">
        <v>170</v>
      </c>
      <c r="BD21" t="s">
        <v>1120</v>
      </c>
      <c r="BE21" t="s">
        <v>185</v>
      </c>
      <c r="BF21" t="s">
        <v>193</v>
      </c>
      <c r="BG21" t="s">
        <v>227</v>
      </c>
      <c r="BH21" t="s">
        <v>170</v>
      </c>
      <c r="BI21" t="s">
        <v>896</v>
      </c>
      <c r="BJ21" t="s">
        <v>1440</v>
      </c>
      <c r="BK21" t="s">
        <v>1441</v>
      </c>
      <c r="BL21" t="s">
        <v>1098</v>
      </c>
      <c r="BM21" t="s">
        <v>1168</v>
      </c>
      <c r="BN21" t="s">
        <v>859</v>
      </c>
      <c r="BO21">
        <v>9.31</v>
      </c>
      <c r="BP21">
        <v>2.5499999999999998</v>
      </c>
      <c r="BQ21">
        <v>22.38</v>
      </c>
      <c r="BR21">
        <v>14.82</v>
      </c>
      <c r="BS21">
        <v>2.79</v>
      </c>
      <c r="BT21">
        <v>27.27</v>
      </c>
      <c r="BU21" t="s">
        <v>170</v>
      </c>
      <c r="BV21" t="s">
        <v>847</v>
      </c>
      <c r="BW21">
        <v>29.77</v>
      </c>
      <c r="BX21">
        <v>35.450000000000003</v>
      </c>
      <c r="BY21">
        <v>32.46</v>
      </c>
      <c r="BZ21">
        <v>22.05</v>
      </c>
      <c r="CA21">
        <v>15.6</v>
      </c>
      <c r="CB21">
        <v>9.61</v>
      </c>
      <c r="CC21">
        <v>1.51</v>
      </c>
      <c r="CD21">
        <v>0.87</v>
      </c>
      <c r="CE21" t="s">
        <v>1442</v>
      </c>
      <c r="CF21" t="s">
        <v>1443</v>
      </c>
      <c r="CG21" s="26">
        <v>-0.35613257874015747</v>
      </c>
      <c r="CH21" s="27">
        <v>-2.453313953488372E-2</v>
      </c>
      <c r="CI21" s="26">
        <v>0.46054622530937195</v>
      </c>
      <c r="CJ21" s="26">
        <v>0.12170206755399704</v>
      </c>
      <c r="CK21" s="26">
        <v>7.1103125810623169E-2</v>
      </c>
      <c r="CL21" s="26">
        <v>0.22433029115200043</v>
      </c>
      <c r="CM21" s="26" t="e">
        <v>#VALUE!</v>
      </c>
      <c r="CN21" s="27">
        <v>0.44660192728042603</v>
      </c>
      <c r="CO21" s="27">
        <v>0.82300883531570435</v>
      </c>
      <c r="CP21" s="27">
        <v>-0.18115942180156708</v>
      </c>
      <c r="CQ21" s="27">
        <v>0.32692307233810425</v>
      </c>
      <c r="CR21" s="27" t="e">
        <v>#VALUE!</v>
      </c>
      <c r="CS21">
        <v>2.0081038961038962</v>
      </c>
      <c r="CT21">
        <v>76494318.791946307</v>
      </c>
      <c r="CU21">
        <v>9.7549919999999997</v>
      </c>
      <c r="CV21" s="26">
        <v>0.21942042745649815</v>
      </c>
      <c r="CW21" s="27">
        <v>0.35384360328316689</v>
      </c>
      <c r="CX21">
        <v>0.06</v>
      </c>
      <c r="CY21">
        <v>4.9227258688313427</v>
      </c>
      <c r="CZ21">
        <v>342818195.64343059</v>
      </c>
      <c r="DA21">
        <v>0.21942042745649815</v>
      </c>
      <c r="DB21">
        <v>1.4441203973213546</v>
      </c>
      <c r="DC21">
        <v>1168600625.7721078</v>
      </c>
      <c r="DD21">
        <v>0.20844940608367324</v>
      </c>
      <c r="DE21">
        <v>0.61135574265219128</v>
      </c>
      <c r="DF21">
        <v>2760422258.6980734</v>
      </c>
      <c r="DG21">
        <v>0.19308997616171836</v>
      </c>
      <c r="DH21">
        <v>0.30685476937826889</v>
      </c>
      <c r="DI21">
        <v>5499670099.3740978</v>
      </c>
      <c r="DJ21">
        <v>0.17553634196519852</v>
      </c>
      <c r="DK21">
        <v>0.1036736128508557</v>
      </c>
      <c r="DL21">
        <v>16278008970.592857</v>
      </c>
      <c r="DM21">
        <v>0.1535942992195487</v>
      </c>
      <c r="DN21">
        <v>298000000</v>
      </c>
      <c r="DO21">
        <v>0.21942042745649815</v>
      </c>
      <c r="DP21">
        <v>1687600000</v>
      </c>
      <c r="DQ21">
        <v>2435935800</v>
      </c>
      <c r="DR21">
        <v>2518</v>
      </c>
      <c r="DS21">
        <v>-0.57555300619665561</v>
      </c>
      <c r="DT21">
        <v>-0.37837674281805062</v>
      </c>
      <c r="DU21" s="28">
        <v>-0.22</v>
      </c>
      <c r="DV21">
        <v>0.6</v>
      </c>
      <c r="DW21">
        <v>0.38</v>
      </c>
      <c r="DX21">
        <v>8.6999999999999994E-3</v>
      </c>
      <c r="DY21">
        <v>0.83388592708977061</v>
      </c>
      <c r="DZ21">
        <v>1.512807565680977E-3</v>
      </c>
      <c r="EA21">
        <v>2291</v>
      </c>
      <c r="EB21">
        <v>8.0273951958896345E-4</v>
      </c>
      <c r="EC21">
        <v>0</v>
      </c>
      <c r="ED21">
        <v>2.2653125E-2</v>
      </c>
      <c r="EE21">
        <v>0.13027578125</v>
      </c>
      <c r="EF21" s="29">
        <v>3.08521</v>
      </c>
      <c r="EG21">
        <v>3.06901</v>
      </c>
      <c r="EH21">
        <v>66.173885927089771</v>
      </c>
      <c r="EI21" t="s">
        <v>226</v>
      </c>
      <c r="EJ21">
        <v>0</v>
      </c>
      <c r="EK21">
        <v>0</v>
      </c>
      <c r="EL21" s="30">
        <v>44876</v>
      </c>
      <c r="EM21" s="31">
        <v>1.01</v>
      </c>
      <c r="EN21" s="31">
        <v>-0.7</v>
      </c>
      <c r="EO21" s="31">
        <v>-0.23</v>
      </c>
      <c r="EP21" s="31">
        <v>-0.17</v>
      </c>
      <c r="EQ21" s="31">
        <v>1.62</v>
      </c>
    </row>
    <row r="22" spans="2:147" ht="84">
      <c r="D22" s="24" t="s">
        <v>1472</v>
      </c>
      <c r="E22" t="s">
        <v>422</v>
      </c>
      <c r="F22" t="s">
        <v>423</v>
      </c>
      <c r="G22">
        <v>11.7</v>
      </c>
      <c r="H22">
        <v>2.4500000000000002</v>
      </c>
      <c r="I22" t="s">
        <v>424</v>
      </c>
      <c r="J22">
        <v>3641944800</v>
      </c>
      <c r="K22">
        <v>17.16</v>
      </c>
      <c r="L22">
        <v>1.26</v>
      </c>
      <c r="M22" t="s">
        <v>338</v>
      </c>
      <c r="N22" t="s">
        <v>1445</v>
      </c>
      <c r="O22" t="s">
        <v>1446</v>
      </c>
      <c r="P22" t="s">
        <v>1447</v>
      </c>
      <c r="Q22">
        <v>-12.65</v>
      </c>
      <c r="R22" t="s">
        <v>1448</v>
      </c>
      <c r="S22">
        <v>380718070</v>
      </c>
      <c r="T22" s="25">
        <v>0.62829999999999997</v>
      </c>
      <c r="U22" t="s">
        <v>1449</v>
      </c>
      <c r="V22">
        <v>311277330</v>
      </c>
      <c r="W22">
        <v>311277330</v>
      </c>
      <c r="X22">
        <v>1.47</v>
      </c>
      <c r="Y22">
        <v>0.43</v>
      </c>
      <c r="Z22">
        <v>19.46</v>
      </c>
      <c r="AA22" t="s">
        <v>1450</v>
      </c>
      <c r="AB22" t="s">
        <v>1451</v>
      </c>
      <c r="AC22" t="s">
        <v>728</v>
      </c>
      <c r="AD22" t="s">
        <v>334</v>
      </c>
      <c r="AE22" t="s">
        <v>1452</v>
      </c>
      <c r="AF22">
        <v>26228081</v>
      </c>
      <c r="AG22" t="s">
        <v>1453</v>
      </c>
      <c r="AH22" t="s">
        <v>1454</v>
      </c>
      <c r="AI22" t="s">
        <v>1455</v>
      </c>
      <c r="AJ22" t="s">
        <v>296</v>
      </c>
      <c r="AK22" t="s">
        <v>1456</v>
      </c>
      <c r="AL22" t="s">
        <v>1457</v>
      </c>
      <c r="AM22" t="s">
        <v>1458</v>
      </c>
      <c r="AN22" t="s">
        <v>170</v>
      </c>
      <c r="AO22" t="s">
        <v>1459</v>
      </c>
      <c r="AP22" t="s">
        <v>1460</v>
      </c>
      <c r="AQ22" t="s">
        <v>170</v>
      </c>
      <c r="AR22" t="s">
        <v>308</v>
      </c>
      <c r="AS22" t="s">
        <v>170</v>
      </c>
      <c r="AT22" t="s">
        <v>168</v>
      </c>
      <c r="AU22" t="s">
        <v>170</v>
      </c>
      <c r="AV22" t="s">
        <v>195</v>
      </c>
      <c r="AW22" t="s">
        <v>259</v>
      </c>
      <c r="AX22" t="s">
        <v>1461</v>
      </c>
      <c r="AY22" t="s">
        <v>191</v>
      </c>
      <c r="AZ22" t="s">
        <v>1462</v>
      </c>
      <c r="BA22" t="s">
        <v>1463</v>
      </c>
      <c r="BB22" t="s">
        <v>1464</v>
      </c>
      <c r="BC22" t="s">
        <v>1187</v>
      </c>
      <c r="BD22" t="s">
        <v>1465</v>
      </c>
      <c r="BE22" t="s">
        <v>1283</v>
      </c>
      <c r="BF22" t="s">
        <v>1466</v>
      </c>
      <c r="BG22" t="s">
        <v>194</v>
      </c>
      <c r="BH22" t="s">
        <v>195</v>
      </c>
      <c r="BI22" t="s">
        <v>1467</v>
      </c>
      <c r="BJ22" t="s">
        <v>1468</v>
      </c>
      <c r="BK22" t="s">
        <v>1469</v>
      </c>
      <c r="BL22" t="s">
        <v>1027</v>
      </c>
      <c r="BM22" t="s">
        <v>1016</v>
      </c>
      <c r="BN22" t="s">
        <v>193</v>
      </c>
      <c r="BO22">
        <v>9.5</v>
      </c>
      <c r="BP22">
        <v>0.98</v>
      </c>
      <c r="BQ22">
        <v>8.09</v>
      </c>
      <c r="BR22">
        <v>13.53</v>
      </c>
      <c r="BS22">
        <v>1.53</v>
      </c>
      <c r="BT22">
        <v>10.71</v>
      </c>
      <c r="BU22">
        <v>15.06</v>
      </c>
      <c r="BV22" t="s">
        <v>847</v>
      </c>
      <c r="BW22">
        <v>36.200000000000003</v>
      </c>
      <c r="BX22">
        <v>36.700000000000003</v>
      </c>
      <c r="BY22">
        <v>40.06</v>
      </c>
      <c r="BZ22">
        <v>11.27</v>
      </c>
      <c r="CA22">
        <v>12.35</v>
      </c>
      <c r="CB22">
        <v>15.97</v>
      </c>
      <c r="CC22">
        <v>2.9</v>
      </c>
      <c r="CD22">
        <v>19.510000000000002</v>
      </c>
      <c r="CE22" t="s">
        <v>1470</v>
      </c>
      <c r="CF22" t="s">
        <v>1471</v>
      </c>
      <c r="CG22" s="26">
        <v>-0.19836441988950276</v>
      </c>
      <c r="CH22" s="27">
        <v>1.6637298958333333</v>
      </c>
      <c r="CI22" s="26">
        <v>0.5442051887512207</v>
      </c>
      <c r="CJ22" s="26">
        <v>-1.8876347690820694E-2</v>
      </c>
      <c r="CK22" s="26">
        <v>4.3131738901138306E-2</v>
      </c>
      <c r="CL22" s="26">
        <v>0.14492745697498322</v>
      </c>
      <c r="CM22" s="26">
        <v>0.3000698983669281</v>
      </c>
      <c r="CN22" s="27">
        <v>-0.76338440179824829</v>
      </c>
      <c r="CO22" s="27">
        <v>-0.24383561313152313</v>
      </c>
      <c r="CP22" s="27">
        <v>-4.4502619653940201E-2</v>
      </c>
      <c r="CQ22" s="27">
        <v>9.7701147198677063E-2</v>
      </c>
      <c r="CR22" s="27">
        <v>0.380952388048172</v>
      </c>
      <c r="CS22">
        <v>1.0803752002373184</v>
      </c>
      <c r="CT22">
        <v>302155257.02884424</v>
      </c>
      <c r="CU22">
        <v>12.300666</v>
      </c>
      <c r="CV22" s="26">
        <v>0.20269158706068993</v>
      </c>
      <c r="CW22" s="27">
        <v>-0.11461381986737251</v>
      </c>
      <c r="CX22">
        <v>0.06</v>
      </c>
      <c r="CY22">
        <v>27.881612474456901</v>
      </c>
      <c r="CZ22">
        <v>74097034.448515773</v>
      </c>
      <c r="DA22">
        <v>0.20269158706068993</v>
      </c>
      <c r="DB22">
        <v>8.2926027864038048</v>
      </c>
      <c r="DC22">
        <v>249131045.2476072</v>
      </c>
      <c r="DD22">
        <v>0.19255700770765544</v>
      </c>
      <c r="DE22">
        <v>3.5811962266295851</v>
      </c>
      <c r="DF22">
        <v>576886791.24526715</v>
      </c>
      <c r="DG22">
        <v>0.17836859661340715</v>
      </c>
      <c r="DH22">
        <v>1.8422204777906885</v>
      </c>
      <c r="DI22">
        <v>1121442750.6948659</v>
      </c>
      <c r="DJ22">
        <v>0.16215326964855195</v>
      </c>
      <c r="DK22">
        <v>0.6615362836451113</v>
      </c>
      <c r="DL22">
        <v>3122950095.2185106</v>
      </c>
      <c r="DM22">
        <v>0.14188411094248293</v>
      </c>
      <c r="DN22">
        <v>65305900</v>
      </c>
      <c r="DO22">
        <v>0.20269158706068993</v>
      </c>
      <c r="DP22">
        <v>2065944800</v>
      </c>
      <c r="DQ22">
        <v>1216666700</v>
      </c>
      <c r="DR22">
        <v>4221</v>
      </c>
      <c r="DS22">
        <v>-0.40105600695019272</v>
      </c>
      <c r="DT22">
        <v>1.7783437157007058</v>
      </c>
      <c r="DU22" s="28">
        <v>0</v>
      </c>
      <c r="DV22">
        <v>0.6</v>
      </c>
      <c r="DW22">
        <v>0.6</v>
      </c>
      <c r="DX22">
        <v>8.1486417221937462</v>
      </c>
      <c r="DY22">
        <v>0.55886546955786054</v>
      </c>
      <c r="DZ22">
        <v>8.0176683681044487</v>
      </c>
      <c r="EA22">
        <v>2543</v>
      </c>
      <c r="EB22">
        <v>8.0084631519418572</v>
      </c>
      <c r="EC22">
        <v>8</v>
      </c>
      <c r="ED22">
        <v>3.1226816292725203E-2</v>
      </c>
      <c r="EE22">
        <v>0.26270721353206161</v>
      </c>
      <c r="EF22" s="29">
        <v>2.02291</v>
      </c>
      <c r="EG22">
        <v>2.0015999999999998</v>
      </c>
      <c r="EH22">
        <v>44.118865469557861</v>
      </c>
      <c r="EI22" t="s">
        <v>234</v>
      </c>
      <c r="EJ22">
        <v>0</v>
      </c>
      <c r="EK22">
        <v>0</v>
      </c>
      <c r="EL22" s="30">
        <v>44876</v>
      </c>
      <c r="EM22" s="31">
        <v>0.97</v>
      </c>
      <c r="EN22" s="31">
        <v>-1.31</v>
      </c>
      <c r="EO22" s="31">
        <v>0.79</v>
      </c>
      <c r="EP22" s="31">
        <v>0</v>
      </c>
      <c r="EQ22" s="31">
        <v>2.4500000000000002</v>
      </c>
    </row>
    <row r="23" spans="2:147" ht="84">
      <c r="B23" s="24"/>
      <c r="C23" s="24"/>
      <c r="D23" s="24" t="s">
        <v>1501</v>
      </c>
      <c r="E23" t="s">
        <v>425</v>
      </c>
      <c r="F23" t="s">
        <v>426</v>
      </c>
      <c r="G23">
        <v>19.420000000000002</v>
      </c>
      <c r="H23">
        <v>10.029999999999999</v>
      </c>
      <c r="I23" t="s">
        <v>427</v>
      </c>
      <c r="J23">
        <v>3622660200</v>
      </c>
      <c r="L23">
        <v>2.96</v>
      </c>
      <c r="M23" t="s">
        <v>338</v>
      </c>
      <c r="N23" t="s">
        <v>1473</v>
      </c>
      <c r="O23" t="s">
        <v>1474</v>
      </c>
      <c r="P23" t="s">
        <v>1475</v>
      </c>
      <c r="Q23">
        <v>-25.55</v>
      </c>
      <c r="R23" t="s">
        <v>1476</v>
      </c>
      <c r="S23">
        <v>111397865</v>
      </c>
      <c r="T23" s="25">
        <v>-0.34229999999999999</v>
      </c>
      <c r="U23" t="s">
        <v>1477</v>
      </c>
      <c r="V23">
        <v>114438885</v>
      </c>
      <c r="W23">
        <v>186542750</v>
      </c>
      <c r="X23">
        <v>1.92</v>
      </c>
      <c r="Y23">
        <v>0.41</v>
      </c>
      <c r="Z23">
        <v>11.29</v>
      </c>
      <c r="AA23" t="s">
        <v>289</v>
      </c>
      <c r="AB23" t="s">
        <v>1478</v>
      </c>
      <c r="AC23" t="s">
        <v>1479</v>
      </c>
      <c r="AD23" t="s">
        <v>1480</v>
      </c>
      <c r="AE23" t="s">
        <v>1481</v>
      </c>
      <c r="AF23">
        <v>4481636</v>
      </c>
      <c r="AG23" t="s">
        <v>1482</v>
      </c>
      <c r="AH23" t="s">
        <v>1483</v>
      </c>
      <c r="AI23" t="s">
        <v>1484</v>
      </c>
      <c r="AJ23" t="s">
        <v>717</v>
      </c>
      <c r="AK23" t="s">
        <v>1485</v>
      </c>
      <c r="AL23" t="s">
        <v>167</v>
      </c>
      <c r="AM23" t="s">
        <v>1486</v>
      </c>
      <c r="AN23" t="s">
        <v>170</v>
      </c>
      <c r="AO23" t="s">
        <v>224</v>
      </c>
      <c r="AP23" t="s">
        <v>170</v>
      </c>
      <c r="AQ23" t="s">
        <v>706</v>
      </c>
      <c r="AR23" t="s">
        <v>1487</v>
      </c>
      <c r="AS23" t="s">
        <v>170</v>
      </c>
      <c r="AT23" t="s">
        <v>232</v>
      </c>
      <c r="AU23" t="s">
        <v>276</v>
      </c>
      <c r="AV23" t="s">
        <v>1488</v>
      </c>
      <c r="AW23" t="s">
        <v>1489</v>
      </c>
      <c r="AX23" t="s">
        <v>1490</v>
      </c>
      <c r="AY23" t="s">
        <v>1491</v>
      </c>
      <c r="AZ23" t="s">
        <v>1492</v>
      </c>
      <c r="BA23" t="s">
        <v>1493</v>
      </c>
      <c r="BB23" t="s">
        <v>711</v>
      </c>
      <c r="BC23" t="s">
        <v>207</v>
      </c>
      <c r="BD23" t="s">
        <v>1494</v>
      </c>
      <c r="BE23" t="s">
        <v>221</v>
      </c>
      <c r="BF23" t="s">
        <v>200</v>
      </c>
      <c r="BG23" t="s">
        <v>731</v>
      </c>
      <c r="BH23" t="s">
        <v>1495</v>
      </c>
      <c r="BI23" t="s">
        <v>881</v>
      </c>
      <c r="BJ23" t="s">
        <v>1496</v>
      </c>
      <c r="BK23" t="s">
        <v>1497</v>
      </c>
      <c r="BL23" t="s">
        <v>1498</v>
      </c>
      <c r="BM23" t="s">
        <v>228</v>
      </c>
      <c r="BN23" t="s">
        <v>1499</v>
      </c>
      <c r="BO23">
        <v>6.1</v>
      </c>
      <c r="BP23">
        <v>1.04</v>
      </c>
      <c r="BQ23">
        <v>10.37</v>
      </c>
      <c r="BR23">
        <v>14.18</v>
      </c>
      <c r="BS23">
        <v>1.62</v>
      </c>
      <c r="BT23">
        <v>15.72</v>
      </c>
      <c r="BU23">
        <v>15.92</v>
      </c>
      <c r="BV23" t="s">
        <v>847</v>
      </c>
      <c r="BW23">
        <v>29.93</v>
      </c>
      <c r="BX23">
        <v>34.08</v>
      </c>
      <c r="BY23">
        <v>35.78</v>
      </c>
      <c r="BZ23">
        <v>10.28</v>
      </c>
      <c r="CA23">
        <v>14.43</v>
      </c>
      <c r="CB23">
        <v>11.74</v>
      </c>
      <c r="CC23">
        <v>9.59</v>
      </c>
      <c r="CD23">
        <v>43.53</v>
      </c>
      <c r="CE23" t="s">
        <v>1500</v>
      </c>
      <c r="CF23" t="s">
        <v>313</v>
      </c>
      <c r="CG23" s="26">
        <v>-0.14269799154334037</v>
      </c>
      <c r="CH23" s="27">
        <v>-0.27355089780912428</v>
      </c>
      <c r="CI23" s="26">
        <v>0.22088353335857391</v>
      </c>
      <c r="CJ23" s="26">
        <v>1.5635577961802483E-2</v>
      </c>
      <c r="CK23" s="26">
        <v>0.32522529363632202</v>
      </c>
      <c r="CL23" s="26">
        <v>0.34382566809654236</v>
      </c>
      <c r="CM23" s="26">
        <v>0.31111112236976624</v>
      </c>
      <c r="CN23" s="27">
        <v>-4.700507640838623</v>
      </c>
      <c r="CO23" s="27">
        <v>0.12571428716182709</v>
      </c>
      <c r="CP23" s="27">
        <v>0.23239436745643616</v>
      </c>
      <c r="CQ23" s="27">
        <v>0.37864077091217041</v>
      </c>
      <c r="CR23" s="27">
        <v>0.17660626769065857</v>
      </c>
      <c r="CS23">
        <v>1.986107565789474</v>
      </c>
      <c r="CT23">
        <v>-11417880.24691358</v>
      </c>
      <c r="CU23">
        <v>8.8874879999999976</v>
      </c>
      <c r="CV23" s="26">
        <v>0.24333623908460139</v>
      </c>
      <c r="CW23" s="27">
        <v>-0.75743038952350616</v>
      </c>
      <c r="CX23">
        <v>0.06</v>
      </c>
      <c r="CY23" t="e">
        <v>#VALUE!</v>
      </c>
      <c r="CZ23" t="s">
        <v>174</v>
      </c>
      <c r="DA23">
        <v>0.24333623908460139</v>
      </c>
      <c r="DB23" t="e">
        <v>#VALUE!</v>
      </c>
      <c r="DC23" t="s">
        <v>174</v>
      </c>
      <c r="DD23">
        <v>0.23116942713037131</v>
      </c>
      <c r="DE23" t="e">
        <v>#VALUE!</v>
      </c>
      <c r="DF23" t="s">
        <v>174</v>
      </c>
      <c r="DG23">
        <v>0.21413589039444922</v>
      </c>
      <c r="DH23" t="e">
        <v>#VALUE!</v>
      </c>
      <c r="DI23" t="s">
        <v>174</v>
      </c>
      <c r="DJ23">
        <v>0.19466899126768111</v>
      </c>
      <c r="DK23" t="e">
        <v>#VALUE!</v>
      </c>
      <c r="DL23" t="s">
        <v>174</v>
      </c>
      <c r="DM23">
        <v>0.17033536735922097</v>
      </c>
      <c r="DN23">
        <v>-729000000</v>
      </c>
      <c r="DO23">
        <v>0.24333623908460139</v>
      </c>
      <c r="DP23">
        <v>3523660200</v>
      </c>
      <c r="DQ23">
        <v>482895100.00000012</v>
      </c>
      <c r="DR23">
        <v>1326</v>
      </c>
      <c r="DS23">
        <v>-0.38603423062794173</v>
      </c>
      <c r="DT23">
        <v>0.48387949171438188</v>
      </c>
      <c r="DU23" s="28">
        <v>-0.22</v>
      </c>
      <c r="DV23" t="e">
        <v>#VALUE!</v>
      </c>
      <c r="DW23" t="e">
        <v>#VALUE!</v>
      </c>
      <c r="DX23">
        <v>9.2203078336779232</v>
      </c>
      <c r="DY23">
        <v>0.61916324110671894</v>
      </c>
      <c r="DZ23">
        <v>9.0262525955022621</v>
      </c>
      <c r="EA23">
        <v>3892</v>
      </c>
      <c r="EB23">
        <v>9.0053193642597282</v>
      </c>
      <c r="EC23">
        <v>9</v>
      </c>
      <c r="ED23">
        <v>0.16161603707461158</v>
      </c>
      <c r="EE23">
        <v>1.3562574798538136</v>
      </c>
      <c r="EF23" s="29">
        <v>2.0786099999999998</v>
      </c>
      <c r="EG23">
        <v>2.0217000000000001</v>
      </c>
      <c r="EH23">
        <v>50.119163241106719</v>
      </c>
      <c r="EI23" t="s">
        <v>234</v>
      </c>
      <c r="EJ23">
        <v>1</v>
      </c>
      <c r="EK23">
        <v>0</v>
      </c>
      <c r="EL23" s="30">
        <v>44876</v>
      </c>
      <c r="EM23" s="31">
        <v>2.6</v>
      </c>
      <c r="EN23" s="31">
        <v>-3.25</v>
      </c>
      <c r="EO23" s="31">
        <v>5.0599999999999996</v>
      </c>
      <c r="EP23" s="31">
        <v>-4.49</v>
      </c>
      <c r="EQ23" s="31">
        <v>10.029999999999999</v>
      </c>
    </row>
    <row r="24" spans="2:147" ht="156">
      <c r="B24" s="24" t="s">
        <v>1502</v>
      </c>
      <c r="C24" s="24" t="s">
        <v>1503</v>
      </c>
      <c r="D24" s="24" t="s">
        <v>1534</v>
      </c>
      <c r="E24" t="s">
        <v>428</v>
      </c>
      <c r="F24" t="s">
        <v>429</v>
      </c>
      <c r="G24">
        <v>11.09</v>
      </c>
      <c r="H24">
        <v>1.65</v>
      </c>
      <c r="I24" t="s">
        <v>430</v>
      </c>
      <c r="J24">
        <v>3354865200</v>
      </c>
      <c r="K24">
        <v>10.98</v>
      </c>
      <c r="L24">
        <v>1.95</v>
      </c>
      <c r="M24" t="s">
        <v>338</v>
      </c>
      <c r="N24" t="s">
        <v>1504</v>
      </c>
      <c r="O24" t="s">
        <v>1505</v>
      </c>
      <c r="P24" t="s">
        <v>1506</v>
      </c>
      <c r="Q24">
        <v>-7.74</v>
      </c>
      <c r="R24" t="s">
        <v>1507</v>
      </c>
      <c r="S24">
        <v>284924720</v>
      </c>
      <c r="T24" s="25">
        <v>0.77380000000000004</v>
      </c>
      <c r="U24" t="s">
        <v>219</v>
      </c>
      <c r="V24">
        <v>302512640</v>
      </c>
      <c r="W24">
        <v>302512640</v>
      </c>
      <c r="X24">
        <v>1.74</v>
      </c>
      <c r="Y24">
        <v>1.02</v>
      </c>
      <c r="Z24">
        <v>9</v>
      </c>
      <c r="AA24" t="s">
        <v>1508</v>
      </c>
      <c r="AB24" t="s">
        <v>1509</v>
      </c>
      <c r="AC24" t="s">
        <v>306</v>
      </c>
      <c r="AD24" t="s">
        <v>1510</v>
      </c>
      <c r="AE24" t="s">
        <v>1511</v>
      </c>
      <c r="AF24">
        <v>-18054540</v>
      </c>
      <c r="AG24" t="s">
        <v>1512</v>
      </c>
      <c r="AH24" t="s">
        <v>1513</v>
      </c>
      <c r="AI24" t="s">
        <v>1514</v>
      </c>
      <c r="AJ24" t="s">
        <v>1515</v>
      </c>
      <c r="AK24" t="s">
        <v>1516</v>
      </c>
      <c r="AL24" t="s">
        <v>1517</v>
      </c>
      <c r="AM24" t="s">
        <v>1518</v>
      </c>
      <c r="AN24" t="s">
        <v>170</v>
      </c>
      <c r="AO24" t="s">
        <v>309</v>
      </c>
      <c r="AP24" t="s">
        <v>672</v>
      </c>
      <c r="AQ24" t="s">
        <v>288</v>
      </c>
      <c r="AR24" t="s">
        <v>897</v>
      </c>
      <c r="AS24" t="s">
        <v>1519</v>
      </c>
      <c r="AT24" t="s">
        <v>1520</v>
      </c>
      <c r="AU24" t="s">
        <v>1521</v>
      </c>
      <c r="AV24" t="s">
        <v>284</v>
      </c>
      <c r="AW24" t="s">
        <v>1522</v>
      </c>
      <c r="AX24" t="s">
        <v>1523</v>
      </c>
      <c r="AY24" t="s">
        <v>1524</v>
      </c>
      <c r="AZ24" t="s">
        <v>1525</v>
      </c>
      <c r="BA24" t="s">
        <v>1526</v>
      </c>
      <c r="BB24" t="s">
        <v>1450</v>
      </c>
      <c r="BC24" t="s">
        <v>1527</v>
      </c>
      <c r="BD24" t="s">
        <v>1528</v>
      </c>
      <c r="BE24" t="s">
        <v>219</v>
      </c>
      <c r="BF24" t="s">
        <v>227</v>
      </c>
      <c r="BG24" t="s">
        <v>689</v>
      </c>
      <c r="BH24" t="s">
        <v>239</v>
      </c>
      <c r="BI24" t="s">
        <v>1529</v>
      </c>
      <c r="BJ24" t="s">
        <v>1530</v>
      </c>
      <c r="BK24" t="s">
        <v>1531</v>
      </c>
      <c r="BL24" t="s">
        <v>287</v>
      </c>
      <c r="BM24" t="s">
        <v>583</v>
      </c>
      <c r="BN24" t="s">
        <v>1532</v>
      </c>
      <c r="BO24">
        <v>12.45</v>
      </c>
      <c r="BP24">
        <v>2.08</v>
      </c>
      <c r="BQ24">
        <v>13.27</v>
      </c>
      <c r="BR24">
        <v>14.31</v>
      </c>
      <c r="BS24">
        <v>3.21</v>
      </c>
      <c r="BT24">
        <v>17.78</v>
      </c>
      <c r="BU24">
        <v>14.95</v>
      </c>
      <c r="BV24" t="s">
        <v>847</v>
      </c>
      <c r="BW24">
        <v>17.8</v>
      </c>
      <c r="BX24">
        <v>19.18</v>
      </c>
      <c r="BY24">
        <v>19.98</v>
      </c>
      <c r="BZ24">
        <v>6.25</v>
      </c>
      <c r="CA24">
        <v>6.86</v>
      </c>
      <c r="CB24">
        <v>7.56</v>
      </c>
      <c r="CC24">
        <v>7.57</v>
      </c>
      <c r="CD24">
        <v>13.98</v>
      </c>
      <c r="CE24" t="s">
        <v>1533</v>
      </c>
      <c r="CF24" t="s">
        <v>290</v>
      </c>
      <c r="CG24" s="26">
        <v>-7.1282699619771864E-2</v>
      </c>
      <c r="CH24" s="27">
        <v>2.1686110638297862</v>
      </c>
      <c r="CI24" s="26">
        <v>0.35672673583030701</v>
      </c>
      <c r="CJ24" s="26">
        <v>0.40163278579711914</v>
      </c>
      <c r="CK24" s="26">
        <v>1.6175780445337296E-2</v>
      </c>
      <c r="CL24" s="26">
        <v>0.30961441993713379</v>
      </c>
      <c r="CM24" s="26">
        <v>0.31312406063079834</v>
      </c>
      <c r="CN24" s="27">
        <v>-0.21982759237289429</v>
      </c>
      <c r="CO24" s="27">
        <v>0.28176796436309814</v>
      </c>
      <c r="CP24" s="27">
        <v>0.74038463830947876</v>
      </c>
      <c r="CQ24" s="27">
        <v>3.9999999105930328E-2</v>
      </c>
      <c r="CR24" s="27">
        <v>-0.1666666716337204</v>
      </c>
      <c r="CS24">
        <v>0.7200826786864134</v>
      </c>
      <c r="CT24">
        <v>106324348.06629834</v>
      </c>
      <c r="CU24">
        <v>15.973199999999999</v>
      </c>
      <c r="CV24" s="26">
        <v>0.27945475652813911</v>
      </c>
      <c r="CW24" s="27">
        <v>0.1351316675543785</v>
      </c>
      <c r="CX24">
        <v>0.06</v>
      </c>
      <c r="CY24">
        <v>13.259606743080608</v>
      </c>
      <c r="CZ24">
        <v>218472934.84112564</v>
      </c>
      <c r="DA24">
        <v>0.27945475652813911</v>
      </c>
      <c r="DB24">
        <v>3.7042073202793273</v>
      </c>
      <c r="DC24">
        <v>782047263.96943486</v>
      </c>
      <c r="DD24">
        <v>0.26548201870173216</v>
      </c>
      <c r="DE24">
        <v>1.4589613276499904</v>
      </c>
      <c r="DF24">
        <v>1985566817.3645842</v>
      </c>
      <c r="DG24">
        <v>0.24592018574476243</v>
      </c>
      <c r="DH24">
        <v>0.6686750012497209</v>
      </c>
      <c r="DI24">
        <v>4332246898.0983295</v>
      </c>
      <c r="DJ24">
        <v>0.22356380522251129</v>
      </c>
      <c r="DK24">
        <v>0.17955706076269881</v>
      </c>
      <c r="DL24">
        <v>16133396190.019361</v>
      </c>
      <c r="DM24">
        <v>0.19561832956969738</v>
      </c>
      <c r="DN24">
        <v>181000000</v>
      </c>
      <c r="DO24">
        <v>0.27945475652813911</v>
      </c>
      <c r="DP24">
        <v>2896865200</v>
      </c>
      <c r="DQ24">
        <v>485631000</v>
      </c>
      <c r="DR24">
        <v>4057</v>
      </c>
      <c r="DS24">
        <v>-0.35073745614791096</v>
      </c>
      <c r="DT24">
        <v>2.0334793962754079</v>
      </c>
      <c r="DU24" s="28">
        <v>0</v>
      </c>
      <c r="DV24">
        <v>0.6</v>
      </c>
      <c r="DW24">
        <v>0.6</v>
      </c>
      <c r="DX24">
        <v>9.5414878397711007</v>
      </c>
      <c r="DY24">
        <v>0.51567884615384529</v>
      </c>
      <c r="DZ24">
        <v>9.1384469860790141</v>
      </c>
      <c r="EA24">
        <v>1076</v>
      </c>
      <c r="EB24">
        <v>9.1079268145934531</v>
      </c>
      <c r="EC24">
        <v>9</v>
      </c>
      <c r="ED24">
        <v>0.13184870556152628</v>
      </c>
      <c r="EE24">
        <v>0.51568093154719086</v>
      </c>
      <c r="EF24" s="29">
        <v>4.0036100000000001</v>
      </c>
      <c r="EG24">
        <v>4.0129000000000001</v>
      </c>
      <c r="EH24">
        <v>26.255678846153845</v>
      </c>
      <c r="EI24" t="s">
        <v>202</v>
      </c>
      <c r="EJ24">
        <v>1</v>
      </c>
      <c r="EK24">
        <v>1</v>
      </c>
      <c r="EL24" s="30">
        <v>44876</v>
      </c>
      <c r="EM24" s="31">
        <v>0.57999999999999996</v>
      </c>
      <c r="EN24" s="31">
        <v>0.48</v>
      </c>
      <c r="EO24" s="31">
        <v>5.28</v>
      </c>
      <c r="EP24" s="31">
        <v>-0.55000000000000004</v>
      </c>
      <c r="EQ24" s="31">
        <v>1.65</v>
      </c>
    </row>
    <row r="25" spans="2:147" ht="84">
      <c r="B25" s="24"/>
      <c r="C25" s="24"/>
      <c r="D25" s="24" t="s">
        <v>1568</v>
      </c>
      <c r="E25" t="s">
        <v>431</v>
      </c>
      <c r="F25" t="s">
        <v>432</v>
      </c>
      <c r="G25">
        <v>14.4</v>
      </c>
      <c r="H25">
        <v>3</v>
      </c>
      <c r="I25" t="s">
        <v>433</v>
      </c>
      <c r="J25">
        <v>3227328000</v>
      </c>
      <c r="K25">
        <v>15.61</v>
      </c>
      <c r="L25">
        <v>1.92</v>
      </c>
      <c r="M25" t="s">
        <v>338</v>
      </c>
      <c r="N25" t="s">
        <v>1535</v>
      </c>
      <c r="O25" t="s">
        <v>1536</v>
      </c>
      <c r="P25" t="s">
        <v>1537</v>
      </c>
      <c r="Q25">
        <v>-2.27</v>
      </c>
      <c r="R25" t="s">
        <v>1538</v>
      </c>
      <c r="S25">
        <v>129329489</v>
      </c>
      <c r="T25" s="25">
        <v>0.2253</v>
      </c>
      <c r="U25" t="s">
        <v>272</v>
      </c>
      <c r="V25">
        <v>55360000</v>
      </c>
      <c r="W25">
        <v>224120000</v>
      </c>
      <c r="X25">
        <v>1.34</v>
      </c>
      <c r="Y25">
        <v>0.42</v>
      </c>
      <c r="Z25">
        <v>13.76</v>
      </c>
      <c r="AA25" t="s">
        <v>1539</v>
      </c>
      <c r="AB25" t="s">
        <v>574</v>
      </c>
      <c r="AC25" t="s">
        <v>1540</v>
      </c>
      <c r="AD25" t="s">
        <v>1541</v>
      </c>
      <c r="AE25" t="s">
        <v>1542</v>
      </c>
      <c r="AF25">
        <v>-7358131</v>
      </c>
      <c r="AG25" t="s">
        <v>1543</v>
      </c>
      <c r="AH25" t="s">
        <v>1544</v>
      </c>
      <c r="AI25" t="s">
        <v>1545</v>
      </c>
      <c r="AJ25" t="s">
        <v>240</v>
      </c>
      <c r="AK25" t="s">
        <v>1546</v>
      </c>
      <c r="AL25" t="s">
        <v>170</v>
      </c>
      <c r="AM25" t="s">
        <v>1547</v>
      </c>
      <c r="AN25" t="s">
        <v>170</v>
      </c>
      <c r="AO25" t="s">
        <v>1548</v>
      </c>
      <c r="AP25" t="s">
        <v>170</v>
      </c>
      <c r="AQ25" t="s">
        <v>1549</v>
      </c>
      <c r="AR25" t="s">
        <v>1179</v>
      </c>
      <c r="AS25" t="s">
        <v>170</v>
      </c>
      <c r="AT25" t="s">
        <v>1550</v>
      </c>
      <c r="AU25" t="s">
        <v>170</v>
      </c>
      <c r="AV25" t="s">
        <v>1551</v>
      </c>
      <c r="AW25" t="s">
        <v>1552</v>
      </c>
      <c r="AX25" t="s">
        <v>1553</v>
      </c>
      <c r="AY25" t="s">
        <v>1554</v>
      </c>
      <c r="AZ25" t="s">
        <v>1555</v>
      </c>
      <c r="BA25" t="s">
        <v>1556</v>
      </c>
      <c r="BB25" t="s">
        <v>1557</v>
      </c>
      <c r="BC25" t="s">
        <v>170</v>
      </c>
      <c r="BD25" t="s">
        <v>256</v>
      </c>
      <c r="BE25" t="s">
        <v>507</v>
      </c>
      <c r="BF25" t="s">
        <v>1558</v>
      </c>
      <c r="BG25" t="s">
        <v>1559</v>
      </c>
      <c r="BH25" t="s">
        <v>170</v>
      </c>
      <c r="BI25" t="s">
        <v>1560</v>
      </c>
      <c r="BJ25" t="s">
        <v>1561</v>
      </c>
      <c r="BK25" t="s">
        <v>1562</v>
      </c>
      <c r="BL25" t="s">
        <v>1563</v>
      </c>
      <c r="BM25" t="s">
        <v>1564</v>
      </c>
      <c r="BN25" t="s">
        <v>1565</v>
      </c>
      <c r="BO25">
        <v>6.61</v>
      </c>
      <c r="BP25">
        <v>1.1000000000000001</v>
      </c>
      <c r="BQ25">
        <v>21.17</v>
      </c>
      <c r="BR25">
        <v>32.24</v>
      </c>
      <c r="BS25">
        <v>1.32</v>
      </c>
      <c r="BT25">
        <v>32.53</v>
      </c>
      <c r="BU25" t="s">
        <v>170</v>
      </c>
      <c r="BV25" t="s">
        <v>847</v>
      </c>
      <c r="BW25">
        <v>29.64</v>
      </c>
      <c r="BX25">
        <v>38</v>
      </c>
      <c r="BY25">
        <v>38.25</v>
      </c>
      <c r="BZ25">
        <v>12.77</v>
      </c>
      <c r="CA25">
        <v>13.92</v>
      </c>
      <c r="CB25">
        <v>13.91</v>
      </c>
      <c r="CC25">
        <v>3.6</v>
      </c>
      <c r="CD25">
        <v>-9.3800000000000008</v>
      </c>
      <c r="CE25" t="s">
        <v>1566</v>
      </c>
      <c r="CF25" t="s">
        <v>1567</v>
      </c>
      <c r="CG25" s="26">
        <v>-8.476306603773559E-2</v>
      </c>
      <c r="CH25" s="27">
        <v>0.12595412680901019</v>
      </c>
      <c r="CI25" s="26">
        <v>0.23879374563694</v>
      </c>
      <c r="CJ25" s="26">
        <v>-8.9762561023235321E-2</v>
      </c>
      <c r="CK25" s="26">
        <v>2.230531070381403E-3</v>
      </c>
      <c r="CL25" s="26">
        <v>-9.2442691326141357E-2</v>
      </c>
      <c r="CM25" s="26" t="e">
        <v>#VALUE!</v>
      </c>
      <c r="CN25" s="27">
        <v>7.0175439119338989E-2</v>
      </c>
      <c r="CO25" s="27">
        <v>-9.0425528585910797E-2</v>
      </c>
      <c r="CP25" s="27">
        <v>0.99458694458007813</v>
      </c>
      <c r="CQ25" s="27">
        <v>0.36800655722618103</v>
      </c>
      <c r="CR25" s="27" t="e">
        <v>#VALUE!</v>
      </c>
      <c r="CS25">
        <v>2.123242105263158</v>
      </c>
      <c r="CT25">
        <v>62966778.1420765</v>
      </c>
      <c r="CU25">
        <v>7.744127999999999</v>
      </c>
      <c r="CV25" s="26">
        <v>1.4704756089486182E-2</v>
      </c>
      <c r="CW25" s="27">
        <v>0.33558585308492184</v>
      </c>
      <c r="CX25">
        <v>0.06</v>
      </c>
      <c r="CY25">
        <v>12.109407773504673</v>
      </c>
      <c r="CZ25">
        <v>175180160.72110939</v>
      </c>
      <c r="DA25">
        <v>1.4704756089486182E-2</v>
      </c>
      <c r="DB25">
        <v>4.2199968350075441</v>
      </c>
      <c r="DC25">
        <v>502684737.20222771</v>
      </c>
      <c r="DD25">
        <v>1.3969518285011872E-2</v>
      </c>
      <c r="DE25">
        <v>2.2580181940812096</v>
      </c>
      <c r="DF25">
        <v>939464529.3649509</v>
      </c>
      <c r="DG25">
        <v>1.294018535874784E-2</v>
      </c>
      <c r="DH25">
        <v>1.4843110046327499</v>
      </c>
      <c r="DI25">
        <v>1429166794.1415429</v>
      </c>
      <c r="DJ25">
        <v>1.1763804871588946E-2</v>
      </c>
      <c r="DK25">
        <v>0.9238713376636366</v>
      </c>
      <c r="DL25">
        <v>2296129248.2182555</v>
      </c>
      <c r="DM25">
        <v>1.0293329262640327E-2</v>
      </c>
      <c r="DN25">
        <v>183000000</v>
      </c>
      <c r="DO25">
        <v>1.4704756089486182E-2</v>
      </c>
      <c r="DP25">
        <v>2121328000</v>
      </c>
      <c r="DQ25">
        <v>969314800</v>
      </c>
      <c r="DR25">
        <v>3886</v>
      </c>
      <c r="DS25">
        <v>-9.9467822127221772E-2</v>
      </c>
      <c r="DT25">
        <v>-0.20963172627591165</v>
      </c>
      <c r="DU25" s="28">
        <v>0</v>
      </c>
      <c r="DV25">
        <v>0.6</v>
      </c>
      <c r="DW25">
        <v>0.6</v>
      </c>
      <c r="DX25">
        <v>6.2773497688751929</v>
      </c>
      <c r="DY25">
        <v>0.67081370052273859</v>
      </c>
      <c r="DZ25">
        <v>6.0335076519169384</v>
      </c>
      <c r="EA25">
        <v>1701</v>
      </c>
      <c r="EB25">
        <v>6.0218304308739734</v>
      </c>
      <c r="EC25">
        <v>6</v>
      </c>
      <c r="ED25">
        <v>5.2282705693378548E-2</v>
      </c>
      <c r="EE25">
        <v>0.43275477422809211</v>
      </c>
      <c r="EF25" s="29">
        <v>6.0810000000000003E-2</v>
      </c>
      <c r="EG25">
        <v>3.0810000000000001E-2</v>
      </c>
      <c r="EH25">
        <v>55.120813700522739</v>
      </c>
      <c r="EI25">
        <v>-1</v>
      </c>
      <c r="EJ25">
        <v>0</v>
      </c>
      <c r="EK25">
        <v>0</v>
      </c>
      <c r="EL25" s="30">
        <v>44876</v>
      </c>
      <c r="EM25" s="31">
        <v>1.51</v>
      </c>
      <c r="EN25" s="31">
        <v>-0.28000000000000003</v>
      </c>
      <c r="EO25" s="31">
        <v>7.0000000000000007E-2</v>
      </c>
      <c r="EP25" s="31">
        <v>-0.71</v>
      </c>
      <c r="EQ25" s="31">
        <v>3</v>
      </c>
    </row>
    <row r="26" spans="2:147" ht="84">
      <c r="D26" s="24" t="s">
        <v>1600</v>
      </c>
      <c r="E26" t="s">
        <v>434</v>
      </c>
      <c r="F26" t="s">
        <v>435</v>
      </c>
      <c r="G26">
        <v>26.69</v>
      </c>
      <c r="H26">
        <v>3.81</v>
      </c>
      <c r="I26" t="s">
        <v>436</v>
      </c>
      <c r="J26">
        <v>2530212000</v>
      </c>
      <c r="K26">
        <v>20.96</v>
      </c>
      <c r="L26">
        <v>1.43</v>
      </c>
      <c r="M26" t="s">
        <v>338</v>
      </c>
      <c r="N26" t="s">
        <v>1569</v>
      </c>
      <c r="O26" t="s">
        <v>1570</v>
      </c>
      <c r="P26" t="s">
        <v>1571</v>
      </c>
      <c r="Q26" s="25">
        <v>-2.76</v>
      </c>
      <c r="R26" t="s">
        <v>1572</v>
      </c>
      <c r="S26">
        <v>86640693</v>
      </c>
      <c r="T26">
        <v>-8.2100000000000006E-2</v>
      </c>
      <c r="U26" t="s">
        <v>1124</v>
      </c>
      <c r="V26">
        <v>21017921</v>
      </c>
      <c r="W26">
        <v>94800000</v>
      </c>
      <c r="X26">
        <v>1.22</v>
      </c>
      <c r="Y26">
        <v>0.38</v>
      </c>
      <c r="Z26">
        <v>12.92</v>
      </c>
      <c r="AA26" t="s">
        <v>560</v>
      </c>
      <c r="AB26" t="s">
        <v>1135</v>
      </c>
      <c r="AC26" t="s">
        <v>1573</v>
      </c>
      <c r="AD26" t="s">
        <v>1574</v>
      </c>
      <c r="AE26" t="s">
        <v>1575</v>
      </c>
      <c r="AF26">
        <v>-1342527</v>
      </c>
      <c r="AG26" t="s">
        <v>1576</v>
      </c>
      <c r="AH26" t="s">
        <v>1577</v>
      </c>
      <c r="AI26" t="s">
        <v>1578</v>
      </c>
      <c r="AJ26" t="s">
        <v>245</v>
      </c>
      <c r="AK26" t="s">
        <v>1579</v>
      </c>
      <c r="AL26" t="s">
        <v>1580</v>
      </c>
      <c r="AM26" t="s">
        <v>1581</v>
      </c>
      <c r="AN26" t="s">
        <v>170</v>
      </c>
      <c r="AO26" t="s">
        <v>1582</v>
      </c>
      <c r="AP26" t="s">
        <v>1583</v>
      </c>
      <c r="AQ26" t="s">
        <v>170</v>
      </c>
      <c r="AR26" t="s">
        <v>239</v>
      </c>
      <c r="AS26" t="s">
        <v>170</v>
      </c>
      <c r="AT26" t="s">
        <v>1584</v>
      </c>
      <c r="AU26" t="s">
        <v>170</v>
      </c>
      <c r="AV26" t="s">
        <v>1585</v>
      </c>
      <c r="AW26" t="s">
        <v>1586</v>
      </c>
      <c r="AX26" t="s">
        <v>1587</v>
      </c>
      <c r="AY26" t="s">
        <v>1588</v>
      </c>
      <c r="AZ26" t="s">
        <v>1587</v>
      </c>
      <c r="BA26" t="s">
        <v>722</v>
      </c>
      <c r="BB26" t="s">
        <v>333</v>
      </c>
      <c r="BC26" t="s">
        <v>1589</v>
      </c>
      <c r="BD26" t="s">
        <v>328</v>
      </c>
      <c r="BE26" t="s">
        <v>1590</v>
      </c>
      <c r="BF26" t="s">
        <v>1591</v>
      </c>
      <c r="BG26" t="s">
        <v>1592</v>
      </c>
      <c r="BH26" t="s">
        <v>1593</v>
      </c>
      <c r="BI26" t="s">
        <v>984</v>
      </c>
      <c r="BJ26" t="s">
        <v>1594</v>
      </c>
      <c r="BK26" t="s">
        <v>194</v>
      </c>
      <c r="BL26" t="s">
        <v>1595</v>
      </c>
      <c r="BM26" t="s">
        <v>1596</v>
      </c>
      <c r="BN26" t="s">
        <v>1597</v>
      </c>
      <c r="BO26">
        <v>5.49</v>
      </c>
      <c r="BP26">
        <v>-0.83</v>
      </c>
      <c r="BQ26">
        <v>14.21</v>
      </c>
      <c r="BR26">
        <v>10.48</v>
      </c>
      <c r="BS26" t="s">
        <v>170</v>
      </c>
      <c r="BT26" t="s">
        <v>170</v>
      </c>
      <c r="BU26" t="s">
        <v>170</v>
      </c>
      <c r="BV26" t="s">
        <v>847</v>
      </c>
      <c r="BW26">
        <v>29.99</v>
      </c>
      <c r="BX26">
        <v>38.61</v>
      </c>
      <c r="BY26">
        <v>38.19</v>
      </c>
      <c r="BZ26">
        <v>7.66</v>
      </c>
      <c r="CA26">
        <v>15.18</v>
      </c>
      <c r="CB26">
        <v>10.42</v>
      </c>
      <c r="CC26">
        <v>1.56</v>
      </c>
      <c r="CD26">
        <v>-14.46</v>
      </c>
      <c r="CE26" t="s">
        <v>1598</v>
      </c>
      <c r="CF26" t="s">
        <v>1599</v>
      </c>
      <c r="CG26" s="26">
        <v>4.7911906158357769E-2</v>
      </c>
      <c r="CH26" s="27">
        <v>0.20052830846638586</v>
      </c>
      <c r="CI26" s="26">
        <v>0.14336918294429779</v>
      </c>
      <c r="CJ26" s="26">
        <v>0.14972527325153351</v>
      </c>
      <c r="CK26" s="26">
        <v>0.19148936867713928</v>
      </c>
      <c r="CL26" s="26">
        <v>0.41108545660972595</v>
      </c>
      <c r="CM26" s="26">
        <v>8.2500003278255463E-2</v>
      </c>
      <c r="CN26" s="27">
        <v>7.8740157186985016E-3</v>
      </c>
      <c r="CO26" s="27">
        <v>0.67407476902008057</v>
      </c>
      <c r="CP26" s="27">
        <v>0.26913291215896606</v>
      </c>
      <c r="CQ26" s="27">
        <v>-2.1265970543026924E-2</v>
      </c>
      <c r="CR26" s="27">
        <v>-0.12670063972473145</v>
      </c>
      <c r="CS26">
        <v>2.6438996865203763</v>
      </c>
      <c r="CT26">
        <v>63812182.8125</v>
      </c>
      <c r="CU26">
        <v>5.9897119999999999</v>
      </c>
      <c r="CV26" s="26">
        <v>0.1956338569521904</v>
      </c>
      <c r="CW26" s="27">
        <v>0.16062301732599735</v>
      </c>
      <c r="CX26">
        <v>0.06</v>
      </c>
      <c r="CY26">
        <v>7.9735734477291658</v>
      </c>
      <c r="CZ26">
        <v>144378428.00932112</v>
      </c>
      <c r="DA26">
        <v>0.1956338569521904</v>
      </c>
      <c r="DB26">
        <v>2.3853627654994187</v>
      </c>
      <c r="DC26">
        <v>482615062.43431813</v>
      </c>
      <c r="DD26">
        <v>0.18585216410458089</v>
      </c>
      <c r="DE26">
        <v>1.0387867303702325</v>
      </c>
      <c r="DF26">
        <v>1108227479.5613706</v>
      </c>
      <c r="DG26">
        <v>0.17215779411792756</v>
      </c>
      <c r="DH26">
        <v>0.53987846581340981</v>
      </c>
      <c r="DI26">
        <v>2132353988.7176685</v>
      </c>
      <c r="DJ26">
        <v>0.15650708556175233</v>
      </c>
      <c r="DK26">
        <v>0.19882810867503223</v>
      </c>
      <c r="DL26">
        <v>5789986172.8381605</v>
      </c>
      <c r="DM26">
        <v>0.13694369986653326</v>
      </c>
      <c r="DN26">
        <v>128000000</v>
      </c>
      <c r="DO26">
        <v>0.1956338569521904</v>
      </c>
      <c r="DP26">
        <v>1151211999.9999998</v>
      </c>
      <c r="DQ26">
        <v>1138039200</v>
      </c>
      <c r="DR26" s="28">
        <v>2651</v>
      </c>
      <c r="DS26">
        <v>-0.14772195079383263</v>
      </c>
      <c r="DT26">
        <v>3.9905291140388516E-2</v>
      </c>
      <c r="DU26">
        <v>0</v>
      </c>
      <c r="DV26">
        <v>0</v>
      </c>
      <c r="DW26">
        <v>0</v>
      </c>
      <c r="DX26">
        <v>-2.1446000000000001</v>
      </c>
      <c r="DY26">
        <v>0.71930289336638309</v>
      </c>
      <c r="DZ26">
        <v>-2.0158051983807788</v>
      </c>
      <c r="EA26">
        <v>2165</v>
      </c>
      <c r="EB26">
        <v>-2.0087946975624247</v>
      </c>
      <c r="EC26" s="29">
        <v>2</v>
      </c>
      <c r="ED26">
        <v>0.10578375527426161</v>
      </c>
      <c r="EE26">
        <v>0.96780379746835443</v>
      </c>
      <c r="EF26">
        <v>5.151E-2</v>
      </c>
      <c r="EG26">
        <v>1.3409999999999995E-2</v>
      </c>
      <c r="EH26">
        <v>61.109302893366383</v>
      </c>
      <c r="EI26" s="30">
        <v>-1</v>
      </c>
      <c r="EJ26" s="31">
        <v>0</v>
      </c>
      <c r="EK26" s="31">
        <v>0</v>
      </c>
      <c r="EL26" s="31">
        <v>44876</v>
      </c>
      <c r="EM26" s="31">
        <v>0.19</v>
      </c>
      <c r="EN26" s="31">
        <v>-1.33</v>
      </c>
      <c r="EO26" s="31">
        <v>-0.46</v>
      </c>
      <c r="EP26" s="31">
        <v>-0.57999999999999996</v>
      </c>
      <c r="EQ26" s="31">
        <v>3.81</v>
      </c>
    </row>
    <row r="27" spans="2:147" ht="84">
      <c r="B27" s="24"/>
      <c r="C27" s="24"/>
      <c r="D27" s="24" t="s">
        <v>1633</v>
      </c>
      <c r="E27" t="s">
        <v>437</v>
      </c>
      <c r="F27" t="s">
        <v>438</v>
      </c>
      <c r="G27">
        <v>7.61</v>
      </c>
      <c r="H27">
        <v>3.4</v>
      </c>
      <c r="I27" t="s">
        <v>439</v>
      </c>
      <c r="J27">
        <v>2401051500</v>
      </c>
      <c r="L27">
        <v>2.4500000000000002</v>
      </c>
      <c r="M27" t="s">
        <v>338</v>
      </c>
      <c r="N27" t="s">
        <v>807</v>
      </c>
      <c r="O27" t="s">
        <v>1601</v>
      </c>
      <c r="P27" t="s">
        <v>1602</v>
      </c>
      <c r="Q27">
        <v>-5.59</v>
      </c>
      <c r="R27" t="s">
        <v>1603</v>
      </c>
      <c r="S27">
        <v>93858038</v>
      </c>
      <c r="T27" s="25">
        <v>-7.8899999999999998E-2</v>
      </c>
      <c r="U27" t="s">
        <v>1604</v>
      </c>
      <c r="V27">
        <v>315512680</v>
      </c>
      <c r="W27">
        <v>315512680</v>
      </c>
      <c r="X27">
        <v>2.2000000000000002</v>
      </c>
      <c r="Y27">
        <v>0.51</v>
      </c>
      <c r="Z27">
        <v>8.01</v>
      </c>
      <c r="AA27" t="s">
        <v>1605</v>
      </c>
      <c r="AB27" t="s">
        <v>574</v>
      </c>
      <c r="AC27" t="s">
        <v>1606</v>
      </c>
      <c r="AD27" t="s">
        <v>1607</v>
      </c>
      <c r="AE27" t="s">
        <v>603</v>
      </c>
      <c r="AF27">
        <v>4639008</v>
      </c>
      <c r="AG27" t="s">
        <v>1608</v>
      </c>
      <c r="AH27" t="s">
        <v>1609</v>
      </c>
      <c r="AI27" t="s">
        <v>1610</v>
      </c>
      <c r="AJ27" t="s">
        <v>1611</v>
      </c>
      <c r="AK27" t="s">
        <v>1612</v>
      </c>
      <c r="AL27" t="s">
        <v>1613</v>
      </c>
      <c r="AM27" t="s">
        <v>1614</v>
      </c>
      <c r="AN27" t="s">
        <v>170</v>
      </c>
      <c r="AO27" t="s">
        <v>1615</v>
      </c>
      <c r="AP27" t="s">
        <v>1616</v>
      </c>
      <c r="AQ27" t="s">
        <v>1617</v>
      </c>
      <c r="AR27" t="s">
        <v>192</v>
      </c>
      <c r="AS27" t="s">
        <v>1618</v>
      </c>
      <c r="AT27" t="s">
        <v>1619</v>
      </c>
      <c r="AU27" t="s">
        <v>1620</v>
      </c>
      <c r="AV27" t="s">
        <v>611</v>
      </c>
      <c r="AW27" t="s">
        <v>1621</v>
      </c>
      <c r="AX27" t="s">
        <v>1622</v>
      </c>
      <c r="AY27" t="s">
        <v>1623</v>
      </c>
      <c r="AZ27" t="s">
        <v>255</v>
      </c>
      <c r="BA27" t="s">
        <v>1624</v>
      </c>
      <c r="BB27" t="s">
        <v>301</v>
      </c>
      <c r="BC27" t="s">
        <v>291</v>
      </c>
      <c r="BD27" t="s">
        <v>267</v>
      </c>
      <c r="BE27" t="s">
        <v>322</v>
      </c>
      <c r="BF27" t="s">
        <v>177</v>
      </c>
      <c r="BG27" t="s">
        <v>1625</v>
      </c>
      <c r="BH27" t="s">
        <v>1626</v>
      </c>
      <c r="BI27" t="s">
        <v>1627</v>
      </c>
      <c r="BJ27" t="s">
        <v>1628</v>
      </c>
      <c r="BK27" t="s">
        <v>1001</v>
      </c>
      <c r="BL27" t="s">
        <v>1629</v>
      </c>
      <c r="BM27" t="s">
        <v>177</v>
      </c>
      <c r="BN27" t="s">
        <v>1630</v>
      </c>
      <c r="BO27">
        <v>5.57</v>
      </c>
      <c r="BP27">
        <v>0.79</v>
      </c>
      <c r="BQ27">
        <v>18.57</v>
      </c>
      <c r="BR27">
        <v>16.36</v>
      </c>
      <c r="BS27">
        <v>1.53</v>
      </c>
      <c r="BT27">
        <v>21.18</v>
      </c>
      <c r="BU27">
        <v>17.29</v>
      </c>
      <c r="BV27" t="s">
        <v>847</v>
      </c>
      <c r="BW27">
        <v>43.03</v>
      </c>
      <c r="BX27">
        <v>42.44</v>
      </c>
      <c r="BY27">
        <v>43.83</v>
      </c>
      <c r="BZ27">
        <v>5.68</v>
      </c>
      <c r="CA27">
        <v>13.86</v>
      </c>
      <c r="CB27">
        <v>11.56</v>
      </c>
      <c r="CC27">
        <v>4.97</v>
      </c>
      <c r="CD27">
        <v>5.99</v>
      </c>
      <c r="CE27" t="s">
        <v>1631</v>
      </c>
      <c r="CF27" t="s">
        <v>1632</v>
      </c>
      <c r="CG27" s="26">
        <v>-7.1560362173038225E-2</v>
      </c>
      <c r="CH27" s="27">
        <v>8.0935180113628324E-2</v>
      </c>
      <c r="CI27" s="26">
        <v>8.9015111327171326E-2</v>
      </c>
      <c r="CJ27" s="26">
        <v>0.18918919563293457</v>
      </c>
      <c r="CK27" s="26">
        <v>0.23105360567569733</v>
      </c>
      <c r="CL27" s="26">
        <v>0.18251365423202515</v>
      </c>
      <c r="CM27" s="26">
        <v>0.35355028510093689</v>
      </c>
      <c r="CN27" s="27">
        <v>-1.7363636493682861</v>
      </c>
      <c r="CO27" s="27">
        <v>0.4285714328289032</v>
      </c>
      <c r="CP27" s="27">
        <v>0.50980395078659058</v>
      </c>
      <c r="CQ27" s="27">
        <v>0.2176850289106369</v>
      </c>
      <c r="CR27" s="27">
        <v>0.21856684982776642</v>
      </c>
      <c r="CS27">
        <v>1.3919139130434783</v>
      </c>
      <c r="CT27">
        <v>-48184357.40740741</v>
      </c>
      <c r="CU27">
        <v>8.9872200000000007</v>
      </c>
      <c r="CV27" s="26">
        <v>0.20906437039375306</v>
      </c>
      <c r="CW27" s="27">
        <v>-7.2347277402877802E-2</v>
      </c>
      <c r="CX27">
        <v>0.06</v>
      </c>
      <c r="CY27" t="e">
        <v>#VALUE!</v>
      </c>
      <c r="CZ27" t="s">
        <v>174</v>
      </c>
      <c r="DA27">
        <v>0.20906437039375306</v>
      </c>
      <c r="DB27" t="e">
        <v>#VALUE!</v>
      </c>
      <c r="DC27" t="s">
        <v>174</v>
      </c>
      <c r="DD27">
        <v>0.19861115187406539</v>
      </c>
      <c r="DE27" t="e">
        <v>#VALUE!</v>
      </c>
      <c r="DF27" t="s">
        <v>174</v>
      </c>
      <c r="DG27">
        <v>0.1839766459465027</v>
      </c>
      <c r="DH27" t="e">
        <v>#VALUE!</v>
      </c>
      <c r="DI27" t="s">
        <v>174</v>
      </c>
      <c r="DJ27">
        <v>0.16725149631500247</v>
      </c>
      <c r="DK27" t="e">
        <v>#VALUE!</v>
      </c>
      <c r="DL27" t="s">
        <v>174</v>
      </c>
      <c r="DM27">
        <v>0.14634505927562713</v>
      </c>
      <c r="DN27">
        <v>-162000000</v>
      </c>
      <c r="DO27">
        <v>0.20906437039375306</v>
      </c>
      <c r="DP27">
        <v>2596051500</v>
      </c>
      <c r="DQ27">
        <v>34479030</v>
      </c>
      <c r="DR27">
        <v>3950</v>
      </c>
      <c r="DS27">
        <v>-0.28062473256679127</v>
      </c>
      <c r="DT27">
        <v>0.15328245751650613</v>
      </c>
      <c r="DU27" s="28">
        <v>0</v>
      </c>
      <c r="DV27" t="e">
        <v>#VALUE!</v>
      </c>
      <c r="DW27" t="e">
        <v>#VALUE!</v>
      </c>
      <c r="DX27">
        <v>8.8297161936560933</v>
      </c>
      <c r="DY27">
        <v>0.6824274756265214</v>
      </c>
      <c r="DZ27">
        <v>8.167957354568248</v>
      </c>
      <c r="EA27">
        <v>2986</v>
      </c>
      <c r="EB27">
        <v>8.0652077826074233</v>
      </c>
      <c r="EC27">
        <v>8</v>
      </c>
      <c r="ED27">
        <v>1.7221811814346098E-2</v>
      </c>
      <c r="EE27">
        <v>8.5076453979599176E-2</v>
      </c>
      <c r="EF27" s="29">
        <v>1.6999999999999993E-3</v>
      </c>
      <c r="EG27">
        <v>3.5700000000000003E-2</v>
      </c>
      <c r="EH27">
        <v>48.202427475626521</v>
      </c>
      <c r="EI27" t="s">
        <v>184</v>
      </c>
      <c r="EJ27">
        <v>0</v>
      </c>
      <c r="EK27">
        <v>0</v>
      </c>
      <c r="EL27" s="30">
        <v>44876</v>
      </c>
      <c r="EM27" s="31">
        <v>1.38</v>
      </c>
      <c r="EN27" s="31">
        <v>0.68</v>
      </c>
      <c r="EO27" s="31">
        <v>0.14000000000000001</v>
      </c>
      <c r="EP27" s="31">
        <v>-0.67</v>
      </c>
      <c r="EQ27" s="31">
        <v>3.4</v>
      </c>
    </row>
    <row r="28" spans="2:147" ht="84">
      <c r="B28" s="24"/>
      <c r="C28" s="24"/>
      <c r="D28" s="24" t="s">
        <v>1664</v>
      </c>
      <c r="E28" t="s">
        <v>440</v>
      </c>
      <c r="F28" t="s">
        <v>441</v>
      </c>
      <c r="G28">
        <v>52.14</v>
      </c>
      <c r="H28">
        <v>5.18</v>
      </c>
      <c r="I28" t="s">
        <v>442</v>
      </c>
      <c r="J28">
        <v>2085600000</v>
      </c>
      <c r="K28">
        <v>43.95</v>
      </c>
      <c r="L28">
        <v>2.68</v>
      </c>
      <c r="M28" t="s">
        <v>338</v>
      </c>
      <c r="N28" t="s">
        <v>1634</v>
      </c>
      <c r="O28" t="s">
        <v>592</v>
      </c>
      <c r="P28" t="s">
        <v>1635</v>
      </c>
      <c r="Q28">
        <v>-25.91</v>
      </c>
      <c r="R28" t="s">
        <v>1636</v>
      </c>
      <c r="S28">
        <v>30601771</v>
      </c>
      <c r="T28" s="25">
        <v>-0.40689999999999998</v>
      </c>
      <c r="U28" t="s">
        <v>1637</v>
      </c>
      <c r="V28">
        <v>10000000</v>
      </c>
      <c r="W28">
        <v>40000000</v>
      </c>
      <c r="X28">
        <v>1.1100000000000001</v>
      </c>
      <c r="Y28">
        <v>0.34</v>
      </c>
      <c r="Z28">
        <v>12.37</v>
      </c>
      <c r="AA28" t="s">
        <v>188</v>
      </c>
      <c r="AB28" t="s">
        <v>1638</v>
      </c>
      <c r="AC28" t="s">
        <v>1639</v>
      </c>
      <c r="AD28" t="s">
        <v>1640</v>
      </c>
      <c r="AE28" t="s">
        <v>1641</v>
      </c>
      <c r="AF28">
        <v>-6146102</v>
      </c>
      <c r="AG28" t="s">
        <v>1642</v>
      </c>
      <c r="AH28" t="s">
        <v>1643</v>
      </c>
      <c r="AI28" t="s">
        <v>1644</v>
      </c>
      <c r="AJ28" t="s">
        <v>1645</v>
      </c>
      <c r="AK28" t="s">
        <v>1646</v>
      </c>
      <c r="AL28" t="s">
        <v>170</v>
      </c>
      <c r="AM28" t="s">
        <v>1647</v>
      </c>
      <c r="AN28" t="s">
        <v>170</v>
      </c>
      <c r="AO28">
        <v>0</v>
      </c>
      <c r="AP28" t="s">
        <v>170</v>
      </c>
      <c r="AQ28" t="s">
        <v>1648</v>
      </c>
      <c r="AR28" t="s">
        <v>1649</v>
      </c>
      <c r="AS28" t="s">
        <v>170</v>
      </c>
      <c r="AT28" t="s">
        <v>1650</v>
      </c>
      <c r="AU28" t="s">
        <v>170</v>
      </c>
      <c r="AV28" t="s">
        <v>1651</v>
      </c>
      <c r="AW28" t="s">
        <v>1652</v>
      </c>
      <c r="AX28" t="s">
        <v>803</v>
      </c>
      <c r="AY28" t="s">
        <v>565</v>
      </c>
      <c r="AZ28" t="s">
        <v>1560</v>
      </c>
      <c r="BA28" t="s">
        <v>218</v>
      </c>
      <c r="BB28" t="s">
        <v>1432</v>
      </c>
      <c r="BC28" t="s">
        <v>170</v>
      </c>
      <c r="BD28" t="s">
        <v>1653</v>
      </c>
      <c r="BE28" t="s">
        <v>1654</v>
      </c>
      <c r="BF28" t="s">
        <v>1655</v>
      </c>
      <c r="BG28" t="s">
        <v>1656</v>
      </c>
      <c r="BH28" t="s">
        <v>170</v>
      </c>
      <c r="BI28" t="s">
        <v>219</v>
      </c>
      <c r="BJ28" t="s">
        <v>1657</v>
      </c>
      <c r="BK28" t="s">
        <v>186</v>
      </c>
      <c r="BL28" t="s">
        <v>1658</v>
      </c>
      <c r="BM28" t="s">
        <v>1659</v>
      </c>
      <c r="BN28" t="s">
        <v>1660</v>
      </c>
      <c r="BO28">
        <v>4.7</v>
      </c>
      <c r="BP28">
        <v>3.05</v>
      </c>
      <c r="BQ28">
        <v>16.93</v>
      </c>
      <c r="BR28">
        <v>21.7</v>
      </c>
      <c r="BS28">
        <v>3.42</v>
      </c>
      <c r="BT28" t="s">
        <v>170</v>
      </c>
      <c r="BU28" t="s">
        <v>170</v>
      </c>
      <c r="BV28" t="s">
        <v>847</v>
      </c>
      <c r="BW28">
        <v>27.66</v>
      </c>
      <c r="BX28">
        <v>27.89</v>
      </c>
      <c r="BY28">
        <v>33.590000000000003</v>
      </c>
      <c r="BZ28">
        <v>13.79</v>
      </c>
      <c r="CA28">
        <v>14.18</v>
      </c>
      <c r="CB28">
        <v>13.39</v>
      </c>
      <c r="CC28">
        <v>7.13</v>
      </c>
      <c r="CD28">
        <v>-1.62</v>
      </c>
      <c r="CE28" t="s">
        <v>1661</v>
      </c>
      <c r="CF28" t="s">
        <v>1662</v>
      </c>
      <c r="CG28" s="26">
        <v>-0.39023752293577979</v>
      </c>
      <c r="CH28" s="27">
        <v>-0.69424872913882041</v>
      </c>
      <c r="CI28" s="26">
        <v>-1.2526095844805241E-2</v>
      </c>
      <c r="CJ28" s="26">
        <v>-0.13224637508392334</v>
      </c>
      <c r="CK28" s="26">
        <v>0.15000000596046448</v>
      </c>
      <c r="CL28" s="26">
        <v>0.55844157934188843</v>
      </c>
      <c r="CM28" s="26" t="e">
        <v>#VALUE!</v>
      </c>
      <c r="CN28" s="27">
        <v>8.4797320887446404E-3</v>
      </c>
      <c r="CO28" s="27">
        <v>-8.1838391721248627E-2</v>
      </c>
      <c r="CP28" s="27">
        <v>0.68520170450210571</v>
      </c>
      <c r="CQ28" s="27">
        <v>0.74468779563903809</v>
      </c>
      <c r="CR28" s="27" t="e">
        <v>#VALUE!</v>
      </c>
      <c r="CS28">
        <v>4.409302325581395</v>
      </c>
      <c r="CT28">
        <v>39433197.818716213</v>
      </c>
      <c r="CU28">
        <v>4.668438000000001</v>
      </c>
      <c r="CV28" s="26">
        <v>0.14091727859340608</v>
      </c>
      <c r="CW28" s="27">
        <v>0.33913271012715995</v>
      </c>
      <c r="CX28">
        <v>0.06</v>
      </c>
      <c r="CY28">
        <v>18.933672586290196</v>
      </c>
      <c r="CZ28">
        <v>73680760.752678737</v>
      </c>
      <c r="DA28">
        <v>0.14091727859340608</v>
      </c>
      <c r="DB28">
        <v>5.9277412816102117</v>
      </c>
      <c r="DC28">
        <v>235342153.73533463</v>
      </c>
      <c r="DD28">
        <v>0.13387141466373578</v>
      </c>
      <c r="DE28">
        <v>2.7525530453261791</v>
      </c>
      <c r="DF28">
        <v>506819442.54218215</v>
      </c>
      <c r="DG28">
        <v>0.12400720516219735</v>
      </c>
      <c r="DH28">
        <v>1.5452502882750709</v>
      </c>
      <c r="DI28">
        <v>902797048.85689485</v>
      </c>
      <c r="DJ28">
        <v>0.11273382287472487</v>
      </c>
      <c r="DK28">
        <v>0.6849468264290085</v>
      </c>
      <c r="DL28">
        <v>2036723649.4446187</v>
      </c>
      <c r="DM28">
        <v>9.8642095015384249E-2</v>
      </c>
      <c r="DN28">
        <v>68455100</v>
      </c>
      <c r="DO28">
        <v>0.14091727859340608</v>
      </c>
      <c r="DP28">
        <v>1395047400</v>
      </c>
      <c r="DQ28">
        <v>743692420</v>
      </c>
      <c r="DR28">
        <v>2708</v>
      </c>
      <c r="DS28">
        <v>-0.53115480152918582</v>
      </c>
      <c r="DT28">
        <v>-1.0333814392659804</v>
      </c>
      <c r="DU28" s="28">
        <v>-0.22</v>
      </c>
      <c r="DV28">
        <v>-0.22</v>
      </c>
      <c r="DW28">
        <v>-0.44</v>
      </c>
      <c r="DX28">
        <v>5.2272089761570824</v>
      </c>
      <c r="DY28">
        <v>0.55748924975970027</v>
      </c>
      <c r="DZ28">
        <v>5.0425992404783608</v>
      </c>
      <c r="EA28">
        <v>2754</v>
      </c>
      <c r="EB28">
        <v>5.0185635288870056</v>
      </c>
      <c r="EC28">
        <v>5</v>
      </c>
      <c r="ED28">
        <v>0.185305</v>
      </c>
      <c r="EE28">
        <v>0.98834999999999995</v>
      </c>
      <c r="EF28" s="29">
        <v>12.02731</v>
      </c>
      <c r="EG28">
        <v>12.0245</v>
      </c>
      <c r="EH28">
        <v>37.1874892497597</v>
      </c>
      <c r="EI28" t="s">
        <v>1663</v>
      </c>
      <c r="EJ28">
        <v>1</v>
      </c>
      <c r="EK28">
        <v>0</v>
      </c>
      <c r="EL28" s="30">
        <v>44876</v>
      </c>
      <c r="EM28" s="31">
        <v>5.67</v>
      </c>
      <c r="EN28" s="31">
        <v>-2.96</v>
      </c>
      <c r="EO28" s="31">
        <v>1.28</v>
      </c>
      <c r="EP28" s="31">
        <v>-1.94</v>
      </c>
      <c r="EQ28" s="31">
        <v>5.18</v>
      </c>
    </row>
    <row r="29" spans="2:147" ht="84">
      <c r="B29" s="24"/>
      <c r="C29" s="24"/>
      <c r="D29" s="24" t="s">
        <v>1702</v>
      </c>
      <c r="E29" t="s">
        <v>443</v>
      </c>
      <c r="F29" t="s">
        <v>444</v>
      </c>
      <c r="G29">
        <v>7.79</v>
      </c>
      <c r="H29">
        <v>1.83</v>
      </c>
      <c r="I29" t="s">
        <v>445</v>
      </c>
      <c r="J29">
        <v>1607509700</v>
      </c>
      <c r="L29">
        <v>2.15</v>
      </c>
      <c r="M29" t="s">
        <v>338</v>
      </c>
      <c r="N29" t="s">
        <v>1665</v>
      </c>
      <c r="O29" t="s">
        <v>1666</v>
      </c>
      <c r="P29" t="s">
        <v>1667</v>
      </c>
      <c r="Q29">
        <v>-14.8</v>
      </c>
      <c r="R29" t="s">
        <v>1668</v>
      </c>
      <c r="S29">
        <v>44056973</v>
      </c>
      <c r="T29" s="25">
        <v>-0.38969999999999999</v>
      </c>
      <c r="U29" t="s">
        <v>1669</v>
      </c>
      <c r="V29">
        <v>155720850</v>
      </c>
      <c r="W29">
        <v>206355550</v>
      </c>
      <c r="X29">
        <v>2.0699999999999998</v>
      </c>
      <c r="Y29">
        <v>0.47</v>
      </c>
      <c r="Z29">
        <v>5.44</v>
      </c>
      <c r="AA29" t="s">
        <v>1670</v>
      </c>
      <c r="AB29" t="s">
        <v>1671</v>
      </c>
      <c r="AC29" t="s">
        <v>1672</v>
      </c>
      <c r="AD29" t="s">
        <v>1673</v>
      </c>
      <c r="AE29" t="s">
        <v>1674</v>
      </c>
      <c r="AF29">
        <v>5497354</v>
      </c>
      <c r="AG29" t="s">
        <v>1675</v>
      </c>
      <c r="AH29" t="s">
        <v>1676</v>
      </c>
      <c r="AI29" t="s">
        <v>1677</v>
      </c>
      <c r="AJ29" t="s">
        <v>1528</v>
      </c>
      <c r="AK29" t="s">
        <v>1678</v>
      </c>
      <c r="AL29" t="s">
        <v>1679</v>
      </c>
      <c r="AM29" t="s">
        <v>1680</v>
      </c>
      <c r="AN29" t="s">
        <v>170</v>
      </c>
      <c r="AO29" t="s">
        <v>1681</v>
      </c>
      <c r="AP29" t="s">
        <v>1027</v>
      </c>
      <c r="AQ29" t="s">
        <v>1682</v>
      </c>
      <c r="AR29" t="s">
        <v>1683</v>
      </c>
      <c r="AS29" t="s">
        <v>170</v>
      </c>
      <c r="AT29" t="s">
        <v>1684</v>
      </c>
      <c r="AU29" t="s">
        <v>306</v>
      </c>
      <c r="AV29" t="s">
        <v>1685</v>
      </c>
      <c r="AW29" t="s">
        <v>1686</v>
      </c>
      <c r="AX29" t="s">
        <v>1687</v>
      </c>
      <c r="AY29" t="s">
        <v>1688</v>
      </c>
      <c r="AZ29" t="s">
        <v>1070</v>
      </c>
      <c r="BA29" t="s">
        <v>1689</v>
      </c>
      <c r="BB29" t="s">
        <v>1119</v>
      </c>
      <c r="BC29" t="s">
        <v>558</v>
      </c>
      <c r="BD29" t="s">
        <v>1690</v>
      </c>
      <c r="BE29" t="s">
        <v>1691</v>
      </c>
      <c r="BF29" t="s">
        <v>1692</v>
      </c>
      <c r="BG29" t="s">
        <v>1693</v>
      </c>
      <c r="BH29" t="s">
        <v>1694</v>
      </c>
      <c r="BI29" t="s">
        <v>218</v>
      </c>
      <c r="BJ29" t="s">
        <v>1695</v>
      </c>
      <c r="BK29" t="s">
        <v>1696</v>
      </c>
      <c r="BL29" t="s">
        <v>1697</v>
      </c>
      <c r="BM29" t="s">
        <v>1698</v>
      </c>
      <c r="BN29" t="s">
        <v>1699</v>
      </c>
      <c r="BO29">
        <v>3.45</v>
      </c>
      <c r="BP29">
        <v>0.3</v>
      </c>
      <c r="BQ29">
        <v>2.06</v>
      </c>
      <c r="BR29">
        <v>9.07</v>
      </c>
      <c r="BS29">
        <v>0.55000000000000004</v>
      </c>
      <c r="BT29">
        <v>2.75</v>
      </c>
      <c r="BU29">
        <v>10.19</v>
      </c>
      <c r="BV29" t="s">
        <v>847</v>
      </c>
      <c r="BW29">
        <v>31.88</v>
      </c>
      <c r="BX29">
        <v>34.72</v>
      </c>
      <c r="BY29">
        <v>38.520000000000003</v>
      </c>
      <c r="BZ29">
        <v>5.12</v>
      </c>
      <c r="CA29">
        <v>2.4900000000000002</v>
      </c>
      <c r="CB29">
        <v>8.3699999999999992</v>
      </c>
      <c r="CC29">
        <v>3.73</v>
      </c>
      <c r="CD29">
        <v>9.8699999999999992</v>
      </c>
      <c r="CE29" t="s">
        <v>1700</v>
      </c>
      <c r="CF29" t="s">
        <v>1701</v>
      </c>
      <c r="CG29" s="26">
        <v>-0.24538578082191756</v>
      </c>
      <c r="CH29" s="27">
        <v>-0.43876391748922855</v>
      </c>
      <c r="CI29" s="26">
        <v>0.48853209614753723</v>
      </c>
      <c r="CJ29" s="26">
        <v>-6.2365591526031494E-2</v>
      </c>
      <c r="CK29" s="26">
        <v>0.11913357675075531</v>
      </c>
      <c r="CL29" s="26">
        <v>2.8465347364544868E-2</v>
      </c>
      <c r="CM29" s="26">
        <v>0.11448276042938232</v>
      </c>
      <c r="CN29" s="27">
        <v>-4.901771068572998</v>
      </c>
      <c r="CO29" s="27">
        <v>-0.72086626291275024</v>
      </c>
      <c r="CP29" s="27">
        <v>1.7966898158192635E-2</v>
      </c>
      <c r="CQ29" s="27">
        <v>2.9625466093420982E-2</v>
      </c>
      <c r="CR29" s="27">
        <v>0.83864885568618774</v>
      </c>
      <c r="CS29">
        <v>1.2384512326656394</v>
      </c>
      <c r="CT29">
        <v>-43510707.498903669</v>
      </c>
      <c r="CU29">
        <v>5.2925759999999995</v>
      </c>
      <c r="CV29" s="26">
        <v>0.13764963783323764</v>
      </c>
      <c r="CW29" s="27">
        <v>-0.94727922230958939</v>
      </c>
      <c r="CX29">
        <v>0.06</v>
      </c>
      <c r="CY29" t="e">
        <v>#VALUE!</v>
      </c>
      <c r="CZ29" t="s">
        <v>174</v>
      </c>
      <c r="DA29">
        <v>0.13764963783323764</v>
      </c>
      <c r="DB29" t="e">
        <v>#VALUE!</v>
      </c>
      <c r="DC29" t="s">
        <v>174</v>
      </c>
      <c r="DD29">
        <v>0.13076715594157576</v>
      </c>
      <c r="DE29" t="e">
        <v>#VALUE!</v>
      </c>
      <c r="DF29" t="s">
        <v>174</v>
      </c>
      <c r="DG29">
        <v>0.12113168129324912</v>
      </c>
      <c r="DH29" t="e">
        <v>#VALUE!</v>
      </c>
      <c r="DI29" t="s">
        <v>174</v>
      </c>
      <c r="DJ29">
        <v>0.11011971026659012</v>
      </c>
      <c r="DK29" t="e">
        <v>#VALUE!</v>
      </c>
      <c r="DL29" t="s">
        <v>174</v>
      </c>
      <c r="DM29">
        <v>9.6354746483266335E-2</v>
      </c>
      <c r="DN29">
        <v>-84828400</v>
      </c>
      <c r="DO29">
        <v>0.13764963783323764</v>
      </c>
      <c r="DP29">
        <v>1659509700</v>
      </c>
      <c r="DQ29">
        <v>113633350</v>
      </c>
      <c r="DR29">
        <v>2223</v>
      </c>
      <c r="DS29">
        <v>-0.38303541865515522</v>
      </c>
      <c r="DT29">
        <v>0.50851530482036078</v>
      </c>
      <c r="DU29" s="28">
        <v>0</v>
      </c>
      <c r="DV29" t="e">
        <v>#VALUE!</v>
      </c>
      <c r="DW29" t="e">
        <v>#VALUE!</v>
      </c>
      <c r="DX29">
        <v>8.3779128672745689</v>
      </c>
      <c r="DY29">
        <v>0.86717201781605302</v>
      </c>
      <c r="DZ29">
        <v>8.0707347139264325</v>
      </c>
      <c r="EA29">
        <v>4220</v>
      </c>
      <c r="EB29">
        <v>8.0095791120478115</v>
      </c>
      <c r="EC29">
        <v>8</v>
      </c>
      <c r="ED29">
        <v>4.2969040570995064E-2</v>
      </c>
      <c r="EE29">
        <v>0.22956978864876665</v>
      </c>
      <c r="EF29" s="29">
        <v>1.0504</v>
      </c>
      <c r="EG29">
        <v>1.0687</v>
      </c>
      <c r="EH29">
        <v>68.187172017816053</v>
      </c>
      <c r="EI29" t="s">
        <v>209</v>
      </c>
      <c r="EJ29">
        <v>0</v>
      </c>
      <c r="EK29">
        <v>0</v>
      </c>
      <c r="EL29" s="30">
        <v>44876</v>
      </c>
      <c r="EM29" s="31">
        <v>1.86</v>
      </c>
      <c r="EN29" s="31">
        <v>0</v>
      </c>
      <c r="EO29" s="31">
        <v>0.13</v>
      </c>
      <c r="EP29" s="31">
        <v>-0.13</v>
      </c>
      <c r="EQ29" s="31">
        <v>1.83</v>
      </c>
    </row>
    <row r="30" spans="2:147" ht="84">
      <c r="B30" s="24"/>
      <c r="C30" s="24" t="s">
        <v>1703</v>
      </c>
      <c r="D30" s="24" t="s">
        <v>1736</v>
      </c>
      <c r="E30" t="s">
        <v>446</v>
      </c>
      <c r="F30" t="s">
        <v>447</v>
      </c>
      <c r="G30">
        <v>5.7</v>
      </c>
      <c r="H30">
        <v>1.79</v>
      </c>
      <c r="I30" t="s">
        <v>448</v>
      </c>
      <c r="J30">
        <v>1497686400</v>
      </c>
      <c r="L30">
        <v>2.84</v>
      </c>
      <c r="M30" t="s">
        <v>338</v>
      </c>
      <c r="N30" t="s">
        <v>195</v>
      </c>
      <c r="O30" t="s">
        <v>1704</v>
      </c>
      <c r="P30" t="s">
        <v>1705</v>
      </c>
      <c r="Q30">
        <v>-20.45</v>
      </c>
      <c r="R30" t="s">
        <v>1465</v>
      </c>
      <c r="S30">
        <v>-67004049</v>
      </c>
      <c r="T30" s="25">
        <v>-0.99960000000000004</v>
      </c>
      <c r="U30" t="s">
        <v>1706</v>
      </c>
      <c r="V30">
        <v>262752000</v>
      </c>
      <c r="W30">
        <v>262752000</v>
      </c>
      <c r="X30">
        <v>1.49</v>
      </c>
      <c r="Y30">
        <v>0.19</v>
      </c>
      <c r="Z30">
        <v>-43.56</v>
      </c>
      <c r="AA30" t="s">
        <v>474</v>
      </c>
      <c r="AB30" t="s">
        <v>1707</v>
      </c>
      <c r="AC30" t="s">
        <v>1708</v>
      </c>
      <c r="AD30" t="s">
        <v>1709</v>
      </c>
      <c r="AE30" t="s">
        <v>1710</v>
      </c>
      <c r="AF30">
        <v>4342225</v>
      </c>
      <c r="AG30" t="s">
        <v>1711</v>
      </c>
      <c r="AH30">
        <v>8483.2000000000007</v>
      </c>
      <c r="AI30" t="s">
        <v>1712</v>
      </c>
      <c r="AJ30" t="s">
        <v>1713</v>
      </c>
      <c r="AK30" t="s">
        <v>1714</v>
      </c>
      <c r="AL30" t="s">
        <v>1715</v>
      </c>
      <c r="AM30" t="s">
        <v>1716</v>
      </c>
      <c r="AN30" t="s">
        <v>170</v>
      </c>
      <c r="AO30" t="s">
        <v>1717</v>
      </c>
      <c r="AP30" t="s">
        <v>1718</v>
      </c>
      <c r="AQ30" t="s">
        <v>170</v>
      </c>
      <c r="AR30" t="s">
        <v>1719</v>
      </c>
      <c r="AS30" t="s">
        <v>170</v>
      </c>
      <c r="AT30" t="s">
        <v>1683</v>
      </c>
      <c r="AU30" t="s">
        <v>170</v>
      </c>
      <c r="AV30" t="s">
        <v>1720</v>
      </c>
      <c r="AW30" t="s">
        <v>1721</v>
      </c>
      <c r="AX30" t="s">
        <v>1722</v>
      </c>
      <c r="AY30" t="s">
        <v>238</v>
      </c>
      <c r="AZ30" t="s">
        <v>802</v>
      </c>
      <c r="BA30" t="s">
        <v>528</v>
      </c>
      <c r="BB30" t="s">
        <v>1535</v>
      </c>
      <c r="BC30" t="s">
        <v>1550</v>
      </c>
      <c r="BD30" t="s">
        <v>1723</v>
      </c>
      <c r="BE30" t="s">
        <v>1724</v>
      </c>
      <c r="BF30" t="s">
        <v>1725</v>
      </c>
      <c r="BG30" t="s">
        <v>1726</v>
      </c>
      <c r="BH30" t="s">
        <v>1727</v>
      </c>
      <c r="BI30" t="s">
        <v>1728</v>
      </c>
      <c r="BJ30" t="s">
        <v>1729</v>
      </c>
      <c r="BK30" t="s">
        <v>1124</v>
      </c>
      <c r="BL30" t="s">
        <v>1730</v>
      </c>
      <c r="BM30" t="s">
        <v>1731</v>
      </c>
      <c r="BN30" t="s">
        <v>1732</v>
      </c>
      <c r="BO30">
        <v>-10.45</v>
      </c>
      <c r="BP30">
        <v>-3.26</v>
      </c>
      <c r="BQ30">
        <v>2.42</v>
      </c>
      <c r="BR30">
        <v>-17.32</v>
      </c>
      <c r="BS30">
        <v>-3.66</v>
      </c>
      <c r="BT30">
        <v>2.52</v>
      </c>
      <c r="BU30">
        <v>-17.36</v>
      </c>
      <c r="BV30" t="s">
        <v>847</v>
      </c>
      <c r="BW30">
        <v>41.94</v>
      </c>
      <c r="BX30">
        <v>50.39</v>
      </c>
      <c r="BY30">
        <v>48.58</v>
      </c>
      <c r="BZ30">
        <v>-56.42</v>
      </c>
      <c r="CA30">
        <v>3.99</v>
      </c>
      <c r="CB30">
        <v>-34.6</v>
      </c>
      <c r="CC30">
        <v>4.59</v>
      </c>
      <c r="CD30">
        <v>2.33</v>
      </c>
      <c r="CE30" t="s">
        <v>1733</v>
      </c>
      <c r="CF30" t="s">
        <v>1734</v>
      </c>
      <c r="CG30" s="26">
        <v>-0.13280746268656693</v>
      </c>
      <c r="CH30" s="27">
        <v>0.1203697672127918</v>
      </c>
      <c r="CI30" s="26">
        <v>-0.11538461595773697</v>
      </c>
      <c r="CJ30" s="26">
        <v>-0.16129031777381897</v>
      </c>
      <c r="CK30" s="26">
        <v>-0.10791366547346115</v>
      </c>
      <c r="CL30" s="26">
        <v>-0.27225130796432495</v>
      </c>
      <c r="CM30" s="26">
        <v>1.9572954624891281E-2</v>
      </c>
      <c r="CN30" s="27">
        <v>-4.9990963935852051</v>
      </c>
      <c r="CO30" s="27">
        <v>1.1337000131607056</v>
      </c>
      <c r="CP30" s="27">
        <v>-0.45164850354194641</v>
      </c>
      <c r="CQ30" s="27">
        <v>-2.4103858470916748</v>
      </c>
      <c r="CR30" s="27">
        <v>-0.19159808754920959</v>
      </c>
      <c r="CS30">
        <v>5.4264000000000001</v>
      </c>
      <c r="CT30">
        <v>107126975.57713111</v>
      </c>
      <c r="CU30">
        <v>-12.331836000000001</v>
      </c>
      <c r="CV30" s="26">
        <v>-0.12745339050889015</v>
      </c>
      <c r="CW30" s="27">
        <v>-1.383805763721466</v>
      </c>
      <c r="CX30">
        <v>0.06</v>
      </c>
      <c r="CY30" t="e">
        <v>#VALUE!</v>
      </c>
      <c r="CZ30" t="s">
        <v>1735</v>
      </c>
      <c r="DA30">
        <v>-0.12745339050889015</v>
      </c>
      <c r="DB30" t="e">
        <v>#VALUE!</v>
      </c>
      <c r="DC30" t="s">
        <v>174</v>
      </c>
      <c r="DD30">
        <v>-0.12108072098344563</v>
      </c>
      <c r="DE30" t="e">
        <v>#VALUE!</v>
      </c>
      <c r="DF30" t="s">
        <v>174</v>
      </c>
      <c r="DG30">
        <v>-0.11215898364782334</v>
      </c>
      <c r="DH30" t="e">
        <v>#VALUE!</v>
      </c>
      <c r="DI30" t="s">
        <v>174</v>
      </c>
      <c r="DJ30">
        <v>-0.10196271240711213</v>
      </c>
      <c r="DK30" t="e">
        <v>#VALUE!</v>
      </c>
      <c r="DL30" t="s">
        <v>174</v>
      </c>
      <c r="DM30">
        <v>-8.9217373356223095E-2</v>
      </c>
      <c r="DN30">
        <v>-66834900</v>
      </c>
      <c r="DO30">
        <v>-0.12745339050889015</v>
      </c>
      <c r="DP30">
        <v>1232686400</v>
      </c>
      <c r="DQ30">
        <v>141625990</v>
      </c>
      <c r="DR30">
        <v>3988</v>
      </c>
      <c r="DS30">
        <v>-5.3540721776767775E-3</v>
      </c>
      <c r="DT30">
        <v>1.5041755309342579</v>
      </c>
      <c r="DU30" s="28">
        <v>-0.22</v>
      </c>
      <c r="DV30" t="e">
        <v>#VALUE!</v>
      </c>
      <c r="DW30" t="e">
        <v>#VALUE!</v>
      </c>
      <c r="DX30">
        <v>4.507625272331155</v>
      </c>
      <c r="DY30">
        <v>0.47797972894239521</v>
      </c>
      <c r="DZ30">
        <v>4.0852707556504972</v>
      </c>
      <c r="EA30">
        <v>4812</v>
      </c>
      <c r="EB30">
        <v>4.0012054255562148</v>
      </c>
      <c r="EC30">
        <v>4</v>
      </c>
      <c r="ED30">
        <v>6.0657958835708195E-2</v>
      </c>
      <c r="EE30">
        <v>0.36110286505906708</v>
      </c>
      <c r="EF30" s="29">
        <v>-3.0335999999999999</v>
      </c>
      <c r="EG30">
        <v>-3.0514999999999999</v>
      </c>
      <c r="EH30">
        <v>31.167979728942395</v>
      </c>
      <c r="EI30" t="s">
        <v>492</v>
      </c>
      <c r="EJ30">
        <v>0</v>
      </c>
      <c r="EK30">
        <v>0</v>
      </c>
      <c r="EL30" s="30">
        <v>44876</v>
      </c>
      <c r="EM30" s="31">
        <v>2.57</v>
      </c>
      <c r="EN30" s="31">
        <v>0.36</v>
      </c>
      <c r="EO30" s="31">
        <v>1.25</v>
      </c>
      <c r="EP30" s="31">
        <v>-1.41</v>
      </c>
      <c r="EQ30" s="31">
        <v>1.79</v>
      </c>
    </row>
    <row r="31" spans="2:147" ht="84">
      <c r="B31" s="24"/>
      <c r="C31" s="24"/>
      <c r="D31" s="24" t="s">
        <v>1771</v>
      </c>
      <c r="E31" t="s">
        <v>449</v>
      </c>
      <c r="F31" t="s">
        <v>450</v>
      </c>
      <c r="G31">
        <v>17.739999999999998</v>
      </c>
      <c r="H31">
        <v>9.98</v>
      </c>
      <c r="I31" t="s">
        <v>451</v>
      </c>
      <c r="J31">
        <v>1419200000</v>
      </c>
      <c r="L31">
        <v>2.34</v>
      </c>
      <c r="M31" t="s">
        <v>338</v>
      </c>
      <c r="N31" t="s">
        <v>1737</v>
      </c>
      <c r="O31" t="s">
        <v>1738</v>
      </c>
      <c r="P31" t="s">
        <v>1739</v>
      </c>
      <c r="Q31">
        <v>-28.23</v>
      </c>
      <c r="R31" t="s">
        <v>1380</v>
      </c>
      <c r="S31">
        <v>-4576178</v>
      </c>
      <c r="T31" s="25">
        <v>-1.4830000000000001</v>
      </c>
      <c r="U31" t="s">
        <v>1740</v>
      </c>
      <c r="V31">
        <v>80000000</v>
      </c>
      <c r="W31">
        <v>80000000</v>
      </c>
      <c r="X31">
        <v>1.68</v>
      </c>
      <c r="Y31">
        <v>0.52</v>
      </c>
      <c r="Z31">
        <v>-0.86</v>
      </c>
      <c r="AA31" t="s">
        <v>560</v>
      </c>
      <c r="AB31" t="s">
        <v>1741</v>
      </c>
      <c r="AC31" t="s">
        <v>1742</v>
      </c>
      <c r="AD31" t="s">
        <v>1743</v>
      </c>
      <c r="AE31" t="s">
        <v>1744</v>
      </c>
      <c r="AF31">
        <v>-22395953</v>
      </c>
      <c r="AG31" t="s">
        <v>1745</v>
      </c>
      <c r="AH31" t="s">
        <v>1746</v>
      </c>
      <c r="AI31" t="s">
        <v>1747</v>
      </c>
      <c r="AJ31" t="s">
        <v>1748</v>
      </c>
      <c r="AK31" t="s">
        <v>1749</v>
      </c>
      <c r="AL31" t="s">
        <v>170</v>
      </c>
      <c r="AM31" t="s">
        <v>1750</v>
      </c>
      <c r="AN31" t="s">
        <v>170</v>
      </c>
      <c r="AO31" t="s">
        <v>1683</v>
      </c>
      <c r="AP31" t="s">
        <v>1751</v>
      </c>
      <c r="AQ31" t="s">
        <v>1752</v>
      </c>
      <c r="AR31" t="s">
        <v>1753</v>
      </c>
      <c r="AS31" t="s">
        <v>1754</v>
      </c>
      <c r="AT31" t="s">
        <v>1465</v>
      </c>
      <c r="AU31" t="s">
        <v>1564</v>
      </c>
      <c r="AV31" t="s">
        <v>1755</v>
      </c>
      <c r="AW31" t="s">
        <v>1756</v>
      </c>
      <c r="AX31" t="s">
        <v>260</v>
      </c>
      <c r="AY31" t="s">
        <v>1757</v>
      </c>
      <c r="AZ31" t="s">
        <v>283</v>
      </c>
      <c r="BA31" t="s">
        <v>314</v>
      </c>
      <c r="BB31" t="s">
        <v>1758</v>
      </c>
      <c r="BC31" t="s">
        <v>1759</v>
      </c>
      <c r="BD31" t="s">
        <v>1760</v>
      </c>
      <c r="BE31" t="s">
        <v>1761</v>
      </c>
      <c r="BF31" t="s">
        <v>1762</v>
      </c>
      <c r="BG31" t="s">
        <v>1763</v>
      </c>
      <c r="BH31" t="s">
        <v>1764</v>
      </c>
      <c r="BI31" t="s">
        <v>326</v>
      </c>
      <c r="BJ31" t="s">
        <v>1001</v>
      </c>
      <c r="BK31" t="s">
        <v>1765</v>
      </c>
      <c r="BL31" t="s">
        <v>1766</v>
      </c>
      <c r="BM31" t="s">
        <v>1767</v>
      </c>
      <c r="BN31" t="s">
        <v>1768</v>
      </c>
      <c r="BO31">
        <v>-0.56000000000000005</v>
      </c>
      <c r="BP31">
        <v>0.3</v>
      </c>
      <c r="BQ31">
        <v>5.34</v>
      </c>
      <c r="BR31">
        <v>4.47</v>
      </c>
      <c r="BS31">
        <v>0.39</v>
      </c>
      <c r="BT31">
        <v>6.66</v>
      </c>
      <c r="BU31">
        <v>5.56</v>
      </c>
      <c r="BV31" t="s">
        <v>847</v>
      </c>
      <c r="BW31">
        <v>18.600000000000001</v>
      </c>
      <c r="BX31">
        <v>20.5</v>
      </c>
      <c r="BY31">
        <v>29.01</v>
      </c>
      <c r="BZ31">
        <v>0.96</v>
      </c>
      <c r="CA31">
        <v>3.59</v>
      </c>
      <c r="CB31">
        <v>3.15</v>
      </c>
      <c r="CC31">
        <v>14.3</v>
      </c>
      <c r="CD31">
        <v>12.28</v>
      </c>
      <c r="CE31" t="s">
        <v>1769</v>
      </c>
      <c r="CF31" t="s">
        <v>1770</v>
      </c>
      <c r="CG31" s="26">
        <v>-0.31809191304347806</v>
      </c>
      <c r="CH31" s="27">
        <v>-6.6226789366053298</v>
      </c>
      <c r="CI31" s="26">
        <v>-0.12134250998497009</v>
      </c>
      <c r="CJ31" s="26">
        <v>8.5981309413909912E-2</v>
      </c>
      <c r="CK31" s="26">
        <v>0.20495495200157166</v>
      </c>
      <c r="CL31" s="26">
        <v>0.13121019303798676</v>
      </c>
      <c r="CM31" s="26">
        <v>0.32601350545883179</v>
      </c>
      <c r="CN31" s="27">
        <v>-1.3674805164337158</v>
      </c>
      <c r="CO31" s="27">
        <v>0.23762990534305573</v>
      </c>
      <c r="CP31" s="27">
        <v>-0.59762811660766602</v>
      </c>
      <c r="CQ31" s="27">
        <v>1.3210953213274479E-2</v>
      </c>
      <c r="CR31" s="27">
        <v>0.1292090117931366</v>
      </c>
      <c r="CS31">
        <v>1.3900097943192946</v>
      </c>
      <c r="CT31">
        <v>61846445.367791422</v>
      </c>
      <c r="CU31">
        <v>-0.75129600000000007</v>
      </c>
      <c r="CV31" s="26">
        <v>0.12536348998546601</v>
      </c>
      <c r="CW31" s="27">
        <v>-0.31701175253838298</v>
      </c>
      <c r="CX31">
        <v>0.06</v>
      </c>
      <c r="CY31" t="e">
        <v>#VALUE!</v>
      </c>
      <c r="CZ31" t="s">
        <v>1735</v>
      </c>
      <c r="DA31">
        <v>0.12536348998546601</v>
      </c>
      <c r="DB31" t="e">
        <v>#VALUE!</v>
      </c>
      <c r="DC31" t="s">
        <v>174</v>
      </c>
      <c r="DD31">
        <v>0.1190953154861927</v>
      </c>
      <c r="DE31" t="e">
        <v>#VALUE!</v>
      </c>
      <c r="DF31" t="s">
        <v>174</v>
      </c>
      <c r="DG31">
        <v>0.11031987118721009</v>
      </c>
      <c r="DH31" t="e">
        <v>#VALUE!</v>
      </c>
      <c r="DI31" t="s">
        <v>174</v>
      </c>
      <c r="DJ31">
        <v>0.10029079198837282</v>
      </c>
      <c r="DK31" t="e">
        <v>#VALUE!</v>
      </c>
      <c r="DL31" t="s">
        <v>174</v>
      </c>
      <c r="DM31">
        <v>8.7754442989826195E-2</v>
      </c>
      <c r="DN31">
        <v>-15330700</v>
      </c>
      <c r="DO31">
        <v>0.12536348998546601</v>
      </c>
      <c r="DP31">
        <v>1227200000</v>
      </c>
      <c r="DQ31">
        <v>33874850</v>
      </c>
      <c r="DR31">
        <v>4125</v>
      </c>
      <c r="DS31">
        <v>-0.44345540302894404</v>
      </c>
      <c r="DT31">
        <v>-6.3056671840669472</v>
      </c>
      <c r="DU31" s="28">
        <v>-0.22</v>
      </c>
      <c r="DV31" t="e">
        <v>#VALUE!</v>
      </c>
      <c r="DW31" t="e">
        <v>#VALUE!</v>
      </c>
      <c r="DX31">
        <v>5.8587412587412588</v>
      </c>
      <c r="DY31">
        <v>2.0700367046524661</v>
      </c>
      <c r="DZ31">
        <v>5.2748287225966566</v>
      </c>
      <c r="EA31">
        <v>4484</v>
      </c>
      <c r="EB31">
        <v>5.0223534117744055</v>
      </c>
      <c r="EC31">
        <v>5</v>
      </c>
      <c r="ED31">
        <v>8.3268750000000002E-2</v>
      </c>
      <c r="EE31">
        <v>0.260185</v>
      </c>
      <c r="EF31" s="29">
        <v>3.2899999999999999E-2</v>
      </c>
      <c r="EG31">
        <v>0.13269999999999998</v>
      </c>
      <c r="EH31">
        <v>175.32003670465247</v>
      </c>
      <c r="EI31" t="s">
        <v>184</v>
      </c>
      <c r="EJ31">
        <v>1</v>
      </c>
      <c r="EK31">
        <v>0</v>
      </c>
      <c r="EL31" s="30">
        <v>44876</v>
      </c>
      <c r="EM31" s="31">
        <v>1.35</v>
      </c>
      <c r="EN31" s="31">
        <v>0.13</v>
      </c>
      <c r="EO31" s="31">
        <v>0.38</v>
      </c>
      <c r="EP31" s="31">
        <v>2.02</v>
      </c>
      <c r="EQ31" s="31">
        <v>9.98</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Q18"/>
  <sheetViews>
    <sheetView tabSelected="1" workbookViewId="0">
      <pane xSplit="6" ySplit="2" topLeftCell="G3" activePane="bottomRight" state="frozen"/>
      <selection pane="topRight" activeCell="G1" sqref="G1"/>
      <selection pane="bottomLeft" activeCell="A3" sqref="A3"/>
      <selection pane="bottomRight" activeCell="D18" sqref="D18"/>
    </sheetView>
  </sheetViews>
  <sheetFormatPr defaultRowHeight="14"/>
  <cols>
    <col min="1" max="1" width="16.08984375" style="20" customWidth="1"/>
    <col min="2" max="2" width="34.81640625" customWidth="1"/>
    <col min="3" max="3" width="36.08984375" customWidth="1"/>
    <col min="4" max="4" width="44.90625" customWidth="1"/>
    <col min="13" max="13" width="12.81640625" customWidth="1"/>
    <col min="24" max="24" width="10.54296875" customWidth="1"/>
  </cols>
  <sheetData>
    <row r="1" spans="1:147" s="14" customFormat="1">
      <c r="A1" s="15" t="s">
        <v>47</v>
      </c>
      <c r="B1" s="18" t="s">
        <v>117</v>
      </c>
      <c r="C1" s="19" t="s">
        <v>118</v>
      </c>
      <c r="D1" s="18" t="s">
        <v>119</v>
      </c>
      <c r="E1" t="s">
        <v>2</v>
      </c>
      <c r="F1" t="s">
        <v>3</v>
      </c>
      <c r="G1" t="s">
        <v>0</v>
      </c>
      <c r="H1" t="s">
        <v>90</v>
      </c>
      <c r="I1" t="s">
        <v>120</v>
      </c>
      <c r="J1" t="s">
        <v>4</v>
      </c>
      <c r="K1" t="s">
        <v>5</v>
      </c>
      <c r="L1" t="s">
        <v>1</v>
      </c>
      <c r="M1" t="s">
        <v>6</v>
      </c>
      <c r="N1" t="s">
        <v>7</v>
      </c>
      <c r="O1" t="s">
        <v>8</v>
      </c>
      <c r="P1" t="s">
        <v>9</v>
      </c>
      <c r="Q1" t="s">
        <v>121</v>
      </c>
      <c r="R1" t="s">
        <v>91</v>
      </c>
      <c r="S1" t="s">
        <v>122</v>
      </c>
      <c r="T1" t="s">
        <v>10</v>
      </c>
      <c r="U1" t="s">
        <v>92</v>
      </c>
      <c r="V1" t="s">
        <v>93</v>
      </c>
      <c r="W1" t="s">
        <v>11</v>
      </c>
      <c r="X1" t="s">
        <v>69</v>
      </c>
      <c r="Y1" t="s">
        <v>70</v>
      </c>
      <c r="Z1" t="s">
        <v>71</v>
      </c>
      <c r="AA1" t="s">
        <v>72</v>
      </c>
      <c r="AB1" t="s">
        <v>73</v>
      </c>
      <c r="AC1" t="s">
        <v>94</v>
      </c>
      <c r="AD1" t="s">
        <v>74</v>
      </c>
      <c r="AE1" t="s">
        <v>123</v>
      </c>
      <c r="AF1" t="s">
        <v>12</v>
      </c>
      <c r="AG1" t="s">
        <v>13</v>
      </c>
      <c r="AH1" t="s">
        <v>95</v>
      </c>
      <c r="AI1" t="s">
        <v>124</v>
      </c>
      <c r="AJ1" t="s">
        <v>96</v>
      </c>
      <c r="AK1" t="s">
        <v>14</v>
      </c>
      <c r="AL1" t="s">
        <v>97</v>
      </c>
      <c r="AM1" t="s">
        <v>48</v>
      </c>
      <c r="AN1" t="s">
        <v>98</v>
      </c>
      <c r="AO1" t="s">
        <v>99</v>
      </c>
      <c r="AP1" t="s">
        <v>100</v>
      </c>
      <c r="AQ1" t="s">
        <v>101</v>
      </c>
      <c r="AR1" t="s">
        <v>102</v>
      </c>
      <c r="AS1" t="s">
        <v>103</v>
      </c>
      <c r="AT1" t="s">
        <v>104</v>
      </c>
      <c r="AU1" t="s">
        <v>105</v>
      </c>
      <c r="AV1" t="s">
        <v>106</v>
      </c>
      <c r="AW1" t="s">
        <v>107</v>
      </c>
      <c r="AX1" t="s">
        <v>108</v>
      </c>
      <c r="AY1" t="s">
        <v>125</v>
      </c>
      <c r="AZ1" t="s">
        <v>49</v>
      </c>
      <c r="BA1" t="s">
        <v>50</v>
      </c>
      <c r="BB1" t="s">
        <v>51</v>
      </c>
      <c r="BC1" t="s">
        <v>52</v>
      </c>
      <c r="BD1" t="s">
        <v>58</v>
      </c>
      <c r="BE1" t="s">
        <v>53</v>
      </c>
      <c r="BF1" t="s">
        <v>54</v>
      </c>
      <c r="BG1" t="s">
        <v>55</v>
      </c>
      <c r="BH1" t="s">
        <v>56</v>
      </c>
      <c r="BI1" t="s">
        <v>126</v>
      </c>
      <c r="BJ1" t="s">
        <v>109</v>
      </c>
      <c r="BK1" t="s">
        <v>57</v>
      </c>
      <c r="BL1" t="s">
        <v>110</v>
      </c>
      <c r="BM1" t="s">
        <v>111</v>
      </c>
      <c r="BN1" t="s">
        <v>112</v>
      </c>
      <c r="BO1" t="s">
        <v>113</v>
      </c>
      <c r="BP1" t="s">
        <v>59</v>
      </c>
      <c r="BQ1" t="s">
        <v>60</v>
      </c>
      <c r="BR1" t="s">
        <v>61</v>
      </c>
      <c r="BS1" t="s">
        <v>114</v>
      </c>
      <c r="BT1" t="s">
        <v>62</v>
      </c>
      <c r="BU1" t="s">
        <v>63</v>
      </c>
      <c r="BV1" t="s">
        <v>64</v>
      </c>
      <c r="BW1" t="s">
        <v>115</v>
      </c>
      <c r="BX1" t="s">
        <v>65</v>
      </c>
      <c r="BY1" t="s">
        <v>66</v>
      </c>
      <c r="BZ1" t="s">
        <v>116</v>
      </c>
      <c r="CA1" t="s">
        <v>67</v>
      </c>
      <c r="CB1" t="s">
        <v>68</v>
      </c>
      <c r="CC1" t="s">
        <v>127</v>
      </c>
      <c r="CD1" t="s">
        <v>128</v>
      </c>
      <c r="CE1" t="s">
        <v>129</v>
      </c>
      <c r="CF1" t="s">
        <v>130</v>
      </c>
      <c r="CG1" s="1" t="s">
        <v>75</v>
      </c>
      <c r="CH1" s="1" t="s">
        <v>76</v>
      </c>
      <c r="CI1" s="1" t="s">
        <v>77</v>
      </c>
      <c r="CJ1" s="1" t="s">
        <v>78</v>
      </c>
      <c r="CK1" s="1" t="s">
        <v>79</v>
      </c>
      <c r="CL1" s="1" t="s">
        <v>80</v>
      </c>
      <c r="CM1" s="1" t="s">
        <v>81</v>
      </c>
      <c r="CN1" s="1" t="s">
        <v>82</v>
      </c>
      <c r="CO1" s="1" t="s">
        <v>83</v>
      </c>
      <c r="CP1" s="1" t="s">
        <v>84</v>
      </c>
      <c r="CQ1" s="1" t="s">
        <v>85</v>
      </c>
      <c r="CR1" s="1" t="s">
        <v>86</v>
      </c>
      <c r="CS1" s="1" t="s">
        <v>131</v>
      </c>
      <c r="CT1" s="1" t="s">
        <v>132</v>
      </c>
      <c r="CU1" s="1" t="s">
        <v>133</v>
      </c>
      <c r="CV1" s="1" t="s">
        <v>134</v>
      </c>
      <c r="CW1" s="1" t="s">
        <v>135</v>
      </c>
      <c r="CX1" s="1" t="s">
        <v>136</v>
      </c>
      <c r="CY1">
        <v>1</v>
      </c>
      <c r="CZ1" t="s">
        <v>137</v>
      </c>
      <c r="DA1" t="s">
        <v>138</v>
      </c>
      <c r="DB1">
        <v>3</v>
      </c>
      <c r="DC1" t="s">
        <v>139</v>
      </c>
      <c r="DD1" t="s">
        <v>140</v>
      </c>
      <c r="DE1">
        <v>6</v>
      </c>
      <c r="DF1" t="s">
        <v>141</v>
      </c>
      <c r="DG1" t="s">
        <v>142</v>
      </c>
      <c r="DH1">
        <v>10</v>
      </c>
      <c r="DI1" t="s">
        <v>143</v>
      </c>
      <c r="DJ1" t="s">
        <v>144</v>
      </c>
      <c r="DK1">
        <v>20</v>
      </c>
      <c r="DL1" t="s">
        <v>145</v>
      </c>
      <c r="DM1" t="s">
        <v>87</v>
      </c>
      <c r="DN1" t="s">
        <v>88</v>
      </c>
      <c r="DO1" s="2" t="s">
        <v>89</v>
      </c>
      <c r="DP1" t="s">
        <v>146</v>
      </c>
      <c r="DQ1" t="s">
        <v>147</v>
      </c>
      <c r="DR1" s="1" t="s">
        <v>148</v>
      </c>
      <c r="DS1" s="1" t="s">
        <v>149</v>
      </c>
      <c r="DT1" s="1" t="s">
        <v>150</v>
      </c>
      <c r="DU1" t="s">
        <v>151</v>
      </c>
      <c r="DV1" t="s">
        <v>152</v>
      </c>
      <c r="DW1" t="s">
        <v>153</v>
      </c>
      <c r="DX1" t="s">
        <v>154</v>
      </c>
      <c r="DY1" t="s">
        <v>155</v>
      </c>
      <c r="DZ1" t="s">
        <v>156</v>
      </c>
      <c r="EA1" t="s">
        <v>157</v>
      </c>
      <c r="EB1" t="s">
        <v>158</v>
      </c>
      <c r="EC1" t="s">
        <v>159</v>
      </c>
      <c r="ED1" t="s">
        <v>160</v>
      </c>
      <c r="EE1" t="s">
        <v>161</v>
      </c>
      <c r="EF1" t="s">
        <v>162</v>
      </c>
      <c r="EG1" t="s">
        <v>163</v>
      </c>
      <c r="EH1" t="s">
        <v>164</v>
      </c>
      <c r="EI1" t="s">
        <v>165</v>
      </c>
      <c r="EJ1" t="s">
        <v>166</v>
      </c>
      <c r="EK1"/>
    </row>
    <row r="2" spans="1:147" s="14" customFormat="1" ht="71.5" customHeight="1">
      <c r="A2" s="21"/>
      <c r="B2" s="22"/>
      <c r="C2" s="23">
        <v>3</v>
      </c>
      <c r="D2" s="23">
        <v>18</v>
      </c>
      <c r="T2" s="16"/>
      <c r="U2" s="16"/>
      <c r="V2" s="16"/>
      <c r="AB2" s="17"/>
    </row>
    <row r="3" spans="1:147" ht="192">
      <c r="B3" s="24"/>
      <c r="C3" s="24"/>
      <c r="D3" s="24" t="s">
        <v>2529</v>
      </c>
      <c r="E3" t="s">
        <v>1779</v>
      </c>
      <c r="F3" t="s">
        <v>1780</v>
      </c>
      <c r="G3">
        <v>5.2</v>
      </c>
      <c r="H3">
        <v>-0.38</v>
      </c>
      <c r="I3" t="s">
        <v>759</v>
      </c>
      <c r="J3">
        <v>216423750000</v>
      </c>
      <c r="K3">
        <v>4.24</v>
      </c>
      <c r="L3">
        <v>0.53500000000000003</v>
      </c>
      <c r="M3" t="s">
        <v>1781</v>
      </c>
      <c r="N3" t="s">
        <v>1826</v>
      </c>
      <c r="O3" t="s">
        <v>1827</v>
      </c>
      <c r="P3" t="s">
        <v>1828</v>
      </c>
      <c r="Q3">
        <v>8.81</v>
      </c>
      <c r="R3" t="s">
        <v>1829</v>
      </c>
      <c r="S3">
        <v>43652883000</v>
      </c>
      <c r="T3" s="25">
        <v>2.6900000000000001E-3</v>
      </c>
      <c r="U3" t="s">
        <v>1830</v>
      </c>
      <c r="V3">
        <v>41320390000</v>
      </c>
      <c r="W3">
        <v>41919514000</v>
      </c>
      <c r="X3">
        <v>3.96</v>
      </c>
      <c r="Y3">
        <v>0.61</v>
      </c>
      <c r="Z3">
        <v>3.4</v>
      </c>
      <c r="AA3" t="s">
        <v>1831</v>
      </c>
      <c r="AB3" t="s">
        <v>1832</v>
      </c>
      <c r="AC3" t="s">
        <v>1833</v>
      </c>
      <c r="AD3" t="s">
        <v>1834</v>
      </c>
      <c r="AE3" t="s">
        <v>1835</v>
      </c>
      <c r="AF3">
        <v>14055817000</v>
      </c>
      <c r="AG3" t="s">
        <v>1836</v>
      </c>
      <c r="AH3" t="s">
        <v>1837</v>
      </c>
      <c r="AI3" t="s">
        <v>1838</v>
      </c>
      <c r="AJ3" t="s">
        <v>1839</v>
      </c>
      <c r="AK3" t="s">
        <v>1840</v>
      </c>
      <c r="AL3" t="s">
        <v>1841</v>
      </c>
      <c r="AM3" t="s">
        <v>1842</v>
      </c>
      <c r="AN3" t="s">
        <v>170</v>
      </c>
      <c r="AO3" t="s">
        <v>1843</v>
      </c>
      <c r="AP3" t="s">
        <v>1844</v>
      </c>
      <c r="AQ3" t="s">
        <v>1845</v>
      </c>
      <c r="AR3" t="s">
        <v>1846</v>
      </c>
      <c r="AS3" t="s">
        <v>924</v>
      </c>
      <c r="AT3" t="s">
        <v>1847</v>
      </c>
      <c r="AU3" t="s">
        <v>1848</v>
      </c>
      <c r="AV3" t="s">
        <v>1849</v>
      </c>
      <c r="AW3" t="s">
        <v>1850</v>
      </c>
      <c r="AX3" t="s">
        <v>1851</v>
      </c>
      <c r="AY3" t="s">
        <v>1852</v>
      </c>
      <c r="AZ3" t="s">
        <v>1853</v>
      </c>
      <c r="BA3" t="s">
        <v>1854</v>
      </c>
      <c r="BB3" t="s">
        <v>1855</v>
      </c>
      <c r="BC3" t="s">
        <v>1856</v>
      </c>
      <c r="BD3" t="s">
        <v>1857</v>
      </c>
      <c r="BE3" t="s">
        <v>1858</v>
      </c>
      <c r="BF3" t="s">
        <v>1859</v>
      </c>
      <c r="BG3" t="s">
        <v>1860</v>
      </c>
      <c r="BH3" t="s">
        <v>1861</v>
      </c>
      <c r="BI3" t="s">
        <v>1862</v>
      </c>
      <c r="BJ3" t="s">
        <v>1863</v>
      </c>
      <c r="BK3" t="s">
        <v>1864</v>
      </c>
      <c r="BL3" t="s">
        <v>1865</v>
      </c>
      <c r="BM3" t="s">
        <v>1866</v>
      </c>
      <c r="BN3" t="s">
        <v>1867</v>
      </c>
      <c r="BO3">
        <v>1.39</v>
      </c>
      <c r="BP3">
        <v>7.37</v>
      </c>
      <c r="BQ3">
        <v>7.45</v>
      </c>
      <c r="BR3">
        <v>3.73</v>
      </c>
      <c r="BS3">
        <v>15.93</v>
      </c>
      <c r="BT3">
        <v>15.54</v>
      </c>
      <c r="BU3" t="s">
        <v>1868</v>
      </c>
      <c r="BV3" t="s">
        <v>1869</v>
      </c>
      <c r="BW3">
        <v>9.58</v>
      </c>
      <c r="BX3">
        <v>11.33</v>
      </c>
      <c r="BY3">
        <v>10.83</v>
      </c>
      <c r="BZ3">
        <v>3.59</v>
      </c>
      <c r="CA3">
        <v>4.1100000000000003</v>
      </c>
      <c r="CB3">
        <v>4.3899999999999997</v>
      </c>
      <c r="CC3">
        <v>-0.56999999999999995</v>
      </c>
      <c r="CD3">
        <v>-2.8</v>
      </c>
      <c r="CE3" t="s">
        <v>1870</v>
      </c>
      <c r="CF3" t="s">
        <v>1871</v>
      </c>
      <c r="CG3" s="26">
        <v>0.17516629244722612</v>
      </c>
      <c r="CH3" s="27">
        <v>-2.2707828518173601E-2</v>
      </c>
      <c r="CI3" s="26">
        <v>8.57744961977005E-2</v>
      </c>
      <c r="CJ3" s="26">
        <v>0.17191721498966217</v>
      </c>
      <c r="CK3" s="26">
        <v>0.13749036192893982</v>
      </c>
      <c r="CL3" s="26">
        <v>0.18386341631412506</v>
      </c>
      <c r="CM3" s="26">
        <v>0.13776408135890961</v>
      </c>
      <c r="CN3" s="27">
        <v>-1.1619993485510349E-2</v>
      </c>
      <c r="CO3" s="27">
        <v>0.14744569361209869</v>
      </c>
      <c r="CP3" s="27">
        <v>7.2682112455368042E-2</v>
      </c>
      <c r="CQ3" s="27">
        <v>9.5185801386833191E-2</v>
      </c>
      <c r="CR3" s="27">
        <v>0.16085851192474365</v>
      </c>
      <c r="CS3">
        <v>4.9850376984736346</v>
      </c>
      <c r="CT3">
        <v>0.34772399125364678</v>
      </c>
      <c r="CU3">
        <v>4.8596153846153847</v>
      </c>
      <c r="CV3" s="26">
        <v>0.14336191415786742</v>
      </c>
      <c r="CW3" s="27">
        <v>9.2910425178706652E-2</v>
      </c>
      <c r="CX3">
        <v>0.06</v>
      </c>
      <c r="CY3">
        <v>29.660086991854122</v>
      </c>
      <c r="CZ3">
        <v>54956876911.644661</v>
      </c>
      <c r="DA3">
        <v>0.14336191415786742</v>
      </c>
      <c r="DB3">
        <v>9.2669889895685706</v>
      </c>
      <c r="DC3">
        <v>175895941155.73529</v>
      </c>
      <c r="DD3">
        <v>0.13619381844997405</v>
      </c>
      <c r="DE3">
        <v>4.2909390705044759</v>
      </c>
      <c r="DF3">
        <v>379876228307.37646</v>
      </c>
      <c r="DG3">
        <v>0.12615848445892333</v>
      </c>
      <c r="DH3">
        <v>2.4008318866653768</v>
      </c>
      <c r="DI3">
        <v>678942061313.5957</v>
      </c>
      <c r="DJ3">
        <v>0.11468953132629395</v>
      </c>
      <c r="DK3">
        <v>1.0558731639873054</v>
      </c>
      <c r="DL3">
        <v>1543770412579.2117</v>
      </c>
      <c r="DM3">
        <v>0.10035333991050718</v>
      </c>
      <c r="DN3">
        <v>50950000000</v>
      </c>
      <c r="DO3">
        <v>0.14336191415786742</v>
      </c>
      <c r="DP3">
        <v>1630025750000</v>
      </c>
      <c r="DQ3">
        <v>442819200000</v>
      </c>
      <c r="DR3">
        <v>3768</v>
      </c>
      <c r="DS3">
        <v>3.1804378289358698E-2</v>
      </c>
      <c r="DT3">
        <v>-0.11561825369688025</v>
      </c>
      <c r="DU3" s="28">
        <v>-0.17333333333333334</v>
      </c>
      <c r="DV3">
        <v>9.9999999999999992E-2</v>
      </c>
      <c r="DW3">
        <v>-7.3333333333333348E-2</v>
      </c>
      <c r="DX3">
        <v>-1.028</v>
      </c>
      <c r="DY3">
        <v>0.32586095674652454</v>
      </c>
      <c r="DZ3">
        <v>-1.0040841067889026</v>
      </c>
      <c r="EA3">
        <v>2449</v>
      </c>
      <c r="EB3">
        <v>-1.0021290681794377</v>
      </c>
      <c r="EC3">
        <v>1</v>
      </c>
      <c r="ED3">
        <v>1.8368533566491253E-2</v>
      </c>
      <c r="EE3">
        <v>0.12593180350325625</v>
      </c>
      <c r="EF3" s="29">
        <v>3.11551</v>
      </c>
      <c r="EG3">
        <v>3.11931</v>
      </c>
      <c r="EH3">
        <v>18.145860956746525</v>
      </c>
      <c r="EI3" t="s">
        <v>226</v>
      </c>
      <c r="EJ3">
        <v>0</v>
      </c>
      <c r="EK3">
        <v>0</v>
      </c>
      <c r="EL3" s="30">
        <v>45385</v>
      </c>
      <c r="EM3" s="31">
        <v>-0.19</v>
      </c>
      <c r="EN3" s="31">
        <v>0.38</v>
      </c>
      <c r="EO3" s="31">
        <v>0.56999999999999995</v>
      </c>
      <c r="EP3" s="31">
        <v>-0.95</v>
      </c>
      <c r="EQ3" s="31">
        <v>-0.38</v>
      </c>
    </row>
    <row r="4" spans="1:147" ht="180">
      <c r="B4" s="24"/>
      <c r="C4" s="24"/>
      <c r="D4" s="24" t="s">
        <v>1919</v>
      </c>
      <c r="E4" t="s">
        <v>1782</v>
      </c>
      <c r="F4" t="s">
        <v>1783</v>
      </c>
      <c r="G4">
        <v>7.1</v>
      </c>
      <c r="H4">
        <v>0</v>
      </c>
      <c r="I4" t="s">
        <v>1784</v>
      </c>
      <c r="J4">
        <v>175729470000</v>
      </c>
      <c r="K4">
        <v>5.25</v>
      </c>
      <c r="L4">
        <v>0.64400000000000002</v>
      </c>
      <c r="M4" t="s">
        <v>1781</v>
      </c>
      <c r="N4" t="s">
        <v>1872</v>
      </c>
      <c r="O4" t="s">
        <v>1873</v>
      </c>
      <c r="P4" t="s">
        <v>1874</v>
      </c>
      <c r="Q4">
        <v>4.09</v>
      </c>
      <c r="R4" t="s">
        <v>1875</v>
      </c>
      <c r="S4">
        <v>24011700000</v>
      </c>
      <c r="T4" s="25">
        <v>4.3700000000000003E-2</v>
      </c>
      <c r="U4" t="s">
        <v>1876</v>
      </c>
      <c r="V4">
        <v>20363539000</v>
      </c>
      <c r="W4">
        <v>24752196000</v>
      </c>
      <c r="X4">
        <v>3.88</v>
      </c>
      <c r="Y4">
        <v>0.53</v>
      </c>
      <c r="Z4">
        <v>2.98</v>
      </c>
      <c r="AA4" t="s">
        <v>1877</v>
      </c>
      <c r="AB4" t="s">
        <v>1878</v>
      </c>
      <c r="AC4" t="s">
        <v>1879</v>
      </c>
      <c r="AD4" t="s">
        <v>1880</v>
      </c>
      <c r="AE4" t="s">
        <v>1881</v>
      </c>
      <c r="AF4">
        <v>3265940000</v>
      </c>
      <c r="AG4" t="s">
        <v>1882</v>
      </c>
      <c r="AH4" t="s">
        <v>1883</v>
      </c>
      <c r="AI4" t="s">
        <v>1884</v>
      </c>
      <c r="AJ4" t="s">
        <v>1885</v>
      </c>
      <c r="AK4" t="s">
        <v>1886</v>
      </c>
      <c r="AL4" t="s">
        <v>1887</v>
      </c>
      <c r="AM4" t="s">
        <v>1888</v>
      </c>
      <c r="AN4" t="s">
        <v>170</v>
      </c>
      <c r="AO4" t="s">
        <v>1889</v>
      </c>
      <c r="AP4" t="s">
        <v>1890</v>
      </c>
      <c r="AQ4" t="s">
        <v>1891</v>
      </c>
      <c r="AR4" t="s">
        <v>1892</v>
      </c>
      <c r="AS4" t="s">
        <v>1893</v>
      </c>
      <c r="AT4" t="s">
        <v>1894</v>
      </c>
      <c r="AU4" t="s">
        <v>1895</v>
      </c>
      <c r="AV4" t="s">
        <v>1896</v>
      </c>
      <c r="AW4" t="s">
        <v>1897</v>
      </c>
      <c r="AX4" t="s">
        <v>1898</v>
      </c>
      <c r="AY4" t="s">
        <v>1899</v>
      </c>
      <c r="AZ4" t="s">
        <v>1900</v>
      </c>
      <c r="BA4" t="s">
        <v>1901</v>
      </c>
      <c r="BB4" t="s">
        <v>1902</v>
      </c>
      <c r="BC4" t="s">
        <v>1903</v>
      </c>
      <c r="BD4" t="s">
        <v>1904</v>
      </c>
      <c r="BE4" t="s">
        <v>1905</v>
      </c>
      <c r="BF4" t="s">
        <v>1906</v>
      </c>
      <c r="BG4" t="s">
        <v>1907</v>
      </c>
      <c r="BH4" t="s">
        <v>1908</v>
      </c>
      <c r="BI4" t="s">
        <v>1909</v>
      </c>
      <c r="BJ4" t="s">
        <v>1910</v>
      </c>
      <c r="BK4" t="s">
        <v>1911</v>
      </c>
      <c r="BL4" t="s">
        <v>1912</v>
      </c>
      <c r="BM4" t="s">
        <v>1913</v>
      </c>
      <c r="BN4" t="s">
        <v>1914</v>
      </c>
      <c r="BO4">
        <v>1.1299999999999999</v>
      </c>
      <c r="BP4">
        <v>5.25</v>
      </c>
      <c r="BQ4">
        <v>5.76</v>
      </c>
      <c r="BR4">
        <v>2.92</v>
      </c>
      <c r="BS4">
        <v>11.63</v>
      </c>
      <c r="BT4">
        <v>11.85</v>
      </c>
      <c r="BU4" t="s">
        <v>1915</v>
      </c>
      <c r="BV4" t="s">
        <v>1916</v>
      </c>
      <c r="BW4">
        <v>8.85</v>
      </c>
      <c r="BX4">
        <v>10</v>
      </c>
      <c r="BY4">
        <v>9.9499999999999993</v>
      </c>
      <c r="BZ4">
        <v>3.1</v>
      </c>
      <c r="CA4">
        <v>2.85</v>
      </c>
      <c r="CB4">
        <v>2.81</v>
      </c>
      <c r="CC4">
        <v>3.95</v>
      </c>
      <c r="CD4">
        <v>9.91</v>
      </c>
      <c r="CE4" t="s">
        <v>1917</v>
      </c>
      <c r="CF4" t="s">
        <v>1918</v>
      </c>
      <c r="CG4" s="26">
        <v>1.6157628644642982E-2</v>
      </c>
      <c r="CH4" s="27">
        <v>-1.4991762767709808E-2</v>
      </c>
      <c r="CI4" s="26">
        <v>7.8419029712677002E-2</v>
      </c>
      <c r="CJ4" s="26">
        <v>0.10192657262086868</v>
      </c>
      <c r="CK4" s="26">
        <v>0.14493069052696228</v>
      </c>
      <c r="CL4" s="26">
        <v>0.1500934362411499</v>
      </c>
      <c r="CM4" s="26">
        <v>6.9235943257808685E-2</v>
      </c>
      <c r="CN4" s="27">
        <v>0.13244979083538055</v>
      </c>
      <c r="CO4" s="27">
        <v>9.6474558115005493E-2</v>
      </c>
      <c r="CP4" s="27">
        <v>6.3772305846214294E-2</v>
      </c>
      <c r="CQ4" s="27">
        <v>0.376787930727005</v>
      </c>
      <c r="CR4" s="27">
        <v>7.0392720401287079E-2</v>
      </c>
      <c r="CS4">
        <v>7.4765241623825558</v>
      </c>
      <c r="CT4">
        <v>0.68641629548137373</v>
      </c>
      <c r="CU4">
        <v>2.8169014084507045</v>
      </c>
      <c r="CV4" s="26">
        <v>0.1089211344718933</v>
      </c>
      <c r="CW4" s="27">
        <v>0.14797546118497848</v>
      </c>
      <c r="CX4">
        <v>0.06</v>
      </c>
      <c r="CY4">
        <v>31.099497644771063</v>
      </c>
      <c r="CZ4">
        <v>32719450379.002762</v>
      </c>
      <c r="DA4">
        <v>0.1089211344718933</v>
      </c>
      <c r="DB4">
        <v>10.001835920891915</v>
      </c>
      <c r="DC4">
        <v>101737168860.62045</v>
      </c>
      <c r="DD4">
        <v>0.10347507774829863</v>
      </c>
      <c r="DE4">
        <v>4.8187817504607668</v>
      </c>
      <c r="DF4">
        <v>211165087504.26437</v>
      </c>
      <c r="DG4">
        <v>9.5850598335266116E-2</v>
      </c>
      <c r="DH4">
        <v>2.823728646732893</v>
      </c>
      <c r="DI4">
        <v>360359863607.05524</v>
      </c>
      <c r="DJ4">
        <v>8.7136907577514647E-2</v>
      </c>
      <c r="DK4">
        <v>1.3813214409904042</v>
      </c>
      <c r="DL4">
        <v>736655813631.91821</v>
      </c>
      <c r="DM4">
        <v>7.6244794130325311E-2</v>
      </c>
      <c r="DN4">
        <v>31276000000</v>
      </c>
      <c r="DO4">
        <v>0.1089211344718933</v>
      </c>
      <c r="DP4">
        <v>1017558470000</v>
      </c>
      <c r="DQ4">
        <v>2384780000</v>
      </c>
      <c r="DR4">
        <v>3731</v>
      </c>
      <c r="DS4">
        <v>-9.276350582725032E-2</v>
      </c>
      <c r="DT4">
        <v>-0.16296722395268828</v>
      </c>
      <c r="DU4" s="28">
        <v>-0.32333333333333336</v>
      </c>
      <c r="DV4">
        <v>0.11666666666666665</v>
      </c>
      <c r="DW4">
        <v>-0.20666666666666672</v>
      </c>
      <c r="DX4">
        <v>8.398587285570132</v>
      </c>
      <c r="DY4">
        <v>0.32720194188762647</v>
      </c>
      <c r="DZ4">
        <v>8.058672822447642</v>
      </c>
      <c r="EA4">
        <v>2740</v>
      </c>
      <c r="EB4">
        <v>8.0272491450616883</v>
      </c>
      <c r="EC4">
        <v>8</v>
      </c>
      <c r="ED4">
        <v>2.4442275747978078E-2</v>
      </c>
      <c r="EE4">
        <v>0.16604587326312381</v>
      </c>
      <c r="EF4" s="29">
        <v>3.0301100000000001</v>
      </c>
      <c r="EG4">
        <v>3.0301100000000001</v>
      </c>
      <c r="EH4">
        <v>18.147201941887626</v>
      </c>
      <c r="EI4" t="s">
        <v>226</v>
      </c>
      <c r="EJ4">
        <v>0</v>
      </c>
      <c r="EK4">
        <v>0</v>
      </c>
      <c r="EL4" s="30">
        <v>45385</v>
      </c>
      <c r="EM4" s="31">
        <v>-0.28999999999999998</v>
      </c>
      <c r="EN4" s="31">
        <v>2.94</v>
      </c>
      <c r="EO4" s="31">
        <v>2.57</v>
      </c>
      <c r="EP4" s="31">
        <v>-1.25</v>
      </c>
      <c r="EQ4" s="31">
        <v>0</v>
      </c>
    </row>
    <row r="5" spans="1:147" ht="144">
      <c r="B5" s="24" t="s">
        <v>1920</v>
      </c>
      <c r="C5" s="24" t="s">
        <v>1921</v>
      </c>
      <c r="D5" s="24" t="s">
        <v>1965</v>
      </c>
      <c r="E5" t="s">
        <v>1785</v>
      </c>
      <c r="F5" t="s">
        <v>1786</v>
      </c>
      <c r="G5">
        <v>8.8699999999999992</v>
      </c>
      <c r="H5">
        <v>0</v>
      </c>
      <c r="I5" t="s">
        <v>1787</v>
      </c>
      <c r="J5">
        <v>144404590000</v>
      </c>
      <c r="K5">
        <v>6.06</v>
      </c>
      <c r="L5">
        <v>0.56399999999999995</v>
      </c>
      <c r="M5" t="s">
        <v>1781</v>
      </c>
      <c r="N5" t="s">
        <v>1922</v>
      </c>
      <c r="O5" t="s">
        <v>1923</v>
      </c>
      <c r="P5" t="s">
        <v>1924</v>
      </c>
      <c r="Q5">
        <v>1.05</v>
      </c>
      <c r="R5" t="s">
        <v>1925</v>
      </c>
      <c r="S5">
        <v>16245973000</v>
      </c>
      <c r="T5" s="25">
        <v>2.5899999999999999E-2</v>
      </c>
      <c r="U5" t="s">
        <v>1926</v>
      </c>
      <c r="V5">
        <v>11747235400</v>
      </c>
      <c r="W5">
        <v>16263661000</v>
      </c>
      <c r="X5">
        <v>4.03</v>
      </c>
      <c r="Y5">
        <v>0.33</v>
      </c>
      <c r="Z5">
        <v>3.79</v>
      </c>
      <c r="AA5" t="s">
        <v>1927</v>
      </c>
      <c r="AB5" t="s">
        <v>1928</v>
      </c>
      <c r="AC5" t="s">
        <v>547</v>
      </c>
      <c r="AD5" t="s">
        <v>1929</v>
      </c>
      <c r="AE5" t="s">
        <v>1930</v>
      </c>
      <c r="AF5">
        <v>1014675170</v>
      </c>
      <c r="AG5" t="s">
        <v>1931</v>
      </c>
      <c r="AH5" t="s">
        <v>1367</v>
      </c>
      <c r="AI5" t="s">
        <v>1932</v>
      </c>
      <c r="AJ5" t="s">
        <v>1933</v>
      </c>
      <c r="AK5" t="s">
        <v>1934</v>
      </c>
      <c r="AL5" t="s">
        <v>1935</v>
      </c>
      <c r="AM5" t="s">
        <v>1936</v>
      </c>
      <c r="AN5" t="s">
        <v>170</v>
      </c>
      <c r="AO5" t="s">
        <v>1937</v>
      </c>
      <c r="AP5" t="s">
        <v>1938</v>
      </c>
      <c r="AQ5" t="s">
        <v>1939</v>
      </c>
      <c r="AR5" t="s">
        <v>1940</v>
      </c>
      <c r="AS5" t="s">
        <v>170</v>
      </c>
      <c r="AT5" t="s">
        <v>1941</v>
      </c>
      <c r="AU5" t="s">
        <v>1942</v>
      </c>
      <c r="AV5" t="s">
        <v>1943</v>
      </c>
      <c r="AW5" t="s">
        <v>1944</v>
      </c>
      <c r="AX5" t="s">
        <v>1945</v>
      </c>
      <c r="AY5" t="s">
        <v>1946</v>
      </c>
      <c r="AZ5" t="s">
        <v>1947</v>
      </c>
      <c r="BA5" t="s">
        <v>1948</v>
      </c>
      <c r="BB5" t="s">
        <v>1949</v>
      </c>
      <c r="BC5" t="s">
        <v>1950</v>
      </c>
      <c r="BD5" t="s">
        <v>1951</v>
      </c>
      <c r="BE5" t="s">
        <v>1952</v>
      </c>
      <c r="BF5" t="s">
        <v>1953</v>
      </c>
      <c r="BG5" t="s">
        <v>1954</v>
      </c>
      <c r="BH5" t="s">
        <v>1955</v>
      </c>
      <c r="BI5" t="s">
        <v>1956</v>
      </c>
      <c r="BJ5" t="s">
        <v>1957</v>
      </c>
      <c r="BK5" t="s">
        <v>1958</v>
      </c>
      <c r="BL5" t="s">
        <v>1959</v>
      </c>
      <c r="BM5" t="s">
        <v>1960</v>
      </c>
      <c r="BN5" t="s">
        <v>1961</v>
      </c>
      <c r="BO5">
        <v>0.8</v>
      </c>
      <c r="BP5">
        <v>3.2</v>
      </c>
      <c r="BQ5">
        <v>3.22</v>
      </c>
      <c r="BR5">
        <v>2.12</v>
      </c>
      <c r="BS5">
        <v>7.59</v>
      </c>
      <c r="BT5">
        <v>7.12</v>
      </c>
      <c r="BU5" t="s">
        <v>1962</v>
      </c>
      <c r="BV5" t="s">
        <v>1916</v>
      </c>
      <c r="BW5">
        <v>10.76</v>
      </c>
      <c r="BX5">
        <v>12.52</v>
      </c>
      <c r="BY5">
        <v>13.02</v>
      </c>
      <c r="BZ5">
        <v>3.96</v>
      </c>
      <c r="CA5">
        <v>3.43</v>
      </c>
      <c r="CB5">
        <v>3.08</v>
      </c>
      <c r="CC5">
        <v>7.13</v>
      </c>
      <c r="CD5">
        <v>1.26</v>
      </c>
      <c r="CE5" t="s">
        <v>1963</v>
      </c>
      <c r="CF5" t="s">
        <v>1964</v>
      </c>
      <c r="CG5" s="26">
        <v>2.1673078543147123E-2</v>
      </c>
      <c r="CH5" s="27">
        <v>2.3235368687935357E-2</v>
      </c>
      <c r="CI5" s="26">
        <v>5.0222214311361313E-2</v>
      </c>
      <c r="CJ5" s="26">
        <v>9.2808090150356293E-2</v>
      </c>
      <c r="CK5" s="26">
        <v>0.12987761199474335</v>
      </c>
      <c r="CL5" s="26">
        <v>0.13154949247837067</v>
      </c>
      <c r="CM5" s="26">
        <v>1.6710726544260979E-2</v>
      </c>
      <c r="CN5" s="27">
        <v>6.1628241091966629E-2</v>
      </c>
      <c r="CO5" s="27">
        <v>0.11039119213819504</v>
      </c>
      <c r="CP5" s="27">
        <v>-0.19022637605667114</v>
      </c>
      <c r="CQ5" s="27">
        <v>1.6920767724514008E-2</v>
      </c>
      <c r="CR5" s="27">
        <v>-4.3778203427791595E-2</v>
      </c>
      <c r="CS5">
        <v>7.628413174970726</v>
      </c>
      <c r="CT5">
        <v>0.90562563170800603</v>
      </c>
      <c r="CU5">
        <v>2.4472378804960546</v>
      </c>
      <c r="CV5" s="26">
        <v>8.4233627095818525E-2</v>
      </c>
      <c r="CW5" s="27">
        <v>-9.0128757059574124E-3</v>
      </c>
      <c r="CX5">
        <v>0.06</v>
      </c>
      <c r="CY5">
        <v>53.614901012227804</v>
      </c>
      <c r="CZ5">
        <v>19540753973.621243</v>
      </c>
      <c r="DA5">
        <v>8.4233627095818525E-2</v>
      </c>
      <c r="DB5">
        <v>17.606666671166412</v>
      </c>
      <c r="DC5">
        <v>59504482567.147575</v>
      </c>
      <c r="DD5">
        <v>8.0021945741027597E-2</v>
      </c>
      <c r="DE5">
        <v>8.7240487695125442</v>
      </c>
      <c r="DF5">
        <v>120090524214.08447</v>
      </c>
      <c r="DG5">
        <v>7.4125591844320299E-2</v>
      </c>
      <c r="DH5">
        <v>5.2774982785693227</v>
      </c>
      <c r="DI5">
        <v>198517466932.08102</v>
      </c>
      <c r="DJ5">
        <v>6.7386901676654828E-2</v>
      </c>
      <c r="DK5">
        <v>2.77029883766907</v>
      </c>
      <c r="DL5">
        <v>378181435069.11853</v>
      </c>
      <c r="DM5">
        <v>5.8963538967072966E-2</v>
      </c>
      <c r="DN5">
        <v>19104000000</v>
      </c>
      <c r="DO5">
        <v>8.4233627095818525E-2</v>
      </c>
      <c r="DP5">
        <v>1047675590000</v>
      </c>
      <c r="DQ5">
        <v>-57490720000</v>
      </c>
      <c r="DR5">
        <v>3791</v>
      </c>
      <c r="DS5">
        <v>-6.2560548552671402E-2</v>
      </c>
      <c r="DT5">
        <v>3.2248244393892768E-2</v>
      </c>
      <c r="DU5" s="28">
        <v>-0.44</v>
      </c>
      <c r="DV5">
        <v>0.46666666666666662</v>
      </c>
      <c r="DW5">
        <v>2.6666666666666616E-2</v>
      </c>
      <c r="DX5">
        <v>5.1767180925666203</v>
      </c>
      <c r="DY5">
        <v>0.32261773963832596</v>
      </c>
      <c r="DZ5">
        <v>5.0340390395433792</v>
      </c>
      <c r="EA5">
        <v>2225</v>
      </c>
      <c r="EB5">
        <v>5.0192351179280514</v>
      </c>
      <c r="EC5">
        <v>5</v>
      </c>
      <c r="ED5">
        <v>2.7914994047158262E-2</v>
      </c>
      <c r="EE5">
        <v>0.14492431931531283</v>
      </c>
      <c r="EF5" s="29">
        <v>3.0743</v>
      </c>
      <c r="EG5">
        <v>3.0743</v>
      </c>
      <c r="EH5">
        <v>13.192617739638326</v>
      </c>
      <c r="EI5" t="s">
        <v>263</v>
      </c>
      <c r="EJ5">
        <v>1</v>
      </c>
      <c r="EK5">
        <v>0</v>
      </c>
      <c r="EL5" s="30">
        <v>45385</v>
      </c>
      <c r="EM5" s="31">
        <v>-0.6</v>
      </c>
      <c r="EN5" s="31">
        <v>4.74</v>
      </c>
      <c r="EO5" s="31">
        <v>2.5499999999999998</v>
      </c>
      <c r="EP5" s="31">
        <v>0.34</v>
      </c>
      <c r="EQ5" s="31">
        <v>0</v>
      </c>
    </row>
    <row r="6" spans="1:147" ht="180">
      <c r="B6" s="24"/>
      <c r="C6" s="24"/>
      <c r="D6" s="24" t="s">
        <v>2009</v>
      </c>
      <c r="E6" t="s">
        <v>1788</v>
      </c>
      <c r="F6" t="s">
        <v>1789</v>
      </c>
      <c r="G6">
        <v>8.59</v>
      </c>
      <c r="H6">
        <v>-0.35</v>
      </c>
      <c r="I6" t="s">
        <v>1790</v>
      </c>
      <c r="J6">
        <v>116648261000</v>
      </c>
      <c r="K6">
        <v>4.47</v>
      </c>
      <c r="L6">
        <v>0.47699999999999998</v>
      </c>
      <c r="M6" t="s">
        <v>1781</v>
      </c>
      <c r="N6" t="s">
        <v>1966</v>
      </c>
      <c r="O6" t="s">
        <v>1967</v>
      </c>
      <c r="P6" t="s">
        <v>1968</v>
      </c>
      <c r="Q6">
        <v>1.01</v>
      </c>
      <c r="R6" t="s">
        <v>1969</v>
      </c>
      <c r="S6">
        <v>19419540000</v>
      </c>
      <c r="T6" s="25">
        <v>3.4700000000000002E-2</v>
      </c>
      <c r="U6" t="s">
        <v>1970</v>
      </c>
      <c r="V6">
        <v>11503245500</v>
      </c>
      <c r="W6">
        <v>13579542000</v>
      </c>
      <c r="X6">
        <v>4.0999999999999996</v>
      </c>
      <c r="Y6">
        <v>0.5</v>
      </c>
      <c r="Z6">
        <v>2.9</v>
      </c>
      <c r="AA6" t="s">
        <v>1971</v>
      </c>
      <c r="AB6" t="s">
        <v>1972</v>
      </c>
      <c r="AC6" t="s">
        <v>1973</v>
      </c>
      <c r="AD6" t="s">
        <v>1974</v>
      </c>
      <c r="AE6" t="s">
        <v>1975</v>
      </c>
      <c r="AF6">
        <v>2585930000</v>
      </c>
      <c r="AG6" t="s">
        <v>1976</v>
      </c>
      <c r="AH6" t="s">
        <v>1268</v>
      </c>
      <c r="AI6" t="s">
        <v>1977</v>
      </c>
      <c r="AJ6" t="s">
        <v>1978</v>
      </c>
      <c r="AK6" t="s">
        <v>1979</v>
      </c>
      <c r="AL6" t="s">
        <v>1261</v>
      </c>
      <c r="AM6" t="s">
        <v>1980</v>
      </c>
      <c r="AN6" t="s">
        <v>170</v>
      </c>
      <c r="AO6" t="s">
        <v>1981</v>
      </c>
      <c r="AP6" t="s">
        <v>1982</v>
      </c>
      <c r="AQ6" t="s">
        <v>1983</v>
      </c>
      <c r="AR6" t="s">
        <v>1984</v>
      </c>
      <c r="AS6" t="s">
        <v>1985</v>
      </c>
      <c r="AT6" t="s">
        <v>1986</v>
      </c>
      <c r="AU6" t="s">
        <v>1987</v>
      </c>
      <c r="AV6" t="s">
        <v>1988</v>
      </c>
      <c r="AW6" t="s">
        <v>1989</v>
      </c>
      <c r="AX6" t="s">
        <v>1990</v>
      </c>
      <c r="AY6" t="s">
        <v>1991</v>
      </c>
      <c r="AZ6" t="s">
        <v>1992</v>
      </c>
      <c r="BA6" t="s">
        <v>1993</v>
      </c>
      <c r="BB6" t="s">
        <v>1994</v>
      </c>
      <c r="BC6" t="s">
        <v>1995</v>
      </c>
      <c r="BD6" t="s">
        <v>1996</v>
      </c>
      <c r="BE6" t="s">
        <v>1997</v>
      </c>
      <c r="BF6" t="s">
        <v>1998</v>
      </c>
      <c r="BG6" t="s">
        <v>1999</v>
      </c>
      <c r="BH6" t="s">
        <v>2000</v>
      </c>
      <c r="BI6" t="s">
        <v>2001</v>
      </c>
      <c r="BJ6" t="s">
        <v>2002</v>
      </c>
      <c r="BK6" t="s">
        <v>2003</v>
      </c>
      <c r="BL6" t="s">
        <v>2004</v>
      </c>
      <c r="BM6" t="s">
        <v>2005</v>
      </c>
      <c r="BN6" t="s">
        <v>2006</v>
      </c>
      <c r="BO6">
        <v>1.1000000000000001</v>
      </c>
      <c r="BP6">
        <v>5.39</v>
      </c>
      <c r="BQ6">
        <v>5.38</v>
      </c>
      <c r="BR6">
        <v>2.27</v>
      </c>
      <c r="BS6">
        <v>11.1</v>
      </c>
      <c r="BT6">
        <v>11.45</v>
      </c>
      <c r="BU6" t="s">
        <v>2007</v>
      </c>
      <c r="BV6" t="s">
        <v>1916</v>
      </c>
      <c r="BW6">
        <v>8.91</v>
      </c>
      <c r="BX6">
        <v>9.6</v>
      </c>
      <c r="BY6">
        <v>9.26</v>
      </c>
      <c r="BZ6">
        <v>3.05</v>
      </c>
      <c r="CA6">
        <v>2.87</v>
      </c>
      <c r="CB6">
        <v>2.82</v>
      </c>
      <c r="CC6">
        <v>0.7</v>
      </c>
      <c r="CD6">
        <v>-1.6</v>
      </c>
      <c r="CE6" t="s">
        <v>528</v>
      </c>
      <c r="CF6" t="s">
        <v>2008</v>
      </c>
      <c r="CG6" s="26">
        <v>2.8992924299699289E-2</v>
      </c>
      <c r="CH6" s="27">
        <v>9.3319439181508146E-2</v>
      </c>
      <c r="CI6" s="26">
        <v>7.4806168675422668E-2</v>
      </c>
      <c r="CJ6" s="26">
        <v>0.12048991769552231</v>
      </c>
      <c r="CK6" s="26">
        <v>9.6180133521556854E-2</v>
      </c>
      <c r="CL6" s="26">
        <v>0.13741382956504822</v>
      </c>
      <c r="CM6" s="26">
        <v>7.2163596749305725E-2</v>
      </c>
      <c r="CN6" s="27">
        <v>7.901667058467865E-2</v>
      </c>
      <c r="CO6" s="27">
        <v>0.10262132436037064</v>
      </c>
      <c r="CP6" s="27">
        <v>0.10872906446456909</v>
      </c>
      <c r="CQ6" s="27">
        <v>0.12612208724021912</v>
      </c>
      <c r="CR6" s="27">
        <v>0.11695831269025803</v>
      </c>
      <c r="CS6">
        <v>5.4715206660673097</v>
      </c>
      <c r="CT6">
        <v>0.54600148182620334</v>
      </c>
      <c r="CU6">
        <v>3.2596041909196738</v>
      </c>
      <c r="CV6" s="26">
        <v>0.10021072924137116</v>
      </c>
      <c r="CW6" s="27">
        <v>0.1066894918680191</v>
      </c>
      <c r="CX6">
        <v>0.06</v>
      </c>
      <c r="CY6">
        <v>35.341968527752563</v>
      </c>
      <c r="CZ6">
        <v>27652654951.366615</v>
      </c>
      <c r="DA6">
        <v>0.10021072924137116</v>
      </c>
      <c r="DB6">
        <v>11.450111546071549</v>
      </c>
      <c r="DC6">
        <v>85352815740.498566</v>
      </c>
      <c r="DD6">
        <v>9.5200192779302598E-2</v>
      </c>
      <c r="DE6">
        <v>5.5716490851626492</v>
      </c>
      <c r="DF6">
        <v>175405745419.71005</v>
      </c>
      <c r="DG6">
        <v>8.8185441732406625E-2</v>
      </c>
      <c r="DH6">
        <v>3.3021993596390762</v>
      </c>
      <c r="DI6">
        <v>295954045944.34204</v>
      </c>
      <c r="DJ6">
        <v>8.0168583393096932E-2</v>
      </c>
      <c r="DK6">
        <v>1.6570241890308053</v>
      </c>
      <c r="DL6">
        <v>589791789081.62048</v>
      </c>
      <c r="DM6">
        <v>7.0147510468959812E-2</v>
      </c>
      <c r="DN6">
        <v>26642000000</v>
      </c>
      <c r="DO6">
        <v>0.10021072924137116</v>
      </c>
      <c r="DP6">
        <v>977299261000</v>
      </c>
      <c r="DQ6">
        <v>83964779999.999878</v>
      </c>
      <c r="DR6">
        <v>3692</v>
      </c>
      <c r="DS6">
        <v>-7.1217804941671875E-2</v>
      </c>
      <c r="DT6">
        <v>-1.3370052686510953E-2</v>
      </c>
      <c r="DU6" s="28">
        <v>-0.44</v>
      </c>
      <c r="DV6">
        <v>0</v>
      </c>
      <c r="DW6">
        <v>-0.44</v>
      </c>
      <c r="DX6">
        <v>-1.6E-2</v>
      </c>
      <c r="DY6">
        <v>0.31482214272618025</v>
      </c>
      <c r="DZ6">
        <v>-2.6371542836188732E-3</v>
      </c>
      <c r="EA6">
        <v>3179</v>
      </c>
      <c r="EB6">
        <v>-9.9846908666336148E-4</v>
      </c>
      <c r="EC6">
        <v>0</v>
      </c>
      <c r="ED6">
        <v>3.0707957602693816E-2</v>
      </c>
      <c r="EE6">
        <v>0.18630967082689534</v>
      </c>
      <c r="EF6" s="29">
        <v>2.0347</v>
      </c>
      <c r="EG6">
        <v>2.0312000000000001</v>
      </c>
      <c r="EH6">
        <v>15.16482214272618</v>
      </c>
      <c r="EI6" t="s">
        <v>234</v>
      </c>
      <c r="EJ6">
        <v>0</v>
      </c>
      <c r="EK6">
        <v>0</v>
      </c>
      <c r="EL6" s="30">
        <v>45385</v>
      </c>
      <c r="EM6" s="31">
        <v>-0.35</v>
      </c>
      <c r="EN6" s="31">
        <v>0.82</v>
      </c>
      <c r="EO6" s="31">
        <v>1.52</v>
      </c>
      <c r="EP6" s="31">
        <v>-0.92</v>
      </c>
      <c r="EQ6" s="31">
        <v>-0.35</v>
      </c>
    </row>
    <row r="7" spans="1:147" ht="96">
      <c r="C7" s="24"/>
      <c r="D7" s="24" t="s">
        <v>2056</v>
      </c>
      <c r="E7" t="s">
        <v>1791</v>
      </c>
      <c r="F7" t="s">
        <v>1792</v>
      </c>
      <c r="G7">
        <v>2.1800000000000002</v>
      </c>
      <c r="H7">
        <v>0</v>
      </c>
      <c r="I7" t="s">
        <v>1793</v>
      </c>
      <c r="J7">
        <v>90886737000</v>
      </c>
      <c r="K7">
        <v>11.38</v>
      </c>
      <c r="L7">
        <v>0.95299999999999996</v>
      </c>
      <c r="M7" t="s">
        <v>1781</v>
      </c>
      <c r="N7" t="s">
        <v>2010</v>
      </c>
      <c r="O7" t="s">
        <v>2011</v>
      </c>
      <c r="P7" t="s">
        <v>2012</v>
      </c>
      <c r="Q7">
        <v>18</v>
      </c>
      <c r="R7" t="s">
        <v>2013</v>
      </c>
      <c r="S7">
        <v>3073299000</v>
      </c>
      <c r="T7" s="25">
        <v>-0.26719999999999999</v>
      </c>
      <c r="U7" t="s">
        <v>2014</v>
      </c>
      <c r="V7">
        <v>14222501000</v>
      </c>
      <c r="W7">
        <v>41691164000</v>
      </c>
      <c r="X7">
        <v>4.29</v>
      </c>
      <c r="Y7">
        <v>0.4</v>
      </c>
      <c r="Z7">
        <v>2.0099999999999998</v>
      </c>
      <c r="AA7" t="s">
        <v>2015</v>
      </c>
      <c r="AB7" t="s">
        <v>2016</v>
      </c>
      <c r="AC7" t="s">
        <v>2017</v>
      </c>
      <c r="AD7" t="s">
        <v>2018</v>
      </c>
      <c r="AE7" t="s">
        <v>2019</v>
      </c>
      <c r="AF7">
        <v>3401663000</v>
      </c>
      <c r="AG7" t="s">
        <v>2020</v>
      </c>
      <c r="AH7" t="s">
        <v>195</v>
      </c>
      <c r="AI7" t="s">
        <v>2021</v>
      </c>
      <c r="AJ7" t="s">
        <v>2022</v>
      </c>
      <c r="AK7" t="s">
        <v>2023</v>
      </c>
      <c r="AL7" t="s">
        <v>2024</v>
      </c>
      <c r="AM7" t="s">
        <v>2025</v>
      </c>
      <c r="AN7" t="s">
        <v>170</v>
      </c>
      <c r="AO7" t="s">
        <v>2026</v>
      </c>
      <c r="AP7" t="s">
        <v>2027</v>
      </c>
      <c r="AQ7" t="s">
        <v>2028</v>
      </c>
      <c r="AR7" t="s">
        <v>2029</v>
      </c>
      <c r="AS7" t="s">
        <v>2030</v>
      </c>
      <c r="AT7" t="s">
        <v>2031</v>
      </c>
      <c r="AU7" t="s">
        <v>2032</v>
      </c>
      <c r="AV7" t="s">
        <v>2033</v>
      </c>
      <c r="AW7" t="s">
        <v>2034</v>
      </c>
      <c r="AX7" t="s">
        <v>2035</v>
      </c>
      <c r="AY7" t="s">
        <v>2036</v>
      </c>
      <c r="AZ7" t="s">
        <v>2037</v>
      </c>
      <c r="BA7" t="s">
        <v>2038</v>
      </c>
      <c r="BB7" t="s">
        <v>2039</v>
      </c>
      <c r="BC7" t="s">
        <v>2040</v>
      </c>
      <c r="BD7" t="s">
        <v>2041</v>
      </c>
      <c r="BE7" t="s">
        <v>2042</v>
      </c>
      <c r="BF7" t="s">
        <v>2043</v>
      </c>
      <c r="BG7" t="s">
        <v>2044</v>
      </c>
      <c r="BH7" t="s">
        <v>2045</v>
      </c>
      <c r="BI7" t="s">
        <v>2046</v>
      </c>
      <c r="BJ7" t="s">
        <v>2047</v>
      </c>
      <c r="BK7" t="s">
        <v>2048</v>
      </c>
      <c r="BL7" t="s">
        <v>2049</v>
      </c>
      <c r="BM7" t="s">
        <v>2050</v>
      </c>
      <c r="BN7" t="s">
        <v>2051</v>
      </c>
      <c r="BO7">
        <v>0.72</v>
      </c>
      <c r="BP7">
        <v>4.59</v>
      </c>
      <c r="BQ7">
        <v>4.76</v>
      </c>
      <c r="BR7">
        <v>1.1200000000000001</v>
      </c>
      <c r="BS7">
        <v>9.1999999999999993</v>
      </c>
      <c r="BT7" t="s">
        <v>170</v>
      </c>
      <c r="BU7" t="s">
        <v>2052</v>
      </c>
      <c r="BV7" t="s">
        <v>1916</v>
      </c>
      <c r="BW7">
        <v>10.93</v>
      </c>
      <c r="BX7">
        <v>13.16</v>
      </c>
      <c r="BY7">
        <v>13.65</v>
      </c>
      <c r="BZ7">
        <v>2.36</v>
      </c>
      <c r="CA7">
        <v>2.98</v>
      </c>
      <c r="CB7">
        <v>3.2</v>
      </c>
      <c r="CC7">
        <v>3.81</v>
      </c>
      <c r="CD7">
        <v>0.46</v>
      </c>
      <c r="CE7" t="s">
        <v>2053</v>
      </c>
      <c r="CF7" t="s">
        <v>2054</v>
      </c>
      <c r="CG7" s="26">
        <v>0.11612393259638071</v>
      </c>
      <c r="CH7" s="27">
        <v>-0.70036147186147191</v>
      </c>
      <c r="CI7" s="26">
        <v>0.13674034178256989</v>
      </c>
      <c r="CJ7" s="26">
        <v>0.19232556223869324</v>
      </c>
      <c r="CK7" s="26">
        <v>9.4813235104084015E-2</v>
      </c>
      <c r="CL7" s="26">
        <v>0.10338684171438217</v>
      </c>
      <c r="CM7" s="26">
        <v>-4.4866926968097687E-2</v>
      </c>
      <c r="CN7" s="27">
        <v>0.20064574480056763</v>
      </c>
      <c r="CO7" s="27">
        <v>0.39242130517959595</v>
      </c>
      <c r="CP7" s="27">
        <v>-8.6267590522766113E-2</v>
      </c>
      <c r="CQ7" s="27">
        <v>8.6965754628181458E-2</v>
      </c>
      <c r="CR7" s="27">
        <v>-9.557691216468811E-2</v>
      </c>
      <c r="CS7">
        <v>16.039307685520161</v>
      </c>
      <c r="CT7">
        <v>1.6624522329378664</v>
      </c>
      <c r="CU7">
        <v>1.1559633027522935</v>
      </c>
      <c r="CV7" s="26">
        <v>9.6479810774326324E-2</v>
      </c>
      <c r="CW7" s="27">
        <v>9.9637660384178164E-2</v>
      </c>
      <c r="CX7">
        <v>0.06</v>
      </c>
      <c r="CY7">
        <v>61.64934280074128</v>
      </c>
      <c r="CZ7">
        <v>8077746077.6761456</v>
      </c>
      <c r="DA7">
        <v>9.6479810774326324E-2</v>
      </c>
      <c r="DB7">
        <v>20.036270422967156</v>
      </c>
      <c r="DC7">
        <v>24854313027.696369</v>
      </c>
      <c r="DD7">
        <v>9.1655820235610003E-2</v>
      </c>
      <c r="DE7">
        <v>9.7911553247401386</v>
      </c>
      <c r="DF7">
        <v>50860978146.439201</v>
      </c>
      <c r="DG7">
        <v>8.4902233481407172E-2</v>
      </c>
      <c r="DH7">
        <v>5.8310695771958727</v>
      </c>
      <c r="DI7">
        <v>85402468690.740509</v>
      </c>
      <c r="DJ7">
        <v>7.7183848619461065E-2</v>
      </c>
      <c r="DK7">
        <v>2.9575121499442671</v>
      </c>
      <c r="DL7">
        <v>168380622547.69919</v>
      </c>
      <c r="DM7">
        <v>6.7535867542028422E-2</v>
      </c>
      <c r="DN7">
        <v>7809000000</v>
      </c>
      <c r="DO7">
        <v>9.6479810774326324E-2</v>
      </c>
      <c r="DP7">
        <v>497987737000</v>
      </c>
      <c r="DQ7">
        <v>36339510000</v>
      </c>
      <c r="DR7">
        <v>3806</v>
      </c>
      <c r="DS7">
        <v>1.9644121822054383E-2</v>
      </c>
      <c r="DT7">
        <v>-0.79999913224565011</v>
      </c>
      <c r="DU7" s="28">
        <v>-0.28999999999999998</v>
      </c>
      <c r="DV7">
        <v>9.6666666666666637E-2</v>
      </c>
      <c r="DW7">
        <v>-0.19333333333333336</v>
      </c>
      <c r="DX7">
        <v>4.120734908136483</v>
      </c>
      <c r="DY7">
        <v>0.38172977423529303</v>
      </c>
      <c r="DZ7">
        <v>4.0243558257606917</v>
      </c>
      <c r="EA7">
        <v>2701</v>
      </c>
      <c r="EB7">
        <v>4.0114971304167453</v>
      </c>
      <c r="EC7">
        <v>4</v>
      </c>
      <c r="ED7">
        <v>2.0699829824852099E-2</v>
      </c>
      <c r="EE7">
        <v>0.10261167090465501</v>
      </c>
      <c r="EF7" s="29">
        <v>-1.0113000000000001</v>
      </c>
      <c r="EG7">
        <v>-1.0113000000000001</v>
      </c>
      <c r="EH7">
        <v>18.201729774235293</v>
      </c>
      <c r="EI7" t="s">
        <v>2055</v>
      </c>
      <c r="EJ7">
        <v>0</v>
      </c>
      <c r="EK7">
        <v>0</v>
      </c>
      <c r="EL7" s="30">
        <v>45385</v>
      </c>
      <c r="EM7" s="31">
        <v>0</v>
      </c>
      <c r="EN7" s="31">
        <v>0.95</v>
      </c>
      <c r="EO7" s="31">
        <v>2.83</v>
      </c>
      <c r="EP7" s="31">
        <v>0</v>
      </c>
      <c r="EQ7" s="31">
        <v>0</v>
      </c>
    </row>
    <row r="8" spans="1:147" ht="144">
      <c r="B8" s="24"/>
      <c r="C8" s="24"/>
      <c r="D8" s="24" t="s">
        <v>2100</v>
      </c>
      <c r="E8" t="s">
        <v>1794</v>
      </c>
      <c r="F8" t="s">
        <v>1795</v>
      </c>
      <c r="G8">
        <v>5.0599999999999996</v>
      </c>
      <c r="H8">
        <v>-0.78</v>
      </c>
      <c r="I8" t="s">
        <v>1796</v>
      </c>
      <c r="J8">
        <v>87164366000</v>
      </c>
      <c r="K8">
        <v>7.08</v>
      </c>
      <c r="L8">
        <v>0.68600000000000005</v>
      </c>
      <c r="M8" t="s">
        <v>1781</v>
      </c>
      <c r="N8" t="s">
        <v>2057</v>
      </c>
      <c r="O8" t="s">
        <v>2058</v>
      </c>
      <c r="P8" t="s">
        <v>2059</v>
      </c>
      <c r="Q8">
        <v>6.08</v>
      </c>
      <c r="R8" t="s">
        <v>2060</v>
      </c>
      <c r="S8">
        <v>9490595500</v>
      </c>
      <c r="T8" s="25">
        <v>0.1018</v>
      </c>
      <c r="U8" t="s">
        <v>2061</v>
      </c>
      <c r="V8">
        <v>13071525900</v>
      </c>
      <c r="W8">
        <v>17226159000</v>
      </c>
      <c r="X8">
        <v>4.5199999999999996</v>
      </c>
      <c r="Y8">
        <v>0.38</v>
      </c>
      <c r="Z8">
        <v>2.92</v>
      </c>
      <c r="AA8" t="s">
        <v>2062</v>
      </c>
      <c r="AB8" t="s">
        <v>2063</v>
      </c>
      <c r="AC8" t="s">
        <v>2064</v>
      </c>
      <c r="AD8" t="s">
        <v>2065</v>
      </c>
      <c r="AE8" t="s">
        <v>2066</v>
      </c>
      <c r="AF8">
        <v>7288657200</v>
      </c>
      <c r="AG8" t="s">
        <v>2067</v>
      </c>
      <c r="AH8" t="s">
        <v>330</v>
      </c>
      <c r="AI8" t="s">
        <v>2068</v>
      </c>
      <c r="AJ8" t="s">
        <v>2069</v>
      </c>
      <c r="AK8" t="s">
        <v>2070</v>
      </c>
      <c r="AL8" t="s">
        <v>2071</v>
      </c>
      <c r="AM8" t="s">
        <v>2072</v>
      </c>
      <c r="AN8" t="s">
        <v>170</v>
      </c>
      <c r="AO8" t="s">
        <v>2073</v>
      </c>
      <c r="AP8" t="s">
        <v>2074</v>
      </c>
      <c r="AQ8" t="s">
        <v>2075</v>
      </c>
      <c r="AR8" t="s">
        <v>2076</v>
      </c>
      <c r="AS8" t="s">
        <v>329</v>
      </c>
      <c r="AT8" t="s">
        <v>2077</v>
      </c>
      <c r="AU8" t="s">
        <v>2078</v>
      </c>
      <c r="AV8" t="s">
        <v>2079</v>
      </c>
      <c r="AW8" t="s">
        <v>2080</v>
      </c>
      <c r="AX8" t="s">
        <v>2081</v>
      </c>
      <c r="AY8" t="s">
        <v>2082</v>
      </c>
      <c r="AZ8" t="s">
        <v>2083</v>
      </c>
      <c r="BA8" t="s">
        <v>2084</v>
      </c>
      <c r="BB8" t="s">
        <v>2085</v>
      </c>
      <c r="BC8" t="s">
        <v>2086</v>
      </c>
      <c r="BD8" t="s">
        <v>2087</v>
      </c>
      <c r="BE8" t="s">
        <v>2088</v>
      </c>
      <c r="BF8" t="s">
        <v>2089</v>
      </c>
      <c r="BG8" t="s">
        <v>2090</v>
      </c>
      <c r="BH8" t="s">
        <v>2091</v>
      </c>
      <c r="BI8" t="s">
        <v>2092</v>
      </c>
      <c r="BJ8" t="s">
        <v>2093</v>
      </c>
      <c r="BK8" t="s">
        <v>2094</v>
      </c>
      <c r="BL8" t="s">
        <v>2095</v>
      </c>
      <c r="BM8" t="s">
        <v>2096</v>
      </c>
      <c r="BN8" t="s">
        <v>2097</v>
      </c>
      <c r="BO8">
        <v>1.07</v>
      </c>
      <c r="BP8">
        <v>3.12</v>
      </c>
      <c r="BQ8">
        <v>3.45</v>
      </c>
      <c r="BR8">
        <v>2.48</v>
      </c>
      <c r="BS8">
        <v>7.89</v>
      </c>
      <c r="BT8">
        <v>7.85</v>
      </c>
      <c r="BU8" t="s">
        <v>2098</v>
      </c>
      <c r="BV8" t="s">
        <v>1916</v>
      </c>
      <c r="BW8">
        <v>12.01</v>
      </c>
      <c r="BX8">
        <v>13.11</v>
      </c>
      <c r="BY8">
        <v>14.23</v>
      </c>
      <c r="BZ8">
        <v>3.1</v>
      </c>
      <c r="CA8">
        <v>3</v>
      </c>
      <c r="CB8">
        <v>3.17</v>
      </c>
      <c r="CC8">
        <v>2.85</v>
      </c>
      <c r="CD8">
        <v>-0.78</v>
      </c>
      <c r="CE8" t="s">
        <v>741</v>
      </c>
      <c r="CF8" t="s">
        <v>2099</v>
      </c>
      <c r="CG8" s="26">
        <v>6.476854186725374E-2</v>
      </c>
      <c r="CH8" s="27">
        <v>7.7709773539928487E-2</v>
      </c>
      <c r="CI8" s="26">
        <v>1.3348783366382122E-2</v>
      </c>
      <c r="CJ8" s="26">
        <v>0.40851631760597229</v>
      </c>
      <c r="CK8" s="26">
        <v>0.15272623300552368</v>
      </c>
      <c r="CL8" s="26">
        <v>0.18104510009288788</v>
      </c>
      <c r="CM8" s="26">
        <v>0.10686327517032623</v>
      </c>
      <c r="CN8" s="27">
        <v>0.15926605463027954</v>
      </c>
      <c r="CO8" s="27">
        <v>0.23500685393810272</v>
      </c>
      <c r="CP8" s="27">
        <v>0.1031767725944519</v>
      </c>
      <c r="CQ8" s="27">
        <v>-5.9129312634468079E-2</v>
      </c>
      <c r="CR8" s="27">
        <v>3.7901259958744049E-2</v>
      </c>
      <c r="CS8">
        <v>10.128521274329428</v>
      </c>
      <c r="CT8">
        <v>0.58716085152315278</v>
      </c>
      <c r="CU8">
        <v>2.3729249011857712</v>
      </c>
      <c r="CV8" s="26">
        <v>0.17249994184821843</v>
      </c>
      <c r="CW8" s="27">
        <v>9.5244325697422028E-2</v>
      </c>
      <c r="CX8">
        <v>0.06</v>
      </c>
      <c r="CY8">
        <v>59.755798385464267</v>
      </c>
      <c r="CZ8">
        <v>12648619655.69281</v>
      </c>
      <c r="DA8">
        <v>0.17249994184821843</v>
      </c>
      <c r="DB8">
        <v>18.222190583275268</v>
      </c>
      <c r="DC8">
        <v>41478457957.393776</v>
      </c>
      <c r="DD8">
        <v>0.16387494475580749</v>
      </c>
      <c r="DE8">
        <v>8.1550522143450035</v>
      </c>
      <c r="DF8">
        <v>92682222766.210266</v>
      </c>
      <c r="DG8">
        <v>0.15179994882643222</v>
      </c>
      <c r="DH8">
        <v>4.3812024057683976</v>
      </c>
      <c r="DI8">
        <v>172516194413.85727</v>
      </c>
      <c r="DJ8">
        <v>0.13799995347857474</v>
      </c>
      <c r="DK8">
        <v>1.7491669871031674</v>
      </c>
      <c r="DL8">
        <v>432107609835.32135</v>
      </c>
      <c r="DM8">
        <v>0.12074995929375289</v>
      </c>
      <c r="DN8">
        <v>11435000000</v>
      </c>
      <c r="DO8">
        <v>0.17249994184821843</v>
      </c>
      <c r="DP8">
        <v>755828366000</v>
      </c>
      <c r="DQ8">
        <v>-41120160000</v>
      </c>
      <c r="DR8">
        <v>3769</v>
      </c>
      <c r="DS8">
        <v>-0.10773139998096469</v>
      </c>
      <c r="DT8">
        <v>-1.7534552157493541E-2</v>
      </c>
      <c r="DU8" s="28">
        <v>-4.0000000000000036E-2</v>
      </c>
      <c r="DV8">
        <v>0.31666666666666665</v>
      </c>
      <c r="DW8">
        <v>0.27666666666666662</v>
      </c>
      <c r="DX8">
        <v>4.2736842105263158</v>
      </c>
      <c r="DY8">
        <v>0.31578417097248518</v>
      </c>
      <c r="DZ8">
        <v>4.037161983634574</v>
      </c>
      <c r="EA8">
        <v>1574</v>
      </c>
      <c r="EB8">
        <v>4.0257286446508331</v>
      </c>
      <c r="EC8">
        <v>4</v>
      </c>
      <c r="ED8">
        <v>2.6587470834328185E-2</v>
      </c>
      <c r="EE8">
        <v>0.19580685398294534</v>
      </c>
      <c r="EF8" s="29">
        <v>1.0745</v>
      </c>
      <c r="EG8">
        <v>1.0667</v>
      </c>
      <c r="EH8">
        <v>18.135784170972485</v>
      </c>
      <c r="EI8" t="s">
        <v>209</v>
      </c>
      <c r="EJ8">
        <v>0</v>
      </c>
      <c r="EK8">
        <v>0</v>
      </c>
      <c r="EL8" s="30">
        <v>45385</v>
      </c>
      <c r="EM8" s="31">
        <v>0.41</v>
      </c>
      <c r="EN8" s="31">
        <v>0.61</v>
      </c>
      <c r="EO8" s="31">
        <v>2.62</v>
      </c>
      <c r="EP8" s="31">
        <v>0</v>
      </c>
      <c r="EQ8" s="31">
        <v>-0.78</v>
      </c>
    </row>
    <row r="9" spans="1:147" ht="96">
      <c r="B9" s="24"/>
      <c r="C9" s="24"/>
      <c r="D9" s="24" t="s">
        <v>2147</v>
      </c>
      <c r="E9" t="s">
        <v>1797</v>
      </c>
      <c r="F9" t="s">
        <v>1798</v>
      </c>
      <c r="G9">
        <v>3.38</v>
      </c>
      <c r="H9">
        <v>3.05</v>
      </c>
      <c r="I9" t="s">
        <v>266</v>
      </c>
      <c r="J9">
        <v>70045833000</v>
      </c>
      <c r="K9">
        <v>8.08</v>
      </c>
      <c r="L9">
        <v>0.71399999999999997</v>
      </c>
      <c r="M9" t="s">
        <v>1781</v>
      </c>
      <c r="N9" t="s">
        <v>2101</v>
      </c>
      <c r="O9" t="s">
        <v>2102</v>
      </c>
      <c r="P9" t="s">
        <v>2103</v>
      </c>
      <c r="Q9">
        <v>17.7</v>
      </c>
      <c r="R9" t="s">
        <v>2104</v>
      </c>
      <c r="S9">
        <v>8183833000</v>
      </c>
      <c r="T9" s="25">
        <v>0.21940000000000001</v>
      </c>
      <c r="U9" t="s">
        <v>2105</v>
      </c>
      <c r="V9">
        <v>17852619000</v>
      </c>
      <c r="W9">
        <v>20723619000</v>
      </c>
      <c r="X9">
        <v>3.92</v>
      </c>
      <c r="Y9">
        <v>0.74</v>
      </c>
      <c r="Z9">
        <v>2.25</v>
      </c>
      <c r="AA9" t="s">
        <v>2106</v>
      </c>
      <c r="AB9" t="s">
        <v>2107</v>
      </c>
      <c r="AC9" t="s">
        <v>2108</v>
      </c>
      <c r="AD9" t="s">
        <v>2109</v>
      </c>
      <c r="AE9" t="s">
        <v>2110</v>
      </c>
      <c r="AF9">
        <v>516540000</v>
      </c>
      <c r="AG9" t="s">
        <v>2111</v>
      </c>
      <c r="AH9" t="s">
        <v>2112</v>
      </c>
      <c r="AI9" t="s">
        <v>2113</v>
      </c>
      <c r="AJ9" t="s">
        <v>2114</v>
      </c>
      <c r="AK9" t="s">
        <v>2115</v>
      </c>
      <c r="AL9" t="s">
        <v>2116</v>
      </c>
      <c r="AM9" t="s">
        <v>2117</v>
      </c>
      <c r="AN9" t="s">
        <v>170</v>
      </c>
      <c r="AO9" t="s">
        <v>2118</v>
      </c>
      <c r="AP9" t="s">
        <v>2119</v>
      </c>
      <c r="AQ9" t="s">
        <v>2120</v>
      </c>
      <c r="AR9" t="s">
        <v>2121</v>
      </c>
      <c r="AS9" t="s">
        <v>185</v>
      </c>
      <c r="AT9" t="s">
        <v>2122</v>
      </c>
      <c r="AU9" t="s">
        <v>2123</v>
      </c>
      <c r="AV9" t="s">
        <v>2124</v>
      </c>
      <c r="AW9" t="s">
        <v>2125</v>
      </c>
      <c r="AX9" t="s">
        <v>2126</v>
      </c>
      <c r="AY9" t="s">
        <v>2127</v>
      </c>
      <c r="AZ9" t="s">
        <v>2128</v>
      </c>
      <c r="BA9" t="s">
        <v>2129</v>
      </c>
      <c r="BB9" t="s">
        <v>2130</v>
      </c>
      <c r="BC9" t="s">
        <v>2131</v>
      </c>
      <c r="BD9" t="s">
        <v>2132</v>
      </c>
      <c r="BE9" t="s">
        <v>2133</v>
      </c>
      <c r="BF9" t="s">
        <v>2134</v>
      </c>
      <c r="BG9" t="s">
        <v>2135</v>
      </c>
      <c r="BH9" t="s">
        <v>2136</v>
      </c>
      <c r="BI9" t="s">
        <v>2137</v>
      </c>
      <c r="BJ9" t="s">
        <v>2138</v>
      </c>
      <c r="BK9" t="s">
        <v>2139</v>
      </c>
      <c r="BL9" t="s">
        <v>2140</v>
      </c>
      <c r="BM9" t="s">
        <v>2141</v>
      </c>
      <c r="BN9" t="s">
        <v>2142</v>
      </c>
      <c r="BO9">
        <v>1.85</v>
      </c>
      <c r="BP9">
        <v>5.31</v>
      </c>
      <c r="BQ9">
        <v>4.8600000000000003</v>
      </c>
      <c r="BR9">
        <v>3.38</v>
      </c>
      <c r="BS9">
        <v>9.0500000000000007</v>
      </c>
      <c r="BT9">
        <v>8.93</v>
      </c>
      <c r="BU9" t="s">
        <v>2143</v>
      </c>
      <c r="BV9" t="s">
        <v>2144</v>
      </c>
      <c r="BW9">
        <v>9.27</v>
      </c>
      <c r="BX9">
        <v>10.62</v>
      </c>
      <c r="BY9">
        <v>11.35</v>
      </c>
      <c r="BZ9">
        <v>2.59</v>
      </c>
      <c r="CA9">
        <v>2.3199999999999998</v>
      </c>
      <c r="CB9">
        <v>2.34</v>
      </c>
      <c r="CC9">
        <v>0.6</v>
      </c>
      <c r="CD9">
        <v>2.74</v>
      </c>
      <c r="CE9" t="s">
        <v>2145</v>
      </c>
      <c r="CF9" t="s">
        <v>2146</v>
      </c>
      <c r="CG9" s="26">
        <v>0.23204317427347415</v>
      </c>
      <c r="CH9" s="27">
        <v>0.15254534606205136</v>
      </c>
      <c r="CI9" s="26">
        <v>0.18398350477218628</v>
      </c>
      <c r="CJ9" s="26">
        <v>0.2510702908039093</v>
      </c>
      <c r="CK9" s="26">
        <v>0.18154191970825195</v>
      </c>
      <c r="CL9" s="26">
        <v>0.16959266364574432</v>
      </c>
      <c r="CM9" s="26">
        <v>0.1866188645362854</v>
      </c>
      <c r="CN9" s="27">
        <v>0.22650745511054993</v>
      </c>
      <c r="CO9" s="27">
        <v>6.5250560641288757E-2</v>
      </c>
      <c r="CP9" s="27">
        <v>0.19121214747428894</v>
      </c>
      <c r="CQ9" s="27">
        <v>3.5781584680080414E-2</v>
      </c>
      <c r="CR9" s="27">
        <v>5.1311589777469635E-2</v>
      </c>
      <c r="CS9">
        <v>9.2282947169645606</v>
      </c>
      <c r="CT9">
        <v>0.47431260298194494</v>
      </c>
      <c r="CU9">
        <v>2.4556213017751478</v>
      </c>
      <c r="CV9" s="26">
        <v>0.19456144869327546</v>
      </c>
      <c r="CW9" s="27">
        <v>0.11401266753673553</v>
      </c>
      <c r="CX9">
        <v>0.06</v>
      </c>
      <c r="CY9">
        <v>34.705912660279161</v>
      </c>
      <c r="CZ9">
        <v>11575976604.695589</v>
      </c>
      <c r="DA9">
        <v>0.19456144869327546</v>
      </c>
      <c r="DB9">
        <v>10.391769203298093</v>
      </c>
      <c r="DC9">
        <v>38660869495.878799</v>
      </c>
      <c r="DD9">
        <v>0.18483337625861168</v>
      </c>
      <c r="DE9">
        <v>4.5311977757244719</v>
      </c>
      <c r="DF9">
        <v>88664157444.720078</v>
      </c>
      <c r="DG9">
        <v>0.17121407485008242</v>
      </c>
      <c r="DH9">
        <v>2.3586157165748824</v>
      </c>
      <c r="DI9">
        <v>170335010564.3396</v>
      </c>
      <c r="DJ9">
        <v>0.15564915895462039</v>
      </c>
      <c r="DK9">
        <v>0.87195673587189149</v>
      </c>
      <c r="DL9">
        <v>460750879570.04565</v>
      </c>
      <c r="DM9">
        <v>0.1361930140852928</v>
      </c>
      <c r="DN9">
        <v>10272000000</v>
      </c>
      <c r="DO9">
        <v>0.19456144869327546</v>
      </c>
      <c r="DP9">
        <v>401754833000</v>
      </c>
      <c r="DQ9">
        <v>57750180000</v>
      </c>
      <c r="DR9">
        <v>3760</v>
      </c>
      <c r="DS9">
        <v>3.7481725580198688E-2</v>
      </c>
      <c r="DT9">
        <v>3.8532678525315833E-2</v>
      </c>
      <c r="DU9" s="28">
        <v>0.22666666666666657</v>
      </c>
      <c r="DV9">
        <v>0.52</v>
      </c>
      <c r="DW9">
        <v>0.74666666666666659</v>
      </c>
      <c r="DX9">
        <v>1.0274000000000001</v>
      </c>
      <c r="DY9">
        <v>0.5975690563523065</v>
      </c>
      <c r="DZ9">
        <v>1.0065093921440531</v>
      </c>
      <c r="EA9">
        <v>637</v>
      </c>
      <c r="EB9">
        <v>1.0056988990252569</v>
      </c>
      <c r="EC9">
        <v>1</v>
      </c>
      <c r="ED9">
        <v>3.9423616116470779E-2</v>
      </c>
      <c r="EE9">
        <v>0.16594591900188863</v>
      </c>
      <c r="EF9" s="29">
        <v>1.0610999999999999</v>
      </c>
      <c r="EG9">
        <v>1.0915999999999999</v>
      </c>
      <c r="EH9">
        <v>36.237569056352307</v>
      </c>
      <c r="EI9" t="s">
        <v>209</v>
      </c>
      <c r="EJ9">
        <v>0</v>
      </c>
      <c r="EK9">
        <v>1</v>
      </c>
      <c r="EL9" s="30">
        <v>45385</v>
      </c>
      <c r="EM9" s="31">
        <v>2.08</v>
      </c>
      <c r="EN9" s="31">
        <v>-2.04</v>
      </c>
      <c r="EO9" s="31">
        <v>0.3</v>
      </c>
      <c r="EP9" s="31">
        <v>-2.67</v>
      </c>
      <c r="EQ9" s="31">
        <v>3.05</v>
      </c>
    </row>
    <row r="10" spans="1:147" ht="96">
      <c r="B10" s="24"/>
      <c r="C10" s="24"/>
      <c r="D10" s="24" t="s">
        <v>2190</v>
      </c>
      <c r="E10" t="s">
        <v>1799</v>
      </c>
      <c r="F10" t="s">
        <v>1800</v>
      </c>
      <c r="G10">
        <v>7.87</v>
      </c>
      <c r="H10">
        <v>1.1599999999999999</v>
      </c>
      <c r="I10" t="s">
        <v>1801</v>
      </c>
      <c r="J10">
        <v>68588632000</v>
      </c>
      <c r="K10">
        <v>5.92</v>
      </c>
      <c r="L10">
        <v>1.54</v>
      </c>
      <c r="M10" t="s">
        <v>1781</v>
      </c>
      <c r="N10" t="s">
        <v>2148</v>
      </c>
      <c r="O10" t="s">
        <v>2149</v>
      </c>
      <c r="P10" t="s">
        <v>2150</v>
      </c>
      <c r="Q10">
        <v>3.38</v>
      </c>
      <c r="R10" t="s">
        <v>2151</v>
      </c>
      <c r="S10">
        <v>7753986700</v>
      </c>
      <c r="T10" s="25">
        <v>5.0500000000000003E-2</v>
      </c>
      <c r="U10" t="s">
        <v>2152</v>
      </c>
      <c r="V10">
        <v>6639298500</v>
      </c>
      <c r="W10">
        <v>8715578200</v>
      </c>
      <c r="X10">
        <v>4.62</v>
      </c>
      <c r="Y10">
        <v>0.41</v>
      </c>
      <c r="Z10">
        <v>8.73</v>
      </c>
      <c r="AA10" t="s">
        <v>2153</v>
      </c>
      <c r="AB10" t="s">
        <v>2154</v>
      </c>
      <c r="AC10" t="s">
        <v>2155</v>
      </c>
      <c r="AD10" t="s">
        <v>2156</v>
      </c>
      <c r="AE10" t="s">
        <v>2157</v>
      </c>
      <c r="AF10">
        <v>1983787200</v>
      </c>
      <c r="AG10" t="s">
        <v>2158</v>
      </c>
      <c r="AH10" t="s">
        <v>2159</v>
      </c>
      <c r="AI10" t="s">
        <v>2160</v>
      </c>
      <c r="AJ10" t="s">
        <v>2161</v>
      </c>
      <c r="AK10" t="s">
        <v>2162</v>
      </c>
      <c r="AL10" t="s">
        <v>2163</v>
      </c>
      <c r="AM10" t="s">
        <v>2164</v>
      </c>
      <c r="AN10" t="s">
        <v>170</v>
      </c>
      <c r="AO10" t="s">
        <v>2165</v>
      </c>
      <c r="AP10" t="s">
        <v>1012</v>
      </c>
      <c r="AQ10" t="s">
        <v>2166</v>
      </c>
      <c r="AR10" t="s">
        <v>2167</v>
      </c>
      <c r="AS10" t="s">
        <v>170</v>
      </c>
      <c r="AT10" t="s">
        <v>2168</v>
      </c>
      <c r="AU10" t="s">
        <v>2169</v>
      </c>
      <c r="AV10" t="s">
        <v>2170</v>
      </c>
      <c r="AW10" t="s">
        <v>2171</v>
      </c>
      <c r="AX10" t="s">
        <v>2172</v>
      </c>
      <c r="AY10" t="s">
        <v>2173</v>
      </c>
      <c r="AZ10" t="s">
        <v>2174</v>
      </c>
      <c r="BA10" t="s">
        <v>2175</v>
      </c>
      <c r="BB10" t="s">
        <v>2176</v>
      </c>
      <c r="BC10" t="s">
        <v>2177</v>
      </c>
      <c r="BD10" t="s">
        <v>2178</v>
      </c>
      <c r="BE10" t="s">
        <v>2179</v>
      </c>
      <c r="BF10" t="s">
        <v>1247</v>
      </c>
      <c r="BG10" t="s">
        <v>2180</v>
      </c>
      <c r="BH10" t="s">
        <v>2181</v>
      </c>
      <c r="BI10" t="s">
        <v>2182</v>
      </c>
      <c r="BJ10" t="s">
        <v>2183</v>
      </c>
      <c r="BK10" t="s">
        <v>2184</v>
      </c>
      <c r="BL10" t="s">
        <v>2185</v>
      </c>
      <c r="BM10" t="s">
        <v>2186</v>
      </c>
      <c r="BN10" t="s">
        <v>2187</v>
      </c>
      <c r="BO10">
        <v>3.1</v>
      </c>
      <c r="BP10">
        <v>9.64</v>
      </c>
      <c r="BQ10">
        <v>7.45</v>
      </c>
      <c r="BR10">
        <v>6.32</v>
      </c>
      <c r="BS10">
        <v>22.36</v>
      </c>
      <c r="BT10">
        <v>16.96</v>
      </c>
      <c r="BU10" t="s">
        <v>2188</v>
      </c>
      <c r="BV10" t="s">
        <v>1916</v>
      </c>
      <c r="BW10">
        <v>16.079999999999998</v>
      </c>
      <c r="BX10">
        <v>16.14</v>
      </c>
      <c r="BY10">
        <v>14.8</v>
      </c>
      <c r="BZ10">
        <v>8.6</v>
      </c>
      <c r="CA10">
        <v>6.7</v>
      </c>
      <c r="CB10">
        <v>4.99</v>
      </c>
      <c r="CC10">
        <v>6.35</v>
      </c>
      <c r="CD10">
        <v>-5.97</v>
      </c>
      <c r="CE10" t="s">
        <v>306</v>
      </c>
      <c r="CF10" t="s">
        <v>2189</v>
      </c>
      <c r="CG10" s="26">
        <v>-0.22740837608557155</v>
      </c>
      <c r="CH10" s="27">
        <v>-0.24632961634994621</v>
      </c>
      <c r="CI10" s="26">
        <v>0.31786489486694336</v>
      </c>
      <c r="CJ10" s="26">
        <v>0.58836841583251953</v>
      </c>
      <c r="CK10" s="26">
        <v>0.224561408162117</v>
      </c>
      <c r="CL10" s="26">
        <v>0.31749910116195679</v>
      </c>
      <c r="CM10" s="26">
        <v>0.22146935760974884</v>
      </c>
      <c r="CN10" s="27">
        <v>0.67308259010314941</v>
      </c>
      <c r="CO10" s="27">
        <v>1.2265782356262207</v>
      </c>
      <c r="CP10" s="27">
        <v>0.76850754022598267</v>
      </c>
      <c r="CQ10" s="27">
        <v>0.4522184431552887</v>
      </c>
      <c r="CR10" s="27">
        <v>0.10150375962257385</v>
      </c>
      <c r="CS10">
        <v>16.551976511281822</v>
      </c>
      <c r="CT10">
        <v>0.49563844540944169</v>
      </c>
      <c r="CU10">
        <v>11.562897077509529</v>
      </c>
      <c r="CV10" s="26">
        <v>0.3339526355266571</v>
      </c>
      <c r="CW10" s="27">
        <v>0.64437811374664311</v>
      </c>
      <c r="CX10">
        <v>0.06</v>
      </c>
      <c r="CY10">
        <v>14.133887510703001</v>
      </c>
      <c r="CZ10">
        <v>14110953681.283401</v>
      </c>
      <c r="DA10">
        <v>0.3339526355266571</v>
      </c>
      <c r="DB10">
        <v>3.7795416773388832</v>
      </c>
      <c r="DC10">
        <v>52768999266.711212</v>
      </c>
      <c r="DD10">
        <v>0.31725500375032423</v>
      </c>
      <c r="DE10">
        <v>1.3932028135990395</v>
      </c>
      <c r="DF10">
        <v>143154054853.49466</v>
      </c>
      <c r="DG10">
        <v>0.29387831926345825</v>
      </c>
      <c r="DH10">
        <v>0.5862358539903364</v>
      </c>
      <c r="DI10">
        <v>340208860721.24762</v>
      </c>
      <c r="DJ10">
        <v>0.26716210842132571</v>
      </c>
      <c r="DK10">
        <v>0.12637444121862498</v>
      </c>
      <c r="DL10">
        <v>1578188042429.9458</v>
      </c>
      <c r="DM10">
        <v>0.23376684486865995</v>
      </c>
      <c r="DN10">
        <v>11213000000</v>
      </c>
      <c r="DO10">
        <v>0.3339526355266571</v>
      </c>
      <c r="DP10">
        <v>199442632000</v>
      </c>
      <c r="DQ10">
        <v>29112730000</v>
      </c>
      <c r="DR10">
        <v>2880</v>
      </c>
      <c r="DS10">
        <v>-0.56136101161222862</v>
      </c>
      <c r="DT10">
        <v>-0.89070773009658932</v>
      </c>
      <c r="DU10" s="28">
        <v>0.22666666666666657</v>
      </c>
      <c r="DV10">
        <v>1.0166666666666666</v>
      </c>
      <c r="DW10">
        <v>1.2433333333333332</v>
      </c>
      <c r="DX10">
        <v>5.9401574803149604</v>
      </c>
      <c r="DY10">
        <v>0.44314136125654441</v>
      </c>
      <c r="DZ10">
        <v>5.1439769963309558</v>
      </c>
      <c r="EA10">
        <v>176</v>
      </c>
      <c r="EB10">
        <v>5.1390239174892338</v>
      </c>
      <c r="EC10">
        <v>5</v>
      </c>
      <c r="ED10">
        <v>1.3424238451557925E-2</v>
      </c>
      <c r="EE10">
        <v>8.7659129717865422E-2</v>
      </c>
      <c r="EF10" s="29">
        <v>4.1318999999999999</v>
      </c>
      <c r="EG10">
        <v>4.1435000000000004</v>
      </c>
      <c r="EH10">
        <v>29.153141361256544</v>
      </c>
      <c r="EI10" t="s">
        <v>202</v>
      </c>
      <c r="EJ10">
        <v>1</v>
      </c>
      <c r="EK10">
        <v>1</v>
      </c>
      <c r="EL10" s="30">
        <v>45385</v>
      </c>
      <c r="EM10" s="31">
        <v>0.41</v>
      </c>
      <c r="EN10" s="31">
        <v>2.02</v>
      </c>
      <c r="EO10" s="31">
        <v>2.5099999999999998</v>
      </c>
      <c r="EP10" s="31">
        <v>0.13</v>
      </c>
      <c r="EQ10" s="31">
        <v>1.1599999999999999</v>
      </c>
    </row>
    <row r="11" spans="1:147" ht="240">
      <c r="B11" s="24" t="s">
        <v>2191</v>
      </c>
      <c r="C11" s="24" t="s">
        <v>2192</v>
      </c>
      <c r="D11" s="24" t="s">
        <v>2236</v>
      </c>
      <c r="E11" t="s">
        <v>1802</v>
      </c>
      <c r="F11" t="s">
        <v>1803</v>
      </c>
      <c r="G11">
        <v>6.78</v>
      </c>
      <c r="H11">
        <v>0.3</v>
      </c>
      <c r="I11" t="s">
        <v>1804</v>
      </c>
      <c r="J11">
        <v>41422211000</v>
      </c>
      <c r="K11">
        <v>7.65</v>
      </c>
      <c r="L11">
        <v>0.74399999999999999</v>
      </c>
      <c r="M11" t="s">
        <v>1781</v>
      </c>
      <c r="N11" t="s">
        <v>2193</v>
      </c>
      <c r="O11" t="s">
        <v>2194</v>
      </c>
      <c r="P11" t="s">
        <v>2195</v>
      </c>
      <c r="Q11">
        <v>9.15</v>
      </c>
      <c r="R11" t="s">
        <v>2196</v>
      </c>
      <c r="S11">
        <v>3722741500</v>
      </c>
      <c r="T11" s="25">
        <v>7.5000000000000002E-4</v>
      </c>
      <c r="U11" t="s">
        <v>2197</v>
      </c>
      <c r="V11">
        <v>6049510600</v>
      </c>
      <c r="W11">
        <v>6109470600</v>
      </c>
      <c r="X11">
        <v>3.45</v>
      </c>
      <c r="Y11">
        <v>0.65</v>
      </c>
      <c r="Z11">
        <v>3.06</v>
      </c>
      <c r="AA11" t="s">
        <v>2198</v>
      </c>
      <c r="AB11" t="s">
        <v>2199</v>
      </c>
      <c r="AC11" t="s">
        <v>2200</v>
      </c>
      <c r="AD11" t="s">
        <v>2201</v>
      </c>
      <c r="AE11" t="s">
        <v>2202</v>
      </c>
      <c r="AF11">
        <v>-162148310</v>
      </c>
      <c r="AG11" t="s">
        <v>2203</v>
      </c>
      <c r="AH11" t="s">
        <v>2204</v>
      </c>
      <c r="AI11" t="s">
        <v>2205</v>
      </c>
      <c r="AJ11" t="s">
        <v>2206</v>
      </c>
      <c r="AK11" t="s">
        <v>2207</v>
      </c>
      <c r="AL11" t="s">
        <v>2208</v>
      </c>
      <c r="AM11" t="s">
        <v>2209</v>
      </c>
      <c r="AN11" t="s">
        <v>170</v>
      </c>
      <c r="AO11" t="s">
        <v>2210</v>
      </c>
      <c r="AP11" t="s">
        <v>2211</v>
      </c>
      <c r="AQ11" t="s">
        <v>2212</v>
      </c>
      <c r="AR11" t="s">
        <v>2213</v>
      </c>
      <c r="AS11" t="s">
        <v>2214</v>
      </c>
      <c r="AT11" t="s">
        <v>2215</v>
      </c>
      <c r="AU11" t="s">
        <v>2216</v>
      </c>
      <c r="AV11" t="s">
        <v>2125</v>
      </c>
      <c r="AW11" t="s">
        <v>2217</v>
      </c>
      <c r="AX11" t="s">
        <v>2218</v>
      </c>
      <c r="AY11" t="s">
        <v>2219</v>
      </c>
      <c r="AZ11" t="s">
        <v>2220</v>
      </c>
      <c r="BA11" t="s">
        <v>2221</v>
      </c>
      <c r="BB11" t="s">
        <v>2222</v>
      </c>
      <c r="BC11" t="s">
        <v>2223</v>
      </c>
      <c r="BD11" t="s">
        <v>2224</v>
      </c>
      <c r="BE11" t="s">
        <v>2225</v>
      </c>
      <c r="BF11" t="s">
        <v>2226</v>
      </c>
      <c r="BG11" t="s">
        <v>1241</v>
      </c>
      <c r="BH11" t="s">
        <v>2227</v>
      </c>
      <c r="BI11" t="s">
        <v>2228</v>
      </c>
      <c r="BJ11" t="s">
        <v>2229</v>
      </c>
      <c r="BK11" t="s">
        <v>2230</v>
      </c>
      <c r="BL11" t="s">
        <v>2231</v>
      </c>
      <c r="BM11" t="s">
        <v>2232</v>
      </c>
      <c r="BN11" t="s">
        <v>2233</v>
      </c>
      <c r="BO11">
        <v>1.75</v>
      </c>
      <c r="BP11">
        <v>7.87</v>
      </c>
      <c r="BQ11">
        <v>6.88</v>
      </c>
      <c r="BR11">
        <v>2.08</v>
      </c>
      <c r="BS11">
        <v>11.21</v>
      </c>
      <c r="BT11">
        <v>10.52</v>
      </c>
      <c r="BU11" t="s">
        <v>2234</v>
      </c>
      <c r="BV11" t="s">
        <v>2144</v>
      </c>
      <c r="BW11">
        <v>8.34</v>
      </c>
      <c r="BX11">
        <v>9.49</v>
      </c>
      <c r="BY11">
        <v>11.02</v>
      </c>
      <c r="BZ11">
        <v>3.51</v>
      </c>
      <c r="CA11">
        <v>3.64</v>
      </c>
      <c r="CB11">
        <v>3.51</v>
      </c>
      <c r="CC11">
        <v>3.67</v>
      </c>
      <c r="CD11">
        <v>1.5</v>
      </c>
      <c r="CE11" t="s">
        <v>1167</v>
      </c>
      <c r="CF11" t="s">
        <v>2235</v>
      </c>
      <c r="CG11" s="26">
        <v>-0.11375538614517766</v>
      </c>
      <c r="CH11" s="27">
        <v>-0.27475116713352038</v>
      </c>
      <c r="CI11" s="26">
        <v>0.15404002368450165</v>
      </c>
      <c r="CJ11" s="26">
        <v>0.25427338480949402</v>
      </c>
      <c r="CK11" s="26">
        <v>5.6310415267944336E-2</v>
      </c>
      <c r="CL11" s="26">
        <v>0.27229413390159607</v>
      </c>
      <c r="CM11" s="26">
        <v>0.39053457975387573</v>
      </c>
      <c r="CN11" s="27">
        <v>0.16878914833068848</v>
      </c>
      <c r="CO11" s="27">
        <v>0.26619291305541992</v>
      </c>
      <c r="CP11" s="27">
        <v>0.19536103308200836</v>
      </c>
      <c r="CQ11" s="27">
        <v>0.58436846733093262</v>
      </c>
      <c r="CR11" s="27">
        <v>0.24084784090518951</v>
      </c>
      <c r="CS11">
        <v>12.269006565631635</v>
      </c>
      <c r="CT11">
        <v>0.54410301801863503</v>
      </c>
      <c r="CU11">
        <v>2.6106194690265485</v>
      </c>
      <c r="CV11" s="26">
        <v>0.22549050748348237</v>
      </c>
      <c r="CW11" s="27">
        <v>0.2911118805408478</v>
      </c>
      <c r="CX11">
        <v>0.06</v>
      </c>
      <c r="CY11">
        <v>20.811780659247322</v>
      </c>
      <c r="CZ11">
        <v>6260406696.2481661</v>
      </c>
      <c r="DA11">
        <v>0.22549050748348237</v>
      </c>
      <c r="DB11">
        <v>6.0749840209438455</v>
      </c>
      <c r="DC11">
        <v>21447004724.756023</v>
      </c>
      <c r="DD11">
        <v>0.21421598210930826</v>
      </c>
      <c r="DE11">
        <v>2.5532182175266613</v>
      </c>
      <c r="DF11">
        <v>51029798434.625763</v>
      </c>
      <c r="DG11">
        <v>0.1984316465854645</v>
      </c>
      <c r="DH11">
        <v>1.2700358757937977</v>
      </c>
      <c r="DI11">
        <v>102587819354.76115</v>
      </c>
      <c r="DJ11">
        <v>0.18039240598678591</v>
      </c>
      <c r="DK11">
        <v>0.41955342975978427</v>
      </c>
      <c r="DL11">
        <v>310544978918.65118</v>
      </c>
      <c r="DM11">
        <v>0.15784335523843765</v>
      </c>
      <c r="DN11">
        <v>5415000000</v>
      </c>
      <c r="DO11">
        <v>0.22549050748348237</v>
      </c>
      <c r="DP11">
        <v>130290211000</v>
      </c>
      <c r="DQ11">
        <v>30823550000</v>
      </c>
      <c r="DR11">
        <v>3671</v>
      </c>
      <c r="DS11">
        <v>-0.33924589362866003</v>
      </c>
      <c r="DT11">
        <v>-0.56586304767436824</v>
      </c>
      <c r="DU11" s="28">
        <v>9.3333333333333268E-2</v>
      </c>
      <c r="DV11">
        <v>0.66666666666666663</v>
      </c>
      <c r="DW11">
        <v>0.7599999999999999</v>
      </c>
      <c r="DX11">
        <v>4.4087193460490459</v>
      </c>
      <c r="DY11">
        <v>0.29531803962460984</v>
      </c>
      <c r="DZ11">
        <v>4.0430455202825382</v>
      </c>
      <c r="EA11">
        <v>620</v>
      </c>
      <c r="EB11">
        <v>4.0378289013272655</v>
      </c>
      <c r="EC11">
        <v>4</v>
      </c>
      <c r="ED11">
        <v>3.3063421239804311E-2</v>
      </c>
      <c r="EE11">
        <v>0.31393882147497365</v>
      </c>
      <c r="EF11" s="29">
        <v>3.0409000000000002</v>
      </c>
      <c r="EG11">
        <v>3.0438999999999998</v>
      </c>
      <c r="EH11">
        <v>19.10531803962461</v>
      </c>
      <c r="EI11" t="s">
        <v>263</v>
      </c>
      <c r="EJ11">
        <v>0</v>
      </c>
      <c r="EK11">
        <v>1</v>
      </c>
      <c r="EL11" s="30">
        <v>45385</v>
      </c>
      <c r="EM11" s="31">
        <v>1.83</v>
      </c>
      <c r="EN11" s="31">
        <v>1.35</v>
      </c>
      <c r="EO11" s="31">
        <v>0.59</v>
      </c>
      <c r="EP11" s="31">
        <v>-0.44</v>
      </c>
      <c r="EQ11" s="31">
        <v>0.3</v>
      </c>
    </row>
    <row r="12" spans="1:147" ht="96">
      <c r="B12" s="24"/>
      <c r="C12" s="24"/>
      <c r="D12" s="24" t="s">
        <v>2280</v>
      </c>
      <c r="E12" t="s">
        <v>1805</v>
      </c>
      <c r="F12" t="s">
        <v>1806</v>
      </c>
      <c r="G12">
        <v>11.67</v>
      </c>
      <c r="H12">
        <v>-0.26</v>
      </c>
      <c r="I12" t="s">
        <v>1807</v>
      </c>
      <c r="J12">
        <v>30835844000</v>
      </c>
      <c r="K12">
        <v>10.58</v>
      </c>
      <c r="L12">
        <v>1.7</v>
      </c>
      <c r="M12" t="s">
        <v>1781</v>
      </c>
      <c r="N12" t="s">
        <v>2237</v>
      </c>
      <c r="O12" t="s">
        <v>2238</v>
      </c>
      <c r="P12" t="s">
        <v>2239</v>
      </c>
      <c r="Q12">
        <v>5.0599999999999996</v>
      </c>
      <c r="R12" t="s">
        <v>2240</v>
      </c>
      <c r="S12">
        <v>2001836300</v>
      </c>
      <c r="T12" s="25">
        <v>7.5300000000000006E-2</v>
      </c>
      <c r="U12" t="s">
        <v>2241</v>
      </c>
      <c r="V12">
        <v>1742598400</v>
      </c>
      <c r="W12">
        <v>2642317400</v>
      </c>
      <c r="X12">
        <v>2.69</v>
      </c>
      <c r="Y12">
        <v>0.65</v>
      </c>
      <c r="Z12">
        <v>6.88</v>
      </c>
      <c r="AA12" t="s">
        <v>2242</v>
      </c>
      <c r="AB12" t="s">
        <v>2243</v>
      </c>
      <c r="AC12" t="s">
        <v>2244</v>
      </c>
      <c r="AD12" t="s">
        <v>816</v>
      </c>
      <c r="AE12" t="s">
        <v>592</v>
      </c>
      <c r="AF12">
        <v>148555010</v>
      </c>
      <c r="AG12" t="s">
        <v>2245</v>
      </c>
      <c r="AH12" t="s">
        <v>2246</v>
      </c>
      <c r="AI12" t="s">
        <v>2247</v>
      </c>
      <c r="AJ12" t="s">
        <v>2248</v>
      </c>
      <c r="AK12" t="s">
        <v>2249</v>
      </c>
      <c r="AL12" t="s">
        <v>2250</v>
      </c>
      <c r="AM12" t="s">
        <v>2251</v>
      </c>
      <c r="AN12" t="s">
        <v>170</v>
      </c>
      <c r="AO12" t="s">
        <v>2252</v>
      </c>
      <c r="AP12" t="s">
        <v>2253</v>
      </c>
      <c r="AQ12" t="s">
        <v>2254</v>
      </c>
      <c r="AR12" t="s">
        <v>2255</v>
      </c>
      <c r="AS12" t="s">
        <v>2256</v>
      </c>
      <c r="AT12" t="s">
        <v>2257</v>
      </c>
      <c r="AU12" t="s">
        <v>2258</v>
      </c>
      <c r="AV12" t="s">
        <v>2259</v>
      </c>
      <c r="AW12" t="s">
        <v>2260</v>
      </c>
      <c r="AX12" t="s">
        <v>2261</v>
      </c>
      <c r="AY12" t="s">
        <v>2262</v>
      </c>
      <c r="AZ12" t="s">
        <v>2263</v>
      </c>
      <c r="BA12" t="s">
        <v>2264</v>
      </c>
      <c r="BB12" t="s">
        <v>2265</v>
      </c>
      <c r="BC12" t="s">
        <v>2266</v>
      </c>
      <c r="BD12" t="s">
        <v>2267</v>
      </c>
      <c r="BE12" t="s">
        <v>2268</v>
      </c>
      <c r="BF12" t="s">
        <v>2269</v>
      </c>
      <c r="BG12" t="s">
        <v>2270</v>
      </c>
      <c r="BH12" t="s">
        <v>2271</v>
      </c>
      <c r="BI12" t="s">
        <v>2272</v>
      </c>
      <c r="BJ12" t="s">
        <v>2273</v>
      </c>
      <c r="BK12" t="s">
        <v>2274</v>
      </c>
      <c r="BL12" t="s">
        <v>2270</v>
      </c>
      <c r="BM12" t="s">
        <v>2275</v>
      </c>
      <c r="BN12" t="s">
        <v>2276</v>
      </c>
      <c r="BO12">
        <v>2.85</v>
      </c>
      <c r="BP12">
        <v>11.1</v>
      </c>
      <c r="BQ12">
        <v>5.32</v>
      </c>
      <c r="BR12">
        <v>3.54</v>
      </c>
      <c r="BS12">
        <v>14.13</v>
      </c>
      <c r="BT12">
        <v>10.9</v>
      </c>
      <c r="BU12" t="s">
        <v>2277</v>
      </c>
      <c r="BV12" t="s">
        <v>2144</v>
      </c>
      <c r="BW12">
        <v>18.350000000000001</v>
      </c>
      <c r="BX12">
        <v>17.18</v>
      </c>
      <c r="BY12">
        <v>16.05</v>
      </c>
      <c r="BZ12">
        <v>7.16</v>
      </c>
      <c r="CA12">
        <v>5.61</v>
      </c>
      <c r="CB12">
        <v>4.97</v>
      </c>
      <c r="CC12">
        <v>4.29</v>
      </c>
      <c r="CD12">
        <v>3.09</v>
      </c>
      <c r="CE12" t="s">
        <v>2278</v>
      </c>
      <c r="CF12" t="s">
        <v>2279</v>
      </c>
      <c r="CG12" s="26">
        <v>0.18139685276999395</v>
      </c>
      <c r="CH12" s="27">
        <v>9.6602595155709348E-2</v>
      </c>
      <c r="CI12" s="26">
        <v>6.2515370547771454E-2</v>
      </c>
      <c r="CJ12" s="26">
        <v>0.19637830555438995</v>
      </c>
      <c r="CK12" s="26">
        <v>0.25289246439933777</v>
      </c>
      <c r="CL12" s="26">
        <v>0.1336216926574707</v>
      </c>
      <c r="CM12" s="26">
        <v>9.957035630941391E-2</v>
      </c>
      <c r="CN12" s="27">
        <v>0.21081671118736267</v>
      </c>
      <c r="CO12" s="27">
        <v>0.19132155179977417</v>
      </c>
      <c r="CP12" s="27">
        <v>-4.4598031789064407E-2</v>
      </c>
      <c r="CQ12" s="27">
        <v>0.16374269127845764</v>
      </c>
      <c r="CR12" s="27">
        <v>0.40020471811294556</v>
      </c>
      <c r="CS12">
        <v>19.549351648351649</v>
      </c>
      <c r="CT12">
        <v>1.3120754355440969</v>
      </c>
      <c r="CU12">
        <v>2.5706940874035991</v>
      </c>
      <c r="CV12" s="26">
        <v>0.14899563789367676</v>
      </c>
      <c r="CW12" s="27">
        <v>0.18429752811789513</v>
      </c>
      <c r="CX12">
        <v>0.06</v>
      </c>
      <c r="CY12">
        <v>18.654346163917868</v>
      </c>
      <c r="CZ12">
        <v>2378204178.8101196</v>
      </c>
      <c r="DA12">
        <v>0.14899563789367676</v>
      </c>
      <c r="DB12">
        <v>5.8009814392673933</v>
      </c>
      <c r="DC12">
        <v>7647644534.7156143</v>
      </c>
      <c r="DD12">
        <v>0.14154585599899291</v>
      </c>
      <c r="DE12">
        <v>2.6685137304689546</v>
      </c>
      <c r="DF12">
        <v>16624926262.681684</v>
      </c>
      <c r="DG12">
        <v>0.13111616134643556</v>
      </c>
      <c r="DH12">
        <v>1.4815375705181655</v>
      </c>
      <c r="DI12">
        <v>29944460999.719238</v>
      </c>
      <c r="DJ12">
        <v>0.11919651031494141</v>
      </c>
      <c r="DK12">
        <v>0.63979081393307768</v>
      </c>
      <c r="DL12">
        <v>69341170635.564133</v>
      </c>
      <c r="DM12">
        <v>0.10429694652557372</v>
      </c>
      <c r="DN12">
        <v>2194000000</v>
      </c>
      <c r="DO12">
        <v>0.14899563789367676</v>
      </c>
      <c r="DP12">
        <v>44363844000</v>
      </c>
      <c r="DQ12">
        <v>8609582000</v>
      </c>
      <c r="DR12">
        <v>3601</v>
      </c>
      <c r="DS12">
        <v>3.2401214876317197E-2</v>
      </c>
      <c r="DT12">
        <v>-8.7694932962185779E-2</v>
      </c>
      <c r="DU12" s="28">
        <v>-0.15666666666666665</v>
      </c>
      <c r="DV12">
        <v>0.53333333333333333</v>
      </c>
      <c r="DW12">
        <v>0.37666666666666671</v>
      </c>
      <c r="DX12">
        <v>4.72027972027972</v>
      </c>
      <c r="DY12">
        <v>0.33051517142857306</v>
      </c>
      <c r="DZ12">
        <v>4.1084130255744258</v>
      </c>
      <c r="EA12">
        <v>1312</v>
      </c>
      <c r="EB12">
        <v>4.0806104670221099</v>
      </c>
      <c r="EC12">
        <v>4</v>
      </c>
      <c r="ED12">
        <v>3.1899460677963974E-2</v>
      </c>
      <c r="EE12">
        <v>0.21193517478256019</v>
      </c>
      <c r="EF12" s="29">
        <v>1.1383000000000001</v>
      </c>
      <c r="EG12">
        <v>1.1356999999999999</v>
      </c>
      <c r="EH12">
        <v>18.150515171428573</v>
      </c>
      <c r="EI12" t="s">
        <v>209</v>
      </c>
      <c r="EJ12">
        <v>0</v>
      </c>
      <c r="EK12">
        <v>1</v>
      </c>
      <c r="EL12" s="30">
        <v>45385</v>
      </c>
      <c r="EM12" s="31">
        <v>1.43</v>
      </c>
      <c r="EN12" s="31">
        <v>-0.97</v>
      </c>
      <c r="EO12" s="31">
        <v>4.09</v>
      </c>
      <c r="EP12" s="31">
        <v>0</v>
      </c>
      <c r="EQ12" s="31">
        <v>-0.26</v>
      </c>
    </row>
    <row r="13" spans="1:147" ht="96">
      <c r="B13" s="24"/>
      <c r="C13" s="24"/>
      <c r="D13" s="24" t="s">
        <v>2323</v>
      </c>
      <c r="E13" t="s">
        <v>1808</v>
      </c>
      <c r="F13" t="s">
        <v>1809</v>
      </c>
      <c r="G13">
        <v>73</v>
      </c>
      <c r="H13">
        <v>0.75</v>
      </c>
      <c r="I13" t="s">
        <v>1810</v>
      </c>
      <c r="J13">
        <v>25716440000</v>
      </c>
      <c r="K13">
        <v>70.28</v>
      </c>
      <c r="L13">
        <v>12.2</v>
      </c>
      <c r="M13" t="s">
        <v>1781</v>
      </c>
      <c r="N13" t="s">
        <v>2281</v>
      </c>
      <c r="O13" t="s">
        <v>2282</v>
      </c>
      <c r="P13" t="s">
        <v>2283</v>
      </c>
      <c r="Q13">
        <v>9.0500000000000007</v>
      </c>
      <c r="R13" t="s">
        <v>2284</v>
      </c>
      <c r="S13">
        <v>253867140</v>
      </c>
      <c r="T13" s="25">
        <v>2.0569999999999999</v>
      </c>
      <c r="U13" t="s">
        <v>2285</v>
      </c>
      <c r="V13">
        <v>192074040</v>
      </c>
      <c r="W13">
        <v>352280000</v>
      </c>
      <c r="X13">
        <v>5.95</v>
      </c>
      <c r="Y13">
        <v>0.34</v>
      </c>
      <c r="Z13">
        <v>5.4</v>
      </c>
      <c r="AA13" t="s">
        <v>2286</v>
      </c>
      <c r="AB13" t="s">
        <v>2287</v>
      </c>
      <c r="AC13" t="s">
        <v>2288</v>
      </c>
      <c r="AD13" t="s">
        <v>2289</v>
      </c>
      <c r="AE13" t="s">
        <v>2290</v>
      </c>
      <c r="AF13">
        <v>55671747</v>
      </c>
      <c r="AG13" t="s">
        <v>2291</v>
      </c>
      <c r="AH13" t="s">
        <v>2292</v>
      </c>
      <c r="AI13" t="s">
        <v>2293</v>
      </c>
      <c r="AJ13" t="s">
        <v>2294</v>
      </c>
      <c r="AK13" t="s">
        <v>2295</v>
      </c>
      <c r="AL13" t="s">
        <v>2296</v>
      </c>
      <c r="AM13" t="s">
        <v>2297</v>
      </c>
      <c r="AN13" t="s">
        <v>170</v>
      </c>
      <c r="AO13" t="s">
        <v>1185</v>
      </c>
      <c r="AP13" t="s">
        <v>195</v>
      </c>
      <c r="AQ13" t="s">
        <v>2298</v>
      </c>
      <c r="AR13" t="s">
        <v>2299</v>
      </c>
      <c r="AS13" t="s">
        <v>2300</v>
      </c>
      <c r="AT13" t="s">
        <v>2301</v>
      </c>
      <c r="AU13" t="s">
        <v>2302</v>
      </c>
      <c r="AV13" t="s">
        <v>2303</v>
      </c>
      <c r="AW13" t="s">
        <v>2304</v>
      </c>
      <c r="AX13" t="s">
        <v>2305</v>
      </c>
      <c r="AY13" t="s">
        <v>2306</v>
      </c>
      <c r="AZ13" t="s">
        <v>2307</v>
      </c>
      <c r="BA13" t="s">
        <v>2308</v>
      </c>
      <c r="BB13" t="s">
        <v>2309</v>
      </c>
      <c r="BC13" t="s">
        <v>1535</v>
      </c>
      <c r="BD13" t="s">
        <v>224</v>
      </c>
      <c r="BE13" t="s">
        <v>2310</v>
      </c>
      <c r="BF13" t="s">
        <v>299</v>
      </c>
      <c r="BG13" t="s">
        <v>2311</v>
      </c>
      <c r="BH13" t="s">
        <v>2312</v>
      </c>
      <c r="BI13" t="s">
        <v>2313</v>
      </c>
      <c r="BJ13" t="s">
        <v>2314</v>
      </c>
      <c r="BK13" t="s">
        <v>2315</v>
      </c>
      <c r="BL13" t="s">
        <v>2316</v>
      </c>
      <c r="BM13" t="s">
        <v>2317</v>
      </c>
      <c r="BN13" t="s">
        <v>2318</v>
      </c>
      <c r="BO13">
        <v>0.84</v>
      </c>
      <c r="BP13">
        <v>6.94</v>
      </c>
      <c r="BQ13">
        <v>12.75</v>
      </c>
      <c r="BR13">
        <v>1.79</v>
      </c>
      <c r="BS13">
        <v>10.65</v>
      </c>
      <c r="BT13">
        <v>20.73</v>
      </c>
      <c r="BU13" t="s">
        <v>2319</v>
      </c>
      <c r="BV13" t="s">
        <v>1869</v>
      </c>
      <c r="BW13">
        <v>12.01</v>
      </c>
      <c r="BX13">
        <v>8.09</v>
      </c>
      <c r="BY13">
        <v>10.35</v>
      </c>
      <c r="BZ13">
        <v>3.16</v>
      </c>
      <c r="CA13">
        <v>2.62</v>
      </c>
      <c r="CB13">
        <v>4.83</v>
      </c>
      <c r="CC13">
        <v>-8.76</v>
      </c>
      <c r="CD13">
        <v>46.06</v>
      </c>
      <c r="CE13" t="s">
        <v>2320</v>
      </c>
      <c r="CF13" t="s">
        <v>2321</v>
      </c>
      <c r="CG13" s="26">
        <v>-4.2334096109839819E-2</v>
      </c>
      <c r="CH13" s="27">
        <v>9.7603388535544102</v>
      </c>
      <c r="CI13" s="26">
        <v>-6.2008374370634556E-3</v>
      </c>
      <c r="CJ13" s="26">
        <v>0.19501166045665741</v>
      </c>
      <c r="CK13" s="26">
        <v>0.67109638452529907</v>
      </c>
      <c r="CL13" s="26">
        <v>2.4742918014526367</v>
      </c>
      <c r="CM13" s="26">
        <v>0.66317623853683472</v>
      </c>
      <c r="CN13" s="27">
        <v>0.22085890173912048</v>
      </c>
      <c r="CO13" s="27">
        <v>-0.32365146279335022</v>
      </c>
      <c r="CP13" s="27">
        <v>1.2952381372451782</v>
      </c>
      <c r="CQ13" s="27">
        <v>0.91799390316009521</v>
      </c>
      <c r="CR13" s="27">
        <v>1.2438927888870239</v>
      </c>
      <c r="CS13">
        <v>196.02391894015551</v>
      </c>
      <c r="CT13">
        <v>2.4519078995781762</v>
      </c>
      <c r="CU13">
        <v>3.4246575342465752E-2</v>
      </c>
      <c r="CV13" s="26">
        <v>0.79947504950687287</v>
      </c>
      <c r="CW13" s="27">
        <v>0.67086645364761355</v>
      </c>
      <c r="CX13">
        <v>0.06</v>
      </c>
      <c r="CY13">
        <v>100.59747439995792</v>
      </c>
      <c r="CZ13">
        <v>337825976.27534688</v>
      </c>
      <c r="DA13">
        <v>0.79947504950687287</v>
      </c>
      <c r="DB13">
        <v>18.998923544177337</v>
      </c>
      <c r="DC13">
        <v>1788756079.8367085</v>
      </c>
      <c r="DD13">
        <v>0.75950129703152924</v>
      </c>
      <c r="DE13">
        <v>3.9750348612888864</v>
      </c>
      <c r="DF13">
        <v>8549469674.0799665</v>
      </c>
      <c r="DG13">
        <v>0.7035380435660481</v>
      </c>
      <c r="DH13">
        <v>0.78003842192871531</v>
      </c>
      <c r="DI13">
        <v>43567648778.082504</v>
      </c>
      <c r="DJ13">
        <v>0.63958003960549836</v>
      </c>
      <c r="DK13">
        <v>2.4205784264427228E-2</v>
      </c>
      <c r="DL13">
        <v>1403980124285.5603</v>
      </c>
      <c r="DM13">
        <v>0.559632534654811</v>
      </c>
      <c r="DN13">
        <v>199000000</v>
      </c>
      <c r="DO13">
        <v>0.79947504950687287</v>
      </c>
      <c r="DP13">
        <v>33984440000</v>
      </c>
      <c r="DQ13">
        <v>2043406699.999999</v>
      </c>
      <c r="DR13">
        <v>187</v>
      </c>
      <c r="DS13">
        <v>-0.84180914561671272</v>
      </c>
      <c r="DT13">
        <v>9.0894723999067963</v>
      </c>
      <c r="DU13" s="28">
        <v>0.66833333333333345</v>
      </c>
      <c r="DV13">
        <v>1.3166666666666664</v>
      </c>
      <c r="DW13">
        <v>1.9849999999999999</v>
      </c>
      <c r="DX13">
        <v>-7.159795695001824</v>
      </c>
      <c r="DY13">
        <v>0.30132352941176449</v>
      </c>
      <c r="DZ13">
        <v>-7.0193869777024274</v>
      </c>
      <c r="EA13">
        <v>30</v>
      </c>
      <c r="EB13">
        <v>-7.0192732933140238</v>
      </c>
      <c r="EC13">
        <v>7</v>
      </c>
      <c r="ED13">
        <v>0.56205291245600086</v>
      </c>
      <c r="EE13">
        <v>4.6326785511524919</v>
      </c>
      <c r="EF13" s="29">
        <v>9.1421100000000006</v>
      </c>
      <c r="EG13">
        <v>9.1346100000000003</v>
      </c>
      <c r="EH13">
        <v>18.121323529411764</v>
      </c>
      <c r="EI13" t="s">
        <v>2322</v>
      </c>
      <c r="EJ13">
        <v>0</v>
      </c>
      <c r="EK13">
        <v>1</v>
      </c>
      <c r="EL13" s="30">
        <v>45385</v>
      </c>
      <c r="EM13" s="31">
        <v>-1.76</v>
      </c>
      <c r="EN13" s="31">
        <v>-3.23</v>
      </c>
      <c r="EO13" s="31">
        <v>0.57999999999999996</v>
      </c>
      <c r="EP13" s="31">
        <v>-5.28</v>
      </c>
      <c r="EQ13" s="31">
        <v>0.75</v>
      </c>
    </row>
    <row r="14" spans="1:147" ht="156">
      <c r="B14" s="24"/>
      <c r="C14" s="24"/>
      <c r="D14" s="24" t="s">
        <v>2367</v>
      </c>
      <c r="E14" t="s">
        <v>1811</v>
      </c>
      <c r="F14" t="s">
        <v>1812</v>
      </c>
      <c r="G14">
        <v>7.18</v>
      </c>
      <c r="H14">
        <v>-0.69</v>
      </c>
      <c r="I14" t="s">
        <v>1813</v>
      </c>
      <c r="J14">
        <v>21671535000</v>
      </c>
      <c r="K14">
        <v>11.53</v>
      </c>
      <c r="L14">
        <v>1.18</v>
      </c>
      <c r="M14" t="s">
        <v>1781</v>
      </c>
      <c r="N14" t="s">
        <v>2324</v>
      </c>
      <c r="O14" t="s">
        <v>2325</v>
      </c>
      <c r="P14" t="s">
        <v>2326</v>
      </c>
      <c r="Q14">
        <v>1.7</v>
      </c>
      <c r="R14" t="s">
        <v>2327</v>
      </c>
      <c r="S14">
        <v>1411515700</v>
      </c>
      <c r="T14" s="25">
        <v>9.7699999999999995E-2</v>
      </c>
      <c r="U14" t="s">
        <v>2328</v>
      </c>
      <c r="V14">
        <v>2922645900</v>
      </c>
      <c r="W14">
        <v>3018871200</v>
      </c>
      <c r="X14">
        <v>5.63</v>
      </c>
      <c r="Y14">
        <v>0.38</v>
      </c>
      <c r="Z14">
        <v>2.4700000000000002</v>
      </c>
      <c r="AA14" t="s">
        <v>2329</v>
      </c>
      <c r="AB14" t="s">
        <v>2330</v>
      </c>
      <c r="AC14" t="s">
        <v>2331</v>
      </c>
      <c r="AD14" t="s">
        <v>2332</v>
      </c>
      <c r="AE14" t="s">
        <v>1439</v>
      </c>
      <c r="AF14">
        <v>1670647800</v>
      </c>
      <c r="AG14" t="s">
        <v>2333</v>
      </c>
      <c r="AH14" t="s">
        <v>2334</v>
      </c>
      <c r="AI14" t="s">
        <v>2335</v>
      </c>
      <c r="AJ14" t="s">
        <v>2336</v>
      </c>
      <c r="AK14" t="s">
        <v>2337</v>
      </c>
      <c r="AL14" t="s">
        <v>2338</v>
      </c>
      <c r="AM14" t="s">
        <v>2339</v>
      </c>
      <c r="AN14" t="s">
        <v>170</v>
      </c>
      <c r="AO14" t="s">
        <v>2340</v>
      </c>
      <c r="AP14" t="s">
        <v>2341</v>
      </c>
      <c r="AQ14" t="s">
        <v>2342</v>
      </c>
      <c r="AR14" t="s">
        <v>2343</v>
      </c>
      <c r="AS14" t="s">
        <v>170</v>
      </c>
      <c r="AT14" t="s">
        <v>2344</v>
      </c>
      <c r="AU14" t="s">
        <v>2345</v>
      </c>
      <c r="AV14" t="s">
        <v>2346</v>
      </c>
      <c r="AW14" t="s">
        <v>2347</v>
      </c>
      <c r="AX14" t="s">
        <v>2348</v>
      </c>
      <c r="AY14" t="s">
        <v>2349</v>
      </c>
      <c r="AZ14" t="s">
        <v>2350</v>
      </c>
      <c r="BA14" t="s">
        <v>2351</v>
      </c>
      <c r="BB14" t="s">
        <v>2352</v>
      </c>
      <c r="BC14" t="s">
        <v>2353</v>
      </c>
      <c r="BD14" t="s">
        <v>2157</v>
      </c>
      <c r="BE14" t="s">
        <v>2354</v>
      </c>
      <c r="BF14" t="s">
        <v>2355</v>
      </c>
      <c r="BG14" t="s">
        <v>2356</v>
      </c>
      <c r="BH14" t="s">
        <v>2357</v>
      </c>
      <c r="BI14" t="s">
        <v>2358</v>
      </c>
      <c r="BJ14" t="s">
        <v>2359</v>
      </c>
      <c r="BK14" t="s">
        <v>2360</v>
      </c>
      <c r="BL14" t="s">
        <v>2361</v>
      </c>
      <c r="BM14" t="s">
        <v>2362</v>
      </c>
      <c r="BN14" t="s">
        <v>2363</v>
      </c>
      <c r="BO14">
        <v>1.21</v>
      </c>
      <c r="BP14">
        <v>3.64</v>
      </c>
      <c r="BQ14">
        <v>3.54</v>
      </c>
      <c r="BR14">
        <v>2.91</v>
      </c>
      <c r="BS14">
        <v>10.77</v>
      </c>
      <c r="BT14">
        <v>10.52</v>
      </c>
      <c r="BU14" t="s">
        <v>2364</v>
      </c>
      <c r="BV14" t="s">
        <v>1916</v>
      </c>
      <c r="BW14">
        <v>9.64</v>
      </c>
      <c r="BX14">
        <v>9.94</v>
      </c>
      <c r="BY14">
        <v>9.5500000000000007</v>
      </c>
      <c r="BZ14">
        <v>2.2999999999999998</v>
      </c>
      <c r="CA14">
        <v>2.63</v>
      </c>
      <c r="CB14">
        <v>2.41</v>
      </c>
      <c r="CC14">
        <v>3.16</v>
      </c>
      <c r="CD14">
        <v>1.7</v>
      </c>
      <c r="CE14" t="s">
        <v>2365</v>
      </c>
      <c r="CF14" t="s">
        <v>2366</v>
      </c>
      <c r="CG14" s="26">
        <v>-1.8750765962661873E-2</v>
      </c>
      <c r="CH14" s="27">
        <v>0.14241876379690949</v>
      </c>
      <c r="CI14" s="26">
        <v>0.1841614693403244</v>
      </c>
      <c r="CJ14" s="26">
        <v>0.15000002086162567</v>
      </c>
      <c r="CK14" s="26">
        <v>0.14478009939193726</v>
      </c>
      <c r="CL14" s="26">
        <v>0.23830200731754303</v>
      </c>
      <c r="CM14" s="26">
        <v>0.13281425833702087</v>
      </c>
      <c r="CN14" s="27">
        <v>0.14481417834758759</v>
      </c>
      <c r="CO14" s="27">
        <v>0.12720583379268646</v>
      </c>
      <c r="CP14" s="27">
        <v>0.12676049768924713</v>
      </c>
      <c r="CQ14" s="27">
        <v>0.25598341226577759</v>
      </c>
      <c r="CR14" s="27">
        <v>0.12661196291446686</v>
      </c>
      <c r="CS14">
        <v>16.955171469552745</v>
      </c>
      <c r="CT14">
        <v>0.9972951467284048</v>
      </c>
      <c r="CU14">
        <v>1.1002785515320335</v>
      </c>
      <c r="CV14" s="26">
        <v>0.17001157104969025</v>
      </c>
      <c r="CW14" s="27">
        <v>0.15627517700195312</v>
      </c>
      <c r="CX14">
        <v>0.06</v>
      </c>
      <c r="CY14">
        <v>82.855336177837643</v>
      </c>
      <c r="CZ14">
        <v>1937141799.2379305</v>
      </c>
      <c r="DA14">
        <v>0.17001157104969025</v>
      </c>
      <c r="DB14">
        <v>25.31854168973598</v>
      </c>
      <c r="DC14">
        <v>6339327792.5271263</v>
      </c>
      <c r="DD14">
        <v>0.16151099249720574</v>
      </c>
      <c r="DE14">
        <v>11.364077460103175</v>
      </c>
      <c r="DF14">
        <v>14123674848.529482</v>
      </c>
      <c r="DG14">
        <v>0.14961018252372743</v>
      </c>
      <c r="DH14">
        <v>6.126740000395273</v>
      </c>
      <c r="DI14">
        <v>26197053406.810966</v>
      </c>
      <c r="DJ14">
        <v>0.13600925683975221</v>
      </c>
      <c r="DK14">
        <v>2.4669015204307971</v>
      </c>
      <c r="DL14">
        <v>65062400614.991432</v>
      </c>
      <c r="DM14">
        <v>0.11900809973478317</v>
      </c>
      <c r="DN14">
        <v>1755000000</v>
      </c>
      <c r="DO14">
        <v>0.17001157104969025</v>
      </c>
      <c r="DP14">
        <v>160502535000</v>
      </c>
      <c r="DQ14">
        <v>14079669999.999985</v>
      </c>
      <c r="DR14">
        <v>3757</v>
      </c>
      <c r="DS14">
        <v>-0.18876233701235212</v>
      </c>
      <c r="DT14">
        <v>-1.3856413205043633E-2</v>
      </c>
      <c r="DU14" s="28">
        <v>-6.6666666666666714E-3</v>
      </c>
      <c r="DV14">
        <v>0.11666666666666665</v>
      </c>
      <c r="DW14">
        <v>0.10999999999999999</v>
      </c>
      <c r="DX14">
        <v>4.537974683544304</v>
      </c>
      <c r="DY14">
        <v>0.30830463121783752</v>
      </c>
      <c r="DZ14">
        <v>4.0582651497057993</v>
      </c>
      <c r="EA14">
        <v>2013</v>
      </c>
      <c r="EB14">
        <v>4.035339476062763</v>
      </c>
      <c r="EC14">
        <v>4</v>
      </c>
      <c r="ED14">
        <v>2.0915632306538947E-2</v>
      </c>
      <c r="EE14">
        <v>0.1931185404663836</v>
      </c>
      <c r="EF14" s="29">
        <v>5.3910000000000007E-2</v>
      </c>
      <c r="EG14">
        <v>6.081000000000001E-2</v>
      </c>
      <c r="EH14">
        <v>20.108304631217838</v>
      </c>
      <c r="EI14">
        <v>-1</v>
      </c>
      <c r="EJ14">
        <v>0</v>
      </c>
      <c r="EK14">
        <v>0</v>
      </c>
      <c r="EL14" s="30">
        <v>45385</v>
      </c>
      <c r="EM14" s="31">
        <v>1.1499999999999999</v>
      </c>
      <c r="EN14" s="31">
        <v>1.56</v>
      </c>
      <c r="EO14" s="31">
        <v>1.1200000000000001</v>
      </c>
      <c r="EP14" s="31">
        <v>0</v>
      </c>
      <c r="EQ14" s="31">
        <v>-0.69</v>
      </c>
    </row>
    <row r="15" spans="1:147" ht="96">
      <c r="B15" s="24"/>
      <c r="C15" s="24"/>
      <c r="D15" s="24" t="s">
        <v>2411</v>
      </c>
      <c r="E15" t="s">
        <v>1814</v>
      </c>
      <c r="F15" t="s">
        <v>1815</v>
      </c>
      <c r="G15">
        <v>2.4</v>
      </c>
      <c r="H15">
        <v>1.27</v>
      </c>
      <c r="I15" t="s">
        <v>1816</v>
      </c>
      <c r="J15">
        <v>21326255000</v>
      </c>
      <c r="K15">
        <v>8.61</v>
      </c>
      <c r="L15">
        <v>0.70199999999999996</v>
      </c>
      <c r="M15" t="s">
        <v>1781</v>
      </c>
      <c r="N15" t="s">
        <v>2368</v>
      </c>
      <c r="O15" t="s">
        <v>2369</v>
      </c>
      <c r="P15" t="s">
        <v>2370</v>
      </c>
      <c r="Q15">
        <v>20.71</v>
      </c>
      <c r="R15" t="s">
        <v>2371</v>
      </c>
      <c r="S15">
        <v>1295660770</v>
      </c>
      <c r="T15" s="25">
        <v>6.4370000000000003</v>
      </c>
      <c r="U15" t="s">
        <v>2372</v>
      </c>
      <c r="V15">
        <v>8885939700</v>
      </c>
      <c r="W15">
        <v>8885939700</v>
      </c>
      <c r="X15">
        <v>6.86</v>
      </c>
      <c r="Y15">
        <v>0.61</v>
      </c>
      <c r="Z15">
        <v>0.6</v>
      </c>
      <c r="AA15" t="s">
        <v>2373</v>
      </c>
      <c r="AB15" t="s">
        <v>2374</v>
      </c>
      <c r="AC15" t="s">
        <v>2375</v>
      </c>
      <c r="AD15" t="s">
        <v>2376</v>
      </c>
      <c r="AE15" t="s">
        <v>2377</v>
      </c>
      <c r="AF15">
        <v>1810793100</v>
      </c>
      <c r="AG15" t="s">
        <v>2378</v>
      </c>
      <c r="AH15" t="s">
        <v>997</v>
      </c>
      <c r="AI15" t="s">
        <v>2379</v>
      </c>
      <c r="AJ15" t="s">
        <v>2380</v>
      </c>
      <c r="AK15" t="s">
        <v>2381</v>
      </c>
      <c r="AL15" t="s">
        <v>2382</v>
      </c>
      <c r="AM15" t="s">
        <v>2383</v>
      </c>
      <c r="AN15" t="s">
        <v>170</v>
      </c>
      <c r="AO15" t="s">
        <v>2384</v>
      </c>
      <c r="AP15" t="s">
        <v>2385</v>
      </c>
      <c r="AQ15" t="s">
        <v>2386</v>
      </c>
      <c r="AR15" t="s">
        <v>2387</v>
      </c>
      <c r="AS15" t="s">
        <v>2388</v>
      </c>
      <c r="AT15" t="s">
        <v>2389</v>
      </c>
      <c r="AU15" t="s">
        <v>2390</v>
      </c>
      <c r="AV15" t="s">
        <v>2391</v>
      </c>
      <c r="AW15" t="s">
        <v>2392</v>
      </c>
      <c r="AX15" t="s">
        <v>2393</v>
      </c>
      <c r="AY15" t="s">
        <v>2394</v>
      </c>
      <c r="AZ15" t="s">
        <v>2395</v>
      </c>
      <c r="BA15" t="s">
        <v>2396</v>
      </c>
      <c r="BB15" t="s">
        <v>2397</v>
      </c>
      <c r="BC15" t="s">
        <v>2398</v>
      </c>
      <c r="BD15" t="s">
        <v>2399</v>
      </c>
      <c r="BE15" t="s">
        <v>2400</v>
      </c>
      <c r="BF15" t="s">
        <v>2401</v>
      </c>
      <c r="BG15" t="s">
        <v>2402</v>
      </c>
      <c r="BH15" t="s">
        <v>2403</v>
      </c>
      <c r="BI15" t="s">
        <v>2404</v>
      </c>
      <c r="BJ15" t="s">
        <v>2405</v>
      </c>
      <c r="BK15" t="s">
        <v>2406</v>
      </c>
      <c r="BL15" t="s">
        <v>2407</v>
      </c>
      <c r="BM15" t="s">
        <v>244</v>
      </c>
      <c r="BN15" t="s">
        <v>2408</v>
      </c>
      <c r="BO15">
        <v>0.41</v>
      </c>
      <c r="BP15">
        <v>4.47</v>
      </c>
      <c r="BQ15">
        <v>3.99</v>
      </c>
      <c r="BR15">
        <v>0.63</v>
      </c>
      <c r="BS15">
        <v>11.09</v>
      </c>
      <c r="BT15">
        <v>11.11</v>
      </c>
      <c r="BU15" t="s">
        <v>2409</v>
      </c>
      <c r="BV15" t="s">
        <v>1869</v>
      </c>
      <c r="BW15">
        <v>8.1</v>
      </c>
      <c r="BX15">
        <v>9.43</v>
      </c>
      <c r="BY15">
        <v>9.67</v>
      </c>
      <c r="BZ15">
        <v>0.56999999999999995</v>
      </c>
      <c r="CA15">
        <v>1.44</v>
      </c>
      <c r="CB15">
        <v>1.39</v>
      </c>
      <c r="CC15">
        <v>3</v>
      </c>
      <c r="CD15">
        <v>-1.64</v>
      </c>
      <c r="CE15" t="s">
        <v>243</v>
      </c>
      <c r="CF15" t="s">
        <v>2410</v>
      </c>
      <c r="CG15" s="26">
        <v>-8.0816460059119744E-2</v>
      </c>
      <c r="CH15" s="27">
        <v>-0.52536431838170627</v>
      </c>
      <c r="CI15" s="26">
        <v>1.7726000398397446E-2</v>
      </c>
      <c r="CJ15" s="26">
        <v>0.21496839821338654</v>
      </c>
      <c r="CK15" s="26">
        <v>0.12569525837898254</v>
      </c>
      <c r="CL15" s="26">
        <v>0.20493593811988831</v>
      </c>
      <c r="CM15" s="26">
        <v>0.20032660663127899</v>
      </c>
      <c r="CN15" s="27">
        <v>-0.64022284746170044</v>
      </c>
      <c r="CO15" s="27">
        <v>0.12473884224891663</v>
      </c>
      <c r="CP15" s="27">
        <v>-0.14732819795608521</v>
      </c>
      <c r="CQ15" s="27">
        <v>0.41366901993751526</v>
      </c>
      <c r="CR15" s="27">
        <v>7.5851395726203918E-2</v>
      </c>
      <c r="CS15">
        <v>7.2007613956105798</v>
      </c>
      <c r="CT15">
        <v>0.47146864627544033</v>
      </c>
      <c r="CU15">
        <v>2.0833333333333335</v>
      </c>
      <c r="CV15" s="26">
        <v>0.15273044034838676</v>
      </c>
      <c r="CW15" s="27">
        <v>-3.4658357501029968E-2</v>
      </c>
      <c r="CX15">
        <v>0.06</v>
      </c>
      <c r="CY15">
        <v>189.12554655157135</v>
      </c>
      <c r="CZ15">
        <v>1474624978.4079361</v>
      </c>
      <c r="DA15">
        <v>0.15273044034838676</v>
      </c>
      <c r="DB15">
        <v>58.629691465313343</v>
      </c>
      <c r="DC15">
        <v>4756792130.9119835</v>
      </c>
      <c r="DD15">
        <v>0.14509391833096741</v>
      </c>
      <c r="DE15">
        <v>26.853159536654729</v>
      </c>
      <c r="DF15">
        <v>10385714746.874178</v>
      </c>
      <c r="DG15">
        <v>0.13440278750658036</v>
      </c>
      <c r="DH15">
        <v>14.831835704698822</v>
      </c>
      <c r="DI15">
        <v>18803421272.502773</v>
      </c>
      <c r="DJ15">
        <v>0.12218435227870941</v>
      </c>
      <c r="DK15">
        <v>6.3272210925959493</v>
      </c>
      <c r="DL15">
        <v>44077684487.168213</v>
      </c>
      <c r="DM15">
        <v>0.10691130824387073</v>
      </c>
      <c r="DN15">
        <v>1356000000</v>
      </c>
      <c r="DO15">
        <v>0.15273044034838676</v>
      </c>
      <c r="DP15">
        <v>278889255000</v>
      </c>
      <c r="DQ15">
        <v>33732780000</v>
      </c>
      <c r="DR15">
        <v>2978</v>
      </c>
      <c r="DS15">
        <v>-0.2335469004075065</v>
      </c>
      <c r="DT15">
        <v>-0.49070596088067631</v>
      </c>
      <c r="DU15" s="28">
        <v>-7.3333333333333403E-2</v>
      </c>
      <c r="DV15">
        <v>-0.21666666666666667</v>
      </c>
      <c r="DW15">
        <v>-0.29000000000000009</v>
      </c>
      <c r="DX15">
        <v>4.5466666666666669</v>
      </c>
      <c r="DY15">
        <v>0.52276544027775029</v>
      </c>
      <c r="DZ15">
        <v>4.0944451073518371</v>
      </c>
      <c r="EA15">
        <v>2913</v>
      </c>
      <c r="EB15">
        <v>4.0406689936466176</v>
      </c>
      <c r="EC15">
        <v>4</v>
      </c>
      <c r="ED15">
        <v>3.2410753361290533E-2</v>
      </c>
      <c r="EE15">
        <v>0.187599742546081</v>
      </c>
      <c r="EF15" s="29">
        <v>-1.0568</v>
      </c>
      <c r="EG15">
        <v>-1.0695000000000001</v>
      </c>
      <c r="EH15">
        <v>35.17276544027775</v>
      </c>
      <c r="EI15" t="s">
        <v>2055</v>
      </c>
      <c r="EJ15">
        <v>0</v>
      </c>
      <c r="EK15">
        <v>0</v>
      </c>
      <c r="EL15" s="30">
        <v>45385</v>
      </c>
      <c r="EM15" s="31">
        <v>0</v>
      </c>
      <c r="EN15" s="31">
        <v>0.43</v>
      </c>
      <c r="EO15" s="31">
        <v>1.28</v>
      </c>
      <c r="EP15" s="31">
        <v>0</v>
      </c>
      <c r="EQ15" s="31">
        <v>1.27</v>
      </c>
    </row>
    <row r="16" spans="1:147" ht="96">
      <c r="D16" s="24" t="s">
        <v>2448</v>
      </c>
      <c r="E16" t="s">
        <v>1817</v>
      </c>
      <c r="F16" t="s">
        <v>1818</v>
      </c>
      <c r="G16">
        <v>9.99</v>
      </c>
      <c r="H16">
        <v>-0.79</v>
      </c>
      <c r="I16" t="s">
        <v>1819</v>
      </c>
      <c r="J16">
        <v>20596468000</v>
      </c>
      <c r="K16">
        <v>11.66</v>
      </c>
      <c r="L16">
        <v>0.92300000000000004</v>
      </c>
      <c r="M16" t="s">
        <v>1781</v>
      </c>
      <c r="N16" t="s">
        <v>2412</v>
      </c>
      <c r="O16" t="s">
        <v>2413</v>
      </c>
      <c r="P16" t="s">
        <v>2414</v>
      </c>
      <c r="Q16" s="25">
        <v>-12.06</v>
      </c>
      <c r="R16" t="s">
        <v>2415</v>
      </c>
      <c r="S16">
        <v>543009300</v>
      </c>
      <c r="T16">
        <v>-0.35520000000000002</v>
      </c>
      <c r="U16" t="s">
        <v>2416</v>
      </c>
      <c r="V16">
        <v>776162690</v>
      </c>
      <c r="W16">
        <v>776290280</v>
      </c>
      <c r="X16">
        <v>1.37</v>
      </c>
      <c r="Y16">
        <v>0.45</v>
      </c>
      <c r="Z16">
        <v>11.12</v>
      </c>
      <c r="AA16" t="s">
        <v>2417</v>
      </c>
      <c r="AB16" t="s">
        <v>1258</v>
      </c>
      <c r="AC16" t="s">
        <v>2418</v>
      </c>
      <c r="AD16" t="s">
        <v>2419</v>
      </c>
      <c r="AE16" t="s">
        <v>170</v>
      </c>
      <c r="AF16">
        <v>-15540441</v>
      </c>
      <c r="AG16" t="s">
        <v>2420</v>
      </c>
      <c r="AH16" t="s">
        <v>2421</v>
      </c>
      <c r="AI16" t="s">
        <v>2422</v>
      </c>
      <c r="AJ16" t="s">
        <v>2423</v>
      </c>
      <c r="AK16" t="s">
        <v>2424</v>
      </c>
      <c r="AL16" t="s">
        <v>170</v>
      </c>
      <c r="AM16" t="s">
        <v>2425</v>
      </c>
      <c r="AN16" t="s">
        <v>170</v>
      </c>
      <c r="AO16" t="s">
        <v>316</v>
      </c>
      <c r="AP16" t="s">
        <v>1019</v>
      </c>
      <c r="AQ16" t="s">
        <v>2426</v>
      </c>
      <c r="AR16" t="s">
        <v>2427</v>
      </c>
      <c r="AS16" t="s">
        <v>170</v>
      </c>
      <c r="AT16" t="s">
        <v>2428</v>
      </c>
      <c r="AU16" t="s">
        <v>170</v>
      </c>
      <c r="AV16" t="s">
        <v>2429</v>
      </c>
      <c r="AW16" t="s">
        <v>2430</v>
      </c>
      <c r="AX16" t="s">
        <v>2431</v>
      </c>
      <c r="AY16" t="s">
        <v>2432</v>
      </c>
      <c r="AZ16" t="s">
        <v>2433</v>
      </c>
      <c r="BA16" t="s">
        <v>2434</v>
      </c>
      <c r="BB16" t="s">
        <v>2435</v>
      </c>
      <c r="BC16" t="s">
        <v>2436</v>
      </c>
      <c r="BD16" t="s">
        <v>1122</v>
      </c>
      <c r="BE16" t="s">
        <v>2437</v>
      </c>
      <c r="BF16" t="s">
        <v>2438</v>
      </c>
      <c r="BG16" t="s">
        <v>2439</v>
      </c>
      <c r="BH16" t="s">
        <v>881</v>
      </c>
      <c r="BI16" t="s">
        <v>2440</v>
      </c>
      <c r="BJ16" t="s">
        <v>2441</v>
      </c>
      <c r="BK16" t="s">
        <v>2442</v>
      </c>
      <c r="BL16" t="s">
        <v>273</v>
      </c>
      <c r="BM16" t="s">
        <v>2443</v>
      </c>
      <c r="BN16" t="s">
        <v>2444</v>
      </c>
      <c r="BO16">
        <v>0.01</v>
      </c>
      <c r="BP16">
        <v>11.05</v>
      </c>
      <c r="BQ16">
        <v>17.850000000000001</v>
      </c>
      <c r="BR16">
        <v>0.12</v>
      </c>
      <c r="BS16">
        <v>11.87</v>
      </c>
      <c r="BT16">
        <v>19.760000000000002</v>
      </c>
      <c r="BU16" t="s">
        <v>2445</v>
      </c>
      <c r="BV16" t="s">
        <v>2446</v>
      </c>
      <c r="BW16">
        <v>22.03</v>
      </c>
      <c r="BX16">
        <v>27.61</v>
      </c>
      <c r="BY16">
        <v>35.36</v>
      </c>
      <c r="BZ16">
        <v>8.02</v>
      </c>
      <c r="CA16">
        <v>13.4</v>
      </c>
      <c r="CB16">
        <v>19.82</v>
      </c>
      <c r="CC16">
        <v>8.35</v>
      </c>
      <c r="CD16" s="26">
        <v>4.17</v>
      </c>
      <c r="CE16" s="27" t="s">
        <v>2447</v>
      </c>
      <c r="CF16" s="26" t="s">
        <v>269</v>
      </c>
      <c r="CG16" s="26">
        <v>-6.8951773614985695E-2</v>
      </c>
      <c r="CH16" s="26">
        <v>-0.10291382352941192</v>
      </c>
      <c r="CI16" s="26">
        <v>3.9228487759828568E-2</v>
      </c>
      <c r="CJ16" s="26">
        <v>-1.7793115228414536E-2</v>
      </c>
      <c r="CK16" s="27">
        <v>0.1271100789308548</v>
      </c>
      <c r="CL16" s="27">
        <v>0.20017310976982117</v>
      </c>
      <c r="CM16" s="27">
        <v>-3.2501235604286194E-2</v>
      </c>
      <c r="CN16" s="27">
        <v>-0.20042194426059723</v>
      </c>
      <c r="CO16" s="27">
        <v>-0.34029224514961243</v>
      </c>
      <c r="CP16">
        <v>0.16450561583042145</v>
      </c>
      <c r="CQ16">
        <v>0.88396948575973511</v>
      </c>
      <c r="CR16">
        <v>0.13913042843341827</v>
      </c>
      <c r="CS16" s="26">
        <v>22.040094168004281</v>
      </c>
      <c r="CT16" s="27">
        <v>3.4849599281517643</v>
      </c>
      <c r="CU16">
        <v>0</v>
      </c>
      <c r="CV16">
        <v>6.3243465125560755E-2</v>
      </c>
      <c r="CW16">
        <v>0.12937826812267303</v>
      </c>
      <c r="CX16">
        <v>0.06</v>
      </c>
      <c r="CY16">
        <v>18.778250704721849</v>
      </c>
      <c r="CZ16">
        <v>760319383.5520519</v>
      </c>
      <c r="DA16">
        <v>6.3243465125560755E-2</v>
      </c>
      <c r="DB16">
        <v>6.2776070066938994</v>
      </c>
      <c r="DC16">
        <v>2274348805.9663081</v>
      </c>
      <c r="DD16">
        <v>6.0081291869282717E-2</v>
      </c>
      <c r="DE16">
        <v>3.1846714027005145</v>
      </c>
      <c r="DF16">
        <v>4483184038.3573313</v>
      </c>
      <c r="DG16">
        <v>5.5654249310493467E-2</v>
      </c>
      <c r="DH16">
        <v>1.9775531487293994</v>
      </c>
      <c r="DI16">
        <v>7219764489.8562841</v>
      </c>
      <c r="DJ16">
        <v>5.0594772100448604E-2</v>
      </c>
      <c r="DK16">
        <v>1.09777843424463</v>
      </c>
      <c r="DL16">
        <v>13005782910.851387</v>
      </c>
      <c r="DM16">
        <v>4.4270425587892528E-2</v>
      </c>
      <c r="DN16">
        <v>758000000</v>
      </c>
      <c r="DO16">
        <v>6.3243465125560755E-2</v>
      </c>
      <c r="DP16">
        <v>14277468000</v>
      </c>
      <c r="DQ16">
        <v>944506100</v>
      </c>
      <c r="DR16" s="28">
        <v>3410</v>
      </c>
      <c r="DS16">
        <v>-0.13219523874054645</v>
      </c>
      <c r="DT16">
        <v>-0.23229209165208495</v>
      </c>
      <c r="DU16">
        <v>-0.32333333333333336</v>
      </c>
      <c r="DV16">
        <v>-0.16999999999999996</v>
      </c>
      <c r="DW16">
        <v>-0.49333333333333329</v>
      </c>
      <c r="DX16">
        <v>5.4994011976047901</v>
      </c>
      <c r="DY16">
        <v>0.3733419213973791</v>
      </c>
      <c r="DZ16">
        <v>5.1165312349972547</v>
      </c>
      <c r="EA16">
        <v>3290</v>
      </c>
      <c r="EB16">
        <v>5.0415922664395989</v>
      </c>
      <c r="EC16" s="29">
        <v>5</v>
      </c>
      <c r="ED16" s="29">
        <v>6.8834173732021997E-2</v>
      </c>
      <c r="EE16">
        <v>0.29499274420903482</v>
      </c>
      <c r="EF16">
        <v>1.1069</v>
      </c>
      <c r="EG16">
        <v>1.099</v>
      </c>
      <c r="EH16">
        <v>14.233341921397379</v>
      </c>
      <c r="EI16" s="30" t="s">
        <v>209</v>
      </c>
      <c r="EJ16">
        <v>1</v>
      </c>
      <c r="EK16">
        <v>0</v>
      </c>
      <c r="EL16">
        <v>45385</v>
      </c>
      <c r="EM16">
        <v>2.71</v>
      </c>
      <c r="EN16">
        <v>3.06</v>
      </c>
      <c r="EO16" s="31">
        <v>3.89</v>
      </c>
      <c r="EP16" s="31">
        <v>-0.69</v>
      </c>
      <c r="EQ16" s="31">
        <v>-0.79</v>
      </c>
    </row>
    <row r="17" spans="2:147" ht="96">
      <c r="B17" s="24"/>
      <c r="C17" s="24"/>
      <c r="D17" s="24" t="s">
        <v>2488</v>
      </c>
      <c r="E17" t="s">
        <v>1820</v>
      </c>
      <c r="F17" t="s">
        <v>1821</v>
      </c>
      <c r="G17">
        <v>18.03</v>
      </c>
      <c r="H17">
        <v>-3.43</v>
      </c>
      <c r="I17" t="s">
        <v>1822</v>
      </c>
      <c r="J17">
        <v>20517405000</v>
      </c>
      <c r="K17">
        <v>229.7</v>
      </c>
      <c r="L17">
        <v>3.49</v>
      </c>
      <c r="M17" t="s">
        <v>1781</v>
      </c>
      <c r="N17" t="s">
        <v>2449</v>
      </c>
      <c r="O17" t="s">
        <v>2450</v>
      </c>
      <c r="P17" t="s">
        <v>2451</v>
      </c>
      <c r="Q17">
        <v>11.44</v>
      </c>
      <c r="R17" t="s">
        <v>2452</v>
      </c>
      <c r="S17">
        <v>-269797190</v>
      </c>
      <c r="T17" s="3">
        <v>0.48249999999999998</v>
      </c>
      <c r="U17" t="s">
        <v>1604</v>
      </c>
      <c r="V17">
        <v>644763810</v>
      </c>
      <c r="W17">
        <v>1137959230</v>
      </c>
      <c r="X17">
        <v>5.31</v>
      </c>
      <c r="Y17">
        <v>0.69</v>
      </c>
      <c r="Z17">
        <v>0.11</v>
      </c>
      <c r="AA17" t="s">
        <v>2453</v>
      </c>
      <c r="AB17" t="s">
        <v>2454</v>
      </c>
      <c r="AC17" t="s">
        <v>2455</v>
      </c>
      <c r="AD17" t="s">
        <v>571</v>
      </c>
      <c r="AE17" t="s">
        <v>2456</v>
      </c>
      <c r="AF17">
        <v>328654500</v>
      </c>
      <c r="AG17" t="s">
        <v>2457</v>
      </c>
      <c r="AH17" t="s">
        <v>2458</v>
      </c>
      <c r="AI17" t="s">
        <v>2459</v>
      </c>
      <c r="AJ17" t="s">
        <v>2460</v>
      </c>
      <c r="AK17" t="s">
        <v>2461</v>
      </c>
      <c r="AL17" t="s">
        <v>2462</v>
      </c>
      <c r="AM17" t="s">
        <v>2463</v>
      </c>
      <c r="AN17" t="s">
        <v>170</v>
      </c>
      <c r="AO17" t="s">
        <v>470</v>
      </c>
      <c r="AP17" t="s">
        <v>2464</v>
      </c>
      <c r="AQ17" t="s">
        <v>891</v>
      </c>
      <c r="AR17" t="s">
        <v>2465</v>
      </c>
      <c r="AS17" t="s">
        <v>2466</v>
      </c>
      <c r="AT17" t="s">
        <v>2467</v>
      </c>
      <c r="AU17" t="s">
        <v>2468</v>
      </c>
      <c r="AV17" t="s">
        <v>2469</v>
      </c>
      <c r="AW17" t="s">
        <v>2470</v>
      </c>
      <c r="AX17" t="s">
        <v>2471</v>
      </c>
      <c r="AY17" t="s">
        <v>2472</v>
      </c>
      <c r="AZ17" t="s">
        <v>2473</v>
      </c>
      <c r="BA17" t="s">
        <v>2474</v>
      </c>
      <c r="BB17" t="s">
        <v>2475</v>
      </c>
      <c r="BC17" t="s">
        <v>2476</v>
      </c>
      <c r="BD17" t="s">
        <v>488</v>
      </c>
      <c r="BE17" t="s">
        <v>2338</v>
      </c>
      <c r="BF17" t="s">
        <v>2477</v>
      </c>
      <c r="BG17" t="s">
        <v>233</v>
      </c>
      <c r="BH17" t="s">
        <v>2478</v>
      </c>
      <c r="BI17" t="s">
        <v>2479</v>
      </c>
      <c r="BJ17" t="s">
        <v>2480</v>
      </c>
      <c r="BK17" t="s">
        <v>2481</v>
      </c>
      <c r="BL17" t="s">
        <v>2482</v>
      </c>
      <c r="BM17" t="s">
        <v>2483</v>
      </c>
      <c r="BN17" t="s">
        <v>2484</v>
      </c>
      <c r="BO17">
        <v>0.64</v>
      </c>
      <c r="BP17">
        <v>8.7100000000000009</v>
      </c>
      <c r="BQ17">
        <v>2.3199999999999998</v>
      </c>
      <c r="BR17">
        <v>-0.96</v>
      </c>
      <c r="BS17">
        <v>7.98</v>
      </c>
      <c r="BT17">
        <v>9.7799999999999994</v>
      </c>
      <c r="BU17" t="s">
        <v>2485</v>
      </c>
      <c r="BV17" t="s">
        <v>2144</v>
      </c>
      <c r="BW17">
        <v>10.66</v>
      </c>
      <c r="BX17">
        <v>11.96</v>
      </c>
      <c r="BY17">
        <v>24.6</v>
      </c>
      <c r="BZ17">
        <v>0.42</v>
      </c>
      <c r="CA17">
        <v>2.6</v>
      </c>
      <c r="CB17">
        <v>12.43</v>
      </c>
      <c r="CC17">
        <v>1.58</v>
      </c>
      <c r="CD17">
        <v>3.15</v>
      </c>
      <c r="CE17" t="s">
        <v>306</v>
      </c>
      <c r="CF17" t="s">
        <v>2486</v>
      </c>
      <c r="CG17" s="26">
        <v>-1.0030928696815179E-3</v>
      </c>
      <c r="CH17" s="27">
        <v>0.39901895522388059</v>
      </c>
      <c r="CI17" s="26">
        <v>0.1567499190568924</v>
      </c>
      <c r="CJ17" s="26">
        <v>0.37669223546981812</v>
      </c>
      <c r="CK17" s="26">
        <v>20.357761383056641</v>
      </c>
      <c r="CL17" s="26">
        <v>-6.2461040914058685E-2</v>
      </c>
      <c r="CM17" s="26">
        <v>-0.14930921792984009</v>
      </c>
      <c r="CN17" s="27">
        <v>-1.4186046123504639</v>
      </c>
      <c r="CO17" s="27">
        <v>0.80841124057769775</v>
      </c>
      <c r="CP17" s="27">
        <v>0.5970149040222168</v>
      </c>
      <c r="CQ17" s="27">
        <v>0.25233644247055054</v>
      </c>
      <c r="CR17" s="27">
        <v>1.8655979633331299</v>
      </c>
      <c r="CS17">
        <v>171.61250704861507</v>
      </c>
      <c r="CT17">
        <v>0.41493522751672807</v>
      </c>
      <c r="CU17">
        <v>0.44370493621741541</v>
      </c>
      <c r="CV17" s="26">
        <v>4.1358866557478908</v>
      </c>
      <c r="CW17" s="27">
        <v>0.42095118761062622</v>
      </c>
      <c r="CX17">
        <v>0.06</v>
      </c>
      <c r="CY17" t="e">
        <v>#VALUE!</v>
      </c>
      <c r="CZ17" t="s">
        <v>1735</v>
      </c>
      <c r="DA17">
        <v>4.1358866557478908</v>
      </c>
      <c r="DB17" t="e">
        <v>#VALUE!</v>
      </c>
      <c r="DC17" t="s">
        <v>174</v>
      </c>
      <c r="DD17">
        <v>3.9290923229604959</v>
      </c>
      <c r="DE17" t="e">
        <v>#VALUE!</v>
      </c>
      <c r="DF17" t="s">
        <v>174</v>
      </c>
      <c r="DG17">
        <v>3.6395802570581441</v>
      </c>
      <c r="DH17" t="e">
        <v>#VALUE!</v>
      </c>
      <c r="DI17" t="s">
        <v>174</v>
      </c>
      <c r="DJ17">
        <v>3.308709324598313</v>
      </c>
      <c r="DK17" t="e">
        <v>#VALUE!</v>
      </c>
      <c r="DL17" t="s">
        <v>174</v>
      </c>
      <c r="DM17">
        <v>2.8951206590235232</v>
      </c>
      <c r="DN17">
        <v>-162000000</v>
      </c>
      <c r="DO17">
        <v>4.1358866557478908</v>
      </c>
      <c r="DP17">
        <v>57413405000</v>
      </c>
      <c r="DQ17">
        <v>8020584000</v>
      </c>
      <c r="DR17">
        <v>26</v>
      </c>
      <c r="DS17">
        <v>-4.1368897486175724</v>
      </c>
      <c r="DT17">
        <v>-2.1932232386745631E-2</v>
      </c>
      <c r="DU17" s="28">
        <v>0.30833333333333335</v>
      </c>
      <c r="DV17">
        <v>4.1666666666666741E-2</v>
      </c>
      <c r="DW17">
        <v>0.35000000000000009</v>
      </c>
      <c r="DX17">
        <v>1.0315000000000001</v>
      </c>
      <c r="DY17">
        <v>0.28913907284768203</v>
      </c>
      <c r="DZ17">
        <v>1.0040678807947019</v>
      </c>
      <c r="EA17">
        <v>1388</v>
      </c>
      <c r="EB17">
        <v>1.0029642415173277</v>
      </c>
      <c r="EC17">
        <v>1</v>
      </c>
      <c r="ED17">
        <v>0.1028156342648585</v>
      </c>
      <c r="EE17">
        <v>0.79616209097403257</v>
      </c>
      <c r="EF17" s="29">
        <v>-6.0449099999999998</v>
      </c>
      <c r="EG17">
        <v>-6.0792099999999998</v>
      </c>
      <c r="EH17">
        <v>16.129139072847682</v>
      </c>
      <c r="EI17" t="s">
        <v>2487</v>
      </c>
      <c r="EJ17">
        <v>0</v>
      </c>
      <c r="EK17">
        <v>1</v>
      </c>
      <c r="EL17" s="30">
        <v>45385</v>
      </c>
      <c r="EM17" s="31">
        <v>3.83</v>
      </c>
      <c r="EN17" s="31">
        <v>-1.84</v>
      </c>
      <c r="EO17" s="31">
        <v>6.58</v>
      </c>
      <c r="EP17" s="31">
        <v>-3.16</v>
      </c>
      <c r="EQ17" s="31">
        <v>-3.43</v>
      </c>
    </row>
    <row r="18" spans="2:147" ht="96">
      <c r="B18" s="24"/>
      <c r="C18" s="24"/>
      <c r="D18" s="24" t="s">
        <v>2528</v>
      </c>
      <c r="E18" t="s">
        <v>1823</v>
      </c>
      <c r="F18" t="s">
        <v>1824</v>
      </c>
      <c r="G18">
        <v>6.52</v>
      </c>
      <c r="H18">
        <v>1.0900000000000001</v>
      </c>
      <c r="I18" t="s">
        <v>1825</v>
      </c>
      <c r="J18">
        <v>20499507000</v>
      </c>
      <c r="K18">
        <v>7.02</v>
      </c>
      <c r="L18">
        <v>0.74299999999999999</v>
      </c>
      <c r="M18" t="s">
        <v>1781</v>
      </c>
      <c r="N18" t="s">
        <v>2489</v>
      </c>
      <c r="O18" t="s">
        <v>2490</v>
      </c>
      <c r="P18" t="s">
        <v>2491</v>
      </c>
      <c r="Q18">
        <v>9.0299999999999994</v>
      </c>
      <c r="R18" t="s">
        <v>2492</v>
      </c>
      <c r="S18">
        <v>1494230400</v>
      </c>
      <c r="T18" s="25">
        <v>8.0699999999999994E-2</v>
      </c>
      <c r="U18" t="s">
        <v>952</v>
      </c>
      <c r="V18">
        <v>3144096100</v>
      </c>
      <c r="W18">
        <v>3144096100</v>
      </c>
      <c r="X18">
        <v>4.4800000000000004</v>
      </c>
      <c r="Y18">
        <v>0.31</v>
      </c>
      <c r="Z18">
        <v>3.41</v>
      </c>
      <c r="AA18" t="s">
        <v>2493</v>
      </c>
      <c r="AB18" t="s">
        <v>2494</v>
      </c>
      <c r="AC18" t="s">
        <v>2495</v>
      </c>
      <c r="AD18" t="s">
        <v>930</v>
      </c>
      <c r="AE18" t="s">
        <v>2496</v>
      </c>
      <c r="AF18">
        <v>1143274450</v>
      </c>
      <c r="AG18" t="s">
        <v>2497</v>
      </c>
      <c r="AH18" t="s">
        <v>2498</v>
      </c>
      <c r="AI18" t="s">
        <v>2499</v>
      </c>
      <c r="AJ18" t="s">
        <v>1835</v>
      </c>
      <c r="AK18" t="s">
        <v>2500</v>
      </c>
      <c r="AL18" t="s">
        <v>2501</v>
      </c>
      <c r="AM18" t="s">
        <v>2502</v>
      </c>
      <c r="AN18" t="s">
        <v>170</v>
      </c>
      <c r="AO18" t="s">
        <v>2503</v>
      </c>
      <c r="AP18" t="s">
        <v>2504</v>
      </c>
      <c r="AQ18" t="s">
        <v>247</v>
      </c>
      <c r="AR18" t="s">
        <v>2505</v>
      </c>
      <c r="AS18" t="s">
        <v>170</v>
      </c>
      <c r="AT18" t="s">
        <v>2506</v>
      </c>
      <c r="AU18" t="s">
        <v>2507</v>
      </c>
      <c r="AV18" t="s">
        <v>2508</v>
      </c>
      <c r="AW18" t="s">
        <v>2509</v>
      </c>
      <c r="AX18" t="s">
        <v>2510</v>
      </c>
      <c r="AY18" t="s">
        <v>2511</v>
      </c>
      <c r="AZ18" t="s">
        <v>2512</v>
      </c>
      <c r="BA18" t="s">
        <v>2513</v>
      </c>
      <c r="BB18" t="s">
        <v>2514</v>
      </c>
      <c r="BC18" t="s">
        <v>2515</v>
      </c>
      <c r="BD18" t="s">
        <v>2516</v>
      </c>
      <c r="BE18" t="s">
        <v>1180</v>
      </c>
      <c r="BF18" t="s">
        <v>2517</v>
      </c>
      <c r="BG18" t="s">
        <v>2518</v>
      </c>
      <c r="BH18" t="s">
        <v>2519</v>
      </c>
      <c r="BI18" t="s">
        <v>2520</v>
      </c>
      <c r="BJ18" t="s">
        <v>2521</v>
      </c>
      <c r="BK18" t="s">
        <v>2522</v>
      </c>
      <c r="BL18" t="s">
        <v>2523</v>
      </c>
      <c r="BM18" t="s">
        <v>2524</v>
      </c>
      <c r="BN18" t="s">
        <v>2525</v>
      </c>
      <c r="BO18">
        <v>1.1000000000000001</v>
      </c>
      <c r="BP18">
        <v>6.06</v>
      </c>
      <c r="BQ18">
        <v>5.37</v>
      </c>
      <c r="BR18">
        <v>1.63</v>
      </c>
      <c r="BS18">
        <v>9.91</v>
      </c>
      <c r="BT18">
        <v>9.89</v>
      </c>
      <c r="BU18" t="s">
        <v>2526</v>
      </c>
      <c r="BV18" t="s">
        <v>1916</v>
      </c>
      <c r="BW18">
        <v>11.72</v>
      </c>
      <c r="BX18">
        <v>13.06</v>
      </c>
      <c r="BY18">
        <v>11.15</v>
      </c>
      <c r="BZ18">
        <v>3.63</v>
      </c>
      <c r="CA18">
        <v>3.9</v>
      </c>
      <c r="CB18">
        <v>4.2699999999999996</v>
      </c>
      <c r="CC18">
        <v>9.76</v>
      </c>
      <c r="CD18">
        <v>6.89</v>
      </c>
      <c r="CE18" t="s">
        <v>1729</v>
      </c>
      <c r="CF18" t="s">
        <v>2527</v>
      </c>
      <c r="CG18" s="26">
        <v>2.8956346776310034E-2</v>
      </c>
      <c r="CH18" s="27">
        <v>-0.15267011764705882</v>
      </c>
      <c r="CI18" s="26">
        <v>4.898269847035408E-2</v>
      </c>
      <c r="CJ18" s="26">
        <v>0.15203467011451721</v>
      </c>
      <c r="CK18" s="26">
        <v>0.15989519655704498</v>
      </c>
      <c r="CL18" s="26">
        <v>0.24961088597774506</v>
      </c>
      <c r="CM18" s="26">
        <v>0.1820719838142395</v>
      </c>
      <c r="CN18" s="27">
        <v>0.17384037375450134</v>
      </c>
      <c r="CO18" s="27">
        <v>5.8849528431892395E-2</v>
      </c>
      <c r="CP18" s="27">
        <v>1.8936038017272949E-2</v>
      </c>
      <c r="CQ18" s="27">
        <v>0.12076796591281891</v>
      </c>
      <c r="CR18" s="27">
        <v>9.3370199203491211E-2</v>
      </c>
      <c r="CS18">
        <v>9.1318614596480803</v>
      </c>
      <c r="CT18">
        <v>0.57607330657977107</v>
      </c>
      <c r="CU18">
        <v>4.1411042944785281</v>
      </c>
      <c r="CV18" s="26">
        <v>0.15851908698678016</v>
      </c>
      <c r="CW18" s="27">
        <v>9.3152821063995361E-2</v>
      </c>
      <c r="CX18">
        <v>0.06</v>
      </c>
      <c r="CY18">
        <v>34.383683473451669</v>
      </c>
      <c r="CZ18">
        <v>3070075580.514967</v>
      </c>
      <c r="DA18">
        <v>0.15851908698678016</v>
      </c>
      <c r="DB18">
        <v>10.607757659817588</v>
      </c>
      <c r="DC18">
        <v>9951255523.1031952</v>
      </c>
      <c r="DD18">
        <v>0.15059313263744115</v>
      </c>
      <c r="DE18">
        <v>4.8257645941344016</v>
      </c>
      <c r="DF18">
        <v>21874358962.371727</v>
      </c>
      <c r="DG18">
        <v>0.13949679654836655</v>
      </c>
      <c r="DH18">
        <v>2.6440474190588503</v>
      </c>
      <c r="DI18">
        <v>39923832772.096916</v>
      </c>
      <c r="DJ18">
        <v>0.12681526958942413</v>
      </c>
      <c r="DK18">
        <v>1.106569148473677</v>
      </c>
      <c r="DL18">
        <v>95394406346.501419</v>
      </c>
      <c r="DM18">
        <v>0.1109633608907461</v>
      </c>
      <c r="DN18">
        <v>2809000000</v>
      </c>
      <c r="DO18">
        <v>0.15851908698678016</v>
      </c>
      <c r="DP18">
        <v>105560507000</v>
      </c>
      <c r="DQ18">
        <v>-7297760000</v>
      </c>
      <c r="DR18">
        <v>3498</v>
      </c>
      <c r="DS18">
        <v>-0.12956274021047012</v>
      </c>
      <c r="DT18">
        <v>-0.24582293871105418</v>
      </c>
      <c r="DU18" s="28">
        <v>5.9999999999999908E-2</v>
      </c>
      <c r="DV18">
        <v>0.16666666666666666</v>
      </c>
      <c r="DW18">
        <v>0.22666666666666657</v>
      </c>
      <c r="DX18">
        <v>5.7059426229508192</v>
      </c>
      <c r="DY18">
        <v>0.39634920634920562</v>
      </c>
      <c r="DZ18">
        <v>5.1456706999739783</v>
      </c>
      <c r="EA18">
        <v>1711</v>
      </c>
      <c r="EB18">
        <v>5.0969524498458556</v>
      </c>
      <c r="EC18">
        <v>5</v>
      </c>
      <c r="ED18">
        <v>6.2021005019534864E-2</v>
      </c>
      <c r="EE18">
        <v>0.30056333201774588</v>
      </c>
      <c r="EF18" s="29">
        <v>3.1800000000000002E-2</v>
      </c>
      <c r="EG18">
        <v>4.2700000000000002E-2</v>
      </c>
      <c r="EH18">
        <v>19.206349206349206</v>
      </c>
      <c r="EI18" t="s">
        <v>184</v>
      </c>
      <c r="EJ18">
        <v>1</v>
      </c>
      <c r="EK18">
        <v>0</v>
      </c>
      <c r="EL18" s="30">
        <v>45385</v>
      </c>
      <c r="EM18" s="31">
        <v>0.84</v>
      </c>
      <c r="EN18" s="31">
        <v>1.84</v>
      </c>
      <c r="EO18" s="31">
        <v>5.08</v>
      </c>
      <c r="EP18" s="31">
        <v>0.62</v>
      </c>
      <c r="EQ18" s="31">
        <v>1.0900000000000001</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zoomScale="85" zoomScaleNormal="85" workbookViewId="0">
      <selection activeCell="Z2" sqref="Z2"/>
    </sheetView>
  </sheetViews>
  <sheetFormatPr defaultRowHeight="14"/>
  <cols>
    <col min="1" max="1" width="8.90625" style="1"/>
    <col min="2" max="2" width="12.54296875" customWidth="1"/>
    <col min="4" max="4" width="13.90625" bestFit="1" customWidth="1"/>
    <col min="5" max="12" width="8.81640625" customWidth="1"/>
    <col min="13" max="13" width="15.90625" customWidth="1"/>
    <col min="14" max="17" width="8.81640625" customWidth="1"/>
    <col min="18" max="18" width="13.6328125" customWidth="1"/>
    <col min="19" max="19" width="12.90625" customWidth="1"/>
  </cols>
  <sheetData>
    <row r="1" spans="1:32" s="5" customFormat="1" ht="56">
      <c r="A1" s="4" t="s">
        <v>15</v>
      </c>
      <c r="B1" s="5" t="s">
        <v>19</v>
      </c>
      <c r="C1" s="5" t="s">
        <v>16</v>
      </c>
      <c r="D1" s="5" t="s">
        <v>20</v>
      </c>
      <c r="E1" s="6" t="s">
        <v>17</v>
      </c>
      <c r="F1" s="6" t="s">
        <v>18</v>
      </c>
      <c r="G1" s="6" t="s">
        <v>26</v>
      </c>
      <c r="H1" s="6" t="s">
        <v>21</v>
      </c>
      <c r="I1" s="6" t="s">
        <v>22</v>
      </c>
      <c r="J1" s="6" t="s">
        <v>23</v>
      </c>
      <c r="K1" s="6" t="s">
        <v>24</v>
      </c>
      <c r="L1" s="5" t="s">
        <v>25</v>
      </c>
      <c r="M1" s="5" t="s">
        <v>27</v>
      </c>
      <c r="N1" s="5" t="s">
        <v>28</v>
      </c>
      <c r="O1" s="5" t="s">
        <v>29</v>
      </c>
      <c r="P1" s="5" t="s">
        <v>30</v>
      </c>
      <c r="Q1" s="5" t="s">
        <v>31</v>
      </c>
      <c r="R1" s="9" t="s">
        <v>32</v>
      </c>
      <c r="S1" s="5" t="s">
        <v>33</v>
      </c>
      <c r="T1" s="5" t="s">
        <v>34</v>
      </c>
      <c r="U1" s="5" t="s">
        <v>35</v>
      </c>
      <c r="V1" s="5" t="s">
        <v>36</v>
      </c>
      <c r="W1" s="5" t="s">
        <v>37</v>
      </c>
      <c r="X1" s="5" t="s">
        <v>38</v>
      </c>
      <c r="Y1" s="5" t="s">
        <v>39</v>
      </c>
      <c r="Z1" s="5" t="s">
        <v>40</v>
      </c>
      <c r="AA1" s="5" t="s">
        <v>41</v>
      </c>
      <c r="AB1" s="5" t="s">
        <v>42</v>
      </c>
      <c r="AC1" s="5" t="s">
        <v>43</v>
      </c>
      <c r="AD1" s="13" t="s">
        <v>44</v>
      </c>
      <c r="AE1" s="5" t="s">
        <v>45</v>
      </c>
      <c r="AF1" s="5" t="s">
        <v>46</v>
      </c>
    </row>
    <row r="2" spans="1:32">
      <c r="A2" s="2">
        <v>1</v>
      </c>
      <c r="B2">
        <v>1</v>
      </c>
      <c r="C2" s="3">
        <v>0.08</v>
      </c>
      <c r="D2">
        <f>H2</f>
        <v>7.06</v>
      </c>
      <c r="E2">
        <v>11.56</v>
      </c>
      <c r="F2">
        <v>20.440000000000001</v>
      </c>
      <c r="G2">
        <f>F2</f>
        <v>20.440000000000001</v>
      </c>
      <c r="H2" s="7">
        <v>7.06</v>
      </c>
      <c r="I2" s="8">
        <v>0.37</v>
      </c>
      <c r="J2">
        <v>9</v>
      </c>
      <c r="K2">
        <v>85</v>
      </c>
      <c r="L2">
        <f>K2-F2+E2</f>
        <v>76.12</v>
      </c>
      <c r="M2">
        <f>SUMIF(A2:A51,"&lt;"&amp;J2+1,D2:D51)</f>
        <v>88.162158341966133</v>
      </c>
      <c r="O2">
        <f>M2/L2</f>
        <v>1.1581996629265126</v>
      </c>
      <c r="R2">
        <f>S2</f>
        <v>7.06</v>
      </c>
      <c r="S2">
        <f>$H$2</f>
        <v>7.06</v>
      </c>
      <c r="T2" s="3">
        <v>0.37</v>
      </c>
      <c r="U2" s="3">
        <v>0.06</v>
      </c>
      <c r="V2">
        <f>SUM($R$2:R2)</f>
        <v>7.06</v>
      </c>
      <c r="W2" s="2">
        <f>X2-Y2</f>
        <v>474.26</v>
      </c>
      <c r="X2" s="12">
        <f>579-579*10%</f>
        <v>521.1</v>
      </c>
      <c r="Y2" s="12">
        <f>57.79-10.95</f>
        <v>46.84</v>
      </c>
      <c r="Z2">
        <f>$W$2/S2</f>
        <v>67.175637393767701</v>
      </c>
      <c r="AA2" s="3">
        <v>0.3</v>
      </c>
      <c r="AB2">
        <f>S2/AA2</f>
        <v>23.533333333333331</v>
      </c>
      <c r="AC2">
        <f>AC3*(1-$U$2)</f>
        <v>222.37291878719995</v>
      </c>
      <c r="AD2" s="3">
        <v>0</v>
      </c>
      <c r="AE2">
        <f>AC2*AD2</f>
        <v>0</v>
      </c>
      <c r="AF2">
        <f>IF(AB2&gt;AE2, 1, 0)</f>
        <v>1</v>
      </c>
    </row>
    <row r="3" spans="1:32">
      <c r="A3" s="2">
        <v>2</v>
      </c>
      <c r="B3">
        <f>B2+B2*C2</f>
        <v>1.08</v>
      </c>
      <c r="C3" s="3">
        <v>0.08</v>
      </c>
      <c r="D3">
        <f>D2+D2*C2</f>
        <v>7.6247999999999996</v>
      </c>
      <c r="Q3">
        <f>$D$2*((1+$C$2)^A2)</f>
        <v>7.6248000000000005</v>
      </c>
      <c r="R3">
        <f>S3/((1+$U$2)^A2)</f>
        <v>9.1247169811320745</v>
      </c>
      <c r="S3">
        <f>S2*(1+T2)</f>
        <v>9.6722000000000001</v>
      </c>
      <c r="T3" s="3">
        <v>0.37</v>
      </c>
      <c r="V3">
        <f>SUM($R$2:R3)</f>
        <v>16.184716981132073</v>
      </c>
      <c r="W3">
        <f>V3/$W$2</f>
        <v>3.4126253492034062E-2</v>
      </c>
      <c r="Z3">
        <f t="shared" ref="Z3:Z13" si="0">$W$2/S3</f>
        <v>49.033311966253798</v>
      </c>
      <c r="AA3" s="3">
        <v>0.3</v>
      </c>
      <c r="AB3">
        <f t="shared" ref="AB3:AB66" si="1">S3/AA3</f>
        <v>32.240666666666669</v>
      </c>
      <c r="AC3">
        <f>AC4*(1-$U$2)</f>
        <v>236.56693487999996</v>
      </c>
      <c r="AD3" s="3">
        <v>0.1</v>
      </c>
      <c r="AE3">
        <f t="shared" ref="AE3:AE66" si="2">AC3*AD3</f>
        <v>23.656693487999998</v>
      </c>
      <c r="AF3">
        <f t="shared" ref="AF3:AF66" si="3">IF(AB3&gt;AE3, 1, 0)</f>
        <v>1</v>
      </c>
    </row>
    <row r="4" spans="1:32">
      <c r="A4" s="2">
        <v>3</v>
      </c>
      <c r="B4">
        <f t="shared" ref="B4:B51" si="4">B3+B3*C3</f>
        <v>1.1664000000000001</v>
      </c>
      <c r="C4" s="3">
        <v>0.08</v>
      </c>
      <c r="D4">
        <f t="shared" ref="D4:D51" si="5">D3+D3*C3</f>
        <v>8.2347839999999994</v>
      </c>
      <c r="Q4">
        <f>$D$2*((1+$C$2)^A3)</f>
        <v>8.2347839999999994</v>
      </c>
      <c r="R4">
        <f t="shared" ref="R4:R67" si="6">S4/((1+$U$2)^A3)</f>
        <v>11.793266286934852</v>
      </c>
      <c r="S4">
        <f t="shared" ref="S4:S67" si="7">S3*(1+T3)</f>
        <v>13.250914000000002</v>
      </c>
      <c r="T4" s="3">
        <v>0.37</v>
      </c>
      <c r="V4">
        <f>SUM($R$2:R4)</f>
        <v>27.977983268066925</v>
      </c>
      <c r="W4">
        <f t="shared" ref="W4:W67" si="8">V4/$W$2</f>
        <v>5.8992922169415353E-2</v>
      </c>
      <c r="Z4">
        <f t="shared" si="0"/>
        <v>35.79073866149912</v>
      </c>
      <c r="AA4" s="3">
        <v>0.3</v>
      </c>
      <c r="AB4">
        <f t="shared" si="1"/>
        <v>44.169713333333341</v>
      </c>
      <c r="AC4">
        <f>AC5*(1-$U$2)</f>
        <v>251.66695199999998</v>
      </c>
      <c r="AD4" s="3">
        <v>0.15</v>
      </c>
      <c r="AE4">
        <f t="shared" si="2"/>
        <v>37.750042799999996</v>
      </c>
      <c r="AF4">
        <f t="shared" si="3"/>
        <v>1</v>
      </c>
    </row>
    <row r="5" spans="1:32">
      <c r="A5" s="2">
        <v>4</v>
      </c>
      <c r="B5">
        <f t="shared" si="4"/>
        <v>1.2597120000000002</v>
      </c>
      <c r="C5" s="3">
        <v>0.08</v>
      </c>
      <c r="D5">
        <f t="shared" si="5"/>
        <v>8.893566719999999</v>
      </c>
      <c r="Q5">
        <f t="shared" ref="Q5:Q51" si="9">$D$2*((1+$C$2)^A4)</f>
        <v>8.8935667200000008</v>
      </c>
      <c r="R5">
        <f t="shared" si="6"/>
        <v>15.242240389717686</v>
      </c>
      <c r="S5">
        <f>S4*(1+T4)</f>
        <v>18.153752180000005</v>
      </c>
      <c r="T5" s="3">
        <v>0.37</v>
      </c>
      <c r="V5">
        <f>SUM($R$2:R5)</f>
        <v>43.220223657784615</v>
      </c>
      <c r="W5">
        <f t="shared" si="8"/>
        <v>9.1131918478860999E-2</v>
      </c>
      <c r="Z5">
        <f t="shared" si="0"/>
        <v>26.12462676021833</v>
      </c>
      <c r="AA5" s="3">
        <v>0.3</v>
      </c>
      <c r="AB5">
        <f t="shared" si="1"/>
        <v>60.512507266666688</v>
      </c>
      <c r="AC5">
        <f>AC6*(1-$U$2)</f>
        <v>267.73079999999999</v>
      </c>
      <c r="AD5" s="3">
        <v>0.15</v>
      </c>
      <c r="AE5">
        <f t="shared" si="2"/>
        <v>40.159619999999997</v>
      </c>
      <c r="AF5">
        <f t="shared" si="3"/>
        <v>1</v>
      </c>
    </row>
    <row r="6" spans="1:32">
      <c r="A6" s="2">
        <v>5</v>
      </c>
      <c r="B6">
        <f t="shared" si="4"/>
        <v>1.3604889600000001</v>
      </c>
      <c r="C6" s="3">
        <v>0.08</v>
      </c>
      <c r="D6">
        <f t="shared" si="5"/>
        <v>9.6050520575999982</v>
      </c>
      <c r="Q6">
        <f t="shared" si="9"/>
        <v>9.6050520576000018</v>
      </c>
      <c r="R6">
        <f t="shared" si="6"/>
        <v>19.699876730106823</v>
      </c>
      <c r="S6">
        <f>S5*(1+T5)</f>
        <v>24.87064048660001</v>
      </c>
      <c r="T6" s="3">
        <v>0.37</v>
      </c>
      <c r="V6">
        <f>SUM($R$2:R6)</f>
        <v>62.920100387891438</v>
      </c>
      <c r="W6" s="10">
        <f t="shared" si="8"/>
        <v>0.13267005521842754</v>
      </c>
      <c r="Z6">
        <f t="shared" si="0"/>
        <v>19.06907062789659</v>
      </c>
      <c r="AA6" s="3">
        <v>0.3</v>
      </c>
      <c r="AB6">
        <f t="shared" si="1"/>
        <v>82.902134955333366</v>
      </c>
      <c r="AC6">
        <f>AC7*(1-$U$2)</f>
        <v>284.82</v>
      </c>
      <c r="AD6" s="3">
        <v>0.2</v>
      </c>
      <c r="AE6">
        <f t="shared" si="2"/>
        <v>56.963999999999999</v>
      </c>
      <c r="AF6">
        <f t="shared" si="3"/>
        <v>1</v>
      </c>
    </row>
    <row r="7" spans="1:32">
      <c r="A7" s="2">
        <v>6</v>
      </c>
      <c r="B7">
        <f t="shared" si="4"/>
        <v>1.4693280768000001</v>
      </c>
      <c r="C7" s="3">
        <v>0.08</v>
      </c>
      <c r="D7">
        <f t="shared" si="5"/>
        <v>10.373456222207999</v>
      </c>
      <c r="Q7">
        <f t="shared" si="9"/>
        <v>10.373456222208002</v>
      </c>
      <c r="R7">
        <f t="shared" si="6"/>
        <v>25.461161434194668</v>
      </c>
      <c r="S7">
        <f t="shared" si="7"/>
        <v>34.072777466642016</v>
      </c>
      <c r="T7" s="3">
        <v>0.37</v>
      </c>
      <c r="V7">
        <f>SUM($R$2:R7)</f>
        <v>88.381261822086103</v>
      </c>
      <c r="W7" s="11">
        <f t="shared" si="8"/>
        <v>0.18635613760824465</v>
      </c>
      <c r="Z7">
        <f t="shared" si="0"/>
        <v>13.919029655398969</v>
      </c>
      <c r="AA7" s="3">
        <v>0.3</v>
      </c>
      <c r="AB7">
        <f t="shared" si="1"/>
        <v>113.57592488880672</v>
      </c>
      <c r="AC7">
        <v>303</v>
      </c>
      <c r="AD7" s="3">
        <v>0.2</v>
      </c>
      <c r="AE7">
        <f t="shared" si="2"/>
        <v>60.6</v>
      </c>
      <c r="AF7">
        <f t="shared" si="3"/>
        <v>1</v>
      </c>
    </row>
    <row r="8" spans="1:32">
      <c r="A8" s="2">
        <v>7</v>
      </c>
      <c r="B8">
        <f t="shared" si="4"/>
        <v>1.5868743229440001</v>
      </c>
      <c r="C8" s="3">
        <v>0.08</v>
      </c>
      <c r="D8">
        <f t="shared" si="5"/>
        <v>11.203332719984639</v>
      </c>
      <c r="Q8">
        <f t="shared" si="9"/>
        <v>11.203332719984644</v>
      </c>
      <c r="R8">
        <f t="shared" si="6"/>
        <v>32.907350155515751</v>
      </c>
      <c r="S8">
        <f>S7*(1+T7)</f>
        <v>46.679705129299563</v>
      </c>
      <c r="T8" s="3">
        <v>0.37</v>
      </c>
      <c r="V8">
        <f>SUM($R$2:R8)</f>
        <v>121.28861197760185</v>
      </c>
      <c r="W8">
        <f t="shared" si="8"/>
        <v>0.25574286673470636</v>
      </c>
      <c r="Z8">
        <f t="shared" si="0"/>
        <v>10.15987566087516</v>
      </c>
      <c r="AA8" s="3">
        <v>0.3</v>
      </c>
      <c r="AB8">
        <f t="shared" si="1"/>
        <v>155.59901709766521</v>
      </c>
      <c r="AC8">
        <f t="shared" ref="AC8:AC67" si="10">AC7*(1+$U$2)</f>
        <v>321.18</v>
      </c>
      <c r="AD8" s="3">
        <v>0.2</v>
      </c>
      <c r="AE8">
        <f t="shared" si="2"/>
        <v>64.236000000000004</v>
      </c>
      <c r="AF8">
        <f t="shared" si="3"/>
        <v>1</v>
      </c>
    </row>
    <row r="9" spans="1:32">
      <c r="A9" s="2">
        <v>8</v>
      </c>
      <c r="B9">
        <f t="shared" si="4"/>
        <v>1.7138242687795202</v>
      </c>
      <c r="C9" s="3">
        <v>0.08</v>
      </c>
      <c r="D9">
        <f t="shared" si="5"/>
        <v>12.09959933758341</v>
      </c>
      <c r="Q9">
        <f t="shared" si="9"/>
        <v>12.099599337583415</v>
      </c>
      <c r="R9">
        <f t="shared" si="6"/>
        <v>42.531197842506202</v>
      </c>
      <c r="S9">
        <f t="shared" si="7"/>
        <v>63.951196027140405</v>
      </c>
      <c r="T9" s="3">
        <v>0.1</v>
      </c>
      <c r="V9">
        <f>SUM($R$2:R9)</f>
        <v>163.81980982010805</v>
      </c>
      <c r="W9" s="10">
        <f t="shared" si="8"/>
        <v>0.34542194117173713</v>
      </c>
      <c r="Z9">
        <f t="shared" si="0"/>
        <v>7.4159676356752984</v>
      </c>
      <c r="AA9" s="3">
        <v>0.3</v>
      </c>
      <c r="AB9">
        <f t="shared" si="1"/>
        <v>213.17065342380135</v>
      </c>
      <c r="AC9">
        <f t="shared" si="10"/>
        <v>340.45080000000002</v>
      </c>
      <c r="AD9" s="3">
        <v>0.2</v>
      </c>
      <c r="AE9">
        <f t="shared" si="2"/>
        <v>68.090160000000012</v>
      </c>
      <c r="AF9" s="2">
        <f t="shared" si="3"/>
        <v>1</v>
      </c>
    </row>
    <row r="10" spans="1:32">
      <c r="A10" s="2">
        <v>9</v>
      </c>
      <c r="B10">
        <f t="shared" si="4"/>
        <v>1.8509302102818819</v>
      </c>
      <c r="C10" s="3">
        <v>0.08</v>
      </c>
      <c r="D10">
        <f t="shared" si="5"/>
        <v>13.067567284590082</v>
      </c>
      <c r="Q10">
        <f t="shared" si="9"/>
        <v>13.067567284590089</v>
      </c>
      <c r="R10">
        <f t="shared" si="6"/>
        <v>44.136148704487567</v>
      </c>
      <c r="S10">
        <f t="shared" si="7"/>
        <v>70.346315629854445</v>
      </c>
      <c r="T10" s="3">
        <v>0.1</v>
      </c>
      <c r="V10">
        <f>SUM($R$2:R10)</f>
        <v>207.95595852459562</v>
      </c>
      <c r="W10">
        <f t="shared" si="8"/>
        <v>0.43848513162525959</v>
      </c>
      <c r="Z10">
        <f t="shared" si="0"/>
        <v>6.7417887597048169</v>
      </c>
      <c r="AA10" s="3">
        <v>0.3</v>
      </c>
      <c r="AB10">
        <f t="shared" si="1"/>
        <v>234.4877187661815</v>
      </c>
      <c r="AC10">
        <f t="shared" si="10"/>
        <v>360.87784800000003</v>
      </c>
      <c r="AD10" s="3">
        <v>0.2</v>
      </c>
      <c r="AE10">
        <f t="shared" si="2"/>
        <v>72.175569600000003</v>
      </c>
      <c r="AF10" s="1">
        <f t="shared" si="3"/>
        <v>1</v>
      </c>
    </row>
    <row r="11" spans="1:32">
      <c r="A11" s="2">
        <v>10</v>
      </c>
      <c r="B11">
        <f t="shared" si="4"/>
        <v>1.9990046271044324</v>
      </c>
      <c r="C11" s="3">
        <v>0.08</v>
      </c>
      <c r="D11">
        <f t="shared" si="5"/>
        <v>14.112972667357289</v>
      </c>
      <c r="Q11">
        <f t="shared" si="9"/>
        <v>14.112972667357296</v>
      </c>
      <c r="R11">
        <f t="shared" si="6"/>
        <v>45.801663749939934</v>
      </c>
      <c r="S11">
        <f t="shared" si="7"/>
        <v>77.380947192839898</v>
      </c>
      <c r="T11" s="3">
        <v>0.1</v>
      </c>
      <c r="V11">
        <f>SUM($R$2:R11)</f>
        <v>253.75762227453555</v>
      </c>
      <c r="W11">
        <f t="shared" si="8"/>
        <v>0.53506014058646223</v>
      </c>
      <c r="Z11">
        <f t="shared" si="0"/>
        <v>6.1288988724589242</v>
      </c>
      <c r="AA11" s="3">
        <v>0.3</v>
      </c>
      <c r="AB11">
        <f t="shared" si="1"/>
        <v>257.9364906427997</v>
      </c>
      <c r="AC11">
        <f t="shared" si="10"/>
        <v>382.53051888000005</v>
      </c>
      <c r="AD11" s="3">
        <v>0.2</v>
      </c>
      <c r="AE11">
        <f t="shared" si="2"/>
        <v>76.506103776000018</v>
      </c>
      <c r="AF11">
        <f t="shared" si="3"/>
        <v>1</v>
      </c>
    </row>
    <row r="12" spans="1:32">
      <c r="A12" s="2">
        <v>11</v>
      </c>
      <c r="B12">
        <f t="shared" si="4"/>
        <v>2.1589249972727869</v>
      </c>
      <c r="C12" s="3">
        <v>0.08</v>
      </c>
      <c r="D12">
        <f t="shared" si="5"/>
        <v>15.242010480745872</v>
      </c>
      <c r="Q12">
        <f t="shared" si="9"/>
        <v>15.242010480745881</v>
      </c>
      <c r="R12">
        <f t="shared" si="6"/>
        <v>47.530028419748987</v>
      </c>
      <c r="S12">
        <f t="shared" si="7"/>
        <v>85.11904191212389</v>
      </c>
      <c r="T12" s="3">
        <v>0.08</v>
      </c>
      <c r="V12">
        <f>SUM($R$2:R12)</f>
        <v>301.28765069428454</v>
      </c>
      <c r="W12" s="11">
        <f t="shared" si="8"/>
        <v>0.6352794895084648</v>
      </c>
      <c r="Z12">
        <f t="shared" si="0"/>
        <v>5.5717262476899307</v>
      </c>
      <c r="AA12" s="3">
        <v>0.3</v>
      </c>
      <c r="AB12">
        <f t="shared" si="1"/>
        <v>283.73013970707967</v>
      </c>
      <c r="AC12">
        <f t="shared" si="10"/>
        <v>405.48235001280005</v>
      </c>
      <c r="AD12" s="3">
        <v>0.2</v>
      </c>
      <c r="AE12">
        <f t="shared" si="2"/>
        <v>81.096470002560011</v>
      </c>
      <c r="AF12" s="1">
        <f t="shared" si="3"/>
        <v>1</v>
      </c>
    </row>
    <row r="13" spans="1:32">
      <c r="A13" s="2">
        <v>12</v>
      </c>
      <c r="B13">
        <f t="shared" si="4"/>
        <v>2.3316389970546099</v>
      </c>
      <c r="C13" s="3">
        <v>0.08</v>
      </c>
      <c r="D13">
        <f t="shared" si="5"/>
        <v>16.46137131920554</v>
      </c>
      <c r="Q13">
        <f t="shared" si="9"/>
        <v>16.461371319205551</v>
      </c>
      <c r="R13">
        <f t="shared" si="6"/>
        <v>48.426821408800855</v>
      </c>
      <c r="S13">
        <f t="shared" si="7"/>
        <v>91.928565265093809</v>
      </c>
      <c r="T13" s="3">
        <v>0.08</v>
      </c>
      <c r="V13">
        <f>SUM($R$2:R13)</f>
        <v>349.71447210308537</v>
      </c>
      <c r="W13" s="11">
        <f t="shared" si="8"/>
        <v>0.73738976954220337</v>
      </c>
      <c r="Z13">
        <f t="shared" si="0"/>
        <v>5.1590057848980839</v>
      </c>
      <c r="AA13" s="3">
        <v>0.3</v>
      </c>
      <c r="AB13">
        <f t="shared" si="1"/>
        <v>306.42855088364604</v>
      </c>
      <c r="AC13">
        <f t="shared" si="10"/>
        <v>429.81129101356805</v>
      </c>
      <c r="AD13" s="3">
        <v>0.2</v>
      </c>
      <c r="AE13">
        <f t="shared" si="2"/>
        <v>85.962258202713613</v>
      </c>
      <c r="AF13">
        <f t="shared" si="3"/>
        <v>1</v>
      </c>
    </row>
    <row r="14" spans="1:32">
      <c r="A14" s="2">
        <v>13</v>
      </c>
      <c r="B14">
        <f t="shared" si="4"/>
        <v>2.5181701168189785</v>
      </c>
      <c r="C14" s="3">
        <v>0.08</v>
      </c>
      <c r="D14">
        <f t="shared" si="5"/>
        <v>17.778281024741982</v>
      </c>
      <c r="Q14">
        <f t="shared" si="9"/>
        <v>17.778281024741997</v>
      </c>
      <c r="R14">
        <f t="shared" si="6"/>
        <v>49.34053502028766</v>
      </c>
      <c r="S14">
        <f t="shared" si="7"/>
        <v>99.282850486301314</v>
      </c>
      <c r="T14" s="3">
        <v>0.08</v>
      </c>
      <c r="V14">
        <f>SUM($R$2:R14)</f>
        <v>399.055007123373</v>
      </c>
      <c r="W14" s="11">
        <f t="shared" si="8"/>
        <v>0.84142665863318222</v>
      </c>
      <c r="Z14">
        <f>$W$2/S14</f>
        <v>4.7768572082389662</v>
      </c>
      <c r="AA14" s="3">
        <v>0.3</v>
      </c>
      <c r="AB14">
        <f>S14/AA14</f>
        <v>330.94283495433774</v>
      </c>
      <c r="AC14">
        <f t="shared" si="10"/>
        <v>455.59996847438214</v>
      </c>
      <c r="AD14" s="3">
        <v>0.2</v>
      </c>
      <c r="AE14">
        <f t="shared" si="2"/>
        <v>91.119993694876428</v>
      </c>
      <c r="AF14">
        <f t="shared" si="3"/>
        <v>1</v>
      </c>
    </row>
    <row r="15" spans="1:32">
      <c r="A15" s="2">
        <v>14</v>
      </c>
      <c r="B15">
        <f t="shared" si="4"/>
        <v>2.7196237261644969</v>
      </c>
      <c r="C15" s="3">
        <v>0.08</v>
      </c>
      <c r="D15">
        <f t="shared" si="5"/>
        <v>19.200543506721342</v>
      </c>
      <c r="Q15">
        <f t="shared" si="9"/>
        <v>19.200543506721356</v>
      </c>
      <c r="R15">
        <f t="shared" si="6"/>
        <v>50.271488511236484</v>
      </c>
      <c r="S15">
        <f t="shared" si="7"/>
        <v>107.22547852520543</v>
      </c>
      <c r="T15" s="3">
        <v>0.08</v>
      </c>
      <c r="V15">
        <f>SUM($R$2:R15)</f>
        <v>449.3264956346095</v>
      </c>
      <c r="W15" s="11">
        <f t="shared" si="8"/>
        <v>0.94742650789568905</v>
      </c>
      <c r="Z15">
        <f t="shared" ref="Z15:Z78" si="11">$W$2/S15</f>
        <v>4.4230159335545975</v>
      </c>
      <c r="AA15" s="3">
        <v>0.3</v>
      </c>
      <c r="AB15">
        <f t="shared" si="1"/>
        <v>357.41826175068479</v>
      </c>
      <c r="AC15">
        <f t="shared" si="10"/>
        <v>482.93596658284508</v>
      </c>
      <c r="AD15" s="3">
        <v>0.2</v>
      </c>
      <c r="AE15">
        <f t="shared" si="2"/>
        <v>96.587193316569028</v>
      </c>
      <c r="AF15">
        <f t="shared" si="3"/>
        <v>1</v>
      </c>
    </row>
    <row r="16" spans="1:32">
      <c r="A16" s="2">
        <v>15</v>
      </c>
      <c r="B16">
        <f t="shared" si="4"/>
        <v>2.9371936242576568</v>
      </c>
      <c r="C16" s="3">
        <v>0.08</v>
      </c>
      <c r="D16">
        <f t="shared" si="5"/>
        <v>20.736586987259049</v>
      </c>
      <c r="Q16">
        <f t="shared" si="9"/>
        <v>20.73658698725907</v>
      </c>
      <c r="R16">
        <f t="shared" si="6"/>
        <v>51.220007162391894</v>
      </c>
      <c r="S16">
        <f t="shared" si="7"/>
        <v>115.80351680722187</v>
      </c>
      <c r="T16" s="3">
        <v>0.08</v>
      </c>
      <c r="V16">
        <f>SUM($R$2:R16)</f>
        <v>500.54650279700138</v>
      </c>
      <c r="W16">
        <f t="shared" si="8"/>
        <v>1.0554263543140923</v>
      </c>
      <c r="Z16">
        <f t="shared" si="11"/>
        <v>4.0953851236616643</v>
      </c>
      <c r="AA16" s="3">
        <v>0.3</v>
      </c>
      <c r="AB16">
        <f t="shared" si="1"/>
        <v>386.01172269073959</v>
      </c>
      <c r="AC16">
        <f t="shared" si="10"/>
        <v>511.9121245778158</v>
      </c>
      <c r="AD16" s="3">
        <v>0.2</v>
      </c>
      <c r="AE16">
        <f t="shared" si="2"/>
        <v>102.38242491556316</v>
      </c>
      <c r="AF16">
        <f t="shared" si="3"/>
        <v>1</v>
      </c>
    </row>
    <row r="17" spans="1:32">
      <c r="A17" s="2">
        <v>16</v>
      </c>
      <c r="B17">
        <f t="shared" si="4"/>
        <v>3.1721691141982693</v>
      </c>
      <c r="C17" s="3">
        <v>0.08</v>
      </c>
      <c r="D17">
        <f t="shared" si="5"/>
        <v>22.395513946239774</v>
      </c>
      <c r="Q17">
        <f t="shared" si="9"/>
        <v>22.395513946239795</v>
      </c>
      <c r="R17">
        <f t="shared" si="6"/>
        <v>52.18642239187097</v>
      </c>
      <c r="S17">
        <f t="shared" si="7"/>
        <v>125.06779815179962</v>
      </c>
      <c r="T17" s="3">
        <v>0.08</v>
      </c>
      <c r="V17">
        <f>SUM($R$2:R17)</f>
        <v>552.7329251888724</v>
      </c>
      <c r="W17">
        <f t="shared" si="8"/>
        <v>1.1654639336837862</v>
      </c>
      <c r="Z17">
        <f t="shared" si="11"/>
        <v>3.7920232626496895</v>
      </c>
      <c r="AA17" s="3">
        <v>0.3</v>
      </c>
      <c r="AB17">
        <f t="shared" si="1"/>
        <v>416.89266050599878</v>
      </c>
      <c r="AC17">
        <f t="shared" si="10"/>
        <v>542.62685205248476</v>
      </c>
      <c r="AD17" s="3">
        <v>0.2</v>
      </c>
      <c r="AE17">
        <f t="shared" si="2"/>
        <v>108.52537041049696</v>
      </c>
      <c r="AF17">
        <f t="shared" si="3"/>
        <v>1</v>
      </c>
    </row>
    <row r="18" spans="1:32">
      <c r="A18" s="2">
        <v>17</v>
      </c>
      <c r="B18">
        <f t="shared" si="4"/>
        <v>3.4259426433341309</v>
      </c>
      <c r="C18" s="3">
        <v>0.08</v>
      </c>
      <c r="D18">
        <f t="shared" si="5"/>
        <v>24.187155061938956</v>
      </c>
      <c r="Q18">
        <f t="shared" si="9"/>
        <v>24.187155061938977</v>
      </c>
      <c r="R18">
        <f t="shared" si="6"/>
        <v>53.171071870962898</v>
      </c>
      <c r="S18">
        <f t="shared" si="7"/>
        <v>135.07322200394361</v>
      </c>
      <c r="T18" s="3">
        <v>0.08</v>
      </c>
      <c r="V18">
        <f>SUM($R$2:R18)</f>
        <v>605.90399705983532</v>
      </c>
      <c r="W18" s="11">
        <f t="shared" si="8"/>
        <v>1.2775776937963044</v>
      </c>
      <c r="Z18">
        <f t="shared" si="11"/>
        <v>3.5111326506015637</v>
      </c>
      <c r="AA18" s="3">
        <v>0.3</v>
      </c>
      <c r="AB18">
        <f t="shared" si="1"/>
        <v>450.24407334647873</v>
      </c>
      <c r="AC18">
        <f t="shared" si="10"/>
        <v>575.18446317563382</v>
      </c>
      <c r="AD18" s="3">
        <v>0.2</v>
      </c>
      <c r="AE18">
        <f t="shared" si="2"/>
        <v>115.03689263512678</v>
      </c>
      <c r="AF18">
        <f t="shared" si="3"/>
        <v>1</v>
      </c>
    </row>
    <row r="19" spans="1:32">
      <c r="A19" s="2">
        <v>18</v>
      </c>
      <c r="B19">
        <f t="shared" si="4"/>
        <v>3.7000180548008612</v>
      </c>
      <c r="C19" s="3">
        <v>0.08</v>
      </c>
      <c r="D19">
        <f t="shared" si="5"/>
        <v>26.122127466894071</v>
      </c>
      <c r="Q19">
        <f t="shared" si="9"/>
        <v>26.122127466894099</v>
      </c>
      <c r="R19">
        <f t="shared" si="6"/>
        <v>54.174299642113134</v>
      </c>
      <c r="S19">
        <f t="shared" si="7"/>
        <v>145.8790797642591</v>
      </c>
      <c r="T19" s="3">
        <v>0.08</v>
      </c>
      <c r="V19">
        <f>SUM($R$2:R19)</f>
        <v>660.07829670194849</v>
      </c>
      <c r="W19">
        <f t="shared" si="8"/>
        <v>1.3918068078732098</v>
      </c>
      <c r="Z19">
        <f t="shared" si="11"/>
        <v>3.2510487505570032</v>
      </c>
      <c r="AA19" s="3">
        <v>0.3</v>
      </c>
      <c r="AB19">
        <f t="shared" si="1"/>
        <v>486.26359921419703</v>
      </c>
      <c r="AC19">
        <f t="shared" si="10"/>
        <v>609.69553096617187</v>
      </c>
      <c r="AD19" s="3">
        <v>0.2</v>
      </c>
      <c r="AE19">
        <f t="shared" si="2"/>
        <v>121.93910619323438</v>
      </c>
      <c r="AF19">
        <f t="shared" si="3"/>
        <v>1</v>
      </c>
    </row>
    <row r="20" spans="1:32">
      <c r="A20" s="2">
        <v>19</v>
      </c>
      <c r="B20">
        <f t="shared" si="4"/>
        <v>3.9960194991849303</v>
      </c>
      <c r="C20" s="3">
        <v>0.08</v>
      </c>
      <c r="D20">
        <f t="shared" si="5"/>
        <v>28.211897664245598</v>
      </c>
      <c r="Q20">
        <f t="shared" si="9"/>
        <v>28.21189766424563</v>
      </c>
      <c r="R20">
        <f t="shared" si="6"/>
        <v>55.196456239134143</v>
      </c>
      <c r="S20">
        <f t="shared" si="7"/>
        <v>157.54940614539984</v>
      </c>
      <c r="T20" s="3">
        <v>0.08</v>
      </c>
      <c r="V20">
        <f>SUM($R$2:R20)</f>
        <v>715.27475294108262</v>
      </c>
      <c r="W20">
        <f t="shared" si="8"/>
        <v>1.5081911882534531</v>
      </c>
      <c r="Z20">
        <f t="shared" si="11"/>
        <v>3.0102303245898177</v>
      </c>
      <c r="AA20" s="3">
        <v>0.3</v>
      </c>
      <c r="AB20">
        <f t="shared" si="1"/>
        <v>525.16468715133283</v>
      </c>
      <c r="AC20">
        <f t="shared" si="10"/>
        <v>646.27726282414221</v>
      </c>
      <c r="AD20" s="3">
        <v>0.2</v>
      </c>
      <c r="AE20">
        <f t="shared" si="2"/>
        <v>129.25545256482846</v>
      </c>
      <c r="AF20">
        <f t="shared" si="3"/>
        <v>1</v>
      </c>
    </row>
    <row r="21" spans="1:32">
      <c r="A21" s="2">
        <v>20</v>
      </c>
      <c r="B21">
        <f t="shared" si="4"/>
        <v>4.3157010591197249</v>
      </c>
      <c r="C21" s="3">
        <v>0.08</v>
      </c>
      <c r="D21">
        <f t="shared" si="5"/>
        <v>30.468849477385245</v>
      </c>
      <c r="Q21">
        <f t="shared" si="9"/>
        <v>30.46884947738528</v>
      </c>
      <c r="R21">
        <f t="shared" si="6"/>
        <v>56.237898809683834</v>
      </c>
      <c r="S21">
        <f t="shared" si="7"/>
        <v>170.15335863703183</v>
      </c>
      <c r="T21" s="3">
        <v>0.08</v>
      </c>
      <c r="V21">
        <f>SUM($R$2:R21)</f>
        <v>771.51265175076651</v>
      </c>
      <c r="W21" s="10">
        <f t="shared" si="8"/>
        <v>1.626771500338984</v>
      </c>
      <c r="Z21">
        <f t="shared" si="11"/>
        <v>2.7872503005461273</v>
      </c>
      <c r="AA21" s="3">
        <v>0.3</v>
      </c>
      <c r="AB21">
        <f t="shared" si="1"/>
        <v>567.17786212343947</v>
      </c>
      <c r="AC21">
        <f t="shared" si="10"/>
        <v>685.05389859359082</v>
      </c>
      <c r="AD21" s="3">
        <v>0.2</v>
      </c>
      <c r="AE21">
        <f t="shared" si="2"/>
        <v>137.01077971871817</v>
      </c>
      <c r="AF21">
        <f t="shared" si="3"/>
        <v>1</v>
      </c>
    </row>
    <row r="22" spans="1:32">
      <c r="A22" s="2">
        <v>21</v>
      </c>
      <c r="B22">
        <f t="shared" si="4"/>
        <v>4.6609571438493029</v>
      </c>
      <c r="C22" s="3">
        <v>0.08</v>
      </c>
      <c r="D22">
        <f t="shared" si="5"/>
        <v>32.906357435576062</v>
      </c>
      <c r="Q22">
        <f t="shared" si="9"/>
        <v>32.906357435576105</v>
      </c>
      <c r="R22">
        <f t="shared" si="6"/>
        <v>57.298991240055237</v>
      </c>
      <c r="S22">
        <f t="shared" si="7"/>
        <v>183.76562732799439</v>
      </c>
      <c r="T22" s="3">
        <v>0.08</v>
      </c>
      <c r="V22">
        <f>SUM($R$2:R22)</f>
        <v>828.81164299082172</v>
      </c>
      <c r="W22">
        <f t="shared" si="8"/>
        <v>1.747589176803487</v>
      </c>
      <c r="Z22">
        <f t="shared" si="11"/>
        <v>2.5807873153204883</v>
      </c>
      <c r="AA22" s="3">
        <v>0.3</v>
      </c>
      <c r="AB22">
        <f t="shared" si="1"/>
        <v>612.55209109331463</v>
      </c>
      <c r="AC22">
        <f t="shared" si="10"/>
        <v>726.15713250920635</v>
      </c>
      <c r="AD22" s="3">
        <v>0.2</v>
      </c>
      <c r="AE22">
        <f t="shared" si="2"/>
        <v>145.23142650184127</v>
      </c>
      <c r="AF22">
        <f t="shared" si="3"/>
        <v>1</v>
      </c>
    </row>
    <row r="23" spans="1:32">
      <c r="A23" s="2">
        <v>22</v>
      </c>
      <c r="B23">
        <f t="shared" si="4"/>
        <v>5.0338337153572468</v>
      </c>
      <c r="C23" s="3">
        <v>0.08</v>
      </c>
      <c r="D23">
        <f t="shared" si="5"/>
        <v>35.538866030422149</v>
      </c>
      <c r="Q23">
        <f t="shared" si="9"/>
        <v>35.538866030422191</v>
      </c>
      <c r="R23">
        <f t="shared" si="6"/>
        <v>58.380104282320424</v>
      </c>
      <c r="S23">
        <f t="shared" si="7"/>
        <v>198.46687751423397</v>
      </c>
      <c r="T23" s="3">
        <v>0.08</v>
      </c>
      <c r="V23">
        <f>SUM($R$2:R23)</f>
        <v>887.19174727314214</v>
      </c>
      <c r="W23">
        <f t="shared" si="8"/>
        <v>1.8706864320692072</v>
      </c>
      <c r="Z23">
        <f t="shared" si="11"/>
        <v>2.3896178845560074</v>
      </c>
      <c r="AA23" s="3">
        <v>0.3</v>
      </c>
      <c r="AB23">
        <f t="shared" si="1"/>
        <v>661.55625838077992</v>
      </c>
      <c r="AC23">
        <f t="shared" si="10"/>
        <v>769.72656045975873</v>
      </c>
      <c r="AD23" s="3">
        <v>0.2</v>
      </c>
      <c r="AE23">
        <f t="shared" si="2"/>
        <v>153.94531209195176</v>
      </c>
      <c r="AF23">
        <f t="shared" si="3"/>
        <v>1</v>
      </c>
    </row>
    <row r="24" spans="1:32">
      <c r="A24" s="2">
        <v>23</v>
      </c>
      <c r="B24">
        <f t="shared" si="4"/>
        <v>5.4365404125858268</v>
      </c>
      <c r="C24" s="3">
        <v>0.08</v>
      </c>
      <c r="D24">
        <f t="shared" si="5"/>
        <v>38.381975312855921</v>
      </c>
      <c r="Q24">
        <f t="shared" si="9"/>
        <v>38.381975312855971</v>
      </c>
      <c r="R24">
        <f t="shared" si="6"/>
        <v>59.481615683873642</v>
      </c>
      <c r="S24">
        <f t="shared" si="7"/>
        <v>214.34422771537271</v>
      </c>
      <c r="T24" s="3">
        <v>0.08</v>
      </c>
      <c r="V24">
        <f>SUM($R$2:R24)</f>
        <v>946.6733629570158</v>
      </c>
      <c r="W24">
        <f t="shared" si="8"/>
        <v>1.996106277056922</v>
      </c>
      <c r="Z24">
        <f t="shared" si="11"/>
        <v>2.2126091523666731</v>
      </c>
      <c r="AA24" s="3">
        <v>0.3</v>
      </c>
      <c r="AB24">
        <f t="shared" si="1"/>
        <v>714.48075905124244</v>
      </c>
      <c r="AC24">
        <f t="shared" si="10"/>
        <v>815.91015408734427</v>
      </c>
      <c r="AD24" s="3">
        <v>0.2</v>
      </c>
      <c r="AE24">
        <f t="shared" si="2"/>
        <v>163.18203081746887</v>
      </c>
      <c r="AF24">
        <f t="shared" si="3"/>
        <v>1</v>
      </c>
    </row>
    <row r="25" spans="1:32">
      <c r="A25" s="2">
        <v>24</v>
      </c>
      <c r="B25">
        <f t="shared" si="4"/>
        <v>5.8714636455926925</v>
      </c>
      <c r="C25" s="3">
        <v>0.08</v>
      </c>
      <c r="D25">
        <f t="shared" si="5"/>
        <v>41.452533337884397</v>
      </c>
      <c r="Q25">
        <f t="shared" si="9"/>
        <v>41.452533337884454</v>
      </c>
      <c r="R25">
        <f t="shared" si="6"/>
        <v>60.603910319418425</v>
      </c>
      <c r="S25">
        <f t="shared" si="7"/>
        <v>231.49176593260253</v>
      </c>
      <c r="T25" s="3">
        <v>0.08</v>
      </c>
      <c r="V25">
        <f>SUM($R$2:R25)</f>
        <v>1007.2772732764342</v>
      </c>
      <c r="W25">
        <f t="shared" si="8"/>
        <v>2.1238925342142165</v>
      </c>
      <c r="Z25">
        <f t="shared" si="11"/>
        <v>2.0487121781172899</v>
      </c>
      <c r="AA25" s="3">
        <v>0.3</v>
      </c>
      <c r="AB25">
        <f t="shared" si="1"/>
        <v>771.63921977534176</v>
      </c>
      <c r="AC25">
        <f t="shared" si="10"/>
        <v>864.86476333258497</v>
      </c>
      <c r="AD25" s="3">
        <v>0.2</v>
      </c>
      <c r="AE25">
        <f t="shared" si="2"/>
        <v>172.97295266651702</v>
      </c>
      <c r="AF25">
        <f t="shared" si="3"/>
        <v>1</v>
      </c>
    </row>
    <row r="26" spans="1:32">
      <c r="A26" s="2">
        <v>25</v>
      </c>
      <c r="B26">
        <f t="shared" si="4"/>
        <v>6.3411807372401077</v>
      </c>
      <c r="C26" s="3">
        <v>0.08</v>
      </c>
      <c r="D26">
        <f t="shared" si="5"/>
        <v>44.768736004915148</v>
      </c>
      <c r="Q26">
        <f t="shared" si="9"/>
        <v>44.768736004915205</v>
      </c>
      <c r="R26">
        <f t="shared" si="6"/>
        <v>61.747380325445199</v>
      </c>
      <c r="S26">
        <f t="shared" si="7"/>
        <v>250.01110720721076</v>
      </c>
      <c r="T26" s="3">
        <v>0.08</v>
      </c>
      <c r="V26">
        <f>SUM($R$2:R26)</f>
        <v>1069.0246536018794</v>
      </c>
      <c r="W26">
        <f t="shared" si="8"/>
        <v>2.2540898528273088</v>
      </c>
      <c r="Z26">
        <f t="shared" si="11"/>
        <v>1.896955720478972</v>
      </c>
      <c r="AA26" s="3">
        <v>0.3</v>
      </c>
      <c r="AB26">
        <f t="shared" si="1"/>
        <v>833.37035735736924</v>
      </c>
      <c r="AC26">
        <f t="shared" si="10"/>
        <v>916.75664913254013</v>
      </c>
      <c r="AD26" s="3">
        <v>0.2</v>
      </c>
      <c r="AE26">
        <f t="shared" si="2"/>
        <v>183.35132982650805</v>
      </c>
      <c r="AF26">
        <f t="shared" si="3"/>
        <v>1</v>
      </c>
    </row>
    <row r="27" spans="1:32">
      <c r="A27" s="2">
        <v>26</v>
      </c>
      <c r="B27">
        <f t="shared" si="4"/>
        <v>6.848475196219316</v>
      </c>
      <c r="C27" s="3">
        <v>0.08</v>
      </c>
      <c r="D27">
        <f t="shared" si="5"/>
        <v>48.35023488530836</v>
      </c>
      <c r="Q27">
        <f t="shared" si="9"/>
        <v>48.350234885308431</v>
      </c>
      <c r="R27">
        <f t="shared" si="6"/>
        <v>62.912425237246062</v>
      </c>
      <c r="S27">
        <f t="shared" si="7"/>
        <v>270.01199578378765</v>
      </c>
      <c r="T27" s="3">
        <v>0.08</v>
      </c>
      <c r="V27">
        <f>SUM($R$2:R27)</f>
        <v>1131.9370788391254</v>
      </c>
      <c r="W27">
        <f t="shared" si="8"/>
        <v>2.38674372462178</v>
      </c>
      <c r="Z27">
        <f t="shared" si="11"/>
        <v>1.7564404819249739</v>
      </c>
      <c r="AA27" s="3">
        <v>0.3</v>
      </c>
      <c r="AB27">
        <f t="shared" si="1"/>
        <v>900.03998594595885</v>
      </c>
      <c r="AC27">
        <f t="shared" si="10"/>
        <v>971.7620480804926</v>
      </c>
      <c r="AD27" s="3">
        <v>0.2</v>
      </c>
      <c r="AE27">
        <f t="shared" si="2"/>
        <v>194.35240961609853</v>
      </c>
      <c r="AF27">
        <f t="shared" si="3"/>
        <v>1</v>
      </c>
    </row>
    <row r="28" spans="1:32">
      <c r="A28" s="2">
        <v>27</v>
      </c>
      <c r="B28">
        <f t="shared" si="4"/>
        <v>7.3963532119168613</v>
      </c>
      <c r="C28" s="3">
        <v>0.08</v>
      </c>
      <c r="D28">
        <f t="shared" si="5"/>
        <v>52.218253676133031</v>
      </c>
      <c r="Q28">
        <f t="shared" si="9"/>
        <v>52.218253676133102</v>
      </c>
      <c r="R28">
        <f t="shared" si="6"/>
        <v>64.099452128514855</v>
      </c>
      <c r="S28">
        <f t="shared" si="7"/>
        <v>291.61295544649067</v>
      </c>
      <c r="T28" s="3">
        <v>0.08</v>
      </c>
      <c r="V28">
        <f>SUM($R$2:R28)</f>
        <v>1196.0365309676404</v>
      </c>
      <c r="W28">
        <f t="shared" si="8"/>
        <v>2.5219004996576571</v>
      </c>
      <c r="Z28">
        <f t="shared" si="11"/>
        <v>1.6263337795601609</v>
      </c>
      <c r="AA28" s="3">
        <v>0.3</v>
      </c>
      <c r="AB28">
        <f t="shared" si="1"/>
        <v>972.04318482163558</v>
      </c>
      <c r="AC28">
        <f t="shared" si="10"/>
        <v>1030.0677709653223</v>
      </c>
      <c r="AD28" s="3">
        <v>0.2</v>
      </c>
      <c r="AE28">
        <f t="shared" si="2"/>
        <v>206.01355419306446</v>
      </c>
      <c r="AF28">
        <f t="shared" si="3"/>
        <v>1</v>
      </c>
    </row>
    <row r="29" spans="1:32">
      <c r="A29" s="2">
        <v>28</v>
      </c>
      <c r="B29">
        <f t="shared" si="4"/>
        <v>7.9880614688702103</v>
      </c>
      <c r="C29" s="3">
        <v>0.08</v>
      </c>
      <c r="D29">
        <f t="shared" si="5"/>
        <v>56.395713970223674</v>
      </c>
      <c r="Q29">
        <f t="shared" si="9"/>
        <v>56.395713970223753</v>
      </c>
      <c r="R29">
        <f t="shared" si="6"/>
        <v>65.308875753581162</v>
      </c>
      <c r="S29">
        <f t="shared" si="7"/>
        <v>314.94199188220995</v>
      </c>
      <c r="T29" s="3">
        <v>0.08</v>
      </c>
      <c r="V29">
        <f>SUM($R$2:R29)</f>
        <v>1261.3454067212215</v>
      </c>
      <c r="W29">
        <f t="shared" si="8"/>
        <v>2.659607402524399</v>
      </c>
      <c r="Z29">
        <f t="shared" si="11"/>
        <v>1.5058646107038527</v>
      </c>
      <c r="AA29" s="3">
        <v>0.3</v>
      </c>
      <c r="AB29">
        <f t="shared" si="1"/>
        <v>1049.8066396073666</v>
      </c>
      <c r="AC29">
        <f t="shared" si="10"/>
        <v>1091.8718372232418</v>
      </c>
      <c r="AD29" s="3">
        <v>0.2</v>
      </c>
      <c r="AE29">
        <f t="shared" si="2"/>
        <v>218.37436744464836</v>
      </c>
      <c r="AF29">
        <f t="shared" si="3"/>
        <v>1</v>
      </c>
    </row>
    <row r="30" spans="1:32">
      <c r="A30" s="2">
        <v>29</v>
      </c>
      <c r="B30">
        <f t="shared" si="4"/>
        <v>8.6271063863798272</v>
      </c>
      <c r="C30" s="3">
        <v>0.08</v>
      </c>
      <c r="D30">
        <f t="shared" si="5"/>
        <v>60.907371087841568</v>
      </c>
      <c r="Q30">
        <f t="shared" si="9"/>
        <v>60.907371087841653</v>
      </c>
      <c r="R30">
        <f t="shared" si="6"/>
        <v>66.541118692327984</v>
      </c>
      <c r="S30">
        <f t="shared" si="7"/>
        <v>340.13735123278678</v>
      </c>
      <c r="T30" s="3">
        <v>0.08</v>
      </c>
      <c r="V30">
        <f>SUM($R$2:R30)</f>
        <v>1327.8865254135494</v>
      </c>
      <c r="W30">
        <f t="shared" si="8"/>
        <v>2.7999125488414571</v>
      </c>
      <c r="Z30">
        <f t="shared" si="11"/>
        <v>1.3943190839850486</v>
      </c>
      <c r="AA30" s="3">
        <v>0.3</v>
      </c>
      <c r="AB30">
        <f t="shared" si="1"/>
        <v>1133.7911707759561</v>
      </c>
      <c r="AC30">
        <f t="shared" si="10"/>
        <v>1157.3841474566364</v>
      </c>
      <c r="AD30" s="3">
        <v>0.2</v>
      </c>
      <c r="AE30">
        <f t="shared" si="2"/>
        <v>231.47682949132729</v>
      </c>
      <c r="AF30">
        <f t="shared" si="3"/>
        <v>1</v>
      </c>
    </row>
    <row r="31" spans="1:32">
      <c r="A31" s="2">
        <v>30</v>
      </c>
      <c r="B31">
        <f t="shared" si="4"/>
        <v>9.3172748972902131</v>
      </c>
      <c r="C31" s="3">
        <v>0.08</v>
      </c>
      <c r="D31">
        <f t="shared" si="5"/>
        <v>65.779960774868897</v>
      </c>
      <c r="Q31">
        <f t="shared" si="9"/>
        <v>65.779960774868982</v>
      </c>
      <c r="R31">
        <f t="shared" si="6"/>
        <v>67.796611497843614</v>
      </c>
      <c r="S31">
        <f t="shared" si="7"/>
        <v>367.34833933140976</v>
      </c>
      <c r="T31" s="3">
        <v>0.08</v>
      </c>
      <c r="V31">
        <f>SUM($R$2:R31)</f>
        <v>1395.6831369113929</v>
      </c>
      <c r="W31">
        <f t="shared" si="8"/>
        <v>2.9428649620701575</v>
      </c>
      <c r="Z31">
        <f t="shared" si="11"/>
        <v>1.2910361888750448</v>
      </c>
      <c r="AA31" s="3">
        <v>0.3</v>
      </c>
      <c r="AB31">
        <f t="shared" si="1"/>
        <v>1224.4944644380325</v>
      </c>
      <c r="AC31">
        <f t="shared" si="10"/>
        <v>1226.8271963040345</v>
      </c>
      <c r="AD31" s="3">
        <v>0.2</v>
      </c>
      <c r="AE31">
        <f t="shared" si="2"/>
        <v>245.36543926080691</v>
      </c>
      <c r="AF31">
        <f t="shared" si="3"/>
        <v>1</v>
      </c>
    </row>
    <row r="32" spans="1:32">
      <c r="A32" s="2">
        <v>31</v>
      </c>
      <c r="B32">
        <f t="shared" si="4"/>
        <v>10.06265688907343</v>
      </c>
      <c r="C32" s="3">
        <v>0.08</v>
      </c>
      <c r="D32">
        <f t="shared" si="5"/>
        <v>71.042357636858412</v>
      </c>
      <c r="Q32">
        <f t="shared" si="9"/>
        <v>71.042357636858512</v>
      </c>
      <c r="R32">
        <f t="shared" si="6"/>
        <v>69.075792846859528</v>
      </c>
      <c r="S32">
        <f t="shared" si="7"/>
        <v>396.73620647792256</v>
      </c>
      <c r="T32" s="3">
        <v>0.08</v>
      </c>
      <c r="V32">
        <f>SUM($R$2:R32)</f>
        <v>1464.7589297582524</v>
      </c>
      <c r="W32">
        <f t="shared" si="8"/>
        <v>3.088514590642796</v>
      </c>
      <c r="Z32">
        <f t="shared" si="11"/>
        <v>1.1954038785880043</v>
      </c>
      <c r="AA32" s="3">
        <v>0.3</v>
      </c>
      <c r="AB32">
        <f t="shared" si="1"/>
        <v>1322.4540215930754</v>
      </c>
      <c r="AC32">
        <f t="shared" si="10"/>
        <v>1300.4368280822766</v>
      </c>
      <c r="AD32" s="3">
        <v>0.2</v>
      </c>
      <c r="AE32">
        <f t="shared" si="2"/>
        <v>260.08736561645532</v>
      </c>
      <c r="AF32">
        <f t="shared" si="3"/>
        <v>1</v>
      </c>
    </row>
    <row r="33" spans="1:32">
      <c r="A33" s="2">
        <v>32</v>
      </c>
      <c r="B33">
        <f t="shared" si="4"/>
        <v>10.867669440199306</v>
      </c>
      <c r="C33" s="3">
        <v>0.08</v>
      </c>
      <c r="D33">
        <f t="shared" si="5"/>
        <v>76.725746247807081</v>
      </c>
      <c r="Q33">
        <f t="shared" si="9"/>
        <v>76.725746247807209</v>
      </c>
      <c r="R33">
        <f t="shared" si="6"/>
        <v>70.379109693026678</v>
      </c>
      <c r="S33">
        <f t="shared" si="7"/>
        <v>428.47510299615641</v>
      </c>
      <c r="T33" s="3">
        <v>0.08</v>
      </c>
      <c r="V33">
        <f>SUM($R$2:R33)</f>
        <v>1535.1380394512792</v>
      </c>
      <c r="W33">
        <f t="shared" si="8"/>
        <v>3.2369123254149184</v>
      </c>
      <c r="Z33">
        <f t="shared" si="11"/>
        <v>1.106855443137041</v>
      </c>
      <c r="AA33" s="3">
        <v>0.3</v>
      </c>
      <c r="AB33">
        <f t="shared" si="1"/>
        <v>1428.2503433205213</v>
      </c>
      <c r="AC33">
        <f t="shared" si="10"/>
        <v>1378.4630377672133</v>
      </c>
      <c r="AD33" s="3">
        <v>0.2</v>
      </c>
      <c r="AE33">
        <f t="shared" si="2"/>
        <v>275.69260755344266</v>
      </c>
      <c r="AF33">
        <f t="shared" si="3"/>
        <v>1</v>
      </c>
    </row>
    <row r="34" spans="1:32">
      <c r="A34" s="2">
        <v>33</v>
      </c>
      <c r="B34">
        <f t="shared" si="4"/>
        <v>11.73708299541525</v>
      </c>
      <c r="C34" s="3">
        <v>0.08</v>
      </c>
      <c r="D34">
        <f t="shared" si="5"/>
        <v>82.863805947631647</v>
      </c>
      <c r="Q34">
        <f t="shared" si="9"/>
        <v>82.863805947631789</v>
      </c>
      <c r="R34">
        <f t="shared" si="6"/>
        <v>71.707017423083812</v>
      </c>
      <c r="S34">
        <f t="shared" si="7"/>
        <v>462.75311123584896</v>
      </c>
      <c r="T34" s="3">
        <v>0.08</v>
      </c>
      <c r="V34">
        <f>SUM($R$2:R34)</f>
        <v>1606.8450568743629</v>
      </c>
      <c r="W34">
        <f t="shared" si="8"/>
        <v>3.3881100174468917</v>
      </c>
      <c r="Z34">
        <f t="shared" si="11"/>
        <v>1.0248661510528156</v>
      </c>
      <c r="AA34" s="3">
        <v>0.3</v>
      </c>
      <c r="AB34">
        <f t="shared" si="1"/>
        <v>1542.5103707861633</v>
      </c>
      <c r="AC34">
        <f t="shared" si="10"/>
        <v>1461.1708200332462</v>
      </c>
      <c r="AD34" s="3">
        <v>0.2</v>
      </c>
      <c r="AE34">
        <f t="shared" si="2"/>
        <v>292.23416400664922</v>
      </c>
      <c r="AF34">
        <f t="shared" si="3"/>
        <v>1</v>
      </c>
    </row>
    <row r="35" spans="1:32">
      <c r="A35" s="2">
        <v>34</v>
      </c>
      <c r="B35">
        <f t="shared" si="4"/>
        <v>12.67604963504847</v>
      </c>
      <c r="C35" s="3">
        <v>0.08</v>
      </c>
      <c r="D35">
        <f t="shared" si="5"/>
        <v>89.492910423442183</v>
      </c>
      <c r="Q35">
        <f t="shared" si="9"/>
        <v>89.492910423442325</v>
      </c>
      <c r="R35">
        <f t="shared" si="6"/>
        <v>73.059980015972187</v>
      </c>
      <c r="S35">
        <f t="shared" si="7"/>
        <v>499.77336013471694</v>
      </c>
      <c r="T35" s="3">
        <v>0.08</v>
      </c>
      <c r="V35">
        <f>SUM($R$2:R35)</f>
        <v>1679.9050368903349</v>
      </c>
      <c r="W35">
        <f t="shared" si="8"/>
        <v>3.5421604961209781</v>
      </c>
      <c r="Z35">
        <f t="shared" si="11"/>
        <v>0.94895013986371812</v>
      </c>
      <c r="AA35" s="3">
        <v>0.3</v>
      </c>
      <c r="AB35">
        <f t="shared" si="1"/>
        <v>1665.9112004490564</v>
      </c>
      <c r="AC35">
        <f t="shared" si="10"/>
        <v>1548.8410692352411</v>
      </c>
      <c r="AD35" s="3">
        <v>0.2</v>
      </c>
      <c r="AE35">
        <f t="shared" si="2"/>
        <v>309.76821384704823</v>
      </c>
      <c r="AF35">
        <f t="shared" si="3"/>
        <v>1</v>
      </c>
    </row>
    <row r="36" spans="1:32">
      <c r="A36" s="2">
        <v>35</v>
      </c>
      <c r="B36">
        <f t="shared" si="4"/>
        <v>13.690133605852347</v>
      </c>
      <c r="C36" s="3">
        <v>0.08</v>
      </c>
      <c r="D36">
        <f t="shared" si="5"/>
        <v>96.652343257317554</v>
      </c>
      <c r="Q36">
        <f t="shared" si="9"/>
        <v>96.65234325731771</v>
      </c>
      <c r="R36">
        <f t="shared" si="6"/>
        <v>74.438470204952793</v>
      </c>
      <c r="S36">
        <f t="shared" si="7"/>
        <v>539.75522894549431</v>
      </c>
      <c r="T36" s="3">
        <v>0.08</v>
      </c>
      <c r="V36">
        <f>SUM($R$2:R36)</f>
        <v>1754.3435070952878</v>
      </c>
      <c r="W36">
        <f t="shared" si="8"/>
        <v>3.6991175876002358</v>
      </c>
      <c r="Z36">
        <f t="shared" si="11"/>
        <v>0.87865753691085002</v>
      </c>
      <c r="AA36" s="3">
        <v>0.3</v>
      </c>
      <c r="AB36">
        <f t="shared" si="1"/>
        <v>1799.1840964849812</v>
      </c>
      <c r="AC36">
        <f t="shared" si="10"/>
        <v>1641.7715333893557</v>
      </c>
      <c r="AD36" s="3">
        <v>0.2</v>
      </c>
      <c r="AE36">
        <f t="shared" si="2"/>
        <v>328.35430667787114</v>
      </c>
      <c r="AF36">
        <f t="shared" si="3"/>
        <v>1</v>
      </c>
    </row>
    <row r="37" spans="1:32">
      <c r="A37" s="2">
        <v>36</v>
      </c>
      <c r="B37">
        <f t="shared" si="4"/>
        <v>14.785344294320534</v>
      </c>
      <c r="C37" s="3">
        <v>0.08</v>
      </c>
      <c r="D37">
        <f t="shared" si="5"/>
        <v>104.38453071790296</v>
      </c>
      <c r="Q37">
        <f t="shared" si="9"/>
        <v>104.38453071790315</v>
      </c>
      <c r="R37">
        <f t="shared" si="6"/>
        <v>75.84296964278208</v>
      </c>
      <c r="S37">
        <f t="shared" si="7"/>
        <v>582.93564726113391</v>
      </c>
      <c r="T37" s="3">
        <v>0.08</v>
      </c>
      <c r="V37">
        <f>SUM($R$2:R37)</f>
        <v>1830.1864767380698</v>
      </c>
      <c r="W37">
        <f t="shared" si="8"/>
        <v>3.8590361336357057</v>
      </c>
      <c r="Z37">
        <f t="shared" si="11"/>
        <v>0.81357179343597219</v>
      </c>
      <c r="AA37" s="3">
        <v>0.3</v>
      </c>
      <c r="AB37">
        <f t="shared" si="1"/>
        <v>1943.1188242037797</v>
      </c>
      <c r="AC37">
        <f t="shared" si="10"/>
        <v>1740.2778253927172</v>
      </c>
      <c r="AD37" s="3">
        <v>0.2</v>
      </c>
      <c r="AE37">
        <f t="shared" si="2"/>
        <v>348.05556507854345</v>
      </c>
      <c r="AF37">
        <f t="shared" si="3"/>
        <v>1</v>
      </c>
    </row>
    <row r="38" spans="1:32">
      <c r="A38" s="2">
        <v>37</v>
      </c>
      <c r="B38">
        <f t="shared" si="4"/>
        <v>15.968171837866176</v>
      </c>
      <c r="C38" s="3">
        <v>0.08</v>
      </c>
      <c r="D38">
        <f t="shared" si="5"/>
        <v>112.7352931753352</v>
      </c>
      <c r="Q38">
        <f t="shared" si="9"/>
        <v>112.73529317533541</v>
      </c>
      <c r="R38">
        <f t="shared" si="6"/>
        <v>77.273969070004384</v>
      </c>
      <c r="S38">
        <f t="shared" si="7"/>
        <v>629.57049904202461</v>
      </c>
      <c r="T38" s="3">
        <v>0.08</v>
      </c>
      <c r="V38">
        <f>SUM($R$2:R38)</f>
        <v>1907.4604458080742</v>
      </c>
      <c r="W38" s="11">
        <f t="shared" si="8"/>
        <v>4.0219720107284491</v>
      </c>
      <c r="Z38">
        <f t="shared" si="11"/>
        <v>0.75330721614441876</v>
      </c>
      <c r="AA38" s="3">
        <v>0.3</v>
      </c>
      <c r="AB38">
        <f t="shared" si="1"/>
        <v>2098.5683301400823</v>
      </c>
      <c r="AC38">
        <f t="shared" si="10"/>
        <v>1844.6944949162803</v>
      </c>
      <c r="AD38" s="3">
        <v>0.2</v>
      </c>
      <c r="AE38">
        <f t="shared" si="2"/>
        <v>368.93889898325608</v>
      </c>
      <c r="AF38">
        <f t="shared" si="3"/>
        <v>1</v>
      </c>
    </row>
    <row r="39" spans="1:32">
      <c r="A39" s="2">
        <v>38</v>
      </c>
      <c r="B39">
        <f t="shared" si="4"/>
        <v>17.245625584895471</v>
      </c>
      <c r="C39" s="3">
        <v>0.08</v>
      </c>
      <c r="D39">
        <f t="shared" si="5"/>
        <v>121.75411662936202</v>
      </c>
      <c r="Q39">
        <f t="shared" si="9"/>
        <v>121.75411662936224</v>
      </c>
      <c r="R39">
        <f t="shared" si="6"/>
        <v>78.731968486419561</v>
      </c>
      <c r="S39">
        <f t="shared" si="7"/>
        <v>679.93613896538659</v>
      </c>
      <c r="T39" s="3">
        <v>0.08</v>
      </c>
      <c r="V39">
        <f>SUM($R$2:R39)</f>
        <v>1986.1924142944938</v>
      </c>
      <c r="W39">
        <f t="shared" si="8"/>
        <v>4.1879821496531306</v>
      </c>
      <c r="Z39">
        <f t="shared" si="11"/>
        <v>0.69750668161520246</v>
      </c>
      <c r="AA39" s="3">
        <v>0.3</v>
      </c>
      <c r="AB39">
        <f t="shared" si="1"/>
        <v>2266.4537965512886</v>
      </c>
      <c r="AC39">
        <f t="shared" si="10"/>
        <v>1955.3761646112573</v>
      </c>
      <c r="AD39" s="3">
        <v>0.2</v>
      </c>
      <c r="AE39">
        <f t="shared" si="2"/>
        <v>391.07523292225147</v>
      </c>
      <c r="AF39">
        <f t="shared" si="3"/>
        <v>1</v>
      </c>
    </row>
    <row r="40" spans="1:32">
      <c r="A40" s="2">
        <v>39</v>
      </c>
      <c r="B40">
        <f t="shared" si="4"/>
        <v>18.62527563168711</v>
      </c>
      <c r="C40" s="3">
        <v>0.08</v>
      </c>
      <c r="D40">
        <f t="shared" si="5"/>
        <v>131.49444595971099</v>
      </c>
      <c r="Q40">
        <f t="shared" si="9"/>
        <v>131.49444595971124</v>
      </c>
      <c r="R40">
        <f t="shared" si="6"/>
        <v>80.21747732578595</v>
      </c>
      <c r="S40">
        <f t="shared" si="7"/>
        <v>734.33103008261753</v>
      </c>
      <c r="T40" s="3">
        <v>0.08</v>
      </c>
      <c r="V40">
        <f>SUM($R$2:R40)</f>
        <v>2066.4098916202797</v>
      </c>
      <c r="W40">
        <f t="shared" si="8"/>
        <v>4.3571245553499764</v>
      </c>
      <c r="Z40">
        <f t="shared" si="11"/>
        <v>0.64583952001407641</v>
      </c>
      <c r="AA40" s="3">
        <v>0.3</v>
      </c>
      <c r="AB40">
        <f t="shared" si="1"/>
        <v>2447.770100275392</v>
      </c>
      <c r="AC40">
        <f t="shared" si="10"/>
        <v>2072.6987344879331</v>
      </c>
      <c r="AD40" s="3">
        <v>0.2</v>
      </c>
      <c r="AE40">
        <f t="shared" si="2"/>
        <v>414.53974689758661</v>
      </c>
      <c r="AF40">
        <f t="shared" si="3"/>
        <v>1</v>
      </c>
    </row>
    <row r="41" spans="1:32">
      <c r="A41" s="2">
        <v>40</v>
      </c>
      <c r="B41">
        <f t="shared" si="4"/>
        <v>20.115297682222078</v>
      </c>
      <c r="C41" s="3">
        <v>0.08</v>
      </c>
      <c r="D41">
        <f t="shared" si="5"/>
        <v>142.01400163648788</v>
      </c>
      <c r="Q41">
        <f t="shared" si="9"/>
        <v>142.01400163648813</v>
      </c>
      <c r="R41">
        <f t="shared" si="6"/>
        <v>81.73101463381964</v>
      </c>
      <c r="S41">
        <f t="shared" si="7"/>
        <v>793.07751248922693</v>
      </c>
      <c r="T41" s="3">
        <v>0.08</v>
      </c>
      <c r="V41">
        <f>SUM($R$2:R41)</f>
        <v>2148.1409062540993</v>
      </c>
      <c r="W41">
        <f t="shared" si="8"/>
        <v>4.529458327192045</v>
      </c>
      <c r="Z41">
        <f t="shared" si="11"/>
        <v>0.59799955556858919</v>
      </c>
      <c r="AA41" s="3">
        <v>0.3</v>
      </c>
      <c r="AB41">
        <f t="shared" si="1"/>
        <v>2643.5917082974233</v>
      </c>
      <c r="AC41">
        <f t="shared" si="10"/>
        <v>2197.0606585572091</v>
      </c>
      <c r="AD41" s="3">
        <v>0.2</v>
      </c>
      <c r="AE41">
        <f t="shared" si="2"/>
        <v>439.41213171144182</v>
      </c>
      <c r="AF41">
        <f t="shared" si="3"/>
        <v>1</v>
      </c>
    </row>
    <row r="42" spans="1:32">
      <c r="A42" s="2">
        <v>41</v>
      </c>
      <c r="B42">
        <f t="shared" si="4"/>
        <v>21.724521496799845</v>
      </c>
      <c r="C42" s="3">
        <v>0.08</v>
      </c>
      <c r="D42">
        <f t="shared" si="5"/>
        <v>153.37512176740691</v>
      </c>
      <c r="Q42">
        <f t="shared" si="9"/>
        <v>153.37512176740719</v>
      </c>
      <c r="R42">
        <f t="shared" si="6"/>
        <v>83.273109249552107</v>
      </c>
      <c r="S42">
        <f t="shared" si="7"/>
        <v>856.52371348836516</v>
      </c>
      <c r="T42" s="3">
        <v>0.08</v>
      </c>
      <c r="V42" s="1">
        <f>SUM($R$2:R42)</f>
        <v>2231.4140155036512</v>
      </c>
      <c r="W42">
        <f t="shared" si="8"/>
        <v>4.7050436796349073</v>
      </c>
      <c r="Z42">
        <f t="shared" si="11"/>
        <v>0.55370329219313819</v>
      </c>
      <c r="AA42" s="3">
        <v>0.3</v>
      </c>
      <c r="AB42">
        <f t="shared" si="1"/>
        <v>2855.0790449612173</v>
      </c>
      <c r="AC42">
        <f t="shared" si="10"/>
        <v>2328.8842980706418</v>
      </c>
      <c r="AD42" s="3">
        <v>0.2</v>
      </c>
      <c r="AE42">
        <f t="shared" si="2"/>
        <v>465.7768596141284</v>
      </c>
      <c r="AF42">
        <f t="shared" si="3"/>
        <v>1</v>
      </c>
    </row>
    <row r="43" spans="1:32">
      <c r="A43" s="2">
        <v>42</v>
      </c>
      <c r="B43">
        <f t="shared" si="4"/>
        <v>23.462483216543834</v>
      </c>
      <c r="C43" s="3">
        <v>0.08</v>
      </c>
      <c r="D43">
        <f t="shared" si="5"/>
        <v>165.64513150879947</v>
      </c>
      <c r="Q43">
        <f t="shared" si="9"/>
        <v>165.64513150879978</v>
      </c>
      <c r="R43">
        <f t="shared" si="6"/>
        <v>84.844299990109704</v>
      </c>
      <c r="S43">
        <f t="shared" si="7"/>
        <v>925.04561056743444</v>
      </c>
      <c r="T43" s="3">
        <v>0.08</v>
      </c>
      <c r="V43">
        <f>SUM($R$2:R43)</f>
        <v>2316.2583154937611</v>
      </c>
      <c r="W43">
        <f t="shared" si="8"/>
        <v>4.8839419632559382</v>
      </c>
      <c r="Z43">
        <f t="shared" si="11"/>
        <v>0.51268823351216486</v>
      </c>
      <c r="AA43" s="3">
        <v>0.3</v>
      </c>
      <c r="AB43">
        <f t="shared" si="1"/>
        <v>3083.4853685581147</v>
      </c>
      <c r="AC43">
        <f t="shared" si="10"/>
        <v>2468.6173559548802</v>
      </c>
      <c r="AD43" s="3">
        <v>0.2</v>
      </c>
      <c r="AE43">
        <f t="shared" si="2"/>
        <v>493.72347119097606</v>
      </c>
      <c r="AF43">
        <f t="shared" si="3"/>
        <v>1</v>
      </c>
    </row>
    <row r="44" spans="1:32">
      <c r="A44" s="2">
        <v>43</v>
      </c>
      <c r="B44">
        <f t="shared" si="4"/>
        <v>25.339481873867342</v>
      </c>
      <c r="C44" s="3">
        <v>0.08</v>
      </c>
      <c r="D44">
        <f t="shared" si="5"/>
        <v>178.89674202950343</v>
      </c>
      <c r="Q44">
        <f t="shared" si="9"/>
        <v>178.89674202950374</v>
      </c>
      <c r="R44">
        <f t="shared" si="6"/>
        <v>86.445135838979681</v>
      </c>
      <c r="S44">
        <f t="shared" si="7"/>
        <v>999.0492594128292</v>
      </c>
      <c r="T44" s="3">
        <v>0.08</v>
      </c>
      <c r="V44">
        <f>SUM($R$2:R44)</f>
        <v>2402.7034513327408</v>
      </c>
      <c r="W44">
        <f t="shared" si="8"/>
        <v>5.0662156861905725</v>
      </c>
      <c r="Z44">
        <f t="shared" si="11"/>
        <v>0.47471132732607862</v>
      </c>
      <c r="AA44" s="3">
        <v>0.3</v>
      </c>
      <c r="AB44">
        <f t="shared" si="1"/>
        <v>3330.1641980427639</v>
      </c>
      <c r="AC44">
        <f t="shared" si="10"/>
        <v>2616.7343973121733</v>
      </c>
      <c r="AD44" s="3">
        <v>0.2</v>
      </c>
      <c r="AE44">
        <f t="shared" si="2"/>
        <v>523.34687946243469</v>
      </c>
      <c r="AF44">
        <f t="shared" si="3"/>
        <v>1</v>
      </c>
    </row>
    <row r="45" spans="1:32">
      <c r="A45" s="2">
        <v>44</v>
      </c>
      <c r="B45">
        <f t="shared" si="4"/>
        <v>27.36664042377673</v>
      </c>
      <c r="C45" s="3">
        <v>0.08</v>
      </c>
      <c r="D45">
        <f t="shared" si="5"/>
        <v>193.2084813918637</v>
      </c>
      <c r="Q45">
        <f t="shared" si="9"/>
        <v>193.20848139186404</v>
      </c>
      <c r="R45">
        <f t="shared" si="6"/>
        <v>88.076176137828355</v>
      </c>
      <c r="S45">
        <f t="shared" si="7"/>
        <v>1078.9732001658556</v>
      </c>
      <c r="T45" s="3">
        <v>0.08</v>
      </c>
      <c r="V45">
        <f>SUM($R$2:R45)</f>
        <v>2490.7796274705693</v>
      </c>
      <c r="W45">
        <f t="shared" si="8"/>
        <v>5.2519285359730299</v>
      </c>
      <c r="Z45">
        <f t="shared" si="11"/>
        <v>0.43954752530192465</v>
      </c>
      <c r="AA45" s="3">
        <v>0.3</v>
      </c>
      <c r="AB45">
        <f t="shared" si="1"/>
        <v>3596.5773338861854</v>
      </c>
      <c r="AC45">
        <f t="shared" si="10"/>
        <v>2773.7384611509037</v>
      </c>
      <c r="AD45" s="3">
        <v>0.2</v>
      </c>
      <c r="AE45">
        <f t="shared" si="2"/>
        <v>554.74769223018075</v>
      </c>
      <c r="AF45">
        <f t="shared" si="3"/>
        <v>1</v>
      </c>
    </row>
    <row r="46" spans="1:32">
      <c r="A46" s="2">
        <v>45</v>
      </c>
      <c r="B46">
        <f t="shared" si="4"/>
        <v>29.555971657678867</v>
      </c>
      <c r="C46" s="3">
        <v>0.08</v>
      </c>
      <c r="D46">
        <f t="shared" si="5"/>
        <v>208.66515990321278</v>
      </c>
      <c r="Q46">
        <f t="shared" si="9"/>
        <v>208.66515990321321</v>
      </c>
      <c r="R46">
        <f t="shared" si="6"/>
        <v>89.737990781938322</v>
      </c>
      <c r="S46">
        <f t="shared" si="7"/>
        <v>1165.2910561791241</v>
      </c>
      <c r="T46" s="3">
        <v>0.08</v>
      </c>
      <c r="V46">
        <f>SUM($R$2:R46)</f>
        <v>2580.5176182525074</v>
      </c>
      <c r="W46">
        <f t="shared" si="8"/>
        <v>5.441145401789119</v>
      </c>
      <c r="Z46">
        <f t="shared" si="11"/>
        <v>0.40698844935363387</v>
      </c>
      <c r="AA46" s="3">
        <v>0.3</v>
      </c>
      <c r="AB46">
        <f t="shared" si="1"/>
        <v>3884.3035205970805</v>
      </c>
      <c r="AC46">
        <f t="shared" si="10"/>
        <v>2940.1627688199583</v>
      </c>
      <c r="AD46" s="3">
        <v>0.2</v>
      </c>
      <c r="AE46">
        <f t="shared" si="2"/>
        <v>588.0325537639917</v>
      </c>
      <c r="AF46">
        <f t="shared" si="3"/>
        <v>1</v>
      </c>
    </row>
    <row r="47" spans="1:32">
      <c r="A47" s="2">
        <v>46</v>
      </c>
      <c r="B47">
        <f t="shared" si="4"/>
        <v>31.920449390293179</v>
      </c>
      <c r="C47" s="3">
        <v>0.08</v>
      </c>
      <c r="D47">
        <f t="shared" si="5"/>
        <v>225.3583726954698</v>
      </c>
      <c r="Q47">
        <f t="shared" si="9"/>
        <v>225.35837269547025</v>
      </c>
      <c r="R47">
        <f t="shared" si="6"/>
        <v>91.431160419333395</v>
      </c>
      <c r="S47">
        <f t="shared" si="7"/>
        <v>1258.5143406734542</v>
      </c>
      <c r="T47" s="3">
        <v>0.08</v>
      </c>
      <c r="V47">
        <f>SUM($R$2:R47)</f>
        <v>2671.948778671841</v>
      </c>
      <c r="W47">
        <f t="shared" si="8"/>
        <v>5.6339323971489081</v>
      </c>
      <c r="Z47">
        <f t="shared" si="11"/>
        <v>0.37684115680892022</v>
      </c>
      <c r="AA47" s="3">
        <v>0.3</v>
      </c>
      <c r="AB47">
        <f t="shared" si="1"/>
        <v>4195.0478022448478</v>
      </c>
      <c r="AC47">
        <f t="shared" si="10"/>
        <v>3116.5725349491559</v>
      </c>
      <c r="AD47" s="3">
        <v>0.2</v>
      </c>
      <c r="AE47">
        <f t="shared" si="2"/>
        <v>623.31450698983122</v>
      </c>
      <c r="AF47">
        <f t="shared" si="3"/>
        <v>1</v>
      </c>
    </row>
    <row r="48" spans="1:32">
      <c r="A48" s="2">
        <v>47</v>
      </c>
      <c r="B48">
        <f t="shared" si="4"/>
        <v>34.474085341516634</v>
      </c>
      <c r="C48" s="3">
        <v>0.08</v>
      </c>
      <c r="D48">
        <f t="shared" si="5"/>
        <v>243.38704251110738</v>
      </c>
      <c r="Q48">
        <f t="shared" si="9"/>
        <v>243.38704251110792</v>
      </c>
      <c r="R48">
        <f t="shared" si="6"/>
        <v>93.156276653660441</v>
      </c>
      <c r="S48">
        <f t="shared" si="7"/>
        <v>1359.1954879273305</v>
      </c>
      <c r="T48" s="3">
        <v>0.08</v>
      </c>
      <c r="V48">
        <f>SUM($R$2:R48)</f>
        <v>2765.1050553255013</v>
      </c>
      <c r="W48">
        <f t="shared" si="8"/>
        <v>5.830356882987183</v>
      </c>
      <c r="Z48">
        <f t="shared" si="11"/>
        <v>0.34892699704529651</v>
      </c>
      <c r="AA48" s="3">
        <v>0.3</v>
      </c>
      <c r="AB48">
        <f t="shared" si="1"/>
        <v>4530.6516264244356</v>
      </c>
      <c r="AC48">
        <f t="shared" si="10"/>
        <v>3303.5668870461054</v>
      </c>
      <c r="AD48" s="3">
        <v>0.2</v>
      </c>
      <c r="AE48">
        <f t="shared" si="2"/>
        <v>660.71337740922115</v>
      </c>
      <c r="AF48">
        <f t="shared" si="3"/>
        <v>1</v>
      </c>
    </row>
    <row r="49" spans="1:32">
      <c r="A49" s="2">
        <v>48</v>
      </c>
      <c r="B49">
        <f t="shared" si="4"/>
        <v>37.232012168837969</v>
      </c>
      <c r="C49" s="3">
        <v>0.08</v>
      </c>
      <c r="D49">
        <f t="shared" si="5"/>
        <v>262.85800591199597</v>
      </c>
      <c r="Q49">
        <f t="shared" si="9"/>
        <v>262.8580059119966</v>
      </c>
      <c r="R49">
        <f t="shared" si="6"/>
        <v>94.913942250899282</v>
      </c>
      <c r="S49">
        <f t="shared" si="7"/>
        <v>1467.9311269615171</v>
      </c>
      <c r="T49" s="3">
        <v>0.08</v>
      </c>
      <c r="V49" s="1">
        <f>SUM($R$2:R49)</f>
        <v>2860.0189975764006</v>
      </c>
      <c r="W49">
        <f t="shared" si="8"/>
        <v>6.0304874911997652</v>
      </c>
      <c r="Z49">
        <f t="shared" si="11"/>
        <v>0.32308055281971898</v>
      </c>
      <c r="AA49" s="3">
        <v>0.3</v>
      </c>
      <c r="AB49">
        <f t="shared" si="1"/>
        <v>4893.1037565383904</v>
      </c>
      <c r="AC49">
        <f t="shared" si="10"/>
        <v>3501.7809002688718</v>
      </c>
      <c r="AD49" s="3">
        <v>0.2</v>
      </c>
      <c r="AE49">
        <f t="shared" si="2"/>
        <v>700.35618005377444</v>
      </c>
      <c r="AF49">
        <f t="shared" si="3"/>
        <v>1</v>
      </c>
    </row>
    <row r="50" spans="1:32">
      <c r="A50" s="2">
        <v>49</v>
      </c>
      <c r="B50">
        <f t="shared" si="4"/>
        <v>40.210573142345005</v>
      </c>
      <c r="C50" s="3">
        <v>0.08</v>
      </c>
      <c r="D50">
        <f t="shared" si="5"/>
        <v>283.88664638495567</v>
      </c>
      <c r="Q50">
        <f t="shared" si="9"/>
        <v>283.88664638495629</v>
      </c>
      <c r="R50">
        <f t="shared" si="6"/>
        <v>96.704771349972873</v>
      </c>
      <c r="S50">
        <f t="shared" si="7"/>
        <v>1585.3656171184384</v>
      </c>
      <c r="T50" s="3">
        <v>0.08</v>
      </c>
      <c r="V50">
        <f>SUM($R$2:R50)</f>
        <v>2956.7237689263734</v>
      </c>
      <c r="W50">
        <f t="shared" si="8"/>
        <v>6.2343941486239052</v>
      </c>
      <c r="Z50">
        <f t="shared" si="11"/>
        <v>0.29914866001825829</v>
      </c>
      <c r="AA50" s="3">
        <v>0.3</v>
      </c>
      <c r="AB50">
        <f t="shared" si="1"/>
        <v>5284.5520570614617</v>
      </c>
      <c r="AC50">
        <f t="shared" si="10"/>
        <v>3711.8877542850041</v>
      </c>
      <c r="AD50" s="3">
        <v>0.2</v>
      </c>
      <c r="AE50">
        <f t="shared" si="2"/>
        <v>742.37755085700087</v>
      </c>
      <c r="AF50">
        <f t="shared" si="3"/>
        <v>1</v>
      </c>
    </row>
    <row r="51" spans="1:32">
      <c r="A51" s="2">
        <v>50</v>
      </c>
      <c r="B51">
        <f t="shared" si="4"/>
        <v>43.427418993732608</v>
      </c>
      <c r="C51" s="3">
        <v>0.08</v>
      </c>
      <c r="D51">
        <f t="shared" si="5"/>
        <v>306.59757809575211</v>
      </c>
      <c r="Q51">
        <f t="shared" si="9"/>
        <v>306.59757809575279</v>
      </c>
      <c r="R51">
        <f t="shared" si="6"/>
        <v>98.529389677330869</v>
      </c>
      <c r="S51">
        <f t="shared" si="7"/>
        <v>1712.1948664879137</v>
      </c>
      <c r="T51" s="3">
        <v>0.08</v>
      </c>
      <c r="V51">
        <f>SUM($R$2:R51)</f>
        <v>3055.2531586037044</v>
      </c>
      <c r="W51">
        <f t="shared" si="8"/>
        <v>6.442148101471143</v>
      </c>
      <c r="Z51">
        <f t="shared" si="11"/>
        <v>0.27698950001690581</v>
      </c>
      <c r="AA51" s="3">
        <v>0.3</v>
      </c>
      <c r="AB51">
        <f t="shared" si="1"/>
        <v>5707.316221626379</v>
      </c>
      <c r="AC51">
        <f t="shared" si="10"/>
        <v>3934.6010195421045</v>
      </c>
      <c r="AD51" s="3">
        <v>0.2</v>
      </c>
      <c r="AE51">
        <f t="shared" si="2"/>
        <v>786.92020390842094</v>
      </c>
      <c r="AF51">
        <f t="shared" si="3"/>
        <v>1</v>
      </c>
    </row>
    <row r="52" spans="1:32">
      <c r="A52" s="2">
        <v>51</v>
      </c>
      <c r="B52">
        <f t="shared" ref="B52:B101" si="12">B51+B51*C51</f>
        <v>46.901612513231214</v>
      </c>
      <c r="C52" s="3">
        <v>0.08</v>
      </c>
      <c r="D52">
        <f t="shared" ref="D52:D101" si="13">D51+D51*C51</f>
        <v>331.12538434341229</v>
      </c>
      <c r="Q52">
        <f t="shared" ref="Q52:Q101" si="14">$D$2*((1+$C$2)^A51)</f>
        <v>331.12538434341303</v>
      </c>
      <c r="R52">
        <f t="shared" si="6"/>
        <v>100.3884347655824</v>
      </c>
      <c r="S52">
        <f t="shared" si="7"/>
        <v>1849.1704558069468</v>
      </c>
      <c r="T52" s="3">
        <v>0.08</v>
      </c>
      <c r="V52">
        <f>SUM($R$2:R52)</f>
        <v>3155.641593369287</v>
      </c>
      <c r="W52">
        <f t="shared" si="8"/>
        <v>6.6538219402211594</v>
      </c>
      <c r="Z52">
        <f t="shared" si="11"/>
        <v>0.25647175927491278</v>
      </c>
      <c r="AA52" s="3">
        <v>0.3</v>
      </c>
      <c r="AB52">
        <f t="shared" si="1"/>
        <v>6163.9015193564901</v>
      </c>
      <c r="AC52">
        <f t="shared" si="10"/>
        <v>4170.6770807146313</v>
      </c>
      <c r="AD52" s="3">
        <v>0.2</v>
      </c>
      <c r="AE52">
        <f t="shared" si="2"/>
        <v>834.13541614292626</v>
      </c>
      <c r="AF52">
        <f t="shared" si="3"/>
        <v>1</v>
      </c>
    </row>
    <row r="53" spans="1:32">
      <c r="A53" s="2">
        <v>52</v>
      </c>
      <c r="B53">
        <f t="shared" si="12"/>
        <v>50.653741514289713</v>
      </c>
      <c r="C53" s="3">
        <v>0.08</v>
      </c>
      <c r="D53">
        <f t="shared" si="13"/>
        <v>357.61541509088528</v>
      </c>
      <c r="Q53">
        <f t="shared" si="14"/>
        <v>357.61541509088613</v>
      </c>
      <c r="R53">
        <f t="shared" si="6"/>
        <v>102.28255617625375</v>
      </c>
      <c r="S53">
        <f t="shared" si="7"/>
        <v>1997.1040922715026</v>
      </c>
      <c r="T53" s="3">
        <v>0.08</v>
      </c>
      <c r="V53">
        <f>SUM($R$2:R53)</f>
        <v>3257.9241495455408</v>
      </c>
      <c r="W53">
        <f t="shared" si="8"/>
        <v>6.8694896249853263</v>
      </c>
      <c r="Z53">
        <f t="shared" si="11"/>
        <v>0.23747385118047479</v>
      </c>
      <c r="AA53" s="3">
        <v>0.3</v>
      </c>
      <c r="AB53">
        <f t="shared" si="1"/>
        <v>6657.0136409050092</v>
      </c>
      <c r="AC53">
        <f t="shared" si="10"/>
        <v>4420.9177055575092</v>
      </c>
      <c r="AD53" s="3">
        <v>0.2</v>
      </c>
      <c r="AE53">
        <f t="shared" si="2"/>
        <v>884.18354111150188</v>
      </c>
      <c r="AF53">
        <f t="shared" si="3"/>
        <v>1</v>
      </c>
    </row>
    <row r="54" spans="1:32">
      <c r="A54" s="2">
        <v>53</v>
      </c>
      <c r="B54">
        <f t="shared" si="12"/>
        <v>54.706040835432887</v>
      </c>
      <c r="C54" s="3">
        <v>0.08</v>
      </c>
      <c r="D54">
        <f t="shared" si="13"/>
        <v>386.22464829815613</v>
      </c>
      <c r="Q54">
        <f t="shared" si="14"/>
        <v>386.22464829815704</v>
      </c>
      <c r="R54">
        <f t="shared" si="6"/>
        <v>104.21241572674911</v>
      </c>
      <c r="S54">
        <f t="shared" si="7"/>
        <v>2156.872419653223</v>
      </c>
      <c r="T54" s="3">
        <v>0.08</v>
      </c>
      <c r="V54">
        <f>SUM($R$2:R54)</f>
        <v>3362.1365652722898</v>
      </c>
      <c r="W54">
        <f t="shared" si="8"/>
        <v>7.0892265113488167</v>
      </c>
      <c r="Z54">
        <f t="shared" si="11"/>
        <v>0.21988319553747662</v>
      </c>
      <c r="AA54" s="3">
        <v>0.3</v>
      </c>
      <c r="AB54">
        <f t="shared" si="1"/>
        <v>7189.5747321774106</v>
      </c>
      <c r="AC54">
        <f t="shared" si="10"/>
        <v>4686.1727678909601</v>
      </c>
      <c r="AD54" s="3">
        <v>0.2</v>
      </c>
      <c r="AE54">
        <f t="shared" si="2"/>
        <v>937.23455357819205</v>
      </c>
      <c r="AF54">
        <f t="shared" si="3"/>
        <v>1</v>
      </c>
    </row>
    <row r="55" spans="1:32">
      <c r="A55" s="2">
        <v>54</v>
      </c>
      <c r="B55">
        <f t="shared" si="12"/>
        <v>59.08252410226752</v>
      </c>
      <c r="C55" s="3">
        <v>0.08</v>
      </c>
      <c r="D55">
        <f t="shared" si="13"/>
        <v>417.12262016200862</v>
      </c>
      <c r="Q55">
        <f t="shared" si="14"/>
        <v>417.12262016200958</v>
      </c>
      <c r="R55">
        <f t="shared" si="6"/>
        <v>106.17868772159341</v>
      </c>
      <c r="S55">
        <f t="shared" si="7"/>
        <v>2329.4222132254808</v>
      </c>
      <c r="T55" s="3">
        <v>0.08</v>
      </c>
      <c r="V55">
        <f>SUM($R$2:R55)</f>
        <v>3468.3152529938834</v>
      </c>
      <c r="W55">
        <f t="shared" si="8"/>
        <v>7.3131093767002984</v>
      </c>
      <c r="Z55">
        <f t="shared" si="11"/>
        <v>0.20359555142358948</v>
      </c>
      <c r="AA55" s="3">
        <v>0.3</v>
      </c>
      <c r="AB55">
        <f t="shared" si="1"/>
        <v>7764.7407107516028</v>
      </c>
      <c r="AC55">
        <f t="shared" si="10"/>
        <v>4967.3431339644176</v>
      </c>
      <c r="AD55" s="3">
        <v>0.2</v>
      </c>
      <c r="AE55">
        <f t="shared" si="2"/>
        <v>993.46862679288358</v>
      </c>
      <c r="AF55">
        <f t="shared" si="3"/>
        <v>1</v>
      </c>
    </row>
    <row r="56" spans="1:32">
      <c r="A56" s="2">
        <v>55</v>
      </c>
      <c r="B56">
        <f t="shared" si="12"/>
        <v>63.809126030448923</v>
      </c>
      <c r="C56" s="3">
        <v>0.08</v>
      </c>
      <c r="D56">
        <f t="shared" si="13"/>
        <v>450.49242977496931</v>
      </c>
      <c r="Q56">
        <f t="shared" si="14"/>
        <v>450.49242977497045</v>
      </c>
      <c r="R56">
        <f t="shared" si="6"/>
        <v>108.18205918803858</v>
      </c>
      <c r="S56">
        <f t="shared" si="7"/>
        <v>2515.7759902835196</v>
      </c>
      <c r="T56" s="3">
        <v>0.08</v>
      </c>
      <c r="V56">
        <f>SUM($R$2:R56)</f>
        <v>3576.4973121819221</v>
      </c>
      <c r="W56">
        <f t="shared" si="8"/>
        <v>7.5412164470584111</v>
      </c>
      <c r="Z56">
        <f t="shared" si="11"/>
        <v>0.18851439946628654</v>
      </c>
      <c r="AA56" s="3">
        <v>0.3</v>
      </c>
      <c r="AB56">
        <f t="shared" si="1"/>
        <v>8385.9199676117332</v>
      </c>
      <c r="AC56">
        <f t="shared" si="10"/>
        <v>5265.3837220022833</v>
      </c>
      <c r="AD56" s="3">
        <v>0.2</v>
      </c>
      <c r="AE56">
        <f t="shared" si="2"/>
        <v>1053.0767444004566</v>
      </c>
      <c r="AF56">
        <f t="shared" si="3"/>
        <v>1</v>
      </c>
    </row>
    <row r="57" spans="1:32">
      <c r="A57" s="2">
        <v>56</v>
      </c>
      <c r="B57">
        <f t="shared" si="12"/>
        <v>68.913856112884844</v>
      </c>
      <c r="C57" s="3">
        <v>0.08</v>
      </c>
      <c r="D57">
        <f t="shared" si="13"/>
        <v>486.53182415696688</v>
      </c>
      <c r="Q57">
        <f t="shared" si="14"/>
        <v>486.53182415696807</v>
      </c>
      <c r="R57">
        <f t="shared" si="6"/>
        <v>110.22323011611476</v>
      </c>
      <c r="S57">
        <f t="shared" si="7"/>
        <v>2717.0380695062013</v>
      </c>
      <c r="T57" s="3">
        <v>0.08</v>
      </c>
      <c r="V57">
        <f>SUM($R$2:R57)</f>
        <v>3686.7205422980369</v>
      </c>
      <c r="W57">
        <f t="shared" si="8"/>
        <v>7.7736274244044132</v>
      </c>
      <c r="Z57">
        <f t="shared" si="11"/>
        <v>0.17455036987619121</v>
      </c>
      <c r="AA57" s="3">
        <v>0.3</v>
      </c>
      <c r="AB57">
        <f t="shared" si="1"/>
        <v>9056.7935650206709</v>
      </c>
      <c r="AC57">
        <f t="shared" si="10"/>
        <v>5581.3067453224203</v>
      </c>
      <c r="AD57" s="3">
        <v>0.2</v>
      </c>
      <c r="AE57">
        <f t="shared" si="2"/>
        <v>1116.2613490644842</v>
      </c>
      <c r="AF57">
        <f t="shared" si="3"/>
        <v>1</v>
      </c>
    </row>
    <row r="58" spans="1:32">
      <c r="A58" s="2">
        <v>57</v>
      </c>
      <c r="B58">
        <f t="shared" si="12"/>
        <v>74.426964601915628</v>
      </c>
      <c r="C58" s="3">
        <v>0.08</v>
      </c>
      <c r="D58">
        <f t="shared" si="13"/>
        <v>525.45437008952422</v>
      </c>
      <c r="Q58">
        <f t="shared" si="14"/>
        <v>525.45437008952547</v>
      </c>
      <c r="R58">
        <f t="shared" si="6"/>
        <v>112.3029137032113</v>
      </c>
      <c r="S58">
        <f t="shared" si="7"/>
        <v>2934.4011150666975</v>
      </c>
      <c r="T58" s="3">
        <v>0.08</v>
      </c>
      <c r="V58">
        <f>SUM($R$2:R58)</f>
        <v>3799.0234560012482</v>
      </c>
      <c r="W58">
        <f t="shared" si="8"/>
        <v>8.0104235145305278</v>
      </c>
      <c r="Z58">
        <f t="shared" si="11"/>
        <v>0.16162071284832522</v>
      </c>
      <c r="AA58" s="3">
        <v>0.3</v>
      </c>
      <c r="AB58">
        <f t="shared" si="1"/>
        <v>9781.3370502223261</v>
      </c>
      <c r="AC58">
        <f t="shared" si="10"/>
        <v>5916.1851500417661</v>
      </c>
      <c r="AD58" s="3">
        <v>0.2</v>
      </c>
      <c r="AE58">
        <f t="shared" si="2"/>
        <v>1183.2370300083533</v>
      </c>
      <c r="AF58">
        <f t="shared" si="3"/>
        <v>1</v>
      </c>
    </row>
    <row r="59" spans="1:32">
      <c r="A59" s="2">
        <v>58</v>
      </c>
      <c r="B59">
        <f t="shared" si="12"/>
        <v>80.381121770068873</v>
      </c>
      <c r="C59" s="3">
        <v>0.08</v>
      </c>
      <c r="D59">
        <f t="shared" si="13"/>
        <v>567.49071969668614</v>
      </c>
      <c r="Q59">
        <f t="shared" si="14"/>
        <v>567.49071969668762</v>
      </c>
      <c r="R59">
        <f t="shared" si="6"/>
        <v>114.42183660327188</v>
      </c>
      <c r="S59">
        <f t="shared" si="7"/>
        <v>3169.1532042720332</v>
      </c>
      <c r="T59" s="3">
        <v>0.08</v>
      </c>
      <c r="V59">
        <f>SUM($R$2:R59)</f>
        <v>3913.4452926045201</v>
      </c>
      <c r="W59">
        <f t="shared" si="8"/>
        <v>8.2516874554137392</v>
      </c>
      <c r="Z59">
        <f t="shared" si="11"/>
        <v>0.1496488081928937</v>
      </c>
      <c r="AA59" s="3">
        <v>0.3</v>
      </c>
      <c r="AB59">
        <f t="shared" si="1"/>
        <v>10563.84401424011</v>
      </c>
      <c r="AC59">
        <f t="shared" si="10"/>
        <v>6271.1562590442727</v>
      </c>
      <c r="AD59" s="3">
        <v>0.2</v>
      </c>
      <c r="AE59">
        <f t="shared" si="2"/>
        <v>1254.2312518088547</v>
      </c>
      <c r="AF59">
        <f t="shared" si="3"/>
        <v>1</v>
      </c>
    </row>
    <row r="60" spans="1:32">
      <c r="A60" s="2">
        <v>59</v>
      </c>
      <c r="B60">
        <f t="shared" si="12"/>
        <v>86.811611511674386</v>
      </c>
      <c r="C60" s="3">
        <v>0.08</v>
      </c>
      <c r="D60">
        <f t="shared" si="13"/>
        <v>612.88997727242099</v>
      </c>
      <c r="Q60">
        <f t="shared" si="14"/>
        <v>612.88997727242258</v>
      </c>
      <c r="R60">
        <f t="shared" si="6"/>
        <v>116.58073918069212</v>
      </c>
      <c r="S60">
        <f t="shared" si="7"/>
        <v>3422.6854606137963</v>
      </c>
      <c r="T60" s="3">
        <v>0.08</v>
      </c>
      <c r="V60">
        <f>SUM($R$2:R60)</f>
        <v>4030.0260317852121</v>
      </c>
      <c r="W60">
        <f t="shared" si="8"/>
        <v>8.4975035461249355</v>
      </c>
      <c r="Z60">
        <f t="shared" si="11"/>
        <v>0.13856371128971637</v>
      </c>
      <c r="AA60" s="3">
        <v>0.3</v>
      </c>
      <c r="AB60">
        <f t="shared" si="1"/>
        <v>11408.951535379321</v>
      </c>
      <c r="AC60">
        <f t="shared" si="10"/>
        <v>6647.4256345869298</v>
      </c>
      <c r="AD60" s="3">
        <v>0.2</v>
      </c>
      <c r="AE60">
        <f t="shared" si="2"/>
        <v>1329.485126917386</v>
      </c>
      <c r="AF60">
        <f t="shared" si="3"/>
        <v>1</v>
      </c>
    </row>
    <row r="61" spans="1:32">
      <c r="A61" s="2">
        <v>60</v>
      </c>
      <c r="B61">
        <f t="shared" si="12"/>
        <v>93.756540432608332</v>
      </c>
      <c r="C61" s="3">
        <v>0.08</v>
      </c>
      <c r="D61">
        <f t="shared" si="13"/>
        <v>661.92117545421468</v>
      </c>
      <c r="Q61">
        <f t="shared" si="14"/>
        <v>661.92117545421638</v>
      </c>
      <c r="R61">
        <f t="shared" si="6"/>
        <v>118.78037576900705</v>
      </c>
      <c r="S61">
        <f t="shared" si="7"/>
        <v>3696.5002974629001</v>
      </c>
      <c r="T61" s="3">
        <v>0.08</v>
      </c>
      <c r="V61">
        <f>SUM($R$2:R61)</f>
        <v>4148.8064075542188</v>
      </c>
      <c r="W61">
        <f t="shared" si="8"/>
        <v>8.7479576762835123</v>
      </c>
      <c r="Z61">
        <f t="shared" si="11"/>
        <v>0.1282997326756633</v>
      </c>
      <c r="AA61" s="3">
        <v>0.3</v>
      </c>
      <c r="AB61">
        <f t="shared" si="1"/>
        <v>12321.667658209668</v>
      </c>
      <c r="AC61">
        <f t="shared" si="10"/>
        <v>7046.2711726621455</v>
      </c>
      <c r="AD61" s="3">
        <v>0.2</v>
      </c>
      <c r="AE61">
        <f t="shared" si="2"/>
        <v>1409.2542345324291</v>
      </c>
      <c r="AF61">
        <f t="shared" si="3"/>
        <v>1</v>
      </c>
    </row>
    <row r="62" spans="1:32">
      <c r="A62" s="2">
        <v>61</v>
      </c>
      <c r="B62">
        <f t="shared" si="12"/>
        <v>101.257063667217</v>
      </c>
      <c r="C62" s="3">
        <v>0.08</v>
      </c>
      <c r="D62">
        <f t="shared" si="13"/>
        <v>714.87486949055187</v>
      </c>
      <c r="Q62">
        <f t="shared" si="14"/>
        <v>714.87486949055381</v>
      </c>
      <c r="R62">
        <f t="shared" si="6"/>
        <v>121.02151493446003</v>
      </c>
      <c r="S62">
        <f t="shared" si="7"/>
        <v>3992.2203212599325</v>
      </c>
      <c r="T62" s="3">
        <v>0.08</v>
      </c>
      <c r="V62">
        <f>SUM($R$2:R62)</f>
        <v>4269.8279224886792</v>
      </c>
      <c r="W62">
        <f t="shared" si="8"/>
        <v>9.0031373560677252</v>
      </c>
      <c r="Z62">
        <f t="shared" si="11"/>
        <v>0.11879604877376232</v>
      </c>
      <c r="AA62" s="3">
        <v>0.3</v>
      </c>
      <c r="AB62">
        <f t="shared" si="1"/>
        <v>13307.401070866443</v>
      </c>
      <c r="AC62">
        <f t="shared" si="10"/>
        <v>7469.0474430218746</v>
      </c>
      <c r="AD62" s="3">
        <v>0.2</v>
      </c>
      <c r="AE62">
        <f t="shared" si="2"/>
        <v>1493.809488604375</v>
      </c>
      <c r="AF62">
        <f t="shared" si="3"/>
        <v>1</v>
      </c>
    </row>
    <row r="63" spans="1:32">
      <c r="A63" s="2">
        <v>62</v>
      </c>
      <c r="B63">
        <f t="shared" si="12"/>
        <v>109.35762876059435</v>
      </c>
      <c r="C63" s="3">
        <v>0.08</v>
      </c>
      <c r="D63">
        <f t="shared" si="13"/>
        <v>772.06485904979604</v>
      </c>
      <c r="Q63">
        <f t="shared" si="14"/>
        <v>772.06485904979809</v>
      </c>
      <c r="R63">
        <f t="shared" si="6"/>
        <v>123.30493974454416</v>
      </c>
      <c r="S63">
        <f t="shared" si="7"/>
        <v>4311.5979469607273</v>
      </c>
      <c r="T63" s="3">
        <v>0.08</v>
      </c>
      <c r="V63">
        <f>SUM($R$2:R63)</f>
        <v>4393.132862233223</v>
      </c>
      <c r="W63">
        <f t="shared" si="8"/>
        <v>9.2631317467912595</v>
      </c>
      <c r="Z63">
        <f t="shared" si="11"/>
        <v>0.10999634145718733</v>
      </c>
      <c r="AA63" s="3">
        <v>0.3</v>
      </c>
      <c r="AB63">
        <f t="shared" si="1"/>
        <v>14371.993156535758</v>
      </c>
      <c r="AC63">
        <f t="shared" si="10"/>
        <v>7917.1902896031879</v>
      </c>
      <c r="AD63" s="3">
        <v>0.2</v>
      </c>
      <c r="AE63">
        <f t="shared" si="2"/>
        <v>1583.4380579206377</v>
      </c>
      <c r="AF63">
        <f t="shared" si="3"/>
        <v>1</v>
      </c>
    </row>
    <row r="64" spans="1:32">
      <c r="A64" s="2">
        <v>63</v>
      </c>
      <c r="B64">
        <f t="shared" si="12"/>
        <v>118.1062390614419</v>
      </c>
      <c r="C64" s="3">
        <v>0.08</v>
      </c>
      <c r="D64">
        <f t="shared" si="13"/>
        <v>833.83004777377971</v>
      </c>
      <c r="Q64">
        <f t="shared" si="14"/>
        <v>833.8300477737821</v>
      </c>
      <c r="R64">
        <f t="shared" si="6"/>
        <v>125.63144804161102</v>
      </c>
      <c r="S64">
        <f t="shared" si="7"/>
        <v>4656.5257827175856</v>
      </c>
      <c r="T64" s="3">
        <v>0.08</v>
      </c>
      <c r="V64">
        <f>SUM($R$2:R64)</f>
        <v>4518.7643102748343</v>
      </c>
      <c r="W64">
        <f t="shared" si="8"/>
        <v>9.52803169205675</v>
      </c>
      <c r="Z64">
        <f t="shared" si="11"/>
        <v>0.10184846431221048</v>
      </c>
      <c r="AA64" s="3">
        <v>0.3</v>
      </c>
      <c r="AB64">
        <f t="shared" si="1"/>
        <v>15521.75260905862</v>
      </c>
      <c r="AC64">
        <f t="shared" si="10"/>
        <v>8392.2217069793787</v>
      </c>
      <c r="AD64" s="3">
        <v>0.2</v>
      </c>
      <c r="AE64">
        <f t="shared" si="2"/>
        <v>1678.4443413958759</v>
      </c>
      <c r="AF64">
        <f t="shared" si="3"/>
        <v>1</v>
      </c>
    </row>
    <row r="65" spans="1:32">
      <c r="A65" s="2">
        <v>64</v>
      </c>
      <c r="B65">
        <f t="shared" si="12"/>
        <v>127.55473818635726</v>
      </c>
      <c r="C65" s="3">
        <v>0.08</v>
      </c>
      <c r="D65">
        <f t="shared" si="13"/>
        <v>900.53645159568214</v>
      </c>
      <c r="Q65">
        <f t="shared" si="14"/>
        <v>900.53645159568475</v>
      </c>
      <c r="R65">
        <f t="shared" si="6"/>
        <v>128.0018527216414</v>
      </c>
      <c r="S65">
        <f t="shared" si="7"/>
        <v>5029.0478453349924</v>
      </c>
      <c r="T65" s="3">
        <v>0.08</v>
      </c>
      <c r="V65">
        <f>SUM($R$2:R65)</f>
        <v>4646.7661629964759</v>
      </c>
      <c r="W65">
        <f t="shared" si="8"/>
        <v>9.7979297494970616</v>
      </c>
      <c r="Z65">
        <f t="shared" si="11"/>
        <v>9.4304133622417116E-2</v>
      </c>
      <c r="AA65" s="3">
        <v>0.3</v>
      </c>
      <c r="AB65">
        <f t="shared" si="1"/>
        <v>16763.49281778331</v>
      </c>
      <c r="AC65">
        <f t="shared" si="10"/>
        <v>8895.7550093981426</v>
      </c>
      <c r="AD65" s="3">
        <v>0.2</v>
      </c>
      <c r="AE65">
        <f t="shared" si="2"/>
        <v>1779.1510018796287</v>
      </c>
      <c r="AF65">
        <f t="shared" si="3"/>
        <v>1</v>
      </c>
    </row>
    <row r="66" spans="1:32">
      <c r="A66" s="2">
        <v>65</v>
      </c>
      <c r="B66">
        <f t="shared" si="12"/>
        <v>137.75911724126584</v>
      </c>
      <c r="C66" s="3">
        <v>0.08</v>
      </c>
      <c r="D66">
        <f t="shared" si="13"/>
        <v>972.57936772333676</v>
      </c>
      <c r="Q66">
        <f t="shared" si="14"/>
        <v>972.5793677233396</v>
      </c>
      <c r="R66">
        <f t="shared" si="6"/>
        <v>130.41698201827617</v>
      </c>
      <c r="S66">
        <f t="shared" si="7"/>
        <v>5431.3716729617918</v>
      </c>
      <c r="T66" s="3">
        <v>0.08</v>
      </c>
      <c r="V66">
        <f>SUM($R$2:R66)</f>
        <v>4777.183145014752</v>
      </c>
      <c r="W66">
        <f t="shared" si="8"/>
        <v>10.07292022311549</v>
      </c>
      <c r="Z66">
        <f t="shared" si="11"/>
        <v>8.7318642242978806E-2</v>
      </c>
      <c r="AA66" s="3">
        <v>0.3</v>
      </c>
      <c r="AB66">
        <f t="shared" si="1"/>
        <v>18104.572243205974</v>
      </c>
      <c r="AC66">
        <f t="shared" si="10"/>
        <v>9429.5003099620317</v>
      </c>
      <c r="AD66" s="3">
        <v>0.2</v>
      </c>
      <c r="AE66">
        <f t="shared" si="2"/>
        <v>1885.9000619924063</v>
      </c>
      <c r="AF66">
        <f t="shared" si="3"/>
        <v>1</v>
      </c>
    </row>
    <row r="67" spans="1:32">
      <c r="A67" s="2">
        <v>66</v>
      </c>
      <c r="B67">
        <f t="shared" si="12"/>
        <v>148.7798466205671</v>
      </c>
      <c r="C67" s="3">
        <v>0.08</v>
      </c>
      <c r="D67">
        <f t="shared" si="13"/>
        <v>1050.3857171412037</v>
      </c>
      <c r="Q67">
        <f t="shared" si="14"/>
        <v>1050.3857171412069</v>
      </c>
      <c r="R67">
        <f t="shared" si="6"/>
        <v>132.87767979220592</v>
      </c>
      <c r="S67">
        <f t="shared" si="7"/>
        <v>5865.881406798736</v>
      </c>
      <c r="T67" s="3">
        <v>0.08</v>
      </c>
      <c r="V67">
        <f>SUM($R$2:R67)</f>
        <v>4910.0608248069575</v>
      </c>
      <c r="W67">
        <f t="shared" si="8"/>
        <v>10.353099196236153</v>
      </c>
      <c r="Z67">
        <f t="shared" si="11"/>
        <v>8.0850594669424805E-2</v>
      </c>
      <c r="AA67" s="3">
        <v>0.3</v>
      </c>
      <c r="AB67">
        <f t="shared" ref="AB67:AB130" si="15">S67/AA67</f>
        <v>19552.938022662453</v>
      </c>
      <c r="AC67">
        <f t="shared" si="10"/>
        <v>9995.2703285597545</v>
      </c>
      <c r="AD67" s="3">
        <v>0.2</v>
      </c>
      <c r="AE67">
        <f t="shared" ref="AE67:AE130" si="16">AC67*AD67</f>
        <v>1999.0540657119509</v>
      </c>
      <c r="AF67">
        <f t="shared" ref="AF67:AF130" si="17">IF(AB67&gt;AE67, 1, 0)</f>
        <v>1</v>
      </c>
    </row>
    <row r="68" spans="1:32">
      <c r="A68" s="2">
        <v>67</v>
      </c>
      <c r="B68">
        <f t="shared" si="12"/>
        <v>160.68223435021247</v>
      </c>
      <c r="C68" s="3">
        <v>0.08</v>
      </c>
      <c r="D68">
        <f t="shared" si="13"/>
        <v>1134.4165745125001</v>
      </c>
      <c r="Q68">
        <f t="shared" si="14"/>
        <v>1134.4165745125033</v>
      </c>
      <c r="R68">
        <f t="shared" ref="R68:R101" si="18">S68/((1+$U$2)^A67)</f>
        <v>135.38480582602116</v>
      </c>
      <c r="S68">
        <f t="shared" ref="S68:S101" si="19">S67*(1+T67)</f>
        <v>6335.1519193426357</v>
      </c>
      <c r="T68" s="3">
        <v>0.08</v>
      </c>
      <c r="V68">
        <f>SUM($R$2:R68)</f>
        <v>5045.4456306329785</v>
      </c>
      <c r="W68">
        <f t="shared" ref="W68:W101" si="20">V68/$W$2</f>
        <v>10.638564565076074</v>
      </c>
      <c r="Z68">
        <f t="shared" si="11"/>
        <v>7.4861661730948895E-2</v>
      </c>
      <c r="AA68" s="3">
        <v>0.3</v>
      </c>
      <c r="AB68">
        <f t="shared" si="15"/>
        <v>21117.173064475453</v>
      </c>
      <c r="AC68">
        <f t="shared" ref="AC68:AC131" si="21">AC67*(1+$U$2)</f>
        <v>10594.98654827334</v>
      </c>
      <c r="AD68" s="3">
        <v>0.2</v>
      </c>
      <c r="AE68">
        <f t="shared" si="16"/>
        <v>2118.9973096546682</v>
      </c>
      <c r="AF68">
        <f t="shared" si="17"/>
        <v>1</v>
      </c>
    </row>
    <row r="69" spans="1:32">
      <c r="A69" s="2">
        <v>68</v>
      </c>
      <c r="B69">
        <f t="shared" si="12"/>
        <v>173.53681309822946</v>
      </c>
      <c r="C69" s="3">
        <v>0.08</v>
      </c>
      <c r="D69">
        <f t="shared" si="13"/>
        <v>1225.1699004735001</v>
      </c>
      <c r="Q69">
        <f t="shared" si="14"/>
        <v>1225.1699004735037</v>
      </c>
      <c r="R69">
        <f t="shared" si="18"/>
        <v>137.93923612462532</v>
      </c>
      <c r="S69">
        <f t="shared" si="19"/>
        <v>6841.9640728900467</v>
      </c>
      <c r="T69" s="3">
        <v>0.08</v>
      </c>
      <c r="V69">
        <f>SUM($R$2:R69)</f>
        <v>5183.384866757604</v>
      </c>
      <c r="W69">
        <f t="shared" si="20"/>
        <v>10.92941607295071</v>
      </c>
      <c r="Z69">
        <f t="shared" si="11"/>
        <v>6.93163534545823E-2</v>
      </c>
      <c r="AA69" s="3">
        <v>0.3</v>
      </c>
      <c r="AB69">
        <f t="shared" si="15"/>
        <v>22806.546909633489</v>
      </c>
      <c r="AC69">
        <f t="shared" si="21"/>
        <v>11230.685741169742</v>
      </c>
      <c r="AD69" s="3">
        <v>0.2</v>
      </c>
      <c r="AE69">
        <f t="shared" si="16"/>
        <v>2246.1371482339487</v>
      </c>
      <c r="AF69">
        <f t="shared" si="17"/>
        <v>1</v>
      </c>
    </row>
    <row r="70" spans="1:32">
      <c r="A70" s="2">
        <v>69</v>
      </c>
      <c r="B70">
        <f t="shared" si="12"/>
        <v>187.41975814608782</v>
      </c>
      <c r="C70" s="3">
        <v>0.08</v>
      </c>
      <c r="D70">
        <f t="shared" si="13"/>
        <v>1323.1834925113801</v>
      </c>
      <c r="Q70">
        <f t="shared" si="14"/>
        <v>1323.1834925113842</v>
      </c>
      <c r="R70">
        <f t="shared" si="18"/>
        <v>140.54186322131633</v>
      </c>
      <c r="S70">
        <f t="shared" si="19"/>
        <v>7389.3211987212508</v>
      </c>
      <c r="T70" s="3">
        <v>0.08</v>
      </c>
      <c r="V70">
        <f>SUM($R$2:R70)</f>
        <v>5323.9267299789199</v>
      </c>
      <c r="W70">
        <f t="shared" si="20"/>
        <v>11.225755345124869</v>
      </c>
      <c r="Z70">
        <f t="shared" si="11"/>
        <v>6.4181808754242869E-2</v>
      </c>
      <c r="AA70" s="3">
        <v>0.3</v>
      </c>
      <c r="AB70">
        <f t="shared" si="15"/>
        <v>24631.07066240417</v>
      </c>
      <c r="AC70">
        <f t="shared" si="21"/>
        <v>11904.526885639927</v>
      </c>
      <c r="AD70" s="3">
        <v>0.2</v>
      </c>
      <c r="AE70">
        <f t="shared" si="16"/>
        <v>2380.9053771279855</v>
      </c>
      <c r="AF70">
        <f t="shared" si="17"/>
        <v>1</v>
      </c>
    </row>
    <row r="71" spans="1:32">
      <c r="A71" s="2">
        <v>70</v>
      </c>
      <c r="B71">
        <f t="shared" si="12"/>
        <v>202.41333879777483</v>
      </c>
      <c r="C71" s="3">
        <v>0.08</v>
      </c>
      <c r="D71">
        <f t="shared" si="13"/>
        <v>1429.0381719122906</v>
      </c>
      <c r="Q71">
        <f t="shared" si="14"/>
        <v>1429.0381719122947</v>
      </c>
      <c r="R71">
        <f t="shared" si="18"/>
        <v>143.19359648964306</v>
      </c>
      <c r="S71">
        <f t="shared" si="19"/>
        <v>7980.4668946189513</v>
      </c>
      <c r="T71" s="3">
        <v>0.08</v>
      </c>
      <c r="V71">
        <f>SUM($R$2:R71)</f>
        <v>5467.1203264685628</v>
      </c>
      <c r="W71">
        <f t="shared" si="20"/>
        <v>11.52768592432118</v>
      </c>
      <c r="Z71">
        <f t="shared" si="11"/>
        <v>5.9427600698373023E-2</v>
      </c>
      <c r="AA71" s="3">
        <v>0.3</v>
      </c>
      <c r="AB71">
        <f t="shared" si="15"/>
        <v>26601.556315396505</v>
      </c>
      <c r="AC71">
        <f t="shared" si="21"/>
        <v>12618.798498778324</v>
      </c>
      <c r="AD71" s="3">
        <v>0.2</v>
      </c>
      <c r="AE71">
        <f t="shared" si="16"/>
        <v>2523.7596997556648</v>
      </c>
      <c r="AF71">
        <f t="shared" si="17"/>
        <v>1</v>
      </c>
    </row>
    <row r="72" spans="1:32">
      <c r="A72" s="2">
        <v>71</v>
      </c>
      <c r="B72">
        <f t="shared" si="12"/>
        <v>218.60640590159682</v>
      </c>
      <c r="C72" s="3">
        <v>0.08</v>
      </c>
      <c r="D72">
        <f t="shared" si="13"/>
        <v>1543.3612256652739</v>
      </c>
      <c r="Q72">
        <f t="shared" si="14"/>
        <v>1543.3612256652787</v>
      </c>
      <c r="R72">
        <f t="shared" si="18"/>
        <v>145.89536246114577</v>
      </c>
      <c r="S72">
        <f t="shared" si="19"/>
        <v>8618.9042461884674</v>
      </c>
      <c r="T72" s="3">
        <v>0.08</v>
      </c>
      <c r="V72">
        <f>SUM($R$2:R72)</f>
        <v>5613.0156889297086</v>
      </c>
      <c r="W72">
        <f t="shared" si="20"/>
        <v>11.835313306898556</v>
      </c>
      <c r="Z72">
        <f t="shared" si="11"/>
        <v>5.5025556202197248E-2</v>
      </c>
      <c r="AA72" s="3">
        <v>0.3</v>
      </c>
      <c r="AB72">
        <f t="shared" si="15"/>
        <v>28729.680820628226</v>
      </c>
      <c r="AC72">
        <f t="shared" si="21"/>
        <v>13375.926408705023</v>
      </c>
      <c r="AD72" s="3">
        <v>0.2</v>
      </c>
      <c r="AE72">
        <f t="shared" si="16"/>
        <v>2675.1852817410049</v>
      </c>
      <c r="AF72">
        <f t="shared" si="17"/>
        <v>1</v>
      </c>
    </row>
    <row r="73" spans="1:32">
      <c r="A73" s="2">
        <v>72</v>
      </c>
      <c r="B73">
        <f t="shared" si="12"/>
        <v>236.09491837372457</v>
      </c>
      <c r="C73" s="3">
        <v>0.08</v>
      </c>
      <c r="D73">
        <f t="shared" si="13"/>
        <v>1666.8301237184958</v>
      </c>
      <c r="Q73">
        <f t="shared" si="14"/>
        <v>1666.830123718501</v>
      </c>
      <c r="R73">
        <f t="shared" si="18"/>
        <v>148.64810514909189</v>
      </c>
      <c r="S73">
        <f t="shared" si="19"/>
        <v>9308.4165858835458</v>
      </c>
      <c r="T73" s="3">
        <v>0.08</v>
      </c>
      <c r="V73">
        <f>SUM($R$2:R73)</f>
        <v>5761.6637940788005</v>
      </c>
      <c r="W73">
        <f t="shared" si="20"/>
        <v>12.148744979713239</v>
      </c>
      <c r="Z73">
        <f t="shared" si="11"/>
        <v>5.0949589076108553E-2</v>
      </c>
      <c r="AA73" s="3">
        <v>0.3</v>
      </c>
      <c r="AB73">
        <f t="shared" si="15"/>
        <v>31028.055286278486</v>
      </c>
      <c r="AC73">
        <f t="shared" si="21"/>
        <v>14178.481993227326</v>
      </c>
      <c r="AD73" s="3">
        <v>0.2</v>
      </c>
      <c r="AE73">
        <f t="shared" si="16"/>
        <v>2835.6963986454653</v>
      </c>
      <c r="AF73">
        <f t="shared" si="17"/>
        <v>1</v>
      </c>
    </row>
    <row r="74" spans="1:32">
      <c r="A74" s="2">
        <v>73</v>
      </c>
      <c r="B74">
        <f t="shared" si="12"/>
        <v>254.98251184362255</v>
      </c>
      <c r="C74" s="3">
        <v>0.08</v>
      </c>
      <c r="D74">
        <f t="shared" si="13"/>
        <v>1800.1765336159754</v>
      </c>
      <c r="Q74">
        <f t="shared" si="14"/>
        <v>1800.176533615981</v>
      </c>
      <c r="R74">
        <f t="shared" si="18"/>
        <v>151.45278637832007</v>
      </c>
      <c r="S74">
        <f t="shared" si="19"/>
        <v>10053.089912754231</v>
      </c>
      <c r="T74" s="3">
        <v>0.08</v>
      </c>
      <c r="V74">
        <f>SUM($R$2:R74)</f>
        <v>5913.116580457121</v>
      </c>
      <c r="W74">
        <f t="shared" si="20"/>
        <v>12.46809045767537</v>
      </c>
      <c r="Z74">
        <f t="shared" si="11"/>
        <v>4.7175545440841252E-2</v>
      </c>
      <c r="AA74" s="3">
        <v>0.3</v>
      </c>
      <c r="AB74">
        <f t="shared" si="15"/>
        <v>33510.29970918077</v>
      </c>
      <c r="AC74">
        <f t="shared" si="21"/>
        <v>15029.190912820966</v>
      </c>
      <c r="AD74" s="3">
        <v>0.2</v>
      </c>
      <c r="AE74">
        <f t="shared" si="16"/>
        <v>3005.8381825641936</v>
      </c>
      <c r="AF74">
        <f t="shared" si="17"/>
        <v>1</v>
      </c>
    </row>
    <row r="75" spans="1:32">
      <c r="A75" s="2">
        <v>74</v>
      </c>
      <c r="B75">
        <f t="shared" si="12"/>
        <v>275.38111279111234</v>
      </c>
      <c r="C75" s="3">
        <v>0.08</v>
      </c>
      <c r="D75">
        <f t="shared" si="13"/>
        <v>1944.1906563052535</v>
      </c>
      <c r="Q75">
        <f t="shared" si="14"/>
        <v>1944.1906563052598</v>
      </c>
      <c r="R75">
        <f t="shared" si="18"/>
        <v>154.31038612130729</v>
      </c>
      <c r="S75">
        <f t="shared" si="19"/>
        <v>10857.33710577457</v>
      </c>
      <c r="T75" s="3">
        <v>0.08</v>
      </c>
      <c r="V75">
        <f>SUM($R$2:R75)</f>
        <v>6067.4269665784286</v>
      </c>
      <c r="W75">
        <f t="shared" si="20"/>
        <v>12.793461322014146</v>
      </c>
      <c r="Z75">
        <f t="shared" si="11"/>
        <v>4.3681060593371526E-2</v>
      </c>
      <c r="AA75" s="3">
        <v>0.3</v>
      </c>
      <c r="AB75">
        <f t="shared" si="15"/>
        <v>36191.123685915234</v>
      </c>
      <c r="AC75">
        <f t="shared" si="21"/>
        <v>15930.942367590225</v>
      </c>
      <c r="AD75" s="3">
        <v>0.2</v>
      </c>
      <c r="AE75">
        <f t="shared" si="16"/>
        <v>3186.1884735180452</v>
      </c>
      <c r="AF75">
        <f t="shared" si="17"/>
        <v>1</v>
      </c>
    </row>
    <row r="76" spans="1:32">
      <c r="A76" s="2">
        <v>75</v>
      </c>
      <c r="B76">
        <f t="shared" si="12"/>
        <v>297.41160181440131</v>
      </c>
      <c r="C76" s="3">
        <v>0.08</v>
      </c>
      <c r="D76">
        <f t="shared" si="13"/>
        <v>2099.7259088096739</v>
      </c>
      <c r="Q76">
        <f t="shared" si="14"/>
        <v>2099.7259088096807</v>
      </c>
      <c r="R76">
        <f t="shared" si="18"/>
        <v>157.22190284057723</v>
      </c>
      <c r="S76">
        <f t="shared" si="19"/>
        <v>11725.924074236536</v>
      </c>
      <c r="T76" s="3">
        <v>0.08</v>
      </c>
      <c r="V76">
        <f>SUM($R$2:R76)</f>
        <v>6224.6488694190057</v>
      </c>
      <c r="W76">
        <f t="shared" si="20"/>
        <v>13.124971259264973</v>
      </c>
      <c r="Z76">
        <f t="shared" si="11"/>
        <v>4.0445426475344E-2</v>
      </c>
      <c r="AA76" s="3">
        <v>0.3</v>
      </c>
      <c r="AB76">
        <f t="shared" si="15"/>
        <v>39086.41358078846</v>
      </c>
      <c r="AC76">
        <f t="shared" si="21"/>
        <v>16886.79890964564</v>
      </c>
      <c r="AD76" s="3">
        <v>0.2</v>
      </c>
      <c r="AE76">
        <f t="shared" si="16"/>
        <v>3377.3597819291281</v>
      </c>
      <c r="AF76">
        <f t="shared" si="17"/>
        <v>1</v>
      </c>
    </row>
    <row r="77" spans="1:32">
      <c r="A77" s="2">
        <v>76</v>
      </c>
      <c r="B77">
        <f t="shared" si="12"/>
        <v>321.20452995955338</v>
      </c>
      <c r="C77" s="3">
        <v>0.08</v>
      </c>
      <c r="D77">
        <f t="shared" si="13"/>
        <v>2267.7039815144481</v>
      </c>
      <c r="Q77">
        <f t="shared" si="14"/>
        <v>2267.7039815144553</v>
      </c>
      <c r="R77">
        <f t="shared" si="18"/>
        <v>160.18835383756922</v>
      </c>
      <c r="S77">
        <f t="shared" si="19"/>
        <v>12663.998000175459</v>
      </c>
      <c r="T77" s="3">
        <v>0.08</v>
      </c>
      <c r="V77">
        <f>SUM($R$2:R77)</f>
        <v>6384.8372232565753</v>
      </c>
      <c r="W77">
        <f t="shared" si="20"/>
        <v>13.462736100992231</v>
      </c>
      <c r="Z77">
        <f t="shared" si="11"/>
        <v>3.7449468958651852E-2</v>
      </c>
      <c r="AA77" s="3">
        <v>0.3</v>
      </c>
      <c r="AB77">
        <f t="shared" si="15"/>
        <v>42213.326667251531</v>
      </c>
      <c r="AC77">
        <f t="shared" si="21"/>
        <v>17900.006844224379</v>
      </c>
      <c r="AD77" s="3">
        <v>0.2</v>
      </c>
      <c r="AE77">
        <f t="shared" si="16"/>
        <v>3580.0013688448762</v>
      </c>
      <c r="AF77">
        <f t="shared" si="17"/>
        <v>1</v>
      </c>
    </row>
    <row r="78" spans="1:32">
      <c r="A78" s="2">
        <v>77</v>
      </c>
      <c r="B78">
        <f t="shared" si="12"/>
        <v>346.90089235631763</v>
      </c>
      <c r="C78" s="3">
        <v>0.08</v>
      </c>
      <c r="D78">
        <f t="shared" si="13"/>
        <v>2449.120300035604</v>
      </c>
      <c r="Q78">
        <f t="shared" si="14"/>
        <v>2449.1203000356118</v>
      </c>
      <c r="R78">
        <f t="shared" si="18"/>
        <v>163.21077560808939</v>
      </c>
      <c r="S78">
        <f t="shared" si="19"/>
        <v>13677.117840189498</v>
      </c>
      <c r="T78" s="3">
        <v>0.08</v>
      </c>
      <c r="V78">
        <f>SUM($R$2:R78)</f>
        <v>6548.0479988646648</v>
      </c>
      <c r="W78">
        <f t="shared" si="20"/>
        <v>13.806873864261512</v>
      </c>
      <c r="Z78">
        <f t="shared" si="11"/>
        <v>3.4675434220973932E-2</v>
      </c>
      <c r="AA78" s="3">
        <v>0.3</v>
      </c>
      <c r="AB78">
        <f t="shared" si="15"/>
        <v>45590.392800631664</v>
      </c>
      <c r="AC78">
        <f t="shared" si="21"/>
        <v>18974.007254877844</v>
      </c>
      <c r="AD78" s="3">
        <v>0.2</v>
      </c>
      <c r="AE78">
        <f t="shared" si="16"/>
        <v>3794.801450975569</v>
      </c>
      <c r="AF78">
        <f t="shared" si="17"/>
        <v>1</v>
      </c>
    </row>
    <row r="79" spans="1:32">
      <c r="A79" s="2">
        <v>78</v>
      </c>
      <c r="B79">
        <f t="shared" si="12"/>
        <v>374.65296374482301</v>
      </c>
      <c r="C79" s="3">
        <v>0.08</v>
      </c>
      <c r="D79">
        <f t="shared" si="13"/>
        <v>2645.0499240384524</v>
      </c>
      <c r="Q79">
        <f t="shared" si="14"/>
        <v>2645.0499240384602</v>
      </c>
      <c r="R79">
        <f t="shared" si="18"/>
        <v>166.29022420446842</v>
      </c>
      <c r="S79">
        <f t="shared" si="19"/>
        <v>14771.287267404658</v>
      </c>
      <c r="T79" s="3">
        <v>0.08</v>
      </c>
      <c r="V79">
        <f>SUM($R$2:R79)</f>
        <v>6714.3382230691332</v>
      </c>
      <c r="W79">
        <f t="shared" si="20"/>
        <v>14.157504792875498</v>
      </c>
      <c r="Z79">
        <f t="shared" ref="Z79:Z142" si="22">$W$2/S79</f>
        <v>3.2106883537938828E-2</v>
      </c>
      <c r="AA79" s="3">
        <v>0.3</v>
      </c>
      <c r="AB79">
        <f t="shared" si="15"/>
        <v>49237.624224682193</v>
      </c>
      <c r="AC79">
        <f t="shared" si="21"/>
        <v>20112.447690170517</v>
      </c>
      <c r="AD79" s="3">
        <v>0.2</v>
      </c>
      <c r="AE79">
        <f t="shared" si="16"/>
        <v>4022.4895380341036</v>
      </c>
      <c r="AF79">
        <f t="shared" si="17"/>
        <v>1</v>
      </c>
    </row>
    <row r="80" spans="1:32">
      <c r="A80" s="2">
        <v>79</v>
      </c>
      <c r="B80">
        <f t="shared" si="12"/>
        <v>404.62520084440882</v>
      </c>
      <c r="C80" s="3">
        <v>0.08</v>
      </c>
      <c r="D80">
        <f t="shared" si="13"/>
        <v>2856.6539179615288</v>
      </c>
      <c r="Q80">
        <f t="shared" si="14"/>
        <v>2856.6539179615379</v>
      </c>
      <c r="R80">
        <f t="shared" si="18"/>
        <v>169.42777560455275</v>
      </c>
      <c r="S80">
        <f t="shared" si="19"/>
        <v>15952.99024879703</v>
      </c>
      <c r="T80" s="3">
        <v>0.08</v>
      </c>
      <c r="V80">
        <f>SUM($R$2:R80)</f>
        <v>6883.7659986736862</v>
      </c>
      <c r="W80">
        <f t="shared" si="20"/>
        <v>14.51475139938786</v>
      </c>
      <c r="Z80">
        <f t="shared" si="22"/>
        <v>2.9728595868461875E-2</v>
      </c>
      <c r="AA80" s="3">
        <v>0.3</v>
      </c>
      <c r="AB80">
        <f t="shared" si="15"/>
        <v>53176.634162656766</v>
      </c>
      <c r="AC80">
        <f t="shared" si="21"/>
        <v>21319.194551580749</v>
      </c>
      <c r="AD80" s="3">
        <v>0.2</v>
      </c>
      <c r="AE80">
        <f t="shared" si="16"/>
        <v>4263.8389103161498</v>
      </c>
      <c r="AF80">
        <f t="shared" si="17"/>
        <v>1</v>
      </c>
    </row>
    <row r="81" spans="1:32">
      <c r="A81" s="2">
        <v>80</v>
      </c>
      <c r="B81">
        <f t="shared" si="12"/>
        <v>436.99521691196151</v>
      </c>
      <c r="C81" s="3">
        <v>0.08</v>
      </c>
      <c r="D81">
        <f t="shared" si="13"/>
        <v>3085.1862313984511</v>
      </c>
      <c r="Q81">
        <f t="shared" si="14"/>
        <v>3085.1862313984611</v>
      </c>
      <c r="R81">
        <f t="shared" si="18"/>
        <v>172.62452608765747</v>
      </c>
      <c r="S81">
        <f t="shared" si="19"/>
        <v>17229.229468700792</v>
      </c>
      <c r="T81" s="3">
        <v>0.08</v>
      </c>
      <c r="V81">
        <f>SUM($R$2:R81)</f>
        <v>7056.3905247613438</v>
      </c>
      <c r="W81">
        <f t="shared" si="20"/>
        <v>14.878738507909889</v>
      </c>
      <c r="Z81">
        <f t="shared" si="22"/>
        <v>2.752647765598322E-2</v>
      </c>
      <c r="AA81" s="3">
        <v>0.3</v>
      </c>
      <c r="AB81">
        <f t="shared" si="15"/>
        <v>57430.764895669308</v>
      </c>
      <c r="AC81">
        <f t="shared" si="21"/>
        <v>22598.346224675595</v>
      </c>
      <c r="AD81" s="3">
        <v>0.2</v>
      </c>
      <c r="AE81">
        <f t="shared" si="16"/>
        <v>4519.6692449351194</v>
      </c>
      <c r="AF81">
        <f t="shared" si="17"/>
        <v>1</v>
      </c>
    </row>
    <row r="82" spans="1:32">
      <c r="A82" s="2">
        <v>81</v>
      </c>
      <c r="B82">
        <f t="shared" si="12"/>
        <v>471.95483426491842</v>
      </c>
      <c r="C82" s="3">
        <v>0.08</v>
      </c>
      <c r="D82">
        <f t="shared" si="13"/>
        <v>3332.0011299103271</v>
      </c>
      <c r="Q82">
        <f t="shared" si="14"/>
        <v>3332.001129910338</v>
      </c>
      <c r="R82">
        <f t="shared" si="18"/>
        <v>175.88159261761334</v>
      </c>
      <c r="S82">
        <f t="shared" si="19"/>
        <v>18607.567826196857</v>
      </c>
      <c r="T82" s="3">
        <v>0.08</v>
      </c>
      <c r="V82">
        <f>SUM($R$2:R82)</f>
        <v>7232.2721173789569</v>
      </c>
      <c r="W82">
        <f t="shared" si="20"/>
        <v>15.249593297724786</v>
      </c>
      <c r="Z82">
        <f t="shared" si="22"/>
        <v>2.5487479311095573E-2</v>
      </c>
      <c r="AA82" s="3">
        <v>0.3</v>
      </c>
      <c r="AB82">
        <f t="shared" si="15"/>
        <v>62025.226087322859</v>
      </c>
      <c r="AC82">
        <f t="shared" si="21"/>
        <v>23954.246998156133</v>
      </c>
      <c r="AD82" s="3">
        <v>0.2</v>
      </c>
      <c r="AE82">
        <f t="shared" si="16"/>
        <v>4790.8493996312272</v>
      </c>
      <c r="AF82">
        <f t="shared" si="17"/>
        <v>1</v>
      </c>
    </row>
    <row r="83" spans="1:32">
      <c r="A83" s="2">
        <v>82</v>
      </c>
      <c r="B83">
        <f t="shared" si="12"/>
        <v>509.71122100611188</v>
      </c>
      <c r="C83" s="3">
        <v>0.08</v>
      </c>
      <c r="D83">
        <f t="shared" si="13"/>
        <v>3598.5612203031533</v>
      </c>
      <c r="Q83">
        <f t="shared" si="14"/>
        <v>3598.5612203031651</v>
      </c>
      <c r="R83">
        <f t="shared" si="18"/>
        <v>179.20011323303999</v>
      </c>
      <c r="S83">
        <f t="shared" si="19"/>
        <v>20096.173252292607</v>
      </c>
      <c r="T83" s="3">
        <v>0.08</v>
      </c>
      <c r="V83">
        <f>SUM($R$2:R83)</f>
        <v>7411.4722306119966</v>
      </c>
      <c r="W83">
        <f t="shared" si="20"/>
        <v>15.627445347724869</v>
      </c>
      <c r="Z83">
        <f t="shared" si="22"/>
        <v>2.3599517880644048E-2</v>
      </c>
      <c r="AA83" s="3">
        <v>0.3</v>
      </c>
      <c r="AB83">
        <f t="shared" si="15"/>
        <v>66987.244174308697</v>
      </c>
      <c r="AC83">
        <f t="shared" si="21"/>
        <v>25391.501818045504</v>
      </c>
      <c r="AD83" s="3">
        <v>0.2</v>
      </c>
      <c r="AE83">
        <f t="shared" si="16"/>
        <v>5078.3003636091016</v>
      </c>
      <c r="AF83">
        <f t="shared" si="17"/>
        <v>1</v>
      </c>
    </row>
    <row r="84" spans="1:32">
      <c r="A84" s="2">
        <v>83</v>
      </c>
      <c r="B84">
        <f t="shared" si="12"/>
        <v>550.48811868660084</v>
      </c>
      <c r="C84" s="3">
        <v>0.08</v>
      </c>
      <c r="D84">
        <f t="shared" si="13"/>
        <v>3886.4461179274058</v>
      </c>
      <c r="Q84">
        <f t="shared" si="14"/>
        <v>3886.4461179274185</v>
      </c>
      <c r="R84">
        <f t="shared" si="18"/>
        <v>182.58124744498417</v>
      </c>
      <c r="S84">
        <f t="shared" si="19"/>
        <v>21703.867112476019</v>
      </c>
      <c r="T84" s="3">
        <v>0.08</v>
      </c>
      <c r="V84">
        <f>SUM($R$2:R84)</f>
        <v>7594.0534780569806</v>
      </c>
      <c r="W84">
        <f t="shared" si="20"/>
        <v>16.01242668168722</v>
      </c>
      <c r="Z84">
        <f t="shared" si="22"/>
        <v>2.1851405445040779E-2</v>
      </c>
      <c r="AA84" s="3">
        <v>0.3</v>
      </c>
      <c r="AB84">
        <f t="shared" si="15"/>
        <v>72346.223708253397</v>
      </c>
      <c r="AC84">
        <f t="shared" si="21"/>
        <v>26914.991927128238</v>
      </c>
      <c r="AD84" s="3">
        <v>0.2</v>
      </c>
      <c r="AE84">
        <f t="shared" si="16"/>
        <v>5382.9983854256479</v>
      </c>
      <c r="AF84">
        <f t="shared" si="17"/>
        <v>1</v>
      </c>
    </row>
    <row r="85" spans="1:32">
      <c r="A85" s="2">
        <v>84</v>
      </c>
      <c r="B85">
        <f t="shared" si="12"/>
        <v>594.52716818152885</v>
      </c>
      <c r="C85" s="3">
        <v>0.08</v>
      </c>
      <c r="D85">
        <f t="shared" si="13"/>
        <v>4197.361807361598</v>
      </c>
      <c r="Q85">
        <f t="shared" si="14"/>
        <v>4197.3618073616126</v>
      </c>
      <c r="R85">
        <f t="shared" si="18"/>
        <v>186.02617664205931</v>
      </c>
      <c r="S85">
        <f t="shared" si="19"/>
        <v>23440.1764814741</v>
      </c>
      <c r="T85" s="3">
        <v>0.08</v>
      </c>
      <c r="V85">
        <f>SUM($R$2:R85)</f>
        <v>7780.0796546990396</v>
      </c>
      <c r="W85">
        <f t="shared" si="20"/>
        <v>16.404671814403574</v>
      </c>
      <c r="Z85">
        <f t="shared" si="22"/>
        <v>2.0232782819482206E-2</v>
      </c>
      <c r="AA85" s="3">
        <v>0.3</v>
      </c>
      <c r="AB85">
        <f t="shared" si="15"/>
        <v>78133.921604913674</v>
      </c>
      <c r="AC85">
        <f t="shared" si="21"/>
        <v>28529.891442755932</v>
      </c>
      <c r="AD85" s="3">
        <v>0.2</v>
      </c>
      <c r="AE85">
        <f t="shared" si="16"/>
        <v>5705.9782885511868</v>
      </c>
      <c r="AF85">
        <f t="shared" si="17"/>
        <v>1</v>
      </c>
    </row>
    <row r="86" spans="1:32">
      <c r="A86" s="2">
        <v>85</v>
      </c>
      <c r="B86">
        <f t="shared" si="12"/>
        <v>642.08934163605113</v>
      </c>
      <c r="C86" s="3">
        <v>0.08</v>
      </c>
      <c r="D86">
        <f t="shared" si="13"/>
        <v>4533.1507519505258</v>
      </c>
      <c r="Q86">
        <f t="shared" si="14"/>
        <v>4533.1507519505412</v>
      </c>
      <c r="R86">
        <f t="shared" si="18"/>
        <v>189.53610450323023</v>
      </c>
      <c r="S86">
        <f t="shared" si="19"/>
        <v>25315.390599992028</v>
      </c>
      <c r="T86" s="3">
        <v>0.08</v>
      </c>
      <c r="V86">
        <f>SUM($R$2:R86)</f>
        <v>7969.6157592022701</v>
      </c>
      <c r="W86">
        <f t="shared" si="20"/>
        <v>16.804317798680618</v>
      </c>
      <c r="Z86">
        <f t="shared" si="22"/>
        <v>1.8734058166187225E-2</v>
      </c>
      <c r="AA86" s="3">
        <v>0.3</v>
      </c>
      <c r="AB86">
        <f t="shared" si="15"/>
        <v>84384.635333306767</v>
      </c>
      <c r="AC86">
        <f t="shared" si="21"/>
        <v>30241.684929321291</v>
      </c>
      <c r="AD86" s="3">
        <v>0.2</v>
      </c>
      <c r="AE86">
        <f t="shared" si="16"/>
        <v>6048.3369858642582</v>
      </c>
      <c r="AF86">
        <f t="shared" si="17"/>
        <v>1</v>
      </c>
    </row>
    <row r="87" spans="1:32">
      <c r="A87" s="2">
        <v>86</v>
      </c>
      <c r="B87">
        <f t="shared" si="12"/>
        <v>693.45648896693524</v>
      </c>
      <c r="C87" s="3">
        <v>0.08</v>
      </c>
      <c r="D87">
        <f t="shared" si="13"/>
        <v>4895.8028121065681</v>
      </c>
      <c r="Q87">
        <f t="shared" si="14"/>
        <v>4895.8028121065854</v>
      </c>
      <c r="R87">
        <f t="shared" si="18"/>
        <v>193.1122574183855</v>
      </c>
      <c r="S87">
        <f t="shared" si="19"/>
        <v>27340.621847991391</v>
      </c>
      <c r="T87" s="3">
        <v>0.08</v>
      </c>
      <c r="V87">
        <f>SUM($R$2:R87)</f>
        <v>8162.7280166206556</v>
      </c>
      <c r="W87">
        <f t="shared" si="20"/>
        <v>17.211504273227039</v>
      </c>
      <c r="Z87">
        <f t="shared" si="22"/>
        <v>1.734635015387706E-2</v>
      </c>
      <c r="AA87" s="3">
        <v>0.3</v>
      </c>
      <c r="AB87">
        <f t="shared" si="15"/>
        <v>91135.406159971302</v>
      </c>
      <c r="AC87">
        <f t="shared" si="21"/>
        <v>32056.186025080569</v>
      </c>
      <c r="AD87" s="3">
        <v>0.2</v>
      </c>
      <c r="AE87">
        <f t="shared" si="16"/>
        <v>6411.2372050161139</v>
      </c>
      <c r="AF87">
        <f t="shared" si="17"/>
        <v>1</v>
      </c>
    </row>
    <row r="88" spans="1:32">
      <c r="A88" s="2">
        <v>87</v>
      </c>
      <c r="B88">
        <f t="shared" si="12"/>
        <v>748.93300808429001</v>
      </c>
      <c r="C88" s="3">
        <v>0.08</v>
      </c>
      <c r="D88">
        <f t="shared" si="13"/>
        <v>5287.4670370750937</v>
      </c>
      <c r="Q88">
        <f t="shared" si="14"/>
        <v>5287.4670370751119</v>
      </c>
      <c r="R88">
        <f t="shared" si="18"/>
        <v>196.75588491684559</v>
      </c>
      <c r="S88">
        <f t="shared" si="19"/>
        <v>29527.871595830704</v>
      </c>
      <c r="T88" s="3">
        <v>0.08</v>
      </c>
      <c r="V88">
        <f>SUM($R$2:R88)</f>
        <v>8359.4839015375019</v>
      </c>
      <c r="W88">
        <f t="shared" si="20"/>
        <v>17.62637351144415</v>
      </c>
      <c r="Z88">
        <f t="shared" si="22"/>
        <v>1.6061435327663943E-2</v>
      </c>
      <c r="AA88" s="3">
        <v>0.3</v>
      </c>
      <c r="AB88">
        <f t="shared" si="15"/>
        <v>98426.238652769011</v>
      </c>
      <c r="AC88">
        <f t="shared" si="21"/>
        <v>33979.557186585407</v>
      </c>
      <c r="AD88" s="3">
        <v>0.2</v>
      </c>
      <c r="AE88">
        <f t="shared" si="16"/>
        <v>6795.9114373170814</v>
      </c>
      <c r="AF88">
        <f t="shared" si="17"/>
        <v>1</v>
      </c>
    </row>
    <row r="89" spans="1:32">
      <c r="A89" s="2">
        <v>88</v>
      </c>
      <c r="B89">
        <f t="shared" si="12"/>
        <v>808.84764873103325</v>
      </c>
      <c r="C89" s="3">
        <v>0.08</v>
      </c>
      <c r="D89">
        <f t="shared" si="13"/>
        <v>5710.4644000411008</v>
      </c>
      <c r="Q89">
        <f t="shared" si="14"/>
        <v>5710.4644000411217</v>
      </c>
      <c r="R89">
        <f t="shared" si="18"/>
        <v>200.46826010395588</v>
      </c>
      <c r="S89">
        <f t="shared" si="19"/>
        <v>31890.101323497162</v>
      </c>
      <c r="T89" s="3">
        <v>0.08</v>
      </c>
      <c r="V89">
        <f>SUM($R$2:R89)</f>
        <v>8559.9521616414586</v>
      </c>
      <c r="W89">
        <f t="shared" si="20"/>
        <v>18.049070471137053</v>
      </c>
      <c r="Z89">
        <f t="shared" si="22"/>
        <v>1.4871699377466614E-2</v>
      </c>
      <c r="AA89" s="3">
        <v>0.3</v>
      </c>
      <c r="AB89">
        <f t="shared" si="15"/>
        <v>106300.33774499054</v>
      </c>
      <c r="AC89">
        <f t="shared" si="21"/>
        <v>36018.330617780535</v>
      </c>
      <c r="AD89" s="3">
        <v>0.2</v>
      </c>
      <c r="AE89">
        <f t="shared" si="16"/>
        <v>7203.6661235561078</v>
      </c>
      <c r="AF89">
        <f t="shared" si="17"/>
        <v>1</v>
      </c>
    </row>
    <row r="90" spans="1:32">
      <c r="A90" s="2">
        <v>89</v>
      </c>
      <c r="B90">
        <f t="shared" si="12"/>
        <v>873.55546062951589</v>
      </c>
      <c r="C90" s="3">
        <v>0.08</v>
      </c>
      <c r="D90">
        <f t="shared" si="13"/>
        <v>6167.3015520443887</v>
      </c>
      <c r="Q90">
        <f t="shared" si="14"/>
        <v>6167.3015520444114</v>
      </c>
      <c r="R90">
        <f t="shared" si="18"/>
        <v>204.25068010591735</v>
      </c>
      <c r="S90">
        <f t="shared" si="19"/>
        <v>34441.309429376939</v>
      </c>
      <c r="T90" s="3">
        <v>0.08</v>
      </c>
      <c r="V90">
        <f>SUM($R$2:R90)</f>
        <v>8764.2028417473757</v>
      </c>
      <c r="W90">
        <f t="shared" si="20"/>
        <v>18.479742845163784</v>
      </c>
      <c r="Z90">
        <f t="shared" si="22"/>
        <v>1.377009201617279E-2</v>
      </c>
      <c r="AA90" s="3">
        <v>0.3</v>
      </c>
      <c r="AB90">
        <f t="shared" si="15"/>
        <v>114804.3647645898</v>
      </c>
      <c r="AC90">
        <f t="shared" si="21"/>
        <v>38179.430454847366</v>
      </c>
      <c r="AD90" s="3">
        <v>0.2</v>
      </c>
      <c r="AE90">
        <f t="shared" si="16"/>
        <v>7635.886090969474</v>
      </c>
      <c r="AF90">
        <f t="shared" si="17"/>
        <v>1</v>
      </c>
    </row>
    <row r="91" spans="1:32">
      <c r="A91" s="2">
        <v>90</v>
      </c>
      <c r="B91">
        <f t="shared" si="12"/>
        <v>943.43989747987712</v>
      </c>
      <c r="C91" s="3">
        <v>0.08</v>
      </c>
      <c r="D91">
        <f t="shared" si="13"/>
        <v>6660.6856762079397</v>
      </c>
      <c r="Q91">
        <f t="shared" si="14"/>
        <v>6660.6856762079651</v>
      </c>
      <c r="R91">
        <f t="shared" si="18"/>
        <v>208.10446652301019</v>
      </c>
      <c r="S91">
        <f t="shared" si="19"/>
        <v>37196.614183727099</v>
      </c>
      <c r="T91" s="3">
        <v>0.08</v>
      </c>
      <c r="V91">
        <f>SUM($R$2:R91)</f>
        <v>8972.3073082703868</v>
      </c>
      <c r="W91">
        <f t="shared" si="20"/>
        <v>18.918541113040078</v>
      </c>
      <c r="Z91">
        <f t="shared" si="22"/>
        <v>1.2750085200159989E-2</v>
      </c>
      <c r="AA91" s="3">
        <v>0.3</v>
      </c>
      <c r="AB91">
        <f t="shared" si="15"/>
        <v>123988.713945757</v>
      </c>
      <c r="AC91">
        <f t="shared" si="21"/>
        <v>40470.196282138211</v>
      </c>
      <c r="AD91" s="3">
        <v>0.2</v>
      </c>
      <c r="AE91">
        <f t="shared" si="16"/>
        <v>8094.0392564276426</v>
      </c>
      <c r="AF91">
        <f t="shared" si="17"/>
        <v>1</v>
      </c>
    </row>
    <row r="92" spans="1:32">
      <c r="A92" s="2">
        <v>91</v>
      </c>
      <c r="B92">
        <f t="shared" si="12"/>
        <v>1018.9150892782673</v>
      </c>
      <c r="C92" s="3">
        <v>0.08</v>
      </c>
      <c r="D92">
        <f t="shared" si="13"/>
        <v>7193.5405303045745</v>
      </c>
      <c r="Q92">
        <f t="shared" si="14"/>
        <v>7193.5405303046018</v>
      </c>
      <c r="R92">
        <f t="shared" si="18"/>
        <v>212.03096589136888</v>
      </c>
      <c r="S92">
        <f t="shared" si="19"/>
        <v>40172.343318425272</v>
      </c>
      <c r="T92" s="3">
        <v>0.08</v>
      </c>
      <c r="V92">
        <f>SUM($R$2:R92)</f>
        <v>9184.3382741617552</v>
      </c>
      <c r="W92">
        <f t="shared" si="20"/>
        <v>19.365618593517809</v>
      </c>
      <c r="Z92">
        <f t="shared" si="22"/>
        <v>1.180563444459258E-2</v>
      </c>
      <c r="AA92" s="3">
        <v>0.3</v>
      </c>
      <c r="AB92">
        <f t="shared" si="15"/>
        <v>133907.81106141757</v>
      </c>
      <c r="AC92">
        <f t="shared" si="21"/>
        <v>42898.408059066503</v>
      </c>
      <c r="AD92" s="3">
        <v>0.2</v>
      </c>
      <c r="AE92">
        <f t="shared" si="16"/>
        <v>8579.6816118133011</v>
      </c>
      <c r="AF92">
        <f t="shared" si="17"/>
        <v>1</v>
      </c>
    </row>
    <row r="93" spans="1:32">
      <c r="A93" s="2">
        <v>92</v>
      </c>
      <c r="B93">
        <f t="shared" si="12"/>
        <v>1100.4282964205286</v>
      </c>
      <c r="C93" s="3">
        <v>0.08</v>
      </c>
      <c r="D93">
        <f t="shared" si="13"/>
        <v>7769.0237727289405</v>
      </c>
      <c r="Q93">
        <f t="shared" si="14"/>
        <v>7769.0237727289696</v>
      </c>
      <c r="R93">
        <f t="shared" si="18"/>
        <v>216.03155015347014</v>
      </c>
      <c r="S93">
        <f t="shared" si="19"/>
        <v>43386.130783899294</v>
      </c>
      <c r="T93" s="3">
        <v>0.08</v>
      </c>
      <c r="V93">
        <f>SUM($R$2:R93)</f>
        <v>9400.3698243152248</v>
      </c>
      <c r="W93">
        <f t="shared" si="20"/>
        <v>19.821131498155495</v>
      </c>
      <c r="Z93">
        <f t="shared" si="22"/>
        <v>1.0931143004252389E-2</v>
      </c>
      <c r="AA93" s="3">
        <v>0.3</v>
      </c>
      <c r="AB93">
        <f t="shared" si="15"/>
        <v>144620.43594633098</v>
      </c>
      <c r="AC93">
        <f t="shared" si="21"/>
        <v>45472.312542610496</v>
      </c>
      <c r="AD93" s="3">
        <v>0.2</v>
      </c>
      <c r="AE93">
        <f t="shared" si="16"/>
        <v>9094.4625085220996</v>
      </c>
      <c r="AF93">
        <f t="shared" si="17"/>
        <v>1</v>
      </c>
    </row>
    <row r="94" spans="1:32">
      <c r="A94" s="2">
        <v>93</v>
      </c>
      <c r="B94">
        <f t="shared" si="12"/>
        <v>1188.4625601341709</v>
      </c>
      <c r="C94" s="3">
        <v>0.08</v>
      </c>
      <c r="D94">
        <f t="shared" si="13"/>
        <v>8390.5456745472547</v>
      </c>
      <c r="Q94">
        <f t="shared" si="14"/>
        <v>8390.5456745472875</v>
      </c>
      <c r="R94">
        <f t="shared" si="18"/>
        <v>220.1076171374979</v>
      </c>
      <c r="S94">
        <f t="shared" si="19"/>
        <v>46857.021246611243</v>
      </c>
      <c r="T94" s="3">
        <v>0.08</v>
      </c>
      <c r="V94">
        <f>SUM($R$2:R94)</f>
        <v>9620.4774414527219</v>
      </c>
      <c r="W94">
        <f t="shared" si="20"/>
        <v>20.285238985899554</v>
      </c>
      <c r="Z94">
        <f t="shared" si="22"/>
        <v>1.01214287076411E-2</v>
      </c>
      <c r="AA94" s="3">
        <v>0.3</v>
      </c>
      <c r="AB94">
        <f t="shared" si="15"/>
        <v>156190.07082203749</v>
      </c>
      <c r="AC94">
        <f t="shared" si="21"/>
        <v>48200.651295167125</v>
      </c>
      <c r="AD94" s="3">
        <v>0.2</v>
      </c>
      <c r="AE94">
        <f t="shared" si="16"/>
        <v>9640.1302590334253</v>
      </c>
      <c r="AF94">
        <f t="shared" si="17"/>
        <v>1</v>
      </c>
    </row>
    <row r="95" spans="1:32">
      <c r="A95" s="2">
        <v>94</v>
      </c>
      <c r="B95">
        <f t="shared" si="12"/>
        <v>1283.5395649449044</v>
      </c>
      <c r="C95" s="3">
        <v>0.08</v>
      </c>
      <c r="D95">
        <f t="shared" si="13"/>
        <v>9061.7893285110349</v>
      </c>
      <c r="Q95">
        <f t="shared" si="14"/>
        <v>9061.7893285110713</v>
      </c>
      <c r="R95">
        <f t="shared" si="18"/>
        <v>224.26059104575256</v>
      </c>
      <c r="S95">
        <f t="shared" si="19"/>
        <v>50605.582946340146</v>
      </c>
      <c r="T95" s="3">
        <v>0.08</v>
      </c>
      <c r="V95">
        <f>SUM($R$2:R95)</f>
        <v>9844.7380324984751</v>
      </c>
      <c r="W95">
        <f t="shared" si="20"/>
        <v>20.758103218695389</v>
      </c>
      <c r="Z95">
        <f t="shared" si="22"/>
        <v>9.3716932478158325E-3</v>
      </c>
      <c r="AA95" s="3">
        <v>0.3</v>
      </c>
      <c r="AB95">
        <f t="shared" si="15"/>
        <v>168685.2764878005</v>
      </c>
      <c r="AC95">
        <f t="shared" si="21"/>
        <v>51092.690372877158</v>
      </c>
      <c r="AD95" s="3">
        <v>0.2</v>
      </c>
      <c r="AE95">
        <f t="shared" si="16"/>
        <v>10218.538074575432</v>
      </c>
      <c r="AF95">
        <f t="shared" si="17"/>
        <v>1</v>
      </c>
    </row>
    <row r="96" spans="1:32">
      <c r="A96" s="2">
        <v>95</v>
      </c>
      <c r="B96">
        <f t="shared" si="12"/>
        <v>1386.2227301404969</v>
      </c>
      <c r="C96" s="3">
        <v>0.08</v>
      </c>
      <c r="D96">
        <f t="shared" si="13"/>
        <v>9786.7324747919174</v>
      </c>
      <c r="Q96">
        <f t="shared" si="14"/>
        <v>9786.7324747919592</v>
      </c>
      <c r="R96">
        <f t="shared" si="18"/>
        <v>228.49192295227621</v>
      </c>
      <c r="S96">
        <f t="shared" si="19"/>
        <v>54654.029582047362</v>
      </c>
      <c r="T96" s="3">
        <v>0.08</v>
      </c>
      <c r="V96">
        <f>SUM($R$2:R96)</f>
        <v>10073.229955450752</v>
      </c>
      <c r="W96">
        <f t="shared" si="20"/>
        <v>21.239889418147751</v>
      </c>
      <c r="Z96">
        <f t="shared" si="22"/>
        <v>8.6774937479776222E-3</v>
      </c>
      <c r="AA96" s="3">
        <v>0.3</v>
      </c>
      <c r="AB96">
        <f t="shared" si="15"/>
        <v>182180.09860682455</v>
      </c>
      <c r="AC96">
        <f t="shared" si="21"/>
        <v>54158.251795249787</v>
      </c>
      <c r="AD96" s="3">
        <v>0.2</v>
      </c>
      <c r="AE96">
        <f t="shared" si="16"/>
        <v>10831.650359049958</v>
      </c>
      <c r="AF96">
        <f t="shared" si="17"/>
        <v>1</v>
      </c>
    </row>
    <row r="97" spans="1:32">
      <c r="A97" s="2">
        <v>96</v>
      </c>
      <c r="B97">
        <f t="shared" si="12"/>
        <v>1497.1205485517366</v>
      </c>
      <c r="C97" s="3">
        <v>0.08</v>
      </c>
      <c r="D97">
        <f t="shared" si="13"/>
        <v>10569.671072775271</v>
      </c>
      <c r="Q97">
        <f t="shared" si="14"/>
        <v>10569.671072775316</v>
      </c>
      <c r="R97">
        <f t="shared" si="18"/>
        <v>232.80309130986629</v>
      </c>
      <c r="S97">
        <f t="shared" si="19"/>
        <v>59026.351948611155</v>
      </c>
      <c r="T97" s="3">
        <v>0.08</v>
      </c>
      <c r="V97">
        <f>SUM($R$2:R97)</f>
        <v>10306.033046760618</v>
      </c>
      <c r="W97">
        <f t="shared" si="20"/>
        <v>21.730765923250154</v>
      </c>
      <c r="Z97">
        <f t="shared" si="22"/>
        <v>8.0347164333126123E-3</v>
      </c>
      <c r="AA97" s="3">
        <v>0.3</v>
      </c>
      <c r="AB97">
        <f t="shared" si="15"/>
        <v>196754.50649537053</v>
      </c>
      <c r="AC97">
        <f t="shared" si="21"/>
        <v>57407.746902964776</v>
      </c>
      <c r="AD97" s="3">
        <v>0.2</v>
      </c>
      <c r="AE97">
        <f t="shared" si="16"/>
        <v>11481.549380592956</v>
      </c>
      <c r="AF97">
        <f t="shared" si="17"/>
        <v>1</v>
      </c>
    </row>
    <row r="98" spans="1:32">
      <c r="A98" s="2">
        <v>97</v>
      </c>
      <c r="B98">
        <f t="shared" si="12"/>
        <v>1616.8901924358756</v>
      </c>
      <c r="C98" s="3">
        <v>0.08</v>
      </c>
      <c r="D98">
        <f t="shared" si="13"/>
        <v>11415.244758597291</v>
      </c>
      <c r="Q98">
        <f t="shared" si="14"/>
        <v>11415.244758597342</v>
      </c>
      <c r="R98">
        <f t="shared" si="18"/>
        <v>237.19560246665628</v>
      </c>
      <c r="S98">
        <f t="shared" si="19"/>
        <v>63748.460104500053</v>
      </c>
      <c r="T98" s="3">
        <v>0.08</v>
      </c>
      <c r="V98">
        <f>SUM($R$2:R98)</f>
        <v>10543.228649227274</v>
      </c>
      <c r="W98">
        <f t="shared" si="20"/>
        <v>22.230904249203547</v>
      </c>
      <c r="Z98">
        <f t="shared" si="22"/>
        <v>7.4395522530672333E-3</v>
      </c>
      <c r="AA98" s="3">
        <v>0.3</v>
      </c>
      <c r="AB98">
        <f t="shared" si="15"/>
        <v>212494.86701500017</v>
      </c>
      <c r="AC98">
        <f t="shared" si="21"/>
        <v>60852.211717142665</v>
      </c>
      <c r="AD98" s="3">
        <v>0.2</v>
      </c>
      <c r="AE98">
        <f t="shared" si="16"/>
        <v>12170.442343428535</v>
      </c>
      <c r="AF98">
        <f t="shared" si="17"/>
        <v>1</v>
      </c>
    </row>
    <row r="99" spans="1:32">
      <c r="A99" s="2">
        <v>98</v>
      </c>
      <c r="B99">
        <f t="shared" si="12"/>
        <v>1746.2414078307456</v>
      </c>
      <c r="C99" s="3">
        <v>0.08</v>
      </c>
      <c r="D99">
        <f t="shared" si="13"/>
        <v>12328.464339285074</v>
      </c>
      <c r="Q99">
        <f t="shared" si="14"/>
        <v>12328.464339285129</v>
      </c>
      <c r="R99">
        <f t="shared" si="18"/>
        <v>241.67099119244227</v>
      </c>
      <c r="S99">
        <f t="shared" si="19"/>
        <v>68848.336912860061</v>
      </c>
      <c r="T99" s="3">
        <v>0.08</v>
      </c>
      <c r="V99">
        <f>SUM($R$2:R99)</f>
        <v>10784.899640419717</v>
      </c>
      <c r="W99">
        <f t="shared" si="20"/>
        <v>22.740479147344743</v>
      </c>
      <c r="Z99">
        <f t="shared" si="22"/>
        <v>6.8884743083955854E-3</v>
      </c>
      <c r="AA99" s="3">
        <v>0.3</v>
      </c>
      <c r="AB99">
        <f t="shared" si="15"/>
        <v>229494.45637620022</v>
      </c>
      <c r="AC99">
        <f t="shared" si="21"/>
        <v>64503.344420171226</v>
      </c>
      <c r="AD99" s="3">
        <v>0.2</v>
      </c>
      <c r="AE99">
        <f t="shared" si="16"/>
        <v>12900.668884034247</v>
      </c>
      <c r="AF99">
        <f t="shared" si="17"/>
        <v>1</v>
      </c>
    </row>
    <row r="100" spans="1:32">
      <c r="A100" s="2">
        <v>99</v>
      </c>
      <c r="B100">
        <f t="shared" si="12"/>
        <v>1885.9407204572053</v>
      </c>
      <c r="C100" s="3">
        <v>0.08</v>
      </c>
      <c r="D100">
        <f t="shared" si="13"/>
        <v>13314.74148642788</v>
      </c>
      <c r="Q100">
        <f t="shared" si="14"/>
        <v>13314.74148642794</v>
      </c>
      <c r="R100">
        <f t="shared" si="18"/>
        <v>246.23082121494116</v>
      </c>
      <c r="S100">
        <f t="shared" si="19"/>
        <v>74356.203865888863</v>
      </c>
      <c r="T100" s="3">
        <v>0.08</v>
      </c>
      <c r="V100">
        <f>SUM($R$2:R100)</f>
        <v>11031.130461634659</v>
      </c>
      <c r="W100">
        <f t="shared" si="20"/>
        <v>23.259668666205581</v>
      </c>
      <c r="Z100">
        <f t="shared" si="22"/>
        <v>6.378216952218135E-3</v>
      </c>
      <c r="AA100" s="3">
        <v>0.3</v>
      </c>
      <c r="AB100">
        <f t="shared" si="15"/>
        <v>247854.01288629623</v>
      </c>
      <c r="AC100">
        <f t="shared" si="21"/>
        <v>68373.545085381498</v>
      </c>
      <c r="AD100" s="3">
        <v>0.2</v>
      </c>
      <c r="AE100">
        <f t="shared" si="16"/>
        <v>13674.7090170763</v>
      </c>
      <c r="AF100">
        <f t="shared" si="17"/>
        <v>1</v>
      </c>
    </row>
    <row r="101" spans="1:32">
      <c r="A101" s="2">
        <v>100</v>
      </c>
      <c r="B101">
        <f t="shared" si="12"/>
        <v>2036.8159780937817</v>
      </c>
      <c r="C101" s="3">
        <v>0.08</v>
      </c>
      <c r="D101">
        <f t="shared" si="13"/>
        <v>14379.92080534211</v>
      </c>
      <c r="Q101">
        <f t="shared" si="14"/>
        <v>14379.920805342177</v>
      </c>
      <c r="R101">
        <f t="shared" si="18"/>
        <v>250.87668576616642</v>
      </c>
      <c r="S101">
        <f t="shared" si="19"/>
        <v>80304.700175159975</v>
      </c>
      <c r="T101" s="3">
        <v>0.08</v>
      </c>
      <c r="V101">
        <f>SUM($R$2:R101)</f>
        <v>11282.007147400825</v>
      </c>
      <c r="W101">
        <f t="shared" si="20"/>
        <v>23.788654213724172</v>
      </c>
      <c r="Z101">
        <f t="shared" si="22"/>
        <v>5.9057564372390139E-3</v>
      </c>
      <c r="AA101" s="3">
        <v>0.3</v>
      </c>
      <c r="AB101">
        <f t="shared" si="15"/>
        <v>267682.33391719993</v>
      </c>
      <c r="AC101">
        <f t="shared" si="21"/>
        <v>72475.957790504399</v>
      </c>
      <c r="AD101" s="3">
        <v>0.2</v>
      </c>
      <c r="AE101">
        <f t="shared" si="16"/>
        <v>14495.19155810088</v>
      </c>
      <c r="AF101">
        <f t="shared" si="17"/>
        <v>1</v>
      </c>
    </row>
    <row r="102" spans="1:32">
      <c r="A102" s="2">
        <v>101</v>
      </c>
      <c r="B102">
        <f t="shared" ref="B102:B165" si="23">B101+B101*C101</f>
        <v>2199.761256341284</v>
      </c>
      <c r="C102" s="3">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3">
        <v>0.08</v>
      </c>
      <c r="V102">
        <f>SUM($R$2:R102)</f>
        <v>11537.617355539938</v>
      </c>
      <c r="W102">
        <f t="shared" ref="W102:W165" si="28">V102/$W$2</f>
        <v>24.327620620629904</v>
      </c>
      <c r="Z102">
        <f t="shared" si="22"/>
        <v>5.468292997443531E-3</v>
      </c>
      <c r="AA102" s="3">
        <v>0.3</v>
      </c>
      <c r="AB102">
        <f t="shared" si="15"/>
        <v>289096.92063057591</v>
      </c>
      <c r="AC102">
        <f t="shared" si="21"/>
        <v>76824.515257934661</v>
      </c>
      <c r="AD102" s="3">
        <v>0.2</v>
      </c>
      <c r="AE102">
        <f t="shared" si="16"/>
        <v>15364.903051586933</v>
      </c>
      <c r="AF102">
        <f t="shared" si="17"/>
        <v>1</v>
      </c>
    </row>
    <row r="103" spans="1:32">
      <c r="A103" s="2">
        <v>102</v>
      </c>
      <c r="B103">
        <f t="shared" si="23"/>
        <v>2375.7421568485865</v>
      </c>
      <c r="C103" s="3">
        <v>0.08</v>
      </c>
      <c r="D103">
        <f t="shared" si="24"/>
        <v>16772.739627351039</v>
      </c>
      <c r="Q103">
        <f t="shared" si="25"/>
        <v>16772.739627351115</v>
      </c>
      <c r="R103">
        <f t="shared" si="26"/>
        <v>260.43304225494529</v>
      </c>
      <c r="S103">
        <f t="shared" si="27"/>
        <v>93667.402284306605</v>
      </c>
      <c r="T103" s="3">
        <v>0.08</v>
      </c>
      <c r="V103">
        <f>SUM($R$2:R103)</f>
        <v>11798.050397794883</v>
      </c>
      <c r="W103">
        <f t="shared" si="28"/>
        <v>24.876756205024424</v>
      </c>
      <c r="Z103">
        <f t="shared" si="22"/>
        <v>5.0632342568921584E-3</v>
      </c>
      <c r="AA103" s="3">
        <v>0.3</v>
      </c>
      <c r="AB103">
        <f t="shared" si="15"/>
        <v>312224.67428102205</v>
      </c>
      <c r="AC103">
        <f t="shared" si="21"/>
        <v>81433.98617341074</v>
      </c>
      <c r="AD103" s="3">
        <v>0.2</v>
      </c>
      <c r="AE103">
        <f t="shared" si="16"/>
        <v>16286.797234682148</v>
      </c>
      <c r="AF103">
        <f t="shared" si="17"/>
        <v>1</v>
      </c>
    </row>
    <row r="104" spans="1:32">
      <c r="A104" s="2">
        <v>103</v>
      </c>
      <c r="B104">
        <f t="shared" si="23"/>
        <v>2565.8015293964736</v>
      </c>
      <c r="C104" s="3">
        <v>0.08</v>
      </c>
      <c r="D104">
        <f t="shared" si="24"/>
        <v>18114.558797539121</v>
      </c>
      <c r="Q104">
        <f t="shared" si="25"/>
        <v>18114.558797539208</v>
      </c>
      <c r="R104">
        <f t="shared" si="26"/>
        <v>265.34687324088759</v>
      </c>
      <c r="S104">
        <f t="shared" si="27"/>
        <v>101160.79446705114</v>
      </c>
      <c r="T104" s="3">
        <v>0.08</v>
      </c>
      <c r="V104">
        <f>SUM($R$2:R104)</f>
        <v>12063.39727103577</v>
      </c>
      <c r="W104">
        <f t="shared" si="28"/>
        <v>25.436252838181105</v>
      </c>
      <c r="Z104">
        <f t="shared" si="22"/>
        <v>4.6881798674927389E-3</v>
      </c>
      <c r="AA104" s="3">
        <v>0.3</v>
      </c>
      <c r="AB104">
        <f t="shared" si="15"/>
        <v>337202.64822350378</v>
      </c>
      <c r="AC104">
        <f t="shared" si="21"/>
        <v>86320.025343815389</v>
      </c>
      <c r="AD104" s="3">
        <v>0.2</v>
      </c>
      <c r="AE104">
        <f t="shared" si="16"/>
        <v>17264.005068763079</v>
      </c>
      <c r="AF104">
        <f t="shared" si="17"/>
        <v>1</v>
      </c>
    </row>
    <row r="105" spans="1:32">
      <c r="A105" s="2">
        <v>104</v>
      </c>
      <c r="B105">
        <f t="shared" si="23"/>
        <v>2771.0656517481916</v>
      </c>
      <c r="C105" s="3">
        <v>0.08</v>
      </c>
      <c r="D105">
        <f t="shared" si="24"/>
        <v>19563.723501342251</v>
      </c>
      <c r="Q105">
        <f t="shared" si="25"/>
        <v>19563.723501342345</v>
      </c>
      <c r="R105">
        <f t="shared" si="26"/>
        <v>270.35341801901751</v>
      </c>
      <c r="S105">
        <f t="shared" si="27"/>
        <v>109253.65802441523</v>
      </c>
      <c r="T105" s="3">
        <v>0.08</v>
      </c>
      <c r="V105">
        <f>SUM($R$2:R105)</f>
        <v>12333.750689054788</v>
      </c>
      <c r="W105">
        <f t="shared" si="28"/>
        <v>26.006306011586027</v>
      </c>
      <c r="Z105">
        <f t="shared" si="22"/>
        <v>4.3409072847154992E-3</v>
      </c>
      <c r="AA105" s="3">
        <v>0.3</v>
      </c>
      <c r="AB105">
        <f t="shared" si="15"/>
        <v>364178.86008138413</v>
      </c>
      <c r="AC105">
        <f t="shared" si="21"/>
        <v>91499.22686444431</v>
      </c>
      <c r="AD105" s="3">
        <v>0.2</v>
      </c>
      <c r="AE105">
        <f t="shared" si="16"/>
        <v>18299.845372888863</v>
      </c>
      <c r="AF105">
        <f t="shared" si="17"/>
        <v>1</v>
      </c>
    </row>
    <row r="106" spans="1:32">
      <c r="A106" s="2">
        <v>105</v>
      </c>
      <c r="B106">
        <f t="shared" si="23"/>
        <v>2992.7509038880471</v>
      </c>
      <c r="C106" s="3">
        <v>0.08</v>
      </c>
      <c r="D106">
        <f t="shared" si="24"/>
        <v>21128.82138144963</v>
      </c>
      <c r="Q106">
        <f t="shared" si="25"/>
        <v>21128.821381449732</v>
      </c>
      <c r="R106">
        <f t="shared" si="26"/>
        <v>275.45442590616886</v>
      </c>
      <c r="S106">
        <f t="shared" si="27"/>
        <v>117993.95066636846</v>
      </c>
      <c r="T106" s="3">
        <v>0.08</v>
      </c>
      <c r="V106">
        <f>SUM($R$2:R106)</f>
        <v>12609.205114960958</v>
      </c>
      <c r="W106">
        <f t="shared" si="28"/>
        <v>26.587114905243872</v>
      </c>
      <c r="Z106">
        <f t="shared" si="22"/>
        <v>4.0193585969587947E-3</v>
      </c>
      <c r="AA106" s="3">
        <v>0.3</v>
      </c>
      <c r="AB106">
        <f t="shared" si="15"/>
        <v>393313.16888789489</v>
      </c>
      <c r="AC106">
        <f t="shared" si="21"/>
        <v>96989.180476310969</v>
      </c>
      <c r="AD106" s="3">
        <v>0.2</v>
      </c>
      <c r="AE106">
        <f t="shared" si="16"/>
        <v>19397.836095262195</v>
      </c>
      <c r="AF106">
        <f t="shared" si="17"/>
        <v>1</v>
      </c>
    </row>
    <row r="107" spans="1:32">
      <c r="A107" s="2">
        <v>106</v>
      </c>
      <c r="B107">
        <f t="shared" si="23"/>
        <v>3232.170976199091</v>
      </c>
      <c r="C107" s="3">
        <v>0.08</v>
      </c>
      <c r="D107">
        <f t="shared" si="24"/>
        <v>22819.127091965602</v>
      </c>
      <c r="Q107">
        <f t="shared" si="25"/>
        <v>22819.127091965714</v>
      </c>
      <c r="R107">
        <f t="shared" si="26"/>
        <v>280.65167922515326</v>
      </c>
      <c r="S107">
        <f t="shared" si="27"/>
        <v>127433.46671967795</v>
      </c>
      <c r="T107" s="3">
        <v>0.08</v>
      </c>
      <c r="V107">
        <f>SUM($R$2:R107)</f>
        <v>12889.856794186111</v>
      </c>
      <c r="W107">
        <f t="shared" si="28"/>
        <v>27.178882457272618</v>
      </c>
      <c r="Z107">
        <f t="shared" si="22"/>
        <v>3.7216283305174023E-3</v>
      </c>
      <c r="AA107" s="3">
        <v>0.3</v>
      </c>
      <c r="AB107">
        <f t="shared" si="15"/>
        <v>424778.2223989265</v>
      </c>
      <c r="AC107">
        <f t="shared" si="21"/>
        <v>102808.53130488964</v>
      </c>
      <c r="AD107" s="3">
        <v>0.2</v>
      </c>
      <c r="AE107">
        <f t="shared" si="16"/>
        <v>20561.706260977928</v>
      </c>
      <c r="AF107">
        <f t="shared" si="17"/>
        <v>1</v>
      </c>
    </row>
    <row r="108" spans="1:32">
      <c r="A108" s="2">
        <v>107</v>
      </c>
      <c r="B108">
        <f t="shared" si="23"/>
        <v>3490.7446542950183</v>
      </c>
      <c r="C108" s="3">
        <v>0.08</v>
      </c>
      <c r="D108">
        <f t="shared" si="24"/>
        <v>24644.657259322848</v>
      </c>
      <c r="Q108">
        <f t="shared" si="25"/>
        <v>24644.657259322968</v>
      </c>
      <c r="R108">
        <f t="shared" si="26"/>
        <v>285.9469939275146</v>
      </c>
      <c r="S108">
        <f t="shared" si="27"/>
        <v>137628.14405725218</v>
      </c>
      <c r="T108" s="3">
        <v>0.08</v>
      </c>
      <c r="V108">
        <f>SUM($R$2:R108)</f>
        <v>13175.803788113626</v>
      </c>
      <c r="W108">
        <f t="shared" si="28"/>
        <v>27.781815434811339</v>
      </c>
      <c r="Z108">
        <f t="shared" si="22"/>
        <v>3.4459521578864838E-3</v>
      </c>
      <c r="AA108" s="3">
        <v>0.3</v>
      </c>
      <c r="AB108">
        <f t="shared" si="15"/>
        <v>458760.48019084061</v>
      </c>
      <c r="AC108">
        <f t="shared" si="21"/>
        <v>108977.04318318302</v>
      </c>
      <c r="AD108" s="3">
        <v>0.2</v>
      </c>
      <c r="AE108">
        <f t="shared" si="16"/>
        <v>21795.408636636606</v>
      </c>
      <c r="AF108">
        <f t="shared" si="17"/>
        <v>1</v>
      </c>
    </row>
    <row r="109" spans="1:32">
      <c r="A109" s="2">
        <v>108</v>
      </c>
      <c r="B109">
        <f t="shared" si="23"/>
        <v>3770.0042266386199</v>
      </c>
      <c r="C109" s="3">
        <v>0.08</v>
      </c>
      <c r="D109">
        <f t="shared" si="24"/>
        <v>26616.229840068678</v>
      </c>
      <c r="Q109">
        <f t="shared" si="25"/>
        <v>26616.229840068805</v>
      </c>
      <c r="R109">
        <f t="shared" si="26"/>
        <v>291.34222022803368</v>
      </c>
      <c r="S109">
        <f t="shared" si="27"/>
        <v>148638.39558183236</v>
      </c>
      <c r="T109" s="3">
        <v>0.08</v>
      </c>
      <c r="V109">
        <f>SUM($R$2:R109)</f>
        <v>13467.14600834166</v>
      </c>
      <c r="W109">
        <f t="shared" si="28"/>
        <v>28.396124506265888</v>
      </c>
      <c r="Z109">
        <f t="shared" si="22"/>
        <v>3.1906964424874848E-3</v>
      </c>
      <c r="AA109" s="3">
        <v>0.3</v>
      </c>
      <c r="AB109">
        <f t="shared" si="15"/>
        <v>495461.3186061079</v>
      </c>
      <c r="AC109">
        <f t="shared" si="21"/>
        <v>115515.66577417401</v>
      </c>
      <c r="AD109" s="3">
        <v>0.2</v>
      </c>
      <c r="AE109">
        <f t="shared" si="16"/>
        <v>23103.133154834803</v>
      </c>
      <c r="AF109">
        <f t="shared" si="17"/>
        <v>1</v>
      </c>
    </row>
    <row r="110" spans="1:32">
      <c r="A110" s="2">
        <v>109</v>
      </c>
      <c r="B110">
        <f t="shared" si="23"/>
        <v>4071.6045647697097</v>
      </c>
      <c r="C110" s="3">
        <v>0.08</v>
      </c>
      <c r="D110">
        <f t="shared" si="24"/>
        <v>28745.528227274172</v>
      </c>
      <c r="Q110">
        <f t="shared" si="25"/>
        <v>28745.528227274317</v>
      </c>
      <c r="R110">
        <f t="shared" si="26"/>
        <v>296.83924325120415</v>
      </c>
      <c r="S110">
        <f t="shared" si="27"/>
        <v>160529.46722837896</v>
      </c>
      <c r="T110" s="3">
        <v>0.08</v>
      </c>
      <c r="V110">
        <f>SUM($R$2:R110)</f>
        <v>13763.985251592865</v>
      </c>
      <c r="W110">
        <f t="shared" si="28"/>
        <v>29.022024314917694</v>
      </c>
      <c r="Z110">
        <f t="shared" si="22"/>
        <v>2.954348557858782E-3</v>
      </c>
      <c r="AA110" s="3">
        <v>0.3</v>
      </c>
      <c r="AB110">
        <f t="shared" si="15"/>
        <v>535098.22409459658</v>
      </c>
      <c r="AC110">
        <f t="shared" si="21"/>
        <v>122446.60572062446</v>
      </c>
      <c r="AD110" s="3">
        <v>0.2</v>
      </c>
      <c r="AE110">
        <f t="shared" si="16"/>
        <v>24489.321144124893</v>
      </c>
      <c r="AF110">
        <f t="shared" si="17"/>
        <v>1</v>
      </c>
    </row>
    <row r="111" spans="1:32">
      <c r="A111" s="2">
        <v>110</v>
      </c>
      <c r="B111">
        <f t="shared" si="23"/>
        <v>4397.3329299512861</v>
      </c>
      <c r="C111" s="3">
        <v>0.08</v>
      </c>
      <c r="D111">
        <f t="shared" si="24"/>
        <v>31045.170485456107</v>
      </c>
      <c r="Q111">
        <f t="shared" si="25"/>
        <v>31045.170485456259</v>
      </c>
      <c r="R111">
        <f t="shared" si="26"/>
        <v>302.43998368990606</v>
      </c>
      <c r="S111">
        <f t="shared" si="27"/>
        <v>173371.82460664929</v>
      </c>
      <c r="T111" s="3">
        <v>0.08</v>
      </c>
      <c r="V111">
        <f>SUM($R$2:R111)</f>
        <v>14066.425235282772</v>
      </c>
      <c r="W111">
        <f t="shared" si="28"/>
        <v>29.65973355392142</v>
      </c>
      <c r="Z111">
        <f t="shared" si="22"/>
        <v>2.7355079239433167E-3</v>
      </c>
      <c r="AA111" s="3">
        <v>0.3</v>
      </c>
      <c r="AB111">
        <f t="shared" si="15"/>
        <v>577906.08202216437</v>
      </c>
      <c r="AC111">
        <f t="shared" si="21"/>
        <v>129793.40206386193</v>
      </c>
      <c r="AD111" s="3">
        <v>0.2</v>
      </c>
      <c r="AE111">
        <f t="shared" si="16"/>
        <v>25958.680412772388</v>
      </c>
      <c r="AF111">
        <f t="shared" si="17"/>
        <v>1</v>
      </c>
    </row>
    <row r="112" spans="1:32">
      <c r="A112" s="2">
        <v>111</v>
      </c>
      <c r="B112">
        <f t="shared" si="23"/>
        <v>4749.1195643473893</v>
      </c>
      <c r="C112" s="3">
        <v>0.08</v>
      </c>
      <c r="D112">
        <f t="shared" si="24"/>
        <v>33528.784124292593</v>
      </c>
      <c r="Q112">
        <f t="shared" si="25"/>
        <v>33528.784124292768</v>
      </c>
      <c r="R112">
        <f t="shared" si="26"/>
        <v>308.14639847650812</v>
      </c>
      <c r="S112">
        <f t="shared" si="27"/>
        <v>187241.57057518125</v>
      </c>
      <c r="T112" s="3">
        <v>0.08</v>
      </c>
      <c r="V112">
        <f>SUM($R$2:R112)</f>
        <v>14374.57163375928</v>
      </c>
      <c r="W112">
        <f t="shared" si="28"/>
        <v>30.309475042717665</v>
      </c>
      <c r="Z112">
        <f t="shared" si="22"/>
        <v>2.5328777073549223E-3</v>
      </c>
      <c r="AA112" s="3">
        <v>0.3</v>
      </c>
      <c r="AB112">
        <f t="shared" si="15"/>
        <v>624138.56858393748</v>
      </c>
      <c r="AC112">
        <f t="shared" si="21"/>
        <v>137581.00618769365</v>
      </c>
      <c r="AD112" s="3">
        <v>0.2</v>
      </c>
      <c r="AE112">
        <f t="shared" si="16"/>
        <v>27516.201237538731</v>
      </c>
      <c r="AF112">
        <f t="shared" si="17"/>
        <v>1</v>
      </c>
    </row>
    <row r="113" spans="1:32">
      <c r="A113" s="2">
        <v>112</v>
      </c>
      <c r="B113">
        <f t="shared" si="23"/>
        <v>5129.0491294951808</v>
      </c>
      <c r="C113" s="3">
        <v>0.08</v>
      </c>
      <c r="D113">
        <f t="shared" si="24"/>
        <v>36211.086854236004</v>
      </c>
      <c r="Q113">
        <f t="shared" si="25"/>
        <v>36211.086854236193</v>
      </c>
      <c r="R113">
        <f t="shared" si="26"/>
        <v>313.96048146663088</v>
      </c>
      <c r="S113">
        <f t="shared" si="27"/>
        <v>202220.89622119576</v>
      </c>
      <c r="T113" s="3">
        <v>0.08</v>
      </c>
      <c r="V113">
        <f>SUM($R$2:R113)</f>
        <v>14688.532115225911</v>
      </c>
      <c r="W113">
        <f t="shared" si="28"/>
        <v>30.971475804887429</v>
      </c>
      <c r="Z113">
        <f t="shared" si="22"/>
        <v>2.3452571364397431E-3</v>
      </c>
      <c r="AA113" s="3">
        <v>0.3</v>
      </c>
      <c r="AB113">
        <f t="shared" si="15"/>
        <v>674069.65407065256</v>
      </c>
      <c r="AC113">
        <f t="shared" si="21"/>
        <v>145835.86655895528</v>
      </c>
      <c r="AD113" s="3">
        <v>0.2</v>
      </c>
      <c r="AE113">
        <f t="shared" si="16"/>
        <v>29167.173311791059</v>
      </c>
      <c r="AF113">
        <f t="shared" si="17"/>
        <v>1</v>
      </c>
    </row>
    <row r="114" spans="1:32">
      <c r="A114" s="2">
        <v>113</v>
      </c>
      <c r="B114">
        <f t="shared" si="23"/>
        <v>5539.3730598547954</v>
      </c>
      <c r="C114" s="3">
        <v>0.08</v>
      </c>
      <c r="D114">
        <f t="shared" si="24"/>
        <v>39107.973802574881</v>
      </c>
      <c r="Q114">
        <f t="shared" si="25"/>
        <v>39107.973802575085</v>
      </c>
      <c r="R114">
        <f t="shared" si="26"/>
        <v>319.88426413581266</v>
      </c>
      <c r="S114">
        <f t="shared" si="27"/>
        <v>218398.56791889144</v>
      </c>
      <c r="T114" s="3">
        <v>0.08</v>
      </c>
      <c r="V114">
        <f>SUM($R$2:R114)</f>
        <v>15008.416379361724</v>
      </c>
      <c r="W114">
        <f t="shared" si="28"/>
        <v>31.645967147475488</v>
      </c>
      <c r="Z114">
        <f t="shared" si="22"/>
        <v>2.1715343855923542E-3</v>
      </c>
      <c r="AA114" s="3">
        <v>0.3</v>
      </c>
      <c r="AB114">
        <f t="shared" si="15"/>
        <v>727995.22639630479</v>
      </c>
      <c r="AC114">
        <f t="shared" si="21"/>
        <v>154586.01855249261</v>
      </c>
      <c r="AD114" s="3">
        <v>0.2</v>
      </c>
      <c r="AE114">
        <f t="shared" si="16"/>
        <v>30917.203710498521</v>
      </c>
      <c r="AF114">
        <f t="shared" si="17"/>
        <v>1</v>
      </c>
    </row>
    <row r="115" spans="1:32">
      <c r="A115" s="2">
        <v>114</v>
      </c>
      <c r="B115">
        <f t="shared" si="23"/>
        <v>5982.5229046431787</v>
      </c>
      <c r="C115" s="3">
        <v>0.08</v>
      </c>
      <c r="D115">
        <f t="shared" si="24"/>
        <v>42236.611706780874</v>
      </c>
      <c r="Q115">
        <f t="shared" si="25"/>
        <v>42236.611706781092</v>
      </c>
      <c r="R115">
        <f t="shared" si="26"/>
        <v>325.91981628931853</v>
      </c>
      <c r="S115">
        <f t="shared" si="27"/>
        <v>235870.45335240278</v>
      </c>
      <c r="T115" s="3">
        <v>0.08</v>
      </c>
      <c r="V115">
        <f>SUM($R$2:R115)</f>
        <v>15334.336195651043</v>
      </c>
      <c r="W115">
        <f t="shared" si="28"/>
        <v>32.333184741810491</v>
      </c>
      <c r="Z115">
        <f t="shared" si="22"/>
        <v>2.010679986659587E-3</v>
      </c>
      <c r="AA115" s="3">
        <v>0.3</v>
      </c>
      <c r="AB115">
        <f t="shared" si="15"/>
        <v>786234.84450800926</v>
      </c>
      <c r="AC115">
        <f t="shared" si="21"/>
        <v>163861.17966564218</v>
      </c>
      <c r="AD115" s="3">
        <v>0.2</v>
      </c>
      <c r="AE115">
        <f t="shared" si="16"/>
        <v>32772.235933128439</v>
      </c>
      <c r="AF115">
        <f t="shared" si="17"/>
        <v>1</v>
      </c>
    </row>
    <row r="116" spans="1:32">
      <c r="A116" s="2">
        <v>115</v>
      </c>
      <c r="B116">
        <f t="shared" si="23"/>
        <v>6461.124737014633</v>
      </c>
      <c r="C116" s="3">
        <v>0.08</v>
      </c>
      <c r="D116">
        <f t="shared" si="24"/>
        <v>45615.540643323344</v>
      </c>
      <c r="Q116">
        <f t="shared" si="25"/>
        <v>45615.540643323584</v>
      </c>
      <c r="R116">
        <f t="shared" si="26"/>
        <v>332.06924678534347</v>
      </c>
      <c r="S116">
        <f t="shared" si="27"/>
        <v>254740.08962059501</v>
      </c>
      <c r="T116" s="3">
        <v>0.08</v>
      </c>
      <c r="V116">
        <f>SUM($R$2:R116)</f>
        <v>15666.405442436388</v>
      </c>
      <c r="W116">
        <f t="shared" si="28"/>
        <v>33.033368705849931</v>
      </c>
      <c r="Z116">
        <f t="shared" si="22"/>
        <v>1.8617407283885066E-3</v>
      </c>
      <c r="AA116" s="3">
        <v>0.3</v>
      </c>
      <c r="AB116">
        <f t="shared" si="15"/>
        <v>849133.6320686501</v>
      </c>
      <c r="AC116">
        <f t="shared" si="21"/>
        <v>173692.85044558073</v>
      </c>
      <c r="AD116" s="3">
        <v>0.2</v>
      </c>
      <c r="AE116">
        <f t="shared" si="16"/>
        <v>34738.570089116147</v>
      </c>
      <c r="AF116">
        <f t="shared" si="17"/>
        <v>1</v>
      </c>
    </row>
    <row r="117" spans="1:32">
      <c r="A117" s="2">
        <v>116</v>
      </c>
      <c r="B117">
        <f t="shared" si="23"/>
        <v>6978.0147159758035</v>
      </c>
      <c r="C117" s="3">
        <v>0.08</v>
      </c>
      <c r="D117">
        <f t="shared" si="24"/>
        <v>49264.783894789209</v>
      </c>
      <c r="Q117">
        <f t="shared" si="25"/>
        <v>49264.783894789478</v>
      </c>
      <c r="R117">
        <f t="shared" si="26"/>
        <v>338.33470427185938</v>
      </c>
      <c r="S117">
        <f t="shared" si="27"/>
        <v>275119.2967902426</v>
      </c>
      <c r="T117" s="3">
        <v>0.08</v>
      </c>
      <c r="V117">
        <f>SUM($R$2:R117)</f>
        <v>16004.740146708247</v>
      </c>
      <c r="W117">
        <f t="shared" si="28"/>
        <v>33.746763688078794</v>
      </c>
      <c r="Z117">
        <f t="shared" si="22"/>
        <v>1.7238340077671357E-3</v>
      </c>
      <c r="AA117" s="3">
        <v>0.3</v>
      </c>
      <c r="AB117">
        <f t="shared" si="15"/>
        <v>917064.32263414201</v>
      </c>
      <c r="AC117">
        <f t="shared" si="21"/>
        <v>184114.42147231559</v>
      </c>
      <c r="AD117" s="3">
        <v>0.2</v>
      </c>
      <c r="AE117">
        <f t="shared" si="16"/>
        <v>36822.884294463118</v>
      </c>
      <c r="AF117">
        <f t="shared" si="17"/>
        <v>1</v>
      </c>
    </row>
    <row r="118" spans="1:32">
      <c r="A118" s="2">
        <v>117</v>
      </c>
      <c r="B118">
        <f t="shared" si="23"/>
        <v>7536.2558932538677</v>
      </c>
      <c r="C118" s="3">
        <v>0.08</v>
      </c>
      <c r="D118">
        <f t="shared" si="24"/>
        <v>53205.966606372349</v>
      </c>
      <c r="Q118">
        <f t="shared" si="25"/>
        <v>53205.966606372633</v>
      </c>
      <c r="R118">
        <f t="shared" si="26"/>
        <v>344.71837793736609</v>
      </c>
      <c r="S118">
        <f t="shared" si="27"/>
        <v>297128.840533462</v>
      </c>
      <c r="T118" s="3">
        <v>0.08</v>
      </c>
      <c r="V118">
        <f>SUM($R$2:R118)</f>
        <v>16349.458524645614</v>
      </c>
      <c r="W118">
        <f t="shared" si="28"/>
        <v>34.473618952991217</v>
      </c>
      <c r="Z118">
        <f t="shared" si="22"/>
        <v>1.596142599784385E-3</v>
      </c>
      <c r="AA118" s="3">
        <v>0.3</v>
      </c>
      <c r="AB118">
        <f t="shared" si="15"/>
        <v>990429.46844487335</v>
      </c>
      <c r="AC118">
        <f t="shared" si="21"/>
        <v>195161.28676065453</v>
      </c>
      <c r="AD118" s="3">
        <v>0.2</v>
      </c>
      <c r="AE118">
        <f t="shared" si="16"/>
        <v>39032.25735213091</v>
      </c>
      <c r="AF118">
        <f t="shared" si="17"/>
        <v>1</v>
      </c>
    </row>
    <row r="119" spans="1:32">
      <c r="A119" s="2">
        <v>118</v>
      </c>
      <c r="B119">
        <f t="shared" si="23"/>
        <v>8139.1563647141775</v>
      </c>
      <c r="C119" s="3">
        <v>0.08</v>
      </c>
      <c r="D119">
        <f t="shared" si="24"/>
        <v>57462.44393488214</v>
      </c>
      <c r="Q119">
        <f t="shared" si="25"/>
        <v>57462.443934882445</v>
      </c>
      <c r="R119">
        <f t="shared" si="26"/>
        <v>351.22249827580691</v>
      </c>
      <c r="S119">
        <f t="shared" si="27"/>
        <v>320899.14777613897</v>
      </c>
      <c r="T119" s="3">
        <v>0.08</v>
      </c>
      <c r="V119">
        <f>SUM($R$2:R119)</f>
        <v>16700.681022921421</v>
      </c>
      <c r="W119">
        <f t="shared" si="28"/>
        <v>35.214188468185007</v>
      </c>
      <c r="Z119">
        <f t="shared" si="22"/>
        <v>1.4779098146151712E-3</v>
      </c>
      <c r="AA119" s="3">
        <v>0.3</v>
      </c>
      <c r="AB119">
        <f t="shared" si="15"/>
        <v>1069663.8259204633</v>
      </c>
      <c r="AC119">
        <f t="shared" si="21"/>
        <v>206870.96396629381</v>
      </c>
      <c r="AD119" s="3">
        <v>0.2</v>
      </c>
      <c r="AE119">
        <f t="shared" si="16"/>
        <v>41374.192793258764</v>
      </c>
      <c r="AF119">
        <f t="shared" si="17"/>
        <v>1</v>
      </c>
    </row>
    <row r="120" spans="1:32">
      <c r="A120" s="2">
        <v>119</v>
      </c>
      <c r="B120">
        <f t="shared" si="23"/>
        <v>8790.2888738913116</v>
      </c>
      <c r="C120" s="3">
        <v>0.08</v>
      </c>
      <c r="D120">
        <f t="shared" si="24"/>
        <v>62059.439449672711</v>
      </c>
      <c r="Q120">
        <f t="shared" si="25"/>
        <v>62059.439449673038</v>
      </c>
      <c r="R120">
        <f t="shared" si="26"/>
        <v>357.84933786591654</v>
      </c>
      <c r="S120">
        <f t="shared" si="27"/>
        <v>346571.07959823014</v>
      </c>
      <c r="T120" s="3">
        <v>0.08</v>
      </c>
      <c r="V120">
        <f>SUM($R$2:R120)</f>
        <v>17058.530360787336</v>
      </c>
      <c r="W120">
        <f t="shared" si="28"/>
        <v>35.968730993099427</v>
      </c>
      <c r="Z120">
        <f t="shared" si="22"/>
        <v>1.3684350135325658E-3</v>
      </c>
      <c r="AA120" s="3">
        <v>0.3</v>
      </c>
      <c r="AB120">
        <f t="shared" si="15"/>
        <v>1155236.9319941006</v>
      </c>
      <c r="AC120">
        <f t="shared" si="21"/>
        <v>219283.22180427145</v>
      </c>
      <c r="AD120" s="3">
        <v>0.2</v>
      </c>
      <c r="AE120">
        <f t="shared" si="16"/>
        <v>43856.64436085429</v>
      </c>
      <c r="AF120">
        <f t="shared" si="17"/>
        <v>1</v>
      </c>
    </row>
    <row r="121" spans="1:32">
      <c r="A121" s="2">
        <v>120</v>
      </c>
      <c r="B121">
        <f t="shared" si="23"/>
        <v>9493.5119838026167</v>
      </c>
      <c r="C121" s="3">
        <v>0.08</v>
      </c>
      <c r="D121">
        <f t="shared" si="24"/>
        <v>67024.194605646524</v>
      </c>
      <c r="Q121">
        <f t="shared" si="25"/>
        <v>67024.194605646888</v>
      </c>
      <c r="R121">
        <f t="shared" si="26"/>
        <v>364.60121216527341</v>
      </c>
      <c r="S121">
        <f t="shared" si="27"/>
        <v>374296.76596608857</v>
      </c>
      <c r="T121" s="3">
        <v>0.08</v>
      </c>
      <c r="V121">
        <f>SUM($R$2:R121)</f>
        <v>17423.13157295261</v>
      </c>
      <c r="W121">
        <f t="shared" si="28"/>
        <v>36.737510169427338</v>
      </c>
      <c r="Z121">
        <f t="shared" si="22"/>
        <v>1.2670694569745979E-3</v>
      </c>
      <c r="AA121" s="3">
        <v>0.3</v>
      </c>
      <c r="AB121">
        <f t="shared" si="15"/>
        <v>1247655.8865536286</v>
      </c>
      <c r="AC121">
        <f t="shared" si="21"/>
        <v>232440.21511252775</v>
      </c>
      <c r="AD121" s="3">
        <v>0.2</v>
      </c>
      <c r="AE121">
        <f t="shared" si="16"/>
        <v>46488.043022505553</v>
      </c>
      <c r="AF121">
        <f t="shared" si="17"/>
        <v>1</v>
      </c>
    </row>
    <row r="122" spans="1:32">
      <c r="A122" s="2">
        <v>121</v>
      </c>
      <c r="B122">
        <f t="shared" si="23"/>
        <v>10252.992942506826</v>
      </c>
      <c r="C122" s="3">
        <v>0.08</v>
      </c>
      <c r="D122">
        <f t="shared" si="24"/>
        <v>72386.130174098245</v>
      </c>
      <c r="Q122">
        <f t="shared" si="25"/>
        <v>72386.130174098653</v>
      </c>
      <c r="R122">
        <f t="shared" si="26"/>
        <v>371.4804803193353</v>
      </c>
      <c r="S122">
        <f t="shared" si="27"/>
        <v>404240.5072433757</v>
      </c>
      <c r="T122" s="3">
        <v>0.08</v>
      </c>
      <c r="V122">
        <f>SUM($R$2:R122)</f>
        <v>17794.612053271947</v>
      </c>
      <c r="W122">
        <f t="shared" si="28"/>
        <v>37.520794613233136</v>
      </c>
      <c r="Z122">
        <f t="shared" si="22"/>
        <v>1.1732124601616645E-3</v>
      </c>
      <c r="AA122" s="3">
        <v>0.3</v>
      </c>
      <c r="AB122">
        <f t="shared" si="15"/>
        <v>1347468.357477919</v>
      </c>
      <c r="AC122">
        <f t="shared" si="21"/>
        <v>246386.62801927942</v>
      </c>
      <c r="AD122" s="3">
        <v>0.2</v>
      </c>
      <c r="AE122">
        <f t="shared" si="16"/>
        <v>49277.32560385589</v>
      </c>
      <c r="AF122">
        <f t="shared" si="17"/>
        <v>1</v>
      </c>
    </row>
    <row r="123" spans="1:32">
      <c r="A123" s="2">
        <v>122</v>
      </c>
      <c r="B123">
        <f t="shared" si="23"/>
        <v>11073.232377907372</v>
      </c>
      <c r="C123" s="3">
        <v>0.08</v>
      </c>
      <c r="D123">
        <f t="shared" si="24"/>
        <v>78177.020588026106</v>
      </c>
      <c r="Q123">
        <f t="shared" si="25"/>
        <v>78177.020588026542</v>
      </c>
      <c r="R123">
        <f t="shared" si="26"/>
        <v>378.48954598573783</v>
      </c>
      <c r="S123">
        <f t="shared" si="27"/>
        <v>436579.74782284576</v>
      </c>
      <c r="T123" s="3">
        <v>0.08</v>
      </c>
      <c r="V123">
        <f>SUM($R$2:R123)</f>
        <v>18173.101599257683</v>
      </c>
      <c r="W123">
        <f t="shared" si="28"/>
        <v>38.318858008808846</v>
      </c>
      <c r="Z123">
        <f t="shared" si="22"/>
        <v>1.0863078334830227E-3</v>
      </c>
      <c r="AA123" s="3">
        <v>0.3</v>
      </c>
      <c r="AB123">
        <f t="shared" si="15"/>
        <v>1455265.8260761525</v>
      </c>
      <c r="AC123">
        <f t="shared" si="21"/>
        <v>261169.82570043619</v>
      </c>
      <c r="AD123" s="3">
        <v>0.2</v>
      </c>
      <c r="AE123">
        <f t="shared" si="16"/>
        <v>52233.965140087239</v>
      </c>
      <c r="AF123">
        <f t="shared" si="17"/>
        <v>1</v>
      </c>
    </row>
    <row r="124" spans="1:32">
      <c r="A124" s="2">
        <v>123</v>
      </c>
      <c r="B124">
        <f t="shared" si="23"/>
        <v>11959.090968139963</v>
      </c>
      <c r="C124" s="3">
        <v>0.08</v>
      </c>
      <c r="D124">
        <f t="shared" si="24"/>
        <v>84431.18223506819</v>
      </c>
      <c r="Q124">
        <f t="shared" si="25"/>
        <v>84431.182235068671</v>
      </c>
      <c r="R124">
        <f t="shared" si="26"/>
        <v>385.63085817414793</v>
      </c>
      <c r="S124">
        <f t="shared" si="27"/>
        <v>471506.12764867343</v>
      </c>
      <c r="T124" s="3">
        <v>0.08</v>
      </c>
      <c r="V124">
        <f>SUM($R$2:R124)</f>
        <v>18558.73245743183</v>
      </c>
      <c r="W124">
        <f t="shared" si="28"/>
        <v>39.131979204301082</v>
      </c>
      <c r="Z124">
        <f t="shared" si="22"/>
        <v>1.0058405865583544E-3</v>
      </c>
      <c r="AA124" s="3">
        <v>0.3</v>
      </c>
      <c r="AB124">
        <f t="shared" si="15"/>
        <v>1571687.0921622447</v>
      </c>
      <c r="AC124">
        <f t="shared" si="21"/>
        <v>276840.0152424624</v>
      </c>
      <c r="AD124" s="3">
        <v>0.2</v>
      </c>
      <c r="AE124">
        <f t="shared" si="16"/>
        <v>55368.003048492479</v>
      </c>
      <c r="AF124">
        <f t="shared" si="17"/>
        <v>1</v>
      </c>
    </row>
    <row r="125" spans="1:32">
      <c r="A125" s="2">
        <v>124</v>
      </c>
      <c r="B125">
        <f t="shared" si="23"/>
        <v>12915.818245591159</v>
      </c>
      <c r="C125" s="3">
        <v>0.08</v>
      </c>
      <c r="D125">
        <f t="shared" si="24"/>
        <v>91185.676813873652</v>
      </c>
      <c r="Q125">
        <f t="shared" si="25"/>
        <v>91185.676813874161</v>
      </c>
      <c r="R125">
        <f t="shared" si="26"/>
        <v>392.90691210196206</v>
      </c>
      <c r="S125">
        <f t="shared" si="27"/>
        <v>509226.61786056735</v>
      </c>
      <c r="T125" s="3">
        <v>0.08</v>
      </c>
      <c r="V125">
        <f>SUM($R$2:R125)</f>
        <v>18951.639369533794</v>
      </c>
      <c r="W125">
        <f t="shared" si="28"/>
        <v>39.96044230914223</v>
      </c>
      <c r="Z125">
        <f t="shared" si="22"/>
        <v>9.3133387644292063E-4</v>
      </c>
      <c r="AA125" s="3">
        <v>0.3</v>
      </c>
      <c r="AB125">
        <f t="shared" si="15"/>
        <v>1697422.0595352245</v>
      </c>
      <c r="AC125">
        <f t="shared" si="21"/>
        <v>293450.41615701013</v>
      </c>
      <c r="AD125" s="3">
        <v>0.2</v>
      </c>
      <c r="AE125">
        <f t="shared" si="16"/>
        <v>58690.08323140203</v>
      </c>
      <c r="AF125">
        <f t="shared" si="17"/>
        <v>1</v>
      </c>
    </row>
    <row r="126" spans="1:32">
      <c r="A126" s="2">
        <v>125</v>
      </c>
      <c r="B126">
        <f t="shared" si="23"/>
        <v>13949.083705238452</v>
      </c>
      <c r="C126" s="3">
        <v>0.08</v>
      </c>
      <c r="D126">
        <f t="shared" si="24"/>
        <v>98480.530958983538</v>
      </c>
      <c r="Q126">
        <f t="shared" si="25"/>
        <v>98480.530958984091</v>
      </c>
      <c r="R126">
        <f t="shared" si="26"/>
        <v>400.32025006615009</v>
      </c>
      <c r="S126">
        <f t="shared" si="27"/>
        <v>549964.74728941277</v>
      </c>
      <c r="T126" s="3">
        <v>0.08</v>
      </c>
      <c r="V126">
        <f>SUM($R$2:R126)</f>
        <v>19351.959619599944</v>
      </c>
      <c r="W126">
        <f t="shared" si="28"/>
        <v>40.804536793320004</v>
      </c>
      <c r="Z126">
        <f t="shared" si="22"/>
        <v>8.623461818915931E-4</v>
      </c>
      <c r="AA126" s="3">
        <v>0.3</v>
      </c>
      <c r="AB126">
        <f t="shared" si="15"/>
        <v>1833215.8242980426</v>
      </c>
      <c r="AC126">
        <f t="shared" si="21"/>
        <v>311057.44112643076</v>
      </c>
      <c r="AD126" s="3">
        <v>0.2</v>
      </c>
      <c r="AE126">
        <f t="shared" si="16"/>
        <v>62211.488225286157</v>
      </c>
      <c r="AF126">
        <f t="shared" si="17"/>
        <v>1</v>
      </c>
    </row>
    <row r="127" spans="1:32">
      <c r="A127" s="2">
        <v>126</v>
      </c>
      <c r="B127">
        <f t="shared" si="23"/>
        <v>15065.010401657528</v>
      </c>
      <c r="C127" s="3">
        <v>0.08</v>
      </c>
      <c r="D127">
        <f t="shared" si="24"/>
        <v>106358.97343570222</v>
      </c>
      <c r="Q127">
        <f t="shared" si="25"/>
        <v>106358.97343570284</v>
      </c>
      <c r="R127">
        <f t="shared" si="26"/>
        <v>407.87346233154904</v>
      </c>
      <c r="S127">
        <f t="shared" si="27"/>
        <v>593961.92707256589</v>
      </c>
      <c r="T127" s="3">
        <v>0.08</v>
      </c>
      <c r="V127">
        <f>SUM($R$2:R127)</f>
        <v>19759.833081931494</v>
      </c>
      <c r="W127">
        <f t="shared" si="28"/>
        <v>41.664557588519997</v>
      </c>
      <c r="Z127">
        <f t="shared" si="22"/>
        <v>7.9846868693666021E-4</v>
      </c>
      <c r="AA127" s="3">
        <v>0.3</v>
      </c>
      <c r="AB127">
        <f t="shared" si="15"/>
        <v>1979873.0902418864</v>
      </c>
      <c r="AC127">
        <f t="shared" si="21"/>
        <v>329720.88759401662</v>
      </c>
      <c r="AD127" s="3">
        <v>0.2</v>
      </c>
      <c r="AE127">
        <f t="shared" si="16"/>
        <v>65944.177518803321</v>
      </c>
      <c r="AF127">
        <f t="shared" si="17"/>
        <v>1</v>
      </c>
    </row>
    <row r="128" spans="1:32">
      <c r="A128" s="2">
        <v>127</v>
      </c>
      <c r="B128">
        <f t="shared" si="23"/>
        <v>16270.211233790131</v>
      </c>
      <c r="C128" s="3">
        <v>0.08</v>
      </c>
      <c r="D128">
        <f t="shared" si="24"/>
        <v>114867.69131055841</v>
      </c>
      <c r="Q128">
        <f t="shared" si="25"/>
        <v>114867.69131055908</v>
      </c>
      <c r="R128">
        <f t="shared" si="26"/>
        <v>415.56918803591799</v>
      </c>
      <c r="S128">
        <f t="shared" si="27"/>
        <v>641478.88123837125</v>
      </c>
      <c r="T128" s="3">
        <v>0.08</v>
      </c>
      <c r="V128">
        <f>SUM($R$2:R128)</f>
        <v>20175.402269967413</v>
      </c>
      <c r="W128">
        <f t="shared" si="28"/>
        <v>42.540805191176595</v>
      </c>
      <c r="Z128">
        <f t="shared" si="22"/>
        <v>7.393228582746852E-4</v>
      </c>
      <c r="AA128" s="3">
        <v>0.3</v>
      </c>
      <c r="AB128">
        <f t="shared" si="15"/>
        <v>2138262.9374612374</v>
      </c>
      <c r="AC128">
        <f t="shared" si="21"/>
        <v>349504.14084965765</v>
      </c>
      <c r="AD128" s="3">
        <v>0.2</v>
      </c>
      <c r="AE128">
        <f t="shared" si="16"/>
        <v>69900.828169931527</v>
      </c>
      <c r="AF128">
        <f t="shared" si="17"/>
        <v>1</v>
      </c>
    </row>
    <row r="129" spans="1:32">
      <c r="A129" s="2">
        <v>128</v>
      </c>
      <c r="B129">
        <f t="shared" si="23"/>
        <v>17571.828132493341</v>
      </c>
      <c r="C129" s="3">
        <v>0.08</v>
      </c>
      <c r="D129">
        <f t="shared" si="24"/>
        <v>124057.10661540309</v>
      </c>
      <c r="Q129">
        <f t="shared" si="25"/>
        <v>124057.10661540383</v>
      </c>
      <c r="R129">
        <f t="shared" si="26"/>
        <v>423.41011611206733</v>
      </c>
      <c r="S129">
        <f t="shared" si="27"/>
        <v>692797.191737441</v>
      </c>
      <c r="T129" s="3">
        <v>0.08</v>
      </c>
      <c r="V129">
        <f>SUM($R$2:R129)</f>
        <v>20598.81238607948</v>
      </c>
      <c r="W129">
        <f t="shared" si="28"/>
        <v>43.433585767468223</v>
      </c>
      <c r="Z129">
        <f t="shared" si="22"/>
        <v>6.8455820210619001E-4</v>
      </c>
      <c r="AA129" s="3">
        <v>0.3</v>
      </c>
      <c r="AB129">
        <f t="shared" si="15"/>
        <v>2309323.9724581367</v>
      </c>
      <c r="AC129">
        <f t="shared" si="21"/>
        <v>370474.38930063712</v>
      </c>
      <c r="AD129" s="3">
        <v>0.2</v>
      </c>
      <c r="AE129">
        <f t="shared" si="16"/>
        <v>74094.877860127424</v>
      </c>
      <c r="AF129">
        <f t="shared" si="17"/>
        <v>1</v>
      </c>
    </row>
    <row r="130" spans="1:32">
      <c r="A130" s="2">
        <v>129</v>
      </c>
      <c r="B130">
        <f t="shared" si="23"/>
        <v>18977.574383092808</v>
      </c>
      <c r="C130" s="3">
        <v>0.08</v>
      </c>
      <c r="D130">
        <f t="shared" si="24"/>
        <v>133981.67514463534</v>
      </c>
      <c r="Q130">
        <f t="shared" si="25"/>
        <v>133981.67514463613</v>
      </c>
      <c r="R130">
        <f t="shared" si="26"/>
        <v>431.39898622738957</v>
      </c>
      <c r="S130">
        <f t="shared" si="27"/>
        <v>748220.96707643638</v>
      </c>
      <c r="T130" s="3">
        <v>0.08</v>
      </c>
      <c r="V130">
        <f>SUM($R$2:R130)</f>
        <v>21030.211372306869</v>
      </c>
      <c r="W130">
        <f t="shared" si="28"/>
        <v>44.343211260293657</v>
      </c>
      <c r="Z130">
        <f t="shared" si="22"/>
        <v>6.3385018713536096E-4</v>
      </c>
      <c r="AA130" s="3">
        <v>0.3</v>
      </c>
      <c r="AB130">
        <f t="shared" si="15"/>
        <v>2494069.8902547881</v>
      </c>
      <c r="AC130">
        <f t="shared" si="21"/>
        <v>392702.85265867534</v>
      </c>
      <c r="AD130" s="3">
        <v>0.2</v>
      </c>
      <c r="AE130">
        <f t="shared" si="16"/>
        <v>78540.570531735066</v>
      </c>
      <c r="AF130">
        <f t="shared" si="17"/>
        <v>1</v>
      </c>
    </row>
    <row r="131" spans="1:32">
      <c r="A131" s="2">
        <v>130</v>
      </c>
      <c r="B131">
        <f t="shared" si="23"/>
        <v>20495.780333740233</v>
      </c>
      <c r="C131" s="3">
        <v>0.08</v>
      </c>
      <c r="D131">
        <f t="shared" si="24"/>
        <v>144700.20915620617</v>
      </c>
      <c r="Q131">
        <f t="shared" si="25"/>
        <v>144700.20915620704</v>
      </c>
      <c r="R131">
        <f t="shared" si="26"/>
        <v>439.53858974111381</v>
      </c>
      <c r="S131">
        <f t="shared" si="27"/>
        <v>808078.6444425513</v>
      </c>
      <c r="T131" s="3">
        <v>0.08</v>
      </c>
      <c r="V131">
        <f>SUM($R$2:R131)</f>
        <v>21469.749962047983</v>
      </c>
      <c r="W131">
        <f t="shared" si="28"/>
        <v>45.269999498266742</v>
      </c>
      <c r="Z131">
        <f t="shared" si="22"/>
        <v>5.8689832142163061E-4</v>
      </c>
      <c r="AA131" s="3">
        <v>0.3</v>
      </c>
      <c r="AB131">
        <f t="shared" ref="AB131:AB194" si="29">S131/AA131</f>
        <v>2693595.4814751712</v>
      </c>
      <c r="AC131">
        <f t="shared" si="21"/>
        <v>416265.02381819586</v>
      </c>
      <c r="AD131" s="3">
        <v>0.2</v>
      </c>
      <c r="AE131">
        <f t="shared" ref="AE131:AE194" si="30">AC131*AD131</f>
        <v>83253.004763639183</v>
      </c>
      <c r="AF131">
        <f t="shared" ref="AF131:AF194" si="31">IF(AB131&gt;AE131, 1, 0)</f>
        <v>1</v>
      </c>
    </row>
    <row r="132" spans="1:32">
      <c r="A132" s="2">
        <v>131</v>
      </c>
      <c r="B132">
        <f t="shared" si="23"/>
        <v>22135.442760439451</v>
      </c>
      <c r="C132" s="3">
        <v>0.08</v>
      </c>
      <c r="D132">
        <f t="shared" si="24"/>
        <v>156276.22588870267</v>
      </c>
      <c r="Q132">
        <f t="shared" si="25"/>
        <v>156276.2258887036</v>
      </c>
      <c r="R132">
        <f t="shared" si="26"/>
        <v>447.83177067962544</v>
      </c>
      <c r="S132">
        <f t="shared" si="27"/>
        <v>872724.9359979555</v>
      </c>
      <c r="T132" s="3">
        <v>0.08</v>
      </c>
      <c r="V132">
        <f>SUM($R$2:R132)</f>
        <v>21917.581732727609</v>
      </c>
      <c r="W132">
        <f t="shared" si="28"/>
        <v>46.214274306767614</v>
      </c>
      <c r="Z132">
        <f t="shared" si="22"/>
        <v>5.4342437168669491E-4</v>
      </c>
      <c r="AA132" s="3">
        <v>0.3</v>
      </c>
      <c r="AB132">
        <f t="shared" si="29"/>
        <v>2909083.1199931852</v>
      </c>
      <c r="AC132">
        <f t="shared" ref="AC132:AC195" si="32">AC131*(1+$U$2)</f>
        <v>441240.92524728761</v>
      </c>
      <c r="AD132" s="3">
        <v>0.2</v>
      </c>
      <c r="AE132">
        <f t="shared" si="30"/>
        <v>88248.185049457534</v>
      </c>
      <c r="AF132">
        <f t="shared" si="31"/>
        <v>1</v>
      </c>
    </row>
    <row r="133" spans="1:32">
      <c r="A133" s="2">
        <v>132</v>
      </c>
      <c r="B133">
        <f t="shared" si="23"/>
        <v>23906.278181274607</v>
      </c>
      <c r="C133" s="3">
        <v>0.08</v>
      </c>
      <c r="D133">
        <f t="shared" si="24"/>
        <v>168778.32395979887</v>
      </c>
      <c r="Q133">
        <f t="shared" si="25"/>
        <v>168778.32395979989</v>
      </c>
      <c r="R133">
        <f t="shared" si="26"/>
        <v>456.28142673018436</v>
      </c>
      <c r="S133">
        <f t="shared" si="27"/>
        <v>942542.93087779195</v>
      </c>
      <c r="T133" s="3">
        <v>0.08</v>
      </c>
      <c r="V133">
        <f>SUM($R$2:R133)</f>
        <v>22373.863159457793</v>
      </c>
      <c r="W133">
        <f t="shared" si="28"/>
        <v>47.176365621089261</v>
      </c>
      <c r="Z133">
        <f t="shared" si="22"/>
        <v>5.0317071452471755E-4</v>
      </c>
      <c r="AA133" s="3">
        <v>0.3</v>
      </c>
      <c r="AB133">
        <f t="shared" si="29"/>
        <v>3141809.76959264</v>
      </c>
      <c r="AC133">
        <f t="shared" si="32"/>
        <v>467715.3807621249</v>
      </c>
      <c r="AD133" s="3">
        <v>0.2</v>
      </c>
      <c r="AE133">
        <f t="shared" si="30"/>
        <v>93543.076152424983</v>
      </c>
      <c r="AF133">
        <f t="shared" si="31"/>
        <v>1</v>
      </c>
    </row>
    <row r="134" spans="1:32">
      <c r="A134" s="2">
        <v>133</v>
      </c>
      <c r="B134">
        <f t="shared" si="23"/>
        <v>25818.780435776574</v>
      </c>
      <c r="C134" s="3">
        <v>0.08</v>
      </c>
      <c r="D134">
        <f t="shared" si="24"/>
        <v>182280.58987658279</v>
      </c>
      <c r="Q134">
        <f t="shared" si="25"/>
        <v>182280.58987658392</v>
      </c>
      <c r="R134">
        <f t="shared" si="26"/>
        <v>464.89051025339541</v>
      </c>
      <c r="S134">
        <f t="shared" si="27"/>
        <v>1017946.3653480153</v>
      </c>
      <c r="T134" s="3">
        <v>0.08</v>
      </c>
      <c r="V134">
        <f>SUM($R$2:R134)</f>
        <v>22838.753669711186</v>
      </c>
      <c r="W134">
        <f t="shared" si="28"/>
        <v>48.156609601718863</v>
      </c>
      <c r="Z134">
        <f t="shared" si="22"/>
        <v>4.6589880974510876E-4</v>
      </c>
      <c r="AA134" s="3">
        <v>0.3</v>
      </c>
      <c r="AB134">
        <f t="shared" si="29"/>
        <v>3393154.551160051</v>
      </c>
      <c r="AC134">
        <f t="shared" si="32"/>
        <v>495778.30360785243</v>
      </c>
      <c r="AD134" s="3">
        <v>0.2</v>
      </c>
      <c r="AE134">
        <f t="shared" si="30"/>
        <v>99155.660721570486</v>
      </c>
      <c r="AF134">
        <f t="shared" si="31"/>
        <v>1</v>
      </c>
    </row>
    <row r="135" spans="1:32">
      <c r="A135" s="2">
        <v>134</v>
      </c>
      <c r="B135">
        <f t="shared" si="23"/>
        <v>27884.282870638701</v>
      </c>
      <c r="C135" s="3">
        <v>0.08</v>
      </c>
      <c r="D135">
        <f t="shared" si="24"/>
        <v>196863.03706670942</v>
      </c>
      <c r="Q135">
        <f t="shared" si="25"/>
        <v>196863.03706671062</v>
      </c>
      <c r="R135">
        <f t="shared" si="26"/>
        <v>473.66202931478023</v>
      </c>
      <c r="S135">
        <f t="shared" si="27"/>
        <v>1099382.0745758566</v>
      </c>
      <c r="T135" s="3">
        <v>0.08</v>
      </c>
      <c r="V135">
        <f>SUM($R$2:R135)</f>
        <v>23312.415699025965</v>
      </c>
      <c r="W135">
        <f t="shared" si="28"/>
        <v>49.1553487517943</v>
      </c>
      <c r="Z135">
        <f t="shared" si="22"/>
        <v>4.3138778680102666E-4</v>
      </c>
      <c r="AA135" s="3">
        <v>0.3</v>
      </c>
      <c r="AB135">
        <f t="shared" si="29"/>
        <v>3664606.9152528555</v>
      </c>
      <c r="AC135">
        <f t="shared" si="32"/>
        <v>525525.00182432355</v>
      </c>
      <c r="AD135" s="3">
        <v>0.2</v>
      </c>
      <c r="AE135">
        <f t="shared" si="30"/>
        <v>105105.00036486471</v>
      </c>
      <c r="AF135">
        <f t="shared" si="31"/>
        <v>1</v>
      </c>
    </row>
    <row r="136" spans="1:32">
      <c r="A136" s="2">
        <v>135</v>
      </c>
      <c r="B136">
        <f t="shared" si="23"/>
        <v>30115.025500289797</v>
      </c>
      <c r="C136" s="3">
        <v>0.08</v>
      </c>
      <c r="D136">
        <f t="shared" si="24"/>
        <v>212612.08003204619</v>
      </c>
      <c r="Q136">
        <f t="shared" si="25"/>
        <v>212612.0800320475</v>
      </c>
      <c r="R136">
        <f t="shared" si="26"/>
        <v>482.59904873581371</v>
      </c>
      <c r="S136">
        <f t="shared" si="27"/>
        <v>1187332.6405419251</v>
      </c>
      <c r="T136" s="3">
        <v>0.08</v>
      </c>
      <c r="V136">
        <f>SUM($R$2:R136)</f>
        <v>23795.014747761779</v>
      </c>
      <c r="W136">
        <f t="shared" si="28"/>
        <v>50.172932036776828</v>
      </c>
      <c r="Z136">
        <f t="shared" si="22"/>
        <v>3.9943313592687651E-4</v>
      </c>
      <c r="AA136" s="3">
        <v>0.3</v>
      </c>
      <c r="AB136">
        <f t="shared" si="29"/>
        <v>3957775.4684730838</v>
      </c>
      <c r="AC136">
        <f t="shared" si="32"/>
        <v>557056.50193378294</v>
      </c>
      <c r="AD136" s="3">
        <v>0.2</v>
      </c>
      <c r="AE136">
        <f t="shared" si="30"/>
        <v>111411.3003867566</v>
      </c>
      <c r="AF136">
        <f t="shared" si="31"/>
        <v>1</v>
      </c>
    </row>
    <row r="137" spans="1:32">
      <c r="A137" s="2">
        <v>136</v>
      </c>
      <c r="B137">
        <f t="shared" si="23"/>
        <v>32524.227540312982</v>
      </c>
      <c r="C137" s="3">
        <v>0.08</v>
      </c>
      <c r="D137">
        <f t="shared" si="24"/>
        <v>229621.04643460989</v>
      </c>
      <c r="Q137">
        <f t="shared" si="25"/>
        <v>229621.04643461131</v>
      </c>
      <c r="R137">
        <f t="shared" si="26"/>
        <v>491.70469116479137</v>
      </c>
      <c r="S137">
        <f t="shared" si="27"/>
        <v>1282319.2517852793</v>
      </c>
      <c r="T137" s="3">
        <v>0.08</v>
      </c>
      <c r="V137">
        <f>SUM($R$2:R137)</f>
        <v>24286.719438926571</v>
      </c>
      <c r="W137">
        <f t="shared" si="28"/>
        <v>51.209715006381671</v>
      </c>
      <c r="Z137">
        <f t="shared" si="22"/>
        <v>3.6984549622858935E-4</v>
      </c>
      <c r="AA137" s="3">
        <v>0.3</v>
      </c>
      <c r="AB137">
        <f t="shared" si="29"/>
        <v>4274397.5059509315</v>
      </c>
      <c r="AC137">
        <f t="shared" si="32"/>
        <v>590479.89204980992</v>
      </c>
      <c r="AD137" s="3">
        <v>0.2</v>
      </c>
      <c r="AE137">
        <f t="shared" si="30"/>
        <v>118095.97840996199</v>
      </c>
      <c r="AF137">
        <f t="shared" si="31"/>
        <v>1</v>
      </c>
    </row>
    <row r="138" spans="1:32">
      <c r="A138" s="2">
        <v>137</v>
      </c>
      <c r="B138">
        <f t="shared" si="23"/>
        <v>35126.165743538018</v>
      </c>
      <c r="C138" s="3">
        <v>0.08</v>
      </c>
      <c r="D138">
        <f t="shared" si="24"/>
        <v>247990.73014937868</v>
      </c>
      <c r="Q138">
        <f t="shared" si="25"/>
        <v>247990.73014938019</v>
      </c>
      <c r="R138">
        <f t="shared" si="26"/>
        <v>500.98213816790076</v>
      </c>
      <c r="S138">
        <f t="shared" si="27"/>
        <v>1384904.7919281018</v>
      </c>
      <c r="T138" s="3">
        <v>0.08</v>
      </c>
      <c r="V138">
        <f>SUM($R$2:R138)</f>
        <v>24787.701577094471</v>
      </c>
      <c r="W138">
        <f t="shared" si="28"/>
        <v>52.266059918809241</v>
      </c>
      <c r="Z138">
        <f t="shared" si="22"/>
        <v>3.4244953354499008E-4</v>
      </c>
      <c r="AA138" s="3">
        <v>0.3</v>
      </c>
      <c r="AB138">
        <f t="shared" si="29"/>
        <v>4616349.3064270066</v>
      </c>
      <c r="AC138">
        <f t="shared" si="32"/>
        <v>625908.6855727986</v>
      </c>
      <c r="AD138" s="3">
        <v>0.2</v>
      </c>
      <c r="AE138">
        <f t="shared" si="30"/>
        <v>125181.73711455973</v>
      </c>
      <c r="AF138">
        <f t="shared" si="31"/>
        <v>1</v>
      </c>
    </row>
    <row r="139" spans="1:32">
      <c r="A139" s="2">
        <v>138</v>
      </c>
      <c r="B139">
        <f t="shared" si="23"/>
        <v>37936.259003021063</v>
      </c>
      <c r="C139" s="3">
        <v>0.08</v>
      </c>
      <c r="D139">
        <f t="shared" si="24"/>
        <v>267829.98856132897</v>
      </c>
      <c r="Q139">
        <f t="shared" si="25"/>
        <v>267829.98856133065</v>
      </c>
      <c r="R139">
        <f t="shared" si="26"/>
        <v>510.43463134088006</v>
      </c>
      <c r="S139">
        <f t="shared" si="27"/>
        <v>1495697.17528235</v>
      </c>
      <c r="T139" s="3">
        <v>0.08</v>
      </c>
      <c r="V139">
        <f>SUM($R$2:R139)</f>
        <v>25298.13620843535</v>
      </c>
      <c r="W139">
        <f t="shared" si="28"/>
        <v>53.342335867320351</v>
      </c>
      <c r="Z139">
        <f t="shared" si="22"/>
        <v>3.1708290143054636E-4</v>
      </c>
      <c r="AA139" s="3">
        <v>0.3</v>
      </c>
      <c r="AB139">
        <f t="shared" si="29"/>
        <v>4985657.2509411667</v>
      </c>
      <c r="AC139">
        <f t="shared" si="32"/>
        <v>663463.20670716651</v>
      </c>
      <c r="AD139" s="3">
        <v>0.2</v>
      </c>
      <c r="AE139">
        <f t="shared" si="30"/>
        <v>132692.64134143331</v>
      </c>
      <c r="AF139">
        <f t="shared" si="31"/>
        <v>1</v>
      </c>
    </row>
    <row r="140" spans="1:32">
      <c r="A140" s="2">
        <v>139</v>
      </c>
      <c r="B140">
        <f t="shared" si="23"/>
        <v>40971.159723262746</v>
      </c>
      <c r="C140" s="3">
        <v>0.08</v>
      </c>
      <c r="D140">
        <f t="shared" si="24"/>
        <v>289256.38764623529</v>
      </c>
      <c r="Q140">
        <f t="shared" si="25"/>
        <v>289256.38764623716</v>
      </c>
      <c r="R140">
        <f t="shared" si="26"/>
        <v>520.06547344165131</v>
      </c>
      <c r="S140">
        <f t="shared" si="27"/>
        <v>1615352.9493049381</v>
      </c>
      <c r="T140" s="3">
        <v>0.08</v>
      </c>
      <c r="V140">
        <f>SUM($R$2:R140)</f>
        <v>25818.201681877003</v>
      </c>
      <c r="W140">
        <f t="shared" si="28"/>
        <v>54.4389189091996</v>
      </c>
      <c r="Z140">
        <f t="shared" si="22"/>
        <v>2.9359527910235772E-4</v>
      </c>
      <c r="AA140" s="3">
        <v>0.3</v>
      </c>
      <c r="AB140">
        <f t="shared" si="29"/>
        <v>5384509.8310164604</v>
      </c>
      <c r="AC140">
        <f t="shared" si="32"/>
        <v>703270.99910959648</v>
      </c>
      <c r="AD140" s="3">
        <v>0.2</v>
      </c>
      <c r="AE140">
        <f t="shared" si="30"/>
        <v>140654.19982191929</v>
      </c>
      <c r="AF140">
        <f t="shared" si="31"/>
        <v>1</v>
      </c>
    </row>
    <row r="141" spans="1:32">
      <c r="A141" s="2">
        <v>140</v>
      </c>
      <c r="B141">
        <f t="shared" si="23"/>
        <v>44248.852501123765</v>
      </c>
      <c r="C141" s="3">
        <v>0.08</v>
      </c>
      <c r="D141">
        <f t="shared" si="24"/>
        <v>312396.8986579341</v>
      </c>
      <c r="Q141">
        <f t="shared" si="25"/>
        <v>312396.89865793608</v>
      </c>
      <c r="R141">
        <f t="shared" si="26"/>
        <v>529.87802954432402</v>
      </c>
      <c r="S141">
        <f t="shared" si="27"/>
        <v>1744581.1852493333</v>
      </c>
      <c r="T141" s="3">
        <v>0.08</v>
      </c>
      <c r="V141">
        <f>SUM($R$2:R141)</f>
        <v>26348.079711421327</v>
      </c>
      <c r="W141">
        <f t="shared" si="28"/>
        <v>55.556192197152043</v>
      </c>
      <c r="Z141">
        <f t="shared" si="22"/>
        <v>2.718474806503312E-4</v>
      </c>
      <c r="AA141" s="3">
        <v>0.3</v>
      </c>
      <c r="AB141">
        <f t="shared" si="29"/>
        <v>5815270.6174977776</v>
      </c>
      <c r="AC141">
        <f t="shared" si="32"/>
        <v>745467.25905617233</v>
      </c>
      <c r="AD141" s="3">
        <v>0.2</v>
      </c>
      <c r="AE141">
        <f t="shared" si="30"/>
        <v>149093.45181123447</v>
      </c>
      <c r="AF141">
        <f t="shared" si="31"/>
        <v>1</v>
      </c>
    </row>
    <row r="142" spans="1:32">
      <c r="A142" s="2">
        <v>141</v>
      </c>
      <c r="B142">
        <f t="shared" si="23"/>
        <v>47788.760701213665</v>
      </c>
      <c r="C142" s="3">
        <v>0.08</v>
      </c>
      <c r="D142">
        <f t="shared" si="24"/>
        <v>337388.65055056883</v>
      </c>
      <c r="Q142">
        <f t="shared" si="25"/>
        <v>337388.65055057098</v>
      </c>
      <c r="R142">
        <f t="shared" si="26"/>
        <v>539.87572821497156</v>
      </c>
      <c r="S142">
        <f t="shared" si="27"/>
        <v>1884147.6800692801</v>
      </c>
      <c r="T142" s="3">
        <v>0.08</v>
      </c>
      <c r="V142">
        <f>SUM($R$2:R142)</f>
        <v>26887.955439636298</v>
      </c>
      <c r="W142">
        <f t="shared" si="28"/>
        <v>56.694546113179058</v>
      </c>
      <c r="Z142">
        <f t="shared" si="22"/>
        <v>2.5171063023178813E-4</v>
      </c>
      <c r="AA142" s="3">
        <v>0.3</v>
      </c>
      <c r="AB142">
        <f t="shared" si="29"/>
        <v>6280492.2668976001</v>
      </c>
      <c r="AC142">
        <f t="shared" si="32"/>
        <v>790195.29459954274</v>
      </c>
      <c r="AD142" s="3">
        <v>0.2</v>
      </c>
      <c r="AE142">
        <f t="shared" si="30"/>
        <v>158039.05891990857</v>
      </c>
      <c r="AF142">
        <f t="shared" si="31"/>
        <v>1</v>
      </c>
    </row>
    <row r="143" spans="1:32">
      <c r="A143" s="2">
        <v>142</v>
      </c>
      <c r="B143">
        <f t="shared" si="23"/>
        <v>51611.86155731076</v>
      </c>
      <c r="C143" s="3">
        <v>0.08</v>
      </c>
      <c r="D143">
        <f t="shared" si="24"/>
        <v>364379.74259461433</v>
      </c>
      <c r="Q143">
        <f t="shared" si="25"/>
        <v>364379.74259461666</v>
      </c>
      <c r="R143">
        <f t="shared" si="26"/>
        <v>550.06206270959376</v>
      </c>
      <c r="S143">
        <f t="shared" si="27"/>
        <v>2034879.4944748227</v>
      </c>
      <c r="T143" s="3">
        <v>0.08</v>
      </c>
      <c r="V143">
        <f>SUM($R$2:R143)</f>
        <v>27438.017502345891</v>
      </c>
      <c r="W143">
        <f t="shared" si="28"/>
        <v>57.85437840498016</v>
      </c>
      <c r="Z143">
        <f t="shared" ref="Z143:Z201" si="33">$W$2/S143</f>
        <v>2.3306539836276676E-4</v>
      </c>
      <c r="AA143" s="3">
        <v>0.3</v>
      </c>
      <c r="AB143">
        <f t="shared" si="29"/>
        <v>6782931.6482494092</v>
      </c>
      <c r="AC143">
        <f t="shared" si="32"/>
        <v>837607.01227551536</v>
      </c>
      <c r="AD143" s="3">
        <v>0.2</v>
      </c>
      <c r="AE143">
        <f t="shared" si="30"/>
        <v>167521.40245510309</v>
      </c>
      <c r="AF143">
        <f t="shared" si="31"/>
        <v>1</v>
      </c>
    </row>
    <row r="144" spans="1:32">
      <c r="A144" s="2">
        <v>143</v>
      </c>
      <c r="B144">
        <f t="shared" si="23"/>
        <v>55740.81048189562</v>
      </c>
      <c r="C144" s="3">
        <v>0.08</v>
      </c>
      <c r="D144">
        <f t="shared" si="24"/>
        <v>393530.12200218346</v>
      </c>
      <c r="Q144">
        <f t="shared" si="25"/>
        <v>393530.12200218608</v>
      </c>
      <c r="R144">
        <f t="shared" si="26"/>
        <v>560.44059219468033</v>
      </c>
      <c r="S144">
        <f t="shared" si="27"/>
        <v>2197669.8540328084</v>
      </c>
      <c r="T144" s="3">
        <v>0.08</v>
      </c>
      <c r="V144">
        <f>SUM($R$2:R144)</f>
        <v>27998.458094540572</v>
      </c>
      <c r="W144">
        <f t="shared" si="28"/>
        <v>59.036094324928463</v>
      </c>
      <c r="Z144">
        <f t="shared" si="33"/>
        <v>2.158012947803396E-4</v>
      </c>
      <c r="AA144" s="3">
        <v>0.3</v>
      </c>
      <c r="AB144">
        <f t="shared" si="29"/>
        <v>7325566.1801093621</v>
      </c>
      <c r="AC144">
        <f t="shared" si="32"/>
        <v>887863.43301204627</v>
      </c>
      <c r="AD144" s="3">
        <v>0.2</v>
      </c>
      <c r="AE144">
        <f t="shared" si="30"/>
        <v>177572.68660240926</v>
      </c>
      <c r="AF144">
        <f t="shared" si="31"/>
        <v>1</v>
      </c>
    </row>
    <row r="145" spans="1:32">
      <c r="A145" s="2">
        <v>144</v>
      </c>
      <c r="B145">
        <f t="shared" si="23"/>
        <v>60200.075320447271</v>
      </c>
      <c r="C145" s="3">
        <v>0.08</v>
      </c>
      <c r="D145">
        <f t="shared" si="24"/>
        <v>425012.53176235815</v>
      </c>
      <c r="Q145">
        <f t="shared" si="25"/>
        <v>425012.531762361</v>
      </c>
      <c r="R145">
        <f t="shared" si="26"/>
        <v>571.01494299080628</v>
      </c>
      <c r="S145">
        <f t="shared" si="27"/>
        <v>2373483.4423554335</v>
      </c>
      <c r="T145" s="3">
        <v>0.08</v>
      </c>
      <c r="V145">
        <f>SUM($R$2:R145)</f>
        <v>28569.473037531377</v>
      </c>
      <c r="W145">
        <f t="shared" si="28"/>
        <v>60.240106771668238</v>
      </c>
      <c r="Z145">
        <f t="shared" si="33"/>
        <v>1.9981601368549961E-4</v>
      </c>
      <c r="AA145" s="3">
        <v>0.3</v>
      </c>
      <c r="AB145">
        <f t="shared" si="29"/>
        <v>7911611.4745181119</v>
      </c>
      <c r="AC145">
        <f t="shared" si="32"/>
        <v>941135.23899276904</v>
      </c>
      <c r="AD145" s="3">
        <v>0.2</v>
      </c>
      <c r="AE145">
        <f t="shared" si="30"/>
        <v>188227.04779855383</v>
      </c>
      <c r="AF145">
        <f t="shared" si="31"/>
        <v>1</v>
      </c>
    </row>
    <row r="146" spans="1:32">
      <c r="A146" s="2">
        <v>145</v>
      </c>
      <c r="B146">
        <f t="shared" si="23"/>
        <v>65016.081346083054</v>
      </c>
      <c r="C146" s="3">
        <v>0.08</v>
      </c>
      <c r="D146">
        <f t="shared" si="24"/>
        <v>459013.53430334682</v>
      </c>
      <c r="Q146">
        <f t="shared" si="25"/>
        <v>459013.53430334991</v>
      </c>
      <c r="R146">
        <f t="shared" si="26"/>
        <v>581.78880983968975</v>
      </c>
      <c r="S146">
        <f t="shared" si="27"/>
        <v>2563362.1177438684</v>
      </c>
      <c r="T146" s="3">
        <v>0.08</v>
      </c>
      <c r="V146">
        <f>SUM($R$2:R146)</f>
        <v>29151.261847371068</v>
      </c>
      <c r="W146">
        <f t="shared" si="28"/>
        <v>61.466836434384241</v>
      </c>
      <c r="Z146">
        <f t="shared" si="33"/>
        <v>1.8501482748657368E-4</v>
      </c>
      <c r="AA146" s="3">
        <v>0.3</v>
      </c>
      <c r="AB146">
        <f t="shared" si="29"/>
        <v>8544540.3924795613</v>
      </c>
      <c r="AC146">
        <f t="shared" si="32"/>
        <v>997603.35333233525</v>
      </c>
      <c r="AD146" s="3">
        <v>0.2</v>
      </c>
      <c r="AE146">
        <f t="shared" si="30"/>
        <v>199520.67066646705</v>
      </c>
      <c r="AF146">
        <f t="shared" si="31"/>
        <v>1</v>
      </c>
    </row>
    <row r="147" spans="1:32">
      <c r="A147" s="2">
        <v>146</v>
      </c>
      <c r="B147">
        <f t="shared" si="23"/>
        <v>70217.367853769698</v>
      </c>
      <c r="C147" s="3">
        <v>0.08</v>
      </c>
      <c r="D147">
        <f t="shared" si="24"/>
        <v>495734.61704761459</v>
      </c>
      <c r="Q147">
        <f t="shared" si="25"/>
        <v>495734.61704761785</v>
      </c>
      <c r="R147">
        <f t="shared" si="26"/>
        <v>592.76595719515547</v>
      </c>
      <c r="S147">
        <f t="shared" si="27"/>
        <v>2768431.087163378</v>
      </c>
      <c r="T147" s="3">
        <v>0.08</v>
      </c>
      <c r="V147">
        <f>SUM($R$2:R147)</f>
        <v>29744.027804566223</v>
      </c>
      <c r="W147">
        <f t="shared" si="28"/>
        <v>62.716711939792994</v>
      </c>
      <c r="Z147">
        <f t="shared" si="33"/>
        <v>1.7131002545053118E-4</v>
      </c>
      <c r="AA147" s="3">
        <v>0.3</v>
      </c>
      <c r="AB147">
        <f t="shared" si="29"/>
        <v>9228103.6238779277</v>
      </c>
      <c r="AC147">
        <f t="shared" si="32"/>
        <v>1057459.5545322753</v>
      </c>
      <c r="AD147" s="3">
        <v>0.2</v>
      </c>
      <c r="AE147">
        <f t="shared" si="30"/>
        <v>211491.91090645507</v>
      </c>
      <c r="AF147">
        <f t="shared" si="31"/>
        <v>1</v>
      </c>
    </row>
    <row r="148" spans="1:32">
      <c r="A148" s="2">
        <v>147</v>
      </c>
      <c r="B148">
        <f t="shared" si="23"/>
        <v>75834.757282071281</v>
      </c>
      <c r="C148" s="3">
        <v>0.08</v>
      </c>
      <c r="D148">
        <f t="shared" si="24"/>
        <v>535393.38641142379</v>
      </c>
      <c r="Q148">
        <f t="shared" si="25"/>
        <v>535393.38641142729</v>
      </c>
      <c r="R148">
        <f t="shared" si="26"/>
        <v>603.95022053846037</v>
      </c>
      <c r="S148">
        <f t="shared" si="27"/>
        <v>2989905.5741364486</v>
      </c>
      <c r="T148" s="3">
        <v>0.08</v>
      </c>
      <c r="V148">
        <f>SUM($R$2:R148)</f>
        <v>30347.978025104683</v>
      </c>
      <c r="W148">
        <f t="shared" si="28"/>
        <v>63.990170001907572</v>
      </c>
      <c r="Z148">
        <f t="shared" si="33"/>
        <v>1.5862039393567699E-4</v>
      </c>
      <c r="AA148" s="3">
        <v>0.3</v>
      </c>
      <c r="AB148">
        <f t="shared" si="29"/>
        <v>9966351.9137881622</v>
      </c>
      <c r="AC148">
        <f t="shared" si="32"/>
        <v>1120907.1278042118</v>
      </c>
      <c r="AD148" s="3">
        <v>0.2</v>
      </c>
      <c r="AE148">
        <f t="shared" si="30"/>
        <v>224181.42556084238</v>
      </c>
      <c r="AF148">
        <f t="shared" si="31"/>
        <v>1</v>
      </c>
    </row>
    <row r="149" spans="1:32">
      <c r="A149" s="2">
        <v>148</v>
      </c>
      <c r="B149">
        <f t="shared" si="23"/>
        <v>81901.537864636979</v>
      </c>
      <c r="C149" s="3">
        <v>0.08</v>
      </c>
      <c r="D149">
        <f t="shared" si="24"/>
        <v>578224.8573243377</v>
      </c>
      <c r="Q149">
        <f t="shared" si="25"/>
        <v>578224.85732434154</v>
      </c>
      <c r="R149">
        <f t="shared" si="26"/>
        <v>615.34550771843124</v>
      </c>
      <c r="S149">
        <f t="shared" si="27"/>
        <v>3229098.0200673644</v>
      </c>
      <c r="T149" s="3">
        <v>0.08</v>
      </c>
      <c r="V149">
        <f>SUM($R$2:R149)</f>
        <v>30963.323532823113</v>
      </c>
      <c r="W149">
        <f t="shared" si="28"/>
        <v>65.287655574628076</v>
      </c>
      <c r="Z149">
        <f t="shared" si="33"/>
        <v>1.4687073512562686E-4</v>
      </c>
      <c r="AA149" s="3">
        <v>0.3</v>
      </c>
      <c r="AB149">
        <f t="shared" si="29"/>
        <v>10763660.066891216</v>
      </c>
      <c r="AC149">
        <f t="shared" si="32"/>
        <v>1188161.5554724645</v>
      </c>
      <c r="AD149" s="3">
        <v>0.2</v>
      </c>
      <c r="AE149">
        <f t="shared" si="30"/>
        <v>237632.31109449291</v>
      </c>
      <c r="AF149">
        <f t="shared" si="31"/>
        <v>1</v>
      </c>
    </row>
    <row r="150" spans="1:32">
      <c r="A150" s="2">
        <v>149</v>
      </c>
      <c r="B150">
        <f t="shared" si="23"/>
        <v>88453.660893807944</v>
      </c>
      <c r="C150" s="3">
        <v>0.08</v>
      </c>
      <c r="D150">
        <f t="shared" si="24"/>
        <v>624482.84591028467</v>
      </c>
      <c r="Q150">
        <f t="shared" si="25"/>
        <v>624482.84591028886</v>
      </c>
      <c r="R150">
        <f t="shared" si="26"/>
        <v>626.95580031689224</v>
      </c>
      <c r="S150">
        <f t="shared" si="27"/>
        <v>3487425.8616727539</v>
      </c>
      <c r="T150" s="3">
        <v>0.08</v>
      </c>
      <c r="V150">
        <f>SUM($R$2:R150)</f>
        <v>31590.279333140006</v>
      </c>
      <c r="W150">
        <f t="shared" si="28"/>
        <v>66.609622007211243</v>
      </c>
      <c r="Z150">
        <f t="shared" si="33"/>
        <v>1.3599142141261744E-4</v>
      </c>
      <c r="AA150" s="3">
        <v>0.3</v>
      </c>
      <c r="AB150">
        <f t="shared" si="29"/>
        <v>11624752.872242514</v>
      </c>
      <c r="AC150">
        <f t="shared" si="32"/>
        <v>1259451.2488008125</v>
      </c>
      <c r="AD150" s="3">
        <v>0.2</v>
      </c>
      <c r="AE150">
        <f t="shared" si="30"/>
        <v>251890.24976016252</v>
      </c>
      <c r="AF150">
        <f t="shared" si="31"/>
        <v>1</v>
      </c>
    </row>
    <row r="151" spans="1:32">
      <c r="A151" s="2">
        <v>150</v>
      </c>
      <c r="B151">
        <f t="shared" si="23"/>
        <v>95529.953765312574</v>
      </c>
      <c r="C151" s="3">
        <v>0.08</v>
      </c>
      <c r="D151">
        <f t="shared" si="24"/>
        <v>674441.47358310746</v>
      </c>
      <c r="Q151">
        <f t="shared" si="25"/>
        <v>674441.47358311201</v>
      </c>
      <c r="R151">
        <f t="shared" si="26"/>
        <v>638.78515503985238</v>
      </c>
      <c r="S151">
        <f t="shared" si="27"/>
        <v>3766419.9306065743</v>
      </c>
      <c r="T151" s="3">
        <v>0.08</v>
      </c>
      <c r="V151">
        <f>SUM($R$2:R151)</f>
        <v>32229.064488179858</v>
      </c>
      <c r="W151">
        <f t="shared" si="28"/>
        <v>67.956531202673347</v>
      </c>
      <c r="Z151">
        <f t="shared" si="33"/>
        <v>1.2591798278946059E-4</v>
      </c>
      <c r="AA151" s="3">
        <v>0.3</v>
      </c>
      <c r="AB151">
        <f t="shared" si="29"/>
        <v>12554733.102021914</v>
      </c>
      <c r="AC151">
        <f t="shared" si="32"/>
        <v>1335018.3237288613</v>
      </c>
      <c r="AD151" s="3">
        <v>0.2</v>
      </c>
      <c r="AE151">
        <f t="shared" si="30"/>
        <v>267003.66474577226</v>
      </c>
      <c r="AF151">
        <f t="shared" si="31"/>
        <v>1</v>
      </c>
    </row>
    <row r="152" spans="1:32">
      <c r="A152" s="2">
        <v>151</v>
      </c>
      <c r="B152">
        <f t="shared" si="23"/>
        <v>103172.35006653758</v>
      </c>
      <c r="C152" s="3">
        <v>0.08</v>
      </c>
      <c r="D152">
        <f t="shared" si="24"/>
        <v>728396.79146975605</v>
      </c>
      <c r="Q152">
        <f t="shared" si="25"/>
        <v>728396.79146976105</v>
      </c>
      <c r="R152">
        <f t="shared" si="26"/>
        <v>650.83770513494403</v>
      </c>
      <c r="S152">
        <f t="shared" si="27"/>
        <v>4067733.5250551007</v>
      </c>
      <c r="T152" s="3">
        <v>0.08</v>
      </c>
      <c r="V152">
        <f>SUM($R$2:R152)</f>
        <v>32879.902193314803</v>
      </c>
      <c r="W152">
        <f t="shared" si="28"/>
        <v>69.328853779181898</v>
      </c>
      <c r="Z152">
        <f t="shared" si="33"/>
        <v>1.165907248050561E-4</v>
      </c>
      <c r="AA152" s="3">
        <v>0.3</v>
      </c>
      <c r="AB152">
        <f t="shared" si="29"/>
        <v>13559111.75018367</v>
      </c>
      <c r="AC152">
        <f t="shared" si="32"/>
        <v>1415119.423152593</v>
      </c>
      <c r="AD152" s="3">
        <v>0.2</v>
      </c>
      <c r="AE152">
        <f t="shared" si="30"/>
        <v>283023.88463051862</v>
      </c>
      <c r="AF152">
        <f t="shared" si="31"/>
        <v>1</v>
      </c>
    </row>
    <row r="153" spans="1:32">
      <c r="A153" s="2">
        <v>152</v>
      </c>
      <c r="B153">
        <f t="shared" si="23"/>
        <v>111426.13807186058</v>
      </c>
      <c r="C153" s="3">
        <v>0.08</v>
      </c>
      <c r="D153">
        <f t="shared" si="24"/>
        <v>786668.53478733648</v>
      </c>
      <c r="Q153">
        <f t="shared" si="25"/>
        <v>786668.53478734207</v>
      </c>
      <c r="R153">
        <f t="shared" si="26"/>
        <v>663.11766183560326</v>
      </c>
      <c r="S153">
        <f t="shared" si="27"/>
        <v>4393152.2070595091</v>
      </c>
      <c r="T153" s="3">
        <v>0.08</v>
      </c>
      <c r="V153">
        <f>SUM($R$2:R153)</f>
        <v>33543.019855150407</v>
      </c>
      <c r="W153">
        <f t="shared" si="28"/>
        <v>70.72706923449249</v>
      </c>
      <c r="Z153">
        <f t="shared" si="33"/>
        <v>1.0795437481949638E-4</v>
      </c>
      <c r="AA153" s="3">
        <v>0.3</v>
      </c>
      <c r="AB153">
        <f t="shared" si="29"/>
        <v>14643840.690198364</v>
      </c>
      <c r="AC153">
        <f t="shared" si="32"/>
        <v>1500026.5885417487</v>
      </c>
      <c r="AD153" s="3">
        <v>0.2</v>
      </c>
      <c r="AE153">
        <f t="shared" si="30"/>
        <v>300005.31770834973</v>
      </c>
      <c r="AF153">
        <f t="shared" si="31"/>
        <v>1</v>
      </c>
    </row>
    <row r="154" spans="1:32">
      <c r="A154" s="2">
        <v>153</v>
      </c>
      <c r="B154">
        <f t="shared" si="23"/>
        <v>120340.22911760943</v>
      </c>
      <c r="C154" s="3">
        <v>0.08</v>
      </c>
      <c r="D154">
        <f t="shared" si="24"/>
        <v>849602.01757032343</v>
      </c>
      <c r="Q154">
        <f t="shared" si="25"/>
        <v>849602.01757032925</v>
      </c>
      <c r="R154">
        <f t="shared" si="26"/>
        <v>675.62931583250167</v>
      </c>
      <c r="S154">
        <f t="shared" si="27"/>
        <v>4744604.3836242706</v>
      </c>
      <c r="T154" s="3">
        <v>0.08</v>
      </c>
      <c r="V154">
        <f>SUM($R$2:R154)</f>
        <v>34218.649170982906</v>
      </c>
      <c r="W154">
        <f t="shared" si="28"/>
        <v>72.15166611348819</v>
      </c>
      <c r="Z154">
        <f t="shared" si="33"/>
        <v>9.9957754462496633E-5</v>
      </c>
      <c r="AA154" s="3">
        <v>0.3</v>
      </c>
      <c r="AB154">
        <f t="shared" si="29"/>
        <v>15815347.945414236</v>
      </c>
      <c r="AC154">
        <f t="shared" si="32"/>
        <v>1590028.1838542537</v>
      </c>
      <c r="AD154" s="3">
        <v>0.2</v>
      </c>
      <c r="AE154">
        <f t="shared" si="30"/>
        <v>318005.63677085075</v>
      </c>
      <c r="AF154">
        <f t="shared" si="31"/>
        <v>1</v>
      </c>
    </row>
    <row r="155" spans="1:32">
      <c r="A155" s="2">
        <v>154</v>
      </c>
      <c r="B155">
        <f t="shared" si="23"/>
        <v>129967.44744701819</v>
      </c>
      <c r="C155" s="3">
        <v>0.08</v>
      </c>
      <c r="D155">
        <f t="shared" si="24"/>
        <v>917570.1789759493</v>
      </c>
      <c r="Q155">
        <f t="shared" si="25"/>
        <v>917570.17897595582</v>
      </c>
      <c r="R155">
        <f t="shared" si="26"/>
        <v>688.37703877273759</v>
      </c>
      <c r="S155">
        <f t="shared" si="27"/>
        <v>5124172.7343142126</v>
      </c>
      <c r="T155" s="3">
        <v>0.08</v>
      </c>
      <c r="V155">
        <f>SUM($R$2:R155)</f>
        <v>34907.026209755641</v>
      </c>
      <c r="W155">
        <f t="shared" si="28"/>
        <v>73.60314217888002</v>
      </c>
      <c r="Z155">
        <f t="shared" si="33"/>
        <v>9.2553476354163532E-5</v>
      </c>
      <c r="AA155" s="3">
        <v>0.3</v>
      </c>
      <c r="AB155">
        <f t="shared" si="29"/>
        <v>17080575.781047378</v>
      </c>
      <c r="AC155">
        <f t="shared" si="32"/>
        <v>1685429.874885509</v>
      </c>
      <c r="AD155" s="3">
        <v>0.2</v>
      </c>
      <c r="AE155">
        <f t="shared" si="30"/>
        <v>337085.97497710184</v>
      </c>
      <c r="AF155">
        <f t="shared" si="31"/>
        <v>1</v>
      </c>
    </row>
    <row r="156" spans="1:32">
      <c r="A156" s="2">
        <v>155</v>
      </c>
      <c r="B156">
        <f t="shared" si="23"/>
        <v>140364.84324277964</v>
      </c>
      <c r="C156" s="3">
        <v>0.08</v>
      </c>
      <c r="D156">
        <f t="shared" si="24"/>
        <v>990975.79329402524</v>
      </c>
      <c r="Q156">
        <f t="shared" si="25"/>
        <v>990975.79329403222</v>
      </c>
      <c r="R156">
        <f t="shared" si="26"/>
        <v>701.36528478731759</v>
      </c>
      <c r="S156">
        <f t="shared" si="27"/>
        <v>5534106.5530593498</v>
      </c>
      <c r="T156" s="3">
        <v>0.08</v>
      </c>
      <c r="V156">
        <f>SUM($R$2:R156)</f>
        <v>35608.391494542957</v>
      </c>
      <c r="W156">
        <f t="shared" si="28"/>
        <v>75.082004585128317</v>
      </c>
      <c r="Z156">
        <f t="shared" si="33"/>
        <v>8.5697663290892158E-5</v>
      </c>
      <c r="AA156" s="3">
        <v>0.3</v>
      </c>
      <c r="AB156">
        <f t="shared" si="29"/>
        <v>18447021.843531165</v>
      </c>
      <c r="AC156">
        <f t="shared" si="32"/>
        <v>1786555.6673786396</v>
      </c>
      <c r="AD156" s="3">
        <v>0.2</v>
      </c>
      <c r="AE156">
        <f t="shared" si="30"/>
        <v>357311.13347572793</v>
      </c>
      <c r="AF156">
        <f t="shared" si="31"/>
        <v>1</v>
      </c>
    </row>
    <row r="157" spans="1:32">
      <c r="A157" s="2">
        <v>156</v>
      </c>
      <c r="B157">
        <f t="shared" si="23"/>
        <v>151594.030702202</v>
      </c>
      <c r="C157" s="3">
        <v>0.08</v>
      </c>
      <c r="D157">
        <f t="shared" si="24"/>
        <v>1070253.8567575472</v>
      </c>
      <c r="Q157">
        <f t="shared" si="25"/>
        <v>1070253.8567575549</v>
      </c>
      <c r="R157">
        <f t="shared" si="26"/>
        <v>714.59859204745555</v>
      </c>
      <c r="S157">
        <f t="shared" si="27"/>
        <v>5976835.0773040978</v>
      </c>
      <c r="T157" s="3">
        <v>0.08</v>
      </c>
      <c r="V157">
        <f>SUM($R$2:R157)</f>
        <v>36322.990086590413</v>
      </c>
      <c r="W157">
        <f t="shared" si="28"/>
        <v>76.588770055645455</v>
      </c>
      <c r="Z157">
        <f t="shared" si="33"/>
        <v>7.9349688232307558E-5</v>
      </c>
      <c r="AA157" s="3">
        <v>0.3</v>
      </c>
      <c r="AB157">
        <f t="shared" si="29"/>
        <v>19922783.591013659</v>
      </c>
      <c r="AC157">
        <f t="shared" si="32"/>
        <v>1893749.007421358</v>
      </c>
      <c r="AD157" s="3">
        <v>0.2</v>
      </c>
      <c r="AE157">
        <f t="shared" si="30"/>
        <v>378749.80148427165</v>
      </c>
      <c r="AF157">
        <f t="shared" si="31"/>
        <v>1</v>
      </c>
    </row>
    <row r="158" spans="1:32">
      <c r="A158" s="2">
        <v>157</v>
      </c>
      <c r="B158">
        <f t="shared" si="23"/>
        <v>163721.55315837817</v>
      </c>
      <c r="C158" s="3">
        <v>0.08</v>
      </c>
      <c r="D158">
        <f t="shared" si="24"/>
        <v>1155874.1652981511</v>
      </c>
      <c r="Q158">
        <f t="shared" si="25"/>
        <v>1155874.1652981592</v>
      </c>
      <c r="R158">
        <f t="shared" si="26"/>
        <v>728.08158435023768</v>
      </c>
      <c r="S158">
        <f t="shared" si="27"/>
        <v>6454981.883488426</v>
      </c>
      <c r="T158" s="3">
        <v>0.08</v>
      </c>
      <c r="V158">
        <f>SUM($R$2:R158)</f>
        <v>37051.071670940648</v>
      </c>
      <c r="W158">
        <f t="shared" si="28"/>
        <v>78.123965063342155</v>
      </c>
      <c r="Z158">
        <f t="shared" si="33"/>
        <v>7.3471933548432922E-5</v>
      </c>
      <c r="AA158" s="3">
        <v>0.3</v>
      </c>
      <c r="AB158">
        <f t="shared" si="29"/>
        <v>21516606.278294753</v>
      </c>
      <c r="AC158">
        <f t="shared" si="32"/>
        <v>2007373.9478666396</v>
      </c>
      <c r="AD158" s="3">
        <v>0.2</v>
      </c>
      <c r="AE158">
        <f t="shared" si="30"/>
        <v>401474.78957332793</v>
      </c>
      <c r="AF158">
        <f t="shared" si="31"/>
        <v>1</v>
      </c>
    </row>
    <row r="159" spans="1:32">
      <c r="A159" s="2">
        <v>158</v>
      </c>
      <c r="B159">
        <f t="shared" si="23"/>
        <v>176819.27741104842</v>
      </c>
      <c r="C159" s="3">
        <v>0.08</v>
      </c>
      <c r="D159">
        <f t="shared" si="24"/>
        <v>1248344.0985220033</v>
      </c>
      <c r="Q159">
        <f t="shared" si="25"/>
        <v>1248344.0985220121</v>
      </c>
      <c r="R159">
        <f t="shared" si="26"/>
        <v>741.81897273420441</v>
      </c>
      <c r="S159">
        <f t="shared" si="27"/>
        <v>6971380.4341675006</v>
      </c>
      <c r="T159" s="3">
        <v>0.08</v>
      </c>
      <c r="V159">
        <f>SUM($R$2:R159)</f>
        <v>37792.890643674851</v>
      </c>
      <c r="W159">
        <f t="shared" si="28"/>
        <v>79.688126014580291</v>
      </c>
      <c r="Z159">
        <f t="shared" si="33"/>
        <v>6.8029568100400851E-5</v>
      </c>
      <c r="AA159" s="3">
        <v>0.3</v>
      </c>
      <c r="AB159">
        <f t="shared" si="29"/>
        <v>23237934.780558337</v>
      </c>
      <c r="AC159">
        <f t="shared" si="32"/>
        <v>2127816.3847386381</v>
      </c>
      <c r="AD159" s="3">
        <v>0.2</v>
      </c>
      <c r="AE159">
        <f t="shared" si="30"/>
        <v>425563.27694772766</v>
      </c>
      <c r="AF159">
        <f t="shared" si="31"/>
        <v>1</v>
      </c>
    </row>
    <row r="160" spans="1:32">
      <c r="A160" s="2">
        <v>159</v>
      </c>
      <c r="B160">
        <f t="shared" si="23"/>
        <v>190964.81960393229</v>
      </c>
      <c r="C160" s="3">
        <v>0.08</v>
      </c>
      <c r="D160">
        <f t="shared" si="24"/>
        <v>1348211.6264037634</v>
      </c>
      <c r="Q160">
        <f t="shared" si="25"/>
        <v>1348211.6264037732</v>
      </c>
      <c r="R160">
        <f t="shared" si="26"/>
        <v>755.81555712541581</v>
      </c>
      <c r="S160">
        <f t="shared" si="27"/>
        <v>7529090.8689009007</v>
      </c>
      <c r="T160" s="3">
        <v>0.08</v>
      </c>
      <c r="V160">
        <f>SUM($R$2:R160)</f>
        <v>38548.706200800269</v>
      </c>
      <c r="W160">
        <f t="shared" si="28"/>
        <v>81.281799436596529</v>
      </c>
      <c r="Z160">
        <f t="shared" si="33"/>
        <v>6.2990340833704486E-5</v>
      </c>
      <c r="AA160" s="3">
        <v>0.3</v>
      </c>
      <c r="AB160">
        <f t="shared" si="29"/>
        <v>25096969.563003004</v>
      </c>
      <c r="AC160">
        <f t="shared" si="32"/>
        <v>2255485.3678229563</v>
      </c>
      <c r="AD160" s="3">
        <v>0.2</v>
      </c>
      <c r="AE160">
        <f t="shared" si="30"/>
        <v>451097.07356459129</v>
      </c>
      <c r="AF160">
        <f t="shared" si="31"/>
        <v>1</v>
      </c>
    </row>
    <row r="161" spans="1:32">
      <c r="A161" s="2">
        <v>160</v>
      </c>
      <c r="B161">
        <f t="shared" si="23"/>
        <v>206242.00517224689</v>
      </c>
      <c r="C161" s="3">
        <v>0.08</v>
      </c>
      <c r="D161">
        <f t="shared" si="24"/>
        <v>1456068.5565160646</v>
      </c>
      <c r="Q161">
        <f t="shared" si="25"/>
        <v>1456068.5565160753</v>
      </c>
      <c r="R161">
        <f t="shared" si="26"/>
        <v>770.07622801457444</v>
      </c>
      <c r="S161">
        <f t="shared" si="27"/>
        <v>8131418.1384129729</v>
      </c>
      <c r="T161" s="3">
        <v>0.08</v>
      </c>
      <c r="V161">
        <f>SUM($R$2:R161)</f>
        <v>39318.78242881484</v>
      </c>
      <c r="W161">
        <f t="shared" si="28"/>
        <v>82.905542168462105</v>
      </c>
      <c r="Z161">
        <f t="shared" si="33"/>
        <v>5.8324389660837484E-5</v>
      </c>
      <c r="AA161" s="3">
        <v>0.3</v>
      </c>
      <c r="AB161">
        <f t="shared" si="29"/>
        <v>27104727.128043246</v>
      </c>
      <c r="AC161">
        <f t="shared" si="32"/>
        <v>2390814.4898923337</v>
      </c>
      <c r="AD161" s="3">
        <v>0.2</v>
      </c>
      <c r="AE161">
        <f t="shared" si="30"/>
        <v>478162.89797846676</v>
      </c>
      <c r="AF161">
        <f t="shared" si="31"/>
        <v>1</v>
      </c>
    </row>
    <row r="162" spans="1:32">
      <c r="A162" s="2">
        <v>161</v>
      </c>
      <c r="B162">
        <f t="shared" si="23"/>
        <v>222741.36558602663</v>
      </c>
      <c r="C162" s="3">
        <v>0.08</v>
      </c>
      <c r="D162">
        <f t="shared" si="24"/>
        <v>1572554.0410373497</v>
      </c>
      <c r="Q162">
        <f t="shared" si="25"/>
        <v>1572554.0410373614</v>
      </c>
      <c r="R162">
        <f t="shared" si="26"/>
        <v>784.60596816579323</v>
      </c>
      <c r="S162">
        <f t="shared" si="27"/>
        <v>8781931.5894860122</v>
      </c>
      <c r="T162" s="3">
        <v>0.08</v>
      </c>
      <c r="V162">
        <f>SUM($R$2:R162)</f>
        <v>40103.388396980634</v>
      </c>
      <c r="W162">
        <f t="shared" si="28"/>
        <v>84.559921555645914</v>
      </c>
      <c r="Z162">
        <f t="shared" si="33"/>
        <v>5.4004064500775441E-5</v>
      </c>
      <c r="AA162" s="3">
        <v>0.3</v>
      </c>
      <c r="AB162">
        <f t="shared" si="29"/>
        <v>29273105.29828671</v>
      </c>
      <c r="AC162">
        <f t="shared" si="32"/>
        <v>2534263.3592858738</v>
      </c>
      <c r="AD162" s="3">
        <v>0.2</v>
      </c>
      <c r="AE162">
        <f t="shared" si="30"/>
        <v>506852.67185717478</v>
      </c>
      <c r="AF162">
        <f t="shared" si="31"/>
        <v>1</v>
      </c>
    </row>
    <row r="163" spans="1:32">
      <c r="A163" s="2">
        <v>162</v>
      </c>
      <c r="B163">
        <f t="shared" si="23"/>
        <v>240560.67483290876</v>
      </c>
      <c r="C163" s="3">
        <v>0.08</v>
      </c>
      <c r="D163">
        <f t="shared" si="24"/>
        <v>1698358.3643203378</v>
      </c>
      <c r="Q163">
        <f t="shared" si="25"/>
        <v>1698358.3643203501</v>
      </c>
      <c r="R163">
        <f t="shared" si="26"/>
        <v>799.40985435760069</v>
      </c>
      <c r="S163">
        <f t="shared" si="27"/>
        <v>9484486.1166448947</v>
      </c>
      <c r="T163" s="3">
        <v>0.08</v>
      </c>
      <c r="V163">
        <f>SUM($R$2:R163)</f>
        <v>40902.798251338238</v>
      </c>
      <c r="W163">
        <f t="shared" si="28"/>
        <v>86.245515648248301</v>
      </c>
      <c r="Z163">
        <f t="shared" si="33"/>
        <v>5.0003763426643918E-5</v>
      </c>
      <c r="AA163" s="3">
        <v>0.3</v>
      </c>
      <c r="AB163">
        <f t="shared" si="29"/>
        <v>31614953.722149651</v>
      </c>
      <c r="AC163">
        <f t="shared" si="32"/>
        <v>2686319.1608430264</v>
      </c>
      <c r="AD163" s="3">
        <v>0.2</v>
      </c>
      <c r="AE163">
        <f t="shared" si="30"/>
        <v>537263.8321686053</v>
      </c>
      <c r="AF163">
        <f t="shared" si="31"/>
        <v>1</v>
      </c>
    </row>
    <row r="164" spans="1:32">
      <c r="A164" s="2">
        <v>163</v>
      </c>
      <c r="B164">
        <f t="shared" si="23"/>
        <v>259805.52881954145</v>
      </c>
      <c r="C164" s="3">
        <v>0.08</v>
      </c>
      <c r="D164">
        <f t="shared" si="24"/>
        <v>1834227.0334659647</v>
      </c>
      <c r="Q164">
        <f t="shared" si="25"/>
        <v>1834227.0334659782</v>
      </c>
      <c r="R164">
        <f t="shared" si="26"/>
        <v>814.49305915680065</v>
      </c>
      <c r="S164">
        <f t="shared" si="27"/>
        <v>10243245.005976487</v>
      </c>
      <c r="T164" s="3">
        <v>0.08</v>
      </c>
      <c r="V164">
        <f>SUM($R$2:R164)</f>
        <v>41717.291310495035</v>
      </c>
      <c r="W164">
        <f t="shared" si="28"/>
        <v>87.962913402975232</v>
      </c>
      <c r="Z164">
        <f t="shared" si="33"/>
        <v>4.6299780950596215E-5</v>
      </c>
      <c r="AA164" s="3">
        <v>0.3</v>
      </c>
      <c r="AB164">
        <f t="shared" si="29"/>
        <v>34144150.019921623</v>
      </c>
      <c r="AC164">
        <f t="shared" si="32"/>
        <v>2847498.310493608</v>
      </c>
      <c r="AD164" s="3">
        <v>0.2</v>
      </c>
      <c r="AE164">
        <f t="shared" si="30"/>
        <v>569499.6620987216</v>
      </c>
      <c r="AF164">
        <f t="shared" si="31"/>
        <v>1</v>
      </c>
    </row>
    <row r="165" spans="1:32">
      <c r="A165" s="2">
        <v>164</v>
      </c>
      <c r="B165">
        <f t="shared" si="23"/>
        <v>280589.97112510476</v>
      </c>
      <c r="C165" s="3">
        <v>0.08</v>
      </c>
      <c r="D165">
        <f t="shared" si="24"/>
        <v>1980965.1961432418</v>
      </c>
      <c r="Q165">
        <f t="shared" si="25"/>
        <v>1980965.1961432567</v>
      </c>
      <c r="R165">
        <f t="shared" si="26"/>
        <v>829.8608527257968</v>
      </c>
      <c r="S165">
        <f t="shared" si="27"/>
        <v>11062704.606454607</v>
      </c>
      <c r="T165" s="3">
        <v>0.08</v>
      </c>
      <c r="V165">
        <f>SUM($R$2:R165)</f>
        <v>42547.152163220831</v>
      </c>
      <c r="W165">
        <f t="shared" si="28"/>
        <v>89.712714888923443</v>
      </c>
      <c r="Z165">
        <f t="shared" si="33"/>
        <v>4.2870167546848345E-5</v>
      </c>
      <c r="AA165" s="3">
        <v>0.3</v>
      </c>
      <c r="AB165">
        <f t="shared" si="29"/>
        <v>36875682.021515362</v>
      </c>
      <c r="AC165">
        <f t="shared" si="32"/>
        <v>3018348.2091232245</v>
      </c>
      <c r="AD165" s="3">
        <v>0.2</v>
      </c>
      <c r="AE165">
        <f t="shared" si="30"/>
        <v>603669.64182464487</v>
      </c>
      <c r="AF165">
        <f t="shared" si="31"/>
        <v>1</v>
      </c>
    </row>
    <row r="166" spans="1:32">
      <c r="A166" s="2">
        <v>165</v>
      </c>
      <c r="B166">
        <f t="shared" ref="B166:B200" si="34">B165+B165*C165</f>
        <v>303037.16881511314</v>
      </c>
      <c r="C166" s="3">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3">
        <v>0.08</v>
      </c>
      <c r="V166">
        <f>SUM($R$2:R166)</f>
        <v>43392.670767884854</v>
      </c>
      <c r="W166">
        <f t="shared" ref="W166:W200" si="39">V166/$W$2</f>
        <v>91.495531497248038</v>
      </c>
      <c r="Z166">
        <f t="shared" si="33"/>
        <v>3.9694599580415133E-5</v>
      </c>
      <c r="AA166" s="3">
        <v>0.3</v>
      </c>
      <c r="AB166">
        <f t="shared" si="29"/>
        <v>39825736.58323659</v>
      </c>
      <c r="AC166">
        <f t="shared" si="32"/>
        <v>3199449.1016706182</v>
      </c>
      <c r="AD166" s="3">
        <v>0.2</v>
      </c>
      <c r="AE166">
        <f t="shared" si="30"/>
        <v>639889.82033412368</v>
      </c>
      <c r="AF166">
        <f t="shared" si="31"/>
        <v>1</v>
      </c>
    </row>
    <row r="167" spans="1:32">
      <c r="A167" s="2">
        <v>166</v>
      </c>
      <c r="B167">
        <f t="shared" si="34"/>
        <v>327280.14232032216</v>
      </c>
      <c r="C167" s="3">
        <v>0.08</v>
      </c>
      <c r="D167">
        <f t="shared" si="35"/>
        <v>2310597.804781477</v>
      </c>
      <c r="Q167">
        <f t="shared" si="36"/>
        <v>2310597.8047814951</v>
      </c>
      <c r="R167">
        <f t="shared" si="37"/>
        <v>861.47178588409531</v>
      </c>
      <c r="S167">
        <f t="shared" si="38"/>
        <v>12903538.652968654</v>
      </c>
      <c r="T167" s="3">
        <v>0.08</v>
      </c>
      <c r="V167">
        <f>SUM($R$2:R167)</f>
        <v>44254.14255376895</v>
      </c>
      <c r="W167">
        <f t="shared" si="39"/>
        <v>93.311986154786297</v>
      </c>
      <c r="Z167">
        <f t="shared" si="33"/>
        <v>3.6754258870754755E-5</v>
      </c>
      <c r="AA167" s="3">
        <v>0.3</v>
      </c>
      <c r="AB167">
        <f t="shared" si="29"/>
        <v>43011795.509895518</v>
      </c>
      <c r="AC167">
        <f t="shared" si="32"/>
        <v>3391416.0477708555</v>
      </c>
      <c r="AD167" s="3">
        <v>0.2</v>
      </c>
      <c r="AE167">
        <f t="shared" si="30"/>
        <v>678283.20955417119</v>
      </c>
      <c r="AF167">
        <f t="shared" si="31"/>
        <v>1</v>
      </c>
    </row>
    <row r="168" spans="1:32">
      <c r="A168" s="2">
        <v>167</v>
      </c>
      <c r="B168">
        <f t="shared" si="34"/>
        <v>353462.55370594794</v>
      </c>
      <c r="C168" s="3">
        <v>0.08</v>
      </c>
      <c r="D168">
        <f t="shared" si="35"/>
        <v>2495445.6291639949</v>
      </c>
      <c r="Q168">
        <f t="shared" si="36"/>
        <v>2495445.6291640149</v>
      </c>
      <c r="R168">
        <f t="shared" si="37"/>
        <v>877.72597052341769</v>
      </c>
      <c r="S168">
        <f t="shared" si="38"/>
        <v>13935821.745206147</v>
      </c>
      <c r="T168" s="3">
        <v>0.08</v>
      </c>
      <c r="V168">
        <f>SUM($R$2:R168)</f>
        <v>45131.868524292368</v>
      </c>
      <c r="W168">
        <f t="shared" si="39"/>
        <v>95.16271354171208</v>
      </c>
      <c r="Z168">
        <f t="shared" si="33"/>
        <v>3.4031721176624766E-5</v>
      </c>
      <c r="AA168" s="3">
        <v>0.3</v>
      </c>
      <c r="AB168">
        <f t="shared" si="29"/>
        <v>46452739.150687158</v>
      </c>
      <c r="AC168">
        <f t="shared" si="32"/>
        <v>3594901.0106371068</v>
      </c>
      <c r="AD168" s="3">
        <v>0.2</v>
      </c>
      <c r="AE168">
        <f t="shared" si="30"/>
        <v>718980.20212742139</v>
      </c>
      <c r="AF168">
        <f t="shared" si="31"/>
        <v>1</v>
      </c>
    </row>
    <row r="169" spans="1:32">
      <c r="A169" s="2">
        <v>168</v>
      </c>
      <c r="B169">
        <f t="shared" si="34"/>
        <v>381739.55800242379</v>
      </c>
      <c r="C169" s="3">
        <v>0.08</v>
      </c>
      <c r="D169">
        <f t="shared" si="35"/>
        <v>2695081.2794971145</v>
      </c>
      <c r="Q169">
        <f t="shared" si="36"/>
        <v>2695081.2794971359</v>
      </c>
      <c r="R169">
        <f t="shared" si="37"/>
        <v>894.28683789178399</v>
      </c>
      <c r="S169">
        <f t="shared" si="38"/>
        <v>15050687.48482264</v>
      </c>
      <c r="T169" s="3">
        <v>0.08</v>
      </c>
      <c r="V169">
        <f>SUM($R$2:R169)</f>
        <v>46026.155362184152</v>
      </c>
      <c r="W169">
        <f t="shared" si="39"/>
        <v>97.048360313296826</v>
      </c>
      <c r="Z169">
        <f t="shared" si="33"/>
        <v>3.1510852941319226E-5</v>
      </c>
      <c r="AA169" s="3">
        <v>0.3</v>
      </c>
      <c r="AB169">
        <f t="shared" si="29"/>
        <v>50168958.282742135</v>
      </c>
      <c r="AC169">
        <f t="shared" si="32"/>
        <v>3810595.0712753334</v>
      </c>
      <c r="AD169" s="3">
        <v>0.2</v>
      </c>
      <c r="AE169">
        <f t="shared" si="30"/>
        <v>762119.01425506675</v>
      </c>
      <c r="AF169">
        <f t="shared" si="31"/>
        <v>1</v>
      </c>
    </row>
    <row r="170" spans="1:32">
      <c r="A170" s="2">
        <v>169</v>
      </c>
      <c r="B170">
        <f t="shared" si="34"/>
        <v>412278.72264261771</v>
      </c>
      <c r="C170" s="3">
        <v>0.08</v>
      </c>
      <c r="D170">
        <f t="shared" si="35"/>
        <v>2910687.7818568838</v>
      </c>
      <c r="Q170">
        <f t="shared" si="36"/>
        <v>2910687.7818569071</v>
      </c>
      <c r="R170">
        <f t="shared" si="37"/>
        <v>911.16017445578018</v>
      </c>
      <c r="S170">
        <f t="shared" si="38"/>
        <v>16254742.483608453</v>
      </c>
      <c r="T170" s="3">
        <v>0.08</v>
      </c>
      <c r="V170">
        <f>SUM($R$2:R170)</f>
        <v>46937.31553663993</v>
      </c>
      <c r="W170">
        <f t="shared" si="39"/>
        <v>98.969585325854865</v>
      </c>
      <c r="Z170">
        <f t="shared" si="33"/>
        <v>2.917671568640669E-5</v>
      </c>
      <c r="AA170" s="3">
        <v>0.3</v>
      </c>
      <c r="AB170">
        <f t="shared" si="29"/>
        <v>54182474.94536151</v>
      </c>
      <c r="AC170">
        <f t="shared" si="32"/>
        <v>4039230.7755518537</v>
      </c>
      <c r="AD170" s="3">
        <v>0.2</v>
      </c>
      <c r="AE170">
        <f t="shared" si="30"/>
        <v>807846.15511037083</v>
      </c>
      <c r="AF170">
        <f t="shared" si="31"/>
        <v>1</v>
      </c>
    </row>
    <row r="171" spans="1:32">
      <c r="A171" s="2">
        <v>170</v>
      </c>
      <c r="B171">
        <f t="shared" si="34"/>
        <v>445261.02045402711</v>
      </c>
      <c r="C171" s="3">
        <v>0.08</v>
      </c>
      <c r="D171">
        <f t="shared" si="35"/>
        <v>3143542.8044054345</v>
      </c>
      <c r="Q171">
        <f t="shared" si="36"/>
        <v>3143542.8044054601</v>
      </c>
      <c r="R171">
        <f t="shared" si="37"/>
        <v>928.35187586060624</v>
      </c>
      <c r="S171">
        <f t="shared" si="38"/>
        <v>17555121.882297128</v>
      </c>
      <c r="T171" s="3">
        <v>0.08</v>
      </c>
      <c r="V171">
        <f>SUM($R$2:R171)</f>
        <v>47865.667412500537</v>
      </c>
      <c r="W171">
        <f t="shared" si="39"/>
        <v>100.92705986695175</v>
      </c>
      <c r="Z171">
        <f t="shared" si="33"/>
        <v>2.7015477487413603E-5</v>
      </c>
      <c r="AA171" s="3">
        <v>0.3</v>
      </c>
      <c r="AB171">
        <f t="shared" si="29"/>
        <v>58517072.940990433</v>
      </c>
      <c r="AC171">
        <f t="shared" si="32"/>
        <v>4281584.622084965</v>
      </c>
      <c r="AD171" s="3">
        <v>0.2</v>
      </c>
      <c r="AE171">
        <f t="shared" si="30"/>
        <v>856316.92441699305</v>
      </c>
      <c r="AF171">
        <f t="shared" si="31"/>
        <v>1</v>
      </c>
    </row>
    <row r="172" spans="1:32">
      <c r="A172" s="2">
        <v>171</v>
      </c>
      <c r="B172">
        <f t="shared" si="34"/>
        <v>480881.90209034929</v>
      </c>
      <c r="C172" s="3">
        <v>0.08</v>
      </c>
      <c r="D172">
        <f t="shared" si="35"/>
        <v>3395026.2287578695</v>
      </c>
      <c r="Q172">
        <f t="shared" si="36"/>
        <v>3395026.2287578965</v>
      </c>
      <c r="R172">
        <f t="shared" si="37"/>
        <v>945.86794899005145</v>
      </c>
      <c r="S172">
        <f t="shared" si="38"/>
        <v>18959531.6328809</v>
      </c>
      <c r="T172" s="3">
        <v>0.08</v>
      </c>
      <c r="V172">
        <f>SUM($R$2:R172)</f>
        <v>48811.535361490591</v>
      </c>
      <c r="W172">
        <f t="shared" si="39"/>
        <v>102.92146788995612</v>
      </c>
      <c r="Z172">
        <f t="shared" si="33"/>
        <v>2.5014331006864447E-5</v>
      </c>
      <c r="AA172" s="3">
        <v>0.3</v>
      </c>
      <c r="AB172">
        <f t="shared" si="29"/>
        <v>63198438.776269667</v>
      </c>
      <c r="AC172">
        <f t="shared" si="32"/>
        <v>4538479.6994100632</v>
      </c>
      <c r="AD172" s="3">
        <v>0.2</v>
      </c>
      <c r="AE172">
        <f t="shared" si="30"/>
        <v>907695.93988201267</v>
      </c>
      <c r="AF172">
        <f t="shared" si="31"/>
        <v>1</v>
      </c>
    </row>
    <row r="173" spans="1:32">
      <c r="A173" s="2">
        <v>172</v>
      </c>
      <c r="B173">
        <f t="shared" si="34"/>
        <v>519352.45425757725</v>
      </c>
      <c r="C173" s="3">
        <v>0.08</v>
      </c>
      <c r="D173">
        <f t="shared" si="35"/>
        <v>3666628.3270584992</v>
      </c>
      <c r="Q173">
        <f t="shared" si="36"/>
        <v>3666628.3270585281</v>
      </c>
      <c r="R173">
        <f t="shared" si="37"/>
        <v>963.71451406533538</v>
      </c>
      <c r="S173">
        <f t="shared" si="38"/>
        <v>20476294.163511373</v>
      </c>
      <c r="T173" s="3">
        <v>0.08</v>
      </c>
      <c r="V173">
        <f>SUM($R$2:R173)</f>
        <v>49775.249875555928</v>
      </c>
      <c r="W173">
        <f t="shared" si="39"/>
        <v>104.95350625301718</v>
      </c>
      <c r="Z173">
        <f t="shared" si="33"/>
        <v>2.3161417598948559E-5</v>
      </c>
      <c r="AA173" s="3">
        <v>0.3</v>
      </c>
      <c r="AB173">
        <f t="shared" si="29"/>
        <v>68254313.878371254</v>
      </c>
      <c r="AC173">
        <f t="shared" si="32"/>
        <v>4810788.481374667</v>
      </c>
      <c r="AD173" s="3">
        <v>0.2</v>
      </c>
      <c r="AE173">
        <f t="shared" si="30"/>
        <v>962157.69627493341</v>
      </c>
      <c r="AF173">
        <f t="shared" si="31"/>
        <v>1</v>
      </c>
    </row>
    <row r="174" spans="1:32">
      <c r="A174" s="2">
        <v>173</v>
      </c>
      <c r="B174">
        <f t="shared" si="34"/>
        <v>560900.65059818339</v>
      </c>
      <c r="C174" s="3">
        <v>0.08</v>
      </c>
      <c r="D174">
        <f t="shared" si="35"/>
        <v>3959958.5932231792</v>
      </c>
      <c r="Q174">
        <f t="shared" si="36"/>
        <v>3959958.5932232109</v>
      </c>
      <c r="R174">
        <f t="shared" si="37"/>
        <v>981.89780678354941</v>
      </c>
      <c r="S174">
        <f t="shared" si="38"/>
        <v>22114397.696592286</v>
      </c>
      <c r="T174" s="3">
        <v>0.08</v>
      </c>
      <c r="V174">
        <f>SUM($R$2:R174)</f>
        <v>50757.147682339477</v>
      </c>
      <c r="W174">
        <f t="shared" si="39"/>
        <v>107.02388496255108</v>
      </c>
      <c r="Z174">
        <f t="shared" si="33"/>
        <v>2.1445757036063478E-5</v>
      </c>
      <c r="AA174" s="3">
        <v>0.3</v>
      </c>
      <c r="AB174">
        <f t="shared" si="29"/>
        <v>73714658.988640964</v>
      </c>
      <c r="AC174">
        <f t="shared" si="32"/>
        <v>5099435.7902571475</v>
      </c>
      <c r="AD174" s="3">
        <v>0.2</v>
      </c>
      <c r="AE174">
        <f t="shared" si="30"/>
        <v>1019887.1580514295</v>
      </c>
      <c r="AF174">
        <f t="shared" si="31"/>
        <v>1</v>
      </c>
    </row>
    <row r="175" spans="1:32">
      <c r="A175" s="2">
        <v>174</v>
      </c>
      <c r="B175">
        <f t="shared" si="34"/>
        <v>605772.70264603803</v>
      </c>
      <c r="C175" s="3">
        <v>0.08</v>
      </c>
      <c r="D175">
        <f t="shared" si="35"/>
        <v>4276755.2806810336</v>
      </c>
      <c r="Q175">
        <f t="shared" si="36"/>
        <v>4276755.2806810681</v>
      </c>
      <c r="R175">
        <f t="shared" si="37"/>
        <v>1000.4241804964466</v>
      </c>
      <c r="S175">
        <f t="shared" si="38"/>
        <v>23883549.512319669</v>
      </c>
      <c r="T175" s="3">
        <v>0.08</v>
      </c>
      <c r="V175">
        <f>SUM($R$2:R175)</f>
        <v>51757.571862835925</v>
      </c>
      <c r="W175">
        <f t="shared" si="39"/>
        <v>109.13332742132148</v>
      </c>
      <c r="Z175">
        <f t="shared" si="33"/>
        <v>1.9857182440799518E-5</v>
      </c>
      <c r="AA175" s="3">
        <v>0.3</v>
      </c>
      <c r="AB175">
        <f t="shared" si="29"/>
        <v>79611831.70773223</v>
      </c>
      <c r="AC175">
        <f t="shared" si="32"/>
        <v>5405401.9376725769</v>
      </c>
      <c r="AD175" s="3">
        <v>0.2</v>
      </c>
      <c r="AE175">
        <f t="shared" si="30"/>
        <v>1081080.3875345155</v>
      </c>
      <c r="AF175">
        <f t="shared" si="31"/>
        <v>1</v>
      </c>
    </row>
    <row r="176" spans="1:32">
      <c r="A176" s="2">
        <v>175</v>
      </c>
      <c r="B176">
        <f t="shared" si="34"/>
        <v>654234.51885772112</v>
      </c>
      <c r="C176" s="3">
        <v>0.08</v>
      </c>
      <c r="D176">
        <f t="shared" si="35"/>
        <v>4618895.7031355165</v>
      </c>
      <c r="Q176">
        <f t="shared" si="36"/>
        <v>4618895.7031355537</v>
      </c>
      <c r="R176">
        <f t="shared" si="37"/>
        <v>1019.3001084303418</v>
      </c>
      <c r="S176">
        <f t="shared" si="38"/>
        <v>25794233.473305244</v>
      </c>
      <c r="T176" s="3">
        <v>0.08</v>
      </c>
      <c r="V176">
        <f>SUM($R$2:R176)</f>
        <v>52776.871971266264</v>
      </c>
      <c r="W176">
        <f t="shared" si="39"/>
        <v>111.28257068120074</v>
      </c>
      <c r="Z176">
        <f t="shared" si="33"/>
        <v>1.838628003777733E-5</v>
      </c>
      <c r="AA176" s="3">
        <v>0.3</v>
      </c>
      <c r="AB176">
        <f t="shared" si="29"/>
        <v>85980778.244350821</v>
      </c>
      <c r="AC176">
        <f t="shared" si="32"/>
        <v>5729726.0539329322</v>
      </c>
      <c r="AD176" s="3">
        <v>0.2</v>
      </c>
      <c r="AE176">
        <f t="shared" si="30"/>
        <v>1145945.2107865864</v>
      </c>
      <c r="AF176">
        <f t="shared" si="31"/>
        <v>1</v>
      </c>
    </row>
    <row r="177" spans="1:32">
      <c r="A177" s="2">
        <v>176</v>
      </c>
      <c r="B177">
        <f t="shared" si="34"/>
        <v>706573.28036633879</v>
      </c>
      <c r="C177" s="3">
        <v>0.08</v>
      </c>
      <c r="D177">
        <f t="shared" si="35"/>
        <v>4988407.3593863575</v>
      </c>
      <c r="Q177">
        <f t="shared" si="36"/>
        <v>4988407.3593863985</v>
      </c>
      <c r="R177">
        <f t="shared" si="37"/>
        <v>1038.5321859478952</v>
      </c>
      <c r="S177">
        <f t="shared" si="38"/>
        <v>27857772.151169665</v>
      </c>
      <c r="T177" s="3">
        <v>0.08</v>
      </c>
      <c r="V177">
        <f>SUM($R$2:R177)</f>
        <v>53815.404157214158</v>
      </c>
      <c r="W177">
        <f t="shared" si="39"/>
        <v>113.47236570070038</v>
      </c>
      <c r="Z177">
        <f t="shared" si="33"/>
        <v>1.7024333368312341E-5</v>
      </c>
      <c r="AA177" s="3">
        <v>0.3</v>
      </c>
      <c r="AB177">
        <f t="shared" si="29"/>
        <v>92859240.503898889</v>
      </c>
      <c r="AC177">
        <f t="shared" si="32"/>
        <v>6073509.617168908</v>
      </c>
      <c r="AD177" s="3">
        <v>0.2</v>
      </c>
      <c r="AE177">
        <f t="shared" si="30"/>
        <v>1214701.9234337816</v>
      </c>
      <c r="AF177">
        <f t="shared" si="31"/>
        <v>1</v>
      </c>
    </row>
    <row r="178" spans="1:32">
      <c r="A178" s="2">
        <v>177</v>
      </c>
      <c r="B178">
        <f t="shared" si="34"/>
        <v>763099.14279564586</v>
      </c>
      <c r="C178" s="3">
        <v>0.08</v>
      </c>
      <c r="D178">
        <f t="shared" si="35"/>
        <v>5387479.9481372666</v>
      </c>
      <c r="Q178">
        <f t="shared" si="36"/>
        <v>5387479.9481373094</v>
      </c>
      <c r="R178">
        <f t="shared" si="37"/>
        <v>1058.1271328525727</v>
      </c>
      <c r="S178">
        <f t="shared" si="38"/>
        <v>30086393.923263241</v>
      </c>
      <c r="T178" s="3">
        <v>0.08</v>
      </c>
      <c r="V178">
        <f>SUM($R$2:R178)</f>
        <v>54873.531290066734</v>
      </c>
      <c r="W178">
        <f t="shared" si="39"/>
        <v>115.70347760736038</v>
      </c>
      <c r="Z178">
        <f t="shared" si="33"/>
        <v>1.5763271637326241E-5</v>
      </c>
      <c r="AA178" s="3">
        <v>0.3</v>
      </c>
      <c r="AB178">
        <f t="shared" si="29"/>
        <v>100287979.74421081</v>
      </c>
      <c r="AC178">
        <f t="shared" si="32"/>
        <v>6437920.1941990424</v>
      </c>
      <c r="AD178" s="3">
        <v>0.2</v>
      </c>
      <c r="AE178">
        <f t="shared" si="30"/>
        <v>1287584.0388398087</v>
      </c>
      <c r="AF178">
        <f t="shared" si="31"/>
        <v>1</v>
      </c>
    </row>
    <row r="179" spans="1:32">
      <c r="A179" s="2">
        <v>178</v>
      </c>
      <c r="B179">
        <f t="shared" si="34"/>
        <v>824147.0742192975</v>
      </c>
      <c r="C179" s="3">
        <v>0.08</v>
      </c>
      <c r="D179">
        <f t="shared" si="35"/>
        <v>5818478.3439882481</v>
      </c>
      <c r="Q179">
        <f t="shared" si="36"/>
        <v>5818478.3439882947</v>
      </c>
      <c r="R179">
        <f t="shared" si="37"/>
        <v>1078.0917957365834</v>
      </c>
      <c r="S179">
        <f t="shared" si="38"/>
        <v>32493305.437124301</v>
      </c>
      <c r="T179" s="3">
        <v>0.08</v>
      </c>
      <c r="V179">
        <f>SUM($R$2:R179)</f>
        <v>55951.623085803316</v>
      </c>
      <c r="W179">
        <f t="shared" si="39"/>
        <v>117.97668596508944</v>
      </c>
      <c r="Z179">
        <f t="shared" si="33"/>
        <v>1.4595621886413185E-5</v>
      </c>
      <c r="AA179" s="3">
        <v>0.3</v>
      </c>
      <c r="AB179">
        <f t="shared" si="29"/>
        <v>108311018.12374768</v>
      </c>
      <c r="AC179">
        <f t="shared" si="32"/>
        <v>6824195.4058509851</v>
      </c>
      <c r="AD179" s="3">
        <v>0.2</v>
      </c>
      <c r="AE179">
        <f t="shared" si="30"/>
        <v>1364839.0811701971</v>
      </c>
      <c r="AF179">
        <f t="shared" si="31"/>
        <v>1</v>
      </c>
    </row>
    <row r="180" spans="1:32">
      <c r="A180" s="2">
        <v>179</v>
      </c>
      <c r="B180">
        <f t="shared" si="34"/>
        <v>890078.84015684132</v>
      </c>
      <c r="C180" s="3">
        <v>0.08</v>
      </c>
      <c r="D180">
        <f t="shared" si="35"/>
        <v>6283956.6115073077</v>
      </c>
      <c r="Q180">
        <f t="shared" si="36"/>
        <v>6283956.611507359</v>
      </c>
      <c r="R180">
        <f t="shared" si="37"/>
        <v>1098.433150373123</v>
      </c>
      <c r="S180">
        <f t="shared" si="38"/>
        <v>35092769.872094244</v>
      </c>
      <c r="T180" s="3">
        <v>0.08</v>
      </c>
      <c r="V180">
        <f>SUM($R$2:R180)</f>
        <v>57050.056236176439</v>
      </c>
      <c r="W180">
        <f t="shared" si="39"/>
        <v>120.29278504654924</v>
      </c>
      <c r="Z180">
        <f t="shared" si="33"/>
        <v>1.3514464709641839E-5</v>
      </c>
      <c r="AA180" s="3">
        <v>0.3</v>
      </c>
      <c r="AB180">
        <f t="shared" si="29"/>
        <v>116975899.57364748</v>
      </c>
      <c r="AC180">
        <f t="shared" si="32"/>
        <v>7233647.1302020447</v>
      </c>
      <c r="AD180" s="3">
        <v>0.2</v>
      </c>
      <c r="AE180">
        <f t="shared" si="30"/>
        <v>1446729.4260404091</v>
      </c>
      <c r="AF180">
        <f t="shared" si="31"/>
        <v>1</v>
      </c>
    </row>
    <row r="181" spans="1:32">
      <c r="A181" s="2">
        <v>180</v>
      </c>
      <c r="B181">
        <f t="shared" si="34"/>
        <v>961285.14736938861</v>
      </c>
      <c r="C181" s="3">
        <v>0.08</v>
      </c>
      <c r="D181">
        <f t="shared" si="35"/>
        <v>6786673.1404278921</v>
      </c>
      <c r="Q181">
        <f t="shared" si="36"/>
        <v>6786673.1404279489</v>
      </c>
      <c r="R181">
        <f t="shared" si="37"/>
        <v>1119.1583041537478</v>
      </c>
      <c r="S181">
        <f t="shared" si="38"/>
        <v>37900191.461861789</v>
      </c>
      <c r="T181" s="3">
        <v>0.08</v>
      </c>
      <c r="V181">
        <f>SUM($R$2:R181)</f>
        <v>58169.214540330184</v>
      </c>
      <c r="W181">
        <f t="shared" si="39"/>
        <v>122.65258411067808</v>
      </c>
      <c r="Z181">
        <f t="shared" si="33"/>
        <v>1.2513393249668367E-5</v>
      </c>
      <c r="AA181" s="3">
        <v>0.3</v>
      </c>
      <c r="AB181">
        <f t="shared" si="29"/>
        <v>126333971.53953931</v>
      </c>
      <c r="AC181">
        <f t="shared" si="32"/>
        <v>7667665.9580141678</v>
      </c>
      <c r="AD181" s="3">
        <v>0.2</v>
      </c>
      <c r="AE181">
        <f t="shared" si="30"/>
        <v>1533533.1916028336</v>
      </c>
      <c r="AF181">
        <f t="shared" si="31"/>
        <v>1</v>
      </c>
    </row>
    <row r="182" spans="1:32">
      <c r="A182" s="2">
        <v>181</v>
      </c>
      <c r="B182">
        <f t="shared" si="34"/>
        <v>1038187.9591589397</v>
      </c>
      <c r="C182" s="3">
        <v>0.08</v>
      </c>
      <c r="D182">
        <f t="shared" si="35"/>
        <v>7329606.9916621232</v>
      </c>
      <c r="Q182">
        <f t="shared" si="36"/>
        <v>7329606.9916621847</v>
      </c>
      <c r="R182">
        <f t="shared" si="37"/>
        <v>1140.2744985717432</v>
      </c>
      <c r="S182">
        <f t="shared" si="38"/>
        <v>40932206.778810732</v>
      </c>
      <c r="T182" s="3">
        <v>0.08</v>
      </c>
      <c r="V182">
        <f>SUM($R$2:R182)</f>
        <v>59309.489038901927</v>
      </c>
      <c r="W182">
        <f t="shared" si="39"/>
        <v>125.05690768545087</v>
      </c>
      <c r="Z182">
        <f t="shared" si="33"/>
        <v>1.1586475231174414E-5</v>
      </c>
      <c r="AA182" s="3">
        <v>0.3</v>
      </c>
      <c r="AB182">
        <f t="shared" si="29"/>
        <v>136440689.26270244</v>
      </c>
      <c r="AC182">
        <f t="shared" si="32"/>
        <v>8127725.9154950185</v>
      </c>
      <c r="AD182" s="3">
        <v>0.2</v>
      </c>
      <c r="AE182">
        <f t="shared" si="30"/>
        <v>1625545.1830990037</v>
      </c>
      <c r="AF182">
        <f t="shared" si="31"/>
        <v>1</v>
      </c>
    </row>
    <row r="183" spans="1:32">
      <c r="A183" s="2">
        <v>182</v>
      </c>
      <c r="B183">
        <f t="shared" si="34"/>
        <v>1121242.9958916549</v>
      </c>
      <c r="C183" s="3">
        <v>0.08</v>
      </c>
      <c r="D183">
        <f t="shared" si="35"/>
        <v>7915975.5509950928</v>
      </c>
      <c r="Q183">
        <f t="shared" si="36"/>
        <v>7915975.550995159</v>
      </c>
      <c r="R183">
        <f t="shared" si="37"/>
        <v>1161.7891117523416</v>
      </c>
      <c r="S183">
        <f t="shared" si="38"/>
        <v>44206783.321115591</v>
      </c>
      <c r="T183" s="3">
        <v>0.08</v>
      </c>
      <c r="V183">
        <f>SUM($R$2:R183)</f>
        <v>60471.278150654267</v>
      </c>
      <c r="W183">
        <f t="shared" si="39"/>
        <v>127.50659585597408</v>
      </c>
      <c r="Z183">
        <f t="shared" si="33"/>
        <v>1.0728217806642976E-5</v>
      </c>
      <c r="AA183" s="3">
        <v>0.3</v>
      </c>
      <c r="AB183">
        <f t="shared" si="29"/>
        <v>147355944.40371865</v>
      </c>
      <c r="AC183">
        <f t="shared" si="32"/>
        <v>8615389.4704247192</v>
      </c>
      <c r="AD183" s="3">
        <v>0.2</v>
      </c>
      <c r="AE183">
        <f t="shared" si="30"/>
        <v>1723077.8940849439</v>
      </c>
      <c r="AF183">
        <f t="shared" si="31"/>
        <v>1</v>
      </c>
    </row>
    <row r="184" spans="1:32">
      <c r="A184" s="2">
        <v>183</v>
      </c>
      <c r="B184">
        <f t="shared" si="34"/>
        <v>1210942.4355629873</v>
      </c>
      <c r="C184" s="3">
        <v>0.08</v>
      </c>
      <c r="D184">
        <f t="shared" si="35"/>
        <v>8549253.5950747002</v>
      </c>
      <c r="Q184">
        <f t="shared" si="36"/>
        <v>8549253.5950747747</v>
      </c>
      <c r="R184">
        <f t="shared" si="37"/>
        <v>1183.7096610306878</v>
      </c>
      <c r="S184">
        <f t="shared" si="38"/>
        <v>47743325.986804843</v>
      </c>
      <c r="T184" s="3">
        <v>0.08</v>
      </c>
      <c r="V184">
        <f>SUM($R$2:R184)</f>
        <v>61654.987811684958</v>
      </c>
      <c r="W184">
        <f t="shared" si="39"/>
        <v>130.00250455801662</v>
      </c>
      <c r="Z184">
        <f t="shared" si="33"/>
        <v>9.9335350061509023E-6</v>
      </c>
      <c r="AA184" s="3">
        <v>0.3</v>
      </c>
      <c r="AB184">
        <f t="shared" si="29"/>
        <v>159144419.95601615</v>
      </c>
      <c r="AC184">
        <f t="shared" si="32"/>
        <v>9132312.8386502024</v>
      </c>
      <c r="AD184" s="3">
        <v>0.2</v>
      </c>
      <c r="AE184">
        <f t="shared" si="30"/>
        <v>1826462.5677300405</v>
      </c>
      <c r="AF184">
        <f t="shared" si="31"/>
        <v>1</v>
      </c>
    </row>
    <row r="185" spans="1:32">
      <c r="A185" s="2">
        <v>184</v>
      </c>
      <c r="B185">
        <f t="shared" si="34"/>
        <v>1307817.8304080262</v>
      </c>
      <c r="C185" s="3">
        <v>0.08</v>
      </c>
      <c r="D185">
        <f t="shared" si="35"/>
        <v>9233193.8826806769</v>
      </c>
      <c r="Q185">
        <f t="shared" si="36"/>
        <v>9233193.8826807551</v>
      </c>
      <c r="R185">
        <f t="shared" si="37"/>
        <v>1206.0438055784366</v>
      </c>
      <c r="S185">
        <f t="shared" si="38"/>
        <v>51562792.065749235</v>
      </c>
      <c r="T185" s="3">
        <v>0.08</v>
      </c>
      <c r="V185">
        <f>SUM($R$2:R185)</f>
        <v>62861.031617263397</v>
      </c>
      <c r="W185">
        <f t="shared" si="39"/>
        <v>132.54550587707882</v>
      </c>
      <c r="Z185">
        <f t="shared" si="33"/>
        <v>9.1977175982878715E-6</v>
      </c>
      <c r="AA185" s="3">
        <v>0.3</v>
      </c>
      <c r="AB185">
        <f t="shared" si="29"/>
        <v>171875973.55249745</v>
      </c>
      <c r="AC185">
        <f t="shared" si="32"/>
        <v>9680251.6089692153</v>
      </c>
      <c r="AD185" s="3">
        <v>0.2</v>
      </c>
      <c r="AE185">
        <f t="shared" si="30"/>
        <v>1936050.3217938431</v>
      </c>
      <c r="AF185">
        <f t="shared" si="31"/>
        <v>1</v>
      </c>
    </row>
    <row r="186" spans="1:32">
      <c r="A186" s="2">
        <v>185</v>
      </c>
      <c r="B186">
        <f t="shared" si="34"/>
        <v>1412443.2568406684</v>
      </c>
      <c r="C186" s="3">
        <v>0.08</v>
      </c>
      <c r="D186">
        <f t="shared" si="35"/>
        <v>9971849.3932951316</v>
      </c>
      <c r="Q186">
        <f t="shared" si="36"/>
        <v>9971849.3932952154</v>
      </c>
      <c r="R186">
        <f t="shared" si="37"/>
        <v>1228.799349079917</v>
      </c>
      <c r="S186">
        <f t="shared" si="38"/>
        <v>55687815.431009181</v>
      </c>
      <c r="T186" s="3">
        <v>0.08</v>
      </c>
      <c r="V186">
        <f>SUM($R$2:R186)</f>
        <v>64089.830966343317</v>
      </c>
      <c r="W186">
        <f t="shared" si="39"/>
        <v>135.13648835310445</v>
      </c>
      <c r="Z186">
        <f t="shared" si="33"/>
        <v>8.5164051835998808E-6</v>
      </c>
      <c r="AA186" s="3">
        <v>0.3</v>
      </c>
      <c r="AB186">
        <f t="shared" si="29"/>
        <v>185626051.43669727</v>
      </c>
      <c r="AC186">
        <f t="shared" si="32"/>
        <v>10261066.705507368</v>
      </c>
      <c r="AD186" s="3">
        <v>0.2</v>
      </c>
      <c r="AE186">
        <f t="shared" si="30"/>
        <v>2052213.3411014737</v>
      </c>
      <c r="AF186">
        <f t="shared" si="31"/>
        <v>1</v>
      </c>
    </row>
    <row r="187" spans="1:32">
      <c r="A187" s="2">
        <v>186</v>
      </c>
      <c r="B187">
        <f t="shared" si="34"/>
        <v>1525438.7173879219</v>
      </c>
      <c r="C187" s="3">
        <v>0.08</v>
      </c>
      <c r="D187">
        <f t="shared" si="35"/>
        <v>10769597.344758742</v>
      </c>
      <c r="Q187">
        <f t="shared" si="36"/>
        <v>10769597.344758835</v>
      </c>
      <c r="R187">
        <f t="shared" si="37"/>
        <v>1251.9842424587835</v>
      </c>
      <c r="S187">
        <f t="shared" si="38"/>
        <v>60142840.665489919</v>
      </c>
      <c r="T187" s="3">
        <v>0.08</v>
      </c>
      <c r="V187">
        <f>SUM($R$2:R187)</f>
        <v>65341.815208802102</v>
      </c>
      <c r="W187">
        <f t="shared" si="39"/>
        <v>137.77635729094189</v>
      </c>
      <c r="Z187">
        <f t="shared" si="33"/>
        <v>7.885560355185074E-6</v>
      </c>
      <c r="AA187" s="3">
        <v>0.3</v>
      </c>
      <c r="AB187">
        <f t="shared" si="29"/>
        <v>200476135.55163306</v>
      </c>
      <c r="AC187">
        <f t="shared" si="32"/>
        <v>10876730.707837811</v>
      </c>
      <c r="AD187" s="3">
        <v>0.2</v>
      </c>
      <c r="AE187">
        <f t="shared" si="30"/>
        <v>2175346.1415675622</v>
      </c>
      <c r="AF187">
        <f t="shared" si="31"/>
        <v>1</v>
      </c>
    </row>
    <row r="188" spans="1:32">
      <c r="A188" s="2">
        <v>187</v>
      </c>
      <c r="B188">
        <f t="shared" si="34"/>
        <v>1647473.8147789557</v>
      </c>
      <c r="C188" s="3">
        <v>0.08</v>
      </c>
      <c r="D188">
        <f t="shared" si="35"/>
        <v>11631165.13233944</v>
      </c>
      <c r="Q188">
        <f t="shared" si="36"/>
        <v>11631165.132339541</v>
      </c>
      <c r="R188">
        <f t="shared" si="37"/>
        <v>1275.6065866561191</v>
      </c>
      <c r="S188">
        <f t="shared" si="38"/>
        <v>64954267.918729119</v>
      </c>
      <c r="T188" s="3">
        <v>0.08</v>
      </c>
      <c r="V188">
        <f>SUM($R$2:R188)</f>
        <v>66617.421795458227</v>
      </c>
      <c r="W188">
        <f t="shared" si="39"/>
        <v>140.46603507666308</v>
      </c>
      <c r="Z188">
        <f t="shared" si="33"/>
        <v>7.3014447733195125E-6</v>
      </c>
      <c r="AA188" s="3">
        <v>0.3</v>
      </c>
      <c r="AB188">
        <f t="shared" si="29"/>
        <v>216514226.39576373</v>
      </c>
      <c r="AC188">
        <f t="shared" si="32"/>
        <v>11529334.55030808</v>
      </c>
      <c r="AD188" s="3">
        <v>0.2</v>
      </c>
      <c r="AE188">
        <f t="shared" si="30"/>
        <v>2305866.910061616</v>
      </c>
      <c r="AF188">
        <f t="shared" si="31"/>
        <v>1</v>
      </c>
    </row>
    <row r="189" spans="1:32">
      <c r="A189" s="2">
        <v>188</v>
      </c>
      <c r="B189">
        <f t="shared" si="34"/>
        <v>1779271.7199612721</v>
      </c>
      <c r="C189" s="3">
        <v>0.08</v>
      </c>
      <c r="D189">
        <f t="shared" si="35"/>
        <v>12561658.342926595</v>
      </c>
      <c r="Q189">
        <f t="shared" si="36"/>
        <v>12561658.342926703</v>
      </c>
      <c r="R189">
        <f t="shared" si="37"/>
        <v>1299.6746354609513</v>
      </c>
      <c r="S189">
        <f t="shared" si="38"/>
        <v>70150609.352227449</v>
      </c>
      <c r="T189" s="3">
        <v>0.08</v>
      </c>
      <c r="V189">
        <f>SUM($R$2:R189)</f>
        <v>67917.096430919177</v>
      </c>
      <c r="W189">
        <f t="shared" si="39"/>
        <v>143.20646149985066</v>
      </c>
      <c r="Z189">
        <f t="shared" si="33"/>
        <v>6.7605970123328813E-6</v>
      </c>
      <c r="AA189" s="3">
        <v>0.3</v>
      </c>
      <c r="AB189">
        <f t="shared" si="29"/>
        <v>233835364.50742483</v>
      </c>
      <c r="AC189">
        <f t="shared" si="32"/>
        <v>12221094.623326566</v>
      </c>
      <c r="AD189" s="3">
        <v>0.2</v>
      </c>
      <c r="AE189">
        <f t="shared" si="30"/>
        <v>2444218.9246653132</v>
      </c>
      <c r="AF189">
        <f t="shared" si="31"/>
        <v>1</v>
      </c>
    </row>
    <row r="190" spans="1:32">
      <c r="A190" s="2">
        <v>189</v>
      </c>
      <c r="B190">
        <f t="shared" si="34"/>
        <v>1921613.4575581739</v>
      </c>
      <c r="C190" s="3">
        <v>0.08</v>
      </c>
      <c r="D190">
        <f t="shared" si="35"/>
        <v>13566591.010360723</v>
      </c>
      <c r="Q190">
        <f t="shared" si="36"/>
        <v>13566591.010360841</v>
      </c>
      <c r="R190">
        <f t="shared" si="37"/>
        <v>1324.1967983941768</v>
      </c>
      <c r="S190">
        <f t="shared" si="38"/>
        <v>75762658.100405648</v>
      </c>
      <c r="T190" s="3">
        <v>0.08</v>
      </c>
      <c r="V190">
        <f>SUM($R$2:R190)</f>
        <v>69241.293229313349</v>
      </c>
      <c r="W190">
        <f t="shared" si="39"/>
        <v>145.99859408196633</v>
      </c>
      <c r="Z190">
        <f t="shared" si="33"/>
        <v>6.2598120484563715E-6</v>
      </c>
      <c r="AA190" s="3">
        <v>0.3</v>
      </c>
      <c r="AB190">
        <f t="shared" si="29"/>
        <v>252542193.66801885</v>
      </c>
      <c r="AC190">
        <f t="shared" si="32"/>
        <v>12954360.30072616</v>
      </c>
      <c r="AD190" s="3">
        <v>0.2</v>
      </c>
      <c r="AE190">
        <f t="shared" si="30"/>
        <v>2590872.0601452324</v>
      </c>
      <c r="AF190">
        <f t="shared" si="31"/>
        <v>1</v>
      </c>
    </row>
    <row r="191" spans="1:32">
      <c r="A191" s="2">
        <v>190</v>
      </c>
      <c r="B191">
        <f t="shared" si="34"/>
        <v>2075342.5341628278</v>
      </c>
      <c r="C191" s="3">
        <v>0.08</v>
      </c>
      <c r="D191">
        <f t="shared" si="35"/>
        <v>14651918.291189581</v>
      </c>
      <c r="Q191">
        <f t="shared" si="36"/>
        <v>14651918.291189708</v>
      </c>
      <c r="R191">
        <f t="shared" si="37"/>
        <v>1349.1816436468969</v>
      </c>
      <c r="S191">
        <f t="shared" si="38"/>
        <v>81823670.748438105</v>
      </c>
      <c r="T191" s="3">
        <v>0.08</v>
      </c>
      <c r="V191">
        <f>SUM($R$2:R191)</f>
        <v>70590.474872960243</v>
      </c>
      <c r="W191">
        <f t="shared" si="39"/>
        <v>148.84340841091435</v>
      </c>
      <c r="Z191">
        <f t="shared" si="33"/>
        <v>5.7961222670892322E-6</v>
      </c>
      <c r="AA191" s="3">
        <v>0.3</v>
      </c>
      <c r="AB191">
        <f t="shared" si="29"/>
        <v>272745569.16146034</v>
      </c>
      <c r="AC191">
        <f t="shared" si="32"/>
        <v>13731621.91876973</v>
      </c>
      <c r="AD191" s="3">
        <v>0.2</v>
      </c>
      <c r="AE191">
        <f t="shared" si="30"/>
        <v>2746324.3837539461</v>
      </c>
      <c r="AF191">
        <f t="shared" si="31"/>
        <v>1</v>
      </c>
    </row>
    <row r="192" spans="1:32">
      <c r="A192" s="2">
        <v>191</v>
      </c>
      <c r="B192">
        <f t="shared" si="34"/>
        <v>2241369.9368958538</v>
      </c>
      <c r="C192" s="3">
        <v>0.08</v>
      </c>
      <c r="D192">
        <f t="shared" si="35"/>
        <v>15824071.754484748</v>
      </c>
      <c r="Q192">
        <f t="shared" si="36"/>
        <v>15824071.754484888</v>
      </c>
      <c r="R192">
        <f t="shared" si="37"/>
        <v>1374.6379010741969</v>
      </c>
      <c r="S192">
        <f t="shared" si="38"/>
        <v>88369564.408313155</v>
      </c>
      <c r="T192" s="3">
        <v>0.08</v>
      </c>
      <c r="V192">
        <f>SUM($R$2:R192)</f>
        <v>71965.112774034438</v>
      </c>
      <c r="W192">
        <f t="shared" si="39"/>
        <v>151.74189848191801</v>
      </c>
      <c r="Z192">
        <f t="shared" si="33"/>
        <v>5.3667798769344741E-6</v>
      </c>
      <c r="AA192" s="3">
        <v>0.3</v>
      </c>
      <c r="AB192">
        <f t="shared" si="29"/>
        <v>294565214.69437718</v>
      </c>
      <c r="AC192">
        <f t="shared" si="32"/>
        <v>14555519.233895915</v>
      </c>
      <c r="AD192" s="3">
        <v>0.2</v>
      </c>
      <c r="AE192">
        <f t="shared" si="30"/>
        <v>2911103.846779183</v>
      </c>
      <c r="AF192">
        <f t="shared" si="31"/>
        <v>1</v>
      </c>
    </row>
    <row r="193" spans="1:32">
      <c r="A193" s="2">
        <v>192</v>
      </c>
      <c r="B193">
        <f t="shared" si="34"/>
        <v>2420679.5318475221</v>
      </c>
      <c r="C193" s="3">
        <v>0.08</v>
      </c>
      <c r="D193">
        <f t="shared" si="35"/>
        <v>17089997.494843528</v>
      </c>
      <c r="Q193">
        <f t="shared" si="36"/>
        <v>17089997.494843684</v>
      </c>
      <c r="R193">
        <f t="shared" si="37"/>
        <v>1400.574465245408</v>
      </c>
      <c r="S193">
        <f t="shared" si="38"/>
        <v>95439129.560978219</v>
      </c>
      <c r="T193" s="3">
        <v>0.08</v>
      </c>
      <c r="V193">
        <f>SUM($R$2:R193)</f>
        <v>73365.68723927984</v>
      </c>
      <c r="W193">
        <f t="shared" si="39"/>
        <v>154.6950770448274</v>
      </c>
      <c r="Z193">
        <f t="shared" si="33"/>
        <v>4.9692406267911792E-6</v>
      </c>
      <c r="AA193" s="3">
        <v>0.3</v>
      </c>
      <c r="AB193">
        <f t="shared" si="29"/>
        <v>318130431.86992741</v>
      </c>
      <c r="AC193">
        <f t="shared" si="32"/>
        <v>15428850.387929671</v>
      </c>
      <c r="AD193" s="3">
        <v>0.2</v>
      </c>
      <c r="AE193">
        <f t="shared" si="30"/>
        <v>3085770.0775859342</v>
      </c>
      <c r="AF193">
        <f t="shared" si="31"/>
        <v>1</v>
      </c>
    </row>
    <row r="194" spans="1:32">
      <c r="A194" s="2">
        <v>193</v>
      </c>
      <c r="B194">
        <f t="shared" si="34"/>
        <v>2614333.8943953239</v>
      </c>
      <c r="C194" s="3">
        <v>0.08</v>
      </c>
      <c r="D194">
        <f t="shared" si="35"/>
        <v>18457197.294431008</v>
      </c>
      <c r="Q194">
        <f t="shared" si="36"/>
        <v>18457197.294431176</v>
      </c>
      <c r="R194">
        <f t="shared" si="37"/>
        <v>1427.0003985519259</v>
      </c>
      <c r="S194">
        <f t="shared" si="38"/>
        <v>103074259.92585649</v>
      </c>
      <c r="T194" s="3">
        <v>0.08</v>
      </c>
      <c r="V194">
        <f>SUM($R$2:R194)</f>
        <v>74792.687637831768</v>
      </c>
      <c r="W194">
        <f t="shared" si="39"/>
        <v>157.70397595798036</v>
      </c>
      <c r="Z194">
        <f t="shared" si="33"/>
        <v>4.6011487285103514E-6</v>
      </c>
      <c r="AA194" s="3">
        <v>0.3</v>
      </c>
      <c r="AB194">
        <f t="shared" si="29"/>
        <v>343580866.41952163</v>
      </c>
      <c r="AC194">
        <f t="shared" si="32"/>
        <v>16354581.411205452</v>
      </c>
      <c r="AD194" s="3">
        <v>0.2</v>
      </c>
      <c r="AE194">
        <f t="shared" si="30"/>
        <v>3270916.2822410907</v>
      </c>
      <c r="AF194">
        <f t="shared" si="31"/>
        <v>1</v>
      </c>
    </row>
    <row r="195" spans="1:32">
      <c r="A195" s="2">
        <v>194</v>
      </c>
      <c r="B195">
        <f t="shared" si="34"/>
        <v>2823480.6059469497</v>
      </c>
      <c r="C195" s="3">
        <v>0.08</v>
      </c>
      <c r="D195">
        <f t="shared" si="35"/>
        <v>19933773.077985488</v>
      </c>
      <c r="Q195">
        <f t="shared" si="36"/>
        <v>19933773.077985674</v>
      </c>
      <c r="R195">
        <f t="shared" si="37"/>
        <v>1453.9249343736603</v>
      </c>
      <c r="S195">
        <f t="shared" si="38"/>
        <v>111320200.71992502</v>
      </c>
      <c r="T195" s="3">
        <v>0.08</v>
      </c>
      <c r="V195">
        <f>SUM($R$2:R195)</f>
        <v>76246.612572205428</v>
      </c>
      <c r="W195">
        <f t="shared" si="39"/>
        <v>160.76964654873998</v>
      </c>
      <c r="Z195">
        <f t="shared" si="33"/>
        <v>4.2603228967688431E-6</v>
      </c>
      <c r="AA195" s="3">
        <v>0.3</v>
      </c>
      <c r="AB195">
        <f t="shared" ref="AB195:AB201" si="40">S195/AA195</f>
        <v>371067335.73308343</v>
      </c>
      <c r="AC195">
        <f t="shared" si="32"/>
        <v>17335856.295877781</v>
      </c>
      <c r="AD195" s="3">
        <v>0.2</v>
      </c>
      <c r="AE195">
        <f t="shared" ref="AE195:AE201" si="41">AC195*AD195</f>
        <v>3467171.2591755562</v>
      </c>
      <c r="AF195">
        <f t="shared" ref="AF195:AF201" si="42">IF(AB195&gt;AE195, 1, 0)</f>
        <v>1</v>
      </c>
    </row>
    <row r="196" spans="1:32">
      <c r="A196" s="2">
        <v>195</v>
      </c>
      <c r="B196">
        <f t="shared" si="34"/>
        <v>3049359.0544227054</v>
      </c>
      <c r="C196" s="3">
        <v>0.08</v>
      </c>
      <c r="D196">
        <f t="shared" si="35"/>
        <v>21528474.924224328</v>
      </c>
      <c r="Q196">
        <f t="shared" si="36"/>
        <v>21528474.924224526</v>
      </c>
      <c r="R196">
        <f t="shared" si="37"/>
        <v>1481.3574803052388</v>
      </c>
      <c r="S196">
        <f t="shared" si="38"/>
        <v>120225816.77751903</v>
      </c>
      <c r="T196" s="3">
        <v>0.08</v>
      </c>
      <c r="V196">
        <f>SUM($R$2:R196)</f>
        <v>77727.97005251066</v>
      </c>
      <c r="W196">
        <f t="shared" si="39"/>
        <v>163.8931599808347</v>
      </c>
      <c r="Z196">
        <f t="shared" si="33"/>
        <v>3.9447434229341137E-6</v>
      </c>
      <c r="AA196" s="3">
        <v>0.3</v>
      </c>
      <c r="AB196">
        <f t="shared" si="40"/>
        <v>400752722.59173012</v>
      </c>
      <c r="AC196">
        <f t="shared" ref="AC196:AC201" si="43">AC195*(1+$U$2)</f>
        <v>18376007.67363045</v>
      </c>
      <c r="AD196" s="3">
        <v>0.2</v>
      </c>
      <c r="AE196">
        <f t="shared" si="41"/>
        <v>3675201.5347260903</v>
      </c>
      <c r="AF196">
        <f t="shared" si="42"/>
        <v>1</v>
      </c>
    </row>
    <row r="197" spans="1:32">
      <c r="A197" s="2">
        <v>196</v>
      </c>
      <c r="B197">
        <f t="shared" si="34"/>
        <v>3293307.7787765218</v>
      </c>
      <c r="C197" s="3">
        <v>0.08</v>
      </c>
      <c r="D197">
        <f t="shared" si="35"/>
        <v>23250752.918162275</v>
      </c>
      <c r="Q197">
        <f t="shared" si="36"/>
        <v>23250752.918162487</v>
      </c>
      <c r="R197">
        <f t="shared" si="37"/>
        <v>1509.3076214430735</v>
      </c>
      <c r="S197">
        <f t="shared" si="38"/>
        <v>129843882.11972056</v>
      </c>
      <c r="T197" s="3">
        <v>0.08</v>
      </c>
      <c r="V197">
        <f>SUM($R$2:R197)</f>
        <v>79237.277673953737</v>
      </c>
      <c r="W197">
        <f t="shared" si="39"/>
        <v>167.07560762862931</v>
      </c>
      <c r="Z197">
        <f t="shared" si="33"/>
        <v>3.6525402064204753E-6</v>
      </c>
      <c r="AA197" s="3">
        <v>0.3</v>
      </c>
      <c r="AB197">
        <f t="shared" si="40"/>
        <v>432812940.39906853</v>
      </c>
      <c r="AC197">
        <f t="shared" si="43"/>
        <v>19478568.134048279</v>
      </c>
      <c r="AD197" s="3">
        <v>0.2</v>
      </c>
      <c r="AE197">
        <f t="shared" si="41"/>
        <v>3895713.6268096562</v>
      </c>
      <c r="AF197">
        <f t="shared" si="42"/>
        <v>1</v>
      </c>
    </row>
    <row r="198" spans="1:32">
      <c r="A198" s="2">
        <v>197</v>
      </c>
      <c r="B198">
        <f t="shared" si="34"/>
        <v>3556772.4010786437</v>
      </c>
      <c r="C198" s="3">
        <v>0.08</v>
      </c>
      <c r="D198">
        <f t="shared" si="35"/>
        <v>25110813.151615258</v>
      </c>
      <c r="Q198">
        <f t="shared" si="36"/>
        <v>25110813.151615489</v>
      </c>
      <c r="R198">
        <f t="shared" si="37"/>
        <v>1537.7851237344521</v>
      </c>
      <c r="S198">
        <f t="shared" si="38"/>
        <v>140231392.68929821</v>
      </c>
      <c r="T198" s="3">
        <v>0.08</v>
      </c>
      <c r="V198">
        <f>SUM($R$2:R198)</f>
        <v>80775.062797688195</v>
      </c>
      <c r="W198">
        <f t="shared" si="39"/>
        <v>170.31810145845779</v>
      </c>
      <c r="Z198">
        <f t="shared" si="33"/>
        <v>3.381981672611551E-6</v>
      </c>
      <c r="AA198" s="3">
        <v>0.3</v>
      </c>
      <c r="AB198">
        <f t="shared" si="40"/>
        <v>467437975.63099408</v>
      </c>
      <c r="AC198">
        <f t="shared" si="43"/>
        <v>20647282.222091176</v>
      </c>
      <c r="AD198" s="3">
        <v>0.2</v>
      </c>
      <c r="AE198">
        <f t="shared" si="41"/>
        <v>4129456.4444182352</v>
      </c>
      <c r="AF198">
        <f t="shared" si="42"/>
        <v>1</v>
      </c>
    </row>
    <row r="199" spans="1:32">
      <c r="A199" s="2">
        <v>198</v>
      </c>
      <c r="B199">
        <f t="shared" si="34"/>
        <v>3841314.1931649353</v>
      </c>
      <c r="C199" s="3">
        <v>0.08</v>
      </c>
      <c r="D199">
        <f t="shared" si="35"/>
        <v>27119678.203744479</v>
      </c>
      <c r="Q199">
        <f t="shared" si="36"/>
        <v>27119678.203744728</v>
      </c>
      <c r="R199">
        <f t="shared" si="37"/>
        <v>1566.7999373898194</v>
      </c>
      <c r="S199">
        <f t="shared" si="38"/>
        <v>151449904.10444209</v>
      </c>
      <c r="T199" s="3">
        <v>0.08</v>
      </c>
      <c r="V199">
        <f>SUM($R$2:R199)</f>
        <v>82341.862735078015</v>
      </c>
      <c r="W199">
        <f t="shared" si="39"/>
        <v>173.62177441715096</v>
      </c>
      <c r="Z199">
        <f t="shared" si="33"/>
        <v>3.1314645116773618E-6</v>
      </c>
      <c r="AA199" s="3">
        <v>0.3</v>
      </c>
      <c r="AB199">
        <f t="shared" si="40"/>
        <v>504833013.68147367</v>
      </c>
      <c r="AC199">
        <f t="shared" si="43"/>
        <v>21886119.155416649</v>
      </c>
      <c r="AD199" s="3">
        <v>0.2</v>
      </c>
      <c r="AE199">
        <f t="shared" si="41"/>
        <v>4377223.8310833303</v>
      </c>
      <c r="AF199">
        <f t="shared" si="42"/>
        <v>1</v>
      </c>
    </row>
    <row r="200" spans="1:32">
      <c r="A200" s="2">
        <v>199</v>
      </c>
      <c r="B200">
        <f t="shared" si="34"/>
        <v>4148619.3286181302</v>
      </c>
      <c r="C200" s="3">
        <v>0.08</v>
      </c>
      <c r="D200">
        <f t="shared" si="35"/>
        <v>29289252.460044038</v>
      </c>
      <c r="Q200">
        <f t="shared" si="36"/>
        <v>29289252.460044313</v>
      </c>
      <c r="R200">
        <f t="shared" si="37"/>
        <v>1596.3622003594385</v>
      </c>
      <c r="S200">
        <f t="shared" si="38"/>
        <v>163565896.43279746</v>
      </c>
      <c r="T200" s="3">
        <v>0.08</v>
      </c>
      <c r="V200">
        <f>SUM($R$2:R200)</f>
        <v>83938.224935437451</v>
      </c>
      <c r="W200">
        <f t="shared" si="39"/>
        <v>176.98778082789494</v>
      </c>
      <c r="Z200">
        <f t="shared" si="33"/>
        <v>2.8995041774790384E-6</v>
      </c>
      <c r="AA200" s="3">
        <v>0.3</v>
      </c>
      <c r="AB200">
        <f t="shared" si="40"/>
        <v>545219654.77599156</v>
      </c>
      <c r="AC200">
        <f t="shared" si="43"/>
        <v>23199286.304741647</v>
      </c>
      <c r="AD200" s="3">
        <v>0.2</v>
      </c>
      <c r="AE200">
        <f t="shared" si="41"/>
        <v>4639857.2609483292</v>
      </c>
      <c r="AF200">
        <f t="shared" si="42"/>
        <v>1</v>
      </c>
    </row>
    <row r="201" spans="1:32">
      <c r="A201" s="2">
        <v>200</v>
      </c>
      <c r="B201">
        <f>B200+B200*C200</f>
        <v>4480508.8749075802</v>
      </c>
      <c r="C201" s="3">
        <v>0.08</v>
      </c>
      <c r="D201">
        <f>D200+D200*C200</f>
        <v>31632392.656847559</v>
      </c>
      <c r="Q201">
        <f>$D$2*((1+$C$2)^A200)</f>
        <v>31632392.656847857</v>
      </c>
      <c r="R201">
        <f>S201/((1+$U$2)^A200)</f>
        <v>1626.4822418756539</v>
      </c>
      <c r="S201">
        <f>S200*(1+T200)</f>
        <v>176651168.14742127</v>
      </c>
      <c r="T201" s="3">
        <v>0.08</v>
      </c>
      <c r="V201">
        <f>SUM($R$2:R201)</f>
        <v>85564.707177313103</v>
      </c>
      <c r="W201">
        <f>V201/$W$2</f>
        <v>180.41729679355862</v>
      </c>
      <c r="Z201">
        <f t="shared" si="33"/>
        <v>2.6847260902583686E-6</v>
      </c>
      <c r="AA201" s="3">
        <v>0.3</v>
      </c>
      <c r="AB201">
        <f t="shared" si="40"/>
        <v>588837227.15807092</v>
      </c>
      <c r="AC201">
        <f t="shared" si="43"/>
        <v>24591243.483026147</v>
      </c>
      <c r="AD201" s="3">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4"/>
  <sheetData>
    <row r="3" spans="3:3">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50800</xdr:colOff>
                <xdr:row>37</xdr:row>
                <xdr:rowOff>50800</xdr:rowOff>
              </from>
              <to>
                <xdr:col>15</xdr:col>
                <xdr:colOff>546100</xdr:colOff>
                <xdr:row>59</xdr:row>
                <xdr:rowOff>88900</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101600</xdr:colOff>
                <xdr:row>1</xdr:row>
                <xdr:rowOff>38100</xdr:rowOff>
              </from>
              <to>
                <xdr:col>25</xdr:col>
                <xdr:colOff>463550</xdr:colOff>
                <xdr:row>36</xdr:row>
                <xdr:rowOff>101600</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165100</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瓷砖地板</vt:lpstr>
      <vt:lpstr>家具</vt:lpstr>
      <vt:lpstr>国资大基建</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2024-04-05T02:00:34Z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