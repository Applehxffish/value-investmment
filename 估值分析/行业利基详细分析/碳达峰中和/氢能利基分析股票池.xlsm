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aveExternalLinkValues="0" codeName="ThisWorkbook"/>
  <mc:AlternateContent xmlns:mc="http://schemas.openxmlformats.org/markup-compatibility/2006">
    <mc:Choice Requires="x15">
      <x15ac:absPath xmlns:x15ac="http://schemas.microsoft.com/office/spreadsheetml/2010/11/ac" url="D:\88 HXF\value-investment\估值分析\行业利基详细分析\碳达峰中和\"/>
    </mc:Choice>
  </mc:AlternateContent>
  <bookViews>
    <workbookView xWindow="-108" yWindow="-108" windowWidth="20268" windowHeight="9048" activeTab="6"/>
  </bookViews>
  <sheets>
    <sheet name="氢能总述" sheetId="55" r:id="rId1"/>
    <sheet name="氢中游-燃料电池系统-电堆-空压机" sheetId="43" r:id="rId2"/>
    <sheet name="氢中游-电池组件" sheetId="56" r:id="rId3"/>
    <sheet name="氢上游-制氢" sheetId="53" r:id="rId4"/>
    <sheet name="氢上游-储运加氢" sheetId="57" r:id="rId5"/>
    <sheet name="氢下游-氢整车" sheetId="59" r:id="rId6"/>
    <sheet name="生物质能源" sheetId="54" r:id="rId7"/>
    <sheet name="公司价值折现" sheetId="42" r:id="rId8"/>
    <sheet name="基本面模型" sheetId="23" r:id="rId9"/>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X2" i="42" l="1"/>
  <c r="Y2" i="42"/>
  <c r="AC5" i="42" l="1"/>
  <c r="AE5" i="42" s="1"/>
  <c r="AC6" i="42"/>
  <c r="AE6" i="42" s="1"/>
  <c r="AE7" i="42"/>
  <c r="AC8" i="42"/>
  <c r="W2" i="42"/>
  <c r="AC4" i="42" l="1"/>
  <c r="AC9" i="42"/>
  <c r="AE8" i="42"/>
  <c r="AC3" i="42" l="1"/>
  <c r="AE4" i="42"/>
  <c r="AC10" i="42"/>
  <c r="AE9" i="42"/>
  <c r="D2" i="42"/>
  <c r="AC2" i="42" l="1"/>
  <c r="AE2" i="42" s="1"/>
  <c r="AE3" i="42"/>
  <c r="AC11" i="42"/>
  <c r="AE10" i="42"/>
  <c r="Q201" i="42"/>
  <c r="Q106" i="42"/>
  <c r="Q110" i="42"/>
  <c r="Q114" i="42"/>
  <c r="Q118" i="42"/>
  <c r="Q122" i="42"/>
  <c r="Q126" i="42"/>
  <c r="Q130" i="42"/>
  <c r="Q134" i="42"/>
  <c r="Q138" i="42"/>
  <c r="Q142" i="42"/>
  <c r="Q146" i="42"/>
  <c r="Q150" i="42"/>
  <c r="Q154" i="42"/>
  <c r="Q158" i="42"/>
  <c r="Q162" i="42"/>
  <c r="Q166" i="42"/>
  <c r="Q170" i="42"/>
  <c r="Q174" i="42"/>
  <c r="Q178" i="42"/>
  <c r="Q182" i="42"/>
  <c r="Q186" i="42"/>
  <c r="Q190" i="42"/>
  <c r="Q194" i="42"/>
  <c r="Q198" i="42"/>
  <c r="Q131" i="42"/>
  <c r="Q143" i="42"/>
  <c r="Q155" i="42"/>
  <c r="Q163" i="42"/>
  <c r="Q175" i="42"/>
  <c r="Q187" i="42"/>
  <c r="Q195" i="42"/>
  <c r="Q102" i="42"/>
  <c r="Q103" i="42"/>
  <c r="Q108" i="42"/>
  <c r="Q112" i="42"/>
  <c r="Q116" i="42"/>
  <c r="Q120" i="42"/>
  <c r="Q124" i="42"/>
  <c r="Q128" i="42"/>
  <c r="Q132" i="42"/>
  <c r="Q136" i="42"/>
  <c r="Q140" i="42"/>
  <c r="Q144" i="42"/>
  <c r="Q148" i="42"/>
  <c r="Q152" i="42"/>
  <c r="Q156" i="42"/>
  <c r="Q160" i="42"/>
  <c r="Q164" i="42"/>
  <c r="Q168" i="42"/>
  <c r="Q172" i="42"/>
  <c r="Q176" i="42"/>
  <c r="Q180" i="42"/>
  <c r="Q184" i="42"/>
  <c r="Q188" i="42"/>
  <c r="Q192" i="42"/>
  <c r="Q196" i="42"/>
  <c r="Q200" i="42"/>
  <c r="Q123" i="42"/>
  <c r="Q135" i="42"/>
  <c r="Q147" i="42"/>
  <c r="Q159" i="42"/>
  <c r="Q171" i="42"/>
  <c r="Q183" i="42"/>
  <c r="Q191" i="42"/>
  <c r="Q105" i="42"/>
  <c r="Q109" i="42"/>
  <c r="Q113" i="42"/>
  <c r="Q117" i="42"/>
  <c r="Q121" i="42"/>
  <c r="Q125" i="42"/>
  <c r="Q129" i="42"/>
  <c r="Q133" i="42"/>
  <c r="Q137" i="42"/>
  <c r="Q141" i="42"/>
  <c r="Q145" i="42"/>
  <c r="Q149" i="42"/>
  <c r="Q153" i="42"/>
  <c r="Q157" i="42"/>
  <c r="Q161" i="42"/>
  <c r="Q165" i="42"/>
  <c r="Q169" i="42"/>
  <c r="Q173" i="42"/>
  <c r="Q177" i="42"/>
  <c r="Q181" i="42"/>
  <c r="Q185" i="42"/>
  <c r="Q189" i="42"/>
  <c r="Q193" i="42"/>
  <c r="Q197" i="42"/>
  <c r="Q104" i="42"/>
  <c r="Q107" i="42"/>
  <c r="Q111" i="42"/>
  <c r="Q115" i="42"/>
  <c r="Q119" i="42"/>
  <c r="Q127" i="42"/>
  <c r="Q139" i="42"/>
  <c r="Q151" i="42"/>
  <c r="Q167" i="42"/>
  <c r="Q179" i="42"/>
  <c r="Q199" i="42"/>
  <c r="AC12" i="42" l="1"/>
  <c r="AE11" i="42"/>
  <c r="S2" i="42"/>
  <c r="AB2" i="42" l="1"/>
  <c r="AF2" i="42" s="1"/>
  <c r="Z2" i="42"/>
  <c r="AC13" i="42"/>
  <c r="AE12" i="42"/>
  <c r="S3" i="42"/>
  <c r="Z3" i="42" s="1"/>
  <c r="R2" i="42"/>
  <c r="G2" i="42"/>
  <c r="L2" i="42"/>
  <c r="V2" i="42" l="1"/>
  <c r="AC14" i="42"/>
  <c r="AE13" i="42"/>
  <c r="S4" i="42"/>
  <c r="AB3" i="42"/>
  <c r="AF3" i="42" s="1"/>
  <c r="R3" i="42"/>
  <c r="V3" i="42" s="1"/>
  <c r="W3" i="42" s="1"/>
  <c r="Q55" i="42"/>
  <c r="Q59" i="42"/>
  <c r="Q63" i="42"/>
  <c r="Q66" i="42"/>
  <c r="Q73" i="42"/>
  <c r="Q77" i="42"/>
  <c r="Q81" i="42"/>
  <c r="Q85" i="42"/>
  <c r="Q89" i="42"/>
  <c r="Q93" i="42"/>
  <c r="Q97" i="42"/>
  <c r="Q101" i="42"/>
  <c r="Q58" i="42"/>
  <c r="Q76" i="42"/>
  <c r="Q88" i="42"/>
  <c r="Q100" i="42"/>
  <c r="Q56" i="42"/>
  <c r="Q60" i="42"/>
  <c r="Q64" i="42"/>
  <c r="Q67" i="42"/>
  <c r="Q70" i="42"/>
  <c r="Q74" i="42"/>
  <c r="Q78" i="42"/>
  <c r="Q82" i="42"/>
  <c r="Q86" i="42"/>
  <c r="Q90" i="42"/>
  <c r="Q94" i="42"/>
  <c r="Q98" i="42"/>
  <c r="Q54" i="42"/>
  <c r="Q62" i="42"/>
  <c r="Q69" i="42"/>
  <c r="Q80" i="42"/>
  <c r="Q92" i="42"/>
  <c r="Q53" i="42"/>
  <c r="Q57" i="42"/>
  <c r="Q61" i="42"/>
  <c r="Q65" i="42"/>
  <c r="Q68" i="42"/>
  <c r="Q71" i="42"/>
  <c r="Q75" i="42"/>
  <c r="Q79" i="42"/>
  <c r="Q83" i="42"/>
  <c r="Q87" i="42"/>
  <c r="Q91" i="42"/>
  <c r="Q95" i="42"/>
  <c r="Q99" i="42"/>
  <c r="Q52" i="42"/>
  <c r="Q72" i="42"/>
  <c r="Q84" i="42"/>
  <c r="Q96" i="42"/>
  <c r="B3" i="42"/>
  <c r="Q13" i="42"/>
  <c r="Q25" i="42"/>
  <c r="Q37" i="42"/>
  <c r="Q49" i="42"/>
  <c r="Q26" i="42"/>
  <c r="Q38" i="42"/>
  <c r="Q50" i="42"/>
  <c r="Q15" i="42"/>
  <c r="Q39" i="42"/>
  <c r="Q28" i="42"/>
  <c r="Q40" i="42"/>
  <c r="Q5" i="42"/>
  <c r="Q29" i="42"/>
  <c r="Q6" i="42"/>
  <c r="Q30" i="42"/>
  <c r="Q43" i="42"/>
  <c r="Q8" i="42"/>
  <c r="Q44" i="42"/>
  <c r="Q21" i="42"/>
  <c r="Q45" i="42"/>
  <c r="Q22" i="42"/>
  <c r="Q35" i="42"/>
  <c r="Q36" i="42"/>
  <c r="Q14" i="42"/>
  <c r="Q27" i="42"/>
  <c r="Q51" i="42"/>
  <c r="Q4" i="42"/>
  <c r="Q17" i="42"/>
  <c r="Q3" i="42"/>
  <c r="Q18" i="42"/>
  <c r="Q42" i="42"/>
  <c r="Q7" i="42"/>
  <c r="Q19" i="42"/>
  <c r="Q31" i="42"/>
  <c r="Q32" i="42"/>
  <c r="Q9" i="42"/>
  <c r="Q33" i="42"/>
  <c r="Q10" i="42"/>
  <c r="Q46" i="42"/>
  <c r="Q23" i="42"/>
  <c r="Q24" i="42"/>
  <c r="Q16" i="42"/>
  <c r="Q41" i="42"/>
  <c r="Q20" i="42"/>
  <c r="Q34" i="42"/>
  <c r="Q11" i="42"/>
  <c r="Q47" i="42"/>
  <c r="Q12" i="42"/>
  <c r="Q48" i="42"/>
  <c r="D3" i="42"/>
  <c r="R4" i="42" l="1"/>
  <c r="V4" i="42" s="1"/>
  <c r="W4" i="42" s="1"/>
  <c r="Z4" i="42"/>
  <c r="AC15" i="42"/>
  <c r="AE14" i="42"/>
  <c r="S5" i="42"/>
  <c r="AB4" i="42"/>
  <c r="AF4" i="42" s="1"/>
  <c r="D4" i="42"/>
  <c r="B4" i="42"/>
  <c r="AB5" i="42" l="1"/>
  <c r="AF5" i="42" s="1"/>
  <c r="Z5" i="42"/>
  <c r="AC16" i="42"/>
  <c r="AE15" i="42"/>
  <c r="S6" i="42"/>
  <c r="R5" i="42"/>
  <c r="D5" i="42"/>
  <c r="D6" i="42" s="1"/>
  <c r="D7" i="42" s="1"/>
  <c r="D8" i="42" s="1"/>
  <c r="D9" i="42" s="1"/>
  <c r="D10" i="42" s="1"/>
  <c r="D11" i="42" s="1"/>
  <c r="D12" i="42" s="1"/>
  <c r="D13" i="42" s="1"/>
  <c r="D14" i="42" s="1"/>
  <c r="D15" i="42" s="1"/>
  <c r="D16" i="42" s="1"/>
  <c r="D17" i="42" s="1"/>
  <c r="D18" i="42" s="1"/>
  <c r="D19" i="42" s="1"/>
  <c r="D20" i="42" s="1"/>
  <c r="D21" i="42" s="1"/>
  <c r="D22" i="42" s="1"/>
  <c r="D23" i="42" s="1"/>
  <c r="D24" i="42" s="1"/>
  <c r="D25" i="42" s="1"/>
  <c r="D26" i="42" s="1"/>
  <c r="D27" i="42" s="1"/>
  <c r="D28" i="42" s="1"/>
  <c r="D29" i="42" s="1"/>
  <c r="D30" i="42" s="1"/>
  <c r="D31" i="42" s="1"/>
  <c r="D32" i="42" s="1"/>
  <c r="D33" i="42" s="1"/>
  <c r="D34" i="42" s="1"/>
  <c r="D35" i="42" s="1"/>
  <c r="D36" i="42" s="1"/>
  <c r="D37" i="42" s="1"/>
  <c r="D38" i="42" s="1"/>
  <c r="D39" i="42" s="1"/>
  <c r="D40" i="42" s="1"/>
  <c r="D41" i="42" s="1"/>
  <c r="D42" i="42" s="1"/>
  <c r="D43" i="42" s="1"/>
  <c r="D44" i="42" s="1"/>
  <c r="D45" i="42" s="1"/>
  <c r="D46" i="42" s="1"/>
  <c r="D47" i="42" s="1"/>
  <c r="D48" i="42" s="1"/>
  <c r="D49" i="42" s="1"/>
  <c r="D50" i="42" s="1"/>
  <c r="D51" i="42" s="1"/>
  <c r="D52" i="42" s="1"/>
  <c r="D53" i="42" s="1"/>
  <c r="D54" i="42" s="1"/>
  <c r="D55" i="42" s="1"/>
  <c r="D56" i="42" s="1"/>
  <c r="D57" i="42" s="1"/>
  <c r="D58" i="42" s="1"/>
  <c r="D59" i="42" s="1"/>
  <c r="D60" i="42" s="1"/>
  <c r="D61" i="42" s="1"/>
  <c r="D62" i="42" s="1"/>
  <c r="D63" i="42" s="1"/>
  <c r="D64" i="42" s="1"/>
  <c r="D65" i="42" s="1"/>
  <c r="D66" i="42" s="1"/>
  <c r="D67" i="42" s="1"/>
  <c r="D68" i="42" s="1"/>
  <c r="D69" i="42" s="1"/>
  <c r="D70" i="42" s="1"/>
  <c r="D71" i="42" s="1"/>
  <c r="D72" i="42" s="1"/>
  <c r="D73" i="42" s="1"/>
  <c r="D74" i="42" s="1"/>
  <c r="D75" i="42" s="1"/>
  <c r="D76" i="42" s="1"/>
  <c r="D77" i="42" s="1"/>
  <c r="D78" i="42" s="1"/>
  <c r="D79" i="42" s="1"/>
  <c r="D80" i="42" s="1"/>
  <c r="D81" i="42" s="1"/>
  <c r="D82" i="42" s="1"/>
  <c r="D83" i="42" s="1"/>
  <c r="D84" i="42" s="1"/>
  <c r="D85" i="42" s="1"/>
  <c r="D86" i="42" s="1"/>
  <c r="D87" i="42" s="1"/>
  <c r="D88" i="42" s="1"/>
  <c r="D89" i="42" s="1"/>
  <c r="D90" i="42" s="1"/>
  <c r="D91" i="42" s="1"/>
  <c r="D92" i="42" s="1"/>
  <c r="D93" i="42" s="1"/>
  <c r="D94" i="42" s="1"/>
  <c r="D95" i="42" s="1"/>
  <c r="D96" i="42" s="1"/>
  <c r="D97" i="42" s="1"/>
  <c r="D98" i="42" s="1"/>
  <c r="D99" i="42" s="1"/>
  <c r="D100" i="42" s="1"/>
  <c r="D101" i="42" s="1"/>
  <c r="D102" i="42" s="1"/>
  <c r="D103" i="42" s="1"/>
  <c r="D104" i="42" s="1"/>
  <c r="D105" i="42" s="1"/>
  <c r="D106" i="42" s="1"/>
  <c r="D107" i="42" s="1"/>
  <c r="D108" i="42" s="1"/>
  <c r="D109" i="42" s="1"/>
  <c r="D110" i="42" s="1"/>
  <c r="D111" i="42" s="1"/>
  <c r="D112" i="42" s="1"/>
  <c r="D113" i="42" s="1"/>
  <c r="D114" i="42" s="1"/>
  <c r="D115" i="42" s="1"/>
  <c r="D116" i="42" s="1"/>
  <c r="D117" i="42" s="1"/>
  <c r="D118" i="42" s="1"/>
  <c r="D119" i="42" s="1"/>
  <c r="D120" i="42" s="1"/>
  <c r="D121" i="42" s="1"/>
  <c r="D122" i="42" s="1"/>
  <c r="D123" i="42" s="1"/>
  <c r="D124" i="42" s="1"/>
  <c r="D125" i="42" s="1"/>
  <c r="D126" i="42" s="1"/>
  <c r="D127" i="42" s="1"/>
  <c r="D128" i="42" s="1"/>
  <c r="D129" i="42" s="1"/>
  <c r="D130" i="42" s="1"/>
  <c r="D131" i="42" s="1"/>
  <c r="D132" i="42" s="1"/>
  <c r="D133" i="42" s="1"/>
  <c r="D134" i="42" s="1"/>
  <c r="D135" i="42" s="1"/>
  <c r="D136" i="42" s="1"/>
  <c r="D137" i="42" s="1"/>
  <c r="D138" i="42" s="1"/>
  <c r="D139" i="42" s="1"/>
  <c r="D140" i="42" s="1"/>
  <c r="D141" i="42" s="1"/>
  <c r="D142" i="42" s="1"/>
  <c r="D143" i="42" s="1"/>
  <c r="D144" i="42" s="1"/>
  <c r="D145" i="42" s="1"/>
  <c r="D146" i="42" s="1"/>
  <c r="D147" i="42" s="1"/>
  <c r="D148" i="42" s="1"/>
  <c r="D149" i="42" s="1"/>
  <c r="D150" i="42" s="1"/>
  <c r="D151" i="42" s="1"/>
  <c r="D152" i="42" s="1"/>
  <c r="D153" i="42" s="1"/>
  <c r="D154" i="42" s="1"/>
  <c r="D155" i="42" s="1"/>
  <c r="D156" i="42" s="1"/>
  <c r="D157" i="42" s="1"/>
  <c r="D158" i="42" s="1"/>
  <c r="D159" i="42" s="1"/>
  <c r="D160" i="42" s="1"/>
  <c r="D161" i="42" s="1"/>
  <c r="D162" i="42" s="1"/>
  <c r="D163" i="42" s="1"/>
  <c r="D164" i="42" s="1"/>
  <c r="D165" i="42" s="1"/>
  <c r="D166" i="42" s="1"/>
  <c r="D167" i="42" s="1"/>
  <c r="D168" i="42" s="1"/>
  <c r="D169" i="42" s="1"/>
  <c r="D170" i="42" s="1"/>
  <c r="D171" i="42" s="1"/>
  <c r="D172" i="42" s="1"/>
  <c r="D173" i="42" s="1"/>
  <c r="D174" i="42" s="1"/>
  <c r="D175" i="42" s="1"/>
  <c r="D176" i="42" s="1"/>
  <c r="D177" i="42" s="1"/>
  <c r="D178" i="42" s="1"/>
  <c r="D179" i="42" s="1"/>
  <c r="D180" i="42" s="1"/>
  <c r="D181" i="42" s="1"/>
  <c r="D182" i="42" s="1"/>
  <c r="D183" i="42" s="1"/>
  <c r="D184" i="42" s="1"/>
  <c r="D185" i="42" s="1"/>
  <c r="D186" i="42" s="1"/>
  <c r="D187" i="42" s="1"/>
  <c r="D188" i="42" s="1"/>
  <c r="D189" i="42" s="1"/>
  <c r="D190" i="42" s="1"/>
  <c r="D191" i="42" s="1"/>
  <c r="D192" i="42" s="1"/>
  <c r="D193" i="42" s="1"/>
  <c r="D194" i="42" s="1"/>
  <c r="D195" i="42" s="1"/>
  <c r="D196" i="42" s="1"/>
  <c r="D197" i="42" s="1"/>
  <c r="D198" i="42" s="1"/>
  <c r="D199" i="42" s="1"/>
  <c r="D200" i="42" s="1"/>
  <c r="D201" i="42" s="1"/>
  <c r="B5" i="42"/>
  <c r="B6" i="42" s="1"/>
  <c r="B7" i="42" s="1"/>
  <c r="B8" i="42" s="1"/>
  <c r="B9" i="42" s="1"/>
  <c r="B10" i="42" s="1"/>
  <c r="B11" i="42" s="1"/>
  <c r="B12" i="42" s="1"/>
  <c r="B13" i="42" s="1"/>
  <c r="B14" i="42" s="1"/>
  <c r="B15" i="42" s="1"/>
  <c r="B16" i="42" s="1"/>
  <c r="B17" i="42" s="1"/>
  <c r="B18" i="42" s="1"/>
  <c r="B19" i="42" s="1"/>
  <c r="B20" i="42" s="1"/>
  <c r="B21" i="42" s="1"/>
  <c r="B22" i="42" s="1"/>
  <c r="B23" i="42" s="1"/>
  <c r="B24" i="42" s="1"/>
  <c r="B25" i="42" s="1"/>
  <c r="B26" i="42" s="1"/>
  <c r="B27" i="42" s="1"/>
  <c r="B28" i="42" s="1"/>
  <c r="B29" i="42" s="1"/>
  <c r="B30" i="42" s="1"/>
  <c r="B31" i="42" s="1"/>
  <c r="B32" i="42" s="1"/>
  <c r="B33" i="42" s="1"/>
  <c r="B34" i="42" s="1"/>
  <c r="B35" i="42" s="1"/>
  <c r="B36" i="42" s="1"/>
  <c r="B37" i="42" s="1"/>
  <c r="B38" i="42" s="1"/>
  <c r="B39" i="42" s="1"/>
  <c r="B40" i="42" s="1"/>
  <c r="B41" i="42" s="1"/>
  <c r="B42" i="42" s="1"/>
  <c r="B43" i="42" s="1"/>
  <c r="B44" i="42" s="1"/>
  <c r="B45" i="42" s="1"/>
  <c r="B46" i="42" s="1"/>
  <c r="B47" i="42" s="1"/>
  <c r="B48" i="42" s="1"/>
  <c r="B49" i="42" s="1"/>
  <c r="B50" i="42" s="1"/>
  <c r="B51" i="42" s="1"/>
  <c r="B52" i="42" s="1"/>
  <c r="B53" i="42" s="1"/>
  <c r="B54" i="42" s="1"/>
  <c r="B55" i="42" s="1"/>
  <c r="B56" i="42" s="1"/>
  <c r="B57" i="42" s="1"/>
  <c r="B58" i="42" s="1"/>
  <c r="B59" i="42" s="1"/>
  <c r="B60" i="42" s="1"/>
  <c r="B61" i="42" s="1"/>
  <c r="B62" i="42" s="1"/>
  <c r="B63" i="42" s="1"/>
  <c r="B64" i="42" s="1"/>
  <c r="B65" i="42" s="1"/>
  <c r="B66" i="42" s="1"/>
  <c r="B67" i="42" s="1"/>
  <c r="B68" i="42" s="1"/>
  <c r="B69" i="42" s="1"/>
  <c r="B70" i="42" s="1"/>
  <c r="B71" i="42" s="1"/>
  <c r="B72" i="42" s="1"/>
  <c r="B73" i="42" s="1"/>
  <c r="B74" i="42" s="1"/>
  <c r="B75" i="42" s="1"/>
  <c r="B76" i="42" s="1"/>
  <c r="B77" i="42" s="1"/>
  <c r="B78" i="42" s="1"/>
  <c r="B79" i="42" s="1"/>
  <c r="B80" i="42" s="1"/>
  <c r="B81" i="42" s="1"/>
  <c r="B82" i="42" s="1"/>
  <c r="B83" i="42" s="1"/>
  <c r="B84" i="42" s="1"/>
  <c r="B85" i="42" s="1"/>
  <c r="B86" i="42" s="1"/>
  <c r="B87" i="42" s="1"/>
  <c r="B88" i="42" s="1"/>
  <c r="B89" i="42" s="1"/>
  <c r="B90" i="42" s="1"/>
  <c r="B91" i="42" s="1"/>
  <c r="B92" i="42" s="1"/>
  <c r="B93" i="42" s="1"/>
  <c r="B94" i="42" s="1"/>
  <c r="B95" i="42" s="1"/>
  <c r="B96" i="42" s="1"/>
  <c r="B97" i="42" s="1"/>
  <c r="B98" i="42" s="1"/>
  <c r="B99" i="42" s="1"/>
  <c r="B100" i="42" s="1"/>
  <c r="B101" i="42" s="1"/>
  <c r="B102" i="42" s="1"/>
  <c r="B103" i="42" s="1"/>
  <c r="B104" i="42" s="1"/>
  <c r="B105" i="42" s="1"/>
  <c r="B106" i="42" s="1"/>
  <c r="B107" i="42" s="1"/>
  <c r="B108" i="42" s="1"/>
  <c r="B109" i="42" s="1"/>
  <c r="B110" i="42" s="1"/>
  <c r="B111" i="42" s="1"/>
  <c r="B112" i="42" s="1"/>
  <c r="B113" i="42" s="1"/>
  <c r="B114" i="42" s="1"/>
  <c r="B115" i="42" s="1"/>
  <c r="B116" i="42" s="1"/>
  <c r="B117" i="42" s="1"/>
  <c r="B118" i="42" s="1"/>
  <c r="B119" i="42" s="1"/>
  <c r="B120" i="42" s="1"/>
  <c r="B121" i="42" s="1"/>
  <c r="B122" i="42" s="1"/>
  <c r="B123" i="42" s="1"/>
  <c r="B124" i="42" s="1"/>
  <c r="B125" i="42" s="1"/>
  <c r="B126" i="42" s="1"/>
  <c r="B127" i="42" s="1"/>
  <c r="B128" i="42" s="1"/>
  <c r="B129" i="42" s="1"/>
  <c r="B130" i="42" s="1"/>
  <c r="B131" i="42" s="1"/>
  <c r="B132" i="42" s="1"/>
  <c r="B133" i="42" s="1"/>
  <c r="B134" i="42" s="1"/>
  <c r="B135" i="42" s="1"/>
  <c r="B136" i="42" s="1"/>
  <c r="B137" i="42" s="1"/>
  <c r="B138" i="42" s="1"/>
  <c r="B139" i="42" s="1"/>
  <c r="B140" i="42" s="1"/>
  <c r="B141" i="42" s="1"/>
  <c r="B142" i="42" s="1"/>
  <c r="B143" i="42" s="1"/>
  <c r="B144" i="42" s="1"/>
  <c r="B145" i="42" s="1"/>
  <c r="B146" i="42" s="1"/>
  <c r="B147" i="42" s="1"/>
  <c r="B148" i="42" s="1"/>
  <c r="B149" i="42" s="1"/>
  <c r="B150" i="42" s="1"/>
  <c r="B151" i="42" s="1"/>
  <c r="B152" i="42" s="1"/>
  <c r="B153" i="42" s="1"/>
  <c r="B154" i="42" s="1"/>
  <c r="B155" i="42" s="1"/>
  <c r="B156" i="42" s="1"/>
  <c r="B157" i="42" s="1"/>
  <c r="B158" i="42" s="1"/>
  <c r="B159" i="42" s="1"/>
  <c r="B160" i="42" s="1"/>
  <c r="B161" i="42" s="1"/>
  <c r="B162" i="42" s="1"/>
  <c r="B163" i="42" s="1"/>
  <c r="B164" i="42" s="1"/>
  <c r="B165" i="42" s="1"/>
  <c r="B166" i="42" s="1"/>
  <c r="B167" i="42" s="1"/>
  <c r="B168" i="42" s="1"/>
  <c r="B169" i="42" s="1"/>
  <c r="B170" i="42" s="1"/>
  <c r="B171" i="42" s="1"/>
  <c r="B172" i="42" s="1"/>
  <c r="B173" i="42" s="1"/>
  <c r="B174" i="42" s="1"/>
  <c r="B175" i="42" s="1"/>
  <c r="B176" i="42" s="1"/>
  <c r="B177" i="42" s="1"/>
  <c r="B178" i="42" s="1"/>
  <c r="B179" i="42" s="1"/>
  <c r="B180" i="42" s="1"/>
  <c r="B181" i="42" s="1"/>
  <c r="B182" i="42" s="1"/>
  <c r="B183" i="42" s="1"/>
  <c r="B184" i="42" s="1"/>
  <c r="B185" i="42" s="1"/>
  <c r="B186" i="42" s="1"/>
  <c r="B187" i="42" s="1"/>
  <c r="B188" i="42" s="1"/>
  <c r="B189" i="42" s="1"/>
  <c r="B190" i="42" s="1"/>
  <c r="B191" i="42" s="1"/>
  <c r="B192" i="42" s="1"/>
  <c r="B193" i="42" s="1"/>
  <c r="B194" i="42" s="1"/>
  <c r="B195" i="42" s="1"/>
  <c r="B196" i="42" s="1"/>
  <c r="B197" i="42" s="1"/>
  <c r="B198" i="42" s="1"/>
  <c r="B199" i="42" s="1"/>
  <c r="B200" i="42" s="1"/>
  <c r="B201" i="42" s="1"/>
  <c r="V5" i="42" l="1"/>
  <c r="W5" i="42" s="1"/>
  <c r="AB6" i="42"/>
  <c r="AF6" i="42" s="1"/>
  <c r="Z6" i="42"/>
  <c r="AC17" i="42"/>
  <c r="AE16" i="42"/>
  <c r="R6" i="42"/>
  <c r="V6" i="42" s="1"/>
  <c r="W6" i="42" s="1"/>
  <c r="S7" i="42"/>
  <c r="R7" i="42" s="1"/>
  <c r="M2" i="42"/>
  <c r="O2" i="42" s="1"/>
  <c r="S8" i="42" l="1"/>
  <c r="S9" i="42" s="1"/>
  <c r="Z7" i="42"/>
  <c r="AC18" i="42"/>
  <c r="AE17" i="42"/>
  <c r="AB7" i="42"/>
  <c r="AF7" i="42" s="1"/>
  <c r="V7" i="42"/>
  <c r="W7" i="42" s="1"/>
  <c r="R8" i="42" l="1"/>
  <c r="V8" i="42" s="1"/>
  <c r="W8" i="42" s="1"/>
  <c r="AB9" i="42"/>
  <c r="AF9" i="42" s="1"/>
  <c r="Z9" i="42"/>
  <c r="AB8" i="42"/>
  <c r="AF8" i="42" s="1"/>
  <c r="Z8" i="42"/>
  <c r="AC19" i="42"/>
  <c r="AE18" i="42"/>
  <c r="S10" i="42"/>
  <c r="R9" i="42"/>
  <c r="AB10" i="42" l="1"/>
  <c r="AF10" i="42" s="1"/>
  <c r="Z10" i="42"/>
  <c r="AC20" i="42"/>
  <c r="AE19" i="42"/>
  <c r="V9" i="42"/>
  <c r="W9" i="42" s="1"/>
  <c r="S11" i="42"/>
  <c r="R10" i="42"/>
  <c r="V10" i="42" s="1"/>
  <c r="W10" i="42" s="1"/>
  <c r="AB11" i="42" l="1"/>
  <c r="AF11" i="42" s="1"/>
  <c r="Z11" i="42"/>
  <c r="AC21" i="42"/>
  <c r="AE20" i="42"/>
  <c r="S12" i="42"/>
  <c r="R11" i="42"/>
  <c r="V11" i="42" s="1"/>
  <c r="W11" i="42" s="1"/>
  <c r="AB12" i="42" l="1"/>
  <c r="AF12" i="42" s="1"/>
  <c r="Z12" i="42"/>
  <c r="AC22" i="42"/>
  <c r="AE21" i="42"/>
  <c r="S13" i="42"/>
  <c r="R12" i="42"/>
  <c r="V12" i="42" s="1"/>
  <c r="W12" i="42" s="1"/>
  <c r="AB13" i="42" l="1"/>
  <c r="AF13" i="42" s="1"/>
  <c r="Z13" i="42"/>
  <c r="AC23" i="42"/>
  <c r="AE22" i="42"/>
  <c r="S14" i="42"/>
  <c r="R13" i="42"/>
  <c r="AB14" i="42" l="1"/>
  <c r="AF14" i="42" s="1"/>
  <c r="Z14" i="42"/>
  <c r="AC24" i="42"/>
  <c r="AE23" i="42"/>
  <c r="V13" i="42"/>
  <c r="W13" i="42" s="1"/>
  <c r="S15" i="42"/>
  <c r="R14" i="42"/>
  <c r="V14" i="42" s="1"/>
  <c r="W14" i="42" s="1"/>
  <c r="AB15" i="42" l="1"/>
  <c r="AF15" i="42" s="1"/>
  <c r="Z15" i="42"/>
  <c r="AC25" i="42"/>
  <c r="AE24" i="42"/>
  <c r="S16" i="42"/>
  <c r="R15" i="42"/>
  <c r="V15" i="42" s="1"/>
  <c r="W15" i="42" s="1"/>
  <c r="AB16" i="42" l="1"/>
  <c r="AF16" i="42" s="1"/>
  <c r="Z16" i="42"/>
  <c r="AC26" i="42"/>
  <c r="AE25" i="42"/>
  <c r="S17" i="42"/>
  <c r="R16" i="42"/>
  <c r="V16" i="42" s="1"/>
  <c r="W16" i="42" s="1"/>
  <c r="AB17" i="42" l="1"/>
  <c r="AF17" i="42" s="1"/>
  <c r="Z17" i="42"/>
  <c r="AC27" i="42"/>
  <c r="AE26" i="42"/>
  <c r="S18" i="42"/>
  <c r="R17" i="42"/>
  <c r="V17" i="42" s="1"/>
  <c r="W17" i="42" s="1"/>
  <c r="AB18" i="42" l="1"/>
  <c r="AF18" i="42" s="1"/>
  <c r="Z18" i="42"/>
  <c r="AC28" i="42"/>
  <c r="AE27" i="42"/>
  <c r="S19" i="42"/>
  <c r="R18" i="42"/>
  <c r="V18" i="42" s="1"/>
  <c r="W18" i="42" s="1"/>
  <c r="AB19" i="42" l="1"/>
  <c r="AF19" i="42" s="1"/>
  <c r="Z19" i="42"/>
  <c r="AC29" i="42"/>
  <c r="AE28" i="42"/>
  <c r="S20" i="42"/>
  <c r="R19" i="42"/>
  <c r="V19" i="42" s="1"/>
  <c r="W19" i="42" s="1"/>
  <c r="AB20" i="42" l="1"/>
  <c r="AF20" i="42" s="1"/>
  <c r="Z20" i="42"/>
  <c r="AC30" i="42"/>
  <c r="AE29" i="42"/>
  <c r="S21" i="42"/>
  <c r="R20" i="42"/>
  <c r="V20" i="42" s="1"/>
  <c r="W20" i="42" s="1"/>
  <c r="AB21" i="42" l="1"/>
  <c r="AF21" i="42" s="1"/>
  <c r="Z21" i="42"/>
  <c r="AC31" i="42"/>
  <c r="AE30" i="42"/>
  <c r="S22" i="42"/>
  <c r="R21" i="42"/>
  <c r="V21" i="42" s="1"/>
  <c r="W21" i="42" s="1"/>
  <c r="AB22" i="42" l="1"/>
  <c r="AF22" i="42" s="1"/>
  <c r="Z22" i="42"/>
  <c r="AC32" i="42"/>
  <c r="AE31" i="42"/>
  <c r="S23" i="42"/>
  <c r="R22" i="42"/>
  <c r="V22" i="42" s="1"/>
  <c r="W22" i="42" s="1"/>
  <c r="AB23" i="42" l="1"/>
  <c r="AF23" i="42" s="1"/>
  <c r="Z23" i="42"/>
  <c r="AC33" i="42"/>
  <c r="AE32" i="42"/>
  <c r="S24" i="42"/>
  <c r="R23" i="42"/>
  <c r="V23" i="42" s="1"/>
  <c r="W23" i="42" s="1"/>
  <c r="AB24" i="42" l="1"/>
  <c r="AF24" i="42" s="1"/>
  <c r="Z24" i="42"/>
  <c r="AC34" i="42"/>
  <c r="AE33" i="42"/>
  <c r="S25" i="42"/>
  <c r="R24" i="42"/>
  <c r="V24" i="42" s="1"/>
  <c r="W24" i="42" s="1"/>
  <c r="AB25" i="42" l="1"/>
  <c r="AF25" i="42" s="1"/>
  <c r="Z25" i="42"/>
  <c r="AC35" i="42"/>
  <c r="AE34" i="42"/>
  <c r="S26" i="42"/>
  <c r="R25" i="42"/>
  <c r="V25" i="42" s="1"/>
  <c r="W25" i="42" s="1"/>
  <c r="AB26" i="42" l="1"/>
  <c r="AF26" i="42" s="1"/>
  <c r="Z26" i="42"/>
  <c r="AC36" i="42"/>
  <c r="AE35" i="42"/>
  <c r="S27" i="42"/>
  <c r="R26" i="42"/>
  <c r="V26" i="42" s="1"/>
  <c r="W26" i="42" s="1"/>
  <c r="AB27" i="42" l="1"/>
  <c r="AF27" i="42" s="1"/>
  <c r="Z27" i="42"/>
  <c r="AC37" i="42"/>
  <c r="AE36" i="42"/>
  <c r="S28" i="42"/>
  <c r="R27" i="42"/>
  <c r="V27" i="42" s="1"/>
  <c r="W27" i="42" s="1"/>
  <c r="AB28" i="42" l="1"/>
  <c r="AF28" i="42" s="1"/>
  <c r="Z28" i="42"/>
  <c r="AC38" i="42"/>
  <c r="AE37" i="42"/>
  <c r="S29" i="42"/>
  <c r="R28" i="42"/>
  <c r="V28" i="42" s="1"/>
  <c r="W28" i="42" s="1"/>
  <c r="AB29" i="42" l="1"/>
  <c r="AF29" i="42" s="1"/>
  <c r="Z29" i="42"/>
  <c r="AC39" i="42"/>
  <c r="AE38" i="42"/>
  <c r="S30" i="42"/>
  <c r="R29" i="42"/>
  <c r="V29" i="42" s="1"/>
  <c r="W29" i="42" s="1"/>
  <c r="AB30" i="42" l="1"/>
  <c r="AF30" i="42" s="1"/>
  <c r="Z30" i="42"/>
  <c r="AC40" i="42"/>
  <c r="AE39" i="42"/>
  <c r="S31" i="42"/>
  <c r="R30" i="42"/>
  <c r="V30" i="42" s="1"/>
  <c r="W30" i="42" s="1"/>
  <c r="AB31" i="42" l="1"/>
  <c r="AF31" i="42" s="1"/>
  <c r="Z31" i="42"/>
  <c r="AC41" i="42"/>
  <c r="AE40" i="42"/>
  <c r="S32" i="42"/>
  <c r="R31" i="42"/>
  <c r="V31" i="42" s="1"/>
  <c r="W31" i="42" s="1"/>
  <c r="AB32" i="42" l="1"/>
  <c r="AF32" i="42" s="1"/>
  <c r="Z32" i="42"/>
  <c r="AC42" i="42"/>
  <c r="AE41" i="42"/>
  <c r="S33" i="42"/>
  <c r="R32" i="42"/>
  <c r="V32" i="42" s="1"/>
  <c r="W32" i="42" s="1"/>
  <c r="AB33" i="42" l="1"/>
  <c r="AF33" i="42" s="1"/>
  <c r="Z33" i="42"/>
  <c r="AC43" i="42"/>
  <c r="AE42" i="42"/>
  <c r="S34" i="42"/>
  <c r="R33" i="42"/>
  <c r="V33" i="42" s="1"/>
  <c r="W33" i="42" s="1"/>
  <c r="AB34" i="42" l="1"/>
  <c r="AF34" i="42" s="1"/>
  <c r="Z34" i="42"/>
  <c r="AC44" i="42"/>
  <c r="AE43" i="42"/>
  <c r="S35" i="42"/>
  <c r="R34" i="42"/>
  <c r="V34" i="42" s="1"/>
  <c r="W34" i="42" s="1"/>
  <c r="AB35" i="42" l="1"/>
  <c r="AF35" i="42" s="1"/>
  <c r="Z35" i="42"/>
  <c r="AC45" i="42"/>
  <c r="AE44" i="42"/>
  <c r="S36" i="42"/>
  <c r="R35" i="42"/>
  <c r="V35" i="42" s="1"/>
  <c r="W35" i="42" s="1"/>
  <c r="AB36" i="42" l="1"/>
  <c r="AF36" i="42" s="1"/>
  <c r="Z36" i="42"/>
  <c r="AC46" i="42"/>
  <c r="AE45" i="42"/>
  <c r="S37" i="42"/>
  <c r="R36" i="42"/>
  <c r="V36" i="42" s="1"/>
  <c r="W36" i="42" s="1"/>
  <c r="AB37" i="42" l="1"/>
  <c r="AF37" i="42" s="1"/>
  <c r="Z37" i="42"/>
  <c r="AC47" i="42"/>
  <c r="AE46" i="42"/>
  <c r="S38" i="42"/>
  <c r="R37" i="42"/>
  <c r="V37" i="42" s="1"/>
  <c r="W37" i="42" s="1"/>
  <c r="AB38" i="42" l="1"/>
  <c r="AF38" i="42" s="1"/>
  <c r="Z38" i="42"/>
  <c r="AC48" i="42"/>
  <c r="AE47" i="42"/>
  <c r="S39" i="42"/>
  <c r="R38" i="42"/>
  <c r="V38" i="42" s="1"/>
  <c r="W38" i="42" s="1"/>
  <c r="AB39" i="42" l="1"/>
  <c r="AF39" i="42" s="1"/>
  <c r="Z39" i="42"/>
  <c r="AC49" i="42"/>
  <c r="AE48" i="42"/>
  <c r="S40" i="42"/>
  <c r="R39" i="42"/>
  <c r="V39" i="42" s="1"/>
  <c r="W39" i="42" s="1"/>
  <c r="AB40" i="42" l="1"/>
  <c r="AF40" i="42" s="1"/>
  <c r="Z40" i="42"/>
  <c r="AC50" i="42"/>
  <c r="AE49" i="42"/>
  <c r="S41" i="42"/>
  <c r="R40" i="42"/>
  <c r="V40" i="42" s="1"/>
  <c r="W40" i="42" s="1"/>
  <c r="AB41" i="42" l="1"/>
  <c r="AF41" i="42" s="1"/>
  <c r="Z41" i="42"/>
  <c r="AC51" i="42"/>
  <c r="AE50" i="42"/>
  <c r="S42" i="42"/>
  <c r="R41" i="42"/>
  <c r="V41" i="42" s="1"/>
  <c r="W41" i="42" s="1"/>
  <c r="AB42" i="42" l="1"/>
  <c r="AF42" i="42" s="1"/>
  <c r="Z42" i="42"/>
  <c r="AC52" i="42"/>
  <c r="AE51" i="42"/>
  <c r="S43" i="42"/>
  <c r="R42" i="42"/>
  <c r="V42" i="42" s="1"/>
  <c r="W42" i="42" s="1"/>
  <c r="AB43" i="42" l="1"/>
  <c r="AF43" i="42" s="1"/>
  <c r="Z43" i="42"/>
  <c r="AC53" i="42"/>
  <c r="AE52" i="42"/>
  <c r="S44" i="42"/>
  <c r="R43" i="42"/>
  <c r="V43" i="42" s="1"/>
  <c r="W43" i="42" s="1"/>
  <c r="AB44" i="42" l="1"/>
  <c r="AF44" i="42" s="1"/>
  <c r="Z44" i="42"/>
  <c r="AC54" i="42"/>
  <c r="AE53" i="42"/>
  <c r="S45" i="42"/>
  <c r="R44" i="42"/>
  <c r="AB45" i="42" l="1"/>
  <c r="AF45" i="42" s="1"/>
  <c r="Z45" i="42"/>
  <c r="AC55" i="42"/>
  <c r="AE54" i="42"/>
  <c r="V44" i="42"/>
  <c r="W44" i="42" s="1"/>
  <c r="S46" i="42"/>
  <c r="R45" i="42"/>
  <c r="AB46" i="42" l="1"/>
  <c r="AF46" i="42" s="1"/>
  <c r="Z46" i="42"/>
  <c r="AC56" i="42"/>
  <c r="AE55" i="42"/>
  <c r="S47" i="42"/>
  <c r="R46" i="42"/>
  <c r="V46" i="42" s="1"/>
  <c r="W46" i="42" s="1"/>
  <c r="V45" i="42"/>
  <c r="W45" i="42" s="1"/>
  <c r="AB47" i="42" l="1"/>
  <c r="AF47" i="42" s="1"/>
  <c r="Z47" i="42"/>
  <c r="AC57" i="42"/>
  <c r="AE56" i="42"/>
  <c r="S48" i="42"/>
  <c r="R47" i="42"/>
  <c r="AB48" i="42" l="1"/>
  <c r="AF48" i="42" s="1"/>
  <c r="Z48" i="42"/>
  <c r="AC58" i="42"/>
  <c r="AE57" i="42"/>
  <c r="V47" i="42"/>
  <c r="W47" i="42" s="1"/>
  <c r="S49" i="42"/>
  <c r="R48" i="42"/>
  <c r="V48" i="42" s="1"/>
  <c r="W48" i="42" s="1"/>
  <c r="AB49" i="42" l="1"/>
  <c r="AF49" i="42" s="1"/>
  <c r="Z49" i="42"/>
  <c r="AC59" i="42"/>
  <c r="AE58" i="42"/>
  <c r="S50" i="42"/>
  <c r="R49" i="42"/>
  <c r="V49" i="42" s="1"/>
  <c r="W49" i="42" s="1"/>
  <c r="AB50" i="42" l="1"/>
  <c r="AF50" i="42" s="1"/>
  <c r="Z50" i="42"/>
  <c r="AC60" i="42"/>
  <c r="AE59" i="42"/>
  <c r="S51" i="42"/>
  <c r="R50" i="42"/>
  <c r="V50" i="42" s="1"/>
  <c r="W50" i="42" s="1"/>
  <c r="AB51" i="42" l="1"/>
  <c r="AF51" i="42" s="1"/>
  <c r="Z51" i="42"/>
  <c r="AC61" i="42"/>
  <c r="AE60" i="42"/>
  <c r="S52" i="42"/>
  <c r="R51" i="42"/>
  <c r="AB52" i="42" l="1"/>
  <c r="AF52" i="42" s="1"/>
  <c r="Z52" i="42"/>
  <c r="AC62" i="42"/>
  <c r="AE61" i="42"/>
  <c r="S53" i="42"/>
  <c r="R52" i="42"/>
  <c r="V51" i="42"/>
  <c r="W51" i="42" s="1"/>
  <c r="AB53" i="42" l="1"/>
  <c r="AF53" i="42" s="1"/>
  <c r="Z53" i="42"/>
  <c r="AC63" i="42"/>
  <c r="AE62" i="42"/>
  <c r="S54" i="42"/>
  <c r="R53" i="42"/>
  <c r="V52" i="42"/>
  <c r="W52" i="42" s="1"/>
  <c r="AB54" i="42" l="1"/>
  <c r="AF54" i="42" s="1"/>
  <c r="Z54" i="42"/>
  <c r="AC64" i="42"/>
  <c r="AE63" i="42"/>
  <c r="S55" i="42"/>
  <c r="R54" i="42"/>
  <c r="V53" i="42"/>
  <c r="W53" i="42" s="1"/>
  <c r="AB55" i="42" l="1"/>
  <c r="AF55" i="42" s="1"/>
  <c r="Z55" i="42"/>
  <c r="AC65" i="42"/>
  <c r="AE64" i="42"/>
  <c r="S56" i="42"/>
  <c r="R55" i="42"/>
  <c r="V54" i="42"/>
  <c r="W54" i="42" s="1"/>
  <c r="AB56" i="42" l="1"/>
  <c r="AF56" i="42" s="1"/>
  <c r="Z56" i="42"/>
  <c r="AC66" i="42"/>
  <c r="AE65" i="42"/>
  <c r="V55" i="42"/>
  <c r="W55" i="42" s="1"/>
  <c r="S57" i="42"/>
  <c r="R56" i="42"/>
  <c r="V56" i="42" s="1"/>
  <c r="W56" i="42" s="1"/>
  <c r="AB57" i="42" l="1"/>
  <c r="AF57" i="42" s="1"/>
  <c r="Z57" i="42"/>
  <c r="AC67" i="42"/>
  <c r="AE66" i="42"/>
  <c r="S58" i="42"/>
  <c r="R57" i="42"/>
  <c r="V57" i="42" s="1"/>
  <c r="W57" i="42" s="1"/>
  <c r="AB58" i="42" l="1"/>
  <c r="AF58" i="42" s="1"/>
  <c r="Z58" i="42"/>
  <c r="AC68" i="42"/>
  <c r="AE67" i="42"/>
  <c r="S59" i="42"/>
  <c r="R58" i="42"/>
  <c r="AB59" i="42" l="1"/>
  <c r="AF59" i="42" s="1"/>
  <c r="Z59" i="42"/>
  <c r="AC69" i="42"/>
  <c r="AE68" i="42"/>
  <c r="S60" i="42"/>
  <c r="R59" i="42"/>
  <c r="V58" i="42"/>
  <c r="W58" i="42" s="1"/>
  <c r="AB60" i="42" l="1"/>
  <c r="AF60" i="42" s="1"/>
  <c r="Z60" i="42"/>
  <c r="AC70" i="42"/>
  <c r="AE69" i="42"/>
  <c r="V59" i="42"/>
  <c r="W59" i="42" s="1"/>
  <c r="S61" i="42"/>
  <c r="R60" i="42"/>
  <c r="AB61" i="42" l="1"/>
  <c r="AF61" i="42" s="1"/>
  <c r="Z61" i="42"/>
  <c r="AC71" i="42"/>
  <c r="AE70" i="42"/>
  <c r="S62" i="42"/>
  <c r="R61" i="42"/>
  <c r="V60" i="42"/>
  <c r="W60" i="42" s="1"/>
  <c r="AB62" i="42" l="1"/>
  <c r="AF62" i="42" s="1"/>
  <c r="Z62" i="42"/>
  <c r="AC72" i="42"/>
  <c r="AE71" i="42"/>
  <c r="V61" i="42"/>
  <c r="W61" i="42" s="1"/>
  <c r="S63" i="42"/>
  <c r="R62" i="42"/>
  <c r="AB63" i="42" l="1"/>
  <c r="AF63" i="42" s="1"/>
  <c r="Z63" i="42"/>
  <c r="AC73" i="42"/>
  <c r="AE72" i="42"/>
  <c r="S64" i="42"/>
  <c r="R63" i="42"/>
  <c r="V62" i="42"/>
  <c r="W62" i="42" s="1"/>
  <c r="AB64" i="42" l="1"/>
  <c r="AF64" i="42" s="1"/>
  <c r="Z64" i="42"/>
  <c r="AC74" i="42"/>
  <c r="AE73" i="42"/>
  <c r="V63" i="42"/>
  <c r="W63" i="42" s="1"/>
  <c r="S65" i="42"/>
  <c r="R64" i="42"/>
  <c r="AB65" i="42" l="1"/>
  <c r="AF65" i="42" s="1"/>
  <c r="Z65" i="42"/>
  <c r="AC75" i="42"/>
  <c r="AE74" i="42"/>
  <c r="S66" i="42"/>
  <c r="R65" i="42"/>
  <c r="V64" i="42"/>
  <c r="W64" i="42" s="1"/>
  <c r="AB66" i="42" l="1"/>
  <c r="AF66" i="42" s="1"/>
  <c r="Z66" i="42"/>
  <c r="AC76" i="42"/>
  <c r="AE75" i="42"/>
  <c r="S67" i="42"/>
  <c r="R66" i="42"/>
  <c r="V65" i="42"/>
  <c r="W65" i="42" s="1"/>
  <c r="AB67" i="42" l="1"/>
  <c r="AF67" i="42" s="1"/>
  <c r="Z67" i="42"/>
  <c r="AC77" i="42"/>
  <c r="AE76" i="42"/>
  <c r="S68" i="42"/>
  <c r="R67" i="42"/>
  <c r="V66" i="42"/>
  <c r="W66" i="42" s="1"/>
  <c r="AB68" i="42" l="1"/>
  <c r="AF68" i="42" s="1"/>
  <c r="Z68" i="42"/>
  <c r="AC78" i="42"/>
  <c r="AE77" i="42"/>
  <c r="V67" i="42"/>
  <c r="W67" i="42" s="1"/>
  <c r="S69" i="42"/>
  <c r="R68" i="42"/>
  <c r="V68" i="42" s="1"/>
  <c r="W68" i="42" s="1"/>
  <c r="AB69" i="42" l="1"/>
  <c r="AF69" i="42" s="1"/>
  <c r="Z69" i="42"/>
  <c r="AC79" i="42"/>
  <c r="AE78" i="42"/>
  <c r="S70" i="42"/>
  <c r="R69" i="42"/>
  <c r="AB70" i="42" l="1"/>
  <c r="AF70" i="42" s="1"/>
  <c r="Z70" i="42"/>
  <c r="AC80" i="42"/>
  <c r="AE79" i="42"/>
  <c r="S71" i="42"/>
  <c r="R70" i="42"/>
  <c r="V70" i="42" s="1"/>
  <c r="W70" i="42" s="1"/>
  <c r="V69" i="42"/>
  <c r="W69" i="42" s="1"/>
  <c r="AB71" i="42" l="1"/>
  <c r="AF71" i="42" s="1"/>
  <c r="Z71" i="42"/>
  <c r="AC81" i="42"/>
  <c r="AE80" i="42"/>
  <c r="S72" i="42"/>
  <c r="R71" i="42"/>
  <c r="AB72" i="42" l="1"/>
  <c r="AF72" i="42" s="1"/>
  <c r="Z72" i="42"/>
  <c r="AC82" i="42"/>
  <c r="AE81" i="42"/>
  <c r="S73" i="42"/>
  <c r="R72" i="42"/>
  <c r="V72" i="42" s="1"/>
  <c r="W72" i="42" s="1"/>
  <c r="V71" i="42"/>
  <c r="W71" i="42" s="1"/>
  <c r="AB73" i="42" l="1"/>
  <c r="AF73" i="42" s="1"/>
  <c r="Z73" i="42"/>
  <c r="AC83" i="42"/>
  <c r="AE82" i="42"/>
  <c r="S74" i="42"/>
  <c r="R73" i="42"/>
  <c r="AB74" i="42" l="1"/>
  <c r="AF74" i="42" s="1"/>
  <c r="Z74" i="42"/>
  <c r="AC84" i="42"/>
  <c r="AE83" i="42"/>
  <c r="S75" i="42"/>
  <c r="R74" i="42"/>
  <c r="V73" i="42"/>
  <c r="W73" i="42" s="1"/>
  <c r="AB75" i="42" l="1"/>
  <c r="AF75" i="42" s="1"/>
  <c r="Z75" i="42"/>
  <c r="AC85" i="42"/>
  <c r="AE84" i="42"/>
  <c r="S76" i="42"/>
  <c r="R75" i="42"/>
  <c r="V75" i="42" s="1"/>
  <c r="W75" i="42" s="1"/>
  <c r="V74" i="42"/>
  <c r="W74" i="42" s="1"/>
  <c r="AB76" i="42" l="1"/>
  <c r="AF76" i="42" s="1"/>
  <c r="Z76" i="42"/>
  <c r="AC86" i="42"/>
  <c r="AE85" i="42"/>
  <c r="S77" i="42"/>
  <c r="R76" i="42"/>
  <c r="AB77" i="42" l="1"/>
  <c r="AF77" i="42" s="1"/>
  <c r="Z77" i="42"/>
  <c r="AC87" i="42"/>
  <c r="AE86" i="42"/>
  <c r="V76" i="42"/>
  <c r="W76" i="42" s="1"/>
  <c r="S78" i="42"/>
  <c r="R77" i="42"/>
  <c r="V77" i="42" s="1"/>
  <c r="W77" i="42" s="1"/>
  <c r="AB78" i="42" l="1"/>
  <c r="AF78" i="42" s="1"/>
  <c r="Z78" i="42"/>
  <c r="AC88" i="42"/>
  <c r="AE87" i="42"/>
  <c r="S79" i="42"/>
  <c r="R78" i="42"/>
  <c r="AB79" i="42" l="1"/>
  <c r="AF79" i="42" s="1"/>
  <c r="Z79" i="42"/>
  <c r="AC89" i="42"/>
  <c r="AE88" i="42"/>
  <c r="V78" i="42"/>
  <c r="W78" i="42" s="1"/>
  <c r="S80" i="42"/>
  <c r="R79" i="42"/>
  <c r="AB80" i="42" l="1"/>
  <c r="AF80" i="42" s="1"/>
  <c r="Z80" i="42"/>
  <c r="AC90" i="42"/>
  <c r="AE89" i="42"/>
  <c r="V79" i="42"/>
  <c r="W79" i="42" s="1"/>
  <c r="S81" i="42"/>
  <c r="R80" i="42"/>
  <c r="V80" i="42" s="1"/>
  <c r="W80" i="42" s="1"/>
  <c r="AB81" i="42" l="1"/>
  <c r="AF81" i="42" s="1"/>
  <c r="Z81" i="42"/>
  <c r="AC91" i="42"/>
  <c r="AE90" i="42"/>
  <c r="S82" i="42"/>
  <c r="R81" i="42"/>
  <c r="AB82" i="42" l="1"/>
  <c r="AF82" i="42" s="1"/>
  <c r="Z82" i="42"/>
  <c r="AC92" i="42"/>
  <c r="AE91" i="42"/>
  <c r="S83" i="42"/>
  <c r="R82" i="42"/>
  <c r="V81" i="42"/>
  <c r="W81" i="42" s="1"/>
  <c r="AB83" i="42" l="1"/>
  <c r="AF83" i="42" s="1"/>
  <c r="Z83" i="42"/>
  <c r="AC93" i="42"/>
  <c r="AE92" i="42"/>
  <c r="V82" i="42"/>
  <c r="W82" i="42" s="1"/>
  <c r="S84" i="42"/>
  <c r="R83" i="42"/>
  <c r="V83" i="42" s="1"/>
  <c r="W83" i="42" s="1"/>
  <c r="AB84" i="42" l="1"/>
  <c r="AF84" i="42" s="1"/>
  <c r="Z84" i="42"/>
  <c r="AC94" i="42"/>
  <c r="AE93" i="42"/>
  <c r="S85" i="42"/>
  <c r="R84" i="42"/>
  <c r="V84" i="42" s="1"/>
  <c r="W84" i="42" s="1"/>
  <c r="AB85" i="42" l="1"/>
  <c r="AF85" i="42" s="1"/>
  <c r="Z85" i="42"/>
  <c r="AC95" i="42"/>
  <c r="AE94" i="42"/>
  <c r="S86" i="42"/>
  <c r="R85" i="42"/>
  <c r="V85" i="42" s="1"/>
  <c r="W85" i="42" s="1"/>
  <c r="AB86" i="42" l="1"/>
  <c r="AF86" i="42" s="1"/>
  <c r="Z86" i="42"/>
  <c r="AC96" i="42"/>
  <c r="AE95" i="42"/>
  <c r="S87" i="42"/>
  <c r="R86" i="42"/>
  <c r="AB87" i="42" l="1"/>
  <c r="AF87" i="42" s="1"/>
  <c r="Z87" i="42"/>
  <c r="AC97" i="42"/>
  <c r="AE96" i="42"/>
  <c r="S88" i="42"/>
  <c r="R87" i="42"/>
  <c r="V87" i="42" s="1"/>
  <c r="W87" i="42" s="1"/>
  <c r="V86" i="42"/>
  <c r="W86" i="42" s="1"/>
  <c r="AB88" i="42" l="1"/>
  <c r="AF88" i="42" s="1"/>
  <c r="Z88" i="42"/>
  <c r="AC98" i="42"/>
  <c r="AE97" i="42"/>
  <c r="S89" i="42"/>
  <c r="R88" i="42"/>
  <c r="V88" i="42" s="1"/>
  <c r="W88" i="42" s="1"/>
  <c r="AB89" i="42" l="1"/>
  <c r="AF89" i="42" s="1"/>
  <c r="Z89" i="42"/>
  <c r="AC99" i="42"/>
  <c r="AE98" i="42"/>
  <c r="S90" i="42"/>
  <c r="R89" i="42"/>
  <c r="AB90" i="42" l="1"/>
  <c r="AF90" i="42" s="1"/>
  <c r="Z90" i="42"/>
  <c r="AC100" i="42"/>
  <c r="AE99" i="42"/>
  <c r="S91" i="42"/>
  <c r="R90" i="42"/>
  <c r="V89" i="42"/>
  <c r="W89" i="42" s="1"/>
  <c r="AB91" i="42" l="1"/>
  <c r="AF91" i="42" s="1"/>
  <c r="Z91" i="42"/>
  <c r="AC101" i="42"/>
  <c r="AE100" i="42"/>
  <c r="V90" i="42"/>
  <c r="W90" i="42" s="1"/>
  <c r="S92" i="42"/>
  <c r="R91" i="42"/>
  <c r="AB92" i="42" l="1"/>
  <c r="AF92" i="42" s="1"/>
  <c r="Z92" i="42"/>
  <c r="AC102" i="42"/>
  <c r="AE101" i="42"/>
  <c r="S93" i="42"/>
  <c r="R92" i="42"/>
  <c r="V91" i="42"/>
  <c r="W91" i="42" s="1"/>
  <c r="AB93" i="42" l="1"/>
  <c r="AF93" i="42" s="1"/>
  <c r="Z93" i="42"/>
  <c r="AC103" i="42"/>
  <c r="AE102" i="42"/>
  <c r="V92" i="42"/>
  <c r="W92" i="42" s="1"/>
  <c r="S94" i="42"/>
  <c r="R93" i="42"/>
  <c r="AB94" i="42" l="1"/>
  <c r="AF94" i="42" s="1"/>
  <c r="Z94" i="42"/>
  <c r="AC104" i="42"/>
  <c r="AE103" i="42"/>
  <c r="S95" i="42"/>
  <c r="R94" i="42"/>
  <c r="V93" i="42"/>
  <c r="W93" i="42" s="1"/>
  <c r="AB95" i="42" l="1"/>
  <c r="AF95" i="42" s="1"/>
  <c r="Z95" i="42"/>
  <c r="AC105" i="42"/>
  <c r="AE104" i="42"/>
  <c r="V94" i="42"/>
  <c r="W94" i="42" s="1"/>
  <c r="S96" i="42"/>
  <c r="R95" i="42"/>
  <c r="AB96" i="42" l="1"/>
  <c r="AF96" i="42" s="1"/>
  <c r="Z96" i="42"/>
  <c r="AC106" i="42"/>
  <c r="AE105" i="42"/>
  <c r="S97" i="42"/>
  <c r="R96" i="42"/>
  <c r="V95" i="42"/>
  <c r="W95" i="42" s="1"/>
  <c r="AB97" i="42" l="1"/>
  <c r="AF97" i="42" s="1"/>
  <c r="Z97" i="42"/>
  <c r="AC107" i="42"/>
  <c r="AE106" i="42"/>
  <c r="S98" i="42"/>
  <c r="R97" i="42"/>
  <c r="V96" i="42"/>
  <c r="W96" i="42" s="1"/>
  <c r="AB98" i="42" l="1"/>
  <c r="AF98" i="42" s="1"/>
  <c r="Z98" i="42"/>
  <c r="AC108" i="42"/>
  <c r="AE107" i="42"/>
  <c r="V97" i="42"/>
  <c r="W97" i="42" s="1"/>
  <c r="S99" i="42"/>
  <c r="R98" i="42"/>
  <c r="AB99" i="42" l="1"/>
  <c r="AF99" i="42" s="1"/>
  <c r="Z99" i="42"/>
  <c r="AC109" i="42"/>
  <c r="AE108" i="42"/>
  <c r="S100" i="42"/>
  <c r="R99" i="42"/>
  <c r="V99" i="42" s="1"/>
  <c r="W99" i="42" s="1"/>
  <c r="V98" i="42"/>
  <c r="W98" i="42" s="1"/>
  <c r="AB100" i="42" l="1"/>
  <c r="AF100" i="42" s="1"/>
  <c r="Z100" i="42"/>
  <c r="AC110" i="42"/>
  <c r="AE109" i="42"/>
  <c r="S101" i="42"/>
  <c r="R100" i="42"/>
  <c r="V100" i="42" s="1"/>
  <c r="W100" i="42" s="1"/>
  <c r="AB101" i="42" l="1"/>
  <c r="AF101" i="42" s="1"/>
  <c r="Z101" i="42"/>
  <c r="AC111" i="42"/>
  <c r="AE110" i="42"/>
  <c r="R101" i="42"/>
  <c r="V101" i="42" s="1"/>
  <c r="W101" i="42" s="1"/>
  <c r="S102" i="42"/>
  <c r="AB102" i="42" l="1"/>
  <c r="AF102" i="42" s="1"/>
  <c r="Z102" i="42"/>
  <c r="AC112" i="42"/>
  <c r="AE111" i="42"/>
  <c r="R102" i="42"/>
  <c r="V102" i="42" s="1"/>
  <c r="W102" i="42" s="1"/>
  <c r="S103" i="42"/>
  <c r="AB103" i="42" l="1"/>
  <c r="AF103" i="42" s="1"/>
  <c r="Z103" i="42"/>
  <c r="AC113" i="42"/>
  <c r="AE112" i="42"/>
  <c r="R103" i="42"/>
  <c r="V103" i="42" s="1"/>
  <c r="W103" i="42" s="1"/>
  <c r="S104" i="42"/>
  <c r="AB104" i="42" l="1"/>
  <c r="AF104" i="42" s="1"/>
  <c r="Z104" i="42"/>
  <c r="AC114" i="42"/>
  <c r="AE113" i="42"/>
  <c r="R104" i="42"/>
  <c r="V104" i="42" s="1"/>
  <c r="W104" i="42" s="1"/>
  <c r="S105" i="42"/>
  <c r="AB105" i="42" l="1"/>
  <c r="AF105" i="42" s="1"/>
  <c r="Z105" i="42"/>
  <c r="AC115" i="42"/>
  <c r="AE114" i="42"/>
  <c r="R105" i="42"/>
  <c r="V105" i="42" s="1"/>
  <c r="W105" i="42" s="1"/>
  <c r="S106" i="42"/>
  <c r="AB106" i="42" l="1"/>
  <c r="AF106" i="42" s="1"/>
  <c r="Z106" i="42"/>
  <c r="AC116" i="42"/>
  <c r="AE115" i="42"/>
  <c r="R106" i="42"/>
  <c r="V106" i="42" s="1"/>
  <c r="W106" i="42" s="1"/>
  <c r="S107" i="42"/>
  <c r="AB107" i="42" l="1"/>
  <c r="AF107" i="42" s="1"/>
  <c r="Z107" i="42"/>
  <c r="AC117" i="42"/>
  <c r="AE116" i="42"/>
  <c r="R107" i="42"/>
  <c r="V107" i="42" s="1"/>
  <c r="W107" i="42" s="1"/>
  <c r="S108" i="42"/>
  <c r="AB108" i="42" l="1"/>
  <c r="AF108" i="42" s="1"/>
  <c r="Z108" i="42"/>
  <c r="AC118" i="42"/>
  <c r="AE117" i="42"/>
  <c r="R108" i="42"/>
  <c r="V108" i="42" s="1"/>
  <c r="W108" i="42" s="1"/>
  <c r="S109" i="42"/>
  <c r="AB109" i="42" l="1"/>
  <c r="AF109" i="42" s="1"/>
  <c r="Z109" i="42"/>
  <c r="AC119" i="42"/>
  <c r="AE118" i="42"/>
  <c r="R109" i="42"/>
  <c r="V109" i="42" s="1"/>
  <c r="W109" i="42" s="1"/>
  <c r="S110" i="42"/>
  <c r="AB110" i="42" l="1"/>
  <c r="AF110" i="42" s="1"/>
  <c r="Z110" i="42"/>
  <c r="AC120" i="42"/>
  <c r="AE119" i="42"/>
  <c r="R110" i="42"/>
  <c r="V110" i="42" s="1"/>
  <c r="W110" i="42" s="1"/>
  <c r="S111" i="42"/>
  <c r="AB111" i="42" l="1"/>
  <c r="AF111" i="42" s="1"/>
  <c r="Z111" i="42"/>
  <c r="AC121" i="42"/>
  <c r="AE120" i="42"/>
  <c r="R111" i="42"/>
  <c r="V111" i="42" s="1"/>
  <c r="W111" i="42" s="1"/>
  <c r="S112" i="42"/>
  <c r="AB112" i="42" l="1"/>
  <c r="AF112" i="42" s="1"/>
  <c r="Z112" i="42"/>
  <c r="AC122" i="42"/>
  <c r="AE121" i="42"/>
  <c r="R112" i="42"/>
  <c r="V112" i="42" s="1"/>
  <c r="W112" i="42" s="1"/>
  <c r="S113" i="42"/>
  <c r="AB113" i="42" l="1"/>
  <c r="AF113" i="42" s="1"/>
  <c r="Z113" i="42"/>
  <c r="AC123" i="42"/>
  <c r="AE122" i="42"/>
  <c r="R113" i="42"/>
  <c r="V113" i="42" s="1"/>
  <c r="W113" i="42" s="1"/>
  <c r="S114" i="42"/>
  <c r="AB114" i="42" l="1"/>
  <c r="AF114" i="42" s="1"/>
  <c r="Z114" i="42"/>
  <c r="AC124" i="42"/>
  <c r="AE123" i="42"/>
  <c r="S115" i="42"/>
  <c r="R114" i="42"/>
  <c r="V114" i="42" s="1"/>
  <c r="W114" i="42" s="1"/>
  <c r="AB115" i="42" l="1"/>
  <c r="AF115" i="42" s="1"/>
  <c r="Z115" i="42"/>
  <c r="AC125" i="42"/>
  <c r="AE124" i="42"/>
  <c r="R115" i="42"/>
  <c r="V115" i="42" s="1"/>
  <c r="W115" i="42" s="1"/>
  <c r="S116" i="42"/>
  <c r="AB116" i="42" l="1"/>
  <c r="AF116" i="42" s="1"/>
  <c r="Z116" i="42"/>
  <c r="AC126" i="42"/>
  <c r="AE125" i="42"/>
  <c r="R116" i="42"/>
  <c r="V116" i="42" s="1"/>
  <c r="W116" i="42" s="1"/>
  <c r="S117" i="42"/>
  <c r="AB117" i="42" l="1"/>
  <c r="AF117" i="42" s="1"/>
  <c r="Z117" i="42"/>
  <c r="AC127" i="42"/>
  <c r="AE126" i="42"/>
  <c r="S118" i="42"/>
  <c r="R117" i="42"/>
  <c r="V117" i="42" s="1"/>
  <c r="W117" i="42" s="1"/>
  <c r="AB118" i="42" l="1"/>
  <c r="AF118" i="42" s="1"/>
  <c r="Z118" i="42"/>
  <c r="AC128" i="42"/>
  <c r="AE127" i="42"/>
  <c r="R118" i="42"/>
  <c r="V118" i="42" s="1"/>
  <c r="W118" i="42" s="1"/>
  <c r="S119" i="42"/>
  <c r="AB119" i="42" l="1"/>
  <c r="AF119" i="42" s="1"/>
  <c r="Z119" i="42"/>
  <c r="AC129" i="42"/>
  <c r="AE128" i="42"/>
  <c r="R119" i="42"/>
  <c r="V119" i="42" s="1"/>
  <c r="W119" i="42" s="1"/>
  <c r="S120" i="42"/>
  <c r="AB120" i="42" l="1"/>
  <c r="AF120" i="42" s="1"/>
  <c r="Z120" i="42"/>
  <c r="AC130" i="42"/>
  <c r="AE129" i="42"/>
  <c r="R120" i="42"/>
  <c r="V120" i="42" s="1"/>
  <c r="W120" i="42" s="1"/>
  <c r="S121" i="42"/>
  <c r="AB121" i="42" l="1"/>
  <c r="AF121" i="42" s="1"/>
  <c r="Z121" i="42"/>
  <c r="AC131" i="42"/>
  <c r="AE130" i="42"/>
  <c r="R121" i="42"/>
  <c r="V121" i="42" s="1"/>
  <c r="W121" i="42" s="1"/>
  <c r="S122" i="42"/>
  <c r="AB122" i="42" l="1"/>
  <c r="AF122" i="42" s="1"/>
  <c r="Z122" i="42"/>
  <c r="AC132" i="42"/>
  <c r="AE131" i="42"/>
  <c r="R122" i="42"/>
  <c r="V122" i="42" s="1"/>
  <c r="W122" i="42" s="1"/>
  <c r="S123" i="42"/>
  <c r="AB123" i="42" l="1"/>
  <c r="AF123" i="42" s="1"/>
  <c r="Z123" i="42"/>
  <c r="AC133" i="42"/>
  <c r="AE132" i="42"/>
  <c r="R123" i="42"/>
  <c r="V123" i="42" s="1"/>
  <c r="W123" i="42" s="1"/>
  <c r="S124" i="42"/>
  <c r="AB124" i="42" l="1"/>
  <c r="AF124" i="42" s="1"/>
  <c r="Z124" i="42"/>
  <c r="AC134" i="42"/>
  <c r="AE133" i="42"/>
  <c r="R124" i="42"/>
  <c r="V124" i="42" s="1"/>
  <c r="W124" i="42" s="1"/>
  <c r="S125" i="42"/>
  <c r="AB125" i="42" l="1"/>
  <c r="AF125" i="42" s="1"/>
  <c r="Z125" i="42"/>
  <c r="AC135" i="42"/>
  <c r="AE134" i="42"/>
  <c r="R125" i="42"/>
  <c r="V125" i="42" s="1"/>
  <c r="W125" i="42" s="1"/>
  <c r="S126" i="42"/>
  <c r="AB126" i="42" l="1"/>
  <c r="AF126" i="42" s="1"/>
  <c r="Z126" i="42"/>
  <c r="AC136" i="42"/>
  <c r="AE135" i="42"/>
  <c r="R126" i="42"/>
  <c r="V126" i="42" s="1"/>
  <c r="W126" i="42" s="1"/>
  <c r="S127" i="42"/>
  <c r="AB127" i="42" l="1"/>
  <c r="AF127" i="42" s="1"/>
  <c r="Z127" i="42"/>
  <c r="AC137" i="42"/>
  <c r="AE136" i="42"/>
  <c r="R127" i="42"/>
  <c r="V127" i="42" s="1"/>
  <c r="W127" i="42" s="1"/>
  <c r="S128" i="42"/>
  <c r="AB128" i="42" l="1"/>
  <c r="AF128" i="42" s="1"/>
  <c r="Z128" i="42"/>
  <c r="AC138" i="42"/>
  <c r="AE137" i="42"/>
  <c r="R128" i="42"/>
  <c r="V128" i="42" s="1"/>
  <c r="W128" i="42" s="1"/>
  <c r="S129" i="42"/>
  <c r="AB129" i="42" l="1"/>
  <c r="AF129" i="42" s="1"/>
  <c r="Z129" i="42"/>
  <c r="AC139" i="42"/>
  <c r="AE138" i="42"/>
  <c r="R129" i="42"/>
  <c r="V129" i="42" s="1"/>
  <c r="W129" i="42" s="1"/>
  <c r="S130" i="42"/>
  <c r="AB130" i="42" l="1"/>
  <c r="AF130" i="42" s="1"/>
  <c r="Z130" i="42"/>
  <c r="AC140" i="42"/>
  <c r="AE139" i="42"/>
  <c r="R130" i="42"/>
  <c r="V130" i="42" s="1"/>
  <c r="W130" i="42" s="1"/>
  <c r="S131" i="42"/>
  <c r="AB131" i="42" l="1"/>
  <c r="AF131" i="42" s="1"/>
  <c r="Z131" i="42"/>
  <c r="AC141" i="42"/>
  <c r="AE140" i="42"/>
  <c r="R131" i="42"/>
  <c r="V131" i="42" s="1"/>
  <c r="W131" i="42" s="1"/>
  <c r="S132" i="42"/>
  <c r="AB132" i="42" l="1"/>
  <c r="AF132" i="42" s="1"/>
  <c r="Z132" i="42"/>
  <c r="AC142" i="42"/>
  <c r="AE141" i="42"/>
  <c r="R132" i="42"/>
  <c r="V132" i="42" s="1"/>
  <c r="W132" i="42" s="1"/>
  <c r="S133" i="42"/>
  <c r="AB133" i="42" l="1"/>
  <c r="AF133" i="42" s="1"/>
  <c r="Z133" i="42"/>
  <c r="AC143" i="42"/>
  <c r="AE142" i="42"/>
  <c r="R133" i="42"/>
  <c r="V133" i="42" s="1"/>
  <c r="W133" i="42" s="1"/>
  <c r="S134" i="42"/>
  <c r="AB134" i="42" l="1"/>
  <c r="AF134" i="42" s="1"/>
  <c r="Z134" i="42"/>
  <c r="AC144" i="42"/>
  <c r="AE143" i="42"/>
  <c r="R134" i="42"/>
  <c r="V134" i="42" s="1"/>
  <c r="W134" i="42" s="1"/>
  <c r="S135" i="42"/>
  <c r="AB135" i="42" l="1"/>
  <c r="AF135" i="42" s="1"/>
  <c r="Z135" i="42"/>
  <c r="AC145" i="42"/>
  <c r="AE144" i="42"/>
  <c r="R135" i="42"/>
  <c r="V135" i="42" s="1"/>
  <c r="W135" i="42" s="1"/>
  <c r="S136" i="42"/>
  <c r="AB136" i="42" l="1"/>
  <c r="AF136" i="42" s="1"/>
  <c r="Z136" i="42"/>
  <c r="AC146" i="42"/>
  <c r="AE145" i="42"/>
  <c r="R136" i="42"/>
  <c r="V136" i="42" s="1"/>
  <c r="W136" i="42" s="1"/>
  <c r="S137" i="42"/>
  <c r="AB137" i="42" l="1"/>
  <c r="AF137" i="42" s="1"/>
  <c r="Z137" i="42"/>
  <c r="AC147" i="42"/>
  <c r="AE146" i="42"/>
  <c r="R137" i="42"/>
  <c r="V137" i="42" s="1"/>
  <c r="W137" i="42" s="1"/>
  <c r="S138" i="42"/>
  <c r="AB138" i="42" l="1"/>
  <c r="AF138" i="42" s="1"/>
  <c r="Z138" i="42"/>
  <c r="AC148" i="42"/>
  <c r="AE147" i="42"/>
  <c r="R138" i="42"/>
  <c r="V138" i="42" s="1"/>
  <c r="W138" i="42" s="1"/>
  <c r="S139" i="42"/>
  <c r="AB139" i="42" l="1"/>
  <c r="AF139" i="42" s="1"/>
  <c r="Z139" i="42"/>
  <c r="AC149" i="42"/>
  <c r="AE148" i="42"/>
  <c r="R139" i="42"/>
  <c r="V139" i="42" s="1"/>
  <c r="W139" i="42" s="1"/>
  <c r="S140" i="42"/>
  <c r="AB140" i="42" l="1"/>
  <c r="AF140" i="42" s="1"/>
  <c r="Z140" i="42"/>
  <c r="AC150" i="42"/>
  <c r="AE149" i="42"/>
  <c r="R140" i="42"/>
  <c r="V140" i="42" s="1"/>
  <c r="W140" i="42" s="1"/>
  <c r="S141" i="42"/>
  <c r="AB141" i="42" l="1"/>
  <c r="AF141" i="42" s="1"/>
  <c r="Z141" i="42"/>
  <c r="AC151" i="42"/>
  <c r="AE150" i="42"/>
  <c r="R141" i="42"/>
  <c r="V141" i="42" s="1"/>
  <c r="W141" i="42" s="1"/>
  <c r="S142" i="42"/>
  <c r="AB142" i="42" l="1"/>
  <c r="AF142" i="42" s="1"/>
  <c r="Z142" i="42"/>
  <c r="AC152" i="42"/>
  <c r="AE151" i="42"/>
  <c r="R142" i="42"/>
  <c r="V142" i="42" s="1"/>
  <c r="W142" i="42" s="1"/>
  <c r="S143" i="42"/>
  <c r="AB143" i="42" l="1"/>
  <c r="AF143" i="42" s="1"/>
  <c r="Z143" i="42"/>
  <c r="AC153" i="42"/>
  <c r="AE152" i="42"/>
  <c r="R143" i="42"/>
  <c r="V143" i="42" s="1"/>
  <c r="W143" i="42" s="1"/>
  <c r="S144" i="42"/>
  <c r="AB144" i="42" l="1"/>
  <c r="AF144" i="42" s="1"/>
  <c r="Z144" i="42"/>
  <c r="AC154" i="42"/>
  <c r="AE153" i="42"/>
  <c r="R144" i="42"/>
  <c r="V144" i="42" s="1"/>
  <c r="W144" i="42" s="1"/>
  <c r="S145" i="42"/>
  <c r="AB145" i="42" l="1"/>
  <c r="AF145" i="42" s="1"/>
  <c r="Z145" i="42"/>
  <c r="AC155" i="42"/>
  <c r="AE154" i="42"/>
  <c r="S146" i="42"/>
  <c r="R145" i="42"/>
  <c r="V145" i="42" s="1"/>
  <c r="W145" i="42" s="1"/>
  <c r="AB146" i="42" l="1"/>
  <c r="AF146" i="42" s="1"/>
  <c r="Z146" i="42"/>
  <c r="AC156" i="42"/>
  <c r="AE155" i="42"/>
  <c r="S147" i="42"/>
  <c r="R146" i="42"/>
  <c r="V146" i="42" s="1"/>
  <c r="W146" i="42" s="1"/>
  <c r="AB147" i="42" l="1"/>
  <c r="AF147" i="42" s="1"/>
  <c r="Z147" i="42"/>
  <c r="AC157" i="42"/>
  <c r="AE156" i="42"/>
  <c r="S148" i="42"/>
  <c r="R147" i="42"/>
  <c r="V147" i="42" s="1"/>
  <c r="W147" i="42" s="1"/>
  <c r="AB148" i="42" l="1"/>
  <c r="AF148" i="42" s="1"/>
  <c r="Z148" i="42"/>
  <c r="AC158" i="42"/>
  <c r="AE157" i="42"/>
  <c r="S149" i="42"/>
  <c r="R148" i="42"/>
  <c r="V148" i="42" s="1"/>
  <c r="W148" i="42" s="1"/>
  <c r="AB149" i="42" l="1"/>
  <c r="AF149" i="42" s="1"/>
  <c r="Z149" i="42"/>
  <c r="AC159" i="42"/>
  <c r="AE158" i="42"/>
  <c r="S150" i="42"/>
  <c r="R149" i="42"/>
  <c r="V149" i="42" s="1"/>
  <c r="W149" i="42" s="1"/>
  <c r="AB150" i="42" l="1"/>
  <c r="AF150" i="42" s="1"/>
  <c r="Z150" i="42"/>
  <c r="AC160" i="42"/>
  <c r="AE159" i="42"/>
  <c r="S151" i="42"/>
  <c r="R150" i="42"/>
  <c r="V150" i="42" s="1"/>
  <c r="W150" i="42" s="1"/>
  <c r="AB151" i="42" l="1"/>
  <c r="AF151" i="42" s="1"/>
  <c r="Z151" i="42"/>
  <c r="AC161" i="42"/>
  <c r="AE160" i="42"/>
  <c r="S152" i="42"/>
  <c r="R151" i="42"/>
  <c r="V151" i="42" s="1"/>
  <c r="W151" i="42" s="1"/>
  <c r="AB152" i="42" l="1"/>
  <c r="AF152" i="42" s="1"/>
  <c r="Z152" i="42"/>
  <c r="AC162" i="42"/>
  <c r="AE161" i="42"/>
  <c r="S153" i="42"/>
  <c r="R152" i="42"/>
  <c r="V152" i="42" s="1"/>
  <c r="W152" i="42" s="1"/>
  <c r="AB153" i="42" l="1"/>
  <c r="AF153" i="42" s="1"/>
  <c r="Z153" i="42"/>
  <c r="AC163" i="42"/>
  <c r="AE162" i="42"/>
  <c r="S154" i="42"/>
  <c r="R153" i="42"/>
  <c r="V153" i="42" s="1"/>
  <c r="W153" i="42" s="1"/>
  <c r="AB154" i="42" l="1"/>
  <c r="AF154" i="42" s="1"/>
  <c r="Z154" i="42"/>
  <c r="AC164" i="42"/>
  <c r="AE163" i="42"/>
  <c r="S155" i="42"/>
  <c r="R154" i="42"/>
  <c r="V154" i="42" s="1"/>
  <c r="W154" i="42" s="1"/>
  <c r="AB155" i="42" l="1"/>
  <c r="AF155" i="42" s="1"/>
  <c r="Z155" i="42"/>
  <c r="AC165" i="42"/>
  <c r="AE164" i="42"/>
  <c r="S156" i="42"/>
  <c r="R155" i="42"/>
  <c r="V155" i="42" s="1"/>
  <c r="W155" i="42" s="1"/>
  <c r="AB156" i="42" l="1"/>
  <c r="AF156" i="42" s="1"/>
  <c r="Z156" i="42"/>
  <c r="AC166" i="42"/>
  <c r="AE165" i="42"/>
  <c r="S157" i="42"/>
  <c r="R156" i="42"/>
  <c r="V156" i="42" s="1"/>
  <c r="W156" i="42" s="1"/>
  <c r="AB157" i="42" l="1"/>
  <c r="AF157" i="42" s="1"/>
  <c r="Z157" i="42"/>
  <c r="AC167" i="42"/>
  <c r="AE166" i="42"/>
  <c r="S158" i="42"/>
  <c r="R157" i="42"/>
  <c r="V157" i="42" s="1"/>
  <c r="W157" i="42" s="1"/>
  <c r="AB158" i="42" l="1"/>
  <c r="AF158" i="42" s="1"/>
  <c r="Z158" i="42"/>
  <c r="AC168" i="42"/>
  <c r="AE167" i="42"/>
  <c r="S159" i="42"/>
  <c r="R158" i="42"/>
  <c r="V158" i="42" s="1"/>
  <c r="W158" i="42" s="1"/>
  <c r="AB159" i="42" l="1"/>
  <c r="AF159" i="42" s="1"/>
  <c r="Z159" i="42"/>
  <c r="AC169" i="42"/>
  <c r="AE168" i="42"/>
  <c r="S160" i="42"/>
  <c r="R159" i="42"/>
  <c r="V159" i="42" s="1"/>
  <c r="W159" i="42" s="1"/>
  <c r="AB160" i="42" l="1"/>
  <c r="AF160" i="42" s="1"/>
  <c r="Z160" i="42"/>
  <c r="AC170" i="42"/>
  <c r="AE169" i="42"/>
  <c r="S161" i="42"/>
  <c r="R160" i="42"/>
  <c r="V160" i="42" s="1"/>
  <c r="W160" i="42" s="1"/>
  <c r="AB161" i="42" l="1"/>
  <c r="AF161" i="42" s="1"/>
  <c r="Z161" i="42"/>
  <c r="AC171" i="42"/>
  <c r="AE170" i="42"/>
  <c r="S162" i="42"/>
  <c r="R161" i="42"/>
  <c r="V161" i="42" s="1"/>
  <c r="W161" i="42" s="1"/>
  <c r="AB162" i="42" l="1"/>
  <c r="AF162" i="42" s="1"/>
  <c r="Z162" i="42"/>
  <c r="AC172" i="42"/>
  <c r="AE171" i="42"/>
  <c r="S163" i="42"/>
  <c r="R162" i="42"/>
  <c r="V162" i="42" s="1"/>
  <c r="W162" i="42" s="1"/>
  <c r="AB163" i="42" l="1"/>
  <c r="AF163" i="42" s="1"/>
  <c r="Z163" i="42"/>
  <c r="AC173" i="42"/>
  <c r="AE172" i="42"/>
  <c r="S164" i="42"/>
  <c r="R163" i="42"/>
  <c r="V163" i="42" s="1"/>
  <c r="W163" i="42" s="1"/>
  <c r="AB164" i="42" l="1"/>
  <c r="AF164" i="42" s="1"/>
  <c r="Z164" i="42"/>
  <c r="AC174" i="42"/>
  <c r="AE173" i="42"/>
  <c r="S165" i="42"/>
  <c r="R164" i="42"/>
  <c r="V164" i="42" s="1"/>
  <c r="W164" i="42" s="1"/>
  <c r="AB165" i="42" l="1"/>
  <c r="AF165" i="42" s="1"/>
  <c r="Z165" i="42"/>
  <c r="AC175" i="42"/>
  <c r="AE174" i="42"/>
  <c r="S166" i="42"/>
  <c r="R165" i="42"/>
  <c r="V165" i="42" s="1"/>
  <c r="W165" i="42" s="1"/>
  <c r="AB166" i="42" l="1"/>
  <c r="AF166" i="42" s="1"/>
  <c r="Z166" i="42"/>
  <c r="AC176" i="42"/>
  <c r="AE175" i="42"/>
  <c r="S167" i="42"/>
  <c r="R166" i="42"/>
  <c r="V166" i="42" s="1"/>
  <c r="W166" i="42" s="1"/>
  <c r="AB167" i="42" l="1"/>
  <c r="AF167" i="42" s="1"/>
  <c r="Z167" i="42"/>
  <c r="AC177" i="42"/>
  <c r="AE176" i="42"/>
  <c r="S168" i="42"/>
  <c r="R167" i="42"/>
  <c r="V167" i="42" s="1"/>
  <c r="W167" i="42" s="1"/>
  <c r="AB168" i="42" l="1"/>
  <c r="AF168" i="42" s="1"/>
  <c r="Z168" i="42"/>
  <c r="AC178" i="42"/>
  <c r="AE177" i="42"/>
  <c r="S169" i="42"/>
  <c r="R168" i="42"/>
  <c r="V168" i="42" s="1"/>
  <c r="W168" i="42" s="1"/>
  <c r="AB169" i="42" l="1"/>
  <c r="AF169" i="42" s="1"/>
  <c r="Z169" i="42"/>
  <c r="AC179" i="42"/>
  <c r="AE178" i="42"/>
  <c r="S170" i="42"/>
  <c r="R169" i="42"/>
  <c r="V169" i="42" s="1"/>
  <c r="W169" i="42" s="1"/>
  <c r="AB170" i="42" l="1"/>
  <c r="AF170" i="42" s="1"/>
  <c r="Z170" i="42"/>
  <c r="AC180" i="42"/>
  <c r="AE179" i="42"/>
  <c r="S171" i="42"/>
  <c r="R170" i="42"/>
  <c r="V170" i="42" s="1"/>
  <c r="W170" i="42" s="1"/>
  <c r="AB171" i="42" l="1"/>
  <c r="AF171" i="42" s="1"/>
  <c r="Z171" i="42"/>
  <c r="AC181" i="42"/>
  <c r="AE180" i="42"/>
  <c r="S172" i="42"/>
  <c r="R171" i="42"/>
  <c r="V171" i="42" s="1"/>
  <c r="W171" i="42" s="1"/>
  <c r="AB172" i="42" l="1"/>
  <c r="AF172" i="42" s="1"/>
  <c r="Z172" i="42"/>
  <c r="AC182" i="42"/>
  <c r="AE181" i="42"/>
  <c r="S173" i="42"/>
  <c r="R172" i="42"/>
  <c r="V172" i="42" s="1"/>
  <c r="W172" i="42" s="1"/>
  <c r="AB173" i="42" l="1"/>
  <c r="AF173" i="42" s="1"/>
  <c r="Z173" i="42"/>
  <c r="AC183" i="42"/>
  <c r="AE182" i="42"/>
  <c r="S174" i="42"/>
  <c r="R173" i="42"/>
  <c r="V173" i="42" s="1"/>
  <c r="W173" i="42" s="1"/>
  <c r="AB174" i="42" l="1"/>
  <c r="AF174" i="42" s="1"/>
  <c r="Z174" i="42"/>
  <c r="AC184" i="42"/>
  <c r="AE183" i="42"/>
  <c r="S175" i="42"/>
  <c r="R174" i="42"/>
  <c r="V174" i="42" s="1"/>
  <c r="W174" i="42" s="1"/>
  <c r="AB175" i="42" l="1"/>
  <c r="AF175" i="42" s="1"/>
  <c r="Z175" i="42"/>
  <c r="AC185" i="42"/>
  <c r="AE184" i="42"/>
  <c r="S176" i="42"/>
  <c r="R175" i="42"/>
  <c r="V175" i="42" s="1"/>
  <c r="W175" i="42" s="1"/>
  <c r="AB176" i="42" l="1"/>
  <c r="AF176" i="42" s="1"/>
  <c r="Z176" i="42"/>
  <c r="AC186" i="42"/>
  <c r="AE185" i="42"/>
  <c r="R176" i="42"/>
  <c r="V176" i="42" s="1"/>
  <c r="W176" i="42" s="1"/>
  <c r="S177" i="42"/>
  <c r="AB177" i="42" l="1"/>
  <c r="AF177" i="42" s="1"/>
  <c r="Z177" i="42"/>
  <c r="AC187" i="42"/>
  <c r="AE186" i="42"/>
  <c r="S178" i="42"/>
  <c r="R177" i="42"/>
  <c r="V177" i="42" s="1"/>
  <c r="W177" i="42" s="1"/>
  <c r="AB178" i="42" l="1"/>
  <c r="AF178" i="42" s="1"/>
  <c r="Z178" i="42"/>
  <c r="AC188" i="42"/>
  <c r="AE187" i="42"/>
  <c r="S179" i="42"/>
  <c r="R178" i="42"/>
  <c r="V178" i="42" s="1"/>
  <c r="W178" i="42" s="1"/>
  <c r="AB179" i="42" l="1"/>
  <c r="AF179" i="42" s="1"/>
  <c r="Z179" i="42"/>
  <c r="AC189" i="42"/>
  <c r="AE188" i="42"/>
  <c r="S180" i="42"/>
  <c r="R179" i="42"/>
  <c r="V179" i="42" s="1"/>
  <c r="W179" i="42" s="1"/>
  <c r="AB180" i="42" l="1"/>
  <c r="AF180" i="42" s="1"/>
  <c r="Z180" i="42"/>
  <c r="AC190" i="42"/>
  <c r="AE189" i="42"/>
  <c r="S181" i="42"/>
  <c r="R180" i="42"/>
  <c r="V180" i="42" s="1"/>
  <c r="W180" i="42" s="1"/>
  <c r="AB181" i="42" l="1"/>
  <c r="AF181" i="42" s="1"/>
  <c r="Z181" i="42"/>
  <c r="AC191" i="42"/>
  <c r="AE190" i="42"/>
  <c r="S182" i="42"/>
  <c r="R181" i="42"/>
  <c r="V181" i="42" s="1"/>
  <c r="W181" i="42" s="1"/>
  <c r="AB182" i="42" l="1"/>
  <c r="AF182" i="42" s="1"/>
  <c r="Z182" i="42"/>
  <c r="AC192" i="42"/>
  <c r="AE191" i="42"/>
  <c r="S183" i="42"/>
  <c r="R182" i="42"/>
  <c r="V182" i="42" s="1"/>
  <c r="W182" i="42" s="1"/>
  <c r="AB183" i="42" l="1"/>
  <c r="AF183" i="42" s="1"/>
  <c r="Z183" i="42"/>
  <c r="AC193" i="42"/>
  <c r="AE192" i="42"/>
  <c r="S184" i="42"/>
  <c r="R183" i="42"/>
  <c r="V183" i="42" s="1"/>
  <c r="W183" i="42" s="1"/>
  <c r="AB184" i="42" l="1"/>
  <c r="AF184" i="42" s="1"/>
  <c r="Z184" i="42"/>
  <c r="AC194" i="42"/>
  <c r="AE193" i="42"/>
  <c r="S185" i="42"/>
  <c r="R184" i="42"/>
  <c r="V184" i="42" s="1"/>
  <c r="W184" i="42" s="1"/>
  <c r="AB185" i="42" l="1"/>
  <c r="AF185" i="42" s="1"/>
  <c r="Z185" i="42"/>
  <c r="AC195" i="42"/>
  <c r="AE194" i="42"/>
  <c r="S186" i="42"/>
  <c r="R185" i="42"/>
  <c r="V185" i="42" s="1"/>
  <c r="W185" i="42" s="1"/>
  <c r="AB186" i="42" l="1"/>
  <c r="AF186" i="42" s="1"/>
  <c r="Z186" i="42"/>
  <c r="AC196" i="42"/>
  <c r="AE195" i="42"/>
  <c r="S187" i="42"/>
  <c r="R186" i="42"/>
  <c r="V186" i="42" s="1"/>
  <c r="W186" i="42" s="1"/>
  <c r="AB187" i="42" l="1"/>
  <c r="AF187" i="42" s="1"/>
  <c r="Z187" i="42"/>
  <c r="AC197" i="42"/>
  <c r="AE196" i="42"/>
  <c r="S188" i="42"/>
  <c r="R187" i="42"/>
  <c r="V187" i="42" s="1"/>
  <c r="W187" i="42" s="1"/>
  <c r="AB188" i="42" l="1"/>
  <c r="AF188" i="42" s="1"/>
  <c r="Z188" i="42"/>
  <c r="AC198" i="42"/>
  <c r="AE197" i="42"/>
  <c r="S189" i="42"/>
  <c r="R188" i="42"/>
  <c r="V188" i="42" s="1"/>
  <c r="W188" i="42" s="1"/>
  <c r="AB189" i="42" l="1"/>
  <c r="AF189" i="42" s="1"/>
  <c r="Z189" i="42"/>
  <c r="AC199" i="42"/>
  <c r="AE198" i="42"/>
  <c r="S190" i="42"/>
  <c r="R189" i="42"/>
  <c r="V189" i="42" s="1"/>
  <c r="W189" i="42" s="1"/>
  <c r="AB190" i="42" l="1"/>
  <c r="AF190" i="42" s="1"/>
  <c r="Z190" i="42"/>
  <c r="AC200" i="42"/>
  <c r="AE199" i="42"/>
  <c r="S191" i="42"/>
  <c r="R190" i="42"/>
  <c r="V190" i="42" s="1"/>
  <c r="W190" i="42" s="1"/>
  <c r="AB191" i="42" l="1"/>
  <c r="AF191" i="42" s="1"/>
  <c r="Z191" i="42"/>
  <c r="AC201" i="42"/>
  <c r="AE201" i="42" s="1"/>
  <c r="AE200" i="42"/>
  <c r="S192" i="42"/>
  <c r="R191" i="42"/>
  <c r="V191" i="42" s="1"/>
  <c r="W191" i="42" s="1"/>
  <c r="AB192" i="42" l="1"/>
  <c r="AF192" i="42" s="1"/>
  <c r="Z192" i="42"/>
  <c r="S193" i="42"/>
  <c r="R192" i="42"/>
  <c r="V192" i="42" s="1"/>
  <c r="W192" i="42" s="1"/>
  <c r="AB193" i="42" l="1"/>
  <c r="AF193" i="42" s="1"/>
  <c r="Z193" i="42"/>
  <c r="S194" i="42"/>
  <c r="R193" i="42"/>
  <c r="V193" i="42" s="1"/>
  <c r="W193" i="42" s="1"/>
  <c r="AB194" i="42" l="1"/>
  <c r="AF194" i="42" s="1"/>
  <c r="Z194" i="42"/>
  <c r="S195" i="42"/>
  <c r="R194" i="42"/>
  <c r="V194" i="42" s="1"/>
  <c r="W194" i="42" s="1"/>
  <c r="AB195" i="42" l="1"/>
  <c r="AF195" i="42" s="1"/>
  <c r="Z195" i="42"/>
  <c r="S196" i="42"/>
  <c r="R195" i="42"/>
  <c r="V195" i="42" s="1"/>
  <c r="W195" i="42" s="1"/>
  <c r="AB196" i="42" l="1"/>
  <c r="AF196" i="42" s="1"/>
  <c r="Z196" i="42"/>
  <c r="S197" i="42"/>
  <c r="R196" i="42"/>
  <c r="V196" i="42" s="1"/>
  <c r="W196" i="42" s="1"/>
  <c r="AB197" i="42" l="1"/>
  <c r="AF197" i="42" s="1"/>
  <c r="Z197" i="42"/>
  <c r="S198" i="42"/>
  <c r="R197" i="42"/>
  <c r="V197" i="42" s="1"/>
  <c r="W197" i="42" s="1"/>
  <c r="AB198" i="42" l="1"/>
  <c r="AF198" i="42" s="1"/>
  <c r="Z198" i="42"/>
  <c r="S199" i="42"/>
  <c r="R198" i="42"/>
  <c r="V198" i="42" s="1"/>
  <c r="W198" i="42" s="1"/>
  <c r="AB199" i="42" l="1"/>
  <c r="AF199" i="42" s="1"/>
  <c r="Z199" i="42"/>
  <c r="S200" i="42"/>
  <c r="R199" i="42"/>
  <c r="V199" i="42" s="1"/>
  <c r="W199" i="42" s="1"/>
  <c r="AB200" i="42" l="1"/>
  <c r="AF200" i="42" s="1"/>
  <c r="Z200" i="42"/>
  <c r="R200" i="42"/>
  <c r="V200" i="42" s="1"/>
  <c r="W200" i="42" s="1"/>
  <c r="S201" i="42"/>
  <c r="Z201" i="42" s="1"/>
  <c r="R201" i="42" l="1"/>
  <c r="V201" i="42" s="1"/>
  <c r="W201" i="42" s="1"/>
  <c r="AB201" i="42"/>
  <c r="AF201" i="42" s="1"/>
</calcChain>
</file>

<file path=xl/sharedStrings.xml><?xml version="1.0" encoding="utf-8"?>
<sst xmlns="http://schemas.openxmlformats.org/spreadsheetml/2006/main" count="4720" uniqueCount="2472">
  <si>
    <t>现价</t>
  </si>
  <si>
    <t>市净率</t>
  </si>
  <si>
    <t>代码</t>
  </si>
  <si>
    <t xml:space="preserve">    名称</t>
  </si>
  <si>
    <t>总市值</t>
  </si>
  <si>
    <t>TTM市盈率</t>
  </si>
  <si>
    <t>所属行业</t>
  </si>
  <si>
    <t>--</t>
  </si>
  <si>
    <t>化学制品</t>
  </si>
  <si>
    <t>负债合计</t>
  </si>
  <si>
    <t>所有者权益合计</t>
  </si>
  <si>
    <t>主营业务收入</t>
  </si>
  <si>
    <t>净利润增长率</t>
  </si>
  <si>
    <t>总股本</t>
  </si>
  <si>
    <t>财务费用</t>
  </si>
  <si>
    <t>投资收益</t>
  </si>
  <si>
    <t>应收账款</t>
  </si>
  <si>
    <t>12.03亿</t>
  </si>
  <si>
    <t>5.54亿</t>
  </si>
  <si>
    <t>3.03亿</t>
  </si>
  <si>
    <t>1.36亿</t>
  </si>
  <si>
    <t>2.42亿</t>
  </si>
  <si>
    <t>0亿</t>
  </si>
  <si>
    <t>4.70亿</t>
  </si>
  <si>
    <t>5.06亿</t>
  </si>
  <si>
    <t>4.01亿</t>
  </si>
  <si>
    <t>1.16亿</t>
  </si>
  <si>
    <t>10.24亿</t>
  </si>
  <si>
    <t>1.67亿</t>
  </si>
  <si>
    <t>1.50亿</t>
  </si>
  <si>
    <t>2.22亿</t>
  </si>
  <si>
    <t>2.83亿</t>
  </si>
  <si>
    <t>建筑材料</t>
  </si>
  <si>
    <t>11.48亿</t>
  </si>
  <si>
    <t>1.34亿</t>
  </si>
  <si>
    <t>4.66亿</t>
  </si>
  <si>
    <t>1.81亿</t>
  </si>
  <si>
    <t>2.00亿</t>
  </si>
  <si>
    <t>1.42亿</t>
  </si>
  <si>
    <t>4.05亿</t>
  </si>
  <si>
    <t>2.27亿</t>
  </si>
  <si>
    <t>8.55亿</t>
  </si>
  <si>
    <t>1.33亿</t>
  </si>
  <si>
    <t>1.14亿</t>
  </si>
  <si>
    <t>8.11亿</t>
  </si>
  <si>
    <t>1.07亿</t>
  </si>
  <si>
    <t>8.10亿</t>
  </si>
  <si>
    <t>1.98亿</t>
  </si>
  <si>
    <t>9.37亿</t>
  </si>
  <si>
    <t>4.57亿</t>
  </si>
  <si>
    <t>7.08亿</t>
  </si>
  <si>
    <t>1.71亿</t>
  </si>
  <si>
    <t>1.08亿</t>
  </si>
  <si>
    <t>8.87亿</t>
  </si>
  <si>
    <t>2.23亿</t>
  </si>
  <si>
    <t>2.45亿</t>
  </si>
  <si>
    <t>1.22亿</t>
  </si>
  <si>
    <t>5.46亿</t>
  </si>
  <si>
    <t>2.80亿</t>
  </si>
  <si>
    <t>2.67亿</t>
  </si>
  <si>
    <t>20.30亿</t>
  </si>
  <si>
    <t>5.17亿</t>
  </si>
  <si>
    <t>1.84亿</t>
  </si>
  <si>
    <t>1.02亿</t>
  </si>
  <si>
    <t>2.88亿</t>
  </si>
  <si>
    <t>3.96亿</t>
  </si>
  <si>
    <t>1.21亿</t>
  </si>
  <si>
    <t>3.73亿</t>
  </si>
  <si>
    <t>3.51亿</t>
  </si>
  <si>
    <t>1.01亿</t>
  </si>
  <si>
    <t>2.01亿</t>
  </si>
  <si>
    <t>1.56亿</t>
  </si>
  <si>
    <t>1.57亿</t>
  </si>
  <si>
    <t>1.72亿</t>
  </si>
  <si>
    <t>4.19亿</t>
  </si>
  <si>
    <t>4.58亿</t>
  </si>
  <si>
    <t>5.72亿</t>
  </si>
  <si>
    <t>-1.37亿</t>
  </si>
  <si>
    <t>3.68亿</t>
  </si>
  <si>
    <t>2.78亿</t>
  </si>
  <si>
    <t>4.55亿</t>
  </si>
  <si>
    <t>2.14亿</t>
  </si>
  <si>
    <t>专用设备</t>
  </si>
  <si>
    <t>2.72亿</t>
  </si>
  <si>
    <t>26.85亿</t>
  </si>
  <si>
    <t>5.95亿</t>
  </si>
  <si>
    <t>3.49亿</t>
  </si>
  <si>
    <t>9.30亿</t>
  </si>
  <si>
    <t>5.48亿</t>
  </si>
  <si>
    <t>2.63亿</t>
  </si>
  <si>
    <t>3.61亿</t>
  </si>
  <si>
    <t>9.69亿</t>
  </si>
  <si>
    <t>1.38亿</t>
  </si>
  <si>
    <t>1.12亿</t>
  </si>
  <si>
    <t>3.13亿</t>
  </si>
  <si>
    <t>1.52亿</t>
  </si>
  <si>
    <t>1.55亿</t>
  </si>
  <si>
    <t>3.69亿</t>
  </si>
  <si>
    <t>2.90亿</t>
  </si>
  <si>
    <t>2.38亿</t>
  </si>
  <si>
    <t>3.10亿</t>
  </si>
  <si>
    <t>10.34亿</t>
  </si>
  <si>
    <t>1.74亿</t>
  </si>
  <si>
    <t>8.75亿</t>
  </si>
  <si>
    <t>4.78亿</t>
  </si>
  <si>
    <t>7.39亿</t>
  </si>
  <si>
    <t>8.14亿</t>
  </si>
  <si>
    <t>15.87亿</t>
  </si>
  <si>
    <t>2.46亿</t>
  </si>
  <si>
    <t>6.38亿</t>
  </si>
  <si>
    <t>1.17亿</t>
  </si>
  <si>
    <t>16.61亿</t>
  </si>
  <si>
    <t>26.35亿</t>
  </si>
  <si>
    <t>6.22亿</t>
  </si>
  <si>
    <t>5.43亿</t>
  </si>
  <si>
    <t>2.47亿</t>
  </si>
  <si>
    <t>5.00亿</t>
  </si>
  <si>
    <t>4.52亿</t>
  </si>
  <si>
    <t>10.48亿</t>
  </si>
  <si>
    <t>5.41亿</t>
  </si>
  <si>
    <t>2.81亿</t>
  </si>
  <si>
    <t>6.30亿</t>
  </si>
  <si>
    <t>2.16亿</t>
  </si>
  <si>
    <t>6.07亿</t>
  </si>
  <si>
    <t>13.80亿</t>
  </si>
  <si>
    <t>年份</t>
    <phoneticPr fontId="1" type="noConversion"/>
  </si>
  <si>
    <t>增速</t>
    <phoneticPr fontId="1" type="noConversion"/>
  </si>
  <si>
    <t>现期负债</t>
    <phoneticPr fontId="1" type="noConversion"/>
  </si>
  <si>
    <t>现期净资产</t>
    <phoneticPr fontId="1" type="noConversion"/>
  </si>
  <si>
    <t>收益基准</t>
    <phoneticPr fontId="1" type="noConversion"/>
  </si>
  <si>
    <t>估计收益</t>
    <phoneticPr fontId="1" type="noConversion"/>
  </si>
  <si>
    <t>现期利润</t>
    <phoneticPr fontId="1" type="noConversion"/>
  </si>
  <si>
    <t>现期利润增速</t>
    <phoneticPr fontId="1" type="noConversion"/>
  </si>
  <si>
    <t>期限时长</t>
    <phoneticPr fontId="1" type="noConversion"/>
  </si>
  <si>
    <t>现期市值</t>
    <phoneticPr fontId="1" type="noConversion"/>
  </si>
  <si>
    <t>现期溢价</t>
    <phoneticPr fontId="1" type="noConversion"/>
  </si>
  <si>
    <t>现期静现金</t>
    <phoneticPr fontId="1" type="noConversion"/>
  </si>
  <si>
    <t>未来静现金流总和</t>
    <phoneticPr fontId="1" type="noConversion"/>
  </si>
  <si>
    <t>折现率</t>
    <phoneticPr fontId="1" type="noConversion"/>
  </si>
  <si>
    <t>倍率</t>
    <phoneticPr fontId="1" type="noConversion"/>
  </si>
  <si>
    <t>回本时长</t>
    <phoneticPr fontId="1" type="noConversion"/>
  </si>
  <si>
    <t>复利公式</t>
    <phoneticPr fontId="1" type="noConversion"/>
  </si>
  <si>
    <t>折现计算</t>
    <phoneticPr fontId="1" type="noConversion"/>
  </si>
  <si>
    <t>未来盈利估算</t>
    <phoneticPr fontId="1" type="noConversion"/>
  </si>
  <si>
    <t>未来盈利增速估计</t>
    <phoneticPr fontId="1" type="noConversion"/>
  </si>
  <si>
    <t>折现率</t>
    <phoneticPr fontId="1" type="noConversion"/>
  </si>
  <si>
    <t>存续年限现金流求和</t>
    <phoneticPr fontId="1" type="noConversion"/>
  </si>
  <si>
    <t>折算溢价回本比例</t>
    <phoneticPr fontId="1" type="noConversion"/>
  </si>
  <si>
    <t>市值</t>
    <phoneticPr fontId="1" type="noConversion"/>
  </si>
  <si>
    <t>净资产含量</t>
    <phoneticPr fontId="1" type="noConversion"/>
  </si>
  <si>
    <t>当期pe</t>
    <phoneticPr fontId="1" type="noConversion"/>
  </si>
  <si>
    <t>净利率估算</t>
    <phoneticPr fontId="1" type="noConversion"/>
  </si>
  <si>
    <t>未来营收估算</t>
    <phoneticPr fontId="1" type="noConversion"/>
  </si>
  <si>
    <t>潜在市场容量</t>
    <phoneticPr fontId="1" type="noConversion"/>
  </si>
  <si>
    <t>市占率</t>
    <phoneticPr fontId="1" type="noConversion"/>
  </si>
  <si>
    <t>对应市场份额</t>
    <phoneticPr fontId="1" type="noConversion"/>
  </si>
  <si>
    <t>市场份额小于营收估算警戒</t>
    <phoneticPr fontId="1" type="noConversion"/>
  </si>
  <si>
    <t>事件触发</t>
    <phoneticPr fontId="1" type="noConversion"/>
  </si>
  <si>
    <t>流动资产</t>
  </si>
  <si>
    <t>营业收入[20191231]</t>
  </si>
  <si>
    <t>营业收入[20181231]</t>
  </si>
  <si>
    <t>营业收入[20171231]</t>
  </si>
  <si>
    <t>营业收入[20161231]</t>
  </si>
  <si>
    <t>净利润[20191231]</t>
  </si>
  <si>
    <t>净利润[20181231]</t>
  </si>
  <si>
    <t>净利润[20171231]</t>
  </si>
  <si>
    <t>净利润[20161231]</t>
  </si>
  <si>
    <t>营业收入[20201231]</t>
  </si>
  <si>
    <t>净利润[20201231]</t>
  </si>
  <si>
    <t>投入资本回报率roic%[20201231]</t>
  </si>
  <si>
    <t>投入资本回报率roic%[20191231]</t>
  </si>
  <si>
    <t>投入资本回报率roic%[20181231]</t>
  </si>
  <si>
    <t>净资产收益率%[20201231]</t>
  </si>
  <si>
    <t>净资产收益率%[20191231]</t>
  </si>
  <si>
    <t>净资产收益率%[20181231]</t>
  </si>
  <si>
    <t>销售毛利率%[20201231]</t>
  </si>
  <si>
    <t>销售毛利率%[20191231]</t>
  </si>
  <si>
    <t>销售净利率%[20201231]</t>
  </si>
  <si>
    <t>销售净利率%[20191231]</t>
  </si>
  <si>
    <t>4.89亿</t>
  </si>
  <si>
    <t>4.96亿</t>
  </si>
  <si>
    <t>10.18亿</t>
  </si>
  <si>
    <t>11.40亿</t>
  </si>
  <si>
    <t>-1.68亿</t>
  </si>
  <si>
    <t>11.22亿</t>
  </si>
  <si>
    <t>7000.00万</t>
  </si>
  <si>
    <t>9.42亿</t>
  </si>
  <si>
    <t>18.78亿</t>
  </si>
  <si>
    <t>19.44亿</t>
  </si>
  <si>
    <t>3.70亿</t>
  </si>
  <si>
    <t>13.03亿</t>
  </si>
  <si>
    <t>10.78亿</t>
  </si>
  <si>
    <t>5.28亿</t>
  </si>
  <si>
    <t>15.03亿</t>
  </si>
  <si>
    <t>4.86亿</t>
  </si>
  <si>
    <t>9.58亿</t>
  </si>
  <si>
    <t>6.33亿</t>
  </si>
  <si>
    <t>10.71亿</t>
  </si>
  <si>
    <t>6.95亿</t>
  </si>
  <si>
    <t>33.49亿</t>
  </si>
  <si>
    <t>25.53亿</t>
  </si>
  <si>
    <t>-1.19亿</t>
  </si>
  <si>
    <t>3.88亿</t>
  </si>
  <si>
    <t>12.10亿</t>
  </si>
  <si>
    <t>20.40亿</t>
  </si>
  <si>
    <t>16.00亿</t>
  </si>
  <si>
    <t>SZ002080</t>
  </si>
  <si>
    <t>中材科技</t>
  </si>
  <si>
    <t>135.90亿</t>
  </si>
  <si>
    <t>114.58亿</t>
  </si>
  <si>
    <t>102.68亿</t>
  </si>
  <si>
    <t>89.69亿</t>
  </si>
  <si>
    <t>7.67亿</t>
  </si>
  <si>
    <t>-1.30亿</t>
  </si>
  <si>
    <t>权益乘数[20210331]</t>
  </si>
  <si>
    <t>总资产周转率[20210331]</t>
  </si>
  <si>
    <t>净利润／营业总收入%[20210331]</t>
  </si>
  <si>
    <t>营业总成本[20210331]</t>
  </si>
  <si>
    <t>营业成本[20210331]</t>
  </si>
  <si>
    <t>管理费用[20210331]</t>
  </si>
  <si>
    <t>单季营收增速</t>
  </si>
  <si>
    <t>单季利润增速</t>
  </si>
  <si>
    <t>N-1年营收增速</t>
  </si>
  <si>
    <t>N-2年营收增速</t>
  </si>
  <si>
    <t>N-3年营收增速</t>
  </si>
  <si>
    <t>N-4年营收增速</t>
  </si>
  <si>
    <t>N-5年营收增速</t>
  </si>
  <si>
    <t>N-1年利润增速</t>
  </si>
  <si>
    <t>N-2年利润增速</t>
  </si>
  <si>
    <t>N-3年利润增速</t>
  </si>
  <si>
    <t>N-4年利润增速</t>
  </si>
  <si>
    <t>N-5年利润增速</t>
  </si>
  <si>
    <t>过往营收增速均值</t>
    <phoneticPr fontId="1" type="noConversion"/>
  </si>
  <si>
    <t>20增速</t>
  </si>
  <si>
    <t>当期自由现金流估计值</t>
  </si>
  <si>
    <t>自由现金流估计增速</t>
  </si>
  <si>
    <t>原始排序</t>
    <phoneticPr fontId="1" type="noConversion"/>
  </si>
  <si>
    <t>策略1营收单季最佳增速</t>
    <phoneticPr fontId="1" type="noConversion"/>
  </si>
  <si>
    <t>综合策略</t>
    <phoneticPr fontId="1" type="noConversion"/>
  </si>
  <si>
    <t>-2.99亿</t>
  </si>
  <si>
    <t>汽车零部件</t>
  </si>
  <si>
    <t>8.00亿</t>
  </si>
  <si>
    <t>49.79亿</t>
  </si>
  <si>
    <t>4.54亿</t>
  </si>
  <si>
    <t>9.56亿</t>
  </si>
  <si>
    <t>17.18亿</t>
  </si>
  <si>
    <t>20.82亿</t>
  </si>
  <si>
    <t>6.80亿</t>
  </si>
  <si>
    <t>14.58亿</t>
  </si>
  <si>
    <t>13.58亿</t>
  </si>
  <si>
    <t>11.04亿</t>
  </si>
  <si>
    <t>20.38亿</t>
  </si>
  <si>
    <t>13.30亿</t>
  </si>
  <si>
    <t>30.33亿</t>
  </si>
  <si>
    <t>20.09亿</t>
  </si>
  <si>
    <t>8.90亿</t>
  </si>
  <si>
    <t>电力设备</t>
  </si>
  <si>
    <t>14.45亿</t>
  </si>
  <si>
    <t>10.63亿</t>
  </si>
  <si>
    <t>10.67亿</t>
  </si>
  <si>
    <t>14.91亿</t>
  </si>
  <si>
    <t>34.77亿</t>
  </si>
  <si>
    <t>68.08亿</t>
  </si>
  <si>
    <t>31.39亿</t>
  </si>
  <si>
    <t>11.78亿</t>
  </si>
  <si>
    <t>17.97亿</t>
  </si>
  <si>
    <t>1增速</t>
    <phoneticPr fontId="1" type="noConversion"/>
  </si>
  <si>
    <t>6年自由现金流折现</t>
    <phoneticPr fontId="1" type="noConversion"/>
  </si>
  <si>
    <t>10增速</t>
    <phoneticPr fontId="1" type="noConversion"/>
  </si>
  <si>
    <t>清算价格</t>
    <phoneticPr fontId="1" type="noConversion"/>
  </si>
  <si>
    <t>利润成长策略</t>
    <phoneticPr fontId="1" type="noConversion"/>
  </si>
  <si>
    <t>SZ002274</t>
  </si>
  <si>
    <t>华昌化工</t>
  </si>
  <si>
    <t>燃气</t>
  </si>
  <si>
    <t>SH600860</t>
  </si>
  <si>
    <t>京城股份</t>
  </si>
  <si>
    <t>通用设备</t>
  </si>
  <si>
    <t>10.88亿</t>
  </si>
  <si>
    <t>11.96亿</t>
  </si>
  <si>
    <t>-9393.62万</t>
  </si>
  <si>
    <t>2086.84万</t>
  </si>
  <si>
    <t>-1.49亿</t>
  </si>
  <si>
    <t>-427.97万</t>
  </si>
  <si>
    <t>SZ300228</t>
  </si>
  <si>
    <t>富瑞特装</t>
  </si>
  <si>
    <t>18.06亿</t>
  </si>
  <si>
    <t>7141.69万</t>
  </si>
  <si>
    <t>15.74亿</t>
  </si>
  <si>
    <t>17.46亿</t>
  </si>
  <si>
    <t>-3.27亿</t>
  </si>
  <si>
    <t>1282.23万</t>
  </si>
  <si>
    <t>5104.85万</t>
  </si>
  <si>
    <t>1000.90万</t>
  </si>
  <si>
    <t>SH600218</t>
  </si>
  <si>
    <t>全柴动力</t>
  </si>
  <si>
    <t>44.56亿</t>
  </si>
  <si>
    <t>40.44亿</t>
  </si>
  <si>
    <t>31.94亿</t>
  </si>
  <si>
    <t>29.81亿</t>
  </si>
  <si>
    <t>9677.95万</t>
  </si>
  <si>
    <t>3968.31万</t>
  </si>
  <si>
    <t>6148.18万</t>
  </si>
  <si>
    <t>9489.14万</t>
  </si>
  <si>
    <t>5855.34万</t>
  </si>
  <si>
    <t>SZ002639</t>
  </si>
  <si>
    <t>雪人股份</t>
  </si>
  <si>
    <t>-1.81亿</t>
  </si>
  <si>
    <t>15.14亿</t>
  </si>
  <si>
    <t>5692.64万</t>
  </si>
  <si>
    <t>1540.57万</t>
  </si>
  <si>
    <t>-5889.33万</t>
  </si>
  <si>
    <t>3305.40万</t>
  </si>
  <si>
    <t>-2861.08万</t>
  </si>
  <si>
    <t>SZ300471</t>
  </si>
  <si>
    <t>厚普股份</t>
  </si>
  <si>
    <t>13.01亿</t>
  </si>
  <si>
    <t>2082.76万</t>
  </si>
  <si>
    <t>-4.79亿</t>
  </si>
  <si>
    <t>3248.37万</t>
  </si>
  <si>
    <t>388.28万</t>
  </si>
  <si>
    <t>SH688339</t>
  </si>
  <si>
    <t>亿华通-U</t>
  </si>
  <si>
    <t>-2252.36万</t>
  </si>
  <si>
    <t>6391.65万</t>
  </si>
  <si>
    <t>2311.61万</t>
  </si>
  <si>
    <t>2860.78万</t>
  </si>
  <si>
    <t>-18.15万</t>
  </si>
  <si>
    <t>1015.53万</t>
  </si>
  <si>
    <t>-1557.77万</t>
  </si>
  <si>
    <t>SZ000723</t>
  </si>
  <si>
    <t>美锦能源</t>
  </si>
  <si>
    <t>煤炭开采加工</t>
  </si>
  <si>
    <t>128.46亿</t>
  </si>
  <si>
    <t>140.90亿</t>
  </si>
  <si>
    <t>151.47亿</t>
  </si>
  <si>
    <t>122.38亿</t>
  </si>
  <si>
    <t>71.10亿</t>
  </si>
  <si>
    <t>SZ000338</t>
  </si>
  <si>
    <t>潍柴动力</t>
  </si>
  <si>
    <t>1743.61亿</t>
  </si>
  <si>
    <t>1592.56亿</t>
  </si>
  <si>
    <t>1515.69亿</t>
  </si>
  <si>
    <t>931.84亿</t>
  </si>
  <si>
    <t>91.05亿</t>
  </si>
  <si>
    <t>86.58亿</t>
  </si>
  <si>
    <t>24.41亿</t>
  </si>
  <si>
    <t>13.00亿</t>
  </si>
  <si>
    <t>17.15亿</t>
  </si>
  <si>
    <t>17.28亿</t>
  </si>
  <si>
    <t>17.21亿</t>
  </si>
  <si>
    <t>涨幅%</t>
  </si>
  <si>
    <t>LYear营业总收入[20211231]</t>
  </si>
  <si>
    <t>LYear净利润[20211231]</t>
  </si>
  <si>
    <t>流通股本</t>
  </si>
  <si>
    <t>销售费用[20220331]</t>
  </si>
  <si>
    <t>其他收入[20220331]</t>
  </si>
  <si>
    <t>货币资金[20220331]</t>
  </si>
  <si>
    <t>应收票据[20220331]</t>
  </si>
  <si>
    <t>固定资产[20220331]</t>
  </si>
  <si>
    <t>在建工程[20220331]</t>
  </si>
  <si>
    <t>短期借款[20220331]</t>
  </si>
  <si>
    <t>应付票据[20220331]</t>
  </si>
  <si>
    <t>应付账款[20220331]</t>
  </si>
  <si>
    <t>预收款项[20220331]</t>
  </si>
  <si>
    <t>流动负债[20220331]</t>
  </si>
  <si>
    <t>长期借款[20220331]</t>
  </si>
  <si>
    <t>经营活动产生的现金流量净额[20220331]</t>
  </si>
  <si>
    <t>投资活动产生的现金流量净额[20220331]</t>
  </si>
  <si>
    <t>筹资活动产生的现金流量净额[20220331]</t>
  </si>
  <si>
    <t>LYCQ营业收入[20210331]</t>
  </si>
  <si>
    <t>CYLQ净利润[20211231]</t>
  </si>
  <si>
    <t>LYCQ净利润[20210331]</t>
  </si>
  <si>
    <t>LYLQ净利润[20201231]</t>
  </si>
  <si>
    <t>投入资本回报率roic%[20211231]</t>
  </si>
  <si>
    <t>净资产收益率%[20211231]</t>
  </si>
  <si>
    <t>销售毛利率%[20211231]</t>
  </si>
  <si>
    <t>销售净利率%[20211231]</t>
  </si>
  <si>
    <t>38.26亿</t>
  </si>
  <si>
    <t/>
  </si>
  <si>
    <t>-2-0</t>
  </si>
  <si>
    <t>-1-0</t>
  </si>
  <si>
    <t>预期多</t>
    <phoneticPr fontId="1" type="noConversion"/>
  </si>
  <si>
    <t>预期空</t>
    <phoneticPr fontId="1" type="noConversion"/>
  </si>
  <si>
    <t>已知和基本信息</t>
    <phoneticPr fontId="1" type="noConversion"/>
  </si>
  <si>
    <t>成交量[20220517]</t>
  </si>
  <si>
    <t>营业收入(同比增长率) %[20220331]</t>
  </si>
  <si>
    <t>净利润?</t>
  </si>
  <si>
    <t>研发费用总额[20211231]</t>
  </si>
  <si>
    <t>扣非净利润</t>
  </si>
  <si>
    <t>营业总收入[20201231]</t>
  </si>
  <si>
    <t>营业收入[20220331]</t>
  </si>
  <si>
    <t>区间涨跌幅:前复权%[20220511-20220517]</t>
  </si>
  <si>
    <t>区间涨跌幅:前复权%[20220330-20220517]</t>
  </si>
  <si>
    <t>区间成交量[20220511-20220517]</t>
  </si>
  <si>
    <t>指数@区间成交量[20220330-20220517]</t>
  </si>
  <si>
    <t>市销率</t>
    <phoneticPr fontId="1" type="noConversion"/>
  </si>
  <si>
    <t>扣非对比净利润</t>
    <phoneticPr fontId="1" type="noConversion"/>
  </si>
  <si>
    <t>近期roe</t>
    <phoneticPr fontId="1" type="noConversion"/>
  </si>
  <si>
    <t>过往利润增速均值</t>
    <phoneticPr fontId="1" type="noConversion"/>
  </si>
  <si>
    <t>折现率</t>
    <phoneticPr fontId="1" type="noConversion"/>
  </si>
  <si>
    <t>1年自由现金流折现</t>
    <phoneticPr fontId="1" type="noConversion"/>
  </si>
  <si>
    <t>3年自由现金流折现</t>
    <phoneticPr fontId="1" type="noConversion"/>
  </si>
  <si>
    <t>3增速</t>
    <phoneticPr fontId="1" type="noConversion"/>
  </si>
  <si>
    <t>6增速</t>
    <phoneticPr fontId="1" type="noConversion"/>
  </si>
  <si>
    <t>10年自由现金流折现</t>
    <phoneticPr fontId="1" type="noConversion"/>
  </si>
  <si>
    <t>20年自由现金流折现</t>
    <phoneticPr fontId="1" type="noConversion"/>
  </si>
  <si>
    <t>承担负债现期溢价</t>
    <phoneticPr fontId="1" type="noConversion"/>
  </si>
  <si>
    <t>策略1利润单季最佳增速</t>
    <phoneticPr fontId="1" type="noConversion"/>
  </si>
  <si>
    <t>营收成长策略</t>
    <phoneticPr fontId="1" type="noConversion"/>
  </si>
  <si>
    <t>营收和利润加权</t>
    <phoneticPr fontId="1" type="noConversion"/>
  </si>
  <si>
    <t>价格变动策略</t>
    <phoneticPr fontId="1" type="noConversion"/>
  </si>
  <si>
    <t>成交量综合策略</t>
    <phoneticPr fontId="1" type="noConversion"/>
  </si>
  <si>
    <t>量价齐升策略</t>
    <phoneticPr fontId="1" type="noConversion"/>
  </si>
  <si>
    <t>基本面排序</t>
    <phoneticPr fontId="1" type="noConversion"/>
  </si>
  <si>
    <t>机会区域号</t>
    <phoneticPr fontId="1" type="noConversion"/>
  </si>
  <si>
    <t>5日成交换手率</t>
    <phoneticPr fontId="1" type="noConversion"/>
  </si>
  <si>
    <t>30日成交换手率</t>
    <phoneticPr fontId="1" type="noConversion"/>
  </si>
  <si>
    <t>昨日价格累计指数</t>
    <phoneticPr fontId="1" type="noConversion"/>
  </si>
  <si>
    <t>今日价格累积指数</t>
    <phoneticPr fontId="1" type="noConversion"/>
  </si>
  <si>
    <t>成交量异动策略</t>
    <phoneticPr fontId="1" type="noConversion"/>
  </si>
  <si>
    <t>价格箱体形态过滤</t>
    <phoneticPr fontId="1" type="noConversion"/>
  </si>
  <si>
    <t>价格右侧初期策略</t>
    <phoneticPr fontId="1" type="noConversion"/>
  </si>
  <si>
    <t>13.83亿</t>
  </si>
  <si>
    <t>4661747300亿</t>
  </si>
  <si>
    <t>44.04亿</t>
  </si>
  <si>
    <t>2-1</t>
  </si>
  <si>
    <t>亏损</t>
  </si>
  <si>
    <t>扭亏</t>
  </si>
  <si>
    <t>6.29亿</t>
  </si>
  <si>
    <t>5.90亿</t>
  </si>
  <si>
    <t>202.95亿</t>
  </si>
  <si>
    <t>33.73亿</t>
  </si>
  <si>
    <t>121774649亿</t>
  </si>
  <si>
    <t>5011675900亿</t>
  </si>
  <si>
    <t>16963007000亿</t>
  </si>
  <si>
    <t>188.65亿</t>
  </si>
  <si>
    <t>40.23亿</t>
  </si>
  <si>
    <t>65.15亿</t>
  </si>
  <si>
    <t>29.23亿</t>
  </si>
  <si>
    <t>1721.01亿</t>
  </si>
  <si>
    <t>1055.91亿</t>
  </si>
  <si>
    <t>41104279000亿</t>
  </si>
  <si>
    <t>2035.48亿</t>
  </si>
  <si>
    <t>92.54亿</t>
  </si>
  <si>
    <t>396.31亿</t>
  </si>
  <si>
    <t>334.45亿</t>
  </si>
  <si>
    <t>6181520500亿</t>
  </si>
  <si>
    <t>212.88亿</t>
  </si>
  <si>
    <t>25.67亿</t>
  </si>
  <si>
    <t>SZ002221</t>
  </si>
  <si>
    <t>东华能源</t>
  </si>
  <si>
    <t>石油加工贸易</t>
  </si>
  <si>
    <t>6986244000亿</t>
  </si>
  <si>
    <t>263.67亿</t>
  </si>
  <si>
    <t>26.88亿</t>
  </si>
  <si>
    <t>360948310亿</t>
  </si>
  <si>
    <t>-1.13亿</t>
  </si>
  <si>
    <t>2097.63万</t>
  </si>
  <si>
    <t>-4.22亿</t>
  </si>
  <si>
    <t>19.32亿</t>
  </si>
  <si>
    <t>272268720亿</t>
  </si>
  <si>
    <t>4220.42万</t>
  </si>
  <si>
    <t>654.29万</t>
  </si>
  <si>
    <t>141827600亿</t>
  </si>
  <si>
    <t>1091.53万</t>
  </si>
  <si>
    <t>32.06亿</t>
  </si>
  <si>
    <t>1721108800亿</t>
  </si>
  <si>
    <t>55.08亿</t>
  </si>
  <si>
    <t>15.63亿</t>
  </si>
  <si>
    <t>2649.07万</t>
  </si>
  <si>
    <t>279765050亿</t>
  </si>
  <si>
    <t>11.83亿</t>
  </si>
  <si>
    <t>-2328.23万</t>
  </si>
  <si>
    <t>992.82万</t>
  </si>
  <si>
    <t>SH600989</t>
  </si>
  <si>
    <t>宝丰能源</t>
  </si>
  <si>
    <t>化学原料</t>
  </si>
  <si>
    <t>143.78亿</t>
  </si>
  <si>
    <t>324.22亿</t>
  </si>
  <si>
    <t>6514555800亿</t>
  </si>
  <si>
    <t>233.00亿</t>
  </si>
  <si>
    <t>70.70亿</t>
  </si>
  <si>
    <t>43.11亿</t>
  </si>
  <si>
    <t>39.76亿</t>
  </si>
  <si>
    <t>1977.00万</t>
  </si>
  <si>
    <t>19.16亿</t>
  </si>
  <si>
    <t>97059251亿</t>
  </si>
  <si>
    <t>-1.62亿</t>
  </si>
  <si>
    <t>85.69亿</t>
  </si>
  <si>
    <t>152290760亿</t>
  </si>
  <si>
    <t>5536.89万</t>
  </si>
  <si>
    <t>897350030亿</t>
  </si>
  <si>
    <t>640.87亿</t>
  </si>
  <si>
    <t>25429346000亿</t>
  </si>
  <si>
    <t>88.74亿</t>
  </si>
  <si>
    <t>161822450000亿</t>
  </si>
  <si>
    <t>72.15亿</t>
  </si>
  <si>
    <t>27.00亿</t>
  </si>
  <si>
    <t>242.08亿</t>
  </si>
  <si>
    <t>426.78亿</t>
  </si>
  <si>
    <t>1154.83亿</t>
  </si>
  <si>
    <t>135.25亿</t>
  </si>
  <si>
    <t>-46.04亿</t>
  </si>
  <si>
    <t>-52.47亿</t>
  </si>
  <si>
    <t>34.50亿</t>
  </si>
  <si>
    <t>1972.88亿</t>
  </si>
  <si>
    <t>92.28亿</t>
  </si>
  <si>
    <t>411.04亿</t>
  </si>
  <si>
    <t>654.14亿</t>
  </si>
  <si>
    <t>9206.51万</t>
  </si>
  <si>
    <t>151.20亿</t>
  </si>
  <si>
    <t>142.59亿</t>
  </si>
  <si>
    <t>170.12亿</t>
  </si>
  <si>
    <t>148.47亿</t>
  </si>
  <si>
    <t>6.76亿</t>
  </si>
  <si>
    <t>6497540亿</t>
  </si>
  <si>
    <t>390.45万</t>
  </si>
  <si>
    <t>28.81亿</t>
  </si>
  <si>
    <t>1417732700亿</t>
  </si>
  <si>
    <t>57.98万</t>
  </si>
  <si>
    <t>7069262000亿</t>
  </si>
  <si>
    <t>126.49亿</t>
  </si>
  <si>
    <t>49.11亿</t>
  </si>
  <si>
    <t>-28.67亿</t>
  </si>
  <si>
    <t>-23.83亿</t>
  </si>
  <si>
    <t>37.70亿</t>
  </si>
  <si>
    <t>33.95亿</t>
  </si>
  <si>
    <t>1430.83万</t>
  </si>
  <si>
    <t>234.01亿</t>
  </si>
  <si>
    <t>125.46亿</t>
  </si>
  <si>
    <t>248.67亿</t>
  </si>
  <si>
    <t>237.16亿</t>
  </si>
  <si>
    <t>20513985亿</t>
  </si>
  <si>
    <t>4755.87万</t>
  </si>
  <si>
    <t>97.69亿</t>
  </si>
  <si>
    <t>2992664900亿</t>
  </si>
  <si>
    <t>18048574000亿</t>
  </si>
  <si>
    <t>116.07亿</t>
  </si>
  <si>
    <t>15.53亿</t>
  </si>
  <si>
    <t>285.71万</t>
  </si>
  <si>
    <t>163.15亿</t>
  </si>
  <si>
    <t>44.78亿</t>
  </si>
  <si>
    <t>-28.52亿</t>
  </si>
  <si>
    <t>290.82亿</t>
  </si>
  <si>
    <t>461.88亿</t>
  </si>
  <si>
    <t>489.43亿</t>
  </si>
  <si>
    <t>326.78亿</t>
  </si>
  <si>
    <t>199.75亿</t>
  </si>
  <si>
    <t>72.90亿</t>
  </si>
  <si>
    <t>7730.52万</t>
  </si>
  <si>
    <t>3132.76万</t>
  </si>
  <si>
    <t>2907.08万</t>
  </si>
  <si>
    <t>17566884亿</t>
  </si>
  <si>
    <t>2.40万</t>
  </si>
  <si>
    <t>-22723828亿</t>
  </si>
  <si>
    <t>728504880亿</t>
  </si>
  <si>
    <t>563.77万</t>
  </si>
  <si>
    <t>2635351900亿</t>
  </si>
  <si>
    <t>32.77万</t>
  </si>
  <si>
    <t>18.00亿</t>
  </si>
  <si>
    <t>5958.62万</t>
  </si>
  <si>
    <t>-9359.55万</t>
  </si>
  <si>
    <t>1166.16万</t>
  </si>
  <si>
    <t>17.41亿</t>
  </si>
  <si>
    <t>1159.56万</t>
  </si>
  <si>
    <t>3794.33万</t>
  </si>
  <si>
    <t>7753.89万</t>
  </si>
  <si>
    <t>1014582亿</t>
  </si>
  <si>
    <t>155.09万</t>
  </si>
  <si>
    <t>-23006125亿</t>
  </si>
  <si>
    <t>361999050亿</t>
  </si>
  <si>
    <t>652.58万</t>
  </si>
  <si>
    <t>2430160300亿</t>
  </si>
  <si>
    <t>4895.85万</t>
  </si>
  <si>
    <t>716.97万</t>
  </si>
  <si>
    <t>16.99亿</t>
  </si>
  <si>
    <t>788.87万</t>
  </si>
  <si>
    <t>575.32万</t>
  </si>
  <si>
    <t>-4886.31万</t>
  </si>
  <si>
    <t>6060.65万</t>
  </si>
  <si>
    <t>4214.06万</t>
  </si>
  <si>
    <t>-855698亿</t>
  </si>
  <si>
    <t>229438530亿</t>
  </si>
  <si>
    <t>1119951370亿</t>
  </si>
  <si>
    <t>6304.13万</t>
  </si>
  <si>
    <t>2027.49万</t>
  </si>
  <si>
    <t>3126.43万</t>
  </si>
  <si>
    <t>2930142亿</t>
  </si>
  <si>
    <t>614.73万</t>
  </si>
  <si>
    <t>18105688亿</t>
  </si>
  <si>
    <t>1458102300亿</t>
  </si>
  <si>
    <t>5076457200亿</t>
  </si>
  <si>
    <t>-4.36亿</t>
  </si>
  <si>
    <t>-21.00万</t>
  </si>
  <si>
    <t>8672.51万</t>
  </si>
  <si>
    <t>1376.97万</t>
  </si>
  <si>
    <t>2053.52万</t>
  </si>
  <si>
    <t>3749.71万</t>
  </si>
  <si>
    <t>5177470亿</t>
  </si>
  <si>
    <t>69.07万</t>
  </si>
  <si>
    <t>-1648485亿</t>
  </si>
  <si>
    <t>8787.80万</t>
  </si>
  <si>
    <t>184171690亿</t>
  </si>
  <si>
    <t>723345340亿</t>
  </si>
  <si>
    <t>4556.07万</t>
  </si>
  <si>
    <t>9396.60万</t>
  </si>
  <si>
    <t>5292.70万</t>
  </si>
  <si>
    <t>-4231.63万</t>
  </si>
  <si>
    <t>-786.28万</t>
  </si>
  <si>
    <t>3241.68万</t>
  </si>
  <si>
    <t>8841.48万</t>
  </si>
  <si>
    <t>1917.29万</t>
  </si>
  <si>
    <t>893.30万</t>
  </si>
  <si>
    <t>1886053300亿</t>
  </si>
  <si>
    <t>17858458亿</t>
  </si>
  <si>
    <t>4039717100亿</t>
  </si>
  <si>
    <t>98.90亿</t>
  </si>
  <si>
    <t>74.30亿</t>
  </si>
  <si>
    <t>56.13亿</t>
  </si>
  <si>
    <t>-19.21亿</t>
  </si>
  <si>
    <t>159.28亿</t>
  </si>
  <si>
    <t>135.68亿</t>
  </si>
  <si>
    <t>130.52亿</t>
  </si>
  <si>
    <t>123.01亿</t>
  </si>
  <si>
    <t>80.27亿</t>
  </si>
  <si>
    <t>46.23亿</t>
  </si>
  <si>
    <t>38.02亿</t>
  </si>
  <si>
    <t>36.96亿</t>
  </si>
  <si>
    <t>-4786551亿</t>
  </si>
  <si>
    <t>-25629412亿</t>
  </si>
  <si>
    <t>675988280亿</t>
  </si>
  <si>
    <t>2265931600亿</t>
  </si>
  <si>
    <t>氢能类\氢能类利基.docx</t>
  </si>
  <si>
    <t>氢能类\氢中游-燃料电池及系统.docx</t>
  </si>
  <si>
    <t>SZ002249</t>
  </si>
  <si>
    <t>大洋电机</t>
  </si>
  <si>
    <t>SH600459</t>
  </si>
  <si>
    <t>贵研铂业</t>
  </si>
  <si>
    <t>小金属</t>
  </si>
  <si>
    <t>SH601208</t>
  </si>
  <si>
    <t>东材科技</t>
  </si>
  <si>
    <t>化工合成材料</t>
  </si>
  <si>
    <t>SH688386</t>
  </si>
  <si>
    <t>泛亚微透</t>
  </si>
  <si>
    <t>SZ000581</t>
  </si>
  <si>
    <t>威孚高科</t>
  </si>
  <si>
    <t>100.17亿</t>
  </si>
  <si>
    <t>2.50亿</t>
  </si>
  <si>
    <t>9.74亿</t>
  </si>
  <si>
    <t>2.31亿</t>
  </si>
  <si>
    <t>2.13亿</t>
  </si>
  <si>
    <t>77.76亿</t>
  </si>
  <si>
    <t>81.46亿</t>
  </si>
  <si>
    <t>86.38亿</t>
  </si>
  <si>
    <t>86.05亿</t>
  </si>
  <si>
    <t>68.05亿</t>
  </si>
  <si>
    <t>1.03亿</t>
  </si>
  <si>
    <t>5361.68万</t>
  </si>
  <si>
    <t>-23.76亿</t>
  </si>
  <si>
    <t>4.18亿</t>
  </si>
  <si>
    <t>5.09亿</t>
  </si>
  <si>
    <t>26.83亿</t>
  </si>
  <si>
    <t>22.08亿</t>
  </si>
  <si>
    <t>1.30亿</t>
  </si>
  <si>
    <t>385.25万</t>
  </si>
  <si>
    <t>71.40亿</t>
  </si>
  <si>
    <t>42.35亿</t>
  </si>
  <si>
    <t>8674025400亿</t>
  </si>
  <si>
    <t>363.51亿</t>
  </si>
  <si>
    <t>3.87亿</t>
  </si>
  <si>
    <t>84.70亿</t>
  </si>
  <si>
    <t>82.77亿</t>
  </si>
  <si>
    <t>1245.98万</t>
  </si>
  <si>
    <t>8047.66万</t>
  </si>
  <si>
    <t>7.19亿</t>
  </si>
  <si>
    <t>-26263812亿</t>
  </si>
  <si>
    <t>8.84万</t>
  </si>
  <si>
    <t>187450290亿</t>
  </si>
  <si>
    <t>11.67亿</t>
  </si>
  <si>
    <t>2278837200亿</t>
  </si>
  <si>
    <t>4.81亿</t>
  </si>
  <si>
    <t>9917448200亿</t>
  </si>
  <si>
    <t>2.71亿</t>
  </si>
  <si>
    <t>8.46亿</t>
  </si>
  <si>
    <t>3000.00万</t>
  </si>
  <si>
    <t>9.23亿</t>
  </si>
  <si>
    <t>454.45万</t>
  </si>
  <si>
    <t>40.21亿</t>
  </si>
  <si>
    <t>-1.66亿</t>
  </si>
  <si>
    <t>-7049.74万</t>
  </si>
  <si>
    <t>-6.78亿</t>
  </si>
  <si>
    <t>289.26亿</t>
  </si>
  <si>
    <t>213.55亿</t>
  </si>
  <si>
    <t>170.74亿</t>
  </si>
  <si>
    <t>154.42亿</t>
  </si>
  <si>
    <t>107.74亿</t>
  </si>
  <si>
    <t>3.26亿</t>
  </si>
  <si>
    <t>2.32亿</t>
  </si>
  <si>
    <t>1.19亿</t>
  </si>
  <si>
    <t>8302.06万</t>
  </si>
  <si>
    <t>86.74亿</t>
  </si>
  <si>
    <t>86.88亿</t>
  </si>
  <si>
    <t>1.70亿</t>
  </si>
  <si>
    <t>2197.09万</t>
  </si>
  <si>
    <t>2284.69万</t>
  </si>
  <si>
    <t>29.70亿</t>
  </si>
  <si>
    <t>38.28亿</t>
  </si>
  <si>
    <t>904402610亿</t>
  </si>
  <si>
    <t>32.34亿</t>
  </si>
  <si>
    <t>3.41亿</t>
  </si>
  <si>
    <t>7.93亿</t>
  </si>
  <si>
    <t>6.94亿</t>
  </si>
  <si>
    <t>1362.55万</t>
  </si>
  <si>
    <t>2753.00万</t>
  </si>
  <si>
    <t>2383277亿</t>
  </si>
  <si>
    <t>39.59万</t>
  </si>
  <si>
    <t>94715114亿</t>
  </si>
  <si>
    <t>6.10亿</t>
  </si>
  <si>
    <t>721385910亿</t>
  </si>
  <si>
    <t>4.17亿</t>
  </si>
  <si>
    <t>2886467100亿</t>
  </si>
  <si>
    <t>8.40亿</t>
  </si>
  <si>
    <t>3.01亿</t>
  </si>
  <si>
    <t>6696.78万</t>
  </si>
  <si>
    <t>21.20亿</t>
  </si>
  <si>
    <t>6.19亿</t>
  </si>
  <si>
    <t>-1.08亿</t>
  </si>
  <si>
    <t>-1.77亿</t>
  </si>
  <si>
    <t>5.81亿</t>
  </si>
  <si>
    <t>18.81亿</t>
  </si>
  <si>
    <t>17.35亿</t>
  </si>
  <si>
    <t>16.45亿</t>
  </si>
  <si>
    <t>17.34亿</t>
  </si>
  <si>
    <t>16.74亿</t>
  </si>
  <si>
    <t>1.75亿</t>
  </si>
  <si>
    <t>7287.15万</t>
  </si>
  <si>
    <t>3215.43万</t>
  </si>
  <si>
    <t>9929.71万</t>
  </si>
  <si>
    <t>4167.94万</t>
  </si>
  <si>
    <t>9.04亿</t>
  </si>
  <si>
    <t>7.47亿</t>
  </si>
  <si>
    <t>8495.68万</t>
  </si>
  <si>
    <t>1.06亿</t>
  </si>
  <si>
    <t>3.83亿</t>
  </si>
  <si>
    <t>75.62万</t>
  </si>
  <si>
    <t>6.34亿</t>
  </si>
  <si>
    <t>75226296亿</t>
  </si>
  <si>
    <t>3.17亿</t>
  </si>
  <si>
    <t>6639.82万</t>
  </si>
  <si>
    <t>5833.87万</t>
  </si>
  <si>
    <t>3833.82万</t>
  </si>
  <si>
    <t>481.59万</t>
  </si>
  <si>
    <t>889.73万</t>
  </si>
  <si>
    <t>353228亿</t>
  </si>
  <si>
    <t>13635840亿</t>
  </si>
  <si>
    <t>4068.30万</t>
  </si>
  <si>
    <t>103450123亿</t>
  </si>
  <si>
    <t>1709.62万</t>
  </si>
  <si>
    <t>303529230亿</t>
  </si>
  <si>
    <t>6319.98万</t>
  </si>
  <si>
    <t>5005.35万</t>
  </si>
  <si>
    <t>3755.10万</t>
  </si>
  <si>
    <t>8410.27万</t>
  </si>
  <si>
    <t>2754.31万</t>
  </si>
  <si>
    <t>-1.58亿</t>
  </si>
  <si>
    <t>-140.54万</t>
  </si>
  <si>
    <t>2.09亿</t>
  </si>
  <si>
    <t>5527.13万</t>
  </si>
  <si>
    <t>4373.73万</t>
  </si>
  <si>
    <t>3058.89万</t>
  </si>
  <si>
    <t>2161.94万</t>
  </si>
  <si>
    <t>7522.63万</t>
  </si>
  <si>
    <t>6869.90万</t>
  </si>
  <si>
    <t>1607.60万</t>
  </si>
  <si>
    <t>543.56万</t>
  </si>
  <si>
    <t>4618.03万</t>
  </si>
  <si>
    <t>3-0</t>
  </si>
  <si>
    <t>943.77万</t>
  </si>
  <si>
    <t>85.21亿</t>
  </si>
  <si>
    <t>207.38亿</t>
  </si>
  <si>
    <t>4342868600亿</t>
  </si>
  <si>
    <t>136.82亿</t>
  </si>
  <si>
    <t>25.75亿</t>
  </si>
  <si>
    <t>40.48亿</t>
  </si>
  <si>
    <t>36.97亿</t>
  </si>
  <si>
    <t>4569.05万</t>
  </si>
  <si>
    <t>558560860亿</t>
  </si>
  <si>
    <t>7.12万</t>
  </si>
  <si>
    <t>752059430亿</t>
  </si>
  <si>
    <t>20.95亿</t>
  </si>
  <si>
    <t>3698601800亿</t>
  </si>
  <si>
    <t>15880903000亿</t>
  </si>
  <si>
    <t>17.58亿</t>
  </si>
  <si>
    <t>17.05亿</t>
  </si>
  <si>
    <t>34.70亿</t>
  </si>
  <si>
    <t>11.00万</t>
  </si>
  <si>
    <t>78.52亿</t>
  </si>
  <si>
    <t>-7.98亿</t>
  </si>
  <si>
    <t>4.35亿</t>
  </si>
  <si>
    <t>128.84亿</t>
  </si>
  <si>
    <t>87.84亿</t>
  </si>
  <si>
    <t>87.22亿</t>
  </si>
  <si>
    <t>90.17亿</t>
  </si>
  <si>
    <t>64.23亿</t>
  </si>
  <si>
    <t>27.73亿</t>
  </si>
  <si>
    <t>22.68亿</t>
  </si>
  <si>
    <t>23.96亿</t>
  </si>
  <si>
    <t>25.71亿</t>
  </si>
  <si>
    <t>16.72亿</t>
  </si>
  <si>
    <t>43.43亿</t>
  </si>
  <si>
    <t>47.00亿</t>
  </si>
  <si>
    <t>8.62亿</t>
  </si>
  <si>
    <t>4665.15万</t>
  </si>
  <si>
    <t>2.10亿</t>
  </si>
  <si>
    <t>9705.93万</t>
  </si>
  <si>
    <t>空压机</t>
    <phoneticPr fontId="1" type="noConversion"/>
  </si>
  <si>
    <t>SZ000811</t>
  </si>
  <si>
    <t>冰轮环境</t>
  </si>
  <si>
    <t>SZ002158</t>
  </si>
  <si>
    <t>汉钟精机</t>
  </si>
  <si>
    <t>SZ300091</t>
  </si>
  <si>
    <t>金通灵</t>
  </si>
  <si>
    <t>SZ300441</t>
  </si>
  <si>
    <t>鲍斯股份</t>
  </si>
  <si>
    <t>SH600875</t>
  </si>
  <si>
    <t>东方电气</t>
  </si>
  <si>
    <t>SH603158</t>
  </si>
  <si>
    <t>腾龙股份</t>
  </si>
  <si>
    <t>燃料电池</t>
  </si>
  <si>
    <t>燃料电池</t>
    <phoneticPr fontId="1" type="noConversion"/>
  </si>
  <si>
    <t>燃料电池/电堆</t>
    <phoneticPr fontId="1" type="noConversion"/>
  </si>
  <si>
    <t>燃料电池/电堆/空压机</t>
    <phoneticPr fontId="1" type="noConversion"/>
  </si>
  <si>
    <t>1023.84万</t>
  </si>
  <si>
    <t>43.88亿</t>
  </si>
  <si>
    <t>48.58亿</t>
  </si>
  <si>
    <t>1257537270亿</t>
  </si>
  <si>
    <t>53.83亿</t>
  </si>
  <si>
    <t>12.14亿</t>
  </si>
  <si>
    <t>9.92亿</t>
  </si>
  <si>
    <t>5672.47万</t>
  </si>
  <si>
    <t>1.90亿</t>
  </si>
  <si>
    <t>10387390亿</t>
  </si>
  <si>
    <t>34.74万</t>
  </si>
  <si>
    <t>32242961亿</t>
  </si>
  <si>
    <t>12.26亿</t>
  </si>
  <si>
    <t>1215228830亿</t>
  </si>
  <si>
    <t>5512121100亿</t>
  </si>
  <si>
    <t>7895.19万</t>
  </si>
  <si>
    <t>3.30亿</t>
  </si>
  <si>
    <t>9.29亿</t>
  </si>
  <si>
    <t>10.31亿</t>
  </si>
  <si>
    <t>36.80亿</t>
  </si>
  <si>
    <t>4.09亿</t>
  </si>
  <si>
    <t>-3.00亿</t>
  </si>
  <si>
    <t>7781.98万</t>
  </si>
  <si>
    <t>-1.69亿</t>
  </si>
  <si>
    <t>38.21亿</t>
  </si>
  <si>
    <t>36.06亿</t>
  </si>
  <si>
    <t>34.52亿</t>
  </si>
  <si>
    <t>30.70亿</t>
  </si>
  <si>
    <t>2.82亿</t>
  </si>
  <si>
    <t>3.14亿</t>
  </si>
  <si>
    <t>3.06亿</t>
  </si>
  <si>
    <t>12.58亿</t>
  </si>
  <si>
    <t>11.13亿</t>
  </si>
  <si>
    <t>5228.91万</t>
  </si>
  <si>
    <t>4913.63万</t>
  </si>
  <si>
    <t>2.86亿</t>
  </si>
  <si>
    <t>736.14万</t>
  </si>
  <si>
    <t>20.46亿</t>
  </si>
  <si>
    <t>26.99亿</t>
  </si>
  <si>
    <t>594770590亿</t>
  </si>
  <si>
    <t>4.87亿</t>
  </si>
  <si>
    <t>4.95亿</t>
  </si>
  <si>
    <t>3.99亿</t>
  </si>
  <si>
    <t>3467.99万</t>
  </si>
  <si>
    <t>3179.77万</t>
  </si>
  <si>
    <t>1.85亿</t>
  </si>
  <si>
    <t>9830351亿</t>
  </si>
  <si>
    <t>78107942亿</t>
  </si>
  <si>
    <t>10.98亿</t>
  </si>
  <si>
    <t>435280200亿</t>
  </si>
  <si>
    <t>1012.48万</t>
  </si>
  <si>
    <t>3304220200亿</t>
  </si>
  <si>
    <t>1.64亿</t>
  </si>
  <si>
    <t>7.18亿</t>
  </si>
  <si>
    <t>2.20亿</t>
  </si>
  <si>
    <t>5.67亿</t>
  </si>
  <si>
    <t>38.68万</t>
  </si>
  <si>
    <t>17.98亿</t>
  </si>
  <si>
    <t>1.66亿</t>
  </si>
  <si>
    <t>-8908.31万</t>
  </si>
  <si>
    <t>1.43亿</t>
  </si>
  <si>
    <t>1031.66万</t>
  </si>
  <si>
    <t>22.72亿</t>
  </si>
  <si>
    <t>18.07亿</t>
  </si>
  <si>
    <t>17.32亿</t>
  </si>
  <si>
    <t>16.04亿</t>
  </si>
  <si>
    <t>12.46亿</t>
  </si>
  <si>
    <t>3.63亿</t>
  </si>
  <si>
    <t>2.03亿</t>
  </si>
  <si>
    <t>2.07亿</t>
  </si>
  <si>
    <t>5.79亿</t>
  </si>
  <si>
    <t>7432.36万</t>
  </si>
  <si>
    <t>3697.57万</t>
  </si>
  <si>
    <t>1-0</t>
  </si>
  <si>
    <t>65.23亿</t>
  </si>
  <si>
    <t>5.71亿</t>
  </si>
  <si>
    <t>1.86亿</t>
  </si>
  <si>
    <t>2-0</t>
  </si>
  <si>
    <t>4386.40万</t>
  </si>
  <si>
    <t>35.81亿</t>
  </si>
  <si>
    <t>32.92亿</t>
  </si>
  <si>
    <t>404083160亿</t>
  </si>
  <si>
    <t>17.55亿</t>
  </si>
  <si>
    <t>1986.30万</t>
  </si>
  <si>
    <t>3.31亿</t>
  </si>
  <si>
    <t>1567.03万</t>
  </si>
  <si>
    <t>3309.66万</t>
  </si>
  <si>
    <t>9207.27万</t>
  </si>
  <si>
    <t>69.37万</t>
  </si>
  <si>
    <t>187998亿</t>
  </si>
  <si>
    <t>6.11亿</t>
  </si>
  <si>
    <t>891720150亿</t>
  </si>
  <si>
    <t>4634076900亿</t>
  </si>
  <si>
    <t>2.12亿</t>
  </si>
  <si>
    <t>10.12亿</t>
  </si>
  <si>
    <t>5.61亿</t>
  </si>
  <si>
    <t>10.21亿</t>
  </si>
  <si>
    <t>32.23亿</t>
  </si>
  <si>
    <t>-1.74亿</t>
  </si>
  <si>
    <t>-9728.52万</t>
  </si>
  <si>
    <t>14.36亿</t>
  </si>
  <si>
    <t>18.80亿</t>
  </si>
  <si>
    <t>19.45亿</t>
  </si>
  <si>
    <t>14.63亿</t>
  </si>
  <si>
    <t>9.46亿</t>
  </si>
  <si>
    <t>5864.89万</t>
  </si>
  <si>
    <t>1.11亿</t>
  </si>
  <si>
    <t>9838.80万</t>
  </si>
  <si>
    <t>1.25亿</t>
  </si>
  <si>
    <t>4640.54万</t>
  </si>
  <si>
    <t>4.04亿</t>
  </si>
  <si>
    <t>5.10亿</t>
  </si>
  <si>
    <t>2960.93万</t>
  </si>
  <si>
    <t>5.35亿</t>
  </si>
  <si>
    <t>539.74万</t>
  </si>
  <si>
    <t>13.15亿</t>
  </si>
  <si>
    <t>19.60亿</t>
  </si>
  <si>
    <t>473607570亿</t>
  </si>
  <si>
    <t>21.72亿</t>
  </si>
  <si>
    <t>2.66亿</t>
  </si>
  <si>
    <t>4.14亿</t>
  </si>
  <si>
    <t>2718.78万</t>
  </si>
  <si>
    <t>3505.85万</t>
  </si>
  <si>
    <t>-947057亿</t>
  </si>
  <si>
    <t>2.49万</t>
  </si>
  <si>
    <t>34494524亿</t>
  </si>
  <si>
    <t>430207720亿</t>
  </si>
  <si>
    <t>4934.02万</t>
  </si>
  <si>
    <t>1553881000亿</t>
  </si>
  <si>
    <t>5262.33万</t>
  </si>
  <si>
    <t>6.25亿</t>
  </si>
  <si>
    <t>1807.01万</t>
  </si>
  <si>
    <t>11.76亿</t>
  </si>
  <si>
    <t>1001.73万</t>
  </si>
  <si>
    <t>-743.09万</t>
  </si>
  <si>
    <t>-3987.32万</t>
  </si>
  <si>
    <t>-3160.56万</t>
  </si>
  <si>
    <t>19.71亿</t>
  </si>
  <si>
    <t>15.60亿</t>
  </si>
  <si>
    <t>15.05亿</t>
  </si>
  <si>
    <t>11.15亿</t>
  </si>
  <si>
    <t>5.66亿</t>
  </si>
  <si>
    <t>9854.98万</t>
  </si>
  <si>
    <t>-1.45亿</t>
  </si>
  <si>
    <t>1.51亿</t>
  </si>
  <si>
    <t>7061.09万</t>
  </si>
  <si>
    <t>4.74亿</t>
  </si>
  <si>
    <t>5.44亿</t>
  </si>
  <si>
    <t>7820.52万</t>
  </si>
  <si>
    <t>2495.56万</t>
  </si>
  <si>
    <t>13818652000亿</t>
  </si>
  <si>
    <t>478.19亿</t>
  </si>
  <si>
    <t>22.89亿</t>
  </si>
  <si>
    <t>93675958亿</t>
  </si>
  <si>
    <t>663052090亿</t>
  </si>
  <si>
    <t>10518417700亿</t>
  </si>
  <si>
    <t>69919903000亿</t>
  </si>
  <si>
    <t>372.83亿</t>
  </si>
  <si>
    <t>317.78亿</t>
  </si>
  <si>
    <t>297.30亿</t>
  </si>
  <si>
    <t>327.73亿</t>
  </si>
  <si>
    <t>332.86亿</t>
  </si>
  <si>
    <t>18.62亿</t>
  </si>
  <si>
    <t>12.78亿</t>
  </si>
  <si>
    <t>11.29亿</t>
  </si>
  <si>
    <t>10.57亿</t>
  </si>
  <si>
    <t>-17.84亿</t>
  </si>
  <si>
    <t>138.19亿</t>
  </si>
  <si>
    <t>106.22亿</t>
  </si>
  <si>
    <t>3394.21万</t>
  </si>
  <si>
    <t>15.46亿</t>
  </si>
  <si>
    <t>21.58亿</t>
  </si>
  <si>
    <t>562589840亿</t>
  </si>
  <si>
    <t>22.07亿</t>
  </si>
  <si>
    <t>9046.14万</t>
  </si>
  <si>
    <t>4.37亿</t>
  </si>
  <si>
    <t>1615.39万</t>
  </si>
  <si>
    <t>2688.39万</t>
  </si>
  <si>
    <t>-1272655亿</t>
  </si>
  <si>
    <t>7.53万</t>
  </si>
  <si>
    <t>22762544亿</t>
  </si>
  <si>
    <t>676289480亿</t>
  </si>
  <si>
    <t>7889.92万</t>
  </si>
  <si>
    <t>2257570100亿</t>
  </si>
  <si>
    <t>3997.31万</t>
  </si>
  <si>
    <t>4.51亿</t>
  </si>
  <si>
    <t>13.66亿</t>
  </si>
  <si>
    <t>2331.95万</t>
  </si>
  <si>
    <t>-5222.80万</t>
  </si>
  <si>
    <t>1221.50万</t>
  </si>
  <si>
    <t>17.72亿</t>
  </si>
  <si>
    <t>7.75亿</t>
  </si>
  <si>
    <t>1.31亿</t>
  </si>
  <si>
    <t>1.18亿</t>
  </si>
  <si>
    <t>5.63亿</t>
  </si>
  <si>
    <t>4503.33万</t>
  </si>
  <si>
    <t>3.33亿</t>
  </si>
  <si>
    <t>SZ000969</t>
  </si>
  <si>
    <t>安泰科技</t>
  </si>
  <si>
    <t>金属新材料</t>
  </si>
  <si>
    <t>SZ002057</t>
  </si>
  <si>
    <t>中钢天源</t>
  </si>
  <si>
    <t>SZ300340</t>
  </si>
  <si>
    <t>科恒股份</t>
  </si>
  <si>
    <t>SZ300409</t>
  </si>
  <si>
    <t>道氏技术</t>
  </si>
  <si>
    <t>SH600478</t>
  </si>
  <si>
    <t>科力远</t>
  </si>
  <si>
    <t>SH603906</t>
  </si>
  <si>
    <t>龙蟠科技</t>
  </si>
  <si>
    <t>SH688529</t>
  </si>
  <si>
    <t>豪森股份</t>
  </si>
  <si>
    <t>膜电极</t>
    <phoneticPr fontId="1" type="noConversion"/>
  </si>
  <si>
    <t>质子交换膜</t>
    <phoneticPr fontId="1" type="noConversion"/>
  </si>
  <si>
    <t>催化剂</t>
    <phoneticPr fontId="1" type="noConversion"/>
  </si>
  <si>
    <t>膜电极、催化剂</t>
    <phoneticPr fontId="1" type="noConversion"/>
  </si>
  <si>
    <t>双极板</t>
    <phoneticPr fontId="1" type="noConversion"/>
  </si>
  <si>
    <t>膜电极，双极板</t>
    <phoneticPr fontId="1" type="noConversion"/>
  </si>
  <si>
    <t>气体扩散层，双极板</t>
    <phoneticPr fontId="1" type="noConversion"/>
  </si>
  <si>
    <t>氢循环泵</t>
    <phoneticPr fontId="1" type="noConversion"/>
  </si>
  <si>
    <t>设备</t>
    <phoneticPr fontId="1" type="noConversion"/>
  </si>
  <si>
    <t>氢罐</t>
    <phoneticPr fontId="1" type="noConversion"/>
  </si>
  <si>
    <t>1.氢能业务板块产业链布局：公司是从2017年开始涉足氢能，经过5年的发展，公司已完成“一点一线一网”的战略布局；一点即飞驰汽车，一线即燃料电池核心零部件产业线（参股了国鸿氢能及鸿基创能。国鸿氢能是全球最大的燃料电池电堆生产企业之一，电堆年产能两万套。鸿基创能是国内首家将膜电极国产化并规模化生产的公司），一网就是加氢站网络的建设</t>
    <phoneticPr fontId="1" type="noConversion"/>
  </si>
  <si>
    <t>焦化产品及副产品 123.04亿 95.78%（毛利21.47%）
其他 5.42亿 4.22%（毛利18.00%）</t>
    <phoneticPr fontId="1" type="noConversion"/>
  </si>
  <si>
    <t>1609.58万</t>
  </si>
  <si>
    <t>42.14亿</t>
  </si>
  <si>
    <t>61.29亿</t>
  </si>
  <si>
    <t>2032493300亿</t>
  </si>
  <si>
    <t>62.72亿</t>
  </si>
  <si>
    <t>19.30亿</t>
  </si>
  <si>
    <t>17.04亿</t>
  </si>
  <si>
    <t>2875.13万</t>
  </si>
  <si>
    <t>9158.76万</t>
  </si>
  <si>
    <t>229369亿</t>
  </si>
  <si>
    <t>29.64万</t>
  </si>
  <si>
    <t>82597611亿</t>
  </si>
  <si>
    <t>16.26亿</t>
  </si>
  <si>
    <t>1389030100亿</t>
  </si>
  <si>
    <t>3568.60万</t>
  </si>
  <si>
    <t>5921661500亿</t>
  </si>
  <si>
    <t>3.24亿</t>
  </si>
  <si>
    <t>11.39亿</t>
  </si>
  <si>
    <t>12.52亿</t>
  </si>
  <si>
    <t>34.48亿</t>
  </si>
  <si>
    <t>6.50亿</t>
  </si>
  <si>
    <t>-2.39亿</t>
  </si>
  <si>
    <t>-7378.20万</t>
  </si>
  <si>
    <t>-4008.99万</t>
  </si>
  <si>
    <t>47.80亿</t>
  </si>
  <si>
    <t>50.54亿</t>
  </si>
  <si>
    <t>46.60亿</t>
  </si>
  <si>
    <t>39.21亿</t>
  </si>
  <si>
    <t>1.65亿</t>
  </si>
  <si>
    <t>-2.18亿</t>
  </si>
  <si>
    <t>5916.97万</t>
  </si>
  <si>
    <t>7903.46万</t>
  </si>
  <si>
    <t>14.65亿</t>
  </si>
  <si>
    <t>5809.83万</t>
  </si>
  <si>
    <t>7054.12万</t>
  </si>
  <si>
    <t>1609.49万</t>
  </si>
  <si>
    <t>18.75亿</t>
  </si>
  <si>
    <t>30.84亿</t>
  </si>
  <si>
    <t>691269360亿</t>
  </si>
  <si>
    <t>25.88亿</t>
  </si>
  <si>
    <t>6.56亿</t>
  </si>
  <si>
    <t>618.45万</t>
  </si>
  <si>
    <t>3763.27万</t>
  </si>
  <si>
    <t>9507.79万</t>
  </si>
  <si>
    <t>16504374亿</t>
  </si>
  <si>
    <t>19.71万</t>
  </si>
  <si>
    <t>45079823亿</t>
  </si>
  <si>
    <t>960366190亿</t>
  </si>
  <si>
    <t>3435522700亿</t>
  </si>
  <si>
    <t>8.36亿</t>
  </si>
  <si>
    <t>16.18亿</t>
  </si>
  <si>
    <t>-1.95亿</t>
  </si>
  <si>
    <t>5655.31万</t>
  </si>
  <si>
    <t>1.92亿</t>
  </si>
  <si>
    <t>13.81亿</t>
  </si>
  <si>
    <t>12.79亿</t>
  </si>
  <si>
    <t>11.57亿</t>
  </si>
  <si>
    <t>9.10亿</t>
  </si>
  <si>
    <t>1.73亿</t>
  </si>
  <si>
    <t>1.37亿</t>
  </si>
  <si>
    <t>7061.81万</t>
  </si>
  <si>
    <t>2787.11万</t>
  </si>
  <si>
    <t>8586.38万</t>
  </si>
  <si>
    <t>5.69亿</t>
  </si>
  <si>
    <t>794.16万</t>
  </si>
  <si>
    <t>41.52亿</t>
  </si>
  <si>
    <t>7.22亿</t>
  </si>
  <si>
    <t>785165470亿</t>
  </si>
  <si>
    <t>33.31亿</t>
  </si>
  <si>
    <t>1398.43万</t>
  </si>
  <si>
    <t>7.82亿</t>
  </si>
  <si>
    <t>7.04亿</t>
  </si>
  <si>
    <t>565.42万</t>
  </si>
  <si>
    <t>2723.17万</t>
  </si>
  <si>
    <t>-2634976亿</t>
  </si>
  <si>
    <t>119.52万</t>
  </si>
  <si>
    <t>11237514亿</t>
  </si>
  <si>
    <t>6687.74万</t>
  </si>
  <si>
    <t>1096989140亿</t>
  </si>
  <si>
    <t>113.72万</t>
  </si>
  <si>
    <t>3760748000亿</t>
  </si>
  <si>
    <t>1532.84万</t>
  </si>
  <si>
    <t>16.42亿</t>
  </si>
  <si>
    <t>38.88亿</t>
  </si>
  <si>
    <t>7335.75万</t>
  </si>
  <si>
    <t>456.75万</t>
  </si>
  <si>
    <t>-7973.52万</t>
  </si>
  <si>
    <t>16.46亿</t>
  </si>
  <si>
    <t>18.40亿</t>
  </si>
  <si>
    <t>22.02亿</t>
  </si>
  <si>
    <t>20.61亿</t>
  </si>
  <si>
    <t>7.87亿</t>
  </si>
  <si>
    <t>-7.45亿</t>
  </si>
  <si>
    <t>3043.31万</t>
  </si>
  <si>
    <t>5331.09万</t>
  </si>
  <si>
    <t>3358.59万</t>
  </si>
  <si>
    <t>7.85亿</t>
  </si>
  <si>
    <t>6.15亿</t>
  </si>
  <si>
    <t>216.53万</t>
  </si>
  <si>
    <t>4477.46万</t>
  </si>
  <si>
    <t>4-0</t>
  </si>
  <si>
    <t>1976.07万</t>
  </si>
  <si>
    <t>37.04亿</t>
  </si>
  <si>
    <t>54.90亿</t>
  </si>
  <si>
    <t>1854521700亿</t>
  </si>
  <si>
    <t>65.69亿</t>
  </si>
  <si>
    <t>5.62亿</t>
  </si>
  <si>
    <t>16.73亿</t>
  </si>
  <si>
    <t>14.61亿</t>
  </si>
  <si>
    <t>1665.61万</t>
  </si>
  <si>
    <t>5296.27万</t>
  </si>
  <si>
    <t>47.81亿</t>
  </si>
  <si>
    <t>27.90万</t>
  </si>
  <si>
    <t>165789140亿</t>
  </si>
  <si>
    <t>1168962910亿</t>
  </si>
  <si>
    <t>5.77亿</t>
  </si>
  <si>
    <t>5989987000亿</t>
  </si>
  <si>
    <t>5.65亿</t>
  </si>
  <si>
    <t>15.47亿</t>
  </si>
  <si>
    <t>3.04亿</t>
  </si>
  <si>
    <t>7.01亿</t>
  </si>
  <si>
    <t>32.15亿</t>
  </si>
  <si>
    <t>3.34亿</t>
  </si>
  <si>
    <t>4.62亿</t>
  </si>
  <si>
    <t>-2.95亿</t>
  </si>
  <si>
    <t>33.15亿</t>
  </si>
  <si>
    <t>29.86亿</t>
  </si>
  <si>
    <t>35.44亿</t>
  </si>
  <si>
    <t>16.96亿</t>
  </si>
  <si>
    <t>8.04亿</t>
  </si>
  <si>
    <t>6051.64万</t>
  </si>
  <si>
    <t>2400.10万</t>
  </si>
  <si>
    <t>18.55亿</t>
  </si>
  <si>
    <t>10.68亿</t>
  </si>
  <si>
    <t>7094.79万</t>
  </si>
  <si>
    <t>6.21亿</t>
  </si>
  <si>
    <t>6013.31万</t>
  </si>
  <si>
    <t>33.98亿</t>
  </si>
  <si>
    <t>30.65亿</t>
  </si>
  <si>
    <t>541106330亿</t>
  </si>
  <si>
    <t>30.59亿</t>
  </si>
  <si>
    <t>4218.17万</t>
  </si>
  <si>
    <t>4.65亿</t>
  </si>
  <si>
    <t>349.75万</t>
  </si>
  <si>
    <t>5972.33万</t>
  </si>
  <si>
    <t>38601901亿</t>
  </si>
  <si>
    <t>57.63万</t>
  </si>
  <si>
    <t>23712620亿</t>
  </si>
  <si>
    <t>10.44亿</t>
  </si>
  <si>
    <t>302597860亿</t>
  </si>
  <si>
    <t>524.95万</t>
  </si>
  <si>
    <t>1993159200亿</t>
  </si>
  <si>
    <t>7853.14万</t>
  </si>
  <si>
    <t>10.17亿</t>
  </si>
  <si>
    <t>3.66亿</t>
  </si>
  <si>
    <t>3.07亿</t>
  </si>
  <si>
    <t>127.18万</t>
  </si>
  <si>
    <t>20.12亿</t>
  </si>
  <si>
    <t>1.48亿</t>
  </si>
  <si>
    <t>-3384.39万</t>
  </si>
  <si>
    <t>406.08万</t>
  </si>
  <si>
    <t>25.46亿</t>
  </si>
  <si>
    <t>20.80亿</t>
  </si>
  <si>
    <t>18.93亿</t>
  </si>
  <si>
    <t>15.65亿</t>
  </si>
  <si>
    <t>17.00亿</t>
  </si>
  <si>
    <t>5546.94万</t>
  </si>
  <si>
    <t>-3.58亿</t>
  </si>
  <si>
    <t>2172.07万</t>
  </si>
  <si>
    <t>2201.56万</t>
  </si>
  <si>
    <t>-2.12亿</t>
  </si>
  <si>
    <t>4.84亿</t>
  </si>
  <si>
    <t>1169.75万</t>
  </si>
  <si>
    <t>16.03亿</t>
  </si>
  <si>
    <t>781.21万</t>
  </si>
  <si>
    <t>54.44亿</t>
  </si>
  <si>
    <t>31.65亿</t>
  </si>
  <si>
    <t>2558240900亿</t>
  </si>
  <si>
    <t>40.54亿</t>
  </si>
  <si>
    <t>21.59亿</t>
  </si>
  <si>
    <t>18.74亿</t>
  </si>
  <si>
    <t>3906.76万</t>
  </si>
  <si>
    <t>5019.08万</t>
  </si>
  <si>
    <t>325616亿</t>
  </si>
  <si>
    <t>158.97万</t>
  </si>
  <si>
    <t>203663990亿</t>
  </si>
  <si>
    <t>1170779040亿</t>
  </si>
  <si>
    <t>1.15亿</t>
  </si>
  <si>
    <t>5521845300亿</t>
  </si>
  <si>
    <t>2.26亿</t>
  </si>
  <si>
    <t>22.40亿</t>
  </si>
  <si>
    <t>1.79亿</t>
  </si>
  <si>
    <t>8.15亿</t>
  </si>
  <si>
    <t>39.82亿</t>
  </si>
  <si>
    <t>-8.66亿</t>
  </si>
  <si>
    <t>-5.36亿</t>
  </si>
  <si>
    <t>13.21亿</t>
  </si>
  <si>
    <t>19.15亿</t>
  </si>
  <si>
    <t>17.13亿</t>
  </si>
  <si>
    <t>14.98亿</t>
  </si>
  <si>
    <t>12.97亿</t>
  </si>
  <si>
    <t>10.36亿</t>
  </si>
  <si>
    <t>1.27亿</t>
  </si>
  <si>
    <t>8183.28万</t>
  </si>
  <si>
    <t>9237.26万</t>
  </si>
  <si>
    <t>8960.53万</t>
  </si>
  <si>
    <t>25.58亿</t>
  </si>
  <si>
    <t>6051.57万</t>
  </si>
  <si>
    <t>4588.32万</t>
  </si>
  <si>
    <t>4.10亿</t>
  </si>
  <si>
    <t>1-1</t>
  </si>
  <si>
    <t>121.17万</t>
  </si>
  <si>
    <t>18.59亿</t>
  </si>
  <si>
    <t>11.30亿</t>
  </si>
  <si>
    <t>389836060亿</t>
  </si>
  <si>
    <t>11.93亿</t>
  </si>
  <si>
    <t>7016.68万</t>
  </si>
  <si>
    <t>3.53亿</t>
  </si>
  <si>
    <t>723.51万</t>
  </si>
  <si>
    <t>2556.37万</t>
  </si>
  <si>
    <t>8270.50万</t>
  </si>
  <si>
    <t>1518366亿</t>
  </si>
  <si>
    <t>6.79万</t>
  </si>
  <si>
    <t>27520806亿</t>
  </si>
  <si>
    <t>408461170亿</t>
  </si>
  <si>
    <t>3977.15万</t>
  </si>
  <si>
    <t>2384144300亿</t>
  </si>
  <si>
    <t>3712.24万</t>
  </si>
  <si>
    <t>5.11亿</t>
  </si>
  <si>
    <t>16.92亿</t>
  </si>
  <si>
    <t>-7798.84万</t>
  </si>
  <si>
    <t>1815.50万</t>
  </si>
  <si>
    <t>483.68万</t>
  </si>
  <si>
    <t>10.37亿</t>
  </si>
  <si>
    <t>10.51亿</t>
  </si>
  <si>
    <t>8.17亿</t>
  </si>
  <si>
    <t>6.55亿</t>
  </si>
  <si>
    <t>8217.30万</t>
  </si>
  <si>
    <t>3410.86万</t>
  </si>
  <si>
    <t>2813.60万</t>
  </si>
  <si>
    <t>1582.21万</t>
  </si>
  <si>
    <t>3.90亿</t>
  </si>
  <si>
    <t>-130.58万</t>
  </si>
  <si>
    <t>950.11万</t>
  </si>
  <si>
    <t>5161.51万</t>
  </si>
  <si>
    <t>SZ002002</t>
  </si>
  <si>
    <t>鸿达兴业</t>
  </si>
  <si>
    <t>3598.34万</t>
  </si>
  <si>
    <t>SZ002648</t>
  </si>
  <si>
    <t>卫星化学</t>
  </si>
  <si>
    <t>SZ300274</t>
  </si>
  <si>
    <t>阳光电源</t>
  </si>
  <si>
    <t>SH600028</t>
  </si>
  <si>
    <t>中国石化</t>
  </si>
  <si>
    <t>SH600273</t>
  </si>
  <si>
    <t>嘉化能源</t>
  </si>
  <si>
    <t>SH600691</t>
  </si>
  <si>
    <t>阳煤化工</t>
  </si>
  <si>
    <t>SH601012</t>
  </si>
  <si>
    <t>隆基绿能</t>
  </si>
  <si>
    <t>SH601678</t>
  </si>
  <si>
    <t>滨化股份</t>
  </si>
  <si>
    <t>SH601857</t>
  </si>
  <si>
    <t>中国石油</t>
  </si>
  <si>
    <t>SH603113</t>
  </si>
  <si>
    <t>金能科技</t>
  </si>
  <si>
    <t>SH605090</t>
  </si>
  <si>
    <t>九丰能源</t>
  </si>
  <si>
    <t>1.氢能业务板块产业链布局：公司是从2017年开始涉足氢能，经过5年的发展，公司已完成“一点一线一网”的战略布局；一点即飞驰汽车，一线即燃料电池核心零部件产业线（参股了国鸿氢能及鸿基创能。国鸿氢能是全球最大的燃料电池电堆生产企业之一，电堆年产能两万套。鸿基创能是国内首家将膜电极国产化并规模化生产的公司），一网就是加氢站网络的建设</t>
    <phoneticPr fontId="1" type="noConversion"/>
  </si>
  <si>
    <t>焦化产品及副产品 123.04亿 95.78%（毛利21.47%）
其他 5.42亿 4.22%（毛利18.00%）</t>
    <phoneticPr fontId="1" type="noConversion"/>
  </si>
  <si>
    <t>5565.93万</t>
  </si>
  <si>
    <t>77.35亿</t>
  </si>
  <si>
    <t>101.30亿</t>
  </si>
  <si>
    <t>909362450亿</t>
  </si>
  <si>
    <t>8.52亿</t>
  </si>
  <si>
    <t>7.96亿</t>
  </si>
  <si>
    <t>6.64亿</t>
  </si>
  <si>
    <t>810.31万</t>
  </si>
  <si>
    <t>4542.68万</t>
  </si>
  <si>
    <t>89.02万</t>
  </si>
  <si>
    <t>102173365亿</t>
  </si>
  <si>
    <t>6779.42万</t>
  </si>
  <si>
    <t>2583275700亿</t>
  </si>
  <si>
    <t>1225.10万</t>
  </si>
  <si>
    <t>5109254100亿</t>
  </si>
  <si>
    <t>33.84亿</t>
  </si>
  <si>
    <t>6746.83万</t>
  </si>
  <si>
    <t>11.18亿</t>
  </si>
  <si>
    <t>14.60万</t>
  </si>
  <si>
    <t>73.40亿</t>
  </si>
  <si>
    <t>413.05万</t>
  </si>
  <si>
    <t>-255.69万</t>
  </si>
  <si>
    <t>-318.70万</t>
  </si>
  <si>
    <t>53.94亿</t>
  </si>
  <si>
    <t>53.00亿</t>
  </si>
  <si>
    <t>60.45亿</t>
  </si>
  <si>
    <t>65.41亿</t>
  </si>
  <si>
    <t>61.58亿</t>
  </si>
  <si>
    <t>10.05亿</t>
  </si>
  <si>
    <t>8.18亿</t>
  </si>
  <si>
    <t>9.09亿</t>
  </si>
  <si>
    <t>2.69亿</t>
  </si>
  <si>
    <t>2.75亿</t>
  </si>
  <si>
    <t>16.78亿</t>
  </si>
  <si>
    <t>1183.55万</t>
  </si>
  <si>
    <t>304.34亿</t>
  </si>
  <si>
    <t>207.75亿</t>
  </si>
  <si>
    <t>8137590800亿</t>
  </si>
  <si>
    <t>285.57亿</t>
  </si>
  <si>
    <t>60.07亿</t>
  </si>
  <si>
    <t>63.28亿</t>
  </si>
  <si>
    <t>57.73亿</t>
  </si>
  <si>
    <t>2547.58万</t>
  </si>
  <si>
    <t>8004.71万</t>
  </si>
  <si>
    <t>-25239963亿</t>
  </si>
  <si>
    <t>226.24万</t>
  </si>
  <si>
    <t>1539617300亿</t>
  </si>
  <si>
    <t>101.71亿</t>
  </si>
  <si>
    <t>633771060亿</t>
  </si>
  <si>
    <t>18103300000亿</t>
  </si>
  <si>
    <t>90.12亿</t>
  </si>
  <si>
    <t>18.38亿</t>
  </si>
  <si>
    <t>48.37亿</t>
  </si>
  <si>
    <t>97.34亿</t>
  </si>
  <si>
    <t>138.69亿</t>
  </si>
  <si>
    <t>13.16亿</t>
  </si>
  <si>
    <t>-5.78亿</t>
  </si>
  <si>
    <t>-2.01亿</t>
  </si>
  <si>
    <t>107.73亿</t>
  </si>
  <si>
    <t>107.79亿</t>
  </si>
  <si>
    <t>100.29亿</t>
  </si>
  <si>
    <t>81.88亿</t>
  </si>
  <si>
    <t>53.55亿</t>
  </si>
  <si>
    <t>12.73亿</t>
  </si>
  <si>
    <t>9.41亿</t>
  </si>
  <si>
    <t>3.12亿</t>
  </si>
  <si>
    <t>81.38亿</t>
  </si>
  <si>
    <t>36.24亿</t>
  </si>
  <si>
    <t>5165.08万</t>
  </si>
  <si>
    <t>3.47亿</t>
  </si>
  <si>
    <t>-2-1</t>
  </si>
  <si>
    <t>1.去年业绩下降的核心原因,一是电站业务出现问题,越南项目因疫情延迟交付,从而执行新电价因此计提了损失;二是缅甸项目政变取消;三是储能业务:疫情影响公司海外储能按期交付,公司严格履行了合同,接受了罚款,导致增收不增利,但也赢得了客户的信任,为长期合作打下基础；</t>
    <phoneticPr fontId="1" type="noConversion"/>
  </si>
  <si>
    <t>公司一家专注于太阳能、风能、储能、电动汽车等新能源电源设备的研发、生产、销售和服务的高新技术企业。主要产品为光伏逆变器、风电变流器、储能系统、新能源汽车驱动系统、水面光伏设备、智慧能源运维服务；
市值1648亿，利润15.83亿，pe102，pb10.24；毛利23%，净利8.1%；2021营收增25%，利润增-19%；2022Q1营收增36.5%,利润增6.18%；过往5年营收增33%，利润增35%；
2021：
电站投资开发 96.79亿 40.10% 21.45% 11.91% 增速17.65%
光伏逆变器等电力转换设备 90.51亿 37.50% 56.96% 33.80% 增速20.44%
储能系统 31.38亿 13.00% 8.24% 14.11% 增速168.51%
风电变流器 11.77亿 4.88% 4.42% 20.18% 增速-16.79%
其他 6.07亿 2.51% 4.09% 36.22% 增速3.43%
光伏电站发电 4.86亿 2.01% 4.83% 53.47% 增速29.8%</t>
    <phoneticPr fontId="1" type="noConversion"/>
  </si>
  <si>
    <t>9479.71万</t>
  </si>
  <si>
    <t>269.48亿</t>
  </si>
  <si>
    <t>171.54亿</t>
  </si>
  <si>
    <t>4567689700亿</t>
  </si>
  <si>
    <t>241.37亿</t>
  </si>
  <si>
    <t>15.83亿</t>
  </si>
  <si>
    <t>41.57亿</t>
  </si>
  <si>
    <t>32.21亿</t>
  </si>
  <si>
    <t>3.74亿</t>
  </si>
  <si>
    <t>34925337亿</t>
  </si>
  <si>
    <t>1640.97万</t>
  </si>
  <si>
    <t>370528600亿</t>
  </si>
  <si>
    <t>62.23亿</t>
  </si>
  <si>
    <t>8269793300亿</t>
  </si>
  <si>
    <t>6.98亿</t>
  </si>
  <si>
    <t>37330131000亿</t>
  </si>
  <si>
    <t>21.49亿</t>
  </si>
  <si>
    <t>93.30亿</t>
  </si>
  <si>
    <t>84.99亿</t>
  </si>
  <si>
    <t>241.12亿</t>
  </si>
  <si>
    <t>20.33亿</t>
  </si>
  <si>
    <t>-16.83亿</t>
  </si>
  <si>
    <t>-7.04亿</t>
  </si>
  <si>
    <t>7.91亿</t>
  </si>
  <si>
    <t>192.86亿</t>
  </si>
  <si>
    <t>130.03亿</t>
  </si>
  <si>
    <t>103.69亿</t>
  </si>
  <si>
    <t>88.86亿</t>
  </si>
  <si>
    <t>60.04亿</t>
  </si>
  <si>
    <t>19.54亿</t>
  </si>
  <si>
    <t>8.93亿</t>
  </si>
  <si>
    <t>45.68亿</t>
  </si>
  <si>
    <t>33.47亿</t>
  </si>
  <si>
    <t>2.92亿</t>
  </si>
  <si>
    <t>12.80亿</t>
  </si>
  <si>
    <t>1.78亿</t>
  </si>
  <si>
    <t>9732.14亿</t>
  </si>
  <si>
    <t>9160.41亿</t>
  </si>
  <si>
    <t>771386000000亿</t>
  </si>
  <si>
    <t>27408.84亿</t>
  </si>
  <si>
    <t>712.08亿</t>
  </si>
  <si>
    <t>26443.58亿</t>
  </si>
  <si>
    <t>22165.51亿</t>
  </si>
  <si>
    <t>578.91亿</t>
  </si>
  <si>
    <t>625.35亿</t>
  </si>
  <si>
    <t>211.00亿</t>
  </si>
  <si>
    <t>-1662000000亿</t>
  </si>
  <si>
    <t>35.16亿</t>
  </si>
  <si>
    <t>722.20亿</t>
  </si>
  <si>
    <t>2219.89亿</t>
  </si>
  <si>
    <t>76417000000亿</t>
  </si>
  <si>
    <t>679865000000亿</t>
  </si>
  <si>
    <t>1559.39亿</t>
  </si>
  <si>
    <t>273.66亿</t>
  </si>
  <si>
    <t>117.21亿</t>
  </si>
  <si>
    <t>2039.19亿</t>
  </si>
  <si>
    <t>6412.80亿</t>
  </si>
  <si>
    <t>493.41亿</t>
  </si>
  <si>
    <t>2251.74亿</t>
  </si>
  <si>
    <t>-1451.98亿</t>
  </si>
  <si>
    <t>-579.42亿</t>
  </si>
  <si>
    <t>21047.24亿</t>
  </si>
  <si>
    <t>29597.99亿</t>
  </si>
  <si>
    <t>28911.79亿</t>
  </si>
  <si>
    <t>23601.93亿</t>
  </si>
  <si>
    <t>19309.11亿</t>
  </si>
  <si>
    <t>332.71亿</t>
  </si>
  <si>
    <t>576.19亿</t>
  </si>
  <si>
    <t>630.89亿</t>
  </si>
  <si>
    <t>511.19亿</t>
  </si>
  <si>
    <t>464.16亿</t>
  </si>
  <si>
    <t>5765.59亿</t>
  </si>
  <si>
    <t>181.60亿</t>
  </si>
  <si>
    <t>45.00亿</t>
  </si>
  <si>
    <t>1274.79万</t>
  </si>
  <si>
    <t>2896537000亿</t>
  </si>
  <si>
    <t>8390909亿</t>
  </si>
  <si>
    <t>75.49万</t>
  </si>
  <si>
    <t>578245820亿</t>
  </si>
  <si>
    <t>879101990亿</t>
  </si>
  <si>
    <t>1339.87万</t>
  </si>
  <si>
    <t>4223056900亿</t>
  </si>
  <si>
    <t>7.15亿</t>
  </si>
  <si>
    <t>7007.38万</t>
  </si>
  <si>
    <t>14.31亿</t>
  </si>
  <si>
    <t>24.28亿</t>
  </si>
  <si>
    <t>-6308.23万</t>
  </si>
  <si>
    <t>-6024.90万</t>
  </si>
  <si>
    <t>55.68亿</t>
  </si>
  <si>
    <t>53.69亿</t>
  </si>
  <si>
    <t>56.04亿</t>
  </si>
  <si>
    <t>55.76亿</t>
  </si>
  <si>
    <t>45.03亿</t>
  </si>
  <si>
    <t>13.04亿</t>
  </si>
  <si>
    <t>12.27亿</t>
  </si>
  <si>
    <t>11.00亿</t>
  </si>
  <si>
    <t>7.40亿</t>
  </si>
  <si>
    <t>28.97亿</t>
  </si>
  <si>
    <t>16.64亿</t>
  </si>
  <si>
    <t>18.08亿</t>
  </si>
  <si>
    <t>3.40亿</t>
  </si>
  <si>
    <t>6253.54万</t>
  </si>
  <si>
    <t>00</t>
  </si>
  <si>
    <t>-1-1</t>
  </si>
  <si>
    <t>816.43万</t>
  </si>
  <si>
    <t>168.58亿</t>
  </si>
  <si>
    <t>69.44亿</t>
  </si>
  <si>
    <t>4733090000亿</t>
  </si>
  <si>
    <t>187.37亿</t>
  </si>
  <si>
    <t>4.32亿</t>
  </si>
  <si>
    <t>46.04亿</t>
  </si>
  <si>
    <t>42.55亿</t>
  </si>
  <si>
    <t>2137.15万</t>
  </si>
  <si>
    <t>1.32亿</t>
  </si>
  <si>
    <t>-10807亿</t>
  </si>
  <si>
    <t>37.43万</t>
  </si>
  <si>
    <t>83075590亿</t>
  </si>
  <si>
    <t>54.70亿</t>
  </si>
  <si>
    <t>1327324260亿</t>
  </si>
  <si>
    <t>14.77亿</t>
  </si>
  <si>
    <t>11649796900亿</t>
  </si>
  <si>
    <t>9.33亿</t>
  </si>
  <si>
    <t>84.12亿</t>
  </si>
  <si>
    <t>10.66亿</t>
  </si>
  <si>
    <t>154.61亿</t>
  </si>
  <si>
    <t>5.39亿</t>
  </si>
  <si>
    <t>4.50亿</t>
  </si>
  <si>
    <t>-1573.81万</t>
  </si>
  <si>
    <t>-4.84亿</t>
  </si>
  <si>
    <t>179.50亿</t>
  </si>
  <si>
    <t>179.29亿</t>
  </si>
  <si>
    <t>217.75亿</t>
  </si>
  <si>
    <t>213.98亿</t>
  </si>
  <si>
    <t>165.92亿</t>
  </si>
  <si>
    <t>1.29亿</t>
  </si>
  <si>
    <t>-5.24亿</t>
  </si>
  <si>
    <t>-9.09亿</t>
  </si>
  <si>
    <t>47.33亿</t>
  </si>
  <si>
    <t>44.09亿</t>
  </si>
  <si>
    <t>3892.47万</t>
  </si>
  <si>
    <t>1.动力煤-》化工用煤-》烯烃产业链下游情况：聚乙烯、聚丙烯的下游主要是塑料加工行业，聚乙烯主要作为膜料、注塑料、中空料、管材料等；聚丙烯主要作为拉丝料、注塑料、纤维料、膜料等，可以用于农林牧渔业、包装业、日用品业、汽车制造业、家电制造业、管道制造业、医疗卫生业、电力电气行业、化工化纤业、军工制造业、航天航空业等行业。目前聚烯烃的使用率仅次于钢铁；炼焦煤-》焦炭-》钢材市场需求较好，钢价持续攀升，焦炭价格维持高位；</t>
    <phoneticPr fontId="1" type="noConversion"/>
  </si>
  <si>
    <t>公司的主营业务是以煤替代石油生产高端化工产品。主要产品为聚乙烯、聚丙烯。公司高度重视科研开发与技术进步，加大技术储备。
市值1200亿，利润70.7亿；毛利44%，净利29%；2021营收增46%，利润增53%；2022Q1营收增31%，利润增1%；过往5年营收增25%，利润增35%；
2021：
烯烃产品 115.19亿 49.44% 37.85% 32.31%
焦化产品 93.36亿 40.07% 52.43% 55.23%
精细化工产品 23.67亿 10.16% 9.23% 38.34%
其他业务 7767.74万 0.33% 0.49% 62.01%</t>
    <phoneticPr fontId="1" type="noConversion"/>
  </si>
  <si>
    <t>公司主要从事单晶硅棒,硅片,电池和组件的研发,生产和销售，为光伏集中式地面电站和分布式屋顶开发提供产品和系统解决方案。公司的主要产品为太阳能组件及电池、硅片及硅棒、电站建设及服务、电力。
市值4560亿，利润90.86亿；pe49.31,pb9.1;毛利24.57%，净利14.68%；2021营收增48.27%，利润增6.2%；2022Q1营收增17.3%，利润增6.5%；过往5年营收增48%，利润增55.36%；
2021：
太阳能组件及电池 584.54亿 72.23% 61.02% 17.06%
硅片及硅棒 170.28亿 21.04% 28.70% 27.55%
电站建设及服务 19.42亿 2.40% 2.04% 17.17%
受托加工 17.63亿 2.18% 1.61% 14.93%
其他 11.82亿 1.46% 4.49% 62.03%
电力 5.62亿 0.69% 2.14% 62.15%</t>
    <phoneticPr fontId="1" type="noConversion"/>
  </si>
  <si>
    <t>7703.19万</t>
  </si>
  <si>
    <t>637.13亿</t>
  </si>
  <si>
    <t>507.53亿</t>
  </si>
  <si>
    <t>18595204000亿</t>
  </si>
  <si>
    <t>809.32亿</t>
  </si>
  <si>
    <t>90.86亿</t>
  </si>
  <si>
    <t>162.27亿</t>
  </si>
  <si>
    <t>146.36亿</t>
  </si>
  <si>
    <t>5.80亿</t>
  </si>
  <si>
    <t>738547680亿</t>
  </si>
  <si>
    <t>282.73万</t>
  </si>
  <si>
    <t>2646992000亿</t>
  </si>
  <si>
    <t>353.40亿</t>
  </si>
  <si>
    <t>5995858500亿</t>
  </si>
  <si>
    <t>8.12亿</t>
  </si>
  <si>
    <t>74887097000亿</t>
  </si>
  <si>
    <t>26.44亿</t>
  </si>
  <si>
    <t>41.08亿</t>
  </si>
  <si>
    <t>152.34亿</t>
  </si>
  <si>
    <t>121.00亿</t>
  </si>
  <si>
    <t>498.73亿</t>
  </si>
  <si>
    <t>13.05亿</t>
  </si>
  <si>
    <t>-3.09亿</t>
  </si>
  <si>
    <t>-10.29亿</t>
  </si>
  <si>
    <t>75.78亿</t>
  </si>
  <si>
    <t>545.83亿</t>
  </si>
  <si>
    <t>328.97亿</t>
  </si>
  <si>
    <t>219.88亿</t>
  </si>
  <si>
    <t>163.62亿</t>
  </si>
  <si>
    <t>115.31亿</t>
  </si>
  <si>
    <t>85.52亿</t>
  </si>
  <si>
    <t>52.80亿</t>
  </si>
  <si>
    <t>35.65亿</t>
  </si>
  <si>
    <t>185.95亿</t>
  </si>
  <si>
    <t>158.54亿</t>
  </si>
  <si>
    <t>25.02亿</t>
  </si>
  <si>
    <t>3.98亿</t>
  </si>
  <si>
    <t>25.82亿</t>
  </si>
  <si>
    <t>2464.92万</t>
  </si>
  <si>
    <t>72.16亿</t>
  </si>
  <si>
    <t>109.18亿</t>
  </si>
  <si>
    <t>2241707800亿</t>
  </si>
  <si>
    <t>92.68亿</t>
  </si>
  <si>
    <t>15.61亿</t>
  </si>
  <si>
    <t>539.21万</t>
  </si>
  <si>
    <t>2827.46万</t>
  </si>
  <si>
    <t>5444340亿</t>
  </si>
  <si>
    <t>152.08万</t>
  </si>
  <si>
    <t>363580470亿</t>
  </si>
  <si>
    <t>29.28亿</t>
  </si>
  <si>
    <t>169556600亿</t>
  </si>
  <si>
    <t>1376.16万</t>
  </si>
  <si>
    <t>6143473200亿</t>
  </si>
  <si>
    <t>40.71亿</t>
  </si>
  <si>
    <t>11.59万</t>
  </si>
  <si>
    <t>7.74亿</t>
  </si>
  <si>
    <t>49.38亿</t>
  </si>
  <si>
    <t>17.11亿</t>
  </si>
  <si>
    <t>2.94亿</t>
  </si>
  <si>
    <t>64.57亿</t>
  </si>
  <si>
    <t>61.64亿</t>
  </si>
  <si>
    <t>67.51亿</t>
  </si>
  <si>
    <t>64.65亿</t>
  </si>
  <si>
    <t>48.62亿</t>
  </si>
  <si>
    <t>5.07亿</t>
  </si>
  <si>
    <t>4.39亿</t>
  </si>
  <si>
    <t>7.02亿</t>
  </si>
  <si>
    <t>8.26亿</t>
  </si>
  <si>
    <t>3.59亿</t>
  </si>
  <si>
    <t>22.42亿</t>
  </si>
  <si>
    <t>21.19亿</t>
  </si>
  <si>
    <t>4.94亿</t>
  </si>
  <si>
    <t>7.33亿</t>
  </si>
  <si>
    <t>2.04亿</t>
  </si>
  <si>
    <t>10934.09亿</t>
  </si>
  <si>
    <t>14091.24亿</t>
  </si>
  <si>
    <t>779368000000亿</t>
  </si>
  <si>
    <t>26143.49亿</t>
  </si>
  <si>
    <t>921.61亿</t>
  </si>
  <si>
    <t>24829.00亿</t>
  </si>
  <si>
    <t>20715.04亿</t>
  </si>
  <si>
    <t>712.95亿</t>
  </si>
  <si>
    <t>517.01亿</t>
  </si>
  <si>
    <t>237.31亿</t>
  </si>
  <si>
    <t>3517000000亿</t>
  </si>
  <si>
    <t>29.83亿</t>
  </si>
  <si>
    <t>995.31亿</t>
  </si>
  <si>
    <t>1635.36亿</t>
  </si>
  <si>
    <t>95100000000亿</t>
  </si>
  <si>
    <t>602459000000亿</t>
  </si>
  <si>
    <t>2236.71亿</t>
  </si>
  <si>
    <t>400.10亿</t>
  </si>
  <si>
    <t>200.89亿</t>
  </si>
  <si>
    <t>2371.02亿</t>
  </si>
  <si>
    <t>5181.58亿</t>
  </si>
  <si>
    <t>1980.05亿</t>
  </si>
  <si>
    <t>3414.69亿</t>
  </si>
  <si>
    <t>-2130.32亿</t>
  </si>
  <si>
    <t>-1079.71亿</t>
  </si>
  <si>
    <t>19338.36亿</t>
  </si>
  <si>
    <t>25168.10亿</t>
  </si>
  <si>
    <t>23749.34亿</t>
  </si>
  <si>
    <t>20158.90亿</t>
  </si>
  <si>
    <t>16169.03亿</t>
  </si>
  <si>
    <t>190.02亿</t>
  </si>
  <si>
    <t>456.77亿</t>
  </si>
  <si>
    <t>530.30亿</t>
  </si>
  <si>
    <t>227.93亿</t>
  </si>
  <si>
    <t>79.00亿</t>
  </si>
  <si>
    <t>5519.23亿</t>
  </si>
  <si>
    <t>277.19亿</t>
  </si>
  <si>
    <t>9.45亿</t>
  </si>
  <si>
    <t>53.90亿</t>
  </si>
  <si>
    <t>1071.91万</t>
  </si>
  <si>
    <t>43.70亿</t>
  </si>
  <si>
    <t>87.53亿</t>
  </si>
  <si>
    <t>4518480200亿</t>
  </si>
  <si>
    <t>119.76亿</t>
  </si>
  <si>
    <t>9.35亿</t>
  </si>
  <si>
    <t>109.63亿</t>
  </si>
  <si>
    <t>103.21亿</t>
  </si>
  <si>
    <t>1625.65万</t>
  </si>
  <si>
    <t>25086333亿</t>
  </si>
  <si>
    <t>1661.18万</t>
  </si>
  <si>
    <t>7.97亿</t>
  </si>
  <si>
    <t>694192460亿</t>
  </si>
  <si>
    <t>3248.25万</t>
  </si>
  <si>
    <t>6192734800亿</t>
  </si>
  <si>
    <t>13.37亿</t>
  </si>
  <si>
    <t>2404.85万</t>
  </si>
  <si>
    <t>14.20亿</t>
  </si>
  <si>
    <t>8.23亿</t>
  </si>
  <si>
    <t>-6.15亿</t>
  </si>
  <si>
    <t>4.13亿</t>
  </si>
  <si>
    <t>75.45亿</t>
  </si>
  <si>
    <t>81.50亿</t>
  </si>
  <si>
    <t>88.12亿</t>
  </si>
  <si>
    <t>66.52亿</t>
  </si>
  <si>
    <t>42.38亿</t>
  </si>
  <si>
    <t>8.89亿</t>
  </si>
  <si>
    <t>7.62亿</t>
  </si>
  <si>
    <t>12.70亿</t>
  </si>
  <si>
    <t>6.79亿</t>
  </si>
  <si>
    <t>4.20亿</t>
  </si>
  <si>
    <t>25.74亿</t>
  </si>
  <si>
    <t>4.75亿</t>
  </si>
  <si>
    <t>6484.01万</t>
  </si>
  <si>
    <t>1.以 2020 年进口量计算，公司是
我国第四大 LPG 进口商，是华南地区第一大 LPG 进口商。LNG 方面，公司是华南地区 LNG 流通市场的重要供应商</t>
    <phoneticPr fontId="1" type="noConversion"/>
  </si>
  <si>
    <t>1.LNG 运输船为行业的核心资产，购建自有 LNG运输船有利于掌握行业稀缺资源，加强对 LNG 运输环节的自
主性与控制力，也符合行业龙头企业的发展路径。同时通过租赁 LNG 运输船对公司运力进行灵活补充和调配，满足公司日常业务运输需求。目前公司自有与租赁的运输船共 7 艘，在建 2 艘，可以全球投入运营，对市场拥有一定的把握度</t>
    <phoneticPr fontId="1" type="noConversion"/>
  </si>
  <si>
    <t>公司是国内专注于燃气产业中游及终端领域的大型清洁能源综合服务提供商，经营产品包括液化石油气（LPG）、液化天然气（LNG）等清洁能源以及甲醇、二甲醚（DME）等化工产品，主要应用于燃气发电、工业燃料、城镇燃气、汽车燃料、化工原料等领域；
市值136亿，利润6.2亿；毛利10%，净利5.3%；2021营收增107%，利润增-19%；2022Q1营收增126%，利润增41%；过往5年营收增27%，利润增34%；
2021：
LNG 98.79亿 53.43% 42.81% 5.21%
LPG 78.07亿 42.22% 41.08% 6.33%
甲醇、二甲醚及其他 5.45亿 2.95% 5.16% 11.40%
其他业务 2.59亿 1.40% 10.95% 50.93%</t>
    <phoneticPr fontId="1" type="noConversion"/>
  </si>
  <si>
    <t>899.62万</t>
  </si>
  <si>
    <t>27.27亿</t>
  </si>
  <si>
    <t>63.13亿</t>
  </si>
  <si>
    <t>7017080300亿</t>
  </si>
  <si>
    <t>184.88亿</t>
  </si>
  <si>
    <t>6.20亿</t>
  </si>
  <si>
    <t>65.30亿</t>
  </si>
  <si>
    <t>64.02亿</t>
  </si>
  <si>
    <t>5944.17万</t>
  </si>
  <si>
    <t>5794.56万</t>
  </si>
  <si>
    <t>30951216亿</t>
  </si>
  <si>
    <t>421.27万</t>
  </si>
  <si>
    <t>389560260亿</t>
  </si>
  <si>
    <t>39.72亿</t>
  </si>
  <si>
    <t>550363760亿</t>
  </si>
  <si>
    <t>5005.40万</t>
  </si>
  <si>
    <t>6128315900亿</t>
  </si>
  <si>
    <t>10.54亿</t>
  </si>
  <si>
    <t>6.28亿</t>
  </si>
  <si>
    <t>478.36万</t>
  </si>
  <si>
    <t>22.76亿</t>
  </si>
  <si>
    <t>7.58亿</t>
  </si>
  <si>
    <t>-7.96亿</t>
  </si>
  <si>
    <t>89.14亿</t>
  </si>
  <si>
    <t>100.21亿</t>
  </si>
  <si>
    <t>114.94亿</t>
  </si>
  <si>
    <t>104.47亿</t>
  </si>
  <si>
    <t>74.74亿</t>
  </si>
  <si>
    <t>7.68亿</t>
  </si>
  <si>
    <t>3.67亿</t>
  </si>
  <si>
    <t>3.16亿</t>
  </si>
  <si>
    <t>2.77亿</t>
  </si>
  <si>
    <t>70.17亿</t>
  </si>
  <si>
    <t>31.02亿</t>
  </si>
  <si>
    <t>2.79亿</t>
  </si>
  <si>
    <t>3282.70万</t>
  </si>
  <si>
    <t>1.44亿</t>
  </si>
  <si>
    <t>SZ002564</t>
  </si>
  <si>
    <t>天沃科技</t>
  </si>
  <si>
    <t>建筑装饰</t>
  </si>
  <si>
    <t>SZ300423</t>
  </si>
  <si>
    <t>昇辉科技</t>
  </si>
  <si>
    <t>SH600458</t>
  </si>
  <si>
    <t>时代新材</t>
  </si>
  <si>
    <t>SH600501</t>
  </si>
  <si>
    <t>航天晨光</t>
  </si>
  <si>
    <t>SH603013</t>
  </si>
  <si>
    <t>亚普股份</t>
  </si>
  <si>
    <r>
      <t>2018年的5元最高涨到了45元，9倍的涨幅，对应PE从11到了17，目前PE对应2018年到现在大概是中等偏上位置；最近一年最高涨幅一倍，对应目前大概在50%；
中材科技股份有限公司从事风电叶片的研发、制造、销售及服务，公司的主要产品是风电叶片、玻璃纤维及制品、锂电池隔膜；
2021年：
玻璃纤维及制品 87.51亿 43.12% 利润占比77.28% 42.73% 增速27.75%
风电叶片 69.76亿 34.37% 利润占比22.72% 15.76%  增速</t>
    </r>
    <r>
      <rPr>
        <b/>
        <sz val="9"/>
        <color rgb="FFFF0000"/>
        <rFont val="宋体"/>
        <family val="3"/>
        <charset val="134"/>
        <scheme val="minor"/>
      </rPr>
      <t>-22.29%</t>
    </r>
    <r>
      <rPr>
        <sz val="9"/>
        <color theme="1"/>
        <rFont val="宋体"/>
        <family val="2"/>
        <charset val="134"/>
        <scheme val="minor"/>
      </rPr>
      <t xml:space="preserve">
其他 14.18亿 6.99%
锂电池隔膜 11.26亿 5.55% 增速</t>
    </r>
    <r>
      <rPr>
        <sz val="9"/>
        <color rgb="FFFF0000"/>
        <rFont val="宋体"/>
        <family val="3"/>
        <charset val="134"/>
        <scheme val="minor"/>
      </rPr>
      <t>95.41%</t>
    </r>
    <r>
      <rPr>
        <sz val="9"/>
        <color theme="1"/>
        <rFont val="宋体"/>
        <family val="2"/>
        <charset val="134"/>
        <scheme val="minor"/>
      </rPr>
      <t xml:space="preserve">
技术与装备 10.05亿 4.95%
先进复合材料 9.47亿 4.67%
高压气瓶 5.78亿 2.85%
高温过滤材料 3.41亿 1.68%
玻璃微纤维纸 3.38亿 1.66%</t>
    </r>
    <phoneticPr fontId="1" type="noConversion"/>
  </si>
  <si>
    <t>2491.22万</t>
  </si>
  <si>
    <t>243.80亿</t>
  </si>
  <si>
    <t>163.92亿</t>
  </si>
  <si>
    <t>39.00亿</t>
  </si>
  <si>
    <t>32.72亿</t>
  </si>
  <si>
    <t>5127.62万</t>
  </si>
  <si>
    <t>1872.06万</t>
  </si>
  <si>
    <t>601572540亿</t>
  </si>
  <si>
    <t>31.20亿</t>
  </si>
  <si>
    <t>9748.46万</t>
  </si>
  <si>
    <t>19.63亿</t>
  </si>
  <si>
    <t>23.63亿</t>
  </si>
  <si>
    <t>30.82亿</t>
  </si>
  <si>
    <t>42.70亿</t>
  </si>
  <si>
    <t>144.91亿</t>
  </si>
  <si>
    <t>38.70亿</t>
  </si>
  <si>
    <t>-14.38亿</t>
  </si>
  <si>
    <t>23.50亿</t>
  </si>
  <si>
    <t>46.62亿</t>
  </si>
  <si>
    <t>1380765000亿</t>
  </si>
  <si>
    <t>187.07万</t>
  </si>
  <si>
    <t>2706330亿</t>
  </si>
  <si>
    <t>-20315374亿</t>
  </si>
  <si>
    <t>4312737200亿</t>
  </si>
  <si>
    <t>21483095000亿</t>
  </si>
  <si>
    <t>77.12亿</t>
  </si>
  <si>
    <t>77.00亿</t>
  </si>
  <si>
    <t>104.04亿</t>
  </si>
  <si>
    <t>11.95亿</t>
  </si>
  <si>
    <t>-11.60亿</t>
  </si>
  <si>
    <t>4239.19万</t>
  </si>
  <si>
    <t>7460.27万</t>
  </si>
  <si>
    <t>2.25亿</t>
  </si>
  <si>
    <t>20.19亿</t>
  </si>
  <si>
    <t>-6.93亿</t>
  </si>
  <si>
    <t>482.11万</t>
  </si>
  <si>
    <t>5.36亿</t>
  </si>
  <si>
    <t>20.27亿</t>
  </si>
  <si>
    <t>549901670亿</t>
  </si>
  <si>
    <t>27.10亿</t>
  </si>
  <si>
    <t>3979292亿</t>
  </si>
  <si>
    <t>55675332亿</t>
  </si>
  <si>
    <t>1769558700亿</t>
  </si>
  <si>
    <t>5202983200亿</t>
  </si>
  <si>
    <t>41.94亿</t>
  </si>
  <si>
    <t>39.42亿</t>
  </si>
  <si>
    <t>30.31亿</t>
  </si>
  <si>
    <t>2.64亿</t>
  </si>
  <si>
    <t>2.33亿</t>
  </si>
  <si>
    <t>5.93亿</t>
  </si>
  <si>
    <t>2763.60万</t>
  </si>
  <si>
    <t>2476.46万</t>
  </si>
  <si>
    <t>5.50亿</t>
  </si>
  <si>
    <t>5847.82万</t>
  </si>
  <si>
    <t>1740.04万</t>
  </si>
  <si>
    <t>11.79亿</t>
  </si>
  <si>
    <t>10.81亿</t>
  </si>
  <si>
    <t>1.62亿</t>
  </si>
  <si>
    <t>1.10亿</t>
  </si>
  <si>
    <t>1523.54万</t>
  </si>
  <si>
    <t>1899.48万</t>
  </si>
  <si>
    <t>2.74万</t>
  </si>
  <si>
    <t>-19587634亿</t>
  </si>
  <si>
    <t>1572.33万</t>
  </si>
  <si>
    <t>3999.10万</t>
  </si>
  <si>
    <t>3.57亿</t>
  </si>
  <si>
    <t>2.56亿</t>
  </si>
  <si>
    <t>1339.62万</t>
  </si>
  <si>
    <t>10.76亿</t>
  </si>
  <si>
    <t>-1.14亿</t>
  </si>
  <si>
    <t>-1175.32万</t>
  </si>
  <si>
    <t>8585.82万</t>
  </si>
  <si>
    <t>3.20亿</t>
  </si>
  <si>
    <t>3800718500亿</t>
  </si>
  <si>
    <t>140.51亿</t>
  </si>
  <si>
    <t>-1448046亿</t>
  </si>
  <si>
    <t>47017162亿</t>
  </si>
  <si>
    <t>3762224100亿</t>
  </si>
  <si>
    <t>11450623200亿</t>
  </si>
  <si>
    <t>3.00亿</t>
  </si>
  <si>
    <t>150.80亿</t>
  </si>
  <si>
    <t>118.72亿</t>
  </si>
  <si>
    <t>119.96亿</t>
  </si>
  <si>
    <t>114.00亿</t>
  </si>
  <si>
    <t>117.39亿</t>
  </si>
  <si>
    <t>3.27亿</t>
  </si>
  <si>
    <t>9010.51万</t>
  </si>
  <si>
    <t>-4.27亿</t>
  </si>
  <si>
    <t>6922.39万</t>
  </si>
  <si>
    <t>2.44亿</t>
  </si>
  <si>
    <t>38.01亿</t>
  </si>
  <si>
    <t>37.86亿</t>
  </si>
  <si>
    <t>7665.35万</t>
  </si>
  <si>
    <t>925.49万</t>
  </si>
  <si>
    <t>34.72亿</t>
  </si>
  <si>
    <t>23.99亿</t>
  </si>
  <si>
    <t>511296370亿</t>
  </si>
  <si>
    <t>40.79亿</t>
  </si>
  <si>
    <t>6644.83万</t>
  </si>
  <si>
    <t>5.31亿</t>
  </si>
  <si>
    <t>4.12亿</t>
  </si>
  <si>
    <t>2599.54万</t>
  </si>
  <si>
    <t>5242.68万</t>
  </si>
  <si>
    <t>94.61万</t>
  </si>
  <si>
    <t>-11614162亿</t>
  </si>
  <si>
    <t>5.70亿</t>
  </si>
  <si>
    <t>1168089990亿</t>
  </si>
  <si>
    <t>4032.34万</t>
  </si>
  <si>
    <t>4026897100亿</t>
  </si>
  <si>
    <t>3664.47万</t>
  </si>
  <si>
    <t>9.97亿</t>
  </si>
  <si>
    <t>34.04亿</t>
  </si>
  <si>
    <t>-10.47亿</t>
  </si>
  <si>
    <t>-2884.13万</t>
  </si>
  <si>
    <t>4.00亿</t>
  </si>
  <si>
    <t>37.00亿</t>
  </si>
  <si>
    <t>30.00亿</t>
  </si>
  <si>
    <t>26.32亿</t>
  </si>
  <si>
    <t>26.36亿</t>
  </si>
  <si>
    <t>31.83亿</t>
  </si>
  <si>
    <t>4445.26万</t>
  </si>
  <si>
    <t>3495.10万</t>
  </si>
  <si>
    <t>-1.65亿</t>
  </si>
  <si>
    <t>1171.31万</t>
  </si>
  <si>
    <t>1461.66万</t>
  </si>
  <si>
    <t>6.12亿</t>
  </si>
  <si>
    <t>1332.51万</t>
  </si>
  <si>
    <t>4052.09万</t>
  </si>
  <si>
    <t>297.75万</t>
  </si>
  <si>
    <t>24.53亿</t>
  </si>
  <si>
    <t>37.66亿</t>
  </si>
  <si>
    <t>2013517000亿</t>
  </si>
  <si>
    <t>80.57亿</t>
  </si>
  <si>
    <t>4.98亿</t>
  </si>
  <si>
    <t>18.52亿</t>
  </si>
  <si>
    <t>16.95亿</t>
  </si>
  <si>
    <t>1647.34万</t>
  </si>
  <si>
    <t>6979.86万</t>
  </si>
  <si>
    <t>2144029亿</t>
  </si>
  <si>
    <t>10.88万</t>
  </si>
  <si>
    <t>124986170亿</t>
  </si>
  <si>
    <t>17.01亿</t>
  </si>
  <si>
    <t>1149470870亿</t>
  </si>
  <si>
    <t>4303908900亿</t>
  </si>
  <si>
    <t>8432.97万</t>
  </si>
  <si>
    <t>2506.28万</t>
  </si>
  <si>
    <t>6353.45万</t>
  </si>
  <si>
    <t>17.02亿</t>
  </si>
  <si>
    <t>21.51亿</t>
  </si>
  <si>
    <t>8726.38万</t>
  </si>
  <si>
    <t>4.80亿</t>
  </si>
  <si>
    <t>-3964.21万</t>
  </si>
  <si>
    <t>-8628.11万</t>
  </si>
  <si>
    <t>88.59亿</t>
  </si>
  <si>
    <t>91.38亿</t>
  </si>
  <si>
    <t>78.49亿</t>
  </si>
  <si>
    <t>70.75亿</t>
  </si>
  <si>
    <t>65.56亿</t>
  </si>
  <si>
    <t>3.84亿</t>
  </si>
  <si>
    <t>3.35亿</t>
  </si>
  <si>
    <t>3.76亿</t>
  </si>
  <si>
    <t>20.14亿</t>
  </si>
  <si>
    <t>19.82亿</t>
  </si>
  <si>
    <t>1461.09万</t>
  </si>
  <si>
    <t>9516.77万</t>
  </si>
  <si>
    <t>SZ000625</t>
  </si>
  <si>
    <t>长安汽车</t>
  </si>
  <si>
    <t>汽车整车</t>
  </si>
  <si>
    <t>SZ000957</t>
  </si>
  <si>
    <t>中通客车</t>
  </si>
  <si>
    <t>SH600066</t>
  </si>
  <si>
    <t>宇通客车</t>
  </si>
  <si>
    <t>SH600104</t>
  </si>
  <si>
    <t>上汽集团</t>
  </si>
  <si>
    <t>SH600166</t>
  </si>
  <si>
    <t>福田汽车</t>
  </si>
  <si>
    <t>SH601238</t>
  </si>
  <si>
    <t>广汽集团</t>
  </si>
  <si>
    <t>SH601633</t>
  </si>
  <si>
    <t>长城汽车</t>
  </si>
  <si>
    <t>1051.42亿</t>
  </si>
  <si>
    <t>35.52亿</t>
  </si>
  <si>
    <t>6.40亿</t>
  </si>
  <si>
    <t>-3.11亿</t>
  </si>
  <si>
    <t>845.66亿</t>
  </si>
  <si>
    <t>705.95亿</t>
  </si>
  <si>
    <t>662.98亿</t>
  </si>
  <si>
    <t>800.12亿</t>
  </si>
  <si>
    <t>785.42亿</t>
  </si>
  <si>
    <t>33.24亿</t>
  </si>
  <si>
    <t>-26.47亿</t>
  </si>
  <si>
    <t>6.81亿</t>
  </si>
  <si>
    <t>71.37亿</t>
  </si>
  <si>
    <t>102.85亿</t>
  </si>
  <si>
    <t>345.76亿</t>
  </si>
  <si>
    <t>320.27亿</t>
  </si>
  <si>
    <t>8.54亿</t>
  </si>
  <si>
    <t>45.87亿</t>
  </si>
  <si>
    <t>-2.20亿</t>
  </si>
  <si>
    <t>44.08亿</t>
  </si>
  <si>
    <t>67.41亿</t>
  </si>
  <si>
    <t>60.79亿</t>
  </si>
  <si>
    <t>92.57亿</t>
  </si>
  <si>
    <t>2352.37万</t>
  </si>
  <si>
    <t>3307.19万</t>
  </si>
  <si>
    <t>3657.13万</t>
  </si>
  <si>
    <t>1.91亿</t>
  </si>
  <si>
    <t>5.86亿</t>
  </si>
  <si>
    <t>8.63亿</t>
  </si>
  <si>
    <t>6.59亿</t>
  </si>
  <si>
    <t>-3970.21万</t>
  </si>
  <si>
    <r>
      <t>1.国内利润61%，国外利润占比32%；2.国内市场 2023 年</t>
    </r>
    <r>
      <rPr>
        <sz val="9"/>
        <color rgb="FFFF0000"/>
        <rFont val="宋体"/>
        <family val="3"/>
        <charset val="134"/>
        <scheme val="minor"/>
      </rPr>
      <t>新能源补贴政策退出，预计 2022 年公交市场将迎来增长</t>
    </r>
    <phoneticPr fontId="1" type="noConversion"/>
  </si>
  <si>
    <t>1.一季度亏损-1.16亿；2.2016年后，营收逐年下降；毛利也逐年下降；</t>
    <phoneticPr fontId="1" type="noConversion"/>
  </si>
  <si>
    <t>公司的主营业务为客车产品研发、制造与销售。主要产品可满足5米至18米不同长度的市场需求。公司拥有众多完整产品链，主要用于公路客运、旅游客运、公交客运、团体通勤、校车、景区车、机场摆渡车、自动驾驶微循环车、客车专用车等各个细分市场。公司大中型客车的产销量稳居行业第一,继续保持行业龙头地位。2021年营收增7%，利润增19%；2022Q1营收增-3%，利润增-4%；毛利20%，净利3%；
2021：
客车产品 198.46亿 85.42% 83.79% 18.29%
其他业务 33.87亿 14.58% 16.21% 20.74%</t>
    <phoneticPr fontId="1" type="noConversion"/>
  </si>
  <si>
    <t>2447.82万</t>
  </si>
  <si>
    <t>146.08亿</t>
  </si>
  <si>
    <t>149.77亿</t>
  </si>
  <si>
    <t>3526036800亿</t>
  </si>
  <si>
    <t>232.33亿</t>
  </si>
  <si>
    <t>6.14亿</t>
  </si>
  <si>
    <t>39.29亿</t>
  </si>
  <si>
    <t>29.99亿</t>
  </si>
  <si>
    <t>2.43亿</t>
  </si>
  <si>
    <t>81338875亿</t>
  </si>
  <si>
    <t>450.43万</t>
  </si>
  <si>
    <t>-323909440亿</t>
  </si>
  <si>
    <t>32.62亿</t>
  </si>
  <si>
    <t>4813044800亿</t>
  </si>
  <si>
    <t>1.61亿</t>
  </si>
  <si>
    <t>18137086000亿</t>
  </si>
  <si>
    <t>27.63亿</t>
  </si>
  <si>
    <t>41.28亿</t>
  </si>
  <si>
    <t>500.60万</t>
  </si>
  <si>
    <t>117.84亿</t>
  </si>
  <si>
    <t>-7.37亿</t>
  </si>
  <si>
    <t>-13.35亿</t>
  </si>
  <si>
    <t>-3.12亿</t>
  </si>
  <si>
    <t>217.05亿</t>
  </si>
  <si>
    <t>304.92亿</t>
  </si>
  <si>
    <t>317.46亿</t>
  </si>
  <si>
    <t>332.22亿</t>
  </si>
  <si>
    <t>358.50亿</t>
  </si>
  <si>
    <t>5.16亿</t>
  </si>
  <si>
    <t>19.42亿</t>
  </si>
  <si>
    <t>23.01亿</t>
  </si>
  <si>
    <t>31.29亿</t>
  </si>
  <si>
    <t>35.26亿</t>
  </si>
  <si>
    <t>36.29亿</t>
  </si>
  <si>
    <t>-1.11亿</t>
  </si>
  <si>
    <t>1.45亿</t>
  </si>
  <si>
    <t>6.49亿</t>
  </si>
  <si>
    <t>开始亏损</t>
  </si>
  <si>
    <t>01842000000</t>
  </si>
  <si>
    <t>03684000000</t>
  </si>
  <si>
    <t>06140000000</t>
  </si>
  <si>
    <t>012280000000</t>
  </si>
  <si>
    <t>3845.98万</t>
  </si>
  <si>
    <t>5821.62亿</t>
  </si>
  <si>
    <t>3342.79亿</t>
  </si>
  <si>
    <t>176776180000亿</t>
  </si>
  <si>
    <t>7798.46亿</t>
  </si>
  <si>
    <t>245.33亿</t>
  </si>
  <si>
    <t>1793.16亿</t>
  </si>
  <si>
    <t>1602.15亿</t>
  </si>
  <si>
    <t>65.11亿</t>
  </si>
  <si>
    <t>60.94亿</t>
  </si>
  <si>
    <t>205.95亿</t>
  </si>
  <si>
    <t>5818737200亿</t>
  </si>
  <si>
    <t>6309.73万</t>
  </si>
  <si>
    <t>4953023100亿</t>
  </si>
  <si>
    <t>1520.92亿</t>
  </si>
  <si>
    <t>57168416000亿</t>
  </si>
  <si>
    <t>40.11亿</t>
  </si>
  <si>
    <t>552046060000亿</t>
  </si>
  <si>
    <t>153.78亿</t>
  </si>
  <si>
    <t>341.73亿</t>
  </si>
  <si>
    <t>437.69亿</t>
  </si>
  <si>
    <t>1596.49亿</t>
  </si>
  <si>
    <t>4661.94亿</t>
  </si>
  <si>
    <t>309.20亿</t>
  </si>
  <si>
    <t>-91.43亿</t>
  </si>
  <si>
    <t>173.31亿</t>
  </si>
  <si>
    <t>79.78亿</t>
  </si>
  <si>
    <t>7421.32亿</t>
  </si>
  <si>
    <t>8265.30亿</t>
  </si>
  <si>
    <t>8876.26亿</t>
  </si>
  <si>
    <t>8579.78亿</t>
  </si>
  <si>
    <t>7462.35亿</t>
  </si>
  <si>
    <t>204.31亿</t>
  </si>
  <si>
    <t>256.03亿</t>
  </si>
  <si>
    <t>360.09亿</t>
  </si>
  <si>
    <t>344.10亿</t>
  </si>
  <si>
    <t>320.06亿</t>
  </si>
  <si>
    <t>1767.76亿</t>
  </si>
  <si>
    <t>1844.10亿</t>
  </si>
  <si>
    <t>7230.43亿</t>
  </si>
  <si>
    <t>68.47亿</t>
  </si>
  <si>
    <t>10.45亿</t>
  </si>
  <si>
    <t>406.86亿</t>
  </si>
  <si>
    <t>107.18亿</t>
  </si>
  <si>
    <t>12387399300亿</t>
  </si>
  <si>
    <t>549.74亿</t>
  </si>
  <si>
    <t>-50.61亿</t>
  </si>
  <si>
    <t>122.00亿</t>
  </si>
  <si>
    <t>108.54亿</t>
  </si>
  <si>
    <t>3.60亿</t>
  </si>
  <si>
    <t>-36827800亿</t>
  </si>
  <si>
    <t>2185.67万</t>
  </si>
  <si>
    <t>79648136亿</t>
  </si>
  <si>
    <t>84.68亿</t>
  </si>
  <si>
    <t>4436529200亿</t>
  </si>
  <si>
    <t>24322704000亿</t>
  </si>
  <si>
    <t>12.39亿</t>
  </si>
  <si>
    <t>7.11亿</t>
  </si>
  <si>
    <t>70.24亿</t>
  </si>
  <si>
    <t>161.68亿</t>
  </si>
  <si>
    <t>355.94亿</t>
  </si>
  <si>
    <t>38.73亿</t>
  </si>
  <si>
    <t>8.92亿</t>
  </si>
  <si>
    <t>-1.83亿</t>
  </si>
  <si>
    <t>14.10亿</t>
  </si>
  <si>
    <t>577.65亿</t>
  </si>
  <si>
    <t>469.66亿</t>
  </si>
  <si>
    <t>410.54亿</t>
  </si>
  <si>
    <t>517.10亿</t>
  </si>
  <si>
    <t>465.32亿</t>
  </si>
  <si>
    <t>-35.75亿</t>
  </si>
  <si>
    <t>123.87亿</t>
  </si>
  <si>
    <t>158.70亿</t>
  </si>
  <si>
    <t>3.71亿</t>
  </si>
  <si>
    <t>6.42亿</t>
  </si>
  <si>
    <t>21.35亿</t>
  </si>
  <si>
    <t>1.传祺2021年亏损面进一步收窄，如2021年原材料价格维持2020年水平，传祺已经可以实现盈利，基于当前条件并达成全年销量目标，预计传祺2022年损益会有较大改善；2.广汽传祺在2025年实现全系产品混动化，2030年混动销量占比超60%；3.持续推进与本田、丰田公司的合作广度与深度，做大做优广汽本田、广汽丰田，打造国内一流的标杆合资企业</t>
    <phoneticPr fontId="1" type="noConversion"/>
  </si>
  <si>
    <r>
      <t>1.预计上半年芯片供应短缺情况难以有大幅改善。全球主要芯片企业新建产能将于2022年下半年陆续释放，预计2022年</t>
    </r>
    <r>
      <rPr>
        <b/>
        <sz val="9"/>
        <color theme="1"/>
        <rFont val="宋体"/>
        <family val="3"/>
        <charset val="134"/>
        <scheme val="minor"/>
      </rPr>
      <t>下半年汽车芯片供应短缺情况将会有一定程度缓解</t>
    </r>
    <r>
      <rPr>
        <sz val="9"/>
        <color theme="1"/>
        <rFont val="宋体"/>
        <family val="2"/>
        <charset val="134"/>
        <scheme val="minor"/>
      </rPr>
      <t>。2.广汽集团2022年一季度受到供应限制的主要是英飞凌、意法、安森美、瑞萨、德州仪器、恩智浦等多家供应商的芯片，以驱动类和控制类芯片为主。</t>
    </r>
    <phoneticPr fontId="1" type="noConversion"/>
  </si>
  <si>
    <r>
      <t>公司现有主要业务包括研发、整车（汽车、摩托车）、零部件、商贸服务、金融五大业务板块，构成了完整的汽车产业链闭环。子品牌为</t>
    </r>
    <r>
      <rPr>
        <b/>
        <sz val="9"/>
        <color theme="1"/>
        <rFont val="宋体"/>
        <family val="3"/>
        <charset val="134"/>
        <scheme val="minor"/>
      </rPr>
      <t>广汽传祺（主打混动）；广汽埃安（主打新能源）</t>
    </r>
    <r>
      <rPr>
        <sz val="9"/>
        <color theme="1"/>
        <rFont val="宋体"/>
        <family val="2"/>
        <charset val="134"/>
        <scheme val="minor"/>
      </rPr>
      <t>；
2021:
乘用车业务及相关贸易分部 734.78亿 97.83%
其他 16.32亿 2.17%</t>
    </r>
    <phoneticPr fontId="1" type="noConversion"/>
  </si>
  <si>
    <t>4225.33万</t>
  </si>
  <si>
    <t>555.31亿</t>
  </si>
  <si>
    <t>1007.30亿</t>
  </si>
  <si>
    <t>23145454000亿</t>
  </si>
  <si>
    <t>756.76亿</t>
  </si>
  <si>
    <t>73.35亿</t>
  </si>
  <si>
    <t>245.97亿</t>
  </si>
  <si>
    <t>217.29亿</t>
  </si>
  <si>
    <t>11.53亿</t>
  </si>
  <si>
    <t>9.57亿</t>
  </si>
  <si>
    <t>9.89亿</t>
  </si>
  <si>
    <t>4226763300亿</t>
  </si>
  <si>
    <t>385.04万</t>
  </si>
  <si>
    <t>2898227900亿</t>
  </si>
  <si>
    <t>203.79亿</t>
  </si>
  <si>
    <t>8123101300亿</t>
  </si>
  <si>
    <t>9198.54万</t>
  </si>
  <si>
    <t>58391683000亿</t>
  </si>
  <si>
    <t>19.52亿</t>
  </si>
  <si>
    <t>25.19亿</t>
  </si>
  <si>
    <t>7.80亿</t>
  </si>
  <si>
    <t>150.54亿</t>
  </si>
  <si>
    <t>462.36亿</t>
  </si>
  <si>
    <t>-32.03亿</t>
  </si>
  <si>
    <t>-20.46亿</t>
  </si>
  <si>
    <t>19.94亿</t>
  </si>
  <si>
    <t>631.57亿</t>
  </si>
  <si>
    <t>592.34亿</t>
  </si>
  <si>
    <t>715.15亿</t>
  </si>
  <si>
    <t>711.37亿</t>
  </si>
  <si>
    <t>494.18亿</t>
  </si>
  <si>
    <t>59.66亿</t>
  </si>
  <si>
    <t>66.18亿</t>
  </si>
  <si>
    <t>109.03亿</t>
  </si>
  <si>
    <t>107.86亿</t>
  </si>
  <si>
    <t>62.88亿</t>
  </si>
  <si>
    <t>231.45亿</t>
  </si>
  <si>
    <t>158.90亿</t>
  </si>
  <si>
    <t>627.17亿</t>
  </si>
  <si>
    <t>23.66亿</t>
  </si>
  <si>
    <r>
      <t xml:space="preserve">1.2021 年汽车产销分别完成 2,608.2 万辆和 2,627.5 万辆，同比分别增长 </t>
    </r>
    <r>
      <rPr>
        <b/>
        <sz val="9"/>
        <color theme="1"/>
        <rFont val="宋体"/>
        <family val="3"/>
        <charset val="134"/>
        <scheme val="minor"/>
      </rPr>
      <t>3.4%和 3.8%</t>
    </r>
    <r>
      <rPr>
        <sz val="9"/>
        <color theme="1"/>
        <rFont val="宋体"/>
        <family val="2"/>
        <charset val="134"/>
        <scheme val="minor"/>
      </rPr>
      <t>。乘用车市场继续保持 2,000万辆以上规模；皮卡车产销快速增长，皮卡产销分别完成 54.7 万辆和 55.4 万辆，同比分别</t>
    </r>
    <r>
      <rPr>
        <b/>
        <sz val="9"/>
        <color rgb="FFFF0000"/>
        <rFont val="宋体"/>
        <family val="3"/>
        <charset val="134"/>
        <scheme val="minor"/>
      </rPr>
      <t>增长11.2%和 12.9%</t>
    </r>
    <r>
      <rPr>
        <sz val="9"/>
        <color theme="1"/>
        <rFont val="宋体"/>
        <family val="2"/>
        <charset val="134"/>
        <scheme val="minor"/>
      </rPr>
      <t>；新能源汽车产销分别完成 354.5 万辆和 352.1 万辆，</t>
    </r>
    <r>
      <rPr>
        <sz val="9"/>
        <color rgb="FFFF0000"/>
        <rFont val="宋体"/>
        <family val="3"/>
        <charset val="134"/>
        <scheme val="minor"/>
      </rPr>
      <t>同比均增长 1.6 倍</t>
    </r>
    <r>
      <rPr>
        <sz val="9"/>
        <color theme="1"/>
        <rFont val="宋体"/>
        <family val="2"/>
        <charset val="134"/>
        <scheme val="minor"/>
      </rPr>
      <t>，市场占有率达到 13.4%，高于上年 8 个百分点；汽车出口201.5 万辆，同比增长 1 倍，占汽车销售总量的比重为 7.7%，比上年提升 3.7 个百分点; 2.汽车市场由增量向存量时代转变，市场竞争愈加激烈，躺赢时代结束了，</t>
    </r>
    <r>
      <rPr>
        <b/>
        <sz val="9"/>
        <color theme="1"/>
        <rFont val="宋体"/>
        <family val="3"/>
        <charset val="134"/>
        <scheme val="minor"/>
      </rPr>
      <t>淘汰赛已然开启</t>
    </r>
    <r>
      <rPr>
        <sz val="9"/>
        <color theme="1"/>
        <rFont val="宋体"/>
        <family val="2"/>
        <charset val="134"/>
        <scheme val="minor"/>
      </rPr>
      <t>，企业的容错空间大幅缩小，</t>
    </r>
    <r>
      <rPr>
        <b/>
        <sz val="9"/>
        <color rgb="FFFF0000"/>
        <rFont val="宋体"/>
        <family val="3"/>
        <charset val="134"/>
        <scheme val="minor"/>
      </rPr>
      <t>稍有不慎，就可能招致断崖式下跌</t>
    </r>
    <r>
      <rPr>
        <sz val="9"/>
        <color theme="1"/>
        <rFont val="宋体"/>
        <family val="2"/>
        <charset val="134"/>
        <scheme val="minor"/>
      </rPr>
      <t>。</t>
    </r>
    <phoneticPr fontId="1" type="noConversion"/>
  </si>
  <si>
    <t>1.13亿</t>
  </si>
  <si>
    <t>1101.01亿</t>
  </si>
  <si>
    <t>648.39亿</t>
  </si>
  <si>
    <t>33619299000亿</t>
  </si>
  <si>
    <t>1364.05亿</t>
  </si>
  <si>
    <t>67.26亿</t>
  </si>
  <si>
    <t>327.34亿</t>
  </si>
  <si>
    <t>278.43亿</t>
  </si>
  <si>
    <t>90.67亿</t>
  </si>
  <si>
    <t>177995800亿</t>
  </si>
  <si>
    <t>5.20亿</t>
  </si>
  <si>
    <t>1303131630亿</t>
  </si>
  <si>
    <t>257.13亿</t>
  </si>
  <si>
    <t>4167703900亿</t>
  </si>
  <si>
    <t>34.53亿</t>
  </si>
  <si>
    <t>105577064000亿</t>
  </si>
  <si>
    <t>60.41亿</t>
  </si>
  <si>
    <t>55.00亿</t>
  </si>
  <si>
    <t>319.65亿</t>
  </si>
  <si>
    <t>303.36亿</t>
  </si>
  <si>
    <t>892.85亿</t>
  </si>
  <si>
    <t>114.07亿</t>
  </si>
  <si>
    <t>-114.72亿</t>
  </si>
  <si>
    <t>13.35亿</t>
  </si>
  <si>
    <t>55.50亿</t>
  </si>
  <si>
    <t>1033.08亿</t>
  </si>
  <si>
    <t>951.08亿</t>
  </si>
  <si>
    <t>978.00亿</t>
  </si>
  <si>
    <t>1004.92亿</t>
  </si>
  <si>
    <t>984.44亿</t>
  </si>
  <si>
    <t>53.62亿</t>
  </si>
  <si>
    <t>44.97亿</t>
  </si>
  <si>
    <t>52.07亿</t>
  </si>
  <si>
    <t>50.27亿</t>
  </si>
  <si>
    <t>105.51亿</t>
  </si>
  <si>
    <t>336.19亿</t>
  </si>
  <si>
    <t>311.17亿</t>
  </si>
  <si>
    <t>16.39亿</t>
  </si>
  <si>
    <t>5.42亿</t>
  </si>
  <si>
    <t>13.50亿</t>
  </si>
  <si>
    <r>
      <t>1.2022Q1前十大股东累计持有： 85.97亿股，累计占总股本比：</t>
    </r>
    <r>
      <rPr>
        <sz val="9"/>
        <color rgb="FFFF0000"/>
        <rFont val="宋体"/>
        <family val="3"/>
        <charset val="134"/>
        <scheme val="minor"/>
      </rPr>
      <t>93.08%;</t>
    </r>
    <r>
      <rPr>
        <sz val="9"/>
        <rFont val="宋体"/>
        <family val="3"/>
        <charset val="134"/>
        <scheme val="minor"/>
      </rPr>
      <t>2.预计 2045 年，长城汽车将全面实现碳中和。不断在混动、纯电、氢能三大领域进行精准投入;3. 整车销售收入增加的主要原因是：主要系报告期</t>
    </r>
    <r>
      <rPr>
        <b/>
        <sz val="9"/>
        <color rgb="FFFF0000"/>
        <rFont val="宋体"/>
        <family val="3"/>
        <charset val="134"/>
        <scheme val="minor"/>
      </rPr>
      <t>销量增加及品牌向上使得单车收入提升</t>
    </r>
    <r>
      <rPr>
        <sz val="9"/>
        <rFont val="宋体"/>
        <family val="3"/>
        <charset val="134"/>
        <scheme val="minor"/>
      </rPr>
      <t>所致。4.长城控股集团旗下的</t>
    </r>
    <r>
      <rPr>
        <b/>
        <sz val="9"/>
        <color rgb="FFFF0000"/>
        <rFont val="宋体"/>
        <family val="3"/>
        <charset val="134"/>
        <scheme val="minor"/>
      </rPr>
      <t>未势能源，定位为专注于氢燃料电池技术</t>
    </r>
    <r>
      <rPr>
        <sz val="9"/>
        <rFont val="宋体"/>
        <family val="3"/>
        <charset val="134"/>
        <scheme val="minor"/>
      </rPr>
      <t xml:space="preserve">市场化运营的高科技企业。目前已掌握高性能膜电极、高功率密度电堆、高效率燃料电池发动机、高压车载储氢瓶、高集成度瓶阀等氢燃料电池核心技术。
</t>
    </r>
    <phoneticPr fontId="1" type="noConversion"/>
  </si>
  <si>
    <r>
      <t>公司成立于1998年7月1日，公司是中国最大的SUV和皮卡制造企业之一。2021年营收</t>
    </r>
    <r>
      <rPr>
        <sz val="9"/>
        <color rgb="FFFF0000"/>
        <rFont val="宋体"/>
        <family val="3"/>
        <charset val="134"/>
        <scheme val="minor"/>
      </rPr>
      <t>增速32%，利润增速25%</t>
    </r>
    <r>
      <rPr>
        <sz val="9"/>
        <color theme="1"/>
        <rFont val="宋体"/>
        <family val="2"/>
        <charset val="134"/>
        <scheme val="minor"/>
      </rPr>
      <t>；2022Q1营收增速8%，利润增速-0.3%；本集团旗下拥有</t>
    </r>
    <r>
      <rPr>
        <b/>
        <sz val="9"/>
        <color theme="1"/>
        <rFont val="宋体"/>
        <family val="3"/>
        <charset val="134"/>
        <scheme val="minor"/>
      </rPr>
      <t>哈弗、魏牌、欧拉、坦克及长城皮卡五大整车品牌</t>
    </r>
    <r>
      <rPr>
        <sz val="9"/>
        <color theme="1"/>
        <rFont val="宋体"/>
        <family val="2"/>
        <charset val="134"/>
        <scheme val="minor"/>
      </rPr>
      <t>，孵化全新独立运营汽车科技公司——沙龙机甲科技有限公司，并与宝马集团合资成立光束汽车有限公司;
2021:
销售汽车 1213.07亿 88.93% 81.94% 14.89%
销售零配件 68.72亿 5.04% 10.92% 35.01%
提供劳务 30.61亿 2.24% 2.36% 16.97%
其他业务 29.66亿 2.17% 2.35% 17.43%
模具及其他 21.98亿 1.61% 2.43% 24.40%</t>
    </r>
    <phoneticPr fontId="1" type="noConversion"/>
  </si>
  <si>
    <t>1.2022Q1财务数字变差，下降较多；</t>
    <phoneticPr fontId="1" type="noConversion"/>
  </si>
  <si>
    <t>7488.12万</t>
  </si>
  <si>
    <t>74.68亿</t>
  </si>
  <si>
    <t>85.83亿</t>
  </si>
  <si>
    <t>5506350400亿</t>
  </si>
  <si>
    <t>51.80亿</t>
  </si>
  <si>
    <t>45.26亿</t>
  </si>
  <si>
    <t>1.68亿</t>
  </si>
  <si>
    <t>2.99亿</t>
  </si>
  <si>
    <t>2.48亿</t>
  </si>
  <si>
    <t>8479945亿</t>
  </si>
  <si>
    <t>539.36万</t>
  </si>
  <si>
    <t>269879650亿</t>
  </si>
  <si>
    <t>36.17亿</t>
  </si>
  <si>
    <t>2424504900亿</t>
  </si>
  <si>
    <t>11488517100亿</t>
  </si>
  <si>
    <t>18.61亿</t>
  </si>
  <si>
    <t>3543.19万</t>
  </si>
  <si>
    <t>27.93亿</t>
  </si>
  <si>
    <t>63.72亿</t>
  </si>
  <si>
    <t>908.74万</t>
  </si>
  <si>
    <t>-2.54亿</t>
  </si>
  <si>
    <t>3.28亿</t>
  </si>
  <si>
    <t>46.50亿</t>
  </si>
  <si>
    <t>1.47亿</t>
  </si>
  <si>
    <t>2.40亿</t>
  </si>
  <si>
    <t>电机</t>
  </si>
  <si>
    <t>3.86亿</t>
  </si>
  <si>
    <t>电池</t>
  </si>
  <si>
    <t>7910.76万</t>
  </si>
  <si>
    <t>222.13亿</t>
  </si>
  <si>
    <t>9.26亿</t>
  </si>
  <si>
    <t>13.48亿</t>
  </si>
  <si>
    <t>其他电源设备</t>
  </si>
  <si>
    <t>3.05亿</t>
  </si>
  <si>
    <t>1.目前燃料电池汽车行业市场由于商业化初期阶段尚未形成规模效应，综合成本较高，行业的发展对政策依赖度仍较高，同时从应用场景看，中国燃料电池汽车应用场景已由前期单一的公交领域商业化示范应用向公交、环卫、城市物流配送、冷链运输、渣土运输等多场景示范应用转变。</t>
    <phoneticPr fontId="1" type="noConversion"/>
  </si>
  <si>
    <t>总体来看中国燃料电池汽车产业已经从政府主导的技术探索、示范运营阶段发展至商业化初期阶段；公司是中国领先的燃料电池系统制造商,拥有设计、研发、制造燃料电池系统包括核心零部件燃料电池电堆的能力,公司的产品主要面向商用应用(如客车和货车)
氢燃料电池行业 5.72亿 99.93% 利润占比99.87% 43.63%
其他业务 38.98万 0.07% 利润占比0.13% 81.53%
按照产品分：
发动机系统 5.00亿 87.35% 利润占比90.42% 45.19%
技术开发及服务 3347.10万 5.85% 利润占比7.46% 55.66%
零部件 2611.13万 4.56% 利润占比1.37% 13.15%
其他 1243.90万 2.17% 利润占比0.63% 12.58%
其他业务 38.98万 0.07% 利润占比0.13% 81.53%</t>
    <phoneticPr fontId="1" type="noConversion"/>
  </si>
  <si>
    <t>471.35万</t>
  </si>
  <si>
    <t>-2347.48万</t>
  </si>
  <si>
    <t>-1745.31万</t>
  </si>
  <si>
    <t>1011.34万</t>
  </si>
  <si>
    <t>7020.82万</t>
  </si>
  <si>
    <t>SH688737</t>
  </si>
  <si>
    <t>中自科技</t>
  </si>
  <si>
    <t>30.37万</t>
  </si>
  <si>
    <t>3.02亿</t>
  </si>
  <si>
    <t>19.74亿</t>
  </si>
  <si>
    <t>96166057亿</t>
  </si>
  <si>
    <t>9.62亿</t>
  </si>
  <si>
    <t>1040.92万</t>
  </si>
  <si>
    <t>8765.38万</t>
  </si>
  <si>
    <t>666.54万</t>
  </si>
  <si>
    <t>916.17万</t>
  </si>
  <si>
    <t>9522.53万</t>
  </si>
  <si>
    <t>214.56万</t>
  </si>
  <si>
    <t>-19280453亿</t>
  </si>
  <si>
    <t>463485350亿</t>
  </si>
  <si>
    <t>2260.00万</t>
  </si>
  <si>
    <t>1915596500亿</t>
  </si>
  <si>
    <t>9993.07万</t>
  </si>
  <si>
    <t>1.00亿</t>
  </si>
  <si>
    <t>725.00万</t>
  </si>
  <si>
    <t>6693.99万</t>
  </si>
  <si>
    <t>2000.00万</t>
  </si>
  <si>
    <t>-2132.33万</t>
  </si>
  <si>
    <t>62.82万</t>
  </si>
  <si>
    <t>25.77亿</t>
  </si>
  <si>
    <t>10.01亿</t>
  </si>
  <si>
    <t>3.37亿</t>
  </si>
  <si>
    <t>1.26亿</t>
  </si>
  <si>
    <t>2.18亿</t>
  </si>
  <si>
    <t>8655.37万</t>
  </si>
  <si>
    <t>-5930.97万</t>
  </si>
  <si>
    <t>392.72万</t>
  </si>
  <si>
    <t>-1549.43万</t>
  </si>
  <si>
    <t>9616.61万</t>
  </si>
  <si>
    <t>968.28万</t>
  </si>
  <si>
    <t>196.98万</t>
  </si>
  <si>
    <t>1203.85万</t>
  </si>
  <si>
    <t>催化剂</t>
    <phoneticPr fontId="1" type="noConversion"/>
  </si>
  <si>
    <t>1.公司氢能业务 分为两部分：1）上游制氢、储运氢、加氢，由东方锅炉负责；2）中游燃料电池的研 发制造和销售，由东方氢能负责;</t>
    <phoneticPr fontId="1" type="noConversion"/>
  </si>
  <si>
    <t>177.86亿</t>
  </si>
  <si>
    <t>154.47亿</t>
  </si>
  <si>
    <t>13354606600亿</t>
  </si>
  <si>
    <t>111.96亿</t>
  </si>
  <si>
    <t>102.48亿</t>
  </si>
  <si>
    <t>9420.60万</t>
  </si>
  <si>
    <t>3.93亿</t>
  </si>
  <si>
    <t>5047.05万</t>
  </si>
  <si>
    <t>12963345亿</t>
  </si>
  <si>
    <t>138.96万</t>
  </si>
  <si>
    <t>673034510亿</t>
  </si>
  <si>
    <t>30.69亿</t>
  </si>
  <si>
    <t>1353678800亿</t>
  </si>
  <si>
    <t>221.61万</t>
  </si>
  <si>
    <t>10022823100亿</t>
  </si>
  <si>
    <t>156.27亿</t>
  </si>
  <si>
    <t>18.95亿</t>
  </si>
  <si>
    <t>4.46亿</t>
  </si>
  <si>
    <t>22.41亿</t>
  </si>
  <si>
    <t>47.19亿</t>
  </si>
  <si>
    <t>121.25亿</t>
  </si>
  <si>
    <t>7.99亿</t>
  </si>
  <si>
    <t>15.67亿</t>
  </si>
  <si>
    <t>-33.37亿</t>
  </si>
  <si>
    <t>33.48亿</t>
  </si>
  <si>
    <t>61.82亿</t>
  </si>
  <si>
    <t>89.02亿</t>
  </si>
  <si>
    <t>12.51亿</t>
  </si>
  <si>
    <t>焦炭加工</t>
  </si>
  <si>
    <t>7.03亿</t>
  </si>
  <si>
    <t>20.90亿</t>
  </si>
  <si>
    <t>公司主要业务为开发、设计、制造、销售先进的水电、火电、核电、风电、气电、太阳能等发电成套设备，以及向全球能源运营商提供工程承包及服务等相关业务。
市值620亿，利润22.89亿；pe24.04,pb1.85;毛利19.51%，净利5.56%；2021营收增28.26%，利润增23%；2022Q1营收增29.77%，利润增46.31%；过往5年营收增8.3%，利润增50%；
2021：
可再生能源装备 151.38亿 31.66% 23.99% 14.32%
清洁高效能源装备 127.87亿 26.74% 30.74% 21.73%
新兴成长产业 81.72亿 17.09% 15.54% 17.18%
工程与贸易 77.58亿 16.22% 9.34% 10.88%
现代制造服务业 39.63亿 8.29% 20.39% 46.49%</t>
    <phoneticPr fontId="1" type="noConversion"/>
  </si>
  <si>
    <t>SZ002733</t>
  </si>
  <si>
    <t>雄韬股份</t>
  </si>
  <si>
    <t>2481.46万</t>
  </si>
  <si>
    <t>32.66亿</t>
  </si>
  <si>
    <t>26.38亿</t>
  </si>
  <si>
    <t>1701720700亿</t>
  </si>
  <si>
    <t>31.10亿</t>
  </si>
  <si>
    <t>16.56亿</t>
  </si>
  <si>
    <t>4360.49万</t>
  </si>
  <si>
    <t>7752.89万</t>
  </si>
  <si>
    <t>5591.24万</t>
  </si>
  <si>
    <t>29361618亿</t>
  </si>
  <si>
    <t>907.47万</t>
  </si>
  <si>
    <t>33292056亿</t>
  </si>
  <si>
    <t>13.86亿</t>
  </si>
  <si>
    <t>1055172040亿</t>
  </si>
  <si>
    <t>4074560200亿</t>
  </si>
  <si>
    <t>5511.28万</t>
  </si>
  <si>
    <t>7.61亿</t>
  </si>
  <si>
    <t>10.55亿</t>
  </si>
  <si>
    <t>28.93亿</t>
  </si>
  <si>
    <t>-1.41亿</t>
  </si>
  <si>
    <t>-3926.54万</t>
  </si>
  <si>
    <t>25.47亿</t>
  </si>
  <si>
    <t>29.32亿</t>
  </si>
  <si>
    <t>29.56亿</t>
  </si>
  <si>
    <t>26.56亿</t>
  </si>
  <si>
    <t>25.01亿</t>
  </si>
  <si>
    <t>7626.41万</t>
  </si>
  <si>
    <t>9422.44万</t>
  </si>
  <si>
    <t>3632.28万</t>
  </si>
  <si>
    <t>1.20亿</t>
  </si>
  <si>
    <t>7.24亿</t>
  </si>
  <si>
    <t>14.53亿</t>
  </si>
  <si>
    <t>6.04亿</t>
  </si>
  <si>
    <t>1171.28万</t>
  </si>
  <si>
    <t>2527.00万</t>
  </si>
  <si>
    <t>411.09万</t>
  </si>
  <si>
    <t>4.82亿</t>
  </si>
  <si>
    <t>制氢、膜电极、燃料电池电堆、燃料电池发动机系统</t>
    <phoneticPr fontId="1" type="noConversion"/>
  </si>
  <si>
    <t>SZ002554</t>
  </si>
  <si>
    <t>惠博普</t>
  </si>
  <si>
    <t>油气开采及服务</t>
  </si>
  <si>
    <t>2334.02万</t>
  </si>
  <si>
    <t>14.48亿</t>
  </si>
  <si>
    <t>23.79亿</t>
  </si>
  <si>
    <t>341834660亿</t>
  </si>
  <si>
    <t>15.94亿</t>
  </si>
  <si>
    <t>8919.10万</t>
  </si>
  <si>
    <t>15.38亿</t>
  </si>
  <si>
    <t>11.08亿</t>
  </si>
  <si>
    <t>8556.09万</t>
  </si>
  <si>
    <t>6059.40万</t>
  </si>
  <si>
    <t>7271690亿</t>
  </si>
  <si>
    <t>215.71万</t>
  </si>
  <si>
    <t>5043.85万</t>
  </si>
  <si>
    <t>572099420亿</t>
  </si>
  <si>
    <t>1485.16万</t>
  </si>
  <si>
    <t>2181046100亿</t>
  </si>
  <si>
    <t>5468.69万</t>
  </si>
  <si>
    <t>3.23亿</t>
  </si>
  <si>
    <t>38.31万</t>
  </si>
  <si>
    <t>3.65亿</t>
  </si>
  <si>
    <t>28.89万</t>
  </si>
  <si>
    <t>11.26亿</t>
  </si>
  <si>
    <t>2.24亿</t>
  </si>
  <si>
    <t>-2164.89万</t>
  </si>
  <si>
    <t>-4.20亿</t>
  </si>
  <si>
    <t>11.36亿</t>
  </si>
  <si>
    <t>22.93亿</t>
  </si>
  <si>
    <t>16.62亿</t>
  </si>
  <si>
    <t>14.85亿</t>
  </si>
  <si>
    <t>10.50亿</t>
  </si>
  <si>
    <t>-1.78亿</t>
  </si>
  <si>
    <t>8524.44万</t>
  </si>
  <si>
    <t>-4.94亿</t>
  </si>
  <si>
    <t>8890.02万</t>
  </si>
  <si>
    <t>745.87万</t>
  </si>
  <si>
    <t>7.78亿</t>
  </si>
  <si>
    <t>SZ300950</t>
  </si>
  <si>
    <t>德固特</t>
  </si>
  <si>
    <t>1.氢能业务板块产业链布局：公司是从2017年开始涉足氢能，经过5年的发展，公司已完成“一点一线一网”的战略布局；一点即飞驰汽车，一线即燃料电池核心零部件产业线（参股了国鸿氢能及鸿基创能。国鸿氢能是全球最大的燃料电池电堆生产企业之一，电堆年产能两万套。鸿基创能是国内首家将膜电极国产化并规模化生产的公司），一网就是加氢站网络的建设</t>
    <phoneticPr fontId="1" type="noConversion"/>
  </si>
  <si>
    <t>1.问：一辆重卡车一年大概消耗多少氢气？答：根据目前测算的数据情况来看，如嘉兴港区，经过一个月的运营监测，百公里耗氢8公斤；在河钢的运营区域内，百公里耗氢约为10-11公斤。按照一年行驶十万公里算的话，大概一辆氢燃料电池重卡车一年消耗8-10吨氢气。假设氢气的成本降低到25元以内的话，运营费用基本可以与柴油车持平。</t>
    <phoneticPr fontId="1" type="noConversion"/>
  </si>
  <si>
    <r>
      <t>公司主要从事煤炭、焦化、天然气、</t>
    </r>
    <r>
      <rPr>
        <sz val="9"/>
        <color rgb="FFFF0000"/>
        <rFont val="宋体"/>
        <family val="3"/>
        <charset val="134"/>
        <scheme val="minor"/>
      </rPr>
      <t>氢燃料</t>
    </r>
    <r>
      <rPr>
        <sz val="9"/>
        <color theme="1"/>
        <rFont val="宋体"/>
        <family val="2"/>
        <charset val="134"/>
        <scheme val="minor"/>
      </rPr>
      <t>电池汽车为主的新能源汽车等商品的生产销售。拥有储量丰富的煤炭和煤层气资源，具备“煤-焦-气-化”一体化的完整产业链，是全国最大的独立商品焦和炼焦煤生产商之一，并在氢能产业链广泛布局，正在形成“产业链+区域+综合能源站网络”的三维格局。</t>
    </r>
    <r>
      <rPr>
        <b/>
        <sz val="9"/>
        <color rgb="FFFF0000"/>
        <rFont val="宋体"/>
        <family val="3"/>
        <charset val="134"/>
        <scheme val="minor"/>
      </rPr>
      <t>公司旗下控股子公司飞驰汽车是全国最具规模的氢燃料电池汽车生产基地</t>
    </r>
    <r>
      <rPr>
        <sz val="9"/>
        <color theme="1"/>
        <rFont val="宋体"/>
        <family val="2"/>
        <charset val="134"/>
        <scheme val="minor"/>
      </rPr>
      <t xml:space="preserve">，具备新能源客车5000台/年产能。
市值513亿，利润25.67亿；pe19.19,pb3.96;毛利23%，净利8.74%；2021营收增65.72%，利润增269%；2022Q2营收增50.01%，利润增8.63%；过往5年营收增29.16%，利润增64.16%；
2021：
焦化产品及副产品 130.47亿 97.70% 100.00% 23.47%
其他 3.08亿 2.30% </t>
    </r>
    <phoneticPr fontId="1" type="noConversion"/>
  </si>
  <si>
    <t>1.今年公司隔膜产业逐步会投放新产能，年底达到15-16亿平米的产能，产业明年的竞争力将会显著增强</t>
    <phoneticPr fontId="1" type="noConversion"/>
  </si>
  <si>
    <r>
      <t>1.十四五期间，公司玻纤产业战略还是会延续“高端化、多元化和国际化”路径。在规模方面，已经具备了110万吨的产能（含中材金晶）。未来5年，在传统的领域基本维持相同水平，不会再过多扩张。但在一些高端的需求培育领域会做进一步扩张，包括低介电、扁平玻纤等产品;2.问：海外的话我们竞争对手有哪些呢？答：</t>
    </r>
    <r>
      <rPr>
        <sz val="9"/>
        <color rgb="FFFF0000"/>
        <rFont val="宋体"/>
        <family val="3"/>
        <charset val="134"/>
        <scheme val="minor"/>
      </rPr>
      <t>主流的就是TPI，然后就是GE下面的LM</t>
    </r>
    <r>
      <rPr>
        <sz val="9"/>
        <color theme="1"/>
        <rFont val="宋体"/>
        <family val="2"/>
        <charset val="134"/>
        <scheme val="minor"/>
      </rPr>
      <t>，是海外两个主流。</t>
    </r>
    <r>
      <rPr>
        <sz val="9"/>
        <color rgb="FFFF0000"/>
        <rFont val="宋体"/>
        <family val="3"/>
        <charset val="134"/>
        <scheme val="minor"/>
      </rPr>
      <t>国内</t>
    </r>
    <r>
      <rPr>
        <sz val="9"/>
        <color theme="1"/>
        <rFont val="宋体"/>
        <family val="2"/>
        <charset val="134"/>
        <scheme val="minor"/>
      </rPr>
      <t>做叶片的比较多，但是从规模、成本、技术都</t>
    </r>
    <r>
      <rPr>
        <sz val="9"/>
        <color rgb="FFFF0000"/>
        <rFont val="宋体"/>
        <family val="3"/>
        <charset val="134"/>
        <scheme val="minor"/>
      </rPr>
      <t>和我们差距比较大</t>
    </r>
    <r>
      <rPr>
        <sz val="9"/>
        <color theme="1"/>
        <rFont val="宋体"/>
        <family val="2"/>
        <charset val="134"/>
        <scheme val="minor"/>
      </rPr>
      <t>。</t>
    </r>
    <r>
      <rPr>
        <sz val="9"/>
        <color theme="1"/>
        <rFont val="宋体"/>
        <family val="3"/>
        <charset val="134"/>
        <scheme val="minor"/>
      </rPr>
      <t>3.有传言说中国建设会整合中国巨石和中材科技，把玻纤都拨给中国巨石，可能让中材更关注于风叶和锂电池隔膜（暂时没更多进一步信息）；4.我们判断下半年可能会有好转。这个判断主要是基于需求在恢复，产品的供应释放没有那么快。所以在今年某一个时间可能会出现产品价格恢复的契机。但总体来看，今年的压力确实比去年要大一些</t>
    </r>
    <phoneticPr fontId="1" type="noConversion"/>
  </si>
  <si>
    <t>1.2021Q2的营收和利润都下滑；</t>
    <phoneticPr fontId="1" type="noConversion"/>
  </si>
  <si>
    <t>高低压成套设备 8.01亿 69.65%（毛利23.36%）
LED照明设备及安装 2.60亿 22.63%（毛利38.55%）
智慧社区 8887.30万 7.72%（毛利21.92%）</t>
    <phoneticPr fontId="1" type="noConversion"/>
  </si>
  <si>
    <t>1053.89万</t>
  </si>
  <si>
    <t>11.51亿</t>
  </si>
  <si>
    <t>5955.07万</t>
  </si>
  <si>
    <t>1.54亿</t>
  </si>
  <si>
    <t>输变电设备</t>
  </si>
  <si>
    <t>3695.96万</t>
  </si>
  <si>
    <t>2.36亿</t>
  </si>
  <si>
    <r>
      <t>1.公司所处细分行业因其细分产品结构、应用行业等方面分类多变的特点，尚无专业机构进行公开的市场统计。但是，公司在技术研发、市场、资质等方面与竞争对手相比均有一定的优势，因此公司在行业内属于第一梯队的行业地位;2.公司目前已经</t>
    </r>
    <r>
      <rPr>
        <sz val="9"/>
        <color rgb="FFFF0000"/>
        <rFont val="宋体"/>
        <family val="3"/>
        <charset val="134"/>
        <scheme val="minor"/>
      </rPr>
      <t>进入氢能源生产行业</t>
    </r>
    <r>
      <rPr>
        <sz val="9"/>
        <color theme="1"/>
        <rFont val="宋体"/>
        <family val="2"/>
        <charset val="134"/>
        <scheme val="minor"/>
      </rPr>
      <t>，近几年为多个客户提供了节能换热及储存装备；公司拥有压力容器设计资质，</t>
    </r>
    <r>
      <rPr>
        <sz val="9"/>
        <color rgb="FFFF0000"/>
        <rFont val="宋体"/>
        <family val="3"/>
        <charset val="134"/>
        <scheme val="minor"/>
      </rPr>
      <t>具备设计生产氢能源储存设备的能力</t>
    </r>
    <r>
      <rPr>
        <sz val="9"/>
        <color theme="1"/>
        <rFont val="宋体"/>
        <family val="2"/>
        <charset val="134"/>
        <scheme val="minor"/>
      </rPr>
      <t>，可根据客户不同制氢工艺所要求的设备参数加工定制，其中主要包括换热器、加热器、冷凝器、储罐等。</t>
    </r>
    <phoneticPr fontId="1" type="noConversion"/>
  </si>
  <si>
    <r>
      <t>公司主营业务是节能环保装备及专用定制装备的设计、制造和销售。公司主要产品包括</t>
    </r>
    <r>
      <rPr>
        <sz val="9"/>
        <color rgb="FFFF0000"/>
        <rFont val="宋体"/>
        <family val="3"/>
        <charset val="134"/>
        <scheme val="minor"/>
      </rPr>
      <t>节能换热装备</t>
    </r>
    <r>
      <rPr>
        <sz val="9"/>
        <color theme="1"/>
        <rFont val="宋体"/>
        <family val="2"/>
        <charset val="134"/>
        <scheme val="minor"/>
      </rPr>
      <t>、</t>
    </r>
    <r>
      <rPr>
        <sz val="9"/>
        <color rgb="FFFF0000"/>
        <rFont val="宋体"/>
        <family val="3"/>
        <charset val="134"/>
        <scheme val="minor"/>
      </rPr>
      <t>粉体及其他环保装备和专用定制装备</t>
    </r>
    <r>
      <rPr>
        <sz val="9"/>
        <color theme="1"/>
        <rFont val="宋体"/>
        <family val="2"/>
        <charset val="134"/>
        <scheme val="minor"/>
      </rPr>
      <t>。
市值31.4亿，利润0.429亿；pe64.24,pb5.34；毛利39%，净利19.43%；2021营收增17.53%，利润增-30.27%；2022Q2营收增11.9%，利润增33.81%；过往5年营收增13.3%，利润增11.38%；
2021：（境内外对半开）
节能换热装备 2.18亿 73.85% 68.80% 29.20%
粉体及其他环保装备 2303.84万 7.82% 7.99% 32.01%
装备维修改造 1651.63万 5.61% 8.36% 46.72%
专用定制装备 1554.67万 5.28% 3.47% 20.60%
装备配件 1496.68万 5.08% 5.03% 31.00%
其他业务收入 694.62万 2.36% 6.36% 84.49%</t>
    </r>
    <phoneticPr fontId="1" type="noConversion"/>
  </si>
  <si>
    <t>1929.70万</t>
  </si>
  <si>
    <t>5.89亿</t>
  </si>
  <si>
    <t>117523777亿</t>
  </si>
  <si>
    <t>2.95亿</t>
  </si>
  <si>
    <t>4290.26万</t>
  </si>
  <si>
    <t>9340.60万</t>
  </si>
  <si>
    <t>7619.78万</t>
  </si>
  <si>
    <t>231.69万</t>
  </si>
  <si>
    <t>1227.37万</t>
  </si>
  <si>
    <t>649.28万</t>
  </si>
  <si>
    <t>637027亿</t>
  </si>
  <si>
    <t>7.32万</t>
  </si>
  <si>
    <t>20850732亿</t>
  </si>
  <si>
    <t>71267619亿</t>
  </si>
  <si>
    <t>4276.36万</t>
  </si>
  <si>
    <t>671912320亿</t>
  </si>
  <si>
    <t>481.27万</t>
  </si>
  <si>
    <t>1001.33万</t>
  </si>
  <si>
    <t>5697.30万</t>
  </si>
  <si>
    <t>5794.17万</t>
  </si>
  <si>
    <t>6.74万</t>
  </si>
  <si>
    <t>3742.95万</t>
  </si>
  <si>
    <t>-2417.44万</t>
  </si>
  <si>
    <t>-1042.25万</t>
  </si>
  <si>
    <t>2.51亿</t>
  </si>
  <si>
    <t>1.63亿</t>
  </si>
  <si>
    <t>6152.48万</t>
  </si>
  <si>
    <t>6197.71万</t>
  </si>
  <si>
    <t>5105.49万</t>
  </si>
  <si>
    <t>3883.85万</t>
  </si>
  <si>
    <t>2876.25万</t>
  </si>
  <si>
    <t>4043.63万</t>
  </si>
  <si>
    <t>862.11万</t>
  </si>
  <si>
    <t>4273.84万</t>
  </si>
  <si>
    <t>1.公司目前在全球轨道交通弹性元件产品领域规模第一;在风力发电领域成为风电叶片规模国内第二的风电叶片制造商,率先研发生产了海陆两用风力发电叶片;在全球汽车减振领域规模排名第三,主动减振和塑料踏板箱业务是全球第一个批量装车推广应用企业。</t>
    <phoneticPr fontId="1" type="noConversion"/>
  </si>
  <si>
    <t>2020年：
风力发电 68.83亿 45.65% 毛利17.04%
汽车 52.49亿 34.81% 毛利10.46%
轨道交通 27.36亿 18.14% 毛利33.89%
其他 2.12亿 1.40% 毛利14.71%</t>
    <phoneticPr fontId="1" type="noConversion"/>
  </si>
  <si>
    <t>1544.23万</t>
  </si>
  <si>
    <t>76.27亿</t>
  </si>
  <si>
    <t>7713.34万</t>
  </si>
  <si>
    <t>风电设备</t>
  </si>
  <si>
    <t>8157.94万</t>
  </si>
  <si>
    <t>8.37亿</t>
  </si>
  <si>
    <t>1.公司氢能业务 分为两部分：1）上游制氢、储运氢、加氢，由东方锅炉负责；2）中游燃料电池的研 发制造和销售，由东方氢能负责;</t>
    <phoneticPr fontId="1" type="noConversion"/>
  </si>
  <si>
    <t>公司主要业务为开发、设计、制造、销售先进的水电、火电、核电、风电、气电、太阳能等发电成套设备，以及向全球能源运营商提供工程承包及服务等相关业务。
市值620亿，利润22.89亿；pe24.04,pb1.85;毛利19.51%，净利5.56%；2021营收增28.26%，利润增23%；2022Q1营收增29.77%，利润增46.31%；过往5年营收增8.3%，利润增50%；
2021：
可再生能源装备 151.38亿 31.66% 23.99% 14.32%
清洁高效能源装备 127.87亿 26.74% 30.74% 21.73%
新兴成长产业 81.72亿 17.09% 15.54% 17.18%
工程与贸易 77.58亿 16.22% 9.34% 10.88%
现代制造服务业 39.63亿 8.29% 20.39% 46.49%</t>
    <phoneticPr fontId="1" type="noConversion"/>
  </si>
  <si>
    <t>1.氢能业务板块产业链布局：公司是从2017年开始涉足氢能，经过5年的发展，公司已完成“一点一线一网”的战略布局；一点即飞驰汽车，一线即燃料电池核心零部件产业线（参股了国鸿氢能及鸿基创能。国鸿氢能是全球最大的燃料电池电堆生产企业之一，电堆年产能两万套。鸿基创能是国内首家将膜电极国产化并规模化生产的公司），一网就是加氢站网络的建设</t>
    <phoneticPr fontId="1" type="noConversion"/>
  </si>
  <si>
    <t>1.问：一辆重卡车一年大概消耗多少氢气？答：根据目前测算的数据情况来看，如嘉兴港区，经过一个月的运营监测，百公里耗氢8公斤；在河钢的运营区域内，百公里耗氢约为10-11公斤。按照一年行驶十万公里算的话，大概一辆氢燃料电池重卡车一年消耗8-10吨氢气。假设氢气的成本降低到25元以内的话，运营费用基本可以与柴油车持平。</t>
    <phoneticPr fontId="1" type="noConversion"/>
  </si>
  <si>
    <r>
      <t>公司主要从事煤炭、焦化、天然气、</t>
    </r>
    <r>
      <rPr>
        <sz val="9"/>
        <color rgb="FFFF0000"/>
        <rFont val="宋体"/>
        <family val="3"/>
        <charset val="134"/>
        <scheme val="minor"/>
      </rPr>
      <t>氢燃料</t>
    </r>
    <r>
      <rPr>
        <sz val="9"/>
        <color theme="1"/>
        <rFont val="宋体"/>
        <family val="2"/>
        <charset val="134"/>
        <scheme val="minor"/>
      </rPr>
      <t>电池汽车为主的新能源汽车等商品的生产销售。拥有储量丰富的煤炭和煤层气资源，具备“煤-焦-气-化”一体化的完整产业链，是全国最大的独立商品焦和炼焦煤生产商之一，并在氢能产业链广泛布局，正在形成“产业链+区域+综合能源站网络”的三维格局。</t>
    </r>
    <r>
      <rPr>
        <b/>
        <sz val="9"/>
        <color rgb="FFFF0000"/>
        <rFont val="宋体"/>
        <family val="3"/>
        <charset val="134"/>
        <scheme val="minor"/>
      </rPr>
      <t>公司旗下控股子公司飞驰汽车是全国最具规模的氢燃料电池汽车生产基地</t>
    </r>
    <r>
      <rPr>
        <sz val="9"/>
        <color theme="1"/>
        <rFont val="宋体"/>
        <family val="2"/>
        <charset val="134"/>
        <scheme val="minor"/>
      </rPr>
      <t xml:space="preserve">，具备新能源客车5000台/年产能。
市值513亿，利润25.67亿；pe19.19,pb3.96;毛利23%，净利8.74%；2021营收增65.72%，利润增269%；2022Q2营收增50.01%，利润增8.63%；过往5年营收增29.16%，利润增64.16%；
2021：
焦化产品及副产品 130.47亿 97.70% 100.00% 23.47%
其他 3.08亿 2.30% </t>
    </r>
    <phoneticPr fontId="1" type="noConversion"/>
  </si>
  <si>
    <r>
      <t>1. 2025年双百战略，非正式渠道信息为：</t>
    </r>
    <r>
      <rPr>
        <sz val="9"/>
        <color theme="6" tint="-0.249977111117893"/>
        <rFont val="宋体"/>
        <family val="3"/>
        <charset val="134"/>
        <scheme val="minor"/>
      </rPr>
      <t>集团营收1000亿美金（估计利润300~500亿人民币左右）；2.意味着5年3倍~5倍，重点在非道路发动机，特别是跟踪工业和农业机械，以及大缸径高速发动机销量；3.5年后关注氢燃料电池；4.10年后固态燃料电池</t>
    </r>
    <r>
      <rPr>
        <sz val="9"/>
        <color theme="1"/>
        <rFont val="宋体"/>
        <family val="2"/>
        <charset val="134"/>
        <scheme val="minor"/>
      </rPr>
      <t>；5.定增130亿，产能释放后大概68亿利润获得，定增是2024年释放所有产能;6.建成全球最大氢燃料电池发动机制造基地，20000 台套产能的燃料电池发动机及电堆生产线正式投产运行；7.问：公司如何看待</t>
    </r>
    <r>
      <rPr>
        <b/>
        <sz val="9"/>
        <color rgb="FFFF0000"/>
        <rFont val="宋体"/>
        <family val="3"/>
        <charset val="134"/>
        <scheme val="minor"/>
      </rPr>
      <t>氢内燃机</t>
    </r>
    <r>
      <rPr>
        <sz val="9"/>
        <color theme="1"/>
        <rFont val="宋体"/>
        <family val="2"/>
        <charset val="134"/>
        <scheme val="minor"/>
      </rPr>
      <t>,在这方面有何布局；答：氢内燃机技术优势主要包括：一是可沿用现有内燃机工业体系进行开发,大部分零部件与现有内燃机成熟产品通用,可极大缩短开发周期,产业化转化更有利;二是具备无后处理器的情况下满足严苛排放法规的潜力,后处理等系统可取消或简化,产品成本优势显著;三是采用传统燃烧做功模式,对氢气燃料纯度要求较低,燃料适应性好。一直以来,公司积极推进氢内燃机技术研发和产品布局,目前已完成氢内燃机关键核心技术和商业化应用的突破,发布全国首款商业化氢内燃机,掌握一批原创性专利技术,实现有效热效率41.8%;</t>
    </r>
    <phoneticPr fontId="1" type="noConversion"/>
  </si>
  <si>
    <t>公司是国家内燃机研发、制造、销售重点骨干企业,也是中国柴油机行业首家在中国香港上市的公司,公司内燃机产品广泛应用于重型汽车、大客车、工程机械、船用、发电等大功率动力配套市场;
市值1110亿，利润92.54亿，pe12~26，pb1.54；毛利20%，净利6%；2021营收增3%，利润增0.2%；2022Q1营收增-37%，利润增-69%；过往5年营收增19%，利润增43%；
2021：
动力总成、整车整机及关键零部件 1043.06亿 51.24% 43.04% 16.34% 增速-10%
智能物流 784.80亿 38.56% 48.03% 24.23% 增速20.78%
其他零部件 130.64亿 6.42% 5.68% 17.22% 增速22.31%
其他 76.97亿 3.78% 3.25% 16.73% 增速33.04%
公司海外控股子公司凯傲是内部物流领域的全球领先供应商，主要包括工业车辆和服务（Industrial Trucks &amp; Services）、
供应链解决方案（Supply Chain Solutions）两大业务，</t>
    <phoneticPr fontId="1" type="noConversion"/>
  </si>
  <si>
    <t>779.98亿</t>
  </si>
  <si>
    <t>608.14亿</t>
  </si>
  <si>
    <t>56573568000亿</t>
  </si>
  <si>
    <t>532.70亿</t>
  </si>
  <si>
    <t>453.60亿</t>
  </si>
  <si>
    <t>22.85亿</t>
  </si>
  <si>
    <t>21.84亿</t>
  </si>
  <si>
    <t>2354040100亿</t>
  </si>
  <si>
    <t>5436.66万</t>
  </si>
  <si>
    <t>3100113800亿</t>
  </si>
  <si>
    <t>534.22亿</t>
  </si>
  <si>
    <t>3597002100亿</t>
  </si>
  <si>
    <t>211.79亿</t>
  </si>
  <si>
    <t>91721609000亿</t>
  </si>
  <si>
    <t>205.14亿</t>
  </si>
  <si>
    <t>4616.65万</t>
  </si>
  <si>
    <t>269.21亿</t>
  </si>
  <si>
    <t>239.95亿</t>
  </si>
  <si>
    <t>714.19亿</t>
  </si>
  <si>
    <t>4000.00万</t>
  </si>
  <si>
    <t>58.52亿</t>
  </si>
  <si>
    <t>-20.14亿</t>
  </si>
  <si>
    <t>567.85亿</t>
  </si>
  <si>
    <t>45.36亿</t>
  </si>
  <si>
    <t>17.29亿</t>
  </si>
  <si>
    <t>乘用车</t>
  </si>
  <si>
    <t>9.34亿</t>
  </si>
  <si>
    <t>65.07亿</t>
  </si>
  <si>
    <t>5-1</t>
  </si>
  <si>
    <t xml:space="preserve">
市值1330.5133亿, 利润35.52亿; PE17.32, PB2.19; 毛利15.73%; 净利4.4167%; 上一年度营收增24.33%, 利润增6.86%; 当季营收增-11.15%, 利润增51.04%; 过往5年营收增7.07%, 利润增-75.46%
Income profile:
</t>
  </si>
  <si>
    <t>5884.35万</t>
  </si>
  <si>
    <t>64.68亿</t>
  </si>
  <si>
    <t>25.87亿</t>
  </si>
  <si>
    <t>1749114700亿</t>
  </si>
  <si>
    <t>17.76亿</t>
  </si>
  <si>
    <t>8801.97万</t>
  </si>
  <si>
    <t>7996.52万</t>
  </si>
  <si>
    <t>61160281亿</t>
  </si>
  <si>
    <t>63.57万</t>
  </si>
  <si>
    <t>-45054807亿</t>
  </si>
  <si>
    <t>21.28亿</t>
  </si>
  <si>
    <t>2803652600亿</t>
  </si>
  <si>
    <t>361.92万</t>
  </si>
  <si>
    <t>7253956000亿</t>
  </si>
  <si>
    <t>8658.89万</t>
  </si>
  <si>
    <t>12.35亿</t>
  </si>
  <si>
    <t>16.57亿</t>
  </si>
  <si>
    <t>60.56亿</t>
  </si>
  <si>
    <t>4328.21万</t>
  </si>
  <si>
    <t>13.47亿</t>
  </si>
  <si>
    <t>-3528.70万</t>
  </si>
  <si>
    <t>商用载客车</t>
  </si>
  <si>
    <t>27.56亿</t>
  </si>
  <si>
    <t xml:space="preserve">
市值95.220372亿, 利润-2.20亿; PE, PB3.68; 毛利14.43%; 净利-1.0233%; 上一年度营收增4.06%, 利润增-1035.23%; 当季营收增28.8%, 利润增152.35%; 过往5年营收增-11.48%, 利润增-244.39%
Income profile:
</t>
  </si>
</sst>
</file>

<file path=xl/styles.xml><?xml version="1.0" encoding="utf-8"?>
<styleSheet xmlns="http://schemas.openxmlformats.org/spreadsheetml/2006/main" xmlns:mc="http://schemas.openxmlformats.org/markup-compatibility/2006" xmlns:x14ac="http://schemas.microsoft.com/office/spreadsheetml/2009/9/ac" mc:Ignorable="x14ac">
  <fonts count="16" x14ac:knownFonts="1">
    <font>
      <sz val="11"/>
      <color theme="1"/>
      <name val="宋体"/>
      <family val="2"/>
      <charset val="134"/>
      <scheme val="minor"/>
    </font>
    <font>
      <sz val="9"/>
      <name val="宋体"/>
      <family val="2"/>
      <charset val="134"/>
      <scheme val="minor"/>
    </font>
    <font>
      <sz val="11"/>
      <color indexed="8"/>
      <name val="Calibri"/>
      <family val="2"/>
    </font>
    <font>
      <sz val="11"/>
      <color rgb="FFFF0000"/>
      <name val="宋体"/>
      <family val="2"/>
      <charset val="134"/>
      <scheme val="minor"/>
    </font>
    <font>
      <sz val="11"/>
      <name val="宋体"/>
      <family val="2"/>
      <charset val="134"/>
      <scheme val="minor"/>
    </font>
    <font>
      <u/>
      <sz val="11"/>
      <color theme="10"/>
      <name val="宋体"/>
      <family val="2"/>
      <charset val="134"/>
      <scheme val="minor"/>
    </font>
    <font>
      <sz val="9"/>
      <color theme="1"/>
      <name val="宋体"/>
      <family val="2"/>
      <charset val="134"/>
      <scheme val="minor"/>
    </font>
    <font>
      <b/>
      <sz val="11"/>
      <color theme="1"/>
      <name val="宋体"/>
      <family val="3"/>
      <charset val="134"/>
      <scheme val="minor"/>
    </font>
    <font>
      <b/>
      <sz val="11"/>
      <color rgb="FFFF0000"/>
      <name val="宋体"/>
      <family val="3"/>
      <charset val="134"/>
      <scheme val="minor"/>
    </font>
    <font>
      <sz val="9"/>
      <color rgb="FFFF0000"/>
      <name val="宋体"/>
      <family val="3"/>
      <charset val="134"/>
      <scheme val="minor"/>
    </font>
    <font>
      <sz val="9"/>
      <color theme="1"/>
      <name val="宋体"/>
      <family val="3"/>
      <charset val="134"/>
      <scheme val="minor"/>
    </font>
    <font>
      <b/>
      <sz val="9"/>
      <color rgb="FFFF0000"/>
      <name val="宋体"/>
      <family val="3"/>
      <charset val="134"/>
      <scheme val="minor"/>
    </font>
    <font>
      <b/>
      <i/>
      <sz val="11"/>
      <color rgb="FFFF0000"/>
      <name val="宋体"/>
      <family val="3"/>
      <charset val="134"/>
    </font>
    <font>
      <sz val="9"/>
      <color theme="6" tint="-0.249977111117893"/>
      <name val="宋体"/>
      <family val="3"/>
      <charset val="134"/>
      <scheme val="minor"/>
    </font>
    <font>
      <b/>
      <sz val="9"/>
      <color theme="1"/>
      <name val="宋体"/>
      <family val="3"/>
      <charset val="134"/>
      <scheme val="minor"/>
    </font>
    <font>
      <sz val="9"/>
      <name val="宋体"/>
      <family val="3"/>
      <charset val="134"/>
      <scheme val="minor"/>
    </font>
  </fonts>
  <fills count="8">
    <fill>
      <patternFill patternType="none"/>
    </fill>
    <fill>
      <patternFill patternType="gray125"/>
    </fill>
    <fill>
      <patternFill patternType="solid">
        <fgColor rgb="FFFFFF00"/>
        <bgColor indexed="64"/>
      </patternFill>
    </fill>
    <fill>
      <patternFill patternType="solid">
        <fgColor theme="9" tint="0.59999389629810485"/>
        <bgColor indexed="64"/>
      </patternFill>
    </fill>
    <fill>
      <patternFill patternType="solid">
        <fgColor rgb="FFFF0000"/>
        <bgColor indexed="64"/>
      </patternFill>
    </fill>
    <fill>
      <patternFill patternType="solid">
        <fgColor theme="5" tint="0.39997558519241921"/>
        <bgColor indexed="64"/>
      </patternFill>
    </fill>
    <fill>
      <patternFill patternType="solid">
        <fgColor theme="9" tint="0.79998168889431442"/>
        <bgColor indexed="64"/>
      </patternFill>
    </fill>
    <fill>
      <patternFill patternType="solid">
        <fgColor theme="5"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3">
    <xf numFmtId="0" fontId="0" fillId="0" borderId="0">
      <alignment vertical="center"/>
    </xf>
    <xf numFmtId="0" fontId="2" fillId="0" borderId="0" applyFill="0" applyProtection="0"/>
    <xf numFmtId="0" fontId="5" fillId="0" borderId="0" applyNumberFormat="0" applyFill="0" applyBorder="0" applyAlignment="0" applyProtection="0">
      <alignment vertical="center"/>
    </xf>
  </cellStyleXfs>
  <cellXfs count="33">
    <xf numFmtId="0" fontId="0" fillId="0" borderId="0" xfId="0">
      <alignment vertical="center"/>
    </xf>
    <xf numFmtId="0" fontId="0" fillId="0" borderId="0" xfId="0" applyFill="1">
      <alignment vertical="center"/>
    </xf>
    <xf numFmtId="0" fontId="0" fillId="2" borderId="0" xfId="0" applyFill="1">
      <alignment vertical="center"/>
    </xf>
    <xf numFmtId="0" fontId="6" fillId="0" borderId="0" xfId="0" applyFont="1" applyAlignment="1">
      <alignment vertical="center" wrapText="1"/>
    </xf>
    <xf numFmtId="10" fontId="0" fillId="0" borderId="0" xfId="0" applyNumberFormat="1">
      <alignment vertical="center"/>
    </xf>
    <xf numFmtId="9" fontId="0" fillId="0" borderId="0" xfId="0" applyNumberFormat="1">
      <alignment vertical="center"/>
    </xf>
    <xf numFmtId="0" fontId="7" fillId="0" borderId="0" xfId="0" applyFont="1" applyFill="1" applyAlignment="1">
      <alignment vertical="center" wrapText="1"/>
    </xf>
    <xf numFmtId="0" fontId="7" fillId="0" borderId="0" xfId="0" applyFont="1" applyAlignment="1">
      <alignment vertical="center" wrapText="1"/>
    </xf>
    <xf numFmtId="0" fontId="8" fillId="2" borderId="0" xfId="0" applyFont="1" applyFill="1" applyAlignment="1">
      <alignment vertical="center" wrapText="1"/>
    </xf>
    <xf numFmtId="0" fontId="0" fillId="0" borderId="0" xfId="0" applyAlignment="1">
      <alignment vertical="center"/>
    </xf>
    <xf numFmtId="9" fontId="0" fillId="0" borderId="0" xfId="0" applyNumberFormat="1" applyAlignment="1">
      <alignment vertical="center"/>
    </xf>
    <xf numFmtId="0" fontId="8" fillId="5" borderId="0" xfId="0" applyFont="1" applyFill="1" applyAlignment="1">
      <alignment vertical="center" wrapText="1"/>
    </xf>
    <xf numFmtId="0" fontId="3" fillId="2" borderId="0" xfId="0" applyFont="1" applyFill="1">
      <alignment vertical="center"/>
    </xf>
    <xf numFmtId="0" fontId="4" fillId="0" borderId="0" xfId="0" applyFont="1" applyFill="1">
      <alignment vertical="center"/>
    </xf>
    <xf numFmtId="0" fontId="3" fillId="3" borderId="0" xfId="0" applyFont="1" applyFill="1">
      <alignment vertical="center"/>
    </xf>
    <xf numFmtId="9" fontId="7" fillId="0" borderId="0" xfId="0" applyNumberFormat="1" applyFont="1" applyAlignment="1">
      <alignment vertical="center" wrapText="1"/>
    </xf>
    <xf numFmtId="0" fontId="0" fillId="0" borderId="0" xfId="0" applyBorder="1">
      <alignment vertical="center"/>
    </xf>
    <xf numFmtId="0" fontId="0" fillId="0" borderId="0" xfId="0" applyBorder="1" applyAlignment="1">
      <alignment vertical="center" wrapText="1"/>
    </xf>
    <xf numFmtId="0" fontId="0" fillId="0" borderId="0" xfId="0" applyFill="1" applyBorder="1">
      <alignment vertical="center"/>
    </xf>
    <xf numFmtId="0" fontId="0" fillId="0" borderId="0" xfId="0" applyFill="1" applyBorder="1" applyAlignment="1" applyProtection="1">
      <alignment horizontal="left"/>
    </xf>
    <xf numFmtId="0" fontId="0" fillId="0" borderId="1" xfId="0" applyNumberFormat="1" applyFill="1" applyBorder="1" applyAlignment="1">
      <alignment vertical="center" wrapText="1"/>
    </xf>
    <xf numFmtId="0" fontId="0" fillId="4" borderId="1" xfId="0" applyNumberFormat="1" applyFill="1" applyBorder="1" applyAlignment="1">
      <alignment vertical="center" wrapText="1"/>
    </xf>
    <xf numFmtId="0" fontId="3" fillId="0" borderId="0" xfId="0" applyFont="1">
      <alignment vertical="center"/>
    </xf>
    <xf numFmtId="0" fontId="0" fillId="6" borderId="0" xfId="0" applyFill="1">
      <alignment vertical="center"/>
    </xf>
    <xf numFmtId="0" fontId="0" fillId="7" borderId="0" xfId="0" applyFill="1">
      <alignment vertical="center"/>
    </xf>
    <xf numFmtId="0" fontId="4" fillId="0" borderId="0" xfId="0" applyFont="1">
      <alignment vertical="center"/>
    </xf>
    <xf numFmtId="0" fontId="10" fillId="0" borderId="0" xfId="0" applyFont="1" applyAlignment="1">
      <alignment vertical="center" wrapText="1"/>
    </xf>
    <xf numFmtId="14" fontId="4" fillId="2" borderId="0" xfId="0" applyNumberFormat="1" applyFont="1" applyFill="1" applyBorder="1">
      <alignment vertical="center"/>
    </xf>
    <xf numFmtId="0" fontId="0" fillId="2" borderId="0" xfId="0" applyFill="1" applyBorder="1">
      <alignment vertical="center"/>
    </xf>
    <xf numFmtId="14" fontId="5" fillId="0" borderId="0" xfId="2" applyNumberFormat="1" applyBorder="1" applyAlignment="1">
      <alignment vertical="center" wrapText="1"/>
    </xf>
    <xf numFmtId="0" fontId="6" fillId="0" borderId="0" xfId="0" applyFont="1">
      <alignment vertical="center"/>
    </xf>
    <xf numFmtId="0" fontId="5" fillId="0" borderId="0" xfId="2" applyAlignment="1">
      <alignment vertical="center" wrapText="1"/>
    </xf>
    <xf numFmtId="0" fontId="0" fillId="0" borderId="0" xfId="0" applyAlignment="1">
      <alignment vertical="center" wrapText="1"/>
    </xf>
  </cellXfs>
  <cellStyles count="3">
    <cellStyle name="常规" xfId="0" builtinId="0"/>
    <cellStyle name="常规 2" xfId="1"/>
    <cellStyle name="超链接" xfId="2"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8.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8.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1</xdr:row>
          <xdr:rowOff>259080</xdr:rowOff>
        </xdr:from>
        <xdr:to>
          <xdr:col>1</xdr:col>
          <xdr:colOff>1089660</xdr:colOff>
          <xdr:row>1</xdr:row>
          <xdr:rowOff>708660</xdr:rowOff>
        </xdr:to>
        <xdr:sp macro="" textlink="">
          <xdr:nvSpPr>
            <xdr:cNvPr id="30721" name="Button 1" hidden="1">
              <a:extLst>
                <a:ext uri="{63B3BB69-23CF-44E3-9099-C40C66FF867C}">
                  <a14:compatExt spid="_x0000_s3072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1</xdr:row>
          <xdr:rowOff>259080</xdr:rowOff>
        </xdr:from>
        <xdr:to>
          <xdr:col>1</xdr:col>
          <xdr:colOff>1089660</xdr:colOff>
          <xdr:row>1</xdr:row>
          <xdr:rowOff>708660</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1</xdr:row>
          <xdr:rowOff>259080</xdr:rowOff>
        </xdr:from>
        <xdr:to>
          <xdr:col>1</xdr:col>
          <xdr:colOff>1089660</xdr:colOff>
          <xdr:row>1</xdr:row>
          <xdr:rowOff>708660</xdr:rowOff>
        </xdr:to>
        <xdr:sp macro="" textlink="">
          <xdr:nvSpPr>
            <xdr:cNvPr id="33793" name="Button 1" hidden="1">
              <a:extLst>
                <a:ext uri="{63B3BB69-23CF-44E3-9099-C40C66FF867C}">
                  <a14:compatExt spid="_x0000_s3379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1</xdr:row>
          <xdr:rowOff>259080</xdr:rowOff>
        </xdr:from>
        <xdr:to>
          <xdr:col>1</xdr:col>
          <xdr:colOff>1089660</xdr:colOff>
          <xdr:row>1</xdr:row>
          <xdr:rowOff>708660</xdr:rowOff>
        </xdr:to>
        <xdr:sp macro="" textlink="">
          <xdr:nvSpPr>
            <xdr:cNvPr id="27649" name="Button 1" hidden="1">
              <a:extLst>
                <a:ext uri="{63B3BB69-23CF-44E3-9099-C40C66FF867C}">
                  <a14:compatExt spid="_x0000_s2764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1</xdr:row>
          <xdr:rowOff>259080</xdr:rowOff>
        </xdr:from>
        <xdr:to>
          <xdr:col>1</xdr:col>
          <xdr:colOff>1089660</xdr:colOff>
          <xdr:row>1</xdr:row>
          <xdr:rowOff>708660</xdr:rowOff>
        </xdr:to>
        <xdr:sp macro="" textlink="">
          <xdr:nvSpPr>
            <xdr:cNvPr id="31745" name="Button 1" hidden="1">
              <a:extLst>
                <a:ext uri="{63B3BB69-23CF-44E3-9099-C40C66FF867C}">
                  <a14:compatExt spid="_x0000_s3174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1</xdr:row>
          <xdr:rowOff>259080</xdr:rowOff>
        </xdr:from>
        <xdr:to>
          <xdr:col>1</xdr:col>
          <xdr:colOff>1089660</xdr:colOff>
          <xdr:row>1</xdr:row>
          <xdr:rowOff>708660</xdr:rowOff>
        </xdr:to>
        <xdr:sp macro="" textlink="">
          <xdr:nvSpPr>
            <xdr:cNvPr id="34817" name="Button 1" hidden="1">
              <a:extLst>
                <a:ext uri="{63B3BB69-23CF-44E3-9099-C40C66FF867C}">
                  <a14:compatExt spid="_x0000_s3481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1</xdr:row>
          <xdr:rowOff>259080</xdr:rowOff>
        </xdr:from>
        <xdr:to>
          <xdr:col>1</xdr:col>
          <xdr:colOff>1089660</xdr:colOff>
          <xdr:row>1</xdr:row>
          <xdr:rowOff>708660</xdr:rowOff>
        </xdr:to>
        <xdr:sp macro="" textlink="">
          <xdr:nvSpPr>
            <xdr:cNvPr id="26625" name="Button 1" hidden="1">
              <a:extLst>
                <a:ext uri="{63B3BB69-23CF-44E3-9099-C40C66FF867C}">
                  <a14:compatExt spid="_x0000_s2662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17</xdr:col>
      <xdr:colOff>12700</xdr:colOff>
      <xdr:row>40</xdr:row>
      <xdr:rowOff>25400</xdr:rowOff>
    </xdr:from>
    <xdr:to>
      <xdr:col>25</xdr:col>
      <xdr:colOff>412090</xdr:colOff>
      <xdr:row>55</xdr:row>
      <xdr:rowOff>101257</xdr:rowOff>
    </xdr:to>
    <xdr:pic>
      <xdr:nvPicPr>
        <xdr:cNvPr id="3" name="图片 2"/>
        <xdr:cNvPicPr>
          <a:picLocks noChangeAspect="1"/>
        </xdr:cNvPicPr>
      </xdr:nvPicPr>
      <xdr:blipFill>
        <a:blip xmlns:r="http://schemas.openxmlformats.org/officeDocument/2006/relationships" r:embed="rId1"/>
        <a:stretch>
          <a:fillRect/>
        </a:stretch>
      </xdr:blipFill>
      <xdr:spPr>
        <a:xfrm>
          <a:off x="10375900" y="7137400"/>
          <a:ext cx="5276190" cy="274285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53340</xdr:colOff>
          <xdr:row>37</xdr:row>
          <xdr:rowOff>53340</xdr:rowOff>
        </xdr:from>
        <xdr:to>
          <xdr:col>15</xdr:col>
          <xdr:colOff>548640</xdr:colOff>
          <xdr:row>59</xdr:row>
          <xdr:rowOff>91440</xdr:rowOff>
        </xdr:to>
        <xdr:sp macro="" textlink="">
          <xdr:nvSpPr>
            <xdr:cNvPr id="8205" name="Object 13" hidden="1">
              <a:extLst>
                <a:ext uri="{63B3BB69-23CF-44E3-9099-C40C66FF867C}">
                  <a14:compatExt spid="_x0000_s8205"/>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1</xdr:row>
          <xdr:rowOff>38100</xdr:rowOff>
        </xdr:from>
        <xdr:to>
          <xdr:col>25</xdr:col>
          <xdr:colOff>464820</xdr:colOff>
          <xdr:row>36</xdr:row>
          <xdr:rowOff>99060</xdr:rowOff>
        </xdr:to>
        <xdr:sp macro="" textlink="">
          <xdr:nvSpPr>
            <xdr:cNvPr id="8206" name="Object 14" hidden="1">
              <a:extLst>
                <a:ext uri="{63B3BB69-23CF-44E3-9099-C40C66FF867C}">
                  <a14:compatExt spid="_x0000_s8206"/>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62</xdr:row>
          <xdr:rowOff>0</xdr:rowOff>
        </xdr:from>
        <xdr:to>
          <xdr:col>14</xdr:col>
          <xdr:colOff>167640</xdr:colOff>
          <xdr:row>86</xdr:row>
          <xdr:rowOff>0</xdr:rowOff>
        </xdr:to>
        <xdr:sp macro="" textlink="">
          <xdr:nvSpPr>
            <xdr:cNvPr id="8207" name="Object 15" hidden="1">
              <a:extLst>
                <a:ext uri="{63B3BB69-23CF-44E3-9099-C40C66FF867C}">
                  <a14:compatExt spid="_x0000_s8207"/>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27682;&#33021;&#31867;\&#27682;&#33021;&#31867;&#21033;&#22522;.docx"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27682;&#33021;&#31867;\&#27682;&#20013;&#28216;-&#29123;&#26009;&#30005;&#27744;&#21450;&#31995;&#32479;.docx" TargetMode="Externa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8" Type="http://schemas.openxmlformats.org/officeDocument/2006/relationships/oleObject" Target="../embeddings/oleObject3.bin"/><Relationship Id="rId3" Type="http://schemas.openxmlformats.org/officeDocument/2006/relationships/vmlDrawing" Target="../drawings/vmlDrawing8.vml"/><Relationship Id="rId7" Type="http://schemas.openxmlformats.org/officeDocument/2006/relationships/image" Target="../media/image2.emf"/><Relationship Id="rId2" Type="http://schemas.openxmlformats.org/officeDocument/2006/relationships/drawing" Target="../drawings/drawing8.xml"/><Relationship Id="rId1" Type="http://schemas.openxmlformats.org/officeDocument/2006/relationships/printerSettings" Target="../printerSettings/printerSettings5.bin"/><Relationship Id="rId6" Type="http://schemas.openxmlformats.org/officeDocument/2006/relationships/oleObject" Target="../embeddings/oleObject2.bin"/><Relationship Id="rId5" Type="http://schemas.openxmlformats.org/officeDocument/2006/relationships/image" Target="../media/image1.emf"/><Relationship Id="rId4" Type="http://schemas.openxmlformats.org/officeDocument/2006/relationships/oleObject" Target="../embeddings/oleObject1.bin"/><Relationship Id="rId9" Type="http://schemas.openxmlformats.org/officeDocument/2006/relationships/image" Target="../media/image3.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EK2"/>
  <sheetViews>
    <sheetView workbookViewId="0">
      <selection activeCell="A2" sqref="A2"/>
    </sheetView>
  </sheetViews>
  <sheetFormatPr defaultRowHeight="14.4" x14ac:dyDescent="0.25"/>
  <cols>
    <col min="2" max="2" width="29.21875" customWidth="1"/>
    <col min="3" max="3" width="30.77734375" customWidth="1"/>
    <col min="4" max="4" width="34.77734375" customWidth="1"/>
  </cols>
  <sheetData>
    <row r="1" spans="1:141" s="16" customFormat="1" x14ac:dyDescent="0.25">
      <c r="A1" s="17" t="s">
        <v>157</v>
      </c>
      <c r="B1" s="20" t="s">
        <v>381</v>
      </c>
      <c r="C1" s="21" t="s">
        <v>382</v>
      </c>
      <c r="D1" s="20" t="s">
        <v>383</v>
      </c>
      <c r="E1" t="s">
        <v>2</v>
      </c>
      <c r="F1" t="s">
        <v>3</v>
      </c>
      <c r="G1" t="s">
        <v>0</v>
      </c>
      <c r="H1" t="s">
        <v>350</v>
      </c>
      <c r="I1" t="s">
        <v>384</v>
      </c>
      <c r="J1" t="s">
        <v>4</v>
      </c>
      <c r="K1" t="s">
        <v>5</v>
      </c>
      <c r="L1" t="s">
        <v>1</v>
      </c>
      <c r="M1" t="s">
        <v>6</v>
      </c>
      <c r="N1" t="s">
        <v>9</v>
      </c>
      <c r="O1" t="s">
        <v>10</v>
      </c>
      <c r="P1" t="s">
        <v>11</v>
      </c>
      <c r="Q1" t="s">
        <v>385</v>
      </c>
      <c r="R1" t="s">
        <v>351</v>
      </c>
      <c r="S1" t="s">
        <v>386</v>
      </c>
      <c r="T1" t="s">
        <v>12</v>
      </c>
      <c r="U1" t="s">
        <v>352</v>
      </c>
      <c r="V1" t="s">
        <v>353</v>
      </c>
      <c r="W1" t="s">
        <v>13</v>
      </c>
      <c r="X1" t="s">
        <v>214</v>
      </c>
      <c r="Y1" t="s">
        <v>215</v>
      </c>
      <c r="Z1" t="s">
        <v>216</v>
      </c>
      <c r="AA1" t="s">
        <v>217</v>
      </c>
      <c r="AB1" t="s">
        <v>218</v>
      </c>
      <c r="AC1" t="s">
        <v>354</v>
      </c>
      <c r="AD1" t="s">
        <v>219</v>
      </c>
      <c r="AE1" t="s">
        <v>387</v>
      </c>
      <c r="AF1" t="s">
        <v>14</v>
      </c>
      <c r="AG1" t="s">
        <v>15</v>
      </c>
      <c r="AH1" t="s">
        <v>355</v>
      </c>
      <c r="AI1" t="s">
        <v>388</v>
      </c>
      <c r="AJ1" t="s">
        <v>356</v>
      </c>
      <c r="AK1" t="s">
        <v>16</v>
      </c>
      <c r="AL1" t="s">
        <v>357</v>
      </c>
      <c r="AM1" t="s">
        <v>158</v>
      </c>
      <c r="AN1" t="s">
        <v>358</v>
      </c>
      <c r="AO1" t="s">
        <v>359</v>
      </c>
      <c r="AP1" t="s">
        <v>360</v>
      </c>
      <c r="AQ1" t="s">
        <v>361</v>
      </c>
      <c r="AR1" t="s">
        <v>362</v>
      </c>
      <c r="AS1" t="s">
        <v>363</v>
      </c>
      <c r="AT1" t="s">
        <v>364</v>
      </c>
      <c r="AU1" t="s">
        <v>365</v>
      </c>
      <c r="AV1" t="s">
        <v>366</v>
      </c>
      <c r="AW1" t="s">
        <v>367</v>
      </c>
      <c r="AX1" t="s">
        <v>368</v>
      </c>
      <c r="AY1" t="s">
        <v>389</v>
      </c>
      <c r="AZ1" t="s">
        <v>159</v>
      </c>
      <c r="BA1" t="s">
        <v>160</v>
      </c>
      <c r="BB1" t="s">
        <v>161</v>
      </c>
      <c r="BC1" t="s">
        <v>162</v>
      </c>
      <c r="BD1" t="s">
        <v>168</v>
      </c>
      <c r="BE1" t="s">
        <v>163</v>
      </c>
      <c r="BF1" t="s">
        <v>164</v>
      </c>
      <c r="BG1" t="s">
        <v>165</v>
      </c>
      <c r="BH1" t="s">
        <v>166</v>
      </c>
      <c r="BI1" t="s">
        <v>390</v>
      </c>
      <c r="BJ1" t="s">
        <v>369</v>
      </c>
      <c r="BK1" t="s">
        <v>167</v>
      </c>
      <c r="BL1" t="s">
        <v>370</v>
      </c>
      <c r="BM1" t="s">
        <v>371</v>
      </c>
      <c r="BN1" t="s">
        <v>372</v>
      </c>
      <c r="BO1" t="s">
        <v>373</v>
      </c>
      <c r="BP1" t="s">
        <v>169</v>
      </c>
      <c r="BQ1" t="s">
        <v>170</v>
      </c>
      <c r="BR1" t="s">
        <v>171</v>
      </c>
      <c r="BS1" t="s">
        <v>374</v>
      </c>
      <c r="BT1" t="s">
        <v>172</v>
      </c>
      <c r="BU1" t="s">
        <v>173</v>
      </c>
      <c r="BV1" t="s">
        <v>174</v>
      </c>
      <c r="BW1" t="s">
        <v>375</v>
      </c>
      <c r="BX1" t="s">
        <v>175</v>
      </c>
      <c r="BY1" t="s">
        <v>176</v>
      </c>
      <c r="BZ1" t="s">
        <v>376</v>
      </c>
      <c r="CA1" t="s">
        <v>177</v>
      </c>
      <c r="CB1" t="s">
        <v>178</v>
      </c>
      <c r="CC1" t="s">
        <v>391</v>
      </c>
      <c r="CD1" t="s">
        <v>392</v>
      </c>
      <c r="CE1" t="s">
        <v>393</v>
      </c>
      <c r="CF1" t="s">
        <v>394</v>
      </c>
      <c r="CG1" s="1" t="s">
        <v>220</v>
      </c>
      <c r="CH1" s="1" t="s">
        <v>221</v>
      </c>
      <c r="CI1" s="1" t="s">
        <v>222</v>
      </c>
      <c r="CJ1" s="1" t="s">
        <v>223</v>
      </c>
      <c r="CK1" s="1" t="s">
        <v>224</v>
      </c>
      <c r="CL1" s="1" t="s">
        <v>225</v>
      </c>
      <c r="CM1" s="1" t="s">
        <v>226</v>
      </c>
      <c r="CN1" s="1" t="s">
        <v>227</v>
      </c>
      <c r="CO1" s="1" t="s">
        <v>228</v>
      </c>
      <c r="CP1" s="1" t="s">
        <v>229</v>
      </c>
      <c r="CQ1" s="1" t="s">
        <v>230</v>
      </c>
      <c r="CR1" s="1" t="s">
        <v>231</v>
      </c>
      <c r="CS1" s="1" t="s">
        <v>395</v>
      </c>
      <c r="CT1" s="1" t="s">
        <v>396</v>
      </c>
      <c r="CU1" s="1" t="s">
        <v>397</v>
      </c>
      <c r="CV1" s="1" t="s">
        <v>232</v>
      </c>
      <c r="CW1" s="1" t="s">
        <v>398</v>
      </c>
      <c r="CX1" s="1" t="s">
        <v>138</v>
      </c>
      <c r="CY1">
        <v>1</v>
      </c>
      <c r="CZ1" t="s">
        <v>400</v>
      </c>
      <c r="DA1" t="s">
        <v>266</v>
      </c>
      <c r="DB1">
        <v>3</v>
      </c>
      <c r="DC1" t="s">
        <v>401</v>
      </c>
      <c r="DD1" t="s">
        <v>402</v>
      </c>
      <c r="DE1">
        <v>6</v>
      </c>
      <c r="DF1" t="s">
        <v>267</v>
      </c>
      <c r="DG1" t="s">
        <v>403</v>
      </c>
      <c r="DH1">
        <v>10</v>
      </c>
      <c r="DI1" t="s">
        <v>404</v>
      </c>
      <c r="DJ1" t="s">
        <v>268</v>
      </c>
      <c r="DK1">
        <v>20</v>
      </c>
      <c r="DL1" t="s">
        <v>405</v>
      </c>
      <c r="DM1" t="s">
        <v>233</v>
      </c>
      <c r="DN1" t="s">
        <v>234</v>
      </c>
      <c r="DO1" s="2" t="s">
        <v>235</v>
      </c>
      <c r="DP1" t="s">
        <v>406</v>
      </c>
      <c r="DQ1" t="s">
        <v>269</v>
      </c>
      <c r="DR1" s="1" t="s">
        <v>236</v>
      </c>
      <c r="DS1" s="1" t="s">
        <v>237</v>
      </c>
      <c r="DT1" s="1" t="s">
        <v>407</v>
      </c>
      <c r="DU1" t="s">
        <v>408</v>
      </c>
      <c r="DV1" t="s">
        <v>270</v>
      </c>
      <c r="DW1" t="s">
        <v>409</v>
      </c>
      <c r="DX1" t="s">
        <v>410</v>
      </c>
      <c r="DY1" t="s">
        <v>411</v>
      </c>
      <c r="DZ1" t="s">
        <v>412</v>
      </c>
      <c r="EA1" t="s">
        <v>413</v>
      </c>
      <c r="EB1" t="s">
        <v>238</v>
      </c>
      <c r="EC1" t="s">
        <v>414</v>
      </c>
      <c r="ED1" t="s">
        <v>415</v>
      </c>
      <c r="EE1" t="s">
        <v>416</v>
      </c>
      <c r="EF1" t="s">
        <v>417</v>
      </c>
      <c r="EG1" t="s">
        <v>418</v>
      </c>
      <c r="EH1" t="s">
        <v>419</v>
      </c>
      <c r="EI1" t="s">
        <v>420</v>
      </c>
      <c r="EJ1" t="s">
        <v>421</v>
      </c>
      <c r="EK1"/>
    </row>
    <row r="2" spans="1:141" s="16" customFormat="1" ht="71.55" customHeight="1" x14ac:dyDescent="0.25">
      <c r="A2" s="29" t="s">
        <v>632</v>
      </c>
      <c r="B2" s="27"/>
      <c r="C2" s="28">
        <v>3</v>
      </c>
      <c r="D2" s="28">
        <v>3</v>
      </c>
      <c r="T2" s="18"/>
      <c r="U2" s="18"/>
      <c r="V2" s="18"/>
      <c r="AB2" s="19"/>
    </row>
  </sheetData>
  <phoneticPr fontId="1" type="noConversion"/>
  <hyperlinks>
    <hyperlink ref="A2" r:id="rId1"/>
  </hyperlinks>
  <pageMargins left="0.7" right="0.7" top="0.75" bottom="0.75" header="0.3" footer="0.3"/>
  <pageSetup paperSize="9" orientation="portrait" horizontalDpi="0" verticalDpi="0" r:id="rId2"/>
  <drawing r:id="rId3"/>
  <legacyDrawing r:id="rId4"/>
  <mc:AlternateContent xmlns:mc="http://schemas.openxmlformats.org/markup-compatibility/2006">
    <mc:Choice Requires="x14">
      <controls>
        <mc:AlternateContent xmlns:mc="http://schemas.openxmlformats.org/markup-compatibility/2006">
          <mc:Choice Requires="x14">
            <control shapeId="30721" r:id="rId5" name="Button 1">
              <controlPr defaultSize="0" print="0" autoFill="0" autoPict="0" macro="[0]!'Industry_copy_call_buttom [c2],[d2]'">
                <anchor moveWithCells="1" sizeWithCells="1">
                  <from>
                    <xdr:col>1</xdr:col>
                    <xdr:colOff>60960</xdr:colOff>
                    <xdr:row>1</xdr:row>
                    <xdr:rowOff>259080</xdr:rowOff>
                  </from>
                  <to>
                    <xdr:col>1</xdr:col>
                    <xdr:colOff>1089660</xdr:colOff>
                    <xdr:row>1</xdr:row>
                    <xdr:rowOff>708660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K14"/>
  <sheetViews>
    <sheetView zoomScaleNormal="100" workbookViewId="0">
      <pane ySplit="2" topLeftCell="A3" activePane="bottomLeft" state="frozen"/>
      <selection pane="bottomLeft" activeCell="B3" sqref="B3:EK3"/>
    </sheetView>
  </sheetViews>
  <sheetFormatPr defaultRowHeight="14.4" x14ac:dyDescent="0.25"/>
  <cols>
    <col min="1" max="1" width="10.44140625" style="32" customWidth="1"/>
    <col min="2" max="2" width="39.109375" customWidth="1"/>
    <col min="3" max="3" width="41.88671875" customWidth="1"/>
    <col min="4" max="4" width="46.6640625" customWidth="1"/>
  </cols>
  <sheetData>
    <row r="1" spans="1:141" s="16" customFormat="1" x14ac:dyDescent="0.25">
      <c r="A1" s="17" t="s">
        <v>157</v>
      </c>
      <c r="B1" s="20" t="s">
        <v>381</v>
      </c>
      <c r="C1" s="21" t="s">
        <v>382</v>
      </c>
      <c r="D1" s="20" t="s">
        <v>383</v>
      </c>
      <c r="E1" t="s">
        <v>2</v>
      </c>
      <c r="F1" t="s">
        <v>3</v>
      </c>
      <c r="G1" t="s">
        <v>0</v>
      </c>
      <c r="H1" t="s">
        <v>350</v>
      </c>
      <c r="I1" t="s">
        <v>384</v>
      </c>
      <c r="J1" t="s">
        <v>4</v>
      </c>
      <c r="K1" t="s">
        <v>5</v>
      </c>
      <c r="L1" t="s">
        <v>1</v>
      </c>
      <c r="M1" t="s">
        <v>6</v>
      </c>
      <c r="N1" t="s">
        <v>9</v>
      </c>
      <c r="O1" t="s">
        <v>10</v>
      </c>
      <c r="P1" t="s">
        <v>11</v>
      </c>
      <c r="Q1" t="s">
        <v>385</v>
      </c>
      <c r="R1" t="s">
        <v>351</v>
      </c>
      <c r="S1" t="s">
        <v>386</v>
      </c>
      <c r="T1" t="s">
        <v>12</v>
      </c>
      <c r="U1" t="s">
        <v>352</v>
      </c>
      <c r="V1" t="s">
        <v>353</v>
      </c>
      <c r="W1" t="s">
        <v>13</v>
      </c>
      <c r="X1" t="s">
        <v>214</v>
      </c>
      <c r="Y1" t="s">
        <v>215</v>
      </c>
      <c r="Z1" t="s">
        <v>216</v>
      </c>
      <c r="AA1" t="s">
        <v>217</v>
      </c>
      <c r="AB1" t="s">
        <v>218</v>
      </c>
      <c r="AC1" t="s">
        <v>354</v>
      </c>
      <c r="AD1" t="s">
        <v>219</v>
      </c>
      <c r="AE1" t="s">
        <v>387</v>
      </c>
      <c r="AF1" t="s">
        <v>14</v>
      </c>
      <c r="AG1" t="s">
        <v>15</v>
      </c>
      <c r="AH1" t="s">
        <v>355</v>
      </c>
      <c r="AI1" t="s">
        <v>388</v>
      </c>
      <c r="AJ1" t="s">
        <v>356</v>
      </c>
      <c r="AK1" t="s">
        <v>16</v>
      </c>
      <c r="AL1" t="s">
        <v>357</v>
      </c>
      <c r="AM1" t="s">
        <v>158</v>
      </c>
      <c r="AN1" t="s">
        <v>358</v>
      </c>
      <c r="AO1" t="s">
        <v>359</v>
      </c>
      <c r="AP1" t="s">
        <v>360</v>
      </c>
      <c r="AQ1" t="s">
        <v>361</v>
      </c>
      <c r="AR1" t="s">
        <v>362</v>
      </c>
      <c r="AS1" t="s">
        <v>363</v>
      </c>
      <c r="AT1" t="s">
        <v>364</v>
      </c>
      <c r="AU1" t="s">
        <v>365</v>
      </c>
      <c r="AV1" t="s">
        <v>366</v>
      </c>
      <c r="AW1" t="s">
        <v>367</v>
      </c>
      <c r="AX1" t="s">
        <v>368</v>
      </c>
      <c r="AY1" t="s">
        <v>389</v>
      </c>
      <c r="AZ1" t="s">
        <v>159</v>
      </c>
      <c r="BA1" t="s">
        <v>160</v>
      </c>
      <c r="BB1" t="s">
        <v>161</v>
      </c>
      <c r="BC1" t="s">
        <v>162</v>
      </c>
      <c r="BD1" t="s">
        <v>168</v>
      </c>
      <c r="BE1" t="s">
        <v>163</v>
      </c>
      <c r="BF1" t="s">
        <v>164</v>
      </c>
      <c r="BG1" t="s">
        <v>165</v>
      </c>
      <c r="BH1" t="s">
        <v>166</v>
      </c>
      <c r="BI1" t="s">
        <v>390</v>
      </c>
      <c r="BJ1" t="s">
        <v>369</v>
      </c>
      <c r="BK1" t="s">
        <v>167</v>
      </c>
      <c r="BL1" t="s">
        <v>370</v>
      </c>
      <c r="BM1" t="s">
        <v>371</v>
      </c>
      <c r="BN1" t="s">
        <v>372</v>
      </c>
      <c r="BO1" t="s">
        <v>373</v>
      </c>
      <c r="BP1" t="s">
        <v>169</v>
      </c>
      <c r="BQ1" t="s">
        <v>170</v>
      </c>
      <c r="BR1" t="s">
        <v>171</v>
      </c>
      <c r="BS1" t="s">
        <v>374</v>
      </c>
      <c r="BT1" t="s">
        <v>172</v>
      </c>
      <c r="BU1" t="s">
        <v>173</v>
      </c>
      <c r="BV1" t="s">
        <v>174</v>
      </c>
      <c r="BW1" t="s">
        <v>375</v>
      </c>
      <c r="BX1" t="s">
        <v>175</v>
      </c>
      <c r="BY1" t="s">
        <v>176</v>
      </c>
      <c r="BZ1" t="s">
        <v>376</v>
      </c>
      <c r="CA1" t="s">
        <v>177</v>
      </c>
      <c r="CB1" t="s">
        <v>178</v>
      </c>
      <c r="CC1" t="s">
        <v>391</v>
      </c>
      <c r="CD1" t="s">
        <v>392</v>
      </c>
      <c r="CE1" t="s">
        <v>393</v>
      </c>
      <c r="CF1" t="s">
        <v>394</v>
      </c>
      <c r="CG1" s="1" t="s">
        <v>220</v>
      </c>
      <c r="CH1" s="1" t="s">
        <v>221</v>
      </c>
      <c r="CI1" s="1" t="s">
        <v>222</v>
      </c>
      <c r="CJ1" s="1" t="s">
        <v>223</v>
      </c>
      <c r="CK1" s="1" t="s">
        <v>224</v>
      </c>
      <c r="CL1" s="1" t="s">
        <v>225</v>
      </c>
      <c r="CM1" s="1" t="s">
        <v>226</v>
      </c>
      <c r="CN1" s="1" t="s">
        <v>227</v>
      </c>
      <c r="CO1" s="1" t="s">
        <v>228</v>
      </c>
      <c r="CP1" s="1" t="s">
        <v>229</v>
      </c>
      <c r="CQ1" s="1" t="s">
        <v>230</v>
      </c>
      <c r="CR1" s="1" t="s">
        <v>231</v>
      </c>
      <c r="CS1" s="1" t="s">
        <v>395</v>
      </c>
      <c r="CT1" s="1" t="s">
        <v>396</v>
      </c>
      <c r="CU1" s="1" t="s">
        <v>397</v>
      </c>
      <c r="CV1" s="1" t="s">
        <v>232</v>
      </c>
      <c r="CW1" s="1" t="s">
        <v>398</v>
      </c>
      <c r="CX1" s="1" t="s">
        <v>399</v>
      </c>
      <c r="CY1">
        <v>1</v>
      </c>
      <c r="CZ1" t="s">
        <v>400</v>
      </c>
      <c r="DA1" t="s">
        <v>266</v>
      </c>
      <c r="DB1">
        <v>3</v>
      </c>
      <c r="DC1" t="s">
        <v>401</v>
      </c>
      <c r="DD1" t="s">
        <v>402</v>
      </c>
      <c r="DE1">
        <v>6</v>
      </c>
      <c r="DF1" t="s">
        <v>267</v>
      </c>
      <c r="DG1" t="s">
        <v>403</v>
      </c>
      <c r="DH1">
        <v>10</v>
      </c>
      <c r="DI1" t="s">
        <v>404</v>
      </c>
      <c r="DJ1" t="s">
        <v>268</v>
      </c>
      <c r="DK1">
        <v>20</v>
      </c>
      <c r="DL1" t="s">
        <v>405</v>
      </c>
      <c r="DM1" t="s">
        <v>233</v>
      </c>
      <c r="DN1" t="s">
        <v>234</v>
      </c>
      <c r="DO1" s="2" t="s">
        <v>235</v>
      </c>
      <c r="DP1" t="s">
        <v>406</v>
      </c>
      <c r="DQ1" t="s">
        <v>269</v>
      </c>
      <c r="DR1" s="1" t="s">
        <v>236</v>
      </c>
      <c r="DS1" s="1" t="s">
        <v>237</v>
      </c>
      <c r="DT1" s="1" t="s">
        <v>407</v>
      </c>
      <c r="DU1" t="s">
        <v>408</v>
      </c>
      <c r="DV1" t="s">
        <v>270</v>
      </c>
      <c r="DW1" t="s">
        <v>409</v>
      </c>
      <c r="DX1" t="s">
        <v>410</v>
      </c>
      <c r="DY1" t="s">
        <v>411</v>
      </c>
      <c r="DZ1" t="s">
        <v>412</v>
      </c>
      <c r="EA1" t="s">
        <v>413</v>
      </c>
      <c r="EB1" t="s">
        <v>238</v>
      </c>
      <c r="EC1" t="s">
        <v>414</v>
      </c>
      <c r="ED1" t="s">
        <v>415</v>
      </c>
      <c r="EE1" t="s">
        <v>416</v>
      </c>
      <c r="EF1" t="s">
        <v>417</v>
      </c>
      <c r="EG1" t="s">
        <v>418</v>
      </c>
      <c r="EH1" t="s">
        <v>419</v>
      </c>
      <c r="EI1" t="s">
        <v>420</v>
      </c>
      <c r="EJ1" t="s">
        <v>421</v>
      </c>
      <c r="EK1"/>
    </row>
    <row r="2" spans="1:141" s="16" customFormat="1" ht="71.55" customHeight="1" x14ac:dyDescent="0.25">
      <c r="A2" s="31" t="s">
        <v>633</v>
      </c>
      <c r="B2" s="27"/>
      <c r="C2" s="28">
        <v>3</v>
      </c>
      <c r="D2" s="28">
        <v>3</v>
      </c>
      <c r="T2" s="18"/>
      <c r="U2" s="18"/>
      <c r="V2" s="18"/>
      <c r="AB2" s="19"/>
    </row>
    <row r="3" spans="1:141" ht="216" x14ac:dyDescent="0.25">
      <c r="A3" s="32" t="s">
        <v>829</v>
      </c>
      <c r="B3" s="3" t="s">
        <v>2416</v>
      </c>
      <c r="C3" s="3" t="s">
        <v>2159</v>
      </c>
      <c r="D3" s="3" t="s">
        <v>2417</v>
      </c>
      <c r="E3" t="s">
        <v>337</v>
      </c>
      <c r="F3" t="s">
        <v>338</v>
      </c>
      <c r="G3">
        <v>12.75</v>
      </c>
      <c r="H3">
        <v>-0.7</v>
      </c>
      <c r="I3" t="s">
        <v>69</v>
      </c>
      <c r="J3">
        <v>111263599000</v>
      </c>
      <c r="K3">
        <v>15.99</v>
      </c>
      <c r="L3">
        <v>1.54</v>
      </c>
      <c r="M3" t="s">
        <v>240</v>
      </c>
      <c r="N3" t="s">
        <v>439</v>
      </c>
      <c r="O3" t="s">
        <v>440</v>
      </c>
      <c r="P3" t="s">
        <v>441</v>
      </c>
      <c r="Q3">
        <v>-37.159999999999997</v>
      </c>
      <c r="R3" t="s">
        <v>442</v>
      </c>
      <c r="S3">
        <v>1051220680</v>
      </c>
      <c r="T3" s="4">
        <v>-0.68610000000000004</v>
      </c>
      <c r="U3" t="s">
        <v>443</v>
      </c>
      <c r="V3">
        <v>5049762500</v>
      </c>
      <c r="W3">
        <v>8726556800</v>
      </c>
      <c r="X3">
        <v>2.63</v>
      </c>
      <c r="Y3">
        <v>0.15</v>
      </c>
      <c r="Z3">
        <v>3.19</v>
      </c>
      <c r="AA3" t="s">
        <v>444</v>
      </c>
      <c r="AB3" t="s">
        <v>445</v>
      </c>
      <c r="AC3" t="s">
        <v>200</v>
      </c>
      <c r="AD3" t="s">
        <v>187</v>
      </c>
      <c r="AE3" t="s">
        <v>488</v>
      </c>
      <c r="AF3">
        <v>-155514350</v>
      </c>
      <c r="AG3" t="s">
        <v>489</v>
      </c>
      <c r="AH3" t="s">
        <v>490</v>
      </c>
      <c r="AI3" t="s">
        <v>491</v>
      </c>
      <c r="AJ3" t="s">
        <v>492</v>
      </c>
      <c r="AK3" t="s">
        <v>493</v>
      </c>
      <c r="AL3" t="s">
        <v>494</v>
      </c>
      <c r="AM3" t="s">
        <v>495</v>
      </c>
      <c r="AN3" t="s">
        <v>7</v>
      </c>
      <c r="AO3" t="s">
        <v>496</v>
      </c>
      <c r="AP3" t="s">
        <v>497</v>
      </c>
      <c r="AQ3" t="s">
        <v>498</v>
      </c>
      <c r="AR3" t="s">
        <v>499</v>
      </c>
      <c r="AS3" t="s">
        <v>7</v>
      </c>
      <c r="AT3" t="s">
        <v>500</v>
      </c>
      <c r="AU3" t="s">
        <v>501</v>
      </c>
      <c r="AV3" t="s">
        <v>502</v>
      </c>
      <c r="AW3" t="s">
        <v>503</v>
      </c>
      <c r="AX3" t="s">
        <v>504</v>
      </c>
      <c r="AY3" t="s">
        <v>505</v>
      </c>
      <c r="AZ3" t="s">
        <v>339</v>
      </c>
      <c r="BA3" t="s">
        <v>340</v>
      </c>
      <c r="BB3" t="s">
        <v>341</v>
      </c>
      <c r="BC3" t="s">
        <v>342</v>
      </c>
      <c r="BD3" t="s">
        <v>506</v>
      </c>
      <c r="BE3" t="s">
        <v>343</v>
      </c>
      <c r="BF3" t="s">
        <v>344</v>
      </c>
      <c r="BG3" t="s">
        <v>262</v>
      </c>
      <c r="BH3" t="s">
        <v>345</v>
      </c>
      <c r="BI3" t="s">
        <v>507</v>
      </c>
      <c r="BJ3" t="s">
        <v>508</v>
      </c>
      <c r="BK3" t="s">
        <v>505</v>
      </c>
      <c r="BL3" t="s">
        <v>443</v>
      </c>
      <c r="BM3" t="s">
        <v>199</v>
      </c>
      <c r="BN3" t="s">
        <v>506</v>
      </c>
      <c r="BO3">
        <v>6.78</v>
      </c>
      <c r="BP3">
        <v>7.56</v>
      </c>
      <c r="BQ3">
        <v>8.44</v>
      </c>
      <c r="BR3">
        <v>9.44</v>
      </c>
      <c r="BS3">
        <v>14.81</v>
      </c>
      <c r="BT3">
        <v>19.190000000000001</v>
      </c>
      <c r="BU3">
        <v>21.34</v>
      </c>
      <c r="BV3">
        <v>22.73</v>
      </c>
      <c r="BW3">
        <v>19.46</v>
      </c>
      <c r="BX3">
        <v>19.309999999999999</v>
      </c>
      <c r="BY3">
        <v>21.8</v>
      </c>
      <c r="BZ3">
        <v>5.68</v>
      </c>
      <c r="CA3">
        <v>5.71</v>
      </c>
      <c r="CB3">
        <v>6.83</v>
      </c>
      <c r="CC3">
        <v>5.63</v>
      </c>
      <c r="CD3">
        <v>17.510000000000002</v>
      </c>
      <c r="CE3" t="s">
        <v>243</v>
      </c>
      <c r="CF3" t="s">
        <v>251</v>
      </c>
      <c r="CG3" s="23">
        <v>-0.37162871862292474</v>
      </c>
      <c r="CH3" s="24">
        <v>-0.68610908330845033</v>
      </c>
      <c r="CI3" s="23">
        <v>3.1730256974697113E-2</v>
      </c>
      <c r="CJ3" s="23">
        <v>0.13149155676364899</v>
      </c>
      <c r="CK3" s="23">
        <v>9.4847284257411957E-2</v>
      </c>
      <c r="CL3" s="23">
        <v>5.071614682674408E-2</v>
      </c>
      <c r="CM3" s="23">
        <v>0.6265561580657959</v>
      </c>
      <c r="CN3" s="24">
        <v>2.8174424078315496E-3</v>
      </c>
      <c r="CO3" s="24">
        <v>1.3509038835763931E-2</v>
      </c>
      <c r="CP3" s="24">
        <v>5.1628619432449341E-2</v>
      </c>
      <c r="CQ3" s="24">
        <v>0.27173912525177002</v>
      </c>
      <c r="CR3" s="24">
        <v>1.7890210151672363</v>
      </c>
      <c r="CS3">
        <v>0.54662093953269009</v>
      </c>
      <c r="CT3">
        <v>9696888.1564728767</v>
      </c>
      <c r="CU3">
        <v>1.2584549999999999</v>
      </c>
      <c r="CV3" s="23">
        <v>0.18706828057765962</v>
      </c>
      <c r="CW3" s="24">
        <v>0.42574304821901021</v>
      </c>
      <c r="CX3">
        <v>0.06</v>
      </c>
      <c r="CY3">
        <v>17.154099878322167</v>
      </c>
      <c r="CZ3">
        <v>10363330064.590246</v>
      </c>
      <c r="DA3">
        <v>0.18706828057765962</v>
      </c>
      <c r="DB3">
        <v>5.1682561506876397</v>
      </c>
      <c r="DC3">
        <v>34397211325.593277</v>
      </c>
      <c r="DD3">
        <v>0.17771486654877663</v>
      </c>
      <c r="DE3">
        <v>2.2736105204694659</v>
      </c>
      <c r="DF3">
        <v>78189996659.274994</v>
      </c>
      <c r="DG3">
        <v>0.16462008690834046</v>
      </c>
      <c r="DH3">
        <v>1.1963395172392406</v>
      </c>
      <c r="DI3">
        <v>148597949359.93018</v>
      </c>
      <c r="DJ3">
        <v>0.14965462446212771</v>
      </c>
      <c r="DK3">
        <v>0.45413078452477801</v>
      </c>
      <c r="DL3">
        <v>391459035718.15759</v>
      </c>
      <c r="DM3">
        <v>0.13094779640436172</v>
      </c>
      <c r="DN3">
        <v>9254000000</v>
      </c>
      <c r="DO3">
        <v>0.18706828057765962</v>
      </c>
      <c r="DP3">
        <v>177773599000</v>
      </c>
      <c r="DQ3">
        <v>46339450000</v>
      </c>
      <c r="DR3">
        <v>71</v>
      </c>
      <c r="DS3">
        <v>-0.55869699920058435</v>
      </c>
      <c r="DT3">
        <v>-1.1118521315274605</v>
      </c>
      <c r="DU3" s="25">
        <v>-2.0000000000000018E-2</v>
      </c>
      <c r="DV3">
        <v>-0.12333333333333336</v>
      </c>
      <c r="DW3">
        <v>-0.14333333333333337</v>
      </c>
      <c r="DX3">
        <v>8.3215305539691613</v>
      </c>
      <c r="DY3">
        <v>0.5027674190382736</v>
      </c>
      <c r="DZ3">
        <v>8.071626531649656</v>
      </c>
      <c r="EA3">
        <v>3188</v>
      </c>
      <c r="EB3">
        <v>8.0232380207577076</v>
      </c>
      <c r="EC3">
        <v>8</v>
      </c>
      <c r="ED3">
        <v>5.2025101125795684E-2</v>
      </c>
      <c r="EE3">
        <v>0.23353999139729428</v>
      </c>
      <c r="EF3" s="22">
        <v>1.3700000000000018E-2</v>
      </c>
      <c r="EG3">
        <v>6.7000000000000011E-3</v>
      </c>
      <c r="EH3">
        <v>28.222767419038274</v>
      </c>
      <c r="EI3" t="s">
        <v>378</v>
      </c>
      <c r="EJ3">
        <v>0</v>
      </c>
      <c r="EK3">
        <v>0</v>
      </c>
    </row>
    <row r="4" spans="1:141" ht="151.19999999999999" x14ac:dyDescent="0.25">
      <c r="A4" s="32" t="s">
        <v>828</v>
      </c>
      <c r="B4" s="3" t="s">
        <v>2413</v>
      </c>
      <c r="C4" s="3" t="s">
        <v>2414</v>
      </c>
      <c r="D4" s="3" t="s">
        <v>2415</v>
      </c>
      <c r="E4" t="s">
        <v>329</v>
      </c>
      <c r="F4" t="s">
        <v>330</v>
      </c>
      <c r="G4">
        <v>12.02</v>
      </c>
      <c r="H4">
        <v>1.95</v>
      </c>
      <c r="I4" t="s">
        <v>21</v>
      </c>
      <c r="J4">
        <v>51328658000</v>
      </c>
      <c r="K4">
        <v>19.190000000000001</v>
      </c>
      <c r="L4">
        <v>3.96</v>
      </c>
      <c r="M4" t="s">
        <v>331</v>
      </c>
      <c r="N4" t="s">
        <v>2240</v>
      </c>
      <c r="O4" t="s">
        <v>2241</v>
      </c>
      <c r="P4" t="s">
        <v>2242</v>
      </c>
      <c r="Q4">
        <v>50.01</v>
      </c>
      <c r="R4" t="s">
        <v>447</v>
      </c>
      <c r="S4">
        <v>1359276800</v>
      </c>
      <c r="T4" s="4">
        <v>8.6300000000000002E-2</v>
      </c>
      <c r="U4" t="s">
        <v>448</v>
      </c>
      <c r="V4">
        <v>3970694000</v>
      </c>
      <c r="W4">
        <v>4270271000</v>
      </c>
      <c r="X4">
        <v>2.15</v>
      </c>
      <c r="Y4">
        <v>0.43</v>
      </c>
      <c r="Z4">
        <v>10.85</v>
      </c>
      <c r="AA4" t="s">
        <v>2243</v>
      </c>
      <c r="AB4" t="s">
        <v>2244</v>
      </c>
      <c r="AC4" t="s">
        <v>2245</v>
      </c>
      <c r="AD4" t="s">
        <v>2246</v>
      </c>
      <c r="AE4" t="s">
        <v>2247</v>
      </c>
      <c r="AF4">
        <v>136373180</v>
      </c>
      <c r="AG4" t="s">
        <v>2248</v>
      </c>
      <c r="AH4" t="s">
        <v>2249</v>
      </c>
      <c r="AI4" t="s">
        <v>2250</v>
      </c>
      <c r="AJ4" t="s">
        <v>2251</v>
      </c>
      <c r="AK4" t="s">
        <v>2252</v>
      </c>
      <c r="AL4" t="s">
        <v>2253</v>
      </c>
      <c r="AM4" t="s">
        <v>2254</v>
      </c>
      <c r="AN4" t="s">
        <v>2255</v>
      </c>
      <c r="AO4" t="s">
        <v>2256</v>
      </c>
      <c r="AP4" t="s">
        <v>2257</v>
      </c>
      <c r="AQ4" t="s">
        <v>2258</v>
      </c>
      <c r="AR4" t="s">
        <v>2259</v>
      </c>
      <c r="AS4" t="s">
        <v>7</v>
      </c>
      <c r="AT4" t="s">
        <v>2260</v>
      </c>
      <c r="AU4" t="s">
        <v>2261</v>
      </c>
      <c r="AV4" t="s">
        <v>2262</v>
      </c>
      <c r="AW4" t="s">
        <v>2263</v>
      </c>
      <c r="AX4" t="s">
        <v>2264</v>
      </c>
      <c r="AY4" t="s">
        <v>332</v>
      </c>
      <c r="AZ4" t="s">
        <v>333</v>
      </c>
      <c r="BA4" t="s">
        <v>334</v>
      </c>
      <c r="BB4" t="s">
        <v>335</v>
      </c>
      <c r="BC4" t="s">
        <v>336</v>
      </c>
      <c r="BD4" t="s">
        <v>198</v>
      </c>
      <c r="BE4" t="s">
        <v>244</v>
      </c>
      <c r="BF4" t="s">
        <v>265</v>
      </c>
      <c r="BG4" t="s">
        <v>118</v>
      </c>
      <c r="BH4" t="s">
        <v>247</v>
      </c>
      <c r="BI4" t="s">
        <v>2265</v>
      </c>
      <c r="BJ4" t="s">
        <v>2266</v>
      </c>
      <c r="BK4" t="s">
        <v>525</v>
      </c>
      <c r="BL4" t="s">
        <v>514</v>
      </c>
      <c r="BM4" t="s">
        <v>2267</v>
      </c>
      <c r="BN4" t="s">
        <v>109</v>
      </c>
      <c r="BO4">
        <v>3.42</v>
      </c>
      <c r="BP4">
        <v>13.89</v>
      </c>
      <c r="BQ4">
        <v>4.49</v>
      </c>
      <c r="BR4">
        <v>7.36</v>
      </c>
      <c r="BS4">
        <v>21.85</v>
      </c>
      <c r="BT4">
        <v>8.27</v>
      </c>
      <c r="BU4">
        <v>12.59</v>
      </c>
      <c r="BV4" t="s">
        <v>2268</v>
      </c>
      <c r="BW4">
        <v>24.03</v>
      </c>
      <c r="BX4">
        <v>21.32</v>
      </c>
      <c r="BY4">
        <v>23.54</v>
      </c>
      <c r="BZ4">
        <v>11.85</v>
      </c>
      <c r="CA4">
        <v>6.7</v>
      </c>
      <c r="CB4">
        <v>7.68</v>
      </c>
      <c r="CC4">
        <v>8.7799999999999994</v>
      </c>
      <c r="CD4">
        <v>6.75</v>
      </c>
      <c r="CE4" t="s">
        <v>2269</v>
      </c>
      <c r="CF4" t="s">
        <v>2270</v>
      </c>
      <c r="CG4" s="23">
        <v>0.39762404520654715</v>
      </c>
      <c r="CH4" s="24">
        <v>0.11464404567699837</v>
      </c>
      <c r="CI4" s="23">
        <v>0.65716946125030518</v>
      </c>
      <c r="CJ4" s="23">
        <v>-8.828958123922348E-2</v>
      </c>
      <c r="CK4" s="23">
        <v>-6.9782756268978119E-2</v>
      </c>
      <c r="CL4" s="23">
        <v>0.23770220577716827</v>
      </c>
      <c r="CM4" s="23">
        <v>0.7212376594543457</v>
      </c>
      <c r="CN4" s="24">
        <v>2.6935250759124756</v>
      </c>
      <c r="CO4" s="24">
        <v>-0.27301254868507385</v>
      </c>
      <c r="CP4" s="24">
        <v>-0.46800220012664795</v>
      </c>
      <c r="CQ4" s="24">
        <v>0.71469461917877197</v>
      </c>
      <c r="CR4" s="24">
        <v>0.54117649793624878</v>
      </c>
      <c r="CS4">
        <v>2.4111545471627207</v>
      </c>
      <c r="CT4">
        <v>26218718.737826258</v>
      </c>
      <c r="CU4">
        <v>10.030825</v>
      </c>
      <c r="CV4" s="23">
        <v>0.2916073977947235</v>
      </c>
      <c r="CW4" s="24">
        <v>0.64167628884315486</v>
      </c>
      <c r="CX4">
        <v>0.06</v>
      </c>
      <c r="CY4">
        <v>17.157820352793994</v>
      </c>
      <c r="CZ4">
        <v>3127883198.2443919</v>
      </c>
      <c r="DA4">
        <v>0.2916073977947235</v>
      </c>
      <c r="DB4">
        <v>4.7464500161178504</v>
      </c>
      <c r="DC4">
        <v>11306904700.935858</v>
      </c>
      <c r="DD4">
        <v>0.27702702790498729</v>
      </c>
      <c r="DE4">
        <v>1.8421429237701803</v>
      </c>
      <c r="DF4">
        <v>29133275875.338867</v>
      </c>
      <c r="DG4">
        <v>0.2566145100593567</v>
      </c>
      <c r="DH4">
        <v>0.82853737080156187</v>
      </c>
      <c r="DI4">
        <v>64773973862.011383</v>
      </c>
      <c r="DJ4">
        <v>0.23328591823577882</v>
      </c>
      <c r="DK4">
        <v>0.21201108669297489</v>
      </c>
      <c r="DL4">
        <v>253136092254.07697</v>
      </c>
      <c r="DM4">
        <v>0.20412517845630643</v>
      </c>
      <c r="DN4">
        <v>2567000000</v>
      </c>
      <c r="DO4">
        <v>0.2916073977947235</v>
      </c>
      <c r="DP4">
        <v>53667658000</v>
      </c>
      <c r="DQ4">
        <v>-2102176900</v>
      </c>
      <c r="DR4">
        <v>259</v>
      </c>
      <c r="DS4">
        <v>0.20857307850273771</v>
      </c>
      <c r="DT4">
        <v>-0.55512409060174794</v>
      </c>
      <c r="DU4" s="25">
        <v>0.87</v>
      </c>
      <c r="DV4">
        <v>0.34999999999999992</v>
      </c>
      <c r="DW4">
        <v>1.22</v>
      </c>
      <c r="DX4">
        <v>5.7687927107061503</v>
      </c>
      <c r="DY4">
        <v>0.85636363636363599</v>
      </c>
      <c r="DZ4">
        <v>5.2585939117829783</v>
      </c>
      <c r="EA4">
        <v>893</v>
      </c>
      <c r="EB4">
        <v>5.2105447309210975</v>
      </c>
      <c r="EC4">
        <v>5</v>
      </c>
      <c r="ED4">
        <v>0.16462655414609517</v>
      </c>
      <c r="EE4">
        <v>0.48943029611001265</v>
      </c>
      <c r="EF4" s="22">
        <v>4.0544000000000002</v>
      </c>
      <c r="EG4">
        <v>4.0739000000000001</v>
      </c>
      <c r="EH4">
        <v>52.336363636363636</v>
      </c>
      <c r="EI4" t="s">
        <v>1156</v>
      </c>
      <c r="EJ4">
        <v>1</v>
      </c>
      <c r="EK4">
        <v>1</v>
      </c>
    </row>
    <row r="5" spans="1:141" x14ac:dyDescent="0.25">
      <c r="A5" s="32" t="s">
        <v>815</v>
      </c>
      <c r="B5" s="3"/>
      <c r="C5" s="3"/>
      <c r="D5" s="3"/>
      <c r="E5" t="s">
        <v>816</v>
      </c>
      <c r="F5" t="s">
        <v>817</v>
      </c>
      <c r="G5">
        <v>9.68</v>
      </c>
      <c r="H5">
        <v>3.53</v>
      </c>
      <c r="I5" t="s">
        <v>832</v>
      </c>
      <c r="J5">
        <v>7219709900</v>
      </c>
      <c r="K5">
        <v>24.21</v>
      </c>
      <c r="L5">
        <v>1.55</v>
      </c>
      <c r="M5" t="s">
        <v>276</v>
      </c>
      <c r="N5" t="s">
        <v>833</v>
      </c>
      <c r="O5" t="s">
        <v>834</v>
      </c>
      <c r="P5" t="s">
        <v>835</v>
      </c>
      <c r="Q5">
        <v>13.01</v>
      </c>
      <c r="R5" t="s">
        <v>836</v>
      </c>
      <c r="S5">
        <v>49673214</v>
      </c>
      <c r="T5" s="4">
        <v>-0.05</v>
      </c>
      <c r="U5" t="s">
        <v>722</v>
      </c>
      <c r="V5">
        <v>745821470</v>
      </c>
      <c r="W5">
        <v>745837800</v>
      </c>
      <c r="X5">
        <v>1.9</v>
      </c>
      <c r="Y5">
        <v>0.13</v>
      </c>
      <c r="Z5">
        <v>3.88</v>
      </c>
      <c r="AA5" t="s">
        <v>837</v>
      </c>
      <c r="AB5" t="s">
        <v>838</v>
      </c>
      <c r="AC5" t="s">
        <v>93</v>
      </c>
      <c r="AD5" t="s">
        <v>839</v>
      </c>
      <c r="AE5" t="s">
        <v>840</v>
      </c>
      <c r="AF5">
        <v>3569171</v>
      </c>
      <c r="AG5" t="s">
        <v>841</v>
      </c>
      <c r="AH5" t="s">
        <v>842</v>
      </c>
      <c r="AI5" t="s">
        <v>843</v>
      </c>
      <c r="AJ5" t="s">
        <v>844</v>
      </c>
      <c r="AK5" t="s">
        <v>845</v>
      </c>
      <c r="AL5" t="s">
        <v>28</v>
      </c>
      <c r="AM5" t="s">
        <v>846</v>
      </c>
      <c r="AN5" t="s">
        <v>7</v>
      </c>
      <c r="AO5" t="s">
        <v>847</v>
      </c>
      <c r="AP5" t="s">
        <v>848</v>
      </c>
      <c r="AQ5" t="s">
        <v>849</v>
      </c>
      <c r="AR5" t="s">
        <v>850</v>
      </c>
      <c r="AS5" t="s">
        <v>7</v>
      </c>
      <c r="AT5" t="s">
        <v>851</v>
      </c>
      <c r="AU5" t="s">
        <v>852</v>
      </c>
      <c r="AV5" t="s">
        <v>853</v>
      </c>
      <c r="AW5" t="s">
        <v>854</v>
      </c>
      <c r="AX5" t="s">
        <v>855</v>
      </c>
      <c r="AY5" t="s">
        <v>296</v>
      </c>
      <c r="AZ5" t="s">
        <v>856</v>
      </c>
      <c r="BA5" t="s">
        <v>857</v>
      </c>
      <c r="BB5" t="s">
        <v>858</v>
      </c>
      <c r="BC5" t="s">
        <v>859</v>
      </c>
      <c r="BD5" t="s">
        <v>54</v>
      </c>
      <c r="BE5" t="s">
        <v>80</v>
      </c>
      <c r="BF5" t="s">
        <v>860</v>
      </c>
      <c r="BG5" t="s">
        <v>861</v>
      </c>
      <c r="BH5" t="s">
        <v>862</v>
      </c>
      <c r="BI5" t="s">
        <v>863</v>
      </c>
      <c r="BJ5" t="s">
        <v>864</v>
      </c>
      <c r="BK5" t="s">
        <v>296</v>
      </c>
      <c r="BL5" t="s">
        <v>722</v>
      </c>
      <c r="BM5" t="s">
        <v>865</v>
      </c>
      <c r="BN5" t="s">
        <v>54</v>
      </c>
      <c r="BO5">
        <v>4.3600000000000003</v>
      </c>
      <c r="BP5">
        <v>3.8</v>
      </c>
      <c r="BQ5">
        <v>9.7899999999999991</v>
      </c>
      <c r="BR5">
        <v>7.17</v>
      </c>
      <c r="BS5">
        <v>6.55</v>
      </c>
      <c r="BT5">
        <v>5.69</v>
      </c>
      <c r="BU5">
        <v>14.47</v>
      </c>
      <c r="BV5">
        <v>10.16</v>
      </c>
      <c r="BW5">
        <v>21.96</v>
      </c>
      <c r="BX5">
        <v>26.41</v>
      </c>
      <c r="BY5">
        <v>29.55</v>
      </c>
      <c r="BZ5">
        <v>5.83</v>
      </c>
      <c r="CA5">
        <v>5.75</v>
      </c>
      <c r="CB5">
        <v>12.27</v>
      </c>
      <c r="CC5">
        <v>-2.71</v>
      </c>
      <c r="CD5">
        <v>15.79</v>
      </c>
      <c r="CE5" t="s">
        <v>866</v>
      </c>
      <c r="CF5" t="s">
        <v>867</v>
      </c>
      <c r="CG5" s="23">
        <v>0.12986277628032344</v>
      </c>
      <c r="CH5" s="24">
        <v>-5.0027367080328407E-2</v>
      </c>
      <c r="CI5" s="23">
        <v>0.33110782504081726</v>
      </c>
      <c r="CJ5" s="23">
        <v>5.8361701667308807E-2</v>
      </c>
      <c r="CK5" s="23">
        <v>5.9622794389724731E-2</v>
      </c>
      <c r="CL5" s="23">
        <v>4.4611856341362E-2</v>
      </c>
      <c r="CM5" s="23">
        <v>0.12442991882562637</v>
      </c>
      <c r="CN5" s="24">
        <v>0.34977579116821289</v>
      </c>
      <c r="CO5" s="24">
        <v>-0.50989013910293579</v>
      </c>
      <c r="CP5" s="24">
        <v>0.61347520351409912</v>
      </c>
      <c r="CQ5" s="24">
        <v>-0.10191082954406738</v>
      </c>
      <c r="CR5" s="24">
        <v>2.6143791154026985E-2</v>
      </c>
      <c r="CS5">
        <v>1.3412056288315066</v>
      </c>
      <c r="CT5">
        <v>10711947.176079733</v>
      </c>
      <c r="CU5">
        <v>0.95835999999999999</v>
      </c>
      <c r="CV5" s="23">
        <v>0.12362681925296784</v>
      </c>
      <c r="CW5" s="24">
        <v>7.5518763437867162E-2</v>
      </c>
      <c r="CX5">
        <v>0.06</v>
      </c>
      <c r="CY5">
        <v>21.154481272337794</v>
      </c>
      <c r="CZ5">
        <v>319067615.65579557</v>
      </c>
      <c r="DA5">
        <v>0.12362681925296784</v>
      </c>
      <c r="DB5">
        <v>6.7197524839323561</v>
      </c>
      <c r="DC5">
        <v>1004458113.0241442</v>
      </c>
      <c r="DD5">
        <v>0.11744547829031944</v>
      </c>
      <c r="DE5">
        <v>3.1833274284090534</v>
      </c>
      <c r="DF5">
        <v>2120331650.3867574</v>
      </c>
      <c r="DG5">
        <v>0.1087916009426117</v>
      </c>
      <c r="DH5">
        <v>1.8293766083798673</v>
      </c>
      <c r="DI5">
        <v>3689622939.9028335</v>
      </c>
      <c r="DJ5">
        <v>9.8901455402374272E-2</v>
      </c>
      <c r="DK5">
        <v>0.85608965135898829</v>
      </c>
      <c r="DL5">
        <v>7884349366.0801315</v>
      </c>
      <c r="DM5">
        <v>8.6538773477077488E-2</v>
      </c>
      <c r="DN5">
        <v>301000000</v>
      </c>
      <c r="DO5">
        <v>0.12362681925296784</v>
      </c>
      <c r="DP5">
        <v>6749709900</v>
      </c>
      <c r="DQ5">
        <v>1832121100.0000005</v>
      </c>
      <c r="DR5">
        <v>314</v>
      </c>
      <c r="DS5">
        <v>6.2359570273556042E-3</v>
      </c>
      <c r="DT5">
        <v>-0.12554613051819558</v>
      </c>
      <c r="DU5" s="25">
        <v>0.16666666666666666</v>
      </c>
      <c r="DV5">
        <v>0.28333333333333338</v>
      </c>
      <c r="DW5">
        <v>0.45000000000000007</v>
      </c>
      <c r="DX5">
        <v>-6.1464864864864861</v>
      </c>
      <c r="DY5">
        <v>0.43180524475524451</v>
      </c>
      <c r="DZ5">
        <v>-6.0251671466641463</v>
      </c>
      <c r="EA5">
        <v>2216</v>
      </c>
      <c r="EB5">
        <v>-6.0133463757850132</v>
      </c>
      <c r="EC5">
        <v>6</v>
      </c>
      <c r="ED5">
        <v>6.5880678077726823E-2</v>
      </c>
      <c r="EE5">
        <v>0.38346139066697882</v>
      </c>
      <c r="EF5" s="22">
        <v>-1.0199100000000001</v>
      </c>
      <c r="EG5">
        <v>-1.0154000000000001</v>
      </c>
      <c r="EH5">
        <v>26.171805244755245</v>
      </c>
      <c r="EI5" t="s">
        <v>380</v>
      </c>
      <c r="EJ5">
        <v>0</v>
      </c>
      <c r="EK5">
        <v>0</v>
      </c>
    </row>
    <row r="6" spans="1:141" x14ac:dyDescent="0.25">
      <c r="A6" s="32" t="s">
        <v>815</v>
      </c>
      <c r="B6" s="3"/>
      <c r="C6" s="3"/>
      <c r="D6" s="3"/>
      <c r="E6" t="s">
        <v>818</v>
      </c>
      <c r="F6" t="s">
        <v>819</v>
      </c>
      <c r="G6">
        <v>17.28</v>
      </c>
      <c r="H6">
        <v>1.17</v>
      </c>
      <c r="I6" t="s">
        <v>868</v>
      </c>
      <c r="J6">
        <v>9240033100</v>
      </c>
      <c r="K6">
        <v>18.34</v>
      </c>
      <c r="L6">
        <v>3.45</v>
      </c>
      <c r="M6" t="s">
        <v>276</v>
      </c>
      <c r="N6" t="s">
        <v>869</v>
      </c>
      <c r="O6" t="s">
        <v>870</v>
      </c>
      <c r="P6" t="s">
        <v>871</v>
      </c>
      <c r="Q6">
        <v>2.67</v>
      </c>
      <c r="R6" t="s">
        <v>298</v>
      </c>
      <c r="S6">
        <v>91170776</v>
      </c>
      <c r="T6" s="4">
        <v>0.22670000000000001</v>
      </c>
      <c r="U6" t="s">
        <v>872</v>
      </c>
      <c r="V6">
        <v>533372850</v>
      </c>
      <c r="W6">
        <v>534724140</v>
      </c>
      <c r="X6">
        <v>1.76</v>
      </c>
      <c r="Y6">
        <v>0.13</v>
      </c>
      <c r="Z6">
        <v>15.35</v>
      </c>
      <c r="AA6" t="s">
        <v>873</v>
      </c>
      <c r="AB6" t="s">
        <v>874</v>
      </c>
      <c r="AC6" t="s">
        <v>875</v>
      </c>
      <c r="AD6" t="s">
        <v>876</v>
      </c>
      <c r="AE6" t="s">
        <v>877</v>
      </c>
      <c r="AF6">
        <v>-6316149</v>
      </c>
      <c r="AG6" t="s">
        <v>878</v>
      </c>
      <c r="AH6">
        <v>3780.65</v>
      </c>
      <c r="AI6" t="s">
        <v>879</v>
      </c>
      <c r="AJ6" t="s">
        <v>880</v>
      </c>
      <c r="AK6" t="s">
        <v>881</v>
      </c>
      <c r="AL6" t="s">
        <v>882</v>
      </c>
      <c r="AM6" t="s">
        <v>883</v>
      </c>
      <c r="AN6" t="s">
        <v>7</v>
      </c>
      <c r="AO6" t="s">
        <v>884</v>
      </c>
      <c r="AP6" t="s">
        <v>885</v>
      </c>
      <c r="AQ6" t="s">
        <v>886</v>
      </c>
      <c r="AR6" t="s">
        <v>887</v>
      </c>
      <c r="AS6" t="s">
        <v>888</v>
      </c>
      <c r="AT6" t="s">
        <v>889</v>
      </c>
      <c r="AU6" t="s">
        <v>890</v>
      </c>
      <c r="AV6" t="s">
        <v>891</v>
      </c>
      <c r="AW6" t="s">
        <v>892</v>
      </c>
      <c r="AX6" t="s">
        <v>893</v>
      </c>
      <c r="AY6" t="s">
        <v>894</v>
      </c>
      <c r="AZ6" t="s">
        <v>895</v>
      </c>
      <c r="BA6" t="s">
        <v>896</v>
      </c>
      <c r="BB6" t="s">
        <v>897</v>
      </c>
      <c r="BC6" t="s">
        <v>898</v>
      </c>
      <c r="BD6" t="s">
        <v>899</v>
      </c>
      <c r="BE6" t="s">
        <v>108</v>
      </c>
      <c r="BF6" t="s">
        <v>900</v>
      </c>
      <c r="BG6" t="s">
        <v>40</v>
      </c>
      <c r="BH6" t="s">
        <v>901</v>
      </c>
      <c r="BI6" t="s">
        <v>85</v>
      </c>
      <c r="BJ6" t="s">
        <v>902</v>
      </c>
      <c r="BK6" t="s">
        <v>894</v>
      </c>
      <c r="BL6" t="s">
        <v>872</v>
      </c>
      <c r="BM6" t="s">
        <v>903</v>
      </c>
      <c r="BN6" t="s">
        <v>899</v>
      </c>
      <c r="BO6">
        <v>13.87</v>
      </c>
      <c r="BP6">
        <v>11.95</v>
      </c>
      <c r="BQ6">
        <v>8.9499999999999993</v>
      </c>
      <c r="BR6">
        <v>7.92</v>
      </c>
      <c r="BS6">
        <v>19.97</v>
      </c>
      <c r="BT6">
        <v>16.86</v>
      </c>
      <c r="BU6">
        <v>12.65</v>
      </c>
      <c r="BV6">
        <v>11.23</v>
      </c>
      <c r="BW6">
        <v>34.83</v>
      </c>
      <c r="BX6">
        <v>36.020000000000003</v>
      </c>
      <c r="BY6">
        <v>34.56</v>
      </c>
      <c r="BZ6">
        <v>16.36</v>
      </c>
      <c r="CA6">
        <v>16.05</v>
      </c>
      <c r="CB6">
        <v>13.55</v>
      </c>
      <c r="CC6">
        <v>-2.7</v>
      </c>
      <c r="CD6">
        <v>26.13</v>
      </c>
      <c r="CE6" t="s">
        <v>904</v>
      </c>
      <c r="CF6" t="s">
        <v>72</v>
      </c>
      <c r="CG6" s="23">
        <v>2.723763385146805E-2</v>
      </c>
      <c r="CH6" s="24">
        <v>0.22667330430711108</v>
      </c>
      <c r="CI6" s="23">
        <v>0.31205981969833374</v>
      </c>
      <c r="CJ6" s="23">
        <v>0.25733256340026855</v>
      </c>
      <c r="CK6" s="23">
        <v>4.3302576988935471E-2</v>
      </c>
      <c r="CL6" s="23">
        <v>7.9800501465797424E-2</v>
      </c>
      <c r="CM6" s="23">
        <v>0.28731942176818848</v>
      </c>
      <c r="CN6" s="24">
        <v>0.3415977954864502</v>
      </c>
      <c r="CO6" s="24">
        <v>0.47560974955558777</v>
      </c>
      <c r="CP6" s="24">
        <v>0.21182265877723694</v>
      </c>
      <c r="CQ6" s="24">
        <v>-0.10572687536478043</v>
      </c>
      <c r="CR6" s="24">
        <v>9.6618354320526123E-2</v>
      </c>
      <c r="CS6">
        <v>3.099642099966454</v>
      </c>
      <c r="CT6">
        <v>16038591.786447639</v>
      </c>
      <c r="CU6">
        <v>3.5120800000000001</v>
      </c>
      <c r="CV6" s="23">
        <v>0.19596297666430473</v>
      </c>
      <c r="CW6" s="24">
        <v>0.20398433655500411</v>
      </c>
      <c r="CX6">
        <v>0.06</v>
      </c>
      <c r="CY6">
        <v>15.627960525201058</v>
      </c>
      <c r="CZ6">
        <v>549466009.09010971</v>
      </c>
      <c r="DA6">
        <v>0.19596297666430473</v>
      </c>
      <c r="DB6">
        <v>4.6739679961887735</v>
      </c>
      <c r="DC6">
        <v>1837204085.9077344</v>
      </c>
      <c r="DD6">
        <v>0.18616482783108948</v>
      </c>
      <c r="DE6">
        <v>2.0346437479806903</v>
      </c>
      <c r="DF6">
        <v>4220411120.3852358</v>
      </c>
      <c r="DG6">
        <v>0.17244741946458816</v>
      </c>
      <c r="DH6">
        <v>1.0569412169501493</v>
      </c>
      <c r="DI6">
        <v>8124418806.1643238</v>
      </c>
      <c r="DJ6">
        <v>0.1567703813314438</v>
      </c>
      <c r="DK6">
        <v>0.38879781510000722</v>
      </c>
      <c r="DL6">
        <v>22086114598.641018</v>
      </c>
      <c r="DM6">
        <v>0.1371740836650133</v>
      </c>
      <c r="DN6">
        <v>487000000</v>
      </c>
      <c r="DO6">
        <v>0.19596297666430473</v>
      </c>
      <c r="DP6">
        <v>8587033100</v>
      </c>
      <c r="DQ6">
        <v>1506220200</v>
      </c>
      <c r="DR6">
        <v>637</v>
      </c>
      <c r="DS6">
        <v>-0.16872534281283669</v>
      </c>
      <c r="DT6">
        <v>2.2688967752106964E-2</v>
      </c>
      <c r="DU6" s="25">
        <v>0.41666666666666669</v>
      </c>
      <c r="DV6">
        <v>0.67</v>
      </c>
      <c r="DW6">
        <v>1.0866666666666667</v>
      </c>
      <c r="DX6">
        <v>-6.0936524453694068</v>
      </c>
      <c r="DY6">
        <v>0.47551401273885374</v>
      </c>
      <c r="DZ6">
        <v>-6.0220564632117553</v>
      </c>
      <c r="EA6">
        <v>1156</v>
      </c>
      <c r="EB6">
        <v>-6.0166522089784387</v>
      </c>
      <c r="EC6">
        <v>6</v>
      </c>
      <c r="ED6">
        <v>6.914911303611615E-2</v>
      </c>
      <c r="EE6">
        <v>0.29360933658241051</v>
      </c>
      <c r="EF6" s="22">
        <v>1.0771999999999999</v>
      </c>
      <c r="EG6">
        <v>1.0889</v>
      </c>
      <c r="EH6">
        <v>24.235514012738854</v>
      </c>
      <c r="EI6" t="s">
        <v>905</v>
      </c>
      <c r="EJ6">
        <v>0</v>
      </c>
      <c r="EK6">
        <v>1</v>
      </c>
    </row>
    <row r="7" spans="1:141" x14ac:dyDescent="0.25">
      <c r="A7" s="32" t="s">
        <v>828</v>
      </c>
      <c r="B7" s="26"/>
      <c r="C7" s="26"/>
      <c r="D7" s="26"/>
      <c r="E7" t="s">
        <v>634</v>
      </c>
      <c r="F7" t="s">
        <v>635</v>
      </c>
      <c r="G7">
        <v>6.54</v>
      </c>
      <c r="H7">
        <v>4.1399999999999997</v>
      </c>
      <c r="I7" t="s">
        <v>2160</v>
      </c>
      <c r="J7">
        <v>15518162000</v>
      </c>
      <c r="K7">
        <v>46.36</v>
      </c>
      <c r="L7">
        <v>1.84</v>
      </c>
      <c r="M7" t="s">
        <v>256</v>
      </c>
      <c r="N7" t="s">
        <v>2161</v>
      </c>
      <c r="O7" t="s">
        <v>2162</v>
      </c>
      <c r="P7" t="s">
        <v>2163</v>
      </c>
      <c r="Q7">
        <v>18.41</v>
      </c>
      <c r="R7" t="s">
        <v>646</v>
      </c>
      <c r="S7">
        <v>324035680</v>
      </c>
      <c r="T7" s="4">
        <v>0.35210000000000002</v>
      </c>
      <c r="U7" t="s">
        <v>647</v>
      </c>
      <c r="V7">
        <v>1730980700</v>
      </c>
      <c r="W7">
        <v>2372807700</v>
      </c>
      <c r="X7">
        <v>1.87</v>
      </c>
      <c r="Y7">
        <v>0.35</v>
      </c>
      <c r="Z7">
        <v>6.11</v>
      </c>
      <c r="AA7" t="s">
        <v>2164</v>
      </c>
      <c r="AB7" t="s">
        <v>2165</v>
      </c>
      <c r="AC7" t="s">
        <v>2166</v>
      </c>
      <c r="AD7" t="s">
        <v>2167</v>
      </c>
      <c r="AE7" t="s">
        <v>2168</v>
      </c>
      <c r="AF7">
        <v>-65188442</v>
      </c>
      <c r="AG7" t="s">
        <v>2169</v>
      </c>
      <c r="AH7" t="s">
        <v>2170</v>
      </c>
      <c r="AI7" t="s">
        <v>2171</v>
      </c>
      <c r="AJ7" t="s">
        <v>2172</v>
      </c>
      <c r="AK7" t="s">
        <v>2173</v>
      </c>
      <c r="AL7" t="s">
        <v>1248</v>
      </c>
      <c r="AM7" t="s">
        <v>2174</v>
      </c>
      <c r="AN7" t="s">
        <v>2175</v>
      </c>
      <c r="AO7" t="s">
        <v>2176</v>
      </c>
      <c r="AP7" t="s">
        <v>886</v>
      </c>
      <c r="AQ7" t="s">
        <v>7</v>
      </c>
      <c r="AR7" t="s">
        <v>2177</v>
      </c>
      <c r="AS7" t="s">
        <v>7</v>
      </c>
      <c r="AT7" t="s">
        <v>2178</v>
      </c>
      <c r="AU7" t="s">
        <v>2179</v>
      </c>
      <c r="AV7" t="s">
        <v>1948</v>
      </c>
      <c r="AW7" t="s">
        <v>2180</v>
      </c>
      <c r="AX7" t="s">
        <v>2181</v>
      </c>
      <c r="AY7" t="s">
        <v>651</v>
      </c>
      <c r="AZ7" t="s">
        <v>652</v>
      </c>
      <c r="BA7" t="s">
        <v>653</v>
      </c>
      <c r="BB7" t="s">
        <v>654</v>
      </c>
      <c r="BC7" t="s">
        <v>655</v>
      </c>
      <c r="BD7" t="s">
        <v>656</v>
      </c>
      <c r="BE7" t="s">
        <v>657</v>
      </c>
      <c r="BF7" t="s">
        <v>658</v>
      </c>
      <c r="BG7" t="s">
        <v>659</v>
      </c>
      <c r="BH7" t="s">
        <v>660</v>
      </c>
      <c r="BI7" t="s">
        <v>661</v>
      </c>
      <c r="BJ7" t="s">
        <v>2182</v>
      </c>
      <c r="BK7" t="s">
        <v>662</v>
      </c>
      <c r="BL7" t="s">
        <v>2183</v>
      </c>
      <c r="BM7" t="s">
        <v>2184</v>
      </c>
      <c r="BN7" t="s">
        <v>663</v>
      </c>
      <c r="BO7">
        <v>1.36</v>
      </c>
      <c r="BP7">
        <v>2.4900000000000002</v>
      </c>
      <c r="BQ7">
        <v>1.06</v>
      </c>
      <c r="BR7">
        <v>0.53</v>
      </c>
      <c r="BS7">
        <v>2.97</v>
      </c>
      <c r="BT7">
        <v>1.34</v>
      </c>
      <c r="BU7">
        <v>0.82</v>
      </c>
      <c r="BV7" t="s">
        <v>2185</v>
      </c>
      <c r="BW7">
        <v>17.899999999999999</v>
      </c>
      <c r="BX7">
        <v>22.24</v>
      </c>
      <c r="BY7">
        <v>19.78</v>
      </c>
      <c r="BZ7">
        <v>5.65</v>
      </c>
      <c r="CA7">
        <v>1.02</v>
      </c>
      <c r="CB7">
        <v>0.39</v>
      </c>
      <c r="CC7">
        <v>0.93</v>
      </c>
      <c r="CD7">
        <v>6.02</v>
      </c>
      <c r="CE7" t="s">
        <v>2186</v>
      </c>
      <c r="CF7" t="s">
        <v>889</v>
      </c>
      <c r="CG7" s="23">
        <v>0.18416137634408603</v>
      </c>
      <c r="CH7" s="24">
        <v>0.35014866666666666</v>
      </c>
      <c r="CI7" s="23">
        <v>0.28819450736045837</v>
      </c>
      <c r="CJ7" s="23">
        <v>-4.5421048998832703E-2</v>
      </c>
      <c r="CK7" s="23">
        <v>-5.6957658380270004E-2</v>
      </c>
      <c r="CL7" s="23">
        <v>3.8350317627191544E-3</v>
      </c>
      <c r="CM7" s="23">
        <v>0.26451131701469421</v>
      </c>
      <c r="CN7" s="24">
        <v>1.4271844625473022</v>
      </c>
      <c r="CO7" s="24">
        <v>0.92103970050811768</v>
      </c>
      <c r="CP7" s="24">
        <v>1.0225660800933838</v>
      </c>
      <c r="CQ7" s="24">
        <v>-6.6842103004455566</v>
      </c>
      <c r="CR7" s="24">
        <v>-0.17878192663192749</v>
      </c>
      <c r="CS7">
        <v>1.5491825895976838</v>
      </c>
      <c r="CT7">
        <v>107951860</v>
      </c>
      <c r="CU7">
        <v>3.9989949999999999</v>
      </c>
      <c r="CV7" s="23">
        <v>9.0832429751753804E-2</v>
      </c>
      <c r="CW7" s="24">
        <v>-0.69844039678573611</v>
      </c>
      <c r="CX7">
        <v>0.06</v>
      </c>
      <c r="CY7">
        <v>55.984223804106989</v>
      </c>
      <c r="CZ7">
        <v>257271799.46975327</v>
      </c>
      <c r="DA7">
        <v>9.0832429751753804E-2</v>
      </c>
      <c r="DB7">
        <v>18.282231839114537</v>
      </c>
      <c r="DC7">
        <v>787822959.84151506</v>
      </c>
      <c r="DD7">
        <v>8.6290808264166116E-2</v>
      </c>
      <c r="DE7">
        <v>8.9914375730751583</v>
      </c>
      <c r="DF7">
        <v>1601875326.7141886</v>
      </c>
      <c r="DG7">
        <v>7.9932538181543347E-2</v>
      </c>
      <c r="DH7">
        <v>5.3937729127193643</v>
      </c>
      <c r="DI7">
        <v>2670331553.2686</v>
      </c>
      <c r="DJ7">
        <v>7.2665943801403052E-2</v>
      </c>
      <c r="DK7">
        <v>2.7798345255146524</v>
      </c>
      <c r="DL7">
        <v>5181301932.8312111</v>
      </c>
      <c r="DM7">
        <v>6.3582700826227662E-2</v>
      </c>
      <c r="DN7">
        <v>250000000</v>
      </c>
      <c r="DO7">
        <v>9.0832429751753804E-2</v>
      </c>
      <c r="DP7">
        <v>14403162000</v>
      </c>
      <c r="DQ7">
        <v>5116517100</v>
      </c>
      <c r="DR7">
        <v>743</v>
      </c>
      <c r="DS7">
        <v>9.3328946592332221E-2</v>
      </c>
      <c r="DT7">
        <v>1.0485890634524027</v>
      </c>
      <c r="DU7" s="25">
        <v>0.70666666666666667</v>
      </c>
      <c r="DV7">
        <v>0.75</v>
      </c>
      <c r="DW7">
        <v>1.4566666666666666</v>
      </c>
      <c r="DX7">
        <v>2.0602</v>
      </c>
      <c r="DY7">
        <v>0.45468298109009964</v>
      </c>
      <c r="DZ7">
        <v>2.0129239154616241</v>
      </c>
      <c r="EA7">
        <v>619</v>
      </c>
      <c r="EB7">
        <v>2.0112593495709157</v>
      </c>
      <c r="EC7">
        <v>2</v>
      </c>
      <c r="ED7">
        <v>0.16267647816550831</v>
      </c>
      <c r="EE7">
        <v>0.75775209259477705</v>
      </c>
      <c r="EF7" s="22">
        <v>1.0161</v>
      </c>
      <c r="EG7">
        <v>1.0575000000000001</v>
      </c>
      <c r="EH7">
        <v>24.2146829810901</v>
      </c>
      <c r="EI7" t="s">
        <v>905</v>
      </c>
      <c r="EJ7">
        <v>1</v>
      </c>
      <c r="EK7">
        <v>1</v>
      </c>
    </row>
    <row r="8" spans="1:141" ht="43.2" x14ac:dyDescent="0.25">
      <c r="A8" s="32" t="s">
        <v>831</v>
      </c>
      <c r="B8" s="3"/>
      <c r="C8" s="3"/>
      <c r="D8" s="3"/>
      <c r="E8" t="s">
        <v>304</v>
      </c>
      <c r="F8" t="s">
        <v>305</v>
      </c>
      <c r="G8">
        <v>10.01</v>
      </c>
      <c r="H8">
        <v>0.1</v>
      </c>
      <c r="I8" t="s">
        <v>550</v>
      </c>
      <c r="J8">
        <v>7733747800</v>
      </c>
      <c r="L8">
        <v>2.91</v>
      </c>
      <c r="M8" t="s">
        <v>276</v>
      </c>
      <c r="N8" t="s">
        <v>188</v>
      </c>
      <c r="O8" t="s">
        <v>454</v>
      </c>
      <c r="P8" t="s">
        <v>455</v>
      </c>
      <c r="Q8">
        <v>30.01</v>
      </c>
      <c r="R8" t="s">
        <v>254</v>
      </c>
      <c r="S8">
        <v>2422138</v>
      </c>
      <c r="T8" s="4">
        <v>1.085</v>
      </c>
      <c r="U8" t="s">
        <v>456</v>
      </c>
      <c r="V8">
        <v>558672140</v>
      </c>
      <c r="W8">
        <v>772602180</v>
      </c>
      <c r="X8">
        <v>1.72</v>
      </c>
      <c r="Y8">
        <v>0.08</v>
      </c>
      <c r="Z8">
        <v>0.1</v>
      </c>
      <c r="AA8" t="s">
        <v>65</v>
      </c>
      <c r="AB8" t="s">
        <v>94</v>
      </c>
      <c r="AC8" t="s">
        <v>457</v>
      </c>
      <c r="AD8" t="s">
        <v>551</v>
      </c>
      <c r="AE8" t="s">
        <v>43</v>
      </c>
      <c r="AF8">
        <v>13185876</v>
      </c>
      <c r="AG8" t="s">
        <v>552</v>
      </c>
      <c r="AH8" t="s">
        <v>553</v>
      </c>
      <c r="AI8" t="s">
        <v>554</v>
      </c>
      <c r="AJ8" t="s">
        <v>116</v>
      </c>
      <c r="AK8" t="s">
        <v>555</v>
      </c>
      <c r="AL8" t="s">
        <v>556</v>
      </c>
      <c r="AM8" t="s">
        <v>557</v>
      </c>
      <c r="AN8" t="s">
        <v>7</v>
      </c>
      <c r="AO8" t="s">
        <v>558</v>
      </c>
      <c r="AP8" t="s">
        <v>41</v>
      </c>
      <c r="AQ8" t="s">
        <v>95</v>
      </c>
      <c r="AR8" t="s">
        <v>86</v>
      </c>
      <c r="AS8" t="s">
        <v>7</v>
      </c>
      <c r="AT8" t="s">
        <v>559</v>
      </c>
      <c r="AU8" t="s">
        <v>560</v>
      </c>
      <c r="AV8" t="s">
        <v>201</v>
      </c>
      <c r="AW8" t="s">
        <v>561</v>
      </c>
      <c r="AX8" t="s">
        <v>562</v>
      </c>
      <c r="AY8" t="s">
        <v>248</v>
      </c>
      <c r="AZ8" t="s">
        <v>307</v>
      </c>
      <c r="BA8" t="s">
        <v>190</v>
      </c>
      <c r="BB8" t="s">
        <v>48</v>
      </c>
      <c r="BC8" t="s">
        <v>44</v>
      </c>
      <c r="BD8" t="s">
        <v>306</v>
      </c>
      <c r="BE8" t="s">
        <v>308</v>
      </c>
      <c r="BF8" t="s">
        <v>309</v>
      </c>
      <c r="BG8" t="s">
        <v>310</v>
      </c>
      <c r="BH8" t="s">
        <v>311</v>
      </c>
      <c r="BI8" t="s">
        <v>90</v>
      </c>
      <c r="BJ8" t="s">
        <v>79</v>
      </c>
      <c r="BK8" t="s">
        <v>248</v>
      </c>
      <c r="BL8" t="s">
        <v>456</v>
      </c>
      <c r="BM8" t="s">
        <v>312</v>
      </c>
      <c r="BN8" t="s">
        <v>306</v>
      </c>
      <c r="BO8">
        <v>-3.1</v>
      </c>
      <c r="BP8">
        <v>-5.31</v>
      </c>
      <c r="BQ8">
        <v>1.69</v>
      </c>
      <c r="BR8">
        <v>0.49</v>
      </c>
      <c r="BS8">
        <v>-5.52</v>
      </c>
      <c r="BT8">
        <v>-8.2100000000000009</v>
      </c>
      <c r="BU8">
        <v>2.5</v>
      </c>
      <c r="BV8">
        <v>0.69</v>
      </c>
      <c r="BW8">
        <v>13.65</v>
      </c>
      <c r="BX8">
        <v>16.989999999999998</v>
      </c>
      <c r="BY8">
        <v>22</v>
      </c>
      <c r="BZ8">
        <v>-6.05</v>
      </c>
      <c r="CA8">
        <v>-13</v>
      </c>
      <c r="CB8">
        <v>3.17</v>
      </c>
      <c r="CC8">
        <v>0.2</v>
      </c>
      <c r="CD8">
        <v>-1.86</v>
      </c>
      <c r="CE8" t="s">
        <v>99</v>
      </c>
      <c r="CF8" t="s">
        <v>563</v>
      </c>
      <c r="CG8" s="23">
        <v>0.29837521582733811</v>
      </c>
      <c r="CH8" s="24">
        <v>1.0846581710403065</v>
      </c>
      <c r="CI8" s="23">
        <v>0.3779149055480957</v>
      </c>
      <c r="CJ8" s="23">
        <v>-3.6988109350204468E-2</v>
      </c>
      <c r="CK8" s="23">
        <v>0.16193394362926483</v>
      </c>
      <c r="CL8" s="23">
        <v>0.39060840010643005</v>
      </c>
      <c r="CM8" s="23">
        <v>0.15536375343799591</v>
      </c>
      <c r="CN8" s="24">
        <v>0.37569060921669006</v>
      </c>
      <c r="CO8" s="24">
        <v>-4.1795439720153809</v>
      </c>
      <c r="CP8" s="24">
        <v>2.6951518058776855</v>
      </c>
      <c r="CQ8" s="24">
        <v>1.2615866661071777</v>
      </c>
      <c r="CR8" s="24">
        <v>-2.7817296981811523</v>
      </c>
      <c r="CS8">
        <v>3.8495509208561471</v>
      </c>
      <c r="CT8">
        <v>20109582.300884958</v>
      </c>
      <c r="CU8">
        <v>1.3760000000000001E-2</v>
      </c>
      <c r="CV8" s="23">
        <v>0.20976657867431642</v>
      </c>
      <c r="CW8" s="24">
        <v>-0.52576891779899593</v>
      </c>
      <c r="CX8">
        <v>0.06</v>
      </c>
      <c r="CY8" t="e">
        <v>#VALUE!</v>
      </c>
      <c r="CZ8" t="s">
        <v>427</v>
      </c>
      <c r="DA8">
        <v>0.20976657867431642</v>
      </c>
      <c r="DB8" t="e">
        <v>#VALUE!</v>
      </c>
      <c r="DC8" t="s">
        <v>427</v>
      </c>
      <c r="DD8">
        <v>0.1992782497406006</v>
      </c>
      <c r="DE8" t="e">
        <v>#VALUE!</v>
      </c>
      <c r="DF8" t="s">
        <v>427</v>
      </c>
      <c r="DG8">
        <v>0.18459458923339844</v>
      </c>
      <c r="DH8" t="e">
        <v>#VALUE!</v>
      </c>
      <c r="DI8" t="s">
        <v>427</v>
      </c>
      <c r="DJ8">
        <v>0.16781326293945314</v>
      </c>
      <c r="DK8" t="e">
        <v>#VALUE!</v>
      </c>
      <c r="DL8" t="s">
        <v>427</v>
      </c>
      <c r="DM8">
        <v>0.14683660507202148</v>
      </c>
      <c r="DN8">
        <v>-112999999.99999999</v>
      </c>
      <c r="DO8">
        <v>0.20976657867431642</v>
      </c>
      <c r="DP8">
        <v>6989747800</v>
      </c>
      <c r="DQ8">
        <v>835351900</v>
      </c>
      <c r="DR8">
        <v>1104</v>
      </c>
      <c r="DS8">
        <v>8.8608637153021697E-2</v>
      </c>
      <c r="DT8">
        <v>1.6104270888393024</v>
      </c>
      <c r="DU8" s="25">
        <v>0.73666666666666669</v>
      </c>
      <c r="DV8">
        <v>-0.6066666666666668</v>
      </c>
      <c r="DW8">
        <v>0.12999999999999989</v>
      </c>
      <c r="DX8">
        <v>-1.8600000000000002E-2</v>
      </c>
      <c r="DY8">
        <v>0.28670304925272527</v>
      </c>
      <c r="DZ8">
        <v>-2.542676716100695E-3</v>
      </c>
      <c r="EA8">
        <v>2777</v>
      </c>
      <c r="EB8">
        <v>-1.0460651771834356E-3</v>
      </c>
      <c r="EC8">
        <v>0</v>
      </c>
      <c r="ED8">
        <v>0.30804986856236932</v>
      </c>
      <c r="EE8">
        <v>2.2534236183490965</v>
      </c>
      <c r="EF8" s="22">
        <v>4.1210000000000004E-2</v>
      </c>
      <c r="EG8">
        <v>4.0210000000000003E-2</v>
      </c>
      <c r="EH8">
        <v>15.136703049252725</v>
      </c>
      <c r="EI8">
        <v>-1</v>
      </c>
      <c r="EJ8">
        <v>0</v>
      </c>
      <c r="EK8">
        <v>0</v>
      </c>
    </row>
    <row r="9" spans="1:141" x14ac:dyDescent="0.25">
      <c r="A9" s="32" t="s">
        <v>815</v>
      </c>
      <c r="B9" s="3"/>
      <c r="C9" s="3"/>
      <c r="D9" s="3"/>
      <c r="E9" t="s">
        <v>820</v>
      </c>
      <c r="F9" t="s">
        <v>821</v>
      </c>
      <c r="G9">
        <v>4.26</v>
      </c>
      <c r="H9">
        <v>-2.74</v>
      </c>
      <c r="I9" t="s">
        <v>910</v>
      </c>
      <c r="J9">
        <v>6343839600</v>
      </c>
      <c r="L9">
        <v>1.94</v>
      </c>
      <c r="M9" t="s">
        <v>276</v>
      </c>
      <c r="N9" t="s">
        <v>911</v>
      </c>
      <c r="O9" t="s">
        <v>912</v>
      </c>
      <c r="P9" t="s">
        <v>913</v>
      </c>
      <c r="Q9">
        <v>-20.69</v>
      </c>
      <c r="R9" t="s">
        <v>914</v>
      </c>
      <c r="S9">
        <v>2383177</v>
      </c>
      <c r="T9" s="4">
        <v>-0.91949999999999998</v>
      </c>
      <c r="U9" t="s">
        <v>915</v>
      </c>
      <c r="V9">
        <v>1070022290</v>
      </c>
      <c r="W9">
        <v>1489164200</v>
      </c>
      <c r="X9">
        <v>2.09</v>
      </c>
      <c r="Y9">
        <v>0.06</v>
      </c>
      <c r="Z9">
        <v>0.3</v>
      </c>
      <c r="AA9" t="s">
        <v>39</v>
      </c>
      <c r="AB9" t="s">
        <v>916</v>
      </c>
      <c r="AC9" t="s">
        <v>917</v>
      </c>
      <c r="AD9" t="s">
        <v>918</v>
      </c>
      <c r="AE9" t="s">
        <v>919</v>
      </c>
      <c r="AF9">
        <v>7740235</v>
      </c>
      <c r="AG9" t="s">
        <v>22</v>
      </c>
      <c r="AH9" t="s">
        <v>920</v>
      </c>
      <c r="AI9" t="s">
        <v>921</v>
      </c>
      <c r="AJ9" t="s">
        <v>922</v>
      </c>
      <c r="AK9" t="s">
        <v>923</v>
      </c>
      <c r="AL9" t="s">
        <v>650</v>
      </c>
      <c r="AM9" t="s">
        <v>924</v>
      </c>
      <c r="AN9" t="s">
        <v>7</v>
      </c>
      <c r="AO9" t="s">
        <v>925</v>
      </c>
      <c r="AP9" t="s">
        <v>926</v>
      </c>
      <c r="AQ9" t="s">
        <v>927</v>
      </c>
      <c r="AR9" t="s">
        <v>928</v>
      </c>
      <c r="AS9" t="s">
        <v>7</v>
      </c>
      <c r="AT9" t="s">
        <v>929</v>
      </c>
      <c r="AU9" t="s">
        <v>31</v>
      </c>
      <c r="AV9" t="s">
        <v>930</v>
      </c>
      <c r="AW9" t="s">
        <v>931</v>
      </c>
      <c r="AX9" t="s">
        <v>848</v>
      </c>
      <c r="AY9" t="s">
        <v>932</v>
      </c>
      <c r="AZ9" t="s">
        <v>933</v>
      </c>
      <c r="BA9" t="s">
        <v>934</v>
      </c>
      <c r="BB9" t="s">
        <v>935</v>
      </c>
      <c r="BC9" t="s">
        <v>936</v>
      </c>
      <c r="BD9" t="s">
        <v>937</v>
      </c>
      <c r="BE9" t="s">
        <v>938</v>
      </c>
      <c r="BF9" t="s">
        <v>939</v>
      </c>
      <c r="BG9" t="s">
        <v>940</v>
      </c>
      <c r="BH9" t="s">
        <v>941</v>
      </c>
      <c r="BI9" t="s">
        <v>942</v>
      </c>
      <c r="BJ9" t="s">
        <v>943</v>
      </c>
      <c r="BK9" t="s">
        <v>932</v>
      </c>
      <c r="BL9" t="s">
        <v>915</v>
      </c>
      <c r="BM9" t="s">
        <v>944</v>
      </c>
      <c r="BN9" t="s">
        <v>937</v>
      </c>
      <c r="BO9">
        <v>0.4</v>
      </c>
      <c r="BP9">
        <v>1.25</v>
      </c>
      <c r="BQ9">
        <v>2.56</v>
      </c>
      <c r="BR9">
        <v>2.97</v>
      </c>
      <c r="BS9">
        <v>0.62</v>
      </c>
      <c r="BT9">
        <v>2.39</v>
      </c>
      <c r="BU9">
        <v>4.38</v>
      </c>
      <c r="BV9">
        <v>5.28</v>
      </c>
      <c r="BW9">
        <v>18.84</v>
      </c>
      <c r="BX9">
        <v>23.55</v>
      </c>
      <c r="BY9">
        <v>25.11</v>
      </c>
      <c r="BZ9">
        <v>0.86</v>
      </c>
      <c r="CA9">
        <v>3.64</v>
      </c>
      <c r="CB9">
        <v>5.87</v>
      </c>
      <c r="CC9">
        <v>5.71</v>
      </c>
      <c r="CD9">
        <v>23.12</v>
      </c>
      <c r="CE9" t="s">
        <v>40</v>
      </c>
      <c r="CF9" t="s">
        <v>945</v>
      </c>
      <c r="CG9" s="23">
        <v>-0.20768007843137246</v>
      </c>
      <c r="CH9" s="24">
        <v>-0.91951255179960345</v>
      </c>
      <c r="CI9" s="23">
        <v>0.22214488685131073</v>
      </c>
      <c r="CJ9" s="23">
        <v>-0.2361702173948288</v>
      </c>
      <c r="CK9" s="23">
        <v>-3.3418990671634674E-2</v>
      </c>
      <c r="CL9" s="23">
        <v>0.32945990562438965</v>
      </c>
      <c r="CM9" s="23">
        <v>0.54651170969009399</v>
      </c>
      <c r="CN9" s="24">
        <v>-0.66132354736328125</v>
      </c>
      <c r="CO9" s="24">
        <v>-0.47163152694702148</v>
      </c>
      <c r="CP9" s="24">
        <v>0.12818636000156403</v>
      </c>
      <c r="CQ9" s="24">
        <v>-0.21289600431919098</v>
      </c>
      <c r="CR9" s="24">
        <v>1.6936520338058472</v>
      </c>
      <c r="CS9">
        <v>3.6147234188034187</v>
      </c>
      <c r="CT9">
        <v>946473.34239540854</v>
      </c>
      <c r="CU9">
        <v>3.7619999999999994E-2</v>
      </c>
      <c r="CV9" s="23">
        <v>0.16570545881986617</v>
      </c>
      <c r="CW9" s="24">
        <v>9.5197463035583491E-2</v>
      </c>
      <c r="CX9">
        <v>0.06</v>
      </c>
      <c r="CY9">
        <v>303.64888271635391</v>
      </c>
      <c r="CZ9">
        <v>21843780.687300939</v>
      </c>
      <c r="DA9">
        <v>0.16570545881986617</v>
      </c>
      <c r="DB9">
        <v>93.120350939998474</v>
      </c>
      <c r="DC9">
        <v>71228679.156007797</v>
      </c>
      <c r="DD9">
        <v>0.15742018587887285</v>
      </c>
      <c r="DE9">
        <v>42.008184905147047</v>
      </c>
      <c r="DF9">
        <v>157893982.20791283</v>
      </c>
      <c r="DG9">
        <v>0.14582080376148224</v>
      </c>
      <c r="DH9">
        <v>22.785843874592558</v>
      </c>
      <c r="DI9">
        <v>291094753.2382583</v>
      </c>
      <c r="DJ9">
        <v>0.13256436705589295</v>
      </c>
      <c r="DK9">
        <v>9.3094058363914005</v>
      </c>
      <c r="DL9">
        <v>712487962.8806777</v>
      </c>
      <c r="DM9">
        <v>0.11599382117390632</v>
      </c>
      <c r="DN9">
        <v>19863000</v>
      </c>
      <c r="DO9">
        <v>0.16570545881986617</v>
      </c>
      <c r="DP9">
        <v>6632839600</v>
      </c>
      <c r="DQ9">
        <v>1411076900.0000005</v>
      </c>
      <c r="DR9">
        <v>1563</v>
      </c>
      <c r="DS9">
        <v>-0.37338553725123863</v>
      </c>
      <c r="DT9">
        <v>-1.0147100148351869</v>
      </c>
      <c r="DU9" s="25">
        <v>1.3333333333333308E-2</v>
      </c>
      <c r="DV9">
        <v>-0.84</v>
      </c>
      <c r="DW9">
        <v>-0.82666666666666666</v>
      </c>
      <c r="DX9">
        <v>8.2469723183391004</v>
      </c>
      <c r="DY9">
        <v>0.65429906542055916</v>
      </c>
      <c r="DZ9">
        <v>8.1047901238560289</v>
      </c>
      <c r="EA9">
        <v>3803</v>
      </c>
      <c r="EB9">
        <v>8.020430081302159</v>
      </c>
      <c r="EC9">
        <v>8</v>
      </c>
      <c r="ED9">
        <v>0.15243449983554533</v>
      </c>
      <c r="EE9">
        <v>0.35926192692518388</v>
      </c>
      <c r="EF9" s="22">
        <v>-2.0912999999999999</v>
      </c>
      <c r="EG9">
        <v>-2.0638999999999998</v>
      </c>
      <c r="EH9">
        <v>23.424299065420559</v>
      </c>
      <c r="EI9" t="s">
        <v>379</v>
      </c>
      <c r="EJ9">
        <v>0</v>
      </c>
      <c r="EK9">
        <v>0</v>
      </c>
    </row>
    <row r="10" spans="1:141" x14ac:dyDescent="0.25">
      <c r="A10" s="32" t="s">
        <v>815</v>
      </c>
      <c r="B10" s="3"/>
      <c r="C10" s="3"/>
      <c r="D10" s="3"/>
      <c r="E10" t="s">
        <v>822</v>
      </c>
      <c r="F10" t="s">
        <v>823</v>
      </c>
      <c r="G10">
        <v>6.25</v>
      </c>
      <c r="H10">
        <v>1.96</v>
      </c>
      <c r="I10" t="s">
        <v>946</v>
      </c>
      <c r="J10">
        <v>4107435700</v>
      </c>
      <c r="K10">
        <v>18.190000000000001</v>
      </c>
      <c r="L10">
        <v>2.66</v>
      </c>
      <c r="M10" t="s">
        <v>276</v>
      </c>
      <c r="N10" t="s">
        <v>947</v>
      </c>
      <c r="O10" t="s">
        <v>948</v>
      </c>
      <c r="P10" t="s">
        <v>949</v>
      </c>
      <c r="Q10">
        <v>-12.91</v>
      </c>
      <c r="R10" t="s">
        <v>950</v>
      </c>
      <c r="S10">
        <v>37846497</v>
      </c>
      <c r="T10" s="4">
        <v>-0.5161</v>
      </c>
      <c r="U10" t="s">
        <v>951</v>
      </c>
      <c r="V10">
        <v>630586800</v>
      </c>
      <c r="W10">
        <v>657189710</v>
      </c>
      <c r="X10">
        <v>1.67</v>
      </c>
      <c r="Y10">
        <v>0.14000000000000001</v>
      </c>
      <c r="Z10">
        <v>11.09</v>
      </c>
      <c r="AA10" t="s">
        <v>952</v>
      </c>
      <c r="AB10" t="s">
        <v>747</v>
      </c>
      <c r="AC10" t="s">
        <v>953</v>
      </c>
      <c r="AD10" t="s">
        <v>954</v>
      </c>
      <c r="AE10" t="s">
        <v>656</v>
      </c>
      <c r="AF10">
        <v>6838780</v>
      </c>
      <c r="AG10" t="s">
        <v>955</v>
      </c>
      <c r="AH10" t="s">
        <v>956</v>
      </c>
      <c r="AI10" t="s">
        <v>957</v>
      </c>
      <c r="AJ10" t="s">
        <v>649</v>
      </c>
      <c r="AK10" t="s">
        <v>958</v>
      </c>
      <c r="AL10" t="s">
        <v>959</v>
      </c>
      <c r="AM10" t="s">
        <v>960</v>
      </c>
      <c r="AN10" t="s">
        <v>7</v>
      </c>
      <c r="AO10" t="s">
        <v>961</v>
      </c>
      <c r="AP10" t="s">
        <v>962</v>
      </c>
      <c r="AQ10" t="s">
        <v>963</v>
      </c>
      <c r="AR10" t="s">
        <v>79</v>
      </c>
      <c r="AS10" t="s">
        <v>7</v>
      </c>
      <c r="AT10" t="s">
        <v>964</v>
      </c>
      <c r="AU10" t="s">
        <v>965</v>
      </c>
      <c r="AV10" t="s">
        <v>966</v>
      </c>
      <c r="AW10" t="s">
        <v>967</v>
      </c>
      <c r="AX10" t="s">
        <v>968</v>
      </c>
      <c r="AY10" t="s">
        <v>969</v>
      </c>
      <c r="AZ10" t="s">
        <v>970</v>
      </c>
      <c r="BA10" t="s">
        <v>971</v>
      </c>
      <c r="BB10" t="s">
        <v>972</v>
      </c>
      <c r="BC10" t="s">
        <v>973</v>
      </c>
      <c r="BD10" t="s">
        <v>974</v>
      </c>
      <c r="BE10" t="s">
        <v>975</v>
      </c>
      <c r="BF10" t="s">
        <v>66</v>
      </c>
      <c r="BG10" t="s">
        <v>976</v>
      </c>
      <c r="BH10" t="s">
        <v>977</v>
      </c>
      <c r="BI10" t="s">
        <v>978</v>
      </c>
      <c r="BJ10" t="s">
        <v>979</v>
      </c>
      <c r="BK10" t="s">
        <v>969</v>
      </c>
      <c r="BL10" t="s">
        <v>951</v>
      </c>
      <c r="BM10" t="s">
        <v>980</v>
      </c>
      <c r="BN10" t="s">
        <v>974</v>
      </c>
      <c r="BO10">
        <v>12.07</v>
      </c>
      <c r="BP10">
        <v>4.74</v>
      </c>
      <c r="BQ10">
        <v>-6.78</v>
      </c>
      <c r="BR10">
        <v>5.88</v>
      </c>
      <c r="BS10">
        <v>18.579999999999998</v>
      </c>
      <c r="BT10">
        <v>7.24</v>
      </c>
      <c r="BU10">
        <v>-9.98</v>
      </c>
      <c r="BV10">
        <v>8.0399999999999991</v>
      </c>
      <c r="BW10">
        <v>34.799999999999997</v>
      </c>
      <c r="BX10">
        <v>34.42</v>
      </c>
      <c r="BY10">
        <v>34.549999999999997</v>
      </c>
      <c r="BZ10">
        <v>13.95</v>
      </c>
      <c r="CA10">
        <v>6.51</v>
      </c>
      <c r="CB10">
        <v>-7.44</v>
      </c>
      <c r="CC10">
        <v>-2.65</v>
      </c>
      <c r="CD10">
        <v>8.6999999999999993</v>
      </c>
      <c r="CE10" t="s">
        <v>981</v>
      </c>
      <c r="CF10" t="s">
        <v>96</v>
      </c>
      <c r="CG10" s="23">
        <v>-0.12939784926470588</v>
      </c>
      <c r="CH10" s="24">
        <v>-0.51606163017292972</v>
      </c>
      <c r="CI10" s="23">
        <v>0.10197865217924118</v>
      </c>
      <c r="CJ10" s="23">
        <v>0.26346158981323242</v>
      </c>
      <c r="CK10" s="23">
        <v>3.6544892936944962E-2</v>
      </c>
      <c r="CL10" s="23">
        <v>0.34977564215660095</v>
      </c>
      <c r="CM10" s="23">
        <v>0.96996480226516724</v>
      </c>
      <c r="CN10" s="24">
        <v>1.6991430521011353</v>
      </c>
      <c r="CO10" s="24">
        <v>1.6796537637710571</v>
      </c>
      <c r="CP10" s="24">
        <v>-2.1983470916748047</v>
      </c>
      <c r="CQ10" s="24">
        <v>-0.1986754983663559</v>
      </c>
      <c r="CR10" s="24">
        <v>1.1384801864624023</v>
      </c>
      <c r="CS10">
        <v>1.8910845764272559</v>
      </c>
      <c r="CT10">
        <v>12967866.165413534</v>
      </c>
      <c r="CU10">
        <v>2.5928420000000001</v>
      </c>
      <c r="CV10" s="23">
        <v>0.34434511587023736</v>
      </c>
      <c r="CW10" s="24">
        <v>0.42405088245868683</v>
      </c>
      <c r="CX10">
        <v>0.06</v>
      </c>
      <c r="CY10">
        <v>10.263492562185334</v>
      </c>
      <c r="CZ10">
        <v>337354529.07687086</v>
      </c>
      <c r="DA10">
        <v>0.34434511587023736</v>
      </c>
      <c r="DB10">
        <v>2.7219695075138133</v>
      </c>
      <c r="DC10">
        <v>1272033243.0037074</v>
      </c>
      <c r="DD10">
        <v>0.32712786007672545</v>
      </c>
      <c r="DE10">
        <v>0.9907096167840691</v>
      </c>
      <c r="DF10">
        <v>3494904704.0033507</v>
      </c>
      <c r="DG10">
        <v>0.30302370196580886</v>
      </c>
      <c r="DH10">
        <v>0.41003025869441134</v>
      </c>
      <c r="DI10">
        <v>8444341915.2158108</v>
      </c>
      <c r="DJ10">
        <v>0.27547609269618989</v>
      </c>
      <c r="DK10">
        <v>8.4690171391126709E-2</v>
      </c>
      <c r="DL10">
        <v>40883559958.915985</v>
      </c>
      <c r="DM10">
        <v>0.24104158110916613</v>
      </c>
      <c r="DN10">
        <v>266000000</v>
      </c>
      <c r="DO10">
        <v>0.34434511587023736</v>
      </c>
      <c r="DP10">
        <v>3462435700</v>
      </c>
      <c r="DQ10">
        <v>377881000</v>
      </c>
      <c r="DR10">
        <v>1902</v>
      </c>
      <c r="DS10">
        <v>-0.47374296513494324</v>
      </c>
      <c r="DT10">
        <v>-0.94011251263161655</v>
      </c>
      <c r="DU10" s="25">
        <v>0.46666666666666662</v>
      </c>
      <c r="DV10">
        <v>-0.18666666666666668</v>
      </c>
      <c r="DW10">
        <v>0.27999999999999992</v>
      </c>
      <c r="DX10">
        <v>-6.2334801762114536</v>
      </c>
      <c r="DY10">
        <v>0.43100387096774329</v>
      </c>
      <c r="DZ10">
        <v>-6.0375912121642745</v>
      </c>
      <c r="EA10">
        <v>2513</v>
      </c>
      <c r="EB10">
        <v>-6.0175685932221761</v>
      </c>
      <c r="EC10">
        <v>6</v>
      </c>
      <c r="ED10">
        <v>3.7973205636466827E-2</v>
      </c>
      <c r="EE10">
        <v>0.23585274942908038</v>
      </c>
      <c r="EF10" s="22">
        <v>4.0399999999999998E-2</v>
      </c>
      <c r="EG10">
        <v>0.06</v>
      </c>
      <c r="EH10">
        <v>27.161003870967743</v>
      </c>
      <c r="EI10" t="s">
        <v>378</v>
      </c>
      <c r="EJ10">
        <v>0</v>
      </c>
      <c r="EK10">
        <v>0</v>
      </c>
    </row>
    <row r="11" spans="1:141" x14ac:dyDescent="0.25">
      <c r="A11" s="32" t="s">
        <v>828</v>
      </c>
      <c r="B11" s="3"/>
      <c r="C11" s="3"/>
      <c r="D11" s="3"/>
      <c r="E11" t="s">
        <v>293</v>
      </c>
      <c r="F11" t="s">
        <v>294</v>
      </c>
      <c r="G11">
        <v>9.81</v>
      </c>
      <c r="H11">
        <v>-3.06</v>
      </c>
      <c r="I11" t="s">
        <v>585</v>
      </c>
      <c r="J11">
        <v>4273235200</v>
      </c>
      <c r="K11">
        <v>32.950000000000003</v>
      </c>
      <c r="L11">
        <v>1.39</v>
      </c>
      <c r="M11" t="s">
        <v>240</v>
      </c>
      <c r="N11" t="s">
        <v>465</v>
      </c>
      <c r="O11" t="s">
        <v>263</v>
      </c>
      <c r="P11" t="s">
        <v>466</v>
      </c>
      <c r="Q11">
        <v>29.44</v>
      </c>
      <c r="R11" t="s">
        <v>467</v>
      </c>
      <c r="S11">
        <v>36147333</v>
      </c>
      <c r="T11" s="4">
        <v>-0.38269999999999998</v>
      </c>
      <c r="U11" t="s">
        <v>95</v>
      </c>
      <c r="V11">
        <v>412658740</v>
      </c>
      <c r="W11">
        <v>435599920</v>
      </c>
      <c r="X11">
        <v>2.02</v>
      </c>
      <c r="Y11">
        <v>0.28000000000000003</v>
      </c>
      <c r="Z11">
        <v>1.96</v>
      </c>
      <c r="AA11" t="s">
        <v>111</v>
      </c>
      <c r="AB11" t="s">
        <v>468</v>
      </c>
      <c r="AC11" t="s">
        <v>469</v>
      </c>
      <c r="AD11" t="s">
        <v>586</v>
      </c>
      <c r="AE11" t="s">
        <v>36</v>
      </c>
      <c r="AF11">
        <v>-4030656</v>
      </c>
      <c r="AG11" t="s">
        <v>587</v>
      </c>
      <c r="AH11" t="s">
        <v>588</v>
      </c>
      <c r="AI11" t="s">
        <v>589</v>
      </c>
      <c r="AJ11" t="s">
        <v>117</v>
      </c>
      <c r="AK11" t="s">
        <v>590</v>
      </c>
      <c r="AL11" t="s">
        <v>7</v>
      </c>
      <c r="AM11" t="s">
        <v>591</v>
      </c>
      <c r="AN11" t="s">
        <v>7</v>
      </c>
      <c r="AO11" t="s">
        <v>30</v>
      </c>
      <c r="AP11" t="s">
        <v>7</v>
      </c>
      <c r="AQ11" t="s">
        <v>106</v>
      </c>
      <c r="AR11" t="s">
        <v>60</v>
      </c>
      <c r="AS11" t="s">
        <v>7</v>
      </c>
      <c r="AT11" t="s">
        <v>253</v>
      </c>
      <c r="AU11" t="s">
        <v>7</v>
      </c>
      <c r="AV11" t="s">
        <v>592</v>
      </c>
      <c r="AW11" t="s">
        <v>77</v>
      </c>
      <c r="AX11" t="s">
        <v>593</v>
      </c>
      <c r="AY11" t="s">
        <v>295</v>
      </c>
      <c r="AZ11" t="s">
        <v>296</v>
      </c>
      <c r="BA11" t="s">
        <v>261</v>
      </c>
      <c r="BB11" t="s">
        <v>297</v>
      </c>
      <c r="BC11" t="s">
        <v>298</v>
      </c>
      <c r="BD11" t="s">
        <v>73</v>
      </c>
      <c r="BE11" t="s">
        <v>299</v>
      </c>
      <c r="BF11" t="s">
        <v>300</v>
      </c>
      <c r="BG11" t="s">
        <v>301</v>
      </c>
      <c r="BH11" t="s">
        <v>302</v>
      </c>
      <c r="BI11" t="s">
        <v>349</v>
      </c>
      <c r="BJ11" t="s">
        <v>252</v>
      </c>
      <c r="BK11" t="s">
        <v>295</v>
      </c>
      <c r="BL11" t="s">
        <v>95</v>
      </c>
      <c r="BM11" t="s">
        <v>303</v>
      </c>
      <c r="BN11" t="s">
        <v>73</v>
      </c>
      <c r="BO11">
        <v>4.55</v>
      </c>
      <c r="BP11">
        <v>6.44</v>
      </c>
      <c r="BQ11">
        <v>4.1399999999999997</v>
      </c>
      <c r="BR11">
        <v>1.77</v>
      </c>
      <c r="BS11">
        <v>6.14</v>
      </c>
      <c r="BT11">
        <v>8.18</v>
      </c>
      <c r="BU11">
        <v>4.87</v>
      </c>
      <c r="BV11">
        <v>2.06</v>
      </c>
      <c r="BW11">
        <v>10.54</v>
      </c>
      <c r="BX11">
        <v>12.4</v>
      </c>
      <c r="BY11">
        <v>11.84</v>
      </c>
      <c r="BZ11">
        <v>2.59</v>
      </c>
      <c r="CA11">
        <v>3.82</v>
      </c>
      <c r="CB11">
        <v>2.2799999999999998</v>
      </c>
      <c r="CC11">
        <v>1.24</v>
      </c>
      <c r="CD11">
        <v>28.74</v>
      </c>
      <c r="CE11" t="s">
        <v>594</v>
      </c>
      <c r="CF11" t="s">
        <v>202</v>
      </c>
      <c r="CG11" s="23">
        <v>0.29406676691729322</v>
      </c>
      <c r="CH11" s="24">
        <v>-0.38266039205238295</v>
      </c>
      <c r="CI11" s="23">
        <v>0.23608611524105072</v>
      </c>
      <c r="CJ11" s="23">
        <v>0.10187932848930359</v>
      </c>
      <c r="CK11" s="23">
        <v>0.16307163238525391</v>
      </c>
      <c r="CL11" s="23">
        <v>8.8603653013706207E-2</v>
      </c>
      <c r="CM11" s="23">
        <v>7.1452513337135315E-2</v>
      </c>
      <c r="CN11" s="24">
        <v>-0.11627907305955887</v>
      </c>
      <c r="CO11" s="24">
        <v>0.77723580598831177</v>
      </c>
      <c r="CP11" s="24">
        <v>1.4388090372085571</v>
      </c>
      <c r="CQ11" s="24">
        <v>-0.35455533862113953</v>
      </c>
      <c r="CR11" s="24">
        <v>-0.35208249092102051</v>
      </c>
      <c r="CS11">
        <v>0.77582338416848218</v>
      </c>
      <c r="CT11">
        <v>11911636.842105264</v>
      </c>
      <c r="CU11">
        <v>1.1085760000000002</v>
      </c>
      <c r="CV11" s="23">
        <v>0.13221864849328996</v>
      </c>
      <c r="CW11" s="24">
        <v>0.27862558811902999</v>
      </c>
      <c r="CX11">
        <v>0.06</v>
      </c>
      <c r="CY11">
        <v>26.732848575219268</v>
      </c>
      <c r="CZ11">
        <v>162355881.6707359</v>
      </c>
      <c r="DA11">
        <v>0.13221864849328996</v>
      </c>
      <c r="DB11">
        <v>8.4307088524224465</v>
      </c>
      <c r="DC11">
        <v>514812606.62356931</v>
      </c>
      <c r="DD11">
        <v>0.12560771606862545</v>
      </c>
      <c r="DE11">
        <v>3.9544536522054541</v>
      </c>
      <c r="DF11">
        <v>1097556219.3223305</v>
      </c>
      <c r="DG11">
        <v>0.11635241067409516</v>
      </c>
      <c r="DH11">
        <v>2.2464029516508153</v>
      </c>
      <c r="DI11">
        <v>1932082219.180886</v>
      </c>
      <c r="DJ11">
        <v>0.10577491879463197</v>
      </c>
      <c r="DK11">
        <v>1.0235724425566719</v>
      </c>
      <c r="DL11">
        <v>4240281410.0377612</v>
      </c>
      <c r="DM11">
        <v>9.2553053945302971E-2</v>
      </c>
      <c r="DN11">
        <v>152000000</v>
      </c>
      <c r="DO11">
        <v>0.13221864849328996</v>
      </c>
      <c r="DP11">
        <v>4340235200</v>
      </c>
      <c r="DQ11">
        <v>2043457200</v>
      </c>
      <c r="DR11">
        <v>2803</v>
      </c>
      <c r="DS11">
        <v>0.16184811842400326</v>
      </c>
      <c r="DT11">
        <v>-0.66128598017141293</v>
      </c>
      <c r="DU11" s="25">
        <v>0.52</v>
      </c>
      <c r="DV11">
        <v>0.13000000000000009</v>
      </c>
      <c r="DW11">
        <v>0.65000000000000013</v>
      </c>
      <c r="DX11">
        <v>3.1440833333333331</v>
      </c>
      <c r="DY11">
        <v>0.52351830927835086</v>
      </c>
      <c r="DZ11">
        <v>3.0322052630618557</v>
      </c>
      <c r="EA11">
        <v>1858</v>
      </c>
      <c r="EB11">
        <v>3.0195251658444522</v>
      </c>
      <c r="EC11">
        <v>3</v>
      </c>
      <c r="ED11">
        <v>0.19909347090789181</v>
      </c>
      <c r="EE11">
        <v>0.89072559976595034</v>
      </c>
      <c r="EF11" s="22">
        <v>-1.117</v>
      </c>
      <c r="EG11">
        <v>-1.0864</v>
      </c>
      <c r="EH11">
        <v>30.223518309278351</v>
      </c>
      <c r="EI11" t="s">
        <v>380</v>
      </c>
      <c r="EJ11">
        <v>0</v>
      </c>
      <c r="EK11">
        <v>0</v>
      </c>
    </row>
    <row r="12" spans="1:141" ht="129.6" x14ac:dyDescent="0.25">
      <c r="A12" s="32" t="s">
        <v>828</v>
      </c>
      <c r="B12" s="3" t="s">
        <v>2239</v>
      </c>
      <c r="C12" s="3"/>
      <c r="D12" s="3" t="s">
        <v>2271</v>
      </c>
      <c r="E12" t="s">
        <v>824</v>
      </c>
      <c r="F12" t="s">
        <v>825</v>
      </c>
      <c r="G12">
        <v>19.899999999999999</v>
      </c>
      <c r="H12">
        <v>2.79</v>
      </c>
      <c r="I12" t="s">
        <v>2188</v>
      </c>
      <c r="J12">
        <v>62064275000</v>
      </c>
      <c r="K12">
        <v>24.04</v>
      </c>
      <c r="L12">
        <v>1.85</v>
      </c>
      <c r="M12" t="s">
        <v>256</v>
      </c>
      <c r="N12" t="s">
        <v>7</v>
      </c>
      <c r="O12" t="s">
        <v>7</v>
      </c>
      <c r="P12" t="s">
        <v>982</v>
      </c>
      <c r="Q12" t="s">
        <v>7</v>
      </c>
      <c r="R12" t="s">
        <v>983</v>
      </c>
      <c r="S12">
        <v>926080210</v>
      </c>
      <c r="T12" s="4">
        <v>0.46310000000000001</v>
      </c>
      <c r="U12" t="s">
        <v>984</v>
      </c>
      <c r="V12">
        <v>2005982600</v>
      </c>
      <c r="W12">
        <v>3118807800</v>
      </c>
      <c r="X12" t="s">
        <v>7</v>
      </c>
      <c r="Y12" t="s">
        <v>7</v>
      </c>
      <c r="Z12" t="s">
        <v>7</v>
      </c>
      <c r="AA12" t="s">
        <v>7</v>
      </c>
      <c r="AB12" t="s">
        <v>7</v>
      </c>
      <c r="AC12" t="s">
        <v>7</v>
      </c>
      <c r="AD12" t="s">
        <v>7</v>
      </c>
      <c r="AE12" t="s">
        <v>7</v>
      </c>
      <c r="AF12">
        <v>-7623588</v>
      </c>
      <c r="AG12" t="s">
        <v>985</v>
      </c>
      <c r="AH12" t="s">
        <v>7</v>
      </c>
      <c r="AI12" t="s">
        <v>986</v>
      </c>
      <c r="AJ12" t="s">
        <v>7</v>
      </c>
      <c r="AK12" t="s">
        <v>987</v>
      </c>
      <c r="AL12" t="s">
        <v>7</v>
      </c>
      <c r="AM12" t="s">
        <v>988</v>
      </c>
      <c r="AN12" t="s">
        <v>7</v>
      </c>
      <c r="AO12" t="s">
        <v>7</v>
      </c>
      <c r="AP12" t="s">
        <v>7</v>
      </c>
      <c r="AQ12" t="s">
        <v>7</v>
      </c>
      <c r="AR12" t="s">
        <v>7</v>
      </c>
      <c r="AS12" t="s">
        <v>7</v>
      </c>
      <c r="AT12" t="s">
        <v>7</v>
      </c>
      <c r="AU12" t="s">
        <v>7</v>
      </c>
      <c r="AV12" t="s">
        <v>7</v>
      </c>
      <c r="AW12" t="s">
        <v>7</v>
      </c>
      <c r="AX12" t="s">
        <v>7</v>
      </c>
      <c r="AY12" t="s">
        <v>989</v>
      </c>
      <c r="AZ12" t="s">
        <v>990</v>
      </c>
      <c r="BA12" t="s">
        <v>991</v>
      </c>
      <c r="BB12" t="s">
        <v>992</v>
      </c>
      <c r="BC12" t="s">
        <v>993</v>
      </c>
      <c r="BD12" t="s">
        <v>994</v>
      </c>
      <c r="BE12" t="s">
        <v>995</v>
      </c>
      <c r="BF12" t="s">
        <v>996</v>
      </c>
      <c r="BG12" t="s">
        <v>997</v>
      </c>
      <c r="BH12" t="s">
        <v>998</v>
      </c>
      <c r="BI12" t="s">
        <v>999</v>
      </c>
      <c r="BJ12" t="s">
        <v>2189</v>
      </c>
      <c r="BK12" t="s">
        <v>1000</v>
      </c>
      <c r="BL12" t="s">
        <v>2190</v>
      </c>
      <c r="BM12" t="s">
        <v>2191</v>
      </c>
      <c r="BN12" t="s">
        <v>196</v>
      </c>
      <c r="BO12">
        <v>1.24</v>
      </c>
      <c r="BP12">
        <v>3.13</v>
      </c>
      <c r="BQ12">
        <v>2.73</v>
      </c>
      <c r="BR12">
        <v>1.93</v>
      </c>
      <c r="BS12">
        <v>7.2</v>
      </c>
      <c r="BT12">
        <v>6.19</v>
      </c>
      <c r="BU12">
        <v>4.4000000000000004</v>
      </c>
      <c r="BV12" t="s">
        <v>2192</v>
      </c>
      <c r="BW12">
        <v>16.66</v>
      </c>
      <c r="BX12">
        <v>20.350000000000001</v>
      </c>
      <c r="BY12">
        <v>21.52</v>
      </c>
      <c r="BZ12">
        <v>7.06</v>
      </c>
      <c r="CA12">
        <v>5.29</v>
      </c>
      <c r="CB12">
        <v>4.3499999999999996</v>
      </c>
      <c r="CC12">
        <v>15.83</v>
      </c>
      <c r="CD12">
        <v>12.94</v>
      </c>
      <c r="CE12" t="s">
        <v>2193</v>
      </c>
      <c r="CF12" t="s">
        <v>648</v>
      </c>
      <c r="CG12" s="23">
        <v>-0.37790248953315625</v>
      </c>
      <c r="CH12" s="24">
        <v>-0.31299687685459943</v>
      </c>
      <c r="CI12" s="23">
        <v>0.28259533643722534</v>
      </c>
      <c r="CJ12" s="23">
        <v>0.1732330322265625</v>
      </c>
      <c r="CK12" s="23">
        <v>6.8886645138263702E-2</v>
      </c>
      <c r="CL12" s="23">
        <v>-9.2850774526596069E-2</v>
      </c>
      <c r="CM12" s="23">
        <v>-1.5411929227411747E-2</v>
      </c>
      <c r="CN12" s="24">
        <v>0.22932326793670654</v>
      </c>
      <c r="CO12" s="24">
        <v>0.45696401596069336</v>
      </c>
      <c r="CP12" s="24">
        <v>0.13197526335716248</v>
      </c>
      <c r="CQ12" s="24">
        <v>6.8117253482341766E-2</v>
      </c>
      <c r="CR12" s="24">
        <v>1.5924887657165527</v>
      </c>
      <c r="CS12">
        <v>1.2978998933478325</v>
      </c>
      <c r="CT12">
        <v>28966889.034512889</v>
      </c>
      <c r="CU12" t="e">
        <v>#VALUE!</v>
      </c>
      <c r="CV12" s="23">
        <v>8.329046200960874E-2</v>
      </c>
      <c r="CW12" s="24">
        <v>0.49577371329069136</v>
      </c>
      <c r="CX12">
        <v>0.06</v>
      </c>
      <c r="CY12">
        <v>26.531196722089419</v>
      </c>
      <c r="CZ12">
        <v>2339294214.6603718</v>
      </c>
      <c r="DA12">
        <v>8.329046200960874E-2</v>
      </c>
      <c r="DB12">
        <v>8.7195849672893324</v>
      </c>
      <c r="DC12">
        <v>7117801504.6390448</v>
      </c>
      <c r="DD12">
        <v>7.9125938909128293E-2</v>
      </c>
      <c r="DE12">
        <v>4.325128738206927</v>
      </c>
      <c r="DF12">
        <v>14349694253.431644</v>
      </c>
      <c r="DG12">
        <v>7.3295606568455698E-2</v>
      </c>
      <c r="DH12">
        <v>2.6195535475404546</v>
      </c>
      <c r="DI12">
        <v>23692691855.172516</v>
      </c>
      <c r="DJ12">
        <v>6.6632369607686995E-2</v>
      </c>
      <c r="DK12">
        <v>1.3786444480586488</v>
      </c>
      <c r="DL12">
        <v>45018333107.855614</v>
      </c>
      <c r="DM12">
        <v>5.8303323406726115E-2</v>
      </c>
      <c r="DN12">
        <v>2289000000</v>
      </c>
      <c r="DO12">
        <v>8.329046200960874E-2</v>
      </c>
      <c r="DP12">
        <v>62064275000</v>
      </c>
      <c r="DQ12">
        <v>69919903000</v>
      </c>
      <c r="DR12">
        <v>3392</v>
      </c>
      <c r="DS12">
        <v>-0.46119295154276496</v>
      </c>
      <c r="DT12">
        <v>-0.80877059014529085</v>
      </c>
      <c r="DU12" s="25">
        <v>9.6666666666666637E-2</v>
      </c>
      <c r="DV12">
        <v>0.29666666666666669</v>
      </c>
      <c r="DW12">
        <v>0.39333333333333331</v>
      </c>
      <c r="DX12">
        <v>5.8174352495262163</v>
      </c>
      <c r="DY12">
        <v>0.6631416837782339</v>
      </c>
      <c r="DZ12">
        <v>5.25597305041632</v>
      </c>
      <c r="EA12">
        <v>2155</v>
      </c>
      <c r="EB12">
        <v>5.1411952885255232</v>
      </c>
      <c r="EC12">
        <v>5</v>
      </c>
      <c r="ED12">
        <v>9.779377876379558E-2</v>
      </c>
      <c r="EE12">
        <v>0.3122988213637275</v>
      </c>
      <c r="EF12" s="22">
        <v>2.1194999999999999</v>
      </c>
      <c r="EG12">
        <v>2.1474000000000002</v>
      </c>
      <c r="EH12">
        <v>35.313141683778234</v>
      </c>
      <c r="EI12" t="s">
        <v>909</v>
      </c>
      <c r="EJ12">
        <v>1</v>
      </c>
      <c r="EK12">
        <v>0</v>
      </c>
    </row>
    <row r="13" spans="1:141" ht="28.8" x14ac:dyDescent="0.25">
      <c r="A13" s="32" t="s">
        <v>830</v>
      </c>
      <c r="B13" s="3"/>
      <c r="C13" s="3"/>
      <c r="D13" s="3"/>
      <c r="E13" t="s">
        <v>826</v>
      </c>
      <c r="F13" t="s">
        <v>827</v>
      </c>
      <c r="G13">
        <v>11.44</v>
      </c>
      <c r="H13">
        <v>2.97</v>
      </c>
      <c r="I13" t="s">
        <v>1001</v>
      </c>
      <c r="J13">
        <v>4010531500</v>
      </c>
      <c r="K13">
        <v>54.8</v>
      </c>
      <c r="L13">
        <v>2.1</v>
      </c>
      <c r="M13" t="s">
        <v>240</v>
      </c>
      <c r="N13" t="s">
        <v>1002</v>
      </c>
      <c r="O13" t="s">
        <v>1003</v>
      </c>
      <c r="P13" t="s">
        <v>1004</v>
      </c>
      <c r="Q13">
        <v>15.73</v>
      </c>
      <c r="R13" t="s">
        <v>1005</v>
      </c>
      <c r="S13">
        <v>27762530</v>
      </c>
      <c r="T13" s="4">
        <v>-0.38350000000000001</v>
      </c>
      <c r="U13" t="s">
        <v>1006</v>
      </c>
      <c r="V13">
        <v>350570930</v>
      </c>
      <c r="W13">
        <v>350570930</v>
      </c>
      <c r="X13">
        <v>1.72</v>
      </c>
      <c r="Y13">
        <v>0.15</v>
      </c>
      <c r="Z13">
        <v>5.96</v>
      </c>
      <c r="AA13" t="s">
        <v>61</v>
      </c>
      <c r="AB13" t="s">
        <v>1007</v>
      </c>
      <c r="AC13" t="s">
        <v>1008</v>
      </c>
      <c r="AD13" t="s">
        <v>1009</v>
      </c>
      <c r="AE13" t="s">
        <v>63</v>
      </c>
      <c r="AF13">
        <v>9423865</v>
      </c>
      <c r="AG13" t="s">
        <v>1010</v>
      </c>
      <c r="AH13" t="s">
        <v>1011</v>
      </c>
      <c r="AI13" t="s">
        <v>1012</v>
      </c>
      <c r="AJ13" t="s">
        <v>75</v>
      </c>
      <c r="AK13" t="s">
        <v>1013</v>
      </c>
      <c r="AL13" t="s">
        <v>1014</v>
      </c>
      <c r="AM13" t="s">
        <v>1015</v>
      </c>
      <c r="AN13" t="s">
        <v>7</v>
      </c>
      <c r="AO13" t="s">
        <v>1016</v>
      </c>
      <c r="AP13" t="s">
        <v>88</v>
      </c>
      <c r="AQ13" t="s">
        <v>26</v>
      </c>
      <c r="AR13" t="s">
        <v>1017</v>
      </c>
      <c r="AS13" t="s">
        <v>7</v>
      </c>
      <c r="AT13" t="s">
        <v>1018</v>
      </c>
      <c r="AU13" t="s">
        <v>52</v>
      </c>
      <c r="AV13" t="s">
        <v>1019</v>
      </c>
      <c r="AW13" t="s">
        <v>1020</v>
      </c>
      <c r="AX13" t="s">
        <v>1021</v>
      </c>
      <c r="AY13" t="s">
        <v>1022</v>
      </c>
      <c r="AZ13" t="s">
        <v>101</v>
      </c>
      <c r="BA13" t="s">
        <v>181</v>
      </c>
      <c r="BB13" t="s">
        <v>739</v>
      </c>
      <c r="BC13" t="s">
        <v>1023</v>
      </c>
      <c r="BD13" t="s">
        <v>71</v>
      </c>
      <c r="BE13" t="s">
        <v>56</v>
      </c>
      <c r="BF13" t="s">
        <v>110</v>
      </c>
      <c r="BG13" t="s">
        <v>1024</v>
      </c>
      <c r="BH13" t="s">
        <v>1025</v>
      </c>
      <c r="BI13" t="s">
        <v>1026</v>
      </c>
      <c r="BJ13" t="s">
        <v>194</v>
      </c>
      <c r="BK13" t="s">
        <v>1022</v>
      </c>
      <c r="BL13" t="s">
        <v>1006</v>
      </c>
      <c r="BM13" t="s">
        <v>1027</v>
      </c>
      <c r="BN13" t="s">
        <v>71</v>
      </c>
      <c r="BO13">
        <v>3.66</v>
      </c>
      <c r="BP13">
        <v>8.15</v>
      </c>
      <c r="BQ13">
        <v>8.24</v>
      </c>
      <c r="BR13">
        <v>9.26</v>
      </c>
      <c r="BS13">
        <v>6.05</v>
      </c>
      <c r="BT13">
        <v>13.88</v>
      </c>
      <c r="BU13">
        <v>12.15</v>
      </c>
      <c r="BV13">
        <v>11.69</v>
      </c>
      <c r="BW13">
        <v>24.18</v>
      </c>
      <c r="BX13">
        <v>29.59</v>
      </c>
      <c r="BY13">
        <v>34.42</v>
      </c>
      <c r="BZ13">
        <v>5.12</v>
      </c>
      <c r="CA13">
        <v>10.64</v>
      </c>
      <c r="CB13">
        <v>13.12</v>
      </c>
      <c r="CC13">
        <v>10.210000000000001</v>
      </c>
      <c r="CD13">
        <v>43.9</v>
      </c>
      <c r="CE13" t="s">
        <v>656</v>
      </c>
      <c r="CF13" t="s">
        <v>1028</v>
      </c>
      <c r="CG13" s="23">
        <v>0.15759226337448545</v>
      </c>
      <c r="CH13" s="24">
        <v>-0.38351109068178435</v>
      </c>
      <c r="CI13" s="23">
        <v>0.24548536539077759</v>
      </c>
      <c r="CJ13" s="23">
        <v>0.71373307704925537</v>
      </c>
      <c r="CK13" s="23">
        <v>1.5717092901468277E-2</v>
      </c>
      <c r="CL13" s="23">
        <v>0.12610618770122528</v>
      </c>
      <c r="CM13" s="23">
        <v>0.16645161807537079</v>
      </c>
      <c r="CN13" s="24">
        <v>-0.42011922597885132</v>
      </c>
      <c r="CO13" s="24">
        <v>0.27868852019309998</v>
      </c>
      <c r="CP13" s="24">
        <v>4.2735043913125992E-2</v>
      </c>
      <c r="CQ13" s="24">
        <v>-0.10687022656202316</v>
      </c>
      <c r="CR13" s="24">
        <v>0.11016949266195297</v>
      </c>
      <c r="CS13">
        <v>1.8171869053013141</v>
      </c>
      <c r="CT13">
        <v>25162714.704835434</v>
      </c>
      <c r="CU13">
        <v>1.5376799999999999</v>
      </c>
      <c r="CV13" s="23">
        <v>0.25349866822361944</v>
      </c>
      <c r="CW13" s="24">
        <v>-1.9079279154539108E-2</v>
      </c>
      <c r="CX13">
        <v>0.06</v>
      </c>
      <c r="CY13">
        <v>31.769470996680461</v>
      </c>
      <c r="CZ13">
        <v>106974758.89211711</v>
      </c>
      <c r="DA13">
        <v>0.25349866822361944</v>
      </c>
      <c r="DB13">
        <v>9.0638834661287238</v>
      </c>
      <c r="DC13">
        <v>374953132.69418579</v>
      </c>
      <c r="DD13">
        <v>0.24082373481243846</v>
      </c>
      <c r="DE13">
        <v>3.6835604460952114</v>
      </c>
      <c r="DF13">
        <v>922621346.85549724</v>
      </c>
      <c r="DG13">
        <v>0.22307882803678511</v>
      </c>
      <c r="DH13">
        <v>1.7567484828540261</v>
      </c>
      <c r="DI13">
        <v>1934557811.3030281</v>
      </c>
      <c r="DJ13">
        <v>0.20279893457889556</v>
      </c>
      <c r="DK13">
        <v>0.5219668242114639</v>
      </c>
      <c r="DL13">
        <v>6511010551.5502195</v>
      </c>
      <c r="DM13">
        <v>0.1774490677565336</v>
      </c>
      <c r="DN13">
        <v>90461400</v>
      </c>
      <c r="DO13">
        <v>0.25349866822361944</v>
      </c>
      <c r="DP13">
        <v>3398531500</v>
      </c>
      <c r="DQ13">
        <v>891570100</v>
      </c>
      <c r="DR13">
        <v>3745</v>
      </c>
      <c r="DS13">
        <v>-9.5906404849133986E-2</v>
      </c>
      <c r="DT13">
        <v>-0.36443181152724524</v>
      </c>
      <c r="DU13" s="25">
        <v>0.78666666666666663</v>
      </c>
      <c r="DV13">
        <v>-0.23666666666666666</v>
      </c>
      <c r="DW13">
        <v>0.54999999999999993</v>
      </c>
      <c r="DX13">
        <v>9.2325740318906604</v>
      </c>
      <c r="DY13">
        <v>0.79930930930930599</v>
      </c>
      <c r="DZ13">
        <v>9.0719373131673819</v>
      </c>
      <c r="EA13">
        <v>2048</v>
      </c>
      <c r="EB13">
        <v>9.0407172204852895</v>
      </c>
      <c r="EC13">
        <v>9</v>
      </c>
      <c r="ED13">
        <v>0.29380644881194229</v>
      </c>
      <c r="EE13">
        <v>0.94987910149880372</v>
      </c>
      <c r="EF13" s="22">
        <v>2.2199999999999998E-2</v>
      </c>
      <c r="EG13">
        <v>5.1900000000000002E-2</v>
      </c>
      <c r="EH13">
        <v>49.309309309309306</v>
      </c>
      <c r="EI13" t="s">
        <v>378</v>
      </c>
      <c r="EJ13">
        <v>1</v>
      </c>
      <c r="EK13">
        <v>0</v>
      </c>
    </row>
    <row r="14" spans="1:141" ht="140.4" x14ac:dyDescent="0.25">
      <c r="A14" s="32" t="s">
        <v>828</v>
      </c>
      <c r="B14" s="3"/>
      <c r="C14" s="3" t="s">
        <v>2194</v>
      </c>
      <c r="D14" s="3" t="s">
        <v>2195</v>
      </c>
      <c r="E14" t="s">
        <v>320</v>
      </c>
      <c r="F14" t="s">
        <v>321</v>
      </c>
      <c r="G14">
        <v>107.25</v>
      </c>
      <c r="H14">
        <v>9.1199999999999992</v>
      </c>
      <c r="I14" t="s">
        <v>2196</v>
      </c>
      <c r="J14">
        <v>10713351300</v>
      </c>
      <c r="L14">
        <v>4.3499999999999996</v>
      </c>
      <c r="M14" t="s">
        <v>256</v>
      </c>
      <c r="N14" t="s">
        <v>7</v>
      </c>
      <c r="O14" t="s">
        <v>7</v>
      </c>
      <c r="P14" t="s">
        <v>486</v>
      </c>
      <c r="Q14" t="s">
        <v>7</v>
      </c>
      <c r="R14" t="s">
        <v>428</v>
      </c>
      <c r="S14">
        <v>-23474799</v>
      </c>
      <c r="T14" s="4">
        <v>-0.50690000000000002</v>
      </c>
      <c r="U14" t="s">
        <v>487</v>
      </c>
      <c r="V14">
        <v>81321185</v>
      </c>
      <c r="W14">
        <v>99891387</v>
      </c>
      <c r="X14" t="s">
        <v>7</v>
      </c>
      <c r="Y14" t="s">
        <v>7</v>
      </c>
      <c r="Z14" t="s">
        <v>7</v>
      </c>
      <c r="AA14" t="s">
        <v>7</v>
      </c>
      <c r="AB14" t="s">
        <v>7</v>
      </c>
      <c r="AC14" t="s">
        <v>7</v>
      </c>
      <c r="AD14" t="s">
        <v>7</v>
      </c>
      <c r="AE14" t="s">
        <v>7</v>
      </c>
      <c r="AF14">
        <v>505481</v>
      </c>
      <c r="AG14" t="s">
        <v>628</v>
      </c>
      <c r="AH14" t="s">
        <v>7</v>
      </c>
      <c r="AI14" t="s">
        <v>629</v>
      </c>
      <c r="AJ14" t="s">
        <v>7</v>
      </c>
      <c r="AK14" t="s">
        <v>630</v>
      </c>
      <c r="AL14" t="s">
        <v>7</v>
      </c>
      <c r="AM14" t="s">
        <v>631</v>
      </c>
      <c r="AN14" t="s">
        <v>7</v>
      </c>
      <c r="AO14" t="s">
        <v>7</v>
      </c>
      <c r="AP14" t="s">
        <v>7</v>
      </c>
      <c r="AQ14" t="s">
        <v>7</v>
      </c>
      <c r="AR14" t="s">
        <v>7</v>
      </c>
      <c r="AS14" t="s">
        <v>7</v>
      </c>
      <c r="AT14" t="s">
        <v>7</v>
      </c>
      <c r="AU14" t="s">
        <v>7</v>
      </c>
      <c r="AV14" t="s">
        <v>7</v>
      </c>
      <c r="AW14" t="s">
        <v>7</v>
      </c>
      <c r="AX14" t="s">
        <v>7</v>
      </c>
      <c r="AY14" t="s">
        <v>76</v>
      </c>
      <c r="AZ14" t="s">
        <v>18</v>
      </c>
      <c r="BA14" t="s">
        <v>78</v>
      </c>
      <c r="BB14" t="s">
        <v>70</v>
      </c>
      <c r="BC14" t="s">
        <v>92</v>
      </c>
      <c r="BD14" t="s">
        <v>322</v>
      </c>
      <c r="BE14" t="s">
        <v>323</v>
      </c>
      <c r="BF14" t="s">
        <v>324</v>
      </c>
      <c r="BG14" t="s">
        <v>325</v>
      </c>
      <c r="BH14" t="s">
        <v>326</v>
      </c>
      <c r="BI14" t="s">
        <v>814</v>
      </c>
      <c r="BJ14" t="s">
        <v>1025</v>
      </c>
      <c r="BK14" t="s">
        <v>327</v>
      </c>
      <c r="BL14" t="s">
        <v>2197</v>
      </c>
      <c r="BM14" t="s">
        <v>2198</v>
      </c>
      <c r="BN14" t="s">
        <v>328</v>
      </c>
      <c r="BO14">
        <v>-0.86</v>
      </c>
      <c r="BP14">
        <v>-6.16</v>
      </c>
      <c r="BQ14">
        <v>-1.21</v>
      </c>
      <c r="BR14">
        <v>6.49</v>
      </c>
      <c r="BS14">
        <v>-7.11</v>
      </c>
      <c r="BT14">
        <v>-1.54</v>
      </c>
      <c r="BU14">
        <v>6.74</v>
      </c>
      <c r="BV14" t="s">
        <v>2187</v>
      </c>
      <c r="BW14">
        <v>41.8</v>
      </c>
      <c r="BX14">
        <v>43.66</v>
      </c>
      <c r="BY14">
        <v>45.12</v>
      </c>
      <c r="BZ14">
        <v>-36.76</v>
      </c>
      <c r="CA14">
        <v>-5.69</v>
      </c>
      <c r="CB14">
        <v>8.2899999999999991</v>
      </c>
      <c r="CC14">
        <v>5.16</v>
      </c>
      <c r="CD14">
        <v>0.83</v>
      </c>
      <c r="CE14" t="s">
        <v>2199</v>
      </c>
      <c r="CF14" t="s">
        <v>2200</v>
      </c>
      <c r="CG14" s="23">
        <v>-0.17746397457627119</v>
      </c>
      <c r="CH14" s="24">
        <v>-0.34502174398817403</v>
      </c>
      <c r="CI14" s="23">
        <v>9.9650353193283081E-2</v>
      </c>
      <c r="CJ14" s="23">
        <v>3.249097615480423E-2</v>
      </c>
      <c r="CK14" s="23">
        <v>0.50543481111526489</v>
      </c>
      <c r="CL14" s="23">
        <v>0.83084577322006226</v>
      </c>
      <c r="CM14" s="23">
        <v>0.45652174949645996</v>
      </c>
      <c r="CN14" s="24">
        <v>-6.1924557685852051</v>
      </c>
      <c r="CO14" s="24">
        <v>-1.3523910045623779</v>
      </c>
      <c r="CP14" s="24">
        <v>1.7650209665298462</v>
      </c>
      <c r="CQ14" s="24">
        <v>-0.19196513295173645</v>
      </c>
      <c r="CR14" s="24">
        <v>158.61872863769531</v>
      </c>
      <c r="CS14">
        <v>17.032355007949125</v>
      </c>
      <c r="CT14">
        <v>15820624.691358024</v>
      </c>
      <c r="CU14" t="e">
        <v>#VALUE!</v>
      </c>
      <c r="CV14" s="23">
        <v>0.38498873263597488</v>
      </c>
      <c r="CW14" s="24">
        <v>30.529387539625169</v>
      </c>
      <c r="CX14">
        <v>0.06</v>
      </c>
      <c r="CY14" t="e">
        <v>#VALUE!</v>
      </c>
      <c r="CZ14" t="s">
        <v>426</v>
      </c>
      <c r="DA14">
        <v>0.38498873263597488</v>
      </c>
      <c r="DB14" t="e">
        <v>#VALUE!</v>
      </c>
      <c r="DC14" t="s">
        <v>427</v>
      </c>
      <c r="DD14">
        <v>0.3657392960041761</v>
      </c>
      <c r="DE14" t="e">
        <v>#VALUE!</v>
      </c>
      <c r="DF14" t="s">
        <v>427</v>
      </c>
      <c r="DG14">
        <v>0.33879008471965788</v>
      </c>
      <c r="DH14" t="e">
        <v>#VALUE!</v>
      </c>
      <c r="DI14" t="s">
        <v>427</v>
      </c>
      <c r="DJ14">
        <v>0.30799098610877995</v>
      </c>
      <c r="DK14" t="e">
        <v>#VALUE!</v>
      </c>
      <c r="DL14" t="s">
        <v>427</v>
      </c>
      <c r="DM14">
        <v>0.26949211284518237</v>
      </c>
      <c r="DN14">
        <v>-162000000</v>
      </c>
      <c r="DO14">
        <v>0.38498873263597488</v>
      </c>
      <c r="DP14">
        <v>10713351300</v>
      </c>
      <c r="DQ14">
        <v>2265931600</v>
      </c>
      <c r="DR14">
        <v>4621</v>
      </c>
      <c r="DS14">
        <v>-0.56245270721224605</v>
      </c>
      <c r="DT14">
        <v>-30.874409283613343</v>
      </c>
      <c r="DU14" s="25">
        <v>0.24666666666666662</v>
      </c>
      <c r="DV14">
        <v>-1.6266666666666669</v>
      </c>
      <c r="DW14">
        <v>-1.3800000000000003</v>
      </c>
      <c r="DX14">
        <v>4.1608527131782944</v>
      </c>
      <c r="DY14">
        <v>1.0140487008640049</v>
      </c>
      <c r="DZ14">
        <v>4.0231706243637833</v>
      </c>
      <c r="EA14">
        <v>4156</v>
      </c>
      <c r="EB14">
        <v>4.0031337715015525</v>
      </c>
      <c r="EC14">
        <v>4</v>
      </c>
      <c r="ED14">
        <v>0.10124396410673525</v>
      </c>
      <c r="EE14">
        <v>0.70284538145415876</v>
      </c>
      <c r="EF14" s="22">
        <v>0.11950000000000001</v>
      </c>
      <c r="EG14">
        <v>1.0607</v>
      </c>
      <c r="EH14">
        <v>87.144048700864005</v>
      </c>
      <c r="EI14" t="s">
        <v>905</v>
      </c>
      <c r="EJ14">
        <v>0</v>
      </c>
      <c r="EK14">
        <v>0</v>
      </c>
    </row>
  </sheetData>
  <dataConsolidate/>
  <phoneticPr fontId="1" type="noConversion"/>
  <hyperlinks>
    <hyperlink ref="A2" r:id="rId1"/>
  </hyperlinks>
  <pageMargins left="0.7" right="0.7" top="0.75" bottom="0.75" header="0.3" footer="0.3"/>
  <pageSetup paperSize="9" orientation="portrait" horizontalDpi="0" verticalDpi="0" r:id="rId2"/>
  <drawing r:id="rId3"/>
  <legacyDrawing r:id="rId4"/>
  <mc:AlternateContent xmlns:mc="http://schemas.openxmlformats.org/markup-compatibility/2006">
    <mc:Choice Requires="x14">
      <controls>
        <mc:AlternateContent xmlns:mc="http://schemas.openxmlformats.org/markup-compatibility/2006">
          <mc:Choice Requires="x14">
            <control shapeId="24577" r:id="rId5" name="Button 1">
              <controlPr defaultSize="0" print="0" autoFill="0" autoPict="0" macro="[0]!'Industry_copy_call_buttom [c2],[d2]'">
                <anchor moveWithCells="1" sizeWithCells="1">
                  <from>
                    <xdr:col>1</xdr:col>
                    <xdr:colOff>60960</xdr:colOff>
                    <xdr:row>1</xdr:row>
                    <xdr:rowOff>259080</xdr:rowOff>
                  </from>
                  <to>
                    <xdr:col>1</xdr:col>
                    <xdr:colOff>1089660</xdr:colOff>
                    <xdr:row>1</xdr:row>
                    <xdr:rowOff>708660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K19"/>
  <sheetViews>
    <sheetView workbookViewId="0">
      <selection activeCell="A8" sqref="A8:XFD8"/>
    </sheetView>
  </sheetViews>
  <sheetFormatPr defaultRowHeight="14.4" x14ac:dyDescent="0.25"/>
  <cols>
    <col min="1" max="1" width="8.77734375" style="32"/>
    <col min="2" max="2" width="29.21875" customWidth="1"/>
    <col min="3" max="3" width="30.77734375" customWidth="1"/>
    <col min="4" max="4" width="34.77734375" customWidth="1"/>
  </cols>
  <sheetData>
    <row r="1" spans="1:141" s="16" customFormat="1" x14ac:dyDescent="0.25">
      <c r="A1" s="17" t="s">
        <v>157</v>
      </c>
      <c r="B1" s="20" t="s">
        <v>381</v>
      </c>
      <c r="C1" s="21" t="s">
        <v>382</v>
      </c>
      <c r="D1" s="20" t="s">
        <v>383</v>
      </c>
      <c r="E1" t="s">
        <v>2</v>
      </c>
      <c r="F1" t="s">
        <v>3</v>
      </c>
      <c r="G1" t="s">
        <v>0</v>
      </c>
      <c r="H1" t="s">
        <v>350</v>
      </c>
      <c r="I1" t="s">
        <v>384</v>
      </c>
      <c r="J1" t="s">
        <v>4</v>
      </c>
      <c r="K1" t="s">
        <v>5</v>
      </c>
      <c r="L1" t="s">
        <v>1</v>
      </c>
      <c r="M1" t="s">
        <v>6</v>
      </c>
      <c r="N1" t="s">
        <v>9</v>
      </c>
      <c r="O1" t="s">
        <v>10</v>
      </c>
      <c r="P1" t="s">
        <v>11</v>
      </c>
      <c r="Q1" t="s">
        <v>385</v>
      </c>
      <c r="R1" t="s">
        <v>351</v>
      </c>
      <c r="S1" t="s">
        <v>386</v>
      </c>
      <c r="T1" t="s">
        <v>12</v>
      </c>
      <c r="U1" t="s">
        <v>352</v>
      </c>
      <c r="V1" t="s">
        <v>353</v>
      </c>
      <c r="W1" t="s">
        <v>13</v>
      </c>
      <c r="X1" t="s">
        <v>214</v>
      </c>
      <c r="Y1" t="s">
        <v>215</v>
      </c>
      <c r="Z1" t="s">
        <v>216</v>
      </c>
      <c r="AA1" t="s">
        <v>217</v>
      </c>
      <c r="AB1" t="s">
        <v>218</v>
      </c>
      <c r="AC1" t="s">
        <v>354</v>
      </c>
      <c r="AD1" t="s">
        <v>219</v>
      </c>
      <c r="AE1" t="s">
        <v>387</v>
      </c>
      <c r="AF1" t="s">
        <v>14</v>
      </c>
      <c r="AG1" t="s">
        <v>15</v>
      </c>
      <c r="AH1" t="s">
        <v>355</v>
      </c>
      <c r="AI1" t="s">
        <v>388</v>
      </c>
      <c r="AJ1" t="s">
        <v>356</v>
      </c>
      <c r="AK1" t="s">
        <v>16</v>
      </c>
      <c r="AL1" t="s">
        <v>357</v>
      </c>
      <c r="AM1" t="s">
        <v>158</v>
      </c>
      <c r="AN1" t="s">
        <v>358</v>
      </c>
      <c r="AO1" t="s">
        <v>359</v>
      </c>
      <c r="AP1" t="s">
        <v>360</v>
      </c>
      <c r="AQ1" t="s">
        <v>361</v>
      </c>
      <c r="AR1" t="s">
        <v>362</v>
      </c>
      <c r="AS1" t="s">
        <v>363</v>
      </c>
      <c r="AT1" t="s">
        <v>364</v>
      </c>
      <c r="AU1" t="s">
        <v>365</v>
      </c>
      <c r="AV1" t="s">
        <v>366</v>
      </c>
      <c r="AW1" t="s">
        <v>367</v>
      </c>
      <c r="AX1" t="s">
        <v>368</v>
      </c>
      <c r="AY1" t="s">
        <v>389</v>
      </c>
      <c r="AZ1" t="s">
        <v>159</v>
      </c>
      <c r="BA1" t="s">
        <v>160</v>
      </c>
      <c r="BB1" t="s">
        <v>161</v>
      </c>
      <c r="BC1" t="s">
        <v>162</v>
      </c>
      <c r="BD1" t="s">
        <v>168</v>
      </c>
      <c r="BE1" t="s">
        <v>163</v>
      </c>
      <c r="BF1" t="s">
        <v>164</v>
      </c>
      <c r="BG1" t="s">
        <v>165</v>
      </c>
      <c r="BH1" t="s">
        <v>166</v>
      </c>
      <c r="BI1" t="s">
        <v>390</v>
      </c>
      <c r="BJ1" t="s">
        <v>369</v>
      </c>
      <c r="BK1" t="s">
        <v>167</v>
      </c>
      <c r="BL1" t="s">
        <v>370</v>
      </c>
      <c r="BM1" t="s">
        <v>371</v>
      </c>
      <c r="BN1" t="s">
        <v>372</v>
      </c>
      <c r="BO1" t="s">
        <v>373</v>
      </c>
      <c r="BP1" t="s">
        <v>169</v>
      </c>
      <c r="BQ1" t="s">
        <v>170</v>
      </c>
      <c r="BR1" t="s">
        <v>171</v>
      </c>
      <c r="BS1" t="s">
        <v>374</v>
      </c>
      <c r="BT1" t="s">
        <v>172</v>
      </c>
      <c r="BU1" t="s">
        <v>173</v>
      </c>
      <c r="BV1" t="s">
        <v>174</v>
      </c>
      <c r="BW1" t="s">
        <v>375</v>
      </c>
      <c r="BX1" t="s">
        <v>175</v>
      </c>
      <c r="BY1" t="s">
        <v>176</v>
      </c>
      <c r="BZ1" t="s">
        <v>376</v>
      </c>
      <c r="CA1" t="s">
        <v>177</v>
      </c>
      <c r="CB1" t="s">
        <v>178</v>
      </c>
      <c r="CC1" t="s">
        <v>391</v>
      </c>
      <c r="CD1" t="s">
        <v>392</v>
      </c>
      <c r="CE1" t="s">
        <v>393</v>
      </c>
      <c r="CF1" t="s">
        <v>394</v>
      </c>
      <c r="CG1" s="1" t="s">
        <v>220</v>
      </c>
      <c r="CH1" s="1" t="s">
        <v>221</v>
      </c>
      <c r="CI1" s="1" t="s">
        <v>222</v>
      </c>
      <c r="CJ1" s="1" t="s">
        <v>223</v>
      </c>
      <c r="CK1" s="1" t="s">
        <v>224</v>
      </c>
      <c r="CL1" s="1" t="s">
        <v>225</v>
      </c>
      <c r="CM1" s="1" t="s">
        <v>226</v>
      </c>
      <c r="CN1" s="1" t="s">
        <v>227</v>
      </c>
      <c r="CO1" s="1" t="s">
        <v>228</v>
      </c>
      <c r="CP1" s="1" t="s">
        <v>229</v>
      </c>
      <c r="CQ1" s="1" t="s">
        <v>230</v>
      </c>
      <c r="CR1" s="1" t="s">
        <v>231</v>
      </c>
      <c r="CS1" s="1" t="s">
        <v>395</v>
      </c>
      <c r="CT1" s="1" t="s">
        <v>396</v>
      </c>
      <c r="CU1" s="1" t="s">
        <v>397</v>
      </c>
      <c r="CV1" s="1" t="s">
        <v>232</v>
      </c>
      <c r="CW1" s="1" t="s">
        <v>398</v>
      </c>
      <c r="CX1" s="1" t="s">
        <v>138</v>
      </c>
      <c r="CY1">
        <v>1</v>
      </c>
      <c r="CZ1" t="s">
        <v>400</v>
      </c>
      <c r="DA1" t="s">
        <v>266</v>
      </c>
      <c r="DB1">
        <v>3</v>
      </c>
      <c r="DC1" t="s">
        <v>401</v>
      </c>
      <c r="DD1" t="s">
        <v>402</v>
      </c>
      <c r="DE1">
        <v>6</v>
      </c>
      <c r="DF1" t="s">
        <v>267</v>
      </c>
      <c r="DG1" t="s">
        <v>403</v>
      </c>
      <c r="DH1">
        <v>10</v>
      </c>
      <c r="DI1" t="s">
        <v>404</v>
      </c>
      <c r="DJ1" t="s">
        <v>268</v>
      </c>
      <c r="DK1">
        <v>20</v>
      </c>
      <c r="DL1" t="s">
        <v>405</v>
      </c>
      <c r="DM1" t="s">
        <v>233</v>
      </c>
      <c r="DN1" t="s">
        <v>234</v>
      </c>
      <c r="DO1" s="2" t="s">
        <v>235</v>
      </c>
      <c r="DP1" t="s">
        <v>406</v>
      </c>
      <c r="DQ1" t="s">
        <v>269</v>
      </c>
      <c r="DR1" s="1" t="s">
        <v>236</v>
      </c>
      <c r="DS1" s="1" t="s">
        <v>237</v>
      </c>
      <c r="DT1" s="1" t="s">
        <v>407</v>
      </c>
      <c r="DU1" t="s">
        <v>408</v>
      </c>
      <c r="DV1" t="s">
        <v>270</v>
      </c>
      <c r="DW1" t="s">
        <v>409</v>
      </c>
      <c r="DX1" t="s">
        <v>410</v>
      </c>
      <c r="DY1" t="s">
        <v>411</v>
      </c>
      <c r="DZ1" t="s">
        <v>412</v>
      </c>
      <c r="EA1" t="s">
        <v>413</v>
      </c>
      <c r="EB1" t="s">
        <v>238</v>
      </c>
      <c r="EC1" t="s">
        <v>414</v>
      </c>
      <c r="ED1" t="s">
        <v>415</v>
      </c>
      <c r="EE1" t="s">
        <v>416</v>
      </c>
      <c r="EF1" t="s">
        <v>417</v>
      </c>
      <c r="EG1" t="s">
        <v>418</v>
      </c>
      <c r="EH1" t="s">
        <v>419</v>
      </c>
      <c r="EI1" t="s">
        <v>420</v>
      </c>
      <c r="EJ1" t="s">
        <v>421</v>
      </c>
      <c r="EK1"/>
    </row>
    <row r="2" spans="1:141" s="16" customFormat="1" ht="71.55" customHeight="1" x14ac:dyDescent="0.25">
      <c r="A2" s="29"/>
      <c r="B2" s="27"/>
      <c r="C2" s="28">
        <v>8</v>
      </c>
      <c r="D2" s="28">
        <v>8</v>
      </c>
      <c r="T2" s="18"/>
      <c r="U2" s="18"/>
      <c r="V2" s="18"/>
      <c r="AB2" s="19"/>
    </row>
    <row r="3" spans="1:141" ht="28.8" x14ac:dyDescent="0.25">
      <c r="A3" s="32" t="s">
        <v>1049</v>
      </c>
      <c r="B3" s="3"/>
      <c r="C3" s="3"/>
      <c r="D3" s="3"/>
      <c r="E3" t="s">
        <v>644</v>
      </c>
      <c r="F3" t="s">
        <v>645</v>
      </c>
      <c r="G3">
        <v>19.61</v>
      </c>
      <c r="H3">
        <v>-0.71</v>
      </c>
      <c r="I3" t="s">
        <v>777</v>
      </c>
      <c r="J3">
        <v>19779814000</v>
      </c>
      <c r="K3">
        <v>8.07</v>
      </c>
      <c r="L3">
        <v>0.98199999999999998</v>
      </c>
      <c r="M3" t="s">
        <v>240</v>
      </c>
      <c r="N3" t="s">
        <v>778</v>
      </c>
      <c r="O3" t="s">
        <v>779</v>
      </c>
      <c r="P3" t="s">
        <v>780</v>
      </c>
      <c r="Q3">
        <v>-7.6</v>
      </c>
      <c r="R3" t="s">
        <v>781</v>
      </c>
      <c r="S3">
        <v>736499270</v>
      </c>
      <c r="T3" s="4">
        <v>-0.1452</v>
      </c>
      <c r="U3" t="s">
        <v>782</v>
      </c>
      <c r="V3">
        <v>816990230</v>
      </c>
      <c r="W3">
        <v>1008659570</v>
      </c>
      <c r="X3">
        <v>1.41</v>
      </c>
      <c r="Y3">
        <v>0.15</v>
      </c>
      <c r="Z3">
        <v>17.600000000000001</v>
      </c>
      <c r="AA3" t="s">
        <v>783</v>
      </c>
      <c r="AB3" t="s">
        <v>784</v>
      </c>
      <c r="AC3" t="s">
        <v>785</v>
      </c>
      <c r="AD3" t="s">
        <v>42</v>
      </c>
      <c r="AE3" t="s">
        <v>85</v>
      </c>
      <c r="AF3">
        <v>8098018</v>
      </c>
      <c r="AG3" t="s">
        <v>786</v>
      </c>
      <c r="AH3" t="s">
        <v>787</v>
      </c>
      <c r="AI3" t="s">
        <v>788</v>
      </c>
      <c r="AJ3" t="s">
        <v>789</v>
      </c>
      <c r="AK3" t="s">
        <v>790</v>
      </c>
      <c r="AL3" t="s">
        <v>186</v>
      </c>
      <c r="AM3" t="s">
        <v>791</v>
      </c>
      <c r="AN3" t="s">
        <v>7</v>
      </c>
      <c r="AO3" t="s">
        <v>35</v>
      </c>
      <c r="AP3" t="s">
        <v>792</v>
      </c>
      <c r="AQ3" t="s">
        <v>793</v>
      </c>
      <c r="AR3" t="s">
        <v>794</v>
      </c>
      <c r="AS3" t="s">
        <v>795</v>
      </c>
      <c r="AT3" t="s">
        <v>796</v>
      </c>
      <c r="AU3" t="s">
        <v>37</v>
      </c>
      <c r="AV3" t="s">
        <v>797</v>
      </c>
      <c r="AW3" t="s">
        <v>798</v>
      </c>
      <c r="AX3" t="s">
        <v>728</v>
      </c>
      <c r="AY3" t="s">
        <v>799</v>
      </c>
      <c r="AZ3" t="s">
        <v>800</v>
      </c>
      <c r="BA3" t="s">
        <v>801</v>
      </c>
      <c r="BB3" t="s">
        <v>802</v>
      </c>
      <c r="BC3" t="s">
        <v>803</v>
      </c>
      <c r="BD3" t="s">
        <v>804</v>
      </c>
      <c r="BE3" t="s">
        <v>805</v>
      </c>
      <c r="BF3" t="s">
        <v>806</v>
      </c>
      <c r="BG3" t="s">
        <v>807</v>
      </c>
      <c r="BH3" t="s">
        <v>808</v>
      </c>
      <c r="BI3" t="s">
        <v>809</v>
      </c>
      <c r="BJ3" t="s">
        <v>810</v>
      </c>
      <c r="BK3" t="s">
        <v>799</v>
      </c>
      <c r="BL3" t="s">
        <v>782</v>
      </c>
      <c r="BM3" t="s">
        <v>811</v>
      </c>
      <c r="BN3" t="s">
        <v>804</v>
      </c>
      <c r="BO3">
        <v>11.72</v>
      </c>
      <c r="BP3">
        <v>13.79</v>
      </c>
      <c r="BQ3">
        <v>12.49</v>
      </c>
      <c r="BR3">
        <v>14.37</v>
      </c>
      <c r="BS3">
        <v>13.67</v>
      </c>
      <c r="BT3">
        <v>15.78</v>
      </c>
      <c r="BU3">
        <v>13.77</v>
      </c>
      <c r="BV3">
        <v>15.48</v>
      </c>
      <c r="BW3">
        <v>17.989999999999998</v>
      </c>
      <c r="BX3">
        <v>19.05</v>
      </c>
      <c r="BY3">
        <v>24.07</v>
      </c>
      <c r="BZ3">
        <v>19.36</v>
      </c>
      <c r="CA3">
        <v>21.91</v>
      </c>
      <c r="CB3">
        <v>26.21</v>
      </c>
      <c r="CC3">
        <v>-1.65</v>
      </c>
      <c r="CD3">
        <v>6.17</v>
      </c>
      <c r="CE3" t="s">
        <v>812</v>
      </c>
      <c r="CF3" t="s">
        <v>813</v>
      </c>
      <c r="CG3" s="23">
        <v>-7.5985404255319147E-2</v>
      </c>
      <c r="CH3" s="24">
        <v>-0.14559249419953585</v>
      </c>
      <c r="CI3" s="23">
        <v>6.1937298625707626E-2</v>
      </c>
      <c r="CJ3" s="23">
        <v>0.46675771474838257</v>
      </c>
      <c r="CK3" s="23">
        <v>7.1084760129451752E-3</v>
      </c>
      <c r="CL3" s="23">
        <v>-3.2715987414121628E-2</v>
      </c>
      <c r="CM3" s="23">
        <v>0.40386110544204712</v>
      </c>
      <c r="CN3" s="24">
        <v>-7.1402765810489655E-2</v>
      </c>
      <c r="CO3" s="24">
        <v>0.22266310453414917</v>
      </c>
      <c r="CP3" s="24">
        <v>-5.3422369062900543E-2</v>
      </c>
      <c r="CQ3" s="24">
        <v>-6.8066924810409546E-2</v>
      </c>
      <c r="CR3" s="24">
        <v>0.53767949342727661</v>
      </c>
      <c r="CS3">
        <v>1.4456814793158894</v>
      </c>
      <c r="CT3">
        <v>29206191.456310678</v>
      </c>
      <c r="CU3">
        <v>3.7224000000000004</v>
      </c>
      <c r="CV3" s="23">
        <v>0.18138972148299218</v>
      </c>
      <c r="CW3" s="24">
        <v>0.11349010765552521</v>
      </c>
      <c r="CX3">
        <v>0.06</v>
      </c>
      <c r="CY3">
        <v>2.6352320472713302</v>
      </c>
      <c r="CZ3">
        <v>2869885408.3195329</v>
      </c>
      <c r="DA3">
        <v>0.18138972148299218</v>
      </c>
      <c r="DB3">
        <v>0.79769510352394035</v>
      </c>
      <c r="DC3">
        <v>9480832922.9928951</v>
      </c>
      <c r="DD3">
        <v>0.17232023540884256</v>
      </c>
      <c r="DE3">
        <v>0.3532799738626069</v>
      </c>
      <c r="DF3">
        <v>21407423458.826546</v>
      </c>
      <c r="DG3">
        <v>0.15962295490503312</v>
      </c>
      <c r="DH3">
        <v>0.18740974789817136</v>
      </c>
      <c r="DI3">
        <v>40354432385.818253</v>
      </c>
      <c r="DJ3">
        <v>0.14511177718639376</v>
      </c>
      <c r="DK3">
        <v>7.2565065725786679E-2</v>
      </c>
      <c r="DL3">
        <v>104221141734.76842</v>
      </c>
      <c r="DM3">
        <v>0.12697280503809452</v>
      </c>
      <c r="DN3">
        <v>2575000000</v>
      </c>
      <c r="DO3">
        <v>0.18138972148299218</v>
      </c>
      <c r="DP3">
        <v>7562814000</v>
      </c>
      <c r="DQ3">
        <v>8028903000</v>
      </c>
      <c r="DR3">
        <v>159</v>
      </c>
      <c r="DS3">
        <v>-0.25737512573831134</v>
      </c>
      <c r="DT3">
        <v>-0.25908260185506105</v>
      </c>
      <c r="DU3" s="25">
        <v>0.25</v>
      </c>
      <c r="DV3">
        <v>0.25</v>
      </c>
      <c r="DW3">
        <v>0.5</v>
      </c>
      <c r="DX3">
        <v>2.0617000000000001</v>
      </c>
      <c r="DY3">
        <v>0.47214999999999918</v>
      </c>
      <c r="DZ3">
        <v>2.013706655</v>
      </c>
      <c r="EA3">
        <v>2132</v>
      </c>
      <c r="EB3">
        <v>2.0075141166528927</v>
      </c>
      <c r="EC3">
        <v>2</v>
      </c>
      <c r="ED3">
        <v>4.6250986346166326E-2</v>
      </c>
      <c r="EE3">
        <v>0.20819710261609872</v>
      </c>
      <c r="EF3" s="22">
        <v>0.12129999999999999</v>
      </c>
      <c r="EG3">
        <v>0.11420000000000001</v>
      </c>
      <c r="EH3">
        <v>25.222149999999999</v>
      </c>
      <c r="EI3" t="s">
        <v>378</v>
      </c>
      <c r="EJ3">
        <v>1</v>
      </c>
      <c r="EK3">
        <v>0</v>
      </c>
    </row>
    <row r="4" spans="1:141" ht="108" x14ac:dyDescent="0.25">
      <c r="A4" s="32" t="s">
        <v>1044</v>
      </c>
      <c r="B4" s="3" t="s">
        <v>1054</v>
      </c>
      <c r="C4" s="3"/>
      <c r="D4" s="3" t="s">
        <v>1055</v>
      </c>
      <c r="E4" t="s">
        <v>329</v>
      </c>
      <c r="F4" t="s">
        <v>330</v>
      </c>
      <c r="G4">
        <v>10.45</v>
      </c>
      <c r="H4">
        <v>3.77</v>
      </c>
      <c r="I4" t="s">
        <v>509</v>
      </c>
      <c r="J4">
        <v>44624332000</v>
      </c>
      <c r="K4">
        <v>17.13</v>
      </c>
      <c r="L4">
        <v>3.41</v>
      </c>
      <c r="M4" t="s">
        <v>331</v>
      </c>
      <c r="N4" t="s">
        <v>510</v>
      </c>
      <c r="O4" t="s">
        <v>511</v>
      </c>
      <c r="P4" t="s">
        <v>446</v>
      </c>
      <c r="Q4">
        <v>65.709999999999994</v>
      </c>
      <c r="R4" t="s">
        <v>447</v>
      </c>
      <c r="S4">
        <v>676477360</v>
      </c>
      <c r="T4" s="4">
        <v>6.0699999999999997E-2</v>
      </c>
      <c r="U4" t="s">
        <v>448</v>
      </c>
      <c r="V4">
        <v>3970229000</v>
      </c>
      <c r="W4">
        <v>4270271000</v>
      </c>
      <c r="X4">
        <v>2.06</v>
      </c>
      <c r="Y4">
        <v>0.78</v>
      </c>
      <c r="Z4">
        <v>14.68</v>
      </c>
      <c r="AA4" t="s">
        <v>512</v>
      </c>
      <c r="AB4" t="s">
        <v>513</v>
      </c>
      <c r="AC4" t="s">
        <v>102</v>
      </c>
      <c r="AD4" t="s">
        <v>514</v>
      </c>
      <c r="AE4" t="s">
        <v>59</v>
      </c>
      <c r="AF4">
        <v>58137726</v>
      </c>
      <c r="AG4" t="s">
        <v>515</v>
      </c>
      <c r="AH4" t="s">
        <v>516</v>
      </c>
      <c r="AI4" t="s">
        <v>517</v>
      </c>
      <c r="AJ4" t="s">
        <v>260</v>
      </c>
      <c r="AK4" t="s">
        <v>518</v>
      </c>
      <c r="AL4" t="s">
        <v>519</v>
      </c>
      <c r="AM4" t="s">
        <v>520</v>
      </c>
      <c r="AN4" t="s">
        <v>7</v>
      </c>
      <c r="AO4" t="s">
        <v>205</v>
      </c>
      <c r="AP4" t="s">
        <v>97</v>
      </c>
      <c r="AQ4" t="s">
        <v>84</v>
      </c>
      <c r="AR4" t="s">
        <v>424</v>
      </c>
      <c r="AS4" t="s">
        <v>7</v>
      </c>
      <c r="AT4" t="s">
        <v>521</v>
      </c>
      <c r="AU4" t="s">
        <v>249</v>
      </c>
      <c r="AV4" t="s">
        <v>522</v>
      </c>
      <c r="AW4" t="s">
        <v>523</v>
      </c>
      <c r="AX4" t="s">
        <v>524</v>
      </c>
      <c r="AY4" t="s">
        <v>332</v>
      </c>
      <c r="AZ4" t="s">
        <v>333</v>
      </c>
      <c r="BA4" t="s">
        <v>334</v>
      </c>
      <c r="BB4" t="s">
        <v>335</v>
      </c>
      <c r="BC4" t="s">
        <v>336</v>
      </c>
      <c r="BD4" t="s">
        <v>198</v>
      </c>
      <c r="BE4" t="s">
        <v>244</v>
      </c>
      <c r="BF4" t="s">
        <v>265</v>
      </c>
      <c r="BG4" t="s">
        <v>118</v>
      </c>
      <c r="BH4" t="s">
        <v>247</v>
      </c>
      <c r="BI4" t="s">
        <v>447</v>
      </c>
      <c r="BJ4" t="s">
        <v>525</v>
      </c>
      <c r="BK4" t="s">
        <v>332</v>
      </c>
      <c r="BL4" t="s">
        <v>448</v>
      </c>
      <c r="BM4" t="s">
        <v>109</v>
      </c>
      <c r="BN4" t="s">
        <v>198</v>
      </c>
      <c r="BO4">
        <v>10.91</v>
      </c>
      <c r="BP4">
        <v>4.49</v>
      </c>
      <c r="BQ4">
        <v>7.36</v>
      </c>
      <c r="BR4">
        <v>16.100000000000001</v>
      </c>
      <c r="BS4">
        <v>17.64</v>
      </c>
      <c r="BT4">
        <v>8.27</v>
      </c>
      <c r="BU4">
        <v>12.59</v>
      </c>
      <c r="BV4">
        <v>19.43</v>
      </c>
      <c r="BW4">
        <v>21.32</v>
      </c>
      <c r="BX4">
        <v>21.32</v>
      </c>
      <c r="BY4">
        <v>23.54</v>
      </c>
      <c r="BZ4">
        <v>6.7</v>
      </c>
      <c r="CA4">
        <v>6.7</v>
      </c>
      <c r="CB4">
        <v>7.68</v>
      </c>
      <c r="CC4">
        <v>-5.86</v>
      </c>
      <c r="CD4">
        <v>-15.32</v>
      </c>
      <c r="CE4" t="s">
        <v>75</v>
      </c>
      <c r="CF4" t="s">
        <v>526</v>
      </c>
      <c r="CG4">
        <v>-8.828958123922348E-2</v>
      </c>
      <c r="CH4">
        <v>-6.9782756268978119E-2</v>
      </c>
      <c r="CI4">
        <v>0.23770220577716827</v>
      </c>
      <c r="CJ4">
        <v>0.7212376594543457</v>
      </c>
      <c r="CK4">
        <v>0.24693089723587036</v>
      </c>
      <c r="CL4">
        <v>-0.26255229115486145</v>
      </c>
      <c r="CM4">
        <v>-0.46800220012664795</v>
      </c>
      <c r="CN4">
        <v>0.71469461917877197</v>
      </c>
      <c r="CO4">
        <v>0.54117649793624878</v>
      </c>
      <c r="CP4">
        <v>2.8681318759918213</v>
      </c>
      <c r="CQ4">
        <v>4.4419127354818624</v>
      </c>
      <c r="CR4">
        <v>0.89929078014184394</v>
      </c>
      <c r="CS4">
        <v>6.3331649999999993</v>
      </c>
      <c r="CT4">
        <v>0.20955968499183655</v>
      </c>
      <c r="CU4">
        <v>0.67868970036506648</v>
      </c>
      <c r="CV4">
        <v>0.06</v>
      </c>
      <c r="CW4">
        <v>72.582839195791891</v>
      </c>
      <c r="CX4">
        <v>804471299.92381585</v>
      </c>
      <c r="CY4">
        <v>0.20955968499183655</v>
      </c>
      <c r="CZ4">
        <v>21.46597964204209</v>
      </c>
      <c r="DA4">
        <v>2720155891.9602699</v>
      </c>
      <c r="DB4">
        <v>0.19908170074224471</v>
      </c>
      <c r="DC4">
        <v>9.1948204719984776</v>
      </c>
      <c r="DD4">
        <v>6350402509.5238056</v>
      </c>
      <c r="DE4">
        <v>0.18441252279281617</v>
      </c>
      <c r="DF4">
        <v>4.6826640531971497</v>
      </c>
      <c r="DG4">
        <v>12469570811.968225</v>
      </c>
      <c r="DH4">
        <v>0.16764774799346926</v>
      </c>
      <c r="DI4">
        <v>1.6402646731173873</v>
      </c>
      <c r="DJ4">
        <v>35598407962.433266</v>
      </c>
      <c r="DK4">
        <v>0.14669177949428558</v>
      </c>
      <c r="DL4">
        <v>705000000</v>
      </c>
      <c r="DM4">
        <v>0.20955968499183655</v>
      </c>
      <c r="DN4">
        <v>58390811000</v>
      </c>
      <c r="DO4">
        <v>-4230341700</v>
      </c>
      <c r="DP4">
        <v>264</v>
      </c>
      <c r="DQ4">
        <v>0.4809798289595586</v>
      </c>
      <c r="DR4">
        <v>22.405478159696056</v>
      </c>
      <c r="DS4">
        <v>0.68666666666666665</v>
      </c>
      <c r="DT4">
        <v>1.0133333333333334</v>
      </c>
      <c r="DU4">
        <v>1.7000000000000002</v>
      </c>
      <c r="DV4">
        <v>9.6140488314401367</v>
      </c>
      <c r="DW4">
        <v>0.32677216004116816</v>
      </c>
      <c r="DX4">
        <v>9.2006540580641154</v>
      </c>
      <c r="DY4">
        <v>730</v>
      </c>
      <c r="DZ4">
        <v>9.1678042122720527</v>
      </c>
      <c r="EA4">
        <v>9</v>
      </c>
    </row>
    <row r="5" spans="1:141" x14ac:dyDescent="0.25">
      <c r="A5" s="32" t="s">
        <v>1051</v>
      </c>
      <c r="B5" s="3"/>
      <c r="C5" s="3"/>
      <c r="D5" s="3"/>
      <c r="E5" t="s">
        <v>816</v>
      </c>
      <c r="F5" t="s">
        <v>817</v>
      </c>
      <c r="G5">
        <v>9.68</v>
      </c>
      <c r="H5">
        <v>3.53</v>
      </c>
      <c r="I5" t="s">
        <v>832</v>
      </c>
      <c r="J5">
        <v>7219709900</v>
      </c>
      <c r="K5">
        <v>24.21</v>
      </c>
      <c r="L5">
        <v>1.55</v>
      </c>
      <c r="M5" t="s">
        <v>276</v>
      </c>
      <c r="N5" t="s">
        <v>833</v>
      </c>
      <c r="O5" t="s">
        <v>834</v>
      </c>
      <c r="P5" t="s">
        <v>835</v>
      </c>
      <c r="Q5">
        <v>13.01</v>
      </c>
      <c r="R5" t="s">
        <v>836</v>
      </c>
      <c r="S5">
        <v>49673214</v>
      </c>
      <c r="T5" s="4">
        <v>-0.05</v>
      </c>
      <c r="U5" t="s">
        <v>722</v>
      </c>
      <c r="V5">
        <v>745821470</v>
      </c>
      <c r="W5">
        <v>745837800</v>
      </c>
      <c r="X5">
        <v>1.9</v>
      </c>
      <c r="Y5">
        <v>0.13</v>
      </c>
      <c r="Z5">
        <v>3.88</v>
      </c>
      <c r="AA5" t="s">
        <v>837</v>
      </c>
      <c r="AB5" t="s">
        <v>838</v>
      </c>
      <c r="AC5" t="s">
        <v>93</v>
      </c>
      <c r="AD5" t="s">
        <v>839</v>
      </c>
      <c r="AE5" t="s">
        <v>840</v>
      </c>
      <c r="AF5">
        <v>3569171</v>
      </c>
      <c r="AG5" t="s">
        <v>841</v>
      </c>
      <c r="AH5" t="s">
        <v>842</v>
      </c>
      <c r="AI5" t="s">
        <v>843</v>
      </c>
      <c r="AJ5" t="s">
        <v>844</v>
      </c>
      <c r="AK5" t="s">
        <v>845</v>
      </c>
      <c r="AL5" t="s">
        <v>28</v>
      </c>
      <c r="AM5" t="s">
        <v>846</v>
      </c>
      <c r="AN5" t="s">
        <v>7</v>
      </c>
      <c r="AO5" t="s">
        <v>847</v>
      </c>
      <c r="AP5" t="s">
        <v>848</v>
      </c>
      <c r="AQ5" t="s">
        <v>849</v>
      </c>
      <c r="AR5" t="s">
        <v>850</v>
      </c>
      <c r="AS5" t="s">
        <v>7</v>
      </c>
      <c r="AT5" t="s">
        <v>851</v>
      </c>
      <c r="AU5" t="s">
        <v>852</v>
      </c>
      <c r="AV5" t="s">
        <v>853</v>
      </c>
      <c r="AW5" t="s">
        <v>854</v>
      </c>
      <c r="AX5" t="s">
        <v>855</v>
      </c>
      <c r="AY5" t="s">
        <v>296</v>
      </c>
      <c r="AZ5" t="s">
        <v>856</v>
      </c>
      <c r="BA5" t="s">
        <v>857</v>
      </c>
      <c r="BB5" t="s">
        <v>858</v>
      </c>
      <c r="BC5" t="s">
        <v>859</v>
      </c>
      <c r="BD5" t="s">
        <v>54</v>
      </c>
      <c r="BE5" t="s">
        <v>80</v>
      </c>
      <c r="BF5" t="s">
        <v>860</v>
      </c>
      <c r="BG5" t="s">
        <v>861</v>
      </c>
      <c r="BH5" t="s">
        <v>862</v>
      </c>
      <c r="BI5" t="s">
        <v>863</v>
      </c>
      <c r="BJ5" t="s">
        <v>864</v>
      </c>
      <c r="BK5" t="s">
        <v>296</v>
      </c>
      <c r="BL5" t="s">
        <v>722</v>
      </c>
      <c r="BM5" t="s">
        <v>865</v>
      </c>
      <c r="BN5" t="s">
        <v>54</v>
      </c>
      <c r="BO5">
        <v>4.3600000000000003</v>
      </c>
      <c r="BP5">
        <v>3.8</v>
      </c>
      <c r="BQ5">
        <v>9.7899999999999991</v>
      </c>
      <c r="BR5">
        <v>7.17</v>
      </c>
      <c r="BS5">
        <v>6.55</v>
      </c>
      <c r="BT5">
        <v>5.69</v>
      </c>
      <c r="BU5">
        <v>14.47</v>
      </c>
      <c r="BV5">
        <v>10.16</v>
      </c>
      <c r="BW5">
        <v>21.96</v>
      </c>
      <c r="BX5">
        <v>26.41</v>
      </c>
      <c r="BY5">
        <v>29.55</v>
      </c>
      <c r="BZ5">
        <v>5.83</v>
      </c>
      <c r="CA5">
        <v>5.75</v>
      </c>
      <c r="CB5">
        <v>12.27</v>
      </c>
      <c r="CC5">
        <v>-2.71</v>
      </c>
      <c r="CD5">
        <v>15.79</v>
      </c>
      <c r="CE5" t="s">
        <v>866</v>
      </c>
      <c r="CF5" t="s">
        <v>867</v>
      </c>
      <c r="CG5" s="23">
        <v>0.12986277628032344</v>
      </c>
      <c r="CH5" s="24">
        <v>-5.0027367080328407E-2</v>
      </c>
      <c r="CI5" s="23">
        <v>0.33110782504081726</v>
      </c>
      <c r="CJ5" s="23">
        <v>5.8361701667308807E-2</v>
      </c>
      <c r="CK5" s="23">
        <v>5.9622794389724731E-2</v>
      </c>
      <c r="CL5" s="23">
        <v>4.4611856341362E-2</v>
      </c>
      <c r="CM5" s="23">
        <v>0.12442991882562637</v>
      </c>
      <c r="CN5" s="24">
        <v>0.34977579116821289</v>
      </c>
      <c r="CO5" s="24">
        <v>-0.50989013910293579</v>
      </c>
      <c r="CP5" s="24">
        <v>0.61347520351409912</v>
      </c>
      <c r="CQ5" s="24">
        <v>-0.10191082954406738</v>
      </c>
      <c r="CR5" s="24">
        <v>2.6143791154026985E-2</v>
      </c>
      <c r="CS5">
        <v>1.3412056288315066</v>
      </c>
      <c r="CT5">
        <v>10711947.176079733</v>
      </c>
      <c r="CU5">
        <v>0.95835999999999999</v>
      </c>
      <c r="CV5" s="23">
        <v>0.12362681925296784</v>
      </c>
      <c r="CW5" s="24">
        <v>7.5518763437867162E-2</v>
      </c>
      <c r="CX5">
        <v>0.06</v>
      </c>
      <c r="CY5">
        <v>21.154481272337794</v>
      </c>
      <c r="CZ5">
        <v>319067615.65579557</v>
      </c>
      <c r="DA5">
        <v>0.12362681925296784</v>
      </c>
      <c r="DB5">
        <v>6.7197524839323561</v>
      </c>
      <c r="DC5">
        <v>1004458113.0241442</v>
      </c>
      <c r="DD5">
        <v>0.11744547829031944</v>
      </c>
      <c r="DE5">
        <v>3.1833274284090534</v>
      </c>
      <c r="DF5">
        <v>2120331650.3867574</v>
      </c>
      <c r="DG5">
        <v>0.1087916009426117</v>
      </c>
      <c r="DH5">
        <v>1.8293766083798673</v>
      </c>
      <c r="DI5">
        <v>3689622939.9028335</v>
      </c>
      <c r="DJ5">
        <v>9.8901455402374272E-2</v>
      </c>
      <c r="DK5">
        <v>0.85608965135898829</v>
      </c>
      <c r="DL5">
        <v>7884349366.0801315</v>
      </c>
      <c r="DM5">
        <v>8.6538773477077488E-2</v>
      </c>
      <c r="DN5">
        <v>301000000</v>
      </c>
      <c r="DO5">
        <v>0.12362681925296784</v>
      </c>
      <c r="DP5">
        <v>6749709900</v>
      </c>
      <c r="DQ5">
        <v>1832121100.0000005</v>
      </c>
      <c r="DR5">
        <v>314</v>
      </c>
      <c r="DS5">
        <v>6.2359570273556042E-3</v>
      </c>
      <c r="DT5">
        <v>-0.12554613051819558</v>
      </c>
      <c r="DU5" s="25">
        <v>0.16666666666666666</v>
      </c>
      <c r="DV5">
        <v>0.28333333333333338</v>
      </c>
      <c r="DW5">
        <v>0.45000000000000007</v>
      </c>
      <c r="DX5">
        <v>-6.1464864864864861</v>
      </c>
      <c r="DY5">
        <v>0.43180524475524451</v>
      </c>
      <c r="DZ5">
        <v>-6.0251671466641463</v>
      </c>
      <c r="EA5">
        <v>2216</v>
      </c>
      <c r="EB5">
        <v>-6.0133463757850132</v>
      </c>
      <c r="EC5">
        <v>6</v>
      </c>
      <c r="ED5">
        <v>6.5880678077726823E-2</v>
      </c>
      <c r="EE5">
        <v>0.38346139066697882</v>
      </c>
      <c r="EF5" s="22">
        <v>-1.0199100000000001</v>
      </c>
      <c r="EG5">
        <v>-1.0154000000000001</v>
      </c>
      <c r="EH5">
        <v>26.171805244755245</v>
      </c>
      <c r="EI5" t="s">
        <v>380</v>
      </c>
      <c r="EJ5">
        <v>0</v>
      </c>
      <c r="EK5">
        <v>0</v>
      </c>
    </row>
    <row r="6" spans="1:141" ht="43.2" x14ac:dyDescent="0.25">
      <c r="A6" s="32" t="s">
        <v>1050</v>
      </c>
      <c r="B6" s="3"/>
      <c r="C6" s="3"/>
      <c r="D6" s="3"/>
      <c r="E6" t="s">
        <v>1029</v>
      </c>
      <c r="F6" t="s">
        <v>1030</v>
      </c>
      <c r="G6">
        <v>6.97</v>
      </c>
      <c r="H6">
        <v>6.9</v>
      </c>
      <c r="I6" t="s">
        <v>1056</v>
      </c>
      <c r="J6">
        <v>7151276400</v>
      </c>
      <c r="K6">
        <v>35.78</v>
      </c>
      <c r="L6">
        <v>1.48</v>
      </c>
      <c r="M6" t="s">
        <v>1031</v>
      </c>
      <c r="N6" t="s">
        <v>1057</v>
      </c>
      <c r="O6" t="s">
        <v>1058</v>
      </c>
      <c r="P6" t="s">
        <v>1059</v>
      </c>
      <c r="Q6">
        <v>25.96</v>
      </c>
      <c r="R6" t="s">
        <v>1060</v>
      </c>
      <c r="S6">
        <v>86208912</v>
      </c>
      <c r="T6" s="4">
        <v>0.48380000000000001</v>
      </c>
      <c r="U6" t="s">
        <v>73</v>
      </c>
      <c r="V6">
        <v>1025728150</v>
      </c>
      <c r="W6">
        <v>1026008100</v>
      </c>
      <c r="X6">
        <v>1.68</v>
      </c>
      <c r="Y6">
        <v>0.2</v>
      </c>
      <c r="Z6">
        <v>4.16</v>
      </c>
      <c r="AA6" t="s">
        <v>1061</v>
      </c>
      <c r="AB6" t="s">
        <v>1062</v>
      </c>
      <c r="AC6" t="s">
        <v>1063</v>
      </c>
      <c r="AD6" t="s">
        <v>1064</v>
      </c>
      <c r="AE6" t="s">
        <v>120</v>
      </c>
      <c r="AF6">
        <v>4823655</v>
      </c>
      <c r="AG6" t="s">
        <v>1065</v>
      </c>
      <c r="AH6" t="s">
        <v>1066</v>
      </c>
      <c r="AI6" t="s">
        <v>1067</v>
      </c>
      <c r="AJ6" t="s">
        <v>1068</v>
      </c>
      <c r="AK6" t="s">
        <v>1069</v>
      </c>
      <c r="AL6" t="s">
        <v>1070</v>
      </c>
      <c r="AM6" t="s">
        <v>1071</v>
      </c>
      <c r="AN6" t="s">
        <v>7</v>
      </c>
      <c r="AO6" t="s">
        <v>69</v>
      </c>
      <c r="AP6" t="s">
        <v>1072</v>
      </c>
      <c r="AQ6" t="s">
        <v>1073</v>
      </c>
      <c r="AR6" t="s">
        <v>1074</v>
      </c>
      <c r="AS6" t="s">
        <v>7</v>
      </c>
      <c r="AT6" t="s">
        <v>1075</v>
      </c>
      <c r="AU6" t="s">
        <v>1076</v>
      </c>
      <c r="AV6" t="s">
        <v>1077</v>
      </c>
      <c r="AW6" t="s">
        <v>1078</v>
      </c>
      <c r="AX6" t="s">
        <v>1079</v>
      </c>
      <c r="AY6" t="s">
        <v>242</v>
      </c>
      <c r="AZ6" t="s">
        <v>1080</v>
      </c>
      <c r="BA6" t="s">
        <v>1081</v>
      </c>
      <c r="BB6" t="s">
        <v>1082</v>
      </c>
      <c r="BC6" t="s">
        <v>1083</v>
      </c>
      <c r="BD6" t="s">
        <v>656</v>
      </c>
      <c r="BE6" t="s">
        <v>1084</v>
      </c>
      <c r="BF6" t="s">
        <v>1085</v>
      </c>
      <c r="BG6" t="s">
        <v>1086</v>
      </c>
      <c r="BH6" t="s">
        <v>1087</v>
      </c>
      <c r="BI6" t="s">
        <v>1060</v>
      </c>
      <c r="BJ6" t="s">
        <v>1088</v>
      </c>
      <c r="BK6" t="s">
        <v>242</v>
      </c>
      <c r="BL6" t="s">
        <v>73</v>
      </c>
      <c r="BM6" t="s">
        <v>1089</v>
      </c>
      <c r="BN6" t="s">
        <v>656</v>
      </c>
      <c r="BO6">
        <v>2.46</v>
      </c>
      <c r="BP6">
        <v>1.57</v>
      </c>
      <c r="BQ6">
        <v>2.5099999999999998</v>
      </c>
      <c r="BR6">
        <v>-3.17</v>
      </c>
      <c r="BS6">
        <v>3.67</v>
      </c>
      <c r="BT6">
        <v>2.2799999999999998</v>
      </c>
      <c r="BU6">
        <v>3.78</v>
      </c>
      <c r="BV6">
        <v>-4.9000000000000004</v>
      </c>
      <c r="BW6">
        <v>17.14</v>
      </c>
      <c r="BX6">
        <v>18.22</v>
      </c>
      <c r="BY6">
        <v>19.5</v>
      </c>
      <c r="BZ6">
        <v>4.16</v>
      </c>
      <c r="CA6">
        <v>3.12</v>
      </c>
      <c r="CB6">
        <v>4.22</v>
      </c>
      <c r="CC6">
        <v>3.11</v>
      </c>
      <c r="CD6">
        <v>-12.33</v>
      </c>
      <c r="CE6" t="s">
        <v>1090</v>
      </c>
      <c r="CF6" t="s">
        <v>94</v>
      </c>
      <c r="CG6" s="23">
        <v>0.38736744027303754</v>
      </c>
      <c r="CH6" s="24">
        <v>0.48384568911654902</v>
      </c>
      <c r="CI6" s="23">
        <v>0.25969076156616211</v>
      </c>
      <c r="CJ6" s="23">
        <v>4.1631702333688736E-2</v>
      </c>
      <c r="CK6" s="23">
        <v>-5.4214455187320709E-2</v>
      </c>
      <c r="CL6" s="23">
        <v>8.4549441933631897E-2</v>
      </c>
      <c r="CM6" s="23">
        <v>0.18847228586673737</v>
      </c>
      <c r="CN6" s="24">
        <v>0.66990292072296143</v>
      </c>
      <c r="CO6" s="24">
        <v>-0.37575757503509521</v>
      </c>
      <c r="CP6" s="24">
        <v>1.7568807601928711</v>
      </c>
      <c r="CQ6" s="24">
        <v>-4.6843180656433105</v>
      </c>
      <c r="CR6" s="24">
        <v>-0.25134435296058655</v>
      </c>
      <c r="CS6">
        <v>1.1401907525510204</v>
      </c>
      <c r="CT6">
        <v>48021866.860465117</v>
      </c>
      <c r="CU6">
        <v>1.3977600000000001</v>
      </c>
      <c r="CV6" s="23">
        <v>0.10402594730257989</v>
      </c>
      <c r="CW6" s="24">
        <v>-0.576927262544632</v>
      </c>
      <c r="CX6">
        <v>0.06</v>
      </c>
      <c r="CY6">
        <v>29.229453861312056</v>
      </c>
      <c r="CZ6">
        <v>179143832.95853183</v>
      </c>
      <c r="DA6">
        <v>0.10402594730257989</v>
      </c>
      <c r="DB6">
        <v>9.4393154462342963</v>
      </c>
      <c r="DC6">
        <v>554730523.60899234</v>
      </c>
      <c r="DD6">
        <v>9.8824649937450881E-2</v>
      </c>
      <c r="DE6">
        <v>4.5732633958615372</v>
      </c>
      <c r="DF6">
        <v>1144975905.9883671</v>
      </c>
      <c r="DG6">
        <v>9.1542833626270304E-2</v>
      </c>
      <c r="DH6">
        <v>2.697069318903444</v>
      </c>
      <c r="DI6">
        <v>1941468972.7474003</v>
      </c>
      <c r="DJ6">
        <v>8.3220757842063911E-2</v>
      </c>
      <c r="DK6">
        <v>1.3384704611170006</v>
      </c>
      <c r="DL6">
        <v>3912134449.0711756</v>
      </c>
      <c r="DM6">
        <v>7.2818163111805917E-2</v>
      </c>
      <c r="DN6">
        <v>172000000</v>
      </c>
      <c r="DO6">
        <v>0.10402594730257989</v>
      </c>
      <c r="DP6">
        <v>5236276400</v>
      </c>
      <c r="DQ6">
        <v>2473661500.0000005</v>
      </c>
      <c r="DR6">
        <v>424</v>
      </c>
      <c r="DS6">
        <v>0.28334149297045763</v>
      </c>
      <c r="DT6">
        <v>1.060772951661181</v>
      </c>
      <c r="DU6" s="25">
        <v>0.48666666666666664</v>
      </c>
      <c r="DV6">
        <v>0.14000000000000004</v>
      </c>
      <c r="DW6">
        <v>0.62666666666666671</v>
      </c>
      <c r="DX6">
        <v>6.2014248704663215</v>
      </c>
      <c r="DY6">
        <v>0.51537124600638951</v>
      </c>
      <c r="DZ6">
        <v>6.0453953740336708</v>
      </c>
      <c r="EA6">
        <v>1859</v>
      </c>
      <c r="EB6">
        <v>6.0275123478991945</v>
      </c>
      <c r="EC6">
        <v>6</v>
      </c>
      <c r="ED6">
        <v>6.8753063450473731E-2</v>
      </c>
      <c r="EE6">
        <v>0.30506581770650737</v>
      </c>
      <c r="EF6" s="22">
        <v>3.0112000000000001</v>
      </c>
      <c r="EG6">
        <v>3.0802</v>
      </c>
      <c r="EH6">
        <v>29.225371246006389</v>
      </c>
      <c r="EI6" t="s">
        <v>776</v>
      </c>
      <c r="EJ6">
        <v>0</v>
      </c>
      <c r="EK6">
        <v>0</v>
      </c>
    </row>
    <row r="7" spans="1:141" x14ac:dyDescent="0.25">
      <c r="A7" s="32" t="s">
        <v>1048</v>
      </c>
      <c r="B7" s="3"/>
      <c r="C7" s="3"/>
      <c r="D7" s="3"/>
      <c r="E7" t="s">
        <v>1032</v>
      </c>
      <c r="F7" t="s">
        <v>1033</v>
      </c>
      <c r="G7">
        <v>7.63</v>
      </c>
      <c r="H7">
        <v>3.39</v>
      </c>
      <c r="I7" t="s">
        <v>1091</v>
      </c>
      <c r="J7">
        <v>5791534500</v>
      </c>
      <c r="K7">
        <v>23.38</v>
      </c>
      <c r="L7">
        <v>2.09</v>
      </c>
      <c r="M7" t="s">
        <v>1031</v>
      </c>
      <c r="N7" t="s">
        <v>1092</v>
      </c>
      <c r="O7" t="s">
        <v>1093</v>
      </c>
      <c r="P7" t="s">
        <v>1094</v>
      </c>
      <c r="Q7">
        <v>54.76</v>
      </c>
      <c r="R7" t="s">
        <v>1095</v>
      </c>
      <c r="S7">
        <v>61923196</v>
      </c>
      <c r="T7" s="4">
        <v>1.222</v>
      </c>
      <c r="U7" t="s">
        <v>81</v>
      </c>
      <c r="V7">
        <v>746187780</v>
      </c>
      <c r="W7">
        <v>759047780</v>
      </c>
      <c r="X7">
        <v>1.61</v>
      </c>
      <c r="Y7">
        <v>0.14000000000000001</v>
      </c>
      <c r="Z7">
        <v>9.39</v>
      </c>
      <c r="AA7" t="s">
        <v>1096</v>
      </c>
      <c r="AB7" t="s">
        <v>76</v>
      </c>
      <c r="AC7" t="s">
        <v>1097</v>
      </c>
      <c r="AD7" t="s">
        <v>1098</v>
      </c>
      <c r="AE7" t="s">
        <v>1099</v>
      </c>
      <c r="AF7">
        <v>979409</v>
      </c>
      <c r="AG7" t="s">
        <v>1100</v>
      </c>
      <c r="AH7" t="s">
        <v>1101</v>
      </c>
      <c r="AI7" t="s">
        <v>1102</v>
      </c>
      <c r="AJ7" t="s">
        <v>197</v>
      </c>
      <c r="AK7" t="s">
        <v>1103</v>
      </c>
      <c r="AL7" t="s">
        <v>66</v>
      </c>
      <c r="AM7" t="s">
        <v>1104</v>
      </c>
      <c r="AN7" t="s">
        <v>7</v>
      </c>
      <c r="AO7" t="s">
        <v>36</v>
      </c>
      <c r="AP7" t="s">
        <v>62</v>
      </c>
      <c r="AQ7" t="s">
        <v>1105</v>
      </c>
      <c r="AR7" t="s">
        <v>840</v>
      </c>
      <c r="AS7" t="s">
        <v>7</v>
      </c>
      <c r="AT7" t="s">
        <v>1106</v>
      </c>
      <c r="AU7" t="s">
        <v>884</v>
      </c>
      <c r="AV7" t="s">
        <v>1107</v>
      </c>
      <c r="AW7" t="s">
        <v>1108</v>
      </c>
      <c r="AX7" t="s">
        <v>1109</v>
      </c>
      <c r="AY7" t="s">
        <v>808</v>
      </c>
      <c r="AZ7" t="s">
        <v>1110</v>
      </c>
      <c r="BA7" t="s">
        <v>1111</v>
      </c>
      <c r="BB7" t="s">
        <v>1112</v>
      </c>
      <c r="BC7" t="s">
        <v>1113</v>
      </c>
      <c r="BD7" t="s">
        <v>1114</v>
      </c>
      <c r="BE7" t="s">
        <v>1115</v>
      </c>
      <c r="BF7" t="s">
        <v>56</v>
      </c>
      <c r="BG7" t="s">
        <v>20</v>
      </c>
      <c r="BH7" t="s">
        <v>1116</v>
      </c>
      <c r="BI7" t="s">
        <v>1095</v>
      </c>
      <c r="BJ7" t="s">
        <v>680</v>
      </c>
      <c r="BK7" t="s">
        <v>808</v>
      </c>
      <c r="BL7" t="s">
        <v>81</v>
      </c>
      <c r="BM7" t="s">
        <v>1117</v>
      </c>
      <c r="BN7" t="s">
        <v>1114</v>
      </c>
      <c r="BO7">
        <v>6.8</v>
      </c>
      <c r="BP7">
        <v>8.2100000000000009</v>
      </c>
      <c r="BQ7">
        <v>8.4600000000000009</v>
      </c>
      <c r="BR7">
        <v>8.83</v>
      </c>
      <c r="BS7">
        <v>9.02</v>
      </c>
      <c r="BT7">
        <v>11.54</v>
      </c>
      <c r="BU7">
        <v>9.92</v>
      </c>
      <c r="BV7">
        <v>9.49</v>
      </c>
      <c r="BW7">
        <v>22.69</v>
      </c>
      <c r="BX7">
        <v>25.77</v>
      </c>
      <c r="BY7">
        <v>26.95</v>
      </c>
      <c r="BZ7">
        <v>9.39</v>
      </c>
      <c r="CA7">
        <v>10.47</v>
      </c>
      <c r="CB7">
        <v>9.9499999999999993</v>
      </c>
      <c r="CC7">
        <v>-6.72</v>
      </c>
      <c r="CD7">
        <v>-4.74</v>
      </c>
      <c r="CE7" t="s">
        <v>1118</v>
      </c>
      <c r="CF7" t="s">
        <v>1119</v>
      </c>
      <c r="CG7" s="23">
        <v>0.43715043659043679</v>
      </c>
      <c r="CH7" s="24">
        <v>1.2217707948376635</v>
      </c>
      <c r="CI7" s="23">
        <v>0.54784691333770752</v>
      </c>
      <c r="CJ7" s="23">
        <v>0.21071693301200867</v>
      </c>
      <c r="CK7" s="23">
        <v>7.9749703407287598E-2</v>
      </c>
      <c r="CL7" s="23">
        <v>0.10544523596763611</v>
      </c>
      <c r="CM7" s="23">
        <v>0.27142849564552307</v>
      </c>
      <c r="CN7" s="24">
        <v>0.23699422180652618</v>
      </c>
      <c r="CO7" s="24">
        <v>0.26277372241020203</v>
      </c>
      <c r="CP7" s="24">
        <v>0.12295082211494446</v>
      </c>
      <c r="CQ7" s="24">
        <v>-0.10294117778539658</v>
      </c>
      <c r="CR7" s="24">
        <v>0.92585200071334839</v>
      </c>
      <c r="CS7">
        <v>2.2378417697063369</v>
      </c>
      <c r="CT7">
        <v>21065337.850467291</v>
      </c>
      <c r="CU7">
        <v>2.1165060000000007</v>
      </c>
      <c r="CV7" s="23">
        <v>0.24303745627403259</v>
      </c>
      <c r="CW7" s="24">
        <v>0.28912591785192487</v>
      </c>
      <c r="CX7">
        <v>0.06</v>
      </c>
      <c r="CY7">
        <v>18.260540146448971</v>
      </c>
      <c r="CZ7">
        <v>250952844.94588956</v>
      </c>
      <c r="DA7">
        <v>0.24303745627403259</v>
      </c>
      <c r="DB7">
        <v>5.2543507685790933</v>
      </c>
      <c r="DC7">
        <v>872140955.53031206</v>
      </c>
      <c r="DD7">
        <v>0.23088558346033095</v>
      </c>
      <c r="DE7">
        <v>2.1623882252124988</v>
      </c>
      <c r="DF7">
        <v>2119200635.0060811</v>
      </c>
      <c r="DG7">
        <v>0.21387296152114868</v>
      </c>
      <c r="DH7">
        <v>1.0477322321507507</v>
      </c>
      <c r="DI7">
        <v>4373764936.6700516</v>
      </c>
      <c r="DJ7">
        <v>0.19442996501922608</v>
      </c>
      <c r="DK7">
        <v>0.32401113608145443</v>
      </c>
      <c r="DL7">
        <v>14143138891.522478</v>
      </c>
      <c r="DM7">
        <v>0.17012621939182279</v>
      </c>
      <c r="DN7">
        <v>214000000</v>
      </c>
      <c r="DO7">
        <v>0.24303745627403259</v>
      </c>
      <c r="DP7">
        <v>4582534500</v>
      </c>
      <c r="DQ7">
        <v>1817522700</v>
      </c>
      <c r="DR7">
        <v>540</v>
      </c>
      <c r="DS7">
        <v>0.1941129803164042</v>
      </c>
      <c r="DT7">
        <v>0.93264487698573861</v>
      </c>
      <c r="DU7" s="25">
        <v>0.6366666666666666</v>
      </c>
      <c r="DV7">
        <v>0.73666666666666669</v>
      </c>
      <c r="DW7">
        <v>1.3733333333333333</v>
      </c>
      <c r="DX7">
        <v>-5.7053571428571432</v>
      </c>
      <c r="DY7">
        <v>0.38090298769771591</v>
      </c>
      <c r="DZ7">
        <v>-5.1064405002510673</v>
      </c>
      <c r="EA7">
        <v>724</v>
      </c>
      <c r="EB7">
        <v>-5.0901101501383801</v>
      </c>
      <c r="EC7">
        <v>5</v>
      </c>
      <c r="ED7">
        <v>0.11312041516016288</v>
      </c>
      <c r="EE7">
        <v>0.74962342950268557</v>
      </c>
      <c r="EF7" s="22">
        <v>5.3999999999999992E-2</v>
      </c>
      <c r="EG7">
        <v>8.7900000000000006E-2</v>
      </c>
      <c r="EH7">
        <v>23.150902987697716</v>
      </c>
      <c r="EI7" t="s">
        <v>378</v>
      </c>
      <c r="EJ7">
        <v>0</v>
      </c>
      <c r="EK7">
        <v>1</v>
      </c>
    </row>
    <row r="8" spans="1:141" ht="86.4" x14ac:dyDescent="0.25">
      <c r="A8" s="32" t="s">
        <v>2311</v>
      </c>
      <c r="B8" s="26"/>
      <c r="C8" s="26"/>
      <c r="D8" s="26"/>
      <c r="E8" t="s">
        <v>2272</v>
      </c>
      <c r="F8" t="s">
        <v>2273</v>
      </c>
      <c r="G8">
        <v>19.88</v>
      </c>
      <c r="H8">
        <v>10.02</v>
      </c>
      <c r="I8" t="s">
        <v>2274</v>
      </c>
      <c r="J8">
        <v>7638192500</v>
      </c>
      <c r="L8">
        <v>3.02</v>
      </c>
      <c r="M8" t="s">
        <v>256</v>
      </c>
      <c r="N8" t="s">
        <v>2275</v>
      </c>
      <c r="O8" t="s">
        <v>2276</v>
      </c>
      <c r="P8" t="s">
        <v>2277</v>
      </c>
      <c r="Q8">
        <v>17.11</v>
      </c>
      <c r="R8" t="s">
        <v>2278</v>
      </c>
      <c r="S8">
        <v>74846588</v>
      </c>
      <c r="T8" s="4">
        <v>1.962</v>
      </c>
      <c r="U8" t="s">
        <v>458</v>
      </c>
      <c r="V8">
        <v>365288700</v>
      </c>
      <c r="W8">
        <v>384214910</v>
      </c>
      <c r="X8">
        <v>2.2400000000000002</v>
      </c>
      <c r="Y8">
        <v>0.28999999999999998</v>
      </c>
      <c r="Z8">
        <v>4.3600000000000003</v>
      </c>
      <c r="AA8" t="s">
        <v>2279</v>
      </c>
      <c r="AB8" t="s">
        <v>1164</v>
      </c>
      <c r="AC8" t="s">
        <v>2280</v>
      </c>
      <c r="AD8" t="s">
        <v>2281</v>
      </c>
      <c r="AE8" t="s">
        <v>2282</v>
      </c>
      <c r="AF8">
        <v>5759688</v>
      </c>
      <c r="AG8" t="s">
        <v>2283</v>
      </c>
      <c r="AH8" t="s">
        <v>2284</v>
      </c>
      <c r="AI8" t="s">
        <v>2285</v>
      </c>
      <c r="AJ8" t="s">
        <v>2286</v>
      </c>
      <c r="AK8" t="s">
        <v>2287</v>
      </c>
      <c r="AL8" t="s">
        <v>7</v>
      </c>
      <c r="AM8" t="s">
        <v>2288</v>
      </c>
      <c r="AN8" t="s">
        <v>1840</v>
      </c>
      <c r="AO8" t="s">
        <v>2289</v>
      </c>
      <c r="AP8" t="s">
        <v>2290</v>
      </c>
      <c r="AQ8" t="s">
        <v>2291</v>
      </c>
      <c r="AR8" t="s">
        <v>1185</v>
      </c>
      <c r="AS8" t="s">
        <v>7</v>
      </c>
      <c r="AT8" t="s">
        <v>2292</v>
      </c>
      <c r="AU8" t="s">
        <v>29</v>
      </c>
      <c r="AV8" t="s">
        <v>34</v>
      </c>
      <c r="AW8" t="s">
        <v>2293</v>
      </c>
      <c r="AX8" t="s">
        <v>2294</v>
      </c>
      <c r="AY8" t="s">
        <v>2295</v>
      </c>
      <c r="AZ8" t="s">
        <v>2296</v>
      </c>
      <c r="BA8" t="s">
        <v>2297</v>
      </c>
      <c r="BB8" t="s">
        <v>2298</v>
      </c>
      <c r="BC8" t="s">
        <v>2299</v>
      </c>
      <c r="BD8" t="s">
        <v>2300</v>
      </c>
      <c r="BE8" t="s">
        <v>51</v>
      </c>
      <c r="BF8" t="s">
        <v>2301</v>
      </c>
      <c r="BG8" t="s">
        <v>2302</v>
      </c>
      <c r="BH8" t="s">
        <v>2303</v>
      </c>
      <c r="BI8" t="s">
        <v>2304</v>
      </c>
      <c r="BJ8" t="s">
        <v>2305</v>
      </c>
      <c r="BK8" t="s">
        <v>2306</v>
      </c>
      <c r="BL8" t="s">
        <v>2307</v>
      </c>
      <c r="BM8" t="s">
        <v>2308</v>
      </c>
      <c r="BN8" t="s">
        <v>2309</v>
      </c>
      <c r="BO8">
        <v>0.24</v>
      </c>
      <c r="BP8">
        <v>-9.26</v>
      </c>
      <c r="BQ8">
        <v>1.88</v>
      </c>
      <c r="BR8">
        <v>4.79</v>
      </c>
      <c r="BS8">
        <v>-15.71</v>
      </c>
      <c r="BT8">
        <v>2.99</v>
      </c>
      <c r="BU8">
        <v>7.07</v>
      </c>
      <c r="BV8" t="s">
        <v>2187</v>
      </c>
      <c r="BW8">
        <v>12.99</v>
      </c>
      <c r="BX8">
        <v>18.309999999999999</v>
      </c>
      <c r="BY8">
        <v>18.41</v>
      </c>
      <c r="BZ8">
        <v>1.39</v>
      </c>
      <c r="CA8">
        <v>2.64</v>
      </c>
      <c r="CB8">
        <v>5.64</v>
      </c>
      <c r="CC8">
        <v>4.3600000000000003</v>
      </c>
      <c r="CD8">
        <v>6.31</v>
      </c>
      <c r="CE8" t="s">
        <v>2219</v>
      </c>
      <c r="CF8" t="s">
        <v>2310</v>
      </c>
      <c r="CG8" s="23">
        <v>0.17117735719201652</v>
      </c>
      <c r="CH8" s="24">
        <v>1.9618752671151563</v>
      </c>
      <c r="CI8" s="23">
        <v>0.2210443913936615</v>
      </c>
      <c r="CJ8" s="23">
        <v>-0.13130965828895569</v>
      </c>
      <c r="CK8" s="23">
        <v>-8.1190802156925201E-3</v>
      </c>
      <c r="CL8" s="23">
        <v>0.11295180767774582</v>
      </c>
      <c r="CM8" s="23">
        <v>6.1975236982107162E-2</v>
      </c>
      <c r="CN8" s="24">
        <v>-6.5334033966064453</v>
      </c>
      <c r="CO8" s="24">
        <v>-0.55401110649108887</v>
      </c>
      <c r="CP8" s="24">
        <v>0.81481653451919556</v>
      </c>
      <c r="CQ8" s="24">
        <v>1.5940841436386108</v>
      </c>
      <c r="CR8" s="24">
        <v>-0.69730997085571289</v>
      </c>
      <c r="CS8">
        <v>2.4560104501607718</v>
      </c>
      <c r="CT8">
        <v>-7889112.7962085307</v>
      </c>
      <c r="CU8">
        <v>2.8322560000000006</v>
      </c>
      <c r="CV8" s="23">
        <v>5.1308539509773252E-2</v>
      </c>
      <c r="CW8" s="24">
        <v>-1.075164759159088</v>
      </c>
      <c r="CX8">
        <v>0.06</v>
      </c>
      <c r="CY8" t="e">
        <v>#VALUE!</v>
      </c>
      <c r="CZ8" t="s">
        <v>427</v>
      </c>
      <c r="DA8">
        <v>5.1308539509773252E-2</v>
      </c>
      <c r="DB8" t="e">
        <v>#VALUE!</v>
      </c>
      <c r="DC8" t="s">
        <v>427</v>
      </c>
      <c r="DD8">
        <v>4.8743112534284587E-2</v>
      </c>
      <c r="DE8" t="e">
        <v>#VALUE!</v>
      </c>
      <c r="DF8" t="s">
        <v>427</v>
      </c>
      <c r="DG8">
        <v>4.5151514768600465E-2</v>
      </c>
      <c r="DH8" t="e">
        <v>#VALUE!</v>
      </c>
      <c r="DI8" t="s">
        <v>427</v>
      </c>
      <c r="DJ8">
        <v>4.1046831607818607E-2</v>
      </c>
      <c r="DK8" t="e">
        <v>#VALUE!</v>
      </c>
      <c r="DL8" t="s">
        <v>427</v>
      </c>
      <c r="DM8">
        <v>3.5915977656841271E-2</v>
      </c>
      <c r="DN8">
        <v>-422000000</v>
      </c>
      <c r="DO8">
        <v>5.1308539509773252E-2</v>
      </c>
      <c r="DP8">
        <v>8266192500</v>
      </c>
      <c r="DQ8">
        <v>1181560200</v>
      </c>
      <c r="DR8">
        <v>1208</v>
      </c>
      <c r="DS8">
        <v>0.11986881768224326</v>
      </c>
      <c r="DT8">
        <v>3.0370400262742443</v>
      </c>
      <c r="DU8" s="25">
        <v>0.60666666666666669</v>
      </c>
      <c r="DV8">
        <v>-3.7007434154171883E-17</v>
      </c>
      <c r="DW8">
        <v>0.60666666666666669</v>
      </c>
      <c r="DX8">
        <v>8.6909667194928684</v>
      </c>
      <c r="DY8">
        <v>0.53746887966804913</v>
      </c>
      <c r="DZ8">
        <v>8.1433540911810933</v>
      </c>
      <c r="EA8">
        <v>1779</v>
      </c>
      <c r="EB8">
        <v>8.0902898114867181</v>
      </c>
      <c r="EC8">
        <v>8</v>
      </c>
      <c r="ED8">
        <v>0.26027100301755596</v>
      </c>
      <c r="EE8">
        <v>1.2545062345446198</v>
      </c>
      <c r="EF8" s="22">
        <v>4.0355999999999996</v>
      </c>
      <c r="EG8">
        <v>4.1357999999999997</v>
      </c>
      <c r="EH8">
        <v>33.207468879668049</v>
      </c>
      <c r="EI8" t="s">
        <v>1156</v>
      </c>
      <c r="EJ8">
        <v>0</v>
      </c>
      <c r="EK8">
        <v>0</v>
      </c>
    </row>
    <row r="9" spans="1:141" x14ac:dyDescent="0.25">
      <c r="A9" s="32" t="s">
        <v>1051</v>
      </c>
      <c r="B9" s="3"/>
      <c r="C9" s="3"/>
      <c r="D9" s="3"/>
      <c r="E9" t="s">
        <v>304</v>
      </c>
      <c r="F9" t="s">
        <v>305</v>
      </c>
      <c r="G9">
        <v>10.01</v>
      </c>
      <c r="H9">
        <v>0.1</v>
      </c>
      <c r="I9" t="s">
        <v>550</v>
      </c>
      <c r="J9">
        <v>7733747800</v>
      </c>
      <c r="L9">
        <v>2.91</v>
      </c>
      <c r="M9" t="s">
        <v>276</v>
      </c>
      <c r="N9" t="s">
        <v>188</v>
      </c>
      <c r="O9" t="s">
        <v>454</v>
      </c>
      <c r="P9" t="s">
        <v>455</v>
      </c>
      <c r="Q9">
        <v>30.01</v>
      </c>
      <c r="R9" t="s">
        <v>254</v>
      </c>
      <c r="S9">
        <v>2422138</v>
      </c>
      <c r="T9" s="4">
        <v>1.085</v>
      </c>
      <c r="U9" t="s">
        <v>456</v>
      </c>
      <c r="V9">
        <v>558672140</v>
      </c>
      <c r="W9">
        <v>772602180</v>
      </c>
      <c r="X9">
        <v>1.72</v>
      </c>
      <c r="Y9">
        <v>0.08</v>
      </c>
      <c r="Z9">
        <v>0.1</v>
      </c>
      <c r="AA9" t="s">
        <v>65</v>
      </c>
      <c r="AB9" t="s">
        <v>94</v>
      </c>
      <c r="AC9" t="s">
        <v>457</v>
      </c>
      <c r="AD9" t="s">
        <v>551</v>
      </c>
      <c r="AE9" t="s">
        <v>43</v>
      </c>
      <c r="AF9">
        <v>13185876</v>
      </c>
      <c r="AG9" t="s">
        <v>552</v>
      </c>
      <c r="AH9" t="s">
        <v>553</v>
      </c>
      <c r="AI9" t="s">
        <v>554</v>
      </c>
      <c r="AJ9" t="s">
        <v>116</v>
      </c>
      <c r="AK9" t="s">
        <v>555</v>
      </c>
      <c r="AL9" t="s">
        <v>556</v>
      </c>
      <c r="AM9" t="s">
        <v>557</v>
      </c>
      <c r="AN9" t="s">
        <v>7</v>
      </c>
      <c r="AO9" t="s">
        <v>558</v>
      </c>
      <c r="AP9" t="s">
        <v>41</v>
      </c>
      <c r="AQ9" t="s">
        <v>95</v>
      </c>
      <c r="AR9" t="s">
        <v>86</v>
      </c>
      <c r="AS9" t="s">
        <v>7</v>
      </c>
      <c r="AT9" t="s">
        <v>559</v>
      </c>
      <c r="AU9" t="s">
        <v>560</v>
      </c>
      <c r="AV9" t="s">
        <v>201</v>
      </c>
      <c r="AW9" t="s">
        <v>561</v>
      </c>
      <c r="AX9" t="s">
        <v>562</v>
      </c>
      <c r="AY9" t="s">
        <v>248</v>
      </c>
      <c r="AZ9" t="s">
        <v>307</v>
      </c>
      <c r="BA9" t="s">
        <v>190</v>
      </c>
      <c r="BB9" t="s">
        <v>48</v>
      </c>
      <c r="BC9" t="s">
        <v>44</v>
      </c>
      <c r="BD9" t="s">
        <v>306</v>
      </c>
      <c r="BE9" t="s">
        <v>308</v>
      </c>
      <c r="BF9" t="s">
        <v>309</v>
      </c>
      <c r="BG9" t="s">
        <v>310</v>
      </c>
      <c r="BH9" t="s">
        <v>311</v>
      </c>
      <c r="BI9" t="s">
        <v>90</v>
      </c>
      <c r="BJ9" t="s">
        <v>79</v>
      </c>
      <c r="BK9" t="s">
        <v>248</v>
      </c>
      <c r="BL9" t="s">
        <v>456</v>
      </c>
      <c r="BM9" t="s">
        <v>312</v>
      </c>
      <c r="BN9" t="s">
        <v>306</v>
      </c>
      <c r="BO9">
        <v>-3.1</v>
      </c>
      <c r="BP9">
        <v>-5.31</v>
      </c>
      <c r="BQ9">
        <v>1.69</v>
      </c>
      <c r="BR9">
        <v>0.49</v>
      </c>
      <c r="BS9">
        <v>-5.52</v>
      </c>
      <c r="BT9">
        <v>-8.2100000000000009</v>
      </c>
      <c r="BU9">
        <v>2.5</v>
      </c>
      <c r="BV9">
        <v>0.69</v>
      </c>
      <c r="BW9">
        <v>13.65</v>
      </c>
      <c r="BX9">
        <v>16.989999999999998</v>
      </c>
      <c r="BY9">
        <v>22</v>
      </c>
      <c r="BZ9">
        <v>-6.05</v>
      </c>
      <c r="CA9">
        <v>-13</v>
      </c>
      <c r="CB9">
        <v>3.17</v>
      </c>
      <c r="CC9">
        <v>0.2</v>
      </c>
      <c r="CD9">
        <v>-1.86</v>
      </c>
      <c r="CE9" t="s">
        <v>99</v>
      </c>
      <c r="CF9" t="s">
        <v>563</v>
      </c>
      <c r="CG9" s="23">
        <v>0.29837521582733811</v>
      </c>
      <c r="CH9" s="24">
        <v>1.0846581710403065</v>
      </c>
      <c r="CI9" s="23">
        <v>0.3779149055480957</v>
      </c>
      <c r="CJ9" s="23">
        <v>-3.6988109350204468E-2</v>
      </c>
      <c r="CK9" s="23">
        <v>0.16193394362926483</v>
      </c>
      <c r="CL9" s="23">
        <v>0.39060840010643005</v>
      </c>
      <c r="CM9" s="23">
        <v>0.15536375343799591</v>
      </c>
      <c r="CN9" s="24">
        <v>0.37569060921669006</v>
      </c>
      <c r="CO9" s="24">
        <v>-4.1795439720153809</v>
      </c>
      <c r="CP9" s="24">
        <v>2.6951518058776855</v>
      </c>
      <c r="CQ9" s="24">
        <v>1.2615866661071777</v>
      </c>
      <c r="CR9" s="24">
        <v>-2.7817296981811523</v>
      </c>
      <c r="CS9">
        <v>3.8495509208561471</v>
      </c>
      <c r="CT9">
        <v>20109582.300884958</v>
      </c>
      <c r="CU9">
        <v>1.3760000000000001E-2</v>
      </c>
      <c r="CV9" s="23">
        <v>0.20976657867431642</v>
      </c>
      <c r="CW9" s="24">
        <v>-0.52576891779899593</v>
      </c>
      <c r="CX9">
        <v>0.06</v>
      </c>
      <c r="CY9" t="e">
        <v>#VALUE!</v>
      </c>
      <c r="CZ9" t="s">
        <v>427</v>
      </c>
      <c r="DA9">
        <v>0.20976657867431642</v>
      </c>
      <c r="DB9" t="e">
        <v>#VALUE!</v>
      </c>
      <c r="DC9" t="s">
        <v>427</v>
      </c>
      <c r="DD9">
        <v>0.1992782497406006</v>
      </c>
      <c r="DE9" t="e">
        <v>#VALUE!</v>
      </c>
      <c r="DF9" t="s">
        <v>427</v>
      </c>
      <c r="DG9">
        <v>0.18459458923339844</v>
      </c>
      <c r="DH9" t="e">
        <v>#VALUE!</v>
      </c>
      <c r="DI9" t="s">
        <v>427</v>
      </c>
      <c r="DJ9">
        <v>0.16781326293945314</v>
      </c>
      <c r="DK9" t="e">
        <v>#VALUE!</v>
      </c>
      <c r="DL9" t="s">
        <v>427</v>
      </c>
      <c r="DM9">
        <v>0.14683660507202148</v>
      </c>
      <c r="DN9">
        <v>-112999999.99999999</v>
      </c>
      <c r="DO9">
        <v>0.20976657867431642</v>
      </c>
      <c r="DP9">
        <v>6989747800</v>
      </c>
      <c r="DQ9">
        <v>835351900</v>
      </c>
      <c r="DR9">
        <v>1104</v>
      </c>
      <c r="DS9">
        <v>8.8608637153021697E-2</v>
      </c>
      <c r="DT9">
        <v>1.6104270888393024</v>
      </c>
      <c r="DU9" s="25">
        <v>0.73666666666666669</v>
      </c>
      <c r="DV9">
        <v>-0.6066666666666668</v>
      </c>
      <c r="DW9">
        <v>0.12999999999999989</v>
      </c>
      <c r="DX9">
        <v>-1.8600000000000002E-2</v>
      </c>
      <c r="DY9">
        <v>0.28670304925272527</v>
      </c>
      <c r="DZ9">
        <v>-2.542676716100695E-3</v>
      </c>
      <c r="EA9">
        <v>2777</v>
      </c>
      <c r="EB9">
        <v>-1.0460651771834356E-3</v>
      </c>
      <c r="EC9">
        <v>0</v>
      </c>
      <c r="ED9">
        <v>0.30804986856236932</v>
      </c>
      <c r="EE9">
        <v>2.2534236183490965</v>
      </c>
      <c r="EF9" s="22">
        <v>4.1210000000000004E-2</v>
      </c>
      <c r="EG9">
        <v>4.0210000000000003E-2</v>
      </c>
      <c r="EH9">
        <v>15.136703049252725</v>
      </c>
      <c r="EI9">
        <v>-1</v>
      </c>
      <c r="EJ9">
        <v>0</v>
      </c>
      <c r="EK9">
        <v>0</v>
      </c>
    </row>
    <row r="10" spans="1:141" x14ac:dyDescent="0.25">
      <c r="A10" s="32" t="s">
        <v>1053</v>
      </c>
      <c r="B10" s="3"/>
      <c r="C10" s="3"/>
      <c r="D10" s="3"/>
      <c r="E10" t="s">
        <v>283</v>
      </c>
      <c r="F10" t="s">
        <v>284</v>
      </c>
      <c r="G10">
        <v>6.13</v>
      </c>
      <c r="H10">
        <v>2.34</v>
      </c>
      <c r="I10" t="s">
        <v>564</v>
      </c>
      <c r="J10">
        <v>3527240900</v>
      </c>
      <c r="K10">
        <v>338.5</v>
      </c>
      <c r="L10">
        <v>1.83</v>
      </c>
      <c r="M10" t="s">
        <v>276</v>
      </c>
      <c r="N10" t="s">
        <v>347</v>
      </c>
      <c r="O10" t="s">
        <v>459</v>
      </c>
      <c r="P10" t="s">
        <v>460</v>
      </c>
      <c r="Q10">
        <v>-32.15</v>
      </c>
      <c r="R10" t="s">
        <v>107</v>
      </c>
      <c r="S10">
        <v>-21774278</v>
      </c>
      <c r="T10" s="4">
        <v>-3.1749999999999998</v>
      </c>
      <c r="U10" t="s">
        <v>461</v>
      </c>
      <c r="V10">
        <v>542892350</v>
      </c>
      <c r="W10">
        <v>575406350</v>
      </c>
      <c r="X10">
        <v>1.89</v>
      </c>
      <c r="Y10">
        <v>0.08</v>
      </c>
      <c r="Z10">
        <v>-7.69</v>
      </c>
      <c r="AA10" t="s">
        <v>98</v>
      </c>
      <c r="AB10" t="s">
        <v>54</v>
      </c>
      <c r="AC10" t="s">
        <v>462</v>
      </c>
      <c r="AD10" t="s">
        <v>565</v>
      </c>
      <c r="AE10" t="s">
        <v>566</v>
      </c>
      <c r="AF10">
        <v>3049708</v>
      </c>
      <c r="AG10" t="s">
        <v>567</v>
      </c>
      <c r="AH10" t="s">
        <v>568</v>
      </c>
      <c r="AI10" t="s">
        <v>569</v>
      </c>
      <c r="AJ10" t="s">
        <v>123</v>
      </c>
      <c r="AK10" t="s">
        <v>570</v>
      </c>
      <c r="AL10" t="s">
        <v>571</v>
      </c>
      <c r="AM10" t="s">
        <v>572</v>
      </c>
      <c r="AN10" t="s">
        <v>7</v>
      </c>
      <c r="AO10" t="s">
        <v>573</v>
      </c>
      <c r="AP10" t="s">
        <v>180</v>
      </c>
      <c r="AQ10" t="s">
        <v>100</v>
      </c>
      <c r="AR10" t="s">
        <v>80</v>
      </c>
      <c r="AS10" t="s">
        <v>574</v>
      </c>
      <c r="AT10" t="s">
        <v>575</v>
      </c>
      <c r="AU10" t="s">
        <v>576</v>
      </c>
      <c r="AV10" t="s">
        <v>62</v>
      </c>
      <c r="AW10" t="s">
        <v>577</v>
      </c>
      <c r="AX10" t="s">
        <v>578</v>
      </c>
      <c r="AY10" t="s">
        <v>285</v>
      </c>
      <c r="AZ10" t="s">
        <v>287</v>
      </c>
      <c r="BA10" t="s">
        <v>257</v>
      </c>
      <c r="BB10" t="s">
        <v>288</v>
      </c>
      <c r="BC10" t="s">
        <v>53</v>
      </c>
      <c r="BD10" t="s">
        <v>286</v>
      </c>
      <c r="BE10" t="s">
        <v>289</v>
      </c>
      <c r="BF10" t="s">
        <v>290</v>
      </c>
      <c r="BG10" t="s">
        <v>291</v>
      </c>
      <c r="BH10" t="s">
        <v>239</v>
      </c>
      <c r="BI10" t="s">
        <v>83</v>
      </c>
      <c r="BJ10" t="s">
        <v>25</v>
      </c>
      <c r="BK10" t="s">
        <v>285</v>
      </c>
      <c r="BL10" t="s">
        <v>461</v>
      </c>
      <c r="BM10" t="s">
        <v>292</v>
      </c>
      <c r="BN10" t="s">
        <v>286</v>
      </c>
      <c r="BO10">
        <v>1.46</v>
      </c>
      <c r="BP10">
        <v>2.67</v>
      </c>
      <c r="BQ10">
        <v>-12.01</v>
      </c>
      <c r="BR10">
        <v>0.43</v>
      </c>
      <c r="BS10">
        <v>2.31</v>
      </c>
      <c r="BT10">
        <v>4.9800000000000004</v>
      </c>
      <c r="BU10">
        <v>-20.190000000000001</v>
      </c>
      <c r="BV10">
        <v>0.71</v>
      </c>
      <c r="BW10">
        <v>21.81</v>
      </c>
      <c r="BX10">
        <v>23.96</v>
      </c>
      <c r="BY10">
        <v>21.52</v>
      </c>
      <c r="BZ10">
        <v>2.83</v>
      </c>
      <c r="CA10">
        <v>4.08</v>
      </c>
      <c r="CB10">
        <v>-21.64</v>
      </c>
      <c r="CC10">
        <v>-0.33</v>
      </c>
      <c r="CD10">
        <v>12.48</v>
      </c>
      <c r="CE10" t="s">
        <v>579</v>
      </c>
      <c r="CF10" t="s">
        <v>68</v>
      </c>
      <c r="CG10" s="23">
        <v>-0.32102563591022443</v>
      </c>
      <c r="CH10" s="24">
        <v>-3.1754698771106002</v>
      </c>
      <c r="CI10" s="23">
        <v>-0.12126242369413376</v>
      </c>
      <c r="CJ10" s="23">
        <v>0.14739517867565155</v>
      </c>
      <c r="CK10" s="23">
        <v>8.9273408055305481E-2</v>
      </c>
      <c r="CL10" s="23">
        <v>-0.17239408195018768</v>
      </c>
      <c r="CM10" s="23">
        <v>0.96843290328979492</v>
      </c>
      <c r="CN10" s="24">
        <v>-0.40904459357261658</v>
      </c>
      <c r="CO10" s="24">
        <v>1.218400239944458</v>
      </c>
      <c r="CP10" s="24">
        <v>-26.502445220947266</v>
      </c>
      <c r="CQ10" s="24">
        <v>-0.7488211989402771</v>
      </c>
      <c r="CR10" s="24">
        <v>1.1707308292388916</v>
      </c>
      <c r="CS10">
        <v>2.2225840579710145</v>
      </c>
      <c r="CT10">
        <v>-54511458.575212896</v>
      </c>
      <c r="CU10">
        <v>-1.162728</v>
      </c>
      <c r="CV10" s="23">
        <v>0.1822889968752861</v>
      </c>
      <c r="CW10" s="24">
        <v>-5.0542359888553623</v>
      </c>
      <c r="CX10">
        <v>0.06</v>
      </c>
      <c r="CY10">
        <v>70.321179309240705</v>
      </c>
      <c r="CZ10">
        <v>47073171.020682968</v>
      </c>
      <c r="DA10">
        <v>0.1822889968752861</v>
      </c>
      <c r="DB10">
        <v>21.27064423407348</v>
      </c>
      <c r="DC10">
        <v>155624853.83951464</v>
      </c>
      <c r="DD10">
        <v>0.1731745470315218</v>
      </c>
      <c r="DE10">
        <v>9.4102740412635981</v>
      </c>
      <c r="DF10">
        <v>351768809.86512756</v>
      </c>
      <c r="DG10">
        <v>0.16041431725025176</v>
      </c>
      <c r="DH10">
        <v>4.9855946932526409</v>
      </c>
      <c r="DI10">
        <v>663961092.6415627</v>
      </c>
      <c r="DJ10">
        <v>0.14583119750022888</v>
      </c>
      <c r="DK10">
        <v>1.9243974071013941</v>
      </c>
      <c r="DL10">
        <v>1720144128.1226938</v>
      </c>
      <c r="DM10">
        <v>0.12760229781270027</v>
      </c>
      <c r="DN10">
        <v>42204200</v>
      </c>
      <c r="DO10">
        <v>0.1822889968752861</v>
      </c>
      <c r="DP10">
        <v>3310240900</v>
      </c>
      <c r="DQ10">
        <v>731160300.00000024</v>
      </c>
      <c r="DR10">
        <v>1695</v>
      </c>
      <c r="DS10">
        <v>-0.50331463278551047</v>
      </c>
      <c r="DT10">
        <v>1.878766111744762</v>
      </c>
      <c r="DU10" s="25">
        <v>-0.13666666666666669</v>
      </c>
      <c r="DV10">
        <v>-1.4816666666666667</v>
      </c>
      <c r="DW10">
        <v>-1.6183333333333334</v>
      </c>
      <c r="DX10">
        <v>2.1248</v>
      </c>
      <c r="DY10">
        <v>0.40266809116809155</v>
      </c>
      <c r="DZ10">
        <v>2.021548977777778</v>
      </c>
      <c r="EA10">
        <v>4266</v>
      </c>
      <c r="EB10">
        <v>2.0020685922723742</v>
      </c>
      <c r="EC10">
        <v>2</v>
      </c>
      <c r="ED10">
        <v>0.10532817373322349</v>
      </c>
      <c r="EE10">
        <v>0.61000369564917034</v>
      </c>
      <c r="EF10" s="22">
        <v>-1.0849</v>
      </c>
      <c r="EG10">
        <v>-1.1083000000000001</v>
      </c>
      <c r="EH10">
        <v>23.172668091168092</v>
      </c>
      <c r="EI10" t="s">
        <v>380</v>
      </c>
      <c r="EJ10">
        <v>1</v>
      </c>
      <c r="EK10">
        <v>0</v>
      </c>
    </row>
    <row r="11" spans="1:141" x14ac:dyDescent="0.25">
      <c r="A11" s="32" t="s">
        <v>1052</v>
      </c>
      <c r="B11" s="3"/>
      <c r="C11" s="3"/>
      <c r="D11" s="3"/>
      <c r="E11" t="s">
        <v>1034</v>
      </c>
      <c r="F11" t="s">
        <v>1035</v>
      </c>
      <c r="G11">
        <v>16.510000000000002</v>
      </c>
      <c r="H11">
        <v>2.36</v>
      </c>
      <c r="I11" t="s">
        <v>1120</v>
      </c>
      <c r="J11">
        <v>3502509300</v>
      </c>
      <c r="K11">
        <v>127</v>
      </c>
      <c r="L11">
        <v>4.8600000000000003</v>
      </c>
      <c r="M11" t="s">
        <v>256</v>
      </c>
      <c r="N11" t="s">
        <v>1121</v>
      </c>
      <c r="O11" t="s">
        <v>1122</v>
      </c>
      <c r="P11" t="s">
        <v>1123</v>
      </c>
      <c r="Q11">
        <v>27.58</v>
      </c>
      <c r="R11" t="s">
        <v>1124</v>
      </c>
      <c r="S11">
        <v>15764166</v>
      </c>
      <c r="T11" s="4">
        <v>6.28</v>
      </c>
      <c r="U11" t="s">
        <v>1125</v>
      </c>
      <c r="V11">
        <v>184044100</v>
      </c>
      <c r="W11">
        <v>212144720</v>
      </c>
      <c r="X11">
        <v>6.75</v>
      </c>
      <c r="Y11">
        <v>0.17</v>
      </c>
      <c r="Z11">
        <v>2.02</v>
      </c>
      <c r="AA11" t="s">
        <v>1126</v>
      </c>
      <c r="AB11" t="s">
        <v>1127</v>
      </c>
      <c r="AC11" t="s">
        <v>1128</v>
      </c>
      <c r="AD11" t="s">
        <v>1129</v>
      </c>
      <c r="AE11" t="s">
        <v>7</v>
      </c>
      <c r="AF11">
        <v>8779909</v>
      </c>
      <c r="AG11" t="s">
        <v>1130</v>
      </c>
      <c r="AH11" t="s">
        <v>1131</v>
      </c>
      <c r="AI11" t="s">
        <v>1132</v>
      </c>
      <c r="AJ11" t="s">
        <v>1133</v>
      </c>
      <c r="AK11" t="s">
        <v>1134</v>
      </c>
      <c r="AL11" t="s">
        <v>1135</v>
      </c>
      <c r="AM11" t="s">
        <v>1136</v>
      </c>
      <c r="AN11" t="s">
        <v>7</v>
      </c>
      <c r="AO11" t="s">
        <v>1137</v>
      </c>
      <c r="AP11" t="s">
        <v>122</v>
      </c>
      <c r="AQ11" t="s">
        <v>925</v>
      </c>
      <c r="AR11" t="s">
        <v>1138</v>
      </c>
      <c r="AS11" t="s">
        <v>7</v>
      </c>
      <c r="AT11" t="s">
        <v>1139</v>
      </c>
      <c r="AU11" t="s">
        <v>7</v>
      </c>
      <c r="AV11" t="s">
        <v>1140</v>
      </c>
      <c r="AW11" t="s">
        <v>1141</v>
      </c>
      <c r="AX11" t="s">
        <v>1142</v>
      </c>
      <c r="AY11" t="s">
        <v>1143</v>
      </c>
      <c r="AZ11" t="s">
        <v>1144</v>
      </c>
      <c r="BA11" t="s">
        <v>1145</v>
      </c>
      <c r="BB11" t="s">
        <v>1146</v>
      </c>
      <c r="BC11" t="s">
        <v>1147</v>
      </c>
      <c r="BD11" t="s">
        <v>1148</v>
      </c>
      <c r="BE11" t="s">
        <v>1149</v>
      </c>
      <c r="BF11" t="s">
        <v>1150</v>
      </c>
      <c r="BG11" t="s">
        <v>698</v>
      </c>
      <c r="BH11" t="s">
        <v>1151</v>
      </c>
      <c r="BI11" t="s">
        <v>1152</v>
      </c>
      <c r="BJ11" t="s">
        <v>1153</v>
      </c>
      <c r="BK11" t="s">
        <v>1143</v>
      </c>
      <c r="BL11" t="s">
        <v>1125</v>
      </c>
      <c r="BM11" t="s">
        <v>1154</v>
      </c>
      <c r="BN11" t="s">
        <v>1148</v>
      </c>
      <c r="BO11">
        <v>0.7</v>
      </c>
      <c r="BP11">
        <v>-35.43</v>
      </c>
      <c r="BQ11">
        <v>1.08</v>
      </c>
      <c r="BR11">
        <v>1.92</v>
      </c>
      <c r="BS11">
        <v>1.99</v>
      </c>
      <c r="BT11">
        <v>-69.260000000000005</v>
      </c>
      <c r="BU11">
        <v>2.11</v>
      </c>
      <c r="BV11">
        <v>4.04</v>
      </c>
      <c r="BW11">
        <v>13.74</v>
      </c>
      <c r="BX11">
        <v>2.81</v>
      </c>
      <c r="BY11">
        <v>16.850000000000001</v>
      </c>
      <c r="BZ11">
        <v>0.43</v>
      </c>
      <c r="CA11">
        <v>-45.22</v>
      </c>
      <c r="CB11">
        <v>1.63</v>
      </c>
      <c r="CC11">
        <v>7.84</v>
      </c>
      <c r="CD11">
        <v>27.1</v>
      </c>
      <c r="CE11" t="s">
        <v>1155</v>
      </c>
      <c r="CF11" t="s">
        <v>99</v>
      </c>
      <c r="CG11" s="23">
        <v>0.27669182113821139</v>
      </c>
      <c r="CH11" s="24">
        <v>6.2803611508797861</v>
      </c>
      <c r="CI11" s="23">
        <v>1.0236937999725342</v>
      </c>
      <c r="CJ11" s="23">
        <v>-0.10543478280305862</v>
      </c>
      <c r="CK11" s="23">
        <v>-0.16439595818519592</v>
      </c>
      <c r="CL11" s="23">
        <v>6.841336190700531E-2</v>
      </c>
      <c r="CM11" s="23">
        <v>1.6188054084777832</v>
      </c>
      <c r="CN11" s="24">
        <v>1.0187709331512451</v>
      </c>
      <c r="CO11" s="24">
        <v>-25.479925155639648</v>
      </c>
      <c r="CP11" s="24">
        <v>-0.42913925647735596</v>
      </c>
      <c r="CQ11" s="24">
        <v>-0.5520092248916626</v>
      </c>
      <c r="CR11" s="24">
        <v>2.5431535243988037</v>
      </c>
      <c r="CS11">
        <v>1.0514888321825278</v>
      </c>
      <c r="CT11">
        <v>80358072.981843919</v>
      </c>
      <c r="CU11">
        <v>2.3179500000000002</v>
      </c>
      <c r="CV11" s="23">
        <v>0.48821636587381362</v>
      </c>
      <c r="CW11" s="24">
        <v>-4.579829835891724</v>
      </c>
      <c r="CX11">
        <v>0.06</v>
      </c>
      <c r="CY11">
        <v>353.09333332314174</v>
      </c>
      <c r="CZ11">
        <v>19633645.401216198</v>
      </c>
      <c r="DA11">
        <v>0.48821636587381362</v>
      </c>
      <c r="DB11">
        <v>83.71835671627143</v>
      </c>
      <c r="DC11">
        <v>82807517.633138195</v>
      </c>
      <c r="DD11">
        <v>0.46380554758012293</v>
      </c>
      <c r="DE11">
        <v>25.538576754356519</v>
      </c>
      <c r="DF11">
        <v>271452452.76119047</v>
      </c>
      <c r="DG11">
        <v>0.42963040196895597</v>
      </c>
      <c r="DH11">
        <v>8.3600444485731771</v>
      </c>
      <c r="DI11">
        <v>829243114.99123466</v>
      </c>
      <c r="DJ11">
        <v>0.39057309269905094</v>
      </c>
      <c r="DK11">
        <v>0.94195849139102517</v>
      </c>
      <c r="DL11">
        <v>7359675997.7846851</v>
      </c>
      <c r="DM11">
        <v>0.34175145611166952</v>
      </c>
      <c r="DN11">
        <v>13984300</v>
      </c>
      <c r="DO11">
        <v>0.48821636587381362</v>
      </c>
      <c r="DP11">
        <v>6932509300</v>
      </c>
      <c r="DQ11">
        <v>-127252000.00000048</v>
      </c>
      <c r="DR11">
        <v>1809</v>
      </c>
      <c r="DS11">
        <v>-0.21152454473560223</v>
      </c>
      <c r="DT11">
        <v>10.86019098677151</v>
      </c>
      <c r="DU11" s="25">
        <v>0</v>
      </c>
      <c r="DV11">
        <v>0.6</v>
      </c>
      <c r="DW11">
        <v>0.6</v>
      </c>
      <c r="DX11">
        <v>9.2892988929889295</v>
      </c>
      <c r="DY11">
        <v>0.39812857142857094</v>
      </c>
      <c r="DZ11">
        <v>9.0544253874538754</v>
      </c>
      <c r="EA11">
        <v>1258</v>
      </c>
      <c r="EB11">
        <v>9.0399747463781104</v>
      </c>
      <c r="EC11">
        <v>9</v>
      </c>
      <c r="ED11">
        <v>0.21105686721781244</v>
      </c>
      <c r="EE11">
        <v>1.1218756705328325</v>
      </c>
      <c r="EF11" s="22">
        <v>4.0762</v>
      </c>
      <c r="EG11">
        <v>4.0998000000000001</v>
      </c>
      <c r="EH11">
        <v>21.188128571428571</v>
      </c>
      <c r="EI11" t="s">
        <v>1156</v>
      </c>
      <c r="EJ11">
        <v>1</v>
      </c>
      <c r="EK11">
        <v>1</v>
      </c>
    </row>
    <row r="12" spans="1:141" x14ac:dyDescent="0.25">
      <c r="A12" s="32" t="s">
        <v>1044</v>
      </c>
      <c r="B12" s="3"/>
      <c r="C12" s="3"/>
      <c r="D12" s="3"/>
      <c r="E12" t="s">
        <v>1036</v>
      </c>
      <c r="F12" t="s">
        <v>1037</v>
      </c>
      <c r="G12">
        <v>26.38</v>
      </c>
      <c r="H12">
        <v>3.29</v>
      </c>
      <c r="I12" t="s">
        <v>1157</v>
      </c>
      <c r="J12">
        <v>15273903000</v>
      </c>
      <c r="K12">
        <v>23.06</v>
      </c>
      <c r="L12">
        <v>2.95</v>
      </c>
      <c r="M12" t="s">
        <v>256</v>
      </c>
      <c r="N12" t="s">
        <v>1158</v>
      </c>
      <c r="O12" t="s">
        <v>1159</v>
      </c>
      <c r="P12" t="s">
        <v>1160</v>
      </c>
      <c r="Q12">
        <v>73.58</v>
      </c>
      <c r="R12" t="s">
        <v>1161</v>
      </c>
      <c r="S12">
        <v>171470130</v>
      </c>
      <c r="T12" s="4">
        <v>1.417</v>
      </c>
      <c r="U12" t="s">
        <v>1162</v>
      </c>
      <c r="V12">
        <v>468750990</v>
      </c>
      <c r="W12">
        <v>578995580</v>
      </c>
      <c r="X12">
        <v>1.67</v>
      </c>
      <c r="Y12">
        <v>0.22</v>
      </c>
      <c r="Z12">
        <v>9.33</v>
      </c>
      <c r="AA12" t="s">
        <v>1163</v>
      </c>
      <c r="AB12" t="s">
        <v>1164</v>
      </c>
      <c r="AC12" t="s">
        <v>1165</v>
      </c>
      <c r="AD12" t="s">
        <v>1166</v>
      </c>
      <c r="AE12" t="s">
        <v>7</v>
      </c>
      <c r="AF12">
        <v>40814246</v>
      </c>
      <c r="AG12" t="s">
        <v>1167</v>
      </c>
      <c r="AH12" t="s">
        <v>1168</v>
      </c>
      <c r="AI12" t="s">
        <v>1169</v>
      </c>
      <c r="AJ12" t="s">
        <v>485</v>
      </c>
      <c r="AK12" t="s">
        <v>1170</v>
      </c>
      <c r="AL12" t="s">
        <v>1171</v>
      </c>
      <c r="AM12" t="s">
        <v>1172</v>
      </c>
      <c r="AN12" t="s">
        <v>7</v>
      </c>
      <c r="AO12" t="s">
        <v>1173</v>
      </c>
      <c r="AP12" t="s">
        <v>1174</v>
      </c>
      <c r="AQ12" t="s">
        <v>1175</v>
      </c>
      <c r="AR12" t="s">
        <v>1176</v>
      </c>
      <c r="AS12" t="s">
        <v>7</v>
      </c>
      <c r="AT12" t="s">
        <v>1177</v>
      </c>
      <c r="AU12" t="s">
        <v>1178</v>
      </c>
      <c r="AV12" t="s">
        <v>1179</v>
      </c>
      <c r="AW12" t="s">
        <v>1180</v>
      </c>
      <c r="AX12" t="s">
        <v>1153</v>
      </c>
      <c r="AY12" t="s">
        <v>1181</v>
      </c>
      <c r="AZ12" t="s">
        <v>1182</v>
      </c>
      <c r="BA12" t="s">
        <v>1183</v>
      </c>
      <c r="BB12" t="s">
        <v>1184</v>
      </c>
      <c r="BC12" t="s">
        <v>1185</v>
      </c>
      <c r="BD12" t="s">
        <v>1186</v>
      </c>
      <c r="BE12" t="s">
        <v>1187</v>
      </c>
      <c r="BF12" t="s">
        <v>886</v>
      </c>
      <c r="BG12" t="s">
        <v>95</v>
      </c>
      <c r="BH12" t="s">
        <v>69</v>
      </c>
      <c r="BI12" t="s">
        <v>1188</v>
      </c>
      <c r="BJ12" t="s">
        <v>1189</v>
      </c>
      <c r="BK12" t="s">
        <v>1181</v>
      </c>
      <c r="BL12" t="s">
        <v>1162</v>
      </c>
      <c r="BM12" t="s">
        <v>1190</v>
      </c>
      <c r="BN12" t="s">
        <v>1186</v>
      </c>
      <c r="BO12">
        <v>10.53</v>
      </c>
      <c r="BP12">
        <v>1.53</v>
      </c>
      <c r="BQ12">
        <v>0.59</v>
      </c>
      <c r="BR12">
        <v>6.44</v>
      </c>
      <c r="BS12">
        <v>14.52</v>
      </c>
      <c r="BT12">
        <v>2.4500000000000002</v>
      </c>
      <c r="BU12">
        <v>0.99</v>
      </c>
      <c r="BV12">
        <v>14.45</v>
      </c>
      <c r="BW12">
        <v>23.34</v>
      </c>
      <c r="BX12">
        <v>23.04</v>
      </c>
      <c r="BY12">
        <v>25.92</v>
      </c>
      <c r="BZ12">
        <v>8.64</v>
      </c>
      <c r="CA12">
        <v>1.74</v>
      </c>
      <c r="CB12">
        <v>0.68</v>
      </c>
      <c r="CC12">
        <v>1.54</v>
      </c>
      <c r="CD12">
        <v>31.9</v>
      </c>
      <c r="CE12" t="s">
        <v>69</v>
      </c>
      <c r="CF12" t="s">
        <v>1191</v>
      </c>
      <c r="CG12" s="23">
        <v>0.73644353932584272</v>
      </c>
      <c r="CH12" s="24">
        <v>1.4168457417344276</v>
      </c>
      <c r="CI12" s="23">
        <v>0.98159873485565186</v>
      </c>
      <c r="CJ12" s="23">
        <v>0.11018091440200806</v>
      </c>
      <c r="CK12" s="23">
        <v>-0.15744924545288086</v>
      </c>
      <c r="CL12" s="23">
        <v>1.0896226167678833</v>
      </c>
      <c r="CM12" s="23">
        <v>1.1094527244567871</v>
      </c>
      <c r="CN12" s="24">
        <v>8.286738395690918</v>
      </c>
      <c r="CO12" s="24">
        <v>1.521411657333374</v>
      </c>
      <c r="CP12" s="24">
        <v>-0.89090460538864136</v>
      </c>
      <c r="CQ12" s="24">
        <v>0.44736841320991516</v>
      </c>
      <c r="CR12" s="24">
        <v>0.50495052337646484</v>
      </c>
      <c r="CS12">
        <v>2.3251488811082357</v>
      </c>
      <c r="CT12">
        <v>29499846.975088969</v>
      </c>
      <c r="CU12">
        <v>3.4278420000000001</v>
      </c>
      <c r="CV12" s="23">
        <v>0.62668114900588989</v>
      </c>
      <c r="CW12" s="24">
        <v>1.9739128768444061</v>
      </c>
      <c r="CX12">
        <v>0.06</v>
      </c>
      <c r="CY12">
        <v>15.63909255468432</v>
      </c>
      <c r="CZ12">
        <v>862447929.94463217</v>
      </c>
      <c r="DA12">
        <v>0.62668114900588989</v>
      </c>
      <c r="DB12">
        <v>3.3428887517245123</v>
      </c>
      <c r="DC12">
        <v>4034804626.1012816</v>
      </c>
      <c r="DD12">
        <v>0.5953470915555954</v>
      </c>
      <c r="DE12">
        <v>0.86081423663412093</v>
      </c>
      <c r="DF12">
        <v>15668773152.195061</v>
      </c>
      <c r="DG12">
        <v>0.55147941112518306</v>
      </c>
      <c r="DH12">
        <v>0.22404579759677989</v>
      </c>
      <c r="DI12">
        <v>60201544258.707649</v>
      </c>
      <c r="DJ12">
        <v>0.50134491920471191</v>
      </c>
      <c r="DK12">
        <v>1.4071240047668722E-2</v>
      </c>
      <c r="DL12">
        <v>958544019880.79456</v>
      </c>
      <c r="DM12">
        <v>0.43867680430412287</v>
      </c>
      <c r="DN12">
        <v>562000000</v>
      </c>
      <c r="DO12">
        <v>0.62668114900588989</v>
      </c>
      <c r="DP12">
        <v>13487903000</v>
      </c>
      <c r="DQ12">
        <v>2774987000</v>
      </c>
      <c r="DR12">
        <v>1874</v>
      </c>
      <c r="DS12">
        <v>0.10976239031995283</v>
      </c>
      <c r="DT12">
        <v>-0.55706713510997852</v>
      </c>
      <c r="DU12" s="25">
        <v>0</v>
      </c>
      <c r="DV12">
        <v>0</v>
      </c>
      <c r="DW12">
        <v>0</v>
      </c>
      <c r="DX12">
        <v>3.1798214285714286</v>
      </c>
      <c r="DY12">
        <v>0.40264090177133638</v>
      </c>
      <c r="DZ12">
        <v>3.0292463193006673</v>
      </c>
      <c r="EA12">
        <v>229</v>
      </c>
      <c r="EB12">
        <v>3.0278327677768488</v>
      </c>
      <c r="EC12">
        <v>3</v>
      </c>
      <c r="ED12">
        <v>0.1744400190412507</v>
      </c>
      <c r="EE12">
        <v>1.0725470477684822</v>
      </c>
      <c r="EF12" s="22">
        <v>-1.0216000000000001</v>
      </c>
      <c r="EG12">
        <v>-1.0545</v>
      </c>
      <c r="EH12">
        <v>24.162640901771336</v>
      </c>
      <c r="EI12" t="s">
        <v>380</v>
      </c>
      <c r="EJ12">
        <v>0</v>
      </c>
      <c r="EK12">
        <v>1</v>
      </c>
    </row>
    <row r="13" spans="1:141" x14ac:dyDescent="0.25">
      <c r="A13" s="32" t="s">
        <v>1046</v>
      </c>
      <c r="B13" s="3"/>
      <c r="C13" s="3"/>
      <c r="D13" s="3"/>
      <c r="E13" t="s">
        <v>636</v>
      </c>
      <c r="F13" t="s">
        <v>637</v>
      </c>
      <c r="G13">
        <v>17.04</v>
      </c>
      <c r="H13">
        <v>0</v>
      </c>
      <c r="I13" t="s">
        <v>664</v>
      </c>
      <c r="J13">
        <v>10073311500</v>
      </c>
      <c r="K13">
        <v>24.74</v>
      </c>
      <c r="L13">
        <v>2.5499999999999998</v>
      </c>
      <c r="M13" t="s">
        <v>638</v>
      </c>
      <c r="N13" t="s">
        <v>665</v>
      </c>
      <c r="O13" t="s">
        <v>666</v>
      </c>
      <c r="P13" t="s">
        <v>667</v>
      </c>
      <c r="Q13">
        <v>-0.17</v>
      </c>
      <c r="R13" t="s">
        <v>668</v>
      </c>
      <c r="S13">
        <v>190377510</v>
      </c>
      <c r="T13" s="4">
        <v>0.1178</v>
      </c>
      <c r="U13" t="s">
        <v>669</v>
      </c>
      <c r="V13">
        <v>569020420</v>
      </c>
      <c r="W13">
        <v>591156780</v>
      </c>
      <c r="X13">
        <v>2.69</v>
      </c>
      <c r="Y13">
        <v>0.77</v>
      </c>
      <c r="Z13">
        <v>2.2799999999999998</v>
      </c>
      <c r="AA13" t="s">
        <v>670</v>
      </c>
      <c r="AB13" t="s">
        <v>671</v>
      </c>
      <c r="AC13" t="s">
        <v>672</v>
      </c>
      <c r="AD13" t="s">
        <v>673</v>
      </c>
      <c r="AE13" t="s">
        <v>674</v>
      </c>
      <c r="AF13">
        <v>52075234</v>
      </c>
      <c r="AG13" t="s">
        <v>675</v>
      </c>
      <c r="AH13" t="s">
        <v>676</v>
      </c>
      <c r="AI13" t="s">
        <v>677</v>
      </c>
      <c r="AJ13" t="s">
        <v>678</v>
      </c>
      <c r="AK13" t="s">
        <v>679</v>
      </c>
      <c r="AL13" t="s">
        <v>680</v>
      </c>
      <c r="AM13" t="s">
        <v>681</v>
      </c>
      <c r="AN13" t="s">
        <v>7</v>
      </c>
      <c r="AO13" t="s">
        <v>682</v>
      </c>
      <c r="AP13" t="s">
        <v>683</v>
      </c>
      <c r="AQ13" t="s">
        <v>684</v>
      </c>
      <c r="AR13" t="s">
        <v>685</v>
      </c>
      <c r="AS13" t="s">
        <v>686</v>
      </c>
      <c r="AT13" t="s">
        <v>687</v>
      </c>
      <c r="AU13" t="s">
        <v>112</v>
      </c>
      <c r="AV13" t="s">
        <v>688</v>
      </c>
      <c r="AW13" t="s">
        <v>689</v>
      </c>
      <c r="AX13" t="s">
        <v>690</v>
      </c>
      <c r="AY13" t="s">
        <v>691</v>
      </c>
      <c r="AZ13" t="s">
        <v>692</v>
      </c>
      <c r="BA13" t="s">
        <v>693</v>
      </c>
      <c r="BB13" t="s">
        <v>694</v>
      </c>
      <c r="BC13" t="s">
        <v>695</v>
      </c>
      <c r="BD13" t="s">
        <v>696</v>
      </c>
      <c r="BE13" t="s">
        <v>697</v>
      </c>
      <c r="BF13" t="s">
        <v>72</v>
      </c>
      <c r="BG13" t="s">
        <v>698</v>
      </c>
      <c r="BH13" t="s">
        <v>699</v>
      </c>
      <c r="BI13" t="s">
        <v>700</v>
      </c>
      <c r="BJ13" t="s">
        <v>701</v>
      </c>
      <c r="BK13" t="s">
        <v>691</v>
      </c>
      <c r="BL13" t="s">
        <v>669</v>
      </c>
      <c r="BM13" t="s">
        <v>702</v>
      </c>
      <c r="BN13" t="s">
        <v>696</v>
      </c>
      <c r="BO13">
        <v>4.38</v>
      </c>
      <c r="BP13">
        <v>4.45</v>
      </c>
      <c r="BQ13">
        <v>4.09</v>
      </c>
      <c r="BR13">
        <v>3.38</v>
      </c>
      <c r="BS13">
        <v>10.84</v>
      </c>
      <c r="BT13">
        <v>9.82</v>
      </c>
      <c r="BU13">
        <v>7.51</v>
      </c>
      <c r="BV13">
        <v>7.83</v>
      </c>
      <c r="BW13">
        <v>3.26</v>
      </c>
      <c r="BX13">
        <v>3.41</v>
      </c>
      <c r="BY13">
        <v>3.74</v>
      </c>
      <c r="BZ13">
        <v>1.19</v>
      </c>
      <c r="CA13">
        <v>1.26</v>
      </c>
      <c r="CB13">
        <v>1.22</v>
      </c>
      <c r="CC13">
        <v>3.4</v>
      </c>
      <c r="CD13">
        <v>-20</v>
      </c>
      <c r="CE13" t="s">
        <v>703</v>
      </c>
      <c r="CF13" t="s">
        <v>72</v>
      </c>
      <c r="CG13" s="23">
        <v>-1.6084944751381216E-3</v>
      </c>
      <c r="CH13" s="24">
        <v>0.11986770588235295</v>
      </c>
      <c r="CI13" s="23">
        <v>0.25668954849243164</v>
      </c>
      <c r="CJ13" s="23">
        <v>0.35453051328659058</v>
      </c>
      <c r="CK13" s="23">
        <v>0.25073209404945374</v>
      </c>
      <c r="CL13" s="23">
        <v>0.10568579286336899</v>
      </c>
      <c r="CM13" s="23">
        <v>0.43326529860496521</v>
      </c>
      <c r="CN13" s="24">
        <v>0.18711656332015991</v>
      </c>
      <c r="CO13" s="24">
        <v>0.40517240762710571</v>
      </c>
      <c r="CP13" s="24">
        <v>0.47770699858665466</v>
      </c>
      <c r="CQ13" s="24">
        <v>0.31932774186134338</v>
      </c>
      <c r="CR13" s="24">
        <v>0.43337917327880859</v>
      </c>
      <c r="CS13">
        <v>0.27711236279607165</v>
      </c>
      <c r="CT13">
        <v>48436767.441860467</v>
      </c>
      <c r="CU13">
        <v>4.7225639999999993</v>
      </c>
      <c r="CV13" s="23">
        <v>0.28018064945936205</v>
      </c>
      <c r="CW13" s="24">
        <v>0.36454057693481445</v>
      </c>
      <c r="CX13">
        <v>0.06</v>
      </c>
      <c r="CY13">
        <v>27.767823207867384</v>
      </c>
      <c r="CZ13">
        <v>467386708.8120501</v>
      </c>
      <c r="DA13">
        <v>0.28018064945936205</v>
      </c>
      <c r="DB13">
        <v>7.7526783783435631</v>
      </c>
      <c r="DC13">
        <v>1674042294.3706515</v>
      </c>
      <c r="DD13">
        <v>0.26617161698639391</v>
      </c>
      <c r="DE13">
        <v>3.0508351604142256</v>
      </c>
      <c r="DF13">
        <v>4254019249.6791191</v>
      </c>
      <c r="DG13">
        <v>0.24655897152423861</v>
      </c>
      <c r="DH13">
        <v>1.396699410321842</v>
      </c>
      <c r="DI13">
        <v>9292129290.0162411</v>
      </c>
      <c r="DJ13">
        <v>0.22414451956748965</v>
      </c>
      <c r="DK13">
        <v>0.37397765975384023</v>
      </c>
      <c r="DL13">
        <v>34703440597.341003</v>
      </c>
      <c r="DM13">
        <v>0.19612645462155343</v>
      </c>
      <c r="DN13">
        <v>387000000</v>
      </c>
      <c r="DO13">
        <v>0.28018064945936205</v>
      </c>
      <c r="DP13">
        <v>12978311500</v>
      </c>
      <c r="DQ13">
        <v>5896448200</v>
      </c>
      <c r="DR13">
        <v>2996</v>
      </c>
      <c r="DS13">
        <v>-0.28178914393450016</v>
      </c>
      <c r="DT13">
        <v>-0.24467287105246149</v>
      </c>
      <c r="DU13" s="25">
        <v>0.54999999999999993</v>
      </c>
      <c r="DV13">
        <v>0.44</v>
      </c>
      <c r="DW13">
        <v>0.99</v>
      </c>
      <c r="DX13">
        <v>6.1452991452991457</v>
      </c>
      <c r="DY13">
        <v>0.34994203821656011</v>
      </c>
      <c r="DZ13">
        <v>6.0203334585442869</v>
      </c>
      <c r="EA13">
        <v>934</v>
      </c>
      <c r="EB13">
        <v>6.0163132531504759</v>
      </c>
      <c r="EC13">
        <v>6</v>
      </c>
      <c r="ED13">
        <v>3.7165944370967041E-2</v>
      </c>
      <c r="EE13">
        <v>0.26558098513223516</v>
      </c>
      <c r="EF13" s="22">
        <v>-2.1227999999999998</v>
      </c>
      <c r="EG13">
        <v>-2.1227999999999998</v>
      </c>
      <c r="EH13">
        <v>21.13994203821656</v>
      </c>
      <c r="EI13" t="s">
        <v>379</v>
      </c>
      <c r="EJ13">
        <v>0</v>
      </c>
      <c r="EK13">
        <v>1</v>
      </c>
    </row>
    <row r="14" spans="1:141" ht="28.8" x14ac:dyDescent="0.25">
      <c r="A14" s="32" t="s">
        <v>1047</v>
      </c>
      <c r="B14" s="3"/>
      <c r="C14" s="3"/>
      <c r="D14" s="3"/>
      <c r="E14" t="s">
        <v>1038</v>
      </c>
      <c r="F14" t="s">
        <v>1039</v>
      </c>
      <c r="G14">
        <v>8.91</v>
      </c>
      <c r="H14">
        <v>2.5299999999999998</v>
      </c>
      <c r="I14" t="s">
        <v>1192</v>
      </c>
      <c r="J14">
        <v>14797001000</v>
      </c>
      <c r="K14">
        <v>238.4</v>
      </c>
      <c r="L14">
        <v>5.61</v>
      </c>
      <c r="M14" t="s">
        <v>256</v>
      </c>
      <c r="N14" t="s">
        <v>1193</v>
      </c>
      <c r="O14" t="s">
        <v>1194</v>
      </c>
      <c r="P14" t="s">
        <v>1195</v>
      </c>
      <c r="Q14">
        <v>11.76</v>
      </c>
      <c r="R14" t="s">
        <v>1196</v>
      </c>
      <c r="S14">
        <v>31575069</v>
      </c>
      <c r="T14" s="4">
        <v>1.6990000000000001</v>
      </c>
      <c r="U14" t="s">
        <v>1197</v>
      </c>
      <c r="V14">
        <v>1660718400</v>
      </c>
      <c r="W14">
        <v>1660718400</v>
      </c>
      <c r="X14">
        <v>2.11</v>
      </c>
      <c r="Y14">
        <v>0.08</v>
      </c>
      <c r="Z14">
        <v>4.0999999999999996</v>
      </c>
      <c r="AA14" t="s">
        <v>887</v>
      </c>
      <c r="AB14" t="s">
        <v>1198</v>
      </c>
      <c r="AC14" t="s">
        <v>1199</v>
      </c>
      <c r="AD14" t="s">
        <v>1200</v>
      </c>
      <c r="AE14" t="s">
        <v>7</v>
      </c>
      <c r="AF14">
        <v>19016103</v>
      </c>
      <c r="AG14" t="s">
        <v>1201</v>
      </c>
      <c r="AH14" t="s">
        <v>1202</v>
      </c>
      <c r="AI14" t="s">
        <v>1203</v>
      </c>
      <c r="AJ14" t="s">
        <v>1204</v>
      </c>
      <c r="AK14" t="s">
        <v>1205</v>
      </c>
      <c r="AL14" t="s">
        <v>1206</v>
      </c>
      <c r="AM14" t="s">
        <v>1207</v>
      </c>
      <c r="AN14" t="s">
        <v>7</v>
      </c>
      <c r="AO14" t="s">
        <v>1208</v>
      </c>
      <c r="AP14" t="s">
        <v>1209</v>
      </c>
      <c r="AQ14" t="s">
        <v>1210</v>
      </c>
      <c r="AR14" t="s">
        <v>1211</v>
      </c>
      <c r="AS14" t="s">
        <v>1212</v>
      </c>
      <c r="AT14" t="s">
        <v>1213</v>
      </c>
      <c r="AU14" t="s">
        <v>35</v>
      </c>
      <c r="AV14" t="s">
        <v>1214</v>
      </c>
      <c r="AW14" t="s">
        <v>1215</v>
      </c>
      <c r="AX14" t="s">
        <v>1216</v>
      </c>
      <c r="AY14" t="s">
        <v>1217</v>
      </c>
      <c r="AZ14" t="s">
        <v>1218</v>
      </c>
      <c r="BA14" t="s">
        <v>1219</v>
      </c>
      <c r="BB14" t="s">
        <v>1220</v>
      </c>
      <c r="BC14" t="s">
        <v>1221</v>
      </c>
      <c r="BD14" t="s">
        <v>1222</v>
      </c>
      <c r="BE14" t="s">
        <v>1223</v>
      </c>
      <c r="BF14" t="s">
        <v>1224</v>
      </c>
      <c r="BG14" t="s">
        <v>1225</v>
      </c>
      <c r="BH14" t="s">
        <v>1226</v>
      </c>
      <c r="BI14" t="s">
        <v>119</v>
      </c>
      <c r="BJ14" t="s">
        <v>1227</v>
      </c>
      <c r="BK14" t="s">
        <v>1217</v>
      </c>
      <c r="BL14" t="s">
        <v>1197</v>
      </c>
      <c r="BM14" t="s">
        <v>1228</v>
      </c>
      <c r="BN14" t="s">
        <v>1222</v>
      </c>
      <c r="BO14">
        <v>1.01</v>
      </c>
      <c r="BP14">
        <v>1.33</v>
      </c>
      <c r="BQ14">
        <v>-9.18</v>
      </c>
      <c r="BR14">
        <v>0.59</v>
      </c>
      <c r="BS14">
        <v>1.64</v>
      </c>
      <c r="BT14">
        <v>2.19</v>
      </c>
      <c r="BU14">
        <v>-18.59</v>
      </c>
      <c r="BV14">
        <v>1.03</v>
      </c>
      <c r="BW14">
        <v>14.63</v>
      </c>
      <c r="BX14">
        <v>12.9</v>
      </c>
      <c r="BY14">
        <v>10.77</v>
      </c>
      <c r="BZ14">
        <v>0.17</v>
      </c>
      <c r="CA14">
        <v>1.61</v>
      </c>
      <c r="CB14">
        <v>-19.690000000000001</v>
      </c>
      <c r="CC14">
        <v>7.74</v>
      </c>
      <c r="CD14">
        <v>55.77</v>
      </c>
      <c r="CE14" t="s">
        <v>916</v>
      </c>
      <c r="CF14" t="s">
        <v>1229</v>
      </c>
      <c r="CG14" s="23">
        <v>0.11798828512396695</v>
      </c>
      <c r="CH14" s="24">
        <v>1.6993006197905536</v>
      </c>
      <c r="CI14" s="23">
        <v>0.20149262249469757</v>
      </c>
      <c r="CJ14" s="23">
        <v>0.22403840720653534</v>
      </c>
      <c r="CK14" s="23">
        <v>9.8785035312175751E-2</v>
      </c>
      <c r="CL14" s="23">
        <v>0.20958466827869415</v>
      </c>
      <c r="CM14" s="23">
        <v>-7.9411804676055908E-2</v>
      </c>
      <c r="CN14" s="24">
        <v>-0.23955009877681732</v>
      </c>
      <c r="CO14" s="24">
        <v>1.154942512512207</v>
      </c>
      <c r="CP14" s="24">
        <v>-17.481973648071289</v>
      </c>
      <c r="CQ14" s="24">
        <v>-1.3395046815276146E-2</v>
      </c>
      <c r="CR14" s="24">
        <v>1.1038471460342407</v>
      </c>
      <c r="CS14">
        <v>4.8372020268061462</v>
      </c>
      <c r="CT14">
        <v>56215420.431134827</v>
      </c>
      <c r="CU14">
        <v>0.69207999999999992</v>
      </c>
      <c r="CV14" s="23">
        <v>0.13089778572320937</v>
      </c>
      <c r="CW14" s="24">
        <v>-3.0952258270233868</v>
      </c>
      <c r="CX14">
        <v>0.06</v>
      </c>
      <c r="CY14">
        <v>336.19975269479875</v>
      </c>
      <c r="CZ14">
        <v>45003010.4981516</v>
      </c>
      <c r="DA14">
        <v>0.13089778572320937</v>
      </c>
      <c r="DB14">
        <v>106.14446016312434</v>
      </c>
      <c r="DC14">
        <v>142541598.27793175</v>
      </c>
      <c r="DD14">
        <v>0.1243528964370489</v>
      </c>
      <c r="DE14">
        <v>49.863498247955327</v>
      </c>
      <c r="DF14">
        <v>303428390.13747722</v>
      </c>
      <c r="DG14">
        <v>0.11519005143642425</v>
      </c>
      <c r="DH14">
        <v>28.376531455306981</v>
      </c>
      <c r="DI14">
        <v>533187117.1016705</v>
      </c>
      <c r="DJ14">
        <v>0.1047182285785675</v>
      </c>
      <c r="DK14">
        <v>12.983357261205329</v>
      </c>
      <c r="DL14">
        <v>1165338109.0581946</v>
      </c>
      <c r="DM14">
        <v>9.1628450006246559E-2</v>
      </c>
      <c r="DN14">
        <v>42181700</v>
      </c>
      <c r="DO14">
        <v>0.13089778572320937</v>
      </c>
      <c r="DP14">
        <v>15130001000</v>
      </c>
      <c r="DQ14">
        <v>-18840800</v>
      </c>
      <c r="DR14">
        <v>3009</v>
      </c>
      <c r="DS14">
        <v>-1.2909500599242424E-2</v>
      </c>
      <c r="DT14">
        <v>4.7945264468139399</v>
      </c>
      <c r="DU14" s="25">
        <v>0</v>
      </c>
      <c r="DV14">
        <v>0.6</v>
      </c>
      <c r="DW14">
        <v>0.6</v>
      </c>
      <c r="DX14">
        <v>9.1387842926304472</v>
      </c>
      <c r="DY14">
        <v>0.4264878270647412</v>
      </c>
      <c r="DZ14">
        <v>9.0286572670159781</v>
      </c>
      <c r="EA14">
        <v>2107</v>
      </c>
      <c r="EB14">
        <v>9.015913311422338</v>
      </c>
      <c r="EC14">
        <v>9</v>
      </c>
      <c r="ED14">
        <v>0.1993113341792323</v>
      </c>
      <c r="EE14">
        <v>0.96524492051150879</v>
      </c>
      <c r="EF14" s="22">
        <v>2.0901999999999998</v>
      </c>
      <c r="EG14">
        <v>2.1154999999999999</v>
      </c>
      <c r="EH14">
        <v>22.206487827064741</v>
      </c>
      <c r="EI14" t="s">
        <v>909</v>
      </c>
      <c r="EJ14">
        <v>1</v>
      </c>
      <c r="EK14">
        <v>0</v>
      </c>
    </row>
    <row r="15" spans="1:141" ht="28.8" x14ac:dyDescent="0.25">
      <c r="A15" s="32" t="s">
        <v>1045</v>
      </c>
      <c r="B15" s="3"/>
      <c r="C15" s="3"/>
      <c r="D15" s="3"/>
      <c r="E15" t="s">
        <v>639</v>
      </c>
      <c r="F15" t="s">
        <v>640</v>
      </c>
      <c r="G15">
        <v>13.05</v>
      </c>
      <c r="H15">
        <v>-2.0299999999999998</v>
      </c>
      <c r="I15" t="s">
        <v>704</v>
      </c>
      <c r="J15">
        <v>11966212000</v>
      </c>
      <c r="K15">
        <v>33.450000000000003</v>
      </c>
      <c r="L15">
        <v>3.17</v>
      </c>
      <c r="M15" t="s">
        <v>641</v>
      </c>
      <c r="N15" t="s">
        <v>705</v>
      </c>
      <c r="O15" t="s">
        <v>706</v>
      </c>
      <c r="P15" t="s">
        <v>707</v>
      </c>
      <c r="Q15">
        <v>21.15</v>
      </c>
      <c r="R15" t="s">
        <v>708</v>
      </c>
      <c r="S15">
        <v>101756880</v>
      </c>
      <c r="T15" s="4">
        <v>0.19769999999999999</v>
      </c>
      <c r="U15" t="s">
        <v>709</v>
      </c>
      <c r="V15">
        <v>861609520</v>
      </c>
      <c r="W15">
        <v>916951110</v>
      </c>
      <c r="X15">
        <v>1.78</v>
      </c>
      <c r="Y15">
        <v>0.14000000000000001</v>
      </c>
      <c r="Z15">
        <v>11.32</v>
      </c>
      <c r="AA15" t="s">
        <v>710</v>
      </c>
      <c r="AB15" t="s">
        <v>711</v>
      </c>
      <c r="AC15" t="s">
        <v>712</v>
      </c>
      <c r="AD15" t="s">
        <v>713</v>
      </c>
      <c r="AE15" t="s">
        <v>7</v>
      </c>
      <c r="AF15">
        <v>9051229</v>
      </c>
      <c r="AG15" t="s">
        <v>714</v>
      </c>
      <c r="AH15" t="s">
        <v>715</v>
      </c>
      <c r="AI15" t="s">
        <v>716</v>
      </c>
      <c r="AJ15" t="s">
        <v>717</v>
      </c>
      <c r="AK15" t="s">
        <v>718</v>
      </c>
      <c r="AL15" t="s">
        <v>719</v>
      </c>
      <c r="AM15" t="s">
        <v>720</v>
      </c>
      <c r="AN15" t="s">
        <v>7</v>
      </c>
      <c r="AO15" t="s">
        <v>195</v>
      </c>
      <c r="AP15" t="s">
        <v>721</v>
      </c>
      <c r="AQ15" t="s">
        <v>722</v>
      </c>
      <c r="AR15" t="s">
        <v>722</v>
      </c>
      <c r="AS15" t="s">
        <v>723</v>
      </c>
      <c r="AT15" t="s">
        <v>724</v>
      </c>
      <c r="AU15" t="s">
        <v>725</v>
      </c>
      <c r="AV15" t="s">
        <v>726</v>
      </c>
      <c r="AW15" t="s">
        <v>727</v>
      </c>
      <c r="AX15" t="s">
        <v>728</v>
      </c>
      <c r="AY15" t="s">
        <v>729</v>
      </c>
      <c r="AZ15" t="s">
        <v>730</v>
      </c>
      <c r="BA15" t="s">
        <v>731</v>
      </c>
      <c r="BB15" t="s">
        <v>732</v>
      </c>
      <c r="BC15" t="s">
        <v>733</v>
      </c>
      <c r="BD15" t="s">
        <v>734</v>
      </c>
      <c r="BE15" t="s">
        <v>735</v>
      </c>
      <c r="BF15" t="s">
        <v>736</v>
      </c>
      <c r="BG15" t="s">
        <v>737</v>
      </c>
      <c r="BH15" t="s">
        <v>738</v>
      </c>
      <c r="BI15" t="s">
        <v>739</v>
      </c>
      <c r="BJ15" t="s">
        <v>740</v>
      </c>
      <c r="BK15" t="s">
        <v>729</v>
      </c>
      <c r="BL15" t="s">
        <v>709</v>
      </c>
      <c r="BM15" t="s">
        <v>741</v>
      </c>
      <c r="BN15" t="s">
        <v>734</v>
      </c>
      <c r="BO15">
        <v>8.1199999999999992</v>
      </c>
      <c r="BP15">
        <v>5.75</v>
      </c>
      <c r="BQ15">
        <v>2.69</v>
      </c>
      <c r="BR15">
        <v>1.19</v>
      </c>
      <c r="BS15">
        <v>10.72</v>
      </c>
      <c r="BT15">
        <v>7.11</v>
      </c>
      <c r="BU15">
        <v>3.14</v>
      </c>
      <c r="BV15">
        <v>1.38</v>
      </c>
      <c r="BW15">
        <v>23.72</v>
      </c>
      <c r="BX15">
        <v>25.7</v>
      </c>
      <c r="BY15">
        <v>21.34</v>
      </c>
      <c r="BZ15">
        <v>10.63</v>
      </c>
      <c r="CA15">
        <v>9.36</v>
      </c>
      <c r="CB15">
        <v>4.1399999999999997</v>
      </c>
      <c r="CC15">
        <v>15.79</v>
      </c>
      <c r="CD15">
        <v>-2.1</v>
      </c>
      <c r="CE15" t="s">
        <v>742</v>
      </c>
      <c r="CF15" t="s">
        <v>743</v>
      </c>
      <c r="CG15" s="23">
        <v>0.21071299866131191</v>
      </c>
      <c r="CH15" s="24">
        <v>0.19774850276846587</v>
      </c>
      <c r="CI15" s="23">
        <v>0.71929836273193359</v>
      </c>
      <c r="CJ15" s="23">
        <v>8.4149777889251709E-2</v>
      </c>
      <c r="CK15" s="23">
        <v>5.4711326956748962E-2</v>
      </c>
      <c r="CL15" s="23">
        <v>-5.13264499604702E-2</v>
      </c>
      <c r="CM15" s="23">
        <v>3.5842295736074448E-2</v>
      </c>
      <c r="CN15" s="24">
        <v>0.94857144355773926</v>
      </c>
      <c r="CO15" s="24">
        <v>1.4014874696731567</v>
      </c>
      <c r="CP15" s="24">
        <v>1.2663066387176514</v>
      </c>
      <c r="CQ15" s="24">
        <v>-0.67618089914321899</v>
      </c>
      <c r="CR15" s="24">
        <v>1.3824023008346558</v>
      </c>
      <c r="CS15">
        <v>3.7001273964131101</v>
      </c>
      <c r="CT15">
        <v>27775693.255131964</v>
      </c>
      <c r="CU15">
        <v>2.8209440000000003</v>
      </c>
      <c r="CV15" s="23">
        <v>0.1685350626707077</v>
      </c>
      <c r="CW15" s="24">
        <v>0.86451739072799683</v>
      </c>
      <c r="CX15">
        <v>0.06</v>
      </c>
      <c r="CY15">
        <v>29.549755902218184</v>
      </c>
      <c r="CZ15">
        <v>375915524.87802953</v>
      </c>
      <c r="DA15">
        <v>0.1685350626707077</v>
      </c>
      <c r="DB15">
        <v>9.0407613799752991</v>
      </c>
      <c r="DC15">
        <v>1228681029.5208068</v>
      </c>
      <c r="DD15">
        <v>0.16010830953717231</v>
      </c>
      <c r="DE15">
        <v>4.0649305668040618</v>
      </c>
      <c r="DF15">
        <v>2732694154.9049683</v>
      </c>
      <c r="DG15">
        <v>0.14831085515022277</v>
      </c>
      <c r="DH15">
        <v>2.1961074306258239</v>
      </c>
      <c r="DI15">
        <v>5058136885.7872753</v>
      </c>
      <c r="DJ15">
        <v>0.13482805013656615</v>
      </c>
      <c r="DK15">
        <v>0.88869736463648341</v>
      </c>
      <c r="DL15">
        <v>12499431687.348089</v>
      </c>
      <c r="DM15">
        <v>0.11797454386949538</v>
      </c>
      <c r="DN15">
        <v>341000000</v>
      </c>
      <c r="DO15">
        <v>0.1685350626707077</v>
      </c>
      <c r="DP15">
        <v>11108212000</v>
      </c>
      <c r="DQ15">
        <v>766467100</v>
      </c>
      <c r="DR15">
        <v>3513</v>
      </c>
      <c r="DS15">
        <v>4.217793599060421E-2</v>
      </c>
      <c r="DT15">
        <v>-0.66676888795953093</v>
      </c>
      <c r="DU15" s="25">
        <v>0</v>
      </c>
      <c r="DV15">
        <v>0.22</v>
      </c>
      <c r="DW15">
        <v>0.22</v>
      </c>
      <c r="DX15">
        <v>5.1329955668144391</v>
      </c>
      <c r="DY15">
        <v>0.54676240208877447</v>
      </c>
      <c r="DZ15">
        <v>5.0368081725387226</v>
      </c>
      <c r="EA15">
        <v>612</v>
      </c>
      <c r="EB15">
        <v>5.0320875938309069</v>
      </c>
      <c r="EC15">
        <v>5</v>
      </c>
      <c r="ED15">
        <v>0.11560049259332922</v>
      </c>
      <c r="EE15">
        <v>0.41768857229476497</v>
      </c>
      <c r="EF15" s="22">
        <v>-1.042</v>
      </c>
      <c r="EG15">
        <v>-1.0217000000000001</v>
      </c>
      <c r="EH15">
        <v>27.276762402088774</v>
      </c>
      <c r="EI15" t="s">
        <v>380</v>
      </c>
      <c r="EJ15">
        <v>1</v>
      </c>
      <c r="EK15">
        <v>1</v>
      </c>
    </row>
    <row r="16" spans="1:141" x14ac:dyDescent="0.25">
      <c r="A16" s="32" t="s">
        <v>1046</v>
      </c>
      <c r="B16" s="3"/>
      <c r="C16" s="3"/>
      <c r="D16" s="3"/>
      <c r="E16" t="s">
        <v>1040</v>
      </c>
      <c r="F16" t="s">
        <v>1041</v>
      </c>
      <c r="G16">
        <v>35.549999999999997</v>
      </c>
      <c r="H16">
        <v>-0.03</v>
      </c>
      <c r="I16" t="s">
        <v>1230</v>
      </c>
      <c r="J16">
        <v>20088555000</v>
      </c>
      <c r="K16">
        <v>39.909999999999997</v>
      </c>
      <c r="L16">
        <v>4.3600000000000003</v>
      </c>
      <c r="M16" t="s">
        <v>8</v>
      </c>
      <c r="N16" t="s">
        <v>1231</v>
      </c>
      <c r="O16" t="s">
        <v>1232</v>
      </c>
      <c r="P16" t="s">
        <v>1233</v>
      </c>
      <c r="Q16">
        <v>329.89</v>
      </c>
      <c r="R16" t="s">
        <v>1234</v>
      </c>
      <c r="S16">
        <v>432058200</v>
      </c>
      <c r="T16" s="4">
        <v>2.52</v>
      </c>
      <c r="U16" t="s">
        <v>68</v>
      </c>
      <c r="V16">
        <v>482091350</v>
      </c>
      <c r="W16">
        <v>565078900</v>
      </c>
      <c r="X16">
        <v>2.72</v>
      </c>
      <c r="Y16">
        <v>0.35</v>
      </c>
      <c r="Z16">
        <v>11.83</v>
      </c>
      <c r="AA16" t="s">
        <v>1235</v>
      </c>
      <c r="AB16" t="s">
        <v>1236</v>
      </c>
      <c r="AC16" t="s">
        <v>1237</v>
      </c>
      <c r="AD16" t="s">
        <v>1238</v>
      </c>
      <c r="AE16" t="s">
        <v>7</v>
      </c>
      <c r="AF16">
        <v>37389459</v>
      </c>
      <c r="AG16" t="s">
        <v>1239</v>
      </c>
      <c r="AH16" t="s">
        <v>1240</v>
      </c>
      <c r="AI16" t="s">
        <v>1241</v>
      </c>
      <c r="AJ16" t="s">
        <v>1105</v>
      </c>
      <c r="AK16" t="s">
        <v>1242</v>
      </c>
      <c r="AL16" t="s">
        <v>1243</v>
      </c>
      <c r="AM16" t="s">
        <v>1244</v>
      </c>
      <c r="AN16" t="s">
        <v>7</v>
      </c>
      <c r="AO16" t="s">
        <v>1245</v>
      </c>
      <c r="AP16" t="s">
        <v>1246</v>
      </c>
      <c r="AQ16" t="s">
        <v>1247</v>
      </c>
      <c r="AR16" t="s">
        <v>1248</v>
      </c>
      <c r="AS16" t="s">
        <v>7</v>
      </c>
      <c r="AT16" t="s">
        <v>1249</v>
      </c>
      <c r="AU16" t="s">
        <v>936</v>
      </c>
      <c r="AV16" t="s">
        <v>1250</v>
      </c>
      <c r="AW16" t="s">
        <v>1251</v>
      </c>
      <c r="AX16" t="s">
        <v>1252</v>
      </c>
      <c r="AY16" t="s">
        <v>1253</v>
      </c>
      <c r="AZ16" t="s">
        <v>1254</v>
      </c>
      <c r="BA16" t="s">
        <v>1255</v>
      </c>
      <c r="BB16" t="s">
        <v>1256</v>
      </c>
      <c r="BC16" t="s">
        <v>1257</v>
      </c>
      <c r="BD16" t="s">
        <v>900</v>
      </c>
      <c r="BE16" t="s">
        <v>1258</v>
      </c>
      <c r="BF16" t="s">
        <v>1259</v>
      </c>
      <c r="BG16" t="s">
        <v>1260</v>
      </c>
      <c r="BH16" t="s">
        <v>1261</v>
      </c>
      <c r="BI16" t="s">
        <v>1262</v>
      </c>
      <c r="BJ16" t="s">
        <v>85</v>
      </c>
      <c r="BK16" t="s">
        <v>1253</v>
      </c>
      <c r="BL16" t="s">
        <v>68</v>
      </c>
      <c r="BM16" t="s">
        <v>1263</v>
      </c>
      <c r="BN16" t="s">
        <v>900</v>
      </c>
      <c r="BO16">
        <v>10.39</v>
      </c>
      <c r="BP16">
        <v>10.050000000000001</v>
      </c>
      <c r="BQ16">
        <v>7.92</v>
      </c>
      <c r="BR16">
        <v>5.47</v>
      </c>
      <c r="BS16">
        <v>17.079999999999998</v>
      </c>
      <c r="BT16">
        <v>14.15</v>
      </c>
      <c r="BU16">
        <v>9.8000000000000007</v>
      </c>
      <c r="BV16">
        <v>6.72</v>
      </c>
      <c r="BW16">
        <v>27.3</v>
      </c>
      <c r="BX16">
        <v>37.83</v>
      </c>
      <c r="BY16">
        <v>34.57</v>
      </c>
      <c r="BZ16">
        <v>10.69</v>
      </c>
      <c r="CA16">
        <v>12.52</v>
      </c>
      <c r="CB16">
        <v>9.5</v>
      </c>
      <c r="CC16">
        <v>2.1800000000000002</v>
      </c>
      <c r="CD16">
        <v>-6.27</v>
      </c>
      <c r="CE16" t="s">
        <v>1264</v>
      </c>
      <c r="CF16" t="s">
        <v>1265</v>
      </c>
      <c r="CG16" s="23">
        <v>3.2995645378151259</v>
      </c>
      <c r="CH16" s="24">
        <v>6.13960509421522</v>
      </c>
      <c r="CI16" s="23">
        <v>1.1169713735580444</v>
      </c>
      <c r="CJ16" s="23">
        <v>0.11792177706956863</v>
      </c>
      <c r="CK16" s="23">
        <v>0.1435246616601944</v>
      </c>
      <c r="CL16" s="23">
        <v>0.15497307479381561</v>
      </c>
      <c r="CM16" s="23">
        <v>0.25193044543266296</v>
      </c>
      <c r="CN16" s="24">
        <v>0.72906404733657837</v>
      </c>
      <c r="CO16" s="24">
        <v>0.59842520952224731</v>
      </c>
      <c r="CP16" s="24">
        <v>0.55194497108459473</v>
      </c>
      <c r="CQ16" s="24">
        <v>-0.11410093307495117</v>
      </c>
      <c r="CR16" s="24">
        <v>3.0883263796567917E-2</v>
      </c>
      <c r="CS16">
        <v>4.9552429699062657</v>
      </c>
      <c r="CT16">
        <v>58023928.774928778</v>
      </c>
      <c r="CU16">
        <v>11.26216</v>
      </c>
      <c r="CV16" s="23">
        <v>0.35706426650285722</v>
      </c>
      <c r="CW16" s="24">
        <v>0.35924331173300744</v>
      </c>
      <c r="CX16">
        <v>0.06</v>
      </c>
      <c r="CY16">
        <v>49.775639417220908</v>
      </c>
      <c r="CZ16">
        <v>449367507.11556876</v>
      </c>
      <c r="DA16">
        <v>0.35706426650285722</v>
      </c>
      <c r="DB16">
        <v>13.068495698134639</v>
      </c>
      <c r="DC16">
        <v>1711563099.2779593</v>
      </c>
      <c r="DD16">
        <v>0.33921105317771433</v>
      </c>
      <c r="DE16">
        <v>4.6831063781059781</v>
      </c>
      <c r="DF16">
        <v>4776221848.0815868</v>
      </c>
      <c r="DG16">
        <v>0.31421655452251435</v>
      </c>
      <c r="DH16">
        <v>1.8991716709992792</v>
      </c>
      <c r="DI16">
        <v>11777531932.240206</v>
      </c>
      <c r="DJ16">
        <v>0.28565141320228576</v>
      </c>
      <c r="DK16">
        <v>0.37215608393497801</v>
      </c>
      <c r="DL16">
        <v>60102618136.717049</v>
      </c>
      <c r="DM16">
        <v>0.24994498655200004</v>
      </c>
      <c r="DN16">
        <v>351000000</v>
      </c>
      <c r="DO16">
        <v>0.35706426650285722</v>
      </c>
      <c r="DP16">
        <v>22367555000</v>
      </c>
      <c r="DQ16">
        <v>1539845300</v>
      </c>
      <c r="DR16">
        <v>4152</v>
      </c>
      <c r="DS16">
        <v>2.9425002713122685</v>
      </c>
      <c r="DT16">
        <v>5.7803617824822124</v>
      </c>
      <c r="DU16" s="25">
        <v>0.44</v>
      </c>
      <c r="DV16">
        <v>0.6</v>
      </c>
      <c r="DW16">
        <v>1.04</v>
      </c>
      <c r="DX16">
        <v>-2.0627</v>
      </c>
      <c r="DY16">
        <v>0.31191024390243954</v>
      </c>
      <c r="DZ16">
        <v>-2.0070167722926828</v>
      </c>
      <c r="EA16">
        <v>217</v>
      </c>
      <c r="EB16">
        <v>-2.0066976944243859</v>
      </c>
      <c r="EC16">
        <v>2</v>
      </c>
      <c r="ED16">
        <v>8.1197864581388543E-2</v>
      </c>
      <c r="EE16">
        <v>0.72556239491511709</v>
      </c>
      <c r="EF16" s="22">
        <v>1.07881</v>
      </c>
      <c r="EG16">
        <v>1.07911</v>
      </c>
      <c r="EH16">
        <v>20.11191024390244</v>
      </c>
      <c r="EI16" t="s">
        <v>1266</v>
      </c>
      <c r="EJ16">
        <v>0</v>
      </c>
      <c r="EK16">
        <v>1</v>
      </c>
    </row>
    <row r="17" spans="1:141" ht="28.8" x14ac:dyDescent="0.25">
      <c r="A17" s="32" t="s">
        <v>1045</v>
      </c>
      <c r="E17" t="s">
        <v>642</v>
      </c>
      <c r="F17" t="s">
        <v>643</v>
      </c>
      <c r="G17">
        <v>60.17</v>
      </c>
      <c r="H17">
        <v>-2.94</v>
      </c>
      <c r="I17" t="s">
        <v>744</v>
      </c>
      <c r="J17">
        <v>4211900000</v>
      </c>
      <c r="K17">
        <v>61.65</v>
      </c>
      <c r="L17">
        <v>6.97</v>
      </c>
      <c r="M17" t="s">
        <v>641</v>
      </c>
      <c r="N17" t="s">
        <v>649</v>
      </c>
      <c r="O17" t="s">
        <v>745</v>
      </c>
      <c r="P17" t="s">
        <v>746</v>
      </c>
      <c r="Q17">
        <v>9.5</v>
      </c>
      <c r="R17" t="s">
        <v>747</v>
      </c>
      <c r="S17">
        <v>18002003</v>
      </c>
      <c r="T17" s="4">
        <v>0.1198</v>
      </c>
      <c r="U17" t="s">
        <v>748</v>
      </c>
      <c r="V17">
        <v>41841179</v>
      </c>
      <c r="W17">
        <v>70000000</v>
      </c>
      <c r="X17">
        <v>1.36</v>
      </c>
      <c r="Y17">
        <v>0.09</v>
      </c>
      <c r="Z17">
        <v>24.05</v>
      </c>
      <c r="AA17" t="s">
        <v>749</v>
      </c>
      <c r="AB17" t="s">
        <v>750</v>
      </c>
      <c r="AC17" t="s">
        <v>751</v>
      </c>
      <c r="AD17" t="s">
        <v>752</v>
      </c>
      <c r="AE17" t="s">
        <v>7</v>
      </c>
      <c r="AF17">
        <v>1491117</v>
      </c>
      <c r="AG17" t="s">
        <v>753</v>
      </c>
      <c r="AH17" t="s">
        <v>7</v>
      </c>
      <c r="AI17" t="s">
        <v>754</v>
      </c>
      <c r="AJ17" t="s">
        <v>755</v>
      </c>
      <c r="AK17" t="s">
        <v>756</v>
      </c>
      <c r="AL17" t="s">
        <v>757</v>
      </c>
      <c r="AM17" t="s">
        <v>758</v>
      </c>
      <c r="AN17" t="s">
        <v>7</v>
      </c>
      <c r="AO17" t="s">
        <v>759</v>
      </c>
      <c r="AP17" t="s">
        <v>760</v>
      </c>
      <c r="AQ17" t="s">
        <v>7</v>
      </c>
      <c r="AR17" t="s">
        <v>761</v>
      </c>
      <c r="AS17" t="s">
        <v>7</v>
      </c>
      <c r="AT17" t="s">
        <v>42</v>
      </c>
      <c r="AU17" t="s">
        <v>762</v>
      </c>
      <c r="AV17" t="s">
        <v>763</v>
      </c>
      <c r="AW17" t="s">
        <v>764</v>
      </c>
      <c r="AX17" t="s">
        <v>765</v>
      </c>
      <c r="AY17" t="s">
        <v>79</v>
      </c>
      <c r="AZ17" t="s">
        <v>55</v>
      </c>
      <c r="BA17" t="s">
        <v>766</v>
      </c>
      <c r="BB17" t="s">
        <v>62</v>
      </c>
      <c r="BC17" t="s">
        <v>7</v>
      </c>
      <c r="BD17" t="s">
        <v>767</v>
      </c>
      <c r="BE17" t="s">
        <v>768</v>
      </c>
      <c r="BF17" t="s">
        <v>769</v>
      </c>
      <c r="BG17" t="s">
        <v>770</v>
      </c>
      <c r="BH17" t="s">
        <v>7</v>
      </c>
      <c r="BI17" t="s">
        <v>771</v>
      </c>
      <c r="BJ17" t="s">
        <v>772</v>
      </c>
      <c r="BK17" t="s">
        <v>79</v>
      </c>
      <c r="BL17" t="s">
        <v>748</v>
      </c>
      <c r="BM17" t="s">
        <v>773</v>
      </c>
      <c r="BN17" t="s">
        <v>767</v>
      </c>
      <c r="BO17">
        <v>10.38</v>
      </c>
      <c r="BP17">
        <v>12.24</v>
      </c>
      <c r="BQ17">
        <v>13.34</v>
      </c>
      <c r="BR17">
        <v>10.62</v>
      </c>
      <c r="BS17">
        <v>11.76</v>
      </c>
      <c r="BT17">
        <v>16.54</v>
      </c>
      <c r="BU17">
        <v>16.399999999999999</v>
      </c>
      <c r="BV17" t="s">
        <v>7</v>
      </c>
      <c r="BW17">
        <v>44.75</v>
      </c>
      <c r="BX17">
        <v>48.58</v>
      </c>
      <c r="BY17">
        <v>46.8</v>
      </c>
      <c r="BZ17">
        <v>21.29</v>
      </c>
      <c r="CA17">
        <v>19.899999999999999</v>
      </c>
      <c r="CB17">
        <v>17.829999999999998</v>
      </c>
      <c r="CC17">
        <v>3.78</v>
      </c>
      <c r="CD17">
        <v>37.06</v>
      </c>
      <c r="CE17" t="s">
        <v>774</v>
      </c>
      <c r="CF17" t="s">
        <v>775</v>
      </c>
      <c r="CG17" s="23">
        <v>9.5012969621100743E-2</v>
      </c>
      <c r="CH17" s="24">
        <v>0.11980610848469768</v>
      </c>
      <c r="CI17" s="23">
        <v>0.14028777182102203</v>
      </c>
      <c r="CJ17" s="23">
        <v>0.13469387590885162</v>
      </c>
      <c r="CK17" s="23">
        <v>0.17224881052970886</v>
      </c>
      <c r="CL17" s="23">
        <v>0.13586956262588501</v>
      </c>
      <c r="CM17" s="23" t="e">
        <v>#VALUE!</v>
      </c>
      <c r="CN17" s="24">
        <v>0.20131424069404602</v>
      </c>
      <c r="CO17" s="24">
        <v>0.26371082663536072</v>
      </c>
      <c r="CP17" s="24">
        <v>0.42984220385551453</v>
      </c>
      <c r="CQ17" s="24">
        <v>0.41488200426101685</v>
      </c>
      <c r="CR17" s="24" t="e">
        <v>#VALUE!</v>
      </c>
      <c r="CS17">
        <v>13.286750788643532</v>
      </c>
      <c r="CT17">
        <v>20536460.325731721</v>
      </c>
      <c r="CU17">
        <v>2.9437200000000003</v>
      </c>
      <c r="CV17" s="23">
        <v>0.14577500522136688</v>
      </c>
      <c r="CW17" s="24">
        <v>0.32743731886148453</v>
      </c>
      <c r="CX17">
        <v>0.06</v>
      </c>
      <c r="CY17">
        <v>53.070085317111527</v>
      </c>
      <c r="CZ17">
        <v>71771130.143103167</v>
      </c>
      <c r="DA17">
        <v>0.14577500522136688</v>
      </c>
      <c r="DB17">
        <v>16.547783575908174</v>
      </c>
      <c r="DC17">
        <v>230175840.92321321</v>
      </c>
      <c r="DD17">
        <v>0.13848625496029854</v>
      </c>
      <c r="DE17">
        <v>7.6407402721389843</v>
      </c>
      <c r="DF17">
        <v>498498818.74517882</v>
      </c>
      <c r="DG17">
        <v>0.12828200459480285</v>
      </c>
      <c r="DH17">
        <v>4.2609430229524072</v>
      </c>
      <c r="DI17">
        <v>893910099.12186372</v>
      </c>
      <c r="DJ17">
        <v>0.11662000417709351</v>
      </c>
      <c r="DK17">
        <v>1.8594023584874488</v>
      </c>
      <c r="DL17">
        <v>2048453893.0553963</v>
      </c>
      <c r="DM17">
        <v>0.10204250365495682</v>
      </c>
      <c r="DN17">
        <v>66398200</v>
      </c>
      <c r="DO17">
        <v>0.14577500522136688</v>
      </c>
      <c r="DP17">
        <v>3808900000</v>
      </c>
      <c r="DQ17">
        <v>170529230</v>
      </c>
      <c r="DR17">
        <v>4624</v>
      </c>
      <c r="DS17">
        <v>-5.0762035600266139E-2</v>
      </c>
      <c r="DT17">
        <v>-0.20763121037678683</v>
      </c>
      <c r="DU17" s="25">
        <v>0</v>
      </c>
      <c r="DV17">
        <v>0</v>
      </c>
      <c r="DW17">
        <v>0</v>
      </c>
      <c r="DX17">
        <v>8.1019967620075555</v>
      </c>
      <c r="DY17">
        <v>0.27770386939885572</v>
      </c>
      <c r="DZ17">
        <v>8.0120054135544443</v>
      </c>
      <c r="EA17">
        <v>1705</v>
      </c>
      <c r="EB17">
        <v>8.0077159688540398</v>
      </c>
      <c r="EC17">
        <v>8</v>
      </c>
      <c r="ED17">
        <v>7.7651428571428552E-2</v>
      </c>
      <c r="EE17">
        <v>0.65971857142857138</v>
      </c>
      <c r="EF17" s="22">
        <v>3.0381</v>
      </c>
      <c r="EG17">
        <v>3.0087000000000002</v>
      </c>
      <c r="EH17">
        <v>16.117703869398856</v>
      </c>
      <c r="EI17" t="s">
        <v>776</v>
      </c>
      <c r="EJ17">
        <v>0</v>
      </c>
      <c r="EK17">
        <v>0</v>
      </c>
    </row>
    <row r="18" spans="1:141" x14ac:dyDescent="0.25">
      <c r="A18" s="32" t="s">
        <v>1052</v>
      </c>
      <c r="E18" t="s">
        <v>1042</v>
      </c>
      <c r="F18" t="s">
        <v>1043</v>
      </c>
      <c r="G18">
        <v>29.55</v>
      </c>
      <c r="H18">
        <v>-1.5</v>
      </c>
      <c r="I18" t="s">
        <v>1267</v>
      </c>
      <c r="J18">
        <v>3782400000</v>
      </c>
      <c r="K18">
        <v>38.340000000000003</v>
      </c>
      <c r="L18">
        <v>3.36</v>
      </c>
      <c r="M18" t="s">
        <v>82</v>
      </c>
      <c r="N18" t="s">
        <v>1268</v>
      </c>
      <c r="O18" t="s">
        <v>1269</v>
      </c>
      <c r="P18" t="s">
        <v>1270</v>
      </c>
      <c r="Q18">
        <v>109.93</v>
      </c>
      <c r="R18" t="s">
        <v>1271</v>
      </c>
      <c r="S18">
        <v>27181520</v>
      </c>
      <c r="T18" s="5">
        <v>21.82</v>
      </c>
      <c r="U18" t="s">
        <v>1272</v>
      </c>
      <c r="V18">
        <v>32424390</v>
      </c>
      <c r="W18">
        <v>128000000</v>
      </c>
      <c r="X18">
        <v>2.64</v>
      </c>
      <c r="Y18">
        <v>0.13</v>
      </c>
      <c r="Z18">
        <v>7</v>
      </c>
      <c r="AA18" t="s">
        <v>1273</v>
      </c>
      <c r="AB18" t="s">
        <v>31</v>
      </c>
      <c r="AC18" t="s">
        <v>1274</v>
      </c>
      <c r="AD18" t="s">
        <v>1275</v>
      </c>
      <c r="AE18" t="s">
        <v>1276</v>
      </c>
      <c r="AF18">
        <v>10007692</v>
      </c>
      <c r="AG18" t="s">
        <v>1277</v>
      </c>
      <c r="AH18" t="s">
        <v>1278</v>
      </c>
      <c r="AI18" t="s">
        <v>1279</v>
      </c>
      <c r="AJ18" t="s">
        <v>51</v>
      </c>
      <c r="AK18" t="s">
        <v>1280</v>
      </c>
      <c r="AL18" t="s">
        <v>1281</v>
      </c>
      <c r="AM18" t="s">
        <v>1282</v>
      </c>
      <c r="AN18" t="s">
        <v>7</v>
      </c>
      <c r="AO18" t="s">
        <v>1283</v>
      </c>
      <c r="AP18" t="s">
        <v>1284</v>
      </c>
      <c r="AQ18" t="s">
        <v>73</v>
      </c>
      <c r="AR18" t="s">
        <v>47</v>
      </c>
      <c r="AS18" t="s">
        <v>7</v>
      </c>
      <c r="AT18" t="s">
        <v>1285</v>
      </c>
      <c r="AU18" t="s">
        <v>72</v>
      </c>
      <c r="AV18" t="s">
        <v>1286</v>
      </c>
      <c r="AW18" t="s">
        <v>1287</v>
      </c>
      <c r="AX18" t="s">
        <v>1288</v>
      </c>
      <c r="AY18" t="s">
        <v>1289</v>
      </c>
      <c r="AZ18" t="s">
        <v>1290</v>
      </c>
      <c r="BA18" t="s">
        <v>1291</v>
      </c>
      <c r="BB18" t="s">
        <v>1292</v>
      </c>
      <c r="BC18" t="s">
        <v>7</v>
      </c>
      <c r="BD18" t="s">
        <v>1293</v>
      </c>
      <c r="BE18" t="s">
        <v>1294</v>
      </c>
      <c r="BF18" t="s">
        <v>1295</v>
      </c>
      <c r="BG18" t="s">
        <v>1296</v>
      </c>
      <c r="BH18" t="s">
        <v>7</v>
      </c>
      <c r="BI18" t="s">
        <v>1297</v>
      </c>
      <c r="BJ18" t="s">
        <v>908</v>
      </c>
      <c r="BK18" t="s">
        <v>1289</v>
      </c>
      <c r="BL18" t="s">
        <v>1272</v>
      </c>
      <c r="BM18" t="s">
        <v>1298</v>
      </c>
      <c r="BN18" t="s">
        <v>1293</v>
      </c>
      <c r="BO18">
        <v>2.86</v>
      </c>
      <c r="BP18">
        <v>4.95</v>
      </c>
      <c r="BQ18">
        <v>3.91</v>
      </c>
      <c r="BR18">
        <v>3.92</v>
      </c>
      <c r="BS18">
        <v>6.59</v>
      </c>
      <c r="BT18">
        <v>18.149999999999999</v>
      </c>
      <c r="BU18">
        <v>29.01</v>
      </c>
      <c r="BV18" t="s">
        <v>7</v>
      </c>
      <c r="BW18">
        <v>25.56</v>
      </c>
      <c r="BX18">
        <v>27.19</v>
      </c>
      <c r="BY18">
        <v>28.07</v>
      </c>
      <c r="BZ18">
        <v>5.9</v>
      </c>
      <c r="CA18">
        <v>8.06</v>
      </c>
      <c r="CB18">
        <v>3.24</v>
      </c>
      <c r="CC18">
        <v>-4.59</v>
      </c>
      <c r="CD18">
        <v>23.49</v>
      </c>
      <c r="CE18" t="s">
        <v>1299</v>
      </c>
      <c r="CF18" t="s">
        <v>1300</v>
      </c>
      <c r="CG18" s="23">
        <v>1.0958927956989248</v>
      </c>
      <c r="CH18" s="24">
        <v>21.815990197580025</v>
      </c>
      <c r="CI18" s="23">
        <v>0.15043388307094574</v>
      </c>
      <c r="CJ18" s="23">
        <v>-1.3320647180080414E-2</v>
      </c>
      <c r="CK18" s="23">
        <v>0.28641369938850403</v>
      </c>
      <c r="CL18" s="23">
        <v>0.2473282516002655</v>
      </c>
      <c r="CM18" s="23" t="e">
        <v>#VALUE!</v>
      </c>
      <c r="CN18" s="24">
        <v>-0.14610882103443146</v>
      </c>
      <c r="CO18" s="24">
        <v>1.4091577529907227</v>
      </c>
      <c r="CP18" s="24">
        <v>0.21227608621120453</v>
      </c>
      <c r="CQ18" s="24">
        <v>0.77827215194702148</v>
      </c>
      <c r="CR18" s="24" t="e">
        <v>#VALUE!</v>
      </c>
      <c r="CS18">
        <v>3.1704945515507124</v>
      </c>
      <c r="CT18">
        <v>39221976.775341041</v>
      </c>
      <c r="CU18">
        <v>2.4024000000000001</v>
      </c>
      <c r="CV18" s="23">
        <v>0.16771379671990871</v>
      </c>
      <c r="CW18" s="24">
        <v>0.5633992925286293</v>
      </c>
      <c r="CX18">
        <v>0.06</v>
      </c>
      <c r="CY18">
        <v>58.364546891889987</v>
      </c>
      <c r="CZ18">
        <v>77296924.935553282</v>
      </c>
      <c r="DA18">
        <v>0.16771379671990871</v>
      </c>
      <c r="DB18">
        <v>17.86885498619565</v>
      </c>
      <c r="DC18">
        <v>252472808.32964525</v>
      </c>
      <c r="DD18">
        <v>0.15932810688391327</v>
      </c>
      <c r="DE18">
        <v>8.0419857286138647</v>
      </c>
      <c r="DF18">
        <v>560980851.27758551</v>
      </c>
      <c r="DG18">
        <v>0.14758814111351967</v>
      </c>
      <c r="DH18">
        <v>4.3497732599605943</v>
      </c>
      <c r="DI18">
        <v>1037157509.2263246</v>
      </c>
      <c r="DJ18">
        <v>0.13417103737592698</v>
      </c>
      <c r="DK18">
        <v>1.7651258587193226</v>
      </c>
      <c r="DL18">
        <v>2555851741.5144672</v>
      </c>
      <c r="DM18">
        <v>0.11739965770393609</v>
      </c>
      <c r="DN18">
        <v>70166800</v>
      </c>
      <c r="DO18">
        <v>0.16771379671990871</v>
      </c>
      <c r="DP18">
        <v>4511400000</v>
      </c>
      <c r="DQ18">
        <v>692144299.99999976</v>
      </c>
      <c r="DR18">
        <v>4608</v>
      </c>
      <c r="DS18">
        <v>0.92817899897901612</v>
      </c>
      <c r="DT18">
        <v>21.252590905051395</v>
      </c>
      <c r="DU18" s="25">
        <v>0.22</v>
      </c>
      <c r="DV18">
        <v>0</v>
      </c>
      <c r="DW18">
        <v>0.22</v>
      </c>
      <c r="DX18">
        <v>-6.1634615384615383</v>
      </c>
      <c r="DY18">
        <v>0.3240759777661969</v>
      </c>
      <c r="DZ18">
        <v>-6.0300893425194744</v>
      </c>
      <c r="EA18">
        <v>335</v>
      </c>
      <c r="EB18">
        <v>-6.0279546687066778</v>
      </c>
      <c r="EC18">
        <v>6</v>
      </c>
      <c r="ED18">
        <v>7.4227343749999994E-2</v>
      </c>
      <c r="EE18">
        <v>0.40324296874999999</v>
      </c>
      <c r="EF18" s="22">
        <v>2.0089100000000002</v>
      </c>
      <c r="EG18">
        <v>2.0239099999999999</v>
      </c>
      <c r="EH18">
        <v>14.184075977766197</v>
      </c>
      <c r="EI18" t="s">
        <v>425</v>
      </c>
      <c r="EJ18">
        <v>0</v>
      </c>
      <c r="EK18">
        <v>1</v>
      </c>
    </row>
    <row r="19" spans="1:141" x14ac:dyDescent="0.25">
      <c r="A19" s="32" t="s">
        <v>2238</v>
      </c>
      <c r="B19" s="3"/>
      <c r="C19" s="3"/>
      <c r="D19" s="3"/>
      <c r="E19" t="s">
        <v>2201</v>
      </c>
      <c r="F19" t="s">
        <v>2202</v>
      </c>
      <c r="G19">
        <v>38.24</v>
      </c>
      <c r="H19">
        <v>0.63</v>
      </c>
      <c r="I19" t="s">
        <v>2203</v>
      </c>
      <c r="J19">
        <v>3289977500</v>
      </c>
      <c r="L19">
        <v>1.67</v>
      </c>
      <c r="M19" t="s">
        <v>240</v>
      </c>
      <c r="N19" t="s">
        <v>2204</v>
      </c>
      <c r="O19" t="s">
        <v>2205</v>
      </c>
      <c r="P19" t="s">
        <v>2206</v>
      </c>
      <c r="Q19">
        <v>-68.16</v>
      </c>
      <c r="R19" t="s">
        <v>2207</v>
      </c>
      <c r="S19">
        <v>-10789472</v>
      </c>
      <c r="T19" s="4">
        <v>-2.1139999999999999</v>
      </c>
      <c r="U19" t="s">
        <v>2208</v>
      </c>
      <c r="V19">
        <v>18622990</v>
      </c>
      <c r="W19">
        <v>86034976</v>
      </c>
      <c r="X19">
        <v>1.1499999999999999</v>
      </c>
      <c r="Y19">
        <v>0.04</v>
      </c>
      <c r="Z19">
        <v>-11.45</v>
      </c>
      <c r="AA19" t="s">
        <v>66</v>
      </c>
      <c r="AB19" t="s">
        <v>2209</v>
      </c>
      <c r="AC19" t="s">
        <v>2210</v>
      </c>
      <c r="AD19" t="s">
        <v>2211</v>
      </c>
      <c r="AE19" t="s">
        <v>2212</v>
      </c>
      <c r="AF19">
        <v>-2413827</v>
      </c>
      <c r="AG19" t="s">
        <v>22</v>
      </c>
      <c r="AH19" t="s">
        <v>2213</v>
      </c>
      <c r="AI19" t="s">
        <v>2214</v>
      </c>
      <c r="AJ19" t="s">
        <v>1292</v>
      </c>
      <c r="AK19" t="s">
        <v>2215</v>
      </c>
      <c r="AL19" t="s">
        <v>2216</v>
      </c>
      <c r="AM19" t="s">
        <v>2217</v>
      </c>
      <c r="AN19" t="s">
        <v>7</v>
      </c>
      <c r="AO19" t="s">
        <v>2218</v>
      </c>
      <c r="AP19" t="s">
        <v>2219</v>
      </c>
      <c r="AQ19" t="s">
        <v>2220</v>
      </c>
      <c r="AR19" t="s">
        <v>2221</v>
      </c>
      <c r="AS19" t="s">
        <v>7</v>
      </c>
      <c r="AT19" t="s">
        <v>99</v>
      </c>
      <c r="AU19" t="s">
        <v>2222</v>
      </c>
      <c r="AV19" t="s">
        <v>2223</v>
      </c>
      <c r="AW19" t="s">
        <v>930</v>
      </c>
      <c r="AX19" t="s">
        <v>2224</v>
      </c>
      <c r="AY19" t="s">
        <v>2225</v>
      </c>
      <c r="AZ19" t="s">
        <v>2226</v>
      </c>
      <c r="BA19" t="s">
        <v>2227</v>
      </c>
      <c r="BB19" t="s">
        <v>1813</v>
      </c>
      <c r="BC19" t="s">
        <v>2228</v>
      </c>
      <c r="BD19" t="s">
        <v>2229</v>
      </c>
      <c r="BE19" t="s">
        <v>2230</v>
      </c>
      <c r="BF19" t="s">
        <v>2231</v>
      </c>
      <c r="BG19" t="s">
        <v>2232</v>
      </c>
      <c r="BH19" t="s">
        <v>2233</v>
      </c>
      <c r="BI19" t="s">
        <v>2234</v>
      </c>
      <c r="BJ19" t="s">
        <v>2204</v>
      </c>
      <c r="BK19" t="s">
        <v>2225</v>
      </c>
      <c r="BL19" t="s">
        <v>2208</v>
      </c>
      <c r="BM19" t="s">
        <v>2235</v>
      </c>
      <c r="BN19" t="s">
        <v>2229</v>
      </c>
      <c r="BO19">
        <v>0.66</v>
      </c>
      <c r="BP19">
        <v>31.01</v>
      </c>
      <c r="BQ19">
        <v>33.97</v>
      </c>
      <c r="BR19">
        <v>-35.97</v>
      </c>
      <c r="BS19">
        <v>1.3</v>
      </c>
      <c r="BT19">
        <v>58.83</v>
      </c>
      <c r="BU19" t="s">
        <v>7</v>
      </c>
      <c r="BV19" t="s">
        <v>7</v>
      </c>
      <c r="BW19">
        <v>15.14</v>
      </c>
      <c r="BX19">
        <v>17.22</v>
      </c>
      <c r="BY19">
        <v>18.71</v>
      </c>
      <c r="BZ19">
        <v>1.0900000000000001</v>
      </c>
      <c r="CA19">
        <v>8.4700000000000006</v>
      </c>
      <c r="CB19">
        <v>8.64</v>
      </c>
      <c r="CC19">
        <v>-6.02</v>
      </c>
      <c r="CD19">
        <v>30.82</v>
      </c>
      <c r="CE19" t="s">
        <v>2236</v>
      </c>
      <c r="CF19" t="s">
        <v>2237</v>
      </c>
      <c r="CG19" s="23">
        <v>-0.68156934768211919</v>
      </c>
      <c r="CH19" s="24">
        <v>-2.1142925600033049</v>
      </c>
      <c r="CI19" s="23">
        <v>-0.62669771909713745</v>
      </c>
      <c r="CJ19" s="23">
        <v>1.5744255781173706</v>
      </c>
      <c r="CK19" s="23">
        <v>1.9703264236450195</v>
      </c>
      <c r="CL19" s="23">
        <v>5.3125001490116119E-2</v>
      </c>
      <c r="CM19" s="23">
        <v>1.5396825075149536</v>
      </c>
      <c r="CN19" s="24">
        <v>-0.9522513747215271</v>
      </c>
      <c r="CO19" s="24">
        <v>1.518667459487915</v>
      </c>
      <c r="CP19" s="24">
        <v>2.4593515396118164</v>
      </c>
      <c r="CQ19" s="24">
        <v>-16.102287292480469</v>
      </c>
      <c r="CR19" s="24">
        <v>1.2534610033035278</v>
      </c>
      <c r="CS19">
        <v>3.4199350311850316</v>
      </c>
      <c r="CT19">
        <v>-185225118.16470045</v>
      </c>
      <c r="CU19">
        <v>-0.52669999999999995</v>
      </c>
      <c r="CV19" s="23">
        <v>0.90217235833406451</v>
      </c>
      <c r="CW19" s="24">
        <v>-2.3646117329597471</v>
      </c>
      <c r="CX19">
        <v>0.06</v>
      </c>
      <c r="CY19">
        <v>86.618592763061429</v>
      </c>
      <c r="CZ19">
        <v>18679332.55884051</v>
      </c>
      <c r="DA19">
        <v>0.90217235833406451</v>
      </c>
      <c r="DB19">
        <v>15.241117570498783</v>
      </c>
      <c r="DC19">
        <v>106158717.85752848</v>
      </c>
      <c r="DD19">
        <v>0.85706374041736122</v>
      </c>
      <c r="DE19">
        <v>2.8269385059459577</v>
      </c>
      <c r="DF19">
        <v>572342658.53214526</v>
      </c>
      <c r="DG19">
        <v>0.79391167533397677</v>
      </c>
      <c r="DH19">
        <v>0.47105687037247795</v>
      </c>
      <c r="DI19">
        <v>3434781661.7569337</v>
      </c>
      <c r="DJ19">
        <v>0.72173788666725169</v>
      </c>
      <c r="DK19">
        <v>9.7799869958007449E-3</v>
      </c>
      <c r="DL19">
        <v>165437592165.99316</v>
      </c>
      <c r="DM19">
        <v>0.63152065083384512</v>
      </c>
      <c r="DN19">
        <v>10409200</v>
      </c>
      <c r="DO19">
        <v>0.90217235833406451</v>
      </c>
      <c r="DP19">
        <v>1617977500.0000002</v>
      </c>
      <c r="DQ19">
        <v>1677596500</v>
      </c>
      <c r="DR19">
        <v>4699</v>
      </c>
      <c r="DS19">
        <v>-1.5837417060161836</v>
      </c>
      <c r="DT19">
        <v>0.25031917295644224</v>
      </c>
      <c r="DU19" s="25">
        <v>0.12333333333333329</v>
      </c>
      <c r="DV19">
        <v>-0.98499999999999999</v>
      </c>
      <c r="DW19">
        <v>-0.86166666666666669</v>
      </c>
      <c r="DX19">
        <v>-7.1634093376764385</v>
      </c>
      <c r="DY19">
        <v>0.34362503634173819</v>
      </c>
      <c r="DZ19">
        <v>-7.0267378588158866</v>
      </c>
      <c r="EA19">
        <v>3832</v>
      </c>
      <c r="EB19">
        <v>-7.0050211409306646</v>
      </c>
      <c r="EC19">
        <v>7</v>
      </c>
      <c r="ED19">
        <v>2.2895339681387253E-2</v>
      </c>
      <c r="EE19">
        <v>0.13992565070280255</v>
      </c>
      <c r="EF19" s="22">
        <v>-1.038</v>
      </c>
      <c r="EG19">
        <v>-1.0443</v>
      </c>
      <c r="EH19">
        <v>18.163625036341738</v>
      </c>
      <c r="EI19" t="s">
        <v>380</v>
      </c>
      <c r="EJ19">
        <v>0</v>
      </c>
      <c r="EK19">
        <v>0</v>
      </c>
    </row>
  </sheetData>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print="0" autoFill="0" autoPict="0" macro="[0]!'Industry_copy_call_buttom [c2],[d2]'">
                <anchor moveWithCells="1" sizeWithCells="1">
                  <from>
                    <xdr:col>1</xdr:col>
                    <xdr:colOff>60960</xdr:colOff>
                    <xdr:row>1</xdr:row>
                    <xdr:rowOff>259080</xdr:rowOff>
                  </from>
                  <to>
                    <xdr:col>1</xdr:col>
                    <xdr:colOff>1089660</xdr:colOff>
                    <xdr:row>1</xdr:row>
                    <xdr:rowOff>708660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EK18"/>
  <sheetViews>
    <sheetView workbookViewId="0">
      <selection activeCell="B7" sqref="B7:EK7"/>
    </sheetView>
  </sheetViews>
  <sheetFormatPr defaultRowHeight="14.4" x14ac:dyDescent="0.25"/>
  <cols>
    <col min="2" max="2" width="29.21875" customWidth="1"/>
    <col min="3" max="3" width="30.77734375" customWidth="1"/>
    <col min="4" max="4" width="34.77734375" customWidth="1"/>
  </cols>
  <sheetData>
    <row r="1" spans="1:141" s="16" customFormat="1" x14ac:dyDescent="0.25">
      <c r="A1" s="17" t="s">
        <v>157</v>
      </c>
      <c r="B1" s="20" t="s">
        <v>381</v>
      </c>
      <c r="C1" s="21" t="s">
        <v>382</v>
      </c>
      <c r="D1" s="20" t="s">
        <v>383</v>
      </c>
      <c r="E1" t="s">
        <v>2</v>
      </c>
      <c r="F1" t="s">
        <v>3</v>
      </c>
      <c r="G1" t="s">
        <v>0</v>
      </c>
      <c r="H1" t="s">
        <v>350</v>
      </c>
      <c r="I1" t="s">
        <v>384</v>
      </c>
      <c r="J1" t="s">
        <v>4</v>
      </c>
      <c r="K1" t="s">
        <v>5</v>
      </c>
      <c r="L1" t="s">
        <v>1</v>
      </c>
      <c r="M1" t="s">
        <v>6</v>
      </c>
      <c r="N1" t="s">
        <v>9</v>
      </c>
      <c r="O1" t="s">
        <v>10</v>
      </c>
      <c r="P1" t="s">
        <v>11</v>
      </c>
      <c r="Q1" t="s">
        <v>385</v>
      </c>
      <c r="R1" t="s">
        <v>351</v>
      </c>
      <c r="S1" t="s">
        <v>386</v>
      </c>
      <c r="T1" t="s">
        <v>12</v>
      </c>
      <c r="U1" t="s">
        <v>352</v>
      </c>
      <c r="V1" t="s">
        <v>353</v>
      </c>
      <c r="W1" t="s">
        <v>13</v>
      </c>
      <c r="X1" t="s">
        <v>214</v>
      </c>
      <c r="Y1" t="s">
        <v>215</v>
      </c>
      <c r="Z1" t="s">
        <v>216</v>
      </c>
      <c r="AA1" t="s">
        <v>217</v>
      </c>
      <c r="AB1" t="s">
        <v>218</v>
      </c>
      <c r="AC1" t="s">
        <v>354</v>
      </c>
      <c r="AD1" t="s">
        <v>219</v>
      </c>
      <c r="AE1" t="s">
        <v>387</v>
      </c>
      <c r="AF1" t="s">
        <v>14</v>
      </c>
      <c r="AG1" t="s">
        <v>15</v>
      </c>
      <c r="AH1" t="s">
        <v>355</v>
      </c>
      <c r="AI1" t="s">
        <v>388</v>
      </c>
      <c r="AJ1" t="s">
        <v>356</v>
      </c>
      <c r="AK1" t="s">
        <v>16</v>
      </c>
      <c r="AL1" t="s">
        <v>357</v>
      </c>
      <c r="AM1" t="s">
        <v>158</v>
      </c>
      <c r="AN1" t="s">
        <v>358</v>
      </c>
      <c r="AO1" t="s">
        <v>359</v>
      </c>
      <c r="AP1" t="s">
        <v>360</v>
      </c>
      <c r="AQ1" t="s">
        <v>361</v>
      </c>
      <c r="AR1" t="s">
        <v>362</v>
      </c>
      <c r="AS1" t="s">
        <v>363</v>
      </c>
      <c r="AT1" t="s">
        <v>364</v>
      </c>
      <c r="AU1" t="s">
        <v>365</v>
      </c>
      <c r="AV1" t="s">
        <v>366</v>
      </c>
      <c r="AW1" t="s">
        <v>367</v>
      </c>
      <c r="AX1" t="s">
        <v>368</v>
      </c>
      <c r="AY1" t="s">
        <v>389</v>
      </c>
      <c r="AZ1" t="s">
        <v>159</v>
      </c>
      <c r="BA1" t="s">
        <v>160</v>
      </c>
      <c r="BB1" t="s">
        <v>161</v>
      </c>
      <c r="BC1" t="s">
        <v>162</v>
      </c>
      <c r="BD1" t="s">
        <v>168</v>
      </c>
      <c r="BE1" t="s">
        <v>163</v>
      </c>
      <c r="BF1" t="s">
        <v>164</v>
      </c>
      <c r="BG1" t="s">
        <v>165</v>
      </c>
      <c r="BH1" t="s">
        <v>166</v>
      </c>
      <c r="BI1" t="s">
        <v>390</v>
      </c>
      <c r="BJ1" t="s">
        <v>369</v>
      </c>
      <c r="BK1" t="s">
        <v>167</v>
      </c>
      <c r="BL1" t="s">
        <v>370</v>
      </c>
      <c r="BM1" t="s">
        <v>371</v>
      </c>
      <c r="BN1" t="s">
        <v>372</v>
      </c>
      <c r="BO1" t="s">
        <v>373</v>
      </c>
      <c r="BP1" t="s">
        <v>169</v>
      </c>
      <c r="BQ1" t="s">
        <v>170</v>
      </c>
      <c r="BR1" t="s">
        <v>171</v>
      </c>
      <c r="BS1" t="s">
        <v>374</v>
      </c>
      <c r="BT1" t="s">
        <v>172</v>
      </c>
      <c r="BU1" t="s">
        <v>173</v>
      </c>
      <c r="BV1" t="s">
        <v>174</v>
      </c>
      <c r="BW1" t="s">
        <v>375</v>
      </c>
      <c r="BX1" t="s">
        <v>175</v>
      </c>
      <c r="BY1" t="s">
        <v>176</v>
      </c>
      <c r="BZ1" t="s">
        <v>376</v>
      </c>
      <c r="CA1" t="s">
        <v>177</v>
      </c>
      <c r="CB1" t="s">
        <v>178</v>
      </c>
      <c r="CC1" t="s">
        <v>391</v>
      </c>
      <c r="CD1" t="s">
        <v>392</v>
      </c>
      <c r="CE1" t="s">
        <v>393</v>
      </c>
      <c r="CF1" t="s">
        <v>394</v>
      </c>
      <c r="CG1" s="1" t="s">
        <v>220</v>
      </c>
      <c r="CH1" s="1" t="s">
        <v>221</v>
      </c>
      <c r="CI1" s="1" t="s">
        <v>222</v>
      </c>
      <c r="CJ1" s="1" t="s">
        <v>223</v>
      </c>
      <c r="CK1" s="1" t="s">
        <v>224</v>
      </c>
      <c r="CL1" s="1" t="s">
        <v>225</v>
      </c>
      <c r="CM1" s="1" t="s">
        <v>226</v>
      </c>
      <c r="CN1" s="1" t="s">
        <v>227</v>
      </c>
      <c r="CO1" s="1" t="s">
        <v>228</v>
      </c>
      <c r="CP1" s="1" t="s">
        <v>229</v>
      </c>
      <c r="CQ1" s="1" t="s">
        <v>230</v>
      </c>
      <c r="CR1" s="1" t="s">
        <v>231</v>
      </c>
      <c r="CS1" s="1" t="s">
        <v>395</v>
      </c>
      <c r="CT1" s="1" t="s">
        <v>396</v>
      </c>
      <c r="CU1" s="1" t="s">
        <v>397</v>
      </c>
      <c r="CV1" s="1" t="s">
        <v>232</v>
      </c>
      <c r="CW1" s="1" t="s">
        <v>398</v>
      </c>
      <c r="CX1" s="1" t="s">
        <v>138</v>
      </c>
      <c r="CY1">
        <v>1</v>
      </c>
      <c r="CZ1" t="s">
        <v>400</v>
      </c>
      <c r="DA1" t="s">
        <v>266</v>
      </c>
      <c r="DB1">
        <v>3</v>
      </c>
      <c r="DC1" t="s">
        <v>401</v>
      </c>
      <c r="DD1" t="s">
        <v>402</v>
      </c>
      <c r="DE1">
        <v>6</v>
      </c>
      <c r="DF1" t="s">
        <v>267</v>
      </c>
      <c r="DG1" t="s">
        <v>403</v>
      </c>
      <c r="DH1">
        <v>10</v>
      </c>
      <c r="DI1" t="s">
        <v>404</v>
      </c>
      <c r="DJ1" t="s">
        <v>268</v>
      </c>
      <c r="DK1">
        <v>20</v>
      </c>
      <c r="DL1" t="s">
        <v>405</v>
      </c>
      <c r="DM1" t="s">
        <v>233</v>
      </c>
      <c r="DN1" t="s">
        <v>234</v>
      </c>
      <c r="DO1" s="2" t="s">
        <v>235</v>
      </c>
      <c r="DP1" t="s">
        <v>406</v>
      </c>
      <c r="DQ1" t="s">
        <v>269</v>
      </c>
      <c r="DR1" s="1" t="s">
        <v>236</v>
      </c>
      <c r="DS1" s="1" t="s">
        <v>237</v>
      </c>
      <c r="DT1" s="1" t="s">
        <v>407</v>
      </c>
      <c r="DU1" t="s">
        <v>408</v>
      </c>
      <c r="DV1" t="s">
        <v>270</v>
      </c>
      <c r="DW1" t="s">
        <v>409</v>
      </c>
      <c r="DX1" t="s">
        <v>410</v>
      </c>
      <c r="DY1" t="s">
        <v>411</v>
      </c>
      <c r="DZ1" t="s">
        <v>412</v>
      </c>
      <c r="EA1" t="s">
        <v>413</v>
      </c>
      <c r="EB1" t="s">
        <v>238</v>
      </c>
      <c r="EC1" t="s">
        <v>414</v>
      </c>
      <c r="ED1" t="s">
        <v>415</v>
      </c>
      <c r="EE1" t="s">
        <v>416</v>
      </c>
      <c r="EF1" t="s">
        <v>417</v>
      </c>
      <c r="EG1" t="s">
        <v>418</v>
      </c>
      <c r="EH1" t="s">
        <v>419</v>
      </c>
      <c r="EI1" t="s">
        <v>420</v>
      </c>
      <c r="EJ1" t="s">
        <v>421</v>
      </c>
      <c r="EK1"/>
    </row>
    <row r="2" spans="1:141" s="16" customFormat="1" ht="71.55" customHeight="1" x14ac:dyDescent="0.25">
      <c r="A2" s="29"/>
      <c r="B2" s="27"/>
      <c r="C2" s="28">
        <v>7</v>
      </c>
      <c r="D2" s="28">
        <v>7</v>
      </c>
      <c r="T2" s="18"/>
      <c r="U2" s="18"/>
      <c r="V2" s="18"/>
      <c r="AB2" s="19"/>
    </row>
    <row r="3" spans="1:141" ht="108" x14ac:dyDescent="0.25">
      <c r="B3" s="3" t="s">
        <v>1324</v>
      </c>
      <c r="C3" s="3"/>
      <c r="D3" s="3" t="s">
        <v>1325</v>
      </c>
      <c r="E3" t="s">
        <v>329</v>
      </c>
      <c r="F3" t="s">
        <v>330</v>
      </c>
      <c r="G3">
        <v>10.45</v>
      </c>
      <c r="H3">
        <v>3.77</v>
      </c>
      <c r="I3" t="s">
        <v>509</v>
      </c>
      <c r="J3">
        <v>44624332000</v>
      </c>
      <c r="K3">
        <v>17.13</v>
      </c>
      <c r="L3">
        <v>3.41</v>
      </c>
      <c r="M3" t="s">
        <v>331</v>
      </c>
      <c r="N3" t="s">
        <v>510</v>
      </c>
      <c r="O3" t="s">
        <v>511</v>
      </c>
      <c r="P3" t="s">
        <v>446</v>
      </c>
      <c r="Q3">
        <v>65.709999999999994</v>
      </c>
      <c r="R3" t="s">
        <v>447</v>
      </c>
      <c r="S3">
        <v>676477360</v>
      </c>
      <c r="T3" s="4">
        <v>6.0699999999999997E-2</v>
      </c>
      <c r="U3" t="s">
        <v>448</v>
      </c>
      <c r="V3">
        <v>3970229000</v>
      </c>
      <c r="W3">
        <v>4270271000</v>
      </c>
      <c r="X3">
        <v>2.06</v>
      </c>
      <c r="Y3">
        <v>0.78</v>
      </c>
      <c r="Z3">
        <v>14.68</v>
      </c>
      <c r="AA3" t="s">
        <v>512</v>
      </c>
      <c r="AB3" t="s">
        <v>513</v>
      </c>
      <c r="AC3" t="s">
        <v>102</v>
      </c>
      <c r="AD3" t="s">
        <v>514</v>
      </c>
      <c r="AE3" t="s">
        <v>59</v>
      </c>
      <c r="AF3">
        <v>58137726</v>
      </c>
      <c r="AG3" t="s">
        <v>515</v>
      </c>
      <c r="AH3" t="s">
        <v>516</v>
      </c>
      <c r="AI3" t="s">
        <v>517</v>
      </c>
      <c r="AJ3" t="s">
        <v>260</v>
      </c>
      <c r="AK3" t="s">
        <v>518</v>
      </c>
      <c r="AL3" t="s">
        <v>519</v>
      </c>
      <c r="AM3" t="s">
        <v>520</v>
      </c>
      <c r="AN3" t="s">
        <v>7</v>
      </c>
      <c r="AO3" t="s">
        <v>205</v>
      </c>
      <c r="AP3" t="s">
        <v>97</v>
      </c>
      <c r="AQ3" t="s">
        <v>84</v>
      </c>
      <c r="AR3" t="s">
        <v>424</v>
      </c>
      <c r="AS3" t="s">
        <v>7</v>
      </c>
      <c r="AT3" t="s">
        <v>521</v>
      </c>
      <c r="AU3" t="s">
        <v>249</v>
      </c>
      <c r="AV3" t="s">
        <v>522</v>
      </c>
      <c r="AW3" t="s">
        <v>523</v>
      </c>
      <c r="AX3" t="s">
        <v>524</v>
      </c>
      <c r="AY3" t="s">
        <v>332</v>
      </c>
      <c r="AZ3" t="s">
        <v>333</v>
      </c>
      <c r="BA3" t="s">
        <v>334</v>
      </c>
      <c r="BB3" t="s">
        <v>335</v>
      </c>
      <c r="BC3" t="s">
        <v>336</v>
      </c>
      <c r="BD3" t="s">
        <v>198</v>
      </c>
      <c r="BE3" t="s">
        <v>244</v>
      </c>
      <c r="BF3" t="s">
        <v>265</v>
      </c>
      <c r="BG3" t="s">
        <v>118</v>
      </c>
      <c r="BH3" t="s">
        <v>247</v>
      </c>
      <c r="BI3" t="s">
        <v>447</v>
      </c>
      <c r="BJ3" t="s">
        <v>525</v>
      </c>
      <c r="BK3" t="s">
        <v>332</v>
      </c>
      <c r="BL3" t="s">
        <v>448</v>
      </c>
      <c r="BM3" t="s">
        <v>109</v>
      </c>
      <c r="BN3" t="s">
        <v>198</v>
      </c>
      <c r="BO3">
        <v>10.91</v>
      </c>
      <c r="BP3">
        <v>4.49</v>
      </c>
      <c r="BQ3">
        <v>7.36</v>
      </c>
      <c r="BR3">
        <v>16.100000000000001</v>
      </c>
      <c r="BS3">
        <v>17.64</v>
      </c>
      <c r="BT3">
        <v>8.27</v>
      </c>
      <c r="BU3">
        <v>12.59</v>
      </c>
      <c r="BV3">
        <v>19.43</v>
      </c>
      <c r="BW3">
        <v>21.32</v>
      </c>
      <c r="BX3">
        <v>21.32</v>
      </c>
      <c r="BY3">
        <v>23.54</v>
      </c>
      <c r="BZ3">
        <v>6.7</v>
      </c>
      <c r="CA3">
        <v>6.7</v>
      </c>
      <c r="CB3">
        <v>7.68</v>
      </c>
      <c r="CC3">
        <v>-5.86</v>
      </c>
      <c r="CD3">
        <v>-15.32</v>
      </c>
      <c r="CE3" t="s">
        <v>75</v>
      </c>
      <c r="CF3" t="s">
        <v>526</v>
      </c>
      <c r="CG3">
        <v>-8.828958123922348E-2</v>
      </c>
      <c r="CH3">
        <v>-6.9782756268978119E-2</v>
      </c>
      <c r="CI3">
        <v>0.23770220577716827</v>
      </c>
      <c r="CJ3">
        <v>0.7212376594543457</v>
      </c>
      <c r="CK3">
        <v>0.24693089723587036</v>
      </c>
      <c r="CL3">
        <v>-0.26255229115486145</v>
      </c>
      <c r="CM3">
        <v>-0.46800220012664795</v>
      </c>
      <c r="CN3">
        <v>0.71469461917877197</v>
      </c>
      <c r="CO3">
        <v>0.54117649793624878</v>
      </c>
      <c r="CP3">
        <v>2.8681318759918213</v>
      </c>
      <c r="CQ3">
        <v>4.4419127354818624</v>
      </c>
      <c r="CR3">
        <v>0.89929078014184394</v>
      </c>
      <c r="CS3">
        <v>6.3331649999999993</v>
      </c>
      <c r="CT3">
        <v>0.20955968499183655</v>
      </c>
      <c r="CU3">
        <v>0.67868970036506648</v>
      </c>
      <c r="CV3">
        <v>0.06</v>
      </c>
      <c r="CW3">
        <v>72.582839195791891</v>
      </c>
      <c r="CX3">
        <v>804471299.92381585</v>
      </c>
      <c r="CY3">
        <v>0.20955968499183655</v>
      </c>
      <c r="CZ3">
        <v>21.46597964204209</v>
      </c>
      <c r="DA3">
        <v>2720155891.9602699</v>
      </c>
      <c r="DB3">
        <v>0.19908170074224471</v>
      </c>
      <c r="DC3">
        <v>9.1948204719984776</v>
      </c>
      <c r="DD3">
        <v>6350402509.5238056</v>
      </c>
      <c r="DE3">
        <v>0.18441252279281617</v>
      </c>
      <c r="DF3">
        <v>4.6826640531971497</v>
      </c>
      <c r="DG3">
        <v>12469570811.968225</v>
      </c>
      <c r="DH3">
        <v>0.16764774799346926</v>
      </c>
      <c r="DI3">
        <v>1.6402646731173873</v>
      </c>
      <c r="DJ3">
        <v>35598407962.433266</v>
      </c>
      <c r="DK3">
        <v>0.14669177949428558</v>
      </c>
      <c r="DL3">
        <v>705000000</v>
      </c>
      <c r="DM3">
        <v>0.20955968499183655</v>
      </c>
      <c r="DN3">
        <v>58390811000</v>
      </c>
      <c r="DO3">
        <v>-4230341700</v>
      </c>
      <c r="DP3">
        <v>264</v>
      </c>
      <c r="DQ3">
        <v>0.4809798289595586</v>
      </c>
      <c r="DR3">
        <v>22.405478159696056</v>
      </c>
      <c r="DS3">
        <v>0.68666666666666665</v>
      </c>
      <c r="DT3">
        <v>1.0133333333333334</v>
      </c>
      <c r="DU3">
        <v>1.7000000000000002</v>
      </c>
      <c r="DV3">
        <v>9.6140488314401367</v>
      </c>
      <c r="DW3">
        <v>0.32677216004116816</v>
      </c>
      <c r="DX3">
        <v>9.2006540580641154</v>
      </c>
      <c r="DY3">
        <v>730</v>
      </c>
      <c r="DZ3">
        <v>9.1678042122720527</v>
      </c>
      <c r="EA3">
        <v>9</v>
      </c>
    </row>
    <row r="4" spans="1:141" x14ac:dyDescent="0.25">
      <c r="B4" s="3"/>
      <c r="C4" s="3"/>
      <c r="D4" s="3"/>
      <c r="E4" t="s">
        <v>1301</v>
      </c>
      <c r="F4" t="s">
        <v>1302</v>
      </c>
      <c r="G4">
        <v>3.68</v>
      </c>
      <c r="H4">
        <v>0.27</v>
      </c>
      <c r="I4" t="s">
        <v>1326</v>
      </c>
      <c r="J4">
        <v>11488810300</v>
      </c>
      <c r="K4">
        <v>16.77</v>
      </c>
      <c r="L4">
        <v>1.1499999999999999</v>
      </c>
      <c r="M4" t="s">
        <v>476</v>
      </c>
      <c r="N4" t="s">
        <v>1327</v>
      </c>
      <c r="O4" t="s">
        <v>1328</v>
      </c>
      <c r="P4" t="s">
        <v>1329</v>
      </c>
      <c r="Q4">
        <v>-44.6</v>
      </c>
      <c r="R4" t="s">
        <v>906</v>
      </c>
      <c r="S4">
        <v>102467357</v>
      </c>
      <c r="T4" s="4">
        <v>-0.61970000000000003</v>
      </c>
      <c r="U4" t="s">
        <v>1330</v>
      </c>
      <c r="V4">
        <v>3118077300</v>
      </c>
      <c r="W4">
        <v>3121959300</v>
      </c>
      <c r="X4">
        <v>1.76</v>
      </c>
      <c r="Y4">
        <v>0.05</v>
      </c>
      <c r="Z4">
        <v>11.23</v>
      </c>
      <c r="AA4" t="s">
        <v>1331</v>
      </c>
      <c r="AB4" t="s">
        <v>1332</v>
      </c>
      <c r="AC4" t="s">
        <v>1333</v>
      </c>
      <c r="AD4" t="s">
        <v>1334</v>
      </c>
      <c r="AE4" t="s">
        <v>1247</v>
      </c>
      <c r="AF4">
        <v>60729916</v>
      </c>
      <c r="AG4" t="s">
        <v>22</v>
      </c>
      <c r="AH4" t="s">
        <v>1335</v>
      </c>
      <c r="AI4" t="s">
        <v>1336</v>
      </c>
      <c r="AJ4" t="s">
        <v>1337</v>
      </c>
      <c r="AK4" t="s">
        <v>1338</v>
      </c>
      <c r="AL4" t="s">
        <v>1339</v>
      </c>
      <c r="AM4" t="s">
        <v>1340</v>
      </c>
      <c r="AN4" t="s">
        <v>7</v>
      </c>
      <c r="AO4" t="s">
        <v>1188</v>
      </c>
      <c r="AP4" t="s">
        <v>1341</v>
      </c>
      <c r="AQ4" t="s">
        <v>1342</v>
      </c>
      <c r="AR4" t="s">
        <v>1343</v>
      </c>
      <c r="AS4" t="s">
        <v>1344</v>
      </c>
      <c r="AT4" t="s">
        <v>1345</v>
      </c>
      <c r="AU4" t="s">
        <v>7</v>
      </c>
      <c r="AV4" t="s">
        <v>1346</v>
      </c>
      <c r="AW4" t="s">
        <v>1347</v>
      </c>
      <c r="AX4" t="s">
        <v>1348</v>
      </c>
      <c r="AY4" t="s">
        <v>1349</v>
      </c>
      <c r="AZ4" t="s">
        <v>1350</v>
      </c>
      <c r="BA4" t="s">
        <v>1351</v>
      </c>
      <c r="BB4" t="s">
        <v>1352</v>
      </c>
      <c r="BC4" t="s">
        <v>1353</v>
      </c>
      <c r="BD4" t="s">
        <v>106</v>
      </c>
      <c r="BE4" t="s">
        <v>121</v>
      </c>
      <c r="BF4" t="s">
        <v>922</v>
      </c>
      <c r="BG4" t="s">
        <v>1354</v>
      </c>
      <c r="BH4" t="s">
        <v>1355</v>
      </c>
      <c r="BI4" t="s">
        <v>1356</v>
      </c>
      <c r="BJ4" t="s">
        <v>1138</v>
      </c>
      <c r="BK4" t="s">
        <v>1349</v>
      </c>
      <c r="BL4" t="s">
        <v>1330</v>
      </c>
      <c r="BM4" t="s">
        <v>1357</v>
      </c>
      <c r="BN4" t="s">
        <v>106</v>
      </c>
      <c r="BO4">
        <v>5.68</v>
      </c>
      <c r="BP4">
        <v>5.63</v>
      </c>
      <c r="BQ4">
        <v>4.8600000000000003</v>
      </c>
      <c r="BR4">
        <v>5.27</v>
      </c>
      <c r="BS4">
        <v>10.81</v>
      </c>
      <c r="BT4">
        <v>11.14</v>
      </c>
      <c r="BU4">
        <v>9.84</v>
      </c>
      <c r="BV4">
        <v>10.31</v>
      </c>
      <c r="BW4">
        <v>30.34</v>
      </c>
      <c r="BX4">
        <v>33.99</v>
      </c>
      <c r="BY4">
        <v>34.75</v>
      </c>
      <c r="BZ4">
        <v>13.12</v>
      </c>
      <c r="CA4">
        <v>15.21</v>
      </c>
      <c r="CB4">
        <v>11.89</v>
      </c>
      <c r="CC4">
        <v>1.38</v>
      </c>
      <c r="CD4">
        <v>-2.39</v>
      </c>
      <c r="CE4" t="s">
        <v>1358</v>
      </c>
      <c r="CF4" t="s">
        <v>1359</v>
      </c>
      <c r="CG4" s="23">
        <v>-0.44618608404384902</v>
      </c>
      <c r="CH4" s="24">
        <v>-0.61908045724907068</v>
      </c>
      <c r="CI4" s="23">
        <v>0.20930662751197815</v>
      </c>
      <c r="CJ4" s="23">
        <v>1.7735874280333519E-2</v>
      </c>
      <c r="CK4" s="23">
        <v>-0.12324242293834686</v>
      </c>
      <c r="CL4" s="23">
        <v>-7.5829379260540009E-2</v>
      </c>
      <c r="CM4" s="23">
        <v>6.2195528298616409E-2</v>
      </c>
      <c r="CN4" s="24">
        <v>4.6683046966791153E-2</v>
      </c>
      <c r="CO4" s="24">
        <v>0.29206350445747375</v>
      </c>
      <c r="CP4" s="24">
        <v>3.1096562743186951E-2</v>
      </c>
      <c r="CQ4" s="24">
        <v>-0.39203980565071106</v>
      </c>
      <c r="CR4" s="24">
        <v>0.22860635817050934</v>
      </c>
      <c r="CS4">
        <v>1.7612770657672849</v>
      </c>
      <c r="CT4">
        <v>11992178.990610329</v>
      </c>
      <c r="CU4">
        <v>0.98824000000000012</v>
      </c>
      <c r="CV4" s="23">
        <v>0</v>
      </c>
      <c r="CW4" s="24">
        <v>0</v>
      </c>
      <c r="CX4">
        <v>0.06</v>
      </c>
      <c r="CY4">
        <v>11.313895443661973</v>
      </c>
      <c r="CZ4">
        <v>803773584.90566027</v>
      </c>
      <c r="DA4">
        <v>0</v>
      </c>
      <c r="DB4">
        <v>3.9930559493964672</v>
      </c>
      <c r="DC4">
        <v>2277406180.9413137</v>
      </c>
      <c r="DD4">
        <v>0</v>
      </c>
      <c r="DE4">
        <v>2.1705882223709834</v>
      </c>
      <c r="DF4">
        <v>4189560325.7565928</v>
      </c>
      <c r="DG4">
        <v>0</v>
      </c>
      <c r="DH4">
        <v>1.4501847862728829</v>
      </c>
      <c r="DI4">
        <v>6270794167.8053207</v>
      </c>
      <c r="DJ4">
        <v>0</v>
      </c>
      <c r="DK4">
        <v>0.93056317163970526</v>
      </c>
      <c r="DL4">
        <v>9772372878.2175941</v>
      </c>
      <c r="DM4">
        <v>0</v>
      </c>
      <c r="DN4">
        <v>852000000</v>
      </c>
      <c r="DO4">
        <v>0</v>
      </c>
      <c r="DP4">
        <v>9093810300</v>
      </c>
      <c r="DQ4">
        <v>-2230745900.000001</v>
      </c>
      <c r="DR4">
        <v>486</v>
      </c>
      <c r="DS4">
        <v>-0.44618608404384902</v>
      </c>
      <c r="DT4">
        <v>-0.61908045724907068</v>
      </c>
      <c r="DU4" s="25">
        <v>-0.22</v>
      </c>
      <c r="DV4">
        <v>-0.44</v>
      </c>
      <c r="DW4">
        <v>-0.66</v>
      </c>
      <c r="DX4">
        <v>-2.3900000000000001E-2</v>
      </c>
      <c r="DY4">
        <v>0.41388557806913084</v>
      </c>
      <c r="DZ4">
        <v>-3.9168653158522058E-3</v>
      </c>
      <c r="EA4">
        <v>3431</v>
      </c>
      <c r="EB4">
        <v>-1.074486953185345E-3</v>
      </c>
      <c r="EC4">
        <v>0</v>
      </c>
      <c r="ED4">
        <v>8.8085709509409679E-2</v>
      </c>
      <c r="EE4">
        <v>0.53748298384287074</v>
      </c>
      <c r="EF4" s="22">
        <v>-1.1209</v>
      </c>
      <c r="EG4">
        <v>-1.1235999999999999</v>
      </c>
      <c r="EH4">
        <v>25.163885578069131</v>
      </c>
      <c r="EI4" t="s">
        <v>380</v>
      </c>
      <c r="EJ4">
        <v>0</v>
      </c>
      <c r="EK4">
        <v>0</v>
      </c>
    </row>
    <row r="5" spans="1:141" x14ac:dyDescent="0.25">
      <c r="B5" s="3"/>
      <c r="C5" s="3"/>
      <c r="D5" s="3"/>
      <c r="E5" t="s">
        <v>449</v>
      </c>
      <c r="F5" t="s">
        <v>450</v>
      </c>
      <c r="G5">
        <v>7.22</v>
      </c>
      <c r="H5">
        <v>2.12</v>
      </c>
      <c r="I5" t="s">
        <v>527</v>
      </c>
      <c r="J5">
        <v>11905944800</v>
      </c>
      <c r="K5">
        <v>13.62</v>
      </c>
      <c r="L5">
        <v>1.0900000000000001</v>
      </c>
      <c r="M5" t="s">
        <v>451</v>
      </c>
      <c r="N5" t="s">
        <v>528</v>
      </c>
      <c r="O5" t="s">
        <v>529</v>
      </c>
      <c r="P5" t="s">
        <v>452</v>
      </c>
      <c r="Q5">
        <v>-9.33</v>
      </c>
      <c r="R5" t="s">
        <v>453</v>
      </c>
      <c r="S5">
        <v>106721637</v>
      </c>
      <c r="T5" s="4">
        <v>-0.71350000000000002</v>
      </c>
      <c r="U5" t="s">
        <v>182</v>
      </c>
      <c r="V5">
        <v>1531725800</v>
      </c>
      <c r="W5">
        <v>1649022800</v>
      </c>
      <c r="X5">
        <v>2.87</v>
      </c>
      <c r="Y5">
        <v>0.82</v>
      </c>
      <c r="Z5">
        <v>4.58</v>
      </c>
      <c r="AA5" t="s">
        <v>530</v>
      </c>
      <c r="AB5" t="s">
        <v>531</v>
      </c>
      <c r="AC5" t="s">
        <v>93</v>
      </c>
      <c r="AD5" t="s">
        <v>120</v>
      </c>
      <c r="AE5" t="s">
        <v>26</v>
      </c>
      <c r="AF5">
        <v>146098220</v>
      </c>
      <c r="AG5" t="s">
        <v>532</v>
      </c>
      <c r="AH5" t="s">
        <v>533</v>
      </c>
      <c r="AI5" t="s">
        <v>277</v>
      </c>
      <c r="AJ5" t="s">
        <v>534</v>
      </c>
      <c r="AK5" t="s">
        <v>535</v>
      </c>
      <c r="AL5" t="s">
        <v>259</v>
      </c>
      <c r="AM5" t="s">
        <v>536</v>
      </c>
      <c r="AN5" t="s">
        <v>7</v>
      </c>
      <c r="AO5" t="s">
        <v>246</v>
      </c>
      <c r="AP5" t="s">
        <v>537</v>
      </c>
      <c r="AQ5" t="s">
        <v>33</v>
      </c>
      <c r="AR5" t="s">
        <v>538</v>
      </c>
      <c r="AS5" t="s">
        <v>539</v>
      </c>
      <c r="AT5" t="s">
        <v>540</v>
      </c>
      <c r="AU5" t="s">
        <v>541</v>
      </c>
      <c r="AV5" t="s">
        <v>264</v>
      </c>
      <c r="AW5" t="s">
        <v>542</v>
      </c>
      <c r="AX5" t="s">
        <v>377</v>
      </c>
      <c r="AY5" t="s">
        <v>543</v>
      </c>
      <c r="AZ5" t="s">
        <v>544</v>
      </c>
      <c r="BA5" t="s">
        <v>545</v>
      </c>
      <c r="BB5" t="s">
        <v>546</v>
      </c>
      <c r="BC5" t="s">
        <v>547</v>
      </c>
      <c r="BD5" t="s">
        <v>203</v>
      </c>
      <c r="BE5" t="s">
        <v>250</v>
      </c>
      <c r="BF5" t="s">
        <v>191</v>
      </c>
      <c r="BG5" t="s">
        <v>258</v>
      </c>
      <c r="BH5" t="s">
        <v>23</v>
      </c>
      <c r="BI5" t="s">
        <v>453</v>
      </c>
      <c r="BJ5" t="s">
        <v>548</v>
      </c>
      <c r="BK5" t="s">
        <v>543</v>
      </c>
      <c r="BL5" t="s">
        <v>182</v>
      </c>
      <c r="BM5" t="s">
        <v>67</v>
      </c>
      <c r="BN5" t="s">
        <v>203</v>
      </c>
      <c r="BO5">
        <v>3.49</v>
      </c>
      <c r="BP5">
        <v>4.5999999999999996</v>
      </c>
      <c r="BQ5">
        <v>4.4000000000000004</v>
      </c>
      <c r="BR5">
        <v>4.95</v>
      </c>
      <c r="BS5">
        <v>8.99</v>
      </c>
      <c r="BT5">
        <v>12.37</v>
      </c>
      <c r="BU5">
        <v>12.46</v>
      </c>
      <c r="BV5">
        <v>13.2</v>
      </c>
      <c r="BW5">
        <v>8.6300000000000008</v>
      </c>
      <c r="BX5">
        <v>8.6300000000000008</v>
      </c>
      <c r="BY5">
        <v>5.31</v>
      </c>
      <c r="BZ5">
        <v>4.17</v>
      </c>
      <c r="CA5">
        <v>4.17</v>
      </c>
      <c r="CB5">
        <v>2.4</v>
      </c>
      <c r="CC5">
        <v>-11.3</v>
      </c>
      <c r="CD5">
        <v>-22.37</v>
      </c>
      <c r="CE5" t="s">
        <v>549</v>
      </c>
      <c r="CF5" t="s">
        <v>19</v>
      </c>
    </row>
    <row r="6" spans="1:141" x14ac:dyDescent="0.25">
      <c r="E6" t="s">
        <v>271</v>
      </c>
      <c r="F6" t="s">
        <v>272</v>
      </c>
      <c r="G6">
        <v>9.5299999999999994</v>
      </c>
      <c r="H6">
        <v>2.8</v>
      </c>
      <c r="I6" t="s">
        <v>1303</v>
      </c>
      <c r="J6">
        <v>9076035100</v>
      </c>
      <c r="K6">
        <v>6.22</v>
      </c>
      <c r="L6">
        <v>1.89</v>
      </c>
      <c r="M6" t="s">
        <v>476</v>
      </c>
    </row>
    <row r="7" spans="1:141" x14ac:dyDescent="0.25">
      <c r="B7" s="3"/>
      <c r="C7" s="3"/>
      <c r="D7" s="3"/>
      <c r="E7" t="s">
        <v>2312</v>
      </c>
      <c r="F7" t="s">
        <v>2313</v>
      </c>
      <c r="G7">
        <v>2.85</v>
      </c>
      <c r="H7">
        <v>3.64</v>
      </c>
      <c r="I7" t="s">
        <v>2315</v>
      </c>
      <c r="J7">
        <v>3838544700</v>
      </c>
      <c r="K7">
        <v>41.28</v>
      </c>
      <c r="L7">
        <v>1.65</v>
      </c>
      <c r="M7" t="s">
        <v>2314</v>
      </c>
      <c r="N7" t="s">
        <v>2316</v>
      </c>
      <c r="O7" t="s">
        <v>2317</v>
      </c>
      <c r="P7" t="s">
        <v>2318</v>
      </c>
      <c r="Q7">
        <v>40.4</v>
      </c>
      <c r="R7" t="s">
        <v>2319</v>
      </c>
      <c r="S7">
        <v>11246194</v>
      </c>
      <c r="T7" s="4">
        <v>0.50780000000000003</v>
      </c>
      <c r="U7" t="s">
        <v>2320</v>
      </c>
      <c r="V7">
        <v>857363260</v>
      </c>
      <c r="W7">
        <v>1346857800</v>
      </c>
      <c r="X7">
        <v>1.61</v>
      </c>
      <c r="Y7">
        <v>0.4</v>
      </c>
      <c r="Z7">
        <v>6.02</v>
      </c>
      <c r="AA7" t="s">
        <v>2321</v>
      </c>
      <c r="AB7" t="s">
        <v>2322</v>
      </c>
      <c r="AC7" t="s">
        <v>2323</v>
      </c>
      <c r="AD7" t="s">
        <v>1214</v>
      </c>
      <c r="AE7" t="s">
        <v>2324</v>
      </c>
      <c r="AF7">
        <v>12703692</v>
      </c>
      <c r="AG7" t="s">
        <v>2325</v>
      </c>
      <c r="AH7" t="s">
        <v>2326</v>
      </c>
      <c r="AI7" t="s">
        <v>2327</v>
      </c>
      <c r="AJ7" t="s">
        <v>1923</v>
      </c>
      <c r="AK7" t="s">
        <v>2328</v>
      </c>
      <c r="AL7" t="s">
        <v>2329</v>
      </c>
      <c r="AM7" t="s">
        <v>2330</v>
      </c>
      <c r="AN7" t="s">
        <v>7</v>
      </c>
      <c r="AO7" t="s">
        <v>2331</v>
      </c>
      <c r="AP7" t="s">
        <v>2332</v>
      </c>
      <c r="AQ7" t="s">
        <v>2333</v>
      </c>
      <c r="AR7" t="s">
        <v>2334</v>
      </c>
      <c r="AS7" t="s">
        <v>2335</v>
      </c>
      <c r="AT7" t="s">
        <v>2336</v>
      </c>
      <c r="AU7" t="s">
        <v>99</v>
      </c>
      <c r="AV7" t="s">
        <v>2337</v>
      </c>
      <c r="AW7" t="s">
        <v>2338</v>
      </c>
      <c r="AX7" t="s">
        <v>2339</v>
      </c>
      <c r="AY7" t="s">
        <v>2340</v>
      </c>
      <c r="AZ7" t="s">
        <v>2341</v>
      </c>
      <c r="BA7" t="s">
        <v>2342</v>
      </c>
      <c r="BB7" t="s">
        <v>2343</v>
      </c>
      <c r="BC7" t="s">
        <v>2344</v>
      </c>
      <c r="BD7" t="s">
        <v>2345</v>
      </c>
      <c r="BE7" t="s">
        <v>2346</v>
      </c>
      <c r="BF7" t="s">
        <v>2347</v>
      </c>
      <c r="BG7" t="s">
        <v>2348</v>
      </c>
      <c r="BH7" t="s">
        <v>1024</v>
      </c>
      <c r="BI7" t="s">
        <v>2319</v>
      </c>
      <c r="BJ7" t="s">
        <v>115</v>
      </c>
      <c r="BK7" t="s">
        <v>2340</v>
      </c>
      <c r="BL7" t="s">
        <v>2320</v>
      </c>
      <c r="BM7" t="s">
        <v>2349</v>
      </c>
      <c r="BN7" t="s">
        <v>2345</v>
      </c>
      <c r="BO7">
        <v>3.38</v>
      </c>
      <c r="BP7">
        <v>-5.5</v>
      </c>
      <c r="BQ7">
        <v>2.86</v>
      </c>
      <c r="BR7">
        <v>-16.16</v>
      </c>
      <c r="BS7">
        <v>4.9400000000000004</v>
      </c>
      <c r="BT7">
        <v>-10.52</v>
      </c>
      <c r="BU7">
        <v>4.9400000000000004</v>
      </c>
      <c r="BV7">
        <v>-26.11</v>
      </c>
      <c r="BW7">
        <v>19.86</v>
      </c>
      <c r="BX7">
        <v>19.86</v>
      </c>
      <c r="BY7">
        <v>23.65</v>
      </c>
      <c r="BZ7">
        <v>-15.52</v>
      </c>
      <c r="CA7">
        <v>-15.52</v>
      </c>
      <c r="CB7">
        <v>4.1500000000000004</v>
      </c>
      <c r="CC7">
        <v>-8.9499999999999993</v>
      </c>
      <c r="CD7">
        <v>-12.84</v>
      </c>
      <c r="CE7" t="s">
        <v>2228</v>
      </c>
      <c r="CF7" t="s">
        <v>2350</v>
      </c>
    </row>
    <row r="8" spans="1:141" x14ac:dyDescent="0.25">
      <c r="B8" s="3"/>
      <c r="C8" s="3"/>
      <c r="D8" s="3"/>
      <c r="E8" t="s">
        <v>1304</v>
      </c>
      <c r="F8" t="s">
        <v>1305</v>
      </c>
      <c r="G8">
        <v>22.67</v>
      </c>
      <c r="H8">
        <v>-1.78</v>
      </c>
      <c r="I8" t="s">
        <v>1360</v>
      </c>
      <c r="J8">
        <v>54560579000</v>
      </c>
      <c r="K8">
        <v>8.07</v>
      </c>
      <c r="L8">
        <v>2.63</v>
      </c>
      <c r="M8" t="s">
        <v>8</v>
      </c>
      <c r="N8" t="s">
        <v>1361</v>
      </c>
      <c r="O8" t="s">
        <v>1362</v>
      </c>
      <c r="P8" t="s">
        <v>1363</v>
      </c>
      <c r="Q8">
        <v>124.54</v>
      </c>
      <c r="R8" t="s">
        <v>1364</v>
      </c>
      <c r="S8">
        <v>2996182600</v>
      </c>
      <c r="T8" s="4">
        <v>0.98440000000000005</v>
      </c>
      <c r="U8" t="s">
        <v>1365</v>
      </c>
      <c r="V8">
        <v>2401880100</v>
      </c>
      <c r="W8">
        <v>2406730400</v>
      </c>
      <c r="X8">
        <v>2.46</v>
      </c>
      <c r="Y8">
        <v>0.16</v>
      </c>
      <c r="Z8">
        <v>18.82</v>
      </c>
      <c r="AA8" t="s">
        <v>1366</v>
      </c>
      <c r="AB8" t="s">
        <v>1367</v>
      </c>
      <c r="AC8" t="s">
        <v>1368</v>
      </c>
      <c r="AD8" t="s">
        <v>1369</v>
      </c>
      <c r="AE8" t="s">
        <v>7</v>
      </c>
      <c r="AF8">
        <v>126423271</v>
      </c>
      <c r="AG8" t="s">
        <v>1370</v>
      </c>
      <c r="AH8" t="s">
        <v>1371</v>
      </c>
      <c r="AI8" t="s">
        <v>1372</v>
      </c>
      <c r="AJ8" t="s">
        <v>1373</v>
      </c>
      <c r="AK8" t="s">
        <v>1374</v>
      </c>
      <c r="AL8" t="s">
        <v>7</v>
      </c>
      <c r="AM8" t="s">
        <v>1375</v>
      </c>
      <c r="AN8" t="s">
        <v>7</v>
      </c>
      <c r="AO8" t="s">
        <v>1376</v>
      </c>
      <c r="AP8" t="s">
        <v>1377</v>
      </c>
      <c r="AQ8" t="s">
        <v>185</v>
      </c>
      <c r="AR8" t="s">
        <v>1378</v>
      </c>
      <c r="AS8" t="s">
        <v>7</v>
      </c>
      <c r="AT8" t="s">
        <v>1379</v>
      </c>
      <c r="AU8" t="s">
        <v>1380</v>
      </c>
      <c r="AV8" t="s">
        <v>1381</v>
      </c>
      <c r="AW8" t="s">
        <v>1382</v>
      </c>
      <c r="AX8" t="s">
        <v>1383</v>
      </c>
      <c r="AY8" t="s">
        <v>1384</v>
      </c>
      <c r="AZ8" t="s">
        <v>1385</v>
      </c>
      <c r="BA8" t="s">
        <v>1386</v>
      </c>
      <c r="BB8" t="s">
        <v>1387</v>
      </c>
      <c r="BC8" t="s">
        <v>1388</v>
      </c>
      <c r="BD8" t="s">
        <v>111</v>
      </c>
      <c r="BE8" t="s">
        <v>1389</v>
      </c>
      <c r="BF8" t="s">
        <v>1390</v>
      </c>
      <c r="BG8" t="s">
        <v>186</v>
      </c>
      <c r="BH8" t="s">
        <v>1391</v>
      </c>
      <c r="BI8" t="s">
        <v>1392</v>
      </c>
      <c r="BJ8" t="s">
        <v>1393</v>
      </c>
      <c r="BK8" t="s">
        <v>1384</v>
      </c>
      <c r="BL8" t="s">
        <v>1365</v>
      </c>
      <c r="BM8" t="s">
        <v>212</v>
      </c>
      <c r="BN8" t="s">
        <v>111</v>
      </c>
      <c r="BO8">
        <v>18.760000000000002</v>
      </c>
      <c r="BP8">
        <v>7.83</v>
      </c>
      <c r="BQ8">
        <v>9.32</v>
      </c>
      <c r="BR8">
        <v>8.9499999999999993</v>
      </c>
      <c r="BS8">
        <v>36.42</v>
      </c>
      <c r="BT8">
        <v>15.93</v>
      </c>
      <c r="BU8">
        <v>14.76</v>
      </c>
      <c r="BV8">
        <v>12.38</v>
      </c>
      <c r="BW8">
        <v>31.72</v>
      </c>
      <c r="BX8">
        <v>28.7</v>
      </c>
      <c r="BY8">
        <v>26.11</v>
      </c>
      <c r="BZ8">
        <v>21.06</v>
      </c>
      <c r="CA8">
        <v>15.39</v>
      </c>
      <c r="CB8">
        <v>11.76</v>
      </c>
      <c r="CC8">
        <v>-5.15</v>
      </c>
      <c r="CD8">
        <v>-17.62</v>
      </c>
      <c r="CE8" t="s">
        <v>1394</v>
      </c>
      <c r="CF8" t="s">
        <v>1395</v>
      </c>
      <c r="CG8" s="23">
        <v>1.2454720750551875</v>
      </c>
      <c r="CH8" s="24">
        <v>2.9063658409387223</v>
      </c>
      <c r="CI8" s="23">
        <v>1.6507936716079712</v>
      </c>
      <c r="CJ8" s="23">
        <v>-5.5660231737419963E-4</v>
      </c>
      <c r="CK8" s="23">
        <v>7.4783146381378174E-2</v>
      </c>
      <c r="CL8" s="23">
        <v>0.22484114766120911</v>
      </c>
      <c r="CM8" s="23">
        <v>0.52903836965560913</v>
      </c>
      <c r="CN8" s="24">
        <v>2.6164963245391846</v>
      </c>
      <c r="CO8" s="24">
        <v>0.30479183793067932</v>
      </c>
      <c r="CP8" s="24">
        <v>0.35281607508659363</v>
      </c>
      <c r="CQ8" s="24">
        <v>-1.0615711798891425E-3</v>
      </c>
      <c r="CR8" s="24">
        <v>2.019230842590332</v>
      </c>
      <c r="CS8">
        <v>1.9105851104807927</v>
      </c>
      <c r="CT8">
        <v>25630386.216081239</v>
      </c>
      <c r="CU8">
        <v>7.4075519999999999</v>
      </c>
      <c r="CV8" s="23">
        <v>0.4957799465977587</v>
      </c>
      <c r="CW8" s="24">
        <v>1.0584547017933801</v>
      </c>
      <c r="CX8">
        <v>0.06</v>
      </c>
      <c r="CY8">
        <v>7.5761398179557222</v>
      </c>
      <c r="CZ8">
        <v>8476556735.1063538</v>
      </c>
      <c r="DA8">
        <v>0.4957799465977587</v>
      </c>
      <c r="DB8">
        <v>1.7859711318712099</v>
      </c>
      <c r="DC8">
        <v>35957792292.373405</v>
      </c>
      <c r="DD8">
        <v>0.47099094926787077</v>
      </c>
      <c r="DE8">
        <v>0.53977762811482966</v>
      </c>
      <c r="DF8">
        <v>118974139821.77534</v>
      </c>
      <c r="DG8">
        <v>0.43628635300602764</v>
      </c>
      <c r="DH8">
        <v>0.17450054826056727</v>
      </c>
      <c r="DI8">
        <v>368019353750.71832</v>
      </c>
      <c r="DJ8">
        <v>0.39662395727820698</v>
      </c>
      <c r="DK8">
        <v>1.9039803295338453E-2</v>
      </c>
      <c r="DL8">
        <v>3372911894301.0815</v>
      </c>
      <c r="DM8">
        <v>0.34704596261843107</v>
      </c>
      <c r="DN8">
        <v>6007000000</v>
      </c>
      <c r="DO8">
        <v>0.4957799465977587</v>
      </c>
      <c r="DP8">
        <v>64219579000</v>
      </c>
      <c r="DQ8">
        <v>8369300000</v>
      </c>
      <c r="DR8">
        <v>1122</v>
      </c>
      <c r="DS8">
        <v>0.74969212845742883</v>
      </c>
      <c r="DT8">
        <v>1.8479111391453422</v>
      </c>
      <c r="DU8" s="25">
        <v>0</v>
      </c>
      <c r="DV8">
        <v>0.44</v>
      </c>
      <c r="DW8">
        <v>0.44</v>
      </c>
      <c r="DX8">
        <v>-8.29228149829739</v>
      </c>
      <c r="DY8">
        <v>0.43884956772334233</v>
      </c>
      <c r="DZ8">
        <v>-8.0435059746750976</v>
      </c>
      <c r="EA8">
        <v>171</v>
      </c>
      <c r="EB8">
        <v>-8.041946980192817</v>
      </c>
      <c r="EC8">
        <v>8</v>
      </c>
      <c r="ED8">
        <v>2.1460982916906689E-2</v>
      </c>
      <c r="EE8">
        <v>0.14417900733709102</v>
      </c>
      <c r="EF8" s="22">
        <v>-2.05131</v>
      </c>
      <c r="EG8">
        <v>-2.0691099999999998</v>
      </c>
      <c r="EH8">
        <v>29.148849567723342</v>
      </c>
      <c r="EI8" t="s">
        <v>1396</v>
      </c>
      <c r="EJ8">
        <v>0</v>
      </c>
      <c r="EK8">
        <v>1</v>
      </c>
    </row>
    <row r="9" spans="1:141" ht="237.6" x14ac:dyDescent="0.25">
      <c r="B9" s="3"/>
      <c r="C9" s="3" t="s">
        <v>1397</v>
      </c>
      <c r="D9" s="3" t="s">
        <v>1398</v>
      </c>
      <c r="E9" t="s">
        <v>1306</v>
      </c>
      <c r="F9" t="s">
        <v>1307</v>
      </c>
      <c r="G9">
        <v>110.94</v>
      </c>
      <c r="H9">
        <v>20</v>
      </c>
      <c r="I9" t="s">
        <v>1399</v>
      </c>
      <c r="J9">
        <v>164769860000</v>
      </c>
      <c r="K9">
        <v>102.5</v>
      </c>
      <c r="L9">
        <v>10.24</v>
      </c>
      <c r="M9" t="s">
        <v>256</v>
      </c>
      <c r="N9" t="s">
        <v>1400</v>
      </c>
      <c r="O9" t="s">
        <v>1401</v>
      </c>
      <c r="P9" t="s">
        <v>1402</v>
      </c>
      <c r="Q9">
        <v>36.479999999999997</v>
      </c>
      <c r="R9" t="s">
        <v>1403</v>
      </c>
      <c r="S9">
        <v>410913210</v>
      </c>
      <c r="T9" s="4">
        <v>6.2600000000000003E-2</v>
      </c>
      <c r="U9" t="s">
        <v>1404</v>
      </c>
      <c r="V9">
        <v>1128626270</v>
      </c>
      <c r="W9">
        <v>1485216000</v>
      </c>
      <c r="X9">
        <v>2.57</v>
      </c>
      <c r="Y9">
        <v>0.11</v>
      </c>
      <c r="Z9">
        <v>9.25</v>
      </c>
      <c r="AA9" t="s">
        <v>1405</v>
      </c>
      <c r="AB9" t="s">
        <v>1406</v>
      </c>
      <c r="AC9" t="s">
        <v>1407</v>
      </c>
      <c r="AD9" t="s">
        <v>29</v>
      </c>
      <c r="AE9" t="s">
        <v>7</v>
      </c>
      <c r="AF9">
        <v>96781894</v>
      </c>
      <c r="AG9" t="s">
        <v>1408</v>
      </c>
      <c r="AH9" t="s">
        <v>1409</v>
      </c>
      <c r="AI9" t="s">
        <v>1410</v>
      </c>
      <c r="AJ9" t="s">
        <v>1411</v>
      </c>
      <c r="AK9" t="s">
        <v>1412</v>
      </c>
      <c r="AL9" t="s">
        <v>1413</v>
      </c>
      <c r="AM9" t="s">
        <v>1414</v>
      </c>
      <c r="AN9" t="s">
        <v>7</v>
      </c>
      <c r="AO9" t="s">
        <v>747</v>
      </c>
      <c r="AP9" t="s">
        <v>1415</v>
      </c>
      <c r="AQ9" t="s">
        <v>1416</v>
      </c>
      <c r="AR9" t="s">
        <v>1417</v>
      </c>
      <c r="AS9" t="s">
        <v>7</v>
      </c>
      <c r="AT9" t="s">
        <v>1418</v>
      </c>
      <c r="AU9" t="s">
        <v>1419</v>
      </c>
      <c r="AV9" t="s">
        <v>1420</v>
      </c>
      <c r="AW9" t="s">
        <v>1421</v>
      </c>
      <c r="AX9" t="s">
        <v>1422</v>
      </c>
      <c r="AY9" t="s">
        <v>1423</v>
      </c>
      <c r="AZ9" t="s">
        <v>1424</v>
      </c>
      <c r="BA9" t="s">
        <v>1425</v>
      </c>
      <c r="BB9" t="s">
        <v>1426</v>
      </c>
      <c r="BC9" t="s">
        <v>1427</v>
      </c>
      <c r="BD9" t="s">
        <v>1428</v>
      </c>
      <c r="BE9" t="s">
        <v>1429</v>
      </c>
      <c r="BF9" t="s">
        <v>46</v>
      </c>
      <c r="BG9" t="s">
        <v>27</v>
      </c>
      <c r="BH9" t="s">
        <v>18</v>
      </c>
      <c r="BI9" t="s">
        <v>1430</v>
      </c>
      <c r="BJ9" t="s">
        <v>1431</v>
      </c>
      <c r="BK9" t="s">
        <v>1423</v>
      </c>
      <c r="BL9" t="s">
        <v>1404</v>
      </c>
      <c r="BM9" t="s">
        <v>669</v>
      </c>
      <c r="BN9" t="s">
        <v>1428</v>
      </c>
      <c r="BO9">
        <v>6.55</v>
      </c>
      <c r="BP9">
        <v>11.63</v>
      </c>
      <c r="BQ9">
        <v>6.62</v>
      </c>
      <c r="BR9">
        <v>6.62</v>
      </c>
      <c r="BS9">
        <v>13.05</v>
      </c>
      <c r="BT9">
        <v>20.36</v>
      </c>
      <c r="BU9">
        <v>10.93</v>
      </c>
      <c r="BV9">
        <v>11.05</v>
      </c>
      <c r="BW9">
        <v>22.25</v>
      </c>
      <c r="BX9">
        <v>23.07</v>
      </c>
      <c r="BY9">
        <v>23.81</v>
      </c>
      <c r="BZ9">
        <v>7.06</v>
      </c>
      <c r="CA9">
        <v>10.24</v>
      </c>
      <c r="CB9">
        <v>7.01</v>
      </c>
      <c r="CC9">
        <v>12.92</v>
      </c>
      <c r="CD9">
        <v>40.29</v>
      </c>
      <c r="CE9" t="s">
        <v>1432</v>
      </c>
      <c r="CF9" t="s">
        <v>1433</v>
      </c>
      <c r="CG9" s="23">
        <v>0.36471159247086943</v>
      </c>
      <c r="CH9" s="24">
        <v>6.1791240310077516E-2</v>
      </c>
      <c r="CI9" s="23">
        <v>0.25152969360351563</v>
      </c>
      <c r="CJ9" s="23">
        <v>0.48319616913795471</v>
      </c>
      <c r="CK9" s="23">
        <v>0.25402635335922241</v>
      </c>
      <c r="CL9" s="23">
        <v>0.16689184308052063</v>
      </c>
      <c r="CM9" s="23">
        <v>0.48001331090927124</v>
      </c>
      <c r="CN9" s="24">
        <v>-0.18986690044403076</v>
      </c>
      <c r="CO9" s="24">
        <v>1.1881299018859863</v>
      </c>
      <c r="CP9" s="24">
        <v>0.10246913880109787</v>
      </c>
      <c r="CQ9" s="24">
        <v>-0.208984375</v>
      </c>
      <c r="CR9" s="24">
        <v>0.84837543964385986</v>
      </c>
      <c r="CS9">
        <v>6.82644321995277</v>
      </c>
      <c r="CT9">
        <v>23406734.049273532</v>
      </c>
      <c r="CU9">
        <v>2.6149750000000003</v>
      </c>
      <c r="CV9" s="23">
        <v>0.32713147401809695</v>
      </c>
      <c r="CW9" s="24">
        <v>0.34802464097738267</v>
      </c>
      <c r="CX9">
        <v>0.06</v>
      </c>
      <c r="CY9">
        <v>88.077572797384704</v>
      </c>
      <c r="CZ9">
        <v>1981933135.2553275</v>
      </c>
      <c r="DA9">
        <v>0.32713147401809695</v>
      </c>
      <c r="DB9">
        <v>23.681229666227757</v>
      </c>
      <c r="DC9">
        <v>7371401842.7408257</v>
      </c>
      <c r="DD9">
        <v>0.31077490031719207</v>
      </c>
      <c r="DE9">
        <v>8.8022471118914236</v>
      </c>
      <c r="DF9">
        <v>19831738166.515728</v>
      </c>
      <c r="DG9">
        <v>0.28787569713592531</v>
      </c>
      <c r="DH9">
        <v>3.7441409804432588</v>
      </c>
      <c r="DI9">
        <v>46623207008.442787</v>
      </c>
      <c r="DJ9">
        <v>0.26170517921447756</v>
      </c>
      <c r="DK9">
        <v>0.82998583300838547</v>
      </c>
      <c r="DL9">
        <v>210321493521.48804</v>
      </c>
      <c r="DM9">
        <v>0.22899203181266783</v>
      </c>
      <c r="DN9">
        <v>1583000000</v>
      </c>
      <c r="DO9">
        <v>0.32713147401809695</v>
      </c>
      <c r="DP9">
        <v>174563860000</v>
      </c>
      <c r="DQ9">
        <v>13218131000</v>
      </c>
      <c r="DR9">
        <v>1745</v>
      </c>
      <c r="DS9">
        <v>3.7580118452772482E-2</v>
      </c>
      <c r="DT9">
        <v>-0.28623340066730518</v>
      </c>
      <c r="DU9" s="25">
        <v>0</v>
      </c>
      <c r="DV9">
        <v>0</v>
      </c>
      <c r="DW9">
        <v>0</v>
      </c>
      <c r="DX9">
        <v>9.3206751054852326</v>
      </c>
      <c r="DY9">
        <v>0.70812499999999856</v>
      </c>
      <c r="DZ9">
        <v>9.0731540084388183</v>
      </c>
      <c r="EA9">
        <v>1157</v>
      </c>
      <c r="EB9">
        <v>9.0552901021991161</v>
      </c>
      <c r="EC9">
        <v>9</v>
      </c>
      <c r="ED9">
        <v>0.19660439962941417</v>
      </c>
      <c r="EE9">
        <v>0.8618275052248292</v>
      </c>
      <c r="EF9" s="22">
        <v>-1.0028999999999999</v>
      </c>
      <c r="EG9">
        <v>5.290000000000003E-2</v>
      </c>
      <c r="EH9">
        <v>48.228124999999999</v>
      </c>
      <c r="EI9" t="s">
        <v>378</v>
      </c>
      <c r="EJ9">
        <v>1</v>
      </c>
      <c r="EK9">
        <v>1</v>
      </c>
    </row>
    <row r="10" spans="1:141" x14ac:dyDescent="0.25">
      <c r="E10" t="s">
        <v>1308</v>
      </c>
      <c r="F10" t="s">
        <v>1309</v>
      </c>
      <c r="G10">
        <v>4.34</v>
      </c>
      <c r="H10">
        <v>0.46</v>
      </c>
      <c r="I10" t="s">
        <v>1434</v>
      </c>
      <c r="J10">
        <v>525449050000</v>
      </c>
      <c r="K10">
        <v>6.95</v>
      </c>
      <c r="L10">
        <v>0.66200000000000003</v>
      </c>
      <c r="M10" t="s">
        <v>451</v>
      </c>
      <c r="N10" t="s">
        <v>1435</v>
      </c>
      <c r="O10" t="s">
        <v>1436</v>
      </c>
      <c r="P10" t="s">
        <v>1437</v>
      </c>
      <c r="Q10">
        <v>30.23</v>
      </c>
      <c r="R10" t="s">
        <v>1438</v>
      </c>
      <c r="S10">
        <v>22605000000</v>
      </c>
      <c r="T10" s="4">
        <v>0.24479999999999999</v>
      </c>
      <c r="U10" t="s">
        <v>1439</v>
      </c>
      <c r="V10">
        <v>95557771000</v>
      </c>
      <c r="W10">
        <v>121071210000</v>
      </c>
      <c r="X10">
        <v>2.06</v>
      </c>
      <c r="Y10">
        <v>1.51</v>
      </c>
      <c r="Z10">
        <v>3.1</v>
      </c>
      <c r="AA10" t="s">
        <v>1440</v>
      </c>
      <c r="AB10" t="s">
        <v>1441</v>
      </c>
      <c r="AC10" t="s">
        <v>1442</v>
      </c>
      <c r="AD10" t="s">
        <v>1443</v>
      </c>
      <c r="AE10" t="s">
        <v>1444</v>
      </c>
      <c r="AF10">
        <v>2305000000</v>
      </c>
      <c r="AG10" t="s">
        <v>1445</v>
      </c>
      <c r="AH10" t="s">
        <v>1446</v>
      </c>
      <c r="AI10" t="s">
        <v>1447</v>
      </c>
      <c r="AJ10" t="s">
        <v>1448</v>
      </c>
      <c r="AK10" t="s">
        <v>1449</v>
      </c>
      <c r="AL10" t="s">
        <v>7</v>
      </c>
      <c r="AM10" t="s">
        <v>1450</v>
      </c>
      <c r="AN10" t="s">
        <v>7</v>
      </c>
      <c r="AO10" t="s">
        <v>1451</v>
      </c>
      <c r="AP10" t="s">
        <v>1452</v>
      </c>
      <c r="AQ10" t="s">
        <v>1453</v>
      </c>
      <c r="AR10" t="s">
        <v>1454</v>
      </c>
      <c r="AS10" t="s">
        <v>7</v>
      </c>
      <c r="AT10" t="s">
        <v>1455</v>
      </c>
      <c r="AU10" t="s">
        <v>1456</v>
      </c>
      <c r="AV10" t="s">
        <v>1457</v>
      </c>
      <c r="AW10" t="s">
        <v>1458</v>
      </c>
      <c r="AX10" t="s">
        <v>1459</v>
      </c>
      <c r="AY10" t="s">
        <v>1460</v>
      </c>
      <c r="AZ10" t="s">
        <v>1461</v>
      </c>
      <c r="BA10" t="s">
        <v>1462</v>
      </c>
      <c r="BB10" t="s">
        <v>1463</v>
      </c>
      <c r="BC10" t="s">
        <v>1464</v>
      </c>
      <c r="BD10" t="s">
        <v>1465</v>
      </c>
      <c r="BE10" t="s">
        <v>1466</v>
      </c>
      <c r="BF10" t="s">
        <v>1467</v>
      </c>
      <c r="BG10" t="s">
        <v>1468</v>
      </c>
      <c r="BH10" t="s">
        <v>1469</v>
      </c>
      <c r="BI10" t="s">
        <v>1438</v>
      </c>
      <c r="BJ10" t="s">
        <v>1470</v>
      </c>
      <c r="BK10" t="s">
        <v>1460</v>
      </c>
      <c r="BL10" t="s">
        <v>1439</v>
      </c>
      <c r="BM10" t="s">
        <v>1471</v>
      </c>
      <c r="BN10" t="s">
        <v>1465</v>
      </c>
      <c r="BO10">
        <v>5.24</v>
      </c>
      <c r="BP10">
        <v>2.98</v>
      </c>
      <c r="BQ10">
        <v>5.4</v>
      </c>
      <c r="BR10">
        <v>6.5</v>
      </c>
      <c r="BS10">
        <v>7.92</v>
      </c>
      <c r="BT10">
        <v>4.4400000000000004</v>
      </c>
      <c r="BU10">
        <v>7.9</v>
      </c>
      <c r="BV10">
        <v>8.67</v>
      </c>
      <c r="BW10">
        <v>19.829999999999998</v>
      </c>
      <c r="BX10">
        <v>19.829999999999998</v>
      </c>
      <c r="BY10">
        <v>16.09</v>
      </c>
      <c r="BZ10">
        <v>1.98</v>
      </c>
      <c r="CA10">
        <v>1.98</v>
      </c>
      <c r="CB10">
        <v>2.4300000000000002</v>
      </c>
      <c r="CC10">
        <v>0.23</v>
      </c>
      <c r="CD10">
        <v>6.9</v>
      </c>
      <c r="CE10" t="s">
        <v>186</v>
      </c>
      <c r="CF10" t="s">
        <v>1472</v>
      </c>
    </row>
    <row r="11" spans="1:141" x14ac:dyDescent="0.25">
      <c r="B11" s="3"/>
      <c r="C11" s="3"/>
      <c r="D11" s="3"/>
      <c r="E11" t="s">
        <v>1310</v>
      </c>
      <c r="F11" t="s">
        <v>1311</v>
      </c>
      <c r="G11">
        <v>10.19</v>
      </c>
      <c r="H11">
        <v>-0.1</v>
      </c>
      <c r="I11" t="s">
        <v>1473</v>
      </c>
      <c r="J11">
        <v>14285822000</v>
      </c>
      <c r="K11">
        <v>6.96</v>
      </c>
      <c r="L11">
        <v>1.51</v>
      </c>
      <c r="M11" t="s">
        <v>8</v>
      </c>
      <c r="N11" t="s">
        <v>7</v>
      </c>
      <c r="O11" t="s">
        <v>7</v>
      </c>
      <c r="P11" t="s">
        <v>1474</v>
      </c>
      <c r="Q11" t="s">
        <v>7</v>
      </c>
      <c r="R11" t="s">
        <v>7</v>
      </c>
      <c r="S11">
        <v>1020000000</v>
      </c>
      <c r="T11" s="4">
        <v>0.71879999999999999</v>
      </c>
      <c r="U11" t="s">
        <v>7</v>
      </c>
      <c r="V11">
        <v>1401945200</v>
      </c>
      <c r="W11">
        <v>1401945200</v>
      </c>
      <c r="X11" t="s">
        <v>7</v>
      </c>
      <c r="Y11" t="s">
        <v>7</v>
      </c>
      <c r="Z11" t="s">
        <v>7</v>
      </c>
      <c r="AA11" t="s">
        <v>7</v>
      </c>
      <c r="AB11" t="s">
        <v>7</v>
      </c>
      <c r="AC11" t="s">
        <v>7</v>
      </c>
      <c r="AD11" t="s">
        <v>7</v>
      </c>
      <c r="AE11" t="s">
        <v>7</v>
      </c>
      <c r="AF11">
        <v>-3966677</v>
      </c>
      <c r="AG11" t="s">
        <v>1475</v>
      </c>
      <c r="AH11" t="s">
        <v>1476</v>
      </c>
      <c r="AI11" t="s">
        <v>1477</v>
      </c>
      <c r="AJ11" t="s">
        <v>346</v>
      </c>
      <c r="AK11" t="s">
        <v>1478</v>
      </c>
      <c r="AL11" t="s">
        <v>1479</v>
      </c>
      <c r="AM11" t="s">
        <v>1480</v>
      </c>
      <c r="AN11" t="s">
        <v>7</v>
      </c>
      <c r="AO11" t="s">
        <v>1481</v>
      </c>
      <c r="AP11" t="s">
        <v>1482</v>
      </c>
      <c r="AQ11" t="s">
        <v>7</v>
      </c>
      <c r="AR11" t="s">
        <v>1483</v>
      </c>
      <c r="AS11" t="s">
        <v>7</v>
      </c>
      <c r="AT11" t="s">
        <v>1484</v>
      </c>
      <c r="AU11" t="s">
        <v>7</v>
      </c>
      <c r="AV11" t="s">
        <v>1485</v>
      </c>
      <c r="AW11" t="s">
        <v>1486</v>
      </c>
      <c r="AX11" t="s">
        <v>855</v>
      </c>
      <c r="AY11" t="s">
        <v>1487</v>
      </c>
      <c r="AZ11" t="s">
        <v>1488</v>
      </c>
      <c r="BA11" t="s">
        <v>1489</v>
      </c>
      <c r="BB11" t="s">
        <v>1490</v>
      </c>
      <c r="BC11" t="s">
        <v>1491</v>
      </c>
      <c r="BD11" t="s">
        <v>1492</v>
      </c>
      <c r="BE11" t="s">
        <v>1493</v>
      </c>
      <c r="BF11" t="s">
        <v>1494</v>
      </c>
      <c r="BG11" t="s">
        <v>91</v>
      </c>
      <c r="BH11" t="s">
        <v>1495</v>
      </c>
      <c r="BI11" t="s">
        <v>1496</v>
      </c>
      <c r="BJ11" t="s">
        <v>1497</v>
      </c>
      <c r="BK11" t="s">
        <v>1487</v>
      </c>
      <c r="BL11" t="s">
        <v>1498</v>
      </c>
      <c r="BM11" t="s">
        <v>1499</v>
      </c>
      <c r="BN11" t="s">
        <v>1492</v>
      </c>
      <c r="BO11">
        <v>20.55</v>
      </c>
      <c r="BP11">
        <v>16.61</v>
      </c>
      <c r="BQ11">
        <v>16.829999999999998</v>
      </c>
      <c r="BR11">
        <v>15.67</v>
      </c>
      <c r="BS11">
        <v>21.38</v>
      </c>
      <c r="BT11">
        <v>17.38</v>
      </c>
      <c r="BU11">
        <v>18.28</v>
      </c>
      <c r="BV11">
        <v>16.64</v>
      </c>
      <c r="BW11">
        <v>28.94</v>
      </c>
      <c r="BX11">
        <v>35.049999999999997</v>
      </c>
      <c r="BY11">
        <v>34.75</v>
      </c>
      <c r="BZ11">
        <v>20.190000000000001</v>
      </c>
      <c r="CA11">
        <v>23.4</v>
      </c>
      <c r="CB11">
        <v>22.92</v>
      </c>
      <c r="CC11">
        <v>0.49</v>
      </c>
      <c r="CD11">
        <v>-8.36</v>
      </c>
      <c r="CE11" t="s">
        <v>1500</v>
      </c>
      <c r="CF11" t="s">
        <v>717</v>
      </c>
      <c r="CG11" s="23">
        <v>0.74070733173076919</v>
      </c>
      <c r="CH11" s="24">
        <v>2</v>
      </c>
      <c r="CI11" s="23">
        <v>-1</v>
      </c>
      <c r="CJ11" s="23">
        <v>3.7064641714096069E-2</v>
      </c>
      <c r="CK11" s="23">
        <v>-4.19343002140522E-2</v>
      </c>
      <c r="CL11" s="23">
        <v>5.0214747898280621E-3</v>
      </c>
      <c r="CM11" s="23">
        <v>0.23828557133674622</v>
      </c>
      <c r="CN11" s="24">
        <v>-1</v>
      </c>
      <c r="CO11" s="24">
        <v>6.2754631042480469E-2</v>
      </c>
      <c r="CP11" s="24">
        <v>0.11545460671186447</v>
      </c>
      <c r="CQ11" s="24">
        <v>0.13519091904163361</v>
      </c>
      <c r="CR11" s="24">
        <v>0.30945944786071777</v>
      </c>
      <c r="CS11" t="e">
        <v>#DIV/0!</v>
      </c>
      <c r="CT11" t="e">
        <v>#DIV/0!</v>
      </c>
      <c r="CU11" t="e">
        <v>#VALUE!</v>
      </c>
      <c r="CV11" s="23">
        <v>-0.15231252247467636</v>
      </c>
      <c r="CW11" s="24">
        <v>-7.5428079068660739E-2</v>
      </c>
      <c r="CX11">
        <v>0.06</v>
      </c>
      <c r="CY11" t="e">
        <v>#DIV/0!</v>
      </c>
      <c r="CZ11" t="s">
        <v>1501</v>
      </c>
      <c r="DA11">
        <v>-0.15231252247467636</v>
      </c>
      <c r="DB11" t="e">
        <v>#DIV/0!</v>
      </c>
      <c r="DC11" t="s">
        <v>1501</v>
      </c>
      <c r="DD11">
        <v>-0.14469689635094254</v>
      </c>
      <c r="DE11" t="e">
        <v>#DIV/0!</v>
      </c>
      <c r="DF11" t="s">
        <v>1501</v>
      </c>
      <c r="DG11">
        <v>-0.1340350197777152</v>
      </c>
      <c r="DH11" t="e">
        <v>#DIV/0!</v>
      </c>
      <c r="DI11" t="s">
        <v>1501</v>
      </c>
      <c r="DJ11">
        <v>-0.1218500179797411</v>
      </c>
      <c r="DK11" t="e">
        <v>#DIV/0!</v>
      </c>
      <c r="DL11" t="s">
        <v>1501</v>
      </c>
      <c r="DM11">
        <v>-0.10661876573227344</v>
      </c>
      <c r="DN11">
        <v>0</v>
      </c>
      <c r="DO11">
        <v>-0.15231252247467636</v>
      </c>
      <c r="DP11">
        <v>14285822000</v>
      </c>
      <c r="DQ11">
        <v>1795056900</v>
      </c>
      <c r="DR11">
        <v>2878</v>
      </c>
      <c r="DS11">
        <v>0.8930198542054455</v>
      </c>
      <c r="DT11">
        <v>2.0754280790686606</v>
      </c>
      <c r="DU11" s="25" t="e">
        <v>#VALUE!</v>
      </c>
      <c r="DV11" t="e">
        <v>#VALUE!</v>
      </c>
      <c r="DW11" t="e">
        <v>#VALUE!</v>
      </c>
      <c r="DX11">
        <v>-2.0836000000000001</v>
      </c>
      <c r="DY11">
        <v>0.352517049180328</v>
      </c>
      <c r="DZ11">
        <v>-2.0085704253114756</v>
      </c>
      <c r="EA11">
        <v>2155</v>
      </c>
      <c r="EB11">
        <v>-2.0047000844593739</v>
      </c>
      <c r="EC11">
        <v>2</v>
      </c>
      <c r="ED11">
        <v>4.4606165775951868E-2</v>
      </c>
      <c r="EE11">
        <v>0.43510973182118673</v>
      </c>
      <c r="EF11" s="22">
        <v>-1.06081</v>
      </c>
      <c r="EG11">
        <v>-1.0618099999999999</v>
      </c>
      <c r="EH11">
        <v>25.102517049180328</v>
      </c>
      <c r="EI11" t="s">
        <v>1502</v>
      </c>
      <c r="EJ11">
        <v>0</v>
      </c>
      <c r="EK11">
        <v>0</v>
      </c>
    </row>
    <row r="12" spans="1:141" x14ac:dyDescent="0.25">
      <c r="B12" s="3"/>
      <c r="C12" s="3"/>
      <c r="D12" s="3"/>
      <c r="E12" t="s">
        <v>1312</v>
      </c>
      <c r="F12" t="s">
        <v>1313</v>
      </c>
      <c r="G12">
        <v>3.91</v>
      </c>
      <c r="H12">
        <v>-0.76</v>
      </c>
      <c r="I12" t="s">
        <v>1503</v>
      </c>
      <c r="J12">
        <v>9290089400</v>
      </c>
      <c r="K12">
        <v>23.74</v>
      </c>
      <c r="L12">
        <v>1.53</v>
      </c>
      <c r="M12" t="s">
        <v>8</v>
      </c>
      <c r="N12" t="s">
        <v>1504</v>
      </c>
      <c r="O12" t="s">
        <v>1505</v>
      </c>
      <c r="P12" t="s">
        <v>1506</v>
      </c>
      <c r="Q12">
        <v>7.36</v>
      </c>
      <c r="R12" t="s">
        <v>1507</v>
      </c>
      <c r="S12">
        <v>92598265</v>
      </c>
      <c r="T12" s="4">
        <v>-0.30409999999999998</v>
      </c>
      <c r="U12" t="s">
        <v>1508</v>
      </c>
      <c r="V12">
        <v>2375586000</v>
      </c>
      <c r="W12">
        <v>2375982000</v>
      </c>
      <c r="X12">
        <v>3.43</v>
      </c>
      <c r="Y12">
        <v>0.2</v>
      </c>
      <c r="Z12">
        <v>2.29</v>
      </c>
      <c r="AA12" t="s">
        <v>1509</v>
      </c>
      <c r="AB12" t="s">
        <v>1510</v>
      </c>
      <c r="AC12" t="s">
        <v>1511</v>
      </c>
      <c r="AD12" t="s">
        <v>1512</v>
      </c>
      <c r="AE12" t="s">
        <v>7</v>
      </c>
      <c r="AF12">
        <v>134576910</v>
      </c>
      <c r="AG12" t="s">
        <v>1513</v>
      </c>
      <c r="AH12" t="s">
        <v>1514</v>
      </c>
      <c r="AI12" t="s">
        <v>1515</v>
      </c>
      <c r="AJ12" t="s">
        <v>1516</v>
      </c>
      <c r="AK12" t="s">
        <v>1517</v>
      </c>
      <c r="AL12" t="s">
        <v>1518</v>
      </c>
      <c r="AM12" t="s">
        <v>1519</v>
      </c>
      <c r="AN12" t="s">
        <v>7</v>
      </c>
      <c r="AO12" t="s">
        <v>1520</v>
      </c>
      <c r="AP12" t="s">
        <v>1521</v>
      </c>
      <c r="AQ12" t="s">
        <v>969</v>
      </c>
      <c r="AR12" t="s">
        <v>1522</v>
      </c>
      <c r="AS12" t="s">
        <v>7</v>
      </c>
      <c r="AT12" t="s">
        <v>1523</v>
      </c>
      <c r="AU12" t="s">
        <v>1524</v>
      </c>
      <c r="AV12" t="s">
        <v>1525</v>
      </c>
      <c r="AW12" t="s">
        <v>1526</v>
      </c>
      <c r="AX12" t="s">
        <v>1527</v>
      </c>
      <c r="AY12" t="s">
        <v>1528</v>
      </c>
      <c r="AZ12" t="s">
        <v>1529</v>
      </c>
      <c r="BA12" t="s">
        <v>1530</v>
      </c>
      <c r="BB12" t="s">
        <v>1531</v>
      </c>
      <c r="BC12" t="s">
        <v>1532</v>
      </c>
      <c r="BD12" t="s">
        <v>1533</v>
      </c>
      <c r="BE12" t="s">
        <v>1534</v>
      </c>
      <c r="BF12" t="s">
        <v>1533</v>
      </c>
      <c r="BG12" t="s">
        <v>766</v>
      </c>
      <c r="BH12" t="s">
        <v>1535</v>
      </c>
      <c r="BI12" t="s">
        <v>1536</v>
      </c>
      <c r="BJ12" t="s">
        <v>1537</v>
      </c>
      <c r="BK12" t="s">
        <v>1528</v>
      </c>
      <c r="BL12" t="s">
        <v>1508</v>
      </c>
      <c r="BM12" t="s">
        <v>42</v>
      </c>
      <c r="BN12" t="s">
        <v>1533</v>
      </c>
      <c r="BO12">
        <v>2.2000000000000002</v>
      </c>
      <c r="BP12">
        <v>0.48</v>
      </c>
      <c r="BQ12">
        <v>-1.51</v>
      </c>
      <c r="BR12">
        <v>0.38</v>
      </c>
      <c r="BS12">
        <v>7.51</v>
      </c>
      <c r="BT12">
        <v>2.36</v>
      </c>
      <c r="BU12">
        <v>-9.25</v>
      </c>
      <c r="BV12">
        <v>2.54</v>
      </c>
      <c r="BW12">
        <v>12.07</v>
      </c>
      <c r="BX12">
        <v>9.98</v>
      </c>
      <c r="BY12">
        <v>12.06</v>
      </c>
      <c r="BZ12">
        <v>2.71</v>
      </c>
      <c r="CA12">
        <v>0.13</v>
      </c>
      <c r="CB12">
        <v>-3.94</v>
      </c>
      <c r="CC12">
        <v>-0.51</v>
      </c>
      <c r="CD12">
        <v>-6.68</v>
      </c>
      <c r="CE12" t="s">
        <v>1538</v>
      </c>
      <c r="CF12" t="s">
        <v>80</v>
      </c>
      <c r="CG12" s="23">
        <v>7.3506464050805173E-2</v>
      </c>
      <c r="CH12" s="24">
        <v>-0.30377244360902256</v>
      </c>
      <c r="CI12" s="23">
        <v>4.3844088912010193E-2</v>
      </c>
      <c r="CJ12" s="23">
        <v>1.1711831903085113E-3</v>
      </c>
      <c r="CK12" s="23">
        <v>-0.17662450671195984</v>
      </c>
      <c r="CL12" s="23">
        <v>1.7618466168642044E-2</v>
      </c>
      <c r="CM12" s="23">
        <v>0.28965765237808228</v>
      </c>
      <c r="CN12" s="24">
        <v>2.34883713722229</v>
      </c>
      <c r="CO12" s="24">
        <v>1.2461831569671631</v>
      </c>
      <c r="CP12" s="24">
        <v>-5.0620155334472656</v>
      </c>
      <c r="CQ12" s="24">
        <v>-0.38277512788772583</v>
      </c>
      <c r="CR12" s="24">
        <v>1.2299230098724365</v>
      </c>
      <c r="CS12">
        <v>0.49581519987191119</v>
      </c>
      <c r="CT12">
        <v>19230460.648148149</v>
      </c>
      <c r="CU12">
        <v>1.5709400000000002</v>
      </c>
      <c r="CV12" s="23">
        <v>3.513337678741664E-2</v>
      </c>
      <c r="CW12" s="24">
        <v>-0.12396947145462037</v>
      </c>
      <c r="CX12">
        <v>0.06</v>
      </c>
      <c r="CY12">
        <v>45.521810371219651</v>
      </c>
      <c r="CZ12">
        <v>421865678.08694714</v>
      </c>
      <c r="DA12">
        <v>3.513337678741664E-2</v>
      </c>
      <c r="DB12">
        <v>15.587965885008414</v>
      </c>
      <c r="DC12">
        <v>1231981744.2293327</v>
      </c>
      <c r="DD12">
        <v>3.3376707948045807E-2</v>
      </c>
      <c r="DE12">
        <v>8.1574738526012531</v>
      </c>
      <c r="DF12">
        <v>2354171125.4000778</v>
      </c>
      <c r="DG12">
        <v>3.0917371572926643E-2</v>
      </c>
      <c r="DH12">
        <v>5.2385551996388386</v>
      </c>
      <c r="DI12">
        <v>3665913342.1604466</v>
      </c>
      <c r="DJ12">
        <v>2.8106701429933312E-2</v>
      </c>
      <c r="DK12">
        <v>3.1152939371842261</v>
      </c>
      <c r="DL12">
        <v>6164455036.0977211</v>
      </c>
      <c r="DM12">
        <v>2.4593363751191647E-2</v>
      </c>
      <c r="DN12">
        <v>432000000</v>
      </c>
      <c r="DO12">
        <v>3.513337678741664E-2</v>
      </c>
      <c r="DP12">
        <v>19204089400</v>
      </c>
      <c r="DQ12">
        <v>-3811203100.0000019</v>
      </c>
      <c r="DR12">
        <v>3207</v>
      </c>
      <c r="DS12">
        <v>3.8373087263388533E-2</v>
      </c>
      <c r="DT12">
        <v>-0.17980297215440219</v>
      </c>
      <c r="DU12" s="25">
        <v>0</v>
      </c>
      <c r="DV12">
        <v>-0.22</v>
      </c>
      <c r="DW12">
        <v>-0.22</v>
      </c>
      <c r="DX12">
        <v>-2.0668000000000002</v>
      </c>
      <c r="DY12">
        <v>0.34554879120879023</v>
      </c>
      <c r="DZ12">
        <v>-2.0057146592527473</v>
      </c>
      <c r="EA12">
        <v>3413</v>
      </c>
      <c r="EB12">
        <v>-2.0016274563965806</v>
      </c>
      <c r="EC12">
        <v>2</v>
      </c>
      <c r="ED12">
        <v>1.6382573605355596E-2</v>
      </c>
      <c r="EE12">
        <v>0.19149976725412904</v>
      </c>
      <c r="EF12" s="22">
        <v>1.1084099999999999</v>
      </c>
      <c r="EG12">
        <v>1.1160099999999999</v>
      </c>
      <c r="EH12">
        <v>26.08554879120879</v>
      </c>
      <c r="EI12" t="s">
        <v>1266</v>
      </c>
      <c r="EJ12">
        <v>0</v>
      </c>
      <c r="EK12">
        <v>0</v>
      </c>
    </row>
    <row r="13" spans="1:141" ht="140.4" x14ac:dyDescent="0.25">
      <c r="B13" s="3" t="s">
        <v>1539</v>
      </c>
      <c r="C13" s="30"/>
      <c r="D13" s="3" t="s">
        <v>1540</v>
      </c>
      <c r="E13" t="s">
        <v>474</v>
      </c>
      <c r="F13" t="s">
        <v>475</v>
      </c>
      <c r="G13">
        <v>15.79</v>
      </c>
      <c r="H13">
        <v>1.61</v>
      </c>
      <c r="I13" t="s">
        <v>611</v>
      </c>
      <c r="J13">
        <v>115793754000</v>
      </c>
      <c r="K13">
        <v>16.329999999999998</v>
      </c>
      <c r="L13">
        <v>3.57</v>
      </c>
      <c r="M13" t="s">
        <v>476</v>
      </c>
      <c r="N13" t="s">
        <v>477</v>
      </c>
      <c r="O13" t="s">
        <v>478</v>
      </c>
      <c r="P13" t="s">
        <v>479</v>
      </c>
      <c r="Q13">
        <v>30.83</v>
      </c>
      <c r="R13" t="s">
        <v>480</v>
      </c>
      <c r="S13">
        <v>1746282500</v>
      </c>
      <c r="T13" s="4">
        <v>1.0699999999999999E-2</v>
      </c>
      <c r="U13" t="s">
        <v>481</v>
      </c>
      <c r="V13">
        <v>1994270000</v>
      </c>
      <c r="W13">
        <v>7333360000</v>
      </c>
      <c r="X13">
        <v>1.44</v>
      </c>
      <c r="Y13">
        <v>0.14000000000000001</v>
      </c>
      <c r="Z13">
        <v>26.81</v>
      </c>
      <c r="AA13" t="s">
        <v>482</v>
      </c>
      <c r="AB13" t="s">
        <v>483</v>
      </c>
      <c r="AC13" t="s">
        <v>484</v>
      </c>
      <c r="AD13" t="s">
        <v>72</v>
      </c>
      <c r="AE13" t="s">
        <v>42</v>
      </c>
      <c r="AF13">
        <v>58483368</v>
      </c>
      <c r="AG13" t="s">
        <v>22</v>
      </c>
      <c r="AH13" t="s">
        <v>612</v>
      </c>
      <c r="AI13" t="s">
        <v>613</v>
      </c>
      <c r="AJ13" t="s">
        <v>193</v>
      </c>
      <c r="AK13" t="s">
        <v>614</v>
      </c>
      <c r="AL13" t="s">
        <v>7</v>
      </c>
      <c r="AM13" t="s">
        <v>615</v>
      </c>
      <c r="AN13" t="s">
        <v>7</v>
      </c>
      <c r="AO13" t="s">
        <v>616</v>
      </c>
      <c r="AP13" t="s">
        <v>37</v>
      </c>
      <c r="AQ13" t="s">
        <v>74</v>
      </c>
      <c r="AR13" t="s">
        <v>49</v>
      </c>
      <c r="AS13" t="s">
        <v>7</v>
      </c>
      <c r="AT13" t="s">
        <v>617</v>
      </c>
      <c r="AU13" t="s">
        <v>618</v>
      </c>
      <c r="AV13" t="s">
        <v>422</v>
      </c>
      <c r="AW13" t="s">
        <v>619</v>
      </c>
      <c r="AX13" t="s">
        <v>57</v>
      </c>
      <c r="AY13" t="s">
        <v>620</v>
      </c>
      <c r="AZ13" t="s">
        <v>621</v>
      </c>
      <c r="BA13" t="s">
        <v>622</v>
      </c>
      <c r="BB13" t="s">
        <v>623</v>
      </c>
      <c r="BC13" t="s">
        <v>624</v>
      </c>
      <c r="BD13" t="s">
        <v>625</v>
      </c>
      <c r="BE13" t="s">
        <v>626</v>
      </c>
      <c r="BF13" t="s">
        <v>627</v>
      </c>
      <c r="BG13" t="s">
        <v>438</v>
      </c>
      <c r="BH13" t="s">
        <v>245</v>
      </c>
      <c r="BI13" t="s">
        <v>437</v>
      </c>
      <c r="BJ13" t="s">
        <v>242</v>
      </c>
      <c r="BK13" t="s">
        <v>620</v>
      </c>
      <c r="BL13" t="s">
        <v>481</v>
      </c>
      <c r="BM13" t="s">
        <v>348</v>
      </c>
      <c r="BN13" t="s">
        <v>625</v>
      </c>
      <c r="BO13">
        <v>19.55</v>
      </c>
      <c r="BP13">
        <v>14.94</v>
      </c>
      <c r="BQ13">
        <v>14.18</v>
      </c>
      <c r="BR13">
        <v>15.72</v>
      </c>
      <c r="BS13">
        <v>25.33</v>
      </c>
      <c r="BT13">
        <v>19.04</v>
      </c>
      <c r="BU13">
        <v>19.3</v>
      </c>
      <c r="BV13">
        <v>30.31</v>
      </c>
      <c r="BW13">
        <v>42.21</v>
      </c>
      <c r="BX13">
        <v>45.1</v>
      </c>
      <c r="BY13">
        <v>43.95</v>
      </c>
      <c r="BZ13">
        <v>30.35</v>
      </c>
      <c r="CA13">
        <v>29.02</v>
      </c>
      <c r="CB13">
        <v>28.02</v>
      </c>
      <c r="CC13">
        <v>1.48</v>
      </c>
      <c r="CD13">
        <v>12.38</v>
      </c>
      <c r="CE13" t="s">
        <v>45</v>
      </c>
      <c r="CF13" t="s">
        <v>241</v>
      </c>
      <c r="CG13" s="23">
        <v>0.30840646716208076</v>
      </c>
      <c r="CH13" s="24">
        <v>1.0580150462962963E-2</v>
      </c>
      <c r="CI13" s="23">
        <v>0.46283268928527832</v>
      </c>
      <c r="CJ13" s="23">
        <v>0.17393872141838074</v>
      </c>
      <c r="CK13" s="23">
        <v>3.9534151554107666E-2</v>
      </c>
      <c r="CL13" s="23">
        <v>6.1051994562149048E-2</v>
      </c>
      <c r="CM13" s="23">
        <v>0.53245294094085693</v>
      </c>
      <c r="CN13" s="24">
        <v>0.52930998802185059</v>
      </c>
      <c r="CO13" s="24">
        <v>0.21593895554542542</v>
      </c>
      <c r="CP13" s="24">
        <v>2.8679687529802322E-2</v>
      </c>
      <c r="CQ13" s="24">
        <v>0.26445430517196655</v>
      </c>
      <c r="CR13" s="24">
        <v>0.70139700174331665</v>
      </c>
      <c r="CS13">
        <v>4.9696890128755369</v>
      </c>
      <c r="CT13">
        <v>26676850.070721358</v>
      </c>
      <c r="CU13">
        <v>5.4048959999999999</v>
      </c>
      <c r="CV13" s="23">
        <v>0.25396209955215454</v>
      </c>
      <c r="CW13" s="24">
        <v>0.34795598760247232</v>
      </c>
      <c r="CX13">
        <v>0.06</v>
      </c>
      <c r="CY13">
        <v>11.687394786414803</v>
      </c>
      <c r="CZ13">
        <v>8363690607.3903131</v>
      </c>
      <c r="DA13">
        <v>0.25396209955215454</v>
      </c>
      <c r="DB13">
        <v>3.3331765440096115</v>
      </c>
      <c r="DC13">
        <v>29326305615.487415</v>
      </c>
      <c r="DD13">
        <v>0.24126399457454681</v>
      </c>
      <c r="DE13">
        <v>1.3538469370228312</v>
      </c>
      <c r="DF13">
        <v>72201481073.5961</v>
      </c>
      <c r="DG13">
        <v>0.22348664760589601</v>
      </c>
      <c r="DH13">
        <v>0.64521671918724377</v>
      </c>
      <c r="DI13">
        <v>151499102693.9473</v>
      </c>
      <c r="DJ13">
        <v>0.20316967964172364</v>
      </c>
      <c r="DK13">
        <v>0.19136585507538781</v>
      </c>
      <c r="DL13">
        <v>510800393108.22656</v>
      </c>
      <c r="DM13">
        <v>0.17777346968650817</v>
      </c>
      <c r="DN13">
        <v>7070000000</v>
      </c>
      <c r="DO13">
        <v>0.25396209955215454</v>
      </c>
      <c r="DP13">
        <v>97749754000</v>
      </c>
      <c r="DQ13">
        <v>-3390282900</v>
      </c>
      <c r="DR13">
        <v>3415</v>
      </c>
      <c r="DS13">
        <v>5.4444367609926214E-2</v>
      </c>
      <c r="DT13">
        <v>-0.33737583713950936</v>
      </c>
      <c r="DU13" s="25">
        <v>0</v>
      </c>
      <c r="DV13">
        <v>0</v>
      </c>
      <c r="DW13">
        <v>0</v>
      </c>
      <c r="DX13">
        <v>2.1238000000000001</v>
      </c>
      <c r="DY13">
        <v>0.34374999999999911</v>
      </c>
      <c r="DZ13">
        <v>2.0165582500000001</v>
      </c>
      <c r="EA13">
        <v>864</v>
      </c>
      <c r="EB13">
        <v>2.0135266060076287</v>
      </c>
      <c r="EC13">
        <v>2</v>
      </c>
      <c r="ED13">
        <v>1.4590856033250789E-2</v>
      </c>
      <c r="EE13">
        <v>0.10909051239813673</v>
      </c>
      <c r="EF13" s="22">
        <v>-1.0073099999999999</v>
      </c>
      <c r="EG13">
        <v>-1.0087999999999999</v>
      </c>
      <c r="EH13">
        <v>21.133749999999999</v>
      </c>
      <c r="EI13" t="s">
        <v>380</v>
      </c>
      <c r="EJ13">
        <v>1</v>
      </c>
      <c r="EK13">
        <v>1</v>
      </c>
    </row>
    <row r="14" spans="1:141" ht="216" x14ac:dyDescent="0.25">
      <c r="B14" s="3"/>
      <c r="C14" s="3"/>
      <c r="D14" s="3" t="s">
        <v>1541</v>
      </c>
      <c r="E14" t="s">
        <v>1314</v>
      </c>
      <c r="F14" t="s">
        <v>1315</v>
      </c>
      <c r="G14">
        <v>60.15</v>
      </c>
      <c r="H14">
        <v>-3.14</v>
      </c>
      <c r="I14" t="s">
        <v>1542</v>
      </c>
      <c r="J14">
        <v>456033590000</v>
      </c>
      <c r="K14">
        <v>49.31</v>
      </c>
      <c r="L14">
        <v>9.1</v>
      </c>
      <c r="M14" t="s">
        <v>256</v>
      </c>
      <c r="N14" t="s">
        <v>1543</v>
      </c>
      <c r="O14" t="s">
        <v>1544</v>
      </c>
      <c r="P14" t="s">
        <v>1545</v>
      </c>
      <c r="Q14">
        <v>17.29</v>
      </c>
      <c r="R14" t="s">
        <v>1546</v>
      </c>
      <c r="S14">
        <v>2663883500</v>
      </c>
      <c r="T14" s="4">
        <v>6.4600000000000005E-2</v>
      </c>
      <c r="U14" t="s">
        <v>1547</v>
      </c>
      <c r="V14">
        <v>7577966000</v>
      </c>
      <c r="W14">
        <v>7581605800</v>
      </c>
      <c r="X14">
        <v>2.2599999999999998</v>
      </c>
      <c r="Y14">
        <v>0.18</v>
      </c>
      <c r="Z14">
        <v>14.27</v>
      </c>
      <c r="AA14" t="s">
        <v>1548</v>
      </c>
      <c r="AB14" t="s">
        <v>1549</v>
      </c>
      <c r="AC14" t="s">
        <v>1017</v>
      </c>
      <c r="AD14" t="s">
        <v>1550</v>
      </c>
      <c r="AE14" t="s">
        <v>7</v>
      </c>
      <c r="AF14">
        <v>246099480</v>
      </c>
      <c r="AG14" t="s">
        <v>1551</v>
      </c>
      <c r="AH14" t="s">
        <v>1552</v>
      </c>
      <c r="AI14" t="s">
        <v>1553</v>
      </c>
      <c r="AJ14" t="s">
        <v>1554</v>
      </c>
      <c r="AK14" t="s">
        <v>1555</v>
      </c>
      <c r="AL14" t="s">
        <v>1556</v>
      </c>
      <c r="AM14" t="s">
        <v>1557</v>
      </c>
      <c r="AN14" t="s">
        <v>7</v>
      </c>
      <c r="AO14" t="s">
        <v>1558</v>
      </c>
      <c r="AP14" t="s">
        <v>1559</v>
      </c>
      <c r="AQ14" t="s">
        <v>1560</v>
      </c>
      <c r="AR14" t="s">
        <v>1561</v>
      </c>
      <c r="AS14" t="s">
        <v>7</v>
      </c>
      <c r="AT14" t="s">
        <v>1562</v>
      </c>
      <c r="AU14" t="s">
        <v>1563</v>
      </c>
      <c r="AV14" t="s">
        <v>1564</v>
      </c>
      <c r="AW14" t="s">
        <v>1565</v>
      </c>
      <c r="AX14" t="s">
        <v>1566</v>
      </c>
      <c r="AY14" t="s">
        <v>1567</v>
      </c>
      <c r="AZ14" t="s">
        <v>1568</v>
      </c>
      <c r="BA14" t="s">
        <v>1569</v>
      </c>
      <c r="BB14" t="s">
        <v>1570</v>
      </c>
      <c r="BC14" t="s">
        <v>1571</v>
      </c>
      <c r="BD14" t="s">
        <v>1572</v>
      </c>
      <c r="BE14" t="s">
        <v>1573</v>
      </c>
      <c r="BF14" t="s">
        <v>1262</v>
      </c>
      <c r="BG14" t="s">
        <v>1574</v>
      </c>
      <c r="BH14" t="s">
        <v>1174</v>
      </c>
      <c r="BI14" t="s">
        <v>1575</v>
      </c>
      <c r="BJ14" t="s">
        <v>1576</v>
      </c>
      <c r="BK14" t="s">
        <v>1567</v>
      </c>
      <c r="BL14" t="s">
        <v>1547</v>
      </c>
      <c r="BM14" t="s">
        <v>1577</v>
      </c>
      <c r="BN14" t="s">
        <v>1572</v>
      </c>
      <c r="BO14">
        <v>13.55</v>
      </c>
      <c r="BP14">
        <v>16.53</v>
      </c>
      <c r="BQ14">
        <v>14.94</v>
      </c>
      <c r="BR14">
        <v>9.4700000000000006</v>
      </c>
      <c r="BS14">
        <v>21.45</v>
      </c>
      <c r="BT14">
        <v>27.23</v>
      </c>
      <c r="BU14">
        <v>23.93</v>
      </c>
      <c r="BV14">
        <v>16.71</v>
      </c>
      <c r="BW14">
        <v>20.190000000000001</v>
      </c>
      <c r="BX14">
        <v>24.62</v>
      </c>
      <c r="BY14">
        <v>28.9</v>
      </c>
      <c r="BZ14">
        <v>11.21</v>
      </c>
      <c r="CA14">
        <v>15.94</v>
      </c>
      <c r="CB14">
        <v>16.89</v>
      </c>
      <c r="CC14">
        <v>2.0699999999999998</v>
      </c>
      <c r="CD14">
        <v>-0.79</v>
      </c>
      <c r="CE14" t="s">
        <v>1578</v>
      </c>
      <c r="CF14" t="s">
        <v>1579</v>
      </c>
      <c r="CG14" s="23">
        <v>0.17290298978175855</v>
      </c>
      <c r="CH14" s="24">
        <v>6.4701638689048754E-2</v>
      </c>
      <c r="CI14" s="23">
        <v>0.48273277282714844</v>
      </c>
      <c r="CJ14" s="23">
        <v>0.65920913219451904</v>
      </c>
      <c r="CK14" s="23">
        <v>0.49613425135612488</v>
      </c>
      <c r="CL14" s="23">
        <v>0.34384545683860779</v>
      </c>
      <c r="CM14" s="23">
        <v>0.41895765066146851</v>
      </c>
      <c r="CN14" s="24">
        <v>6.2441550195217133E-2</v>
      </c>
      <c r="CO14" s="24">
        <v>0.6196969747543335</v>
      </c>
      <c r="CP14" s="24">
        <v>1.0641125440597534</v>
      </c>
      <c r="CQ14" s="24">
        <v>-0.28246840834617615</v>
      </c>
      <c r="CR14" s="24">
        <v>1.3044601678848267</v>
      </c>
      <c r="CS14">
        <v>5.6347747491721449</v>
      </c>
      <c r="CT14">
        <v>29132643.627558883</v>
      </c>
      <c r="CU14">
        <v>5.8050359999999985</v>
      </c>
      <c r="CV14" s="23">
        <v>0.48017585277557373</v>
      </c>
      <c r="CW14" s="24">
        <v>0.55364856570959087</v>
      </c>
      <c r="CX14">
        <v>0.06</v>
      </c>
      <c r="CY14">
        <v>36.964660758694876</v>
      </c>
      <c r="CZ14">
        <v>12687620564.451757</v>
      </c>
      <c r="DA14">
        <v>0.48017585277557373</v>
      </c>
      <c r="DB14">
        <v>8.818330568228685</v>
      </c>
      <c r="DC14">
        <v>53183942966.452606</v>
      </c>
      <c r="DD14">
        <v>0.45616706013679503</v>
      </c>
      <c r="DE14">
        <v>2.7167723601330245</v>
      </c>
      <c r="DF14">
        <v>172628961072.40878</v>
      </c>
      <c r="DG14">
        <v>0.4225547504425049</v>
      </c>
      <c r="DH14">
        <v>0.90122464790723467</v>
      </c>
      <c r="DI14">
        <v>520395875866.3186</v>
      </c>
      <c r="DJ14">
        <v>0.384140682220459</v>
      </c>
      <c r="DK14">
        <v>0.1050740005008762</v>
      </c>
      <c r="DL14">
        <v>4463459921239.8799</v>
      </c>
      <c r="DM14">
        <v>0.3361230969429016</v>
      </c>
      <c r="DN14">
        <v>9086000000</v>
      </c>
      <c r="DO14">
        <v>0.48017585277557373</v>
      </c>
      <c r="DP14">
        <v>468993590000</v>
      </c>
      <c r="DQ14">
        <v>25014097000</v>
      </c>
      <c r="DR14">
        <v>3450</v>
      </c>
      <c r="DS14">
        <v>-0.30727286299381518</v>
      </c>
      <c r="DT14">
        <v>-0.4889469270205421</v>
      </c>
      <c r="DU14" s="25">
        <v>1.0366666666666666</v>
      </c>
      <c r="DV14">
        <v>0.65</v>
      </c>
      <c r="DW14">
        <v>1.6866666666666665</v>
      </c>
      <c r="DX14">
        <v>-7.9000000000000008E-3</v>
      </c>
      <c r="DY14">
        <v>0.38414406671942514</v>
      </c>
      <c r="DZ14">
        <v>-1.2177381270834702E-3</v>
      </c>
      <c r="EA14">
        <v>348</v>
      </c>
      <c r="EB14">
        <v>-1.1285978518994046E-3</v>
      </c>
      <c r="EC14">
        <v>0</v>
      </c>
      <c r="ED14">
        <v>5.2495475298913588E-2</v>
      </c>
      <c r="EE14">
        <v>0.34056109854722333</v>
      </c>
      <c r="EF14" s="22">
        <v>2.0674100000000002</v>
      </c>
      <c r="EG14">
        <v>2.0988099999999998</v>
      </c>
      <c r="EH14">
        <v>23.154144066719425</v>
      </c>
      <c r="EI14" t="s">
        <v>425</v>
      </c>
      <c r="EJ14">
        <v>0</v>
      </c>
      <c r="EK14">
        <v>1</v>
      </c>
    </row>
    <row r="15" spans="1:141" x14ac:dyDescent="0.25">
      <c r="B15" s="30"/>
      <c r="C15" s="30"/>
      <c r="D15" s="30"/>
      <c r="E15" t="s">
        <v>1316</v>
      </c>
      <c r="F15" t="s">
        <v>1317</v>
      </c>
      <c r="G15">
        <v>5.85</v>
      </c>
      <c r="H15">
        <v>0</v>
      </c>
      <c r="I15" t="s">
        <v>1580</v>
      </c>
      <c r="J15">
        <v>12039512200</v>
      </c>
      <c r="K15">
        <v>8.02</v>
      </c>
      <c r="L15">
        <v>1.1100000000000001</v>
      </c>
      <c r="M15" t="s">
        <v>476</v>
      </c>
      <c r="N15" t="s">
        <v>1581</v>
      </c>
      <c r="O15" t="s">
        <v>1582</v>
      </c>
      <c r="P15" t="s">
        <v>1583</v>
      </c>
      <c r="Q15">
        <v>5.79</v>
      </c>
      <c r="R15" t="s">
        <v>1584</v>
      </c>
      <c r="S15">
        <v>370303990</v>
      </c>
      <c r="T15" s="4">
        <v>-0.25069999999999998</v>
      </c>
      <c r="U15" t="s">
        <v>1068</v>
      </c>
      <c r="V15">
        <v>2058036300</v>
      </c>
      <c r="W15">
        <v>2058036300</v>
      </c>
      <c r="X15">
        <v>1.66</v>
      </c>
      <c r="Y15">
        <v>0.13</v>
      </c>
      <c r="Z15">
        <v>16.690000000000001</v>
      </c>
      <c r="AA15" t="s">
        <v>563</v>
      </c>
      <c r="AB15" t="s">
        <v>1585</v>
      </c>
      <c r="AC15" t="s">
        <v>1586</v>
      </c>
      <c r="AD15" t="s">
        <v>69</v>
      </c>
      <c r="AE15" t="s">
        <v>1587</v>
      </c>
      <c r="AF15">
        <v>40810961</v>
      </c>
      <c r="AG15" t="s">
        <v>1588</v>
      </c>
      <c r="AH15" t="s">
        <v>1589</v>
      </c>
      <c r="AI15" t="s">
        <v>1590</v>
      </c>
      <c r="AJ15" t="s">
        <v>1591</v>
      </c>
      <c r="AK15" t="s">
        <v>1592</v>
      </c>
      <c r="AL15" t="s">
        <v>1593</v>
      </c>
      <c r="AM15" t="s">
        <v>1594</v>
      </c>
      <c r="AN15" t="s">
        <v>7</v>
      </c>
      <c r="AO15" t="s">
        <v>1595</v>
      </c>
      <c r="AP15" t="s">
        <v>933</v>
      </c>
      <c r="AQ15" t="s">
        <v>1596</v>
      </c>
      <c r="AR15" t="s">
        <v>1597</v>
      </c>
      <c r="AS15" t="s">
        <v>7</v>
      </c>
      <c r="AT15" t="s">
        <v>1598</v>
      </c>
      <c r="AU15" t="s">
        <v>1599</v>
      </c>
      <c r="AV15" t="s">
        <v>1109</v>
      </c>
      <c r="AW15" t="s">
        <v>1600</v>
      </c>
      <c r="AX15" t="s">
        <v>900</v>
      </c>
      <c r="AY15" t="s">
        <v>1601</v>
      </c>
      <c r="AZ15" t="s">
        <v>1602</v>
      </c>
      <c r="BA15" t="s">
        <v>1603</v>
      </c>
      <c r="BB15" t="s">
        <v>1604</v>
      </c>
      <c r="BC15" t="s">
        <v>1605</v>
      </c>
      <c r="BD15" t="s">
        <v>1606</v>
      </c>
      <c r="BE15" t="s">
        <v>1607</v>
      </c>
      <c r="BF15" t="s">
        <v>1608</v>
      </c>
      <c r="BG15" t="s">
        <v>1609</v>
      </c>
      <c r="BH15" t="s">
        <v>1610</v>
      </c>
      <c r="BI15" t="s">
        <v>1611</v>
      </c>
      <c r="BJ15" t="s">
        <v>1612</v>
      </c>
      <c r="BK15" t="s">
        <v>1601</v>
      </c>
      <c r="BL15" t="s">
        <v>1068</v>
      </c>
      <c r="BM15" t="s">
        <v>1613</v>
      </c>
      <c r="BN15" t="s">
        <v>1606</v>
      </c>
      <c r="BO15">
        <v>11.72</v>
      </c>
      <c r="BP15">
        <v>4.5</v>
      </c>
      <c r="BQ15">
        <v>4.58</v>
      </c>
      <c r="BR15">
        <v>8.51</v>
      </c>
      <c r="BS15">
        <v>18.489999999999998</v>
      </c>
      <c r="BT15">
        <v>7.54</v>
      </c>
      <c r="BU15">
        <v>7.07</v>
      </c>
      <c r="BV15">
        <v>11.94</v>
      </c>
      <c r="BW15">
        <v>37.26</v>
      </c>
      <c r="BX15">
        <v>24.21</v>
      </c>
      <c r="BY15">
        <v>25.52</v>
      </c>
      <c r="BZ15">
        <v>17.690000000000001</v>
      </c>
      <c r="CA15">
        <v>7.87</v>
      </c>
      <c r="CB15">
        <v>7.33</v>
      </c>
      <c r="CC15">
        <v>1.04</v>
      </c>
      <c r="CD15">
        <v>1.04</v>
      </c>
      <c r="CE15" t="s">
        <v>43</v>
      </c>
      <c r="CF15" t="s">
        <v>1614</v>
      </c>
      <c r="CG15" s="23">
        <v>5.7908352996696437E-2</v>
      </c>
      <c r="CH15" s="24">
        <v>-0.25039678137651833</v>
      </c>
      <c r="CI15" s="23">
        <v>0.435341477394104</v>
      </c>
      <c r="CJ15" s="23">
        <v>4.7534100711345673E-2</v>
      </c>
      <c r="CK15" s="23">
        <v>-8.6950130760669708E-2</v>
      </c>
      <c r="CL15" s="23">
        <v>4.4238224625587463E-2</v>
      </c>
      <c r="CM15" s="23">
        <v>0.32969966530799866</v>
      </c>
      <c r="CN15" s="24">
        <v>2.2071006298065186</v>
      </c>
      <c r="CO15" s="24">
        <v>0.15489749610424042</v>
      </c>
      <c r="CP15" s="24">
        <v>-0.37464386224746704</v>
      </c>
      <c r="CQ15" s="24">
        <v>-0.1501210629940033</v>
      </c>
      <c r="CR15" s="24">
        <v>1.3008356094360352</v>
      </c>
      <c r="CS15">
        <v>1.2990410228744065</v>
      </c>
      <c r="CT15">
        <v>22360422.509225089</v>
      </c>
      <c r="CU15">
        <v>3.601702</v>
      </c>
      <c r="CV15" s="23">
        <v>0.15397266745567323</v>
      </c>
      <c r="CW15" s="24">
        <v>0.62761376202106478</v>
      </c>
      <c r="CX15">
        <v>0.06</v>
      </c>
      <c r="CY15">
        <v>4.7100583135556295</v>
      </c>
      <c r="CZ15">
        <v>1770150525.7386084</v>
      </c>
      <c r="DA15">
        <v>0.15397266745567323</v>
      </c>
      <c r="DB15">
        <v>1.4586248396514285</v>
      </c>
      <c r="DC15">
        <v>5716008649.6212673</v>
      </c>
      <c r="DD15">
        <v>0.14627403408288955</v>
      </c>
      <c r="DE15">
        <v>0.66710172616003194</v>
      </c>
      <c r="DF15">
        <v>12498112166.479244</v>
      </c>
      <c r="DG15">
        <v>0.13549594736099244</v>
      </c>
      <c r="DH15">
        <v>0.36782663813210176</v>
      </c>
      <c r="DI15">
        <v>22666961377.075836</v>
      </c>
      <c r="DJ15">
        <v>0.12317813396453858</v>
      </c>
      <c r="DK15">
        <v>0.15627398658270319</v>
      </c>
      <c r="DL15">
        <v>53351887811.396103</v>
      </c>
      <c r="DM15">
        <v>0.10778086721897126</v>
      </c>
      <c r="DN15">
        <v>1626000000.0000002</v>
      </c>
      <c r="DO15">
        <v>0.15397266745567323</v>
      </c>
      <c r="DP15">
        <v>8337512200</v>
      </c>
      <c r="DQ15">
        <v>1205473200</v>
      </c>
      <c r="DR15">
        <v>3559</v>
      </c>
      <c r="DS15">
        <v>-9.6064314458976785E-2</v>
      </c>
      <c r="DT15">
        <v>-0.87801054339758311</v>
      </c>
      <c r="DU15" s="25">
        <v>0</v>
      </c>
      <c r="DV15">
        <v>-0.22</v>
      </c>
      <c r="DW15">
        <v>-0.22</v>
      </c>
      <c r="DX15">
        <v>1.04E-2</v>
      </c>
      <c r="DY15">
        <v>0.42552523874488246</v>
      </c>
      <c r="DZ15">
        <v>1.6174624829467937E-3</v>
      </c>
      <c r="EA15">
        <v>2220</v>
      </c>
      <c r="EB15">
        <v>8.5654561239331152E-4</v>
      </c>
      <c r="EC15">
        <v>0</v>
      </c>
      <c r="ED15">
        <v>5.5392608964185901E-2</v>
      </c>
      <c r="EE15">
        <v>0.3561647576381427</v>
      </c>
      <c r="EF15" s="22">
        <v>2.1000100000000002</v>
      </c>
      <c r="EG15">
        <v>2.1000100000000002</v>
      </c>
      <c r="EH15">
        <v>27.155525238744882</v>
      </c>
      <c r="EI15" t="s">
        <v>425</v>
      </c>
      <c r="EJ15">
        <v>0</v>
      </c>
      <c r="EK15">
        <v>0</v>
      </c>
    </row>
    <row r="16" spans="1:141" x14ac:dyDescent="0.25">
      <c r="B16" s="3"/>
      <c r="C16" s="3"/>
      <c r="D16" s="3"/>
      <c r="E16" t="s">
        <v>1318</v>
      </c>
      <c r="F16" t="s">
        <v>1319</v>
      </c>
      <c r="G16">
        <v>5.38</v>
      </c>
      <c r="H16">
        <v>3.86</v>
      </c>
      <c r="I16" t="s">
        <v>1615</v>
      </c>
      <c r="J16">
        <v>984652860000</v>
      </c>
      <c r="K16">
        <v>9.51</v>
      </c>
      <c r="L16">
        <v>0.755</v>
      </c>
      <c r="M16" t="s">
        <v>451</v>
      </c>
      <c r="N16" t="s">
        <v>1616</v>
      </c>
      <c r="O16" t="s">
        <v>1617</v>
      </c>
      <c r="P16" t="s">
        <v>1618</v>
      </c>
      <c r="Q16">
        <v>35.19</v>
      </c>
      <c r="R16" t="s">
        <v>1619</v>
      </c>
      <c r="S16">
        <v>39059000000</v>
      </c>
      <c r="T16" s="4">
        <v>0.40910000000000002</v>
      </c>
      <c r="U16" t="s">
        <v>1620</v>
      </c>
      <c r="V16">
        <v>161922080000</v>
      </c>
      <c r="W16">
        <v>183020980000</v>
      </c>
      <c r="X16">
        <v>1.78</v>
      </c>
      <c r="Y16">
        <v>1.05</v>
      </c>
      <c r="Z16">
        <v>4.3899999999999997</v>
      </c>
      <c r="AA16" t="s">
        <v>1621</v>
      </c>
      <c r="AB16" t="s">
        <v>1622</v>
      </c>
      <c r="AC16" t="s">
        <v>1623</v>
      </c>
      <c r="AD16" t="s">
        <v>1624</v>
      </c>
      <c r="AE16" t="s">
        <v>1625</v>
      </c>
      <c r="AF16">
        <v>4045000000</v>
      </c>
      <c r="AG16" t="s">
        <v>1626</v>
      </c>
      <c r="AH16" t="s">
        <v>1627</v>
      </c>
      <c r="AI16" t="s">
        <v>1628</v>
      </c>
      <c r="AJ16" t="s">
        <v>1629</v>
      </c>
      <c r="AK16" t="s">
        <v>1630</v>
      </c>
      <c r="AL16" t="s">
        <v>7</v>
      </c>
      <c r="AM16" t="s">
        <v>1631</v>
      </c>
      <c r="AN16" t="s">
        <v>7</v>
      </c>
      <c r="AO16" t="s">
        <v>1632</v>
      </c>
      <c r="AP16" t="s">
        <v>1633</v>
      </c>
      <c r="AQ16" t="s">
        <v>1634</v>
      </c>
      <c r="AR16" t="s">
        <v>1635</v>
      </c>
      <c r="AS16" t="s">
        <v>7</v>
      </c>
      <c r="AT16" t="s">
        <v>1636</v>
      </c>
      <c r="AU16" t="s">
        <v>1637</v>
      </c>
      <c r="AV16" t="s">
        <v>1638</v>
      </c>
      <c r="AW16" t="s">
        <v>1639</v>
      </c>
      <c r="AX16" t="s">
        <v>1640</v>
      </c>
      <c r="AY16" t="s">
        <v>1641</v>
      </c>
      <c r="AZ16" t="s">
        <v>1642</v>
      </c>
      <c r="BA16" t="s">
        <v>1643</v>
      </c>
      <c r="BB16" t="s">
        <v>1644</v>
      </c>
      <c r="BC16" t="s">
        <v>1645</v>
      </c>
      <c r="BD16" t="s">
        <v>1646</v>
      </c>
      <c r="BE16" t="s">
        <v>1647</v>
      </c>
      <c r="BF16" t="s">
        <v>1648</v>
      </c>
      <c r="BG16" t="s">
        <v>1649</v>
      </c>
      <c r="BH16" t="s">
        <v>1650</v>
      </c>
      <c r="BI16" t="s">
        <v>1619</v>
      </c>
      <c r="BJ16" t="s">
        <v>1651</v>
      </c>
      <c r="BK16" t="s">
        <v>1641</v>
      </c>
      <c r="BL16" t="s">
        <v>1620</v>
      </c>
      <c r="BM16" t="s">
        <v>1652</v>
      </c>
      <c r="BN16" t="s">
        <v>1646</v>
      </c>
      <c r="BO16">
        <v>4.16</v>
      </c>
      <c r="BP16">
        <v>1.06</v>
      </c>
      <c r="BQ16">
        <v>2.4300000000000002</v>
      </c>
      <c r="BR16">
        <v>2.91</v>
      </c>
      <c r="BS16">
        <v>6.05</v>
      </c>
      <c r="BT16">
        <v>1.6</v>
      </c>
      <c r="BU16">
        <v>3.7</v>
      </c>
      <c r="BV16">
        <v>4.4000000000000004</v>
      </c>
      <c r="BW16">
        <v>20.02</v>
      </c>
      <c r="BX16">
        <v>20.02</v>
      </c>
      <c r="BY16">
        <v>20.440000000000001</v>
      </c>
      <c r="BZ16">
        <v>1.73</v>
      </c>
      <c r="CA16">
        <v>1.73</v>
      </c>
      <c r="CB16">
        <v>2.66</v>
      </c>
      <c r="CC16">
        <v>1.89</v>
      </c>
      <c r="CD16">
        <v>5.91</v>
      </c>
      <c r="CE16" t="s">
        <v>1653</v>
      </c>
      <c r="CF16" t="s">
        <v>1654</v>
      </c>
    </row>
    <row r="17" spans="2:141" x14ac:dyDescent="0.25">
      <c r="B17" s="3"/>
      <c r="C17" s="3"/>
      <c r="D17" s="3"/>
      <c r="E17" t="s">
        <v>1320</v>
      </c>
      <c r="F17" t="s">
        <v>1321</v>
      </c>
      <c r="G17">
        <v>9.75</v>
      </c>
      <c r="H17">
        <v>5.18</v>
      </c>
      <c r="I17" t="s">
        <v>1655</v>
      </c>
      <c r="J17">
        <v>8336961600</v>
      </c>
      <c r="K17">
        <v>14.28</v>
      </c>
      <c r="L17">
        <v>0.96499999999999997</v>
      </c>
      <c r="M17" t="s">
        <v>331</v>
      </c>
      <c r="N17" t="s">
        <v>1656</v>
      </c>
      <c r="O17" t="s">
        <v>1657</v>
      </c>
      <c r="P17" t="s">
        <v>1658</v>
      </c>
      <c r="Q17">
        <v>58.73</v>
      </c>
      <c r="R17" t="s">
        <v>1659</v>
      </c>
      <c r="S17">
        <v>124132089</v>
      </c>
      <c r="T17" s="4">
        <v>-0.73880000000000001</v>
      </c>
      <c r="U17" t="s">
        <v>1660</v>
      </c>
      <c r="V17">
        <v>723666940</v>
      </c>
      <c r="W17">
        <v>855072980</v>
      </c>
      <c r="X17">
        <v>1.5</v>
      </c>
      <c r="Y17">
        <v>0.95</v>
      </c>
      <c r="Z17">
        <v>7.8</v>
      </c>
      <c r="AA17" t="s">
        <v>1661</v>
      </c>
      <c r="AB17" t="s">
        <v>1662</v>
      </c>
      <c r="AC17" t="s">
        <v>1663</v>
      </c>
      <c r="AD17" t="s">
        <v>951</v>
      </c>
      <c r="AE17" t="s">
        <v>1607</v>
      </c>
      <c r="AF17">
        <v>2164637</v>
      </c>
      <c r="AG17" t="s">
        <v>1664</v>
      </c>
      <c r="AH17" t="s">
        <v>1665</v>
      </c>
      <c r="AI17" t="s">
        <v>1666</v>
      </c>
      <c r="AJ17" t="s">
        <v>936</v>
      </c>
      <c r="AK17" t="s">
        <v>1667</v>
      </c>
      <c r="AL17" t="s">
        <v>1668</v>
      </c>
      <c r="AM17" t="s">
        <v>1669</v>
      </c>
      <c r="AN17" t="s">
        <v>7</v>
      </c>
      <c r="AO17" t="s">
        <v>34</v>
      </c>
      <c r="AP17" t="s">
        <v>1670</v>
      </c>
      <c r="AQ17" t="s">
        <v>1671</v>
      </c>
      <c r="AR17" t="s">
        <v>1672</v>
      </c>
      <c r="AS17" t="s">
        <v>7</v>
      </c>
      <c r="AT17" t="s">
        <v>912</v>
      </c>
      <c r="AU17" t="s">
        <v>7</v>
      </c>
      <c r="AV17" t="s">
        <v>1673</v>
      </c>
      <c r="AW17" t="s">
        <v>1674</v>
      </c>
      <c r="AX17" t="s">
        <v>1675</v>
      </c>
      <c r="AY17" t="s">
        <v>1676</v>
      </c>
      <c r="AZ17" t="s">
        <v>1677</v>
      </c>
      <c r="BA17" t="s">
        <v>1678</v>
      </c>
      <c r="BB17" t="s">
        <v>1679</v>
      </c>
      <c r="BC17" t="s">
        <v>1680</v>
      </c>
      <c r="BD17" t="s">
        <v>1681</v>
      </c>
      <c r="BE17" t="s">
        <v>1682</v>
      </c>
      <c r="BF17" t="s">
        <v>1683</v>
      </c>
      <c r="BG17" t="s">
        <v>1684</v>
      </c>
      <c r="BH17" t="s">
        <v>1685</v>
      </c>
      <c r="BI17" t="s">
        <v>1659</v>
      </c>
      <c r="BJ17" t="s">
        <v>1686</v>
      </c>
      <c r="BK17" t="s">
        <v>1676</v>
      </c>
      <c r="BL17" t="s">
        <v>1660</v>
      </c>
      <c r="BM17" t="s">
        <v>1687</v>
      </c>
      <c r="BN17" t="s">
        <v>1681</v>
      </c>
      <c r="BO17">
        <v>10.51</v>
      </c>
      <c r="BP17">
        <v>10.119999999999999</v>
      </c>
      <c r="BQ17">
        <v>11.8</v>
      </c>
      <c r="BR17">
        <v>26.04</v>
      </c>
      <c r="BS17">
        <v>13.3</v>
      </c>
      <c r="BT17">
        <v>13.7</v>
      </c>
      <c r="BU17">
        <v>14.36</v>
      </c>
      <c r="BV17">
        <v>28.67</v>
      </c>
      <c r="BW17">
        <v>18.05</v>
      </c>
      <c r="BX17">
        <v>18.05</v>
      </c>
      <c r="BY17">
        <v>14.81</v>
      </c>
      <c r="BZ17">
        <v>11.79</v>
      </c>
      <c r="CA17">
        <v>11.79</v>
      </c>
      <c r="CB17">
        <v>9.35</v>
      </c>
      <c r="CC17">
        <v>-9.64</v>
      </c>
      <c r="CD17">
        <v>-20.47</v>
      </c>
      <c r="CE17" t="s">
        <v>1688</v>
      </c>
      <c r="CF17" t="s">
        <v>942</v>
      </c>
    </row>
    <row r="18" spans="2:141" ht="172.8" x14ac:dyDescent="0.25">
      <c r="B18" s="3" t="s">
        <v>1689</v>
      </c>
      <c r="C18" s="3" t="s">
        <v>1690</v>
      </c>
      <c r="D18" s="3" t="s">
        <v>1691</v>
      </c>
      <c r="E18" t="s">
        <v>1322</v>
      </c>
      <c r="F18" t="s">
        <v>1323</v>
      </c>
      <c r="G18">
        <v>19.920000000000002</v>
      </c>
      <c r="H18">
        <v>-1.43</v>
      </c>
      <c r="I18" t="s">
        <v>1692</v>
      </c>
      <c r="J18">
        <v>12353543600</v>
      </c>
      <c r="K18">
        <v>16.850000000000001</v>
      </c>
      <c r="L18">
        <v>2.02</v>
      </c>
      <c r="M18" t="s">
        <v>273</v>
      </c>
      <c r="N18" t="s">
        <v>1693</v>
      </c>
      <c r="O18" t="s">
        <v>1694</v>
      </c>
      <c r="P18" t="s">
        <v>1695</v>
      </c>
      <c r="Q18">
        <v>126.18</v>
      </c>
      <c r="R18" t="s">
        <v>1696</v>
      </c>
      <c r="S18">
        <v>392758570</v>
      </c>
      <c r="T18" s="4">
        <v>0.40660000000000002</v>
      </c>
      <c r="U18" t="s">
        <v>1697</v>
      </c>
      <c r="V18">
        <v>116157812</v>
      </c>
      <c r="W18">
        <v>620157810</v>
      </c>
      <c r="X18">
        <v>1.43</v>
      </c>
      <c r="Y18">
        <v>0.84</v>
      </c>
      <c r="Z18">
        <v>5.6</v>
      </c>
      <c r="AA18" t="s">
        <v>1698</v>
      </c>
      <c r="AB18" t="s">
        <v>1699</v>
      </c>
      <c r="AC18" t="s">
        <v>1700</v>
      </c>
      <c r="AD18" t="s">
        <v>1701</v>
      </c>
      <c r="AE18" t="s">
        <v>7</v>
      </c>
      <c r="AF18">
        <v>7643794</v>
      </c>
      <c r="AG18" t="s">
        <v>1702</v>
      </c>
      <c r="AH18" t="s">
        <v>1703</v>
      </c>
      <c r="AI18" t="s">
        <v>1704</v>
      </c>
      <c r="AJ18" t="s">
        <v>1705</v>
      </c>
      <c r="AK18" t="s">
        <v>1706</v>
      </c>
      <c r="AL18" t="s">
        <v>1707</v>
      </c>
      <c r="AM18" t="s">
        <v>1708</v>
      </c>
      <c r="AN18" t="s">
        <v>7</v>
      </c>
      <c r="AO18" t="s">
        <v>102</v>
      </c>
      <c r="AP18" t="s">
        <v>1709</v>
      </c>
      <c r="AQ18" t="s">
        <v>7</v>
      </c>
      <c r="AR18" t="s">
        <v>1710</v>
      </c>
      <c r="AS18" t="s">
        <v>1711</v>
      </c>
      <c r="AT18" t="s">
        <v>1712</v>
      </c>
      <c r="AU18" t="s">
        <v>7</v>
      </c>
      <c r="AV18" t="s">
        <v>1713</v>
      </c>
      <c r="AW18" t="s">
        <v>1714</v>
      </c>
      <c r="AX18" t="s">
        <v>1685</v>
      </c>
      <c r="AY18" t="s">
        <v>1715</v>
      </c>
      <c r="AZ18" t="s">
        <v>1716</v>
      </c>
      <c r="BA18" t="s">
        <v>1717</v>
      </c>
      <c r="BB18" t="s">
        <v>1718</v>
      </c>
      <c r="BC18" t="s">
        <v>1719</v>
      </c>
      <c r="BD18" t="s">
        <v>1720</v>
      </c>
      <c r="BE18" t="s">
        <v>1721</v>
      </c>
      <c r="BF18" t="s">
        <v>102</v>
      </c>
      <c r="BG18" t="s">
        <v>1722</v>
      </c>
      <c r="BH18" t="s">
        <v>1723</v>
      </c>
      <c r="BI18" t="s">
        <v>1724</v>
      </c>
      <c r="BJ18" t="s">
        <v>1725</v>
      </c>
      <c r="BK18" t="s">
        <v>1715</v>
      </c>
      <c r="BL18" t="s">
        <v>1697</v>
      </c>
      <c r="BM18" t="s">
        <v>1726</v>
      </c>
      <c r="BN18" t="s">
        <v>1720</v>
      </c>
      <c r="BO18">
        <v>12.28</v>
      </c>
      <c r="BP18">
        <v>25.39</v>
      </c>
      <c r="BQ18">
        <v>13.21</v>
      </c>
      <c r="BR18">
        <v>6.11</v>
      </c>
      <c r="BS18">
        <v>14.17</v>
      </c>
      <c r="BT18">
        <v>32.44</v>
      </c>
      <c r="BU18" t="s">
        <v>7</v>
      </c>
      <c r="BV18" t="s">
        <v>7</v>
      </c>
      <c r="BW18">
        <v>6.5</v>
      </c>
      <c r="BX18">
        <v>14.77</v>
      </c>
      <c r="BY18">
        <v>10.01</v>
      </c>
      <c r="BZ18">
        <v>3.4</v>
      </c>
      <c r="CA18">
        <v>8.67</v>
      </c>
      <c r="CB18">
        <v>3.72</v>
      </c>
      <c r="CC18">
        <v>2.64</v>
      </c>
      <c r="CD18">
        <v>2.34</v>
      </c>
      <c r="CE18" t="s">
        <v>1727</v>
      </c>
      <c r="CF18" t="s">
        <v>1728</v>
      </c>
      <c r="CG18" s="23">
        <v>1.262114861379755</v>
      </c>
      <c r="CH18" s="24">
        <v>0.40773681003584228</v>
      </c>
      <c r="CI18" s="23">
        <v>1.0740408897399902</v>
      </c>
      <c r="CJ18" s="23">
        <v>-0.11046804487705231</v>
      </c>
      <c r="CK18" s="23">
        <v>-0.12815377116203308</v>
      </c>
      <c r="CL18" s="23">
        <v>0.10022016614675522</v>
      </c>
      <c r="CM18" s="23">
        <v>0.39777892827987671</v>
      </c>
      <c r="CN18" s="24">
        <v>-0.1927083283662796</v>
      </c>
      <c r="CO18" s="24">
        <v>1.0926430225372314</v>
      </c>
      <c r="CP18" s="24">
        <v>1.109195351600647</v>
      </c>
      <c r="CQ18" s="24">
        <v>-0.44936707615852356</v>
      </c>
      <c r="CR18" s="24">
        <v>0.14079421758651733</v>
      </c>
      <c r="CS18">
        <v>0.66819253569883164</v>
      </c>
      <c r="CT18">
        <v>62832300</v>
      </c>
      <c r="CU18">
        <v>6.7267199999999985</v>
      </c>
      <c r="CV18" s="23">
        <v>0.26668363362550734</v>
      </c>
      <c r="CW18" s="24">
        <v>0.34011143743991851</v>
      </c>
      <c r="CX18">
        <v>0.06</v>
      </c>
      <c r="CY18">
        <v>11.833792525782881</v>
      </c>
      <c r="CZ18">
        <v>740890427.21491945</v>
      </c>
      <c r="DA18">
        <v>0.26668363362550734</v>
      </c>
      <c r="DB18">
        <v>3.3402411752558296</v>
      </c>
      <c r="DC18">
        <v>2624823520.2143726</v>
      </c>
      <c r="DD18">
        <v>0.25334945194423197</v>
      </c>
      <c r="DE18">
        <v>1.3360714009438954</v>
      </c>
      <c r="DF18">
        <v>6562181926.6589994</v>
      </c>
      <c r="DG18">
        <v>0.23468159759044646</v>
      </c>
      <c r="DH18">
        <v>0.62450375156229831</v>
      </c>
      <c r="DI18">
        <v>14039216863.095787</v>
      </c>
      <c r="DJ18">
        <v>0.21334690690040589</v>
      </c>
      <c r="DK18">
        <v>0.17631356843217436</v>
      </c>
      <c r="DL18">
        <v>49726993095.104675</v>
      </c>
      <c r="DM18">
        <v>0.18667854353785512</v>
      </c>
      <c r="DN18">
        <v>620000000</v>
      </c>
      <c r="DO18">
        <v>0.26668363362550734</v>
      </c>
      <c r="DP18">
        <v>8767543600</v>
      </c>
      <c r="DQ18">
        <v>3852315900</v>
      </c>
      <c r="DR18">
        <v>4221</v>
      </c>
      <c r="DS18">
        <v>0.99543122775424764</v>
      </c>
      <c r="DT18">
        <v>6.7625372595923772E-2</v>
      </c>
      <c r="DU18" s="25">
        <v>0.65333333333333332</v>
      </c>
      <c r="DV18">
        <v>0.5033333333333333</v>
      </c>
      <c r="DW18">
        <v>1.1566666666666667</v>
      </c>
      <c r="DX18">
        <v>4.8863636363636367</v>
      </c>
      <c r="DY18">
        <v>0.59796527777777697</v>
      </c>
      <c r="DZ18">
        <v>4.2020601325757578</v>
      </c>
      <c r="EA18">
        <v>1028</v>
      </c>
      <c r="EB18">
        <v>4.1581822668622221</v>
      </c>
      <c r="EC18">
        <v>4</v>
      </c>
      <c r="ED18">
        <v>5.2933300960927993E-2</v>
      </c>
      <c r="EE18">
        <v>0.2321989623899117</v>
      </c>
      <c r="EF18" s="22">
        <v>9.5100000000000004E-2</v>
      </c>
      <c r="EG18">
        <v>8.0800000000000011E-2</v>
      </c>
      <c r="EH18">
        <v>37.227965277777777</v>
      </c>
      <c r="EI18" t="s">
        <v>378</v>
      </c>
      <c r="EJ18">
        <v>0</v>
      </c>
      <c r="EK18">
        <v>1</v>
      </c>
    </row>
  </sheetDat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7649" r:id="rId3" name="Button 1">
              <controlPr defaultSize="0" print="0" autoFill="0" autoPict="0" macro="[0]!'Industry_copy_call_buttom [c2],[d2]'">
                <anchor moveWithCells="1" sizeWithCells="1">
                  <from>
                    <xdr:col>1</xdr:col>
                    <xdr:colOff>60960</xdr:colOff>
                    <xdr:row>1</xdr:row>
                    <xdr:rowOff>259080</xdr:rowOff>
                  </from>
                  <to>
                    <xdr:col>1</xdr:col>
                    <xdr:colOff>1089660</xdr:colOff>
                    <xdr:row>1</xdr:row>
                    <xdr:rowOff>708660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EK21"/>
  <sheetViews>
    <sheetView topLeftCell="A14" workbookViewId="0">
      <selection activeCell="B21" sqref="B21:EK21"/>
    </sheetView>
  </sheetViews>
  <sheetFormatPr defaultRowHeight="14.4" x14ac:dyDescent="0.25"/>
  <cols>
    <col min="2" max="2" width="29.21875" customWidth="1"/>
    <col min="3" max="3" width="30.77734375" customWidth="1"/>
    <col min="4" max="4" width="34.77734375" customWidth="1"/>
  </cols>
  <sheetData>
    <row r="1" spans="1:141" s="16" customFormat="1" x14ac:dyDescent="0.25">
      <c r="A1" s="17" t="s">
        <v>157</v>
      </c>
      <c r="B1" s="20" t="s">
        <v>381</v>
      </c>
      <c r="C1" s="21" t="s">
        <v>382</v>
      </c>
      <c r="D1" s="20" t="s">
        <v>383</v>
      </c>
      <c r="E1" t="s">
        <v>2</v>
      </c>
      <c r="F1" t="s">
        <v>3</v>
      </c>
      <c r="G1" t="s">
        <v>0</v>
      </c>
      <c r="H1" t="s">
        <v>350</v>
      </c>
      <c r="I1" t="s">
        <v>384</v>
      </c>
      <c r="J1" t="s">
        <v>4</v>
      </c>
      <c r="K1" t="s">
        <v>5</v>
      </c>
      <c r="L1" t="s">
        <v>1</v>
      </c>
      <c r="M1" t="s">
        <v>6</v>
      </c>
      <c r="N1" t="s">
        <v>9</v>
      </c>
      <c r="O1" t="s">
        <v>10</v>
      </c>
      <c r="P1" t="s">
        <v>11</v>
      </c>
      <c r="Q1" t="s">
        <v>385</v>
      </c>
      <c r="R1" t="s">
        <v>351</v>
      </c>
      <c r="S1" t="s">
        <v>386</v>
      </c>
      <c r="T1" t="s">
        <v>12</v>
      </c>
      <c r="U1" t="s">
        <v>352</v>
      </c>
      <c r="V1" t="s">
        <v>353</v>
      </c>
      <c r="W1" t="s">
        <v>13</v>
      </c>
      <c r="X1" t="s">
        <v>214</v>
      </c>
      <c r="Y1" t="s">
        <v>215</v>
      </c>
      <c r="Z1" t="s">
        <v>216</v>
      </c>
      <c r="AA1" t="s">
        <v>217</v>
      </c>
      <c r="AB1" t="s">
        <v>218</v>
      </c>
      <c r="AC1" t="s">
        <v>354</v>
      </c>
      <c r="AD1" t="s">
        <v>219</v>
      </c>
      <c r="AE1" t="s">
        <v>387</v>
      </c>
      <c r="AF1" t="s">
        <v>14</v>
      </c>
      <c r="AG1" t="s">
        <v>15</v>
      </c>
      <c r="AH1" t="s">
        <v>355</v>
      </c>
      <c r="AI1" t="s">
        <v>388</v>
      </c>
      <c r="AJ1" t="s">
        <v>356</v>
      </c>
      <c r="AK1" t="s">
        <v>16</v>
      </c>
      <c r="AL1" t="s">
        <v>357</v>
      </c>
      <c r="AM1" t="s">
        <v>158</v>
      </c>
      <c r="AN1" t="s">
        <v>358</v>
      </c>
      <c r="AO1" t="s">
        <v>359</v>
      </c>
      <c r="AP1" t="s">
        <v>360</v>
      </c>
      <c r="AQ1" t="s">
        <v>361</v>
      </c>
      <c r="AR1" t="s">
        <v>362</v>
      </c>
      <c r="AS1" t="s">
        <v>363</v>
      </c>
      <c r="AT1" t="s">
        <v>364</v>
      </c>
      <c r="AU1" t="s">
        <v>365</v>
      </c>
      <c r="AV1" t="s">
        <v>366</v>
      </c>
      <c r="AW1" t="s">
        <v>367</v>
      </c>
      <c r="AX1" t="s">
        <v>368</v>
      </c>
      <c r="AY1" t="s">
        <v>389</v>
      </c>
      <c r="AZ1" t="s">
        <v>159</v>
      </c>
      <c r="BA1" t="s">
        <v>160</v>
      </c>
      <c r="BB1" t="s">
        <v>161</v>
      </c>
      <c r="BC1" t="s">
        <v>162</v>
      </c>
      <c r="BD1" t="s">
        <v>168</v>
      </c>
      <c r="BE1" t="s">
        <v>163</v>
      </c>
      <c r="BF1" t="s">
        <v>164</v>
      </c>
      <c r="BG1" t="s">
        <v>165</v>
      </c>
      <c r="BH1" t="s">
        <v>166</v>
      </c>
      <c r="BI1" t="s">
        <v>390</v>
      </c>
      <c r="BJ1" t="s">
        <v>369</v>
      </c>
      <c r="BK1" t="s">
        <v>167</v>
      </c>
      <c r="BL1" t="s">
        <v>370</v>
      </c>
      <c r="BM1" t="s">
        <v>371</v>
      </c>
      <c r="BN1" t="s">
        <v>372</v>
      </c>
      <c r="BO1" t="s">
        <v>373</v>
      </c>
      <c r="BP1" t="s">
        <v>169</v>
      </c>
      <c r="BQ1" t="s">
        <v>170</v>
      </c>
      <c r="BR1" t="s">
        <v>171</v>
      </c>
      <c r="BS1" t="s">
        <v>374</v>
      </c>
      <c r="BT1" t="s">
        <v>172</v>
      </c>
      <c r="BU1" t="s">
        <v>173</v>
      </c>
      <c r="BV1" t="s">
        <v>174</v>
      </c>
      <c r="BW1" t="s">
        <v>375</v>
      </c>
      <c r="BX1" t="s">
        <v>175</v>
      </c>
      <c r="BY1" t="s">
        <v>176</v>
      </c>
      <c r="BZ1" t="s">
        <v>376</v>
      </c>
      <c r="CA1" t="s">
        <v>177</v>
      </c>
      <c r="CB1" t="s">
        <v>178</v>
      </c>
      <c r="CC1" t="s">
        <v>391</v>
      </c>
      <c r="CD1" t="s">
        <v>392</v>
      </c>
      <c r="CE1" t="s">
        <v>393</v>
      </c>
      <c r="CF1" t="s">
        <v>394</v>
      </c>
      <c r="CG1" s="1" t="s">
        <v>220</v>
      </c>
      <c r="CH1" s="1" t="s">
        <v>221</v>
      </c>
      <c r="CI1" s="1" t="s">
        <v>222</v>
      </c>
      <c r="CJ1" s="1" t="s">
        <v>223</v>
      </c>
      <c r="CK1" s="1" t="s">
        <v>224</v>
      </c>
      <c r="CL1" s="1" t="s">
        <v>225</v>
      </c>
      <c r="CM1" s="1" t="s">
        <v>226</v>
      </c>
      <c r="CN1" s="1" t="s">
        <v>227</v>
      </c>
      <c r="CO1" s="1" t="s">
        <v>228</v>
      </c>
      <c r="CP1" s="1" t="s">
        <v>229</v>
      </c>
      <c r="CQ1" s="1" t="s">
        <v>230</v>
      </c>
      <c r="CR1" s="1" t="s">
        <v>231</v>
      </c>
      <c r="CS1" s="1" t="s">
        <v>395</v>
      </c>
      <c r="CT1" s="1" t="s">
        <v>396</v>
      </c>
      <c r="CU1" s="1" t="s">
        <v>397</v>
      </c>
      <c r="CV1" s="1" t="s">
        <v>232</v>
      </c>
      <c r="CW1" s="1" t="s">
        <v>398</v>
      </c>
      <c r="CX1" s="1" t="s">
        <v>138</v>
      </c>
      <c r="CY1">
        <v>1</v>
      </c>
      <c r="CZ1" t="s">
        <v>400</v>
      </c>
      <c r="DA1" t="s">
        <v>266</v>
      </c>
      <c r="DB1">
        <v>3</v>
      </c>
      <c r="DC1" t="s">
        <v>401</v>
      </c>
      <c r="DD1" t="s">
        <v>402</v>
      </c>
      <c r="DE1">
        <v>6</v>
      </c>
      <c r="DF1" t="s">
        <v>267</v>
      </c>
      <c r="DG1" t="s">
        <v>403</v>
      </c>
      <c r="DH1">
        <v>10</v>
      </c>
      <c r="DI1" t="s">
        <v>404</v>
      </c>
      <c r="DJ1" t="s">
        <v>268</v>
      </c>
      <c r="DK1">
        <v>20</v>
      </c>
      <c r="DL1" t="s">
        <v>405</v>
      </c>
      <c r="DM1" t="s">
        <v>233</v>
      </c>
      <c r="DN1" t="s">
        <v>234</v>
      </c>
      <c r="DO1" s="2" t="s">
        <v>235</v>
      </c>
      <c r="DP1" t="s">
        <v>406</v>
      </c>
      <c r="DQ1" t="s">
        <v>269</v>
      </c>
      <c r="DR1" s="1" t="s">
        <v>236</v>
      </c>
      <c r="DS1" s="1" t="s">
        <v>237</v>
      </c>
      <c r="DT1" s="1" t="s">
        <v>407</v>
      </c>
      <c r="DU1" t="s">
        <v>408</v>
      </c>
      <c r="DV1" t="s">
        <v>270</v>
      </c>
      <c r="DW1" t="s">
        <v>409</v>
      </c>
      <c r="DX1" t="s">
        <v>410</v>
      </c>
      <c r="DY1" t="s">
        <v>411</v>
      </c>
      <c r="DZ1" t="s">
        <v>412</v>
      </c>
      <c r="EA1" t="s">
        <v>413</v>
      </c>
      <c r="EB1" t="s">
        <v>238</v>
      </c>
      <c r="EC1" t="s">
        <v>414</v>
      </c>
      <c r="ED1" t="s">
        <v>415</v>
      </c>
      <c r="EE1" t="s">
        <v>416</v>
      </c>
      <c r="EF1" t="s">
        <v>417</v>
      </c>
      <c r="EG1" t="s">
        <v>418</v>
      </c>
      <c r="EH1" t="s">
        <v>419</v>
      </c>
      <c r="EI1" t="s">
        <v>420</v>
      </c>
      <c r="EJ1" t="s">
        <v>421</v>
      </c>
      <c r="EK1"/>
    </row>
    <row r="2" spans="1:141" s="16" customFormat="1" ht="71.55" customHeight="1" x14ac:dyDescent="0.25">
      <c r="A2" s="29"/>
      <c r="B2" s="27"/>
      <c r="C2" s="28">
        <v>3</v>
      </c>
      <c r="D2" s="28">
        <v>21</v>
      </c>
      <c r="T2" s="18"/>
      <c r="U2" s="18"/>
      <c r="V2" s="18"/>
      <c r="AB2" s="19"/>
    </row>
    <row r="3" spans="1:141" ht="205.2" x14ac:dyDescent="0.25">
      <c r="B3" s="3" t="s">
        <v>2353</v>
      </c>
      <c r="C3" s="3" t="s">
        <v>2354</v>
      </c>
      <c r="D3" s="3" t="s">
        <v>2355</v>
      </c>
      <c r="E3" t="s">
        <v>329</v>
      </c>
      <c r="F3" t="s">
        <v>330</v>
      </c>
      <c r="G3">
        <v>12.02</v>
      </c>
      <c r="H3">
        <v>1.95</v>
      </c>
      <c r="I3" t="s">
        <v>21</v>
      </c>
      <c r="J3">
        <v>51328658000</v>
      </c>
      <c r="K3">
        <v>19.190000000000001</v>
      </c>
      <c r="L3">
        <v>3.96</v>
      </c>
      <c r="M3" t="s">
        <v>331</v>
      </c>
      <c r="N3" t="s">
        <v>2240</v>
      </c>
      <c r="O3" t="s">
        <v>2241</v>
      </c>
      <c r="P3" t="s">
        <v>2242</v>
      </c>
      <c r="Q3">
        <v>50.01</v>
      </c>
      <c r="R3" t="s">
        <v>447</v>
      </c>
      <c r="S3">
        <v>1359276800</v>
      </c>
      <c r="T3" s="4">
        <v>8.6300000000000002E-2</v>
      </c>
      <c r="U3" t="s">
        <v>448</v>
      </c>
      <c r="V3">
        <v>3970694000</v>
      </c>
      <c r="W3">
        <v>4270271000</v>
      </c>
      <c r="X3">
        <v>2.15</v>
      </c>
      <c r="Y3">
        <v>0.43</v>
      </c>
      <c r="Z3">
        <v>10.85</v>
      </c>
      <c r="AA3" t="s">
        <v>2243</v>
      </c>
      <c r="AB3" t="s">
        <v>2244</v>
      </c>
      <c r="AC3" t="s">
        <v>2245</v>
      </c>
      <c r="AD3" t="s">
        <v>2246</v>
      </c>
      <c r="AE3" t="s">
        <v>2247</v>
      </c>
      <c r="AF3">
        <v>136373180</v>
      </c>
      <c r="AG3" t="s">
        <v>2248</v>
      </c>
      <c r="AH3" t="s">
        <v>2249</v>
      </c>
      <c r="AI3" t="s">
        <v>2250</v>
      </c>
      <c r="AJ3" t="s">
        <v>2251</v>
      </c>
      <c r="AK3" t="s">
        <v>2252</v>
      </c>
      <c r="AL3" t="s">
        <v>2253</v>
      </c>
      <c r="AM3" t="s">
        <v>2254</v>
      </c>
      <c r="AN3" t="s">
        <v>2255</v>
      </c>
      <c r="AO3" t="s">
        <v>2256</v>
      </c>
      <c r="AP3" t="s">
        <v>2257</v>
      </c>
      <c r="AQ3" t="s">
        <v>2258</v>
      </c>
      <c r="AR3" t="s">
        <v>2259</v>
      </c>
      <c r="AS3" t="s">
        <v>7</v>
      </c>
      <c r="AT3" t="s">
        <v>2260</v>
      </c>
      <c r="AU3" t="s">
        <v>2261</v>
      </c>
      <c r="AV3" t="s">
        <v>2262</v>
      </c>
      <c r="AW3" t="s">
        <v>2263</v>
      </c>
      <c r="AX3" t="s">
        <v>2264</v>
      </c>
      <c r="AY3" t="s">
        <v>332</v>
      </c>
      <c r="AZ3" t="s">
        <v>333</v>
      </c>
      <c r="BA3" t="s">
        <v>334</v>
      </c>
      <c r="BB3" t="s">
        <v>335</v>
      </c>
      <c r="BC3" t="s">
        <v>336</v>
      </c>
      <c r="BD3" t="s">
        <v>198</v>
      </c>
      <c r="BE3" t="s">
        <v>244</v>
      </c>
      <c r="BF3" t="s">
        <v>265</v>
      </c>
      <c r="BG3" t="s">
        <v>118</v>
      </c>
      <c r="BH3" t="s">
        <v>247</v>
      </c>
      <c r="BI3" t="s">
        <v>2265</v>
      </c>
      <c r="BJ3" t="s">
        <v>2266</v>
      </c>
      <c r="BK3" t="s">
        <v>525</v>
      </c>
      <c r="BL3" t="s">
        <v>514</v>
      </c>
      <c r="BM3" t="s">
        <v>2267</v>
      </c>
      <c r="BN3" t="s">
        <v>109</v>
      </c>
      <c r="BO3">
        <v>3.42</v>
      </c>
      <c r="BP3">
        <v>13.89</v>
      </c>
      <c r="BQ3">
        <v>4.49</v>
      </c>
      <c r="BR3">
        <v>7.36</v>
      </c>
      <c r="BS3">
        <v>21.85</v>
      </c>
      <c r="BT3">
        <v>8.27</v>
      </c>
      <c r="BU3">
        <v>12.59</v>
      </c>
      <c r="BV3" t="s">
        <v>2268</v>
      </c>
      <c r="BW3">
        <v>24.03</v>
      </c>
      <c r="BX3">
        <v>21.32</v>
      </c>
      <c r="BY3">
        <v>23.54</v>
      </c>
      <c r="BZ3">
        <v>11.85</v>
      </c>
      <c r="CA3">
        <v>6.7</v>
      </c>
      <c r="CB3">
        <v>7.68</v>
      </c>
      <c r="CC3">
        <v>8.7799999999999994</v>
      </c>
      <c r="CD3">
        <v>6.75</v>
      </c>
      <c r="CE3" t="s">
        <v>2269</v>
      </c>
      <c r="CF3" t="s">
        <v>2270</v>
      </c>
      <c r="CG3" s="23">
        <v>0.39762404520654715</v>
      </c>
      <c r="CH3" s="24">
        <v>0.11464404567699837</v>
      </c>
      <c r="CI3" s="23">
        <v>0.65716946125030518</v>
      </c>
      <c r="CJ3" s="23">
        <v>-8.828958123922348E-2</v>
      </c>
      <c r="CK3" s="23">
        <v>-6.9782756268978119E-2</v>
      </c>
      <c r="CL3" s="23">
        <v>0.23770220577716827</v>
      </c>
      <c r="CM3" s="23">
        <v>0.7212376594543457</v>
      </c>
      <c r="CN3" s="24">
        <v>2.6935250759124756</v>
      </c>
      <c r="CO3" s="24">
        <v>-0.27301254868507385</v>
      </c>
      <c r="CP3" s="24">
        <v>-0.46800220012664795</v>
      </c>
      <c r="CQ3" s="24">
        <v>0.71469461917877197</v>
      </c>
      <c r="CR3" s="24">
        <v>0.54117649793624878</v>
      </c>
      <c r="CS3">
        <v>2.4111545471627207</v>
      </c>
      <c r="CT3">
        <v>26218718.737826258</v>
      </c>
      <c r="CU3">
        <v>10.030825</v>
      </c>
      <c r="CV3" s="23">
        <v>0.2916073977947235</v>
      </c>
      <c r="CW3" s="24">
        <v>0.64167628884315486</v>
      </c>
      <c r="CX3">
        <v>0.06</v>
      </c>
      <c r="CY3">
        <v>17.157820352793994</v>
      </c>
      <c r="CZ3">
        <v>3127883198.2443919</v>
      </c>
      <c r="DA3">
        <v>0.2916073977947235</v>
      </c>
      <c r="DB3">
        <v>4.7464500161178504</v>
      </c>
      <c r="DC3">
        <v>11306904700.935858</v>
      </c>
      <c r="DD3">
        <v>0.27702702790498729</v>
      </c>
      <c r="DE3">
        <v>1.8421429237701803</v>
      </c>
      <c r="DF3">
        <v>29133275875.338867</v>
      </c>
      <c r="DG3">
        <v>0.2566145100593567</v>
      </c>
      <c r="DH3">
        <v>0.82853737080156187</v>
      </c>
      <c r="DI3">
        <v>64773973862.011383</v>
      </c>
      <c r="DJ3">
        <v>0.23328591823577882</v>
      </c>
      <c r="DK3">
        <v>0.21201108669297489</v>
      </c>
      <c r="DL3">
        <v>253136092254.07697</v>
      </c>
      <c r="DM3">
        <v>0.20412517845630643</v>
      </c>
      <c r="DN3">
        <v>2567000000</v>
      </c>
      <c r="DO3">
        <v>0.2916073977947235</v>
      </c>
      <c r="DP3">
        <v>53667658000</v>
      </c>
      <c r="DQ3">
        <v>-2102176900</v>
      </c>
      <c r="DR3">
        <v>259</v>
      </c>
      <c r="DS3">
        <v>0.20857307850273771</v>
      </c>
      <c r="DT3">
        <v>-0.55512409060174794</v>
      </c>
      <c r="DU3" s="25">
        <v>0.87</v>
      </c>
      <c r="DV3">
        <v>0.34999999999999992</v>
      </c>
      <c r="DW3">
        <v>1.22</v>
      </c>
      <c r="DX3">
        <v>5.7687927107061503</v>
      </c>
      <c r="DY3">
        <v>0.85636363636363599</v>
      </c>
      <c r="DZ3">
        <v>5.2585939117829783</v>
      </c>
      <c r="EA3">
        <v>893</v>
      </c>
      <c r="EB3">
        <v>5.2105447309210975</v>
      </c>
      <c r="EC3">
        <v>5</v>
      </c>
      <c r="ED3">
        <v>0.16462655414609517</v>
      </c>
      <c r="EE3">
        <v>0.48943029611001265</v>
      </c>
      <c r="EF3" s="22">
        <v>4.0544000000000002</v>
      </c>
      <c r="EG3">
        <v>4.0739000000000001</v>
      </c>
      <c r="EH3">
        <v>52.336363636363636</v>
      </c>
      <c r="EI3" t="s">
        <v>1156</v>
      </c>
      <c r="EJ3">
        <v>1</v>
      </c>
      <c r="EK3">
        <v>1</v>
      </c>
    </row>
    <row r="4" spans="1:141" x14ac:dyDescent="0.25">
      <c r="B4" s="3"/>
      <c r="C4" s="3"/>
      <c r="D4" s="3"/>
      <c r="E4" t="s">
        <v>1029</v>
      </c>
      <c r="F4" t="s">
        <v>1030</v>
      </c>
      <c r="G4">
        <v>6.97</v>
      </c>
      <c r="H4">
        <v>6.9</v>
      </c>
      <c r="I4" t="s">
        <v>1056</v>
      </c>
      <c r="J4">
        <v>7151276400</v>
      </c>
      <c r="K4">
        <v>35.78</v>
      </c>
      <c r="L4">
        <v>1.48</v>
      </c>
      <c r="M4" t="s">
        <v>1031</v>
      </c>
      <c r="N4" t="s">
        <v>1057</v>
      </c>
      <c r="O4" t="s">
        <v>1058</v>
      </c>
      <c r="P4" t="s">
        <v>1059</v>
      </c>
      <c r="Q4">
        <v>25.96</v>
      </c>
      <c r="R4" t="s">
        <v>1060</v>
      </c>
      <c r="S4">
        <v>86208912</v>
      </c>
      <c r="T4" s="4">
        <v>0.48380000000000001</v>
      </c>
      <c r="U4" t="s">
        <v>73</v>
      </c>
      <c r="V4">
        <v>1025728150</v>
      </c>
      <c r="W4">
        <v>1026008100</v>
      </c>
      <c r="X4">
        <v>1.68</v>
      </c>
      <c r="Y4">
        <v>0.2</v>
      </c>
      <c r="Z4">
        <v>4.16</v>
      </c>
      <c r="AA4" t="s">
        <v>1061</v>
      </c>
      <c r="AB4" t="s">
        <v>1062</v>
      </c>
      <c r="AC4" t="s">
        <v>1063</v>
      </c>
      <c r="AD4" t="s">
        <v>1064</v>
      </c>
      <c r="AE4" t="s">
        <v>120</v>
      </c>
      <c r="AF4">
        <v>4823655</v>
      </c>
      <c r="AG4" t="s">
        <v>1065</v>
      </c>
      <c r="AH4" t="s">
        <v>1066</v>
      </c>
      <c r="AI4" t="s">
        <v>1067</v>
      </c>
      <c r="AJ4" t="s">
        <v>1068</v>
      </c>
      <c r="AK4" t="s">
        <v>1069</v>
      </c>
      <c r="AL4" t="s">
        <v>1070</v>
      </c>
      <c r="AM4" t="s">
        <v>1071</v>
      </c>
      <c r="AN4" t="s">
        <v>7</v>
      </c>
      <c r="AO4" t="s">
        <v>69</v>
      </c>
      <c r="AP4" t="s">
        <v>1072</v>
      </c>
      <c r="AQ4" t="s">
        <v>1073</v>
      </c>
      <c r="AR4" t="s">
        <v>1074</v>
      </c>
      <c r="AS4" t="s">
        <v>7</v>
      </c>
      <c r="AT4" t="s">
        <v>1075</v>
      </c>
      <c r="AU4" t="s">
        <v>1076</v>
      </c>
      <c r="AV4" t="s">
        <v>1077</v>
      </c>
      <c r="AW4" t="s">
        <v>1078</v>
      </c>
      <c r="AX4" t="s">
        <v>1079</v>
      </c>
      <c r="AY4" t="s">
        <v>242</v>
      </c>
      <c r="AZ4" t="s">
        <v>1080</v>
      </c>
      <c r="BA4" t="s">
        <v>1081</v>
      </c>
      <c r="BB4" t="s">
        <v>1082</v>
      </c>
      <c r="BC4" t="s">
        <v>1083</v>
      </c>
      <c r="BD4" t="s">
        <v>656</v>
      </c>
      <c r="BE4" t="s">
        <v>1084</v>
      </c>
      <c r="BF4" t="s">
        <v>1085</v>
      </c>
      <c r="BG4" t="s">
        <v>1086</v>
      </c>
      <c r="BH4" t="s">
        <v>1087</v>
      </c>
      <c r="BI4" t="s">
        <v>1060</v>
      </c>
      <c r="BJ4" t="s">
        <v>1088</v>
      </c>
      <c r="BK4" t="s">
        <v>242</v>
      </c>
      <c r="BL4" t="s">
        <v>73</v>
      </c>
      <c r="BM4" t="s">
        <v>1089</v>
      </c>
      <c r="BN4" t="s">
        <v>656</v>
      </c>
      <c r="BO4">
        <v>2.46</v>
      </c>
      <c r="BP4">
        <v>1.57</v>
      </c>
      <c r="BQ4">
        <v>2.5099999999999998</v>
      </c>
      <c r="BR4">
        <v>-3.17</v>
      </c>
      <c r="BS4">
        <v>3.67</v>
      </c>
      <c r="BT4">
        <v>2.2799999999999998</v>
      </c>
      <c r="BU4">
        <v>3.78</v>
      </c>
      <c r="BV4">
        <v>-4.9000000000000004</v>
      </c>
      <c r="BW4">
        <v>17.14</v>
      </c>
      <c r="BX4">
        <v>18.22</v>
      </c>
      <c r="BY4">
        <v>19.5</v>
      </c>
      <c r="BZ4">
        <v>4.16</v>
      </c>
      <c r="CA4">
        <v>3.12</v>
      </c>
      <c r="CB4">
        <v>4.22</v>
      </c>
      <c r="CC4">
        <v>3.11</v>
      </c>
      <c r="CD4">
        <v>-12.33</v>
      </c>
      <c r="CE4" t="s">
        <v>1090</v>
      </c>
      <c r="CF4" t="s">
        <v>94</v>
      </c>
      <c r="CG4" s="23">
        <v>0.38736744027303754</v>
      </c>
      <c r="CH4" s="24">
        <v>0.48384568911654902</v>
      </c>
      <c r="CI4" s="23">
        <v>0.25969076156616211</v>
      </c>
      <c r="CJ4" s="23">
        <v>4.1631702333688736E-2</v>
      </c>
      <c r="CK4" s="23">
        <v>-5.4214455187320709E-2</v>
      </c>
      <c r="CL4" s="23">
        <v>8.4549441933631897E-2</v>
      </c>
      <c r="CM4" s="23">
        <v>0.18847228586673737</v>
      </c>
      <c r="CN4" s="24">
        <v>0.66990292072296143</v>
      </c>
      <c r="CO4" s="24">
        <v>-0.37575757503509521</v>
      </c>
      <c r="CP4" s="24">
        <v>1.7568807601928711</v>
      </c>
      <c r="CQ4" s="24">
        <v>-4.6843180656433105</v>
      </c>
      <c r="CR4" s="24">
        <v>-0.25134435296058655</v>
      </c>
      <c r="CS4">
        <v>1.1401907525510204</v>
      </c>
      <c r="CT4">
        <v>48021866.860465117</v>
      </c>
      <c r="CU4">
        <v>1.3977600000000001</v>
      </c>
      <c r="CV4" s="23">
        <v>0.10402594730257989</v>
      </c>
      <c r="CW4" s="24">
        <v>-0.576927262544632</v>
      </c>
      <c r="CX4">
        <v>0.06</v>
      </c>
      <c r="CY4">
        <v>29.229453861312056</v>
      </c>
      <c r="CZ4">
        <v>179143832.95853183</v>
      </c>
      <c r="DA4">
        <v>0.10402594730257989</v>
      </c>
      <c r="DB4">
        <v>9.4393154462342963</v>
      </c>
      <c r="DC4">
        <v>554730523.60899234</v>
      </c>
      <c r="DD4">
        <v>9.8824649937450881E-2</v>
      </c>
      <c r="DE4">
        <v>4.5732633958615372</v>
      </c>
      <c r="DF4">
        <v>1144975905.9883671</v>
      </c>
      <c r="DG4">
        <v>9.1542833626270304E-2</v>
      </c>
      <c r="DH4">
        <v>2.697069318903444</v>
      </c>
      <c r="DI4">
        <v>1941468972.7474003</v>
      </c>
      <c r="DJ4">
        <v>8.3220757842063911E-2</v>
      </c>
      <c r="DK4">
        <v>1.3384704611170006</v>
      </c>
      <c r="DL4">
        <v>3912134449.0711756</v>
      </c>
      <c r="DM4">
        <v>7.2818163111805917E-2</v>
      </c>
      <c r="DN4">
        <v>172000000</v>
      </c>
      <c r="DO4">
        <v>0.10402594730257989</v>
      </c>
      <c r="DP4">
        <v>5236276400</v>
      </c>
      <c r="DQ4">
        <v>2473661500.0000005</v>
      </c>
      <c r="DR4">
        <v>424</v>
      </c>
      <c r="DS4">
        <v>0.28334149297045763</v>
      </c>
      <c r="DT4">
        <v>1.060772951661181</v>
      </c>
      <c r="DU4" s="25">
        <v>0.48666666666666664</v>
      </c>
      <c r="DV4">
        <v>0.14000000000000004</v>
      </c>
      <c r="DW4">
        <v>0.62666666666666671</v>
      </c>
      <c r="DX4">
        <v>6.2014248704663215</v>
      </c>
      <c r="DY4">
        <v>0.51537124600638951</v>
      </c>
      <c r="DZ4">
        <v>6.0453953740336708</v>
      </c>
      <c r="EA4">
        <v>1859</v>
      </c>
      <c r="EB4">
        <v>6.0275123478991945</v>
      </c>
      <c r="EC4">
        <v>6</v>
      </c>
      <c r="ED4">
        <v>6.8753063450473731E-2</v>
      </c>
      <c r="EE4">
        <v>0.30506581770650737</v>
      </c>
      <c r="EF4" s="22">
        <v>3.0112000000000001</v>
      </c>
      <c r="EG4">
        <v>3.0802</v>
      </c>
      <c r="EH4">
        <v>29.225371246006389</v>
      </c>
      <c r="EI4" t="s">
        <v>776</v>
      </c>
      <c r="EJ4">
        <v>0</v>
      </c>
      <c r="EK4">
        <v>0</v>
      </c>
    </row>
    <row r="5" spans="1:141" x14ac:dyDescent="0.25">
      <c r="B5" s="3"/>
      <c r="C5" s="3"/>
      <c r="D5" s="3"/>
      <c r="E5" t="s">
        <v>1301</v>
      </c>
      <c r="F5" t="s">
        <v>1302</v>
      </c>
      <c r="G5">
        <v>3.68</v>
      </c>
      <c r="H5">
        <v>0.27</v>
      </c>
      <c r="I5" t="s">
        <v>1326</v>
      </c>
      <c r="J5">
        <v>11488810300</v>
      </c>
      <c r="K5">
        <v>16.77</v>
      </c>
      <c r="L5">
        <v>1.1499999999999999</v>
      </c>
      <c r="M5" t="s">
        <v>476</v>
      </c>
      <c r="N5" t="s">
        <v>1327</v>
      </c>
      <c r="O5" t="s">
        <v>1328</v>
      </c>
      <c r="P5" t="s">
        <v>1329</v>
      </c>
      <c r="Q5">
        <v>-44.6</v>
      </c>
      <c r="R5" t="s">
        <v>906</v>
      </c>
      <c r="S5">
        <v>102467357</v>
      </c>
      <c r="T5" s="4">
        <v>-0.61970000000000003</v>
      </c>
      <c r="U5" t="s">
        <v>1330</v>
      </c>
      <c r="V5">
        <v>3118077300</v>
      </c>
      <c r="W5">
        <v>3121959300</v>
      </c>
      <c r="X5">
        <v>1.76</v>
      </c>
      <c r="Y5">
        <v>0.05</v>
      </c>
      <c r="Z5">
        <v>11.23</v>
      </c>
      <c r="AA5" t="s">
        <v>1331</v>
      </c>
      <c r="AB5" t="s">
        <v>1332</v>
      </c>
      <c r="AC5" t="s">
        <v>1333</v>
      </c>
      <c r="AD5" t="s">
        <v>1334</v>
      </c>
      <c r="AE5" t="s">
        <v>1247</v>
      </c>
      <c r="AF5">
        <v>60729916</v>
      </c>
      <c r="AG5" t="s">
        <v>22</v>
      </c>
      <c r="AH5" t="s">
        <v>1335</v>
      </c>
      <c r="AI5" t="s">
        <v>1336</v>
      </c>
      <c r="AJ5" t="s">
        <v>1337</v>
      </c>
      <c r="AK5" t="s">
        <v>1338</v>
      </c>
      <c r="AL5" t="s">
        <v>1339</v>
      </c>
      <c r="AM5" t="s">
        <v>1340</v>
      </c>
      <c r="AN5" t="s">
        <v>7</v>
      </c>
      <c r="AO5" t="s">
        <v>1188</v>
      </c>
      <c r="AP5" t="s">
        <v>1341</v>
      </c>
      <c r="AQ5" t="s">
        <v>1342</v>
      </c>
      <c r="AR5" t="s">
        <v>1343</v>
      </c>
      <c r="AS5" t="s">
        <v>1344</v>
      </c>
      <c r="AT5" t="s">
        <v>1345</v>
      </c>
      <c r="AU5" t="s">
        <v>7</v>
      </c>
      <c r="AV5" t="s">
        <v>1346</v>
      </c>
      <c r="AW5" t="s">
        <v>1347</v>
      </c>
      <c r="AX5" t="s">
        <v>1348</v>
      </c>
      <c r="AY5" t="s">
        <v>1349</v>
      </c>
      <c r="AZ5" t="s">
        <v>1350</v>
      </c>
      <c r="BA5" t="s">
        <v>1351</v>
      </c>
      <c r="BB5" t="s">
        <v>1352</v>
      </c>
      <c r="BC5" t="s">
        <v>1353</v>
      </c>
      <c r="BD5" t="s">
        <v>106</v>
      </c>
      <c r="BE5" t="s">
        <v>121</v>
      </c>
      <c r="BF5" t="s">
        <v>922</v>
      </c>
      <c r="BG5" t="s">
        <v>1354</v>
      </c>
      <c r="BH5" t="s">
        <v>1355</v>
      </c>
      <c r="BI5" t="s">
        <v>1356</v>
      </c>
      <c r="BJ5" t="s">
        <v>1138</v>
      </c>
      <c r="BK5" t="s">
        <v>1349</v>
      </c>
      <c r="BL5" t="s">
        <v>1330</v>
      </c>
      <c r="BM5" t="s">
        <v>1357</v>
      </c>
      <c r="BN5" t="s">
        <v>106</v>
      </c>
      <c r="BO5">
        <v>5.68</v>
      </c>
      <c r="BP5">
        <v>5.63</v>
      </c>
      <c r="BQ5">
        <v>4.8600000000000003</v>
      </c>
      <c r="BR5">
        <v>5.27</v>
      </c>
      <c r="BS5">
        <v>10.81</v>
      </c>
      <c r="BT5">
        <v>11.14</v>
      </c>
      <c r="BU5">
        <v>9.84</v>
      </c>
      <c r="BV5">
        <v>10.31</v>
      </c>
      <c r="BW5">
        <v>30.34</v>
      </c>
      <c r="BX5">
        <v>33.99</v>
      </c>
      <c r="BY5">
        <v>34.75</v>
      </c>
      <c r="BZ5">
        <v>13.12</v>
      </c>
      <c r="CA5">
        <v>15.21</v>
      </c>
      <c r="CB5">
        <v>11.89</v>
      </c>
      <c r="CC5">
        <v>1.38</v>
      </c>
      <c r="CD5">
        <v>-2.39</v>
      </c>
      <c r="CE5" t="s">
        <v>1358</v>
      </c>
      <c r="CF5" t="s">
        <v>1359</v>
      </c>
      <c r="CG5" s="23">
        <v>-0.44618608404384902</v>
      </c>
      <c r="CH5" s="24">
        <v>-0.61908045724907068</v>
      </c>
      <c r="CI5" s="23">
        <v>0.20930662751197815</v>
      </c>
      <c r="CJ5" s="23">
        <v>1.7735874280333519E-2</v>
      </c>
      <c r="CK5" s="23">
        <v>-0.12324242293834686</v>
      </c>
      <c r="CL5" s="23">
        <v>-7.5829379260540009E-2</v>
      </c>
      <c r="CM5" s="23">
        <v>6.2195528298616409E-2</v>
      </c>
      <c r="CN5" s="24">
        <v>4.6683046966791153E-2</v>
      </c>
      <c r="CO5" s="24">
        <v>0.29206350445747375</v>
      </c>
      <c r="CP5" s="24">
        <v>3.1096562743186951E-2</v>
      </c>
      <c r="CQ5" s="24">
        <v>-0.39203980565071106</v>
      </c>
      <c r="CR5" s="24">
        <v>0.22860635817050934</v>
      </c>
      <c r="CS5">
        <v>1.7612770657672849</v>
      </c>
      <c r="CT5">
        <v>11992178.990610329</v>
      </c>
      <c r="CU5">
        <v>0.98824000000000012</v>
      </c>
      <c r="CV5" s="23">
        <v>0</v>
      </c>
      <c r="CW5" s="24">
        <v>0</v>
      </c>
      <c r="CX5">
        <v>0.06</v>
      </c>
      <c r="CY5">
        <v>11.313895443661973</v>
      </c>
      <c r="CZ5">
        <v>803773584.90566027</v>
      </c>
      <c r="DA5">
        <v>0</v>
      </c>
      <c r="DB5">
        <v>3.9930559493964672</v>
      </c>
      <c r="DC5">
        <v>2277406180.9413137</v>
      </c>
      <c r="DD5">
        <v>0</v>
      </c>
      <c r="DE5">
        <v>2.1705882223709834</v>
      </c>
      <c r="DF5">
        <v>4189560325.7565928</v>
      </c>
      <c r="DG5">
        <v>0</v>
      </c>
      <c r="DH5">
        <v>1.4501847862728829</v>
      </c>
      <c r="DI5">
        <v>6270794167.8053207</v>
      </c>
      <c r="DJ5">
        <v>0</v>
      </c>
      <c r="DK5">
        <v>0.93056317163970526</v>
      </c>
      <c r="DL5">
        <v>9772372878.2175941</v>
      </c>
      <c r="DM5">
        <v>0</v>
      </c>
      <c r="DN5">
        <v>852000000</v>
      </c>
      <c r="DO5">
        <v>0</v>
      </c>
      <c r="DP5">
        <v>9093810300</v>
      </c>
      <c r="DQ5">
        <v>-2230745900.000001</v>
      </c>
      <c r="DR5">
        <v>486</v>
      </c>
      <c r="DS5">
        <v>-0.44618608404384902</v>
      </c>
      <c r="DT5">
        <v>-0.61908045724907068</v>
      </c>
      <c r="DU5" s="25">
        <v>-0.22</v>
      </c>
      <c r="DV5">
        <v>-0.44</v>
      </c>
      <c r="DW5">
        <v>-0.66</v>
      </c>
      <c r="DX5">
        <v>-2.3900000000000001E-2</v>
      </c>
      <c r="DY5">
        <v>0.41388557806913084</v>
      </c>
      <c r="DZ5">
        <v>-3.9168653158522058E-3</v>
      </c>
      <c r="EA5">
        <v>3431</v>
      </c>
      <c r="EB5">
        <v>-1.074486953185345E-3</v>
      </c>
      <c r="EC5">
        <v>0</v>
      </c>
      <c r="ED5">
        <v>8.8085709509409679E-2</v>
      </c>
      <c r="EE5">
        <v>0.53748298384287074</v>
      </c>
      <c r="EF5" s="22">
        <v>-1.1209</v>
      </c>
      <c r="EG5">
        <v>-1.1235999999999999</v>
      </c>
      <c r="EH5">
        <v>25.163885578069131</v>
      </c>
      <c r="EI5" t="s">
        <v>380</v>
      </c>
      <c r="EJ5">
        <v>0</v>
      </c>
      <c r="EK5">
        <v>0</v>
      </c>
    </row>
    <row r="6" spans="1:141" ht="216" x14ac:dyDescent="0.25">
      <c r="B6" s="3" t="s">
        <v>2356</v>
      </c>
      <c r="C6" s="3" t="s">
        <v>2357</v>
      </c>
      <c r="D6" s="3" t="s">
        <v>1740</v>
      </c>
      <c r="E6" t="s">
        <v>206</v>
      </c>
      <c r="F6" t="s">
        <v>207</v>
      </c>
      <c r="G6">
        <v>25.84</v>
      </c>
      <c r="H6">
        <v>-0.15</v>
      </c>
      <c r="I6" t="s">
        <v>1741</v>
      </c>
      <c r="J6">
        <v>43362713000</v>
      </c>
      <c r="K6">
        <v>12.33</v>
      </c>
      <c r="L6">
        <v>2.91</v>
      </c>
      <c r="M6" t="s">
        <v>32</v>
      </c>
      <c r="N6" t="s">
        <v>1742</v>
      </c>
      <c r="O6" t="s">
        <v>1743</v>
      </c>
      <c r="P6" t="s">
        <v>423</v>
      </c>
      <c r="Q6">
        <v>15.89</v>
      </c>
      <c r="R6" t="s">
        <v>430</v>
      </c>
      <c r="S6">
        <v>734358630</v>
      </c>
      <c r="T6" s="4">
        <v>0.24510000000000001</v>
      </c>
      <c r="U6" t="s">
        <v>431</v>
      </c>
      <c r="V6">
        <v>1678123600</v>
      </c>
      <c r="W6">
        <v>1678123600</v>
      </c>
      <c r="X6">
        <v>2.4900000000000002</v>
      </c>
      <c r="Y6">
        <v>0.12</v>
      </c>
      <c r="Z6">
        <v>16.68</v>
      </c>
      <c r="AA6" t="s">
        <v>1744</v>
      </c>
      <c r="AB6" t="s">
        <v>1745</v>
      </c>
      <c r="AC6" t="s">
        <v>1746</v>
      </c>
      <c r="AD6" t="s">
        <v>925</v>
      </c>
      <c r="AE6" t="s">
        <v>7</v>
      </c>
      <c r="AF6">
        <v>108787182</v>
      </c>
      <c r="AG6" t="s">
        <v>432</v>
      </c>
      <c r="AH6" t="s">
        <v>1747</v>
      </c>
      <c r="AI6" t="s">
        <v>1748</v>
      </c>
      <c r="AJ6" t="s">
        <v>1749</v>
      </c>
      <c r="AK6" t="s">
        <v>433</v>
      </c>
      <c r="AL6" t="s">
        <v>1750</v>
      </c>
      <c r="AM6" t="s">
        <v>434</v>
      </c>
      <c r="AN6" t="s">
        <v>7</v>
      </c>
      <c r="AO6" t="s">
        <v>1751</v>
      </c>
      <c r="AP6" t="s">
        <v>1752</v>
      </c>
      <c r="AQ6" t="s">
        <v>1753</v>
      </c>
      <c r="AR6" t="s">
        <v>1754</v>
      </c>
      <c r="AS6" t="s">
        <v>7</v>
      </c>
      <c r="AT6" t="s">
        <v>1755</v>
      </c>
      <c r="AU6" t="s">
        <v>1756</v>
      </c>
      <c r="AV6" t="s">
        <v>1757</v>
      </c>
      <c r="AW6" t="s">
        <v>458</v>
      </c>
      <c r="AX6" t="s">
        <v>1758</v>
      </c>
      <c r="AY6" t="s">
        <v>435</v>
      </c>
      <c r="AZ6" t="s">
        <v>208</v>
      </c>
      <c r="BA6" t="s">
        <v>209</v>
      </c>
      <c r="BB6" t="s">
        <v>210</v>
      </c>
      <c r="BC6" t="s">
        <v>211</v>
      </c>
      <c r="BD6" t="s">
        <v>204</v>
      </c>
      <c r="BE6" t="s">
        <v>124</v>
      </c>
      <c r="BF6" t="s">
        <v>87</v>
      </c>
      <c r="BG6" t="s">
        <v>212</v>
      </c>
      <c r="BH6" t="s">
        <v>25</v>
      </c>
      <c r="BI6" t="s">
        <v>1759</v>
      </c>
      <c r="BJ6" t="s">
        <v>436</v>
      </c>
      <c r="BK6" t="s">
        <v>435</v>
      </c>
      <c r="BL6" t="s">
        <v>431</v>
      </c>
      <c r="BM6" t="s">
        <v>429</v>
      </c>
      <c r="BN6" t="s">
        <v>204</v>
      </c>
      <c r="BO6">
        <v>12.62</v>
      </c>
      <c r="BP6">
        <v>8.6300000000000008</v>
      </c>
      <c r="BQ6">
        <v>6.62</v>
      </c>
      <c r="BR6">
        <v>4.9800000000000004</v>
      </c>
      <c r="BS6">
        <v>25.29</v>
      </c>
      <c r="BT6">
        <v>16.55</v>
      </c>
      <c r="BU6">
        <v>12.35</v>
      </c>
      <c r="BV6">
        <v>9.2899999999999991</v>
      </c>
      <c r="BW6">
        <v>30</v>
      </c>
      <c r="BX6">
        <v>27.13</v>
      </c>
      <c r="BY6">
        <v>26.9</v>
      </c>
      <c r="BZ6">
        <v>17.12</v>
      </c>
      <c r="CA6">
        <v>10.52</v>
      </c>
      <c r="CB6">
        <v>10.51</v>
      </c>
      <c r="CC6">
        <v>-7.15</v>
      </c>
      <c r="CD6">
        <v>19.82</v>
      </c>
      <c r="CE6" t="s">
        <v>1115</v>
      </c>
      <c r="CF6" t="s">
        <v>46</v>
      </c>
      <c r="CG6" s="23">
        <v>0.15877387521749953</v>
      </c>
      <c r="CH6" s="24">
        <v>0.2446756440677966</v>
      </c>
      <c r="CI6" s="23">
        <v>7.5801730155944824E-2</v>
      </c>
      <c r="CJ6" s="23">
        <v>0.38815313577651978</v>
      </c>
      <c r="CK6" s="23">
        <v>0.18607084453105927</v>
      </c>
      <c r="CL6" s="23">
        <v>0.11589399725198746</v>
      </c>
      <c r="CM6" s="23">
        <v>0.14483223855495453</v>
      </c>
      <c r="CN6" s="24">
        <v>0.65343135595321655</v>
      </c>
      <c r="CO6" s="24">
        <v>0.47826087474822998</v>
      </c>
      <c r="CP6" s="24">
        <v>0.48387095332145691</v>
      </c>
      <c r="CQ6" s="24">
        <v>0.21251629292964935</v>
      </c>
      <c r="CR6" s="24">
        <v>0.91271817684173584</v>
      </c>
      <c r="CS6">
        <v>2.1366204976595222</v>
      </c>
      <c r="CT6">
        <v>17834940.409131341</v>
      </c>
      <c r="CU6">
        <v>4.9839840000000004</v>
      </c>
      <c r="CV6" s="23">
        <v>0.18215038925409316</v>
      </c>
      <c r="CW6" s="24">
        <v>0.5481595307588577</v>
      </c>
      <c r="CX6">
        <v>0.06</v>
      </c>
      <c r="CY6">
        <v>13.65096246856632</v>
      </c>
      <c r="CZ6">
        <v>3761691757.5038257</v>
      </c>
      <c r="DA6">
        <v>0.18215038925409316</v>
      </c>
      <c r="DB6">
        <v>4.129596680930419</v>
      </c>
      <c r="DC6">
        <v>12434801015.103109</v>
      </c>
      <c r="DD6">
        <v>0.1730428697913885</v>
      </c>
      <c r="DE6">
        <v>1.827259580030512</v>
      </c>
      <c r="DF6">
        <v>28102582447.066734</v>
      </c>
      <c r="DG6">
        <v>0.16029234254360197</v>
      </c>
      <c r="DH6">
        <v>0.96828020885703525</v>
      </c>
      <c r="DI6">
        <v>53032905692.26313</v>
      </c>
      <c r="DJ6">
        <v>0.14572031140327454</v>
      </c>
      <c r="DK6">
        <v>0.37392822155734923</v>
      </c>
      <c r="DL6">
        <v>137327727728.42009</v>
      </c>
      <c r="DM6">
        <v>0.12750527247786519</v>
      </c>
      <c r="DN6">
        <v>3372999999.9999995</v>
      </c>
      <c r="DO6">
        <v>0.18215038925409316</v>
      </c>
      <c r="DP6">
        <v>51350713000</v>
      </c>
      <c r="DQ6">
        <v>2472007000</v>
      </c>
      <c r="DR6">
        <v>567</v>
      </c>
      <c r="DS6">
        <v>-2.3376514036593632E-2</v>
      </c>
      <c r="DT6">
        <v>-0.30348388669106108</v>
      </c>
      <c r="DU6" s="25">
        <v>0.5033333333333333</v>
      </c>
      <c r="DV6">
        <v>1.1533333333333333</v>
      </c>
      <c r="DW6">
        <v>1.6566666666666667</v>
      </c>
      <c r="DX6">
        <v>-7.2651093807934739</v>
      </c>
      <c r="DY6">
        <v>0.38913580246913537</v>
      </c>
      <c r="DZ6">
        <v>-7.0448394878625997</v>
      </c>
      <c r="EA6">
        <v>493</v>
      </c>
      <c r="EB6">
        <v>-7.0401797350134725</v>
      </c>
      <c r="EC6">
        <v>7</v>
      </c>
      <c r="ED6">
        <v>8.1638801814121434E-2</v>
      </c>
      <c r="EE6">
        <v>0.48268196693020704</v>
      </c>
      <c r="EF6" s="22">
        <v>1.0484100000000001</v>
      </c>
      <c r="EG6">
        <v>1.0499099999999999</v>
      </c>
      <c r="EH6">
        <v>22.169135802469135</v>
      </c>
      <c r="EI6" t="s">
        <v>1266</v>
      </c>
      <c r="EJ6">
        <v>0</v>
      </c>
      <c r="EK6">
        <v>1</v>
      </c>
    </row>
    <row r="7" spans="1:141" x14ac:dyDescent="0.25">
      <c r="B7" s="3"/>
      <c r="C7" s="3"/>
      <c r="D7" s="3"/>
      <c r="E7" t="s">
        <v>449</v>
      </c>
      <c r="F7" t="s">
        <v>450</v>
      </c>
      <c r="G7">
        <v>7.22</v>
      </c>
      <c r="H7">
        <v>2.12</v>
      </c>
      <c r="I7" t="s">
        <v>527</v>
      </c>
      <c r="J7">
        <v>11905944800</v>
      </c>
      <c r="K7">
        <v>13.62</v>
      </c>
      <c r="L7">
        <v>1.0900000000000001</v>
      </c>
      <c r="M7" t="s">
        <v>451</v>
      </c>
      <c r="N7" t="s">
        <v>528</v>
      </c>
      <c r="O7" t="s">
        <v>529</v>
      </c>
      <c r="P7" t="s">
        <v>452</v>
      </c>
      <c r="Q7">
        <v>-9.33</v>
      </c>
      <c r="R7" t="s">
        <v>453</v>
      </c>
      <c r="S7">
        <v>106721637</v>
      </c>
      <c r="T7" s="4">
        <v>-0.71350000000000002</v>
      </c>
      <c r="U7" t="s">
        <v>182</v>
      </c>
      <c r="V7">
        <v>1531725800</v>
      </c>
      <c r="W7">
        <v>1649022800</v>
      </c>
      <c r="X7">
        <v>2.87</v>
      </c>
      <c r="Y7">
        <v>0.82</v>
      </c>
      <c r="Z7">
        <v>4.58</v>
      </c>
      <c r="AA7" t="s">
        <v>530</v>
      </c>
      <c r="AB7" t="s">
        <v>531</v>
      </c>
      <c r="AC7" t="s">
        <v>93</v>
      </c>
      <c r="AD7" t="s">
        <v>120</v>
      </c>
      <c r="AE7" t="s">
        <v>26</v>
      </c>
      <c r="AF7">
        <v>146098220</v>
      </c>
      <c r="AG7" t="s">
        <v>532</v>
      </c>
      <c r="AH7" t="s">
        <v>533</v>
      </c>
      <c r="AI7" t="s">
        <v>277</v>
      </c>
      <c r="AJ7" t="s">
        <v>534</v>
      </c>
      <c r="AK7" t="s">
        <v>535</v>
      </c>
      <c r="AL7" t="s">
        <v>259</v>
      </c>
      <c r="AM7" t="s">
        <v>536</v>
      </c>
      <c r="AN7" t="s">
        <v>7</v>
      </c>
      <c r="AO7" t="s">
        <v>246</v>
      </c>
      <c r="AP7" t="s">
        <v>537</v>
      </c>
      <c r="AQ7" t="s">
        <v>33</v>
      </c>
      <c r="AR7" t="s">
        <v>538</v>
      </c>
      <c r="AS7" t="s">
        <v>539</v>
      </c>
      <c r="AT7" t="s">
        <v>540</v>
      </c>
      <c r="AU7" t="s">
        <v>541</v>
      </c>
      <c r="AV7" t="s">
        <v>264</v>
      </c>
      <c r="AW7" t="s">
        <v>542</v>
      </c>
      <c r="AX7" t="s">
        <v>377</v>
      </c>
      <c r="AY7" t="s">
        <v>543</v>
      </c>
      <c r="AZ7" t="s">
        <v>544</v>
      </c>
      <c r="BA7" t="s">
        <v>545</v>
      </c>
      <c r="BB7" t="s">
        <v>546</v>
      </c>
      <c r="BC7" t="s">
        <v>547</v>
      </c>
      <c r="BD7" t="s">
        <v>203</v>
      </c>
      <c r="BE7" t="s">
        <v>250</v>
      </c>
      <c r="BF7" t="s">
        <v>191</v>
      </c>
      <c r="BG7" t="s">
        <v>258</v>
      </c>
      <c r="BH7" t="s">
        <v>23</v>
      </c>
      <c r="BI7" t="s">
        <v>453</v>
      </c>
      <c r="BJ7" t="s">
        <v>548</v>
      </c>
      <c r="BK7" t="s">
        <v>543</v>
      </c>
      <c r="BL7" t="s">
        <v>182</v>
      </c>
      <c r="BM7" t="s">
        <v>67</v>
      </c>
      <c r="BN7" t="s">
        <v>203</v>
      </c>
      <c r="BO7">
        <v>3.49</v>
      </c>
      <c r="BP7">
        <v>4.5999999999999996</v>
      </c>
      <c r="BQ7">
        <v>4.4000000000000004</v>
      </c>
      <c r="BR7">
        <v>4.95</v>
      </c>
      <c r="BS7">
        <v>8.99</v>
      </c>
      <c r="BT7">
        <v>12.37</v>
      </c>
      <c r="BU7">
        <v>12.46</v>
      </c>
      <c r="BV7">
        <v>13.2</v>
      </c>
      <c r="BW7">
        <v>8.6300000000000008</v>
      </c>
      <c r="BX7">
        <v>8.6300000000000008</v>
      </c>
      <c r="BY7">
        <v>5.31</v>
      </c>
      <c r="BZ7">
        <v>4.17</v>
      </c>
      <c r="CA7">
        <v>4.17</v>
      </c>
      <c r="CB7">
        <v>2.4</v>
      </c>
      <c r="CC7">
        <v>-11.3</v>
      </c>
      <c r="CD7">
        <v>-22.37</v>
      </c>
      <c r="CE7" t="s">
        <v>549</v>
      </c>
      <c r="CF7" t="s">
        <v>19</v>
      </c>
    </row>
    <row r="8" spans="1:141" x14ac:dyDescent="0.25">
      <c r="E8" t="s">
        <v>1729</v>
      </c>
      <c r="F8" t="s">
        <v>1730</v>
      </c>
      <c r="G8">
        <v>6.11</v>
      </c>
      <c r="H8">
        <v>-1.77</v>
      </c>
      <c r="I8" t="s">
        <v>877</v>
      </c>
      <c r="J8">
        <v>5311883000</v>
      </c>
      <c r="L8">
        <v>2.93</v>
      </c>
      <c r="M8" t="s">
        <v>1731</v>
      </c>
      <c r="N8" t="s">
        <v>7</v>
      </c>
      <c r="O8" t="s">
        <v>7</v>
      </c>
      <c r="P8" t="s">
        <v>1760</v>
      </c>
      <c r="Q8" t="s">
        <v>7</v>
      </c>
      <c r="R8" t="s">
        <v>1110</v>
      </c>
      <c r="S8">
        <v>-15850000</v>
      </c>
      <c r="T8" s="4">
        <v>-0.61199999999999999</v>
      </c>
      <c r="U8" t="s">
        <v>1761</v>
      </c>
      <c r="V8">
        <v>868477200</v>
      </c>
      <c r="W8">
        <v>869375280</v>
      </c>
      <c r="X8" t="s">
        <v>7</v>
      </c>
      <c r="Y8" t="s">
        <v>7</v>
      </c>
      <c r="Z8" t="s">
        <v>7</v>
      </c>
      <c r="AA8" t="s">
        <v>7</v>
      </c>
      <c r="AB8" t="s">
        <v>7</v>
      </c>
      <c r="AC8" t="s">
        <v>7</v>
      </c>
      <c r="AD8" t="s">
        <v>7</v>
      </c>
      <c r="AE8" t="s">
        <v>7</v>
      </c>
      <c r="AF8">
        <v>125582010</v>
      </c>
      <c r="AG8" t="s">
        <v>1762</v>
      </c>
      <c r="AH8" t="s">
        <v>7</v>
      </c>
      <c r="AI8" t="s">
        <v>1763</v>
      </c>
      <c r="AJ8" t="s">
        <v>7</v>
      </c>
      <c r="AK8" t="s">
        <v>1764</v>
      </c>
      <c r="AL8" t="s">
        <v>7</v>
      </c>
      <c r="AM8" t="s">
        <v>1765</v>
      </c>
      <c r="AN8" t="s">
        <v>7</v>
      </c>
      <c r="AO8" t="s">
        <v>7</v>
      </c>
      <c r="AP8" t="s">
        <v>7</v>
      </c>
      <c r="AQ8" t="s">
        <v>7</v>
      </c>
      <c r="AR8" t="s">
        <v>7</v>
      </c>
      <c r="AS8" t="s">
        <v>7</v>
      </c>
      <c r="AT8" t="s">
        <v>7</v>
      </c>
      <c r="AU8" t="s">
        <v>7</v>
      </c>
      <c r="AV8" t="s">
        <v>7</v>
      </c>
      <c r="AW8" t="s">
        <v>7</v>
      </c>
      <c r="AX8" t="s">
        <v>7</v>
      </c>
      <c r="AY8" t="s">
        <v>1766</v>
      </c>
      <c r="AZ8" t="s">
        <v>1385</v>
      </c>
      <c r="BA8" t="s">
        <v>1767</v>
      </c>
      <c r="BB8" t="s">
        <v>1768</v>
      </c>
      <c r="BC8" t="s">
        <v>1769</v>
      </c>
      <c r="BD8" t="s">
        <v>1770</v>
      </c>
      <c r="BE8" t="s">
        <v>1771</v>
      </c>
      <c r="BF8" t="s">
        <v>1772</v>
      </c>
      <c r="BG8" t="s">
        <v>1773</v>
      </c>
      <c r="BH8" t="s">
        <v>853</v>
      </c>
      <c r="BI8" t="s">
        <v>7</v>
      </c>
      <c r="BJ8" t="s">
        <v>1774</v>
      </c>
      <c r="BK8" t="s">
        <v>1766</v>
      </c>
      <c r="BL8" t="s">
        <v>1775</v>
      </c>
      <c r="BM8" t="s">
        <v>1776</v>
      </c>
      <c r="BN8" t="s">
        <v>1770</v>
      </c>
      <c r="BO8">
        <v>0.01</v>
      </c>
      <c r="BP8">
        <v>-5.8</v>
      </c>
      <c r="BQ8">
        <v>0.24</v>
      </c>
      <c r="BR8">
        <v>0.56000000000000005</v>
      </c>
      <c r="BS8">
        <v>0.1</v>
      </c>
      <c r="BT8">
        <v>-37.54</v>
      </c>
      <c r="BU8">
        <v>1.1399999999999999</v>
      </c>
      <c r="BV8">
        <v>2.23</v>
      </c>
      <c r="BW8">
        <v>27.19</v>
      </c>
      <c r="BX8">
        <v>0.3</v>
      </c>
      <c r="BY8">
        <v>13.91</v>
      </c>
      <c r="BZ8">
        <v>0.36</v>
      </c>
      <c r="CA8">
        <v>-18.18</v>
      </c>
      <c r="CB8">
        <v>1.29</v>
      </c>
      <c r="CC8">
        <v>10.89</v>
      </c>
      <c r="CD8">
        <v>34.29</v>
      </c>
      <c r="CE8" t="s">
        <v>1777</v>
      </c>
      <c r="CF8" t="s">
        <v>1778</v>
      </c>
      <c r="CG8" s="23">
        <v>-0.31611441307578014</v>
      </c>
      <c r="CH8" s="24">
        <v>-4.2876314534027502</v>
      </c>
      <c r="CI8" s="23">
        <v>-0.82092839479446411</v>
      </c>
      <c r="CJ8" s="23">
        <v>-0.28453472256660461</v>
      </c>
      <c r="CK8" s="23">
        <v>0.39987015724182129</v>
      </c>
      <c r="CL8" s="23">
        <v>-0.25990003347396851</v>
      </c>
      <c r="CM8" s="23">
        <v>7.706275463104248</v>
      </c>
      <c r="CN8" s="24">
        <v>1.001612663269043</v>
      </c>
      <c r="CO8" s="24">
        <v>-28.363718032836914</v>
      </c>
      <c r="CP8" s="24">
        <v>-0.43176457285881042</v>
      </c>
      <c r="CQ8" s="24">
        <v>-0.66843241453170776</v>
      </c>
      <c r="CR8" s="24">
        <v>1.75</v>
      </c>
      <c r="CS8">
        <v>3.8464033309196233</v>
      </c>
      <c r="CT8">
        <v>-1085977120.8638477</v>
      </c>
      <c r="CU8" t="e">
        <v>#VALUE!</v>
      </c>
      <c r="CV8" s="23">
        <v>1.3481564939022064</v>
      </c>
      <c r="CW8" s="24">
        <v>-5.3424604713916777</v>
      </c>
      <c r="CX8">
        <v>0.06</v>
      </c>
      <c r="CY8">
        <v>1281.8086039503864</v>
      </c>
      <c r="CZ8">
        <v>4144053.1633423185</v>
      </c>
      <c r="DA8">
        <v>1.3481564939022064</v>
      </c>
      <c r="DB8">
        <v>169.5991378688403</v>
      </c>
      <c r="DC8">
        <v>31320224.069228176</v>
      </c>
      <c r="DD8">
        <v>1.280748669207096</v>
      </c>
      <c r="DE8">
        <v>19.247044574240693</v>
      </c>
      <c r="DF8">
        <v>275984345.51916432</v>
      </c>
      <c r="DG8">
        <v>1.1863777146339416</v>
      </c>
      <c r="DH8">
        <v>1.6576148435976847</v>
      </c>
      <c r="DI8">
        <v>3204533924.4616666</v>
      </c>
      <c r="DJ8">
        <v>1.0785251951217651</v>
      </c>
      <c r="DK8">
        <v>6.9889967567061152E-3</v>
      </c>
      <c r="DL8">
        <v>760035121622.15796</v>
      </c>
      <c r="DM8">
        <v>0.94370954573154442</v>
      </c>
      <c r="DN8">
        <v>1870700</v>
      </c>
      <c r="DO8">
        <v>1.3481564939022064</v>
      </c>
      <c r="DP8">
        <v>5311883000</v>
      </c>
      <c r="DQ8">
        <v>21483095000</v>
      </c>
      <c r="DR8">
        <v>1044</v>
      </c>
      <c r="DS8">
        <v>-1.6642709069779866</v>
      </c>
      <c r="DT8">
        <v>1.0548290179889275</v>
      </c>
      <c r="DU8" s="25">
        <v>-0.22</v>
      </c>
      <c r="DV8">
        <v>-0.89833333333333332</v>
      </c>
      <c r="DW8">
        <v>-1.1183333333333334</v>
      </c>
      <c r="DX8">
        <v>9.317585301837271</v>
      </c>
      <c r="DY8">
        <v>0.78443018405350928</v>
      </c>
      <c r="DZ8">
        <v>9.0839791398175187</v>
      </c>
      <c r="EA8">
        <v>4073</v>
      </c>
      <c r="EB8">
        <v>9.0114808277198595</v>
      </c>
      <c r="EC8">
        <v>9</v>
      </c>
      <c r="ED8">
        <v>0.61653466843455684</v>
      </c>
      <c r="EE8">
        <v>2.3315592778299377</v>
      </c>
      <c r="EF8" s="22">
        <v>4.0198999999999998</v>
      </c>
      <c r="EG8">
        <v>4.0022000000000002</v>
      </c>
      <c r="EH8">
        <v>52.264430184053509</v>
      </c>
      <c r="EI8" t="s">
        <v>1156</v>
      </c>
      <c r="EJ8">
        <v>1</v>
      </c>
      <c r="EK8">
        <v>0</v>
      </c>
    </row>
    <row r="9" spans="1:141" x14ac:dyDescent="0.25">
      <c r="B9" s="3"/>
      <c r="C9" s="3"/>
      <c r="D9" s="3"/>
      <c r="E9" t="s">
        <v>304</v>
      </c>
      <c r="F9" t="s">
        <v>305</v>
      </c>
      <c r="G9">
        <v>10.01</v>
      </c>
      <c r="H9">
        <v>0.1</v>
      </c>
      <c r="I9" t="s">
        <v>550</v>
      </c>
      <c r="J9">
        <v>7733747800</v>
      </c>
      <c r="L9">
        <v>2.91</v>
      </c>
      <c r="M9" t="s">
        <v>276</v>
      </c>
      <c r="N9" t="s">
        <v>188</v>
      </c>
      <c r="O9" t="s">
        <v>454</v>
      </c>
      <c r="P9" t="s">
        <v>455</v>
      </c>
      <c r="Q9">
        <v>30.01</v>
      </c>
      <c r="R9" t="s">
        <v>254</v>
      </c>
      <c r="S9">
        <v>2422138</v>
      </c>
      <c r="T9" s="4">
        <v>1.085</v>
      </c>
      <c r="U9" t="s">
        <v>456</v>
      </c>
      <c r="V9">
        <v>558672140</v>
      </c>
      <c r="W9">
        <v>772602180</v>
      </c>
      <c r="X9">
        <v>1.72</v>
      </c>
      <c r="Y9">
        <v>0.08</v>
      </c>
      <c r="Z9">
        <v>0.1</v>
      </c>
      <c r="AA9" t="s">
        <v>65</v>
      </c>
      <c r="AB9" t="s">
        <v>94</v>
      </c>
      <c r="AC9" t="s">
        <v>457</v>
      </c>
      <c r="AD9" t="s">
        <v>551</v>
      </c>
      <c r="AE9" t="s">
        <v>43</v>
      </c>
      <c r="AF9">
        <v>13185876</v>
      </c>
      <c r="AG9" t="s">
        <v>552</v>
      </c>
      <c r="AH9" t="s">
        <v>553</v>
      </c>
      <c r="AI9" t="s">
        <v>554</v>
      </c>
      <c r="AJ9" t="s">
        <v>116</v>
      </c>
      <c r="AK9" t="s">
        <v>555</v>
      </c>
      <c r="AL9" t="s">
        <v>556</v>
      </c>
      <c r="AM9" t="s">
        <v>557</v>
      </c>
      <c r="AN9" t="s">
        <v>7</v>
      </c>
      <c r="AO9" t="s">
        <v>558</v>
      </c>
      <c r="AP9" t="s">
        <v>41</v>
      </c>
      <c r="AQ9" t="s">
        <v>95</v>
      </c>
      <c r="AR9" t="s">
        <v>86</v>
      </c>
      <c r="AS9" t="s">
        <v>7</v>
      </c>
      <c r="AT9" t="s">
        <v>559</v>
      </c>
      <c r="AU9" t="s">
        <v>560</v>
      </c>
      <c r="AV9" t="s">
        <v>201</v>
      </c>
      <c r="AW9" t="s">
        <v>561</v>
      </c>
      <c r="AX9" t="s">
        <v>562</v>
      </c>
      <c r="AY9" t="s">
        <v>248</v>
      </c>
      <c r="AZ9" t="s">
        <v>307</v>
      </c>
      <c r="BA9" t="s">
        <v>190</v>
      </c>
      <c r="BB9" t="s">
        <v>48</v>
      </c>
      <c r="BC9" t="s">
        <v>44</v>
      </c>
      <c r="BD9" t="s">
        <v>306</v>
      </c>
      <c r="BE9" t="s">
        <v>308</v>
      </c>
      <c r="BF9" t="s">
        <v>309</v>
      </c>
      <c r="BG9" t="s">
        <v>310</v>
      </c>
      <c r="BH9" t="s">
        <v>311</v>
      </c>
      <c r="BI9" t="s">
        <v>90</v>
      </c>
      <c r="BJ9" t="s">
        <v>79</v>
      </c>
      <c r="BK9" t="s">
        <v>248</v>
      </c>
      <c r="BL9" t="s">
        <v>456</v>
      </c>
      <c r="BM9" t="s">
        <v>312</v>
      </c>
      <c r="BN9" t="s">
        <v>306</v>
      </c>
      <c r="BO9">
        <v>-3.1</v>
      </c>
      <c r="BP9">
        <v>-5.31</v>
      </c>
      <c r="BQ9">
        <v>1.69</v>
      </c>
      <c r="BR9">
        <v>0.49</v>
      </c>
      <c r="BS9">
        <v>-5.52</v>
      </c>
      <c r="BT9">
        <v>-8.2100000000000009</v>
      </c>
      <c r="BU9">
        <v>2.5</v>
      </c>
      <c r="BV9">
        <v>0.69</v>
      </c>
      <c r="BW9">
        <v>13.65</v>
      </c>
      <c r="BX9">
        <v>16.989999999999998</v>
      </c>
      <c r="BY9">
        <v>22</v>
      </c>
      <c r="BZ9">
        <v>-6.05</v>
      </c>
      <c r="CA9">
        <v>-13</v>
      </c>
      <c r="CB9">
        <v>3.17</v>
      </c>
      <c r="CC9">
        <v>0.2</v>
      </c>
      <c r="CD9">
        <v>-1.86</v>
      </c>
      <c r="CE9" t="s">
        <v>99</v>
      </c>
      <c r="CF9" t="s">
        <v>563</v>
      </c>
      <c r="CG9" s="23">
        <v>0.29837521582733811</v>
      </c>
      <c r="CH9" s="24">
        <v>1.0846581710403065</v>
      </c>
      <c r="CI9" s="23">
        <v>0.3779149055480957</v>
      </c>
      <c r="CJ9" s="23">
        <v>-3.6988109350204468E-2</v>
      </c>
      <c r="CK9" s="23">
        <v>0.16193394362926483</v>
      </c>
      <c r="CL9" s="23">
        <v>0.39060840010643005</v>
      </c>
      <c r="CM9" s="23">
        <v>0.15536375343799591</v>
      </c>
      <c r="CN9" s="24">
        <v>0.37569060921669006</v>
      </c>
      <c r="CO9" s="24">
        <v>-4.1795439720153809</v>
      </c>
      <c r="CP9" s="24">
        <v>2.6951518058776855</v>
      </c>
      <c r="CQ9" s="24">
        <v>1.2615866661071777</v>
      </c>
      <c r="CR9" s="24">
        <v>-2.7817296981811523</v>
      </c>
      <c r="CS9">
        <v>3.8495509208561471</v>
      </c>
      <c r="CT9">
        <v>20109582.300884958</v>
      </c>
      <c r="CU9">
        <v>1.3760000000000001E-2</v>
      </c>
      <c r="CV9" s="23">
        <v>0.20976657867431642</v>
      </c>
      <c r="CW9" s="24">
        <v>-0.52576891779899593</v>
      </c>
      <c r="CX9">
        <v>0.06</v>
      </c>
      <c r="CY9" t="e">
        <v>#VALUE!</v>
      </c>
      <c r="CZ9" t="s">
        <v>427</v>
      </c>
      <c r="DA9">
        <v>0.20976657867431642</v>
      </c>
      <c r="DB9" t="e">
        <v>#VALUE!</v>
      </c>
      <c r="DC9" t="s">
        <v>427</v>
      </c>
      <c r="DD9">
        <v>0.1992782497406006</v>
      </c>
      <c r="DE9" t="e">
        <v>#VALUE!</v>
      </c>
      <c r="DF9" t="s">
        <v>427</v>
      </c>
      <c r="DG9">
        <v>0.18459458923339844</v>
      </c>
      <c r="DH9" t="e">
        <v>#VALUE!</v>
      </c>
      <c r="DI9" t="s">
        <v>427</v>
      </c>
      <c r="DJ9">
        <v>0.16781326293945314</v>
      </c>
      <c r="DK9" t="e">
        <v>#VALUE!</v>
      </c>
      <c r="DL9" t="s">
        <v>427</v>
      </c>
      <c r="DM9">
        <v>0.14683660507202148</v>
      </c>
      <c r="DN9">
        <v>-112999999.99999999</v>
      </c>
      <c r="DO9">
        <v>0.20976657867431642</v>
      </c>
      <c r="DP9">
        <v>6989747800</v>
      </c>
      <c r="DQ9">
        <v>835351900</v>
      </c>
      <c r="DR9">
        <v>1104</v>
      </c>
      <c r="DS9">
        <v>8.8608637153021697E-2</v>
      </c>
      <c r="DT9">
        <v>1.6104270888393024</v>
      </c>
      <c r="DU9" s="25">
        <v>0.73666666666666669</v>
      </c>
      <c r="DV9">
        <v>-0.6066666666666668</v>
      </c>
      <c r="DW9">
        <v>0.12999999999999989</v>
      </c>
      <c r="DX9">
        <v>-1.8600000000000002E-2</v>
      </c>
      <c r="DY9">
        <v>0.28670304925272527</v>
      </c>
      <c r="DZ9">
        <v>-2.542676716100695E-3</v>
      </c>
      <c r="EA9">
        <v>2777</v>
      </c>
      <c r="EB9">
        <v>-1.0460651771834356E-3</v>
      </c>
      <c r="EC9">
        <v>0</v>
      </c>
      <c r="ED9">
        <v>0.30804986856236932</v>
      </c>
      <c r="EE9">
        <v>2.2534236183490965</v>
      </c>
      <c r="EF9" s="22">
        <v>4.1210000000000004E-2</v>
      </c>
      <c r="EG9">
        <v>4.0210000000000003E-2</v>
      </c>
      <c r="EH9">
        <v>15.136703049252725</v>
      </c>
      <c r="EI9">
        <v>-1</v>
      </c>
      <c r="EJ9">
        <v>0</v>
      </c>
      <c r="EK9">
        <v>0</v>
      </c>
    </row>
    <row r="10" spans="1:141" x14ac:dyDescent="0.25">
      <c r="B10" s="3"/>
      <c r="C10" s="3"/>
      <c r="D10" s="3"/>
      <c r="E10" t="s">
        <v>283</v>
      </c>
      <c r="F10" t="s">
        <v>284</v>
      </c>
      <c r="G10">
        <v>6.13</v>
      </c>
      <c r="H10">
        <v>2.34</v>
      </c>
      <c r="I10" t="s">
        <v>564</v>
      </c>
      <c r="J10">
        <v>3527240900</v>
      </c>
      <c r="K10">
        <v>338.5</v>
      </c>
      <c r="L10">
        <v>1.83</v>
      </c>
      <c r="M10" t="s">
        <v>276</v>
      </c>
      <c r="N10" t="s">
        <v>347</v>
      </c>
      <c r="O10" t="s">
        <v>459</v>
      </c>
      <c r="P10" t="s">
        <v>460</v>
      </c>
      <c r="Q10">
        <v>-32.15</v>
      </c>
      <c r="R10" t="s">
        <v>107</v>
      </c>
      <c r="S10">
        <v>-21774278</v>
      </c>
      <c r="T10" s="4">
        <v>-3.1749999999999998</v>
      </c>
      <c r="U10" t="s">
        <v>461</v>
      </c>
      <c r="V10">
        <v>542892350</v>
      </c>
      <c r="W10">
        <v>575406350</v>
      </c>
      <c r="X10">
        <v>1.89</v>
      </c>
      <c r="Y10">
        <v>0.08</v>
      </c>
      <c r="Z10">
        <v>-7.69</v>
      </c>
      <c r="AA10" t="s">
        <v>98</v>
      </c>
      <c r="AB10" t="s">
        <v>54</v>
      </c>
      <c r="AC10" t="s">
        <v>462</v>
      </c>
      <c r="AD10" t="s">
        <v>565</v>
      </c>
      <c r="AE10" t="s">
        <v>566</v>
      </c>
      <c r="AF10">
        <v>3049708</v>
      </c>
      <c r="AG10" t="s">
        <v>567</v>
      </c>
      <c r="AH10" t="s">
        <v>568</v>
      </c>
      <c r="AI10" t="s">
        <v>569</v>
      </c>
      <c r="AJ10" t="s">
        <v>123</v>
      </c>
      <c r="AK10" t="s">
        <v>570</v>
      </c>
      <c r="AL10" t="s">
        <v>571</v>
      </c>
      <c r="AM10" t="s">
        <v>572</v>
      </c>
      <c r="AN10" t="s">
        <v>7</v>
      </c>
      <c r="AO10" t="s">
        <v>573</v>
      </c>
      <c r="AP10" t="s">
        <v>180</v>
      </c>
      <c r="AQ10" t="s">
        <v>100</v>
      </c>
      <c r="AR10" t="s">
        <v>80</v>
      </c>
      <c r="AS10" t="s">
        <v>574</v>
      </c>
      <c r="AT10" t="s">
        <v>575</v>
      </c>
      <c r="AU10" t="s">
        <v>576</v>
      </c>
      <c r="AV10" t="s">
        <v>62</v>
      </c>
      <c r="AW10" t="s">
        <v>577</v>
      </c>
      <c r="AX10" t="s">
        <v>578</v>
      </c>
      <c r="AY10" t="s">
        <v>285</v>
      </c>
      <c r="AZ10" t="s">
        <v>287</v>
      </c>
      <c r="BA10" t="s">
        <v>257</v>
      </c>
      <c r="BB10" t="s">
        <v>288</v>
      </c>
      <c r="BC10" t="s">
        <v>53</v>
      </c>
      <c r="BD10" t="s">
        <v>286</v>
      </c>
      <c r="BE10" t="s">
        <v>289</v>
      </c>
      <c r="BF10" t="s">
        <v>290</v>
      </c>
      <c r="BG10" t="s">
        <v>291</v>
      </c>
      <c r="BH10" t="s">
        <v>239</v>
      </c>
      <c r="BI10" t="s">
        <v>83</v>
      </c>
      <c r="BJ10" t="s">
        <v>25</v>
      </c>
      <c r="BK10" t="s">
        <v>285</v>
      </c>
      <c r="BL10" t="s">
        <v>461</v>
      </c>
      <c r="BM10" t="s">
        <v>292</v>
      </c>
      <c r="BN10" t="s">
        <v>286</v>
      </c>
      <c r="BO10">
        <v>1.46</v>
      </c>
      <c r="BP10">
        <v>2.67</v>
      </c>
      <c r="BQ10">
        <v>-12.01</v>
      </c>
      <c r="BR10">
        <v>0.43</v>
      </c>
      <c r="BS10">
        <v>2.31</v>
      </c>
      <c r="BT10">
        <v>4.9800000000000004</v>
      </c>
      <c r="BU10">
        <v>-20.190000000000001</v>
      </c>
      <c r="BV10">
        <v>0.71</v>
      </c>
      <c r="BW10">
        <v>21.81</v>
      </c>
      <c r="BX10">
        <v>23.96</v>
      </c>
      <c r="BY10">
        <v>21.52</v>
      </c>
      <c r="BZ10">
        <v>2.83</v>
      </c>
      <c r="CA10">
        <v>4.08</v>
      </c>
      <c r="CB10">
        <v>-21.64</v>
      </c>
      <c r="CC10">
        <v>-0.33</v>
      </c>
      <c r="CD10">
        <v>12.48</v>
      </c>
      <c r="CE10" t="s">
        <v>579</v>
      </c>
      <c r="CF10" t="s">
        <v>68</v>
      </c>
      <c r="CG10" s="23">
        <v>-0.32102563591022443</v>
      </c>
      <c r="CH10" s="24">
        <v>-3.1754698771106002</v>
      </c>
      <c r="CI10" s="23">
        <v>-0.12126242369413376</v>
      </c>
      <c r="CJ10" s="23">
        <v>0.14739517867565155</v>
      </c>
      <c r="CK10" s="23">
        <v>8.9273408055305481E-2</v>
      </c>
      <c r="CL10" s="23">
        <v>-0.17239408195018768</v>
      </c>
      <c r="CM10" s="23">
        <v>0.96843290328979492</v>
      </c>
      <c r="CN10" s="24">
        <v>-0.40904459357261658</v>
      </c>
      <c r="CO10" s="24">
        <v>1.218400239944458</v>
      </c>
      <c r="CP10" s="24">
        <v>-26.502445220947266</v>
      </c>
      <c r="CQ10" s="24">
        <v>-0.7488211989402771</v>
      </c>
      <c r="CR10" s="24">
        <v>1.1707308292388916</v>
      </c>
      <c r="CS10">
        <v>2.2225840579710145</v>
      </c>
      <c r="CT10">
        <v>-54511458.575212896</v>
      </c>
      <c r="CU10">
        <v>-1.162728</v>
      </c>
      <c r="CV10" s="23">
        <v>0.1822889968752861</v>
      </c>
      <c r="CW10" s="24">
        <v>-5.0542359888553623</v>
      </c>
      <c r="CX10">
        <v>0.06</v>
      </c>
      <c r="CY10">
        <v>70.321179309240705</v>
      </c>
      <c r="CZ10">
        <v>47073171.020682968</v>
      </c>
      <c r="DA10">
        <v>0.1822889968752861</v>
      </c>
      <c r="DB10">
        <v>21.27064423407348</v>
      </c>
      <c r="DC10">
        <v>155624853.83951464</v>
      </c>
      <c r="DD10">
        <v>0.1731745470315218</v>
      </c>
      <c r="DE10">
        <v>9.4102740412635981</v>
      </c>
      <c r="DF10">
        <v>351768809.86512756</v>
      </c>
      <c r="DG10">
        <v>0.16041431725025176</v>
      </c>
      <c r="DH10">
        <v>4.9855946932526409</v>
      </c>
      <c r="DI10">
        <v>663961092.6415627</v>
      </c>
      <c r="DJ10">
        <v>0.14583119750022888</v>
      </c>
      <c r="DK10">
        <v>1.9243974071013941</v>
      </c>
      <c r="DL10">
        <v>1720144128.1226938</v>
      </c>
      <c r="DM10">
        <v>0.12760229781270027</v>
      </c>
      <c r="DN10">
        <v>42204200</v>
      </c>
      <c r="DO10">
        <v>0.1822889968752861</v>
      </c>
      <c r="DP10">
        <v>3310240900</v>
      </c>
      <c r="DQ10">
        <v>731160300.00000024</v>
      </c>
      <c r="DR10">
        <v>1695</v>
      </c>
      <c r="DS10">
        <v>-0.50331463278551047</v>
      </c>
      <c r="DT10">
        <v>1.878766111744762</v>
      </c>
      <c r="DU10" s="25">
        <v>-0.13666666666666669</v>
      </c>
      <c r="DV10">
        <v>-1.4816666666666667</v>
      </c>
      <c r="DW10">
        <v>-1.6183333333333334</v>
      </c>
      <c r="DX10">
        <v>2.1248</v>
      </c>
      <c r="DY10">
        <v>0.40266809116809155</v>
      </c>
      <c r="DZ10">
        <v>2.021548977777778</v>
      </c>
      <c r="EA10">
        <v>4266</v>
      </c>
      <c r="EB10">
        <v>2.0020685922723742</v>
      </c>
      <c r="EC10">
        <v>2</v>
      </c>
      <c r="ED10">
        <v>0.10532817373322349</v>
      </c>
      <c r="EE10">
        <v>0.61000369564917034</v>
      </c>
      <c r="EF10" s="22">
        <v>-1.0849</v>
      </c>
      <c r="EG10">
        <v>-1.1083000000000001</v>
      </c>
      <c r="EH10">
        <v>23.172668091168092</v>
      </c>
      <c r="EI10" t="s">
        <v>380</v>
      </c>
      <c r="EJ10">
        <v>1</v>
      </c>
      <c r="EK10">
        <v>0</v>
      </c>
    </row>
    <row r="11" spans="1:141" ht="54" x14ac:dyDescent="0.25">
      <c r="B11" s="3"/>
      <c r="C11" s="3" t="s">
        <v>2358</v>
      </c>
      <c r="D11" s="3" t="s">
        <v>2359</v>
      </c>
      <c r="E11" t="s">
        <v>1732</v>
      </c>
      <c r="F11" t="s">
        <v>1733</v>
      </c>
      <c r="G11">
        <v>11.37</v>
      </c>
      <c r="H11">
        <v>4.8899999999999997</v>
      </c>
      <c r="I11" t="s">
        <v>2360</v>
      </c>
      <c r="J11">
        <v>5656703400</v>
      </c>
      <c r="K11">
        <v>26.94</v>
      </c>
      <c r="L11">
        <v>1.33</v>
      </c>
      <c r="M11" t="s">
        <v>256</v>
      </c>
      <c r="N11" t="s">
        <v>7</v>
      </c>
      <c r="O11" t="s">
        <v>7</v>
      </c>
      <c r="P11" t="s">
        <v>1779</v>
      </c>
      <c r="Q11" t="s">
        <v>7</v>
      </c>
      <c r="R11" t="s">
        <v>1780</v>
      </c>
      <c r="S11">
        <v>59550671</v>
      </c>
      <c r="T11" s="4">
        <v>1.83E-2</v>
      </c>
      <c r="U11" t="s">
        <v>766</v>
      </c>
      <c r="V11">
        <v>316084410</v>
      </c>
      <c r="W11">
        <v>497511290</v>
      </c>
      <c r="X11" t="s">
        <v>7</v>
      </c>
      <c r="Y11" t="s">
        <v>7</v>
      </c>
      <c r="Z11" t="s">
        <v>7</v>
      </c>
      <c r="AA11" t="s">
        <v>7</v>
      </c>
      <c r="AB11" t="s">
        <v>7</v>
      </c>
      <c r="AC11" t="s">
        <v>7</v>
      </c>
      <c r="AD11" t="s">
        <v>7</v>
      </c>
      <c r="AE11" t="s">
        <v>7</v>
      </c>
      <c r="AF11">
        <v>5138048</v>
      </c>
      <c r="AG11" t="s">
        <v>1781</v>
      </c>
      <c r="AH11" t="s">
        <v>7</v>
      </c>
      <c r="AI11" t="s">
        <v>1782</v>
      </c>
      <c r="AJ11" t="s">
        <v>7</v>
      </c>
      <c r="AK11" t="s">
        <v>1783</v>
      </c>
      <c r="AL11" t="s">
        <v>7</v>
      </c>
      <c r="AM11" t="s">
        <v>1784</v>
      </c>
      <c r="AN11" t="s">
        <v>7</v>
      </c>
      <c r="AO11" t="s">
        <v>7</v>
      </c>
      <c r="AP11" t="s">
        <v>7</v>
      </c>
      <c r="AQ11" t="s">
        <v>7</v>
      </c>
      <c r="AR11" t="s">
        <v>7</v>
      </c>
      <c r="AS11" t="s">
        <v>7</v>
      </c>
      <c r="AT11" t="s">
        <v>7</v>
      </c>
      <c r="AU11" t="s">
        <v>7</v>
      </c>
      <c r="AV11" t="s">
        <v>7</v>
      </c>
      <c r="AW11" t="s">
        <v>7</v>
      </c>
      <c r="AX11" t="s">
        <v>7</v>
      </c>
      <c r="AY11" t="s">
        <v>1785</v>
      </c>
      <c r="AZ11" t="s">
        <v>1786</v>
      </c>
      <c r="BA11" t="s">
        <v>1787</v>
      </c>
      <c r="BB11" t="s">
        <v>1788</v>
      </c>
      <c r="BC11" t="s">
        <v>1789</v>
      </c>
      <c r="BD11" t="s">
        <v>1171</v>
      </c>
      <c r="BE11" t="s">
        <v>1790</v>
      </c>
      <c r="BF11" t="s">
        <v>1017</v>
      </c>
      <c r="BG11" t="s">
        <v>1791</v>
      </c>
      <c r="BH11" t="s">
        <v>1792</v>
      </c>
      <c r="BI11" t="s">
        <v>1793</v>
      </c>
      <c r="BJ11" t="s">
        <v>2361</v>
      </c>
      <c r="BK11" t="s">
        <v>179</v>
      </c>
      <c r="BL11" t="s">
        <v>2362</v>
      </c>
      <c r="BM11" t="s">
        <v>2363</v>
      </c>
      <c r="BN11" t="s">
        <v>1794</v>
      </c>
      <c r="BO11">
        <v>1.02</v>
      </c>
      <c r="BP11">
        <v>3.59</v>
      </c>
      <c r="BQ11">
        <v>10.09</v>
      </c>
      <c r="BR11">
        <v>11.59</v>
      </c>
      <c r="BS11">
        <v>5.04</v>
      </c>
      <c r="BT11">
        <v>15.43</v>
      </c>
      <c r="BU11">
        <v>18.809999999999999</v>
      </c>
      <c r="BV11" t="s">
        <v>2364</v>
      </c>
      <c r="BW11">
        <v>23.39</v>
      </c>
      <c r="BX11">
        <v>29.26</v>
      </c>
      <c r="BY11">
        <v>37.340000000000003</v>
      </c>
      <c r="BZ11">
        <v>10.83</v>
      </c>
      <c r="CA11">
        <v>13.77</v>
      </c>
      <c r="CB11">
        <v>15.04</v>
      </c>
      <c r="CC11">
        <v>-2.3199999999999998</v>
      </c>
      <c r="CD11">
        <v>2.25</v>
      </c>
      <c r="CE11" t="s">
        <v>2365</v>
      </c>
      <c r="CF11" t="s">
        <v>2366</v>
      </c>
      <c r="CG11" s="23">
        <v>-0.52224007819287577</v>
      </c>
      <c r="CH11" s="24">
        <v>-0.61330733116883118</v>
      </c>
      <c r="CI11" s="23">
        <v>-0.35383877158164978</v>
      </c>
      <c r="CJ11" s="23">
        <v>6.3926875591278076E-2</v>
      </c>
      <c r="CK11" s="23">
        <v>0.30056089162826538</v>
      </c>
      <c r="CL11" s="23">
        <v>10.481060981750488</v>
      </c>
      <c r="CM11" s="23">
        <v>0.13304720818996429</v>
      </c>
      <c r="CN11" s="24">
        <v>-0.63778162002563477</v>
      </c>
      <c r="CO11" s="24">
        <v>-2.6981450617313385E-2</v>
      </c>
      <c r="CP11" s="24">
        <v>0.31485587358474731</v>
      </c>
      <c r="CQ11" s="24">
        <v>15.319293975830078</v>
      </c>
      <c r="CR11" s="24">
        <v>0.11594776064157486</v>
      </c>
      <c r="CS11">
        <v>2.0873444280442803</v>
      </c>
      <c r="CT11">
        <v>26638914.832535885</v>
      </c>
      <c r="CU11" t="e">
        <v>#VALUE!</v>
      </c>
      <c r="CV11" s="23">
        <v>2.1249514371156693</v>
      </c>
      <c r="CW11" s="24">
        <v>3.0170669078826906</v>
      </c>
      <c r="CX11">
        <v>0.06</v>
      </c>
      <c r="CY11">
        <v>9.1807828297287291</v>
      </c>
      <c r="CZ11">
        <v>616146085.24261785</v>
      </c>
      <c r="DA11">
        <v>2.1249514371156693</v>
      </c>
      <c r="DB11">
        <v>0.79477507704459038</v>
      </c>
      <c r="DC11">
        <v>7117363847.1839428</v>
      </c>
      <c r="DD11">
        <v>2.0187038652598859</v>
      </c>
      <c r="DE11">
        <v>4.3440668202217383E-2</v>
      </c>
      <c r="DF11">
        <v>130216767699.51848</v>
      </c>
      <c r="DG11">
        <v>1.869957264661789</v>
      </c>
      <c r="DH11">
        <v>1.4302582146138924E-3</v>
      </c>
      <c r="DI11">
        <v>3955022486290.7456</v>
      </c>
      <c r="DJ11">
        <v>1.6999611496925355</v>
      </c>
      <c r="DK11">
        <v>6.0561967738632727E-7</v>
      </c>
      <c r="DL11">
        <v>9340356020815958</v>
      </c>
      <c r="DM11">
        <v>1.4874660059809683</v>
      </c>
      <c r="DN11">
        <v>209000000</v>
      </c>
      <c r="DO11">
        <v>2.1249514371156693</v>
      </c>
      <c r="DP11">
        <v>5656703400</v>
      </c>
      <c r="DQ11">
        <v>5202983200</v>
      </c>
      <c r="DR11">
        <v>1899</v>
      </c>
      <c r="DS11">
        <v>-2.647191515308545</v>
      </c>
      <c r="DT11">
        <v>-3.6303742390515219</v>
      </c>
      <c r="DU11" s="25">
        <v>0.19333333333333338</v>
      </c>
      <c r="DV11">
        <v>-0.20999999999999996</v>
      </c>
      <c r="DW11">
        <v>-1.666666666666658E-2</v>
      </c>
      <c r="DX11">
        <v>2.2499999999999999E-2</v>
      </c>
      <c r="DY11">
        <v>0.54660847457627371</v>
      </c>
      <c r="DZ11">
        <v>3.5236906779661016E-3</v>
      </c>
      <c r="EA11">
        <v>2862</v>
      </c>
      <c r="EB11">
        <v>1.4253130832222432E-3</v>
      </c>
      <c r="EC11">
        <v>0</v>
      </c>
      <c r="ED11">
        <v>7.4288967392076674E-2</v>
      </c>
      <c r="EE11">
        <v>0.4743610943984809</v>
      </c>
      <c r="EF11" s="22">
        <v>3.5000000000000003E-2</v>
      </c>
      <c r="EG11">
        <v>8.3900000000000002E-2</v>
      </c>
      <c r="EH11">
        <v>39.156608474576274</v>
      </c>
      <c r="EI11" t="s">
        <v>378</v>
      </c>
      <c r="EJ11">
        <v>0</v>
      </c>
      <c r="EK11">
        <v>0</v>
      </c>
    </row>
    <row r="12" spans="1:141" x14ac:dyDescent="0.25">
      <c r="E12" t="s">
        <v>313</v>
      </c>
      <c r="F12" t="s">
        <v>314</v>
      </c>
      <c r="G12">
        <v>16.98</v>
      </c>
      <c r="H12">
        <v>3.16</v>
      </c>
      <c r="I12" t="s">
        <v>1795</v>
      </c>
      <c r="J12">
        <v>6554263900</v>
      </c>
      <c r="L12">
        <v>5.49</v>
      </c>
      <c r="M12" t="s">
        <v>82</v>
      </c>
      <c r="N12" t="s">
        <v>1796</v>
      </c>
      <c r="O12" t="s">
        <v>1797</v>
      </c>
      <c r="P12" t="s">
        <v>463</v>
      </c>
      <c r="Q12">
        <v>-8.31</v>
      </c>
      <c r="R12" t="s">
        <v>103</v>
      </c>
      <c r="S12">
        <v>-18075963</v>
      </c>
      <c r="T12" s="4">
        <v>-5.6550000000000002</v>
      </c>
      <c r="U12" t="s">
        <v>464</v>
      </c>
      <c r="V12">
        <v>337242640</v>
      </c>
      <c r="W12">
        <v>385999050</v>
      </c>
      <c r="X12">
        <v>2.09</v>
      </c>
      <c r="Y12">
        <v>0.06</v>
      </c>
      <c r="Z12">
        <v>-13.05</v>
      </c>
      <c r="AA12" t="s">
        <v>1798</v>
      </c>
      <c r="AB12" t="s">
        <v>1799</v>
      </c>
      <c r="AC12" t="s">
        <v>1800</v>
      </c>
      <c r="AD12" t="s">
        <v>1801</v>
      </c>
      <c r="AE12" t="s">
        <v>580</v>
      </c>
      <c r="AF12">
        <v>4775016</v>
      </c>
      <c r="AG12" t="s">
        <v>581</v>
      </c>
      <c r="AH12" t="s">
        <v>1802</v>
      </c>
      <c r="AI12" t="s">
        <v>1803</v>
      </c>
      <c r="AJ12" t="s">
        <v>1115</v>
      </c>
      <c r="AK12" t="s">
        <v>582</v>
      </c>
      <c r="AL12" t="s">
        <v>1804</v>
      </c>
      <c r="AM12" t="s">
        <v>583</v>
      </c>
      <c r="AN12" t="s">
        <v>7</v>
      </c>
      <c r="AO12" t="s">
        <v>1805</v>
      </c>
      <c r="AP12" t="s">
        <v>1806</v>
      </c>
      <c r="AQ12">
        <v>1900</v>
      </c>
      <c r="AR12" t="s">
        <v>1807</v>
      </c>
      <c r="AS12" t="s">
        <v>1808</v>
      </c>
      <c r="AT12" t="s">
        <v>1809</v>
      </c>
      <c r="AU12" t="s">
        <v>584</v>
      </c>
      <c r="AV12" t="s">
        <v>1810</v>
      </c>
      <c r="AW12" t="s">
        <v>1811</v>
      </c>
      <c r="AX12" t="s">
        <v>940</v>
      </c>
      <c r="AY12" t="s">
        <v>104</v>
      </c>
      <c r="AZ12" t="s">
        <v>114</v>
      </c>
      <c r="BA12" t="s">
        <v>189</v>
      </c>
      <c r="BB12" t="s">
        <v>105</v>
      </c>
      <c r="BC12" t="s">
        <v>315</v>
      </c>
      <c r="BD12" t="s">
        <v>183</v>
      </c>
      <c r="BE12" t="s">
        <v>316</v>
      </c>
      <c r="BF12" t="s">
        <v>317</v>
      </c>
      <c r="BG12" t="s">
        <v>318</v>
      </c>
      <c r="BH12" t="s">
        <v>28</v>
      </c>
      <c r="BI12" t="s">
        <v>38</v>
      </c>
      <c r="BJ12" t="s">
        <v>96</v>
      </c>
      <c r="BK12" t="s">
        <v>104</v>
      </c>
      <c r="BL12" t="s">
        <v>464</v>
      </c>
      <c r="BM12" t="s">
        <v>319</v>
      </c>
      <c r="BN12" t="s">
        <v>183</v>
      </c>
      <c r="BO12">
        <v>0.69</v>
      </c>
      <c r="BP12">
        <v>-11.79</v>
      </c>
      <c r="BQ12">
        <v>1.5</v>
      </c>
      <c r="BR12">
        <v>-25.98</v>
      </c>
      <c r="BS12">
        <v>1.03</v>
      </c>
      <c r="BT12">
        <v>-14.76</v>
      </c>
      <c r="BU12">
        <v>1.72</v>
      </c>
      <c r="BV12">
        <v>-33.18</v>
      </c>
      <c r="BW12">
        <v>25.58</v>
      </c>
      <c r="BX12">
        <v>24.95</v>
      </c>
      <c r="BY12">
        <v>30.52</v>
      </c>
      <c r="BZ12">
        <v>1.39</v>
      </c>
      <c r="CA12">
        <v>-41.55</v>
      </c>
      <c r="CB12">
        <v>3.13</v>
      </c>
      <c r="CC12">
        <v>5.01</v>
      </c>
      <c r="CD12">
        <v>31.63</v>
      </c>
      <c r="CE12" t="s">
        <v>1812</v>
      </c>
      <c r="CF12" t="s">
        <v>1813</v>
      </c>
      <c r="CG12" s="23">
        <v>-8.4983225806451609E-2</v>
      </c>
      <c r="CH12" s="24">
        <v>-5.6553937879880509</v>
      </c>
      <c r="CI12" s="23">
        <v>0.83054393529891968</v>
      </c>
      <c r="CJ12" s="23">
        <v>-0.11970534175634384</v>
      </c>
      <c r="CK12" s="23">
        <v>0.4675675630569458</v>
      </c>
      <c r="CL12" s="23">
        <v>-0.49932339787483215</v>
      </c>
      <c r="CM12" s="23">
        <v>-0.43197536468505859</v>
      </c>
      <c r="CN12" s="24">
        <v>1.0649720430374146</v>
      </c>
      <c r="CO12" s="24">
        <v>-9.0662202835083008</v>
      </c>
      <c r="CP12" s="24">
        <v>1.0434813499450684</v>
      </c>
      <c r="CQ12" s="24">
        <v>-15.745857238769531</v>
      </c>
      <c r="CR12" s="24">
        <v>-0.80548685789108276</v>
      </c>
      <c r="CS12">
        <v>7.4905873142857144</v>
      </c>
      <c r="CT12">
        <v>-179451174.04010883</v>
      </c>
      <c r="CU12">
        <v>-1.6364699999999999</v>
      </c>
      <c r="CV12" s="23">
        <v>4.9421478807926175E-2</v>
      </c>
      <c r="CW12" s="24">
        <v>-4.701822197437286</v>
      </c>
      <c r="CX12">
        <v>0.06</v>
      </c>
      <c r="CY12">
        <v>615.58738246133896</v>
      </c>
      <c r="CZ12">
        <v>10806368.177011468</v>
      </c>
      <c r="DA12">
        <v>4.9421478807926175E-2</v>
      </c>
      <c r="DB12">
        <v>208.23313483588953</v>
      </c>
      <c r="DC12">
        <v>31946231.349024791</v>
      </c>
      <c r="DD12">
        <v>4.6950404867529862E-2</v>
      </c>
      <c r="DE12">
        <v>107.27207773373399</v>
      </c>
      <c r="DF12">
        <v>62013005.06653703</v>
      </c>
      <c r="DG12">
        <v>4.3490901350975032E-2</v>
      </c>
      <c r="DH12">
        <v>67.735349756331132</v>
      </c>
      <c r="DI12">
        <v>98209633.875526309</v>
      </c>
      <c r="DJ12">
        <v>3.9537183046340942E-2</v>
      </c>
      <c r="DK12">
        <v>38.930109359456452</v>
      </c>
      <c r="DL12">
        <v>170877092.55006522</v>
      </c>
      <c r="DM12">
        <v>3.4595035165548321E-2</v>
      </c>
      <c r="DN12">
        <v>10915300</v>
      </c>
      <c r="DO12">
        <v>4.9421478807926175E-2</v>
      </c>
      <c r="DP12">
        <v>6652263900</v>
      </c>
      <c r="DQ12">
        <v>43951370</v>
      </c>
      <c r="DR12">
        <v>1931</v>
      </c>
      <c r="DS12">
        <v>-0.13440470461437778</v>
      </c>
      <c r="DT12">
        <v>-0.9535715905507649</v>
      </c>
      <c r="DU12" s="25">
        <v>0</v>
      </c>
      <c r="DV12">
        <v>-0.89833333333333332</v>
      </c>
      <c r="DW12">
        <v>-0.89833333333333332</v>
      </c>
      <c r="DX12">
        <v>8.1583939298134673</v>
      </c>
      <c r="DY12">
        <v>0.51830687500000039</v>
      </c>
      <c r="DZ12">
        <v>8.0424981803272217</v>
      </c>
      <c r="EA12">
        <v>4266</v>
      </c>
      <c r="EB12">
        <v>8.0040714661949774</v>
      </c>
      <c r="EC12">
        <v>8</v>
      </c>
      <c r="ED12">
        <v>0.22243111738228372</v>
      </c>
      <c r="EE12">
        <v>0.82901758436970241</v>
      </c>
      <c r="EF12" s="22">
        <v>-2.0133000000000001</v>
      </c>
      <c r="EG12">
        <v>-2.0449000000000002</v>
      </c>
      <c r="EH12">
        <v>25.268306875</v>
      </c>
      <c r="EI12" t="s">
        <v>379</v>
      </c>
      <c r="EJ12">
        <v>0</v>
      </c>
      <c r="EK12">
        <v>0</v>
      </c>
    </row>
    <row r="13" spans="1:141" ht="226.8" x14ac:dyDescent="0.25">
      <c r="B13" s="3" t="s">
        <v>2367</v>
      </c>
      <c r="C13" s="3"/>
      <c r="D13" s="3" t="s">
        <v>2368</v>
      </c>
      <c r="E13" t="s">
        <v>2351</v>
      </c>
      <c r="F13" t="s">
        <v>2352</v>
      </c>
      <c r="G13">
        <v>20.96</v>
      </c>
      <c r="H13">
        <v>3.25</v>
      </c>
      <c r="I13" t="s">
        <v>2369</v>
      </c>
      <c r="J13">
        <v>3144000000</v>
      </c>
      <c r="K13">
        <v>64.239999999999995</v>
      </c>
      <c r="L13">
        <v>5.34</v>
      </c>
      <c r="M13" t="s">
        <v>82</v>
      </c>
      <c r="N13" t="s">
        <v>99</v>
      </c>
      <c r="O13" t="s">
        <v>2370</v>
      </c>
      <c r="P13" t="s">
        <v>2371</v>
      </c>
      <c r="Q13">
        <v>11.91</v>
      </c>
      <c r="R13" t="s">
        <v>2372</v>
      </c>
      <c r="S13">
        <v>23886876</v>
      </c>
      <c r="T13" s="4">
        <v>0.33810000000000001</v>
      </c>
      <c r="U13" t="s">
        <v>2373</v>
      </c>
      <c r="V13">
        <v>60000000</v>
      </c>
      <c r="W13">
        <v>150000000</v>
      </c>
      <c r="X13">
        <v>1.4</v>
      </c>
      <c r="Y13">
        <v>0.15</v>
      </c>
      <c r="Z13">
        <v>20.329999999999998</v>
      </c>
      <c r="AA13" t="s">
        <v>2374</v>
      </c>
      <c r="AB13" t="s">
        <v>2375</v>
      </c>
      <c r="AC13" t="s">
        <v>2376</v>
      </c>
      <c r="AD13" t="s">
        <v>2377</v>
      </c>
      <c r="AE13" t="s">
        <v>2378</v>
      </c>
      <c r="AF13">
        <v>-5909591</v>
      </c>
      <c r="AG13" t="s">
        <v>2379</v>
      </c>
      <c r="AH13" t="s">
        <v>2380</v>
      </c>
      <c r="AI13" t="s">
        <v>2381</v>
      </c>
      <c r="AJ13" t="s">
        <v>1820</v>
      </c>
      <c r="AK13" t="s">
        <v>2382</v>
      </c>
      <c r="AL13" t="s">
        <v>2383</v>
      </c>
      <c r="AM13" t="s">
        <v>2384</v>
      </c>
      <c r="AN13" t="s">
        <v>52</v>
      </c>
      <c r="AO13" t="s">
        <v>2385</v>
      </c>
      <c r="AP13" t="s">
        <v>2386</v>
      </c>
      <c r="AQ13" t="s">
        <v>2387</v>
      </c>
      <c r="AR13" t="s">
        <v>2388</v>
      </c>
      <c r="AS13" t="s">
        <v>2389</v>
      </c>
      <c r="AT13" t="s">
        <v>30</v>
      </c>
      <c r="AU13" t="s">
        <v>7</v>
      </c>
      <c r="AV13" t="s">
        <v>2390</v>
      </c>
      <c r="AW13" t="s">
        <v>2391</v>
      </c>
      <c r="AX13" t="s">
        <v>2392</v>
      </c>
      <c r="AY13" t="s">
        <v>2393</v>
      </c>
      <c r="AZ13" t="s">
        <v>1788</v>
      </c>
      <c r="BA13" t="s">
        <v>2366</v>
      </c>
      <c r="BB13" t="s">
        <v>2229</v>
      </c>
      <c r="BC13" t="s">
        <v>2394</v>
      </c>
      <c r="BD13" t="s">
        <v>2395</v>
      </c>
      <c r="BE13" t="s">
        <v>2396</v>
      </c>
      <c r="BF13" t="s">
        <v>2397</v>
      </c>
      <c r="BG13" t="s">
        <v>2398</v>
      </c>
      <c r="BH13" t="s">
        <v>2399</v>
      </c>
      <c r="BI13" t="s">
        <v>2372</v>
      </c>
      <c r="BJ13" t="s">
        <v>2400</v>
      </c>
      <c r="BK13" t="s">
        <v>2393</v>
      </c>
      <c r="BL13" t="s">
        <v>2373</v>
      </c>
      <c r="BM13" t="s">
        <v>2401</v>
      </c>
      <c r="BN13" t="s">
        <v>2395</v>
      </c>
      <c r="BO13">
        <v>0.77</v>
      </c>
      <c r="BP13">
        <v>13.84</v>
      </c>
      <c r="BQ13">
        <v>14.8</v>
      </c>
      <c r="BR13">
        <v>13.25</v>
      </c>
      <c r="BS13">
        <v>0.94</v>
      </c>
      <c r="BT13">
        <v>17.45</v>
      </c>
      <c r="BU13" t="s">
        <v>7</v>
      </c>
      <c r="BV13" t="s">
        <v>7</v>
      </c>
      <c r="BW13">
        <v>29.79</v>
      </c>
      <c r="BX13">
        <v>44.16</v>
      </c>
      <c r="BY13">
        <v>43.08</v>
      </c>
      <c r="BZ13">
        <v>10.32</v>
      </c>
      <c r="CA13">
        <v>24.56</v>
      </c>
      <c r="CB13">
        <v>23.41</v>
      </c>
      <c r="CC13">
        <v>18.350000000000001</v>
      </c>
      <c r="CD13">
        <v>37.799999999999997</v>
      </c>
      <c r="CE13" t="s">
        <v>2402</v>
      </c>
      <c r="CF13" t="s">
        <v>45</v>
      </c>
      <c r="CG13" s="23">
        <v>1.9063929439637157</v>
      </c>
      <c r="CH13" s="24">
        <v>1.7707457285033232</v>
      </c>
      <c r="CI13" s="23">
        <v>0.17529881000518799</v>
      </c>
      <c r="CJ13" s="23">
        <v>-4.9242425709962845E-2</v>
      </c>
      <c r="CK13" s="23">
        <v>0.11864406615495682</v>
      </c>
      <c r="CL13" s="23">
        <v>8.2568809390068054E-2</v>
      </c>
      <c r="CM13" s="23">
        <v>0.33742332458496094</v>
      </c>
      <c r="CN13" s="24">
        <v>-0.30267795920372009</v>
      </c>
      <c r="CO13" s="24">
        <v>-7.2978567332029343E-3</v>
      </c>
      <c r="CP13" s="24">
        <v>0.21393048763275146</v>
      </c>
      <c r="CQ13" s="24">
        <v>0.31454354524612427</v>
      </c>
      <c r="CR13" s="24">
        <v>0.35031723976135254</v>
      </c>
      <c r="CS13">
        <v>10.657627118644069</v>
      </c>
      <c r="CT13">
        <v>48600159.43089696</v>
      </c>
      <c r="CU13">
        <v>4.2692999999999994</v>
      </c>
      <c r="CV13" s="23">
        <v>0.13293851688504219</v>
      </c>
      <c r="CW13" s="24">
        <v>0.11376309134066105</v>
      </c>
      <c r="CX13">
        <v>0.06</v>
      </c>
      <c r="CY13">
        <v>60.909754183393652</v>
      </c>
      <c r="CZ13">
        <v>45854724.541992642</v>
      </c>
      <c r="DA13">
        <v>0.13293851688504219</v>
      </c>
      <c r="DB13">
        <v>19.197451106441132</v>
      </c>
      <c r="DC13">
        <v>145488064.24947175</v>
      </c>
      <c r="DD13">
        <v>0.12629159104079007</v>
      </c>
      <c r="DE13">
        <v>8.9971396851131011</v>
      </c>
      <c r="DF13">
        <v>310431992.58330619</v>
      </c>
      <c r="DG13">
        <v>0.11698589485883712</v>
      </c>
      <c r="DH13">
        <v>5.1060199603408458</v>
      </c>
      <c r="DI13">
        <v>547001386.93025339</v>
      </c>
      <c r="DJ13">
        <v>0.10635081350803376</v>
      </c>
      <c r="DK13">
        <v>2.3213028798535627</v>
      </c>
      <c r="DL13">
        <v>1203203607.8705051</v>
      </c>
      <c r="DM13">
        <v>9.3056961819529521E-2</v>
      </c>
      <c r="DN13">
        <v>42902600</v>
      </c>
      <c r="DO13">
        <v>0.13293851688504219</v>
      </c>
      <c r="DP13">
        <v>2793000000</v>
      </c>
      <c r="DQ13">
        <v>449912320</v>
      </c>
      <c r="DR13">
        <v>2404</v>
      </c>
      <c r="DS13">
        <v>1.7734544270786736</v>
      </c>
      <c r="DT13">
        <v>1.6569826371626621</v>
      </c>
      <c r="DU13" s="25">
        <v>0.48666666666666664</v>
      </c>
      <c r="DV13">
        <v>0.40333333333333327</v>
      </c>
      <c r="DW13">
        <v>0.8899999999999999</v>
      </c>
      <c r="DX13">
        <v>9.4854497354497358</v>
      </c>
      <c r="DY13">
        <v>1.2194242990654156</v>
      </c>
      <c r="DZ13">
        <v>9.1939004203135042</v>
      </c>
      <c r="EA13">
        <v>2029</v>
      </c>
      <c r="EB13">
        <v>9.1119882918904143</v>
      </c>
      <c r="EC13">
        <v>9</v>
      </c>
      <c r="ED13">
        <v>0.28492266666666666</v>
      </c>
      <c r="EE13">
        <v>0.71333333333333337</v>
      </c>
      <c r="EF13" s="22">
        <v>0.10350000000000001</v>
      </c>
      <c r="EG13">
        <v>0.13600000000000001</v>
      </c>
      <c r="EH13">
        <v>82.399424299065416</v>
      </c>
      <c r="EI13" t="s">
        <v>378</v>
      </c>
      <c r="EJ13">
        <v>1</v>
      </c>
      <c r="EK13">
        <v>0</v>
      </c>
    </row>
    <row r="14" spans="1:141" x14ac:dyDescent="0.25">
      <c r="E14" t="s">
        <v>1308</v>
      </c>
      <c r="F14" t="s">
        <v>1309</v>
      </c>
      <c r="G14">
        <v>4.34</v>
      </c>
      <c r="H14">
        <v>0.46</v>
      </c>
      <c r="I14" t="s">
        <v>1434</v>
      </c>
      <c r="J14">
        <v>525449050000</v>
      </c>
      <c r="K14">
        <v>6.95</v>
      </c>
      <c r="L14">
        <v>0.66200000000000003</v>
      </c>
      <c r="M14" t="s">
        <v>451</v>
      </c>
      <c r="N14" t="s">
        <v>1435</v>
      </c>
      <c r="O14" t="s">
        <v>1436</v>
      </c>
      <c r="P14" t="s">
        <v>1437</v>
      </c>
      <c r="Q14">
        <v>30.23</v>
      </c>
      <c r="R14" t="s">
        <v>1438</v>
      </c>
      <c r="S14">
        <v>22605000000</v>
      </c>
      <c r="T14" s="4">
        <v>0.24479999999999999</v>
      </c>
      <c r="U14" t="s">
        <v>1439</v>
      </c>
      <c r="V14">
        <v>95557771000</v>
      </c>
      <c r="W14">
        <v>121071210000</v>
      </c>
      <c r="X14">
        <v>2.06</v>
      </c>
      <c r="Y14">
        <v>1.51</v>
      </c>
      <c r="Z14">
        <v>3.1</v>
      </c>
      <c r="AA14" t="s">
        <v>1440</v>
      </c>
      <c r="AB14" t="s">
        <v>1441</v>
      </c>
      <c r="AC14" t="s">
        <v>1442</v>
      </c>
      <c r="AD14" t="s">
        <v>1443</v>
      </c>
      <c r="AE14" t="s">
        <v>1444</v>
      </c>
      <c r="AF14">
        <v>2305000000</v>
      </c>
      <c r="AG14" t="s">
        <v>1445</v>
      </c>
      <c r="AH14" t="s">
        <v>1446</v>
      </c>
      <c r="AI14" t="s">
        <v>1447</v>
      </c>
      <c r="AJ14" t="s">
        <v>1448</v>
      </c>
      <c r="AK14" t="s">
        <v>1449</v>
      </c>
      <c r="AL14" t="s">
        <v>7</v>
      </c>
      <c r="AM14" t="s">
        <v>1450</v>
      </c>
      <c r="AN14" t="s">
        <v>7</v>
      </c>
      <c r="AO14" t="s">
        <v>1451</v>
      </c>
      <c r="AP14" t="s">
        <v>1452</v>
      </c>
      <c r="AQ14" t="s">
        <v>1453</v>
      </c>
      <c r="AR14" t="s">
        <v>1454</v>
      </c>
      <c r="AS14" t="s">
        <v>7</v>
      </c>
      <c r="AT14" t="s">
        <v>1455</v>
      </c>
      <c r="AU14" t="s">
        <v>1456</v>
      </c>
      <c r="AV14" t="s">
        <v>1457</v>
      </c>
      <c r="AW14" t="s">
        <v>1458</v>
      </c>
      <c r="AX14" t="s">
        <v>1459</v>
      </c>
      <c r="AY14" t="s">
        <v>1460</v>
      </c>
      <c r="AZ14" t="s">
        <v>1461</v>
      </c>
      <c r="BA14" t="s">
        <v>1462</v>
      </c>
      <c r="BB14" t="s">
        <v>1463</v>
      </c>
      <c r="BC14" t="s">
        <v>1464</v>
      </c>
      <c r="BD14" t="s">
        <v>1465</v>
      </c>
      <c r="BE14" t="s">
        <v>1466</v>
      </c>
      <c r="BF14" t="s">
        <v>1467</v>
      </c>
      <c r="BG14" t="s">
        <v>1468</v>
      </c>
      <c r="BH14" t="s">
        <v>1469</v>
      </c>
      <c r="BI14" t="s">
        <v>1438</v>
      </c>
      <c r="BJ14" t="s">
        <v>1470</v>
      </c>
      <c r="BK14" t="s">
        <v>1460</v>
      </c>
      <c r="BL14" t="s">
        <v>1439</v>
      </c>
      <c r="BM14" t="s">
        <v>1471</v>
      </c>
      <c r="BN14" t="s">
        <v>1465</v>
      </c>
      <c r="BO14">
        <v>5.24</v>
      </c>
      <c r="BP14">
        <v>2.98</v>
      </c>
      <c r="BQ14">
        <v>5.4</v>
      </c>
      <c r="BR14">
        <v>6.5</v>
      </c>
      <c r="BS14">
        <v>7.92</v>
      </c>
      <c r="BT14">
        <v>4.4400000000000004</v>
      </c>
      <c r="BU14">
        <v>7.9</v>
      </c>
      <c r="BV14">
        <v>8.67</v>
      </c>
      <c r="BW14">
        <v>19.829999999999998</v>
      </c>
      <c r="BX14">
        <v>19.829999999999998</v>
      </c>
      <c r="BY14">
        <v>16.09</v>
      </c>
      <c r="BZ14">
        <v>1.98</v>
      </c>
      <c r="CA14">
        <v>1.98</v>
      </c>
      <c r="CB14">
        <v>2.4300000000000002</v>
      </c>
      <c r="CC14">
        <v>0.23</v>
      </c>
      <c r="CD14">
        <v>6.9</v>
      </c>
      <c r="CE14" t="s">
        <v>186</v>
      </c>
      <c r="CF14" t="s">
        <v>1472</v>
      </c>
    </row>
    <row r="15" spans="1:141" x14ac:dyDescent="0.25">
      <c r="B15" s="3"/>
      <c r="C15" s="3"/>
      <c r="D15" s="3"/>
      <c r="E15" t="s">
        <v>1310</v>
      </c>
      <c r="F15" t="s">
        <v>1311</v>
      </c>
      <c r="G15">
        <v>10.19</v>
      </c>
      <c r="H15">
        <v>-0.1</v>
      </c>
      <c r="I15" t="s">
        <v>1473</v>
      </c>
      <c r="J15">
        <v>14285822000</v>
      </c>
      <c r="K15">
        <v>6.96</v>
      </c>
      <c r="L15">
        <v>1.51</v>
      </c>
      <c r="M15" t="s">
        <v>8</v>
      </c>
      <c r="N15" t="s">
        <v>7</v>
      </c>
      <c r="O15" t="s">
        <v>7</v>
      </c>
      <c r="P15" t="s">
        <v>1474</v>
      </c>
      <c r="Q15" t="s">
        <v>7</v>
      </c>
      <c r="R15" t="s">
        <v>7</v>
      </c>
      <c r="S15">
        <v>1020000000</v>
      </c>
      <c r="T15" s="4">
        <v>0.71879999999999999</v>
      </c>
      <c r="U15" t="s">
        <v>7</v>
      </c>
      <c r="V15">
        <v>1401945200</v>
      </c>
      <c r="W15">
        <v>1401945200</v>
      </c>
      <c r="X15" t="s">
        <v>7</v>
      </c>
      <c r="Y15" t="s">
        <v>7</v>
      </c>
      <c r="Z15" t="s">
        <v>7</v>
      </c>
      <c r="AA15" t="s">
        <v>7</v>
      </c>
      <c r="AB15" t="s">
        <v>7</v>
      </c>
      <c r="AC15" t="s">
        <v>7</v>
      </c>
      <c r="AD15" t="s">
        <v>7</v>
      </c>
      <c r="AE15" t="s">
        <v>7</v>
      </c>
      <c r="AF15">
        <v>-3966677</v>
      </c>
      <c r="AG15" t="s">
        <v>1475</v>
      </c>
      <c r="AH15" t="s">
        <v>1476</v>
      </c>
      <c r="AI15" t="s">
        <v>1477</v>
      </c>
      <c r="AJ15" t="s">
        <v>346</v>
      </c>
      <c r="AK15" t="s">
        <v>1478</v>
      </c>
      <c r="AL15" t="s">
        <v>1479</v>
      </c>
      <c r="AM15" t="s">
        <v>1480</v>
      </c>
      <c r="AN15" t="s">
        <v>7</v>
      </c>
      <c r="AO15" t="s">
        <v>1481</v>
      </c>
      <c r="AP15" t="s">
        <v>1482</v>
      </c>
      <c r="AQ15" t="s">
        <v>7</v>
      </c>
      <c r="AR15" t="s">
        <v>1483</v>
      </c>
      <c r="AS15" t="s">
        <v>7</v>
      </c>
      <c r="AT15" t="s">
        <v>1484</v>
      </c>
      <c r="AU15" t="s">
        <v>7</v>
      </c>
      <c r="AV15" t="s">
        <v>1485</v>
      </c>
      <c r="AW15" t="s">
        <v>1486</v>
      </c>
      <c r="AX15" t="s">
        <v>855</v>
      </c>
      <c r="AY15" t="s">
        <v>1487</v>
      </c>
      <c r="AZ15" t="s">
        <v>1488</v>
      </c>
      <c r="BA15" t="s">
        <v>1489</v>
      </c>
      <c r="BB15" t="s">
        <v>1490</v>
      </c>
      <c r="BC15" t="s">
        <v>1491</v>
      </c>
      <c r="BD15" t="s">
        <v>1492</v>
      </c>
      <c r="BE15" t="s">
        <v>1493</v>
      </c>
      <c r="BF15" t="s">
        <v>1494</v>
      </c>
      <c r="BG15" t="s">
        <v>91</v>
      </c>
      <c r="BH15" t="s">
        <v>1495</v>
      </c>
      <c r="BI15" t="s">
        <v>1496</v>
      </c>
      <c r="BJ15" t="s">
        <v>1497</v>
      </c>
      <c r="BK15" t="s">
        <v>1487</v>
      </c>
      <c r="BL15" t="s">
        <v>1498</v>
      </c>
      <c r="BM15" t="s">
        <v>1499</v>
      </c>
      <c r="BN15" t="s">
        <v>1492</v>
      </c>
      <c r="BO15">
        <v>20.55</v>
      </c>
      <c r="BP15">
        <v>16.61</v>
      </c>
      <c r="BQ15">
        <v>16.829999999999998</v>
      </c>
      <c r="BR15">
        <v>15.67</v>
      </c>
      <c r="BS15">
        <v>21.38</v>
      </c>
      <c r="BT15">
        <v>17.38</v>
      </c>
      <c r="BU15">
        <v>18.28</v>
      </c>
      <c r="BV15">
        <v>16.64</v>
      </c>
      <c r="BW15">
        <v>28.94</v>
      </c>
      <c r="BX15">
        <v>35.049999999999997</v>
      </c>
      <c r="BY15">
        <v>34.75</v>
      </c>
      <c r="BZ15">
        <v>20.190000000000001</v>
      </c>
      <c r="CA15">
        <v>23.4</v>
      </c>
      <c r="CB15">
        <v>22.92</v>
      </c>
      <c r="CC15">
        <v>0.49</v>
      </c>
      <c r="CD15">
        <v>-8.36</v>
      </c>
      <c r="CE15" t="s">
        <v>1500</v>
      </c>
      <c r="CF15" t="s">
        <v>717</v>
      </c>
      <c r="CG15" s="23">
        <v>0.74070733173076919</v>
      </c>
      <c r="CH15" s="24">
        <v>2</v>
      </c>
      <c r="CI15" s="23">
        <v>-1</v>
      </c>
      <c r="CJ15" s="23">
        <v>3.7064641714096069E-2</v>
      </c>
      <c r="CK15" s="23">
        <v>-4.19343002140522E-2</v>
      </c>
      <c r="CL15" s="23">
        <v>5.0214747898280621E-3</v>
      </c>
      <c r="CM15" s="23">
        <v>0.23828557133674622</v>
      </c>
      <c r="CN15" s="24">
        <v>-1</v>
      </c>
      <c r="CO15" s="24">
        <v>6.2754631042480469E-2</v>
      </c>
      <c r="CP15" s="24">
        <v>0.11545460671186447</v>
      </c>
      <c r="CQ15" s="24">
        <v>0.13519091904163361</v>
      </c>
      <c r="CR15" s="24">
        <v>0.30945944786071777</v>
      </c>
      <c r="CS15" t="e">
        <v>#DIV/0!</v>
      </c>
      <c r="CT15" t="e">
        <v>#DIV/0!</v>
      </c>
      <c r="CU15" t="e">
        <v>#VALUE!</v>
      </c>
      <c r="CV15" s="23">
        <v>-0.15231252247467636</v>
      </c>
      <c r="CW15" s="24">
        <v>-7.5428079068660739E-2</v>
      </c>
      <c r="CX15">
        <v>0.06</v>
      </c>
      <c r="CY15" t="e">
        <v>#DIV/0!</v>
      </c>
      <c r="CZ15" t="s">
        <v>1501</v>
      </c>
      <c r="DA15">
        <v>-0.15231252247467636</v>
      </c>
      <c r="DB15" t="e">
        <v>#DIV/0!</v>
      </c>
      <c r="DC15" t="s">
        <v>1501</v>
      </c>
      <c r="DD15">
        <v>-0.14469689635094254</v>
      </c>
      <c r="DE15" t="e">
        <v>#DIV/0!</v>
      </c>
      <c r="DF15" t="s">
        <v>1501</v>
      </c>
      <c r="DG15">
        <v>-0.1340350197777152</v>
      </c>
      <c r="DH15" t="e">
        <v>#DIV/0!</v>
      </c>
      <c r="DI15" t="s">
        <v>1501</v>
      </c>
      <c r="DJ15">
        <v>-0.1218500179797411</v>
      </c>
      <c r="DK15" t="e">
        <v>#DIV/0!</v>
      </c>
      <c r="DL15" t="s">
        <v>1501</v>
      </c>
      <c r="DM15">
        <v>-0.10661876573227344</v>
      </c>
      <c r="DN15">
        <v>0</v>
      </c>
      <c r="DO15">
        <v>-0.15231252247467636</v>
      </c>
      <c r="DP15">
        <v>14285822000</v>
      </c>
      <c r="DQ15">
        <v>1795056900</v>
      </c>
      <c r="DR15">
        <v>2878</v>
      </c>
      <c r="DS15">
        <v>0.8930198542054455</v>
      </c>
      <c r="DT15">
        <v>2.0754280790686606</v>
      </c>
      <c r="DU15" s="25" t="e">
        <v>#VALUE!</v>
      </c>
      <c r="DV15" t="e">
        <v>#VALUE!</v>
      </c>
      <c r="DW15" t="e">
        <v>#VALUE!</v>
      </c>
      <c r="DX15">
        <v>-2.0836000000000001</v>
      </c>
      <c r="DY15">
        <v>0.352517049180328</v>
      </c>
      <c r="DZ15">
        <v>-2.0085704253114756</v>
      </c>
      <c r="EA15">
        <v>2155</v>
      </c>
      <c r="EB15">
        <v>-2.0047000844593739</v>
      </c>
      <c r="EC15">
        <v>2</v>
      </c>
      <c r="ED15">
        <v>4.4606165775951868E-2</v>
      </c>
      <c r="EE15">
        <v>0.43510973182118673</v>
      </c>
      <c r="EF15" s="22">
        <v>-1.06081</v>
      </c>
      <c r="EG15">
        <v>-1.0618099999999999</v>
      </c>
      <c r="EH15">
        <v>25.102517049180328</v>
      </c>
      <c r="EI15" t="s">
        <v>1502</v>
      </c>
      <c r="EJ15">
        <v>0</v>
      </c>
      <c r="EK15">
        <v>0</v>
      </c>
    </row>
    <row r="16" spans="1:141" ht="75.599999999999994" x14ac:dyDescent="0.25">
      <c r="B16" s="3" t="s">
        <v>2403</v>
      </c>
      <c r="C16" s="3"/>
      <c r="D16" s="3" t="s">
        <v>2404</v>
      </c>
      <c r="E16" t="s">
        <v>1734</v>
      </c>
      <c r="F16" t="s">
        <v>1735</v>
      </c>
      <c r="G16">
        <v>10.87</v>
      </c>
      <c r="H16">
        <v>1.97</v>
      </c>
      <c r="I16" t="s">
        <v>2405</v>
      </c>
      <c r="J16">
        <v>8726415900</v>
      </c>
      <c r="K16">
        <v>47.97</v>
      </c>
      <c r="L16">
        <v>1.78</v>
      </c>
      <c r="M16" t="s">
        <v>256</v>
      </c>
      <c r="N16" t="s">
        <v>7</v>
      </c>
      <c r="O16" t="s">
        <v>7</v>
      </c>
      <c r="P16" t="s">
        <v>1814</v>
      </c>
      <c r="Q16" t="s">
        <v>7</v>
      </c>
      <c r="R16" t="s">
        <v>1815</v>
      </c>
      <c r="S16">
        <v>77133422</v>
      </c>
      <c r="T16" s="4">
        <v>6.2599999999999999E-3</v>
      </c>
      <c r="U16" t="s">
        <v>36</v>
      </c>
      <c r="V16">
        <v>802798150</v>
      </c>
      <c r="W16">
        <v>802798150</v>
      </c>
      <c r="X16" t="s">
        <v>7</v>
      </c>
      <c r="Y16" t="s">
        <v>7</v>
      </c>
      <c r="Z16" t="s">
        <v>7</v>
      </c>
      <c r="AA16" t="s">
        <v>7</v>
      </c>
      <c r="AB16" t="s">
        <v>7</v>
      </c>
      <c r="AC16" t="s">
        <v>7</v>
      </c>
      <c r="AD16" t="s">
        <v>7</v>
      </c>
      <c r="AE16" t="s">
        <v>7</v>
      </c>
      <c r="AF16">
        <v>2674172</v>
      </c>
      <c r="AG16" t="s">
        <v>1816</v>
      </c>
      <c r="AH16" t="s">
        <v>7</v>
      </c>
      <c r="AI16" t="s">
        <v>1817</v>
      </c>
      <c r="AJ16" t="s">
        <v>7</v>
      </c>
      <c r="AK16" t="s">
        <v>1818</v>
      </c>
      <c r="AL16" t="s">
        <v>7</v>
      </c>
      <c r="AM16" t="s">
        <v>1819</v>
      </c>
      <c r="AN16" t="s">
        <v>7</v>
      </c>
      <c r="AO16" t="s">
        <v>7</v>
      </c>
      <c r="AP16" t="s">
        <v>7</v>
      </c>
      <c r="AQ16" t="s">
        <v>7</v>
      </c>
      <c r="AR16" t="s">
        <v>7</v>
      </c>
      <c r="AS16" t="s">
        <v>7</v>
      </c>
      <c r="AT16" t="s">
        <v>7</v>
      </c>
      <c r="AU16" t="s">
        <v>7</v>
      </c>
      <c r="AV16" t="s">
        <v>7</v>
      </c>
      <c r="AW16" t="s">
        <v>7</v>
      </c>
      <c r="AX16" t="s">
        <v>7</v>
      </c>
      <c r="AY16" t="s">
        <v>1821</v>
      </c>
      <c r="AZ16" t="s">
        <v>1822</v>
      </c>
      <c r="BA16" t="s">
        <v>1823</v>
      </c>
      <c r="BB16" t="s">
        <v>1824</v>
      </c>
      <c r="BC16" t="s">
        <v>1825</v>
      </c>
      <c r="BD16" t="s">
        <v>1826</v>
      </c>
      <c r="BE16" t="s">
        <v>1827</v>
      </c>
      <c r="BF16" t="s">
        <v>1828</v>
      </c>
      <c r="BG16" t="s">
        <v>1829</v>
      </c>
      <c r="BH16" t="s">
        <v>1830</v>
      </c>
      <c r="BI16" t="s">
        <v>1831</v>
      </c>
      <c r="BJ16" t="s">
        <v>2406</v>
      </c>
      <c r="BK16" t="s">
        <v>1832</v>
      </c>
      <c r="BL16" t="s">
        <v>2407</v>
      </c>
      <c r="BM16" t="s">
        <v>34</v>
      </c>
      <c r="BN16" t="s">
        <v>1833</v>
      </c>
      <c r="BO16">
        <v>0.75</v>
      </c>
      <c r="BP16">
        <v>1.85</v>
      </c>
      <c r="BQ16">
        <v>3.57</v>
      </c>
      <c r="BR16">
        <v>0.61</v>
      </c>
      <c r="BS16">
        <v>3.79</v>
      </c>
      <c r="BT16">
        <v>6.91</v>
      </c>
      <c r="BU16">
        <v>1.17</v>
      </c>
      <c r="BV16" t="s">
        <v>2408</v>
      </c>
      <c r="BW16">
        <v>12.52</v>
      </c>
      <c r="BX16">
        <v>17.78</v>
      </c>
      <c r="BY16">
        <v>16.21</v>
      </c>
      <c r="BZ16">
        <v>2.2000000000000002</v>
      </c>
      <c r="CA16">
        <v>2.13</v>
      </c>
      <c r="CB16">
        <v>0.19</v>
      </c>
      <c r="CC16">
        <v>-7.97</v>
      </c>
      <c r="CD16">
        <v>0.83</v>
      </c>
      <c r="CE16" t="s">
        <v>2409</v>
      </c>
      <c r="CF16" t="s">
        <v>2410</v>
      </c>
      <c r="CG16" s="23">
        <v>-0.50167582273502032</v>
      </c>
      <c r="CH16" s="24">
        <v>-0.42437744776119407</v>
      </c>
      <c r="CI16" s="23">
        <v>-6.8236082792282104E-2</v>
      </c>
      <c r="CJ16" s="23">
        <v>0.27021569013595581</v>
      </c>
      <c r="CK16" s="23">
        <v>-1.03368004783988E-2</v>
      </c>
      <c r="CL16" s="23">
        <v>5.2280772477388382E-2</v>
      </c>
      <c r="CM16" s="23">
        <v>-2.8878126293420792E-2</v>
      </c>
      <c r="CN16" s="24">
        <v>-0.44648319482803345</v>
      </c>
      <c r="CO16" s="24">
        <v>2.6290950775146484</v>
      </c>
      <c r="CP16" s="24">
        <v>1.2110189199447632</v>
      </c>
      <c r="CQ16" s="24">
        <v>-7.1683893203735352</v>
      </c>
      <c r="CR16" s="24">
        <v>-0.71629548072814941</v>
      </c>
      <c r="CS16">
        <v>0.6210530140203544</v>
      </c>
      <c r="CT16">
        <v>25976332.596685082</v>
      </c>
      <c r="CU16" t="e">
        <v>#VALUE!</v>
      </c>
      <c r="CV16" s="23">
        <v>4.3009090609848498E-2</v>
      </c>
      <c r="CW16" s="24">
        <v>-0.89821079969406126</v>
      </c>
      <c r="CX16">
        <v>0.06</v>
      </c>
      <c r="CY16">
        <v>48.997633437731125</v>
      </c>
      <c r="CZ16">
        <v>178098722.07583264</v>
      </c>
      <c r="DA16">
        <v>4.3009090609848498E-2</v>
      </c>
      <c r="DB16">
        <v>16.665419003276341</v>
      </c>
      <c r="DC16">
        <v>523624152.40111446</v>
      </c>
      <c r="DD16">
        <v>4.0858636079356074E-2</v>
      </c>
      <c r="DE16">
        <v>8.6462147886328609</v>
      </c>
      <c r="DF16">
        <v>1009275863.8696531</v>
      </c>
      <c r="DG16">
        <v>3.7847999736666679E-2</v>
      </c>
      <c r="DH16">
        <v>5.5013138901034102</v>
      </c>
      <c r="DI16">
        <v>1586242136.7554371</v>
      </c>
      <c r="DJ16">
        <v>3.4407272487878802E-2</v>
      </c>
      <c r="DK16">
        <v>3.2113278359776118</v>
      </c>
      <c r="DL16">
        <v>2717385563.1415009</v>
      </c>
      <c r="DM16">
        <v>3.0106363426893948E-2</v>
      </c>
      <c r="DN16">
        <v>181000000</v>
      </c>
      <c r="DO16">
        <v>4.3009090609848498E-2</v>
      </c>
      <c r="DP16">
        <v>8726415900</v>
      </c>
      <c r="DQ16">
        <v>11450623200</v>
      </c>
      <c r="DR16">
        <v>3036</v>
      </c>
      <c r="DS16">
        <v>-0.54468491334486879</v>
      </c>
      <c r="DT16">
        <v>0.47383335193286719</v>
      </c>
      <c r="DU16" s="25">
        <v>-7.0000000000000007E-2</v>
      </c>
      <c r="DV16">
        <v>-0.41666666666666669</v>
      </c>
      <c r="DW16">
        <v>-0.48666666666666669</v>
      </c>
      <c r="DX16">
        <v>-5.1041405269761606</v>
      </c>
      <c r="DY16">
        <v>0.32746642771803947</v>
      </c>
      <c r="DZ16">
        <v>-5.0101502051450408</v>
      </c>
      <c r="EA16">
        <v>3499</v>
      </c>
      <c r="EB16">
        <v>-5.0027603658186788</v>
      </c>
      <c r="EC16">
        <v>5</v>
      </c>
      <c r="ED16">
        <v>0.10161881912657621</v>
      </c>
      <c r="EE16">
        <v>1.0426032994719781</v>
      </c>
      <c r="EF16" s="22">
        <v>2.0462099999999999</v>
      </c>
      <c r="EG16">
        <v>2.02651</v>
      </c>
      <c r="EH16">
        <v>23.097466427718039</v>
      </c>
      <c r="EI16" t="s">
        <v>425</v>
      </c>
      <c r="EJ16">
        <v>0</v>
      </c>
      <c r="EK16">
        <v>0</v>
      </c>
    </row>
    <row r="17" spans="2:141" x14ac:dyDescent="0.25">
      <c r="B17" s="3"/>
      <c r="C17" s="3"/>
      <c r="D17" s="3"/>
      <c r="E17" t="s">
        <v>1736</v>
      </c>
      <c r="F17" t="s">
        <v>1737</v>
      </c>
      <c r="G17">
        <v>11.6</v>
      </c>
      <c r="H17">
        <v>-2.6</v>
      </c>
      <c r="I17" t="s">
        <v>1834</v>
      </c>
      <c r="J17">
        <v>5010371800</v>
      </c>
      <c r="K17">
        <v>118.5</v>
      </c>
      <c r="L17">
        <v>2.2400000000000002</v>
      </c>
      <c r="M17" t="s">
        <v>82</v>
      </c>
      <c r="N17" t="s">
        <v>1835</v>
      </c>
      <c r="O17" t="s">
        <v>1836</v>
      </c>
      <c r="P17" t="s">
        <v>1837</v>
      </c>
      <c r="Q17">
        <v>-16.52</v>
      </c>
      <c r="R17" t="s">
        <v>1838</v>
      </c>
      <c r="S17">
        <v>-10834256</v>
      </c>
      <c r="T17" s="4">
        <v>-1.8129999999999999</v>
      </c>
      <c r="U17" t="s">
        <v>1839</v>
      </c>
      <c r="V17">
        <v>421283600</v>
      </c>
      <c r="W17">
        <v>431928600</v>
      </c>
      <c r="X17">
        <v>2.4500000000000002</v>
      </c>
      <c r="Y17">
        <v>0.09</v>
      </c>
      <c r="Z17">
        <v>-2.46</v>
      </c>
      <c r="AA17" t="s">
        <v>1840</v>
      </c>
      <c r="AB17" t="s">
        <v>1841</v>
      </c>
      <c r="AC17" t="s">
        <v>1842</v>
      </c>
      <c r="AD17" t="s">
        <v>1843</v>
      </c>
      <c r="AE17" t="s">
        <v>1434</v>
      </c>
      <c r="AF17">
        <v>5150919</v>
      </c>
      <c r="AG17" t="s">
        <v>22</v>
      </c>
      <c r="AH17" t="s">
        <v>1844</v>
      </c>
      <c r="AI17" t="s">
        <v>1845</v>
      </c>
      <c r="AJ17" t="s">
        <v>1846</v>
      </c>
      <c r="AK17" t="s">
        <v>1847</v>
      </c>
      <c r="AL17" t="s">
        <v>1848</v>
      </c>
      <c r="AM17" t="s">
        <v>1849</v>
      </c>
      <c r="AN17" t="s">
        <v>7</v>
      </c>
      <c r="AO17" t="s">
        <v>1850</v>
      </c>
      <c r="AP17" t="s">
        <v>1851</v>
      </c>
      <c r="AQ17" t="s">
        <v>907</v>
      </c>
      <c r="AR17" t="s">
        <v>880</v>
      </c>
      <c r="AS17" t="s">
        <v>7</v>
      </c>
      <c r="AT17" t="s">
        <v>1852</v>
      </c>
      <c r="AU17" t="s">
        <v>7</v>
      </c>
      <c r="AV17" t="s">
        <v>1853</v>
      </c>
      <c r="AW17" t="s">
        <v>1854</v>
      </c>
      <c r="AX17" t="s">
        <v>1855</v>
      </c>
      <c r="AY17" t="s">
        <v>1856</v>
      </c>
      <c r="AZ17" t="s">
        <v>1857</v>
      </c>
      <c r="BA17" t="s">
        <v>1858</v>
      </c>
      <c r="BB17" t="s">
        <v>1859</v>
      </c>
      <c r="BC17" t="s">
        <v>1860</v>
      </c>
      <c r="BD17" t="s">
        <v>1861</v>
      </c>
      <c r="BE17" t="s">
        <v>1862</v>
      </c>
      <c r="BF17" t="s">
        <v>1863</v>
      </c>
      <c r="BG17" t="s">
        <v>1864</v>
      </c>
      <c r="BH17" t="s">
        <v>1865</v>
      </c>
      <c r="BI17" t="s">
        <v>1284</v>
      </c>
      <c r="BJ17" t="s">
        <v>1866</v>
      </c>
      <c r="BK17" t="s">
        <v>1856</v>
      </c>
      <c r="BL17" t="s">
        <v>1839</v>
      </c>
      <c r="BM17" t="s">
        <v>1867</v>
      </c>
      <c r="BN17" t="s">
        <v>1861</v>
      </c>
      <c r="BO17">
        <v>1.81</v>
      </c>
      <c r="BP17">
        <v>1.37</v>
      </c>
      <c r="BQ17">
        <v>1.19</v>
      </c>
      <c r="BR17">
        <v>-5.7</v>
      </c>
      <c r="BS17">
        <v>3.08</v>
      </c>
      <c r="BT17">
        <v>2.08</v>
      </c>
      <c r="BU17">
        <v>1.7</v>
      </c>
      <c r="BV17">
        <v>-7.75</v>
      </c>
      <c r="BW17">
        <v>16.47</v>
      </c>
      <c r="BX17">
        <v>19.55</v>
      </c>
      <c r="BY17">
        <v>23.83</v>
      </c>
      <c r="BZ17">
        <v>1.91</v>
      </c>
      <c r="CA17">
        <v>1.75</v>
      </c>
      <c r="CB17">
        <v>1.68</v>
      </c>
      <c r="CC17">
        <v>-5</v>
      </c>
      <c r="CD17">
        <v>27.19</v>
      </c>
      <c r="CE17" t="s">
        <v>1868</v>
      </c>
      <c r="CF17" t="s">
        <v>1395</v>
      </c>
      <c r="CG17" s="23">
        <v>-0.16454841503267975</v>
      </c>
      <c r="CH17" s="24">
        <v>-1.8130712715101576</v>
      </c>
      <c r="CI17" s="23">
        <v>0.10243245214223862</v>
      </c>
      <c r="CJ17" s="23">
        <v>0.23333333432674408</v>
      </c>
      <c r="CK17" s="23">
        <v>0.13981762528419495</v>
      </c>
      <c r="CL17" s="23">
        <v>-1.5174506697803736E-3</v>
      </c>
      <c r="CM17" s="23">
        <v>-0.17185047268867493</v>
      </c>
      <c r="CN17" s="24">
        <v>0.49481245875358582</v>
      </c>
      <c r="CO17" s="24">
        <v>0.27185487747192383</v>
      </c>
      <c r="CP17" s="24">
        <v>1.2118242979049683</v>
      </c>
      <c r="CQ17" s="24">
        <v>-15.0867919921875</v>
      </c>
      <c r="CR17" s="24">
        <v>-0.1986440122127533</v>
      </c>
      <c r="CS17">
        <v>1.2283333660210836</v>
      </c>
      <c r="CT17">
        <v>-17478493.80646307</v>
      </c>
      <c r="CU17">
        <v>-0.54242999999999997</v>
      </c>
      <c r="CV17" s="23">
        <v>6.0443097678944471E-2</v>
      </c>
      <c r="CW17" s="24">
        <v>-2.6613888740539551</v>
      </c>
      <c r="CX17">
        <v>0.06</v>
      </c>
      <c r="CY17">
        <v>91.512196876057317</v>
      </c>
      <c r="CZ17">
        <v>66476076.497641325</v>
      </c>
      <c r="DA17">
        <v>6.0443097678944471E-2</v>
      </c>
      <c r="DB17">
        <v>30.665799177676231</v>
      </c>
      <c r="DC17">
        <v>198376431.17510891</v>
      </c>
      <c r="DD17">
        <v>5.7420942794997244E-2</v>
      </c>
      <c r="DE17">
        <v>15.605583666400562</v>
      </c>
      <c r="DF17">
        <v>389820203.46331161</v>
      </c>
      <c r="DG17">
        <v>5.3189925957471136E-2</v>
      </c>
      <c r="DH17">
        <v>9.7236493137316202</v>
      </c>
      <c r="DI17">
        <v>625626408.74030042</v>
      </c>
      <c r="DJ17">
        <v>4.8354478143155577E-2</v>
      </c>
      <c r="DK17">
        <v>5.4366432461145653</v>
      </c>
      <c r="DL17">
        <v>1118957328.0070632</v>
      </c>
      <c r="DM17">
        <v>4.231016837526113E-2</v>
      </c>
      <c r="DN17">
        <v>66448300</v>
      </c>
      <c r="DO17">
        <v>6.0443097678944471E-2</v>
      </c>
      <c r="DP17">
        <v>6083371800</v>
      </c>
      <c r="DQ17">
        <v>622897100</v>
      </c>
      <c r="DR17">
        <v>3020</v>
      </c>
      <c r="DS17">
        <v>-0.22499151271162421</v>
      </c>
      <c r="DT17">
        <v>0.84831760254379751</v>
      </c>
      <c r="DU17" s="25">
        <v>-0.22</v>
      </c>
      <c r="DV17">
        <v>-0.89833333333333332</v>
      </c>
      <c r="DW17">
        <v>-1.1183333333333334</v>
      </c>
      <c r="DX17">
        <v>-6.1553277415346379</v>
      </c>
      <c r="DY17">
        <v>0.40677492795389097</v>
      </c>
      <c r="DZ17">
        <v>-6.0181383858269477</v>
      </c>
      <c r="EA17">
        <v>4073</v>
      </c>
      <c r="EB17">
        <v>-6.0024797072612088</v>
      </c>
      <c r="EC17">
        <v>6</v>
      </c>
      <c r="ED17">
        <v>9.3813884980063836E-2</v>
      </c>
      <c r="EE17">
        <v>0.80337352053093958</v>
      </c>
      <c r="EF17" s="22">
        <v>-2.0343100000000001</v>
      </c>
      <c r="EG17">
        <v>-2.0603099999999999</v>
      </c>
      <c r="EH17">
        <v>29.116774927953891</v>
      </c>
      <c r="EI17" t="s">
        <v>1396</v>
      </c>
      <c r="EJ17">
        <v>0</v>
      </c>
      <c r="EK17">
        <v>0</v>
      </c>
    </row>
    <row r="18" spans="2:141" x14ac:dyDescent="0.25">
      <c r="B18" s="3"/>
      <c r="C18" s="3"/>
      <c r="D18" s="3"/>
      <c r="E18" t="s">
        <v>274</v>
      </c>
      <c r="F18" t="s">
        <v>275</v>
      </c>
      <c r="G18">
        <v>17.059999999999999</v>
      </c>
      <c r="H18">
        <v>-0.81</v>
      </c>
      <c r="I18" t="s">
        <v>595</v>
      </c>
      <c r="J18">
        <v>8274100000</v>
      </c>
      <c r="L18">
        <v>12.23</v>
      </c>
      <c r="M18" t="s">
        <v>276</v>
      </c>
      <c r="N18" t="s">
        <v>113</v>
      </c>
      <c r="O18" t="s">
        <v>195</v>
      </c>
      <c r="P18" t="s">
        <v>470</v>
      </c>
      <c r="Q18">
        <v>13.18</v>
      </c>
      <c r="R18" t="s">
        <v>471</v>
      </c>
      <c r="S18">
        <v>-1250153</v>
      </c>
      <c r="T18" s="4">
        <v>0.70789999999999997</v>
      </c>
      <c r="U18" t="s">
        <v>472</v>
      </c>
      <c r="V18">
        <v>322000000</v>
      </c>
      <c r="W18">
        <v>485000000</v>
      </c>
      <c r="X18">
        <v>1.65</v>
      </c>
      <c r="Y18">
        <v>0.18</v>
      </c>
      <c r="Z18">
        <v>-1.05</v>
      </c>
      <c r="AA18" t="s">
        <v>64</v>
      </c>
      <c r="AB18" t="s">
        <v>55</v>
      </c>
      <c r="AC18" t="s">
        <v>473</v>
      </c>
      <c r="AD18" t="s">
        <v>596</v>
      </c>
      <c r="AE18" t="s">
        <v>597</v>
      </c>
      <c r="AF18">
        <v>2554591</v>
      </c>
      <c r="AG18" t="s">
        <v>598</v>
      </c>
      <c r="AH18" t="s">
        <v>599</v>
      </c>
      <c r="AI18" t="s">
        <v>600</v>
      </c>
      <c r="AJ18" t="s">
        <v>601</v>
      </c>
      <c r="AK18" t="s">
        <v>602</v>
      </c>
      <c r="AL18" t="s">
        <v>7</v>
      </c>
      <c r="AM18" t="s">
        <v>603</v>
      </c>
      <c r="AN18" t="s">
        <v>7</v>
      </c>
      <c r="AO18" t="s">
        <v>604</v>
      </c>
      <c r="AP18" t="s">
        <v>605</v>
      </c>
      <c r="AQ18" t="s">
        <v>606</v>
      </c>
      <c r="AR18" t="s">
        <v>89</v>
      </c>
      <c r="AS18" t="s">
        <v>7</v>
      </c>
      <c r="AT18" t="s">
        <v>192</v>
      </c>
      <c r="AU18" t="s">
        <v>7</v>
      </c>
      <c r="AV18" t="s">
        <v>607</v>
      </c>
      <c r="AW18" t="s">
        <v>608</v>
      </c>
      <c r="AX18" t="s">
        <v>609</v>
      </c>
      <c r="AY18" t="s">
        <v>277</v>
      </c>
      <c r="AZ18" t="s">
        <v>278</v>
      </c>
      <c r="BA18" t="s">
        <v>184</v>
      </c>
      <c r="BB18" t="s">
        <v>17</v>
      </c>
      <c r="BC18" t="s">
        <v>255</v>
      </c>
      <c r="BD18" t="s">
        <v>71</v>
      </c>
      <c r="BE18" t="s">
        <v>213</v>
      </c>
      <c r="BF18" t="s">
        <v>279</v>
      </c>
      <c r="BG18" t="s">
        <v>280</v>
      </c>
      <c r="BH18" t="s">
        <v>281</v>
      </c>
      <c r="BI18" t="s">
        <v>58</v>
      </c>
      <c r="BJ18" t="s">
        <v>115</v>
      </c>
      <c r="BK18" t="s">
        <v>277</v>
      </c>
      <c r="BL18" t="s">
        <v>472</v>
      </c>
      <c r="BM18" t="s">
        <v>282</v>
      </c>
      <c r="BN18" t="s">
        <v>71</v>
      </c>
      <c r="BO18">
        <v>-2.46</v>
      </c>
      <c r="BP18">
        <v>18.260000000000002</v>
      </c>
      <c r="BQ18">
        <v>-16.63</v>
      </c>
      <c r="BR18">
        <v>-10.77</v>
      </c>
      <c r="BS18">
        <v>-3.38</v>
      </c>
      <c r="BT18">
        <v>30.13</v>
      </c>
      <c r="BU18">
        <v>-32.36</v>
      </c>
      <c r="BV18">
        <v>-17.350000000000001</v>
      </c>
      <c r="BW18">
        <v>10.94</v>
      </c>
      <c r="BX18">
        <v>9.5</v>
      </c>
      <c r="BY18">
        <v>8.82</v>
      </c>
      <c r="BZ18">
        <v>-3.49</v>
      </c>
      <c r="CA18">
        <v>10.97</v>
      </c>
      <c r="CB18">
        <v>-13.59</v>
      </c>
      <c r="CC18">
        <v>-4.6900000000000004</v>
      </c>
      <c r="CD18">
        <v>8.32</v>
      </c>
      <c r="CE18" t="s">
        <v>610</v>
      </c>
      <c r="CF18" t="s">
        <v>50</v>
      </c>
      <c r="CG18" s="23">
        <v>0.13265202429149783</v>
      </c>
      <c r="CH18" s="24">
        <v>0.70788770240904741</v>
      </c>
      <c r="CI18" s="23">
        <v>8.7316237390041351E-2</v>
      </c>
      <c r="CJ18" s="23">
        <v>-9.0301007032394409E-2</v>
      </c>
      <c r="CK18" s="23">
        <v>6.5953657031059265E-2</v>
      </c>
      <c r="CL18" s="23">
        <v>-6.7331723868846893E-2</v>
      </c>
      <c r="CM18" s="23">
        <v>0.35168546438217163</v>
      </c>
      <c r="CN18" s="24">
        <v>-1.1492455005645752</v>
      </c>
      <c r="CO18" s="24">
        <v>2.2000000476837158</v>
      </c>
      <c r="CP18" s="24">
        <v>-0.38391801714897156</v>
      </c>
      <c r="CQ18" s="24">
        <v>-5.5013608932495117</v>
      </c>
      <c r="CR18" s="24">
        <v>1.1400563716888428</v>
      </c>
      <c r="CS18">
        <v>6.9941673710904482</v>
      </c>
      <c r="CT18">
        <v>7080421.6078308411</v>
      </c>
      <c r="CU18">
        <v>-0.31185000000000002</v>
      </c>
      <c r="CV18" s="23">
        <v>6.9464525580406195E-2</v>
      </c>
      <c r="CW18" s="24">
        <v>-0.73889359831809998</v>
      </c>
      <c r="CX18">
        <v>0.06</v>
      </c>
      <c r="CY18" t="e">
        <v>#VALUE!</v>
      </c>
      <c r="CZ18" t="s">
        <v>426</v>
      </c>
      <c r="DA18">
        <v>6.9464525580406195E-2</v>
      </c>
      <c r="DB18" t="e">
        <v>#VALUE!</v>
      </c>
      <c r="DC18" t="s">
        <v>427</v>
      </c>
      <c r="DD18">
        <v>6.5991299301385878E-2</v>
      </c>
      <c r="DE18" t="e">
        <v>#VALUE!</v>
      </c>
      <c r="DF18" t="s">
        <v>427</v>
      </c>
      <c r="DG18">
        <v>6.112878251075745E-2</v>
      </c>
      <c r="DH18" t="e">
        <v>#VALUE!</v>
      </c>
      <c r="DI18" t="s">
        <v>427</v>
      </c>
      <c r="DJ18">
        <v>5.5571620464324956E-2</v>
      </c>
      <c r="DK18" t="e">
        <v>#VALUE!</v>
      </c>
      <c r="DL18" t="s">
        <v>427</v>
      </c>
      <c r="DM18">
        <v>4.8625167906284336E-2</v>
      </c>
      <c r="DN18">
        <v>-23282300</v>
      </c>
      <c r="DO18">
        <v>6.9464525580406195E-2</v>
      </c>
      <c r="DP18">
        <v>7938100000</v>
      </c>
      <c r="DQ18">
        <v>195345340</v>
      </c>
      <c r="DR18">
        <v>3329</v>
      </c>
      <c r="DS18">
        <v>6.3187498711091639E-2</v>
      </c>
      <c r="DT18">
        <v>1.4467813007271473</v>
      </c>
      <c r="DU18" s="25">
        <v>9.9999999999999992E-2</v>
      </c>
      <c r="DV18">
        <v>-2.3733333333333335</v>
      </c>
      <c r="DW18">
        <v>-2.2733333333333334</v>
      </c>
      <c r="DX18">
        <v>-6.3604919292851649</v>
      </c>
      <c r="DY18">
        <v>0.3048796610169478</v>
      </c>
      <c r="DZ18">
        <v>-6.0450181099284777</v>
      </c>
      <c r="EA18">
        <v>4516</v>
      </c>
      <c r="EB18">
        <v>-6.0019274392127073</v>
      </c>
      <c r="EC18">
        <v>6</v>
      </c>
      <c r="ED18">
        <v>0.18229855670103093</v>
      </c>
      <c r="EE18">
        <v>1.4597938144329896</v>
      </c>
      <c r="EF18" s="22">
        <v>2.0416099999999999</v>
      </c>
      <c r="EG18">
        <v>2.0497100000000001</v>
      </c>
      <c r="EH18">
        <v>18.124879661016948</v>
      </c>
      <c r="EI18" t="s">
        <v>425</v>
      </c>
      <c r="EJ18">
        <v>0</v>
      </c>
      <c r="EK18">
        <v>0</v>
      </c>
    </row>
    <row r="19" spans="2:141" ht="205.2" x14ac:dyDescent="0.25">
      <c r="B19" s="3" t="s">
        <v>2411</v>
      </c>
      <c r="C19" s="3"/>
      <c r="D19" s="3" t="s">
        <v>2412</v>
      </c>
      <c r="E19" t="s">
        <v>824</v>
      </c>
      <c r="F19" t="s">
        <v>825</v>
      </c>
      <c r="G19">
        <v>19.899999999999999</v>
      </c>
      <c r="H19">
        <v>2.79</v>
      </c>
      <c r="I19" t="s">
        <v>2188</v>
      </c>
      <c r="J19">
        <v>62064275000</v>
      </c>
      <c r="K19">
        <v>24.04</v>
      </c>
      <c r="L19">
        <v>1.85</v>
      </c>
      <c r="M19" t="s">
        <v>256</v>
      </c>
      <c r="N19" t="s">
        <v>7</v>
      </c>
      <c r="O19" t="s">
        <v>7</v>
      </c>
      <c r="P19" t="s">
        <v>982</v>
      </c>
      <c r="Q19" t="s">
        <v>7</v>
      </c>
      <c r="R19" t="s">
        <v>983</v>
      </c>
      <c r="S19">
        <v>926080210</v>
      </c>
      <c r="T19" s="4">
        <v>0.46310000000000001</v>
      </c>
      <c r="U19" t="s">
        <v>984</v>
      </c>
      <c r="V19">
        <v>2005982600</v>
      </c>
      <c r="W19">
        <v>3118807800</v>
      </c>
      <c r="X19" t="s">
        <v>7</v>
      </c>
      <c r="Y19" t="s">
        <v>7</v>
      </c>
      <c r="Z19" t="s">
        <v>7</v>
      </c>
      <c r="AA19" t="s">
        <v>7</v>
      </c>
      <c r="AB19" t="s">
        <v>7</v>
      </c>
      <c r="AC19" t="s">
        <v>7</v>
      </c>
      <c r="AD19" t="s">
        <v>7</v>
      </c>
      <c r="AE19" t="s">
        <v>7</v>
      </c>
      <c r="AF19">
        <v>-7623588</v>
      </c>
      <c r="AG19" t="s">
        <v>985</v>
      </c>
      <c r="AH19" t="s">
        <v>7</v>
      </c>
      <c r="AI19" t="s">
        <v>986</v>
      </c>
      <c r="AJ19" t="s">
        <v>7</v>
      </c>
      <c r="AK19" t="s">
        <v>987</v>
      </c>
      <c r="AL19" t="s">
        <v>7</v>
      </c>
      <c r="AM19" t="s">
        <v>988</v>
      </c>
      <c r="AN19" t="s">
        <v>7</v>
      </c>
      <c r="AO19" t="s">
        <v>7</v>
      </c>
      <c r="AP19" t="s">
        <v>7</v>
      </c>
      <c r="AQ19" t="s">
        <v>7</v>
      </c>
      <c r="AR19" t="s">
        <v>7</v>
      </c>
      <c r="AS19" t="s">
        <v>7</v>
      </c>
      <c r="AT19" t="s">
        <v>7</v>
      </c>
      <c r="AU19" t="s">
        <v>7</v>
      </c>
      <c r="AV19" t="s">
        <v>7</v>
      </c>
      <c r="AW19" t="s">
        <v>7</v>
      </c>
      <c r="AX19" t="s">
        <v>7</v>
      </c>
      <c r="AY19" t="s">
        <v>989</v>
      </c>
      <c r="AZ19" t="s">
        <v>990</v>
      </c>
      <c r="BA19" t="s">
        <v>991</v>
      </c>
      <c r="BB19" t="s">
        <v>992</v>
      </c>
      <c r="BC19" t="s">
        <v>993</v>
      </c>
      <c r="BD19" t="s">
        <v>994</v>
      </c>
      <c r="BE19" t="s">
        <v>995</v>
      </c>
      <c r="BF19" t="s">
        <v>996</v>
      </c>
      <c r="BG19" t="s">
        <v>997</v>
      </c>
      <c r="BH19" t="s">
        <v>998</v>
      </c>
      <c r="BI19" t="s">
        <v>999</v>
      </c>
      <c r="BJ19" t="s">
        <v>2189</v>
      </c>
      <c r="BK19" t="s">
        <v>1000</v>
      </c>
      <c r="BL19" t="s">
        <v>2190</v>
      </c>
      <c r="BM19" t="s">
        <v>2191</v>
      </c>
      <c r="BN19" t="s">
        <v>196</v>
      </c>
      <c r="BO19">
        <v>1.24</v>
      </c>
      <c r="BP19">
        <v>3.13</v>
      </c>
      <c r="BQ19">
        <v>2.73</v>
      </c>
      <c r="BR19">
        <v>1.93</v>
      </c>
      <c r="BS19">
        <v>7.2</v>
      </c>
      <c r="BT19">
        <v>6.19</v>
      </c>
      <c r="BU19">
        <v>4.4000000000000004</v>
      </c>
      <c r="BV19" t="s">
        <v>2192</v>
      </c>
      <c r="BW19">
        <v>16.66</v>
      </c>
      <c r="BX19">
        <v>20.350000000000001</v>
      </c>
      <c r="BY19">
        <v>21.52</v>
      </c>
      <c r="BZ19">
        <v>7.06</v>
      </c>
      <c r="CA19">
        <v>5.29</v>
      </c>
      <c r="CB19">
        <v>4.3499999999999996</v>
      </c>
      <c r="CC19">
        <v>15.83</v>
      </c>
      <c r="CD19">
        <v>12.94</v>
      </c>
      <c r="CE19" t="s">
        <v>2193</v>
      </c>
      <c r="CF19" t="s">
        <v>648</v>
      </c>
      <c r="CG19" s="23">
        <v>-0.37790248953315625</v>
      </c>
      <c r="CH19" s="24">
        <v>-0.31299687685459943</v>
      </c>
      <c r="CI19" s="23">
        <v>0.28259533643722534</v>
      </c>
      <c r="CJ19" s="23">
        <v>0.1732330322265625</v>
      </c>
      <c r="CK19" s="23">
        <v>6.8886645138263702E-2</v>
      </c>
      <c r="CL19" s="23">
        <v>-9.2850774526596069E-2</v>
      </c>
      <c r="CM19" s="23">
        <v>-1.5411929227411747E-2</v>
      </c>
      <c r="CN19" s="24">
        <v>0.22932326793670654</v>
      </c>
      <c r="CO19" s="24">
        <v>0.45696401596069336</v>
      </c>
      <c r="CP19" s="24">
        <v>0.13197526335716248</v>
      </c>
      <c r="CQ19" s="24">
        <v>6.8117253482341766E-2</v>
      </c>
      <c r="CR19" s="24">
        <v>1.5924887657165527</v>
      </c>
      <c r="CS19">
        <v>1.2978998933478325</v>
      </c>
      <c r="CT19">
        <v>28966889.034512889</v>
      </c>
      <c r="CU19" t="e">
        <v>#VALUE!</v>
      </c>
      <c r="CV19" s="23">
        <v>8.329046200960874E-2</v>
      </c>
      <c r="CW19" s="24">
        <v>0.49577371329069136</v>
      </c>
      <c r="CX19">
        <v>0.06</v>
      </c>
      <c r="CY19">
        <v>26.531196722089419</v>
      </c>
      <c r="CZ19">
        <v>2339294214.6603718</v>
      </c>
      <c r="DA19">
        <v>8.329046200960874E-2</v>
      </c>
      <c r="DB19">
        <v>8.7195849672893324</v>
      </c>
      <c r="DC19">
        <v>7117801504.6390448</v>
      </c>
      <c r="DD19">
        <v>7.9125938909128293E-2</v>
      </c>
      <c r="DE19">
        <v>4.325128738206927</v>
      </c>
      <c r="DF19">
        <v>14349694253.431644</v>
      </c>
      <c r="DG19">
        <v>7.3295606568455698E-2</v>
      </c>
      <c r="DH19">
        <v>2.6195535475404546</v>
      </c>
      <c r="DI19">
        <v>23692691855.172516</v>
      </c>
      <c r="DJ19">
        <v>6.6632369607686995E-2</v>
      </c>
      <c r="DK19">
        <v>1.3786444480586488</v>
      </c>
      <c r="DL19">
        <v>45018333107.855614</v>
      </c>
      <c r="DM19">
        <v>5.8303323406726115E-2</v>
      </c>
      <c r="DN19">
        <v>2289000000</v>
      </c>
      <c r="DO19">
        <v>8.329046200960874E-2</v>
      </c>
      <c r="DP19">
        <v>62064275000</v>
      </c>
      <c r="DQ19">
        <v>69919903000</v>
      </c>
      <c r="DR19">
        <v>3392</v>
      </c>
      <c r="DS19">
        <v>-0.46119295154276496</v>
      </c>
      <c r="DT19">
        <v>-0.80877059014529085</v>
      </c>
      <c r="DU19" s="25">
        <v>9.6666666666666637E-2</v>
      </c>
      <c r="DV19">
        <v>0.29666666666666669</v>
      </c>
      <c r="DW19">
        <v>0.39333333333333331</v>
      </c>
      <c r="DX19">
        <v>5.8174352495262163</v>
      </c>
      <c r="DY19">
        <v>0.6631416837782339</v>
      </c>
      <c r="DZ19">
        <v>5.25597305041632</v>
      </c>
      <c r="EA19">
        <v>2155</v>
      </c>
      <c r="EB19">
        <v>5.1411952885255232</v>
      </c>
      <c r="EC19">
        <v>5</v>
      </c>
      <c r="ED19">
        <v>9.779377876379558E-2</v>
      </c>
      <c r="EE19">
        <v>0.3122988213637275</v>
      </c>
      <c r="EF19" s="22">
        <v>2.1194999999999999</v>
      </c>
      <c r="EG19">
        <v>2.1474000000000002</v>
      </c>
      <c r="EH19">
        <v>35.313141683778234</v>
      </c>
      <c r="EI19" t="s">
        <v>909</v>
      </c>
      <c r="EJ19">
        <v>1</v>
      </c>
      <c r="EK19">
        <v>0</v>
      </c>
    </row>
    <row r="20" spans="2:141" x14ac:dyDescent="0.25">
      <c r="B20" s="3"/>
      <c r="C20" s="3"/>
      <c r="D20" s="3"/>
      <c r="E20" t="s">
        <v>1318</v>
      </c>
      <c r="F20" t="s">
        <v>1319</v>
      </c>
      <c r="G20">
        <v>5.38</v>
      </c>
      <c r="H20">
        <v>3.86</v>
      </c>
      <c r="I20" t="s">
        <v>1615</v>
      </c>
      <c r="J20">
        <v>984652860000</v>
      </c>
      <c r="K20">
        <v>9.51</v>
      </c>
      <c r="L20">
        <v>0.755</v>
      </c>
      <c r="M20" t="s">
        <v>451</v>
      </c>
      <c r="N20" t="s">
        <v>1616</v>
      </c>
      <c r="O20" t="s">
        <v>1617</v>
      </c>
      <c r="P20" t="s">
        <v>1618</v>
      </c>
      <c r="Q20">
        <v>35.19</v>
      </c>
      <c r="R20" t="s">
        <v>1619</v>
      </c>
      <c r="S20">
        <v>39059000000</v>
      </c>
      <c r="T20" s="4">
        <v>0.40910000000000002</v>
      </c>
      <c r="U20" t="s">
        <v>1620</v>
      </c>
      <c r="V20">
        <v>161922080000</v>
      </c>
      <c r="W20">
        <v>183020980000</v>
      </c>
      <c r="X20">
        <v>1.78</v>
      </c>
      <c r="Y20">
        <v>1.05</v>
      </c>
      <c r="Z20">
        <v>4.3899999999999997</v>
      </c>
      <c r="AA20" t="s">
        <v>1621</v>
      </c>
      <c r="AB20" t="s">
        <v>1622</v>
      </c>
      <c r="AC20" t="s">
        <v>1623</v>
      </c>
      <c r="AD20" t="s">
        <v>1624</v>
      </c>
      <c r="AE20" t="s">
        <v>1625</v>
      </c>
      <c r="AF20">
        <v>4045000000</v>
      </c>
      <c r="AG20" t="s">
        <v>1626</v>
      </c>
      <c r="AH20" t="s">
        <v>1627</v>
      </c>
      <c r="AI20" t="s">
        <v>1628</v>
      </c>
      <c r="AJ20" t="s">
        <v>1629</v>
      </c>
      <c r="AK20" t="s">
        <v>1630</v>
      </c>
      <c r="AL20" t="s">
        <v>7</v>
      </c>
      <c r="AM20" t="s">
        <v>1631</v>
      </c>
      <c r="AN20" t="s">
        <v>7</v>
      </c>
      <c r="AO20" t="s">
        <v>1632</v>
      </c>
      <c r="AP20" t="s">
        <v>1633</v>
      </c>
      <c r="AQ20" t="s">
        <v>1634</v>
      </c>
      <c r="AR20" t="s">
        <v>1635</v>
      </c>
      <c r="AS20" t="s">
        <v>7</v>
      </c>
      <c r="AT20" t="s">
        <v>1636</v>
      </c>
      <c r="AU20" t="s">
        <v>1637</v>
      </c>
      <c r="AV20" t="s">
        <v>1638</v>
      </c>
      <c r="AW20" t="s">
        <v>1639</v>
      </c>
      <c r="AX20" t="s">
        <v>1640</v>
      </c>
      <c r="AY20" t="s">
        <v>1641</v>
      </c>
      <c r="AZ20" t="s">
        <v>1642</v>
      </c>
      <c r="BA20" t="s">
        <v>1643</v>
      </c>
      <c r="BB20" t="s">
        <v>1644</v>
      </c>
      <c r="BC20" t="s">
        <v>1645</v>
      </c>
      <c r="BD20" t="s">
        <v>1646</v>
      </c>
      <c r="BE20" t="s">
        <v>1647</v>
      </c>
      <c r="BF20" t="s">
        <v>1648</v>
      </c>
      <c r="BG20" t="s">
        <v>1649</v>
      </c>
      <c r="BH20" t="s">
        <v>1650</v>
      </c>
      <c r="BI20" t="s">
        <v>1619</v>
      </c>
      <c r="BJ20" t="s">
        <v>1651</v>
      </c>
      <c r="BK20" t="s">
        <v>1641</v>
      </c>
      <c r="BL20" t="s">
        <v>1620</v>
      </c>
      <c r="BM20" t="s">
        <v>1652</v>
      </c>
      <c r="BN20" t="s">
        <v>1646</v>
      </c>
      <c r="BO20">
        <v>4.16</v>
      </c>
      <c r="BP20">
        <v>1.06</v>
      </c>
      <c r="BQ20">
        <v>2.4300000000000002</v>
      </c>
      <c r="BR20">
        <v>2.91</v>
      </c>
      <c r="BS20">
        <v>6.05</v>
      </c>
      <c r="BT20">
        <v>1.6</v>
      </c>
      <c r="BU20">
        <v>3.7</v>
      </c>
      <c r="BV20">
        <v>4.4000000000000004</v>
      </c>
      <c r="BW20">
        <v>20.02</v>
      </c>
      <c r="BX20">
        <v>20.02</v>
      </c>
      <c r="BY20">
        <v>20.440000000000001</v>
      </c>
      <c r="BZ20">
        <v>1.73</v>
      </c>
      <c r="CA20">
        <v>1.73</v>
      </c>
      <c r="CB20">
        <v>2.66</v>
      </c>
      <c r="CC20">
        <v>1.89</v>
      </c>
      <c r="CD20">
        <v>5.91</v>
      </c>
      <c r="CE20" t="s">
        <v>1653</v>
      </c>
      <c r="CF20" t="s">
        <v>1654</v>
      </c>
    </row>
    <row r="21" spans="2:141" x14ac:dyDescent="0.25">
      <c r="B21" s="3"/>
      <c r="C21" s="3"/>
      <c r="D21" s="3"/>
      <c r="E21" t="s">
        <v>1738</v>
      </c>
      <c r="F21" t="s">
        <v>1739</v>
      </c>
      <c r="G21">
        <v>14.82</v>
      </c>
      <c r="H21">
        <v>-2.76</v>
      </c>
      <c r="I21" t="s">
        <v>1869</v>
      </c>
      <c r="J21">
        <v>7617373800</v>
      </c>
      <c r="K21">
        <v>14.86</v>
      </c>
      <c r="L21">
        <v>2.09</v>
      </c>
      <c r="M21" t="s">
        <v>240</v>
      </c>
      <c r="N21" t="s">
        <v>1870</v>
      </c>
      <c r="O21" t="s">
        <v>1871</v>
      </c>
      <c r="P21" t="s">
        <v>1872</v>
      </c>
      <c r="Q21">
        <v>1.58</v>
      </c>
      <c r="R21" t="s">
        <v>1873</v>
      </c>
      <c r="S21">
        <v>128922655</v>
      </c>
      <c r="T21" s="4">
        <v>0.1227</v>
      </c>
      <c r="U21" t="s">
        <v>1874</v>
      </c>
      <c r="V21">
        <v>511332500</v>
      </c>
      <c r="W21">
        <v>513992830</v>
      </c>
      <c r="X21">
        <v>1.65</v>
      </c>
      <c r="Y21">
        <v>0.33</v>
      </c>
      <c r="Z21">
        <v>6.88</v>
      </c>
      <c r="AA21" t="s">
        <v>1875</v>
      </c>
      <c r="AB21" t="s">
        <v>1876</v>
      </c>
      <c r="AC21" t="s">
        <v>1877</v>
      </c>
      <c r="AD21" t="s">
        <v>1878</v>
      </c>
      <c r="AE21" t="s">
        <v>1211</v>
      </c>
      <c r="AF21">
        <v>1008166</v>
      </c>
      <c r="AG21" t="s">
        <v>1879</v>
      </c>
      <c r="AH21" t="s">
        <v>1880</v>
      </c>
      <c r="AI21" t="s">
        <v>1881</v>
      </c>
      <c r="AJ21" t="s">
        <v>1882</v>
      </c>
      <c r="AK21" t="s">
        <v>1883</v>
      </c>
      <c r="AL21" t="s">
        <v>1855</v>
      </c>
      <c r="AM21" t="s">
        <v>1884</v>
      </c>
      <c r="AN21" t="s">
        <v>7</v>
      </c>
      <c r="AO21" t="s">
        <v>1885</v>
      </c>
      <c r="AP21" t="s">
        <v>1886</v>
      </c>
      <c r="AQ21" t="s">
        <v>1887</v>
      </c>
      <c r="AR21" t="s">
        <v>1888</v>
      </c>
      <c r="AS21" t="s">
        <v>7</v>
      </c>
      <c r="AT21" t="s">
        <v>1889</v>
      </c>
      <c r="AU21" t="s">
        <v>1890</v>
      </c>
      <c r="AV21" t="s">
        <v>1891</v>
      </c>
      <c r="AW21" t="s">
        <v>1892</v>
      </c>
      <c r="AX21" t="s">
        <v>1893</v>
      </c>
      <c r="AY21" t="s">
        <v>1894</v>
      </c>
      <c r="AZ21" t="s">
        <v>1895</v>
      </c>
      <c r="BA21" t="s">
        <v>1896</v>
      </c>
      <c r="BB21" t="s">
        <v>1897</v>
      </c>
      <c r="BC21" t="s">
        <v>1898</v>
      </c>
      <c r="BD21" t="s">
        <v>24</v>
      </c>
      <c r="BE21" t="s">
        <v>1899</v>
      </c>
      <c r="BF21" t="s">
        <v>1178</v>
      </c>
      <c r="BG21" t="s">
        <v>1900</v>
      </c>
      <c r="BH21" t="s">
        <v>1901</v>
      </c>
      <c r="BI21" t="s">
        <v>1902</v>
      </c>
      <c r="BJ21" t="s">
        <v>1903</v>
      </c>
      <c r="BK21" t="s">
        <v>1894</v>
      </c>
      <c r="BL21" t="s">
        <v>1874</v>
      </c>
      <c r="BM21" t="s">
        <v>1243</v>
      </c>
      <c r="BN21" t="s">
        <v>24</v>
      </c>
      <c r="BO21">
        <v>12.58</v>
      </c>
      <c r="BP21">
        <v>11.94</v>
      </c>
      <c r="BQ21">
        <v>8.68</v>
      </c>
      <c r="BR21">
        <v>8.2100000000000009</v>
      </c>
      <c r="BS21">
        <v>14.39</v>
      </c>
      <c r="BT21">
        <v>15.27</v>
      </c>
      <c r="BU21">
        <v>12.3</v>
      </c>
      <c r="BV21">
        <v>12.71</v>
      </c>
      <c r="BW21">
        <v>15.43</v>
      </c>
      <c r="BX21">
        <v>15.67</v>
      </c>
      <c r="BY21">
        <v>15.08</v>
      </c>
      <c r="BZ21">
        <v>6.66</v>
      </c>
      <c r="CA21">
        <v>6.1</v>
      </c>
      <c r="CB21">
        <v>4.58</v>
      </c>
      <c r="CC21">
        <v>-7.0000000000000007E-2</v>
      </c>
      <c r="CD21">
        <v>30.23</v>
      </c>
      <c r="CE21" t="s">
        <v>1904</v>
      </c>
      <c r="CF21" t="s">
        <v>1905</v>
      </c>
      <c r="CG21" s="23">
        <v>1.5901614530776993E-2</v>
      </c>
      <c r="CH21" s="24">
        <v>0.12106656521739145</v>
      </c>
      <c r="CI21" s="23">
        <v>-9.0529389679431915E-2</v>
      </c>
      <c r="CJ21" s="23">
        <v>-3.0531851574778557E-2</v>
      </c>
      <c r="CK21" s="23">
        <v>0.16422472894191742</v>
      </c>
      <c r="CL21" s="23">
        <v>0.10939931124448776</v>
      </c>
      <c r="CM21" s="23">
        <v>7.91640505194664E-2</v>
      </c>
      <c r="CN21" s="24">
        <v>-1.5810277312994003E-2</v>
      </c>
      <c r="CO21" s="24">
        <v>0.3177083432674408</v>
      </c>
      <c r="CP21" s="24">
        <v>0.1497005969285965</v>
      </c>
      <c r="CQ21" s="24">
        <v>-2.9850746504962444E-3</v>
      </c>
      <c r="CR21" s="24">
        <v>-0.10904255509376526</v>
      </c>
      <c r="CS21">
        <v>0.94543549708328178</v>
      </c>
      <c r="CT21">
        <v>25097624.497991964</v>
      </c>
      <c r="CU21">
        <v>3.7461599999999997</v>
      </c>
      <c r="CV21" s="23">
        <v>4.6345369890332222E-2</v>
      </c>
      <c r="CW21" s="24">
        <v>6.7914206627756352E-2</v>
      </c>
      <c r="CX21">
        <v>0.06</v>
      </c>
      <c r="CY21">
        <v>12.824587975576771</v>
      </c>
      <c r="CZ21">
        <v>491584900.19375986</v>
      </c>
      <c r="DA21">
        <v>4.6345369890332222E-2</v>
      </c>
      <c r="DB21">
        <v>4.3495601675741957</v>
      </c>
      <c r="DC21">
        <v>1449427886.2950017</v>
      </c>
      <c r="DD21">
        <v>4.4028101395815609E-2</v>
      </c>
      <c r="DE21">
        <v>2.2483189335263285</v>
      </c>
      <c r="DF21">
        <v>2804038922.5882812</v>
      </c>
      <c r="DG21">
        <v>4.0783925503492358E-2</v>
      </c>
      <c r="DH21">
        <v>1.4248855662076836</v>
      </c>
      <c r="DI21">
        <v>4424477269.9740496</v>
      </c>
      <c r="DJ21">
        <v>3.7076295912265779E-2</v>
      </c>
      <c r="DK21">
        <v>0.82510116138042111</v>
      </c>
      <c r="DL21">
        <v>7640728307.1236715</v>
      </c>
      <c r="DM21">
        <v>3.2441758923232554E-2</v>
      </c>
      <c r="DN21">
        <v>498000000.00000006</v>
      </c>
      <c r="DO21">
        <v>4.6345369890332222E-2</v>
      </c>
      <c r="DP21">
        <v>6304373800</v>
      </c>
      <c r="DQ21">
        <v>2152908900</v>
      </c>
      <c r="DR21">
        <v>3649</v>
      </c>
      <c r="DS21">
        <v>-3.0443755359555229E-2</v>
      </c>
      <c r="DT21">
        <v>5.3152358589635101E-2</v>
      </c>
      <c r="DU21" s="25">
        <v>0.13333333333333333</v>
      </c>
      <c r="DV21">
        <v>0.15</v>
      </c>
      <c r="DW21">
        <v>0.28333333333333333</v>
      </c>
      <c r="DX21">
        <v>3.1609345238095239</v>
      </c>
      <c r="DY21">
        <v>0.40352793662252751</v>
      </c>
      <c r="DZ21">
        <v>3.0247079453718051</v>
      </c>
      <c r="EA21">
        <v>2508</v>
      </c>
      <c r="EB21">
        <v>3.0115764499294473</v>
      </c>
      <c r="EC21">
        <v>3</v>
      </c>
      <c r="ED21">
        <v>2.842627201628474E-2</v>
      </c>
      <c r="EE21">
        <v>0.18515375010192262</v>
      </c>
      <c r="EF21" s="22">
        <v>-1.0799000000000001</v>
      </c>
      <c r="EG21">
        <v>-1.0523</v>
      </c>
      <c r="EH21">
        <v>25.153527936622528</v>
      </c>
      <c r="EI21" t="s">
        <v>380</v>
      </c>
      <c r="EJ21">
        <v>0</v>
      </c>
      <c r="EK21">
        <v>0</v>
      </c>
    </row>
  </sheetDat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Industry_copy_call_buttom [c2],[d2]'">
                <anchor moveWithCells="1" sizeWithCells="1">
                  <from>
                    <xdr:col>1</xdr:col>
                    <xdr:colOff>60960</xdr:colOff>
                    <xdr:row>1</xdr:row>
                    <xdr:rowOff>259080</xdr:rowOff>
                  </from>
                  <to>
                    <xdr:col>1</xdr:col>
                    <xdr:colOff>1089660</xdr:colOff>
                    <xdr:row>1</xdr:row>
                    <xdr:rowOff>708660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EK9"/>
  <sheetViews>
    <sheetView workbookViewId="0">
      <selection activeCell="D4" sqref="D4"/>
    </sheetView>
  </sheetViews>
  <sheetFormatPr defaultRowHeight="14.4" x14ac:dyDescent="0.25"/>
  <cols>
    <col min="2" max="2" width="37.5546875" customWidth="1"/>
    <col min="3" max="3" width="35.33203125" customWidth="1"/>
    <col min="4" max="4" width="34.77734375" customWidth="1"/>
  </cols>
  <sheetData>
    <row r="1" spans="1:141" s="16" customFormat="1" x14ac:dyDescent="0.25">
      <c r="A1" s="17" t="s">
        <v>157</v>
      </c>
      <c r="B1" s="20" t="s">
        <v>381</v>
      </c>
      <c r="C1" s="21" t="s">
        <v>382</v>
      </c>
      <c r="D1" s="20" t="s">
        <v>383</v>
      </c>
      <c r="E1" t="s">
        <v>2</v>
      </c>
      <c r="F1" t="s">
        <v>3</v>
      </c>
      <c r="G1" t="s">
        <v>0</v>
      </c>
      <c r="H1" t="s">
        <v>350</v>
      </c>
      <c r="I1" t="s">
        <v>384</v>
      </c>
      <c r="J1" t="s">
        <v>4</v>
      </c>
      <c r="K1" t="s">
        <v>5</v>
      </c>
      <c r="L1" t="s">
        <v>1</v>
      </c>
      <c r="M1" t="s">
        <v>6</v>
      </c>
      <c r="N1" t="s">
        <v>9</v>
      </c>
      <c r="O1" t="s">
        <v>10</v>
      </c>
      <c r="P1" t="s">
        <v>11</v>
      </c>
      <c r="Q1" t="s">
        <v>385</v>
      </c>
      <c r="R1" t="s">
        <v>351</v>
      </c>
      <c r="S1" t="s">
        <v>386</v>
      </c>
      <c r="T1" t="s">
        <v>12</v>
      </c>
      <c r="U1" t="s">
        <v>352</v>
      </c>
      <c r="V1" t="s">
        <v>353</v>
      </c>
      <c r="W1" t="s">
        <v>13</v>
      </c>
      <c r="X1" t="s">
        <v>214</v>
      </c>
      <c r="Y1" t="s">
        <v>215</v>
      </c>
      <c r="Z1" t="s">
        <v>216</v>
      </c>
      <c r="AA1" t="s">
        <v>217</v>
      </c>
      <c r="AB1" t="s">
        <v>218</v>
      </c>
      <c r="AC1" t="s">
        <v>354</v>
      </c>
      <c r="AD1" t="s">
        <v>219</v>
      </c>
      <c r="AE1" t="s">
        <v>387</v>
      </c>
      <c r="AF1" t="s">
        <v>14</v>
      </c>
      <c r="AG1" t="s">
        <v>15</v>
      </c>
      <c r="AH1" t="s">
        <v>355</v>
      </c>
      <c r="AI1" t="s">
        <v>388</v>
      </c>
      <c r="AJ1" t="s">
        <v>356</v>
      </c>
      <c r="AK1" t="s">
        <v>16</v>
      </c>
      <c r="AL1" t="s">
        <v>357</v>
      </c>
      <c r="AM1" t="s">
        <v>158</v>
      </c>
      <c r="AN1" t="s">
        <v>358</v>
      </c>
      <c r="AO1" t="s">
        <v>359</v>
      </c>
      <c r="AP1" t="s">
        <v>360</v>
      </c>
      <c r="AQ1" t="s">
        <v>361</v>
      </c>
      <c r="AR1" t="s">
        <v>362</v>
      </c>
      <c r="AS1" t="s">
        <v>363</v>
      </c>
      <c r="AT1" t="s">
        <v>364</v>
      </c>
      <c r="AU1" t="s">
        <v>365</v>
      </c>
      <c r="AV1" t="s">
        <v>366</v>
      </c>
      <c r="AW1" t="s">
        <v>367</v>
      </c>
      <c r="AX1" t="s">
        <v>368</v>
      </c>
      <c r="AY1" t="s">
        <v>389</v>
      </c>
      <c r="AZ1" t="s">
        <v>159</v>
      </c>
      <c r="BA1" t="s">
        <v>160</v>
      </c>
      <c r="BB1" t="s">
        <v>161</v>
      </c>
      <c r="BC1" t="s">
        <v>162</v>
      </c>
      <c r="BD1" t="s">
        <v>168</v>
      </c>
      <c r="BE1" t="s">
        <v>163</v>
      </c>
      <c r="BF1" t="s">
        <v>164</v>
      </c>
      <c r="BG1" t="s">
        <v>165</v>
      </c>
      <c r="BH1" t="s">
        <v>166</v>
      </c>
      <c r="BI1" t="s">
        <v>390</v>
      </c>
      <c r="BJ1" t="s">
        <v>369</v>
      </c>
      <c r="BK1" t="s">
        <v>167</v>
      </c>
      <c r="BL1" t="s">
        <v>370</v>
      </c>
      <c r="BM1" t="s">
        <v>371</v>
      </c>
      <c r="BN1" t="s">
        <v>372</v>
      </c>
      <c r="BO1" t="s">
        <v>373</v>
      </c>
      <c r="BP1" t="s">
        <v>169</v>
      </c>
      <c r="BQ1" t="s">
        <v>170</v>
      </c>
      <c r="BR1" t="s">
        <v>171</v>
      </c>
      <c r="BS1" t="s">
        <v>374</v>
      </c>
      <c r="BT1" t="s">
        <v>172</v>
      </c>
      <c r="BU1" t="s">
        <v>173</v>
      </c>
      <c r="BV1" t="s">
        <v>174</v>
      </c>
      <c r="BW1" t="s">
        <v>375</v>
      </c>
      <c r="BX1" t="s">
        <v>175</v>
      </c>
      <c r="BY1" t="s">
        <v>176</v>
      </c>
      <c r="BZ1" t="s">
        <v>376</v>
      </c>
      <c r="CA1" t="s">
        <v>177</v>
      </c>
      <c r="CB1" t="s">
        <v>178</v>
      </c>
      <c r="CC1" t="s">
        <v>391</v>
      </c>
      <c r="CD1" t="s">
        <v>392</v>
      </c>
      <c r="CE1" t="s">
        <v>393</v>
      </c>
      <c r="CF1" t="s">
        <v>394</v>
      </c>
      <c r="CG1" s="1" t="s">
        <v>220</v>
      </c>
      <c r="CH1" s="1" t="s">
        <v>221</v>
      </c>
      <c r="CI1" s="1" t="s">
        <v>222</v>
      </c>
      <c r="CJ1" s="1" t="s">
        <v>223</v>
      </c>
      <c r="CK1" s="1" t="s">
        <v>224</v>
      </c>
      <c r="CL1" s="1" t="s">
        <v>225</v>
      </c>
      <c r="CM1" s="1" t="s">
        <v>226</v>
      </c>
      <c r="CN1" s="1" t="s">
        <v>227</v>
      </c>
      <c r="CO1" s="1" t="s">
        <v>228</v>
      </c>
      <c r="CP1" s="1" t="s">
        <v>229</v>
      </c>
      <c r="CQ1" s="1" t="s">
        <v>230</v>
      </c>
      <c r="CR1" s="1" t="s">
        <v>231</v>
      </c>
      <c r="CS1" s="1" t="s">
        <v>395</v>
      </c>
      <c r="CT1" s="1" t="s">
        <v>396</v>
      </c>
      <c r="CU1" s="1" t="s">
        <v>397</v>
      </c>
      <c r="CV1" s="1" t="s">
        <v>232</v>
      </c>
      <c r="CW1" s="1" t="s">
        <v>398</v>
      </c>
      <c r="CX1" s="1" t="s">
        <v>138</v>
      </c>
      <c r="CY1">
        <v>1</v>
      </c>
      <c r="CZ1" t="s">
        <v>400</v>
      </c>
      <c r="DA1" t="s">
        <v>266</v>
      </c>
      <c r="DB1">
        <v>3</v>
      </c>
      <c r="DC1" t="s">
        <v>401</v>
      </c>
      <c r="DD1" t="s">
        <v>402</v>
      </c>
      <c r="DE1">
        <v>6</v>
      </c>
      <c r="DF1" t="s">
        <v>267</v>
      </c>
      <c r="DG1" t="s">
        <v>403</v>
      </c>
      <c r="DH1">
        <v>10</v>
      </c>
      <c r="DI1" t="s">
        <v>404</v>
      </c>
      <c r="DJ1" t="s">
        <v>268</v>
      </c>
      <c r="DK1">
        <v>20</v>
      </c>
      <c r="DL1" t="s">
        <v>405</v>
      </c>
      <c r="DM1" t="s">
        <v>233</v>
      </c>
      <c r="DN1" t="s">
        <v>234</v>
      </c>
      <c r="DO1" s="2" t="s">
        <v>235</v>
      </c>
      <c r="DP1" t="s">
        <v>406</v>
      </c>
      <c r="DQ1" t="s">
        <v>269</v>
      </c>
      <c r="DR1" s="1" t="s">
        <v>236</v>
      </c>
      <c r="DS1" s="1" t="s">
        <v>237</v>
      </c>
      <c r="DT1" s="1" t="s">
        <v>407</v>
      </c>
      <c r="DU1" t="s">
        <v>408</v>
      </c>
      <c r="DV1" t="s">
        <v>270</v>
      </c>
      <c r="DW1" t="s">
        <v>409</v>
      </c>
      <c r="DX1" t="s">
        <v>410</v>
      </c>
      <c r="DY1" t="s">
        <v>411</v>
      </c>
      <c r="DZ1" t="s">
        <v>412</v>
      </c>
      <c r="EA1" t="s">
        <v>413</v>
      </c>
      <c r="EB1" t="s">
        <v>238</v>
      </c>
      <c r="EC1" t="s">
        <v>414</v>
      </c>
      <c r="ED1" t="s">
        <v>415</v>
      </c>
      <c r="EE1" t="s">
        <v>416</v>
      </c>
      <c r="EF1" t="s">
        <v>417</v>
      </c>
      <c r="EG1" t="s">
        <v>418</v>
      </c>
      <c r="EH1" t="s">
        <v>419</v>
      </c>
      <c r="EI1" t="s">
        <v>420</v>
      </c>
      <c r="EJ1" t="s">
        <v>421</v>
      </c>
      <c r="EK1"/>
    </row>
    <row r="2" spans="1:141" s="16" customFormat="1" ht="71.55" customHeight="1" x14ac:dyDescent="0.25">
      <c r="A2" s="29"/>
      <c r="B2" s="27"/>
      <c r="C2" s="28">
        <v>3</v>
      </c>
      <c r="D2" s="28">
        <v>4</v>
      </c>
      <c r="T2" s="18"/>
      <c r="U2" s="18"/>
      <c r="V2" s="18"/>
      <c r="AB2" s="19"/>
    </row>
    <row r="3" spans="1:141" ht="86.4" x14ac:dyDescent="0.25">
      <c r="B3" s="3"/>
      <c r="C3" s="3"/>
      <c r="D3" s="3" t="s">
        <v>2447</v>
      </c>
      <c r="E3" t="s">
        <v>1906</v>
      </c>
      <c r="F3" t="s">
        <v>1907</v>
      </c>
      <c r="G3">
        <v>13.41</v>
      </c>
      <c r="H3">
        <v>-5.16</v>
      </c>
      <c r="I3" t="s">
        <v>64</v>
      </c>
      <c r="J3">
        <v>133051330000</v>
      </c>
      <c r="K3">
        <v>17.32</v>
      </c>
      <c r="L3">
        <v>2.19</v>
      </c>
      <c r="M3" t="s">
        <v>1908</v>
      </c>
      <c r="N3" t="s">
        <v>2418</v>
      </c>
      <c r="O3" t="s">
        <v>2419</v>
      </c>
      <c r="P3" t="s">
        <v>2420</v>
      </c>
      <c r="Q3">
        <v>-0.37</v>
      </c>
      <c r="R3" t="s">
        <v>1921</v>
      </c>
      <c r="S3">
        <v>5857626100</v>
      </c>
      <c r="T3" s="4">
        <v>2.387</v>
      </c>
      <c r="U3" t="s">
        <v>1922</v>
      </c>
      <c r="V3">
        <v>7604420100</v>
      </c>
      <c r="W3">
        <v>9921799400</v>
      </c>
      <c r="X3">
        <v>2.2799999999999998</v>
      </c>
      <c r="Y3">
        <v>0.41</v>
      </c>
      <c r="Z3">
        <v>10.32</v>
      </c>
      <c r="AA3" t="s">
        <v>2421</v>
      </c>
      <c r="AB3" t="s">
        <v>2422</v>
      </c>
      <c r="AC3" t="s">
        <v>2423</v>
      </c>
      <c r="AD3" t="s">
        <v>2424</v>
      </c>
      <c r="AE3" t="s">
        <v>459</v>
      </c>
      <c r="AF3">
        <v>-437998350</v>
      </c>
      <c r="AG3" t="s">
        <v>2425</v>
      </c>
      <c r="AH3" t="s">
        <v>2426</v>
      </c>
      <c r="AI3" t="s">
        <v>2427</v>
      </c>
      <c r="AJ3" t="s">
        <v>2428</v>
      </c>
      <c r="AK3" t="s">
        <v>2429</v>
      </c>
      <c r="AL3" t="s">
        <v>2430</v>
      </c>
      <c r="AM3" t="s">
        <v>2431</v>
      </c>
      <c r="AN3" t="s">
        <v>2432</v>
      </c>
      <c r="AO3" t="s">
        <v>1269</v>
      </c>
      <c r="AP3" t="s">
        <v>2433</v>
      </c>
      <c r="AQ3" t="s">
        <v>2434</v>
      </c>
      <c r="AR3" t="s">
        <v>2435</v>
      </c>
      <c r="AS3" t="s">
        <v>7</v>
      </c>
      <c r="AT3" t="s">
        <v>2436</v>
      </c>
      <c r="AU3" t="s">
        <v>2437</v>
      </c>
      <c r="AV3" t="s">
        <v>2438</v>
      </c>
      <c r="AW3" t="s">
        <v>524</v>
      </c>
      <c r="AX3" t="s">
        <v>2439</v>
      </c>
      <c r="AY3" t="s">
        <v>1925</v>
      </c>
      <c r="AZ3" t="s">
        <v>1926</v>
      </c>
      <c r="BA3" t="s">
        <v>1927</v>
      </c>
      <c r="BB3" t="s">
        <v>1928</v>
      </c>
      <c r="BC3" t="s">
        <v>1929</v>
      </c>
      <c r="BD3" t="s">
        <v>1930</v>
      </c>
      <c r="BE3" t="s">
        <v>1931</v>
      </c>
      <c r="BF3" t="s">
        <v>1932</v>
      </c>
      <c r="BG3" t="s">
        <v>1933</v>
      </c>
      <c r="BH3" t="s">
        <v>1934</v>
      </c>
      <c r="BI3" t="s">
        <v>1935</v>
      </c>
      <c r="BJ3" t="s">
        <v>2440</v>
      </c>
      <c r="BK3" t="s">
        <v>1936</v>
      </c>
      <c r="BL3" t="s">
        <v>2441</v>
      </c>
      <c r="BM3" t="s">
        <v>2442</v>
      </c>
      <c r="BN3" t="s">
        <v>1937</v>
      </c>
      <c r="BO3">
        <v>4.72</v>
      </c>
      <c r="BP3">
        <v>4.0599999999999996</v>
      </c>
      <c r="BQ3">
        <v>4.7</v>
      </c>
      <c r="BR3">
        <v>-4.21</v>
      </c>
      <c r="BS3">
        <v>6.53</v>
      </c>
      <c r="BT3">
        <v>7.13</v>
      </c>
      <c r="BU3">
        <v>-5.86</v>
      </c>
      <c r="BV3" t="s">
        <v>2443</v>
      </c>
      <c r="BW3">
        <v>18.21</v>
      </c>
      <c r="BX3">
        <v>14.3</v>
      </c>
      <c r="BY3">
        <v>14.68</v>
      </c>
      <c r="BZ3">
        <v>13.11</v>
      </c>
      <c r="CA3">
        <v>3.89</v>
      </c>
      <c r="CB3">
        <v>-3.75</v>
      </c>
      <c r="CC3">
        <v>-6.16</v>
      </c>
      <c r="CD3">
        <v>-27.79</v>
      </c>
      <c r="CE3" t="s">
        <v>2444</v>
      </c>
      <c r="CF3" t="s">
        <v>2445</v>
      </c>
      <c r="CG3" s="23">
        <v>-0.11149656676629777</v>
      </c>
      <c r="CH3" s="24">
        <v>0.51042982857142838</v>
      </c>
      <c r="CI3" s="23">
        <v>0.24331294000148773</v>
      </c>
      <c r="CJ3" s="23">
        <v>0.19790348410606384</v>
      </c>
      <c r="CK3" s="23">
        <v>6.4813464879989624E-2</v>
      </c>
      <c r="CL3" s="23">
        <v>-0.1713993102312088</v>
      </c>
      <c r="CM3" s="23">
        <v>1.8716169521212578E-2</v>
      </c>
      <c r="CN3" s="24">
        <v>6.8592056632041931E-2</v>
      </c>
      <c r="CO3" s="24">
        <v>2.2557613849639893</v>
      </c>
      <c r="CP3" s="24">
        <v>-4.8869309425354004</v>
      </c>
      <c r="CQ3" s="24">
        <v>-0.90458178520202637</v>
      </c>
      <c r="CR3" s="24">
        <v>-0.30607679486274719</v>
      </c>
      <c r="CS3">
        <v>1.2654441612295753</v>
      </c>
      <c r="CT3">
        <v>87277978.603603587</v>
      </c>
      <c r="CU3">
        <v>9.6471359999999979</v>
      </c>
      <c r="CV3" s="23">
        <v>7.0669349655509001E-2</v>
      </c>
      <c r="CW3" s="24">
        <v>-0.75464721620082853</v>
      </c>
      <c r="CX3">
        <v>0.06</v>
      </c>
      <c r="CY3">
        <v>41.874497959779205</v>
      </c>
      <c r="CZ3">
        <v>3587752386.7701592</v>
      </c>
      <c r="DA3">
        <v>7.0669349655509001E-2</v>
      </c>
      <c r="DB3">
        <v>13.910528515895445</v>
      </c>
      <c r="DC3">
        <v>10800116604.363907</v>
      </c>
      <c r="DD3">
        <v>6.7135882172733544E-2</v>
      </c>
      <c r="DE3">
        <v>6.9985708352992022</v>
      </c>
      <c r="DF3">
        <v>21466572752.575012</v>
      </c>
      <c r="DG3">
        <v>6.2189027696847921E-2</v>
      </c>
      <c r="DH3">
        <v>4.3062546229389334</v>
      </c>
      <c r="DI3">
        <v>34887702459.513962</v>
      </c>
      <c r="DJ3">
        <v>5.65354797244072E-2</v>
      </c>
      <c r="DK3">
        <v>2.3446721196486151</v>
      </c>
      <c r="DL3">
        <v>64075197867.118011</v>
      </c>
      <c r="DM3">
        <v>4.94685447588563E-2</v>
      </c>
      <c r="DN3">
        <v>3552000000.0000005</v>
      </c>
      <c r="DO3">
        <v>7.0669349655509001E-2</v>
      </c>
      <c r="DP3">
        <v>150235330000</v>
      </c>
      <c r="DQ3">
        <v>20302609000</v>
      </c>
      <c r="DR3">
        <v>191</v>
      </c>
      <c r="DS3">
        <v>-0.18216591642180677</v>
      </c>
      <c r="DT3">
        <v>1.2650770447722568</v>
      </c>
      <c r="DU3" s="25">
        <v>0.20000000000000004</v>
      </c>
      <c r="DV3">
        <v>-6.6666666666666693E-2</v>
      </c>
      <c r="DW3">
        <v>0.13333333333333336</v>
      </c>
      <c r="DX3">
        <v>-9.2216624685138537</v>
      </c>
      <c r="DY3">
        <v>0.58353773283529131</v>
      </c>
      <c r="DZ3">
        <v>-9.0318169281851528</v>
      </c>
      <c r="EA3">
        <v>3084</v>
      </c>
      <c r="EB3">
        <v>-9.0115267283251423</v>
      </c>
      <c r="EC3">
        <v>9</v>
      </c>
      <c r="ED3">
        <v>9.4136150343857986E-2</v>
      </c>
      <c r="EE3">
        <v>0.65582861915148161</v>
      </c>
      <c r="EF3" s="22">
        <v>6.1063099999999997</v>
      </c>
      <c r="EG3">
        <v>5.0079099999999999</v>
      </c>
      <c r="EH3">
        <v>44.143537732835291</v>
      </c>
      <c r="EI3" t="s">
        <v>2446</v>
      </c>
      <c r="EJ3">
        <v>0</v>
      </c>
      <c r="EK3">
        <v>0</v>
      </c>
    </row>
    <row r="4" spans="1:141" ht="86.4" x14ac:dyDescent="0.25">
      <c r="B4" s="3"/>
      <c r="C4" s="3"/>
      <c r="D4" s="3" t="s">
        <v>2471</v>
      </c>
      <c r="E4" t="s">
        <v>1909</v>
      </c>
      <c r="F4" t="s">
        <v>1910</v>
      </c>
      <c r="G4">
        <v>16.059999999999999</v>
      </c>
      <c r="H4">
        <v>-1.53</v>
      </c>
      <c r="I4" t="s">
        <v>2448</v>
      </c>
      <c r="J4">
        <v>9522037200</v>
      </c>
      <c r="L4">
        <v>3.68</v>
      </c>
      <c r="M4" t="s">
        <v>1908</v>
      </c>
      <c r="N4" t="s">
        <v>2449</v>
      </c>
      <c r="O4" t="s">
        <v>2450</v>
      </c>
      <c r="P4" t="s">
        <v>2451</v>
      </c>
      <c r="Q4">
        <v>29.81</v>
      </c>
      <c r="R4" t="s">
        <v>1938</v>
      </c>
      <c r="S4">
        <v>21930167</v>
      </c>
      <c r="T4" s="4">
        <v>1.147</v>
      </c>
      <c r="U4" t="s">
        <v>1939</v>
      </c>
      <c r="V4">
        <v>592892700</v>
      </c>
      <c r="W4">
        <v>592903940</v>
      </c>
      <c r="X4">
        <v>3.5</v>
      </c>
      <c r="Y4">
        <v>0.18</v>
      </c>
      <c r="Z4">
        <v>1.25</v>
      </c>
      <c r="AA4" t="s">
        <v>2452</v>
      </c>
      <c r="AB4" t="s">
        <v>1088</v>
      </c>
      <c r="AC4" t="s">
        <v>1258</v>
      </c>
      <c r="AD4" t="s">
        <v>2453</v>
      </c>
      <c r="AE4" t="s">
        <v>2454</v>
      </c>
      <c r="AF4">
        <v>10200281</v>
      </c>
      <c r="AG4" t="s">
        <v>2455</v>
      </c>
      <c r="AH4" t="s">
        <v>2456</v>
      </c>
      <c r="AI4" t="s">
        <v>2457</v>
      </c>
      <c r="AJ4" t="s">
        <v>2458</v>
      </c>
      <c r="AK4" t="s">
        <v>2459</v>
      </c>
      <c r="AL4" t="s">
        <v>2460</v>
      </c>
      <c r="AM4" t="s">
        <v>2461</v>
      </c>
      <c r="AN4" t="s">
        <v>1653</v>
      </c>
      <c r="AO4" t="s">
        <v>2462</v>
      </c>
      <c r="AP4" t="s">
        <v>2463</v>
      </c>
      <c r="AQ4" t="s">
        <v>2464</v>
      </c>
      <c r="AR4" t="s">
        <v>2205</v>
      </c>
      <c r="AS4" t="s">
        <v>7</v>
      </c>
      <c r="AT4" t="s">
        <v>2465</v>
      </c>
      <c r="AU4" t="s">
        <v>7</v>
      </c>
      <c r="AV4" t="s">
        <v>1710</v>
      </c>
      <c r="AW4" t="s">
        <v>2466</v>
      </c>
      <c r="AX4" t="s">
        <v>1924</v>
      </c>
      <c r="AY4" t="s">
        <v>1940</v>
      </c>
      <c r="AZ4" t="s">
        <v>1941</v>
      </c>
      <c r="BA4" t="s">
        <v>1942</v>
      </c>
      <c r="BB4" t="s">
        <v>796</v>
      </c>
      <c r="BC4" t="s">
        <v>1943</v>
      </c>
      <c r="BD4" t="s">
        <v>1944</v>
      </c>
      <c r="BE4" t="s">
        <v>1945</v>
      </c>
      <c r="BF4" t="s">
        <v>1946</v>
      </c>
      <c r="BG4" t="s">
        <v>1947</v>
      </c>
      <c r="BH4" t="s">
        <v>1948</v>
      </c>
      <c r="BI4" t="s">
        <v>1949</v>
      </c>
      <c r="BJ4" t="s">
        <v>2467</v>
      </c>
      <c r="BK4" t="s">
        <v>1950</v>
      </c>
      <c r="BL4" t="s">
        <v>2468</v>
      </c>
      <c r="BM4" t="s">
        <v>281</v>
      </c>
      <c r="BN4" t="s">
        <v>1951</v>
      </c>
      <c r="BO4">
        <v>-0.55000000000000004</v>
      </c>
      <c r="BP4">
        <v>-3.26</v>
      </c>
      <c r="BQ4">
        <v>0.33</v>
      </c>
      <c r="BR4">
        <v>0.45</v>
      </c>
      <c r="BS4">
        <v>-8.24</v>
      </c>
      <c r="BT4">
        <v>0.86</v>
      </c>
      <c r="BU4">
        <v>1.22</v>
      </c>
      <c r="BV4" t="s">
        <v>2469</v>
      </c>
      <c r="BW4">
        <v>13.1</v>
      </c>
      <c r="BX4">
        <v>14.6</v>
      </c>
      <c r="BY4">
        <v>15.59</v>
      </c>
      <c r="BZ4">
        <v>-4.09</v>
      </c>
      <c r="CA4">
        <v>0.53</v>
      </c>
      <c r="CB4">
        <v>0.49</v>
      </c>
      <c r="CC4">
        <v>-5.81</v>
      </c>
      <c r="CD4">
        <v>-10.93</v>
      </c>
      <c r="CE4" t="s">
        <v>2046</v>
      </c>
      <c r="CF4" t="s">
        <v>2470</v>
      </c>
      <c r="CG4" s="23">
        <v>0.28795741279069748</v>
      </c>
      <c r="CH4" s="24">
        <v>1.5234974047991774</v>
      </c>
      <c r="CI4" s="23">
        <v>4.0607940405607224E-2</v>
      </c>
      <c r="CJ4" s="23">
        <v>-0.34609109163284302</v>
      </c>
      <c r="CK4" s="23">
        <v>0.10889951139688492</v>
      </c>
      <c r="CL4" s="23">
        <v>-0.22580236196517944</v>
      </c>
      <c r="CM4" s="23">
        <v>-0.1517769992351532</v>
      </c>
      <c r="CN4" s="24">
        <v>-10.352270126342773</v>
      </c>
      <c r="CO4" s="24">
        <v>-0.28871035575866699</v>
      </c>
      <c r="CP4" s="24">
        <v>-9.5687054097652435E-2</v>
      </c>
      <c r="CQ4" s="24">
        <v>-0.80852723121643066</v>
      </c>
      <c r="CR4" s="24">
        <v>-0.67406141757965088</v>
      </c>
      <c r="CS4">
        <v>2.0758746893394378</v>
      </c>
      <c r="CT4">
        <v>20479457.727272723</v>
      </c>
      <c r="CU4">
        <v>0.78749999999999998</v>
      </c>
      <c r="CV4" s="23">
        <v>-0.1148326002061367</v>
      </c>
      <c r="CW4" s="24">
        <v>-2.4438512369990351</v>
      </c>
      <c r="CX4">
        <v>0.06</v>
      </c>
      <c r="CY4" t="e">
        <v>#VALUE!</v>
      </c>
      <c r="CZ4" t="s">
        <v>427</v>
      </c>
      <c r="DA4">
        <v>-0.1148326002061367</v>
      </c>
      <c r="DB4" t="e">
        <v>#VALUE!</v>
      </c>
      <c r="DC4" t="s">
        <v>427</v>
      </c>
      <c r="DD4">
        <v>-0.10909097019582986</v>
      </c>
      <c r="DE4" t="e">
        <v>#VALUE!</v>
      </c>
      <c r="DF4" t="s">
        <v>427</v>
      </c>
      <c r="DG4">
        <v>-0.1010526881814003</v>
      </c>
      <c r="DH4" t="e">
        <v>#VALUE!</v>
      </c>
      <c r="DI4" t="s">
        <v>427</v>
      </c>
      <c r="DJ4">
        <v>-9.1866080164909367E-2</v>
      </c>
      <c r="DK4" t="e">
        <v>#VALUE!</v>
      </c>
      <c r="DL4" t="s">
        <v>427</v>
      </c>
      <c r="DM4">
        <v>-8.038282014429568E-2</v>
      </c>
      <c r="DN4">
        <v>-220000000.00000003</v>
      </c>
      <c r="DO4">
        <v>-0.1148326002061367</v>
      </c>
      <c r="DP4">
        <v>13403037200</v>
      </c>
      <c r="DQ4">
        <v>1197956000</v>
      </c>
      <c r="DR4">
        <v>409</v>
      </c>
      <c r="DS4">
        <v>0.40279001299683415</v>
      </c>
      <c r="DT4">
        <v>3.9673486417982122</v>
      </c>
      <c r="DU4" s="25">
        <v>-0.14666666666666661</v>
      </c>
      <c r="DV4">
        <v>-0.73333333333333339</v>
      </c>
      <c r="DW4">
        <v>-0.88</v>
      </c>
      <c r="DX4">
        <v>-8.5315645013723689</v>
      </c>
      <c r="DY4">
        <v>0.32062409288824384</v>
      </c>
      <c r="DZ4">
        <v>-8.0694351308033578</v>
      </c>
      <c r="EA4">
        <v>4020</v>
      </c>
      <c r="EB4">
        <v>-8.0117161014755052</v>
      </c>
      <c r="EC4">
        <v>8</v>
      </c>
      <c r="ED4">
        <v>0.60718098786795038</v>
      </c>
      <c r="EE4">
        <v>4.6483077849001981</v>
      </c>
      <c r="EF4" s="22">
        <v>-1.06901</v>
      </c>
      <c r="EG4">
        <v>-1.0843100000000001</v>
      </c>
      <c r="EH4">
        <v>19.130624092888244</v>
      </c>
      <c r="EI4" t="s">
        <v>1502</v>
      </c>
      <c r="EJ4">
        <v>0</v>
      </c>
      <c r="EK4">
        <v>0</v>
      </c>
    </row>
    <row r="5" spans="1:141" ht="129.6" x14ac:dyDescent="0.25">
      <c r="B5" s="3" t="s">
        <v>1952</v>
      </c>
      <c r="C5" s="3" t="s">
        <v>1953</v>
      </c>
      <c r="D5" s="3" t="s">
        <v>1954</v>
      </c>
      <c r="E5" t="s">
        <v>1911</v>
      </c>
      <c r="F5" t="s">
        <v>1912</v>
      </c>
      <c r="G5">
        <v>8.25</v>
      </c>
      <c r="H5">
        <v>1.73</v>
      </c>
      <c r="I5" t="s">
        <v>1955</v>
      </c>
      <c r="J5">
        <v>18264999000</v>
      </c>
      <c r="K5">
        <v>30</v>
      </c>
      <c r="L5">
        <v>1.26</v>
      </c>
      <c r="M5" t="s">
        <v>1908</v>
      </c>
      <c r="N5" t="s">
        <v>1956</v>
      </c>
      <c r="O5" t="s">
        <v>1957</v>
      </c>
      <c r="P5" t="s">
        <v>1958</v>
      </c>
      <c r="Q5">
        <v>-2.84</v>
      </c>
      <c r="R5" t="s">
        <v>1959</v>
      </c>
      <c r="S5">
        <v>-115652914</v>
      </c>
      <c r="T5" s="4">
        <v>-4.4299999999999999E-2</v>
      </c>
      <c r="U5" t="s">
        <v>1960</v>
      </c>
      <c r="V5">
        <v>2213939200</v>
      </c>
      <c r="W5">
        <v>2213939200</v>
      </c>
      <c r="X5">
        <v>1.98</v>
      </c>
      <c r="Y5">
        <v>0.11</v>
      </c>
      <c r="Z5">
        <v>-3.34</v>
      </c>
      <c r="AA5" t="s">
        <v>1961</v>
      </c>
      <c r="AB5" t="s">
        <v>1962</v>
      </c>
      <c r="AC5" t="s">
        <v>1900</v>
      </c>
      <c r="AD5" t="s">
        <v>1963</v>
      </c>
      <c r="AE5" t="s">
        <v>1585</v>
      </c>
      <c r="AF5">
        <v>-58923664</v>
      </c>
      <c r="AG5" t="s">
        <v>1964</v>
      </c>
      <c r="AH5" t="s">
        <v>1965</v>
      </c>
      <c r="AI5" t="s">
        <v>1966</v>
      </c>
      <c r="AJ5" t="s">
        <v>1967</v>
      </c>
      <c r="AK5" t="s">
        <v>1968</v>
      </c>
      <c r="AL5" t="s">
        <v>1969</v>
      </c>
      <c r="AM5" t="s">
        <v>1970</v>
      </c>
      <c r="AN5" t="s">
        <v>7</v>
      </c>
      <c r="AO5" t="s">
        <v>1793</v>
      </c>
      <c r="AP5" t="s">
        <v>7</v>
      </c>
      <c r="AQ5" t="s">
        <v>1971</v>
      </c>
      <c r="AR5" t="s">
        <v>1972</v>
      </c>
      <c r="AS5" t="s">
        <v>1973</v>
      </c>
      <c r="AT5" t="s">
        <v>1974</v>
      </c>
      <c r="AU5" t="s">
        <v>7</v>
      </c>
      <c r="AV5" t="s">
        <v>1975</v>
      </c>
      <c r="AW5" t="s">
        <v>1976</v>
      </c>
      <c r="AX5" t="s">
        <v>1977</v>
      </c>
      <c r="AY5" t="s">
        <v>1978</v>
      </c>
      <c r="AZ5" t="s">
        <v>1979</v>
      </c>
      <c r="BA5" t="s">
        <v>1980</v>
      </c>
      <c r="BB5" t="s">
        <v>1981</v>
      </c>
      <c r="BC5" t="s">
        <v>1982</v>
      </c>
      <c r="BD5" t="s">
        <v>1983</v>
      </c>
      <c r="BE5" t="s">
        <v>1984</v>
      </c>
      <c r="BF5" t="s">
        <v>1985</v>
      </c>
      <c r="BG5" t="s">
        <v>1986</v>
      </c>
      <c r="BH5" t="s">
        <v>296</v>
      </c>
      <c r="BI5" t="s">
        <v>1987</v>
      </c>
      <c r="BJ5" t="s">
        <v>1988</v>
      </c>
      <c r="BK5" t="s">
        <v>1978</v>
      </c>
      <c r="BL5" t="s">
        <v>1960</v>
      </c>
      <c r="BM5" t="s">
        <v>1989</v>
      </c>
      <c r="BN5" t="s">
        <v>1983</v>
      </c>
      <c r="BO5">
        <v>2.93</v>
      </c>
      <c r="BP5">
        <v>2.33</v>
      </c>
      <c r="BQ5">
        <v>8.77</v>
      </c>
      <c r="BR5">
        <v>10.51</v>
      </c>
      <c r="BS5">
        <v>4.0599999999999996</v>
      </c>
      <c r="BT5">
        <v>3.11</v>
      </c>
      <c r="BU5">
        <v>11.33</v>
      </c>
      <c r="BV5">
        <v>14.3</v>
      </c>
      <c r="BW5">
        <v>18.649999999999999</v>
      </c>
      <c r="BX5">
        <v>17.48</v>
      </c>
      <c r="BY5">
        <v>24.35</v>
      </c>
      <c r="BZ5">
        <v>2.69</v>
      </c>
      <c r="CA5">
        <v>2.39</v>
      </c>
      <c r="CB5">
        <v>6.43</v>
      </c>
      <c r="CC5">
        <v>7.84</v>
      </c>
      <c r="CD5">
        <v>-1.9</v>
      </c>
      <c r="CE5" t="s">
        <v>1990</v>
      </c>
      <c r="CF5" t="s">
        <v>1991</v>
      </c>
      <c r="CG5" s="23">
        <v>-2.8372333976302011E-2</v>
      </c>
      <c r="CH5" s="24">
        <v>-4.1918144144144007E-2</v>
      </c>
      <c r="CI5" s="23">
        <v>7.0398449897766113E-2</v>
      </c>
      <c r="CJ5" s="23">
        <v>-0.28817391395568848</v>
      </c>
      <c r="CK5" s="23">
        <v>-3.9501059800386429E-2</v>
      </c>
      <c r="CL5" s="23">
        <v>-4.4428382068872452E-2</v>
      </c>
      <c r="CM5" s="23">
        <v>-7.3305375874042511E-2</v>
      </c>
      <c r="CN5" s="24">
        <v>0.18992248177528381</v>
      </c>
      <c r="CO5" s="24">
        <v>-0.73429453372955322</v>
      </c>
      <c r="CP5" s="24">
        <v>-0.15601909160614014</v>
      </c>
      <c r="CQ5" s="24">
        <v>-0.26462128758430481</v>
      </c>
      <c r="CR5" s="24">
        <v>-0.22626113891601563</v>
      </c>
      <c r="CS5">
        <v>0.78616618602849397</v>
      </c>
      <c r="CT5">
        <v>-52753980.456026055</v>
      </c>
      <c r="CU5">
        <v>-0.72745199999999999</v>
      </c>
      <c r="CV5" s="23">
        <v>-7.5002056360244748E-2</v>
      </c>
      <c r="CW5" s="24">
        <v>-0.23825471401214598</v>
      </c>
      <c r="CX5">
        <v>0.06</v>
      </c>
      <c r="CY5" t="e">
        <v>#VALUE!</v>
      </c>
      <c r="CZ5" t="s">
        <v>1992</v>
      </c>
      <c r="DA5">
        <v>-7.5002056360244748E-2</v>
      </c>
      <c r="DB5">
        <v>9.7155260586319212</v>
      </c>
      <c r="DC5" t="s">
        <v>1993</v>
      </c>
      <c r="DD5">
        <v>-7.1251953542232502E-2</v>
      </c>
      <c r="DE5">
        <v>4.8577630293159606</v>
      </c>
      <c r="DF5" t="s">
        <v>1994</v>
      </c>
      <c r="DG5">
        <v>-6.6001809597015376E-2</v>
      </c>
      <c r="DH5">
        <v>2.9146578175895765</v>
      </c>
      <c r="DI5" t="s">
        <v>1995</v>
      </c>
      <c r="DJ5">
        <v>-6.0001645088195804E-2</v>
      </c>
      <c r="DK5">
        <v>1.4573289087947883</v>
      </c>
      <c r="DL5" t="s">
        <v>1996</v>
      </c>
      <c r="DM5">
        <v>-5.2501439452171318E-2</v>
      </c>
      <c r="DN5">
        <v>614000000</v>
      </c>
      <c r="DO5">
        <v>-7.5002056360244748E-2</v>
      </c>
      <c r="DP5">
        <v>17895999000</v>
      </c>
      <c r="DQ5">
        <v>6353086000</v>
      </c>
      <c r="DR5">
        <v>2687</v>
      </c>
      <c r="DS5">
        <v>4.6629722383942737E-2</v>
      </c>
      <c r="DT5">
        <v>0.19633656986800196</v>
      </c>
      <c r="DU5" s="25">
        <v>-0.15</v>
      </c>
      <c r="DV5">
        <v>-1.1616666666666666</v>
      </c>
      <c r="DW5">
        <v>-1.3116666666666665</v>
      </c>
      <c r="DX5">
        <v>5.2423469387755102</v>
      </c>
      <c r="DY5">
        <v>0.42342064714946021</v>
      </c>
      <c r="DZ5">
        <v>5.0541453098959153</v>
      </c>
      <c r="EA5">
        <v>4100</v>
      </c>
      <c r="EB5">
        <v>5.0069021154772617</v>
      </c>
      <c r="EC5">
        <v>5</v>
      </c>
      <c r="ED5">
        <v>6.5494120163733488E-2</v>
      </c>
      <c r="EE5">
        <v>0.2931426481811244</v>
      </c>
      <c r="EF5" s="22">
        <v>1.0680000000000001</v>
      </c>
      <c r="EG5">
        <v>1.0852999999999999</v>
      </c>
      <c r="EH5">
        <v>20.22342064714946</v>
      </c>
      <c r="EI5" t="s">
        <v>905</v>
      </c>
      <c r="EJ5">
        <v>1</v>
      </c>
      <c r="EK5">
        <v>0</v>
      </c>
    </row>
    <row r="6" spans="1:141" x14ac:dyDescent="0.25">
      <c r="B6" s="3"/>
      <c r="C6" s="3"/>
      <c r="D6" s="3"/>
      <c r="E6" t="s">
        <v>1913</v>
      </c>
      <c r="F6" t="s">
        <v>1914</v>
      </c>
      <c r="G6">
        <v>16.53</v>
      </c>
      <c r="H6">
        <v>0.3</v>
      </c>
      <c r="I6" t="s">
        <v>1997</v>
      </c>
      <c r="J6">
        <v>193127620000</v>
      </c>
      <c r="K6">
        <v>8.32</v>
      </c>
      <c r="L6">
        <v>0.69599999999999995</v>
      </c>
      <c r="M6" t="s">
        <v>1908</v>
      </c>
      <c r="N6" t="s">
        <v>1998</v>
      </c>
      <c r="O6" t="s">
        <v>1999</v>
      </c>
      <c r="P6" t="s">
        <v>2000</v>
      </c>
      <c r="Q6">
        <v>-4.1399999999999997</v>
      </c>
      <c r="R6" t="s">
        <v>2001</v>
      </c>
      <c r="S6">
        <v>5515609100</v>
      </c>
      <c r="T6" s="4">
        <v>-0.19439999999999999</v>
      </c>
      <c r="U6" t="s">
        <v>2002</v>
      </c>
      <c r="V6">
        <v>11683461400</v>
      </c>
      <c r="W6">
        <v>11683461400</v>
      </c>
      <c r="X6">
        <v>2.74</v>
      </c>
      <c r="Y6">
        <v>0.19</v>
      </c>
      <c r="Z6">
        <v>4.07</v>
      </c>
      <c r="AA6" t="s">
        <v>2003</v>
      </c>
      <c r="AB6" t="s">
        <v>2004</v>
      </c>
      <c r="AC6" t="s">
        <v>2005</v>
      </c>
      <c r="AD6" t="s">
        <v>2006</v>
      </c>
      <c r="AE6" t="s">
        <v>2007</v>
      </c>
      <c r="AF6">
        <v>3003775</v>
      </c>
      <c r="AG6" t="s">
        <v>2008</v>
      </c>
      <c r="AH6" t="s">
        <v>2009</v>
      </c>
      <c r="AI6" t="s">
        <v>2010</v>
      </c>
      <c r="AJ6" t="s">
        <v>2011</v>
      </c>
      <c r="AK6" t="s">
        <v>2012</v>
      </c>
      <c r="AL6" t="s">
        <v>2013</v>
      </c>
      <c r="AM6" t="s">
        <v>2014</v>
      </c>
      <c r="AN6" t="s">
        <v>7</v>
      </c>
      <c r="AO6" t="s">
        <v>2015</v>
      </c>
      <c r="AP6" t="s">
        <v>2016</v>
      </c>
      <c r="AQ6" t="s">
        <v>2017</v>
      </c>
      <c r="AR6" t="s">
        <v>2018</v>
      </c>
      <c r="AS6" t="s">
        <v>7</v>
      </c>
      <c r="AT6" t="s">
        <v>2019</v>
      </c>
      <c r="AU6" t="s">
        <v>2020</v>
      </c>
      <c r="AV6" t="s">
        <v>2021</v>
      </c>
      <c r="AW6" t="s">
        <v>2022</v>
      </c>
      <c r="AX6" t="s">
        <v>2023</v>
      </c>
      <c r="AY6" t="s">
        <v>2024</v>
      </c>
      <c r="AZ6" t="s">
        <v>2025</v>
      </c>
      <c r="BA6" t="s">
        <v>2026</v>
      </c>
      <c r="BB6" t="s">
        <v>2027</v>
      </c>
      <c r="BC6" t="s">
        <v>2028</v>
      </c>
      <c r="BD6" t="s">
        <v>2029</v>
      </c>
      <c r="BE6" t="s">
        <v>2030</v>
      </c>
      <c r="BF6" t="s">
        <v>2031</v>
      </c>
      <c r="BG6" t="s">
        <v>2032</v>
      </c>
      <c r="BH6" t="s">
        <v>2033</v>
      </c>
      <c r="BI6" t="s">
        <v>2034</v>
      </c>
      <c r="BJ6" t="s">
        <v>2035</v>
      </c>
      <c r="BK6" t="s">
        <v>2036</v>
      </c>
      <c r="BL6" t="s">
        <v>2002</v>
      </c>
      <c r="BM6" t="s">
        <v>2037</v>
      </c>
      <c r="BN6" t="s">
        <v>2029</v>
      </c>
      <c r="BO6">
        <v>4.34</v>
      </c>
      <c r="BP6">
        <v>3.81</v>
      </c>
      <c r="BQ6">
        <v>5.35</v>
      </c>
      <c r="BR6">
        <v>8.4700000000000006</v>
      </c>
      <c r="BS6">
        <v>9.19</v>
      </c>
      <c r="BT6">
        <v>8.02</v>
      </c>
      <c r="BU6">
        <v>10.53</v>
      </c>
      <c r="BV6">
        <v>15.67</v>
      </c>
      <c r="BW6">
        <v>9.6300000000000008</v>
      </c>
      <c r="BX6">
        <v>10.76</v>
      </c>
      <c r="BY6">
        <v>12.15</v>
      </c>
      <c r="BZ6">
        <v>4.47</v>
      </c>
      <c r="CA6">
        <v>4.04</v>
      </c>
      <c r="CB6">
        <v>4.2699999999999996</v>
      </c>
      <c r="CC6">
        <v>4.62</v>
      </c>
      <c r="CD6">
        <v>-2.76</v>
      </c>
      <c r="CE6" t="s">
        <v>682</v>
      </c>
      <c r="CF6" t="s">
        <v>2038</v>
      </c>
      <c r="CG6" s="23">
        <v>-4.1395911284637495E-2</v>
      </c>
      <c r="CH6" s="24">
        <v>-0.19444879509274135</v>
      </c>
      <c r="CI6" s="23">
        <v>5.0818454474210739E-2</v>
      </c>
      <c r="CJ6" s="23">
        <v>-0.10211121290922165</v>
      </c>
      <c r="CK6" s="23">
        <v>-6.8830795586109161E-2</v>
      </c>
      <c r="CL6" s="23">
        <v>3.4555695950984955E-2</v>
      </c>
      <c r="CM6" s="23">
        <v>0.14974239468574524</v>
      </c>
      <c r="CN6" s="24">
        <v>0.20077337324619293</v>
      </c>
      <c r="CO6" s="24">
        <v>-0.20200760662555695</v>
      </c>
      <c r="CP6" s="24">
        <v>-0.28898331522941589</v>
      </c>
      <c r="CQ6" s="24">
        <v>4.6469066292047501E-2</v>
      </c>
      <c r="CR6" s="24">
        <v>7.511090487241745E-2</v>
      </c>
      <c r="CS6">
        <v>0.24764840750609735</v>
      </c>
      <c r="CT6">
        <v>20189227.163412545</v>
      </c>
      <c r="CU6">
        <v>2.1188420000000003</v>
      </c>
      <c r="CV6" s="23">
        <v>1.2834907323122025E-2</v>
      </c>
      <c r="CW6" s="24">
        <v>-3.3727515488862991E-2</v>
      </c>
      <c r="CX6">
        <v>0.06</v>
      </c>
      <c r="CY6">
        <v>18.813326534364585</v>
      </c>
      <c r="CZ6">
        <v>23441395076.752972</v>
      </c>
      <c r="DA6">
        <v>1.2834907323122025E-2</v>
      </c>
      <c r="DB6">
        <v>6.5668002338743685</v>
      </c>
      <c r="DC6">
        <v>67157611666.802094</v>
      </c>
      <c r="DD6">
        <v>1.2193161956965924E-2</v>
      </c>
      <c r="DE6">
        <v>3.5208314909396279</v>
      </c>
      <c r="DF6">
        <v>125257519746.36665</v>
      </c>
      <c r="DG6">
        <v>1.1294718444347382E-2</v>
      </c>
      <c r="DH6">
        <v>2.3192674710667549</v>
      </c>
      <c r="DI6">
        <v>190150823698.29285</v>
      </c>
      <c r="DJ6">
        <v>1.0267925858497621E-2</v>
      </c>
      <c r="DK6">
        <v>1.4493314571490643</v>
      </c>
      <c r="DL6">
        <v>304285550296.06445</v>
      </c>
      <c r="DM6">
        <v>8.984435126185417E-3</v>
      </c>
      <c r="DN6">
        <v>24533000000</v>
      </c>
      <c r="DO6">
        <v>1.2834907323122025E-2</v>
      </c>
      <c r="DP6">
        <v>441010620000</v>
      </c>
      <c r="DQ6">
        <v>85852060000.000061</v>
      </c>
      <c r="DR6">
        <v>2718</v>
      </c>
      <c r="DS6">
        <v>-5.4230818607759523E-2</v>
      </c>
      <c r="DT6">
        <v>-0.16072127960387836</v>
      </c>
      <c r="DU6" s="25">
        <v>0</v>
      </c>
      <c r="DV6">
        <v>-0.33666666666666667</v>
      </c>
      <c r="DW6">
        <v>-0.33666666666666667</v>
      </c>
      <c r="DX6">
        <v>4.5974025974025974</v>
      </c>
      <c r="DY6">
        <v>0.41933014354066944</v>
      </c>
      <c r="DZ6">
        <v>4.1549245013359846</v>
      </c>
      <c r="EA6">
        <v>3401</v>
      </c>
      <c r="EB6">
        <v>4.043246199291965</v>
      </c>
      <c r="EC6">
        <v>4</v>
      </c>
      <c r="ED6">
        <v>2.3195180839130431E-2</v>
      </c>
      <c r="EE6">
        <v>8.9442671501443902E-2</v>
      </c>
      <c r="EF6" s="22">
        <v>-1.0657000000000001</v>
      </c>
      <c r="EG6">
        <v>-1.0687</v>
      </c>
      <c r="EH6">
        <v>16.259330143540669</v>
      </c>
      <c r="EI6" t="s">
        <v>380</v>
      </c>
      <c r="EJ6">
        <v>0</v>
      </c>
      <c r="EK6">
        <v>0</v>
      </c>
    </row>
    <row r="7" spans="1:141" x14ac:dyDescent="0.25">
      <c r="B7" s="3"/>
      <c r="C7" s="3"/>
      <c r="D7" s="3"/>
      <c r="E7" t="s">
        <v>1915</v>
      </c>
      <c r="F7" t="s">
        <v>1916</v>
      </c>
      <c r="G7">
        <v>2.56</v>
      </c>
      <c r="H7">
        <v>1.99</v>
      </c>
      <c r="I7" t="s">
        <v>938</v>
      </c>
      <c r="J7">
        <v>16832492000</v>
      </c>
      <c r="L7">
        <v>1.58</v>
      </c>
      <c r="M7" t="s">
        <v>1908</v>
      </c>
      <c r="N7" t="s">
        <v>2039</v>
      </c>
      <c r="O7" t="s">
        <v>2040</v>
      </c>
      <c r="P7" t="s">
        <v>2041</v>
      </c>
      <c r="Q7">
        <v>-21.94</v>
      </c>
      <c r="R7" t="s">
        <v>2042</v>
      </c>
      <c r="S7">
        <v>135386330</v>
      </c>
      <c r="T7" s="4">
        <v>-0.63460000000000005</v>
      </c>
      <c r="U7" t="s">
        <v>2043</v>
      </c>
      <c r="V7">
        <v>6575192000</v>
      </c>
      <c r="W7">
        <v>6575192000</v>
      </c>
      <c r="X7">
        <v>4.8</v>
      </c>
      <c r="Y7">
        <v>0.25</v>
      </c>
      <c r="Z7">
        <v>1.08</v>
      </c>
      <c r="AA7" t="s">
        <v>2044</v>
      </c>
      <c r="AB7" t="s">
        <v>2045</v>
      </c>
      <c r="AC7" t="s">
        <v>1524</v>
      </c>
      <c r="AD7" t="s">
        <v>2046</v>
      </c>
      <c r="AE7" t="s">
        <v>1144</v>
      </c>
      <c r="AF7">
        <v>25959904</v>
      </c>
      <c r="AG7" t="s">
        <v>2047</v>
      </c>
      <c r="AH7" t="s">
        <v>2048</v>
      </c>
      <c r="AI7" t="s">
        <v>2049</v>
      </c>
      <c r="AJ7" t="s">
        <v>2050</v>
      </c>
      <c r="AK7" t="s">
        <v>2051</v>
      </c>
      <c r="AL7" t="s">
        <v>838</v>
      </c>
      <c r="AM7" t="s">
        <v>2052</v>
      </c>
      <c r="AN7" t="s">
        <v>7</v>
      </c>
      <c r="AO7" t="s">
        <v>2053</v>
      </c>
      <c r="AP7" t="s">
        <v>2054</v>
      </c>
      <c r="AQ7" t="s">
        <v>2055</v>
      </c>
      <c r="AR7" t="s">
        <v>2056</v>
      </c>
      <c r="AS7" t="s">
        <v>7</v>
      </c>
      <c r="AT7" t="s">
        <v>2057</v>
      </c>
      <c r="AU7" t="s">
        <v>2058</v>
      </c>
      <c r="AV7" t="s">
        <v>2059</v>
      </c>
      <c r="AW7" t="s">
        <v>2060</v>
      </c>
      <c r="AX7" t="s">
        <v>2061</v>
      </c>
      <c r="AY7" t="s">
        <v>2062</v>
      </c>
      <c r="AZ7" t="s">
        <v>2063</v>
      </c>
      <c r="BA7" t="s">
        <v>2064</v>
      </c>
      <c r="BB7" t="s">
        <v>2065</v>
      </c>
      <c r="BC7" t="s">
        <v>2066</v>
      </c>
      <c r="BD7" t="s">
        <v>96</v>
      </c>
      <c r="BE7" t="s">
        <v>1109</v>
      </c>
      <c r="BF7" t="s">
        <v>2067</v>
      </c>
      <c r="BG7" t="s">
        <v>93</v>
      </c>
      <c r="BH7" t="s">
        <v>887</v>
      </c>
      <c r="BI7" t="s">
        <v>2068</v>
      </c>
      <c r="BJ7" t="s">
        <v>2069</v>
      </c>
      <c r="BK7" t="s">
        <v>2062</v>
      </c>
      <c r="BL7" t="s">
        <v>2043</v>
      </c>
      <c r="BM7" t="s">
        <v>2070</v>
      </c>
      <c r="BN7" t="s">
        <v>96</v>
      </c>
      <c r="BO7">
        <v>-16.75</v>
      </c>
      <c r="BP7">
        <v>0.48</v>
      </c>
      <c r="BQ7">
        <v>0.52</v>
      </c>
      <c r="BR7">
        <v>-8.82</v>
      </c>
      <c r="BS7">
        <v>-39.090000000000003</v>
      </c>
      <c r="BT7">
        <v>1.01</v>
      </c>
      <c r="BU7">
        <v>1.26</v>
      </c>
      <c r="BV7">
        <v>-20.82</v>
      </c>
      <c r="BW7">
        <v>10.17</v>
      </c>
      <c r="BX7">
        <v>11.95</v>
      </c>
      <c r="BY7">
        <v>14.02</v>
      </c>
      <c r="BZ7">
        <v>-9.2100000000000009</v>
      </c>
      <c r="CA7">
        <v>0.24</v>
      </c>
      <c r="CB7">
        <v>0.31</v>
      </c>
      <c r="CC7">
        <v>9.8699999999999992</v>
      </c>
      <c r="CD7">
        <v>-1.92</v>
      </c>
      <c r="CE7" t="s">
        <v>2071</v>
      </c>
      <c r="CF7" t="s">
        <v>2072</v>
      </c>
      <c r="CG7" s="23">
        <v>-0.21944553875236286</v>
      </c>
      <c r="CH7" s="24">
        <v>-0.63507727762803234</v>
      </c>
      <c r="CI7" s="23">
        <v>-4.8316419124603271E-2</v>
      </c>
      <c r="CJ7" s="23">
        <v>0.22993223369121552</v>
      </c>
      <c r="CK7" s="23">
        <v>0.14400552213191986</v>
      </c>
      <c r="CL7" s="23">
        <v>-0.2060723602771759</v>
      </c>
      <c r="CM7" s="23">
        <v>0.11127824336290359</v>
      </c>
      <c r="CN7" s="24">
        <v>-33.651611328125</v>
      </c>
      <c r="CO7" s="24">
        <v>-0.1927083283662796</v>
      </c>
      <c r="CP7" s="24">
        <v>1.0537062883377075</v>
      </c>
      <c r="CQ7" s="24">
        <v>-32.919643402099609</v>
      </c>
      <c r="CR7" s="24">
        <v>-0.80246913433074951</v>
      </c>
      <c r="CS7">
        <v>0.30619005347982681</v>
      </c>
      <c r="CT7">
        <v>-1573762.813673187</v>
      </c>
      <c r="CU7">
        <v>1.296</v>
      </c>
      <c r="CV7" s="23">
        <v>4.6165443956851959E-2</v>
      </c>
      <c r="CW7" s="24">
        <v>-13.302545180916786</v>
      </c>
      <c r="CX7">
        <v>0.06</v>
      </c>
      <c r="CY7" t="e">
        <v>#VALUE!</v>
      </c>
      <c r="CZ7" t="s">
        <v>427</v>
      </c>
      <c r="DA7">
        <v>4.6165443956851959E-2</v>
      </c>
      <c r="DB7" t="e">
        <v>#VALUE!</v>
      </c>
      <c r="DC7" t="s">
        <v>427</v>
      </c>
      <c r="DD7">
        <v>4.3857171759009363E-2</v>
      </c>
      <c r="DE7" t="e">
        <v>#VALUE!</v>
      </c>
      <c r="DF7" t="s">
        <v>427</v>
      </c>
      <c r="DG7">
        <v>4.0625590682029727E-2</v>
      </c>
      <c r="DH7" t="e">
        <v>#VALUE!</v>
      </c>
      <c r="DI7" t="s">
        <v>427</v>
      </c>
      <c r="DJ7">
        <v>3.6932355165481566E-2</v>
      </c>
      <c r="DK7" t="e">
        <v>#VALUE!</v>
      </c>
      <c r="DL7" t="s">
        <v>427</v>
      </c>
      <c r="DM7">
        <v>3.2315810769796373E-2</v>
      </c>
      <c r="DN7">
        <v>-5061000000</v>
      </c>
      <c r="DO7">
        <v>4.6165443956851959E-2</v>
      </c>
      <c r="DP7">
        <v>46800492000</v>
      </c>
      <c r="DQ7">
        <v>-11271296000</v>
      </c>
      <c r="DR7">
        <v>2771</v>
      </c>
      <c r="DS7">
        <v>-0.26561098270921479</v>
      </c>
      <c r="DT7">
        <v>12.667467903288754</v>
      </c>
      <c r="DU7" s="25">
        <v>-0.18666666666666665</v>
      </c>
      <c r="DV7">
        <v>-1.9233333333333331</v>
      </c>
      <c r="DW7">
        <v>-2.11</v>
      </c>
      <c r="DX7">
        <v>5.1945288753799392</v>
      </c>
      <c r="DY7">
        <v>0.50070256709837646</v>
      </c>
      <c r="DZ7">
        <v>5.0584953322015078</v>
      </c>
      <c r="EA7">
        <v>4468</v>
      </c>
      <c r="EB7">
        <v>5.0028755951773887</v>
      </c>
      <c r="EC7">
        <v>5</v>
      </c>
      <c r="ED7">
        <v>9.7639734322587088E-2</v>
      </c>
      <c r="EE7">
        <v>0.32470534700735737</v>
      </c>
      <c r="EF7" s="22">
        <v>-1.109</v>
      </c>
      <c r="EG7">
        <v>-1.1289</v>
      </c>
      <c r="EH7">
        <v>20.300702567098377</v>
      </c>
      <c r="EI7" t="s">
        <v>380</v>
      </c>
      <c r="EJ7">
        <v>1</v>
      </c>
      <c r="EK7">
        <v>0</v>
      </c>
    </row>
    <row r="8" spans="1:141" ht="86.4" x14ac:dyDescent="0.25">
      <c r="B8" s="3" t="s">
        <v>2073</v>
      </c>
      <c r="C8" s="3" t="s">
        <v>2074</v>
      </c>
      <c r="D8" s="3" t="s">
        <v>2075</v>
      </c>
      <c r="E8" t="s">
        <v>1917</v>
      </c>
      <c r="F8" t="s">
        <v>1918</v>
      </c>
      <c r="G8">
        <v>13.47</v>
      </c>
      <c r="H8">
        <v>1.28</v>
      </c>
      <c r="I8" t="s">
        <v>2076</v>
      </c>
      <c r="J8">
        <v>140949510000</v>
      </c>
      <c r="K8">
        <v>17.670000000000002</v>
      </c>
      <c r="L8">
        <v>1.45</v>
      </c>
      <c r="M8" t="s">
        <v>1908</v>
      </c>
      <c r="N8" t="s">
        <v>2077</v>
      </c>
      <c r="O8" t="s">
        <v>2078</v>
      </c>
      <c r="P8" t="s">
        <v>2079</v>
      </c>
      <c r="Q8">
        <v>45.67</v>
      </c>
      <c r="R8" t="s">
        <v>2080</v>
      </c>
      <c r="S8">
        <v>3008640300</v>
      </c>
      <c r="T8" s="4">
        <v>0.2717</v>
      </c>
      <c r="U8" t="s">
        <v>2081</v>
      </c>
      <c r="V8">
        <v>7263236000</v>
      </c>
      <c r="W8">
        <v>10463957700</v>
      </c>
      <c r="X8">
        <v>1.55</v>
      </c>
      <c r="Y8">
        <v>0.15</v>
      </c>
      <c r="Z8">
        <v>12.87</v>
      </c>
      <c r="AA8" t="s">
        <v>2082</v>
      </c>
      <c r="AB8" t="s">
        <v>2083</v>
      </c>
      <c r="AC8" t="s">
        <v>2084</v>
      </c>
      <c r="AD8" t="s">
        <v>2085</v>
      </c>
      <c r="AE8" t="s">
        <v>2086</v>
      </c>
      <c r="AF8">
        <v>3211889</v>
      </c>
      <c r="AG8" t="s">
        <v>2087</v>
      </c>
      <c r="AH8" t="s">
        <v>2088</v>
      </c>
      <c r="AI8" t="s">
        <v>2089</v>
      </c>
      <c r="AJ8" t="s">
        <v>2090</v>
      </c>
      <c r="AK8" t="s">
        <v>2091</v>
      </c>
      <c r="AL8" t="s">
        <v>2092</v>
      </c>
      <c r="AM8" t="s">
        <v>2093</v>
      </c>
      <c r="AN8" t="s">
        <v>7</v>
      </c>
      <c r="AO8" t="s">
        <v>2094</v>
      </c>
      <c r="AP8" t="s">
        <v>2095</v>
      </c>
      <c r="AQ8" t="s">
        <v>2096</v>
      </c>
      <c r="AR8" t="s">
        <v>2097</v>
      </c>
      <c r="AS8" t="s">
        <v>7</v>
      </c>
      <c r="AT8" t="s">
        <v>2098</v>
      </c>
      <c r="AU8" t="s">
        <v>1246</v>
      </c>
      <c r="AV8" t="s">
        <v>2099</v>
      </c>
      <c r="AW8" t="s">
        <v>2100</v>
      </c>
      <c r="AX8" t="s">
        <v>2101</v>
      </c>
      <c r="AY8" t="s">
        <v>2102</v>
      </c>
      <c r="AZ8" t="s">
        <v>2103</v>
      </c>
      <c r="BA8" t="s">
        <v>2104</v>
      </c>
      <c r="BB8" t="s">
        <v>2105</v>
      </c>
      <c r="BC8" t="s">
        <v>2106</v>
      </c>
      <c r="BD8" t="s">
        <v>2107</v>
      </c>
      <c r="BE8" t="s">
        <v>2108</v>
      </c>
      <c r="BF8" t="s">
        <v>2109</v>
      </c>
      <c r="BG8" t="s">
        <v>2110</v>
      </c>
      <c r="BH8" t="s">
        <v>2111</v>
      </c>
      <c r="BI8" t="s">
        <v>2112</v>
      </c>
      <c r="BJ8" t="s">
        <v>2113</v>
      </c>
      <c r="BK8" t="s">
        <v>2114</v>
      </c>
      <c r="BL8" t="s">
        <v>2081</v>
      </c>
      <c r="BM8" t="s">
        <v>2115</v>
      </c>
      <c r="BN8" t="s">
        <v>2107</v>
      </c>
      <c r="BO8">
        <v>6.54</v>
      </c>
      <c r="BP8">
        <v>5.55</v>
      </c>
      <c r="BQ8">
        <v>6.4</v>
      </c>
      <c r="BR8">
        <v>11.42</v>
      </c>
      <c r="BS8">
        <v>8.42</v>
      </c>
      <c r="BT8">
        <v>7.27</v>
      </c>
      <c r="BU8">
        <v>8.4600000000000009</v>
      </c>
      <c r="BV8">
        <v>14.97</v>
      </c>
      <c r="BW8">
        <v>7.92</v>
      </c>
      <c r="BX8">
        <v>6.47</v>
      </c>
      <c r="BY8">
        <v>6.9</v>
      </c>
      <c r="BZ8">
        <v>9.84</v>
      </c>
      <c r="CA8">
        <v>9.65</v>
      </c>
      <c r="CB8">
        <v>11.33</v>
      </c>
      <c r="CC8">
        <v>8.3699999999999992</v>
      </c>
      <c r="CD8">
        <v>19.95</v>
      </c>
      <c r="CE8" t="s">
        <v>862</v>
      </c>
      <c r="CF8" t="s">
        <v>995</v>
      </c>
      <c r="CG8" s="23">
        <v>0.45660503461296414</v>
      </c>
      <c r="CH8" s="24">
        <v>0.27161466610312762</v>
      </c>
      <c r="CI8" s="23">
        <v>0.19822034239768982</v>
      </c>
      <c r="CJ8" s="23">
        <v>6.6228806972503662E-2</v>
      </c>
      <c r="CK8" s="23">
        <v>-0.17172616720199585</v>
      </c>
      <c r="CL8" s="23">
        <v>5.3136236965656281E-3</v>
      </c>
      <c r="CM8" s="23">
        <v>0.43949580192565918</v>
      </c>
      <c r="CN8" s="24">
        <v>0.22946695983409882</v>
      </c>
      <c r="CO8" s="24">
        <v>-9.8519153892993927E-2</v>
      </c>
      <c r="CP8" s="24">
        <v>-0.39301112294197083</v>
      </c>
      <c r="CQ8" s="24">
        <v>1.084741298109293E-2</v>
      </c>
      <c r="CR8" s="24">
        <v>0.71533077955245972</v>
      </c>
      <c r="CS8">
        <v>1.8625391141180823</v>
      </c>
      <c r="CT8">
        <v>39512309.475119293</v>
      </c>
      <c r="CU8">
        <v>2.9922749999999998</v>
      </c>
      <c r="CV8" s="23">
        <v>0.10750648155808448</v>
      </c>
      <c r="CW8" s="24">
        <v>9.2822975106537337E-2</v>
      </c>
      <c r="CX8">
        <v>0.06</v>
      </c>
      <c r="CY8">
        <v>12.493973094603556</v>
      </c>
      <c r="CZ8">
        <v>7663735888.8948565</v>
      </c>
      <c r="DA8">
        <v>0.10750648155808448</v>
      </c>
      <c r="DB8">
        <v>4.0229533397304769</v>
      </c>
      <c r="DC8">
        <v>23801049108.467896</v>
      </c>
      <c r="DD8">
        <v>0.10213115748018026</v>
      </c>
      <c r="DE8">
        <v>1.9413545336382958</v>
      </c>
      <c r="DF8">
        <v>49321496069.321152</v>
      </c>
      <c r="DG8">
        <v>9.4605703771114338E-2</v>
      </c>
      <c r="DH8">
        <v>1.1397141524178012</v>
      </c>
      <c r="DI8">
        <v>84012741086.766266</v>
      </c>
      <c r="DJ8">
        <v>8.6005185246467594E-2</v>
      </c>
      <c r="DK8">
        <v>0.5598620338369058</v>
      </c>
      <c r="DL8">
        <v>171025188730.50287</v>
      </c>
      <c r="DM8">
        <v>7.5254537090659129E-2</v>
      </c>
      <c r="DN8">
        <v>7334999999.999999</v>
      </c>
      <c r="DO8">
        <v>0.10750648155808448</v>
      </c>
      <c r="DP8">
        <v>95750510000</v>
      </c>
      <c r="DQ8">
        <v>12155683000</v>
      </c>
      <c r="DR8">
        <v>3514</v>
      </c>
      <c r="DS8">
        <v>0.34909855305487969</v>
      </c>
      <c r="DT8">
        <v>0.17879169099659029</v>
      </c>
      <c r="DU8" s="25">
        <v>0.35333333333333333</v>
      </c>
      <c r="DV8">
        <v>0.67333333333333334</v>
      </c>
      <c r="DW8">
        <v>1.0266666666666666</v>
      </c>
      <c r="DX8">
        <v>9.4195488721804512</v>
      </c>
      <c r="DY8">
        <v>0.39943661971830824</v>
      </c>
      <c r="DZ8">
        <v>9.1004553637615171</v>
      </c>
      <c r="EA8">
        <v>1215</v>
      </c>
      <c r="EB8">
        <v>9.0746621966080419</v>
      </c>
      <c r="EC8">
        <v>9</v>
      </c>
      <c r="ED8">
        <v>2.924323747983041E-2</v>
      </c>
      <c r="EE8">
        <v>0.12213352123929171</v>
      </c>
      <c r="EF8" s="22">
        <v>2.01681</v>
      </c>
      <c r="EG8">
        <v>2.0040100000000001</v>
      </c>
      <c r="EH8">
        <v>16.239436619718308</v>
      </c>
      <c r="EI8" t="s">
        <v>425</v>
      </c>
      <c r="EJ8">
        <v>1</v>
      </c>
      <c r="EK8">
        <v>1</v>
      </c>
    </row>
    <row r="9" spans="1:141" ht="151.19999999999999" x14ac:dyDescent="0.25">
      <c r="B9" s="3" t="s">
        <v>2157</v>
      </c>
      <c r="C9" s="3" t="s">
        <v>2116</v>
      </c>
      <c r="D9" s="3" t="s">
        <v>2158</v>
      </c>
      <c r="E9" t="s">
        <v>1919</v>
      </c>
      <c r="F9" t="s">
        <v>1920</v>
      </c>
      <c r="G9">
        <v>35.76</v>
      </c>
      <c r="H9">
        <v>6.21</v>
      </c>
      <c r="I9" t="s">
        <v>2117</v>
      </c>
      <c r="J9">
        <v>330835440000</v>
      </c>
      <c r="K9">
        <v>49.23</v>
      </c>
      <c r="L9">
        <v>5.12</v>
      </c>
      <c r="M9" t="s">
        <v>1908</v>
      </c>
      <c r="N9" t="s">
        <v>2118</v>
      </c>
      <c r="O9" t="s">
        <v>2119</v>
      </c>
      <c r="P9" t="s">
        <v>2120</v>
      </c>
      <c r="Q9">
        <v>8.0399999999999991</v>
      </c>
      <c r="R9" t="s">
        <v>2121</v>
      </c>
      <c r="S9">
        <v>1633906500</v>
      </c>
      <c r="T9" s="4">
        <v>-3.3899999999999998E-3</v>
      </c>
      <c r="U9" t="s">
        <v>2122</v>
      </c>
      <c r="V9">
        <v>6109700400</v>
      </c>
      <c r="W9">
        <v>9251550300</v>
      </c>
      <c r="X9">
        <v>2.7</v>
      </c>
      <c r="Y9">
        <v>0.19</v>
      </c>
      <c r="Z9">
        <v>4.8499999999999996</v>
      </c>
      <c r="AA9" t="s">
        <v>2123</v>
      </c>
      <c r="AB9" t="s">
        <v>2124</v>
      </c>
      <c r="AC9" t="s">
        <v>1290</v>
      </c>
      <c r="AD9" t="s">
        <v>264</v>
      </c>
      <c r="AE9" t="s">
        <v>2125</v>
      </c>
      <c r="AF9">
        <v>290826780</v>
      </c>
      <c r="AG9" t="s">
        <v>2126</v>
      </c>
      <c r="AH9" t="s">
        <v>2127</v>
      </c>
      <c r="AI9" t="s">
        <v>2128</v>
      </c>
      <c r="AJ9" t="s">
        <v>2129</v>
      </c>
      <c r="AK9" t="s">
        <v>2130</v>
      </c>
      <c r="AL9" t="s">
        <v>2131</v>
      </c>
      <c r="AM9" t="s">
        <v>2132</v>
      </c>
      <c r="AN9" t="s">
        <v>7</v>
      </c>
      <c r="AO9" t="s">
        <v>2133</v>
      </c>
      <c r="AP9" t="s">
        <v>2134</v>
      </c>
      <c r="AQ9" t="s">
        <v>2135</v>
      </c>
      <c r="AR9" t="s">
        <v>2136</v>
      </c>
      <c r="AS9" t="s">
        <v>7</v>
      </c>
      <c r="AT9" t="s">
        <v>2137</v>
      </c>
      <c r="AU9" t="s">
        <v>2138</v>
      </c>
      <c r="AV9" t="s">
        <v>2139</v>
      </c>
      <c r="AW9" t="s">
        <v>2140</v>
      </c>
      <c r="AX9" t="s">
        <v>2141</v>
      </c>
      <c r="AY9" t="s">
        <v>2142</v>
      </c>
      <c r="AZ9" t="s">
        <v>2143</v>
      </c>
      <c r="BA9" t="s">
        <v>2144</v>
      </c>
      <c r="BB9" t="s">
        <v>2145</v>
      </c>
      <c r="BC9" t="s">
        <v>2146</v>
      </c>
      <c r="BD9" t="s">
        <v>2147</v>
      </c>
      <c r="BE9" t="s">
        <v>2148</v>
      </c>
      <c r="BF9" t="s">
        <v>2149</v>
      </c>
      <c r="BG9" t="s">
        <v>2150</v>
      </c>
      <c r="BH9" t="s">
        <v>2151</v>
      </c>
      <c r="BI9" t="s">
        <v>2152</v>
      </c>
      <c r="BJ9" t="s">
        <v>2153</v>
      </c>
      <c r="BK9" t="s">
        <v>2142</v>
      </c>
      <c r="BL9" t="s">
        <v>2122</v>
      </c>
      <c r="BM9" t="s">
        <v>2154</v>
      </c>
      <c r="BN9" t="s">
        <v>2147</v>
      </c>
      <c r="BO9">
        <v>6.14</v>
      </c>
      <c r="BP9">
        <v>6.09</v>
      </c>
      <c r="BQ9">
        <v>6</v>
      </c>
      <c r="BR9">
        <v>7.33</v>
      </c>
      <c r="BS9">
        <v>11.26</v>
      </c>
      <c r="BT9">
        <v>9.58</v>
      </c>
      <c r="BU9">
        <v>8.4499999999999993</v>
      </c>
      <c r="BV9">
        <v>10.27</v>
      </c>
      <c r="BW9">
        <v>16.16</v>
      </c>
      <c r="BX9">
        <v>17.21</v>
      </c>
      <c r="BY9">
        <v>16.22</v>
      </c>
      <c r="BZ9">
        <v>4.93</v>
      </c>
      <c r="CA9">
        <v>5.19</v>
      </c>
      <c r="CB9">
        <v>4.76</v>
      </c>
      <c r="CC9">
        <v>33.04</v>
      </c>
      <c r="CD9">
        <v>30.51</v>
      </c>
      <c r="CE9" t="s">
        <v>2155</v>
      </c>
      <c r="CF9" t="s">
        <v>2156</v>
      </c>
      <c r="CG9" s="23">
        <v>8.0415817720217247E-2</v>
      </c>
      <c r="CH9" s="24">
        <v>-3.1076876143990239E-3</v>
      </c>
      <c r="CI9" s="23">
        <v>0.320372074842453</v>
      </c>
      <c r="CJ9" s="23">
        <v>8.6217813193798065E-2</v>
      </c>
      <c r="CK9" s="23">
        <v>-2.7525622397661209E-2</v>
      </c>
      <c r="CL9" s="23">
        <v>-2.6788178831338882E-2</v>
      </c>
      <c r="CM9" s="23">
        <v>2.0803704857826233E-2</v>
      </c>
      <c r="CN9" s="24">
        <v>0.25438275933265686</v>
      </c>
      <c r="CO9" s="24">
        <v>0.19235044717788696</v>
      </c>
      <c r="CP9" s="24">
        <v>-0.13635492324829102</v>
      </c>
      <c r="CQ9" s="24">
        <v>3.5806696861982346E-2</v>
      </c>
      <c r="CR9" s="24">
        <v>-0.5235522985458374</v>
      </c>
      <c r="CS9">
        <v>2.4253908581063746</v>
      </c>
      <c r="CT9">
        <v>19374541.034790363</v>
      </c>
      <c r="CU9">
        <v>2.4880499999999999</v>
      </c>
      <c r="CV9" s="23">
        <v>7.4615958333015445E-2</v>
      </c>
      <c r="CW9" s="24">
        <v>-3.5473463684320451E-2</v>
      </c>
      <c r="CX9">
        <v>0.06</v>
      </c>
      <c r="CY9">
        <v>55.156423042083929</v>
      </c>
      <c r="CZ9">
        <v>6818742392.2149649</v>
      </c>
      <c r="DA9">
        <v>7.4615958333015445E-2</v>
      </c>
      <c r="DB9">
        <v>18.261358346214458</v>
      </c>
      <c r="DC9">
        <v>20595260925.809731</v>
      </c>
      <c r="DD9">
        <v>7.0885160416364668E-2</v>
      </c>
      <c r="DE9">
        <v>9.1469557263662988</v>
      </c>
      <c r="DF9">
        <v>41117225364.488312</v>
      </c>
      <c r="DG9">
        <v>6.5662043333053588E-2</v>
      </c>
      <c r="DH9">
        <v>5.6006158902425982</v>
      </c>
      <c r="DI9">
        <v>67152871643.141525</v>
      </c>
      <c r="DJ9">
        <v>5.9692766666412357E-2</v>
      </c>
      <c r="DK9">
        <v>3.0176388880975153</v>
      </c>
      <c r="DL9">
        <v>124633017384.36716</v>
      </c>
      <c r="DM9">
        <v>5.223117083311081E-2</v>
      </c>
      <c r="DN9">
        <v>6726000000.000001</v>
      </c>
      <c r="DO9">
        <v>7.4615958333015445E-2</v>
      </c>
      <c r="DP9">
        <v>376097440000</v>
      </c>
      <c r="DQ9">
        <v>16292064000</v>
      </c>
      <c r="DR9">
        <v>3567</v>
      </c>
      <c r="DS9">
        <v>5.7998593872018028E-3</v>
      </c>
      <c r="DT9">
        <v>3.2365776069921429E-2</v>
      </c>
      <c r="DU9" s="25">
        <v>0.16666666666666666</v>
      </c>
      <c r="DV9">
        <v>0.21666666666666667</v>
      </c>
      <c r="DW9">
        <v>0.3833333333333333</v>
      </c>
      <c r="DX9">
        <v>5.9234261501210659</v>
      </c>
      <c r="DY9">
        <v>0.66148148148148267</v>
      </c>
      <c r="DZ9">
        <v>5.3707384987893461</v>
      </c>
      <c r="EA9">
        <v>2319</v>
      </c>
      <c r="EB9">
        <v>5.1890515633091061</v>
      </c>
      <c r="EC9">
        <v>5</v>
      </c>
      <c r="ED9">
        <v>5.8584775786172834E-2</v>
      </c>
      <c r="EE9">
        <v>0.14592148950430503</v>
      </c>
      <c r="EF9" s="22">
        <v>2.1345999999999998</v>
      </c>
      <c r="EG9">
        <v>3.0467</v>
      </c>
      <c r="EH9">
        <v>26.401481481481483</v>
      </c>
      <c r="EI9" t="s">
        <v>776</v>
      </c>
      <c r="EJ9">
        <v>1</v>
      </c>
      <c r="EK9">
        <v>0</v>
      </c>
    </row>
  </sheetDat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4817" r:id="rId3" name="Button 1">
              <controlPr defaultSize="0" print="0" autoFill="0" autoPict="0" macro="[0]!'Industry_copy_call_buttom [c2],[d2]'">
                <anchor moveWithCells="1" sizeWithCells="1">
                  <from>
                    <xdr:col>1</xdr:col>
                    <xdr:colOff>60960</xdr:colOff>
                    <xdr:row>1</xdr:row>
                    <xdr:rowOff>259080</xdr:rowOff>
                  </from>
                  <to>
                    <xdr:col>1</xdr:col>
                    <xdr:colOff>1089660</xdr:colOff>
                    <xdr:row>1</xdr:row>
                    <xdr:rowOff>708660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EK2"/>
  <sheetViews>
    <sheetView tabSelected="1" workbookViewId="0">
      <selection activeCell="A2" sqref="A2"/>
    </sheetView>
  </sheetViews>
  <sheetFormatPr defaultRowHeight="14.4" x14ac:dyDescent="0.25"/>
  <cols>
    <col min="2" max="2" width="29.21875" customWidth="1"/>
    <col min="3" max="3" width="30.77734375" customWidth="1"/>
    <col min="4" max="4" width="34.77734375" customWidth="1"/>
  </cols>
  <sheetData>
    <row r="1" spans="1:141" s="16" customFormat="1" x14ac:dyDescent="0.25">
      <c r="A1" s="17" t="s">
        <v>157</v>
      </c>
      <c r="B1" s="20" t="s">
        <v>381</v>
      </c>
      <c r="C1" s="21" t="s">
        <v>382</v>
      </c>
      <c r="D1" s="20" t="s">
        <v>383</v>
      </c>
      <c r="E1" t="s">
        <v>2</v>
      </c>
      <c r="F1" t="s">
        <v>3</v>
      </c>
      <c r="G1" t="s">
        <v>0</v>
      </c>
      <c r="H1" t="s">
        <v>350</v>
      </c>
      <c r="I1" t="s">
        <v>384</v>
      </c>
      <c r="J1" t="s">
        <v>4</v>
      </c>
      <c r="K1" t="s">
        <v>5</v>
      </c>
      <c r="L1" t="s">
        <v>1</v>
      </c>
      <c r="M1" t="s">
        <v>6</v>
      </c>
      <c r="N1" t="s">
        <v>9</v>
      </c>
      <c r="O1" t="s">
        <v>10</v>
      </c>
      <c r="P1" t="s">
        <v>11</v>
      </c>
      <c r="Q1" t="s">
        <v>385</v>
      </c>
      <c r="R1" t="s">
        <v>351</v>
      </c>
      <c r="S1" t="s">
        <v>386</v>
      </c>
      <c r="T1" t="s">
        <v>12</v>
      </c>
      <c r="U1" t="s">
        <v>352</v>
      </c>
      <c r="V1" t="s">
        <v>353</v>
      </c>
      <c r="W1" t="s">
        <v>13</v>
      </c>
      <c r="X1" t="s">
        <v>214</v>
      </c>
      <c r="Y1" t="s">
        <v>215</v>
      </c>
      <c r="Z1" t="s">
        <v>216</v>
      </c>
      <c r="AA1" t="s">
        <v>217</v>
      </c>
      <c r="AB1" t="s">
        <v>218</v>
      </c>
      <c r="AC1" t="s">
        <v>354</v>
      </c>
      <c r="AD1" t="s">
        <v>219</v>
      </c>
      <c r="AE1" t="s">
        <v>387</v>
      </c>
      <c r="AF1" t="s">
        <v>14</v>
      </c>
      <c r="AG1" t="s">
        <v>15</v>
      </c>
      <c r="AH1" t="s">
        <v>355</v>
      </c>
      <c r="AI1" t="s">
        <v>388</v>
      </c>
      <c r="AJ1" t="s">
        <v>356</v>
      </c>
      <c r="AK1" t="s">
        <v>16</v>
      </c>
      <c r="AL1" t="s">
        <v>357</v>
      </c>
      <c r="AM1" t="s">
        <v>158</v>
      </c>
      <c r="AN1" t="s">
        <v>358</v>
      </c>
      <c r="AO1" t="s">
        <v>359</v>
      </c>
      <c r="AP1" t="s">
        <v>360</v>
      </c>
      <c r="AQ1" t="s">
        <v>361</v>
      </c>
      <c r="AR1" t="s">
        <v>362</v>
      </c>
      <c r="AS1" t="s">
        <v>363</v>
      </c>
      <c r="AT1" t="s">
        <v>364</v>
      </c>
      <c r="AU1" t="s">
        <v>365</v>
      </c>
      <c r="AV1" t="s">
        <v>366</v>
      </c>
      <c r="AW1" t="s">
        <v>367</v>
      </c>
      <c r="AX1" t="s">
        <v>368</v>
      </c>
      <c r="AY1" t="s">
        <v>389</v>
      </c>
      <c r="AZ1" t="s">
        <v>159</v>
      </c>
      <c r="BA1" t="s">
        <v>160</v>
      </c>
      <c r="BB1" t="s">
        <v>161</v>
      </c>
      <c r="BC1" t="s">
        <v>162</v>
      </c>
      <c r="BD1" t="s">
        <v>168</v>
      </c>
      <c r="BE1" t="s">
        <v>163</v>
      </c>
      <c r="BF1" t="s">
        <v>164</v>
      </c>
      <c r="BG1" t="s">
        <v>165</v>
      </c>
      <c r="BH1" t="s">
        <v>166</v>
      </c>
      <c r="BI1" t="s">
        <v>390</v>
      </c>
      <c r="BJ1" t="s">
        <v>369</v>
      </c>
      <c r="BK1" t="s">
        <v>167</v>
      </c>
      <c r="BL1" t="s">
        <v>370</v>
      </c>
      <c r="BM1" t="s">
        <v>371</v>
      </c>
      <c r="BN1" t="s">
        <v>372</v>
      </c>
      <c r="BO1" t="s">
        <v>373</v>
      </c>
      <c r="BP1" t="s">
        <v>169</v>
      </c>
      <c r="BQ1" t="s">
        <v>170</v>
      </c>
      <c r="BR1" t="s">
        <v>171</v>
      </c>
      <c r="BS1" t="s">
        <v>374</v>
      </c>
      <c r="BT1" t="s">
        <v>172</v>
      </c>
      <c r="BU1" t="s">
        <v>173</v>
      </c>
      <c r="BV1" t="s">
        <v>174</v>
      </c>
      <c r="BW1" t="s">
        <v>375</v>
      </c>
      <c r="BX1" t="s">
        <v>175</v>
      </c>
      <c r="BY1" t="s">
        <v>176</v>
      </c>
      <c r="BZ1" t="s">
        <v>376</v>
      </c>
      <c r="CA1" t="s">
        <v>177</v>
      </c>
      <c r="CB1" t="s">
        <v>178</v>
      </c>
      <c r="CC1" t="s">
        <v>391</v>
      </c>
      <c r="CD1" t="s">
        <v>392</v>
      </c>
      <c r="CE1" t="s">
        <v>393</v>
      </c>
      <c r="CF1" t="s">
        <v>394</v>
      </c>
      <c r="CG1" s="1" t="s">
        <v>220</v>
      </c>
      <c r="CH1" s="1" t="s">
        <v>221</v>
      </c>
      <c r="CI1" s="1" t="s">
        <v>222</v>
      </c>
      <c r="CJ1" s="1" t="s">
        <v>223</v>
      </c>
      <c r="CK1" s="1" t="s">
        <v>224</v>
      </c>
      <c r="CL1" s="1" t="s">
        <v>225</v>
      </c>
      <c r="CM1" s="1" t="s">
        <v>226</v>
      </c>
      <c r="CN1" s="1" t="s">
        <v>227</v>
      </c>
      <c r="CO1" s="1" t="s">
        <v>228</v>
      </c>
      <c r="CP1" s="1" t="s">
        <v>229</v>
      </c>
      <c r="CQ1" s="1" t="s">
        <v>230</v>
      </c>
      <c r="CR1" s="1" t="s">
        <v>231</v>
      </c>
      <c r="CS1" s="1" t="s">
        <v>395</v>
      </c>
      <c r="CT1" s="1" t="s">
        <v>396</v>
      </c>
      <c r="CU1" s="1" t="s">
        <v>397</v>
      </c>
      <c r="CV1" s="1" t="s">
        <v>232</v>
      </c>
      <c r="CW1" s="1" t="s">
        <v>398</v>
      </c>
      <c r="CX1" s="1" t="s">
        <v>138</v>
      </c>
      <c r="CY1">
        <v>1</v>
      </c>
      <c r="CZ1" t="s">
        <v>400</v>
      </c>
      <c r="DA1" t="s">
        <v>266</v>
      </c>
      <c r="DB1">
        <v>3</v>
      </c>
      <c r="DC1" t="s">
        <v>401</v>
      </c>
      <c r="DD1" t="s">
        <v>402</v>
      </c>
      <c r="DE1">
        <v>6</v>
      </c>
      <c r="DF1" t="s">
        <v>267</v>
      </c>
      <c r="DG1" t="s">
        <v>403</v>
      </c>
      <c r="DH1">
        <v>10</v>
      </c>
      <c r="DI1" t="s">
        <v>404</v>
      </c>
      <c r="DJ1" t="s">
        <v>268</v>
      </c>
      <c r="DK1">
        <v>20</v>
      </c>
      <c r="DL1" t="s">
        <v>405</v>
      </c>
      <c r="DM1" t="s">
        <v>233</v>
      </c>
      <c r="DN1" t="s">
        <v>234</v>
      </c>
      <c r="DO1" s="2" t="s">
        <v>235</v>
      </c>
      <c r="DP1" t="s">
        <v>406</v>
      </c>
      <c r="DQ1" t="s">
        <v>269</v>
      </c>
      <c r="DR1" s="1" t="s">
        <v>236</v>
      </c>
      <c r="DS1" s="1" t="s">
        <v>237</v>
      </c>
      <c r="DT1" s="1" t="s">
        <v>407</v>
      </c>
      <c r="DU1" t="s">
        <v>408</v>
      </c>
      <c r="DV1" t="s">
        <v>270</v>
      </c>
      <c r="DW1" t="s">
        <v>409</v>
      </c>
      <c r="DX1" t="s">
        <v>410</v>
      </c>
      <c r="DY1" t="s">
        <v>411</v>
      </c>
      <c r="DZ1" t="s">
        <v>412</v>
      </c>
      <c r="EA1" t="s">
        <v>413</v>
      </c>
      <c r="EB1" t="s">
        <v>238</v>
      </c>
      <c r="EC1" t="s">
        <v>414</v>
      </c>
      <c r="ED1" t="s">
        <v>415</v>
      </c>
      <c r="EE1" t="s">
        <v>416</v>
      </c>
      <c r="EF1" t="s">
        <v>417</v>
      </c>
      <c r="EG1" t="s">
        <v>418</v>
      </c>
      <c r="EH1" t="s">
        <v>419</v>
      </c>
      <c r="EI1" t="s">
        <v>420</v>
      </c>
      <c r="EJ1" t="s">
        <v>421</v>
      </c>
      <c r="EK1"/>
    </row>
    <row r="2" spans="1:141" s="16" customFormat="1" ht="71.55" customHeight="1" x14ac:dyDescent="0.25">
      <c r="A2" s="29"/>
      <c r="B2" s="27"/>
      <c r="C2" s="28">
        <v>3</v>
      </c>
      <c r="D2" s="28">
        <v>3</v>
      </c>
      <c r="T2" s="18"/>
      <c r="U2" s="18"/>
      <c r="V2" s="18"/>
      <c r="AB2" s="19"/>
    </row>
  </sheetDat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6625" r:id="rId3" name="Button 1">
              <controlPr defaultSize="0" print="0" autoFill="0" autoPict="0" macro="[0]!'Industry_copy_call_buttom [c2],[d2]'">
                <anchor moveWithCells="1" sizeWithCells="1">
                  <from>
                    <xdr:col>1</xdr:col>
                    <xdr:colOff>60960</xdr:colOff>
                    <xdr:row>1</xdr:row>
                    <xdr:rowOff>259080</xdr:rowOff>
                  </from>
                  <to>
                    <xdr:col>1</xdr:col>
                    <xdr:colOff>1089660</xdr:colOff>
                    <xdr:row>1</xdr:row>
                    <xdr:rowOff>708660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F201"/>
  <sheetViews>
    <sheetView zoomScale="85" zoomScaleNormal="85" workbookViewId="0">
      <selection activeCell="Z2" sqref="Z2"/>
    </sheetView>
  </sheetViews>
  <sheetFormatPr defaultRowHeight="14.4" x14ac:dyDescent="0.25"/>
  <cols>
    <col min="1" max="1" width="8.88671875" style="1"/>
    <col min="2" max="2" width="12.5546875" customWidth="1"/>
    <col min="4" max="4" width="13.88671875" bestFit="1" customWidth="1"/>
    <col min="5" max="12" width="8.77734375" customWidth="1"/>
    <col min="13" max="13" width="15.88671875" customWidth="1"/>
    <col min="14" max="17" width="8.77734375" customWidth="1"/>
    <col min="18" max="18" width="13.6640625" customWidth="1"/>
    <col min="19" max="19" width="12.88671875" customWidth="1"/>
  </cols>
  <sheetData>
    <row r="1" spans="1:32" s="7" customFormat="1" ht="57.6" x14ac:dyDescent="0.25">
      <c r="A1" s="6" t="s">
        <v>125</v>
      </c>
      <c r="B1" s="7" t="s">
        <v>129</v>
      </c>
      <c r="C1" s="7" t="s">
        <v>126</v>
      </c>
      <c r="D1" s="7" t="s">
        <v>130</v>
      </c>
      <c r="E1" s="8" t="s">
        <v>127</v>
      </c>
      <c r="F1" s="8" t="s">
        <v>128</v>
      </c>
      <c r="G1" s="8" t="s">
        <v>136</v>
      </c>
      <c r="H1" s="8" t="s">
        <v>131</v>
      </c>
      <c r="I1" s="8" t="s">
        <v>132</v>
      </c>
      <c r="J1" s="8" t="s">
        <v>133</v>
      </c>
      <c r="K1" s="8" t="s">
        <v>134</v>
      </c>
      <c r="L1" s="7" t="s">
        <v>135</v>
      </c>
      <c r="M1" s="7" t="s">
        <v>137</v>
      </c>
      <c r="N1" s="7" t="s">
        <v>138</v>
      </c>
      <c r="O1" s="7" t="s">
        <v>139</v>
      </c>
      <c r="P1" s="7" t="s">
        <v>140</v>
      </c>
      <c r="Q1" s="7" t="s">
        <v>141</v>
      </c>
      <c r="R1" s="11" t="s">
        <v>142</v>
      </c>
      <c r="S1" s="7" t="s">
        <v>143</v>
      </c>
      <c r="T1" s="7" t="s">
        <v>144</v>
      </c>
      <c r="U1" s="7" t="s">
        <v>145</v>
      </c>
      <c r="V1" s="7" t="s">
        <v>146</v>
      </c>
      <c r="W1" s="7" t="s">
        <v>147</v>
      </c>
      <c r="X1" s="7" t="s">
        <v>148</v>
      </c>
      <c r="Y1" s="7" t="s">
        <v>149</v>
      </c>
      <c r="Z1" s="7" t="s">
        <v>150</v>
      </c>
      <c r="AA1" s="7" t="s">
        <v>151</v>
      </c>
      <c r="AB1" s="7" t="s">
        <v>152</v>
      </c>
      <c r="AC1" s="7" t="s">
        <v>153</v>
      </c>
      <c r="AD1" s="15" t="s">
        <v>154</v>
      </c>
      <c r="AE1" s="7" t="s">
        <v>155</v>
      </c>
      <c r="AF1" s="7" t="s">
        <v>156</v>
      </c>
    </row>
    <row r="2" spans="1:32" ht="13.95" x14ac:dyDescent="0.25">
      <c r="A2" s="2">
        <v>1</v>
      </c>
      <c r="B2">
        <v>1</v>
      </c>
      <c r="C2" s="5">
        <v>0.08</v>
      </c>
      <c r="D2">
        <f>H2</f>
        <v>7.06</v>
      </c>
      <c r="E2">
        <v>11.56</v>
      </c>
      <c r="F2">
        <v>20.440000000000001</v>
      </c>
      <c r="G2">
        <f>F2</f>
        <v>20.440000000000001</v>
      </c>
      <c r="H2" s="9">
        <v>7.06</v>
      </c>
      <c r="I2" s="10">
        <v>0.37</v>
      </c>
      <c r="J2">
        <v>9</v>
      </c>
      <c r="K2">
        <v>85</v>
      </c>
      <c r="L2">
        <f>K2-F2+E2</f>
        <v>76.12</v>
      </c>
      <c r="M2">
        <f>SUMIF(A2:A51,"&lt;"&amp;J2+1,D2:D51)</f>
        <v>88.162158341966133</v>
      </c>
      <c r="O2">
        <f>M2/L2</f>
        <v>1.1581996629265126</v>
      </c>
      <c r="R2">
        <f>S2</f>
        <v>7.06</v>
      </c>
      <c r="S2">
        <f>$H$2</f>
        <v>7.06</v>
      </c>
      <c r="T2" s="5">
        <v>0.37</v>
      </c>
      <c r="U2" s="5">
        <v>0.06</v>
      </c>
      <c r="V2">
        <f>SUM($R$2:R2)</f>
        <v>7.06</v>
      </c>
      <c r="W2" s="2">
        <f>X2-Y2</f>
        <v>474.26</v>
      </c>
      <c r="X2" s="14">
        <f>579-579*10%</f>
        <v>521.1</v>
      </c>
      <c r="Y2" s="14">
        <f>57.79-10.95</f>
        <v>46.84</v>
      </c>
      <c r="Z2">
        <f>$W$2/S2</f>
        <v>67.175637393767701</v>
      </c>
      <c r="AA2" s="5">
        <v>0.3</v>
      </c>
      <c r="AB2">
        <f>S2/AA2</f>
        <v>23.533333333333331</v>
      </c>
      <c r="AC2">
        <f>AC3*(1-$U$2)</f>
        <v>222.37291878719995</v>
      </c>
      <c r="AD2" s="5">
        <v>0</v>
      </c>
      <c r="AE2">
        <f>AC2*AD2</f>
        <v>0</v>
      </c>
      <c r="AF2">
        <f>IF(AB2&gt;AE2, 1, 0)</f>
        <v>1</v>
      </c>
    </row>
    <row r="3" spans="1:32" ht="13.95" x14ac:dyDescent="0.25">
      <c r="A3" s="2">
        <v>2</v>
      </c>
      <c r="B3">
        <f>B2+B2*C2</f>
        <v>1.08</v>
      </c>
      <c r="C3" s="5">
        <v>0.08</v>
      </c>
      <c r="D3">
        <f>D2+D2*C2</f>
        <v>7.6247999999999996</v>
      </c>
      <c r="Q3">
        <f>$D$2*((1+$C$2)^A2)</f>
        <v>7.6248000000000005</v>
      </c>
      <c r="R3">
        <f>S3/((1+$U$2)^A2)</f>
        <v>9.1247169811320745</v>
      </c>
      <c r="S3">
        <f>S2*(1+T2)</f>
        <v>9.6722000000000001</v>
      </c>
      <c r="T3" s="5">
        <v>0.37</v>
      </c>
      <c r="V3">
        <f>SUM($R$2:R3)</f>
        <v>16.184716981132073</v>
      </c>
      <c r="W3">
        <f>V3/$W$2</f>
        <v>3.4126253492034062E-2</v>
      </c>
      <c r="Z3">
        <f t="shared" ref="Z3:Z13" si="0">$W$2/S3</f>
        <v>49.033311966253798</v>
      </c>
      <c r="AA3" s="5">
        <v>0.3</v>
      </c>
      <c r="AB3">
        <f t="shared" ref="AB3:AB66" si="1">S3/AA3</f>
        <v>32.240666666666669</v>
      </c>
      <c r="AC3">
        <f>AC4*(1-$U$2)</f>
        <v>236.56693487999996</v>
      </c>
      <c r="AD3" s="5">
        <v>0.1</v>
      </c>
      <c r="AE3">
        <f t="shared" ref="AE3:AE66" si="2">AC3*AD3</f>
        <v>23.656693487999998</v>
      </c>
      <c r="AF3">
        <f t="shared" ref="AF3:AF66" si="3">IF(AB3&gt;AE3, 1, 0)</f>
        <v>1</v>
      </c>
    </row>
    <row r="4" spans="1:32" ht="13.95" x14ac:dyDescent="0.25">
      <c r="A4" s="2">
        <v>3</v>
      </c>
      <c r="B4">
        <f t="shared" ref="B4:B51" si="4">B3+B3*C3</f>
        <v>1.1664000000000001</v>
      </c>
      <c r="C4" s="5">
        <v>0.08</v>
      </c>
      <c r="D4">
        <f t="shared" ref="D4:D51" si="5">D3+D3*C3</f>
        <v>8.2347839999999994</v>
      </c>
      <c r="Q4">
        <f>$D$2*((1+$C$2)^A3)</f>
        <v>8.2347839999999994</v>
      </c>
      <c r="R4">
        <f t="shared" ref="R4:R67" si="6">S4/((1+$U$2)^A3)</f>
        <v>11.793266286934852</v>
      </c>
      <c r="S4">
        <f t="shared" ref="S4:S67" si="7">S3*(1+T3)</f>
        <v>13.250914000000002</v>
      </c>
      <c r="T4" s="5">
        <v>0.37</v>
      </c>
      <c r="V4">
        <f>SUM($R$2:R4)</f>
        <v>27.977983268066925</v>
      </c>
      <c r="W4">
        <f t="shared" ref="W4:W67" si="8">V4/$W$2</f>
        <v>5.8992922169415353E-2</v>
      </c>
      <c r="Z4">
        <f t="shared" si="0"/>
        <v>35.79073866149912</v>
      </c>
      <c r="AA4" s="5">
        <v>0.3</v>
      </c>
      <c r="AB4">
        <f t="shared" si="1"/>
        <v>44.169713333333341</v>
      </c>
      <c r="AC4">
        <f>AC5*(1-$U$2)</f>
        <v>251.66695199999998</v>
      </c>
      <c r="AD4" s="5">
        <v>0.15</v>
      </c>
      <c r="AE4">
        <f t="shared" si="2"/>
        <v>37.750042799999996</v>
      </c>
      <c r="AF4">
        <f t="shared" si="3"/>
        <v>1</v>
      </c>
    </row>
    <row r="5" spans="1:32" ht="13.95" x14ac:dyDescent="0.25">
      <c r="A5" s="2">
        <v>4</v>
      </c>
      <c r="B5">
        <f t="shared" si="4"/>
        <v>1.2597120000000002</v>
      </c>
      <c r="C5" s="5">
        <v>0.08</v>
      </c>
      <c r="D5">
        <f t="shared" si="5"/>
        <v>8.893566719999999</v>
      </c>
      <c r="Q5">
        <f t="shared" ref="Q5:Q51" si="9">$D$2*((1+$C$2)^A4)</f>
        <v>8.8935667200000008</v>
      </c>
      <c r="R5">
        <f t="shared" si="6"/>
        <v>15.242240389717686</v>
      </c>
      <c r="S5">
        <f>S4*(1+T4)</f>
        <v>18.153752180000005</v>
      </c>
      <c r="T5" s="5">
        <v>0.37</v>
      </c>
      <c r="V5">
        <f>SUM($R$2:R5)</f>
        <v>43.220223657784615</v>
      </c>
      <c r="W5">
        <f t="shared" si="8"/>
        <v>9.1131918478860999E-2</v>
      </c>
      <c r="Z5">
        <f t="shared" si="0"/>
        <v>26.12462676021833</v>
      </c>
      <c r="AA5" s="5">
        <v>0.3</v>
      </c>
      <c r="AB5">
        <f t="shared" si="1"/>
        <v>60.512507266666688</v>
      </c>
      <c r="AC5">
        <f>AC6*(1-$U$2)</f>
        <v>267.73079999999999</v>
      </c>
      <c r="AD5" s="5">
        <v>0.15</v>
      </c>
      <c r="AE5">
        <f t="shared" si="2"/>
        <v>40.159619999999997</v>
      </c>
      <c r="AF5">
        <f t="shared" si="3"/>
        <v>1</v>
      </c>
    </row>
    <row r="6" spans="1:32" ht="13.95" x14ac:dyDescent="0.25">
      <c r="A6" s="2">
        <v>5</v>
      </c>
      <c r="B6">
        <f t="shared" si="4"/>
        <v>1.3604889600000001</v>
      </c>
      <c r="C6" s="5">
        <v>0.08</v>
      </c>
      <c r="D6">
        <f t="shared" si="5"/>
        <v>9.6050520575999982</v>
      </c>
      <c r="Q6">
        <f t="shared" si="9"/>
        <v>9.6050520576000018</v>
      </c>
      <c r="R6">
        <f t="shared" si="6"/>
        <v>19.699876730106823</v>
      </c>
      <c r="S6">
        <f>S5*(1+T5)</f>
        <v>24.87064048660001</v>
      </c>
      <c r="T6" s="5">
        <v>0.37</v>
      </c>
      <c r="V6">
        <f>SUM($R$2:R6)</f>
        <v>62.920100387891438</v>
      </c>
      <c r="W6" s="12">
        <f t="shared" si="8"/>
        <v>0.13267005521842754</v>
      </c>
      <c r="Z6">
        <f t="shared" si="0"/>
        <v>19.06907062789659</v>
      </c>
      <c r="AA6" s="5">
        <v>0.3</v>
      </c>
      <c r="AB6">
        <f t="shared" si="1"/>
        <v>82.902134955333366</v>
      </c>
      <c r="AC6">
        <f>AC7*(1-$U$2)</f>
        <v>284.82</v>
      </c>
      <c r="AD6" s="5">
        <v>0.2</v>
      </c>
      <c r="AE6">
        <f t="shared" si="2"/>
        <v>56.963999999999999</v>
      </c>
      <c r="AF6">
        <f t="shared" si="3"/>
        <v>1</v>
      </c>
    </row>
    <row r="7" spans="1:32" ht="13.95" x14ac:dyDescent="0.25">
      <c r="A7" s="2">
        <v>6</v>
      </c>
      <c r="B7">
        <f t="shared" si="4"/>
        <v>1.4693280768000001</v>
      </c>
      <c r="C7" s="5">
        <v>0.08</v>
      </c>
      <c r="D7">
        <f t="shared" si="5"/>
        <v>10.373456222207999</v>
      </c>
      <c r="Q7">
        <f t="shared" si="9"/>
        <v>10.373456222208002</v>
      </c>
      <c r="R7">
        <f t="shared" si="6"/>
        <v>25.461161434194668</v>
      </c>
      <c r="S7">
        <f t="shared" si="7"/>
        <v>34.072777466642016</v>
      </c>
      <c r="T7" s="5">
        <v>0.37</v>
      </c>
      <c r="V7">
        <f>SUM($R$2:R7)</f>
        <v>88.381261822086103</v>
      </c>
      <c r="W7" s="13">
        <f t="shared" si="8"/>
        <v>0.18635613760824465</v>
      </c>
      <c r="Z7">
        <f t="shared" si="0"/>
        <v>13.919029655398969</v>
      </c>
      <c r="AA7" s="5">
        <v>0.3</v>
      </c>
      <c r="AB7">
        <f t="shared" si="1"/>
        <v>113.57592488880672</v>
      </c>
      <c r="AC7">
        <v>303</v>
      </c>
      <c r="AD7" s="5">
        <v>0.2</v>
      </c>
      <c r="AE7">
        <f t="shared" si="2"/>
        <v>60.6</v>
      </c>
      <c r="AF7">
        <f t="shared" si="3"/>
        <v>1</v>
      </c>
    </row>
    <row r="8" spans="1:32" ht="13.95" x14ac:dyDescent="0.25">
      <c r="A8" s="2">
        <v>7</v>
      </c>
      <c r="B8">
        <f t="shared" si="4"/>
        <v>1.5868743229440001</v>
      </c>
      <c r="C8" s="5">
        <v>0.08</v>
      </c>
      <c r="D8">
        <f t="shared" si="5"/>
        <v>11.203332719984639</v>
      </c>
      <c r="Q8">
        <f t="shared" si="9"/>
        <v>11.203332719984644</v>
      </c>
      <c r="R8">
        <f t="shared" si="6"/>
        <v>32.907350155515751</v>
      </c>
      <c r="S8">
        <f>S7*(1+T7)</f>
        <v>46.679705129299563</v>
      </c>
      <c r="T8" s="5">
        <v>0.37</v>
      </c>
      <c r="V8">
        <f>SUM($R$2:R8)</f>
        <v>121.28861197760185</v>
      </c>
      <c r="W8">
        <f t="shared" si="8"/>
        <v>0.25574286673470636</v>
      </c>
      <c r="Z8">
        <f t="shared" si="0"/>
        <v>10.15987566087516</v>
      </c>
      <c r="AA8" s="5">
        <v>0.3</v>
      </c>
      <c r="AB8">
        <f t="shared" si="1"/>
        <v>155.59901709766521</v>
      </c>
      <c r="AC8">
        <f t="shared" ref="AC8:AC67" si="10">AC7*(1+$U$2)</f>
        <v>321.18</v>
      </c>
      <c r="AD8" s="5">
        <v>0.2</v>
      </c>
      <c r="AE8">
        <f t="shared" si="2"/>
        <v>64.236000000000004</v>
      </c>
      <c r="AF8">
        <f t="shared" si="3"/>
        <v>1</v>
      </c>
    </row>
    <row r="9" spans="1:32" ht="13.95" x14ac:dyDescent="0.25">
      <c r="A9" s="2">
        <v>8</v>
      </c>
      <c r="B9">
        <f t="shared" si="4"/>
        <v>1.7138242687795202</v>
      </c>
      <c r="C9" s="5">
        <v>0.08</v>
      </c>
      <c r="D9">
        <f t="shared" si="5"/>
        <v>12.09959933758341</v>
      </c>
      <c r="Q9">
        <f t="shared" si="9"/>
        <v>12.099599337583415</v>
      </c>
      <c r="R9">
        <f t="shared" si="6"/>
        <v>42.531197842506202</v>
      </c>
      <c r="S9">
        <f t="shared" si="7"/>
        <v>63.951196027140405</v>
      </c>
      <c r="T9" s="5">
        <v>0.1</v>
      </c>
      <c r="V9">
        <f>SUM($R$2:R9)</f>
        <v>163.81980982010805</v>
      </c>
      <c r="W9" s="12">
        <f t="shared" si="8"/>
        <v>0.34542194117173713</v>
      </c>
      <c r="Z9">
        <f t="shared" si="0"/>
        <v>7.4159676356752984</v>
      </c>
      <c r="AA9" s="5">
        <v>0.3</v>
      </c>
      <c r="AB9">
        <f t="shared" si="1"/>
        <v>213.17065342380135</v>
      </c>
      <c r="AC9">
        <f t="shared" si="10"/>
        <v>340.45080000000002</v>
      </c>
      <c r="AD9" s="5">
        <v>0.2</v>
      </c>
      <c r="AE9">
        <f t="shared" si="2"/>
        <v>68.090160000000012</v>
      </c>
      <c r="AF9" s="2">
        <f t="shared" si="3"/>
        <v>1</v>
      </c>
    </row>
    <row r="10" spans="1:32" ht="13.95" x14ac:dyDescent="0.25">
      <c r="A10" s="2">
        <v>9</v>
      </c>
      <c r="B10">
        <f t="shared" si="4"/>
        <v>1.8509302102818819</v>
      </c>
      <c r="C10" s="5">
        <v>0.08</v>
      </c>
      <c r="D10">
        <f t="shared" si="5"/>
        <v>13.067567284590082</v>
      </c>
      <c r="Q10">
        <f t="shared" si="9"/>
        <v>13.067567284590089</v>
      </c>
      <c r="R10">
        <f t="shared" si="6"/>
        <v>44.136148704487567</v>
      </c>
      <c r="S10">
        <f t="shared" si="7"/>
        <v>70.346315629854445</v>
      </c>
      <c r="T10" s="5">
        <v>0.1</v>
      </c>
      <c r="V10">
        <f>SUM($R$2:R10)</f>
        <v>207.95595852459562</v>
      </c>
      <c r="W10">
        <f t="shared" si="8"/>
        <v>0.43848513162525959</v>
      </c>
      <c r="Z10">
        <f t="shared" si="0"/>
        <v>6.7417887597048169</v>
      </c>
      <c r="AA10" s="5">
        <v>0.3</v>
      </c>
      <c r="AB10">
        <f t="shared" si="1"/>
        <v>234.4877187661815</v>
      </c>
      <c r="AC10">
        <f t="shared" si="10"/>
        <v>360.87784800000003</v>
      </c>
      <c r="AD10" s="5">
        <v>0.2</v>
      </c>
      <c r="AE10">
        <f t="shared" si="2"/>
        <v>72.175569600000003</v>
      </c>
      <c r="AF10" s="1">
        <f t="shared" si="3"/>
        <v>1</v>
      </c>
    </row>
    <row r="11" spans="1:32" ht="13.95" x14ac:dyDescent="0.25">
      <c r="A11" s="2">
        <v>10</v>
      </c>
      <c r="B11">
        <f t="shared" si="4"/>
        <v>1.9990046271044324</v>
      </c>
      <c r="C11" s="5">
        <v>0.08</v>
      </c>
      <c r="D11">
        <f t="shared" si="5"/>
        <v>14.112972667357289</v>
      </c>
      <c r="Q11">
        <f t="shared" si="9"/>
        <v>14.112972667357296</v>
      </c>
      <c r="R11">
        <f t="shared" si="6"/>
        <v>45.801663749939934</v>
      </c>
      <c r="S11">
        <f t="shared" si="7"/>
        <v>77.380947192839898</v>
      </c>
      <c r="T11" s="5">
        <v>0.1</v>
      </c>
      <c r="V11">
        <f>SUM($R$2:R11)</f>
        <v>253.75762227453555</v>
      </c>
      <c r="W11">
        <f t="shared" si="8"/>
        <v>0.53506014058646223</v>
      </c>
      <c r="Z11">
        <f t="shared" si="0"/>
        <v>6.1288988724589242</v>
      </c>
      <c r="AA11" s="5">
        <v>0.3</v>
      </c>
      <c r="AB11">
        <f t="shared" si="1"/>
        <v>257.9364906427997</v>
      </c>
      <c r="AC11">
        <f t="shared" si="10"/>
        <v>382.53051888000005</v>
      </c>
      <c r="AD11" s="5">
        <v>0.2</v>
      </c>
      <c r="AE11">
        <f t="shared" si="2"/>
        <v>76.506103776000018</v>
      </c>
      <c r="AF11">
        <f t="shared" si="3"/>
        <v>1</v>
      </c>
    </row>
    <row r="12" spans="1:32" ht="13.95" x14ac:dyDescent="0.25">
      <c r="A12" s="2">
        <v>11</v>
      </c>
      <c r="B12">
        <f t="shared" si="4"/>
        <v>2.1589249972727869</v>
      </c>
      <c r="C12" s="5">
        <v>0.08</v>
      </c>
      <c r="D12">
        <f t="shared" si="5"/>
        <v>15.242010480745872</v>
      </c>
      <c r="Q12">
        <f t="shared" si="9"/>
        <v>15.242010480745881</v>
      </c>
      <c r="R12">
        <f t="shared" si="6"/>
        <v>47.530028419748987</v>
      </c>
      <c r="S12">
        <f t="shared" si="7"/>
        <v>85.11904191212389</v>
      </c>
      <c r="T12" s="5">
        <v>0.08</v>
      </c>
      <c r="V12">
        <f>SUM($R$2:R12)</f>
        <v>301.28765069428454</v>
      </c>
      <c r="W12" s="13">
        <f t="shared" si="8"/>
        <v>0.6352794895084648</v>
      </c>
      <c r="Z12">
        <f t="shared" si="0"/>
        <v>5.5717262476899307</v>
      </c>
      <c r="AA12" s="5">
        <v>0.3</v>
      </c>
      <c r="AB12">
        <f t="shared" si="1"/>
        <v>283.73013970707967</v>
      </c>
      <c r="AC12">
        <f t="shared" si="10"/>
        <v>405.48235001280005</v>
      </c>
      <c r="AD12" s="5">
        <v>0.2</v>
      </c>
      <c r="AE12">
        <f t="shared" si="2"/>
        <v>81.096470002560011</v>
      </c>
      <c r="AF12" s="1">
        <f t="shared" si="3"/>
        <v>1</v>
      </c>
    </row>
    <row r="13" spans="1:32" ht="13.95" x14ac:dyDescent="0.25">
      <c r="A13" s="2">
        <v>12</v>
      </c>
      <c r="B13">
        <f t="shared" si="4"/>
        <v>2.3316389970546099</v>
      </c>
      <c r="C13" s="5">
        <v>0.08</v>
      </c>
      <c r="D13">
        <f t="shared" si="5"/>
        <v>16.46137131920554</v>
      </c>
      <c r="Q13">
        <f t="shared" si="9"/>
        <v>16.461371319205551</v>
      </c>
      <c r="R13">
        <f t="shared" si="6"/>
        <v>48.426821408800855</v>
      </c>
      <c r="S13">
        <f t="shared" si="7"/>
        <v>91.928565265093809</v>
      </c>
      <c r="T13" s="5">
        <v>0.08</v>
      </c>
      <c r="V13">
        <f>SUM($R$2:R13)</f>
        <v>349.71447210308537</v>
      </c>
      <c r="W13" s="13">
        <f t="shared" si="8"/>
        <v>0.73738976954220337</v>
      </c>
      <c r="Z13">
        <f t="shared" si="0"/>
        <v>5.1590057848980839</v>
      </c>
      <c r="AA13" s="5">
        <v>0.3</v>
      </c>
      <c r="AB13">
        <f t="shared" si="1"/>
        <v>306.42855088364604</v>
      </c>
      <c r="AC13">
        <f t="shared" si="10"/>
        <v>429.81129101356805</v>
      </c>
      <c r="AD13" s="5">
        <v>0.2</v>
      </c>
      <c r="AE13">
        <f t="shared" si="2"/>
        <v>85.962258202713613</v>
      </c>
      <c r="AF13">
        <f t="shared" si="3"/>
        <v>1</v>
      </c>
    </row>
    <row r="14" spans="1:32" ht="13.95" x14ac:dyDescent="0.25">
      <c r="A14" s="2">
        <v>13</v>
      </c>
      <c r="B14">
        <f t="shared" si="4"/>
        <v>2.5181701168189785</v>
      </c>
      <c r="C14" s="5">
        <v>0.08</v>
      </c>
      <c r="D14">
        <f t="shared" si="5"/>
        <v>17.778281024741982</v>
      </c>
      <c r="Q14">
        <f t="shared" si="9"/>
        <v>17.778281024741997</v>
      </c>
      <c r="R14">
        <f t="shared" si="6"/>
        <v>49.34053502028766</v>
      </c>
      <c r="S14">
        <f t="shared" si="7"/>
        <v>99.282850486301314</v>
      </c>
      <c r="T14" s="5">
        <v>0.08</v>
      </c>
      <c r="V14">
        <f>SUM($R$2:R14)</f>
        <v>399.055007123373</v>
      </c>
      <c r="W14" s="13">
        <f t="shared" si="8"/>
        <v>0.84142665863318222</v>
      </c>
      <c r="Z14">
        <f>$W$2/S14</f>
        <v>4.7768572082389662</v>
      </c>
      <c r="AA14" s="5">
        <v>0.3</v>
      </c>
      <c r="AB14">
        <f>S14/AA14</f>
        <v>330.94283495433774</v>
      </c>
      <c r="AC14">
        <f t="shared" si="10"/>
        <v>455.59996847438214</v>
      </c>
      <c r="AD14" s="5">
        <v>0.2</v>
      </c>
      <c r="AE14">
        <f t="shared" si="2"/>
        <v>91.119993694876428</v>
      </c>
      <c r="AF14">
        <f t="shared" si="3"/>
        <v>1</v>
      </c>
    </row>
    <row r="15" spans="1:32" ht="13.95" x14ac:dyDescent="0.25">
      <c r="A15" s="2">
        <v>14</v>
      </c>
      <c r="B15">
        <f t="shared" si="4"/>
        <v>2.7196237261644969</v>
      </c>
      <c r="C15" s="5">
        <v>0.08</v>
      </c>
      <c r="D15">
        <f t="shared" si="5"/>
        <v>19.200543506721342</v>
      </c>
      <c r="Q15">
        <f t="shared" si="9"/>
        <v>19.200543506721356</v>
      </c>
      <c r="R15">
        <f t="shared" si="6"/>
        <v>50.271488511236484</v>
      </c>
      <c r="S15">
        <f t="shared" si="7"/>
        <v>107.22547852520543</v>
      </c>
      <c r="T15" s="5">
        <v>0.08</v>
      </c>
      <c r="V15">
        <f>SUM($R$2:R15)</f>
        <v>449.3264956346095</v>
      </c>
      <c r="W15" s="13">
        <f t="shared" si="8"/>
        <v>0.94742650789568905</v>
      </c>
      <c r="Z15">
        <f t="shared" ref="Z15:Z78" si="11">$W$2/S15</f>
        <v>4.4230159335545975</v>
      </c>
      <c r="AA15" s="5">
        <v>0.3</v>
      </c>
      <c r="AB15">
        <f t="shared" si="1"/>
        <v>357.41826175068479</v>
      </c>
      <c r="AC15">
        <f t="shared" si="10"/>
        <v>482.93596658284508</v>
      </c>
      <c r="AD15" s="5">
        <v>0.2</v>
      </c>
      <c r="AE15">
        <f t="shared" si="2"/>
        <v>96.587193316569028</v>
      </c>
      <c r="AF15">
        <f t="shared" si="3"/>
        <v>1</v>
      </c>
    </row>
    <row r="16" spans="1:32" ht="13.95" x14ac:dyDescent="0.25">
      <c r="A16" s="2">
        <v>15</v>
      </c>
      <c r="B16">
        <f t="shared" si="4"/>
        <v>2.9371936242576568</v>
      </c>
      <c r="C16" s="5">
        <v>0.08</v>
      </c>
      <c r="D16">
        <f t="shared" si="5"/>
        <v>20.736586987259049</v>
      </c>
      <c r="Q16">
        <f t="shared" si="9"/>
        <v>20.73658698725907</v>
      </c>
      <c r="R16">
        <f t="shared" si="6"/>
        <v>51.220007162391894</v>
      </c>
      <c r="S16">
        <f t="shared" si="7"/>
        <v>115.80351680722187</v>
      </c>
      <c r="T16" s="5">
        <v>0.08</v>
      </c>
      <c r="V16">
        <f>SUM($R$2:R16)</f>
        <v>500.54650279700138</v>
      </c>
      <c r="W16">
        <f t="shared" si="8"/>
        <v>1.0554263543140923</v>
      </c>
      <c r="Z16">
        <f t="shared" si="11"/>
        <v>4.0953851236616643</v>
      </c>
      <c r="AA16" s="5">
        <v>0.3</v>
      </c>
      <c r="AB16">
        <f t="shared" si="1"/>
        <v>386.01172269073959</v>
      </c>
      <c r="AC16">
        <f t="shared" si="10"/>
        <v>511.9121245778158</v>
      </c>
      <c r="AD16" s="5">
        <v>0.2</v>
      </c>
      <c r="AE16">
        <f t="shared" si="2"/>
        <v>102.38242491556316</v>
      </c>
      <c r="AF16">
        <f t="shared" si="3"/>
        <v>1</v>
      </c>
    </row>
    <row r="17" spans="1:32" ht="13.95" x14ac:dyDescent="0.25">
      <c r="A17" s="2">
        <v>16</v>
      </c>
      <c r="B17">
        <f t="shared" si="4"/>
        <v>3.1721691141982693</v>
      </c>
      <c r="C17" s="5">
        <v>0.08</v>
      </c>
      <c r="D17">
        <f t="shared" si="5"/>
        <v>22.395513946239774</v>
      </c>
      <c r="Q17">
        <f t="shared" si="9"/>
        <v>22.395513946239795</v>
      </c>
      <c r="R17">
        <f t="shared" si="6"/>
        <v>52.18642239187097</v>
      </c>
      <c r="S17">
        <f t="shared" si="7"/>
        <v>125.06779815179962</v>
      </c>
      <c r="T17" s="5">
        <v>0.08</v>
      </c>
      <c r="V17">
        <f>SUM($R$2:R17)</f>
        <v>552.7329251888724</v>
      </c>
      <c r="W17">
        <f t="shared" si="8"/>
        <v>1.1654639336837862</v>
      </c>
      <c r="Z17">
        <f t="shared" si="11"/>
        <v>3.7920232626496895</v>
      </c>
      <c r="AA17" s="5">
        <v>0.3</v>
      </c>
      <c r="AB17">
        <f t="shared" si="1"/>
        <v>416.89266050599878</v>
      </c>
      <c r="AC17">
        <f t="shared" si="10"/>
        <v>542.62685205248476</v>
      </c>
      <c r="AD17" s="5">
        <v>0.2</v>
      </c>
      <c r="AE17">
        <f t="shared" si="2"/>
        <v>108.52537041049696</v>
      </c>
      <c r="AF17">
        <f t="shared" si="3"/>
        <v>1</v>
      </c>
    </row>
    <row r="18" spans="1:32" ht="13.95" x14ac:dyDescent="0.25">
      <c r="A18" s="2">
        <v>17</v>
      </c>
      <c r="B18">
        <f t="shared" si="4"/>
        <v>3.4259426433341309</v>
      </c>
      <c r="C18" s="5">
        <v>0.08</v>
      </c>
      <c r="D18">
        <f t="shared" si="5"/>
        <v>24.187155061938956</v>
      </c>
      <c r="Q18">
        <f t="shared" si="9"/>
        <v>24.187155061938977</v>
      </c>
      <c r="R18">
        <f t="shared" si="6"/>
        <v>53.171071870962898</v>
      </c>
      <c r="S18">
        <f t="shared" si="7"/>
        <v>135.07322200394361</v>
      </c>
      <c r="T18" s="5">
        <v>0.08</v>
      </c>
      <c r="V18">
        <f>SUM($R$2:R18)</f>
        <v>605.90399705983532</v>
      </c>
      <c r="W18" s="13">
        <f t="shared" si="8"/>
        <v>1.2775776937963044</v>
      </c>
      <c r="Z18">
        <f t="shared" si="11"/>
        <v>3.5111326506015637</v>
      </c>
      <c r="AA18" s="5">
        <v>0.3</v>
      </c>
      <c r="AB18">
        <f t="shared" si="1"/>
        <v>450.24407334647873</v>
      </c>
      <c r="AC18">
        <f t="shared" si="10"/>
        <v>575.18446317563382</v>
      </c>
      <c r="AD18" s="5">
        <v>0.2</v>
      </c>
      <c r="AE18">
        <f t="shared" si="2"/>
        <v>115.03689263512678</v>
      </c>
      <c r="AF18">
        <f t="shared" si="3"/>
        <v>1</v>
      </c>
    </row>
    <row r="19" spans="1:32" ht="13.95" x14ac:dyDescent="0.25">
      <c r="A19" s="2">
        <v>18</v>
      </c>
      <c r="B19">
        <f t="shared" si="4"/>
        <v>3.7000180548008612</v>
      </c>
      <c r="C19" s="5">
        <v>0.08</v>
      </c>
      <c r="D19">
        <f t="shared" si="5"/>
        <v>26.122127466894071</v>
      </c>
      <c r="Q19">
        <f t="shared" si="9"/>
        <v>26.122127466894099</v>
      </c>
      <c r="R19">
        <f t="shared" si="6"/>
        <v>54.174299642113134</v>
      </c>
      <c r="S19">
        <f t="shared" si="7"/>
        <v>145.8790797642591</v>
      </c>
      <c r="T19" s="5">
        <v>0.08</v>
      </c>
      <c r="V19">
        <f>SUM($R$2:R19)</f>
        <v>660.07829670194849</v>
      </c>
      <c r="W19">
        <f t="shared" si="8"/>
        <v>1.3918068078732098</v>
      </c>
      <c r="Z19">
        <f t="shared" si="11"/>
        <v>3.2510487505570032</v>
      </c>
      <c r="AA19" s="5">
        <v>0.3</v>
      </c>
      <c r="AB19">
        <f t="shared" si="1"/>
        <v>486.26359921419703</v>
      </c>
      <c r="AC19">
        <f t="shared" si="10"/>
        <v>609.69553096617187</v>
      </c>
      <c r="AD19" s="5">
        <v>0.2</v>
      </c>
      <c r="AE19">
        <f t="shared" si="2"/>
        <v>121.93910619323438</v>
      </c>
      <c r="AF19">
        <f t="shared" si="3"/>
        <v>1</v>
      </c>
    </row>
    <row r="20" spans="1:32" ht="13.95" x14ac:dyDescent="0.25">
      <c r="A20" s="2">
        <v>19</v>
      </c>
      <c r="B20">
        <f t="shared" si="4"/>
        <v>3.9960194991849303</v>
      </c>
      <c r="C20" s="5">
        <v>0.08</v>
      </c>
      <c r="D20">
        <f t="shared" si="5"/>
        <v>28.211897664245598</v>
      </c>
      <c r="Q20">
        <f t="shared" si="9"/>
        <v>28.21189766424563</v>
      </c>
      <c r="R20">
        <f t="shared" si="6"/>
        <v>55.196456239134143</v>
      </c>
      <c r="S20">
        <f t="shared" si="7"/>
        <v>157.54940614539984</v>
      </c>
      <c r="T20" s="5">
        <v>0.08</v>
      </c>
      <c r="V20">
        <f>SUM($R$2:R20)</f>
        <v>715.27475294108262</v>
      </c>
      <c r="W20">
        <f t="shared" si="8"/>
        <v>1.5081911882534531</v>
      </c>
      <c r="Z20">
        <f t="shared" si="11"/>
        <v>3.0102303245898177</v>
      </c>
      <c r="AA20" s="5">
        <v>0.3</v>
      </c>
      <c r="AB20">
        <f t="shared" si="1"/>
        <v>525.16468715133283</v>
      </c>
      <c r="AC20">
        <f t="shared" si="10"/>
        <v>646.27726282414221</v>
      </c>
      <c r="AD20" s="5">
        <v>0.2</v>
      </c>
      <c r="AE20">
        <f t="shared" si="2"/>
        <v>129.25545256482846</v>
      </c>
      <c r="AF20">
        <f t="shared" si="3"/>
        <v>1</v>
      </c>
    </row>
    <row r="21" spans="1:32" ht="13.95" x14ac:dyDescent="0.25">
      <c r="A21" s="2">
        <v>20</v>
      </c>
      <c r="B21">
        <f t="shared" si="4"/>
        <v>4.3157010591197249</v>
      </c>
      <c r="C21" s="5">
        <v>0.08</v>
      </c>
      <c r="D21">
        <f t="shared" si="5"/>
        <v>30.468849477385245</v>
      </c>
      <c r="Q21">
        <f t="shared" si="9"/>
        <v>30.46884947738528</v>
      </c>
      <c r="R21">
        <f t="shared" si="6"/>
        <v>56.237898809683834</v>
      </c>
      <c r="S21">
        <f t="shared" si="7"/>
        <v>170.15335863703183</v>
      </c>
      <c r="T21" s="5">
        <v>0.08</v>
      </c>
      <c r="V21">
        <f>SUM($R$2:R21)</f>
        <v>771.51265175076651</v>
      </c>
      <c r="W21" s="12">
        <f t="shared" si="8"/>
        <v>1.626771500338984</v>
      </c>
      <c r="Z21">
        <f t="shared" si="11"/>
        <v>2.7872503005461273</v>
      </c>
      <c r="AA21" s="5">
        <v>0.3</v>
      </c>
      <c r="AB21">
        <f t="shared" si="1"/>
        <v>567.17786212343947</v>
      </c>
      <c r="AC21">
        <f t="shared" si="10"/>
        <v>685.05389859359082</v>
      </c>
      <c r="AD21" s="5">
        <v>0.2</v>
      </c>
      <c r="AE21">
        <f t="shared" si="2"/>
        <v>137.01077971871817</v>
      </c>
      <c r="AF21">
        <f t="shared" si="3"/>
        <v>1</v>
      </c>
    </row>
    <row r="22" spans="1:32" ht="13.95" x14ac:dyDescent="0.25">
      <c r="A22" s="2">
        <v>21</v>
      </c>
      <c r="B22">
        <f t="shared" si="4"/>
        <v>4.6609571438493029</v>
      </c>
      <c r="C22" s="5">
        <v>0.08</v>
      </c>
      <c r="D22">
        <f t="shared" si="5"/>
        <v>32.906357435576062</v>
      </c>
      <c r="Q22">
        <f t="shared" si="9"/>
        <v>32.906357435576105</v>
      </c>
      <c r="R22">
        <f t="shared" si="6"/>
        <v>57.298991240055237</v>
      </c>
      <c r="S22">
        <f t="shared" si="7"/>
        <v>183.76562732799439</v>
      </c>
      <c r="T22" s="5">
        <v>0.08</v>
      </c>
      <c r="V22">
        <f>SUM($R$2:R22)</f>
        <v>828.81164299082172</v>
      </c>
      <c r="W22">
        <f t="shared" si="8"/>
        <v>1.747589176803487</v>
      </c>
      <c r="Z22">
        <f t="shared" si="11"/>
        <v>2.5807873153204883</v>
      </c>
      <c r="AA22" s="5">
        <v>0.3</v>
      </c>
      <c r="AB22">
        <f t="shared" si="1"/>
        <v>612.55209109331463</v>
      </c>
      <c r="AC22">
        <f t="shared" si="10"/>
        <v>726.15713250920635</v>
      </c>
      <c r="AD22" s="5">
        <v>0.2</v>
      </c>
      <c r="AE22">
        <f t="shared" si="2"/>
        <v>145.23142650184127</v>
      </c>
      <c r="AF22">
        <f t="shared" si="3"/>
        <v>1</v>
      </c>
    </row>
    <row r="23" spans="1:32" ht="13.95" x14ac:dyDescent="0.25">
      <c r="A23" s="2">
        <v>22</v>
      </c>
      <c r="B23">
        <f t="shared" si="4"/>
        <v>5.0338337153572468</v>
      </c>
      <c r="C23" s="5">
        <v>0.08</v>
      </c>
      <c r="D23">
        <f t="shared" si="5"/>
        <v>35.538866030422149</v>
      </c>
      <c r="Q23">
        <f t="shared" si="9"/>
        <v>35.538866030422191</v>
      </c>
      <c r="R23">
        <f t="shared" si="6"/>
        <v>58.380104282320424</v>
      </c>
      <c r="S23">
        <f t="shared" si="7"/>
        <v>198.46687751423397</v>
      </c>
      <c r="T23" s="5">
        <v>0.08</v>
      </c>
      <c r="V23">
        <f>SUM($R$2:R23)</f>
        <v>887.19174727314214</v>
      </c>
      <c r="W23">
        <f t="shared" si="8"/>
        <v>1.8706864320692072</v>
      </c>
      <c r="Z23">
        <f t="shared" si="11"/>
        <v>2.3896178845560074</v>
      </c>
      <c r="AA23" s="5">
        <v>0.3</v>
      </c>
      <c r="AB23">
        <f t="shared" si="1"/>
        <v>661.55625838077992</v>
      </c>
      <c r="AC23">
        <f t="shared" si="10"/>
        <v>769.72656045975873</v>
      </c>
      <c r="AD23" s="5">
        <v>0.2</v>
      </c>
      <c r="AE23">
        <f t="shared" si="2"/>
        <v>153.94531209195176</v>
      </c>
      <c r="AF23">
        <f t="shared" si="3"/>
        <v>1</v>
      </c>
    </row>
    <row r="24" spans="1:32" ht="13.95" x14ac:dyDescent="0.25">
      <c r="A24" s="2">
        <v>23</v>
      </c>
      <c r="B24">
        <f t="shared" si="4"/>
        <v>5.4365404125858268</v>
      </c>
      <c r="C24" s="5">
        <v>0.08</v>
      </c>
      <c r="D24">
        <f t="shared" si="5"/>
        <v>38.381975312855921</v>
      </c>
      <c r="Q24">
        <f t="shared" si="9"/>
        <v>38.381975312855971</v>
      </c>
      <c r="R24">
        <f t="shared" si="6"/>
        <v>59.481615683873642</v>
      </c>
      <c r="S24">
        <f t="shared" si="7"/>
        <v>214.34422771537271</v>
      </c>
      <c r="T24" s="5">
        <v>0.08</v>
      </c>
      <c r="V24">
        <f>SUM($R$2:R24)</f>
        <v>946.6733629570158</v>
      </c>
      <c r="W24">
        <f t="shared" si="8"/>
        <v>1.996106277056922</v>
      </c>
      <c r="Z24">
        <f t="shared" si="11"/>
        <v>2.2126091523666731</v>
      </c>
      <c r="AA24" s="5">
        <v>0.3</v>
      </c>
      <c r="AB24">
        <f t="shared" si="1"/>
        <v>714.48075905124244</v>
      </c>
      <c r="AC24">
        <f t="shared" si="10"/>
        <v>815.91015408734427</v>
      </c>
      <c r="AD24" s="5">
        <v>0.2</v>
      </c>
      <c r="AE24">
        <f t="shared" si="2"/>
        <v>163.18203081746887</v>
      </c>
      <c r="AF24">
        <f t="shared" si="3"/>
        <v>1</v>
      </c>
    </row>
    <row r="25" spans="1:32" ht="13.95" x14ac:dyDescent="0.25">
      <c r="A25" s="2">
        <v>24</v>
      </c>
      <c r="B25">
        <f t="shared" si="4"/>
        <v>5.8714636455926925</v>
      </c>
      <c r="C25" s="5">
        <v>0.08</v>
      </c>
      <c r="D25">
        <f t="shared" si="5"/>
        <v>41.452533337884397</v>
      </c>
      <c r="Q25">
        <f t="shared" si="9"/>
        <v>41.452533337884454</v>
      </c>
      <c r="R25">
        <f t="shared" si="6"/>
        <v>60.603910319418425</v>
      </c>
      <c r="S25">
        <f t="shared" si="7"/>
        <v>231.49176593260253</v>
      </c>
      <c r="T25" s="5">
        <v>0.08</v>
      </c>
      <c r="V25">
        <f>SUM($R$2:R25)</f>
        <v>1007.2772732764342</v>
      </c>
      <c r="W25">
        <f t="shared" si="8"/>
        <v>2.1238925342142165</v>
      </c>
      <c r="Z25">
        <f t="shared" si="11"/>
        <v>2.0487121781172899</v>
      </c>
      <c r="AA25" s="5">
        <v>0.3</v>
      </c>
      <c r="AB25">
        <f t="shared" si="1"/>
        <v>771.63921977534176</v>
      </c>
      <c r="AC25">
        <f t="shared" si="10"/>
        <v>864.86476333258497</v>
      </c>
      <c r="AD25" s="5">
        <v>0.2</v>
      </c>
      <c r="AE25">
        <f t="shared" si="2"/>
        <v>172.97295266651702</v>
      </c>
      <c r="AF25">
        <f t="shared" si="3"/>
        <v>1</v>
      </c>
    </row>
    <row r="26" spans="1:32" ht="13.95" x14ac:dyDescent="0.25">
      <c r="A26" s="2">
        <v>25</v>
      </c>
      <c r="B26">
        <f t="shared" si="4"/>
        <v>6.3411807372401077</v>
      </c>
      <c r="C26" s="5">
        <v>0.08</v>
      </c>
      <c r="D26">
        <f t="shared" si="5"/>
        <v>44.768736004915148</v>
      </c>
      <c r="Q26">
        <f t="shared" si="9"/>
        <v>44.768736004915205</v>
      </c>
      <c r="R26">
        <f t="shared" si="6"/>
        <v>61.747380325445199</v>
      </c>
      <c r="S26">
        <f t="shared" si="7"/>
        <v>250.01110720721076</v>
      </c>
      <c r="T26" s="5">
        <v>0.08</v>
      </c>
      <c r="V26">
        <f>SUM($R$2:R26)</f>
        <v>1069.0246536018794</v>
      </c>
      <c r="W26">
        <f t="shared" si="8"/>
        <v>2.2540898528273088</v>
      </c>
      <c r="Z26">
        <f t="shared" si="11"/>
        <v>1.896955720478972</v>
      </c>
      <c r="AA26" s="5">
        <v>0.3</v>
      </c>
      <c r="AB26">
        <f t="shared" si="1"/>
        <v>833.37035735736924</v>
      </c>
      <c r="AC26">
        <f t="shared" si="10"/>
        <v>916.75664913254013</v>
      </c>
      <c r="AD26" s="5">
        <v>0.2</v>
      </c>
      <c r="AE26">
        <f t="shared" si="2"/>
        <v>183.35132982650805</v>
      </c>
      <c r="AF26">
        <f t="shared" si="3"/>
        <v>1</v>
      </c>
    </row>
    <row r="27" spans="1:32" ht="13.95" x14ac:dyDescent="0.25">
      <c r="A27" s="2">
        <v>26</v>
      </c>
      <c r="B27">
        <f t="shared" si="4"/>
        <v>6.848475196219316</v>
      </c>
      <c r="C27" s="5">
        <v>0.08</v>
      </c>
      <c r="D27">
        <f t="shared" si="5"/>
        <v>48.35023488530836</v>
      </c>
      <c r="Q27">
        <f t="shared" si="9"/>
        <v>48.350234885308431</v>
      </c>
      <c r="R27">
        <f t="shared" si="6"/>
        <v>62.912425237246062</v>
      </c>
      <c r="S27">
        <f t="shared" si="7"/>
        <v>270.01199578378765</v>
      </c>
      <c r="T27" s="5">
        <v>0.08</v>
      </c>
      <c r="V27">
        <f>SUM($R$2:R27)</f>
        <v>1131.9370788391254</v>
      </c>
      <c r="W27">
        <f t="shared" si="8"/>
        <v>2.38674372462178</v>
      </c>
      <c r="Z27">
        <f t="shared" si="11"/>
        <v>1.7564404819249739</v>
      </c>
      <c r="AA27" s="5">
        <v>0.3</v>
      </c>
      <c r="AB27">
        <f t="shared" si="1"/>
        <v>900.03998594595885</v>
      </c>
      <c r="AC27">
        <f t="shared" si="10"/>
        <v>971.7620480804926</v>
      </c>
      <c r="AD27" s="5">
        <v>0.2</v>
      </c>
      <c r="AE27">
        <f t="shared" si="2"/>
        <v>194.35240961609853</v>
      </c>
      <c r="AF27">
        <f t="shared" si="3"/>
        <v>1</v>
      </c>
    </row>
    <row r="28" spans="1:32" ht="13.95" x14ac:dyDescent="0.25">
      <c r="A28" s="2">
        <v>27</v>
      </c>
      <c r="B28">
        <f t="shared" si="4"/>
        <v>7.3963532119168613</v>
      </c>
      <c r="C28" s="5">
        <v>0.08</v>
      </c>
      <c r="D28">
        <f t="shared" si="5"/>
        <v>52.218253676133031</v>
      </c>
      <c r="Q28">
        <f t="shared" si="9"/>
        <v>52.218253676133102</v>
      </c>
      <c r="R28">
        <f t="shared" si="6"/>
        <v>64.099452128514855</v>
      </c>
      <c r="S28">
        <f t="shared" si="7"/>
        <v>291.61295544649067</v>
      </c>
      <c r="T28" s="5">
        <v>0.08</v>
      </c>
      <c r="V28">
        <f>SUM($R$2:R28)</f>
        <v>1196.0365309676404</v>
      </c>
      <c r="W28">
        <f t="shared" si="8"/>
        <v>2.5219004996576571</v>
      </c>
      <c r="Z28">
        <f t="shared" si="11"/>
        <v>1.6263337795601609</v>
      </c>
      <c r="AA28" s="5">
        <v>0.3</v>
      </c>
      <c r="AB28">
        <f t="shared" si="1"/>
        <v>972.04318482163558</v>
      </c>
      <c r="AC28">
        <f t="shared" si="10"/>
        <v>1030.0677709653223</v>
      </c>
      <c r="AD28" s="5">
        <v>0.2</v>
      </c>
      <c r="AE28">
        <f t="shared" si="2"/>
        <v>206.01355419306446</v>
      </c>
      <c r="AF28">
        <f t="shared" si="3"/>
        <v>1</v>
      </c>
    </row>
    <row r="29" spans="1:32" ht="13.95" x14ac:dyDescent="0.25">
      <c r="A29" s="2">
        <v>28</v>
      </c>
      <c r="B29">
        <f t="shared" si="4"/>
        <v>7.9880614688702103</v>
      </c>
      <c r="C29" s="5">
        <v>0.08</v>
      </c>
      <c r="D29">
        <f t="shared" si="5"/>
        <v>56.395713970223674</v>
      </c>
      <c r="Q29">
        <f t="shared" si="9"/>
        <v>56.395713970223753</v>
      </c>
      <c r="R29">
        <f t="shared" si="6"/>
        <v>65.308875753581162</v>
      </c>
      <c r="S29">
        <f t="shared" si="7"/>
        <v>314.94199188220995</v>
      </c>
      <c r="T29" s="5">
        <v>0.08</v>
      </c>
      <c r="V29">
        <f>SUM($R$2:R29)</f>
        <v>1261.3454067212215</v>
      </c>
      <c r="W29">
        <f t="shared" si="8"/>
        <v>2.659607402524399</v>
      </c>
      <c r="Z29">
        <f t="shared" si="11"/>
        <v>1.5058646107038527</v>
      </c>
      <c r="AA29" s="5">
        <v>0.3</v>
      </c>
      <c r="AB29">
        <f t="shared" si="1"/>
        <v>1049.8066396073666</v>
      </c>
      <c r="AC29">
        <f t="shared" si="10"/>
        <v>1091.8718372232418</v>
      </c>
      <c r="AD29" s="5">
        <v>0.2</v>
      </c>
      <c r="AE29">
        <f t="shared" si="2"/>
        <v>218.37436744464836</v>
      </c>
      <c r="AF29">
        <f t="shared" si="3"/>
        <v>1</v>
      </c>
    </row>
    <row r="30" spans="1:32" ht="13.95" x14ac:dyDescent="0.25">
      <c r="A30" s="2">
        <v>29</v>
      </c>
      <c r="B30">
        <f t="shared" si="4"/>
        <v>8.6271063863798272</v>
      </c>
      <c r="C30" s="5">
        <v>0.08</v>
      </c>
      <c r="D30">
        <f t="shared" si="5"/>
        <v>60.907371087841568</v>
      </c>
      <c r="Q30">
        <f t="shared" si="9"/>
        <v>60.907371087841653</v>
      </c>
      <c r="R30">
        <f t="shared" si="6"/>
        <v>66.541118692327984</v>
      </c>
      <c r="S30">
        <f t="shared" si="7"/>
        <v>340.13735123278678</v>
      </c>
      <c r="T30" s="5">
        <v>0.08</v>
      </c>
      <c r="V30">
        <f>SUM($R$2:R30)</f>
        <v>1327.8865254135494</v>
      </c>
      <c r="W30">
        <f t="shared" si="8"/>
        <v>2.7999125488414571</v>
      </c>
      <c r="Z30">
        <f t="shared" si="11"/>
        <v>1.3943190839850486</v>
      </c>
      <c r="AA30" s="5">
        <v>0.3</v>
      </c>
      <c r="AB30">
        <f t="shared" si="1"/>
        <v>1133.7911707759561</v>
      </c>
      <c r="AC30">
        <f t="shared" si="10"/>
        <v>1157.3841474566364</v>
      </c>
      <c r="AD30" s="5">
        <v>0.2</v>
      </c>
      <c r="AE30">
        <f t="shared" si="2"/>
        <v>231.47682949132729</v>
      </c>
      <c r="AF30">
        <f t="shared" si="3"/>
        <v>1</v>
      </c>
    </row>
    <row r="31" spans="1:32" x14ac:dyDescent="0.25">
      <c r="A31" s="2">
        <v>30</v>
      </c>
      <c r="B31">
        <f t="shared" si="4"/>
        <v>9.3172748972902131</v>
      </c>
      <c r="C31" s="5">
        <v>0.08</v>
      </c>
      <c r="D31">
        <f t="shared" si="5"/>
        <v>65.779960774868897</v>
      </c>
      <c r="Q31">
        <f t="shared" si="9"/>
        <v>65.779960774868982</v>
      </c>
      <c r="R31">
        <f t="shared" si="6"/>
        <v>67.796611497843614</v>
      </c>
      <c r="S31">
        <f t="shared" si="7"/>
        <v>367.34833933140976</v>
      </c>
      <c r="T31" s="5">
        <v>0.08</v>
      </c>
      <c r="V31">
        <f>SUM($R$2:R31)</f>
        <v>1395.6831369113929</v>
      </c>
      <c r="W31">
        <f t="shared" si="8"/>
        <v>2.9428649620701575</v>
      </c>
      <c r="Z31">
        <f t="shared" si="11"/>
        <v>1.2910361888750448</v>
      </c>
      <c r="AA31" s="5">
        <v>0.3</v>
      </c>
      <c r="AB31">
        <f t="shared" si="1"/>
        <v>1224.4944644380325</v>
      </c>
      <c r="AC31">
        <f t="shared" si="10"/>
        <v>1226.8271963040345</v>
      </c>
      <c r="AD31" s="5">
        <v>0.2</v>
      </c>
      <c r="AE31">
        <f t="shared" si="2"/>
        <v>245.36543926080691</v>
      </c>
      <c r="AF31">
        <f t="shared" si="3"/>
        <v>1</v>
      </c>
    </row>
    <row r="32" spans="1:32" x14ac:dyDescent="0.25">
      <c r="A32" s="2">
        <v>31</v>
      </c>
      <c r="B32">
        <f t="shared" si="4"/>
        <v>10.06265688907343</v>
      </c>
      <c r="C32" s="5">
        <v>0.08</v>
      </c>
      <c r="D32">
        <f t="shared" si="5"/>
        <v>71.042357636858412</v>
      </c>
      <c r="Q32">
        <f t="shared" si="9"/>
        <v>71.042357636858512</v>
      </c>
      <c r="R32">
        <f t="shared" si="6"/>
        <v>69.075792846859528</v>
      </c>
      <c r="S32">
        <f t="shared" si="7"/>
        <v>396.73620647792256</v>
      </c>
      <c r="T32" s="5">
        <v>0.08</v>
      </c>
      <c r="V32">
        <f>SUM($R$2:R32)</f>
        <v>1464.7589297582524</v>
      </c>
      <c r="W32">
        <f t="shared" si="8"/>
        <v>3.088514590642796</v>
      </c>
      <c r="Z32">
        <f t="shared" si="11"/>
        <v>1.1954038785880043</v>
      </c>
      <c r="AA32" s="5">
        <v>0.3</v>
      </c>
      <c r="AB32">
        <f t="shared" si="1"/>
        <v>1322.4540215930754</v>
      </c>
      <c r="AC32">
        <f t="shared" si="10"/>
        <v>1300.4368280822766</v>
      </c>
      <c r="AD32" s="5">
        <v>0.2</v>
      </c>
      <c r="AE32">
        <f t="shared" si="2"/>
        <v>260.08736561645532</v>
      </c>
      <c r="AF32">
        <f t="shared" si="3"/>
        <v>1</v>
      </c>
    </row>
    <row r="33" spans="1:32" x14ac:dyDescent="0.25">
      <c r="A33" s="2">
        <v>32</v>
      </c>
      <c r="B33">
        <f t="shared" si="4"/>
        <v>10.867669440199306</v>
      </c>
      <c r="C33" s="5">
        <v>0.08</v>
      </c>
      <c r="D33">
        <f t="shared" si="5"/>
        <v>76.725746247807081</v>
      </c>
      <c r="Q33">
        <f t="shared" si="9"/>
        <v>76.725746247807209</v>
      </c>
      <c r="R33">
        <f t="shared" si="6"/>
        <v>70.379109693026678</v>
      </c>
      <c r="S33">
        <f t="shared" si="7"/>
        <v>428.47510299615641</v>
      </c>
      <c r="T33" s="5">
        <v>0.08</v>
      </c>
      <c r="V33">
        <f>SUM($R$2:R33)</f>
        <v>1535.1380394512792</v>
      </c>
      <c r="W33">
        <f t="shared" si="8"/>
        <v>3.2369123254149184</v>
      </c>
      <c r="Z33">
        <f t="shared" si="11"/>
        <v>1.106855443137041</v>
      </c>
      <c r="AA33" s="5">
        <v>0.3</v>
      </c>
      <c r="AB33">
        <f t="shared" si="1"/>
        <v>1428.2503433205213</v>
      </c>
      <c r="AC33">
        <f t="shared" si="10"/>
        <v>1378.4630377672133</v>
      </c>
      <c r="AD33" s="5">
        <v>0.2</v>
      </c>
      <c r="AE33">
        <f t="shared" si="2"/>
        <v>275.69260755344266</v>
      </c>
      <c r="AF33">
        <f t="shared" si="3"/>
        <v>1</v>
      </c>
    </row>
    <row r="34" spans="1:32" x14ac:dyDescent="0.25">
      <c r="A34" s="2">
        <v>33</v>
      </c>
      <c r="B34">
        <f t="shared" si="4"/>
        <v>11.73708299541525</v>
      </c>
      <c r="C34" s="5">
        <v>0.08</v>
      </c>
      <c r="D34">
        <f t="shared" si="5"/>
        <v>82.863805947631647</v>
      </c>
      <c r="Q34">
        <f t="shared" si="9"/>
        <v>82.863805947631789</v>
      </c>
      <c r="R34">
        <f t="shared" si="6"/>
        <v>71.707017423083812</v>
      </c>
      <c r="S34">
        <f t="shared" si="7"/>
        <v>462.75311123584896</v>
      </c>
      <c r="T34" s="5">
        <v>0.08</v>
      </c>
      <c r="V34">
        <f>SUM($R$2:R34)</f>
        <v>1606.8450568743629</v>
      </c>
      <c r="W34">
        <f t="shared" si="8"/>
        <v>3.3881100174468917</v>
      </c>
      <c r="Z34">
        <f t="shared" si="11"/>
        <v>1.0248661510528156</v>
      </c>
      <c r="AA34" s="5">
        <v>0.3</v>
      </c>
      <c r="AB34">
        <f t="shared" si="1"/>
        <v>1542.5103707861633</v>
      </c>
      <c r="AC34">
        <f t="shared" si="10"/>
        <v>1461.1708200332462</v>
      </c>
      <c r="AD34" s="5">
        <v>0.2</v>
      </c>
      <c r="AE34">
        <f t="shared" si="2"/>
        <v>292.23416400664922</v>
      </c>
      <c r="AF34">
        <f t="shared" si="3"/>
        <v>1</v>
      </c>
    </row>
    <row r="35" spans="1:32" x14ac:dyDescent="0.25">
      <c r="A35" s="2">
        <v>34</v>
      </c>
      <c r="B35">
        <f t="shared" si="4"/>
        <v>12.67604963504847</v>
      </c>
      <c r="C35" s="5">
        <v>0.08</v>
      </c>
      <c r="D35">
        <f t="shared" si="5"/>
        <v>89.492910423442183</v>
      </c>
      <c r="Q35">
        <f t="shared" si="9"/>
        <v>89.492910423442325</v>
      </c>
      <c r="R35">
        <f t="shared" si="6"/>
        <v>73.059980015972187</v>
      </c>
      <c r="S35">
        <f t="shared" si="7"/>
        <v>499.77336013471694</v>
      </c>
      <c r="T35" s="5">
        <v>0.08</v>
      </c>
      <c r="V35">
        <f>SUM($R$2:R35)</f>
        <v>1679.9050368903349</v>
      </c>
      <c r="W35">
        <f t="shared" si="8"/>
        <v>3.5421604961209781</v>
      </c>
      <c r="Z35">
        <f t="shared" si="11"/>
        <v>0.94895013986371812</v>
      </c>
      <c r="AA35" s="5">
        <v>0.3</v>
      </c>
      <c r="AB35">
        <f t="shared" si="1"/>
        <v>1665.9112004490564</v>
      </c>
      <c r="AC35">
        <f t="shared" si="10"/>
        <v>1548.8410692352411</v>
      </c>
      <c r="AD35" s="5">
        <v>0.2</v>
      </c>
      <c r="AE35">
        <f t="shared" si="2"/>
        <v>309.76821384704823</v>
      </c>
      <c r="AF35">
        <f t="shared" si="3"/>
        <v>1</v>
      </c>
    </row>
    <row r="36" spans="1:32" x14ac:dyDescent="0.25">
      <c r="A36" s="2">
        <v>35</v>
      </c>
      <c r="B36">
        <f t="shared" si="4"/>
        <v>13.690133605852347</v>
      </c>
      <c r="C36" s="5">
        <v>0.08</v>
      </c>
      <c r="D36">
        <f t="shared" si="5"/>
        <v>96.652343257317554</v>
      </c>
      <c r="Q36">
        <f t="shared" si="9"/>
        <v>96.65234325731771</v>
      </c>
      <c r="R36">
        <f t="shared" si="6"/>
        <v>74.438470204952793</v>
      </c>
      <c r="S36">
        <f t="shared" si="7"/>
        <v>539.75522894549431</v>
      </c>
      <c r="T36" s="5">
        <v>0.08</v>
      </c>
      <c r="V36">
        <f>SUM($R$2:R36)</f>
        <v>1754.3435070952878</v>
      </c>
      <c r="W36">
        <f t="shared" si="8"/>
        <v>3.6991175876002358</v>
      </c>
      <c r="Z36">
        <f t="shared" si="11"/>
        <v>0.87865753691085002</v>
      </c>
      <c r="AA36" s="5">
        <v>0.3</v>
      </c>
      <c r="AB36">
        <f t="shared" si="1"/>
        <v>1799.1840964849812</v>
      </c>
      <c r="AC36">
        <f t="shared" si="10"/>
        <v>1641.7715333893557</v>
      </c>
      <c r="AD36" s="5">
        <v>0.2</v>
      </c>
      <c r="AE36">
        <f t="shared" si="2"/>
        <v>328.35430667787114</v>
      </c>
      <c r="AF36">
        <f t="shared" si="3"/>
        <v>1</v>
      </c>
    </row>
    <row r="37" spans="1:32" x14ac:dyDescent="0.25">
      <c r="A37" s="2">
        <v>36</v>
      </c>
      <c r="B37">
        <f t="shared" si="4"/>
        <v>14.785344294320534</v>
      </c>
      <c r="C37" s="5">
        <v>0.08</v>
      </c>
      <c r="D37">
        <f t="shared" si="5"/>
        <v>104.38453071790296</v>
      </c>
      <c r="Q37">
        <f t="shared" si="9"/>
        <v>104.38453071790315</v>
      </c>
      <c r="R37">
        <f t="shared" si="6"/>
        <v>75.84296964278208</v>
      </c>
      <c r="S37">
        <f t="shared" si="7"/>
        <v>582.93564726113391</v>
      </c>
      <c r="T37" s="5">
        <v>0.08</v>
      </c>
      <c r="V37">
        <f>SUM($R$2:R37)</f>
        <v>1830.1864767380698</v>
      </c>
      <c r="W37">
        <f t="shared" si="8"/>
        <v>3.8590361336357057</v>
      </c>
      <c r="Z37">
        <f t="shared" si="11"/>
        <v>0.81357179343597219</v>
      </c>
      <c r="AA37" s="5">
        <v>0.3</v>
      </c>
      <c r="AB37">
        <f t="shared" si="1"/>
        <v>1943.1188242037797</v>
      </c>
      <c r="AC37">
        <f t="shared" si="10"/>
        <v>1740.2778253927172</v>
      </c>
      <c r="AD37" s="5">
        <v>0.2</v>
      </c>
      <c r="AE37">
        <f t="shared" si="2"/>
        <v>348.05556507854345</v>
      </c>
      <c r="AF37">
        <f t="shared" si="3"/>
        <v>1</v>
      </c>
    </row>
    <row r="38" spans="1:32" x14ac:dyDescent="0.25">
      <c r="A38" s="2">
        <v>37</v>
      </c>
      <c r="B38">
        <f t="shared" si="4"/>
        <v>15.968171837866176</v>
      </c>
      <c r="C38" s="5">
        <v>0.08</v>
      </c>
      <c r="D38">
        <f t="shared" si="5"/>
        <v>112.7352931753352</v>
      </c>
      <c r="Q38">
        <f t="shared" si="9"/>
        <v>112.73529317533541</v>
      </c>
      <c r="R38">
        <f t="shared" si="6"/>
        <v>77.273969070004384</v>
      </c>
      <c r="S38">
        <f t="shared" si="7"/>
        <v>629.57049904202461</v>
      </c>
      <c r="T38" s="5">
        <v>0.08</v>
      </c>
      <c r="V38">
        <f>SUM($R$2:R38)</f>
        <v>1907.4604458080742</v>
      </c>
      <c r="W38" s="13">
        <f t="shared" si="8"/>
        <v>4.0219720107284491</v>
      </c>
      <c r="Z38">
        <f t="shared" si="11"/>
        <v>0.75330721614441876</v>
      </c>
      <c r="AA38" s="5">
        <v>0.3</v>
      </c>
      <c r="AB38">
        <f t="shared" si="1"/>
        <v>2098.5683301400823</v>
      </c>
      <c r="AC38">
        <f t="shared" si="10"/>
        <v>1844.6944949162803</v>
      </c>
      <c r="AD38" s="5">
        <v>0.2</v>
      </c>
      <c r="AE38">
        <f t="shared" si="2"/>
        <v>368.93889898325608</v>
      </c>
      <c r="AF38">
        <f t="shared" si="3"/>
        <v>1</v>
      </c>
    </row>
    <row r="39" spans="1:32" x14ac:dyDescent="0.25">
      <c r="A39" s="2">
        <v>38</v>
      </c>
      <c r="B39">
        <f t="shared" si="4"/>
        <v>17.245625584895471</v>
      </c>
      <c r="C39" s="5">
        <v>0.08</v>
      </c>
      <c r="D39">
        <f t="shared" si="5"/>
        <v>121.75411662936202</v>
      </c>
      <c r="Q39">
        <f t="shared" si="9"/>
        <v>121.75411662936224</v>
      </c>
      <c r="R39">
        <f t="shared" si="6"/>
        <v>78.731968486419561</v>
      </c>
      <c r="S39">
        <f t="shared" si="7"/>
        <v>679.93613896538659</v>
      </c>
      <c r="T39" s="5">
        <v>0.08</v>
      </c>
      <c r="V39">
        <f>SUM($R$2:R39)</f>
        <v>1986.1924142944938</v>
      </c>
      <c r="W39">
        <f t="shared" si="8"/>
        <v>4.1879821496531306</v>
      </c>
      <c r="Z39">
        <f t="shared" si="11"/>
        <v>0.69750668161520246</v>
      </c>
      <c r="AA39" s="5">
        <v>0.3</v>
      </c>
      <c r="AB39">
        <f t="shared" si="1"/>
        <v>2266.4537965512886</v>
      </c>
      <c r="AC39">
        <f t="shared" si="10"/>
        <v>1955.3761646112573</v>
      </c>
      <c r="AD39" s="5">
        <v>0.2</v>
      </c>
      <c r="AE39">
        <f t="shared" si="2"/>
        <v>391.07523292225147</v>
      </c>
      <c r="AF39">
        <f t="shared" si="3"/>
        <v>1</v>
      </c>
    </row>
    <row r="40" spans="1:32" x14ac:dyDescent="0.25">
      <c r="A40" s="2">
        <v>39</v>
      </c>
      <c r="B40">
        <f t="shared" si="4"/>
        <v>18.62527563168711</v>
      </c>
      <c r="C40" s="5">
        <v>0.08</v>
      </c>
      <c r="D40">
        <f t="shared" si="5"/>
        <v>131.49444595971099</v>
      </c>
      <c r="Q40">
        <f t="shared" si="9"/>
        <v>131.49444595971124</v>
      </c>
      <c r="R40">
        <f t="shared" si="6"/>
        <v>80.21747732578595</v>
      </c>
      <c r="S40">
        <f t="shared" si="7"/>
        <v>734.33103008261753</v>
      </c>
      <c r="T40" s="5">
        <v>0.08</v>
      </c>
      <c r="V40">
        <f>SUM($R$2:R40)</f>
        <v>2066.4098916202797</v>
      </c>
      <c r="W40">
        <f t="shared" si="8"/>
        <v>4.3571245553499764</v>
      </c>
      <c r="Z40">
        <f t="shared" si="11"/>
        <v>0.64583952001407641</v>
      </c>
      <c r="AA40" s="5">
        <v>0.3</v>
      </c>
      <c r="AB40">
        <f t="shared" si="1"/>
        <v>2447.770100275392</v>
      </c>
      <c r="AC40">
        <f t="shared" si="10"/>
        <v>2072.6987344879331</v>
      </c>
      <c r="AD40" s="5">
        <v>0.2</v>
      </c>
      <c r="AE40">
        <f t="shared" si="2"/>
        <v>414.53974689758661</v>
      </c>
      <c r="AF40">
        <f t="shared" si="3"/>
        <v>1</v>
      </c>
    </row>
    <row r="41" spans="1:32" x14ac:dyDescent="0.25">
      <c r="A41" s="2">
        <v>40</v>
      </c>
      <c r="B41">
        <f t="shared" si="4"/>
        <v>20.115297682222078</v>
      </c>
      <c r="C41" s="5">
        <v>0.08</v>
      </c>
      <c r="D41">
        <f t="shared" si="5"/>
        <v>142.01400163648788</v>
      </c>
      <c r="Q41">
        <f t="shared" si="9"/>
        <v>142.01400163648813</v>
      </c>
      <c r="R41">
        <f t="shared" si="6"/>
        <v>81.73101463381964</v>
      </c>
      <c r="S41">
        <f t="shared" si="7"/>
        <v>793.07751248922693</v>
      </c>
      <c r="T41" s="5">
        <v>0.08</v>
      </c>
      <c r="V41">
        <f>SUM($R$2:R41)</f>
        <v>2148.1409062540993</v>
      </c>
      <c r="W41">
        <f t="shared" si="8"/>
        <v>4.529458327192045</v>
      </c>
      <c r="Z41">
        <f t="shared" si="11"/>
        <v>0.59799955556858919</v>
      </c>
      <c r="AA41" s="5">
        <v>0.3</v>
      </c>
      <c r="AB41">
        <f t="shared" si="1"/>
        <v>2643.5917082974233</v>
      </c>
      <c r="AC41">
        <f t="shared" si="10"/>
        <v>2197.0606585572091</v>
      </c>
      <c r="AD41" s="5">
        <v>0.2</v>
      </c>
      <c r="AE41">
        <f t="shared" si="2"/>
        <v>439.41213171144182</v>
      </c>
      <c r="AF41">
        <f t="shared" si="3"/>
        <v>1</v>
      </c>
    </row>
    <row r="42" spans="1:32" x14ac:dyDescent="0.25">
      <c r="A42" s="2">
        <v>41</v>
      </c>
      <c r="B42">
        <f t="shared" si="4"/>
        <v>21.724521496799845</v>
      </c>
      <c r="C42" s="5">
        <v>0.08</v>
      </c>
      <c r="D42">
        <f t="shared" si="5"/>
        <v>153.37512176740691</v>
      </c>
      <c r="Q42">
        <f t="shared" si="9"/>
        <v>153.37512176740719</v>
      </c>
      <c r="R42">
        <f t="shared" si="6"/>
        <v>83.273109249552107</v>
      </c>
      <c r="S42">
        <f t="shared" si="7"/>
        <v>856.52371348836516</v>
      </c>
      <c r="T42" s="5">
        <v>0.08</v>
      </c>
      <c r="V42" s="1">
        <f>SUM($R$2:R42)</f>
        <v>2231.4140155036512</v>
      </c>
      <c r="W42">
        <f t="shared" si="8"/>
        <v>4.7050436796349073</v>
      </c>
      <c r="Z42">
        <f t="shared" si="11"/>
        <v>0.55370329219313819</v>
      </c>
      <c r="AA42" s="5">
        <v>0.3</v>
      </c>
      <c r="AB42">
        <f t="shared" si="1"/>
        <v>2855.0790449612173</v>
      </c>
      <c r="AC42">
        <f t="shared" si="10"/>
        <v>2328.8842980706418</v>
      </c>
      <c r="AD42" s="5">
        <v>0.2</v>
      </c>
      <c r="AE42">
        <f t="shared" si="2"/>
        <v>465.7768596141284</v>
      </c>
      <c r="AF42">
        <f t="shared" si="3"/>
        <v>1</v>
      </c>
    </row>
    <row r="43" spans="1:32" x14ac:dyDescent="0.25">
      <c r="A43" s="2">
        <v>42</v>
      </c>
      <c r="B43">
        <f t="shared" si="4"/>
        <v>23.462483216543834</v>
      </c>
      <c r="C43" s="5">
        <v>0.08</v>
      </c>
      <c r="D43">
        <f t="shared" si="5"/>
        <v>165.64513150879947</v>
      </c>
      <c r="Q43">
        <f t="shared" si="9"/>
        <v>165.64513150879978</v>
      </c>
      <c r="R43">
        <f t="shared" si="6"/>
        <v>84.844299990109704</v>
      </c>
      <c r="S43">
        <f t="shared" si="7"/>
        <v>925.04561056743444</v>
      </c>
      <c r="T43" s="5">
        <v>0.08</v>
      </c>
      <c r="V43">
        <f>SUM($R$2:R43)</f>
        <v>2316.2583154937611</v>
      </c>
      <c r="W43">
        <f t="shared" si="8"/>
        <v>4.8839419632559382</v>
      </c>
      <c r="Z43">
        <f t="shared" si="11"/>
        <v>0.51268823351216486</v>
      </c>
      <c r="AA43" s="5">
        <v>0.3</v>
      </c>
      <c r="AB43">
        <f t="shared" si="1"/>
        <v>3083.4853685581147</v>
      </c>
      <c r="AC43">
        <f t="shared" si="10"/>
        <v>2468.6173559548802</v>
      </c>
      <c r="AD43" s="5">
        <v>0.2</v>
      </c>
      <c r="AE43">
        <f t="shared" si="2"/>
        <v>493.72347119097606</v>
      </c>
      <c r="AF43">
        <f t="shared" si="3"/>
        <v>1</v>
      </c>
    </row>
    <row r="44" spans="1:32" x14ac:dyDescent="0.25">
      <c r="A44" s="2">
        <v>43</v>
      </c>
      <c r="B44">
        <f t="shared" si="4"/>
        <v>25.339481873867342</v>
      </c>
      <c r="C44" s="5">
        <v>0.08</v>
      </c>
      <c r="D44">
        <f t="shared" si="5"/>
        <v>178.89674202950343</v>
      </c>
      <c r="Q44">
        <f t="shared" si="9"/>
        <v>178.89674202950374</v>
      </c>
      <c r="R44">
        <f t="shared" si="6"/>
        <v>86.445135838979681</v>
      </c>
      <c r="S44">
        <f t="shared" si="7"/>
        <v>999.0492594128292</v>
      </c>
      <c r="T44" s="5">
        <v>0.08</v>
      </c>
      <c r="V44">
        <f>SUM($R$2:R44)</f>
        <v>2402.7034513327408</v>
      </c>
      <c r="W44">
        <f t="shared" si="8"/>
        <v>5.0662156861905725</v>
      </c>
      <c r="Z44">
        <f t="shared" si="11"/>
        <v>0.47471132732607862</v>
      </c>
      <c r="AA44" s="5">
        <v>0.3</v>
      </c>
      <c r="AB44">
        <f t="shared" si="1"/>
        <v>3330.1641980427639</v>
      </c>
      <c r="AC44">
        <f t="shared" si="10"/>
        <v>2616.7343973121733</v>
      </c>
      <c r="AD44" s="5">
        <v>0.2</v>
      </c>
      <c r="AE44">
        <f t="shared" si="2"/>
        <v>523.34687946243469</v>
      </c>
      <c r="AF44">
        <f t="shared" si="3"/>
        <v>1</v>
      </c>
    </row>
    <row r="45" spans="1:32" x14ac:dyDescent="0.25">
      <c r="A45" s="2">
        <v>44</v>
      </c>
      <c r="B45">
        <f t="shared" si="4"/>
        <v>27.36664042377673</v>
      </c>
      <c r="C45" s="5">
        <v>0.08</v>
      </c>
      <c r="D45">
        <f t="shared" si="5"/>
        <v>193.2084813918637</v>
      </c>
      <c r="Q45">
        <f t="shared" si="9"/>
        <v>193.20848139186404</v>
      </c>
      <c r="R45">
        <f t="shared" si="6"/>
        <v>88.076176137828355</v>
      </c>
      <c r="S45">
        <f t="shared" si="7"/>
        <v>1078.9732001658556</v>
      </c>
      <c r="T45" s="5">
        <v>0.08</v>
      </c>
      <c r="V45">
        <f>SUM($R$2:R45)</f>
        <v>2490.7796274705693</v>
      </c>
      <c r="W45">
        <f t="shared" si="8"/>
        <v>5.2519285359730299</v>
      </c>
      <c r="Z45">
        <f t="shared" si="11"/>
        <v>0.43954752530192465</v>
      </c>
      <c r="AA45" s="5">
        <v>0.3</v>
      </c>
      <c r="AB45">
        <f t="shared" si="1"/>
        <v>3596.5773338861854</v>
      </c>
      <c r="AC45">
        <f t="shared" si="10"/>
        <v>2773.7384611509037</v>
      </c>
      <c r="AD45" s="5">
        <v>0.2</v>
      </c>
      <c r="AE45">
        <f t="shared" si="2"/>
        <v>554.74769223018075</v>
      </c>
      <c r="AF45">
        <f t="shared" si="3"/>
        <v>1</v>
      </c>
    </row>
    <row r="46" spans="1:32" x14ac:dyDescent="0.25">
      <c r="A46" s="2">
        <v>45</v>
      </c>
      <c r="B46">
        <f t="shared" si="4"/>
        <v>29.555971657678867</v>
      </c>
      <c r="C46" s="5">
        <v>0.08</v>
      </c>
      <c r="D46">
        <f t="shared" si="5"/>
        <v>208.66515990321278</v>
      </c>
      <c r="Q46">
        <f t="shared" si="9"/>
        <v>208.66515990321321</v>
      </c>
      <c r="R46">
        <f t="shared" si="6"/>
        <v>89.737990781938322</v>
      </c>
      <c r="S46">
        <f t="shared" si="7"/>
        <v>1165.2910561791241</v>
      </c>
      <c r="T46" s="5">
        <v>0.08</v>
      </c>
      <c r="V46">
        <f>SUM($R$2:R46)</f>
        <v>2580.5176182525074</v>
      </c>
      <c r="W46">
        <f t="shared" si="8"/>
        <v>5.441145401789119</v>
      </c>
      <c r="Z46">
        <f t="shared" si="11"/>
        <v>0.40698844935363387</v>
      </c>
      <c r="AA46" s="5">
        <v>0.3</v>
      </c>
      <c r="AB46">
        <f t="shared" si="1"/>
        <v>3884.3035205970805</v>
      </c>
      <c r="AC46">
        <f t="shared" si="10"/>
        <v>2940.1627688199583</v>
      </c>
      <c r="AD46" s="5">
        <v>0.2</v>
      </c>
      <c r="AE46">
        <f t="shared" si="2"/>
        <v>588.0325537639917</v>
      </c>
      <c r="AF46">
        <f t="shared" si="3"/>
        <v>1</v>
      </c>
    </row>
    <row r="47" spans="1:32" x14ac:dyDescent="0.25">
      <c r="A47" s="2">
        <v>46</v>
      </c>
      <c r="B47">
        <f t="shared" si="4"/>
        <v>31.920449390293179</v>
      </c>
      <c r="C47" s="5">
        <v>0.08</v>
      </c>
      <c r="D47">
        <f t="shared" si="5"/>
        <v>225.3583726954698</v>
      </c>
      <c r="Q47">
        <f t="shared" si="9"/>
        <v>225.35837269547025</v>
      </c>
      <c r="R47">
        <f t="shared" si="6"/>
        <v>91.431160419333395</v>
      </c>
      <c r="S47">
        <f t="shared" si="7"/>
        <v>1258.5143406734542</v>
      </c>
      <c r="T47" s="5">
        <v>0.08</v>
      </c>
      <c r="V47">
        <f>SUM($R$2:R47)</f>
        <v>2671.948778671841</v>
      </c>
      <c r="W47">
        <f t="shared" si="8"/>
        <v>5.6339323971489081</v>
      </c>
      <c r="Z47">
        <f t="shared" si="11"/>
        <v>0.37684115680892022</v>
      </c>
      <c r="AA47" s="5">
        <v>0.3</v>
      </c>
      <c r="AB47">
        <f t="shared" si="1"/>
        <v>4195.0478022448478</v>
      </c>
      <c r="AC47">
        <f t="shared" si="10"/>
        <v>3116.5725349491559</v>
      </c>
      <c r="AD47" s="5">
        <v>0.2</v>
      </c>
      <c r="AE47">
        <f t="shared" si="2"/>
        <v>623.31450698983122</v>
      </c>
      <c r="AF47">
        <f t="shared" si="3"/>
        <v>1</v>
      </c>
    </row>
    <row r="48" spans="1:32" x14ac:dyDescent="0.25">
      <c r="A48" s="2">
        <v>47</v>
      </c>
      <c r="B48">
        <f t="shared" si="4"/>
        <v>34.474085341516634</v>
      </c>
      <c r="C48" s="5">
        <v>0.08</v>
      </c>
      <c r="D48">
        <f t="shared" si="5"/>
        <v>243.38704251110738</v>
      </c>
      <c r="Q48">
        <f t="shared" si="9"/>
        <v>243.38704251110792</v>
      </c>
      <c r="R48">
        <f t="shared" si="6"/>
        <v>93.156276653660441</v>
      </c>
      <c r="S48">
        <f t="shared" si="7"/>
        <v>1359.1954879273305</v>
      </c>
      <c r="T48" s="5">
        <v>0.08</v>
      </c>
      <c r="V48">
        <f>SUM($R$2:R48)</f>
        <v>2765.1050553255013</v>
      </c>
      <c r="W48">
        <f t="shared" si="8"/>
        <v>5.830356882987183</v>
      </c>
      <c r="Z48">
        <f t="shared" si="11"/>
        <v>0.34892699704529651</v>
      </c>
      <c r="AA48" s="5">
        <v>0.3</v>
      </c>
      <c r="AB48">
        <f t="shared" si="1"/>
        <v>4530.6516264244356</v>
      </c>
      <c r="AC48">
        <f t="shared" si="10"/>
        <v>3303.5668870461054</v>
      </c>
      <c r="AD48" s="5">
        <v>0.2</v>
      </c>
      <c r="AE48">
        <f t="shared" si="2"/>
        <v>660.71337740922115</v>
      </c>
      <c r="AF48">
        <f t="shared" si="3"/>
        <v>1</v>
      </c>
    </row>
    <row r="49" spans="1:32" x14ac:dyDescent="0.25">
      <c r="A49" s="2">
        <v>48</v>
      </c>
      <c r="B49">
        <f t="shared" si="4"/>
        <v>37.232012168837969</v>
      </c>
      <c r="C49" s="5">
        <v>0.08</v>
      </c>
      <c r="D49">
        <f t="shared" si="5"/>
        <v>262.85800591199597</v>
      </c>
      <c r="Q49">
        <f t="shared" si="9"/>
        <v>262.8580059119966</v>
      </c>
      <c r="R49">
        <f t="shared" si="6"/>
        <v>94.913942250899282</v>
      </c>
      <c r="S49">
        <f t="shared" si="7"/>
        <v>1467.9311269615171</v>
      </c>
      <c r="T49" s="5">
        <v>0.08</v>
      </c>
      <c r="V49" s="1">
        <f>SUM($R$2:R49)</f>
        <v>2860.0189975764006</v>
      </c>
      <c r="W49">
        <f t="shared" si="8"/>
        <v>6.0304874911997652</v>
      </c>
      <c r="Z49">
        <f t="shared" si="11"/>
        <v>0.32308055281971898</v>
      </c>
      <c r="AA49" s="5">
        <v>0.3</v>
      </c>
      <c r="AB49">
        <f t="shared" si="1"/>
        <v>4893.1037565383904</v>
      </c>
      <c r="AC49">
        <f t="shared" si="10"/>
        <v>3501.7809002688718</v>
      </c>
      <c r="AD49" s="5">
        <v>0.2</v>
      </c>
      <c r="AE49">
        <f t="shared" si="2"/>
        <v>700.35618005377444</v>
      </c>
      <c r="AF49">
        <f t="shared" si="3"/>
        <v>1</v>
      </c>
    </row>
    <row r="50" spans="1:32" x14ac:dyDescent="0.25">
      <c r="A50" s="2">
        <v>49</v>
      </c>
      <c r="B50">
        <f t="shared" si="4"/>
        <v>40.210573142345005</v>
      </c>
      <c r="C50" s="5">
        <v>0.08</v>
      </c>
      <c r="D50">
        <f t="shared" si="5"/>
        <v>283.88664638495567</v>
      </c>
      <c r="Q50">
        <f t="shared" si="9"/>
        <v>283.88664638495629</v>
      </c>
      <c r="R50">
        <f t="shared" si="6"/>
        <v>96.704771349972873</v>
      </c>
      <c r="S50">
        <f t="shared" si="7"/>
        <v>1585.3656171184384</v>
      </c>
      <c r="T50" s="5">
        <v>0.08</v>
      </c>
      <c r="V50">
        <f>SUM($R$2:R50)</f>
        <v>2956.7237689263734</v>
      </c>
      <c r="W50">
        <f t="shared" si="8"/>
        <v>6.2343941486239052</v>
      </c>
      <c r="Z50">
        <f t="shared" si="11"/>
        <v>0.29914866001825829</v>
      </c>
      <c r="AA50" s="5">
        <v>0.3</v>
      </c>
      <c r="AB50">
        <f t="shared" si="1"/>
        <v>5284.5520570614617</v>
      </c>
      <c r="AC50">
        <f t="shared" si="10"/>
        <v>3711.8877542850041</v>
      </c>
      <c r="AD50" s="5">
        <v>0.2</v>
      </c>
      <c r="AE50">
        <f t="shared" si="2"/>
        <v>742.37755085700087</v>
      </c>
      <c r="AF50">
        <f t="shared" si="3"/>
        <v>1</v>
      </c>
    </row>
    <row r="51" spans="1:32" x14ac:dyDescent="0.25">
      <c r="A51" s="2">
        <v>50</v>
      </c>
      <c r="B51">
        <f t="shared" si="4"/>
        <v>43.427418993732608</v>
      </c>
      <c r="C51" s="5">
        <v>0.08</v>
      </c>
      <c r="D51">
        <f t="shared" si="5"/>
        <v>306.59757809575211</v>
      </c>
      <c r="Q51">
        <f t="shared" si="9"/>
        <v>306.59757809575279</v>
      </c>
      <c r="R51">
        <f t="shared" si="6"/>
        <v>98.529389677330869</v>
      </c>
      <c r="S51">
        <f t="shared" si="7"/>
        <v>1712.1948664879137</v>
      </c>
      <c r="T51" s="5">
        <v>0.08</v>
      </c>
      <c r="V51">
        <f>SUM($R$2:R51)</f>
        <v>3055.2531586037044</v>
      </c>
      <c r="W51">
        <f t="shared" si="8"/>
        <v>6.442148101471143</v>
      </c>
      <c r="Z51">
        <f t="shared" si="11"/>
        <v>0.27698950001690581</v>
      </c>
      <c r="AA51" s="5">
        <v>0.3</v>
      </c>
      <c r="AB51">
        <f t="shared" si="1"/>
        <v>5707.316221626379</v>
      </c>
      <c r="AC51">
        <f t="shared" si="10"/>
        <v>3934.6010195421045</v>
      </c>
      <c r="AD51" s="5">
        <v>0.2</v>
      </c>
      <c r="AE51">
        <f t="shared" si="2"/>
        <v>786.92020390842094</v>
      </c>
      <c r="AF51">
        <f t="shared" si="3"/>
        <v>1</v>
      </c>
    </row>
    <row r="52" spans="1:32" x14ac:dyDescent="0.25">
      <c r="A52" s="2">
        <v>51</v>
      </c>
      <c r="B52">
        <f t="shared" ref="B52:B101" si="12">B51+B51*C51</f>
        <v>46.901612513231214</v>
      </c>
      <c r="C52" s="5">
        <v>0.08</v>
      </c>
      <c r="D52">
        <f t="shared" ref="D52:D101" si="13">D51+D51*C51</f>
        <v>331.12538434341229</v>
      </c>
      <c r="Q52">
        <f t="shared" ref="Q52:Q101" si="14">$D$2*((1+$C$2)^A51)</f>
        <v>331.12538434341303</v>
      </c>
      <c r="R52">
        <f t="shared" si="6"/>
        <v>100.3884347655824</v>
      </c>
      <c r="S52">
        <f t="shared" si="7"/>
        <v>1849.1704558069468</v>
      </c>
      <c r="T52" s="5">
        <v>0.08</v>
      </c>
      <c r="V52">
        <f>SUM($R$2:R52)</f>
        <v>3155.641593369287</v>
      </c>
      <c r="W52">
        <f t="shared" si="8"/>
        <v>6.6538219402211594</v>
      </c>
      <c r="Z52">
        <f t="shared" si="11"/>
        <v>0.25647175927491278</v>
      </c>
      <c r="AA52" s="5">
        <v>0.3</v>
      </c>
      <c r="AB52">
        <f t="shared" si="1"/>
        <v>6163.9015193564901</v>
      </c>
      <c r="AC52">
        <f t="shared" si="10"/>
        <v>4170.6770807146313</v>
      </c>
      <c r="AD52" s="5">
        <v>0.2</v>
      </c>
      <c r="AE52">
        <f t="shared" si="2"/>
        <v>834.13541614292626</v>
      </c>
      <c r="AF52">
        <f t="shared" si="3"/>
        <v>1</v>
      </c>
    </row>
    <row r="53" spans="1:32" x14ac:dyDescent="0.25">
      <c r="A53" s="2">
        <v>52</v>
      </c>
      <c r="B53">
        <f t="shared" si="12"/>
        <v>50.653741514289713</v>
      </c>
      <c r="C53" s="5">
        <v>0.08</v>
      </c>
      <c r="D53">
        <f t="shared" si="13"/>
        <v>357.61541509088528</v>
      </c>
      <c r="Q53">
        <f t="shared" si="14"/>
        <v>357.61541509088613</v>
      </c>
      <c r="R53">
        <f t="shared" si="6"/>
        <v>102.28255617625375</v>
      </c>
      <c r="S53">
        <f t="shared" si="7"/>
        <v>1997.1040922715026</v>
      </c>
      <c r="T53" s="5">
        <v>0.08</v>
      </c>
      <c r="V53">
        <f>SUM($R$2:R53)</f>
        <v>3257.9241495455408</v>
      </c>
      <c r="W53">
        <f t="shared" si="8"/>
        <v>6.8694896249853263</v>
      </c>
      <c r="Z53">
        <f t="shared" si="11"/>
        <v>0.23747385118047479</v>
      </c>
      <c r="AA53" s="5">
        <v>0.3</v>
      </c>
      <c r="AB53">
        <f t="shared" si="1"/>
        <v>6657.0136409050092</v>
      </c>
      <c r="AC53">
        <f t="shared" si="10"/>
        <v>4420.9177055575092</v>
      </c>
      <c r="AD53" s="5">
        <v>0.2</v>
      </c>
      <c r="AE53">
        <f t="shared" si="2"/>
        <v>884.18354111150188</v>
      </c>
      <c r="AF53">
        <f t="shared" si="3"/>
        <v>1</v>
      </c>
    </row>
    <row r="54" spans="1:32" x14ac:dyDescent="0.25">
      <c r="A54" s="2">
        <v>53</v>
      </c>
      <c r="B54">
        <f t="shared" si="12"/>
        <v>54.706040835432887</v>
      </c>
      <c r="C54" s="5">
        <v>0.08</v>
      </c>
      <c r="D54">
        <f t="shared" si="13"/>
        <v>386.22464829815613</v>
      </c>
      <c r="Q54">
        <f t="shared" si="14"/>
        <v>386.22464829815704</v>
      </c>
      <c r="R54">
        <f t="shared" si="6"/>
        <v>104.21241572674911</v>
      </c>
      <c r="S54">
        <f t="shared" si="7"/>
        <v>2156.872419653223</v>
      </c>
      <c r="T54" s="5">
        <v>0.08</v>
      </c>
      <c r="V54">
        <f>SUM($R$2:R54)</f>
        <v>3362.1365652722898</v>
      </c>
      <c r="W54">
        <f t="shared" si="8"/>
        <v>7.0892265113488167</v>
      </c>
      <c r="Z54">
        <f t="shared" si="11"/>
        <v>0.21988319553747662</v>
      </c>
      <c r="AA54" s="5">
        <v>0.3</v>
      </c>
      <c r="AB54">
        <f t="shared" si="1"/>
        <v>7189.5747321774106</v>
      </c>
      <c r="AC54">
        <f t="shared" si="10"/>
        <v>4686.1727678909601</v>
      </c>
      <c r="AD54" s="5">
        <v>0.2</v>
      </c>
      <c r="AE54">
        <f t="shared" si="2"/>
        <v>937.23455357819205</v>
      </c>
      <c r="AF54">
        <f t="shared" si="3"/>
        <v>1</v>
      </c>
    </row>
    <row r="55" spans="1:32" x14ac:dyDescent="0.25">
      <c r="A55" s="2">
        <v>54</v>
      </c>
      <c r="B55">
        <f t="shared" si="12"/>
        <v>59.08252410226752</v>
      </c>
      <c r="C55" s="5">
        <v>0.08</v>
      </c>
      <c r="D55">
        <f t="shared" si="13"/>
        <v>417.12262016200862</v>
      </c>
      <c r="Q55">
        <f t="shared" si="14"/>
        <v>417.12262016200958</v>
      </c>
      <c r="R55">
        <f t="shared" si="6"/>
        <v>106.17868772159341</v>
      </c>
      <c r="S55">
        <f t="shared" si="7"/>
        <v>2329.4222132254808</v>
      </c>
      <c r="T55" s="5">
        <v>0.08</v>
      </c>
      <c r="V55">
        <f>SUM($R$2:R55)</f>
        <v>3468.3152529938834</v>
      </c>
      <c r="W55">
        <f t="shared" si="8"/>
        <v>7.3131093767002984</v>
      </c>
      <c r="Z55">
        <f t="shared" si="11"/>
        <v>0.20359555142358948</v>
      </c>
      <c r="AA55" s="5">
        <v>0.3</v>
      </c>
      <c r="AB55">
        <f t="shared" si="1"/>
        <v>7764.7407107516028</v>
      </c>
      <c r="AC55">
        <f t="shared" si="10"/>
        <v>4967.3431339644176</v>
      </c>
      <c r="AD55" s="5">
        <v>0.2</v>
      </c>
      <c r="AE55">
        <f t="shared" si="2"/>
        <v>993.46862679288358</v>
      </c>
      <c r="AF55">
        <f t="shared" si="3"/>
        <v>1</v>
      </c>
    </row>
    <row r="56" spans="1:32" x14ac:dyDescent="0.25">
      <c r="A56" s="2">
        <v>55</v>
      </c>
      <c r="B56">
        <f t="shared" si="12"/>
        <v>63.809126030448923</v>
      </c>
      <c r="C56" s="5">
        <v>0.08</v>
      </c>
      <c r="D56">
        <f t="shared" si="13"/>
        <v>450.49242977496931</v>
      </c>
      <c r="Q56">
        <f t="shared" si="14"/>
        <v>450.49242977497045</v>
      </c>
      <c r="R56">
        <f t="shared" si="6"/>
        <v>108.18205918803858</v>
      </c>
      <c r="S56">
        <f t="shared" si="7"/>
        <v>2515.7759902835196</v>
      </c>
      <c r="T56" s="5">
        <v>0.08</v>
      </c>
      <c r="V56">
        <f>SUM($R$2:R56)</f>
        <v>3576.4973121819221</v>
      </c>
      <c r="W56">
        <f t="shared" si="8"/>
        <v>7.5412164470584111</v>
      </c>
      <c r="Z56">
        <f t="shared" si="11"/>
        <v>0.18851439946628654</v>
      </c>
      <c r="AA56" s="5">
        <v>0.3</v>
      </c>
      <c r="AB56">
        <f t="shared" si="1"/>
        <v>8385.9199676117332</v>
      </c>
      <c r="AC56">
        <f t="shared" si="10"/>
        <v>5265.3837220022833</v>
      </c>
      <c r="AD56" s="5">
        <v>0.2</v>
      </c>
      <c r="AE56">
        <f t="shared" si="2"/>
        <v>1053.0767444004566</v>
      </c>
      <c r="AF56">
        <f t="shared" si="3"/>
        <v>1</v>
      </c>
    </row>
    <row r="57" spans="1:32" x14ac:dyDescent="0.25">
      <c r="A57" s="2">
        <v>56</v>
      </c>
      <c r="B57">
        <f t="shared" si="12"/>
        <v>68.913856112884844</v>
      </c>
      <c r="C57" s="5">
        <v>0.08</v>
      </c>
      <c r="D57">
        <f t="shared" si="13"/>
        <v>486.53182415696688</v>
      </c>
      <c r="Q57">
        <f t="shared" si="14"/>
        <v>486.53182415696807</v>
      </c>
      <c r="R57">
        <f t="shared" si="6"/>
        <v>110.22323011611476</v>
      </c>
      <c r="S57">
        <f t="shared" si="7"/>
        <v>2717.0380695062013</v>
      </c>
      <c r="T57" s="5">
        <v>0.08</v>
      </c>
      <c r="V57">
        <f>SUM($R$2:R57)</f>
        <v>3686.7205422980369</v>
      </c>
      <c r="W57">
        <f t="shared" si="8"/>
        <v>7.7736274244044132</v>
      </c>
      <c r="Z57">
        <f t="shared" si="11"/>
        <v>0.17455036987619121</v>
      </c>
      <c r="AA57" s="5">
        <v>0.3</v>
      </c>
      <c r="AB57">
        <f t="shared" si="1"/>
        <v>9056.7935650206709</v>
      </c>
      <c r="AC57">
        <f t="shared" si="10"/>
        <v>5581.3067453224203</v>
      </c>
      <c r="AD57" s="5">
        <v>0.2</v>
      </c>
      <c r="AE57">
        <f t="shared" si="2"/>
        <v>1116.2613490644842</v>
      </c>
      <c r="AF57">
        <f t="shared" si="3"/>
        <v>1</v>
      </c>
    </row>
    <row r="58" spans="1:32" x14ac:dyDescent="0.25">
      <c r="A58" s="2">
        <v>57</v>
      </c>
      <c r="B58">
        <f t="shared" si="12"/>
        <v>74.426964601915628</v>
      </c>
      <c r="C58" s="5">
        <v>0.08</v>
      </c>
      <c r="D58">
        <f t="shared" si="13"/>
        <v>525.45437008952422</v>
      </c>
      <c r="Q58">
        <f t="shared" si="14"/>
        <v>525.45437008952547</v>
      </c>
      <c r="R58">
        <f t="shared" si="6"/>
        <v>112.3029137032113</v>
      </c>
      <c r="S58">
        <f t="shared" si="7"/>
        <v>2934.4011150666975</v>
      </c>
      <c r="T58" s="5">
        <v>0.08</v>
      </c>
      <c r="V58">
        <f>SUM($R$2:R58)</f>
        <v>3799.0234560012482</v>
      </c>
      <c r="W58">
        <f t="shared" si="8"/>
        <v>8.0104235145305278</v>
      </c>
      <c r="Z58">
        <f t="shared" si="11"/>
        <v>0.16162071284832522</v>
      </c>
      <c r="AA58" s="5">
        <v>0.3</v>
      </c>
      <c r="AB58">
        <f t="shared" si="1"/>
        <v>9781.3370502223261</v>
      </c>
      <c r="AC58">
        <f t="shared" si="10"/>
        <v>5916.1851500417661</v>
      </c>
      <c r="AD58" s="5">
        <v>0.2</v>
      </c>
      <c r="AE58">
        <f t="shared" si="2"/>
        <v>1183.2370300083533</v>
      </c>
      <c r="AF58">
        <f t="shared" si="3"/>
        <v>1</v>
      </c>
    </row>
    <row r="59" spans="1:32" x14ac:dyDescent="0.25">
      <c r="A59" s="2">
        <v>58</v>
      </c>
      <c r="B59">
        <f t="shared" si="12"/>
        <v>80.381121770068873</v>
      </c>
      <c r="C59" s="5">
        <v>0.08</v>
      </c>
      <c r="D59">
        <f t="shared" si="13"/>
        <v>567.49071969668614</v>
      </c>
      <c r="Q59">
        <f t="shared" si="14"/>
        <v>567.49071969668762</v>
      </c>
      <c r="R59">
        <f t="shared" si="6"/>
        <v>114.42183660327188</v>
      </c>
      <c r="S59">
        <f t="shared" si="7"/>
        <v>3169.1532042720332</v>
      </c>
      <c r="T59" s="5">
        <v>0.08</v>
      </c>
      <c r="V59">
        <f>SUM($R$2:R59)</f>
        <v>3913.4452926045201</v>
      </c>
      <c r="W59">
        <f t="shared" si="8"/>
        <v>8.2516874554137392</v>
      </c>
      <c r="Z59">
        <f t="shared" si="11"/>
        <v>0.1496488081928937</v>
      </c>
      <c r="AA59" s="5">
        <v>0.3</v>
      </c>
      <c r="AB59">
        <f t="shared" si="1"/>
        <v>10563.84401424011</v>
      </c>
      <c r="AC59">
        <f t="shared" si="10"/>
        <v>6271.1562590442727</v>
      </c>
      <c r="AD59" s="5">
        <v>0.2</v>
      </c>
      <c r="AE59">
        <f t="shared" si="2"/>
        <v>1254.2312518088547</v>
      </c>
      <c r="AF59">
        <f t="shared" si="3"/>
        <v>1</v>
      </c>
    </row>
    <row r="60" spans="1:32" x14ac:dyDescent="0.25">
      <c r="A60" s="2">
        <v>59</v>
      </c>
      <c r="B60">
        <f t="shared" si="12"/>
        <v>86.811611511674386</v>
      </c>
      <c r="C60" s="5">
        <v>0.08</v>
      </c>
      <c r="D60">
        <f t="shared" si="13"/>
        <v>612.88997727242099</v>
      </c>
      <c r="Q60">
        <f t="shared" si="14"/>
        <v>612.88997727242258</v>
      </c>
      <c r="R60">
        <f t="shared" si="6"/>
        <v>116.58073918069212</v>
      </c>
      <c r="S60">
        <f t="shared" si="7"/>
        <v>3422.6854606137963</v>
      </c>
      <c r="T60" s="5">
        <v>0.08</v>
      </c>
      <c r="V60">
        <f>SUM($R$2:R60)</f>
        <v>4030.0260317852121</v>
      </c>
      <c r="W60">
        <f t="shared" si="8"/>
        <v>8.4975035461249355</v>
      </c>
      <c r="Z60">
        <f t="shared" si="11"/>
        <v>0.13856371128971637</v>
      </c>
      <c r="AA60" s="5">
        <v>0.3</v>
      </c>
      <c r="AB60">
        <f t="shared" si="1"/>
        <v>11408.951535379321</v>
      </c>
      <c r="AC60">
        <f t="shared" si="10"/>
        <v>6647.4256345869298</v>
      </c>
      <c r="AD60" s="5">
        <v>0.2</v>
      </c>
      <c r="AE60">
        <f t="shared" si="2"/>
        <v>1329.485126917386</v>
      </c>
      <c r="AF60">
        <f t="shared" si="3"/>
        <v>1</v>
      </c>
    </row>
    <row r="61" spans="1:32" x14ac:dyDescent="0.25">
      <c r="A61" s="2">
        <v>60</v>
      </c>
      <c r="B61">
        <f t="shared" si="12"/>
        <v>93.756540432608332</v>
      </c>
      <c r="C61" s="5">
        <v>0.08</v>
      </c>
      <c r="D61">
        <f t="shared" si="13"/>
        <v>661.92117545421468</v>
      </c>
      <c r="Q61">
        <f t="shared" si="14"/>
        <v>661.92117545421638</v>
      </c>
      <c r="R61">
        <f t="shared" si="6"/>
        <v>118.78037576900705</v>
      </c>
      <c r="S61">
        <f t="shared" si="7"/>
        <v>3696.5002974629001</v>
      </c>
      <c r="T61" s="5">
        <v>0.08</v>
      </c>
      <c r="V61">
        <f>SUM($R$2:R61)</f>
        <v>4148.8064075542188</v>
      </c>
      <c r="W61">
        <f t="shared" si="8"/>
        <v>8.7479576762835123</v>
      </c>
      <c r="Z61">
        <f t="shared" si="11"/>
        <v>0.1282997326756633</v>
      </c>
      <c r="AA61" s="5">
        <v>0.3</v>
      </c>
      <c r="AB61">
        <f t="shared" si="1"/>
        <v>12321.667658209668</v>
      </c>
      <c r="AC61">
        <f t="shared" si="10"/>
        <v>7046.2711726621455</v>
      </c>
      <c r="AD61" s="5">
        <v>0.2</v>
      </c>
      <c r="AE61">
        <f t="shared" si="2"/>
        <v>1409.2542345324291</v>
      </c>
      <c r="AF61">
        <f t="shared" si="3"/>
        <v>1</v>
      </c>
    </row>
    <row r="62" spans="1:32" x14ac:dyDescent="0.25">
      <c r="A62" s="2">
        <v>61</v>
      </c>
      <c r="B62">
        <f t="shared" si="12"/>
        <v>101.257063667217</v>
      </c>
      <c r="C62" s="5">
        <v>0.08</v>
      </c>
      <c r="D62">
        <f t="shared" si="13"/>
        <v>714.87486949055187</v>
      </c>
      <c r="Q62">
        <f t="shared" si="14"/>
        <v>714.87486949055381</v>
      </c>
      <c r="R62">
        <f t="shared" si="6"/>
        <v>121.02151493446003</v>
      </c>
      <c r="S62">
        <f t="shared" si="7"/>
        <v>3992.2203212599325</v>
      </c>
      <c r="T62" s="5">
        <v>0.08</v>
      </c>
      <c r="V62">
        <f>SUM($R$2:R62)</f>
        <v>4269.8279224886792</v>
      </c>
      <c r="W62">
        <f t="shared" si="8"/>
        <v>9.0031373560677252</v>
      </c>
      <c r="Z62">
        <f t="shared" si="11"/>
        <v>0.11879604877376232</v>
      </c>
      <c r="AA62" s="5">
        <v>0.3</v>
      </c>
      <c r="AB62">
        <f t="shared" si="1"/>
        <v>13307.401070866443</v>
      </c>
      <c r="AC62">
        <f t="shared" si="10"/>
        <v>7469.0474430218746</v>
      </c>
      <c r="AD62" s="5">
        <v>0.2</v>
      </c>
      <c r="AE62">
        <f t="shared" si="2"/>
        <v>1493.809488604375</v>
      </c>
      <c r="AF62">
        <f t="shared" si="3"/>
        <v>1</v>
      </c>
    </row>
    <row r="63" spans="1:32" x14ac:dyDescent="0.25">
      <c r="A63" s="2">
        <v>62</v>
      </c>
      <c r="B63">
        <f t="shared" si="12"/>
        <v>109.35762876059435</v>
      </c>
      <c r="C63" s="5">
        <v>0.08</v>
      </c>
      <c r="D63">
        <f t="shared" si="13"/>
        <v>772.06485904979604</v>
      </c>
      <c r="Q63">
        <f t="shared" si="14"/>
        <v>772.06485904979809</v>
      </c>
      <c r="R63">
        <f t="shared" si="6"/>
        <v>123.30493974454416</v>
      </c>
      <c r="S63">
        <f t="shared" si="7"/>
        <v>4311.5979469607273</v>
      </c>
      <c r="T63" s="5">
        <v>0.08</v>
      </c>
      <c r="V63">
        <f>SUM($R$2:R63)</f>
        <v>4393.132862233223</v>
      </c>
      <c r="W63">
        <f t="shared" si="8"/>
        <v>9.2631317467912595</v>
      </c>
      <c r="Z63">
        <f t="shared" si="11"/>
        <v>0.10999634145718733</v>
      </c>
      <c r="AA63" s="5">
        <v>0.3</v>
      </c>
      <c r="AB63">
        <f t="shared" si="1"/>
        <v>14371.993156535758</v>
      </c>
      <c r="AC63">
        <f t="shared" si="10"/>
        <v>7917.1902896031879</v>
      </c>
      <c r="AD63" s="5">
        <v>0.2</v>
      </c>
      <c r="AE63">
        <f t="shared" si="2"/>
        <v>1583.4380579206377</v>
      </c>
      <c r="AF63">
        <f t="shared" si="3"/>
        <v>1</v>
      </c>
    </row>
    <row r="64" spans="1:32" x14ac:dyDescent="0.25">
      <c r="A64" s="2">
        <v>63</v>
      </c>
      <c r="B64">
        <f t="shared" si="12"/>
        <v>118.1062390614419</v>
      </c>
      <c r="C64" s="5">
        <v>0.08</v>
      </c>
      <c r="D64">
        <f t="shared" si="13"/>
        <v>833.83004777377971</v>
      </c>
      <c r="Q64">
        <f t="shared" si="14"/>
        <v>833.8300477737821</v>
      </c>
      <c r="R64">
        <f t="shared" si="6"/>
        <v>125.63144804161102</v>
      </c>
      <c r="S64">
        <f t="shared" si="7"/>
        <v>4656.5257827175856</v>
      </c>
      <c r="T64" s="5">
        <v>0.08</v>
      </c>
      <c r="V64">
        <f>SUM($R$2:R64)</f>
        <v>4518.7643102748343</v>
      </c>
      <c r="W64">
        <f t="shared" si="8"/>
        <v>9.52803169205675</v>
      </c>
      <c r="Z64">
        <f t="shared" si="11"/>
        <v>0.10184846431221048</v>
      </c>
      <c r="AA64" s="5">
        <v>0.3</v>
      </c>
      <c r="AB64">
        <f t="shared" si="1"/>
        <v>15521.75260905862</v>
      </c>
      <c r="AC64">
        <f t="shared" si="10"/>
        <v>8392.2217069793787</v>
      </c>
      <c r="AD64" s="5">
        <v>0.2</v>
      </c>
      <c r="AE64">
        <f t="shared" si="2"/>
        <v>1678.4443413958759</v>
      </c>
      <c r="AF64">
        <f t="shared" si="3"/>
        <v>1</v>
      </c>
    </row>
    <row r="65" spans="1:32" x14ac:dyDescent="0.25">
      <c r="A65" s="2">
        <v>64</v>
      </c>
      <c r="B65">
        <f t="shared" si="12"/>
        <v>127.55473818635726</v>
      </c>
      <c r="C65" s="5">
        <v>0.08</v>
      </c>
      <c r="D65">
        <f t="shared" si="13"/>
        <v>900.53645159568214</v>
      </c>
      <c r="Q65">
        <f t="shared" si="14"/>
        <v>900.53645159568475</v>
      </c>
      <c r="R65">
        <f t="shared" si="6"/>
        <v>128.0018527216414</v>
      </c>
      <c r="S65">
        <f t="shared" si="7"/>
        <v>5029.0478453349924</v>
      </c>
      <c r="T65" s="5">
        <v>0.08</v>
      </c>
      <c r="V65">
        <f>SUM($R$2:R65)</f>
        <v>4646.7661629964759</v>
      </c>
      <c r="W65">
        <f t="shared" si="8"/>
        <v>9.7979297494970616</v>
      </c>
      <c r="Z65">
        <f t="shared" si="11"/>
        <v>9.4304133622417116E-2</v>
      </c>
      <c r="AA65" s="5">
        <v>0.3</v>
      </c>
      <c r="AB65">
        <f t="shared" si="1"/>
        <v>16763.49281778331</v>
      </c>
      <c r="AC65">
        <f t="shared" si="10"/>
        <v>8895.7550093981426</v>
      </c>
      <c r="AD65" s="5">
        <v>0.2</v>
      </c>
      <c r="AE65">
        <f t="shared" si="2"/>
        <v>1779.1510018796287</v>
      </c>
      <c r="AF65">
        <f t="shared" si="3"/>
        <v>1</v>
      </c>
    </row>
    <row r="66" spans="1:32" x14ac:dyDescent="0.25">
      <c r="A66" s="2">
        <v>65</v>
      </c>
      <c r="B66">
        <f t="shared" si="12"/>
        <v>137.75911724126584</v>
      </c>
      <c r="C66" s="5">
        <v>0.08</v>
      </c>
      <c r="D66">
        <f t="shared" si="13"/>
        <v>972.57936772333676</v>
      </c>
      <c r="Q66">
        <f t="shared" si="14"/>
        <v>972.5793677233396</v>
      </c>
      <c r="R66">
        <f t="shared" si="6"/>
        <v>130.41698201827617</v>
      </c>
      <c r="S66">
        <f t="shared" si="7"/>
        <v>5431.3716729617918</v>
      </c>
      <c r="T66" s="5">
        <v>0.08</v>
      </c>
      <c r="V66">
        <f>SUM($R$2:R66)</f>
        <v>4777.183145014752</v>
      </c>
      <c r="W66">
        <f t="shared" si="8"/>
        <v>10.07292022311549</v>
      </c>
      <c r="Z66">
        <f t="shared" si="11"/>
        <v>8.7318642242978806E-2</v>
      </c>
      <c r="AA66" s="5">
        <v>0.3</v>
      </c>
      <c r="AB66">
        <f t="shared" si="1"/>
        <v>18104.572243205974</v>
      </c>
      <c r="AC66">
        <f t="shared" si="10"/>
        <v>9429.5003099620317</v>
      </c>
      <c r="AD66" s="5">
        <v>0.2</v>
      </c>
      <c r="AE66">
        <f t="shared" si="2"/>
        <v>1885.9000619924063</v>
      </c>
      <c r="AF66">
        <f t="shared" si="3"/>
        <v>1</v>
      </c>
    </row>
    <row r="67" spans="1:32" x14ac:dyDescent="0.25">
      <c r="A67" s="2">
        <v>66</v>
      </c>
      <c r="B67">
        <f t="shared" si="12"/>
        <v>148.7798466205671</v>
      </c>
      <c r="C67" s="5">
        <v>0.08</v>
      </c>
      <c r="D67">
        <f t="shared" si="13"/>
        <v>1050.3857171412037</v>
      </c>
      <c r="Q67">
        <f t="shared" si="14"/>
        <v>1050.3857171412069</v>
      </c>
      <c r="R67">
        <f t="shared" si="6"/>
        <v>132.87767979220592</v>
      </c>
      <c r="S67">
        <f t="shared" si="7"/>
        <v>5865.881406798736</v>
      </c>
      <c r="T67" s="5">
        <v>0.08</v>
      </c>
      <c r="V67">
        <f>SUM($R$2:R67)</f>
        <v>4910.0608248069575</v>
      </c>
      <c r="W67">
        <f t="shared" si="8"/>
        <v>10.353099196236153</v>
      </c>
      <c r="Z67">
        <f t="shared" si="11"/>
        <v>8.0850594669424805E-2</v>
      </c>
      <c r="AA67" s="5">
        <v>0.3</v>
      </c>
      <c r="AB67">
        <f t="shared" ref="AB67:AB130" si="15">S67/AA67</f>
        <v>19552.938022662453</v>
      </c>
      <c r="AC67">
        <f t="shared" si="10"/>
        <v>9995.2703285597545</v>
      </c>
      <c r="AD67" s="5">
        <v>0.2</v>
      </c>
      <c r="AE67">
        <f t="shared" ref="AE67:AE130" si="16">AC67*AD67</f>
        <v>1999.0540657119509</v>
      </c>
      <c r="AF67">
        <f t="shared" ref="AF67:AF130" si="17">IF(AB67&gt;AE67, 1, 0)</f>
        <v>1</v>
      </c>
    </row>
    <row r="68" spans="1:32" x14ac:dyDescent="0.25">
      <c r="A68" s="2">
        <v>67</v>
      </c>
      <c r="B68">
        <f t="shared" si="12"/>
        <v>160.68223435021247</v>
      </c>
      <c r="C68" s="5">
        <v>0.08</v>
      </c>
      <c r="D68">
        <f t="shared" si="13"/>
        <v>1134.4165745125001</v>
      </c>
      <c r="Q68">
        <f t="shared" si="14"/>
        <v>1134.4165745125033</v>
      </c>
      <c r="R68">
        <f t="shared" ref="R68:R101" si="18">S68/((1+$U$2)^A67)</f>
        <v>135.38480582602116</v>
      </c>
      <c r="S68">
        <f t="shared" ref="S68:S101" si="19">S67*(1+T67)</f>
        <v>6335.1519193426357</v>
      </c>
      <c r="T68" s="5">
        <v>0.08</v>
      </c>
      <c r="V68">
        <f>SUM($R$2:R68)</f>
        <v>5045.4456306329785</v>
      </c>
      <c r="W68">
        <f t="shared" ref="W68:W101" si="20">V68/$W$2</f>
        <v>10.638564565076074</v>
      </c>
      <c r="Z68">
        <f t="shared" si="11"/>
        <v>7.4861661730948895E-2</v>
      </c>
      <c r="AA68" s="5">
        <v>0.3</v>
      </c>
      <c r="AB68">
        <f t="shared" si="15"/>
        <v>21117.173064475453</v>
      </c>
      <c r="AC68">
        <f t="shared" ref="AC68:AC131" si="21">AC67*(1+$U$2)</f>
        <v>10594.98654827334</v>
      </c>
      <c r="AD68" s="5">
        <v>0.2</v>
      </c>
      <c r="AE68">
        <f t="shared" si="16"/>
        <v>2118.9973096546682</v>
      </c>
      <c r="AF68">
        <f t="shared" si="17"/>
        <v>1</v>
      </c>
    </row>
    <row r="69" spans="1:32" x14ac:dyDescent="0.25">
      <c r="A69" s="2">
        <v>68</v>
      </c>
      <c r="B69">
        <f t="shared" si="12"/>
        <v>173.53681309822946</v>
      </c>
      <c r="C69" s="5">
        <v>0.08</v>
      </c>
      <c r="D69">
        <f t="shared" si="13"/>
        <v>1225.1699004735001</v>
      </c>
      <c r="Q69">
        <f t="shared" si="14"/>
        <v>1225.1699004735037</v>
      </c>
      <c r="R69">
        <f t="shared" si="18"/>
        <v>137.93923612462532</v>
      </c>
      <c r="S69">
        <f t="shared" si="19"/>
        <v>6841.9640728900467</v>
      </c>
      <c r="T69" s="5">
        <v>0.08</v>
      </c>
      <c r="V69">
        <f>SUM($R$2:R69)</f>
        <v>5183.384866757604</v>
      </c>
      <c r="W69">
        <f t="shared" si="20"/>
        <v>10.92941607295071</v>
      </c>
      <c r="Z69">
        <f t="shared" si="11"/>
        <v>6.93163534545823E-2</v>
      </c>
      <c r="AA69" s="5">
        <v>0.3</v>
      </c>
      <c r="AB69">
        <f t="shared" si="15"/>
        <v>22806.546909633489</v>
      </c>
      <c r="AC69">
        <f t="shared" si="21"/>
        <v>11230.685741169742</v>
      </c>
      <c r="AD69" s="5">
        <v>0.2</v>
      </c>
      <c r="AE69">
        <f t="shared" si="16"/>
        <v>2246.1371482339487</v>
      </c>
      <c r="AF69">
        <f t="shared" si="17"/>
        <v>1</v>
      </c>
    </row>
    <row r="70" spans="1:32" x14ac:dyDescent="0.25">
      <c r="A70" s="2">
        <v>69</v>
      </c>
      <c r="B70">
        <f t="shared" si="12"/>
        <v>187.41975814608782</v>
      </c>
      <c r="C70" s="5">
        <v>0.08</v>
      </c>
      <c r="D70">
        <f t="shared" si="13"/>
        <v>1323.1834925113801</v>
      </c>
      <c r="Q70">
        <f t="shared" si="14"/>
        <v>1323.1834925113842</v>
      </c>
      <c r="R70">
        <f t="shared" si="18"/>
        <v>140.54186322131633</v>
      </c>
      <c r="S70">
        <f t="shared" si="19"/>
        <v>7389.3211987212508</v>
      </c>
      <c r="T70" s="5">
        <v>0.08</v>
      </c>
      <c r="V70">
        <f>SUM($R$2:R70)</f>
        <v>5323.9267299789199</v>
      </c>
      <c r="W70">
        <f t="shared" si="20"/>
        <v>11.225755345124869</v>
      </c>
      <c r="Z70">
        <f t="shared" si="11"/>
        <v>6.4181808754242869E-2</v>
      </c>
      <c r="AA70" s="5">
        <v>0.3</v>
      </c>
      <c r="AB70">
        <f t="shared" si="15"/>
        <v>24631.07066240417</v>
      </c>
      <c r="AC70">
        <f t="shared" si="21"/>
        <v>11904.526885639927</v>
      </c>
      <c r="AD70" s="5">
        <v>0.2</v>
      </c>
      <c r="AE70">
        <f t="shared" si="16"/>
        <v>2380.9053771279855</v>
      </c>
      <c r="AF70">
        <f t="shared" si="17"/>
        <v>1</v>
      </c>
    </row>
    <row r="71" spans="1:32" x14ac:dyDescent="0.25">
      <c r="A71" s="2">
        <v>70</v>
      </c>
      <c r="B71">
        <f t="shared" si="12"/>
        <v>202.41333879777483</v>
      </c>
      <c r="C71" s="5">
        <v>0.08</v>
      </c>
      <c r="D71">
        <f t="shared" si="13"/>
        <v>1429.0381719122906</v>
      </c>
      <c r="Q71">
        <f t="shared" si="14"/>
        <v>1429.0381719122947</v>
      </c>
      <c r="R71">
        <f t="shared" si="18"/>
        <v>143.19359648964306</v>
      </c>
      <c r="S71">
        <f t="shared" si="19"/>
        <v>7980.4668946189513</v>
      </c>
      <c r="T71" s="5">
        <v>0.08</v>
      </c>
      <c r="V71">
        <f>SUM($R$2:R71)</f>
        <v>5467.1203264685628</v>
      </c>
      <c r="W71">
        <f t="shared" si="20"/>
        <v>11.52768592432118</v>
      </c>
      <c r="Z71">
        <f t="shared" si="11"/>
        <v>5.9427600698373023E-2</v>
      </c>
      <c r="AA71" s="5">
        <v>0.3</v>
      </c>
      <c r="AB71">
        <f t="shared" si="15"/>
        <v>26601.556315396505</v>
      </c>
      <c r="AC71">
        <f t="shared" si="21"/>
        <v>12618.798498778324</v>
      </c>
      <c r="AD71" s="5">
        <v>0.2</v>
      </c>
      <c r="AE71">
        <f t="shared" si="16"/>
        <v>2523.7596997556648</v>
      </c>
      <c r="AF71">
        <f t="shared" si="17"/>
        <v>1</v>
      </c>
    </row>
    <row r="72" spans="1:32" x14ac:dyDescent="0.25">
      <c r="A72" s="2">
        <v>71</v>
      </c>
      <c r="B72">
        <f t="shared" si="12"/>
        <v>218.60640590159682</v>
      </c>
      <c r="C72" s="5">
        <v>0.08</v>
      </c>
      <c r="D72">
        <f t="shared" si="13"/>
        <v>1543.3612256652739</v>
      </c>
      <c r="Q72">
        <f t="shared" si="14"/>
        <v>1543.3612256652787</v>
      </c>
      <c r="R72">
        <f t="shared" si="18"/>
        <v>145.89536246114577</v>
      </c>
      <c r="S72">
        <f t="shared" si="19"/>
        <v>8618.9042461884674</v>
      </c>
      <c r="T72" s="5">
        <v>0.08</v>
      </c>
      <c r="V72">
        <f>SUM($R$2:R72)</f>
        <v>5613.0156889297086</v>
      </c>
      <c r="W72">
        <f t="shared" si="20"/>
        <v>11.835313306898556</v>
      </c>
      <c r="Z72">
        <f t="shared" si="11"/>
        <v>5.5025556202197248E-2</v>
      </c>
      <c r="AA72" s="5">
        <v>0.3</v>
      </c>
      <c r="AB72">
        <f t="shared" si="15"/>
        <v>28729.680820628226</v>
      </c>
      <c r="AC72">
        <f t="shared" si="21"/>
        <v>13375.926408705023</v>
      </c>
      <c r="AD72" s="5">
        <v>0.2</v>
      </c>
      <c r="AE72">
        <f t="shared" si="16"/>
        <v>2675.1852817410049</v>
      </c>
      <c r="AF72">
        <f t="shared" si="17"/>
        <v>1</v>
      </c>
    </row>
    <row r="73" spans="1:32" x14ac:dyDescent="0.25">
      <c r="A73" s="2">
        <v>72</v>
      </c>
      <c r="B73">
        <f t="shared" si="12"/>
        <v>236.09491837372457</v>
      </c>
      <c r="C73" s="5">
        <v>0.08</v>
      </c>
      <c r="D73">
        <f t="shared" si="13"/>
        <v>1666.8301237184958</v>
      </c>
      <c r="Q73">
        <f t="shared" si="14"/>
        <v>1666.830123718501</v>
      </c>
      <c r="R73">
        <f t="shared" si="18"/>
        <v>148.64810514909189</v>
      </c>
      <c r="S73">
        <f t="shared" si="19"/>
        <v>9308.4165858835458</v>
      </c>
      <c r="T73" s="5">
        <v>0.08</v>
      </c>
      <c r="V73">
        <f>SUM($R$2:R73)</f>
        <v>5761.6637940788005</v>
      </c>
      <c r="W73">
        <f t="shared" si="20"/>
        <v>12.148744979713239</v>
      </c>
      <c r="Z73">
        <f t="shared" si="11"/>
        <v>5.0949589076108553E-2</v>
      </c>
      <c r="AA73" s="5">
        <v>0.3</v>
      </c>
      <c r="AB73">
        <f t="shared" si="15"/>
        <v>31028.055286278486</v>
      </c>
      <c r="AC73">
        <f t="shared" si="21"/>
        <v>14178.481993227326</v>
      </c>
      <c r="AD73" s="5">
        <v>0.2</v>
      </c>
      <c r="AE73">
        <f t="shared" si="16"/>
        <v>2835.6963986454653</v>
      </c>
      <c r="AF73">
        <f t="shared" si="17"/>
        <v>1</v>
      </c>
    </row>
    <row r="74" spans="1:32" x14ac:dyDescent="0.25">
      <c r="A74" s="2">
        <v>73</v>
      </c>
      <c r="B74">
        <f t="shared" si="12"/>
        <v>254.98251184362255</v>
      </c>
      <c r="C74" s="5">
        <v>0.08</v>
      </c>
      <c r="D74">
        <f t="shared" si="13"/>
        <v>1800.1765336159754</v>
      </c>
      <c r="Q74">
        <f t="shared" si="14"/>
        <v>1800.176533615981</v>
      </c>
      <c r="R74">
        <f t="shared" si="18"/>
        <v>151.45278637832007</v>
      </c>
      <c r="S74">
        <f t="shared" si="19"/>
        <v>10053.089912754231</v>
      </c>
      <c r="T74" s="5">
        <v>0.08</v>
      </c>
      <c r="V74">
        <f>SUM($R$2:R74)</f>
        <v>5913.116580457121</v>
      </c>
      <c r="W74">
        <f t="shared" si="20"/>
        <v>12.46809045767537</v>
      </c>
      <c r="Z74">
        <f t="shared" si="11"/>
        <v>4.7175545440841252E-2</v>
      </c>
      <c r="AA74" s="5">
        <v>0.3</v>
      </c>
      <c r="AB74">
        <f t="shared" si="15"/>
        <v>33510.29970918077</v>
      </c>
      <c r="AC74">
        <f t="shared" si="21"/>
        <v>15029.190912820966</v>
      </c>
      <c r="AD74" s="5">
        <v>0.2</v>
      </c>
      <c r="AE74">
        <f t="shared" si="16"/>
        <v>3005.8381825641936</v>
      </c>
      <c r="AF74">
        <f t="shared" si="17"/>
        <v>1</v>
      </c>
    </row>
    <row r="75" spans="1:32" x14ac:dyDescent="0.25">
      <c r="A75" s="2">
        <v>74</v>
      </c>
      <c r="B75">
        <f t="shared" si="12"/>
        <v>275.38111279111234</v>
      </c>
      <c r="C75" s="5">
        <v>0.08</v>
      </c>
      <c r="D75">
        <f t="shared" si="13"/>
        <v>1944.1906563052535</v>
      </c>
      <c r="Q75">
        <f t="shared" si="14"/>
        <v>1944.1906563052598</v>
      </c>
      <c r="R75">
        <f t="shared" si="18"/>
        <v>154.31038612130729</v>
      </c>
      <c r="S75">
        <f t="shared" si="19"/>
        <v>10857.33710577457</v>
      </c>
      <c r="T75" s="5">
        <v>0.08</v>
      </c>
      <c r="V75">
        <f>SUM($R$2:R75)</f>
        <v>6067.4269665784286</v>
      </c>
      <c r="W75">
        <f t="shared" si="20"/>
        <v>12.793461322014146</v>
      </c>
      <c r="Z75">
        <f t="shared" si="11"/>
        <v>4.3681060593371526E-2</v>
      </c>
      <c r="AA75" s="5">
        <v>0.3</v>
      </c>
      <c r="AB75">
        <f t="shared" si="15"/>
        <v>36191.123685915234</v>
      </c>
      <c r="AC75">
        <f t="shared" si="21"/>
        <v>15930.942367590225</v>
      </c>
      <c r="AD75" s="5">
        <v>0.2</v>
      </c>
      <c r="AE75">
        <f t="shared" si="16"/>
        <v>3186.1884735180452</v>
      </c>
      <c r="AF75">
        <f t="shared" si="17"/>
        <v>1</v>
      </c>
    </row>
    <row r="76" spans="1:32" x14ac:dyDescent="0.25">
      <c r="A76" s="2">
        <v>75</v>
      </c>
      <c r="B76">
        <f t="shared" si="12"/>
        <v>297.41160181440131</v>
      </c>
      <c r="C76" s="5">
        <v>0.08</v>
      </c>
      <c r="D76">
        <f t="shared" si="13"/>
        <v>2099.7259088096739</v>
      </c>
      <c r="Q76">
        <f t="shared" si="14"/>
        <v>2099.7259088096807</v>
      </c>
      <c r="R76">
        <f t="shared" si="18"/>
        <v>157.22190284057723</v>
      </c>
      <c r="S76">
        <f t="shared" si="19"/>
        <v>11725.924074236536</v>
      </c>
      <c r="T76" s="5">
        <v>0.08</v>
      </c>
      <c r="V76">
        <f>SUM($R$2:R76)</f>
        <v>6224.6488694190057</v>
      </c>
      <c r="W76">
        <f t="shared" si="20"/>
        <v>13.124971259264973</v>
      </c>
      <c r="Z76">
        <f t="shared" si="11"/>
        <v>4.0445426475344E-2</v>
      </c>
      <c r="AA76" s="5">
        <v>0.3</v>
      </c>
      <c r="AB76">
        <f t="shared" si="15"/>
        <v>39086.41358078846</v>
      </c>
      <c r="AC76">
        <f t="shared" si="21"/>
        <v>16886.79890964564</v>
      </c>
      <c r="AD76" s="5">
        <v>0.2</v>
      </c>
      <c r="AE76">
        <f t="shared" si="16"/>
        <v>3377.3597819291281</v>
      </c>
      <c r="AF76">
        <f t="shared" si="17"/>
        <v>1</v>
      </c>
    </row>
    <row r="77" spans="1:32" x14ac:dyDescent="0.25">
      <c r="A77" s="2">
        <v>76</v>
      </c>
      <c r="B77">
        <f t="shared" si="12"/>
        <v>321.20452995955338</v>
      </c>
      <c r="C77" s="5">
        <v>0.08</v>
      </c>
      <c r="D77">
        <f t="shared" si="13"/>
        <v>2267.7039815144481</v>
      </c>
      <c r="Q77">
        <f t="shared" si="14"/>
        <v>2267.7039815144553</v>
      </c>
      <c r="R77">
        <f t="shared" si="18"/>
        <v>160.18835383756922</v>
      </c>
      <c r="S77">
        <f t="shared" si="19"/>
        <v>12663.998000175459</v>
      </c>
      <c r="T77" s="5">
        <v>0.08</v>
      </c>
      <c r="V77">
        <f>SUM($R$2:R77)</f>
        <v>6384.8372232565753</v>
      </c>
      <c r="W77">
        <f t="shared" si="20"/>
        <v>13.462736100992231</v>
      </c>
      <c r="Z77">
        <f t="shared" si="11"/>
        <v>3.7449468958651852E-2</v>
      </c>
      <c r="AA77" s="5">
        <v>0.3</v>
      </c>
      <c r="AB77">
        <f t="shared" si="15"/>
        <v>42213.326667251531</v>
      </c>
      <c r="AC77">
        <f t="shared" si="21"/>
        <v>17900.006844224379</v>
      </c>
      <c r="AD77" s="5">
        <v>0.2</v>
      </c>
      <c r="AE77">
        <f t="shared" si="16"/>
        <v>3580.0013688448762</v>
      </c>
      <c r="AF77">
        <f t="shared" si="17"/>
        <v>1</v>
      </c>
    </row>
    <row r="78" spans="1:32" x14ac:dyDescent="0.25">
      <c r="A78" s="2">
        <v>77</v>
      </c>
      <c r="B78">
        <f t="shared" si="12"/>
        <v>346.90089235631763</v>
      </c>
      <c r="C78" s="5">
        <v>0.08</v>
      </c>
      <c r="D78">
        <f t="shared" si="13"/>
        <v>2449.120300035604</v>
      </c>
      <c r="Q78">
        <f t="shared" si="14"/>
        <v>2449.1203000356118</v>
      </c>
      <c r="R78">
        <f t="shared" si="18"/>
        <v>163.21077560808939</v>
      </c>
      <c r="S78">
        <f t="shared" si="19"/>
        <v>13677.117840189498</v>
      </c>
      <c r="T78" s="5">
        <v>0.08</v>
      </c>
      <c r="V78">
        <f>SUM($R$2:R78)</f>
        <v>6548.0479988646648</v>
      </c>
      <c r="W78">
        <f t="shared" si="20"/>
        <v>13.806873864261512</v>
      </c>
      <c r="Z78">
        <f t="shared" si="11"/>
        <v>3.4675434220973932E-2</v>
      </c>
      <c r="AA78" s="5">
        <v>0.3</v>
      </c>
      <c r="AB78">
        <f t="shared" si="15"/>
        <v>45590.392800631664</v>
      </c>
      <c r="AC78">
        <f t="shared" si="21"/>
        <v>18974.007254877844</v>
      </c>
      <c r="AD78" s="5">
        <v>0.2</v>
      </c>
      <c r="AE78">
        <f t="shared" si="16"/>
        <v>3794.801450975569</v>
      </c>
      <c r="AF78">
        <f t="shared" si="17"/>
        <v>1</v>
      </c>
    </row>
    <row r="79" spans="1:32" x14ac:dyDescent="0.25">
      <c r="A79" s="2">
        <v>78</v>
      </c>
      <c r="B79">
        <f t="shared" si="12"/>
        <v>374.65296374482301</v>
      </c>
      <c r="C79" s="5">
        <v>0.08</v>
      </c>
      <c r="D79">
        <f t="shared" si="13"/>
        <v>2645.0499240384524</v>
      </c>
      <c r="Q79">
        <f t="shared" si="14"/>
        <v>2645.0499240384602</v>
      </c>
      <c r="R79">
        <f t="shared" si="18"/>
        <v>166.29022420446842</v>
      </c>
      <c r="S79">
        <f t="shared" si="19"/>
        <v>14771.287267404658</v>
      </c>
      <c r="T79" s="5">
        <v>0.08</v>
      </c>
      <c r="V79">
        <f>SUM($R$2:R79)</f>
        <v>6714.3382230691332</v>
      </c>
      <c r="W79">
        <f t="shared" si="20"/>
        <v>14.157504792875498</v>
      </c>
      <c r="Z79">
        <f t="shared" ref="Z79:Z142" si="22">$W$2/S79</f>
        <v>3.2106883537938828E-2</v>
      </c>
      <c r="AA79" s="5">
        <v>0.3</v>
      </c>
      <c r="AB79">
        <f t="shared" si="15"/>
        <v>49237.624224682193</v>
      </c>
      <c r="AC79">
        <f t="shared" si="21"/>
        <v>20112.447690170517</v>
      </c>
      <c r="AD79" s="5">
        <v>0.2</v>
      </c>
      <c r="AE79">
        <f t="shared" si="16"/>
        <v>4022.4895380341036</v>
      </c>
      <c r="AF79">
        <f t="shared" si="17"/>
        <v>1</v>
      </c>
    </row>
    <row r="80" spans="1:32" x14ac:dyDescent="0.25">
      <c r="A80" s="2">
        <v>79</v>
      </c>
      <c r="B80">
        <f t="shared" si="12"/>
        <v>404.62520084440882</v>
      </c>
      <c r="C80" s="5">
        <v>0.08</v>
      </c>
      <c r="D80">
        <f t="shared" si="13"/>
        <v>2856.6539179615288</v>
      </c>
      <c r="Q80">
        <f t="shared" si="14"/>
        <v>2856.6539179615379</v>
      </c>
      <c r="R80">
        <f t="shared" si="18"/>
        <v>169.42777560455275</v>
      </c>
      <c r="S80">
        <f t="shared" si="19"/>
        <v>15952.99024879703</v>
      </c>
      <c r="T80" s="5">
        <v>0.08</v>
      </c>
      <c r="V80">
        <f>SUM($R$2:R80)</f>
        <v>6883.7659986736862</v>
      </c>
      <c r="W80">
        <f t="shared" si="20"/>
        <v>14.51475139938786</v>
      </c>
      <c r="Z80">
        <f t="shared" si="22"/>
        <v>2.9728595868461875E-2</v>
      </c>
      <c r="AA80" s="5">
        <v>0.3</v>
      </c>
      <c r="AB80">
        <f t="shared" si="15"/>
        <v>53176.634162656766</v>
      </c>
      <c r="AC80">
        <f t="shared" si="21"/>
        <v>21319.194551580749</v>
      </c>
      <c r="AD80" s="5">
        <v>0.2</v>
      </c>
      <c r="AE80">
        <f t="shared" si="16"/>
        <v>4263.8389103161498</v>
      </c>
      <c r="AF80">
        <f t="shared" si="17"/>
        <v>1</v>
      </c>
    </row>
    <row r="81" spans="1:32" x14ac:dyDescent="0.25">
      <c r="A81" s="2">
        <v>80</v>
      </c>
      <c r="B81">
        <f t="shared" si="12"/>
        <v>436.99521691196151</v>
      </c>
      <c r="C81" s="5">
        <v>0.08</v>
      </c>
      <c r="D81">
        <f t="shared" si="13"/>
        <v>3085.1862313984511</v>
      </c>
      <c r="Q81">
        <f t="shared" si="14"/>
        <v>3085.1862313984611</v>
      </c>
      <c r="R81">
        <f t="shared" si="18"/>
        <v>172.62452608765747</v>
      </c>
      <c r="S81">
        <f t="shared" si="19"/>
        <v>17229.229468700792</v>
      </c>
      <c r="T81" s="5">
        <v>0.08</v>
      </c>
      <c r="V81">
        <f>SUM($R$2:R81)</f>
        <v>7056.3905247613438</v>
      </c>
      <c r="W81">
        <f t="shared" si="20"/>
        <v>14.878738507909889</v>
      </c>
      <c r="Z81">
        <f t="shared" si="22"/>
        <v>2.752647765598322E-2</v>
      </c>
      <c r="AA81" s="5">
        <v>0.3</v>
      </c>
      <c r="AB81">
        <f t="shared" si="15"/>
        <v>57430.764895669308</v>
      </c>
      <c r="AC81">
        <f t="shared" si="21"/>
        <v>22598.346224675595</v>
      </c>
      <c r="AD81" s="5">
        <v>0.2</v>
      </c>
      <c r="AE81">
        <f t="shared" si="16"/>
        <v>4519.6692449351194</v>
      </c>
      <c r="AF81">
        <f t="shared" si="17"/>
        <v>1</v>
      </c>
    </row>
    <row r="82" spans="1:32" x14ac:dyDescent="0.25">
      <c r="A82" s="2">
        <v>81</v>
      </c>
      <c r="B82">
        <f t="shared" si="12"/>
        <v>471.95483426491842</v>
      </c>
      <c r="C82" s="5">
        <v>0.08</v>
      </c>
      <c r="D82">
        <f t="shared" si="13"/>
        <v>3332.0011299103271</v>
      </c>
      <c r="Q82">
        <f t="shared" si="14"/>
        <v>3332.001129910338</v>
      </c>
      <c r="R82">
        <f t="shared" si="18"/>
        <v>175.88159261761334</v>
      </c>
      <c r="S82">
        <f t="shared" si="19"/>
        <v>18607.567826196857</v>
      </c>
      <c r="T82" s="5">
        <v>0.08</v>
      </c>
      <c r="V82">
        <f>SUM($R$2:R82)</f>
        <v>7232.2721173789569</v>
      </c>
      <c r="W82">
        <f t="shared" si="20"/>
        <v>15.249593297724786</v>
      </c>
      <c r="Z82">
        <f t="shared" si="22"/>
        <v>2.5487479311095573E-2</v>
      </c>
      <c r="AA82" s="5">
        <v>0.3</v>
      </c>
      <c r="AB82">
        <f t="shared" si="15"/>
        <v>62025.226087322859</v>
      </c>
      <c r="AC82">
        <f t="shared" si="21"/>
        <v>23954.246998156133</v>
      </c>
      <c r="AD82" s="5">
        <v>0.2</v>
      </c>
      <c r="AE82">
        <f t="shared" si="16"/>
        <v>4790.8493996312272</v>
      </c>
      <c r="AF82">
        <f t="shared" si="17"/>
        <v>1</v>
      </c>
    </row>
    <row r="83" spans="1:32" x14ac:dyDescent="0.25">
      <c r="A83" s="2">
        <v>82</v>
      </c>
      <c r="B83">
        <f t="shared" si="12"/>
        <v>509.71122100611188</v>
      </c>
      <c r="C83" s="5">
        <v>0.08</v>
      </c>
      <c r="D83">
        <f t="shared" si="13"/>
        <v>3598.5612203031533</v>
      </c>
      <c r="Q83">
        <f t="shared" si="14"/>
        <v>3598.5612203031651</v>
      </c>
      <c r="R83">
        <f t="shared" si="18"/>
        <v>179.20011323303999</v>
      </c>
      <c r="S83">
        <f t="shared" si="19"/>
        <v>20096.173252292607</v>
      </c>
      <c r="T83" s="5">
        <v>0.08</v>
      </c>
      <c r="V83">
        <f>SUM($R$2:R83)</f>
        <v>7411.4722306119966</v>
      </c>
      <c r="W83">
        <f t="shared" si="20"/>
        <v>15.627445347724869</v>
      </c>
      <c r="Z83">
        <f t="shared" si="22"/>
        <v>2.3599517880644048E-2</v>
      </c>
      <c r="AA83" s="5">
        <v>0.3</v>
      </c>
      <c r="AB83">
        <f t="shared" si="15"/>
        <v>66987.244174308697</v>
      </c>
      <c r="AC83">
        <f t="shared" si="21"/>
        <v>25391.501818045504</v>
      </c>
      <c r="AD83" s="5">
        <v>0.2</v>
      </c>
      <c r="AE83">
        <f t="shared" si="16"/>
        <v>5078.3003636091016</v>
      </c>
      <c r="AF83">
        <f t="shared" si="17"/>
        <v>1</v>
      </c>
    </row>
    <row r="84" spans="1:32" x14ac:dyDescent="0.25">
      <c r="A84" s="2">
        <v>83</v>
      </c>
      <c r="B84">
        <f t="shared" si="12"/>
        <v>550.48811868660084</v>
      </c>
      <c r="C84" s="5">
        <v>0.08</v>
      </c>
      <c r="D84">
        <f t="shared" si="13"/>
        <v>3886.4461179274058</v>
      </c>
      <c r="Q84">
        <f t="shared" si="14"/>
        <v>3886.4461179274185</v>
      </c>
      <c r="R84">
        <f t="shared" si="18"/>
        <v>182.58124744498417</v>
      </c>
      <c r="S84">
        <f t="shared" si="19"/>
        <v>21703.867112476019</v>
      </c>
      <c r="T84" s="5">
        <v>0.08</v>
      </c>
      <c r="V84">
        <f>SUM($R$2:R84)</f>
        <v>7594.0534780569806</v>
      </c>
      <c r="W84">
        <f t="shared" si="20"/>
        <v>16.01242668168722</v>
      </c>
      <c r="Z84">
        <f t="shared" si="22"/>
        <v>2.1851405445040779E-2</v>
      </c>
      <c r="AA84" s="5">
        <v>0.3</v>
      </c>
      <c r="AB84">
        <f t="shared" si="15"/>
        <v>72346.223708253397</v>
      </c>
      <c r="AC84">
        <f t="shared" si="21"/>
        <v>26914.991927128238</v>
      </c>
      <c r="AD84" s="5">
        <v>0.2</v>
      </c>
      <c r="AE84">
        <f t="shared" si="16"/>
        <v>5382.9983854256479</v>
      </c>
      <c r="AF84">
        <f t="shared" si="17"/>
        <v>1</v>
      </c>
    </row>
    <row r="85" spans="1:32" x14ac:dyDescent="0.25">
      <c r="A85" s="2">
        <v>84</v>
      </c>
      <c r="B85">
        <f t="shared" si="12"/>
        <v>594.52716818152885</v>
      </c>
      <c r="C85" s="5">
        <v>0.08</v>
      </c>
      <c r="D85">
        <f t="shared" si="13"/>
        <v>4197.361807361598</v>
      </c>
      <c r="Q85">
        <f t="shared" si="14"/>
        <v>4197.3618073616126</v>
      </c>
      <c r="R85">
        <f t="shared" si="18"/>
        <v>186.02617664205931</v>
      </c>
      <c r="S85">
        <f t="shared" si="19"/>
        <v>23440.1764814741</v>
      </c>
      <c r="T85" s="5">
        <v>0.08</v>
      </c>
      <c r="V85">
        <f>SUM($R$2:R85)</f>
        <v>7780.0796546990396</v>
      </c>
      <c r="W85">
        <f t="shared" si="20"/>
        <v>16.404671814403574</v>
      </c>
      <c r="Z85">
        <f t="shared" si="22"/>
        <v>2.0232782819482206E-2</v>
      </c>
      <c r="AA85" s="5">
        <v>0.3</v>
      </c>
      <c r="AB85">
        <f t="shared" si="15"/>
        <v>78133.921604913674</v>
      </c>
      <c r="AC85">
        <f t="shared" si="21"/>
        <v>28529.891442755932</v>
      </c>
      <c r="AD85" s="5">
        <v>0.2</v>
      </c>
      <c r="AE85">
        <f t="shared" si="16"/>
        <v>5705.9782885511868</v>
      </c>
      <c r="AF85">
        <f t="shared" si="17"/>
        <v>1</v>
      </c>
    </row>
    <row r="86" spans="1:32" x14ac:dyDescent="0.25">
      <c r="A86" s="2">
        <v>85</v>
      </c>
      <c r="B86">
        <f t="shared" si="12"/>
        <v>642.08934163605113</v>
      </c>
      <c r="C86" s="5">
        <v>0.08</v>
      </c>
      <c r="D86">
        <f t="shared" si="13"/>
        <v>4533.1507519505258</v>
      </c>
      <c r="Q86">
        <f t="shared" si="14"/>
        <v>4533.1507519505412</v>
      </c>
      <c r="R86">
        <f t="shared" si="18"/>
        <v>189.53610450323023</v>
      </c>
      <c r="S86">
        <f t="shared" si="19"/>
        <v>25315.390599992028</v>
      </c>
      <c r="T86" s="5">
        <v>0.08</v>
      </c>
      <c r="V86">
        <f>SUM($R$2:R86)</f>
        <v>7969.6157592022701</v>
      </c>
      <c r="W86">
        <f t="shared" si="20"/>
        <v>16.804317798680618</v>
      </c>
      <c r="Z86">
        <f t="shared" si="22"/>
        <v>1.8734058166187225E-2</v>
      </c>
      <c r="AA86" s="5">
        <v>0.3</v>
      </c>
      <c r="AB86">
        <f t="shared" si="15"/>
        <v>84384.635333306767</v>
      </c>
      <c r="AC86">
        <f t="shared" si="21"/>
        <v>30241.684929321291</v>
      </c>
      <c r="AD86" s="5">
        <v>0.2</v>
      </c>
      <c r="AE86">
        <f t="shared" si="16"/>
        <v>6048.3369858642582</v>
      </c>
      <c r="AF86">
        <f t="shared" si="17"/>
        <v>1</v>
      </c>
    </row>
    <row r="87" spans="1:32" x14ac:dyDescent="0.25">
      <c r="A87" s="2">
        <v>86</v>
      </c>
      <c r="B87">
        <f t="shared" si="12"/>
        <v>693.45648896693524</v>
      </c>
      <c r="C87" s="5">
        <v>0.08</v>
      </c>
      <c r="D87">
        <f t="shared" si="13"/>
        <v>4895.8028121065681</v>
      </c>
      <c r="Q87">
        <f t="shared" si="14"/>
        <v>4895.8028121065854</v>
      </c>
      <c r="R87">
        <f t="shared" si="18"/>
        <v>193.1122574183855</v>
      </c>
      <c r="S87">
        <f t="shared" si="19"/>
        <v>27340.621847991391</v>
      </c>
      <c r="T87" s="5">
        <v>0.08</v>
      </c>
      <c r="V87">
        <f>SUM($R$2:R87)</f>
        <v>8162.7280166206556</v>
      </c>
      <c r="W87">
        <f t="shared" si="20"/>
        <v>17.211504273227039</v>
      </c>
      <c r="Z87">
        <f t="shared" si="22"/>
        <v>1.734635015387706E-2</v>
      </c>
      <c r="AA87" s="5">
        <v>0.3</v>
      </c>
      <c r="AB87">
        <f t="shared" si="15"/>
        <v>91135.406159971302</v>
      </c>
      <c r="AC87">
        <f t="shared" si="21"/>
        <v>32056.186025080569</v>
      </c>
      <c r="AD87" s="5">
        <v>0.2</v>
      </c>
      <c r="AE87">
        <f t="shared" si="16"/>
        <v>6411.2372050161139</v>
      </c>
      <c r="AF87">
        <f t="shared" si="17"/>
        <v>1</v>
      </c>
    </row>
    <row r="88" spans="1:32" x14ac:dyDescent="0.25">
      <c r="A88" s="2">
        <v>87</v>
      </c>
      <c r="B88">
        <f t="shared" si="12"/>
        <v>748.93300808429001</v>
      </c>
      <c r="C88" s="5">
        <v>0.08</v>
      </c>
      <c r="D88">
        <f t="shared" si="13"/>
        <v>5287.4670370750937</v>
      </c>
      <c r="Q88">
        <f t="shared" si="14"/>
        <v>5287.4670370751119</v>
      </c>
      <c r="R88">
        <f t="shared" si="18"/>
        <v>196.75588491684559</v>
      </c>
      <c r="S88">
        <f t="shared" si="19"/>
        <v>29527.871595830704</v>
      </c>
      <c r="T88" s="5">
        <v>0.08</v>
      </c>
      <c r="V88">
        <f>SUM($R$2:R88)</f>
        <v>8359.4839015375019</v>
      </c>
      <c r="W88">
        <f t="shared" si="20"/>
        <v>17.62637351144415</v>
      </c>
      <c r="Z88">
        <f t="shared" si="22"/>
        <v>1.6061435327663943E-2</v>
      </c>
      <c r="AA88" s="5">
        <v>0.3</v>
      </c>
      <c r="AB88">
        <f t="shared" si="15"/>
        <v>98426.238652769011</v>
      </c>
      <c r="AC88">
        <f t="shared" si="21"/>
        <v>33979.557186585407</v>
      </c>
      <c r="AD88" s="5">
        <v>0.2</v>
      </c>
      <c r="AE88">
        <f t="shared" si="16"/>
        <v>6795.9114373170814</v>
      </c>
      <c r="AF88">
        <f t="shared" si="17"/>
        <v>1</v>
      </c>
    </row>
    <row r="89" spans="1:32" x14ac:dyDescent="0.25">
      <c r="A89" s="2">
        <v>88</v>
      </c>
      <c r="B89">
        <f t="shared" si="12"/>
        <v>808.84764873103325</v>
      </c>
      <c r="C89" s="5">
        <v>0.08</v>
      </c>
      <c r="D89">
        <f t="shared" si="13"/>
        <v>5710.4644000411008</v>
      </c>
      <c r="Q89">
        <f t="shared" si="14"/>
        <v>5710.4644000411217</v>
      </c>
      <c r="R89">
        <f t="shared" si="18"/>
        <v>200.46826010395588</v>
      </c>
      <c r="S89">
        <f t="shared" si="19"/>
        <v>31890.101323497162</v>
      </c>
      <c r="T89" s="5">
        <v>0.08</v>
      </c>
      <c r="V89">
        <f>SUM($R$2:R89)</f>
        <v>8559.9521616414586</v>
      </c>
      <c r="W89">
        <f t="shared" si="20"/>
        <v>18.049070471137053</v>
      </c>
      <c r="Z89">
        <f t="shared" si="22"/>
        <v>1.4871699377466614E-2</v>
      </c>
      <c r="AA89" s="5">
        <v>0.3</v>
      </c>
      <c r="AB89">
        <f t="shared" si="15"/>
        <v>106300.33774499054</v>
      </c>
      <c r="AC89">
        <f t="shared" si="21"/>
        <v>36018.330617780535</v>
      </c>
      <c r="AD89" s="5">
        <v>0.2</v>
      </c>
      <c r="AE89">
        <f t="shared" si="16"/>
        <v>7203.6661235561078</v>
      </c>
      <c r="AF89">
        <f t="shared" si="17"/>
        <v>1</v>
      </c>
    </row>
    <row r="90" spans="1:32" x14ac:dyDescent="0.25">
      <c r="A90" s="2">
        <v>89</v>
      </c>
      <c r="B90">
        <f t="shared" si="12"/>
        <v>873.55546062951589</v>
      </c>
      <c r="C90" s="5">
        <v>0.08</v>
      </c>
      <c r="D90">
        <f t="shared" si="13"/>
        <v>6167.3015520443887</v>
      </c>
      <c r="Q90">
        <f t="shared" si="14"/>
        <v>6167.3015520444114</v>
      </c>
      <c r="R90">
        <f t="shared" si="18"/>
        <v>204.25068010591735</v>
      </c>
      <c r="S90">
        <f t="shared" si="19"/>
        <v>34441.309429376939</v>
      </c>
      <c r="T90" s="5">
        <v>0.08</v>
      </c>
      <c r="V90">
        <f>SUM($R$2:R90)</f>
        <v>8764.2028417473757</v>
      </c>
      <c r="W90">
        <f t="shared" si="20"/>
        <v>18.479742845163784</v>
      </c>
      <c r="Z90">
        <f t="shared" si="22"/>
        <v>1.377009201617279E-2</v>
      </c>
      <c r="AA90" s="5">
        <v>0.3</v>
      </c>
      <c r="AB90">
        <f t="shared" si="15"/>
        <v>114804.3647645898</v>
      </c>
      <c r="AC90">
        <f t="shared" si="21"/>
        <v>38179.430454847366</v>
      </c>
      <c r="AD90" s="5">
        <v>0.2</v>
      </c>
      <c r="AE90">
        <f t="shared" si="16"/>
        <v>7635.886090969474</v>
      </c>
      <c r="AF90">
        <f t="shared" si="17"/>
        <v>1</v>
      </c>
    </row>
    <row r="91" spans="1:32" x14ac:dyDescent="0.25">
      <c r="A91" s="2">
        <v>90</v>
      </c>
      <c r="B91">
        <f t="shared" si="12"/>
        <v>943.43989747987712</v>
      </c>
      <c r="C91" s="5">
        <v>0.08</v>
      </c>
      <c r="D91">
        <f t="shared" si="13"/>
        <v>6660.6856762079397</v>
      </c>
      <c r="Q91">
        <f t="shared" si="14"/>
        <v>6660.6856762079651</v>
      </c>
      <c r="R91">
        <f t="shared" si="18"/>
        <v>208.10446652301019</v>
      </c>
      <c r="S91">
        <f t="shared" si="19"/>
        <v>37196.614183727099</v>
      </c>
      <c r="T91" s="5">
        <v>0.08</v>
      </c>
      <c r="V91">
        <f>SUM($R$2:R91)</f>
        <v>8972.3073082703868</v>
      </c>
      <c r="W91">
        <f t="shared" si="20"/>
        <v>18.918541113040078</v>
      </c>
      <c r="Z91">
        <f t="shared" si="22"/>
        <v>1.2750085200159989E-2</v>
      </c>
      <c r="AA91" s="5">
        <v>0.3</v>
      </c>
      <c r="AB91">
        <f t="shared" si="15"/>
        <v>123988.713945757</v>
      </c>
      <c r="AC91">
        <f t="shared" si="21"/>
        <v>40470.196282138211</v>
      </c>
      <c r="AD91" s="5">
        <v>0.2</v>
      </c>
      <c r="AE91">
        <f t="shared" si="16"/>
        <v>8094.0392564276426</v>
      </c>
      <c r="AF91">
        <f t="shared" si="17"/>
        <v>1</v>
      </c>
    </row>
    <row r="92" spans="1:32" x14ac:dyDescent="0.25">
      <c r="A92" s="2">
        <v>91</v>
      </c>
      <c r="B92">
        <f t="shared" si="12"/>
        <v>1018.9150892782673</v>
      </c>
      <c r="C92" s="5">
        <v>0.08</v>
      </c>
      <c r="D92">
        <f t="shared" si="13"/>
        <v>7193.5405303045745</v>
      </c>
      <c r="Q92">
        <f t="shared" si="14"/>
        <v>7193.5405303046018</v>
      </c>
      <c r="R92">
        <f t="shared" si="18"/>
        <v>212.03096589136888</v>
      </c>
      <c r="S92">
        <f t="shared" si="19"/>
        <v>40172.343318425272</v>
      </c>
      <c r="T92" s="5">
        <v>0.08</v>
      </c>
      <c r="V92">
        <f>SUM($R$2:R92)</f>
        <v>9184.3382741617552</v>
      </c>
      <c r="W92">
        <f t="shared" si="20"/>
        <v>19.365618593517809</v>
      </c>
      <c r="Z92">
        <f t="shared" si="22"/>
        <v>1.180563444459258E-2</v>
      </c>
      <c r="AA92" s="5">
        <v>0.3</v>
      </c>
      <c r="AB92">
        <f t="shared" si="15"/>
        <v>133907.81106141757</v>
      </c>
      <c r="AC92">
        <f t="shared" si="21"/>
        <v>42898.408059066503</v>
      </c>
      <c r="AD92" s="5">
        <v>0.2</v>
      </c>
      <c r="AE92">
        <f t="shared" si="16"/>
        <v>8579.6816118133011</v>
      </c>
      <c r="AF92">
        <f t="shared" si="17"/>
        <v>1</v>
      </c>
    </row>
    <row r="93" spans="1:32" x14ac:dyDescent="0.25">
      <c r="A93" s="2">
        <v>92</v>
      </c>
      <c r="B93">
        <f t="shared" si="12"/>
        <v>1100.4282964205286</v>
      </c>
      <c r="C93" s="5">
        <v>0.08</v>
      </c>
      <c r="D93">
        <f t="shared" si="13"/>
        <v>7769.0237727289405</v>
      </c>
      <c r="Q93">
        <f t="shared" si="14"/>
        <v>7769.0237727289696</v>
      </c>
      <c r="R93">
        <f t="shared" si="18"/>
        <v>216.03155015347014</v>
      </c>
      <c r="S93">
        <f t="shared" si="19"/>
        <v>43386.130783899294</v>
      </c>
      <c r="T93" s="5">
        <v>0.08</v>
      </c>
      <c r="V93">
        <f>SUM($R$2:R93)</f>
        <v>9400.3698243152248</v>
      </c>
      <c r="W93">
        <f t="shared" si="20"/>
        <v>19.821131498155495</v>
      </c>
      <c r="Z93">
        <f t="shared" si="22"/>
        <v>1.0931143004252389E-2</v>
      </c>
      <c r="AA93" s="5">
        <v>0.3</v>
      </c>
      <c r="AB93">
        <f t="shared" si="15"/>
        <v>144620.43594633098</v>
      </c>
      <c r="AC93">
        <f t="shared" si="21"/>
        <v>45472.312542610496</v>
      </c>
      <c r="AD93" s="5">
        <v>0.2</v>
      </c>
      <c r="AE93">
        <f t="shared" si="16"/>
        <v>9094.4625085220996</v>
      </c>
      <c r="AF93">
        <f t="shared" si="17"/>
        <v>1</v>
      </c>
    </row>
    <row r="94" spans="1:32" x14ac:dyDescent="0.25">
      <c r="A94" s="2">
        <v>93</v>
      </c>
      <c r="B94">
        <f t="shared" si="12"/>
        <v>1188.4625601341709</v>
      </c>
      <c r="C94" s="5">
        <v>0.08</v>
      </c>
      <c r="D94">
        <f t="shared" si="13"/>
        <v>8390.5456745472547</v>
      </c>
      <c r="Q94">
        <f t="shared" si="14"/>
        <v>8390.5456745472875</v>
      </c>
      <c r="R94">
        <f t="shared" si="18"/>
        <v>220.1076171374979</v>
      </c>
      <c r="S94">
        <f t="shared" si="19"/>
        <v>46857.021246611243</v>
      </c>
      <c r="T94" s="5">
        <v>0.08</v>
      </c>
      <c r="V94">
        <f>SUM($R$2:R94)</f>
        <v>9620.4774414527219</v>
      </c>
      <c r="W94">
        <f t="shared" si="20"/>
        <v>20.285238985899554</v>
      </c>
      <c r="Z94">
        <f t="shared" si="22"/>
        <v>1.01214287076411E-2</v>
      </c>
      <c r="AA94" s="5">
        <v>0.3</v>
      </c>
      <c r="AB94">
        <f t="shared" si="15"/>
        <v>156190.07082203749</v>
      </c>
      <c r="AC94">
        <f t="shared" si="21"/>
        <v>48200.651295167125</v>
      </c>
      <c r="AD94" s="5">
        <v>0.2</v>
      </c>
      <c r="AE94">
        <f t="shared" si="16"/>
        <v>9640.1302590334253</v>
      </c>
      <c r="AF94">
        <f t="shared" si="17"/>
        <v>1</v>
      </c>
    </row>
    <row r="95" spans="1:32" x14ac:dyDescent="0.25">
      <c r="A95" s="2">
        <v>94</v>
      </c>
      <c r="B95">
        <f t="shared" si="12"/>
        <v>1283.5395649449044</v>
      </c>
      <c r="C95" s="5">
        <v>0.08</v>
      </c>
      <c r="D95">
        <f t="shared" si="13"/>
        <v>9061.7893285110349</v>
      </c>
      <c r="Q95">
        <f t="shared" si="14"/>
        <v>9061.7893285110713</v>
      </c>
      <c r="R95">
        <f t="shared" si="18"/>
        <v>224.26059104575256</v>
      </c>
      <c r="S95">
        <f t="shared" si="19"/>
        <v>50605.582946340146</v>
      </c>
      <c r="T95" s="5">
        <v>0.08</v>
      </c>
      <c r="V95">
        <f>SUM($R$2:R95)</f>
        <v>9844.7380324984751</v>
      </c>
      <c r="W95">
        <f t="shared" si="20"/>
        <v>20.758103218695389</v>
      </c>
      <c r="Z95">
        <f t="shared" si="22"/>
        <v>9.3716932478158325E-3</v>
      </c>
      <c r="AA95" s="5">
        <v>0.3</v>
      </c>
      <c r="AB95">
        <f t="shared" si="15"/>
        <v>168685.2764878005</v>
      </c>
      <c r="AC95">
        <f t="shared" si="21"/>
        <v>51092.690372877158</v>
      </c>
      <c r="AD95" s="5">
        <v>0.2</v>
      </c>
      <c r="AE95">
        <f t="shared" si="16"/>
        <v>10218.538074575432</v>
      </c>
      <c r="AF95">
        <f t="shared" si="17"/>
        <v>1</v>
      </c>
    </row>
    <row r="96" spans="1:32" x14ac:dyDescent="0.25">
      <c r="A96" s="2">
        <v>95</v>
      </c>
      <c r="B96">
        <f t="shared" si="12"/>
        <v>1386.2227301404969</v>
      </c>
      <c r="C96" s="5">
        <v>0.08</v>
      </c>
      <c r="D96">
        <f t="shared" si="13"/>
        <v>9786.7324747919174</v>
      </c>
      <c r="Q96">
        <f t="shared" si="14"/>
        <v>9786.7324747919592</v>
      </c>
      <c r="R96">
        <f t="shared" si="18"/>
        <v>228.49192295227621</v>
      </c>
      <c r="S96">
        <f t="shared" si="19"/>
        <v>54654.029582047362</v>
      </c>
      <c r="T96" s="5">
        <v>0.08</v>
      </c>
      <c r="V96">
        <f>SUM($R$2:R96)</f>
        <v>10073.229955450752</v>
      </c>
      <c r="W96">
        <f t="shared" si="20"/>
        <v>21.239889418147751</v>
      </c>
      <c r="Z96">
        <f t="shared" si="22"/>
        <v>8.6774937479776222E-3</v>
      </c>
      <c r="AA96" s="5">
        <v>0.3</v>
      </c>
      <c r="AB96">
        <f t="shared" si="15"/>
        <v>182180.09860682455</v>
      </c>
      <c r="AC96">
        <f t="shared" si="21"/>
        <v>54158.251795249787</v>
      </c>
      <c r="AD96" s="5">
        <v>0.2</v>
      </c>
      <c r="AE96">
        <f t="shared" si="16"/>
        <v>10831.650359049958</v>
      </c>
      <c r="AF96">
        <f t="shared" si="17"/>
        <v>1</v>
      </c>
    </row>
    <row r="97" spans="1:32" x14ac:dyDescent="0.25">
      <c r="A97" s="2">
        <v>96</v>
      </c>
      <c r="B97">
        <f t="shared" si="12"/>
        <v>1497.1205485517366</v>
      </c>
      <c r="C97" s="5">
        <v>0.08</v>
      </c>
      <c r="D97">
        <f t="shared" si="13"/>
        <v>10569.671072775271</v>
      </c>
      <c r="Q97">
        <f t="shared" si="14"/>
        <v>10569.671072775316</v>
      </c>
      <c r="R97">
        <f t="shared" si="18"/>
        <v>232.80309130986629</v>
      </c>
      <c r="S97">
        <f t="shared" si="19"/>
        <v>59026.351948611155</v>
      </c>
      <c r="T97" s="5">
        <v>0.08</v>
      </c>
      <c r="V97">
        <f>SUM($R$2:R97)</f>
        <v>10306.033046760618</v>
      </c>
      <c r="W97">
        <f t="shared" si="20"/>
        <v>21.730765923250154</v>
      </c>
      <c r="Z97">
        <f t="shared" si="22"/>
        <v>8.0347164333126123E-3</v>
      </c>
      <c r="AA97" s="5">
        <v>0.3</v>
      </c>
      <c r="AB97">
        <f t="shared" si="15"/>
        <v>196754.50649537053</v>
      </c>
      <c r="AC97">
        <f t="shared" si="21"/>
        <v>57407.746902964776</v>
      </c>
      <c r="AD97" s="5">
        <v>0.2</v>
      </c>
      <c r="AE97">
        <f t="shared" si="16"/>
        <v>11481.549380592956</v>
      </c>
      <c r="AF97">
        <f t="shared" si="17"/>
        <v>1</v>
      </c>
    </row>
    <row r="98" spans="1:32" x14ac:dyDescent="0.25">
      <c r="A98" s="2">
        <v>97</v>
      </c>
      <c r="B98">
        <f t="shared" si="12"/>
        <v>1616.8901924358756</v>
      </c>
      <c r="C98" s="5">
        <v>0.08</v>
      </c>
      <c r="D98">
        <f t="shared" si="13"/>
        <v>11415.244758597291</v>
      </c>
      <c r="Q98">
        <f t="shared" si="14"/>
        <v>11415.244758597342</v>
      </c>
      <c r="R98">
        <f t="shared" si="18"/>
        <v>237.19560246665628</v>
      </c>
      <c r="S98">
        <f t="shared" si="19"/>
        <v>63748.460104500053</v>
      </c>
      <c r="T98" s="5">
        <v>0.08</v>
      </c>
      <c r="V98">
        <f>SUM($R$2:R98)</f>
        <v>10543.228649227274</v>
      </c>
      <c r="W98">
        <f t="shared" si="20"/>
        <v>22.230904249203547</v>
      </c>
      <c r="Z98">
        <f t="shared" si="22"/>
        <v>7.4395522530672333E-3</v>
      </c>
      <c r="AA98" s="5">
        <v>0.3</v>
      </c>
      <c r="AB98">
        <f t="shared" si="15"/>
        <v>212494.86701500017</v>
      </c>
      <c r="AC98">
        <f t="shared" si="21"/>
        <v>60852.211717142665</v>
      </c>
      <c r="AD98" s="5">
        <v>0.2</v>
      </c>
      <c r="AE98">
        <f t="shared" si="16"/>
        <v>12170.442343428535</v>
      </c>
      <c r="AF98">
        <f t="shared" si="17"/>
        <v>1</v>
      </c>
    </row>
    <row r="99" spans="1:32" x14ac:dyDescent="0.25">
      <c r="A99" s="2">
        <v>98</v>
      </c>
      <c r="B99">
        <f t="shared" si="12"/>
        <v>1746.2414078307456</v>
      </c>
      <c r="C99" s="5">
        <v>0.08</v>
      </c>
      <c r="D99">
        <f t="shared" si="13"/>
        <v>12328.464339285074</v>
      </c>
      <c r="Q99">
        <f t="shared" si="14"/>
        <v>12328.464339285129</v>
      </c>
      <c r="R99">
        <f t="shared" si="18"/>
        <v>241.67099119244227</v>
      </c>
      <c r="S99">
        <f t="shared" si="19"/>
        <v>68848.336912860061</v>
      </c>
      <c r="T99" s="5">
        <v>0.08</v>
      </c>
      <c r="V99">
        <f>SUM($R$2:R99)</f>
        <v>10784.899640419717</v>
      </c>
      <c r="W99">
        <f t="shared" si="20"/>
        <v>22.740479147344743</v>
      </c>
      <c r="Z99">
        <f t="shared" si="22"/>
        <v>6.8884743083955854E-3</v>
      </c>
      <c r="AA99" s="5">
        <v>0.3</v>
      </c>
      <c r="AB99">
        <f t="shared" si="15"/>
        <v>229494.45637620022</v>
      </c>
      <c r="AC99">
        <f t="shared" si="21"/>
        <v>64503.344420171226</v>
      </c>
      <c r="AD99" s="5">
        <v>0.2</v>
      </c>
      <c r="AE99">
        <f t="shared" si="16"/>
        <v>12900.668884034247</v>
      </c>
      <c r="AF99">
        <f t="shared" si="17"/>
        <v>1</v>
      </c>
    </row>
    <row r="100" spans="1:32" x14ac:dyDescent="0.25">
      <c r="A100" s="2">
        <v>99</v>
      </c>
      <c r="B100">
        <f t="shared" si="12"/>
        <v>1885.9407204572053</v>
      </c>
      <c r="C100" s="5">
        <v>0.08</v>
      </c>
      <c r="D100">
        <f t="shared" si="13"/>
        <v>13314.74148642788</v>
      </c>
      <c r="Q100">
        <f t="shared" si="14"/>
        <v>13314.74148642794</v>
      </c>
      <c r="R100">
        <f t="shared" si="18"/>
        <v>246.23082121494116</v>
      </c>
      <c r="S100">
        <f t="shared" si="19"/>
        <v>74356.203865888863</v>
      </c>
      <c r="T100" s="5">
        <v>0.08</v>
      </c>
      <c r="V100">
        <f>SUM($R$2:R100)</f>
        <v>11031.130461634659</v>
      </c>
      <c r="W100">
        <f t="shared" si="20"/>
        <v>23.259668666205581</v>
      </c>
      <c r="Z100">
        <f t="shared" si="22"/>
        <v>6.378216952218135E-3</v>
      </c>
      <c r="AA100" s="5">
        <v>0.3</v>
      </c>
      <c r="AB100">
        <f t="shared" si="15"/>
        <v>247854.01288629623</v>
      </c>
      <c r="AC100">
        <f t="shared" si="21"/>
        <v>68373.545085381498</v>
      </c>
      <c r="AD100" s="5">
        <v>0.2</v>
      </c>
      <c r="AE100">
        <f t="shared" si="16"/>
        <v>13674.7090170763</v>
      </c>
      <c r="AF100">
        <f t="shared" si="17"/>
        <v>1</v>
      </c>
    </row>
    <row r="101" spans="1:32" x14ac:dyDescent="0.25">
      <c r="A101" s="2">
        <v>100</v>
      </c>
      <c r="B101">
        <f t="shared" si="12"/>
        <v>2036.8159780937817</v>
      </c>
      <c r="C101" s="5">
        <v>0.08</v>
      </c>
      <c r="D101">
        <f t="shared" si="13"/>
        <v>14379.92080534211</v>
      </c>
      <c r="Q101">
        <f t="shared" si="14"/>
        <v>14379.920805342177</v>
      </c>
      <c r="R101">
        <f t="shared" si="18"/>
        <v>250.87668576616642</v>
      </c>
      <c r="S101">
        <f t="shared" si="19"/>
        <v>80304.700175159975</v>
      </c>
      <c r="T101" s="5">
        <v>0.08</v>
      </c>
      <c r="V101">
        <f>SUM($R$2:R101)</f>
        <v>11282.007147400825</v>
      </c>
      <c r="W101">
        <f t="shared" si="20"/>
        <v>23.788654213724172</v>
      </c>
      <c r="Z101">
        <f t="shared" si="22"/>
        <v>5.9057564372390139E-3</v>
      </c>
      <c r="AA101" s="5">
        <v>0.3</v>
      </c>
      <c r="AB101">
        <f t="shared" si="15"/>
        <v>267682.33391719993</v>
      </c>
      <c r="AC101">
        <f t="shared" si="21"/>
        <v>72475.957790504399</v>
      </c>
      <c r="AD101" s="5">
        <v>0.2</v>
      </c>
      <c r="AE101">
        <f t="shared" si="16"/>
        <v>14495.19155810088</v>
      </c>
      <c r="AF101">
        <f t="shared" si="17"/>
        <v>1</v>
      </c>
    </row>
    <row r="102" spans="1:32" x14ac:dyDescent="0.25">
      <c r="A102" s="2">
        <v>101</v>
      </c>
      <c r="B102">
        <f t="shared" ref="B102:B165" si="23">B101+B101*C101</f>
        <v>2199.761256341284</v>
      </c>
      <c r="C102" s="5">
        <v>0.08</v>
      </c>
      <c r="D102">
        <f t="shared" ref="D102:D165" si="24">D101+D101*C101</f>
        <v>15530.314469769479</v>
      </c>
      <c r="Q102">
        <f t="shared" ref="Q102:Q165" si="25">$D$2*((1+$C$2)^A101)</f>
        <v>15530.314469769553</v>
      </c>
      <c r="R102">
        <f t="shared" ref="R102:R165" si="26">S102/((1+$U$2)^A101)</f>
        <v>255.61020813911296</v>
      </c>
      <c r="S102">
        <f t="shared" ref="S102:S165" si="27">S101*(1+T101)</f>
        <v>86729.076189172774</v>
      </c>
      <c r="T102" s="5">
        <v>0.08</v>
      </c>
      <c r="V102">
        <f>SUM($R$2:R102)</f>
        <v>11537.617355539938</v>
      </c>
      <c r="W102">
        <f t="shared" ref="W102:W165" si="28">V102/$W$2</f>
        <v>24.327620620629904</v>
      </c>
      <c r="Z102">
        <f t="shared" si="22"/>
        <v>5.468292997443531E-3</v>
      </c>
      <c r="AA102" s="5">
        <v>0.3</v>
      </c>
      <c r="AB102">
        <f t="shared" si="15"/>
        <v>289096.92063057591</v>
      </c>
      <c r="AC102">
        <f t="shared" si="21"/>
        <v>76824.515257934661</v>
      </c>
      <c r="AD102" s="5">
        <v>0.2</v>
      </c>
      <c r="AE102">
        <f t="shared" si="16"/>
        <v>15364.903051586933</v>
      </c>
      <c r="AF102">
        <f t="shared" si="17"/>
        <v>1</v>
      </c>
    </row>
    <row r="103" spans="1:32" x14ac:dyDescent="0.25">
      <c r="A103" s="2">
        <v>102</v>
      </c>
      <c r="B103">
        <f t="shared" si="23"/>
        <v>2375.7421568485865</v>
      </c>
      <c r="C103" s="5">
        <v>0.08</v>
      </c>
      <c r="D103">
        <f t="shared" si="24"/>
        <v>16772.739627351039</v>
      </c>
      <c r="Q103">
        <f t="shared" si="25"/>
        <v>16772.739627351115</v>
      </c>
      <c r="R103">
        <f t="shared" si="26"/>
        <v>260.43304225494529</v>
      </c>
      <c r="S103">
        <f t="shared" si="27"/>
        <v>93667.402284306605</v>
      </c>
      <c r="T103" s="5">
        <v>0.08</v>
      </c>
      <c r="V103">
        <f>SUM($R$2:R103)</f>
        <v>11798.050397794883</v>
      </c>
      <c r="W103">
        <f t="shared" si="28"/>
        <v>24.876756205024424</v>
      </c>
      <c r="Z103">
        <f t="shared" si="22"/>
        <v>5.0632342568921584E-3</v>
      </c>
      <c r="AA103" s="5">
        <v>0.3</v>
      </c>
      <c r="AB103">
        <f t="shared" si="15"/>
        <v>312224.67428102205</v>
      </c>
      <c r="AC103">
        <f t="shared" si="21"/>
        <v>81433.98617341074</v>
      </c>
      <c r="AD103" s="5">
        <v>0.2</v>
      </c>
      <c r="AE103">
        <f t="shared" si="16"/>
        <v>16286.797234682148</v>
      </c>
      <c r="AF103">
        <f t="shared" si="17"/>
        <v>1</v>
      </c>
    </row>
    <row r="104" spans="1:32" x14ac:dyDescent="0.25">
      <c r="A104" s="2">
        <v>103</v>
      </c>
      <c r="B104">
        <f t="shared" si="23"/>
        <v>2565.8015293964736</v>
      </c>
      <c r="C104" s="5">
        <v>0.08</v>
      </c>
      <c r="D104">
        <f t="shared" si="24"/>
        <v>18114.558797539121</v>
      </c>
      <c r="Q104">
        <f t="shared" si="25"/>
        <v>18114.558797539208</v>
      </c>
      <c r="R104">
        <f t="shared" si="26"/>
        <v>265.34687324088759</v>
      </c>
      <c r="S104">
        <f t="shared" si="27"/>
        <v>101160.79446705114</v>
      </c>
      <c r="T104" s="5">
        <v>0.08</v>
      </c>
      <c r="V104">
        <f>SUM($R$2:R104)</f>
        <v>12063.39727103577</v>
      </c>
      <c r="W104">
        <f t="shared" si="28"/>
        <v>25.436252838181105</v>
      </c>
      <c r="Z104">
        <f t="shared" si="22"/>
        <v>4.6881798674927389E-3</v>
      </c>
      <c r="AA104" s="5">
        <v>0.3</v>
      </c>
      <c r="AB104">
        <f t="shared" si="15"/>
        <v>337202.64822350378</v>
      </c>
      <c r="AC104">
        <f t="shared" si="21"/>
        <v>86320.025343815389</v>
      </c>
      <c r="AD104" s="5">
        <v>0.2</v>
      </c>
      <c r="AE104">
        <f t="shared" si="16"/>
        <v>17264.005068763079</v>
      </c>
      <c r="AF104">
        <f t="shared" si="17"/>
        <v>1</v>
      </c>
    </row>
    <row r="105" spans="1:32" x14ac:dyDescent="0.25">
      <c r="A105" s="2">
        <v>104</v>
      </c>
      <c r="B105">
        <f t="shared" si="23"/>
        <v>2771.0656517481916</v>
      </c>
      <c r="C105" s="5">
        <v>0.08</v>
      </c>
      <c r="D105">
        <f t="shared" si="24"/>
        <v>19563.723501342251</v>
      </c>
      <c r="Q105">
        <f t="shared" si="25"/>
        <v>19563.723501342345</v>
      </c>
      <c r="R105">
        <f t="shared" si="26"/>
        <v>270.35341801901751</v>
      </c>
      <c r="S105">
        <f t="shared" si="27"/>
        <v>109253.65802441523</v>
      </c>
      <c r="T105" s="5">
        <v>0.08</v>
      </c>
      <c r="V105">
        <f>SUM($R$2:R105)</f>
        <v>12333.750689054788</v>
      </c>
      <c r="W105">
        <f t="shared" si="28"/>
        <v>26.006306011586027</v>
      </c>
      <c r="Z105">
        <f t="shared" si="22"/>
        <v>4.3409072847154992E-3</v>
      </c>
      <c r="AA105" s="5">
        <v>0.3</v>
      </c>
      <c r="AB105">
        <f t="shared" si="15"/>
        <v>364178.86008138413</v>
      </c>
      <c r="AC105">
        <f t="shared" si="21"/>
        <v>91499.22686444431</v>
      </c>
      <c r="AD105" s="5">
        <v>0.2</v>
      </c>
      <c r="AE105">
        <f t="shared" si="16"/>
        <v>18299.845372888863</v>
      </c>
      <c r="AF105">
        <f t="shared" si="17"/>
        <v>1</v>
      </c>
    </row>
    <row r="106" spans="1:32" x14ac:dyDescent="0.25">
      <c r="A106" s="2">
        <v>105</v>
      </c>
      <c r="B106">
        <f t="shared" si="23"/>
        <v>2992.7509038880471</v>
      </c>
      <c r="C106" s="5">
        <v>0.08</v>
      </c>
      <c r="D106">
        <f t="shared" si="24"/>
        <v>21128.82138144963</v>
      </c>
      <c r="Q106">
        <f t="shared" si="25"/>
        <v>21128.821381449732</v>
      </c>
      <c r="R106">
        <f t="shared" si="26"/>
        <v>275.45442590616886</v>
      </c>
      <c r="S106">
        <f t="shared" si="27"/>
        <v>117993.95066636846</v>
      </c>
      <c r="T106" s="5">
        <v>0.08</v>
      </c>
      <c r="V106">
        <f>SUM($R$2:R106)</f>
        <v>12609.205114960958</v>
      </c>
      <c r="W106">
        <f t="shared" si="28"/>
        <v>26.587114905243872</v>
      </c>
      <c r="Z106">
        <f t="shared" si="22"/>
        <v>4.0193585969587947E-3</v>
      </c>
      <c r="AA106" s="5">
        <v>0.3</v>
      </c>
      <c r="AB106">
        <f t="shared" si="15"/>
        <v>393313.16888789489</v>
      </c>
      <c r="AC106">
        <f t="shared" si="21"/>
        <v>96989.180476310969</v>
      </c>
      <c r="AD106" s="5">
        <v>0.2</v>
      </c>
      <c r="AE106">
        <f t="shared" si="16"/>
        <v>19397.836095262195</v>
      </c>
      <c r="AF106">
        <f t="shared" si="17"/>
        <v>1</v>
      </c>
    </row>
    <row r="107" spans="1:32" x14ac:dyDescent="0.25">
      <c r="A107" s="2">
        <v>106</v>
      </c>
      <c r="B107">
        <f t="shared" si="23"/>
        <v>3232.170976199091</v>
      </c>
      <c r="C107" s="5">
        <v>0.08</v>
      </c>
      <c r="D107">
        <f t="shared" si="24"/>
        <v>22819.127091965602</v>
      </c>
      <c r="Q107">
        <f t="shared" si="25"/>
        <v>22819.127091965714</v>
      </c>
      <c r="R107">
        <f t="shared" si="26"/>
        <v>280.65167922515326</v>
      </c>
      <c r="S107">
        <f t="shared" si="27"/>
        <v>127433.46671967795</v>
      </c>
      <c r="T107" s="5">
        <v>0.08</v>
      </c>
      <c r="V107">
        <f>SUM($R$2:R107)</f>
        <v>12889.856794186111</v>
      </c>
      <c r="W107">
        <f t="shared" si="28"/>
        <v>27.178882457272618</v>
      </c>
      <c r="Z107">
        <f t="shared" si="22"/>
        <v>3.7216283305174023E-3</v>
      </c>
      <c r="AA107" s="5">
        <v>0.3</v>
      </c>
      <c r="AB107">
        <f t="shared" si="15"/>
        <v>424778.2223989265</v>
      </c>
      <c r="AC107">
        <f t="shared" si="21"/>
        <v>102808.53130488964</v>
      </c>
      <c r="AD107" s="5">
        <v>0.2</v>
      </c>
      <c r="AE107">
        <f t="shared" si="16"/>
        <v>20561.706260977928</v>
      </c>
      <c r="AF107">
        <f t="shared" si="17"/>
        <v>1</v>
      </c>
    </row>
    <row r="108" spans="1:32" x14ac:dyDescent="0.25">
      <c r="A108" s="2">
        <v>107</v>
      </c>
      <c r="B108">
        <f t="shared" si="23"/>
        <v>3490.7446542950183</v>
      </c>
      <c r="C108" s="5">
        <v>0.08</v>
      </c>
      <c r="D108">
        <f t="shared" si="24"/>
        <v>24644.657259322848</v>
      </c>
      <c r="Q108">
        <f t="shared" si="25"/>
        <v>24644.657259322968</v>
      </c>
      <c r="R108">
        <f t="shared" si="26"/>
        <v>285.9469939275146</v>
      </c>
      <c r="S108">
        <f t="shared" si="27"/>
        <v>137628.14405725218</v>
      </c>
      <c r="T108" s="5">
        <v>0.08</v>
      </c>
      <c r="V108">
        <f>SUM($R$2:R108)</f>
        <v>13175.803788113626</v>
      </c>
      <c r="W108">
        <f t="shared" si="28"/>
        <v>27.781815434811339</v>
      </c>
      <c r="Z108">
        <f t="shared" si="22"/>
        <v>3.4459521578864838E-3</v>
      </c>
      <c r="AA108" s="5">
        <v>0.3</v>
      </c>
      <c r="AB108">
        <f t="shared" si="15"/>
        <v>458760.48019084061</v>
      </c>
      <c r="AC108">
        <f t="shared" si="21"/>
        <v>108977.04318318302</v>
      </c>
      <c r="AD108" s="5">
        <v>0.2</v>
      </c>
      <c r="AE108">
        <f t="shared" si="16"/>
        <v>21795.408636636606</v>
      </c>
      <c r="AF108">
        <f t="shared" si="17"/>
        <v>1</v>
      </c>
    </row>
    <row r="109" spans="1:32" x14ac:dyDescent="0.25">
      <c r="A109" s="2">
        <v>108</v>
      </c>
      <c r="B109">
        <f t="shared" si="23"/>
        <v>3770.0042266386199</v>
      </c>
      <c r="C109" s="5">
        <v>0.08</v>
      </c>
      <c r="D109">
        <f t="shared" si="24"/>
        <v>26616.229840068678</v>
      </c>
      <c r="Q109">
        <f t="shared" si="25"/>
        <v>26616.229840068805</v>
      </c>
      <c r="R109">
        <f t="shared" si="26"/>
        <v>291.34222022803368</v>
      </c>
      <c r="S109">
        <f t="shared" si="27"/>
        <v>148638.39558183236</v>
      </c>
      <c r="T109" s="5">
        <v>0.08</v>
      </c>
      <c r="V109">
        <f>SUM($R$2:R109)</f>
        <v>13467.14600834166</v>
      </c>
      <c r="W109">
        <f t="shared" si="28"/>
        <v>28.396124506265888</v>
      </c>
      <c r="Z109">
        <f t="shared" si="22"/>
        <v>3.1906964424874848E-3</v>
      </c>
      <c r="AA109" s="5">
        <v>0.3</v>
      </c>
      <c r="AB109">
        <f t="shared" si="15"/>
        <v>495461.3186061079</v>
      </c>
      <c r="AC109">
        <f t="shared" si="21"/>
        <v>115515.66577417401</v>
      </c>
      <c r="AD109" s="5">
        <v>0.2</v>
      </c>
      <c r="AE109">
        <f t="shared" si="16"/>
        <v>23103.133154834803</v>
      </c>
      <c r="AF109">
        <f t="shared" si="17"/>
        <v>1</v>
      </c>
    </row>
    <row r="110" spans="1:32" x14ac:dyDescent="0.25">
      <c r="A110" s="2">
        <v>109</v>
      </c>
      <c r="B110">
        <f t="shared" si="23"/>
        <v>4071.6045647697097</v>
      </c>
      <c r="C110" s="5">
        <v>0.08</v>
      </c>
      <c r="D110">
        <f t="shared" si="24"/>
        <v>28745.528227274172</v>
      </c>
      <c r="Q110">
        <f t="shared" si="25"/>
        <v>28745.528227274317</v>
      </c>
      <c r="R110">
        <f t="shared" si="26"/>
        <v>296.83924325120415</v>
      </c>
      <c r="S110">
        <f t="shared" si="27"/>
        <v>160529.46722837896</v>
      </c>
      <c r="T110" s="5">
        <v>0.08</v>
      </c>
      <c r="V110">
        <f>SUM($R$2:R110)</f>
        <v>13763.985251592865</v>
      </c>
      <c r="W110">
        <f t="shared" si="28"/>
        <v>29.022024314917694</v>
      </c>
      <c r="Z110">
        <f t="shared" si="22"/>
        <v>2.954348557858782E-3</v>
      </c>
      <c r="AA110" s="5">
        <v>0.3</v>
      </c>
      <c r="AB110">
        <f t="shared" si="15"/>
        <v>535098.22409459658</v>
      </c>
      <c r="AC110">
        <f t="shared" si="21"/>
        <v>122446.60572062446</v>
      </c>
      <c r="AD110" s="5">
        <v>0.2</v>
      </c>
      <c r="AE110">
        <f t="shared" si="16"/>
        <v>24489.321144124893</v>
      </c>
      <c r="AF110">
        <f t="shared" si="17"/>
        <v>1</v>
      </c>
    </row>
    <row r="111" spans="1:32" x14ac:dyDescent="0.25">
      <c r="A111" s="2">
        <v>110</v>
      </c>
      <c r="B111">
        <f t="shared" si="23"/>
        <v>4397.3329299512861</v>
      </c>
      <c r="C111" s="5">
        <v>0.08</v>
      </c>
      <c r="D111">
        <f t="shared" si="24"/>
        <v>31045.170485456107</v>
      </c>
      <c r="Q111">
        <f t="shared" si="25"/>
        <v>31045.170485456259</v>
      </c>
      <c r="R111">
        <f t="shared" si="26"/>
        <v>302.43998368990606</v>
      </c>
      <c r="S111">
        <f t="shared" si="27"/>
        <v>173371.82460664929</v>
      </c>
      <c r="T111" s="5">
        <v>0.08</v>
      </c>
      <c r="V111">
        <f>SUM($R$2:R111)</f>
        <v>14066.425235282772</v>
      </c>
      <c r="W111">
        <f t="shared" si="28"/>
        <v>29.65973355392142</v>
      </c>
      <c r="Z111">
        <f t="shared" si="22"/>
        <v>2.7355079239433167E-3</v>
      </c>
      <c r="AA111" s="5">
        <v>0.3</v>
      </c>
      <c r="AB111">
        <f t="shared" si="15"/>
        <v>577906.08202216437</v>
      </c>
      <c r="AC111">
        <f t="shared" si="21"/>
        <v>129793.40206386193</v>
      </c>
      <c r="AD111" s="5">
        <v>0.2</v>
      </c>
      <c r="AE111">
        <f t="shared" si="16"/>
        <v>25958.680412772388</v>
      </c>
      <c r="AF111">
        <f t="shared" si="17"/>
        <v>1</v>
      </c>
    </row>
    <row r="112" spans="1:32" x14ac:dyDescent="0.25">
      <c r="A112" s="2">
        <v>111</v>
      </c>
      <c r="B112">
        <f t="shared" si="23"/>
        <v>4749.1195643473893</v>
      </c>
      <c r="C112" s="5">
        <v>0.08</v>
      </c>
      <c r="D112">
        <f t="shared" si="24"/>
        <v>33528.784124292593</v>
      </c>
      <c r="Q112">
        <f t="shared" si="25"/>
        <v>33528.784124292768</v>
      </c>
      <c r="R112">
        <f t="shared" si="26"/>
        <v>308.14639847650812</v>
      </c>
      <c r="S112">
        <f t="shared" si="27"/>
        <v>187241.57057518125</v>
      </c>
      <c r="T112" s="5">
        <v>0.08</v>
      </c>
      <c r="V112">
        <f>SUM($R$2:R112)</f>
        <v>14374.57163375928</v>
      </c>
      <c r="W112">
        <f t="shared" si="28"/>
        <v>30.309475042717665</v>
      </c>
      <c r="Z112">
        <f t="shared" si="22"/>
        <v>2.5328777073549223E-3</v>
      </c>
      <c r="AA112" s="5">
        <v>0.3</v>
      </c>
      <c r="AB112">
        <f t="shared" si="15"/>
        <v>624138.56858393748</v>
      </c>
      <c r="AC112">
        <f t="shared" si="21"/>
        <v>137581.00618769365</v>
      </c>
      <c r="AD112" s="5">
        <v>0.2</v>
      </c>
      <c r="AE112">
        <f t="shared" si="16"/>
        <v>27516.201237538731</v>
      </c>
      <c r="AF112">
        <f t="shared" si="17"/>
        <v>1</v>
      </c>
    </row>
    <row r="113" spans="1:32" x14ac:dyDescent="0.25">
      <c r="A113" s="2">
        <v>112</v>
      </c>
      <c r="B113">
        <f t="shared" si="23"/>
        <v>5129.0491294951808</v>
      </c>
      <c r="C113" s="5">
        <v>0.08</v>
      </c>
      <c r="D113">
        <f t="shared" si="24"/>
        <v>36211.086854236004</v>
      </c>
      <c r="Q113">
        <f t="shared" si="25"/>
        <v>36211.086854236193</v>
      </c>
      <c r="R113">
        <f t="shared" si="26"/>
        <v>313.96048146663088</v>
      </c>
      <c r="S113">
        <f t="shared" si="27"/>
        <v>202220.89622119576</v>
      </c>
      <c r="T113" s="5">
        <v>0.08</v>
      </c>
      <c r="V113">
        <f>SUM($R$2:R113)</f>
        <v>14688.532115225911</v>
      </c>
      <c r="W113">
        <f t="shared" si="28"/>
        <v>30.971475804887429</v>
      </c>
      <c r="Z113">
        <f t="shared" si="22"/>
        <v>2.3452571364397431E-3</v>
      </c>
      <c r="AA113" s="5">
        <v>0.3</v>
      </c>
      <c r="AB113">
        <f t="shared" si="15"/>
        <v>674069.65407065256</v>
      </c>
      <c r="AC113">
        <f t="shared" si="21"/>
        <v>145835.86655895528</v>
      </c>
      <c r="AD113" s="5">
        <v>0.2</v>
      </c>
      <c r="AE113">
        <f t="shared" si="16"/>
        <v>29167.173311791059</v>
      </c>
      <c r="AF113">
        <f t="shared" si="17"/>
        <v>1</v>
      </c>
    </row>
    <row r="114" spans="1:32" x14ac:dyDescent="0.25">
      <c r="A114" s="2">
        <v>113</v>
      </c>
      <c r="B114">
        <f t="shared" si="23"/>
        <v>5539.3730598547954</v>
      </c>
      <c r="C114" s="5">
        <v>0.08</v>
      </c>
      <c r="D114">
        <f t="shared" si="24"/>
        <v>39107.973802574881</v>
      </c>
      <c r="Q114">
        <f t="shared" si="25"/>
        <v>39107.973802575085</v>
      </c>
      <c r="R114">
        <f t="shared" si="26"/>
        <v>319.88426413581266</v>
      </c>
      <c r="S114">
        <f t="shared" si="27"/>
        <v>218398.56791889144</v>
      </c>
      <c r="T114" s="5">
        <v>0.08</v>
      </c>
      <c r="V114">
        <f>SUM($R$2:R114)</f>
        <v>15008.416379361724</v>
      </c>
      <c r="W114">
        <f t="shared" si="28"/>
        <v>31.645967147475488</v>
      </c>
      <c r="Z114">
        <f t="shared" si="22"/>
        <v>2.1715343855923542E-3</v>
      </c>
      <c r="AA114" s="5">
        <v>0.3</v>
      </c>
      <c r="AB114">
        <f t="shared" si="15"/>
        <v>727995.22639630479</v>
      </c>
      <c r="AC114">
        <f t="shared" si="21"/>
        <v>154586.01855249261</v>
      </c>
      <c r="AD114" s="5">
        <v>0.2</v>
      </c>
      <c r="AE114">
        <f t="shared" si="16"/>
        <v>30917.203710498521</v>
      </c>
      <c r="AF114">
        <f t="shared" si="17"/>
        <v>1</v>
      </c>
    </row>
    <row r="115" spans="1:32" x14ac:dyDescent="0.25">
      <c r="A115" s="2">
        <v>114</v>
      </c>
      <c r="B115">
        <f t="shared" si="23"/>
        <v>5982.5229046431787</v>
      </c>
      <c r="C115" s="5">
        <v>0.08</v>
      </c>
      <c r="D115">
        <f t="shared" si="24"/>
        <v>42236.611706780874</v>
      </c>
      <c r="Q115">
        <f t="shared" si="25"/>
        <v>42236.611706781092</v>
      </c>
      <c r="R115">
        <f t="shared" si="26"/>
        <v>325.91981628931853</v>
      </c>
      <c r="S115">
        <f t="shared" si="27"/>
        <v>235870.45335240278</v>
      </c>
      <c r="T115" s="5">
        <v>0.08</v>
      </c>
      <c r="V115">
        <f>SUM($R$2:R115)</f>
        <v>15334.336195651043</v>
      </c>
      <c r="W115">
        <f t="shared" si="28"/>
        <v>32.333184741810491</v>
      </c>
      <c r="Z115">
        <f t="shared" si="22"/>
        <v>2.010679986659587E-3</v>
      </c>
      <c r="AA115" s="5">
        <v>0.3</v>
      </c>
      <c r="AB115">
        <f t="shared" si="15"/>
        <v>786234.84450800926</v>
      </c>
      <c r="AC115">
        <f t="shared" si="21"/>
        <v>163861.17966564218</v>
      </c>
      <c r="AD115" s="5">
        <v>0.2</v>
      </c>
      <c r="AE115">
        <f t="shared" si="16"/>
        <v>32772.235933128439</v>
      </c>
      <c r="AF115">
        <f t="shared" si="17"/>
        <v>1</v>
      </c>
    </row>
    <row r="116" spans="1:32" x14ac:dyDescent="0.25">
      <c r="A116" s="2">
        <v>115</v>
      </c>
      <c r="B116">
        <f t="shared" si="23"/>
        <v>6461.124737014633</v>
      </c>
      <c r="C116" s="5">
        <v>0.08</v>
      </c>
      <c r="D116">
        <f t="shared" si="24"/>
        <v>45615.540643323344</v>
      </c>
      <c r="Q116">
        <f t="shared" si="25"/>
        <v>45615.540643323584</v>
      </c>
      <c r="R116">
        <f t="shared" si="26"/>
        <v>332.06924678534347</v>
      </c>
      <c r="S116">
        <f t="shared" si="27"/>
        <v>254740.08962059501</v>
      </c>
      <c r="T116" s="5">
        <v>0.08</v>
      </c>
      <c r="V116">
        <f>SUM($R$2:R116)</f>
        <v>15666.405442436388</v>
      </c>
      <c r="W116">
        <f t="shared" si="28"/>
        <v>33.033368705849931</v>
      </c>
      <c r="Z116">
        <f t="shared" si="22"/>
        <v>1.8617407283885066E-3</v>
      </c>
      <c r="AA116" s="5">
        <v>0.3</v>
      </c>
      <c r="AB116">
        <f t="shared" si="15"/>
        <v>849133.6320686501</v>
      </c>
      <c r="AC116">
        <f t="shared" si="21"/>
        <v>173692.85044558073</v>
      </c>
      <c r="AD116" s="5">
        <v>0.2</v>
      </c>
      <c r="AE116">
        <f t="shared" si="16"/>
        <v>34738.570089116147</v>
      </c>
      <c r="AF116">
        <f t="shared" si="17"/>
        <v>1</v>
      </c>
    </row>
    <row r="117" spans="1:32" x14ac:dyDescent="0.25">
      <c r="A117" s="2">
        <v>116</v>
      </c>
      <c r="B117">
        <f t="shared" si="23"/>
        <v>6978.0147159758035</v>
      </c>
      <c r="C117" s="5">
        <v>0.08</v>
      </c>
      <c r="D117">
        <f t="shared" si="24"/>
        <v>49264.783894789209</v>
      </c>
      <c r="Q117">
        <f t="shared" si="25"/>
        <v>49264.783894789478</v>
      </c>
      <c r="R117">
        <f t="shared" si="26"/>
        <v>338.33470427185938</v>
      </c>
      <c r="S117">
        <f t="shared" si="27"/>
        <v>275119.2967902426</v>
      </c>
      <c r="T117" s="5">
        <v>0.08</v>
      </c>
      <c r="V117">
        <f>SUM($R$2:R117)</f>
        <v>16004.740146708247</v>
      </c>
      <c r="W117">
        <f t="shared" si="28"/>
        <v>33.746763688078794</v>
      </c>
      <c r="Z117">
        <f t="shared" si="22"/>
        <v>1.7238340077671357E-3</v>
      </c>
      <c r="AA117" s="5">
        <v>0.3</v>
      </c>
      <c r="AB117">
        <f t="shared" si="15"/>
        <v>917064.32263414201</v>
      </c>
      <c r="AC117">
        <f t="shared" si="21"/>
        <v>184114.42147231559</v>
      </c>
      <c r="AD117" s="5">
        <v>0.2</v>
      </c>
      <c r="AE117">
        <f t="shared" si="16"/>
        <v>36822.884294463118</v>
      </c>
      <c r="AF117">
        <f t="shared" si="17"/>
        <v>1</v>
      </c>
    </row>
    <row r="118" spans="1:32" x14ac:dyDescent="0.25">
      <c r="A118" s="2">
        <v>117</v>
      </c>
      <c r="B118">
        <f t="shared" si="23"/>
        <v>7536.2558932538677</v>
      </c>
      <c r="C118" s="5">
        <v>0.08</v>
      </c>
      <c r="D118">
        <f t="shared" si="24"/>
        <v>53205.966606372349</v>
      </c>
      <c r="Q118">
        <f t="shared" si="25"/>
        <v>53205.966606372633</v>
      </c>
      <c r="R118">
        <f t="shared" si="26"/>
        <v>344.71837793736609</v>
      </c>
      <c r="S118">
        <f t="shared" si="27"/>
        <v>297128.840533462</v>
      </c>
      <c r="T118" s="5">
        <v>0.08</v>
      </c>
      <c r="V118">
        <f>SUM($R$2:R118)</f>
        <v>16349.458524645614</v>
      </c>
      <c r="W118">
        <f t="shared" si="28"/>
        <v>34.473618952991217</v>
      </c>
      <c r="Z118">
        <f t="shared" si="22"/>
        <v>1.596142599784385E-3</v>
      </c>
      <c r="AA118" s="5">
        <v>0.3</v>
      </c>
      <c r="AB118">
        <f t="shared" si="15"/>
        <v>990429.46844487335</v>
      </c>
      <c r="AC118">
        <f t="shared" si="21"/>
        <v>195161.28676065453</v>
      </c>
      <c r="AD118" s="5">
        <v>0.2</v>
      </c>
      <c r="AE118">
        <f t="shared" si="16"/>
        <v>39032.25735213091</v>
      </c>
      <c r="AF118">
        <f t="shared" si="17"/>
        <v>1</v>
      </c>
    </row>
    <row r="119" spans="1:32" x14ac:dyDescent="0.25">
      <c r="A119" s="2">
        <v>118</v>
      </c>
      <c r="B119">
        <f t="shared" si="23"/>
        <v>8139.1563647141775</v>
      </c>
      <c r="C119" s="5">
        <v>0.08</v>
      </c>
      <c r="D119">
        <f t="shared" si="24"/>
        <v>57462.44393488214</v>
      </c>
      <c r="Q119">
        <f t="shared" si="25"/>
        <v>57462.443934882445</v>
      </c>
      <c r="R119">
        <f t="shared" si="26"/>
        <v>351.22249827580691</v>
      </c>
      <c r="S119">
        <f t="shared" si="27"/>
        <v>320899.14777613897</v>
      </c>
      <c r="T119" s="5">
        <v>0.08</v>
      </c>
      <c r="V119">
        <f>SUM($R$2:R119)</f>
        <v>16700.681022921421</v>
      </c>
      <c r="W119">
        <f t="shared" si="28"/>
        <v>35.214188468185007</v>
      </c>
      <c r="Z119">
        <f t="shared" si="22"/>
        <v>1.4779098146151712E-3</v>
      </c>
      <c r="AA119" s="5">
        <v>0.3</v>
      </c>
      <c r="AB119">
        <f t="shared" si="15"/>
        <v>1069663.8259204633</v>
      </c>
      <c r="AC119">
        <f t="shared" si="21"/>
        <v>206870.96396629381</v>
      </c>
      <c r="AD119" s="5">
        <v>0.2</v>
      </c>
      <c r="AE119">
        <f t="shared" si="16"/>
        <v>41374.192793258764</v>
      </c>
      <c r="AF119">
        <f t="shared" si="17"/>
        <v>1</v>
      </c>
    </row>
    <row r="120" spans="1:32" x14ac:dyDescent="0.25">
      <c r="A120" s="2">
        <v>119</v>
      </c>
      <c r="B120">
        <f t="shared" si="23"/>
        <v>8790.2888738913116</v>
      </c>
      <c r="C120" s="5">
        <v>0.08</v>
      </c>
      <c r="D120">
        <f t="shared" si="24"/>
        <v>62059.439449672711</v>
      </c>
      <c r="Q120">
        <f t="shared" si="25"/>
        <v>62059.439449673038</v>
      </c>
      <c r="R120">
        <f t="shared" si="26"/>
        <v>357.84933786591654</v>
      </c>
      <c r="S120">
        <f t="shared" si="27"/>
        <v>346571.07959823014</v>
      </c>
      <c r="T120" s="5">
        <v>0.08</v>
      </c>
      <c r="V120">
        <f>SUM($R$2:R120)</f>
        <v>17058.530360787336</v>
      </c>
      <c r="W120">
        <f t="shared" si="28"/>
        <v>35.968730993099427</v>
      </c>
      <c r="Z120">
        <f t="shared" si="22"/>
        <v>1.3684350135325658E-3</v>
      </c>
      <c r="AA120" s="5">
        <v>0.3</v>
      </c>
      <c r="AB120">
        <f t="shared" si="15"/>
        <v>1155236.9319941006</v>
      </c>
      <c r="AC120">
        <f t="shared" si="21"/>
        <v>219283.22180427145</v>
      </c>
      <c r="AD120" s="5">
        <v>0.2</v>
      </c>
      <c r="AE120">
        <f t="shared" si="16"/>
        <v>43856.64436085429</v>
      </c>
      <c r="AF120">
        <f t="shared" si="17"/>
        <v>1</v>
      </c>
    </row>
    <row r="121" spans="1:32" x14ac:dyDescent="0.25">
      <c r="A121" s="2">
        <v>120</v>
      </c>
      <c r="B121">
        <f t="shared" si="23"/>
        <v>9493.5119838026167</v>
      </c>
      <c r="C121" s="5">
        <v>0.08</v>
      </c>
      <c r="D121">
        <f t="shared" si="24"/>
        <v>67024.194605646524</v>
      </c>
      <c r="Q121">
        <f t="shared" si="25"/>
        <v>67024.194605646888</v>
      </c>
      <c r="R121">
        <f t="shared" si="26"/>
        <v>364.60121216527341</v>
      </c>
      <c r="S121">
        <f t="shared" si="27"/>
        <v>374296.76596608857</v>
      </c>
      <c r="T121" s="5">
        <v>0.08</v>
      </c>
      <c r="V121">
        <f>SUM($R$2:R121)</f>
        <v>17423.13157295261</v>
      </c>
      <c r="W121">
        <f t="shared" si="28"/>
        <v>36.737510169427338</v>
      </c>
      <c r="Z121">
        <f t="shared" si="22"/>
        <v>1.2670694569745979E-3</v>
      </c>
      <c r="AA121" s="5">
        <v>0.3</v>
      </c>
      <c r="AB121">
        <f t="shared" si="15"/>
        <v>1247655.8865536286</v>
      </c>
      <c r="AC121">
        <f t="shared" si="21"/>
        <v>232440.21511252775</v>
      </c>
      <c r="AD121" s="5">
        <v>0.2</v>
      </c>
      <c r="AE121">
        <f t="shared" si="16"/>
        <v>46488.043022505553</v>
      </c>
      <c r="AF121">
        <f t="shared" si="17"/>
        <v>1</v>
      </c>
    </row>
    <row r="122" spans="1:32" x14ac:dyDescent="0.25">
      <c r="A122" s="2">
        <v>121</v>
      </c>
      <c r="B122">
        <f t="shared" si="23"/>
        <v>10252.992942506826</v>
      </c>
      <c r="C122" s="5">
        <v>0.08</v>
      </c>
      <c r="D122">
        <f t="shared" si="24"/>
        <v>72386.130174098245</v>
      </c>
      <c r="Q122">
        <f t="shared" si="25"/>
        <v>72386.130174098653</v>
      </c>
      <c r="R122">
        <f t="shared" si="26"/>
        <v>371.4804803193353</v>
      </c>
      <c r="S122">
        <f t="shared" si="27"/>
        <v>404240.5072433757</v>
      </c>
      <c r="T122" s="5">
        <v>0.08</v>
      </c>
      <c r="V122">
        <f>SUM($R$2:R122)</f>
        <v>17794.612053271947</v>
      </c>
      <c r="W122">
        <f t="shared" si="28"/>
        <v>37.520794613233136</v>
      </c>
      <c r="Z122">
        <f t="shared" si="22"/>
        <v>1.1732124601616645E-3</v>
      </c>
      <c r="AA122" s="5">
        <v>0.3</v>
      </c>
      <c r="AB122">
        <f t="shared" si="15"/>
        <v>1347468.357477919</v>
      </c>
      <c r="AC122">
        <f t="shared" si="21"/>
        <v>246386.62801927942</v>
      </c>
      <c r="AD122" s="5">
        <v>0.2</v>
      </c>
      <c r="AE122">
        <f t="shared" si="16"/>
        <v>49277.32560385589</v>
      </c>
      <c r="AF122">
        <f t="shared" si="17"/>
        <v>1</v>
      </c>
    </row>
    <row r="123" spans="1:32" x14ac:dyDescent="0.25">
      <c r="A123" s="2">
        <v>122</v>
      </c>
      <c r="B123">
        <f t="shared" si="23"/>
        <v>11073.232377907372</v>
      </c>
      <c r="C123" s="5">
        <v>0.08</v>
      </c>
      <c r="D123">
        <f t="shared" si="24"/>
        <v>78177.020588026106</v>
      </c>
      <c r="Q123">
        <f t="shared" si="25"/>
        <v>78177.020588026542</v>
      </c>
      <c r="R123">
        <f t="shared" si="26"/>
        <v>378.48954598573783</v>
      </c>
      <c r="S123">
        <f t="shared" si="27"/>
        <v>436579.74782284576</v>
      </c>
      <c r="T123" s="5">
        <v>0.08</v>
      </c>
      <c r="V123">
        <f>SUM($R$2:R123)</f>
        <v>18173.101599257683</v>
      </c>
      <c r="W123">
        <f t="shared" si="28"/>
        <v>38.318858008808846</v>
      </c>
      <c r="Z123">
        <f t="shared" si="22"/>
        <v>1.0863078334830227E-3</v>
      </c>
      <c r="AA123" s="5">
        <v>0.3</v>
      </c>
      <c r="AB123">
        <f t="shared" si="15"/>
        <v>1455265.8260761525</v>
      </c>
      <c r="AC123">
        <f t="shared" si="21"/>
        <v>261169.82570043619</v>
      </c>
      <c r="AD123" s="5">
        <v>0.2</v>
      </c>
      <c r="AE123">
        <f t="shared" si="16"/>
        <v>52233.965140087239</v>
      </c>
      <c r="AF123">
        <f t="shared" si="17"/>
        <v>1</v>
      </c>
    </row>
    <row r="124" spans="1:32" x14ac:dyDescent="0.25">
      <c r="A124" s="2">
        <v>123</v>
      </c>
      <c r="B124">
        <f t="shared" si="23"/>
        <v>11959.090968139963</v>
      </c>
      <c r="C124" s="5">
        <v>0.08</v>
      </c>
      <c r="D124">
        <f t="shared" si="24"/>
        <v>84431.18223506819</v>
      </c>
      <c r="Q124">
        <f t="shared" si="25"/>
        <v>84431.182235068671</v>
      </c>
      <c r="R124">
        <f t="shared" si="26"/>
        <v>385.63085817414793</v>
      </c>
      <c r="S124">
        <f t="shared" si="27"/>
        <v>471506.12764867343</v>
      </c>
      <c r="T124" s="5">
        <v>0.08</v>
      </c>
      <c r="V124">
        <f>SUM($R$2:R124)</f>
        <v>18558.73245743183</v>
      </c>
      <c r="W124">
        <f t="shared" si="28"/>
        <v>39.131979204301082</v>
      </c>
      <c r="Z124">
        <f t="shared" si="22"/>
        <v>1.0058405865583544E-3</v>
      </c>
      <c r="AA124" s="5">
        <v>0.3</v>
      </c>
      <c r="AB124">
        <f t="shared" si="15"/>
        <v>1571687.0921622447</v>
      </c>
      <c r="AC124">
        <f t="shared" si="21"/>
        <v>276840.0152424624</v>
      </c>
      <c r="AD124" s="5">
        <v>0.2</v>
      </c>
      <c r="AE124">
        <f t="shared" si="16"/>
        <v>55368.003048492479</v>
      </c>
      <c r="AF124">
        <f t="shared" si="17"/>
        <v>1</v>
      </c>
    </row>
    <row r="125" spans="1:32" x14ac:dyDescent="0.25">
      <c r="A125" s="2">
        <v>124</v>
      </c>
      <c r="B125">
        <f t="shared" si="23"/>
        <v>12915.818245591159</v>
      </c>
      <c r="C125" s="5">
        <v>0.08</v>
      </c>
      <c r="D125">
        <f t="shared" si="24"/>
        <v>91185.676813873652</v>
      </c>
      <c r="Q125">
        <f t="shared" si="25"/>
        <v>91185.676813874161</v>
      </c>
      <c r="R125">
        <f t="shared" si="26"/>
        <v>392.90691210196206</v>
      </c>
      <c r="S125">
        <f t="shared" si="27"/>
        <v>509226.61786056735</v>
      </c>
      <c r="T125" s="5">
        <v>0.08</v>
      </c>
      <c r="V125">
        <f>SUM($R$2:R125)</f>
        <v>18951.639369533794</v>
      </c>
      <c r="W125">
        <f t="shared" si="28"/>
        <v>39.96044230914223</v>
      </c>
      <c r="Z125">
        <f t="shared" si="22"/>
        <v>9.3133387644292063E-4</v>
      </c>
      <c r="AA125" s="5">
        <v>0.3</v>
      </c>
      <c r="AB125">
        <f t="shared" si="15"/>
        <v>1697422.0595352245</v>
      </c>
      <c r="AC125">
        <f t="shared" si="21"/>
        <v>293450.41615701013</v>
      </c>
      <c r="AD125" s="5">
        <v>0.2</v>
      </c>
      <c r="AE125">
        <f t="shared" si="16"/>
        <v>58690.08323140203</v>
      </c>
      <c r="AF125">
        <f t="shared" si="17"/>
        <v>1</v>
      </c>
    </row>
    <row r="126" spans="1:32" x14ac:dyDescent="0.25">
      <c r="A126" s="2">
        <v>125</v>
      </c>
      <c r="B126">
        <f t="shared" si="23"/>
        <v>13949.083705238452</v>
      </c>
      <c r="C126" s="5">
        <v>0.08</v>
      </c>
      <c r="D126">
        <f t="shared" si="24"/>
        <v>98480.530958983538</v>
      </c>
      <c r="Q126">
        <f t="shared" si="25"/>
        <v>98480.530958984091</v>
      </c>
      <c r="R126">
        <f t="shared" si="26"/>
        <v>400.32025006615009</v>
      </c>
      <c r="S126">
        <f t="shared" si="27"/>
        <v>549964.74728941277</v>
      </c>
      <c r="T126" s="5">
        <v>0.08</v>
      </c>
      <c r="V126">
        <f>SUM($R$2:R126)</f>
        <v>19351.959619599944</v>
      </c>
      <c r="W126">
        <f t="shared" si="28"/>
        <v>40.804536793320004</v>
      </c>
      <c r="Z126">
        <f t="shared" si="22"/>
        <v>8.623461818915931E-4</v>
      </c>
      <c r="AA126" s="5">
        <v>0.3</v>
      </c>
      <c r="AB126">
        <f t="shared" si="15"/>
        <v>1833215.8242980426</v>
      </c>
      <c r="AC126">
        <f t="shared" si="21"/>
        <v>311057.44112643076</v>
      </c>
      <c r="AD126" s="5">
        <v>0.2</v>
      </c>
      <c r="AE126">
        <f t="shared" si="16"/>
        <v>62211.488225286157</v>
      </c>
      <c r="AF126">
        <f t="shared" si="17"/>
        <v>1</v>
      </c>
    </row>
    <row r="127" spans="1:32" x14ac:dyDescent="0.25">
      <c r="A127" s="2">
        <v>126</v>
      </c>
      <c r="B127">
        <f t="shared" si="23"/>
        <v>15065.010401657528</v>
      </c>
      <c r="C127" s="5">
        <v>0.08</v>
      </c>
      <c r="D127">
        <f t="shared" si="24"/>
        <v>106358.97343570222</v>
      </c>
      <c r="Q127">
        <f t="shared" si="25"/>
        <v>106358.97343570284</v>
      </c>
      <c r="R127">
        <f t="shared" si="26"/>
        <v>407.87346233154904</v>
      </c>
      <c r="S127">
        <f t="shared" si="27"/>
        <v>593961.92707256589</v>
      </c>
      <c r="T127" s="5">
        <v>0.08</v>
      </c>
      <c r="V127">
        <f>SUM($R$2:R127)</f>
        <v>19759.833081931494</v>
      </c>
      <c r="W127">
        <f t="shared" si="28"/>
        <v>41.664557588519997</v>
      </c>
      <c r="Z127">
        <f t="shared" si="22"/>
        <v>7.9846868693666021E-4</v>
      </c>
      <c r="AA127" s="5">
        <v>0.3</v>
      </c>
      <c r="AB127">
        <f t="shared" si="15"/>
        <v>1979873.0902418864</v>
      </c>
      <c r="AC127">
        <f t="shared" si="21"/>
        <v>329720.88759401662</v>
      </c>
      <c r="AD127" s="5">
        <v>0.2</v>
      </c>
      <c r="AE127">
        <f t="shared" si="16"/>
        <v>65944.177518803321</v>
      </c>
      <c r="AF127">
        <f t="shared" si="17"/>
        <v>1</v>
      </c>
    </row>
    <row r="128" spans="1:32" x14ac:dyDescent="0.25">
      <c r="A128" s="2">
        <v>127</v>
      </c>
      <c r="B128">
        <f t="shared" si="23"/>
        <v>16270.211233790131</v>
      </c>
      <c r="C128" s="5">
        <v>0.08</v>
      </c>
      <c r="D128">
        <f t="shared" si="24"/>
        <v>114867.69131055841</v>
      </c>
      <c r="Q128">
        <f t="shared" si="25"/>
        <v>114867.69131055908</v>
      </c>
      <c r="R128">
        <f t="shared" si="26"/>
        <v>415.56918803591799</v>
      </c>
      <c r="S128">
        <f t="shared" si="27"/>
        <v>641478.88123837125</v>
      </c>
      <c r="T128" s="5">
        <v>0.08</v>
      </c>
      <c r="V128">
        <f>SUM($R$2:R128)</f>
        <v>20175.402269967413</v>
      </c>
      <c r="W128">
        <f t="shared" si="28"/>
        <v>42.540805191176595</v>
      </c>
      <c r="Z128">
        <f t="shared" si="22"/>
        <v>7.393228582746852E-4</v>
      </c>
      <c r="AA128" s="5">
        <v>0.3</v>
      </c>
      <c r="AB128">
        <f t="shared" si="15"/>
        <v>2138262.9374612374</v>
      </c>
      <c r="AC128">
        <f t="shared" si="21"/>
        <v>349504.14084965765</v>
      </c>
      <c r="AD128" s="5">
        <v>0.2</v>
      </c>
      <c r="AE128">
        <f t="shared" si="16"/>
        <v>69900.828169931527</v>
      </c>
      <c r="AF128">
        <f t="shared" si="17"/>
        <v>1</v>
      </c>
    </row>
    <row r="129" spans="1:32" x14ac:dyDescent="0.25">
      <c r="A129" s="2">
        <v>128</v>
      </c>
      <c r="B129">
        <f t="shared" si="23"/>
        <v>17571.828132493341</v>
      </c>
      <c r="C129" s="5">
        <v>0.08</v>
      </c>
      <c r="D129">
        <f t="shared" si="24"/>
        <v>124057.10661540309</v>
      </c>
      <c r="Q129">
        <f t="shared" si="25"/>
        <v>124057.10661540383</v>
      </c>
      <c r="R129">
        <f t="shared" si="26"/>
        <v>423.41011611206733</v>
      </c>
      <c r="S129">
        <f t="shared" si="27"/>
        <v>692797.191737441</v>
      </c>
      <c r="T129" s="5">
        <v>0.08</v>
      </c>
      <c r="V129">
        <f>SUM($R$2:R129)</f>
        <v>20598.81238607948</v>
      </c>
      <c r="W129">
        <f t="shared" si="28"/>
        <v>43.433585767468223</v>
      </c>
      <c r="Z129">
        <f t="shared" si="22"/>
        <v>6.8455820210619001E-4</v>
      </c>
      <c r="AA129" s="5">
        <v>0.3</v>
      </c>
      <c r="AB129">
        <f t="shared" si="15"/>
        <v>2309323.9724581367</v>
      </c>
      <c r="AC129">
        <f t="shared" si="21"/>
        <v>370474.38930063712</v>
      </c>
      <c r="AD129" s="5">
        <v>0.2</v>
      </c>
      <c r="AE129">
        <f t="shared" si="16"/>
        <v>74094.877860127424</v>
      </c>
      <c r="AF129">
        <f t="shared" si="17"/>
        <v>1</v>
      </c>
    </row>
    <row r="130" spans="1:32" x14ac:dyDescent="0.25">
      <c r="A130" s="2">
        <v>129</v>
      </c>
      <c r="B130">
        <f t="shared" si="23"/>
        <v>18977.574383092808</v>
      </c>
      <c r="C130" s="5">
        <v>0.08</v>
      </c>
      <c r="D130">
        <f t="shared" si="24"/>
        <v>133981.67514463534</v>
      </c>
      <c r="Q130">
        <f t="shared" si="25"/>
        <v>133981.67514463613</v>
      </c>
      <c r="R130">
        <f t="shared" si="26"/>
        <v>431.39898622738957</v>
      </c>
      <c r="S130">
        <f t="shared" si="27"/>
        <v>748220.96707643638</v>
      </c>
      <c r="T130" s="5">
        <v>0.08</v>
      </c>
      <c r="V130">
        <f>SUM($R$2:R130)</f>
        <v>21030.211372306869</v>
      </c>
      <c r="W130">
        <f t="shared" si="28"/>
        <v>44.343211260293657</v>
      </c>
      <c r="Z130">
        <f t="shared" si="22"/>
        <v>6.3385018713536096E-4</v>
      </c>
      <c r="AA130" s="5">
        <v>0.3</v>
      </c>
      <c r="AB130">
        <f t="shared" si="15"/>
        <v>2494069.8902547881</v>
      </c>
      <c r="AC130">
        <f t="shared" si="21"/>
        <v>392702.85265867534</v>
      </c>
      <c r="AD130" s="5">
        <v>0.2</v>
      </c>
      <c r="AE130">
        <f t="shared" si="16"/>
        <v>78540.570531735066</v>
      </c>
      <c r="AF130">
        <f t="shared" si="17"/>
        <v>1</v>
      </c>
    </row>
    <row r="131" spans="1:32" x14ac:dyDescent="0.25">
      <c r="A131" s="2">
        <v>130</v>
      </c>
      <c r="B131">
        <f t="shared" si="23"/>
        <v>20495.780333740233</v>
      </c>
      <c r="C131" s="5">
        <v>0.08</v>
      </c>
      <c r="D131">
        <f t="shared" si="24"/>
        <v>144700.20915620617</v>
      </c>
      <c r="Q131">
        <f t="shared" si="25"/>
        <v>144700.20915620704</v>
      </c>
      <c r="R131">
        <f t="shared" si="26"/>
        <v>439.53858974111381</v>
      </c>
      <c r="S131">
        <f t="shared" si="27"/>
        <v>808078.6444425513</v>
      </c>
      <c r="T131" s="5">
        <v>0.08</v>
      </c>
      <c r="V131">
        <f>SUM($R$2:R131)</f>
        <v>21469.749962047983</v>
      </c>
      <c r="W131">
        <f t="shared" si="28"/>
        <v>45.269999498266742</v>
      </c>
      <c r="Z131">
        <f t="shared" si="22"/>
        <v>5.8689832142163061E-4</v>
      </c>
      <c r="AA131" s="5">
        <v>0.3</v>
      </c>
      <c r="AB131">
        <f t="shared" ref="AB131:AB194" si="29">S131/AA131</f>
        <v>2693595.4814751712</v>
      </c>
      <c r="AC131">
        <f t="shared" si="21"/>
        <v>416265.02381819586</v>
      </c>
      <c r="AD131" s="5">
        <v>0.2</v>
      </c>
      <c r="AE131">
        <f t="shared" ref="AE131:AE194" si="30">AC131*AD131</f>
        <v>83253.004763639183</v>
      </c>
      <c r="AF131">
        <f t="shared" ref="AF131:AF194" si="31">IF(AB131&gt;AE131, 1, 0)</f>
        <v>1</v>
      </c>
    </row>
    <row r="132" spans="1:32" x14ac:dyDescent="0.25">
      <c r="A132" s="2">
        <v>131</v>
      </c>
      <c r="B132">
        <f t="shared" si="23"/>
        <v>22135.442760439451</v>
      </c>
      <c r="C132" s="5">
        <v>0.08</v>
      </c>
      <c r="D132">
        <f t="shared" si="24"/>
        <v>156276.22588870267</v>
      </c>
      <c r="Q132">
        <f t="shared" si="25"/>
        <v>156276.2258887036</v>
      </c>
      <c r="R132">
        <f t="shared" si="26"/>
        <v>447.83177067962544</v>
      </c>
      <c r="S132">
        <f t="shared" si="27"/>
        <v>872724.9359979555</v>
      </c>
      <c r="T132" s="5">
        <v>0.08</v>
      </c>
      <c r="V132">
        <f>SUM($R$2:R132)</f>
        <v>21917.581732727609</v>
      </c>
      <c r="W132">
        <f t="shared" si="28"/>
        <v>46.214274306767614</v>
      </c>
      <c r="Z132">
        <f t="shared" si="22"/>
        <v>5.4342437168669491E-4</v>
      </c>
      <c r="AA132" s="5">
        <v>0.3</v>
      </c>
      <c r="AB132">
        <f t="shared" si="29"/>
        <v>2909083.1199931852</v>
      </c>
      <c r="AC132">
        <f t="shared" ref="AC132:AC195" si="32">AC131*(1+$U$2)</f>
        <v>441240.92524728761</v>
      </c>
      <c r="AD132" s="5">
        <v>0.2</v>
      </c>
      <c r="AE132">
        <f t="shared" si="30"/>
        <v>88248.185049457534</v>
      </c>
      <c r="AF132">
        <f t="shared" si="31"/>
        <v>1</v>
      </c>
    </row>
    <row r="133" spans="1:32" x14ac:dyDescent="0.25">
      <c r="A133" s="2">
        <v>132</v>
      </c>
      <c r="B133">
        <f t="shared" si="23"/>
        <v>23906.278181274607</v>
      </c>
      <c r="C133" s="5">
        <v>0.08</v>
      </c>
      <c r="D133">
        <f t="shared" si="24"/>
        <v>168778.32395979887</v>
      </c>
      <c r="Q133">
        <f t="shared" si="25"/>
        <v>168778.32395979989</v>
      </c>
      <c r="R133">
        <f t="shared" si="26"/>
        <v>456.28142673018436</v>
      </c>
      <c r="S133">
        <f t="shared" si="27"/>
        <v>942542.93087779195</v>
      </c>
      <c r="T133" s="5">
        <v>0.08</v>
      </c>
      <c r="V133">
        <f>SUM($R$2:R133)</f>
        <v>22373.863159457793</v>
      </c>
      <c r="W133">
        <f t="shared" si="28"/>
        <v>47.176365621089261</v>
      </c>
      <c r="Z133">
        <f t="shared" si="22"/>
        <v>5.0317071452471755E-4</v>
      </c>
      <c r="AA133" s="5">
        <v>0.3</v>
      </c>
      <c r="AB133">
        <f t="shared" si="29"/>
        <v>3141809.76959264</v>
      </c>
      <c r="AC133">
        <f t="shared" si="32"/>
        <v>467715.3807621249</v>
      </c>
      <c r="AD133" s="5">
        <v>0.2</v>
      </c>
      <c r="AE133">
        <f t="shared" si="30"/>
        <v>93543.076152424983</v>
      </c>
      <c r="AF133">
        <f t="shared" si="31"/>
        <v>1</v>
      </c>
    </row>
    <row r="134" spans="1:32" x14ac:dyDescent="0.25">
      <c r="A134" s="2">
        <v>133</v>
      </c>
      <c r="B134">
        <f t="shared" si="23"/>
        <v>25818.780435776574</v>
      </c>
      <c r="C134" s="5">
        <v>0.08</v>
      </c>
      <c r="D134">
        <f t="shared" si="24"/>
        <v>182280.58987658279</v>
      </c>
      <c r="Q134">
        <f t="shared" si="25"/>
        <v>182280.58987658392</v>
      </c>
      <c r="R134">
        <f t="shared" si="26"/>
        <v>464.89051025339541</v>
      </c>
      <c r="S134">
        <f t="shared" si="27"/>
        <v>1017946.3653480153</v>
      </c>
      <c r="T134" s="5">
        <v>0.08</v>
      </c>
      <c r="V134">
        <f>SUM($R$2:R134)</f>
        <v>22838.753669711186</v>
      </c>
      <c r="W134">
        <f t="shared" si="28"/>
        <v>48.156609601718863</v>
      </c>
      <c r="Z134">
        <f t="shared" si="22"/>
        <v>4.6589880974510876E-4</v>
      </c>
      <c r="AA134" s="5">
        <v>0.3</v>
      </c>
      <c r="AB134">
        <f t="shared" si="29"/>
        <v>3393154.551160051</v>
      </c>
      <c r="AC134">
        <f t="shared" si="32"/>
        <v>495778.30360785243</v>
      </c>
      <c r="AD134" s="5">
        <v>0.2</v>
      </c>
      <c r="AE134">
        <f t="shared" si="30"/>
        <v>99155.660721570486</v>
      </c>
      <c r="AF134">
        <f t="shared" si="31"/>
        <v>1</v>
      </c>
    </row>
    <row r="135" spans="1:32" x14ac:dyDescent="0.25">
      <c r="A135" s="2">
        <v>134</v>
      </c>
      <c r="B135">
        <f t="shared" si="23"/>
        <v>27884.282870638701</v>
      </c>
      <c r="C135" s="5">
        <v>0.08</v>
      </c>
      <c r="D135">
        <f t="shared" si="24"/>
        <v>196863.03706670942</v>
      </c>
      <c r="Q135">
        <f t="shared" si="25"/>
        <v>196863.03706671062</v>
      </c>
      <c r="R135">
        <f t="shared" si="26"/>
        <v>473.66202931478023</v>
      </c>
      <c r="S135">
        <f t="shared" si="27"/>
        <v>1099382.0745758566</v>
      </c>
      <c r="T135" s="5">
        <v>0.08</v>
      </c>
      <c r="V135">
        <f>SUM($R$2:R135)</f>
        <v>23312.415699025965</v>
      </c>
      <c r="W135">
        <f t="shared" si="28"/>
        <v>49.1553487517943</v>
      </c>
      <c r="Z135">
        <f t="shared" si="22"/>
        <v>4.3138778680102666E-4</v>
      </c>
      <c r="AA135" s="5">
        <v>0.3</v>
      </c>
      <c r="AB135">
        <f t="shared" si="29"/>
        <v>3664606.9152528555</v>
      </c>
      <c r="AC135">
        <f t="shared" si="32"/>
        <v>525525.00182432355</v>
      </c>
      <c r="AD135" s="5">
        <v>0.2</v>
      </c>
      <c r="AE135">
        <f t="shared" si="30"/>
        <v>105105.00036486471</v>
      </c>
      <c r="AF135">
        <f t="shared" si="31"/>
        <v>1</v>
      </c>
    </row>
    <row r="136" spans="1:32" x14ac:dyDescent="0.25">
      <c r="A136" s="2">
        <v>135</v>
      </c>
      <c r="B136">
        <f t="shared" si="23"/>
        <v>30115.025500289797</v>
      </c>
      <c r="C136" s="5">
        <v>0.08</v>
      </c>
      <c r="D136">
        <f t="shared" si="24"/>
        <v>212612.08003204619</v>
      </c>
      <c r="Q136">
        <f t="shared" si="25"/>
        <v>212612.0800320475</v>
      </c>
      <c r="R136">
        <f t="shared" si="26"/>
        <v>482.59904873581371</v>
      </c>
      <c r="S136">
        <f t="shared" si="27"/>
        <v>1187332.6405419251</v>
      </c>
      <c r="T136" s="5">
        <v>0.08</v>
      </c>
      <c r="V136">
        <f>SUM($R$2:R136)</f>
        <v>23795.014747761779</v>
      </c>
      <c r="W136">
        <f t="shared" si="28"/>
        <v>50.172932036776828</v>
      </c>
      <c r="Z136">
        <f t="shared" si="22"/>
        <v>3.9943313592687651E-4</v>
      </c>
      <c r="AA136" s="5">
        <v>0.3</v>
      </c>
      <c r="AB136">
        <f t="shared" si="29"/>
        <v>3957775.4684730838</v>
      </c>
      <c r="AC136">
        <f t="shared" si="32"/>
        <v>557056.50193378294</v>
      </c>
      <c r="AD136" s="5">
        <v>0.2</v>
      </c>
      <c r="AE136">
        <f t="shared" si="30"/>
        <v>111411.3003867566</v>
      </c>
      <c r="AF136">
        <f t="shared" si="31"/>
        <v>1</v>
      </c>
    </row>
    <row r="137" spans="1:32" x14ac:dyDescent="0.25">
      <c r="A137" s="2">
        <v>136</v>
      </c>
      <c r="B137">
        <f t="shared" si="23"/>
        <v>32524.227540312982</v>
      </c>
      <c r="C137" s="5">
        <v>0.08</v>
      </c>
      <c r="D137">
        <f t="shared" si="24"/>
        <v>229621.04643460989</v>
      </c>
      <c r="Q137">
        <f t="shared" si="25"/>
        <v>229621.04643461131</v>
      </c>
      <c r="R137">
        <f t="shared" si="26"/>
        <v>491.70469116479137</v>
      </c>
      <c r="S137">
        <f t="shared" si="27"/>
        <v>1282319.2517852793</v>
      </c>
      <c r="T137" s="5">
        <v>0.08</v>
      </c>
      <c r="V137">
        <f>SUM($R$2:R137)</f>
        <v>24286.719438926571</v>
      </c>
      <c r="W137">
        <f t="shared" si="28"/>
        <v>51.209715006381671</v>
      </c>
      <c r="Z137">
        <f t="shared" si="22"/>
        <v>3.6984549622858935E-4</v>
      </c>
      <c r="AA137" s="5">
        <v>0.3</v>
      </c>
      <c r="AB137">
        <f t="shared" si="29"/>
        <v>4274397.5059509315</v>
      </c>
      <c r="AC137">
        <f t="shared" si="32"/>
        <v>590479.89204980992</v>
      </c>
      <c r="AD137" s="5">
        <v>0.2</v>
      </c>
      <c r="AE137">
        <f t="shared" si="30"/>
        <v>118095.97840996199</v>
      </c>
      <c r="AF137">
        <f t="shared" si="31"/>
        <v>1</v>
      </c>
    </row>
    <row r="138" spans="1:32" x14ac:dyDescent="0.25">
      <c r="A138" s="2">
        <v>137</v>
      </c>
      <c r="B138">
        <f t="shared" si="23"/>
        <v>35126.165743538018</v>
      </c>
      <c r="C138" s="5">
        <v>0.08</v>
      </c>
      <c r="D138">
        <f t="shared" si="24"/>
        <v>247990.73014937868</v>
      </c>
      <c r="Q138">
        <f t="shared" si="25"/>
        <v>247990.73014938019</v>
      </c>
      <c r="R138">
        <f t="shared" si="26"/>
        <v>500.98213816790076</v>
      </c>
      <c r="S138">
        <f t="shared" si="27"/>
        <v>1384904.7919281018</v>
      </c>
      <c r="T138" s="5">
        <v>0.08</v>
      </c>
      <c r="V138">
        <f>SUM($R$2:R138)</f>
        <v>24787.701577094471</v>
      </c>
      <c r="W138">
        <f t="shared" si="28"/>
        <v>52.266059918809241</v>
      </c>
      <c r="Z138">
        <f t="shared" si="22"/>
        <v>3.4244953354499008E-4</v>
      </c>
      <c r="AA138" s="5">
        <v>0.3</v>
      </c>
      <c r="AB138">
        <f t="shared" si="29"/>
        <v>4616349.3064270066</v>
      </c>
      <c r="AC138">
        <f t="shared" si="32"/>
        <v>625908.6855727986</v>
      </c>
      <c r="AD138" s="5">
        <v>0.2</v>
      </c>
      <c r="AE138">
        <f t="shared" si="30"/>
        <v>125181.73711455973</v>
      </c>
      <c r="AF138">
        <f t="shared" si="31"/>
        <v>1</v>
      </c>
    </row>
    <row r="139" spans="1:32" x14ac:dyDescent="0.25">
      <c r="A139" s="2">
        <v>138</v>
      </c>
      <c r="B139">
        <f t="shared" si="23"/>
        <v>37936.259003021063</v>
      </c>
      <c r="C139" s="5">
        <v>0.08</v>
      </c>
      <c r="D139">
        <f t="shared" si="24"/>
        <v>267829.98856132897</v>
      </c>
      <c r="Q139">
        <f t="shared" si="25"/>
        <v>267829.98856133065</v>
      </c>
      <c r="R139">
        <f t="shared" si="26"/>
        <v>510.43463134088006</v>
      </c>
      <c r="S139">
        <f t="shared" si="27"/>
        <v>1495697.17528235</v>
      </c>
      <c r="T139" s="5">
        <v>0.08</v>
      </c>
      <c r="V139">
        <f>SUM($R$2:R139)</f>
        <v>25298.13620843535</v>
      </c>
      <c r="W139">
        <f t="shared" si="28"/>
        <v>53.342335867320351</v>
      </c>
      <c r="Z139">
        <f t="shared" si="22"/>
        <v>3.1708290143054636E-4</v>
      </c>
      <c r="AA139" s="5">
        <v>0.3</v>
      </c>
      <c r="AB139">
        <f t="shared" si="29"/>
        <v>4985657.2509411667</v>
      </c>
      <c r="AC139">
        <f t="shared" si="32"/>
        <v>663463.20670716651</v>
      </c>
      <c r="AD139" s="5">
        <v>0.2</v>
      </c>
      <c r="AE139">
        <f t="shared" si="30"/>
        <v>132692.64134143331</v>
      </c>
      <c r="AF139">
        <f t="shared" si="31"/>
        <v>1</v>
      </c>
    </row>
    <row r="140" spans="1:32" x14ac:dyDescent="0.25">
      <c r="A140" s="2">
        <v>139</v>
      </c>
      <c r="B140">
        <f t="shared" si="23"/>
        <v>40971.159723262746</v>
      </c>
      <c r="C140" s="5">
        <v>0.08</v>
      </c>
      <c r="D140">
        <f t="shared" si="24"/>
        <v>289256.38764623529</v>
      </c>
      <c r="Q140">
        <f t="shared" si="25"/>
        <v>289256.38764623716</v>
      </c>
      <c r="R140">
        <f t="shared" si="26"/>
        <v>520.06547344165131</v>
      </c>
      <c r="S140">
        <f t="shared" si="27"/>
        <v>1615352.9493049381</v>
      </c>
      <c r="T140" s="5">
        <v>0.08</v>
      </c>
      <c r="V140">
        <f>SUM($R$2:R140)</f>
        <v>25818.201681877003</v>
      </c>
      <c r="W140">
        <f t="shared" si="28"/>
        <v>54.4389189091996</v>
      </c>
      <c r="Z140">
        <f t="shared" si="22"/>
        <v>2.9359527910235772E-4</v>
      </c>
      <c r="AA140" s="5">
        <v>0.3</v>
      </c>
      <c r="AB140">
        <f t="shared" si="29"/>
        <v>5384509.8310164604</v>
      </c>
      <c r="AC140">
        <f t="shared" si="32"/>
        <v>703270.99910959648</v>
      </c>
      <c r="AD140" s="5">
        <v>0.2</v>
      </c>
      <c r="AE140">
        <f t="shared" si="30"/>
        <v>140654.19982191929</v>
      </c>
      <c r="AF140">
        <f t="shared" si="31"/>
        <v>1</v>
      </c>
    </row>
    <row r="141" spans="1:32" x14ac:dyDescent="0.25">
      <c r="A141" s="2">
        <v>140</v>
      </c>
      <c r="B141">
        <f t="shared" si="23"/>
        <v>44248.852501123765</v>
      </c>
      <c r="C141" s="5">
        <v>0.08</v>
      </c>
      <c r="D141">
        <f t="shared" si="24"/>
        <v>312396.8986579341</v>
      </c>
      <c r="Q141">
        <f t="shared" si="25"/>
        <v>312396.89865793608</v>
      </c>
      <c r="R141">
        <f t="shared" si="26"/>
        <v>529.87802954432402</v>
      </c>
      <c r="S141">
        <f t="shared" si="27"/>
        <v>1744581.1852493333</v>
      </c>
      <c r="T141" s="5">
        <v>0.08</v>
      </c>
      <c r="V141">
        <f>SUM($R$2:R141)</f>
        <v>26348.079711421327</v>
      </c>
      <c r="W141">
        <f t="shared" si="28"/>
        <v>55.556192197152043</v>
      </c>
      <c r="Z141">
        <f t="shared" si="22"/>
        <v>2.718474806503312E-4</v>
      </c>
      <c r="AA141" s="5">
        <v>0.3</v>
      </c>
      <c r="AB141">
        <f t="shared" si="29"/>
        <v>5815270.6174977776</v>
      </c>
      <c r="AC141">
        <f t="shared" si="32"/>
        <v>745467.25905617233</v>
      </c>
      <c r="AD141" s="5">
        <v>0.2</v>
      </c>
      <c r="AE141">
        <f t="shared" si="30"/>
        <v>149093.45181123447</v>
      </c>
      <c r="AF141">
        <f t="shared" si="31"/>
        <v>1</v>
      </c>
    </row>
    <row r="142" spans="1:32" x14ac:dyDescent="0.25">
      <c r="A142" s="2">
        <v>141</v>
      </c>
      <c r="B142">
        <f t="shared" si="23"/>
        <v>47788.760701213665</v>
      </c>
      <c r="C142" s="5">
        <v>0.08</v>
      </c>
      <c r="D142">
        <f t="shared" si="24"/>
        <v>337388.65055056883</v>
      </c>
      <c r="Q142">
        <f t="shared" si="25"/>
        <v>337388.65055057098</v>
      </c>
      <c r="R142">
        <f t="shared" si="26"/>
        <v>539.87572821497156</v>
      </c>
      <c r="S142">
        <f t="shared" si="27"/>
        <v>1884147.6800692801</v>
      </c>
      <c r="T142" s="5">
        <v>0.08</v>
      </c>
      <c r="V142">
        <f>SUM($R$2:R142)</f>
        <v>26887.955439636298</v>
      </c>
      <c r="W142">
        <f t="shared" si="28"/>
        <v>56.694546113179058</v>
      </c>
      <c r="Z142">
        <f t="shared" si="22"/>
        <v>2.5171063023178813E-4</v>
      </c>
      <c r="AA142" s="5">
        <v>0.3</v>
      </c>
      <c r="AB142">
        <f t="shared" si="29"/>
        <v>6280492.2668976001</v>
      </c>
      <c r="AC142">
        <f t="shared" si="32"/>
        <v>790195.29459954274</v>
      </c>
      <c r="AD142" s="5">
        <v>0.2</v>
      </c>
      <c r="AE142">
        <f t="shared" si="30"/>
        <v>158039.05891990857</v>
      </c>
      <c r="AF142">
        <f t="shared" si="31"/>
        <v>1</v>
      </c>
    </row>
    <row r="143" spans="1:32" x14ac:dyDescent="0.25">
      <c r="A143" s="2">
        <v>142</v>
      </c>
      <c r="B143">
        <f t="shared" si="23"/>
        <v>51611.86155731076</v>
      </c>
      <c r="C143" s="5">
        <v>0.08</v>
      </c>
      <c r="D143">
        <f t="shared" si="24"/>
        <v>364379.74259461433</v>
      </c>
      <c r="Q143">
        <f t="shared" si="25"/>
        <v>364379.74259461666</v>
      </c>
      <c r="R143">
        <f t="shared" si="26"/>
        <v>550.06206270959376</v>
      </c>
      <c r="S143">
        <f t="shared" si="27"/>
        <v>2034879.4944748227</v>
      </c>
      <c r="T143" s="5">
        <v>0.08</v>
      </c>
      <c r="V143">
        <f>SUM($R$2:R143)</f>
        <v>27438.017502345891</v>
      </c>
      <c r="W143">
        <f t="shared" si="28"/>
        <v>57.85437840498016</v>
      </c>
      <c r="Z143">
        <f t="shared" ref="Z143:Z201" si="33">$W$2/S143</f>
        <v>2.3306539836276676E-4</v>
      </c>
      <c r="AA143" s="5">
        <v>0.3</v>
      </c>
      <c r="AB143">
        <f t="shared" si="29"/>
        <v>6782931.6482494092</v>
      </c>
      <c r="AC143">
        <f t="shared" si="32"/>
        <v>837607.01227551536</v>
      </c>
      <c r="AD143" s="5">
        <v>0.2</v>
      </c>
      <c r="AE143">
        <f t="shared" si="30"/>
        <v>167521.40245510309</v>
      </c>
      <c r="AF143">
        <f t="shared" si="31"/>
        <v>1</v>
      </c>
    </row>
    <row r="144" spans="1:32" x14ac:dyDescent="0.25">
      <c r="A144" s="2">
        <v>143</v>
      </c>
      <c r="B144">
        <f t="shared" si="23"/>
        <v>55740.81048189562</v>
      </c>
      <c r="C144" s="5">
        <v>0.08</v>
      </c>
      <c r="D144">
        <f t="shared" si="24"/>
        <v>393530.12200218346</v>
      </c>
      <c r="Q144">
        <f t="shared" si="25"/>
        <v>393530.12200218608</v>
      </c>
      <c r="R144">
        <f t="shared" si="26"/>
        <v>560.44059219468033</v>
      </c>
      <c r="S144">
        <f t="shared" si="27"/>
        <v>2197669.8540328084</v>
      </c>
      <c r="T144" s="5">
        <v>0.08</v>
      </c>
      <c r="V144">
        <f>SUM($R$2:R144)</f>
        <v>27998.458094540572</v>
      </c>
      <c r="W144">
        <f t="shared" si="28"/>
        <v>59.036094324928463</v>
      </c>
      <c r="Z144">
        <f t="shared" si="33"/>
        <v>2.158012947803396E-4</v>
      </c>
      <c r="AA144" s="5">
        <v>0.3</v>
      </c>
      <c r="AB144">
        <f t="shared" si="29"/>
        <v>7325566.1801093621</v>
      </c>
      <c r="AC144">
        <f t="shared" si="32"/>
        <v>887863.43301204627</v>
      </c>
      <c r="AD144" s="5">
        <v>0.2</v>
      </c>
      <c r="AE144">
        <f t="shared" si="30"/>
        <v>177572.68660240926</v>
      </c>
      <c r="AF144">
        <f t="shared" si="31"/>
        <v>1</v>
      </c>
    </row>
    <row r="145" spans="1:32" x14ac:dyDescent="0.25">
      <c r="A145" s="2">
        <v>144</v>
      </c>
      <c r="B145">
        <f t="shared" si="23"/>
        <v>60200.075320447271</v>
      </c>
      <c r="C145" s="5">
        <v>0.08</v>
      </c>
      <c r="D145">
        <f t="shared" si="24"/>
        <v>425012.53176235815</v>
      </c>
      <c r="Q145">
        <f t="shared" si="25"/>
        <v>425012.531762361</v>
      </c>
      <c r="R145">
        <f t="shared" si="26"/>
        <v>571.01494299080628</v>
      </c>
      <c r="S145">
        <f t="shared" si="27"/>
        <v>2373483.4423554335</v>
      </c>
      <c r="T145" s="5">
        <v>0.08</v>
      </c>
      <c r="V145">
        <f>SUM($R$2:R145)</f>
        <v>28569.473037531377</v>
      </c>
      <c r="W145">
        <f t="shared" si="28"/>
        <v>60.240106771668238</v>
      </c>
      <c r="Z145">
        <f t="shared" si="33"/>
        <v>1.9981601368549961E-4</v>
      </c>
      <c r="AA145" s="5">
        <v>0.3</v>
      </c>
      <c r="AB145">
        <f t="shared" si="29"/>
        <v>7911611.4745181119</v>
      </c>
      <c r="AC145">
        <f t="shared" si="32"/>
        <v>941135.23899276904</v>
      </c>
      <c r="AD145" s="5">
        <v>0.2</v>
      </c>
      <c r="AE145">
        <f t="shared" si="30"/>
        <v>188227.04779855383</v>
      </c>
      <c r="AF145">
        <f t="shared" si="31"/>
        <v>1</v>
      </c>
    </row>
    <row r="146" spans="1:32" x14ac:dyDescent="0.25">
      <c r="A146" s="2">
        <v>145</v>
      </c>
      <c r="B146">
        <f t="shared" si="23"/>
        <v>65016.081346083054</v>
      </c>
      <c r="C146" s="5">
        <v>0.08</v>
      </c>
      <c r="D146">
        <f t="shared" si="24"/>
        <v>459013.53430334682</v>
      </c>
      <c r="Q146">
        <f t="shared" si="25"/>
        <v>459013.53430334991</v>
      </c>
      <c r="R146">
        <f t="shared" si="26"/>
        <v>581.78880983968975</v>
      </c>
      <c r="S146">
        <f t="shared" si="27"/>
        <v>2563362.1177438684</v>
      </c>
      <c r="T146" s="5">
        <v>0.08</v>
      </c>
      <c r="V146">
        <f>SUM($R$2:R146)</f>
        <v>29151.261847371068</v>
      </c>
      <c r="W146">
        <f t="shared" si="28"/>
        <v>61.466836434384241</v>
      </c>
      <c r="Z146">
        <f t="shared" si="33"/>
        <v>1.8501482748657368E-4</v>
      </c>
      <c r="AA146" s="5">
        <v>0.3</v>
      </c>
      <c r="AB146">
        <f t="shared" si="29"/>
        <v>8544540.3924795613</v>
      </c>
      <c r="AC146">
        <f t="shared" si="32"/>
        <v>997603.35333233525</v>
      </c>
      <c r="AD146" s="5">
        <v>0.2</v>
      </c>
      <c r="AE146">
        <f t="shared" si="30"/>
        <v>199520.67066646705</v>
      </c>
      <c r="AF146">
        <f t="shared" si="31"/>
        <v>1</v>
      </c>
    </row>
    <row r="147" spans="1:32" x14ac:dyDescent="0.25">
      <c r="A147" s="2">
        <v>146</v>
      </c>
      <c r="B147">
        <f t="shared" si="23"/>
        <v>70217.367853769698</v>
      </c>
      <c r="C147" s="5">
        <v>0.08</v>
      </c>
      <c r="D147">
        <f t="shared" si="24"/>
        <v>495734.61704761459</v>
      </c>
      <c r="Q147">
        <f t="shared" si="25"/>
        <v>495734.61704761785</v>
      </c>
      <c r="R147">
        <f t="shared" si="26"/>
        <v>592.76595719515547</v>
      </c>
      <c r="S147">
        <f t="shared" si="27"/>
        <v>2768431.087163378</v>
      </c>
      <c r="T147" s="5">
        <v>0.08</v>
      </c>
      <c r="V147">
        <f>SUM($R$2:R147)</f>
        <v>29744.027804566223</v>
      </c>
      <c r="W147">
        <f t="shared" si="28"/>
        <v>62.716711939792994</v>
      </c>
      <c r="Z147">
        <f t="shared" si="33"/>
        <v>1.7131002545053118E-4</v>
      </c>
      <c r="AA147" s="5">
        <v>0.3</v>
      </c>
      <c r="AB147">
        <f t="shared" si="29"/>
        <v>9228103.6238779277</v>
      </c>
      <c r="AC147">
        <f t="shared" si="32"/>
        <v>1057459.5545322753</v>
      </c>
      <c r="AD147" s="5">
        <v>0.2</v>
      </c>
      <c r="AE147">
        <f t="shared" si="30"/>
        <v>211491.91090645507</v>
      </c>
      <c r="AF147">
        <f t="shared" si="31"/>
        <v>1</v>
      </c>
    </row>
    <row r="148" spans="1:32" x14ac:dyDescent="0.25">
      <c r="A148" s="2">
        <v>147</v>
      </c>
      <c r="B148">
        <f t="shared" si="23"/>
        <v>75834.757282071281</v>
      </c>
      <c r="C148" s="5">
        <v>0.08</v>
      </c>
      <c r="D148">
        <f t="shared" si="24"/>
        <v>535393.38641142379</v>
      </c>
      <c r="Q148">
        <f t="shared" si="25"/>
        <v>535393.38641142729</v>
      </c>
      <c r="R148">
        <f t="shared" si="26"/>
        <v>603.95022053846037</v>
      </c>
      <c r="S148">
        <f t="shared" si="27"/>
        <v>2989905.5741364486</v>
      </c>
      <c r="T148" s="5">
        <v>0.08</v>
      </c>
      <c r="V148">
        <f>SUM($R$2:R148)</f>
        <v>30347.978025104683</v>
      </c>
      <c r="W148">
        <f t="shared" si="28"/>
        <v>63.990170001907572</v>
      </c>
      <c r="Z148">
        <f t="shared" si="33"/>
        <v>1.5862039393567699E-4</v>
      </c>
      <c r="AA148" s="5">
        <v>0.3</v>
      </c>
      <c r="AB148">
        <f t="shared" si="29"/>
        <v>9966351.9137881622</v>
      </c>
      <c r="AC148">
        <f t="shared" si="32"/>
        <v>1120907.1278042118</v>
      </c>
      <c r="AD148" s="5">
        <v>0.2</v>
      </c>
      <c r="AE148">
        <f t="shared" si="30"/>
        <v>224181.42556084238</v>
      </c>
      <c r="AF148">
        <f t="shared" si="31"/>
        <v>1</v>
      </c>
    </row>
    <row r="149" spans="1:32" x14ac:dyDescent="0.25">
      <c r="A149" s="2">
        <v>148</v>
      </c>
      <c r="B149">
        <f t="shared" si="23"/>
        <v>81901.537864636979</v>
      </c>
      <c r="C149" s="5">
        <v>0.08</v>
      </c>
      <c r="D149">
        <f t="shared" si="24"/>
        <v>578224.8573243377</v>
      </c>
      <c r="Q149">
        <f t="shared" si="25"/>
        <v>578224.85732434154</v>
      </c>
      <c r="R149">
        <f t="shared" si="26"/>
        <v>615.34550771843124</v>
      </c>
      <c r="S149">
        <f t="shared" si="27"/>
        <v>3229098.0200673644</v>
      </c>
      <c r="T149" s="5">
        <v>0.08</v>
      </c>
      <c r="V149">
        <f>SUM($R$2:R149)</f>
        <v>30963.323532823113</v>
      </c>
      <c r="W149">
        <f t="shared" si="28"/>
        <v>65.287655574628076</v>
      </c>
      <c r="Z149">
        <f t="shared" si="33"/>
        <v>1.4687073512562686E-4</v>
      </c>
      <c r="AA149" s="5">
        <v>0.3</v>
      </c>
      <c r="AB149">
        <f t="shared" si="29"/>
        <v>10763660.066891216</v>
      </c>
      <c r="AC149">
        <f t="shared" si="32"/>
        <v>1188161.5554724645</v>
      </c>
      <c r="AD149" s="5">
        <v>0.2</v>
      </c>
      <c r="AE149">
        <f t="shared" si="30"/>
        <v>237632.31109449291</v>
      </c>
      <c r="AF149">
        <f t="shared" si="31"/>
        <v>1</v>
      </c>
    </row>
    <row r="150" spans="1:32" x14ac:dyDescent="0.25">
      <c r="A150" s="2">
        <v>149</v>
      </c>
      <c r="B150">
        <f t="shared" si="23"/>
        <v>88453.660893807944</v>
      </c>
      <c r="C150" s="5">
        <v>0.08</v>
      </c>
      <c r="D150">
        <f t="shared" si="24"/>
        <v>624482.84591028467</v>
      </c>
      <c r="Q150">
        <f t="shared" si="25"/>
        <v>624482.84591028886</v>
      </c>
      <c r="R150">
        <f t="shared" si="26"/>
        <v>626.95580031689224</v>
      </c>
      <c r="S150">
        <f t="shared" si="27"/>
        <v>3487425.8616727539</v>
      </c>
      <c r="T150" s="5">
        <v>0.08</v>
      </c>
      <c r="V150">
        <f>SUM($R$2:R150)</f>
        <v>31590.279333140006</v>
      </c>
      <c r="W150">
        <f t="shared" si="28"/>
        <v>66.609622007211243</v>
      </c>
      <c r="Z150">
        <f t="shared" si="33"/>
        <v>1.3599142141261744E-4</v>
      </c>
      <c r="AA150" s="5">
        <v>0.3</v>
      </c>
      <c r="AB150">
        <f t="shared" si="29"/>
        <v>11624752.872242514</v>
      </c>
      <c r="AC150">
        <f t="shared" si="32"/>
        <v>1259451.2488008125</v>
      </c>
      <c r="AD150" s="5">
        <v>0.2</v>
      </c>
      <c r="AE150">
        <f t="shared" si="30"/>
        <v>251890.24976016252</v>
      </c>
      <c r="AF150">
        <f t="shared" si="31"/>
        <v>1</v>
      </c>
    </row>
    <row r="151" spans="1:32" x14ac:dyDescent="0.25">
      <c r="A151" s="2">
        <v>150</v>
      </c>
      <c r="B151">
        <f t="shared" si="23"/>
        <v>95529.953765312574</v>
      </c>
      <c r="C151" s="5">
        <v>0.08</v>
      </c>
      <c r="D151">
        <f t="shared" si="24"/>
        <v>674441.47358310746</v>
      </c>
      <c r="Q151">
        <f t="shared" si="25"/>
        <v>674441.47358311201</v>
      </c>
      <c r="R151">
        <f t="shared" si="26"/>
        <v>638.78515503985238</v>
      </c>
      <c r="S151">
        <f t="shared" si="27"/>
        <v>3766419.9306065743</v>
      </c>
      <c r="T151" s="5">
        <v>0.08</v>
      </c>
      <c r="V151">
        <f>SUM($R$2:R151)</f>
        <v>32229.064488179858</v>
      </c>
      <c r="W151">
        <f t="shared" si="28"/>
        <v>67.956531202673347</v>
      </c>
      <c r="Z151">
        <f t="shared" si="33"/>
        <v>1.2591798278946059E-4</v>
      </c>
      <c r="AA151" s="5">
        <v>0.3</v>
      </c>
      <c r="AB151">
        <f t="shared" si="29"/>
        <v>12554733.102021914</v>
      </c>
      <c r="AC151">
        <f t="shared" si="32"/>
        <v>1335018.3237288613</v>
      </c>
      <c r="AD151" s="5">
        <v>0.2</v>
      </c>
      <c r="AE151">
        <f t="shared" si="30"/>
        <v>267003.66474577226</v>
      </c>
      <c r="AF151">
        <f t="shared" si="31"/>
        <v>1</v>
      </c>
    </row>
    <row r="152" spans="1:32" x14ac:dyDescent="0.25">
      <c r="A152" s="2">
        <v>151</v>
      </c>
      <c r="B152">
        <f t="shared" si="23"/>
        <v>103172.35006653758</v>
      </c>
      <c r="C152" s="5">
        <v>0.08</v>
      </c>
      <c r="D152">
        <f t="shared" si="24"/>
        <v>728396.79146975605</v>
      </c>
      <c r="Q152">
        <f t="shared" si="25"/>
        <v>728396.79146976105</v>
      </c>
      <c r="R152">
        <f t="shared" si="26"/>
        <v>650.83770513494403</v>
      </c>
      <c r="S152">
        <f t="shared" si="27"/>
        <v>4067733.5250551007</v>
      </c>
      <c r="T152" s="5">
        <v>0.08</v>
      </c>
      <c r="V152">
        <f>SUM($R$2:R152)</f>
        <v>32879.902193314803</v>
      </c>
      <c r="W152">
        <f t="shared" si="28"/>
        <v>69.328853779181898</v>
      </c>
      <c r="Z152">
        <f t="shared" si="33"/>
        <v>1.165907248050561E-4</v>
      </c>
      <c r="AA152" s="5">
        <v>0.3</v>
      </c>
      <c r="AB152">
        <f t="shared" si="29"/>
        <v>13559111.75018367</v>
      </c>
      <c r="AC152">
        <f t="shared" si="32"/>
        <v>1415119.423152593</v>
      </c>
      <c r="AD152" s="5">
        <v>0.2</v>
      </c>
      <c r="AE152">
        <f t="shared" si="30"/>
        <v>283023.88463051862</v>
      </c>
      <c r="AF152">
        <f t="shared" si="31"/>
        <v>1</v>
      </c>
    </row>
    <row r="153" spans="1:32" x14ac:dyDescent="0.25">
      <c r="A153" s="2">
        <v>152</v>
      </c>
      <c r="B153">
        <f t="shared" si="23"/>
        <v>111426.13807186058</v>
      </c>
      <c r="C153" s="5">
        <v>0.08</v>
      </c>
      <c r="D153">
        <f t="shared" si="24"/>
        <v>786668.53478733648</v>
      </c>
      <c r="Q153">
        <f t="shared" si="25"/>
        <v>786668.53478734207</v>
      </c>
      <c r="R153">
        <f t="shared" si="26"/>
        <v>663.11766183560326</v>
      </c>
      <c r="S153">
        <f t="shared" si="27"/>
        <v>4393152.2070595091</v>
      </c>
      <c r="T153" s="5">
        <v>0.08</v>
      </c>
      <c r="V153">
        <f>SUM($R$2:R153)</f>
        <v>33543.019855150407</v>
      </c>
      <c r="W153">
        <f t="shared" si="28"/>
        <v>70.72706923449249</v>
      </c>
      <c r="Z153">
        <f t="shared" si="33"/>
        <v>1.0795437481949638E-4</v>
      </c>
      <c r="AA153" s="5">
        <v>0.3</v>
      </c>
      <c r="AB153">
        <f t="shared" si="29"/>
        <v>14643840.690198364</v>
      </c>
      <c r="AC153">
        <f t="shared" si="32"/>
        <v>1500026.5885417487</v>
      </c>
      <c r="AD153" s="5">
        <v>0.2</v>
      </c>
      <c r="AE153">
        <f t="shared" si="30"/>
        <v>300005.31770834973</v>
      </c>
      <c r="AF153">
        <f t="shared" si="31"/>
        <v>1</v>
      </c>
    </row>
    <row r="154" spans="1:32" x14ac:dyDescent="0.25">
      <c r="A154" s="2">
        <v>153</v>
      </c>
      <c r="B154">
        <f t="shared" si="23"/>
        <v>120340.22911760943</v>
      </c>
      <c r="C154" s="5">
        <v>0.08</v>
      </c>
      <c r="D154">
        <f t="shared" si="24"/>
        <v>849602.01757032343</v>
      </c>
      <c r="Q154">
        <f t="shared" si="25"/>
        <v>849602.01757032925</v>
      </c>
      <c r="R154">
        <f t="shared" si="26"/>
        <v>675.62931583250167</v>
      </c>
      <c r="S154">
        <f t="shared" si="27"/>
        <v>4744604.3836242706</v>
      </c>
      <c r="T154" s="5">
        <v>0.08</v>
      </c>
      <c r="V154">
        <f>SUM($R$2:R154)</f>
        <v>34218.649170982906</v>
      </c>
      <c r="W154">
        <f t="shared" si="28"/>
        <v>72.15166611348819</v>
      </c>
      <c r="Z154">
        <f t="shared" si="33"/>
        <v>9.9957754462496633E-5</v>
      </c>
      <c r="AA154" s="5">
        <v>0.3</v>
      </c>
      <c r="AB154">
        <f t="shared" si="29"/>
        <v>15815347.945414236</v>
      </c>
      <c r="AC154">
        <f t="shared" si="32"/>
        <v>1590028.1838542537</v>
      </c>
      <c r="AD154" s="5">
        <v>0.2</v>
      </c>
      <c r="AE154">
        <f t="shared" si="30"/>
        <v>318005.63677085075</v>
      </c>
      <c r="AF154">
        <f t="shared" si="31"/>
        <v>1</v>
      </c>
    </row>
    <row r="155" spans="1:32" x14ac:dyDescent="0.25">
      <c r="A155" s="2">
        <v>154</v>
      </c>
      <c r="B155">
        <f t="shared" si="23"/>
        <v>129967.44744701819</v>
      </c>
      <c r="C155" s="5">
        <v>0.08</v>
      </c>
      <c r="D155">
        <f t="shared" si="24"/>
        <v>917570.1789759493</v>
      </c>
      <c r="Q155">
        <f t="shared" si="25"/>
        <v>917570.17897595582</v>
      </c>
      <c r="R155">
        <f t="shared" si="26"/>
        <v>688.37703877273759</v>
      </c>
      <c r="S155">
        <f t="shared" si="27"/>
        <v>5124172.7343142126</v>
      </c>
      <c r="T155" s="5">
        <v>0.08</v>
      </c>
      <c r="V155">
        <f>SUM($R$2:R155)</f>
        <v>34907.026209755641</v>
      </c>
      <c r="W155">
        <f t="shared" si="28"/>
        <v>73.60314217888002</v>
      </c>
      <c r="Z155">
        <f t="shared" si="33"/>
        <v>9.2553476354163532E-5</v>
      </c>
      <c r="AA155" s="5">
        <v>0.3</v>
      </c>
      <c r="AB155">
        <f t="shared" si="29"/>
        <v>17080575.781047378</v>
      </c>
      <c r="AC155">
        <f t="shared" si="32"/>
        <v>1685429.874885509</v>
      </c>
      <c r="AD155" s="5">
        <v>0.2</v>
      </c>
      <c r="AE155">
        <f t="shared" si="30"/>
        <v>337085.97497710184</v>
      </c>
      <c r="AF155">
        <f t="shared" si="31"/>
        <v>1</v>
      </c>
    </row>
    <row r="156" spans="1:32" x14ac:dyDescent="0.25">
      <c r="A156" s="2">
        <v>155</v>
      </c>
      <c r="B156">
        <f t="shared" si="23"/>
        <v>140364.84324277964</v>
      </c>
      <c r="C156" s="5">
        <v>0.08</v>
      </c>
      <c r="D156">
        <f t="shared" si="24"/>
        <v>990975.79329402524</v>
      </c>
      <c r="Q156">
        <f t="shared" si="25"/>
        <v>990975.79329403222</v>
      </c>
      <c r="R156">
        <f t="shared" si="26"/>
        <v>701.36528478731759</v>
      </c>
      <c r="S156">
        <f t="shared" si="27"/>
        <v>5534106.5530593498</v>
      </c>
      <c r="T156" s="5">
        <v>0.08</v>
      </c>
      <c r="V156">
        <f>SUM($R$2:R156)</f>
        <v>35608.391494542957</v>
      </c>
      <c r="W156">
        <f t="shared" si="28"/>
        <v>75.082004585128317</v>
      </c>
      <c r="Z156">
        <f t="shared" si="33"/>
        <v>8.5697663290892158E-5</v>
      </c>
      <c r="AA156" s="5">
        <v>0.3</v>
      </c>
      <c r="AB156">
        <f t="shared" si="29"/>
        <v>18447021.843531165</v>
      </c>
      <c r="AC156">
        <f t="shared" si="32"/>
        <v>1786555.6673786396</v>
      </c>
      <c r="AD156" s="5">
        <v>0.2</v>
      </c>
      <c r="AE156">
        <f t="shared" si="30"/>
        <v>357311.13347572793</v>
      </c>
      <c r="AF156">
        <f t="shared" si="31"/>
        <v>1</v>
      </c>
    </row>
    <row r="157" spans="1:32" x14ac:dyDescent="0.25">
      <c r="A157" s="2">
        <v>156</v>
      </c>
      <c r="B157">
        <f t="shared" si="23"/>
        <v>151594.030702202</v>
      </c>
      <c r="C157" s="5">
        <v>0.08</v>
      </c>
      <c r="D157">
        <f t="shared" si="24"/>
        <v>1070253.8567575472</v>
      </c>
      <c r="Q157">
        <f t="shared" si="25"/>
        <v>1070253.8567575549</v>
      </c>
      <c r="R157">
        <f t="shared" si="26"/>
        <v>714.59859204745555</v>
      </c>
      <c r="S157">
        <f t="shared" si="27"/>
        <v>5976835.0773040978</v>
      </c>
      <c r="T157" s="5">
        <v>0.08</v>
      </c>
      <c r="V157">
        <f>SUM($R$2:R157)</f>
        <v>36322.990086590413</v>
      </c>
      <c r="W157">
        <f t="shared" si="28"/>
        <v>76.588770055645455</v>
      </c>
      <c r="Z157">
        <f t="shared" si="33"/>
        <v>7.9349688232307558E-5</v>
      </c>
      <c r="AA157" s="5">
        <v>0.3</v>
      </c>
      <c r="AB157">
        <f t="shared" si="29"/>
        <v>19922783.591013659</v>
      </c>
      <c r="AC157">
        <f t="shared" si="32"/>
        <v>1893749.007421358</v>
      </c>
      <c r="AD157" s="5">
        <v>0.2</v>
      </c>
      <c r="AE157">
        <f t="shared" si="30"/>
        <v>378749.80148427165</v>
      </c>
      <c r="AF157">
        <f t="shared" si="31"/>
        <v>1</v>
      </c>
    </row>
    <row r="158" spans="1:32" x14ac:dyDescent="0.25">
      <c r="A158" s="2">
        <v>157</v>
      </c>
      <c r="B158">
        <f t="shared" si="23"/>
        <v>163721.55315837817</v>
      </c>
      <c r="C158" s="5">
        <v>0.08</v>
      </c>
      <c r="D158">
        <f t="shared" si="24"/>
        <v>1155874.1652981511</v>
      </c>
      <c r="Q158">
        <f t="shared" si="25"/>
        <v>1155874.1652981592</v>
      </c>
      <c r="R158">
        <f t="shared" si="26"/>
        <v>728.08158435023768</v>
      </c>
      <c r="S158">
        <f t="shared" si="27"/>
        <v>6454981.883488426</v>
      </c>
      <c r="T158" s="5">
        <v>0.08</v>
      </c>
      <c r="V158">
        <f>SUM($R$2:R158)</f>
        <v>37051.071670940648</v>
      </c>
      <c r="W158">
        <f t="shared" si="28"/>
        <v>78.123965063342155</v>
      </c>
      <c r="Z158">
        <f t="shared" si="33"/>
        <v>7.3471933548432922E-5</v>
      </c>
      <c r="AA158" s="5">
        <v>0.3</v>
      </c>
      <c r="AB158">
        <f t="shared" si="29"/>
        <v>21516606.278294753</v>
      </c>
      <c r="AC158">
        <f t="shared" si="32"/>
        <v>2007373.9478666396</v>
      </c>
      <c r="AD158" s="5">
        <v>0.2</v>
      </c>
      <c r="AE158">
        <f t="shared" si="30"/>
        <v>401474.78957332793</v>
      </c>
      <c r="AF158">
        <f t="shared" si="31"/>
        <v>1</v>
      </c>
    </row>
    <row r="159" spans="1:32" x14ac:dyDescent="0.25">
      <c r="A159" s="2">
        <v>158</v>
      </c>
      <c r="B159">
        <f t="shared" si="23"/>
        <v>176819.27741104842</v>
      </c>
      <c r="C159" s="5">
        <v>0.08</v>
      </c>
      <c r="D159">
        <f t="shared" si="24"/>
        <v>1248344.0985220033</v>
      </c>
      <c r="Q159">
        <f t="shared" si="25"/>
        <v>1248344.0985220121</v>
      </c>
      <c r="R159">
        <f t="shared" si="26"/>
        <v>741.81897273420441</v>
      </c>
      <c r="S159">
        <f t="shared" si="27"/>
        <v>6971380.4341675006</v>
      </c>
      <c r="T159" s="5">
        <v>0.08</v>
      </c>
      <c r="V159">
        <f>SUM($R$2:R159)</f>
        <v>37792.890643674851</v>
      </c>
      <c r="W159">
        <f t="shared" si="28"/>
        <v>79.688126014580291</v>
      </c>
      <c r="Z159">
        <f t="shared" si="33"/>
        <v>6.8029568100400851E-5</v>
      </c>
      <c r="AA159" s="5">
        <v>0.3</v>
      </c>
      <c r="AB159">
        <f t="shared" si="29"/>
        <v>23237934.780558337</v>
      </c>
      <c r="AC159">
        <f t="shared" si="32"/>
        <v>2127816.3847386381</v>
      </c>
      <c r="AD159" s="5">
        <v>0.2</v>
      </c>
      <c r="AE159">
        <f t="shared" si="30"/>
        <v>425563.27694772766</v>
      </c>
      <c r="AF159">
        <f t="shared" si="31"/>
        <v>1</v>
      </c>
    </row>
    <row r="160" spans="1:32" x14ac:dyDescent="0.25">
      <c r="A160" s="2">
        <v>159</v>
      </c>
      <c r="B160">
        <f t="shared" si="23"/>
        <v>190964.81960393229</v>
      </c>
      <c r="C160" s="5">
        <v>0.08</v>
      </c>
      <c r="D160">
        <f t="shared" si="24"/>
        <v>1348211.6264037634</v>
      </c>
      <c r="Q160">
        <f t="shared" si="25"/>
        <v>1348211.6264037732</v>
      </c>
      <c r="R160">
        <f t="shared" si="26"/>
        <v>755.81555712541581</v>
      </c>
      <c r="S160">
        <f t="shared" si="27"/>
        <v>7529090.8689009007</v>
      </c>
      <c r="T160" s="5">
        <v>0.08</v>
      </c>
      <c r="V160">
        <f>SUM($R$2:R160)</f>
        <v>38548.706200800269</v>
      </c>
      <c r="W160">
        <f t="shared" si="28"/>
        <v>81.281799436596529</v>
      </c>
      <c r="Z160">
        <f t="shared" si="33"/>
        <v>6.2990340833704486E-5</v>
      </c>
      <c r="AA160" s="5">
        <v>0.3</v>
      </c>
      <c r="AB160">
        <f t="shared" si="29"/>
        <v>25096969.563003004</v>
      </c>
      <c r="AC160">
        <f t="shared" si="32"/>
        <v>2255485.3678229563</v>
      </c>
      <c r="AD160" s="5">
        <v>0.2</v>
      </c>
      <c r="AE160">
        <f t="shared" si="30"/>
        <v>451097.07356459129</v>
      </c>
      <c r="AF160">
        <f t="shared" si="31"/>
        <v>1</v>
      </c>
    </row>
    <row r="161" spans="1:32" x14ac:dyDescent="0.25">
      <c r="A161" s="2">
        <v>160</v>
      </c>
      <c r="B161">
        <f t="shared" si="23"/>
        <v>206242.00517224689</v>
      </c>
      <c r="C161" s="5">
        <v>0.08</v>
      </c>
      <c r="D161">
        <f t="shared" si="24"/>
        <v>1456068.5565160646</v>
      </c>
      <c r="Q161">
        <f t="shared" si="25"/>
        <v>1456068.5565160753</v>
      </c>
      <c r="R161">
        <f t="shared" si="26"/>
        <v>770.07622801457444</v>
      </c>
      <c r="S161">
        <f t="shared" si="27"/>
        <v>8131418.1384129729</v>
      </c>
      <c r="T161" s="5">
        <v>0.08</v>
      </c>
      <c r="V161">
        <f>SUM($R$2:R161)</f>
        <v>39318.78242881484</v>
      </c>
      <c r="W161">
        <f t="shared" si="28"/>
        <v>82.905542168462105</v>
      </c>
      <c r="Z161">
        <f t="shared" si="33"/>
        <v>5.8324389660837484E-5</v>
      </c>
      <c r="AA161" s="5">
        <v>0.3</v>
      </c>
      <c r="AB161">
        <f t="shared" si="29"/>
        <v>27104727.128043246</v>
      </c>
      <c r="AC161">
        <f t="shared" si="32"/>
        <v>2390814.4898923337</v>
      </c>
      <c r="AD161" s="5">
        <v>0.2</v>
      </c>
      <c r="AE161">
        <f t="shared" si="30"/>
        <v>478162.89797846676</v>
      </c>
      <c r="AF161">
        <f t="shared" si="31"/>
        <v>1</v>
      </c>
    </row>
    <row r="162" spans="1:32" x14ac:dyDescent="0.25">
      <c r="A162" s="2">
        <v>161</v>
      </c>
      <c r="B162">
        <f t="shared" si="23"/>
        <v>222741.36558602663</v>
      </c>
      <c r="C162" s="5">
        <v>0.08</v>
      </c>
      <c r="D162">
        <f t="shared" si="24"/>
        <v>1572554.0410373497</v>
      </c>
      <c r="Q162">
        <f t="shared" si="25"/>
        <v>1572554.0410373614</v>
      </c>
      <c r="R162">
        <f t="shared" si="26"/>
        <v>784.60596816579323</v>
      </c>
      <c r="S162">
        <f t="shared" si="27"/>
        <v>8781931.5894860122</v>
      </c>
      <c r="T162" s="5">
        <v>0.08</v>
      </c>
      <c r="V162">
        <f>SUM($R$2:R162)</f>
        <v>40103.388396980634</v>
      </c>
      <c r="W162">
        <f t="shared" si="28"/>
        <v>84.559921555645914</v>
      </c>
      <c r="Z162">
        <f t="shared" si="33"/>
        <v>5.4004064500775441E-5</v>
      </c>
      <c r="AA162" s="5">
        <v>0.3</v>
      </c>
      <c r="AB162">
        <f t="shared" si="29"/>
        <v>29273105.29828671</v>
      </c>
      <c r="AC162">
        <f t="shared" si="32"/>
        <v>2534263.3592858738</v>
      </c>
      <c r="AD162" s="5">
        <v>0.2</v>
      </c>
      <c r="AE162">
        <f t="shared" si="30"/>
        <v>506852.67185717478</v>
      </c>
      <c r="AF162">
        <f t="shared" si="31"/>
        <v>1</v>
      </c>
    </row>
    <row r="163" spans="1:32" x14ac:dyDescent="0.25">
      <c r="A163" s="2">
        <v>162</v>
      </c>
      <c r="B163">
        <f t="shared" si="23"/>
        <v>240560.67483290876</v>
      </c>
      <c r="C163" s="5">
        <v>0.08</v>
      </c>
      <c r="D163">
        <f t="shared" si="24"/>
        <v>1698358.3643203378</v>
      </c>
      <c r="Q163">
        <f t="shared" si="25"/>
        <v>1698358.3643203501</v>
      </c>
      <c r="R163">
        <f t="shared" si="26"/>
        <v>799.40985435760069</v>
      </c>
      <c r="S163">
        <f t="shared" si="27"/>
        <v>9484486.1166448947</v>
      </c>
      <c r="T163" s="5">
        <v>0.08</v>
      </c>
      <c r="V163">
        <f>SUM($R$2:R163)</f>
        <v>40902.798251338238</v>
      </c>
      <c r="W163">
        <f t="shared" si="28"/>
        <v>86.245515648248301</v>
      </c>
      <c r="Z163">
        <f t="shared" si="33"/>
        <v>5.0003763426643918E-5</v>
      </c>
      <c r="AA163" s="5">
        <v>0.3</v>
      </c>
      <c r="AB163">
        <f t="shared" si="29"/>
        <v>31614953.722149651</v>
      </c>
      <c r="AC163">
        <f t="shared" si="32"/>
        <v>2686319.1608430264</v>
      </c>
      <c r="AD163" s="5">
        <v>0.2</v>
      </c>
      <c r="AE163">
        <f t="shared" si="30"/>
        <v>537263.8321686053</v>
      </c>
      <c r="AF163">
        <f t="shared" si="31"/>
        <v>1</v>
      </c>
    </row>
    <row r="164" spans="1:32" x14ac:dyDescent="0.25">
      <c r="A164" s="2">
        <v>163</v>
      </c>
      <c r="B164">
        <f t="shared" si="23"/>
        <v>259805.52881954145</v>
      </c>
      <c r="C164" s="5">
        <v>0.08</v>
      </c>
      <c r="D164">
        <f t="shared" si="24"/>
        <v>1834227.0334659647</v>
      </c>
      <c r="Q164">
        <f t="shared" si="25"/>
        <v>1834227.0334659782</v>
      </c>
      <c r="R164">
        <f t="shared" si="26"/>
        <v>814.49305915680065</v>
      </c>
      <c r="S164">
        <f t="shared" si="27"/>
        <v>10243245.005976487</v>
      </c>
      <c r="T164" s="5">
        <v>0.08</v>
      </c>
      <c r="V164">
        <f>SUM($R$2:R164)</f>
        <v>41717.291310495035</v>
      </c>
      <c r="W164">
        <f t="shared" si="28"/>
        <v>87.962913402975232</v>
      </c>
      <c r="Z164">
        <f t="shared" si="33"/>
        <v>4.6299780950596215E-5</v>
      </c>
      <c r="AA164" s="5">
        <v>0.3</v>
      </c>
      <c r="AB164">
        <f t="shared" si="29"/>
        <v>34144150.019921623</v>
      </c>
      <c r="AC164">
        <f t="shared" si="32"/>
        <v>2847498.310493608</v>
      </c>
      <c r="AD164" s="5">
        <v>0.2</v>
      </c>
      <c r="AE164">
        <f t="shared" si="30"/>
        <v>569499.6620987216</v>
      </c>
      <c r="AF164">
        <f t="shared" si="31"/>
        <v>1</v>
      </c>
    </row>
    <row r="165" spans="1:32" x14ac:dyDescent="0.25">
      <c r="A165" s="2">
        <v>164</v>
      </c>
      <c r="B165">
        <f t="shared" si="23"/>
        <v>280589.97112510476</v>
      </c>
      <c r="C165" s="5">
        <v>0.08</v>
      </c>
      <c r="D165">
        <f t="shared" si="24"/>
        <v>1980965.1961432418</v>
      </c>
      <c r="Q165">
        <f t="shared" si="25"/>
        <v>1980965.1961432567</v>
      </c>
      <c r="R165">
        <f t="shared" si="26"/>
        <v>829.8608527257968</v>
      </c>
      <c r="S165">
        <f t="shared" si="27"/>
        <v>11062704.606454607</v>
      </c>
      <c r="T165" s="5">
        <v>0.08</v>
      </c>
      <c r="V165">
        <f>SUM($R$2:R165)</f>
        <v>42547.152163220831</v>
      </c>
      <c r="W165">
        <f t="shared" si="28"/>
        <v>89.712714888923443</v>
      </c>
      <c r="Z165">
        <f t="shared" si="33"/>
        <v>4.2870167546848345E-5</v>
      </c>
      <c r="AA165" s="5">
        <v>0.3</v>
      </c>
      <c r="AB165">
        <f t="shared" si="29"/>
        <v>36875682.021515362</v>
      </c>
      <c r="AC165">
        <f t="shared" si="32"/>
        <v>3018348.2091232245</v>
      </c>
      <c r="AD165" s="5">
        <v>0.2</v>
      </c>
      <c r="AE165">
        <f t="shared" si="30"/>
        <v>603669.64182464487</v>
      </c>
      <c r="AF165">
        <f t="shared" si="31"/>
        <v>1</v>
      </c>
    </row>
    <row r="166" spans="1:32" x14ac:dyDescent="0.25">
      <c r="A166" s="2">
        <v>165</v>
      </c>
      <c r="B166">
        <f t="shared" ref="B166:B200" si="34">B165+B165*C165</f>
        <v>303037.16881511314</v>
      </c>
      <c r="C166" s="5">
        <v>0.08</v>
      </c>
      <c r="D166">
        <f t="shared" ref="D166:D200" si="35">D165+D165*C165</f>
        <v>2139442.411834701</v>
      </c>
      <c r="Q166">
        <f t="shared" ref="Q166:Q200" si="36">$D$2*((1+$C$2)^A165)</f>
        <v>2139442.4118347177</v>
      </c>
      <c r="R166">
        <f t="shared" ref="R166:R200" si="37">S166/((1+$U$2)^A165)</f>
        <v>845.51860466401945</v>
      </c>
      <c r="S166">
        <f t="shared" ref="S166:S200" si="38">S165*(1+T165)</f>
        <v>11947720.974970976</v>
      </c>
      <c r="T166" s="5">
        <v>0.08</v>
      </c>
      <c r="V166">
        <f>SUM($R$2:R166)</f>
        <v>43392.670767884854</v>
      </c>
      <c r="W166">
        <f t="shared" ref="W166:W200" si="39">V166/$W$2</f>
        <v>91.495531497248038</v>
      </c>
      <c r="Z166">
        <f t="shared" si="33"/>
        <v>3.9694599580415133E-5</v>
      </c>
      <c r="AA166" s="5">
        <v>0.3</v>
      </c>
      <c r="AB166">
        <f t="shared" si="29"/>
        <v>39825736.58323659</v>
      </c>
      <c r="AC166">
        <f t="shared" si="32"/>
        <v>3199449.1016706182</v>
      </c>
      <c r="AD166" s="5">
        <v>0.2</v>
      </c>
      <c r="AE166">
        <f t="shared" si="30"/>
        <v>639889.82033412368</v>
      </c>
      <c r="AF166">
        <f t="shared" si="31"/>
        <v>1</v>
      </c>
    </row>
    <row r="167" spans="1:32" x14ac:dyDescent="0.25">
      <c r="A167" s="2">
        <v>166</v>
      </c>
      <c r="B167">
        <f t="shared" si="34"/>
        <v>327280.14232032216</v>
      </c>
      <c r="C167" s="5">
        <v>0.08</v>
      </c>
      <c r="D167">
        <f t="shared" si="35"/>
        <v>2310597.804781477</v>
      </c>
      <c r="Q167">
        <f t="shared" si="36"/>
        <v>2310597.8047814951</v>
      </c>
      <c r="R167">
        <f t="shared" si="37"/>
        <v>861.47178588409531</v>
      </c>
      <c r="S167">
        <f t="shared" si="38"/>
        <v>12903538.652968654</v>
      </c>
      <c r="T167" s="5">
        <v>0.08</v>
      </c>
      <c r="V167">
        <f>SUM($R$2:R167)</f>
        <v>44254.14255376895</v>
      </c>
      <c r="W167">
        <f t="shared" si="39"/>
        <v>93.311986154786297</v>
      </c>
      <c r="Z167">
        <f t="shared" si="33"/>
        <v>3.6754258870754755E-5</v>
      </c>
      <c r="AA167" s="5">
        <v>0.3</v>
      </c>
      <c r="AB167">
        <f t="shared" si="29"/>
        <v>43011795.509895518</v>
      </c>
      <c r="AC167">
        <f t="shared" si="32"/>
        <v>3391416.0477708555</v>
      </c>
      <c r="AD167" s="5">
        <v>0.2</v>
      </c>
      <c r="AE167">
        <f t="shared" si="30"/>
        <v>678283.20955417119</v>
      </c>
      <c r="AF167">
        <f t="shared" si="31"/>
        <v>1</v>
      </c>
    </row>
    <row r="168" spans="1:32" x14ac:dyDescent="0.25">
      <c r="A168" s="2">
        <v>167</v>
      </c>
      <c r="B168">
        <f t="shared" si="34"/>
        <v>353462.55370594794</v>
      </c>
      <c r="C168" s="5">
        <v>0.08</v>
      </c>
      <c r="D168">
        <f t="shared" si="35"/>
        <v>2495445.6291639949</v>
      </c>
      <c r="Q168">
        <f t="shared" si="36"/>
        <v>2495445.6291640149</v>
      </c>
      <c r="R168">
        <f t="shared" si="37"/>
        <v>877.72597052341769</v>
      </c>
      <c r="S168">
        <f t="shared" si="38"/>
        <v>13935821.745206147</v>
      </c>
      <c r="T168" s="5">
        <v>0.08</v>
      </c>
      <c r="V168">
        <f>SUM($R$2:R168)</f>
        <v>45131.868524292368</v>
      </c>
      <c r="W168">
        <f t="shared" si="39"/>
        <v>95.16271354171208</v>
      </c>
      <c r="Z168">
        <f t="shared" si="33"/>
        <v>3.4031721176624766E-5</v>
      </c>
      <c r="AA168" s="5">
        <v>0.3</v>
      </c>
      <c r="AB168">
        <f t="shared" si="29"/>
        <v>46452739.150687158</v>
      </c>
      <c r="AC168">
        <f t="shared" si="32"/>
        <v>3594901.0106371068</v>
      </c>
      <c r="AD168" s="5">
        <v>0.2</v>
      </c>
      <c r="AE168">
        <f t="shared" si="30"/>
        <v>718980.20212742139</v>
      </c>
      <c r="AF168">
        <f t="shared" si="31"/>
        <v>1</v>
      </c>
    </row>
    <row r="169" spans="1:32" x14ac:dyDescent="0.25">
      <c r="A169" s="2">
        <v>168</v>
      </c>
      <c r="B169">
        <f t="shared" si="34"/>
        <v>381739.55800242379</v>
      </c>
      <c r="C169" s="5">
        <v>0.08</v>
      </c>
      <c r="D169">
        <f t="shared" si="35"/>
        <v>2695081.2794971145</v>
      </c>
      <c r="Q169">
        <f t="shared" si="36"/>
        <v>2695081.2794971359</v>
      </c>
      <c r="R169">
        <f t="shared" si="37"/>
        <v>894.28683789178399</v>
      </c>
      <c r="S169">
        <f t="shared" si="38"/>
        <v>15050687.48482264</v>
      </c>
      <c r="T169" s="5">
        <v>0.08</v>
      </c>
      <c r="V169">
        <f>SUM($R$2:R169)</f>
        <v>46026.155362184152</v>
      </c>
      <c r="W169">
        <f t="shared" si="39"/>
        <v>97.048360313296826</v>
      </c>
      <c r="Z169">
        <f t="shared" si="33"/>
        <v>3.1510852941319226E-5</v>
      </c>
      <c r="AA169" s="5">
        <v>0.3</v>
      </c>
      <c r="AB169">
        <f t="shared" si="29"/>
        <v>50168958.282742135</v>
      </c>
      <c r="AC169">
        <f t="shared" si="32"/>
        <v>3810595.0712753334</v>
      </c>
      <c r="AD169" s="5">
        <v>0.2</v>
      </c>
      <c r="AE169">
        <f t="shared" si="30"/>
        <v>762119.01425506675</v>
      </c>
      <c r="AF169">
        <f t="shared" si="31"/>
        <v>1</v>
      </c>
    </row>
    <row r="170" spans="1:32" x14ac:dyDescent="0.25">
      <c r="A170" s="2">
        <v>169</v>
      </c>
      <c r="B170">
        <f t="shared" si="34"/>
        <v>412278.72264261771</v>
      </c>
      <c r="C170" s="5">
        <v>0.08</v>
      </c>
      <c r="D170">
        <f t="shared" si="35"/>
        <v>2910687.7818568838</v>
      </c>
      <c r="Q170">
        <f t="shared" si="36"/>
        <v>2910687.7818569071</v>
      </c>
      <c r="R170">
        <f t="shared" si="37"/>
        <v>911.16017445578018</v>
      </c>
      <c r="S170">
        <f t="shared" si="38"/>
        <v>16254742.483608453</v>
      </c>
      <c r="T170" s="5">
        <v>0.08</v>
      </c>
      <c r="V170">
        <f>SUM($R$2:R170)</f>
        <v>46937.31553663993</v>
      </c>
      <c r="W170">
        <f t="shared" si="39"/>
        <v>98.969585325854865</v>
      </c>
      <c r="Z170">
        <f t="shared" si="33"/>
        <v>2.917671568640669E-5</v>
      </c>
      <c r="AA170" s="5">
        <v>0.3</v>
      </c>
      <c r="AB170">
        <f t="shared" si="29"/>
        <v>54182474.94536151</v>
      </c>
      <c r="AC170">
        <f t="shared" si="32"/>
        <v>4039230.7755518537</v>
      </c>
      <c r="AD170" s="5">
        <v>0.2</v>
      </c>
      <c r="AE170">
        <f t="shared" si="30"/>
        <v>807846.15511037083</v>
      </c>
      <c r="AF170">
        <f t="shared" si="31"/>
        <v>1</v>
      </c>
    </row>
    <row r="171" spans="1:32" x14ac:dyDescent="0.25">
      <c r="A171" s="2">
        <v>170</v>
      </c>
      <c r="B171">
        <f t="shared" si="34"/>
        <v>445261.02045402711</v>
      </c>
      <c r="C171" s="5">
        <v>0.08</v>
      </c>
      <c r="D171">
        <f t="shared" si="35"/>
        <v>3143542.8044054345</v>
      </c>
      <c r="Q171">
        <f t="shared" si="36"/>
        <v>3143542.8044054601</v>
      </c>
      <c r="R171">
        <f t="shared" si="37"/>
        <v>928.35187586060624</v>
      </c>
      <c r="S171">
        <f t="shared" si="38"/>
        <v>17555121.882297128</v>
      </c>
      <c r="T171" s="5">
        <v>0.08</v>
      </c>
      <c r="V171">
        <f>SUM($R$2:R171)</f>
        <v>47865.667412500537</v>
      </c>
      <c r="W171">
        <f t="shared" si="39"/>
        <v>100.92705986695175</v>
      </c>
      <c r="Z171">
        <f t="shared" si="33"/>
        <v>2.7015477487413603E-5</v>
      </c>
      <c r="AA171" s="5">
        <v>0.3</v>
      </c>
      <c r="AB171">
        <f t="shared" si="29"/>
        <v>58517072.940990433</v>
      </c>
      <c r="AC171">
        <f t="shared" si="32"/>
        <v>4281584.622084965</v>
      </c>
      <c r="AD171" s="5">
        <v>0.2</v>
      </c>
      <c r="AE171">
        <f t="shared" si="30"/>
        <v>856316.92441699305</v>
      </c>
      <c r="AF171">
        <f t="shared" si="31"/>
        <v>1</v>
      </c>
    </row>
    <row r="172" spans="1:32" x14ac:dyDescent="0.25">
      <c r="A172" s="2">
        <v>171</v>
      </c>
      <c r="B172">
        <f t="shared" si="34"/>
        <v>480881.90209034929</v>
      </c>
      <c r="C172" s="5">
        <v>0.08</v>
      </c>
      <c r="D172">
        <f t="shared" si="35"/>
        <v>3395026.2287578695</v>
      </c>
      <c r="Q172">
        <f t="shared" si="36"/>
        <v>3395026.2287578965</v>
      </c>
      <c r="R172">
        <f t="shared" si="37"/>
        <v>945.86794899005145</v>
      </c>
      <c r="S172">
        <f t="shared" si="38"/>
        <v>18959531.6328809</v>
      </c>
      <c r="T172" s="5">
        <v>0.08</v>
      </c>
      <c r="V172">
        <f>SUM($R$2:R172)</f>
        <v>48811.535361490591</v>
      </c>
      <c r="W172">
        <f t="shared" si="39"/>
        <v>102.92146788995612</v>
      </c>
      <c r="Z172">
        <f t="shared" si="33"/>
        <v>2.5014331006864447E-5</v>
      </c>
      <c r="AA172" s="5">
        <v>0.3</v>
      </c>
      <c r="AB172">
        <f t="shared" si="29"/>
        <v>63198438.776269667</v>
      </c>
      <c r="AC172">
        <f t="shared" si="32"/>
        <v>4538479.6994100632</v>
      </c>
      <c r="AD172" s="5">
        <v>0.2</v>
      </c>
      <c r="AE172">
        <f t="shared" si="30"/>
        <v>907695.93988201267</v>
      </c>
      <c r="AF172">
        <f t="shared" si="31"/>
        <v>1</v>
      </c>
    </row>
    <row r="173" spans="1:32" x14ac:dyDescent="0.25">
      <c r="A173" s="2">
        <v>172</v>
      </c>
      <c r="B173">
        <f t="shared" si="34"/>
        <v>519352.45425757725</v>
      </c>
      <c r="C173" s="5">
        <v>0.08</v>
      </c>
      <c r="D173">
        <f t="shared" si="35"/>
        <v>3666628.3270584992</v>
      </c>
      <c r="Q173">
        <f t="shared" si="36"/>
        <v>3666628.3270585281</v>
      </c>
      <c r="R173">
        <f t="shared" si="37"/>
        <v>963.71451406533538</v>
      </c>
      <c r="S173">
        <f t="shared" si="38"/>
        <v>20476294.163511373</v>
      </c>
      <c r="T173" s="5">
        <v>0.08</v>
      </c>
      <c r="V173">
        <f>SUM($R$2:R173)</f>
        <v>49775.249875555928</v>
      </c>
      <c r="W173">
        <f t="shared" si="39"/>
        <v>104.95350625301718</v>
      </c>
      <c r="Z173">
        <f t="shared" si="33"/>
        <v>2.3161417598948559E-5</v>
      </c>
      <c r="AA173" s="5">
        <v>0.3</v>
      </c>
      <c r="AB173">
        <f t="shared" si="29"/>
        <v>68254313.878371254</v>
      </c>
      <c r="AC173">
        <f t="shared" si="32"/>
        <v>4810788.481374667</v>
      </c>
      <c r="AD173" s="5">
        <v>0.2</v>
      </c>
      <c r="AE173">
        <f t="shared" si="30"/>
        <v>962157.69627493341</v>
      </c>
      <c r="AF173">
        <f t="shared" si="31"/>
        <v>1</v>
      </c>
    </row>
    <row r="174" spans="1:32" x14ac:dyDescent="0.25">
      <c r="A174" s="2">
        <v>173</v>
      </c>
      <c r="B174">
        <f t="shared" si="34"/>
        <v>560900.65059818339</v>
      </c>
      <c r="C174" s="5">
        <v>0.08</v>
      </c>
      <c r="D174">
        <f t="shared" si="35"/>
        <v>3959958.5932231792</v>
      </c>
      <c r="Q174">
        <f t="shared" si="36"/>
        <v>3959958.5932232109</v>
      </c>
      <c r="R174">
        <f t="shared" si="37"/>
        <v>981.89780678354941</v>
      </c>
      <c r="S174">
        <f t="shared" si="38"/>
        <v>22114397.696592286</v>
      </c>
      <c r="T174" s="5">
        <v>0.08</v>
      </c>
      <c r="V174">
        <f>SUM($R$2:R174)</f>
        <v>50757.147682339477</v>
      </c>
      <c r="W174">
        <f t="shared" si="39"/>
        <v>107.02388496255108</v>
      </c>
      <c r="Z174">
        <f t="shared" si="33"/>
        <v>2.1445757036063478E-5</v>
      </c>
      <c r="AA174" s="5">
        <v>0.3</v>
      </c>
      <c r="AB174">
        <f t="shared" si="29"/>
        <v>73714658.988640964</v>
      </c>
      <c r="AC174">
        <f t="shared" si="32"/>
        <v>5099435.7902571475</v>
      </c>
      <c r="AD174" s="5">
        <v>0.2</v>
      </c>
      <c r="AE174">
        <f t="shared" si="30"/>
        <v>1019887.1580514295</v>
      </c>
      <c r="AF174">
        <f t="shared" si="31"/>
        <v>1</v>
      </c>
    </row>
    <row r="175" spans="1:32" x14ac:dyDescent="0.25">
      <c r="A175" s="2">
        <v>174</v>
      </c>
      <c r="B175">
        <f t="shared" si="34"/>
        <v>605772.70264603803</v>
      </c>
      <c r="C175" s="5">
        <v>0.08</v>
      </c>
      <c r="D175">
        <f t="shared" si="35"/>
        <v>4276755.2806810336</v>
      </c>
      <c r="Q175">
        <f t="shared" si="36"/>
        <v>4276755.2806810681</v>
      </c>
      <c r="R175">
        <f t="shared" si="37"/>
        <v>1000.4241804964466</v>
      </c>
      <c r="S175">
        <f t="shared" si="38"/>
        <v>23883549.512319669</v>
      </c>
      <c r="T175" s="5">
        <v>0.08</v>
      </c>
      <c r="V175">
        <f>SUM($R$2:R175)</f>
        <v>51757.571862835925</v>
      </c>
      <c r="W175">
        <f t="shared" si="39"/>
        <v>109.13332742132148</v>
      </c>
      <c r="Z175">
        <f t="shared" si="33"/>
        <v>1.9857182440799518E-5</v>
      </c>
      <c r="AA175" s="5">
        <v>0.3</v>
      </c>
      <c r="AB175">
        <f t="shared" si="29"/>
        <v>79611831.70773223</v>
      </c>
      <c r="AC175">
        <f t="shared" si="32"/>
        <v>5405401.9376725769</v>
      </c>
      <c r="AD175" s="5">
        <v>0.2</v>
      </c>
      <c r="AE175">
        <f t="shared" si="30"/>
        <v>1081080.3875345155</v>
      </c>
      <c r="AF175">
        <f t="shared" si="31"/>
        <v>1</v>
      </c>
    </row>
    <row r="176" spans="1:32" x14ac:dyDescent="0.25">
      <c r="A176" s="2">
        <v>175</v>
      </c>
      <c r="B176">
        <f t="shared" si="34"/>
        <v>654234.51885772112</v>
      </c>
      <c r="C176" s="5">
        <v>0.08</v>
      </c>
      <c r="D176">
        <f t="shared" si="35"/>
        <v>4618895.7031355165</v>
      </c>
      <c r="Q176">
        <f t="shared" si="36"/>
        <v>4618895.7031355537</v>
      </c>
      <c r="R176">
        <f t="shared" si="37"/>
        <v>1019.3001084303418</v>
      </c>
      <c r="S176">
        <f t="shared" si="38"/>
        <v>25794233.473305244</v>
      </c>
      <c r="T176" s="5">
        <v>0.08</v>
      </c>
      <c r="V176">
        <f>SUM($R$2:R176)</f>
        <v>52776.871971266264</v>
      </c>
      <c r="W176">
        <f t="shared" si="39"/>
        <v>111.28257068120074</v>
      </c>
      <c r="Z176">
        <f t="shared" si="33"/>
        <v>1.838628003777733E-5</v>
      </c>
      <c r="AA176" s="5">
        <v>0.3</v>
      </c>
      <c r="AB176">
        <f t="shared" si="29"/>
        <v>85980778.244350821</v>
      </c>
      <c r="AC176">
        <f t="shared" si="32"/>
        <v>5729726.0539329322</v>
      </c>
      <c r="AD176" s="5">
        <v>0.2</v>
      </c>
      <c r="AE176">
        <f t="shared" si="30"/>
        <v>1145945.2107865864</v>
      </c>
      <c r="AF176">
        <f t="shared" si="31"/>
        <v>1</v>
      </c>
    </row>
    <row r="177" spans="1:32" x14ac:dyDescent="0.25">
      <c r="A177" s="2">
        <v>176</v>
      </c>
      <c r="B177">
        <f t="shared" si="34"/>
        <v>706573.28036633879</v>
      </c>
      <c r="C177" s="5">
        <v>0.08</v>
      </c>
      <c r="D177">
        <f t="shared" si="35"/>
        <v>4988407.3593863575</v>
      </c>
      <c r="Q177">
        <f t="shared" si="36"/>
        <v>4988407.3593863985</v>
      </c>
      <c r="R177">
        <f t="shared" si="37"/>
        <v>1038.5321859478952</v>
      </c>
      <c r="S177">
        <f t="shared" si="38"/>
        <v>27857772.151169665</v>
      </c>
      <c r="T177" s="5">
        <v>0.08</v>
      </c>
      <c r="V177">
        <f>SUM($R$2:R177)</f>
        <v>53815.404157214158</v>
      </c>
      <c r="W177">
        <f t="shared" si="39"/>
        <v>113.47236570070038</v>
      </c>
      <c r="Z177">
        <f t="shared" si="33"/>
        <v>1.7024333368312341E-5</v>
      </c>
      <c r="AA177" s="5">
        <v>0.3</v>
      </c>
      <c r="AB177">
        <f t="shared" si="29"/>
        <v>92859240.503898889</v>
      </c>
      <c r="AC177">
        <f t="shared" si="32"/>
        <v>6073509.617168908</v>
      </c>
      <c r="AD177" s="5">
        <v>0.2</v>
      </c>
      <c r="AE177">
        <f t="shared" si="30"/>
        <v>1214701.9234337816</v>
      </c>
      <c r="AF177">
        <f t="shared" si="31"/>
        <v>1</v>
      </c>
    </row>
    <row r="178" spans="1:32" x14ac:dyDescent="0.25">
      <c r="A178" s="2">
        <v>177</v>
      </c>
      <c r="B178">
        <f t="shared" si="34"/>
        <v>763099.14279564586</v>
      </c>
      <c r="C178" s="5">
        <v>0.08</v>
      </c>
      <c r="D178">
        <f t="shared" si="35"/>
        <v>5387479.9481372666</v>
      </c>
      <c r="Q178">
        <f t="shared" si="36"/>
        <v>5387479.9481373094</v>
      </c>
      <c r="R178">
        <f t="shared" si="37"/>
        <v>1058.1271328525727</v>
      </c>
      <c r="S178">
        <f t="shared" si="38"/>
        <v>30086393.923263241</v>
      </c>
      <c r="T178" s="5">
        <v>0.08</v>
      </c>
      <c r="V178">
        <f>SUM($R$2:R178)</f>
        <v>54873.531290066734</v>
      </c>
      <c r="W178">
        <f t="shared" si="39"/>
        <v>115.70347760736038</v>
      </c>
      <c r="Z178">
        <f t="shared" si="33"/>
        <v>1.5763271637326241E-5</v>
      </c>
      <c r="AA178" s="5">
        <v>0.3</v>
      </c>
      <c r="AB178">
        <f t="shared" si="29"/>
        <v>100287979.74421081</v>
      </c>
      <c r="AC178">
        <f t="shared" si="32"/>
        <v>6437920.1941990424</v>
      </c>
      <c r="AD178" s="5">
        <v>0.2</v>
      </c>
      <c r="AE178">
        <f t="shared" si="30"/>
        <v>1287584.0388398087</v>
      </c>
      <c r="AF178">
        <f t="shared" si="31"/>
        <v>1</v>
      </c>
    </row>
    <row r="179" spans="1:32" x14ac:dyDescent="0.25">
      <c r="A179" s="2">
        <v>178</v>
      </c>
      <c r="B179">
        <f t="shared" si="34"/>
        <v>824147.0742192975</v>
      </c>
      <c r="C179" s="5">
        <v>0.08</v>
      </c>
      <c r="D179">
        <f t="shared" si="35"/>
        <v>5818478.3439882481</v>
      </c>
      <c r="Q179">
        <f t="shared" si="36"/>
        <v>5818478.3439882947</v>
      </c>
      <c r="R179">
        <f t="shared" si="37"/>
        <v>1078.0917957365834</v>
      </c>
      <c r="S179">
        <f t="shared" si="38"/>
        <v>32493305.437124301</v>
      </c>
      <c r="T179" s="5">
        <v>0.08</v>
      </c>
      <c r="V179">
        <f>SUM($R$2:R179)</f>
        <v>55951.623085803316</v>
      </c>
      <c r="W179">
        <f t="shared" si="39"/>
        <v>117.97668596508944</v>
      </c>
      <c r="Z179">
        <f t="shared" si="33"/>
        <v>1.4595621886413185E-5</v>
      </c>
      <c r="AA179" s="5">
        <v>0.3</v>
      </c>
      <c r="AB179">
        <f t="shared" si="29"/>
        <v>108311018.12374768</v>
      </c>
      <c r="AC179">
        <f t="shared" si="32"/>
        <v>6824195.4058509851</v>
      </c>
      <c r="AD179" s="5">
        <v>0.2</v>
      </c>
      <c r="AE179">
        <f t="shared" si="30"/>
        <v>1364839.0811701971</v>
      </c>
      <c r="AF179">
        <f t="shared" si="31"/>
        <v>1</v>
      </c>
    </row>
    <row r="180" spans="1:32" x14ac:dyDescent="0.25">
      <c r="A180" s="2">
        <v>179</v>
      </c>
      <c r="B180">
        <f t="shared" si="34"/>
        <v>890078.84015684132</v>
      </c>
      <c r="C180" s="5">
        <v>0.08</v>
      </c>
      <c r="D180">
        <f t="shared" si="35"/>
        <v>6283956.6115073077</v>
      </c>
      <c r="Q180">
        <f t="shared" si="36"/>
        <v>6283956.611507359</v>
      </c>
      <c r="R180">
        <f t="shared" si="37"/>
        <v>1098.433150373123</v>
      </c>
      <c r="S180">
        <f t="shared" si="38"/>
        <v>35092769.872094244</v>
      </c>
      <c r="T180" s="5">
        <v>0.08</v>
      </c>
      <c r="V180">
        <f>SUM($R$2:R180)</f>
        <v>57050.056236176439</v>
      </c>
      <c r="W180">
        <f t="shared" si="39"/>
        <v>120.29278504654924</v>
      </c>
      <c r="Z180">
        <f t="shared" si="33"/>
        <v>1.3514464709641839E-5</v>
      </c>
      <c r="AA180" s="5">
        <v>0.3</v>
      </c>
      <c r="AB180">
        <f t="shared" si="29"/>
        <v>116975899.57364748</v>
      </c>
      <c r="AC180">
        <f t="shared" si="32"/>
        <v>7233647.1302020447</v>
      </c>
      <c r="AD180" s="5">
        <v>0.2</v>
      </c>
      <c r="AE180">
        <f t="shared" si="30"/>
        <v>1446729.4260404091</v>
      </c>
      <c r="AF180">
        <f t="shared" si="31"/>
        <v>1</v>
      </c>
    </row>
    <row r="181" spans="1:32" x14ac:dyDescent="0.25">
      <c r="A181" s="2">
        <v>180</v>
      </c>
      <c r="B181">
        <f t="shared" si="34"/>
        <v>961285.14736938861</v>
      </c>
      <c r="C181" s="5">
        <v>0.08</v>
      </c>
      <c r="D181">
        <f t="shared" si="35"/>
        <v>6786673.1404278921</v>
      </c>
      <c r="Q181">
        <f t="shared" si="36"/>
        <v>6786673.1404279489</v>
      </c>
      <c r="R181">
        <f t="shared" si="37"/>
        <v>1119.1583041537478</v>
      </c>
      <c r="S181">
        <f t="shared" si="38"/>
        <v>37900191.461861789</v>
      </c>
      <c r="T181" s="5">
        <v>0.08</v>
      </c>
      <c r="V181">
        <f>SUM($R$2:R181)</f>
        <v>58169.214540330184</v>
      </c>
      <c r="W181">
        <f t="shared" si="39"/>
        <v>122.65258411067808</v>
      </c>
      <c r="Z181">
        <f t="shared" si="33"/>
        <v>1.2513393249668367E-5</v>
      </c>
      <c r="AA181" s="5">
        <v>0.3</v>
      </c>
      <c r="AB181">
        <f t="shared" si="29"/>
        <v>126333971.53953931</v>
      </c>
      <c r="AC181">
        <f t="shared" si="32"/>
        <v>7667665.9580141678</v>
      </c>
      <c r="AD181" s="5">
        <v>0.2</v>
      </c>
      <c r="AE181">
        <f t="shared" si="30"/>
        <v>1533533.1916028336</v>
      </c>
      <c r="AF181">
        <f t="shared" si="31"/>
        <v>1</v>
      </c>
    </row>
    <row r="182" spans="1:32" x14ac:dyDescent="0.25">
      <c r="A182" s="2">
        <v>181</v>
      </c>
      <c r="B182">
        <f t="shared" si="34"/>
        <v>1038187.9591589397</v>
      </c>
      <c r="C182" s="5">
        <v>0.08</v>
      </c>
      <c r="D182">
        <f t="shared" si="35"/>
        <v>7329606.9916621232</v>
      </c>
      <c r="Q182">
        <f t="shared" si="36"/>
        <v>7329606.9916621847</v>
      </c>
      <c r="R182">
        <f t="shared" si="37"/>
        <v>1140.2744985717432</v>
      </c>
      <c r="S182">
        <f t="shared" si="38"/>
        <v>40932206.778810732</v>
      </c>
      <c r="T182" s="5">
        <v>0.08</v>
      </c>
      <c r="V182">
        <f>SUM($R$2:R182)</f>
        <v>59309.489038901927</v>
      </c>
      <c r="W182">
        <f t="shared" si="39"/>
        <v>125.05690768545087</v>
      </c>
      <c r="Z182">
        <f t="shared" si="33"/>
        <v>1.1586475231174414E-5</v>
      </c>
      <c r="AA182" s="5">
        <v>0.3</v>
      </c>
      <c r="AB182">
        <f t="shared" si="29"/>
        <v>136440689.26270244</v>
      </c>
      <c r="AC182">
        <f t="shared" si="32"/>
        <v>8127725.9154950185</v>
      </c>
      <c r="AD182" s="5">
        <v>0.2</v>
      </c>
      <c r="AE182">
        <f t="shared" si="30"/>
        <v>1625545.1830990037</v>
      </c>
      <c r="AF182">
        <f t="shared" si="31"/>
        <v>1</v>
      </c>
    </row>
    <row r="183" spans="1:32" x14ac:dyDescent="0.25">
      <c r="A183" s="2">
        <v>182</v>
      </c>
      <c r="B183">
        <f t="shared" si="34"/>
        <v>1121242.9958916549</v>
      </c>
      <c r="C183" s="5">
        <v>0.08</v>
      </c>
      <c r="D183">
        <f t="shared" si="35"/>
        <v>7915975.5509950928</v>
      </c>
      <c r="Q183">
        <f t="shared" si="36"/>
        <v>7915975.550995159</v>
      </c>
      <c r="R183">
        <f t="shared" si="37"/>
        <v>1161.7891117523416</v>
      </c>
      <c r="S183">
        <f t="shared" si="38"/>
        <v>44206783.321115591</v>
      </c>
      <c r="T183" s="5">
        <v>0.08</v>
      </c>
      <c r="V183">
        <f>SUM($R$2:R183)</f>
        <v>60471.278150654267</v>
      </c>
      <c r="W183">
        <f t="shared" si="39"/>
        <v>127.50659585597408</v>
      </c>
      <c r="Z183">
        <f t="shared" si="33"/>
        <v>1.0728217806642976E-5</v>
      </c>
      <c r="AA183" s="5">
        <v>0.3</v>
      </c>
      <c r="AB183">
        <f t="shared" si="29"/>
        <v>147355944.40371865</v>
      </c>
      <c r="AC183">
        <f t="shared" si="32"/>
        <v>8615389.4704247192</v>
      </c>
      <c r="AD183" s="5">
        <v>0.2</v>
      </c>
      <c r="AE183">
        <f t="shared" si="30"/>
        <v>1723077.8940849439</v>
      </c>
      <c r="AF183">
        <f t="shared" si="31"/>
        <v>1</v>
      </c>
    </row>
    <row r="184" spans="1:32" x14ac:dyDescent="0.25">
      <c r="A184" s="2">
        <v>183</v>
      </c>
      <c r="B184">
        <f t="shared" si="34"/>
        <v>1210942.4355629873</v>
      </c>
      <c r="C184" s="5">
        <v>0.08</v>
      </c>
      <c r="D184">
        <f t="shared" si="35"/>
        <v>8549253.5950747002</v>
      </c>
      <c r="Q184">
        <f t="shared" si="36"/>
        <v>8549253.5950747747</v>
      </c>
      <c r="R184">
        <f t="shared" si="37"/>
        <v>1183.7096610306878</v>
      </c>
      <c r="S184">
        <f t="shared" si="38"/>
        <v>47743325.986804843</v>
      </c>
      <c r="T184" s="5">
        <v>0.08</v>
      </c>
      <c r="V184">
        <f>SUM($R$2:R184)</f>
        <v>61654.987811684958</v>
      </c>
      <c r="W184">
        <f t="shared" si="39"/>
        <v>130.00250455801662</v>
      </c>
      <c r="Z184">
        <f t="shared" si="33"/>
        <v>9.9335350061509023E-6</v>
      </c>
      <c r="AA184" s="5">
        <v>0.3</v>
      </c>
      <c r="AB184">
        <f t="shared" si="29"/>
        <v>159144419.95601615</v>
      </c>
      <c r="AC184">
        <f t="shared" si="32"/>
        <v>9132312.8386502024</v>
      </c>
      <c r="AD184" s="5">
        <v>0.2</v>
      </c>
      <c r="AE184">
        <f t="shared" si="30"/>
        <v>1826462.5677300405</v>
      </c>
      <c r="AF184">
        <f t="shared" si="31"/>
        <v>1</v>
      </c>
    </row>
    <row r="185" spans="1:32" x14ac:dyDescent="0.25">
      <c r="A185" s="2">
        <v>184</v>
      </c>
      <c r="B185">
        <f t="shared" si="34"/>
        <v>1307817.8304080262</v>
      </c>
      <c r="C185" s="5">
        <v>0.08</v>
      </c>
      <c r="D185">
        <f t="shared" si="35"/>
        <v>9233193.8826806769</v>
      </c>
      <c r="Q185">
        <f t="shared" si="36"/>
        <v>9233193.8826807551</v>
      </c>
      <c r="R185">
        <f t="shared" si="37"/>
        <v>1206.0438055784366</v>
      </c>
      <c r="S185">
        <f t="shared" si="38"/>
        <v>51562792.065749235</v>
      </c>
      <c r="T185" s="5">
        <v>0.08</v>
      </c>
      <c r="V185">
        <f>SUM($R$2:R185)</f>
        <v>62861.031617263397</v>
      </c>
      <c r="W185">
        <f t="shared" si="39"/>
        <v>132.54550587707882</v>
      </c>
      <c r="Z185">
        <f t="shared" si="33"/>
        <v>9.1977175982878715E-6</v>
      </c>
      <c r="AA185" s="5">
        <v>0.3</v>
      </c>
      <c r="AB185">
        <f t="shared" si="29"/>
        <v>171875973.55249745</v>
      </c>
      <c r="AC185">
        <f t="shared" si="32"/>
        <v>9680251.6089692153</v>
      </c>
      <c r="AD185" s="5">
        <v>0.2</v>
      </c>
      <c r="AE185">
        <f t="shared" si="30"/>
        <v>1936050.3217938431</v>
      </c>
      <c r="AF185">
        <f t="shared" si="31"/>
        <v>1</v>
      </c>
    </row>
    <row r="186" spans="1:32" x14ac:dyDescent="0.25">
      <c r="A186" s="2">
        <v>185</v>
      </c>
      <c r="B186">
        <f t="shared" si="34"/>
        <v>1412443.2568406684</v>
      </c>
      <c r="C186" s="5">
        <v>0.08</v>
      </c>
      <c r="D186">
        <f t="shared" si="35"/>
        <v>9971849.3932951316</v>
      </c>
      <c r="Q186">
        <f t="shared" si="36"/>
        <v>9971849.3932952154</v>
      </c>
      <c r="R186">
        <f t="shared" si="37"/>
        <v>1228.799349079917</v>
      </c>
      <c r="S186">
        <f t="shared" si="38"/>
        <v>55687815.431009181</v>
      </c>
      <c r="T186" s="5">
        <v>0.08</v>
      </c>
      <c r="V186">
        <f>SUM($R$2:R186)</f>
        <v>64089.830966343317</v>
      </c>
      <c r="W186">
        <f t="shared" si="39"/>
        <v>135.13648835310445</v>
      </c>
      <c r="Z186">
        <f t="shared" si="33"/>
        <v>8.5164051835998808E-6</v>
      </c>
      <c r="AA186" s="5">
        <v>0.3</v>
      </c>
      <c r="AB186">
        <f t="shared" si="29"/>
        <v>185626051.43669727</v>
      </c>
      <c r="AC186">
        <f t="shared" si="32"/>
        <v>10261066.705507368</v>
      </c>
      <c r="AD186" s="5">
        <v>0.2</v>
      </c>
      <c r="AE186">
        <f t="shared" si="30"/>
        <v>2052213.3411014737</v>
      </c>
      <c r="AF186">
        <f t="shared" si="31"/>
        <v>1</v>
      </c>
    </row>
    <row r="187" spans="1:32" x14ac:dyDescent="0.25">
      <c r="A187" s="2">
        <v>186</v>
      </c>
      <c r="B187">
        <f t="shared" si="34"/>
        <v>1525438.7173879219</v>
      </c>
      <c r="C187" s="5">
        <v>0.08</v>
      </c>
      <c r="D187">
        <f t="shared" si="35"/>
        <v>10769597.344758742</v>
      </c>
      <c r="Q187">
        <f t="shared" si="36"/>
        <v>10769597.344758835</v>
      </c>
      <c r="R187">
        <f t="shared" si="37"/>
        <v>1251.9842424587835</v>
      </c>
      <c r="S187">
        <f t="shared" si="38"/>
        <v>60142840.665489919</v>
      </c>
      <c r="T187" s="5">
        <v>0.08</v>
      </c>
      <c r="V187">
        <f>SUM($R$2:R187)</f>
        <v>65341.815208802102</v>
      </c>
      <c r="W187">
        <f t="shared" si="39"/>
        <v>137.77635729094189</v>
      </c>
      <c r="Z187">
        <f t="shared" si="33"/>
        <v>7.885560355185074E-6</v>
      </c>
      <c r="AA187" s="5">
        <v>0.3</v>
      </c>
      <c r="AB187">
        <f t="shared" si="29"/>
        <v>200476135.55163306</v>
      </c>
      <c r="AC187">
        <f t="shared" si="32"/>
        <v>10876730.707837811</v>
      </c>
      <c r="AD187" s="5">
        <v>0.2</v>
      </c>
      <c r="AE187">
        <f t="shared" si="30"/>
        <v>2175346.1415675622</v>
      </c>
      <c r="AF187">
        <f t="shared" si="31"/>
        <v>1</v>
      </c>
    </row>
    <row r="188" spans="1:32" x14ac:dyDescent="0.25">
      <c r="A188" s="2">
        <v>187</v>
      </c>
      <c r="B188">
        <f t="shared" si="34"/>
        <v>1647473.8147789557</v>
      </c>
      <c r="C188" s="5">
        <v>0.08</v>
      </c>
      <c r="D188">
        <f t="shared" si="35"/>
        <v>11631165.13233944</v>
      </c>
      <c r="Q188">
        <f t="shared" si="36"/>
        <v>11631165.132339541</v>
      </c>
      <c r="R188">
        <f t="shared" si="37"/>
        <v>1275.6065866561191</v>
      </c>
      <c r="S188">
        <f t="shared" si="38"/>
        <v>64954267.918729119</v>
      </c>
      <c r="T188" s="5">
        <v>0.08</v>
      </c>
      <c r="V188">
        <f>SUM($R$2:R188)</f>
        <v>66617.421795458227</v>
      </c>
      <c r="W188">
        <f t="shared" si="39"/>
        <v>140.46603507666308</v>
      </c>
      <c r="Z188">
        <f t="shared" si="33"/>
        <v>7.3014447733195125E-6</v>
      </c>
      <c r="AA188" s="5">
        <v>0.3</v>
      </c>
      <c r="AB188">
        <f t="shared" si="29"/>
        <v>216514226.39576373</v>
      </c>
      <c r="AC188">
        <f t="shared" si="32"/>
        <v>11529334.55030808</v>
      </c>
      <c r="AD188" s="5">
        <v>0.2</v>
      </c>
      <c r="AE188">
        <f t="shared" si="30"/>
        <v>2305866.910061616</v>
      </c>
      <c r="AF188">
        <f t="shared" si="31"/>
        <v>1</v>
      </c>
    </row>
    <row r="189" spans="1:32" x14ac:dyDescent="0.25">
      <c r="A189" s="2">
        <v>188</v>
      </c>
      <c r="B189">
        <f t="shared" si="34"/>
        <v>1779271.7199612721</v>
      </c>
      <c r="C189" s="5">
        <v>0.08</v>
      </c>
      <c r="D189">
        <f t="shared" si="35"/>
        <v>12561658.342926595</v>
      </c>
      <c r="Q189">
        <f t="shared" si="36"/>
        <v>12561658.342926703</v>
      </c>
      <c r="R189">
        <f t="shared" si="37"/>
        <v>1299.6746354609513</v>
      </c>
      <c r="S189">
        <f t="shared" si="38"/>
        <v>70150609.352227449</v>
      </c>
      <c r="T189" s="5">
        <v>0.08</v>
      </c>
      <c r="V189">
        <f>SUM($R$2:R189)</f>
        <v>67917.096430919177</v>
      </c>
      <c r="W189">
        <f t="shared" si="39"/>
        <v>143.20646149985066</v>
      </c>
      <c r="Z189">
        <f t="shared" si="33"/>
        <v>6.7605970123328813E-6</v>
      </c>
      <c r="AA189" s="5">
        <v>0.3</v>
      </c>
      <c r="AB189">
        <f t="shared" si="29"/>
        <v>233835364.50742483</v>
      </c>
      <c r="AC189">
        <f t="shared" si="32"/>
        <v>12221094.623326566</v>
      </c>
      <c r="AD189" s="5">
        <v>0.2</v>
      </c>
      <c r="AE189">
        <f t="shared" si="30"/>
        <v>2444218.9246653132</v>
      </c>
      <c r="AF189">
        <f t="shared" si="31"/>
        <v>1</v>
      </c>
    </row>
    <row r="190" spans="1:32" x14ac:dyDescent="0.25">
      <c r="A190" s="2">
        <v>189</v>
      </c>
      <c r="B190">
        <f t="shared" si="34"/>
        <v>1921613.4575581739</v>
      </c>
      <c r="C190" s="5">
        <v>0.08</v>
      </c>
      <c r="D190">
        <f t="shared" si="35"/>
        <v>13566591.010360723</v>
      </c>
      <c r="Q190">
        <f t="shared" si="36"/>
        <v>13566591.010360841</v>
      </c>
      <c r="R190">
        <f t="shared" si="37"/>
        <v>1324.1967983941768</v>
      </c>
      <c r="S190">
        <f t="shared" si="38"/>
        <v>75762658.100405648</v>
      </c>
      <c r="T190" s="5">
        <v>0.08</v>
      </c>
      <c r="V190">
        <f>SUM($R$2:R190)</f>
        <v>69241.293229313349</v>
      </c>
      <c r="W190">
        <f t="shared" si="39"/>
        <v>145.99859408196633</v>
      </c>
      <c r="Z190">
        <f t="shared" si="33"/>
        <v>6.2598120484563715E-6</v>
      </c>
      <c r="AA190" s="5">
        <v>0.3</v>
      </c>
      <c r="AB190">
        <f t="shared" si="29"/>
        <v>252542193.66801885</v>
      </c>
      <c r="AC190">
        <f t="shared" si="32"/>
        <v>12954360.30072616</v>
      </c>
      <c r="AD190" s="5">
        <v>0.2</v>
      </c>
      <c r="AE190">
        <f t="shared" si="30"/>
        <v>2590872.0601452324</v>
      </c>
      <c r="AF190">
        <f t="shared" si="31"/>
        <v>1</v>
      </c>
    </row>
    <row r="191" spans="1:32" x14ac:dyDescent="0.25">
      <c r="A191" s="2">
        <v>190</v>
      </c>
      <c r="B191">
        <f t="shared" si="34"/>
        <v>2075342.5341628278</v>
      </c>
      <c r="C191" s="5">
        <v>0.08</v>
      </c>
      <c r="D191">
        <f t="shared" si="35"/>
        <v>14651918.291189581</v>
      </c>
      <c r="Q191">
        <f t="shared" si="36"/>
        <v>14651918.291189708</v>
      </c>
      <c r="R191">
        <f t="shared" si="37"/>
        <v>1349.1816436468969</v>
      </c>
      <c r="S191">
        <f t="shared" si="38"/>
        <v>81823670.748438105</v>
      </c>
      <c r="T191" s="5">
        <v>0.08</v>
      </c>
      <c r="V191">
        <f>SUM($R$2:R191)</f>
        <v>70590.474872960243</v>
      </c>
      <c r="W191">
        <f t="shared" si="39"/>
        <v>148.84340841091435</v>
      </c>
      <c r="Z191">
        <f t="shared" si="33"/>
        <v>5.7961222670892322E-6</v>
      </c>
      <c r="AA191" s="5">
        <v>0.3</v>
      </c>
      <c r="AB191">
        <f t="shared" si="29"/>
        <v>272745569.16146034</v>
      </c>
      <c r="AC191">
        <f t="shared" si="32"/>
        <v>13731621.91876973</v>
      </c>
      <c r="AD191" s="5">
        <v>0.2</v>
      </c>
      <c r="AE191">
        <f t="shared" si="30"/>
        <v>2746324.3837539461</v>
      </c>
      <c r="AF191">
        <f t="shared" si="31"/>
        <v>1</v>
      </c>
    </row>
    <row r="192" spans="1:32" x14ac:dyDescent="0.25">
      <c r="A192" s="2">
        <v>191</v>
      </c>
      <c r="B192">
        <f t="shared" si="34"/>
        <v>2241369.9368958538</v>
      </c>
      <c r="C192" s="5">
        <v>0.08</v>
      </c>
      <c r="D192">
        <f t="shared" si="35"/>
        <v>15824071.754484748</v>
      </c>
      <c r="Q192">
        <f t="shared" si="36"/>
        <v>15824071.754484888</v>
      </c>
      <c r="R192">
        <f t="shared" si="37"/>
        <v>1374.6379010741969</v>
      </c>
      <c r="S192">
        <f t="shared" si="38"/>
        <v>88369564.408313155</v>
      </c>
      <c r="T192" s="5">
        <v>0.08</v>
      </c>
      <c r="V192">
        <f>SUM($R$2:R192)</f>
        <v>71965.112774034438</v>
      </c>
      <c r="W192">
        <f t="shared" si="39"/>
        <v>151.74189848191801</v>
      </c>
      <c r="Z192">
        <f t="shared" si="33"/>
        <v>5.3667798769344741E-6</v>
      </c>
      <c r="AA192" s="5">
        <v>0.3</v>
      </c>
      <c r="AB192">
        <f t="shared" si="29"/>
        <v>294565214.69437718</v>
      </c>
      <c r="AC192">
        <f t="shared" si="32"/>
        <v>14555519.233895915</v>
      </c>
      <c r="AD192" s="5">
        <v>0.2</v>
      </c>
      <c r="AE192">
        <f t="shared" si="30"/>
        <v>2911103.846779183</v>
      </c>
      <c r="AF192">
        <f t="shared" si="31"/>
        <v>1</v>
      </c>
    </row>
    <row r="193" spans="1:32" x14ac:dyDescent="0.25">
      <c r="A193" s="2">
        <v>192</v>
      </c>
      <c r="B193">
        <f t="shared" si="34"/>
        <v>2420679.5318475221</v>
      </c>
      <c r="C193" s="5">
        <v>0.08</v>
      </c>
      <c r="D193">
        <f t="shared" si="35"/>
        <v>17089997.494843528</v>
      </c>
      <c r="Q193">
        <f t="shared" si="36"/>
        <v>17089997.494843684</v>
      </c>
      <c r="R193">
        <f t="shared" si="37"/>
        <v>1400.574465245408</v>
      </c>
      <c r="S193">
        <f t="shared" si="38"/>
        <v>95439129.560978219</v>
      </c>
      <c r="T193" s="5">
        <v>0.08</v>
      </c>
      <c r="V193">
        <f>SUM($R$2:R193)</f>
        <v>73365.68723927984</v>
      </c>
      <c r="W193">
        <f t="shared" si="39"/>
        <v>154.6950770448274</v>
      </c>
      <c r="Z193">
        <f t="shared" si="33"/>
        <v>4.9692406267911792E-6</v>
      </c>
      <c r="AA193" s="5">
        <v>0.3</v>
      </c>
      <c r="AB193">
        <f t="shared" si="29"/>
        <v>318130431.86992741</v>
      </c>
      <c r="AC193">
        <f t="shared" si="32"/>
        <v>15428850.387929671</v>
      </c>
      <c r="AD193" s="5">
        <v>0.2</v>
      </c>
      <c r="AE193">
        <f t="shared" si="30"/>
        <v>3085770.0775859342</v>
      </c>
      <c r="AF193">
        <f t="shared" si="31"/>
        <v>1</v>
      </c>
    </row>
    <row r="194" spans="1:32" x14ac:dyDescent="0.25">
      <c r="A194" s="2">
        <v>193</v>
      </c>
      <c r="B194">
        <f t="shared" si="34"/>
        <v>2614333.8943953239</v>
      </c>
      <c r="C194" s="5">
        <v>0.08</v>
      </c>
      <c r="D194">
        <f t="shared" si="35"/>
        <v>18457197.294431008</v>
      </c>
      <c r="Q194">
        <f t="shared" si="36"/>
        <v>18457197.294431176</v>
      </c>
      <c r="R194">
        <f t="shared" si="37"/>
        <v>1427.0003985519259</v>
      </c>
      <c r="S194">
        <f t="shared" si="38"/>
        <v>103074259.92585649</v>
      </c>
      <c r="T194" s="5">
        <v>0.08</v>
      </c>
      <c r="V194">
        <f>SUM($R$2:R194)</f>
        <v>74792.687637831768</v>
      </c>
      <c r="W194">
        <f t="shared" si="39"/>
        <v>157.70397595798036</v>
      </c>
      <c r="Z194">
        <f t="shared" si="33"/>
        <v>4.6011487285103514E-6</v>
      </c>
      <c r="AA194" s="5">
        <v>0.3</v>
      </c>
      <c r="AB194">
        <f t="shared" si="29"/>
        <v>343580866.41952163</v>
      </c>
      <c r="AC194">
        <f t="shared" si="32"/>
        <v>16354581.411205452</v>
      </c>
      <c r="AD194" s="5">
        <v>0.2</v>
      </c>
      <c r="AE194">
        <f t="shared" si="30"/>
        <v>3270916.2822410907</v>
      </c>
      <c r="AF194">
        <f t="shared" si="31"/>
        <v>1</v>
      </c>
    </row>
    <row r="195" spans="1:32" x14ac:dyDescent="0.25">
      <c r="A195" s="2">
        <v>194</v>
      </c>
      <c r="B195">
        <f t="shared" si="34"/>
        <v>2823480.6059469497</v>
      </c>
      <c r="C195" s="5">
        <v>0.08</v>
      </c>
      <c r="D195">
        <f t="shared" si="35"/>
        <v>19933773.077985488</v>
      </c>
      <c r="Q195">
        <f t="shared" si="36"/>
        <v>19933773.077985674</v>
      </c>
      <c r="R195">
        <f t="shared" si="37"/>
        <v>1453.9249343736603</v>
      </c>
      <c r="S195">
        <f t="shared" si="38"/>
        <v>111320200.71992502</v>
      </c>
      <c r="T195" s="5">
        <v>0.08</v>
      </c>
      <c r="V195">
        <f>SUM($R$2:R195)</f>
        <v>76246.612572205428</v>
      </c>
      <c r="W195">
        <f t="shared" si="39"/>
        <v>160.76964654873998</v>
      </c>
      <c r="Z195">
        <f t="shared" si="33"/>
        <v>4.2603228967688431E-6</v>
      </c>
      <c r="AA195" s="5">
        <v>0.3</v>
      </c>
      <c r="AB195">
        <f t="shared" ref="AB195:AB201" si="40">S195/AA195</f>
        <v>371067335.73308343</v>
      </c>
      <c r="AC195">
        <f t="shared" si="32"/>
        <v>17335856.295877781</v>
      </c>
      <c r="AD195" s="5">
        <v>0.2</v>
      </c>
      <c r="AE195">
        <f t="shared" ref="AE195:AE201" si="41">AC195*AD195</f>
        <v>3467171.2591755562</v>
      </c>
      <c r="AF195">
        <f t="shared" ref="AF195:AF201" si="42">IF(AB195&gt;AE195, 1, 0)</f>
        <v>1</v>
      </c>
    </row>
    <row r="196" spans="1:32" x14ac:dyDescent="0.25">
      <c r="A196" s="2">
        <v>195</v>
      </c>
      <c r="B196">
        <f t="shared" si="34"/>
        <v>3049359.0544227054</v>
      </c>
      <c r="C196" s="5">
        <v>0.08</v>
      </c>
      <c r="D196">
        <f t="shared" si="35"/>
        <v>21528474.924224328</v>
      </c>
      <c r="Q196">
        <f t="shared" si="36"/>
        <v>21528474.924224526</v>
      </c>
      <c r="R196">
        <f t="shared" si="37"/>
        <v>1481.3574803052388</v>
      </c>
      <c r="S196">
        <f t="shared" si="38"/>
        <v>120225816.77751903</v>
      </c>
      <c r="T196" s="5">
        <v>0.08</v>
      </c>
      <c r="V196">
        <f>SUM($R$2:R196)</f>
        <v>77727.97005251066</v>
      </c>
      <c r="W196">
        <f t="shared" si="39"/>
        <v>163.8931599808347</v>
      </c>
      <c r="Z196">
        <f t="shared" si="33"/>
        <v>3.9447434229341137E-6</v>
      </c>
      <c r="AA196" s="5">
        <v>0.3</v>
      </c>
      <c r="AB196">
        <f t="shared" si="40"/>
        <v>400752722.59173012</v>
      </c>
      <c r="AC196">
        <f t="shared" ref="AC196:AC201" si="43">AC195*(1+$U$2)</f>
        <v>18376007.67363045</v>
      </c>
      <c r="AD196" s="5">
        <v>0.2</v>
      </c>
      <c r="AE196">
        <f t="shared" si="41"/>
        <v>3675201.5347260903</v>
      </c>
      <c r="AF196">
        <f t="shared" si="42"/>
        <v>1</v>
      </c>
    </row>
    <row r="197" spans="1:32" x14ac:dyDescent="0.25">
      <c r="A197" s="2">
        <v>196</v>
      </c>
      <c r="B197">
        <f t="shared" si="34"/>
        <v>3293307.7787765218</v>
      </c>
      <c r="C197" s="5">
        <v>0.08</v>
      </c>
      <c r="D197">
        <f t="shared" si="35"/>
        <v>23250752.918162275</v>
      </c>
      <c r="Q197">
        <f t="shared" si="36"/>
        <v>23250752.918162487</v>
      </c>
      <c r="R197">
        <f t="shared" si="37"/>
        <v>1509.3076214430735</v>
      </c>
      <c r="S197">
        <f t="shared" si="38"/>
        <v>129843882.11972056</v>
      </c>
      <c r="T197" s="5">
        <v>0.08</v>
      </c>
      <c r="V197">
        <f>SUM($R$2:R197)</f>
        <v>79237.277673953737</v>
      </c>
      <c r="W197">
        <f t="shared" si="39"/>
        <v>167.07560762862931</v>
      </c>
      <c r="Z197">
        <f t="shared" si="33"/>
        <v>3.6525402064204753E-6</v>
      </c>
      <c r="AA197" s="5">
        <v>0.3</v>
      </c>
      <c r="AB197">
        <f t="shared" si="40"/>
        <v>432812940.39906853</v>
      </c>
      <c r="AC197">
        <f t="shared" si="43"/>
        <v>19478568.134048279</v>
      </c>
      <c r="AD197" s="5">
        <v>0.2</v>
      </c>
      <c r="AE197">
        <f t="shared" si="41"/>
        <v>3895713.6268096562</v>
      </c>
      <c r="AF197">
        <f t="shared" si="42"/>
        <v>1</v>
      </c>
    </row>
    <row r="198" spans="1:32" x14ac:dyDescent="0.25">
      <c r="A198" s="2">
        <v>197</v>
      </c>
      <c r="B198">
        <f t="shared" si="34"/>
        <v>3556772.4010786437</v>
      </c>
      <c r="C198" s="5">
        <v>0.08</v>
      </c>
      <c r="D198">
        <f t="shared" si="35"/>
        <v>25110813.151615258</v>
      </c>
      <c r="Q198">
        <f t="shared" si="36"/>
        <v>25110813.151615489</v>
      </c>
      <c r="R198">
        <f t="shared" si="37"/>
        <v>1537.7851237344521</v>
      </c>
      <c r="S198">
        <f t="shared" si="38"/>
        <v>140231392.68929821</v>
      </c>
      <c r="T198" s="5">
        <v>0.08</v>
      </c>
      <c r="V198">
        <f>SUM($R$2:R198)</f>
        <v>80775.062797688195</v>
      </c>
      <c r="W198">
        <f t="shared" si="39"/>
        <v>170.31810145845779</v>
      </c>
      <c r="Z198">
        <f t="shared" si="33"/>
        <v>3.381981672611551E-6</v>
      </c>
      <c r="AA198" s="5">
        <v>0.3</v>
      </c>
      <c r="AB198">
        <f t="shared" si="40"/>
        <v>467437975.63099408</v>
      </c>
      <c r="AC198">
        <f t="shared" si="43"/>
        <v>20647282.222091176</v>
      </c>
      <c r="AD198" s="5">
        <v>0.2</v>
      </c>
      <c r="AE198">
        <f t="shared" si="41"/>
        <v>4129456.4444182352</v>
      </c>
      <c r="AF198">
        <f t="shared" si="42"/>
        <v>1</v>
      </c>
    </row>
    <row r="199" spans="1:32" x14ac:dyDescent="0.25">
      <c r="A199" s="2">
        <v>198</v>
      </c>
      <c r="B199">
        <f t="shared" si="34"/>
        <v>3841314.1931649353</v>
      </c>
      <c r="C199" s="5">
        <v>0.08</v>
      </c>
      <c r="D199">
        <f t="shared" si="35"/>
        <v>27119678.203744479</v>
      </c>
      <c r="Q199">
        <f t="shared" si="36"/>
        <v>27119678.203744728</v>
      </c>
      <c r="R199">
        <f t="shared" si="37"/>
        <v>1566.7999373898194</v>
      </c>
      <c r="S199">
        <f t="shared" si="38"/>
        <v>151449904.10444209</v>
      </c>
      <c r="T199" s="5">
        <v>0.08</v>
      </c>
      <c r="V199">
        <f>SUM($R$2:R199)</f>
        <v>82341.862735078015</v>
      </c>
      <c r="W199">
        <f t="shared" si="39"/>
        <v>173.62177441715096</v>
      </c>
      <c r="Z199">
        <f t="shared" si="33"/>
        <v>3.1314645116773618E-6</v>
      </c>
      <c r="AA199" s="5">
        <v>0.3</v>
      </c>
      <c r="AB199">
        <f t="shared" si="40"/>
        <v>504833013.68147367</v>
      </c>
      <c r="AC199">
        <f t="shared" si="43"/>
        <v>21886119.155416649</v>
      </c>
      <c r="AD199" s="5">
        <v>0.2</v>
      </c>
      <c r="AE199">
        <f t="shared" si="41"/>
        <v>4377223.8310833303</v>
      </c>
      <c r="AF199">
        <f t="shared" si="42"/>
        <v>1</v>
      </c>
    </row>
    <row r="200" spans="1:32" x14ac:dyDescent="0.25">
      <c r="A200" s="2">
        <v>199</v>
      </c>
      <c r="B200">
        <f t="shared" si="34"/>
        <v>4148619.3286181302</v>
      </c>
      <c r="C200" s="5">
        <v>0.08</v>
      </c>
      <c r="D200">
        <f t="shared" si="35"/>
        <v>29289252.460044038</v>
      </c>
      <c r="Q200">
        <f t="shared" si="36"/>
        <v>29289252.460044313</v>
      </c>
      <c r="R200">
        <f t="shared" si="37"/>
        <v>1596.3622003594385</v>
      </c>
      <c r="S200">
        <f t="shared" si="38"/>
        <v>163565896.43279746</v>
      </c>
      <c r="T200" s="5">
        <v>0.08</v>
      </c>
      <c r="V200">
        <f>SUM($R$2:R200)</f>
        <v>83938.224935437451</v>
      </c>
      <c r="W200">
        <f t="shared" si="39"/>
        <v>176.98778082789494</v>
      </c>
      <c r="Z200">
        <f t="shared" si="33"/>
        <v>2.8995041774790384E-6</v>
      </c>
      <c r="AA200" s="5">
        <v>0.3</v>
      </c>
      <c r="AB200">
        <f t="shared" si="40"/>
        <v>545219654.77599156</v>
      </c>
      <c r="AC200">
        <f t="shared" si="43"/>
        <v>23199286.304741647</v>
      </c>
      <c r="AD200" s="5">
        <v>0.2</v>
      </c>
      <c r="AE200">
        <f t="shared" si="41"/>
        <v>4639857.2609483292</v>
      </c>
      <c r="AF200">
        <f t="shared" si="42"/>
        <v>1</v>
      </c>
    </row>
    <row r="201" spans="1:32" x14ac:dyDescent="0.25">
      <c r="A201" s="2">
        <v>200</v>
      </c>
      <c r="B201">
        <f>B200+B200*C200</f>
        <v>4480508.8749075802</v>
      </c>
      <c r="C201" s="5">
        <v>0.08</v>
      </c>
      <c r="D201">
        <f>D200+D200*C200</f>
        <v>31632392.656847559</v>
      </c>
      <c r="Q201">
        <f>$D$2*((1+$C$2)^A200)</f>
        <v>31632392.656847857</v>
      </c>
      <c r="R201">
        <f>S201/((1+$U$2)^A200)</f>
        <v>1626.4822418756539</v>
      </c>
      <c r="S201">
        <f>S200*(1+T200)</f>
        <v>176651168.14742127</v>
      </c>
      <c r="T201" s="5">
        <v>0.08</v>
      </c>
      <c r="V201">
        <f>SUM($R$2:R201)</f>
        <v>85564.707177313103</v>
      </c>
      <c r="W201">
        <f>V201/$W$2</f>
        <v>180.41729679355862</v>
      </c>
      <c r="Z201">
        <f t="shared" si="33"/>
        <v>2.6847260902583686E-6</v>
      </c>
      <c r="AA201" s="5">
        <v>0.3</v>
      </c>
      <c r="AB201">
        <f t="shared" si="40"/>
        <v>588837227.15807092</v>
      </c>
      <c r="AC201">
        <f t="shared" si="43"/>
        <v>24591243.483026147</v>
      </c>
      <c r="AD201" s="5">
        <v>0.2</v>
      </c>
      <c r="AE201">
        <f t="shared" si="41"/>
        <v>4918248.6966052298</v>
      </c>
      <c r="AF201">
        <f t="shared" si="42"/>
        <v>1</v>
      </c>
    </row>
  </sheetData>
  <dataConsolidate/>
  <phoneticPr fontId="1"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C3"/>
  <sheetViews>
    <sheetView workbookViewId="0">
      <selection activeCell="A63" sqref="A63"/>
    </sheetView>
  </sheetViews>
  <sheetFormatPr defaultRowHeight="14.4" x14ac:dyDescent="0.25"/>
  <sheetData>
    <row r="3" spans="3:3" x14ac:dyDescent="0.25">
      <c r="C3">
        <v>55</v>
      </c>
    </row>
  </sheetData>
  <phoneticPr fontId="1" type="noConversion"/>
  <pageMargins left="0.7" right="0.7" top="0.75" bottom="0.75" header="0.3" footer="0.3"/>
  <pageSetup paperSize="9" orientation="portrait" horizontalDpi="0" verticalDpi="0" r:id="rId1"/>
  <drawing r:id="rId2"/>
  <legacyDrawing r:id="rId3"/>
  <oleObjects>
    <mc:AlternateContent xmlns:mc="http://schemas.openxmlformats.org/markup-compatibility/2006">
      <mc:Choice Requires="x14">
        <oleObject progId="Visio.Drawing.11" shapeId="8205" r:id="rId4">
          <objectPr defaultSize="0" autoPict="0" r:id="rId5">
            <anchor moveWithCells="1">
              <from>
                <xdr:col>0</xdr:col>
                <xdr:colOff>53340</xdr:colOff>
                <xdr:row>37</xdr:row>
                <xdr:rowOff>53340</xdr:rowOff>
              </from>
              <to>
                <xdr:col>15</xdr:col>
                <xdr:colOff>548640</xdr:colOff>
                <xdr:row>59</xdr:row>
                <xdr:rowOff>91440</xdr:rowOff>
              </to>
            </anchor>
          </objectPr>
        </oleObject>
      </mc:Choice>
      <mc:Fallback>
        <oleObject progId="Visio.Drawing.11" shapeId="8205" r:id="rId4"/>
      </mc:Fallback>
    </mc:AlternateContent>
    <mc:AlternateContent xmlns:mc="http://schemas.openxmlformats.org/markup-compatibility/2006">
      <mc:Choice Requires="x14">
        <oleObject progId="Visio.Drawing.11" shapeId="8206" r:id="rId6">
          <objectPr defaultSize="0" r:id="rId7">
            <anchor moveWithCells="1">
              <from>
                <xdr:col>0</xdr:col>
                <xdr:colOff>99060</xdr:colOff>
                <xdr:row>1</xdr:row>
                <xdr:rowOff>38100</xdr:rowOff>
              </from>
              <to>
                <xdr:col>25</xdr:col>
                <xdr:colOff>464820</xdr:colOff>
                <xdr:row>36</xdr:row>
                <xdr:rowOff>99060</xdr:rowOff>
              </to>
            </anchor>
          </objectPr>
        </oleObject>
      </mc:Choice>
      <mc:Fallback>
        <oleObject progId="Visio.Drawing.11" shapeId="8206" r:id="rId6"/>
      </mc:Fallback>
    </mc:AlternateContent>
    <mc:AlternateContent xmlns:mc="http://schemas.openxmlformats.org/markup-compatibility/2006">
      <mc:Choice Requires="x14">
        <oleObject progId="Visio.Drawing.11" shapeId="8207" r:id="rId8">
          <objectPr defaultSize="0" r:id="rId9">
            <anchor moveWithCells="1">
              <from>
                <xdr:col>0</xdr:col>
                <xdr:colOff>0</xdr:colOff>
                <xdr:row>62</xdr:row>
                <xdr:rowOff>0</xdr:rowOff>
              </from>
              <to>
                <xdr:col>14</xdr:col>
                <xdr:colOff>167640</xdr:colOff>
                <xdr:row>86</xdr:row>
                <xdr:rowOff>0</xdr:rowOff>
              </to>
            </anchor>
          </objectPr>
        </oleObject>
      </mc:Choice>
      <mc:Fallback>
        <oleObject progId="Visio.Drawing.11" shapeId="8207" r:id="rId8"/>
      </mc:Fallback>
    </mc:AlternateContent>
  </oleObjec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9</vt:i4>
      </vt:variant>
    </vt:vector>
  </HeadingPairs>
  <TitlesOfParts>
    <vt:vector size="9" baseType="lpstr">
      <vt:lpstr>氢能总述</vt:lpstr>
      <vt:lpstr>氢中游-燃料电池系统-电堆-空压机</vt:lpstr>
      <vt:lpstr>氢中游-电池组件</vt:lpstr>
      <vt:lpstr>氢上游-制氢</vt:lpstr>
      <vt:lpstr>氢上游-储运加氢</vt:lpstr>
      <vt:lpstr>氢下游-氢整车</vt:lpstr>
      <vt:lpstr>生物质能源</vt:lpstr>
      <vt:lpstr>公司价值折现</vt:lpstr>
      <vt:lpstr>基本面模型</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Administrator</cp:lastModifiedBy>
  <dcterms:created xsi:type="dcterms:W3CDTF">2018-08-09T11:49:58Z</dcterms:created>
  <dcterms:modified xsi:type="dcterms:W3CDTF">2023-06-10T12:28:05Z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2019-07-31 20:56:09Z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