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08Investment\value-investment\估值分析\行业利基详细分析\碳达峰中和\"/>
    </mc:Choice>
  </mc:AlternateContent>
  <bookViews>
    <workbookView xWindow="-113" yWindow="-113" windowWidth="20273" windowHeight="9053" activeTab="7"/>
  </bookViews>
  <sheets>
    <sheet name="固态电池综述" sheetId="56" r:id="rId1"/>
    <sheet name="正极上游材料" sheetId="59" r:id="rId2"/>
    <sheet name="正极材料" sheetId="58" r:id="rId3"/>
    <sheet name="负极上游材料" sheetId="60" r:id="rId4"/>
    <sheet name="负极材料" sheetId="67" r:id="rId5"/>
    <sheet name="电解质原材料" sheetId="68" r:id="rId6"/>
    <sheet name="固态电解质" sheetId="64" r:id="rId7"/>
    <sheet name="导电剂-碳纳米管" sheetId="57" r:id="rId8"/>
    <sheet name="固态电池厂家" sheetId="65" r:id="rId9"/>
    <sheet name="公司价值折现" sheetId="42" r:id="rId10"/>
    <sheet name="基本面模型" sheetId="23" r:id="rId1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<sst xmlns="http://schemas.openxmlformats.org/spreadsheetml/2006/main" count="3926" uniqueCount="2110">
  <si>
    <t>现价</t>
  </si>
  <si>
    <t>市净率</t>
  </si>
  <si>
    <t>代码</t>
  </si>
  <si>
    <t xml:space="preserve">    名称</t>
  </si>
  <si>
    <t>总市值</t>
  </si>
  <si>
    <t>TTM市盈率</t>
  </si>
  <si>
    <t>所属行业</t>
  </si>
  <si>
    <t>负债合计</t>
  </si>
  <si>
    <t>所有者权益合计</t>
  </si>
  <si>
    <t>主营业务收入</t>
  </si>
  <si>
    <t>净利润增长率</t>
  </si>
  <si>
    <t>总股本</t>
  </si>
  <si>
    <t>财务费用</t>
  </si>
  <si>
    <t>投资收益</t>
  </si>
  <si>
    <t>应收账款</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</si>
  <si>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</si>
  <si>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</si>
  <si>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</si>
  <si>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</si>
  <si>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</si>
  <si>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</si>
  <si>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</si>
  <si>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</si>
  <si>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</si>
  <si>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</si>
  <si>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</si>
  <si>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</si>
  <si>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</si>
  <si>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</si>
  <si>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</si>
  <si>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</si>
  <si>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</si>
  <si>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</si>
  <si>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</si>
  <si>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</si>
  <si>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</si>
  <si>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</si>
  <si>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</si>
  <si>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</si>
  <si>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</si>
  <si>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</si>
  <si>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</si>
  <si>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</si>
  <si>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</si>
  <si>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</si>
  <si>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</si>
  <si>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</si>
  <si>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</si>
  <si>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</si>
  <si>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</si>
  <si>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</si>
  <si>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</si>
  <si>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</si>
  <si>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</si>
  <si>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</si>
  <si>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</si>
  <si>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</si>
  <si>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</si>
  <si>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</si>
  <si>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</si>
  <si>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</si>
  <si>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</si>
  <si>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</si>
  <si>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</si>
  <si>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</si>
  <si>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</si>
  <si>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</si>
  <si>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</si>
  <si>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</si>
  <si>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</si>
  <si>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</si>
  <si>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</si>
  <si>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</si>
  <si>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</si>
  <si>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</si>
  <si>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</si>
  <si>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</si>
  <si>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</si>
  <si>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</si>
  <si>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</si>
  <si>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</si>
  <si>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</si>
  <si>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</si>
  <si>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</si>
  <si>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</si>
  <si>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</si>
  <si>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</si>
  <si>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过往营收增速均值</t>
    <phoneticPr fontId="1" type="noConversion"/>
  </si>
  <si>
    <t>20增速</t>
  </si>
  <si>
    <t>当期自由现金流估计值</t>
  </si>
  <si>
    <t>自由现金流估计增速</t>
  </si>
  <si>
    <t>原始排序</t>
    <phoneticPr fontId="1" type="noConversion"/>
  </si>
  <si>
    <t>策略1营收单季最佳增速</t>
    <phoneticPr fontId="1" type="noConversion"/>
  </si>
  <si>
    <t>综合策略</t>
    <phoneticPr fontId="1" type="noConversion"/>
  </si>
  <si>
    <t>1增速</t>
    <phoneticPr fontId="1" type="noConversion"/>
  </si>
  <si>
    <t>6年自由现金流折现</t>
    <phoneticPr fontId="1" type="noConversion"/>
  </si>
  <si>
    <t>10增速</t>
    <phoneticPr fontId="1" type="noConversion"/>
  </si>
  <si>
    <t>清算价格</t>
    <phoneticPr fontId="1" type="noConversion"/>
  </si>
  <si>
    <t>利润成长策略</t>
    <phoneticPr fontId="1" type="noConversion"/>
  </si>
  <si>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</si>
  <si>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</si>
  <si>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</si>
  <si>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</si>
  <si>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</si>
  <si>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</si>
  <si>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</si>
  <si>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</si>
  <si>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</si>
  <si>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</si>
  <si>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</si>
  <si>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</si>
  <si>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</si>
  <si>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</si>
  <si>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</si>
  <si>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</si>
  <si>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</si>
  <si>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</si>
  <si>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</si>
  <si>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</si>
  <si>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</si>
  <si>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</si>
  <si>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</si>
  <si>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</si>
  <si>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</si>
  <si>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</si>
  <si>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</si>
  <si>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</si>
  <si>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</si>
  <si>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</si>
  <si>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</si>
  <si>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</si>
  <si>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</si>
  <si>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</si>
  <si>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</si>
  <si>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</si>
  <si>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</si>
  <si>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</si>
  <si>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</si>
  <si>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</si>
  <si>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</si>
  <si>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</si>
  <si>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</si>
  <si>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</si>
  <si>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过往利润增速均值</t>
    <phoneticPr fontId="1" type="noConversion"/>
  </si>
  <si>
    <t>1年自由现金流折现</t>
    <phoneticPr fontId="1" type="noConversion"/>
  </si>
  <si>
    <t>3年自由现金流折现</t>
    <phoneticPr fontId="1" type="noConversion"/>
  </si>
  <si>
    <t>3增速</t>
    <phoneticPr fontId="1" type="noConversion"/>
  </si>
  <si>
    <t>6增速</t>
    <phoneticPr fontId="1" type="noConversion"/>
  </si>
  <si>
    <t>10年自由现金流折现</t>
    <phoneticPr fontId="1" type="noConversion"/>
  </si>
  <si>
    <t>20年自由现金流折现</t>
    <phoneticPr fontId="1" type="noConversion"/>
  </si>
  <si>
    <t>承担负债现期溢价</t>
    <phoneticPr fontId="1" type="noConversion"/>
  </si>
  <si>
    <t>策略1利润单季最佳增速</t>
    <phoneticPr fontId="1" type="noConversion"/>
  </si>
  <si>
    <t>营收成长策略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</si>
  <si>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</si>
  <si>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</si>
  <si>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</si>
  <si>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</si>
  <si>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</si>
  <si>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</si>
  <si>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</si>
  <si>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</si>
  <si>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</si>
  <si>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</si>
  <si>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</si>
  <si>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</si>
  <si>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</si>
  <si>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代表上市公司</t>
  </si>
  <si>
    <t>备注</t>
  </si>
  <si>
    <t>小金属</t>
  </si>
  <si>
    <t>SH603799</t>
  </si>
  <si>
    <t>华友钴业</t>
  </si>
  <si>
    <t>电力设备</t>
  </si>
  <si>
    <t>SH688005</t>
  </si>
  <si>
    <t>容百科技</t>
  </si>
  <si>
    <t>SH688779</t>
  </si>
  <si>
    <t>长远锂科</t>
  </si>
  <si>
    <t>SZ300073</t>
  </si>
  <si>
    <t>当升科技</t>
  </si>
  <si>
    <t>2.06亿</t>
  </si>
  <si>
    <t>SZ300919</t>
  </si>
  <si>
    <t>中伟股份</t>
  </si>
  <si>
    <t>SZ002340</t>
  </si>
  <si>
    <t>格林美</t>
  </si>
  <si>
    <t>SH600884</t>
  </si>
  <si>
    <t>杉杉股份</t>
  </si>
  <si>
    <t>固态电池产业链</t>
    <phoneticPr fontId="1" type="noConversion"/>
  </si>
  <si>
    <t>负极-石墨负极——硅碳负极——金属锂负极（尚早）</t>
    <phoneticPr fontId="1" type="noConversion"/>
  </si>
  <si>
    <t>固态电池厂家</t>
    <phoneticPr fontId="1" type="noConversion"/>
  </si>
  <si>
    <t>SZ000733</t>
  </si>
  <si>
    <t>振华科技</t>
  </si>
  <si>
    <t>国防军工</t>
  </si>
  <si>
    <t>SH605376</t>
  </si>
  <si>
    <t>博迁新材</t>
  </si>
  <si>
    <t>固态电解质-聚合物、氧化物和硫化物三类技术路线</t>
    <phoneticPr fontId="1" type="noConversion"/>
  </si>
  <si>
    <t>导电材料：碳纳米管</t>
    <phoneticPr fontId="1" type="noConversion"/>
  </si>
  <si>
    <t>容百科技、当升科技、振华科技、长远锂科</t>
    <phoneticPr fontId="1" type="noConversion"/>
  </si>
  <si>
    <t>正极上游-高镍三元前驱体</t>
    <phoneticPr fontId="1" type="noConversion"/>
  </si>
  <si>
    <t>正极材料-高镍三元</t>
    <phoneticPr fontId="1" type="noConversion"/>
  </si>
  <si>
    <t>正极材料-富锂锰基材料</t>
    <phoneticPr fontId="1" type="noConversion"/>
  </si>
  <si>
    <r>
      <rPr>
        <b/>
        <sz val="9"/>
        <color rgb="FF000000"/>
        <rFont val="宋体"/>
        <family val="3"/>
        <charset val="134"/>
      </rPr>
      <t>金属锂</t>
    </r>
    <r>
      <rPr>
        <sz val="9"/>
        <color rgb="FF000000"/>
        <rFont val="宋体"/>
        <family val="3"/>
        <charset val="134"/>
      </rPr>
      <t xml:space="preserve">：赣锋锂业，天齐锂业
</t>
    </r>
    <r>
      <rPr>
        <b/>
        <sz val="9"/>
        <color rgb="FF000000"/>
        <rFont val="宋体"/>
        <family val="3"/>
        <charset val="134"/>
      </rPr>
      <t>硅碳负极：</t>
    </r>
    <r>
      <rPr>
        <sz val="9"/>
        <color rgb="FF000000"/>
        <rFont val="宋体"/>
        <family val="3"/>
        <charset val="134"/>
      </rPr>
      <t>杉杉股份，翔丰华，信德新材，贝特瑞，硅宝科技</t>
    </r>
    <phoneticPr fontId="1" type="noConversion"/>
  </si>
  <si>
    <t>负极上游材料</t>
    <phoneticPr fontId="1" type="noConversion"/>
  </si>
  <si>
    <t>电解质原材料</t>
    <phoneticPr fontId="1" type="noConversion"/>
  </si>
  <si>
    <r>
      <rPr>
        <b/>
        <sz val="9"/>
        <color rgb="FF000000"/>
        <rFont val="宋体"/>
        <family val="3"/>
        <charset val="134"/>
      </rPr>
      <t>锂电池企业</t>
    </r>
    <r>
      <rPr>
        <sz val="9"/>
        <color rgb="FF000000"/>
        <rFont val="宋体"/>
        <family val="3"/>
        <charset val="134"/>
      </rPr>
      <t xml:space="preserve">：宁德时代，比亚迪，亿纬锂能，国轩高科，孚能科技，赣锋锂业，蜂巢能源
</t>
    </r>
    <r>
      <rPr>
        <b/>
        <sz val="9"/>
        <color rgb="FF000000"/>
        <rFont val="宋体"/>
        <family val="3"/>
        <charset val="134"/>
      </rPr>
      <t>新兴固态电池企业</t>
    </r>
    <r>
      <rPr>
        <sz val="9"/>
        <color rgb="FF000000"/>
        <rFont val="宋体"/>
        <family val="3"/>
        <charset val="134"/>
      </rPr>
      <t xml:space="preserve">：卫蓝新能源，清陶能源，辉能科技
</t>
    </r>
    <r>
      <rPr>
        <b/>
        <sz val="9"/>
        <color rgb="FF000000"/>
        <rFont val="宋体"/>
        <family val="3"/>
        <charset val="134"/>
      </rPr>
      <t>跨界企业</t>
    </r>
    <r>
      <rPr>
        <sz val="9"/>
        <color rgb="FF000000"/>
        <rFont val="宋体"/>
        <family val="3"/>
        <charset val="134"/>
      </rPr>
      <t>：上海洗霸，德尔股份</t>
    </r>
    <phoneticPr fontId="1" type="noConversion"/>
  </si>
  <si>
    <t>华友钴业、中伟股份、格林美、芳源股份，帕瓦股份</t>
    <phoneticPr fontId="1" type="noConversion"/>
  </si>
  <si>
    <t>SH688184</t>
  </si>
  <si>
    <t>帕瓦股份</t>
  </si>
  <si>
    <t>SH688148</t>
  </si>
  <si>
    <t>芳源股份</t>
  </si>
  <si>
    <t>当升科技，宁夏汉尧，杉杉股份</t>
    <phoneticPr fontId="1" type="noConversion"/>
  </si>
  <si>
    <t>高镍三元</t>
    <phoneticPr fontId="1" type="noConversion"/>
  </si>
  <si>
    <t>富锂锰基</t>
    <phoneticPr fontId="1" type="noConversion"/>
  </si>
  <si>
    <r>
      <rPr>
        <b/>
        <sz val="9"/>
        <color rgb="FF000000"/>
        <rFont val="宋体"/>
        <family val="3"/>
        <charset val="134"/>
      </rPr>
      <t>碳硅原料</t>
    </r>
    <r>
      <rPr>
        <sz val="9"/>
        <color rgb="FF000000"/>
        <rFont val="宋体"/>
        <family val="3"/>
        <charset val="134"/>
      </rPr>
      <t>：中国石墨，博迁新材</t>
    </r>
    <phoneticPr fontId="1" type="noConversion"/>
  </si>
  <si>
    <t>中国石墨</t>
  </si>
  <si>
    <t>78.00万</t>
  </si>
  <si>
    <t>港股</t>
    <phoneticPr fontId="1" type="noConversion"/>
  </si>
  <si>
    <t>SZ002466</t>
  </si>
  <si>
    <t>天齐锂业</t>
  </si>
  <si>
    <t>SZ002460</t>
  </si>
  <si>
    <t>赣锋锂业</t>
  </si>
  <si>
    <t>贝特瑞</t>
  </si>
  <si>
    <t>电池</t>
  </si>
  <si>
    <t>SZ300019</t>
  </si>
  <si>
    <t>硅宝科技</t>
  </si>
  <si>
    <t>1354.17万</t>
  </si>
  <si>
    <t>化学制品</t>
  </si>
  <si>
    <t>SZ300890</t>
  </si>
  <si>
    <t>翔丰华</t>
  </si>
  <si>
    <t>SZ301349</t>
  </si>
  <si>
    <t>信德新材</t>
  </si>
  <si>
    <t>北交所</t>
  </si>
  <si>
    <r>
      <rPr>
        <b/>
        <sz val="9"/>
        <color rgb="FF000000"/>
        <rFont val="宋体"/>
        <family val="3"/>
        <charset val="134"/>
      </rPr>
      <t>锆</t>
    </r>
    <r>
      <rPr>
        <sz val="9"/>
        <color rgb="FF000000"/>
        <rFont val="宋体"/>
        <family val="3"/>
        <charset val="134"/>
      </rPr>
      <t xml:space="preserve">：东方锆业，三祥新材
</t>
    </r>
    <r>
      <rPr>
        <b/>
        <sz val="9"/>
        <color rgb="FF000000"/>
        <rFont val="宋体"/>
        <family val="3"/>
        <charset val="134"/>
      </rPr>
      <t>镧</t>
    </r>
    <r>
      <rPr>
        <sz val="9"/>
        <color rgb="FF000000"/>
        <rFont val="宋体"/>
        <family val="3"/>
        <charset val="134"/>
      </rPr>
      <t xml:space="preserve">：北方稀土，盛和资源
</t>
    </r>
    <r>
      <rPr>
        <b/>
        <sz val="9"/>
        <color rgb="FF000000"/>
        <rFont val="宋体"/>
        <family val="3"/>
        <charset val="134"/>
      </rPr>
      <t>锗</t>
    </r>
    <r>
      <rPr>
        <sz val="9"/>
        <color rgb="FF000000"/>
        <rFont val="宋体"/>
        <family val="3"/>
        <charset val="134"/>
      </rPr>
      <t>：云南锗业，驰宏锌锗</t>
    </r>
    <phoneticPr fontId="1" type="noConversion"/>
  </si>
  <si>
    <t>SH600111</t>
  </si>
  <si>
    <t>北方稀土</t>
  </si>
  <si>
    <t>SH600497</t>
  </si>
  <si>
    <t>驰宏锌锗</t>
  </si>
  <si>
    <t>2.47亿</t>
  </si>
  <si>
    <t>工业金属</t>
  </si>
  <si>
    <t>SH600392</t>
  </si>
  <si>
    <t>盛和资源</t>
  </si>
  <si>
    <t>SH603663</t>
  </si>
  <si>
    <t>三祥新材</t>
  </si>
  <si>
    <t>SZ002428</t>
  </si>
  <si>
    <t>云南锗业</t>
  </si>
  <si>
    <t>SZ002167</t>
  </si>
  <si>
    <t>东方锆业</t>
  </si>
  <si>
    <t>1.40亿</t>
  </si>
  <si>
    <t>上海洗霸，三祥新材，金龙羽</t>
    <phoneticPr fontId="1" type="noConversion"/>
  </si>
  <si>
    <t>SZ002882</t>
  </si>
  <si>
    <t>金龙羽</t>
  </si>
  <si>
    <t>SH603200</t>
  </si>
  <si>
    <t>上海洗霸</t>
  </si>
  <si>
    <t>环保</t>
  </si>
  <si>
    <t>天奈科技，德方纳米，捷邦科技</t>
    <phoneticPr fontId="1" type="noConversion"/>
  </si>
  <si>
    <t>SZ300769</t>
  </si>
  <si>
    <t>德方纳米</t>
  </si>
  <si>
    <t>SH688116</t>
  </si>
  <si>
    <t>天奈科技</t>
  </si>
  <si>
    <t>SZ301326</t>
  </si>
  <si>
    <t>捷邦科技</t>
  </si>
  <si>
    <t>629.44万</t>
  </si>
  <si>
    <t>消费电子</t>
  </si>
  <si>
    <t>SZ300750</t>
  </si>
  <si>
    <t>宁德时代</t>
  </si>
  <si>
    <t>SZ002594</t>
  </si>
  <si>
    <t>比亚迪</t>
  </si>
  <si>
    <t>汽车整车</t>
  </si>
  <si>
    <t>SZ300014</t>
  </si>
  <si>
    <t>亿纬锂能</t>
  </si>
  <si>
    <t>SZ002074</t>
  </si>
  <si>
    <t>国轩高科</t>
  </si>
  <si>
    <t>SZ002015</t>
  </si>
  <si>
    <t>协鑫能科</t>
  </si>
  <si>
    <t>电力</t>
  </si>
  <si>
    <t>SH688567</t>
  </si>
  <si>
    <t>孚能科技</t>
  </si>
  <si>
    <t>SH688063</t>
  </si>
  <si>
    <t>派能科技</t>
  </si>
  <si>
    <t>SH688348</t>
  </si>
  <si>
    <t>昱能科技</t>
  </si>
  <si>
    <t>SH603859</t>
  </si>
  <si>
    <t>能科科技</t>
  </si>
  <si>
    <t>计算机应用</t>
  </si>
  <si>
    <t>SH603113</t>
  </si>
  <si>
    <t>金能科技</t>
  </si>
  <si>
    <t>煤炭开采加工</t>
  </si>
  <si>
    <t>SZ300072</t>
  </si>
  <si>
    <t>海新能科</t>
  </si>
  <si>
    <t>2293.63万</t>
  </si>
  <si>
    <t>SZ002322</t>
  </si>
  <si>
    <t>理工能科</t>
  </si>
  <si>
    <t>SH603105</t>
  </si>
  <si>
    <t>芯能科技</t>
  </si>
  <si>
    <t>SH603933</t>
  </si>
  <si>
    <t>睿能科技</t>
  </si>
  <si>
    <t>其他电子</t>
  </si>
  <si>
    <t>SZ300473</t>
  </si>
  <si>
    <t>德尔股份</t>
  </si>
  <si>
    <t>汽车零部件</t>
  </si>
  <si>
    <t>1.国内有关报道讲，钴在蓄电池行业、金刚石工具行业和催化剂行业的应用也将进一步扩大，从而对金属钴的需求呈上升趋势。</t>
    <phoneticPr fontId="1" type="noConversion"/>
  </si>
  <si>
    <t>1.由于钴、铜、镍金属受全球经济、新冠疫情、供需关系、市场预期、投机炒作等众多因素影响，钴、铜、镍金属价格具有高波动性特征，进而传导引致产品市场价格波动。</t>
    <phoneticPr fontId="1" type="noConversion"/>
  </si>
  <si>
    <t>1.11亿</t>
  </si>
  <si>
    <t>893.66亿</t>
  </si>
  <si>
    <t>444.56亿</t>
  </si>
  <si>
    <t>510.91亿</t>
  </si>
  <si>
    <t>630.34亿</t>
  </si>
  <si>
    <t>39.10亿</t>
  </si>
  <si>
    <t>477.45亿</t>
  </si>
  <si>
    <t>434.84亿</t>
  </si>
  <si>
    <t>1.03亿</t>
  </si>
  <si>
    <t>16.14亿</t>
  </si>
  <si>
    <t>7.60亿</t>
  </si>
  <si>
    <t>881801280亿</t>
  </si>
  <si>
    <t>573.84万</t>
  </si>
  <si>
    <t>2726354400亿</t>
  </si>
  <si>
    <t>243.08亿</t>
  </si>
  <si>
    <t>8013220700亿</t>
  </si>
  <si>
    <t>--</t>
  </si>
  <si>
    <t>57034606000亿</t>
  </si>
  <si>
    <t>130.75亿</t>
  </si>
  <si>
    <t>147.64亿</t>
  </si>
  <si>
    <t>97.67亿</t>
  </si>
  <si>
    <t>130.42亿</t>
  </si>
  <si>
    <t>529.65亿</t>
  </si>
  <si>
    <t>227.58亿</t>
  </si>
  <si>
    <t>24.83亿</t>
  </si>
  <si>
    <t>-109.83亿</t>
  </si>
  <si>
    <t>186.50亿</t>
  </si>
  <si>
    <t>353.17亿</t>
  </si>
  <si>
    <t>211.87亿</t>
  </si>
  <si>
    <t>188.53亿</t>
  </si>
  <si>
    <t>144.51亿</t>
  </si>
  <si>
    <t>96.53亿</t>
  </si>
  <si>
    <t>38.98亿</t>
  </si>
  <si>
    <t>11.65亿</t>
  </si>
  <si>
    <t>1.20亿</t>
  </si>
  <si>
    <t>15.28亿</t>
  </si>
  <si>
    <t>18.96亿</t>
  </si>
  <si>
    <t>333.46亿</t>
  </si>
  <si>
    <t>487.12亿</t>
  </si>
  <si>
    <t>310.18亿</t>
  </si>
  <si>
    <t>20.85亿</t>
  </si>
  <si>
    <t>30.08亿</t>
  </si>
  <si>
    <t>22.56亿</t>
  </si>
  <si>
    <t>10派2元(含税)</t>
  </si>
  <si>
    <t>能源金属</t>
  </si>
  <si>
    <t>3.24亿</t>
  </si>
  <si>
    <t>10.99亿</t>
  </si>
  <si>
    <t>-3-0</t>
  </si>
  <si>
    <t>公司主要从事新能源锂电材料和钴新材料产品的研发制造业务，主要产品为钴、镍、三元前驱体、铜、贸易及其他。
市值543.8076亿, 利润39.10亿; PE13.89; 平均PE26.07; 平均PEG.55, PB1.69; ROIC7.7867%; ROE13.1%; 股利率.6289%; 毛利16.9733%; 净利8.5133%; 上一年度营收增78.48%, 利润增.31%; 当季营收增.29%, 利润增23.43%; 过往5年营收增47.54%, 利润增198.84%
Income profile:
贸易及其他 96.94亿 27.45% 2.69% 1.99%
钴产品 84.12亿 23.82% 36.90% 31.52%
三元前驱体 57.61亿 16.31% 12.18% 15.19%
铜产品 53.78亿 15.23% 36.75% 49.10%
正极材料 47.64亿 13.49% 7.66% 11.56%
其他业务 10.56亿 2.99% 3.35% 22.80%
镍产品 2.51亿 0.71% 0.47% 13.46%</t>
  </si>
  <si>
    <t>241.61万</t>
  </si>
  <si>
    <t>344.80亿</t>
  </si>
  <si>
    <t>255.35亿</t>
  </si>
  <si>
    <t>261.91亿</t>
  </si>
  <si>
    <t>303.44亿</t>
  </si>
  <si>
    <t>15.44亿</t>
  </si>
  <si>
    <t>245.88亿</t>
  </si>
  <si>
    <t>227.42亿</t>
  </si>
  <si>
    <t>5542.01万</t>
  </si>
  <si>
    <t>5.56亿</t>
  </si>
  <si>
    <t>4.52亿</t>
  </si>
  <si>
    <t>-49671660亿</t>
  </si>
  <si>
    <t>983.67万</t>
  </si>
  <si>
    <t>1130871960亿</t>
  </si>
  <si>
    <t>121.11亿</t>
  </si>
  <si>
    <t>5037902300亿</t>
  </si>
  <si>
    <t>3.01亿</t>
  </si>
  <si>
    <t>31133308000亿</t>
  </si>
  <si>
    <t>100.83亿</t>
  </si>
  <si>
    <t>25.88亿</t>
  </si>
  <si>
    <t>43.72亿</t>
  </si>
  <si>
    <t>31.60亿</t>
  </si>
  <si>
    <t>153.50亿</t>
  </si>
  <si>
    <t>151.72亿</t>
  </si>
  <si>
    <t>21.83亿</t>
  </si>
  <si>
    <t>-67.65亿</t>
  </si>
  <si>
    <t>18.99亿</t>
  </si>
  <si>
    <t>200.72亿</t>
  </si>
  <si>
    <t>74.40亿</t>
  </si>
  <si>
    <t>53.11亿</t>
  </si>
  <si>
    <t>30.68亿</t>
  </si>
  <si>
    <t>18.62亿</t>
  </si>
  <si>
    <t>9.39亿</t>
  </si>
  <si>
    <t>4.20亿</t>
  </si>
  <si>
    <t>1.80亿</t>
  </si>
  <si>
    <t>6313.39万</t>
  </si>
  <si>
    <t>1823.33万</t>
  </si>
  <si>
    <t>172.66亿</t>
  </si>
  <si>
    <t>222.86亿</t>
  </si>
  <si>
    <t>142.30亿</t>
  </si>
  <si>
    <t>7.68亿</t>
  </si>
  <si>
    <t>10.85亿</t>
  </si>
  <si>
    <t>6.61亿</t>
  </si>
  <si>
    <t>10派2.58元(含税)</t>
  </si>
  <si>
    <t>1786.22万</t>
  </si>
  <si>
    <t>1.35亿</t>
  </si>
  <si>
    <t>4-1</t>
  </si>
  <si>
    <t xml:space="preserve">
市值347.77267亿, 利润15.44亿; PE18.85; 平均PE65.94; 平均PEG0.83, PB1.87; ROIC6.7933%; ROE13.3%; 股利率0.4969%; 毛利11.9267%; 净利5.07%; 上一年度营收增51.18%, 利润增64.43%; 当季营收增10.79%, 利润增45.88%; 过往5年营收增79.79%, 利润增150.54%
Income profile:
</t>
  </si>
  <si>
    <t>1.10亿</t>
  </si>
  <si>
    <t>259.20亿</t>
  </si>
  <si>
    <t>216.29亿</t>
  </si>
  <si>
    <t>202.28亿</t>
  </si>
  <si>
    <t>293.92亿</t>
  </si>
  <si>
    <t>12.96亿</t>
  </si>
  <si>
    <t>193.58亿</t>
  </si>
  <si>
    <t>174.68亿</t>
  </si>
  <si>
    <t>6384.25万</t>
  </si>
  <si>
    <t>6.51亿</t>
  </si>
  <si>
    <t>4.90亿</t>
  </si>
  <si>
    <t>66265779亿</t>
  </si>
  <si>
    <t>1615.29万</t>
  </si>
  <si>
    <t>463364670亿</t>
  </si>
  <si>
    <t>35.29亿</t>
  </si>
  <si>
    <t>5820652800亿</t>
  </si>
  <si>
    <t>3.07亿</t>
  </si>
  <si>
    <t>21685536000亿</t>
  </si>
  <si>
    <t>60.69亿</t>
  </si>
  <si>
    <t>51.47亿</t>
  </si>
  <si>
    <t>28.45亿</t>
  </si>
  <si>
    <t>8.37亿</t>
  </si>
  <si>
    <t>170.04亿</t>
  </si>
  <si>
    <t>84.75亿</t>
  </si>
  <si>
    <t>5.37亿</t>
  </si>
  <si>
    <t>-38.87亿</t>
  </si>
  <si>
    <t>16.16亿</t>
  </si>
  <si>
    <t>193.01亿</t>
  </si>
  <si>
    <t>124.66亿</t>
  </si>
  <si>
    <t>143.54亿</t>
  </si>
  <si>
    <t>138.78亿</t>
  </si>
  <si>
    <t>107.52亿</t>
  </si>
  <si>
    <t>9.23亿</t>
  </si>
  <si>
    <t>4.13亿</t>
  </si>
  <si>
    <t>7.35亿</t>
  </si>
  <si>
    <t>7.30亿</t>
  </si>
  <si>
    <t>6.10亿</t>
  </si>
  <si>
    <t>129.40亿</t>
  </si>
  <si>
    <t>213.74亿</t>
  </si>
  <si>
    <t>139.24亿</t>
  </si>
  <si>
    <t>10.06亿</t>
  </si>
  <si>
    <t>6.81亿</t>
  </si>
  <si>
    <t>10派0.5元(含税)</t>
  </si>
  <si>
    <t>7.93亿</t>
  </si>
  <si>
    <t>41.33亿</t>
  </si>
  <si>
    <t>1-1</t>
  </si>
  <si>
    <t xml:space="preserve">
市值298.89114亿, 利润12.96亿; PE35.68; 平均PE38.1; 平均PEG1.51, PB1.6; ROIC3.4667%; ROE3.6767%; 股利率0.8591%; 毛利15.4867%; 净利4.2333%; 上一年度营收增52.28%, 利润增40.41%; 当季营收增-2.17%, 利润增-58.58%; 过往5年营收增25.29%, 利润增28.09%
Income profile:
</t>
  </si>
  <si>
    <t>39.81万</t>
  </si>
  <si>
    <t>10.21亿</t>
  </si>
  <si>
    <t>30.98亿</t>
  </si>
  <si>
    <t>7.71亿</t>
  </si>
  <si>
    <t>16.56亿</t>
  </si>
  <si>
    <t>1.46亿</t>
  </si>
  <si>
    <t>7.52亿</t>
  </si>
  <si>
    <t>6.93亿</t>
  </si>
  <si>
    <t>196.47万</t>
  </si>
  <si>
    <t>3048.47万</t>
  </si>
  <si>
    <t>2443.45万</t>
  </si>
  <si>
    <t>7167530亿</t>
  </si>
  <si>
    <t>14.04万</t>
  </si>
  <si>
    <t>11868622亿</t>
  </si>
  <si>
    <t>8.20亿</t>
  </si>
  <si>
    <t>210766440亿</t>
  </si>
  <si>
    <t>5645.17万</t>
  </si>
  <si>
    <t>2304455000亿</t>
  </si>
  <si>
    <t>6.42亿</t>
  </si>
  <si>
    <t>6.43亿</t>
  </si>
  <si>
    <t>2.91亿</t>
  </si>
  <si>
    <t>9.54亿</t>
  </si>
  <si>
    <t>1.34亿</t>
  </si>
  <si>
    <t>-4.49亿</t>
  </si>
  <si>
    <t>-316.61万</t>
  </si>
  <si>
    <t>8.66亿</t>
  </si>
  <si>
    <t>5.79亿</t>
  </si>
  <si>
    <t>6.38亿</t>
  </si>
  <si>
    <t>8355.54万</t>
  </si>
  <si>
    <t>4098.38万</t>
  </si>
  <si>
    <t>2026.80万</t>
  </si>
  <si>
    <t>3606.14万</t>
  </si>
  <si>
    <t>4.61亿</t>
  </si>
  <si>
    <t>13.12亿</t>
  </si>
  <si>
    <t>8.77亿</t>
  </si>
  <si>
    <t>1582.69万</t>
  </si>
  <si>
    <t>1.04亿</t>
  </si>
  <si>
    <t>6945.66万</t>
  </si>
  <si>
    <t>10转2股派3.3元(含税)</t>
  </si>
  <si>
    <t>210.71万</t>
  </si>
  <si>
    <t>2268.99万</t>
  </si>
  <si>
    <t xml:space="preserve">
市值28.31618亿, 利润1.46亿; PE45.97; 平均PE43.31; 平均PEG1.3, PB0.914; ROIC4.9133%; ROE4.08%; 股利率1.8793%; 毛利14.4867%; 净利6.7433%; 上一年度营收增91.22%, 利润增74.73%; 当季营收增-28.74%, 利润增-88.91%; 过往5年营收增33.2%, 利润增59.26%
Income profile:
</t>
  </si>
  <si>
    <t>702.06万</t>
  </si>
  <si>
    <t>20.98亿</t>
  </si>
  <si>
    <t>14.49亿</t>
  </si>
  <si>
    <t>19.00亿</t>
  </si>
  <si>
    <t>29.35亿</t>
  </si>
  <si>
    <t>478.66万</t>
  </si>
  <si>
    <t>19.76亿</t>
  </si>
  <si>
    <t>17.41亿</t>
  </si>
  <si>
    <t>448.18万</t>
  </si>
  <si>
    <t>1.01亿</t>
  </si>
  <si>
    <t>5113.47万</t>
  </si>
  <si>
    <t>-266022亿</t>
  </si>
  <si>
    <t>49.91万</t>
  </si>
  <si>
    <t>-83169224亿</t>
  </si>
  <si>
    <t>1.93亿</t>
  </si>
  <si>
    <t>179344290亿</t>
  </si>
  <si>
    <t>9807.51万</t>
  </si>
  <si>
    <t>1839539400亿</t>
  </si>
  <si>
    <t>1.06亿</t>
  </si>
  <si>
    <t>3.69亿</t>
  </si>
  <si>
    <t>1.63亿</t>
  </si>
  <si>
    <t>2.27亿</t>
  </si>
  <si>
    <t>10.11亿</t>
  </si>
  <si>
    <t>5.41亿</t>
  </si>
  <si>
    <t>-2.70亿</t>
  </si>
  <si>
    <t>-3.38亿</t>
  </si>
  <si>
    <t>1.50亿</t>
  </si>
  <si>
    <t>20.70亿</t>
  </si>
  <si>
    <t>9.93亿</t>
  </si>
  <si>
    <t>9.51亿</t>
  </si>
  <si>
    <t>7.72亿</t>
  </si>
  <si>
    <t>1.92亿</t>
  </si>
  <si>
    <t>6672.18万</t>
  </si>
  <si>
    <t>5932.75万</t>
  </si>
  <si>
    <t>7453.33万</t>
  </si>
  <si>
    <t>2494.62万</t>
  </si>
  <si>
    <t>866.25万</t>
  </si>
  <si>
    <t>14.27亿</t>
  </si>
  <si>
    <t>18.85亿</t>
  </si>
  <si>
    <t>9.46亿</t>
  </si>
  <si>
    <t>-1417.72万</t>
  </si>
  <si>
    <t>2212.50万</t>
  </si>
  <si>
    <t>281.75万</t>
  </si>
  <si>
    <t>不分配不转增</t>
  </si>
  <si>
    <t>4786.26万</t>
  </si>
  <si>
    <t>3.41亿</t>
  </si>
  <si>
    <t>-1-0</t>
  </si>
  <si>
    <t xml:space="preserve">
市值24.23322亿, 利润478.66万; PE; 平均PE60.84; 平均PEG0.63, PB2.32; ROIC4.92%; ROE4.2933%; 股利率0%; 毛利12.28%; 净利2.73%; 上一年度营收增41.79%, 利润增-92.83%; 当季营收增-49.63%, 利润增-455.78%; 过往5年营收增95.99%, 利润增57.2%
Income profile:
</t>
  </si>
  <si>
    <t>649.97万</t>
  </si>
  <si>
    <t>41.04亿</t>
  </si>
  <si>
    <t>137.32亿</t>
  </si>
  <si>
    <t>60.29亿</t>
  </si>
  <si>
    <t>72.67亿</t>
  </si>
  <si>
    <t>23.82亿</t>
  </si>
  <si>
    <t>35.67亿</t>
  </si>
  <si>
    <t>23.64亿</t>
  </si>
  <si>
    <t>2.19亿</t>
  </si>
  <si>
    <t>5.44亿</t>
  </si>
  <si>
    <t>2.62亿</t>
  </si>
  <si>
    <t>24119562亿</t>
  </si>
  <si>
    <t>729.48万</t>
  </si>
  <si>
    <t>1998486300亿</t>
  </si>
  <si>
    <t>41.12亿</t>
  </si>
  <si>
    <t>5893103700亿</t>
  </si>
  <si>
    <t>16.59亿</t>
  </si>
  <si>
    <t>14128274000亿</t>
  </si>
  <si>
    <t>3.77亿</t>
  </si>
  <si>
    <t>4.74亿</t>
  </si>
  <si>
    <t>2.94亿</t>
  </si>
  <si>
    <t>13.13亿</t>
  </si>
  <si>
    <t>26.70亿</t>
  </si>
  <si>
    <t>7.63亿</t>
  </si>
  <si>
    <t>4.24亿</t>
  </si>
  <si>
    <t>-2.79亿</t>
  </si>
  <si>
    <t>22.28亿</t>
  </si>
  <si>
    <t>56.56亿</t>
  </si>
  <si>
    <t>39.50亿</t>
  </si>
  <si>
    <t>36.68亿</t>
  </si>
  <si>
    <t>53.38亿</t>
  </si>
  <si>
    <t>80.18亿</t>
  </si>
  <si>
    <t>14.91亿</t>
  </si>
  <si>
    <t>6.06亿</t>
  </si>
  <si>
    <t>2.98亿</t>
  </si>
  <si>
    <t>3.06亿</t>
  </si>
  <si>
    <t>2.04亿</t>
  </si>
  <si>
    <t>43.12亿</t>
  </si>
  <si>
    <t>57.01亿</t>
  </si>
  <si>
    <t>38.36亿</t>
  </si>
  <si>
    <t>15.30亿</t>
  </si>
  <si>
    <t>18.64亿</t>
  </si>
  <si>
    <t>12.73亿</t>
  </si>
  <si>
    <t>10派11.45元(含税)</t>
  </si>
  <si>
    <t>军工电子</t>
  </si>
  <si>
    <t>3324.05万</t>
  </si>
  <si>
    <t>1.71亿</t>
  </si>
  <si>
    <t/>
  </si>
  <si>
    <t xml:space="preserve">
市值324.92988亿, 利润23.82亿; PE12.61; 平均PE36.87; 平均PEG12.58, PB2.23; ROIC11.2567%; ROE13.4167%; 股利率1.946%; 毛利58.9533%; 净利25.74%; 上一年度营收增28.48%, 利润增59.76%; 当季营收增-7.94%, 利润增-10.59%; 过往5年营收增2.93%, 利润增71.31%
Income profile:
</t>
  </si>
  <si>
    <t>2551.22万</t>
  </si>
  <si>
    <t>60.73亿</t>
  </si>
  <si>
    <t>128.46亿</t>
  </si>
  <si>
    <t>125.44亿</t>
  </si>
  <si>
    <t>212.64亿</t>
  </si>
  <si>
    <t>22.59亿</t>
  </si>
  <si>
    <t>105.91亿</t>
  </si>
  <si>
    <t>102.51亿</t>
  </si>
  <si>
    <t>2764.56万</t>
  </si>
  <si>
    <t>2.92亿</t>
  </si>
  <si>
    <t>-69851684亿</t>
  </si>
  <si>
    <t>269.35万</t>
  </si>
  <si>
    <t>1636715300亿</t>
  </si>
  <si>
    <t>67.54亿</t>
  </si>
  <si>
    <t>4382474100亿</t>
  </si>
  <si>
    <t>6481.32万</t>
  </si>
  <si>
    <t>14906446000亿</t>
  </si>
  <si>
    <t>8.29亿</t>
  </si>
  <si>
    <t>32.43亿</t>
  </si>
  <si>
    <t>20.24亿</t>
  </si>
  <si>
    <t>64.24万</t>
  </si>
  <si>
    <t>58.48亿</t>
  </si>
  <si>
    <t>18.08亿</t>
  </si>
  <si>
    <t>-1.75亿</t>
  </si>
  <si>
    <t>82.58亿</t>
  </si>
  <si>
    <t>31.83亿</t>
  </si>
  <si>
    <t>22.84亿</t>
  </si>
  <si>
    <t>32.81亿</t>
  </si>
  <si>
    <t>21.58亿</t>
  </si>
  <si>
    <t>10.91亿</t>
  </si>
  <si>
    <t>3.85亿</t>
  </si>
  <si>
    <t>-2.09亿</t>
  </si>
  <si>
    <t>3.16亿</t>
  </si>
  <si>
    <t>2.50亿</t>
  </si>
  <si>
    <t>84.02亿</t>
  </si>
  <si>
    <t>140.87亿</t>
  </si>
  <si>
    <t>91.13亿</t>
  </si>
  <si>
    <t>9.26亿</t>
  </si>
  <si>
    <t>14.78亿</t>
  </si>
  <si>
    <t>9.12亿</t>
  </si>
  <si>
    <t>10派6.68元(含税)</t>
  </si>
  <si>
    <t>7751.96万</t>
  </si>
  <si>
    <t>3.95亿</t>
  </si>
  <si>
    <t>-1-1</t>
  </si>
  <si>
    <t xml:space="preserve">
市值179.55452亿, 利润22.59亿; PE7.9; 平均PE26.33; 平均PEG0.35, PB1.42; ROIC9.86%; ROE12.9567%; 股利率1.8843%; 毛利18.3433%; 净利12.1433%; 上一年度营收增157.5%, 利润增107.06%; 当季营收增-16.73%, 利润增-0.08%; 过往5年营收增75.59%, 利润增86.98%
Income profile:
</t>
  </si>
  <si>
    <t>1066.52万</t>
  </si>
  <si>
    <t>144.23亿</t>
  </si>
  <si>
    <t>104.02亿</t>
  </si>
  <si>
    <t>185.74亿</t>
  </si>
  <si>
    <t>301.23亿</t>
  </si>
  <si>
    <t>13.53亿</t>
  </si>
  <si>
    <t>176.14亿</t>
  </si>
  <si>
    <t>169.55亿</t>
  </si>
  <si>
    <t>2558.40万</t>
  </si>
  <si>
    <t>3.21亿</t>
  </si>
  <si>
    <t>-115474971亿</t>
  </si>
  <si>
    <t>2660.43万</t>
  </si>
  <si>
    <t>559510190亿</t>
  </si>
  <si>
    <t>57.22亿</t>
  </si>
  <si>
    <t>2962302100亿</t>
  </si>
  <si>
    <t>15578127000亿</t>
  </si>
  <si>
    <t>29.27亿</t>
  </si>
  <si>
    <t>2.00亿</t>
  </si>
  <si>
    <t>53.24亿</t>
  </si>
  <si>
    <t>29.14亿</t>
  </si>
  <si>
    <t>90.48亿</t>
  </si>
  <si>
    <t>50.82亿</t>
  </si>
  <si>
    <t>8.90亿</t>
  </si>
  <si>
    <t>-12.83亿</t>
  </si>
  <si>
    <t>17.58亿</t>
  </si>
  <si>
    <t>102.59亿</t>
  </si>
  <si>
    <t>37.95亿</t>
  </si>
  <si>
    <t>41.90亿</t>
  </si>
  <si>
    <t>30.41亿</t>
  </si>
  <si>
    <t>18.79亿</t>
  </si>
  <si>
    <t>9.11亿</t>
  </si>
  <si>
    <t>2.13亿</t>
  </si>
  <si>
    <t>8741.66万</t>
  </si>
  <si>
    <t>3112.78万</t>
  </si>
  <si>
    <t>128.94亿</t>
  </si>
  <si>
    <t>192.80亿</t>
  </si>
  <si>
    <t>115.53亿</t>
  </si>
  <si>
    <t>3.79亿</t>
  </si>
  <si>
    <t>9.18亿</t>
  </si>
  <si>
    <t>7.36亿</t>
  </si>
  <si>
    <t>10派3.0191元(含税)</t>
  </si>
  <si>
    <t>5143.76万</t>
  </si>
  <si>
    <t>2.42亿</t>
  </si>
  <si>
    <t xml:space="preserve">
市值132.19304亿, 利润13.53亿; PE12.58; 平均PE28.24; 平均PEG0.31, PB1.52; ROIC7.3133%; ROE9.2133%; 股利率1.1059%; 毛利11.8067%; 净利5.8133%; 上一年度营收增193.63%, 利润增48.52%; 当季营收增-26.49%, 利润增30.17%; 过往5年营收增90.83%, 利润增209.04%
Income profile:
</t>
  </si>
  <si>
    <t>1600.92万</t>
  </si>
  <si>
    <t>76.29亿</t>
  </si>
  <si>
    <t>77.47亿</t>
  </si>
  <si>
    <t>83.65亿</t>
  </si>
  <si>
    <t>179.75亿</t>
  </si>
  <si>
    <t>14.89亿</t>
  </si>
  <si>
    <t>83.02亿</t>
  </si>
  <si>
    <t>78.91亿</t>
  </si>
  <si>
    <t>1472.96万</t>
  </si>
  <si>
    <t>7303.30万</t>
  </si>
  <si>
    <t>1.59亿</t>
  </si>
  <si>
    <t>-7788607亿</t>
  </si>
  <si>
    <t>877.67万</t>
  </si>
  <si>
    <t>24175717亿</t>
  </si>
  <si>
    <t>14.61亿</t>
  </si>
  <si>
    <t>3625547000亿</t>
  </si>
  <si>
    <t>3.55亿</t>
  </si>
  <si>
    <t>10440577000亿</t>
  </si>
  <si>
    <t>7.34亿</t>
  </si>
  <si>
    <t>15.74亿</t>
  </si>
  <si>
    <t>17.70亿</t>
  </si>
  <si>
    <t>37.51亿</t>
  </si>
  <si>
    <t>5.98亿</t>
  </si>
  <si>
    <t>-27.43亿</t>
  </si>
  <si>
    <t>-2.53亿</t>
  </si>
  <si>
    <t>-3.91亿</t>
  </si>
  <si>
    <t>68.41亿</t>
  </si>
  <si>
    <t>20.11亿</t>
  </si>
  <si>
    <t>27.66亿</t>
  </si>
  <si>
    <t>26.39亿</t>
  </si>
  <si>
    <t>16.86亿</t>
  </si>
  <si>
    <t>7.01亿</t>
  </si>
  <si>
    <t>1.81亿</t>
  </si>
  <si>
    <t>1.79亿</t>
  </si>
  <si>
    <t>48.90亿</t>
  </si>
  <si>
    <t>126.96亿</t>
  </si>
  <si>
    <t>76.33亿</t>
  </si>
  <si>
    <t>6451.21万</t>
  </si>
  <si>
    <t>11.14亿</t>
  </si>
  <si>
    <t>7.58亿</t>
  </si>
  <si>
    <t>10派2.316元(含税)</t>
  </si>
  <si>
    <t>8.21亿</t>
  </si>
  <si>
    <t xml:space="preserve">
市值102.055639亿, 利润14.89亿; PE22.77; 平均PE21.37; 平均PEG0.24, PB1.35; ROIC5.8333%; ROE6.4733%; 股利率4.3781%; 毛利12.3733%; 净利5.6733%; 上一年度营收增162.75%, 利润增112.41%; 当季营收增-31.36%, 利润增-97.83%; 过往5年营收增87.39%, 利润增123.6%
Income profile:
</t>
  </si>
  <si>
    <t>1.2021 年负极材料销量超过 10 万吨，根据鑫椤锂电数据，人造石墨出货量排名全球第一。；</t>
    <phoneticPr fontId="1" type="noConversion"/>
  </si>
  <si>
    <t>1.2021年公司电解液业务实现销量17,477吨，同比下降12.20%，销量下滑主要系添加剂VC等供应紧张，公司电解液产量受到限制，未能充分释放产能；</t>
    <phoneticPr fontId="1" type="noConversion"/>
  </si>
  <si>
    <t>1896.31万</t>
  </si>
  <si>
    <t>249.91亿</t>
  </si>
  <si>
    <t>242.15亿</t>
  </si>
  <si>
    <t>147.09亿</t>
  </si>
  <si>
    <t>217.02亿</t>
  </si>
  <si>
    <t>26.91亿</t>
  </si>
  <si>
    <t>138.40亿</t>
  </si>
  <si>
    <t>121.02亿</t>
  </si>
  <si>
    <t>1.65亿</t>
  </si>
  <si>
    <t>4.51亿</t>
  </si>
  <si>
    <t>3.71亿</t>
  </si>
  <si>
    <t>332470410亿</t>
  </si>
  <si>
    <t>797.76万</t>
  </si>
  <si>
    <t>662661730亿</t>
  </si>
  <si>
    <t>46.32亿</t>
  </si>
  <si>
    <t>5127011800亿</t>
  </si>
  <si>
    <t>19668974000亿</t>
  </si>
  <si>
    <t>83.67亿</t>
  </si>
  <si>
    <t>62.02亿</t>
  </si>
  <si>
    <t>8.19亿</t>
  </si>
  <si>
    <t>35.30亿</t>
  </si>
  <si>
    <t>227.58万</t>
  </si>
  <si>
    <t>134.51亿</t>
  </si>
  <si>
    <t>78.22亿</t>
  </si>
  <si>
    <t>-15.50亿</t>
  </si>
  <si>
    <t>-51.96亿</t>
  </si>
  <si>
    <t>67.37亿</t>
  </si>
  <si>
    <t>206.99亿</t>
  </si>
  <si>
    <t>82.16亿</t>
  </si>
  <si>
    <t>86.80亿</t>
  </si>
  <si>
    <t>88.53亿</t>
  </si>
  <si>
    <t>82.71亿</t>
  </si>
  <si>
    <t>33.40亿</t>
  </si>
  <si>
    <t>1.38亿</t>
  </si>
  <si>
    <t>2.70亿</t>
  </si>
  <si>
    <t>11.15亿</t>
  </si>
  <si>
    <t>8.96亿</t>
  </si>
  <si>
    <t>94.68亿</t>
  </si>
  <si>
    <t>158.41亿</t>
  </si>
  <si>
    <t>107.72亿</t>
  </si>
  <si>
    <t>10.13亿</t>
  </si>
  <si>
    <t>22.09亿</t>
  </si>
  <si>
    <t>16.61亿</t>
  </si>
  <si>
    <t>10派3元(含税)</t>
  </si>
  <si>
    <t>6.74亿</t>
  </si>
  <si>
    <t>公司主要从事锂离子电池正极材料、负极材料和电解液、LCD偏光片的研发、生产和销售。主要产品包括钴酸锂、镍钴锰三元材料、锰酸锂、镍钴铝三元材料、三元正极材料前驱体、人造石墨、天然石墨、硅基负极、复合石墨、电解液等。
市值544亿，利润33.4亿；pe16,pb2.73;毛利22%，净利8%；2021营收增152%，利润增232%；2022Q1营收增21%，利润增21%；过往5年营收增41%，利润增478%；
2021：
偏光片 99.44亿 48.04% 47.20% 24.59%
负极材料 41.40亿 20.00% 22.87% 28.62%
正极材料 36.15亿 17.47% 12.48% 17.88%
电解液 13.70亿 6.62% 12.57% 47.55%
其他 12.95亿 6.25% 2.27% 9.08%
其他业务收入 3.36亿 1.62% 2.61% 40.27%</t>
  </si>
  <si>
    <t>423.42万</t>
  </si>
  <si>
    <t>4.69亿</t>
  </si>
  <si>
    <t>16.23亿</t>
  </si>
  <si>
    <t>4.91亿</t>
  </si>
  <si>
    <t>7.47亿</t>
  </si>
  <si>
    <t>1.53亿</t>
  </si>
  <si>
    <t>4.99亿</t>
  </si>
  <si>
    <t>4.14亿</t>
  </si>
  <si>
    <t>460.40万</t>
  </si>
  <si>
    <t>2824.29万</t>
  </si>
  <si>
    <t>3211.08万</t>
  </si>
  <si>
    <t>-420593亿</t>
  </si>
  <si>
    <t>2400.25万</t>
  </si>
  <si>
    <t>-7830316亿</t>
  </si>
  <si>
    <t>208136820亿</t>
  </si>
  <si>
    <t>3541.63万</t>
  </si>
  <si>
    <t>997361640亿</t>
  </si>
  <si>
    <t>9255.41万</t>
  </si>
  <si>
    <t>2.60亿</t>
  </si>
  <si>
    <t>1.22亿</t>
  </si>
  <si>
    <t>6636.39万</t>
  </si>
  <si>
    <t>-1.35亿</t>
  </si>
  <si>
    <t>-2242.77万</t>
  </si>
  <si>
    <t>9.70亿</t>
  </si>
  <si>
    <t>5.96亿</t>
  </si>
  <si>
    <t>4.81亿</t>
  </si>
  <si>
    <t>5.28亿</t>
  </si>
  <si>
    <t>3.23亿</t>
  </si>
  <si>
    <t>2.38亿</t>
  </si>
  <si>
    <t>4840.39万</t>
  </si>
  <si>
    <t>2.83亿</t>
  </si>
  <si>
    <t>6.21亿</t>
  </si>
  <si>
    <t>4.95亿</t>
  </si>
  <si>
    <t>1686.22万</t>
  </si>
  <si>
    <t>1387.87万</t>
  </si>
  <si>
    <t>8078.94万</t>
  </si>
  <si>
    <t>-6-0</t>
  </si>
  <si>
    <t>公司的主营业务是电子专用高端金属粉体材料的研发、生产和销售。主要产品为纳米级、亚微米级镍粉和亚微米级、微米级铜粉、银粉、合金粉。
市值52.03224亿, 利润1.53亿; PE167.8; 平均PE37.33; 平均PEG1.58, PB3.21; ROIC10.3333%; ROE13.5467%; 股利率1.5083%; 毛利32.8467%; 净利19.0567%; 上一年度营收增-22.99%, 利润增-35.71%; 当季营收增65.08%, 利润增-111.82%; 过往5年营收增23.65%, 利润增35.27%
Income profile:
镍粉 8.02亿 82.70% 93.53% 43.35%
其他业务 8172.69万 8.43% 1.29% 5.87%
铜粉 4634.75万 4.78% 4.43% 35.50%</t>
  </si>
  <si>
    <t>1.与阿根廷YPF能源公司签署产业链合作备忘录2022年8月，公司与阿根廷YPF能源公司在中阿两国签署的“一带一路”谅解备忘录的指引下成功签署合作备忘录，将充分发挥各自的产业优势;</t>
    <phoneticPr fontId="1" type="noConversion"/>
  </si>
  <si>
    <t>3258.58万</t>
  </si>
  <si>
    <t>227.68亿</t>
  </si>
  <si>
    <t>516.63亿</t>
  </si>
  <si>
    <t>333.99亿</t>
  </si>
  <si>
    <t>404.49亿</t>
  </si>
  <si>
    <t>241.25亿</t>
  </si>
  <si>
    <t>49.61亿</t>
  </si>
  <si>
    <t>44.64亿</t>
  </si>
  <si>
    <t>2700.50万</t>
  </si>
  <si>
    <t>1463.00万</t>
  </si>
  <si>
    <t>3125236900亿</t>
  </si>
  <si>
    <t>2202.74万</t>
  </si>
  <si>
    <t>7982341600亿</t>
  </si>
  <si>
    <t>81.24亿</t>
  </si>
  <si>
    <t>6994594100亿</t>
  </si>
  <si>
    <t>6738.05万</t>
  </si>
  <si>
    <t>22421960000亿</t>
  </si>
  <si>
    <t>59.30亿</t>
  </si>
  <si>
    <t>112.88万</t>
  </si>
  <si>
    <t>3.65亿</t>
  </si>
  <si>
    <t>23.76亿</t>
  </si>
  <si>
    <t>103.25亿</t>
  </si>
  <si>
    <t>93.73亿</t>
  </si>
  <si>
    <t>200.35亿</t>
  </si>
  <si>
    <t>-9.02亿</t>
  </si>
  <si>
    <t>-232.30亿</t>
  </si>
  <si>
    <t>76.63亿</t>
  </si>
  <si>
    <t>32.39亿</t>
  </si>
  <si>
    <t>48.41亿</t>
  </si>
  <si>
    <t>62.44亿</t>
  </si>
  <si>
    <t>54.70亿</t>
  </si>
  <si>
    <t>20.79亿</t>
  </si>
  <si>
    <t>-18.34亿</t>
  </si>
  <si>
    <t>-59.83亿</t>
  </si>
  <si>
    <t>22.00亿</t>
  </si>
  <si>
    <t>21.45亿</t>
  </si>
  <si>
    <t>248.23亿</t>
  </si>
  <si>
    <t>246.46亿</t>
  </si>
  <si>
    <t>142.96亿</t>
  </si>
  <si>
    <t>64.52亿</t>
  </si>
  <si>
    <t>159.81亿</t>
  </si>
  <si>
    <t>103.28亿</t>
  </si>
  <si>
    <t>10派30元(含税)</t>
  </si>
  <si>
    <t>9.06亿</t>
  </si>
  <si>
    <t>公司主营业务是锂精矿及锂化工产品的生产、加工和销售。公司的主要产品为锂矿、锂化合物及衍生品。
市值837.18713亿, 利润241.25亿; PE11.47; 平均PE22.1; 平均PEG.21, PB1.63; ROIC11.265%; ROE.8733%; 股利率5.8812%; 毛利63.5267%; 净利21.81%; 上一年度营收增427.85%, 利润增1060.41%; 当季营收增-17.14%, 利润增-70.87%; 过往5年营收增104.6%, 利润增194.75%
Income profile:
锂化合物及衍生品 98.28亿 68.75% 71.43% 87.54%
锂矿 44.66亿 31.24% 28.57% 77.05%</t>
  </si>
  <si>
    <t>1.公司业绩高速增长的原因主要是公司锂产品销售量价齐升；2.预计到2025年，国内各类锂资源产能合计50万吨左右产能，全球锂资源供应量150万吨左右；2.从布局上看，产业链上下游企业均在积极开展回收再利用布局，随着动力电池报废高潮的临近，对废弃动力电池加以合理回收利用有极大的意义和必要性；</t>
    <phoneticPr fontId="1" type="noConversion"/>
  </si>
  <si>
    <r>
      <t>1.全球锂资源供给大部分来自盐湖和硬岩锂矿，其中成熟的盐湖主要分布在南美锂三角和中国，大部分锂矿山依然集中在西澳；2.8月美国《2022削减通胀法案》提出：</t>
    </r>
    <r>
      <rPr>
        <sz val="9"/>
        <color rgb="FFFF0000"/>
        <rFont val="宋体"/>
        <family val="3"/>
        <charset val="134"/>
        <scheme val="minor"/>
      </rPr>
      <t>新能源车必须在美国本土制造才能享受补贴，进口车无补贴资格；电池关键矿物金属必须有40%-80%的比例在美国或与美国签订FTA（自由贸易协定）的国家或地区进行加工才可以享受补贴</t>
    </r>
    <r>
      <rPr>
        <sz val="9"/>
        <color theme="1"/>
        <rFont val="宋体"/>
        <family val="2"/>
        <charset val="134"/>
        <scheme val="minor"/>
      </rPr>
      <t>；2025年起，电池关键矿物金属不得来自某些国家的“敏感实体”。公司积极制定全球化的战略布局，目前主要的锂原材料进口来源为澳大利亚Mt Marion矿山，澳大利亚皮尔巴拉矿山等，均属于来自与美国签的FTA的国家。公司正在建设中的墨西哥Sonora锂黏土项目位置处于美墨边界，墨西哥也属于与美国签订FTA的国家。但是截止目前，对于这一法案如何落地还有待证实。因此，上述法案对公司以及中国锂产业公司的影响究竟如何，</t>
    </r>
    <r>
      <rPr>
        <sz val="9"/>
        <color rgb="FFFF0000"/>
        <rFont val="宋体"/>
        <family val="3"/>
        <charset val="134"/>
        <scheme val="minor"/>
      </rPr>
      <t>并无明确结论</t>
    </r>
    <r>
      <rPr>
        <sz val="9"/>
        <color theme="1"/>
        <rFont val="宋体"/>
        <family val="2"/>
        <charset val="134"/>
        <scheme val="minor"/>
      </rPr>
      <t>。公司将积极关注事项的发展，待法案的具体落地细则公布后再进行判断。</t>
    </r>
    <phoneticPr fontId="1" type="noConversion"/>
  </si>
  <si>
    <t>3797.81万</t>
  </si>
  <si>
    <t>387.78亿</t>
  </si>
  <si>
    <t>540.85亿</t>
  </si>
  <si>
    <t>256.82亿</t>
  </si>
  <si>
    <t>418.23亿</t>
  </si>
  <si>
    <t>205.04亿</t>
  </si>
  <si>
    <t>233.41亿</t>
  </si>
  <si>
    <t>212.08亿</t>
  </si>
  <si>
    <t>1.02亿</t>
  </si>
  <si>
    <t>6.55亿</t>
  </si>
  <si>
    <t>6.87亿</t>
  </si>
  <si>
    <t>3317053900亿</t>
  </si>
  <si>
    <t>5620.53万</t>
  </si>
  <si>
    <t>4352349200亿</t>
  </si>
  <si>
    <t>96.72亿</t>
  </si>
  <si>
    <t>5153349500亿</t>
  </si>
  <si>
    <t>31128733000亿</t>
  </si>
  <si>
    <t>140.53亿</t>
  </si>
  <si>
    <t>65.70亿</t>
  </si>
  <si>
    <t>31.21亿</t>
  </si>
  <si>
    <t>54.57亿</t>
  </si>
  <si>
    <t>199.30亿</t>
  </si>
  <si>
    <t>154.53亿</t>
  </si>
  <si>
    <t>-13.69亿</t>
  </si>
  <si>
    <t>-71.78亿</t>
  </si>
  <si>
    <t>81.30亿</t>
  </si>
  <si>
    <t>111.62亿</t>
  </si>
  <si>
    <t>55.24亿</t>
  </si>
  <si>
    <t>53.42亿</t>
  </si>
  <si>
    <t>50.04亿</t>
  </si>
  <si>
    <t>43.83亿</t>
  </si>
  <si>
    <t>52.28亿</t>
  </si>
  <si>
    <t>10.25亿</t>
  </si>
  <si>
    <t>3.58亿</t>
  </si>
  <si>
    <t>13.41亿</t>
  </si>
  <si>
    <t>14.69亿</t>
  </si>
  <si>
    <t>181.45亿</t>
  </si>
  <si>
    <t>276.12亿</t>
  </si>
  <si>
    <t>144.44亿</t>
  </si>
  <si>
    <t>58.50亿</t>
  </si>
  <si>
    <t>147.95亿</t>
  </si>
  <si>
    <t>72.54亿</t>
  </si>
  <si>
    <t>10派10元(含税)</t>
  </si>
  <si>
    <t>1.56亿</t>
  </si>
  <si>
    <t>8.17亿</t>
  </si>
  <si>
    <t>公司的主营业务是各种深加工锂产品的研究、开发、生产与销售。公司的主要产品是锂系列产品、锂电池系列产品。赣锋锂业是全球锂行业领军企业；
市值804.64823亿, 利润205.04亿; PE16.27; 平均PE16.13; 平均PEG.2, PB1.71; ROIC10.3733%; ROE15.8067%; 股利率2.5069%; 毛利27.93%; 净利33.3333%; 上一年度营收增274.69%, 利润增292.2%; 当季营收增-42.76%, 利润增-97.88%; 过往5年营收增80.22%, 利润增161.31%
Income profile:
锂系列产品 121.37亿 84.03% 94.91% 68.37%
锂电池系列产品 18.80亿 13.02% 3.28% 15.27%
其他产品及其他业务 4.27亿 2.95% 1.80% 36.92%</t>
  </si>
  <si>
    <t>1.2021年公司电解液业务实现销量17,477吨，同比下降12.20%，销量下滑主要系添加剂VC等供应紧张，公司电解液产量受到限制，未能充分释放产能；</t>
    <phoneticPr fontId="1" type="noConversion"/>
  </si>
  <si>
    <t>944.52万</t>
  </si>
  <si>
    <t>166.36亿</t>
  </si>
  <si>
    <t>129.48亿</t>
  </si>
  <si>
    <t>203.10亿</t>
  </si>
  <si>
    <t>256.79亿</t>
  </si>
  <si>
    <t>23.09亿</t>
  </si>
  <si>
    <t>184.92亿</t>
  </si>
  <si>
    <t>169.46亿</t>
  </si>
  <si>
    <t>6604.23万</t>
  </si>
  <si>
    <t>6.15亿</t>
  </si>
  <si>
    <t>4.58亿</t>
  </si>
  <si>
    <t>-94170259亿</t>
  </si>
  <si>
    <t>889.10万</t>
  </si>
  <si>
    <t>1296850860亿</t>
  </si>
  <si>
    <t>3.28亿</t>
  </si>
  <si>
    <t>16019764000亿</t>
  </si>
  <si>
    <t>21.41亿</t>
  </si>
  <si>
    <t>16.55亿</t>
  </si>
  <si>
    <t>12.60亿</t>
  </si>
  <si>
    <t>66.38亿</t>
  </si>
  <si>
    <t>725.34万</t>
  </si>
  <si>
    <t>123.13亿</t>
  </si>
  <si>
    <t>29.60亿</t>
  </si>
  <si>
    <t>39.85亿</t>
  </si>
  <si>
    <t>-17.02亿</t>
  </si>
  <si>
    <t>-17.55亿</t>
  </si>
  <si>
    <t>104.91亿</t>
  </si>
  <si>
    <t>44.52亿</t>
  </si>
  <si>
    <t>43.90亿</t>
  </si>
  <si>
    <t>40.09亿</t>
  </si>
  <si>
    <t>29.67亿</t>
  </si>
  <si>
    <t>14.41亿</t>
  </si>
  <si>
    <t>6.66亿</t>
  </si>
  <si>
    <t>3.36亿</t>
  </si>
  <si>
    <t>134.23亿</t>
  </si>
  <si>
    <t>175.68亿</t>
  </si>
  <si>
    <t>102.01亿</t>
  </si>
  <si>
    <t>8.47亿</t>
  </si>
  <si>
    <t>13.58亿</t>
  </si>
  <si>
    <t>10送5股派3.5元(含税)</t>
  </si>
  <si>
    <t>3392.54万</t>
  </si>
  <si>
    <t>6507.24万</t>
  </si>
  <si>
    <t xml:space="preserve">
市值281.18502亿, 利润23.09亿; PE12.14; 平均PE29.45; 平均PEG0.45, PB2.49; ROIC8.4633%; ROE11.2533%; 股利率0.131%; 毛利22.84%; 净利10.6167%; 上一年度营收增144.77%, 利润增60.24%; 当季营收增15.61%, 利润增0.53%; 过往5年营收增65.29%, 利润增61.46%
Income profile:
</t>
  </si>
  <si>
    <t>1.上半年，工业胶在光伏、电子电器、汽车等行业持续发力；上半年，新进入中兴通讯、新能安、多氟多、赣锋锂业、英杰电气等知名客户的供应链体系；2.目前原材料价格高位运行，公司保持合理库存，保障生产。此外，公司关注到合盛石河子、河南恒星、东岳硅材、云南能投等在下半年都有投产计划，如果投产顺利将影响原材料价格走势。随着上游原材料产能的扩大，公司预计未来原材料会供应充足；3.公司将依托各方优势资源，围绕新材料行业实施相关多元化发展战略，加大外延并购力度，实现业绩持续增长，力争在公司的第三个 10 年实现产值 100 亿元</t>
    <phoneticPr fontId="1" type="noConversion"/>
  </si>
  <si>
    <t xml:space="preserve">
</t>
    <phoneticPr fontId="1" type="noConversion"/>
  </si>
  <si>
    <t>6.60亿</t>
  </si>
  <si>
    <t>23.38亿</t>
  </si>
  <si>
    <t>19.12亿</t>
  </si>
  <si>
    <t>26.94亿</t>
  </si>
  <si>
    <t>16.52亿</t>
  </si>
  <si>
    <t>14.24亿</t>
  </si>
  <si>
    <t>8105.55万</t>
  </si>
  <si>
    <t>5878.58万</t>
  </si>
  <si>
    <t>5012.74万</t>
  </si>
  <si>
    <t>3147584亿</t>
  </si>
  <si>
    <t>61.99万</t>
  </si>
  <si>
    <t>217356140亿</t>
  </si>
  <si>
    <t>7.81亿</t>
  </si>
  <si>
    <t>678127930亿</t>
  </si>
  <si>
    <t>6097.43万</t>
  </si>
  <si>
    <t>2040402600亿</t>
  </si>
  <si>
    <t>1.84亿</t>
  </si>
  <si>
    <t>1.55亿</t>
  </si>
  <si>
    <t>1.85亿</t>
  </si>
  <si>
    <t>6.32亿</t>
  </si>
  <si>
    <t>2.85亿</t>
  </si>
  <si>
    <t>-3268.33万</t>
  </si>
  <si>
    <t>-2.03亿</t>
  </si>
  <si>
    <t>25.56亿</t>
  </si>
  <si>
    <t>15.24亿</t>
  </si>
  <si>
    <t>10.18亿</t>
  </si>
  <si>
    <t>8.71亿</t>
  </si>
  <si>
    <t>7.28亿</t>
  </si>
  <si>
    <t>2.68亿</t>
  </si>
  <si>
    <t>2.01亿</t>
  </si>
  <si>
    <t>1.32亿</t>
  </si>
  <si>
    <t>6513.15万</t>
  </si>
  <si>
    <t>5200.52万</t>
  </si>
  <si>
    <t>11.94亿</t>
  </si>
  <si>
    <t>20.19亿</t>
  </si>
  <si>
    <t>13.82亿</t>
  </si>
  <si>
    <t>1.66亿</t>
  </si>
  <si>
    <t>有机硅</t>
  </si>
  <si>
    <t>2.53亿</t>
  </si>
  <si>
    <t>国内有机硅新材料下游龙头企业；
市值60.575922亿, 利润2.50亿; PE19.22; 平均PE37.54; 平均PEG1.18, PB2.48; ROIC11.73%; ROE12.6667%; 股利率1.9367%; 毛利26.1767%; 净利11.58%; 上一年度营收增5.4%, 利润增-6.72%; 当季营收增12.72%, 利润增45.27%; 过往5年营收增31.87%, 利润增41.36%
Income profile:
建筑类用胶 10.86亿 71.29%（毛利31.79%，增速74%）
工业类用胶 3.02亿 19.79%（毛利35.59%，增速117%）
硅烷偶联剂 1.24亿 8.13%（毛利22.33%，增速139%）
其他产品 1196.18万 0.79%（毛利40.29%）</t>
  </si>
  <si>
    <t>1761.27万</t>
  </si>
  <si>
    <t>21.32亿</t>
  </si>
  <si>
    <t>17.60亿</t>
  </si>
  <si>
    <t>13.25亿</t>
  </si>
  <si>
    <t>23.57亿</t>
  </si>
  <si>
    <t>1.61亿</t>
  </si>
  <si>
    <t>12.26亿</t>
  </si>
  <si>
    <t>10.38亿</t>
  </si>
  <si>
    <t>5184.56万</t>
  </si>
  <si>
    <t>5568.27万</t>
  </si>
  <si>
    <t>3542.62万</t>
  </si>
  <si>
    <t>-332919亿</t>
  </si>
  <si>
    <t>34.00万</t>
  </si>
  <si>
    <t>81872561亿</t>
  </si>
  <si>
    <t>3.33亿</t>
  </si>
  <si>
    <t>479066300亿</t>
  </si>
  <si>
    <t>3.92亿</t>
  </si>
  <si>
    <t>2013315400亿</t>
  </si>
  <si>
    <t>4.37亿</t>
  </si>
  <si>
    <t>6.17亿</t>
  </si>
  <si>
    <t>5.25亿</t>
  </si>
  <si>
    <t>4.09亿</t>
  </si>
  <si>
    <t>15.73亿</t>
  </si>
  <si>
    <t>3.76亿</t>
  </si>
  <si>
    <t>1.07亿</t>
  </si>
  <si>
    <t>-4.24亿</t>
  </si>
  <si>
    <t>2.96亿</t>
  </si>
  <si>
    <t>11.18亿</t>
  </si>
  <si>
    <t>4.16亿</t>
  </si>
  <si>
    <t>6.46亿</t>
  </si>
  <si>
    <t>6.00亿</t>
  </si>
  <si>
    <t>3.63亿</t>
  </si>
  <si>
    <t>9983.94万</t>
  </si>
  <si>
    <t>4545.31万</t>
  </si>
  <si>
    <t>6168.89万</t>
  </si>
  <si>
    <t>6155.32万</t>
  </si>
  <si>
    <t>5724.61万</t>
  </si>
  <si>
    <t>16.07亿</t>
  </si>
  <si>
    <t>9.42亿</t>
  </si>
  <si>
    <t>6942.80万</t>
  </si>
  <si>
    <t>1.19亿</t>
  </si>
  <si>
    <t>9287.66万</t>
  </si>
  <si>
    <t>4313.20万</t>
  </si>
  <si>
    <t>1.18亿</t>
  </si>
  <si>
    <t xml:space="preserve">
市值33.773996亿, 利润1.61亿; PE25.68; 平均PE41.63; 平均PEG0.66, PB1.97; ROIC5.2033%; ROE6.1667%; 股利率0%; 毛利25.4967%; 净利8.9%; 上一年度营收增110.82%, 利润增61.26%; 当季营收增-50.08%, 利润增-21.99%; 过往5年营收增63.39%, 利润增32.47%
Income profile:
</t>
  </si>
  <si>
    <t>614.73万</t>
  </si>
  <si>
    <t>2.86亿</t>
  </si>
  <si>
    <t>27.91亿</t>
  </si>
  <si>
    <t>7.02亿</t>
  </si>
  <si>
    <t>9.04亿</t>
  </si>
  <si>
    <t>1.49亿</t>
  </si>
  <si>
    <t>6.50亿</t>
  </si>
  <si>
    <t>169.27万</t>
  </si>
  <si>
    <t>3161.78万</t>
  </si>
  <si>
    <t>1183.39万</t>
  </si>
  <si>
    <t>22860546亿</t>
  </si>
  <si>
    <t>5.48万</t>
  </si>
  <si>
    <t>26332002亿</t>
  </si>
  <si>
    <t>2.61亿</t>
  </si>
  <si>
    <t>139819500亿</t>
  </si>
  <si>
    <t>4017.94万</t>
  </si>
  <si>
    <t>2165832900亿</t>
  </si>
  <si>
    <t>1.15亿</t>
  </si>
  <si>
    <t>753.67万</t>
  </si>
  <si>
    <t>4222.44万</t>
  </si>
  <si>
    <t>2.52亿</t>
  </si>
  <si>
    <t>-1.12亿</t>
  </si>
  <si>
    <t>5.87亿</t>
  </si>
  <si>
    <t>-2.52亿</t>
  </si>
  <si>
    <t>4.92亿</t>
  </si>
  <si>
    <t>2.72亿</t>
  </si>
  <si>
    <t>2.30亿</t>
  </si>
  <si>
    <t>1.30亿</t>
  </si>
  <si>
    <t>8611.60万</t>
  </si>
  <si>
    <t>7262.96万</t>
  </si>
  <si>
    <t>3626.25万</t>
  </si>
  <si>
    <t>4779.21万</t>
  </si>
  <si>
    <t>3.49亿</t>
  </si>
  <si>
    <t>6.95亿</t>
  </si>
  <si>
    <t>4.32亿</t>
  </si>
  <si>
    <t>2199.10万</t>
  </si>
  <si>
    <t>1.21亿</t>
  </si>
  <si>
    <t>7850.14万</t>
  </si>
  <si>
    <t>10转5股派10元(含税)</t>
  </si>
  <si>
    <t>1754.62万</t>
  </si>
  <si>
    <t>8255.44万</t>
  </si>
  <si>
    <t xml:space="preserve">
市值36.465亿, 利润1.49亿; PE45.58; 平均PE41.3; 平均PEG0.83, PB1.31; ROIC19.9467%; ROE16.955%; 股利率2.7972%; 毛利36.2%; 净利22%; 上一年度营收增83.74%, 利润增7.97%; 当季营收增34.22%, 利润增-29.3%; 过往5年营收增49.87%, 利润增32.59%
Income profile:
</t>
  </si>
  <si>
    <t xml:space="preserve">1.在国家稀土生产总量控制计划的指导下，将稀土精矿加工为混合碳酸稀土或者混合氯化稀土溶液，再由公司直属、控股、参股公司将混合碳酸稀土分离为单一或混合稀土盐类、稀土氧化物及稀土金属产品。做专做特稀土终端应用产品，现拥有贮氢材料—镍氢动力电池、磁性材料—稀土永磁电机的稀土终端应用布局;2.工业和信息化部、自然资源部分两批下达了 2021 年度稀
土开采、冶炼分离总量控制指标。与 2020 年度相比，稀土矿产品总量控制指标由 14 万吨增至 16.8 万吨，增幅 20%，公司获得量占总量指标下达量的 60%；冶炼分离产品总量控制指标由 13.5 万吨增至 16.2 万吨，增幅20%，公司获得量占总量指标下达量的 55%。 </t>
    <phoneticPr fontId="1" type="noConversion"/>
  </si>
  <si>
    <t>1.氧化镧,氧化铈,氧化镨,氧化钕,金属钕,氧化钐,氧化铕,氧化钆,扎铁,氧化铽,金属铽,氧化镝,镝铁,氧化钬,钬铁,氧化铒,氧化镱,氧化镥,氧化钇,氧化镨钕,镨钕金属</t>
    <phoneticPr fontId="1" type="noConversion"/>
  </si>
  <si>
    <t>9991.32万</t>
  </si>
  <si>
    <t>148.37亿</t>
  </si>
  <si>
    <t>258.07亿</t>
  </si>
  <si>
    <t>249.23亿</t>
  </si>
  <si>
    <t>372.60亿</t>
  </si>
  <si>
    <t>59.84亿</t>
  </si>
  <si>
    <t>229.81亿</t>
  </si>
  <si>
    <t>218.22亿</t>
  </si>
  <si>
    <t>3535.30万</t>
  </si>
  <si>
    <t>7.04亿</t>
  </si>
  <si>
    <t>37284217亿</t>
  </si>
  <si>
    <t>1301.08万</t>
  </si>
  <si>
    <t>1335369960亿</t>
  </si>
  <si>
    <t>58.39亿</t>
  </si>
  <si>
    <t>3214152800亿</t>
  </si>
  <si>
    <t>14.19亿</t>
  </si>
  <si>
    <t>30095518000亿</t>
  </si>
  <si>
    <t>21.23亿</t>
  </si>
  <si>
    <t>23.02亿</t>
  </si>
  <si>
    <t>20.03亿</t>
  </si>
  <si>
    <t>89.14亿</t>
  </si>
  <si>
    <t>35.31亿</t>
  </si>
  <si>
    <t>21.64亿</t>
  </si>
  <si>
    <t>-12.34亿</t>
  </si>
  <si>
    <t>4.48亿</t>
  </si>
  <si>
    <t>304.08亿</t>
  </si>
  <si>
    <t>219.03亿</t>
  </si>
  <si>
    <t>180.92亿</t>
  </si>
  <si>
    <t>139.55亿</t>
  </si>
  <si>
    <t>102.04亿</t>
  </si>
  <si>
    <t>51.30亿</t>
  </si>
  <si>
    <t>6.16亿</t>
  </si>
  <si>
    <t>5.84亿</t>
  </si>
  <si>
    <t>4.01亿</t>
  </si>
  <si>
    <t>164.83亿</t>
  </si>
  <si>
    <t>279.98亿</t>
  </si>
  <si>
    <t>201.29亿</t>
  </si>
  <si>
    <t>10.56亿</t>
  </si>
  <si>
    <t>46.31亿</t>
  </si>
  <si>
    <t>31.27亿</t>
  </si>
  <si>
    <t>10派1.7元(含税)</t>
  </si>
  <si>
    <t>稀土</t>
  </si>
  <si>
    <t>2.23亿</t>
  </si>
  <si>
    <t>12.79亿</t>
  </si>
  <si>
    <t>公司的主要生产经营稀土原料产品、稀土功能材料产品及部分稀土终端应用产品。公司的主要产品是稀土精矿、碳酸稀土、稀土氧化物、稀土盐类、稀土磁性材料、抛光材料、贮氢材料、发光材料、镍氢动力电池、稀土永磁磁共振仪。可生产各类稀土产品 11 个大类、50 余种、近千个规格。
市值751.57219亿, 利润59.84亿; PE27.5; 平均PE33.09; 平均PEG1.11, PB3.63; ROIC10.14%; ROE16.7067%; 股利率.8177%; 毛利17.74%; 净利9.7733%; 上一年度营收增22.53%, 利润增16.65%; 当季营收增7.26%, 利润增-78.43%; 过往5年营收增29.77%, 利润增115.66%
Income profile:
稀土产品 186.33亿 61.27% 利润占比87.26% 39.64%
贸易业务 89.78亿 29.53% 利润占比4.72% 4.45%
其他 14.87亿 4.89% 利润占比1.00% 5.67%
环保产品及服务 8.71亿 2.86% 利润占比5.54% 53.87%
其他业务 3.47亿 1.14% 利润占比1.36% 33.14%
稀土应用产品 9175.85万 0.30% 利润占比0.12% 11.23%</t>
  </si>
  <si>
    <t>9025.80万</t>
  </si>
  <si>
    <t>99.72亿</t>
  </si>
  <si>
    <t>180.11亿</t>
  </si>
  <si>
    <t>16269635000亿</t>
  </si>
  <si>
    <t>217.17亿</t>
  </si>
  <si>
    <t>147.29亿</t>
  </si>
  <si>
    <t>137.67亿</t>
  </si>
  <si>
    <t>1934.69万</t>
  </si>
  <si>
    <t>5.39亿</t>
  </si>
  <si>
    <t>2497.22万</t>
  </si>
  <si>
    <t>2048851亿</t>
  </si>
  <si>
    <t>770.39万</t>
  </si>
  <si>
    <t>1324593900亿</t>
  </si>
  <si>
    <t>8.30亿</t>
  </si>
  <si>
    <t>55253798亿</t>
  </si>
  <si>
    <t>3078726600亿</t>
  </si>
  <si>
    <t>30.44亿</t>
  </si>
  <si>
    <t>13.32亿</t>
  </si>
  <si>
    <t>1230.00万</t>
  </si>
  <si>
    <t>11.46亿</t>
  </si>
  <si>
    <t>62.29亿</t>
  </si>
  <si>
    <t>27.15亿</t>
  </si>
  <si>
    <t>21.12亿</t>
  </si>
  <si>
    <t>-3.52亿</t>
  </si>
  <si>
    <t>-21.70亿</t>
  </si>
  <si>
    <t>191.65亿</t>
  </si>
  <si>
    <t>164.03亿</t>
  </si>
  <si>
    <t>189.51亿</t>
  </si>
  <si>
    <t>184.69亿</t>
  </si>
  <si>
    <t>141.04亿</t>
  </si>
  <si>
    <t>4.72亿</t>
  </si>
  <si>
    <t>7.77亿</t>
  </si>
  <si>
    <t>6.23亿</t>
  </si>
  <si>
    <t>11.55亿</t>
  </si>
  <si>
    <t>-16.53亿</t>
  </si>
  <si>
    <t>108.98亿</t>
  </si>
  <si>
    <t>161.61亿</t>
  </si>
  <si>
    <t>105.06亿</t>
  </si>
  <si>
    <t>10.17亿</t>
  </si>
  <si>
    <t>11.09亿</t>
  </si>
  <si>
    <t>5.97亿</t>
  </si>
  <si>
    <t>10派1.2元(含税)</t>
  </si>
  <si>
    <t>铅锌</t>
  </si>
  <si>
    <t>2.46亿</t>
  </si>
  <si>
    <t>14.06亿</t>
  </si>
  <si>
    <t>公司主要从事锌、铅、锗系列产品的采选、冶炼、深加工与销售。公司主要产品有锌产品、铅产品、硫酸、银产品、硫精矿、铅精矿、锌精矿、煤炭、电解铜、锗产品。
市值276.96626亿, 利润5.84亿; PE30.89, PB1.77; ROIC3.42%; ROE4.15%; 股利率2.2059%; 毛利15.7533%; 净利4.81%; 上一年度营收增13.32%, 利润增23.73%; 当季营收增-5.01%, 利润增-21.07%; 过往5年营收增10.05%, 利润增26.6%
Income profile:
锌产品 161.53亿 74.38% 58.46% 13.08%
铅产品 26.67亿 12.28% 12.68% 17.18%
银产品 7.55亿 3.48% 9.60% 45.95%
锌精矿 5.32亿 2.45% 3.76% 25.54%
锗产品 4.05亿 1.87% 4.15% 37.01%</t>
  </si>
  <si>
    <r>
      <t>1.预计年报业绩：净利润15.50亿元至17.00亿元，</t>
    </r>
    <r>
      <rPr>
        <sz val="9"/>
        <color rgb="FFFF0000"/>
        <rFont val="宋体"/>
        <family val="3"/>
        <charset val="134"/>
        <scheme val="minor"/>
      </rPr>
      <t>增长幅度为44.05%至57.99%</t>
    </r>
    <r>
      <rPr>
        <sz val="9"/>
        <color theme="1"/>
        <rFont val="宋体"/>
        <family val="2"/>
        <charset val="134"/>
        <scheme val="minor"/>
      </rPr>
      <t>。原因：报告期内，一方面，受新能源汽车、节能环保等下游产业快速发展影响，公司生产的稀土主要产品全年销售均价较上一年度涨幅较大，公司营业规模比上一年度有较大幅度提升；另一方面，在稀土主要产品价格出现大幅波动时，公司及时调整经营策略，较好地抓住了市场机遇，实现了盈利提升；此外，报告期内公司还拓展了涉外合作范围，优化了涉外合作模式，提升了涉外业务规模。</t>
    </r>
    <phoneticPr fontId="1" type="noConversion"/>
  </si>
  <si>
    <r>
      <t>1.问：请问公司与下游磁材厂的定价模式是怎样的？答：公司与下游磁材厂的长协定价机制一般是采用</t>
    </r>
    <r>
      <rPr>
        <sz val="9"/>
        <color rgb="FFFF0000"/>
        <rFont val="宋体"/>
        <family val="3"/>
        <charset val="134"/>
        <scheme val="minor"/>
      </rPr>
      <t>月度定价</t>
    </r>
    <r>
      <rPr>
        <sz val="9"/>
        <color theme="1"/>
        <rFont val="宋体"/>
        <family val="2"/>
        <charset val="134"/>
        <scheme val="minor"/>
      </rPr>
      <t>。我们会采用几大网站，像百川咨讯网、亚州金属网、上海有色网、稀土行业协会等网站上一定时间段内的平均价做为定价依据;</t>
    </r>
    <phoneticPr fontId="1" type="noConversion"/>
  </si>
  <si>
    <t>49.72亿</t>
  </si>
  <si>
    <t>95.67亿</t>
  </si>
  <si>
    <t>131.07亿</t>
  </si>
  <si>
    <t>167.58亿</t>
  </si>
  <si>
    <t>15.93亿</t>
  </si>
  <si>
    <t>128.49亿</t>
  </si>
  <si>
    <t>124.21亿</t>
  </si>
  <si>
    <t>1785.40万</t>
  </si>
  <si>
    <t>1.27亿</t>
  </si>
  <si>
    <t>20800962亿</t>
  </si>
  <si>
    <t>1816.54万</t>
  </si>
  <si>
    <t>90176144亿</t>
  </si>
  <si>
    <t>20.65亿</t>
  </si>
  <si>
    <t>1496025600亿</t>
  </si>
  <si>
    <t>9373919000亿</t>
  </si>
  <si>
    <t>3.19亿</t>
  </si>
  <si>
    <t>16.77亿</t>
  </si>
  <si>
    <t>7086.11万</t>
  </si>
  <si>
    <t>6.48亿</t>
  </si>
  <si>
    <t>40.29亿</t>
  </si>
  <si>
    <t>1.67亿</t>
  </si>
  <si>
    <t>-4.64亿</t>
  </si>
  <si>
    <t>-3.18亿</t>
  </si>
  <si>
    <t>106.16亿</t>
  </si>
  <si>
    <t>81.57亿</t>
  </si>
  <si>
    <t>69.60亿</t>
  </si>
  <si>
    <t>62.27亿</t>
  </si>
  <si>
    <t>52.04亿</t>
  </si>
  <si>
    <t>10.76亿</t>
  </si>
  <si>
    <t>3.37亿</t>
  </si>
  <si>
    <t>85.58亿</t>
  </si>
  <si>
    <t>128.79亿</t>
  </si>
  <si>
    <t>87.62亿</t>
  </si>
  <si>
    <t>8397.65万</t>
  </si>
  <si>
    <t>14.85亿</t>
  </si>
  <si>
    <t>13.47亿</t>
  </si>
  <si>
    <t>10派1元(含税)</t>
  </si>
  <si>
    <t>2.32亿</t>
  </si>
  <si>
    <t>9.88亿</t>
  </si>
  <si>
    <t>2-0</t>
  </si>
  <si>
    <t>公司的主营业务为稀土矿采选、冶炼分离、金属加工以及锆钛矿选矿业务，主要产品为稀土精矿、稀土氧化物、稀土盐、稀土金属、独居石、锆英砂、钛精矿、金红石等。
市值188.42886亿, 利润15.93亿; PE70.72; 平均PE30.42; 平均PEG1.11, PB2.14; ROIC6.0833%; ROE6.7033%; 股利率.9302%; 毛利14.2367%; 净利6.0467%; 上一年度营收增57.86%, 利润增48.05%; 当季营收增10.49%, 利润增-46.22%; 过往5年营收增27.33%, 利润增83.67%
Income profile:
稀土稀有金属 22.62亿 52.12% 35.74% 18.74%
稀土氧化物 10.42亿 24.01% 45.06% 51.27%
稀土精矿(含独居石) 8.26亿 19.03% 15.88% 22.79%
锆英砂 7656.73万 1.76% 2.48% 38.36%</t>
  </si>
  <si>
    <t>8978.97万</t>
  </si>
  <si>
    <t>6.65亿</t>
  </si>
  <si>
    <t>13.61亿</t>
  </si>
  <si>
    <t>8.42亿</t>
  </si>
  <si>
    <t>9.72亿</t>
  </si>
  <si>
    <t>1.51亿</t>
  </si>
  <si>
    <t>7.12亿</t>
  </si>
  <si>
    <t>890.19万</t>
  </si>
  <si>
    <t>5027.50万</t>
  </si>
  <si>
    <t>3050.33万</t>
  </si>
  <si>
    <t>-7322611亿</t>
  </si>
  <si>
    <t>12.92万</t>
  </si>
  <si>
    <t>80075001亿</t>
  </si>
  <si>
    <t>5844.92万</t>
  </si>
  <si>
    <t>199438780亿</t>
  </si>
  <si>
    <t>1.68亿</t>
  </si>
  <si>
    <t>822078170亿</t>
  </si>
  <si>
    <t>1.00亿</t>
  </si>
  <si>
    <t>2.66亿</t>
  </si>
  <si>
    <t>6.01亿</t>
  </si>
  <si>
    <t>4470.87万</t>
  </si>
  <si>
    <t>2042.91万</t>
  </si>
  <si>
    <t>-1.52亿</t>
  </si>
  <si>
    <t>1.25亿</t>
  </si>
  <si>
    <t>7.89亿</t>
  </si>
  <si>
    <t>7.33亿</t>
  </si>
  <si>
    <t>7.61亿</t>
  </si>
  <si>
    <t>5.99亿</t>
  </si>
  <si>
    <t>4.08亿</t>
  </si>
  <si>
    <t>6483.95万</t>
  </si>
  <si>
    <t>8271.04万</t>
  </si>
  <si>
    <t>7418.15万</t>
  </si>
  <si>
    <t>5400.79万</t>
  </si>
  <si>
    <t>5.95亿</t>
  </si>
  <si>
    <t>7.32亿</t>
  </si>
  <si>
    <t>4.62亿</t>
  </si>
  <si>
    <t>7940.24万</t>
  </si>
  <si>
    <t>8223.68万</t>
  </si>
  <si>
    <t>10转4股派1元(含税)</t>
  </si>
  <si>
    <t>其他小金属</t>
  </si>
  <si>
    <t>2.20亿</t>
  </si>
  <si>
    <t>5.54亿</t>
  </si>
  <si>
    <t>9-0</t>
  </si>
  <si>
    <t>公司主营业务是专注于锆系制品、铸改新材料等工业新材料的研发、生产和销售，产品主要有氧化锆、铸改新材料、海绵锆、氧氯化锆、纳米新材料(纳米氧化锆)。
市值84.209948亿, 利润1.51亿; PE79.91; 平均PE95.92; 平均PEG4.75, PB6.65; ROIC7.1567%; ROE8.94%; 股利率.5035%; 毛利29.5533%; 净利12.7867%; 上一年度营收增23.19%, 利润增51%; 当季营收增-8.52%, 利润增-94.32%; 过往5年营收增20.2%, 利润增26.49%
Income profile:
锆系列产品 3.55亿 76.89% 84.32% 38.18%
铸改新材料 6845.07万 14.82% 5.78% 13.58%</t>
  </si>
  <si>
    <t>6861.73万</t>
  </si>
  <si>
    <t>10.53亿</t>
  </si>
  <si>
    <t>14.87亿</t>
  </si>
  <si>
    <t>4.71亿</t>
  </si>
  <si>
    <t>-6240.29万</t>
  </si>
  <si>
    <t>5.04亿</t>
  </si>
  <si>
    <t>676.59万</t>
  </si>
  <si>
    <t>5270.46万</t>
  </si>
  <si>
    <t>6757.89万</t>
  </si>
  <si>
    <t>0亿</t>
  </si>
  <si>
    <t>1.12万</t>
  </si>
  <si>
    <t>-25627120亿</t>
  </si>
  <si>
    <t>1.43亿</t>
  </si>
  <si>
    <t>214642610亿</t>
  </si>
  <si>
    <t>1983.88万</t>
  </si>
  <si>
    <t>864401460亿</t>
  </si>
  <si>
    <t>8047.47万</t>
  </si>
  <si>
    <t>4.42亿</t>
  </si>
  <si>
    <t>1.89亿</t>
  </si>
  <si>
    <t>-9251.68万</t>
  </si>
  <si>
    <t>-2846.80万</t>
  </si>
  <si>
    <t>6.70亿</t>
  </si>
  <si>
    <t>4.18亿</t>
  </si>
  <si>
    <t>4.65亿</t>
  </si>
  <si>
    <t>4.64亿</t>
  </si>
  <si>
    <t>1396.19万</t>
  </si>
  <si>
    <t>2263.20万</t>
  </si>
  <si>
    <t>-5914.53万</t>
  </si>
  <si>
    <t>862.07万</t>
  </si>
  <si>
    <t>846.44万</t>
  </si>
  <si>
    <t>2.82亿</t>
  </si>
  <si>
    <t>4.12亿</t>
  </si>
  <si>
    <t>3.11亿</t>
  </si>
  <si>
    <t>-725.66万</t>
  </si>
  <si>
    <t>-702.70万</t>
  </si>
  <si>
    <t>1227.91万</t>
  </si>
  <si>
    <t>1.78亿</t>
  </si>
  <si>
    <t>9.13亿</t>
  </si>
  <si>
    <t>亏损</t>
  </si>
  <si>
    <t>扭亏</t>
  </si>
  <si>
    <t>公司主要业务为锗矿开采、火法富集、湿法提纯、区熔精炼、精深加工及研究开发。公司目前材料级锗产品主要为区熔锗锭、二氧化锗；深加工方面，光伏级锗产品主要为太阳能锗衬底片，红外级锗产品主要为红外级锗单晶（光学元件）、锗镜片、镜头、红外热像仪，光纤级锗产品为光纤用四氯化锗，非锗半导体材料级产品主要为砷化镓单晶片、磷化铟单晶片。
市值78.570336亿, 利润-6240.29万; PE1127; 平均PE-694.6; 平均PEG-115.91, PB5.55; ROIC2.39%; ROE.6133%; 股利率0%; 毛利18.3367%; 净利1.89%; 上一年度营收增-3.42%, 利润增-546.95%; 当季营收增87.13%, 利润增112.4%; 过往5年营收增5.99%, 利润增-246.25%
Income profile:
材料级锗产品 1.24亿 40.06% 29.03% 15.76%
光纤级锗产品 5404.69万 17.39% 14.26% 17.84%
化合物半导体材料 5359.96万 17.25% 27.72% 34.95%
红外级锗产品 3838.32万 12.35% 17.93% 31.57%
光伏级锗产品 3279.03万 10.55% 8.68% 17.88%</t>
  </si>
  <si>
    <t>1.91亿</t>
  </si>
  <si>
    <t>22.75亿</t>
  </si>
  <si>
    <t>14.51亿</t>
  </si>
  <si>
    <t>10.59亿</t>
  </si>
  <si>
    <t>13.70亿</t>
  </si>
  <si>
    <t>9900.06万</t>
  </si>
  <si>
    <t>10.69亿</t>
  </si>
  <si>
    <t>545.87万</t>
  </si>
  <si>
    <t>8576.70万</t>
  </si>
  <si>
    <t>4040.72万</t>
  </si>
  <si>
    <t>61940亿</t>
  </si>
  <si>
    <t>1.84万</t>
  </si>
  <si>
    <t>-10273807亿</t>
  </si>
  <si>
    <t>7.80亿</t>
  </si>
  <si>
    <t>183015540亿</t>
  </si>
  <si>
    <t>1814351800亿</t>
  </si>
  <si>
    <t>6.04亿</t>
  </si>
  <si>
    <t>7.92亿</t>
  </si>
  <si>
    <t>7.67亿</t>
  </si>
  <si>
    <t>1.26亿</t>
  </si>
  <si>
    <t>21.46亿</t>
  </si>
  <si>
    <t>-1.78亿</t>
  </si>
  <si>
    <t>-2.77亿</t>
  </si>
  <si>
    <t>12.86亿</t>
  </si>
  <si>
    <t>5.03亿</t>
  </si>
  <si>
    <t>8.52亿</t>
  </si>
  <si>
    <t>-1.61亿</t>
  </si>
  <si>
    <t>-2.06亿</t>
  </si>
  <si>
    <t>1062.78万</t>
  </si>
  <si>
    <t>-3931.30万</t>
  </si>
  <si>
    <t>7.46亿</t>
  </si>
  <si>
    <t>10.19亿</t>
  </si>
  <si>
    <t>7.20亿</t>
  </si>
  <si>
    <t>2658.71万</t>
  </si>
  <si>
    <t>1.28亿</t>
  </si>
  <si>
    <t>5.00亿</t>
  </si>
  <si>
    <t>9.89亿</t>
  </si>
  <si>
    <t>公司主要从事锆系列制品研发、生产和经营，公司产品包括锆钛矿砂,钛精矿,稀土独居石,硅酸锆,氯氧化锆,电熔锆,二氧化锆,复合氧化锆,氧化锆陶瓷结构件及海绵锆十大系列共一百多个品种规格。
市值59.590002亿, 利润9900.06万; PE; 平均PE-245.42; 平均PEG-13.7, PB3.94; ROIC5.62%; ROE-2.7033%; 股利率0%; 毛利17.8567%; 净利-1.8867%; 上一年度营收增6.53%, 利润增-34.44%; 当季营收增4.68%, 利润增-526.72%; 过往5年营收增17.91%, 利润增-346.02%
Income profile:
氯氧化锆 4.05亿 31.49% 29.18% 22.47%
钛精矿 2.21亿 17.21% 19.96% 28.12%
二氧化锆 1.84亿 14.32% 16.95% 28.70%
电熔氧化锆 1.33亿 10.33% 8.29% 19.47%
复合氧化锆 7611.59万 5.92% 6.78% 27.77%
结构陶瓷 7556.64万 5.87% 9.05% 37.35%</t>
  </si>
  <si>
    <t>3878.12万</t>
  </si>
  <si>
    <t>9.41亿</t>
  </si>
  <si>
    <t>21.04亿</t>
  </si>
  <si>
    <t>27.81亿</t>
  </si>
  <si>
    <t>39.73亿</t>
  </si>
  <si>
    <t>2.22亿</t>
  </si>
  <si>
    <t>24.01亿</t>
  </si>
  <si>
    <t>6324.93万</t>
  </si>
  <si>
    <t>5563.94万</t>
  </si>
  <si>
    <t>1050.01万</t>
  </si>
  <si>
    <t>1948579亿</t>
  </si>
  <si>
    <t>405.04万</t>
  </si>
  <si>
    <t>167920720亿</t>
  </si>
  <si>
    <t>1228602840亿</t>
  </si>
  <si>
    <t>2500401000亿</t>
  </si>
  <si>
    <t>783.34万</t>
  </si>
  <si>
    <t>6.27亿</t>
  </si>
  <si>
    <t>5882.49万</t>
  </si>
  <si>
    <t>9.15亿</t>
  </si>
  <si>
    <t>-2.71亿</t>
  </si>
  <si>
    <t>-1.01亿</t>
  </si>
  <si>
    <t>45.90亿</t>
  </si>
  <si>
    <t>31.99亿</t>
  </si>
  <si>
    <t>38.47亿</t>
  </si>
  <si>
    <t>33.18亿</t>
  </si>
  <si>
    <t>23.66亿</t>
  </si>
  <si>
    <t>5160.66万</t>
  </si>
  <si>
    <t>2.80亿</t>
  </si>
  <si>
    <t>2.43亿</t>
  </si>
  <si>
    <t>1.90亿</t>
  </si>
  <si>
    <t>30.80亿</t>
  </si>
  <si>
    <t>20.63亿</t>
  </si>
  <si>
    <t>1.82亿</t>
  </si>
  <si>
    <t>线缆部件及其他</t>
  </si>
  <si>
    <t>8.48亿</t>
  </si>
  <si>
    <t>3-0</t>
  </si>
  <si>
    <t xml:space="preserve">
市值80.47611亿, 利润2.22亿; PE37.52; 平均PE40.97; 平均PEG2.95, PB3.82; ROIC4.3367%; ROE5.0167%; 股利率1.0758%; 毛利13.94%; 净利4.66%; 上一年度营收增-13.44%, 利润增330.18%; 当季营收增-0.59%, 利润增-13.41%; 过往5年营收增13.88%, 利润增53.75%
Income profile:
</t>
  </si>
  <si>
    <t>2052.68万</t>
  </si>
  <si>
    <t>9.90亿</t>
  </si>
  <si>
    <t>3.81亿</t>
  </si>
  <si>
    <t>6.05亿</t>
  </si>
  <si>
    <t>4227.07万</t>
  </si>
  <si>
    <t>1232.19万</t>
  </si>
  <si>
    <t>5070.24万</t>
  </si>
  <si>
    <t>1698.18万</t>
  </si>
  <si>
    <t>3614834亿</t>
  </si>
  <si>
    <t>418.57万</t>
  </si>
  <si>
    <t>32251276亿</t>
  </si>
  <si>
    <t>3.12亿</t>
  </si>
  <si>
    <t>353157420亿</t>
  </si>
  <si>
    <t>1094.80万</t>
  </si>
  <si>
    <t>932408240亿</t>
  </si>
  <si>
    <t>1687.05万</t>
  </si>
  <si>
    <t>1.98亿</t>
  </si>
  <si>
    <t>2792.08万</t>
  </si>
  <si>
    <t>8844.12万</t>
  </si>
  <si>
    <t>1000.00万</t>
  </si>
  <si>
    <t>-148.83万</t>
  </si>
  <si>
    <t>-3020.45万</t>
  </si>
  <si>
    <t>5862.66万</t>
  </si>
  <si>
    <t>5.60亿</t>
  </si>
  <si>
    <t>5.30亿</t>
  </si>
  <si>
    <t>4103.30万</t>
  </si>
  <si>
    <t>3489.68万</t>
  </si>
  <si>
    <t>4065.47万</t>
  </si>
  <si>
    <t>8007.92万</t>
  </si>
  <si>
    <t>5750.68万</t>
  </si>
  <si>
    <t>2.44亿</t>
  </si>
  <si>
    <t>4.70亿</t>
  </si>
  <si>
    <t>2249.92万</t>
  </si>
  <si>
    <t>5230.52万</t>
  </si>
  <si>
    <t>5048.00万</t>
  </si>
  <si>
    <t>10派0.7471元(含税)</t>
  </si>
  <si>
    <t>水务及水治理</t>
  </si>
  <si>
    <t>7023.29万</t>
  </si>
  <si>
    <t>2.16亿</t>
  </si>
  <si>
    <t xml:space="preserve">
市值42.081505亿, 利润4227.07万; PE108; 平均PE85.17; 平均PEG5.13, PB4.57; ROIC2.8333%; ROE3.5567%; 股利率.3113%; 毛利29.49%; 净利7.4667%; 上一年度营收增8.04%, 利润增3.02%; 当季营收增-15.95%, 利润增705.15%; 过往5年营收增16.61%, 利润增-.71%
Income profile:
按产品分：水处理设备集成30.24%（毛利11.32%） 水处理系统运行管理28.33%（毛利45.70%） 化学品销售与服务27.78%（毛利31.60%） 设备销售与安装12.18%（毛利29.16%） 风管清洗1.47%（毛利41.03%）
按客户行业分：钢铁冶金33.27%（毛利17.59%） 民用22.11%（毛利41.73%） 石油化工17.82%（毛利49.19%） 汽车制造12.09%（毛利 29.11%） 制浆造纸8.19%（毛利6.45%） 其他6.52%（毛利21.85%）</t>
  </si>
  <si>
    <t>1103.67万</t>
  </si>
  <si>
    <t>151.47亿</t>
  </si>
  <si>
    <t>94.52亿</t>
  </si>
  <si>
    <t>143.07亿</t>
  </si>
  <si>
    <t>225.57亿</t>
  </si>
  <si>
    <t>23.80亿</t>
  </si>
  <si>
    <t>150.56亿</t>
  </si>
  <si>
    <t>139.95亿</t>
  </si>
  <si>
    <t>2795.45万</t>
  </si>
  <si>
    <t>3.04亿</t>
  </si>
  <si>
    <t>29492805亿</t>
  </si>
  <si>
    <t>422.76万</t>
  </si>
  <si>
    <t>-1031896980亿</t>
  </si>
  <si>
    <t>37.31亿</t>
  </si>
  <si>
    <t>2818008100亿</t>
  </si>
  <si>
    <t>12746201400亿</t>
  </si>
  <si>
    <t>32.10亿</t>
  </si>
  <si>
    <t>22.32亿</t>
  </si>
  <si>
    <t>34.74亿</t>
  </si>
  <si>
    <t>95.65亿</t>
  </si>
  <si>
    <t>40.64亿</t>
  </si>
  <si>
    <t>25.54亿</t>
  </si>
  <si>
    <t>-12.00亿</t>
  </si>
  <si>
    <t>-5.49亿</t>
  </si>
  <si>
    <t>49.54亿</t>
  </si>
  <si>
    <t>10.54亿</t>
  </si>
  <si>
    <t>8.55亿</t>
  </si>
  <si>
    <t>8.25亿</t>
  </si>
  <si>
    <t>-2840.16万</t>
  </si>
  <si>
    <t>9811.62万</t>
  </si>
  <si>
    <t>9272.76万</t>
  </si>
  <si>
    <t>88.92亿</t>
  </si>
  <si>
    <t>144.16亿</t>
  </si>
  <si>
    <t>75.57亿</t>
  </si>
  <si>
    <t>-10.44亿</t>
  </si>
  <si>
    <t>18.28亿</t>
  </si>
  <si>
    <t>12.80亿</t>
  </si>
  <si>
    <t>10转6股派10元(含税)</t>
  </si>
  <si>
    <t>6021.34万</t>
  </si>
  <si>
    <t>4.10亿</t>
  </si>
  <si>
    <t>公司主要从事锂离子电池核心材料的研发、生产和销售。主要产品为纳米磷酸铁锂，新产品为磷酸锰铁锂和补锂剂。
市值105.469816亿, 利润23.80亿; PE; 平均PE18.25; 平均PEG0.11, PB1.36; ROIC21.18%; ROE6.6667%; 股利率2.6476%; 毛利12.25%; 净利-0.4467%; 上一年度营收增355.33%, 利润增188.48%; 当季营收增-21.05%, 利润增-91.27%; 过往5年营收增158.78%, 利润增614.52%
Income profile:
磷酸盐系正极材料 88.77亿 99.83% -2.18亿 99.50% -2.46%
其他业务 1502.04万 0.17% -110.43万 0.50% -7.35%</t>
  </si>
  <si>
    <r>
      <t>0。碳纳米管具有良好的力学（强度和韧性，比钢硬100倍，密度只有1/6），电学（导电仅次于超导），热学（最好的导热材料），化学稳定性(耐酸耐碱性)1.1.目前国内从事碳纳米管及相关产品业务的公司主要有</t>
    </r>
    <r>
      <rPr>
        <sz val="9"/>
        <color rgb="FFFF0000"/>
        <rFont val="宋体"/>
        <family val="3"/>
        <charset val="134"/>
        <scheme val="minor"/>
      </rPr>
      <t>三顺纳米</t>
    </r>
    <r>
      <rPr>
        <sz val="9"/>
        <color theme="1"/>
        <rFont val="宋体"/>
        <family val="2"/>
        <charset val="134"/>
        <scheme val="minor"/>
      </rPr>
      <t>、</t>
    </r>
    <r>
      <rPr>
        <sz val="9"/>
        <color rgb="FFFF0000"/>
        <rFont val="宋体"/>
        <family val="3"/>
        <charset val="134"/>
        <scheme val="minor"/>
      </rPr>
      <t>青岛昊鑫</t>
    </r>
    <r>
      <rPr>
        <sz val="9"/>
        <color theme="1"/>
        <rFont val="宋体"/>
        <family val="2"/>
        <charset val="134"/>
        <scheme val="minor"/>
      </rPr>
      <t>、集越纳米、</t>
    </r>
    <r>
      <rPr>
        <sz val="9"/>
        <color rgb="FFFF0000"/>
        <rFont val="宋体"/>
        <family val="3"/>
        <charset val="134"/>
        <scheme val="minor"/>
      </rPr>
      <t>德方纳米</t>
    </r>
    <r>
      <rPr>
        <sz val="9"/>
        <color theme="1"/>
        <rFont val="宋体"/>
        <family val="2"/>
        <charset val="134"/>
        <scheme val="minor"/>
      </rPr>
      <t>、无锡东恒、金百纳、纳米港等公司。其中德方纳米为创业板上市公司、青岛昊鑫为上市公司道氏技术子公司、三顺纳米于 2017年12月19日向证监会报送招股说明书并进行了预披露，其他同行业公司数据暂未公布。</t>
    </r>
    <phoneticPr fontId="1" type="noConversion"/>
  </si>
  <si>
    <t>558.93万</t>
  </si>
  <si>
    <t>20.52亿</t>
  </si>
  <si>
    <t>26.64亿</t>
  </si>
  <si>
    <t>10.58亿</t>
  </si>
  <si>
    <t>18.42亿</t>
  </si>
  <si>
    <t>8.80亿</t>
  </si>
  <si>
    <t>1002.42万</t>
  </si>
  <si>
    <t>5396.98万</t>
  </si>
  <si>
    <t>4603.66万</t>
  </si>
  <si>
    <t>14329743亿</t>
  </si>
  <si>
    <t>37.42万</t>
  </si>
  <si>
    <t>141850800亿</t>
  </si>
  <si>
    <t>11.35亿</t>
  </si>
  <si>
    <t>516883710亿</t>
  </si>
  <si>
    <t>2472393300亿</t>
  </si>
  <si>
    <t>8.32亿</t>
  </si>
  <si>
    <t>3.27亿</t>
  </si>
  <si>
    <t>8.97亿</t>
  </si>
  <si>
    <t>2.79亿</t>
  </si>
  <si>
    <t>622.51万</t>
  </si>
  <si>
    <t>2.08亿</t>
  </si>
  <si>
    <t>13.20亿</t>
  </si>
  <si>
    <t>3.86亿</t>
  </si>
  <si>
    <t>3.08亿</t>
  </si>
  <si>
    <t>6758.49万</t>
  </si>
  <si>
    <t>-1479.97万</t>
  </si>
  <si>
    <t>6.41亿</t>
  </si>
  <si>
    <t>14.42亿</t>
  </si>
  <si>
    <t>8987.89万</t>
  </si>
  <si>
    <t>10转4.8股派0.95元(含税)</t>
  </si>
  <si>
    <t>2983.51万</t>
  </si>
  <si>
    <t>-4-0</t>
  </si>
  <si>
    <t>公司的主营业务是从事纳米级碳材料及相关产品的研发、生产及销售。公司的主要产品是碳纳米管粉体、碳纳米管导电浆料、石墨烯复合导电浆料、碳纳米管导电母粒等。
市值73.39184亿, 利润4.24亿; PE28.46; 平均PE44.49; 平均PEG0.84, PB2.71; ROIC7.7233%; ROE8.17%; 股利率0.446%; 毛利34.87%; 净利19.7667%; 上一年度营收增39.55%, 利润增43.24%; 当季营收增-16.77%, 利润增-42.22%; 过往5年营收增53.13%, 利润增167.31%
Income profile:
新能源汽车动力锂电池 12.86亿 69.84% 4.44亿 68.92% 34.51%
储能锂电池 3.29亿 17.84% 1.21亿 18.84% 36.94%
3C电子锂电池 2.16亿 11.73% 7506.35万 11.66% 34.75%
非锂电池 694.76万 0.38% 313.91万 0.49% 45.18%</t>
  </si>
  <si>
    <t>13.74亿</t>
  </si>
  <si>
    <t>5.22亿</t>
  </si>
  <si>
    <t>10.34亿</t>
  </si>
  <si>
    <t>8583.98万</t>
  </si>
  <si>
    <t>5.63亿</t>
  </si>
  <si>
    <t>3200.01万</t>
  </si>
  <si>
    <t>7208.91万</t>
  </si>
  <si>
    <t>3063.05万</t>
  </si>
  <si>
    <t>4030038亿</t>
  </si>
  <si>
    <t>9.69万</t>
  </si>
  <si>
    <t>-25769382亿</t>
  </si>
  <si>
    <t>1.33亿</t>
  </si>
  <si>
    <t>261537370亿</t>
  </si>
  <si>
    <t>230.89万</t>
  </si>
  <si>
    <t>900002780亿</t>
  </si>
  <si>
    <t>513.83万</t>
  </si>
  <si>
    <t>4468.72万</t>
  </si>
  <si>
    <t>1.31亿</t>
  </si>
  <si>
    <t>1.09亿</t>
  </si>
  <si>
    <t>-1.15亿</t>
  </si>
  <si>
    <t>-7755.72万</t>
  </si>
  <si>
    <t>10.01亿</t>
  </si>
  <si>
    <t>8.57亿</t>
  </si>
  <si>
    <t>6.07亿</t>
  </si>
  <si>
    <t>9528.32万</t>
  </si>
  <si>
    <t>6981.06万</t>
  </si>
  <si>
    <t>6855.57万</t>
  </si>
  <si>
    <t>-230.28万</t>
  </si>
  <si>
    <t>8.22亿</t>
  </si>
  <si>
    <t>4.67亿</t>
  </si>
  <si>
    <t>-1015.64万</t>
  </si>
  <si>
    <t>7966.51万</t>
  </si>
  <si>
    <t>4185.10万</t>
  </si>
  <si>
    <t>10派4元(含税)</t>
  </si>
  <si>
    <t>消费电子零部件及组装</t>
  </si>
  <si>
    <t>2064.57万</t>
  </si>
  <si>
    <t>4697.75亿</t>
  </si>
  <si>
    <t>2020.57亿</t>
  </si>
  <si>
    <t>2946.77亿</t>
  </si>
  <si>
    <t>3285.94亿</t>
  </si>
  <si>
    <t>307.29亿</t>
  </si>
  <si>
    <t>2613.83亿</t>
  </si>
  <si>
    <t>2300.96亿</t>
  </si>
  <si>
    <t>102.22亿</t>
  </si>
  <si>
    <t>69.18亿</t>
  </si>
  <si>
    <t>98.50亿</t>
  </si>
  <si>
    <t>2189770600亿</t>
  </si>
  <si>
    <t>4.17亿</t>
  </si>
  <si>
    <t>26981002000亿</t>
  </si>
  <si>
    <t>2337.60亿</t>
  </si>
  <si>
    <t>68726799000亿</t>
  </si>
  <si>
    <t>15.35亿</t>
  </si>
  <si>
    <t>411386690000亿</t>
  </si>
  <si>
    <t>306.50亿</t>
  </si>
  <si>
    <t>113.49亿</t>
  </si>
  <si>
    <t>790.81亿</t>
  </si>
  <si>
    <t>1109.25亿</t>
  </si>
  <si>
    <t>2761.98亿</t>
  </si>
  <si>
    <t>854.35亿</t>
  </si>
  <si>
    <t>526.54亿</t>
  </si>
  <si>
    <t>-199.37亿</t>
  </si>
  <si>
    <t>148.51亿</t>
  </si>
  <si>
    <t>1303.56亿</t>
  </si>
  <si>
    <t>503.19亿</t>
  </si>
  <si>
    <t>457.88亿</t>
  </si>
  <si>
    <t>296.11亿</t>
  </si>
  <si>
    <t>199.97亿</t>
  </si>
  <si>
    <t>159.31亿</t>
  </si>
  <si>
    <t>55.83亿</t>
  </si>
  <si>
    <t>45.60亿</t>
  </si>
  <si>
    <t>33.87亿</t>
  </si>
  <si>
    <t>38.78亿</t>
  </si>
  <si>
    <t>1892.46亿</t>
  </si>
  <si>
    <t>2103.40亿</t>
  </si>
  <si>
    <t>1129.71亿</t>
  </si>
  <si>
    <t>207.17亿</t>
  </si>
  <si>
    <t>175.92亿</t>
  </si>
  <si>
    <t>81.68亿</t>
  </si>
  <si>
    <t>10转8股派25.2元(含税)</t>
  </si>
  <si>
    <t>1.05亿</t>
  </si>
  <si>
    <t>9.36亿</t>
  </si>
  <si>
    <t xml:space="preserve">
市值8270.1975亿, 利润307.29亿; PE18.74; 平均PE77.45; 平均PEG0.91, PB4.18; ROIC8.0033%; ROE12.8633%; 股利率1.3404%; 毛利25.2233%; 净利12.3933%; 上一年度营收增152.07%, 利润增92.89%; 当季营收增8.28%, 利润增10.66%; 过往5年营收增84.75%, 利润增64.53%
Income profile:
</t>
  </si>
  <si>
    <t>1028.91万</t>
  </si>
  <si>
    <t>4210.18亿</t>
  </si>
  <si>
    <t>1260.85亿</t>
  </si>
  <si>
    <t>120173608000亿</t>
  </si>
  <si>
    <t>4240.61亿</t>
  </si>
  <si>
    <t>166.22亿</t>
  </si>
  <si>
    <t>1152.09亿</t>
  </si>
  <si>
    <t>987.07亿</t>
  </si>
  <si>
    <t>46.48亿</t>
  </si>
  <si>
    <t>33.66亿</t>
  </si>
  <si>
    <t>202.23亿</t>
  </si>
  <si>
    <t>245494000亿</t>
  </si>
  <si>
    <t>1.42亿</t>
  </si>
  <si>
    <t>35.65亿</t>
  </si>
  <si>
    <t>562.83亿</t>
  </si>
  <si>
    <t>39030536000亿</t>
  </si>
  <si>
    <t>256761550000亿</t>
  </si>
  <si>
    <t>561.50亿</t>
  </si>
  <si>
    <t>157.01亿</t>
  </si>
  <si>
    <t>37.10亿</t>
  </si>
  <si>
    <t>1524.45亿</t>
  </si>
  <si>
    <t>3738.39亿</t>
  </si>
  <si>
    <t>86.11亿</t>
  </si>
  <si>
    <t>144.66亿</t>
  </si>
  <si>
    <t>-226.97亿</t>
  </si>
  <si>
    <t>120.50亿</t>
  </si>
  <si>
    <t>2161.42亿</t>
  </si>
  <si>
    <t>1565.98亿</t>
  </si>
  <si>
    <t>1277.39亿</t>
  </si>
  <si>
    <t>1300.55亿</t>
  </si>
  <si>
    <t>1059.15亿</t>
  </si>
  <si>
    <t>30.45亿</t>
  </si>
  <si>
    <t>42.34亿</t>
  </si>
  <si>
    <t>27.80亿</t>
  </si>
  <si>
    <t>40.66亿</t>
  </si>
  <si>
    <t>668.25亿</t>
  </si>
  <si>
    <t>8.08亿</t>
  </si>
  <si>
    <t>10派11.42元(含税)</t>
  </si>
  <si>
    <t>乘用车</t>
  </si>
  <si>
    <t>5043.01万</t>
  </si>
  <si>
    <t>3.72亿</t>
  </si>
  <si>
    <t xml:space="preserve">
市值7583.8183亿, 利润166.22亿; PE38.03; 平均PE140.61; 平均PEG3.95, PB6.56; ROIC7.64%; ROE9.1%; 股利率.4384%; 毛利16.7533%; 净利3.1067%; 上一年度营收增96.2%, 利润增445.88%; 当季营收增79.83%, 利润增411.15%; 过往5年营收增35.56%, 利润增101.31%
Income profile:
</t>
  </si>
  <si>
    <t>1.公司业绩高速增长的原因主要是公司锂产品销售量价齐升；2.预计到2025年，国内各类锂资源产能合计50万吨左右产能，全球锂资源供应量150万吨左右；2.从布局上看，产业链上下游企业均在积极开展回收再利用布局，随着动力电池报废高潮的临近，对废弃动力电池加以合理回收利用有极大的意义和必要性；</t>
    <phoneticPr fontId="1" type="noConversion"/>
  </si>
  <si>
    <t>1826.06万</t>
  </si>
  <si>
    <t>556.78亿</t>
  </si>
  <si>
    <t>368.95亿</t>
  </si>
  <si>
    <t>355.29亿</t>
  </si>
  <si>
    <t>363.04亿</t>
  </si>
  <si>
    <t>35.09亿</t>
  </si>
  <si>
    <t>329.09亿</t>
  </si>
  <si>
    <t>295.67亿</t>
  </si>
  <si>
    <t>12.61亿</t>
  </si>
  <si>
    <t>448447640亿</t>
  </si>
  <si>
    <t>282.86万</t>
  </si>
  <si>
    <t>2155191200亿</t>
  </si>
  <si>
    <t>80.45亿</t>
  </si>
  <si>
    <t>11008577600亿</t>
  </si>
  <si>
    <t>17.01亿</t>
  </si>
  <si>
    <t>37552399000亿</t>
  </si>
  <si>
    <t>204.13亿</t>
  </si>
  <si>
    <t>14.98亿</t>
  </si>
  <si>
    <t>62.59亿</t>
  </si>
  <si>
    <t>222.55亿</t>
  </si>
  <si>
    <t>369.77亿</t>
  </si>
  <si>
    <t>144.65亿</t>
  </si>
  <si>
    <t>53.59亿</t>
  </si>
  <si>
    <t>-63.22亿</t>
  </si>
  <si>
    <t>10.68亿</t>
  </si>
  <si>
    <t>169.00亿</t>
  </si>
  <si>
    <t>81.62亿</t>
  </si>
  <si>
    <t>64.12亿</t>
  </si>
  <si>
    <t>43.51亿</t>
  </si>
  <si>
    <t>29.82亿</t>
  </si>
  <si>
    <t>29.06亿</t>
  </si>
  <si>
    <t>15.22亿</t>
  </si>
  <si>
    <t>5.71亿</t>
  </si>
  <si>
    <t>4.03亿</t>
  </si>
  <si>
    <t>229.76亿</t>
  </si>
  <si>
    <t>242.83亿</t>
  </si>
  <si>
    <t>149.26亿</t>
  </si>
  <si>
    <t>21.51亿</t>
  </si>
  <si>
    <t>26.66亿</t>
  </si>
  <si>
    <t>13.59亿</t>
  </si>
  <si>
    <t>10派1.6元(含税)</t>
  </si>
  <si>
    <t>9765.32万</t>
  </si>
  <si>
    <t>7.91亿</t>
  </si>
  <si>
    <t>公司主要业务是消费电池(包括锂原电池、小型锂离子电池)和动力电池(包括新能源汽车电池及其电池系统、储能电池)的研发、生产和销售。其主要产品为锂原电池、锂离子电池。
2021H1:
锂离子电池 57.06亿 86.98% 利润占比78.89% 22.95%
锂原电池 8.54亿 13.02% 利润占比21.11% 41.01%
国内外占比对半开；</t>
  </si>
  <si>
    <r>
      <t>1.　　问：公司在未来的行业竞争中，有哪些优势？答：公司所处的动力电池板块长期发展机遇良好，未来市场空间巨大。1.公司拥有多年的电池技术积累，在动力电池化学体系方面拥有行业领先的优势，在电池上游材料以及原材料端布局，这种“技术+资源”的双轮驱动提升公司产品竞争力。2.公司的材料制造和电池制造规模日益扩大，加上多年创新平台和人才队伍的建设，公司拥有较强的产业复制与扩张能力；3.公司产品力不断提升的基础上，公司持续扩展海内外优质客户，与众多海内外客户深度绑定，为客户结构持续优化和市场份额不断提升奠定了良好的基础，公司坚持国际化布局，打造全球技术中心和产业基地，力争在2025年成为</t>
    </r>
    <r>
      <rPr>
        <sz val="9"/>
        <color rgb="FFFF0000"/>
        <rFont val="宋体"/>
        <family val="3"/>
        <charset val="134"/>
        <scheme val="minor"/>
      </rPr>
      <t>全球前三的动力电池企业</t>
    </r>
    <r>
      <rPr>
        <sz val="9"/>
        <color theme="1"/>
        <rFont val="宋体"/>
        <family val="3"/>
        <charset val="134"/>
        <scheme val="minor"/>
      </rPr>
      <t>。</t>
    </r>
    <phoneticPr fontId="1" type="noConversion"/>
  </si>
  <si>
    <t>1727.03万</t>
  </si>
  <si>
    <t>618.77亿</t>
  </si>
  <si>
    <t>255.38亿</t>
  </si>
  <si>
    <t>217.78亿</t>
  </si>
  <si>
    <t>230.52亿</t>
  </si>
  <si>
    <t>214.36亿</t>
  </si>
  <si>
    <t>180.78亿</t>
  </si>
  <si>
    <t>11.78亿</t>
  </si>
  <si>
    <t>12.04亿</t>
  </si>
  <si>
    <t>68998470亿</t>
  </si>
  <si>
    <t>1109.64万</t>
  </si>
  <si>
    <t>50764648亿</t>
  </si>
  <si>
    <t>143.55亿</t>
  </si>
  <si>
    <t>12844054100亿</t>
  </si>
  <si>
    <t>102.60万</t>
  </si>
  <si>
    <t>43734910000亿</t>
  </si>
  <si>
    <t>151.35亿</t>
  </si>
  <si>
    <t>124.63亿</t>
  </si>
  <si>
    <t>93.95亿</t>
  </si>
  <si>
    <t>139.60亿</t>
  </si>
  <si>
    <t>402.95亿</t>
  </si>
  <si>
    <t>170.59亿</t>
  </si>
  <si>
    <t>2.09亿</t>
  </si>
  <si>
    <t>-86.53亿</t>
  </si>
  <si>
    <t>91.57亿</t>
  </si>
  <si>
    <t>103.56亿</t>
  </si>
  <si>
    <t>67.24亿</t>
  </si>
  <si>
    <t>49.59亿</t>
  </si>
  <si>
    <t>51.27亿</t>
  </si>
  <si>
    <t>48.38亿</t>
  </si>
  <si>
    <t>5125.38万</t>
  </si>
  <si>
    <t>5.80亿</t>
  </si>
  <si>
    <t>8.38亿</t>
  </si>
  <si>
    <t>152.39亿</t>
  </si>
  <si>
    <t>144.26亿</t>
  </si>
  <si>
    <t>86.38亿</t>
  </si>
  <si>
    <t>6457.97万</t>
  </si>
  <si>
    <t>-2-0</t>
  </si>
  <si>
    <t>公司主营业务为动力锂电池和输配电设备两大业务板块。主要产品为动力锂电池产品、输配电产品等。公司系国内最早从事新能源汽车动力锂离子电池自主研发、生产和销售的企业之一；
市值827亿，利润1.02亿，pe960，pb4.41；毛利25%，净利1.3%；2021营收增54%，利润增-32%；2022Q1营收增203%,利润增-33%；过往5年营收增19%，利润增4%；
2021：
动力锂电池产品 97.65亿 94.29% 90.62% 17.88%
输配电产品 4.58亿 4.43% 3.09% 12.98%
其他业务 1.33亿 1.28% 6.29% 91.44%</t>
  </si>
  <si>
    <t>2905.64万</t>
  </si>
  <si>
    <t>155.79亿</t>
  </si>
  <si>
    <t>129.03亿</t>
  </si>
  <si>
    <t>85.93亿</t>
  </si>
  <si>
    <t>106.83亿</t>
  </si>
  <si>
    <t>6.80亿</t>
  </si>
  <si>
    <t>82.31亿</t>
  </si>
  <si>
    <t>70.88亿</t>
  </si>
  <si>
    <t>9540.51万</t>
  </si>
  <si>
    <t>5195.48万</t>
  </si>
  <si>
    <t>663152560亿</t>
  </si>
  <si>
    <t>2740.54万</t>
  </si>
  <si>
    <t>288765460亿</t>
  </si>
  <si>
    <t>42.60亿</t>
  </si>
  <si>
    <t>2500388400亿</t>
  </si>
  <si>
    <t>9239618400亿</t>
  </si>
  <si>
    <t>20.23亿</t>
  </si>
  <si>
    <t>30.56亿</t>
  </si>
  <si>
    <t>3184.58万</t>
  </si>
  <si>
    <t>5.89亿</t>
  </si>
  <si>
    <t>67.92亿</t>
  </si>
  <si>
    <t>56.94亿</t>
  </si>
  <si>
    <t>14.01亿</t>
  </si>
  <si>
    <t>-9665.52万</t>
  </si>
  <si>
    <t>-7.84亿</t>
  </si>
  <si>
    <t>113.28亿</t>
  </si>
  <si>
    <t>113.95亿</t>
  </si>
  <si>
    <t>108.99亿</t>
  </si>
  <si>
    <t>81.63亿</t>
  </si>
  <si>
    <t>8.24亿</t>
  </si>
  <si>
    <t>3.32亿</t>
  </si>
  <si>
    <t>747.97万</t>
  </si>
  <si>
    <t>56.27亿</t>
  </si>
  <si>
    <t>78.97亿</t>
  </si>
  <si>
    <t>50.30亿</t>
  </si>
  <si>
    <t>8.01亿</t>
  </si>
  <si>
    <t>3.87亿</t>
  </si>
  <si>
    <t>10派1.9元(含税)</t>
  </si>
  <si>
    <t>热力</t>
  </si>
  <si>
    <t>8168.56万</t>
  </si>
  <si>
    <t>5.17亿</t>
  </si>
  <si>
    <t xml:space="preserve">
市值156.48849亿, 利润6.80亿; PE16.54; 平均PE27.53; 平均PEG.07, PB1.46; ROIC5.61%; ROE11.4933%; 股利率1.971%; 毛利21.7633%; 净利11.55%; 上一年度营收增-5.69%, 利润增-32.87%; 当季营收增3.45%, 利润增-54.18%; 过往5年营收增384.55%, 利润增888.87%
Income profile:
</t>
  </si>
  <si>
    <t>758.09万</t>
  </si>
  <si>
    <t>192.56亿</t>
  </si>
  <si>
    <t>105.79亿</t>
  </si>
  <si>
    <t>112.32亿</t>
  </si>
  <si>
    <t>115.88亿</t>
  </si>
  <si>
    <t>-9.27亿</t>
  </si>
  <si>
    <t>122.76亿</t>
  </si>
  <si>
    <t>108.48亿</t>
  </si>
  <si>
    <t>4.04亿</t>
  </si>
  <si>
    <t>2.74亿</t>
  </si>
  <si>
    <t>-337459980亿</t>
  </si>
  <si>
    <t>688.72万</t>
  </si>
  <si>
    <t>-1481129900亿</t>
  </si>
  <si>
    <t>107.36亿</t>
  </si>
  <si>
    <t>2807737200亿</t>
  </si>
  <si>
    <t>19449326000亿</t>
  </si>
  <si>
    <t>1.69亿</t>
  </si>
  <si>
    <t>19.01亿</t>
  </si>
  <si>
    <t>55.21亿</t>
  </si>
  <si>
    <t>35.71亿</t>
  </si>
  <si>
    <t>148.63亿</t>
  </si>
  <si>
    <t>14.44亿</t>
  </si>
  <si>
    <t>3.42亿</t>
  </si>
  <si>
    <t>-10.47亿</t>
  </si>
  <si>
    <t>12.39亿</t>
  </si>
  <si>
    <t>35.00亿</t>
  </si>
  <si>
    <t>11.20亿</t>
  </si>
  <si>
    <t>24.50亿</t>
  </si>
  <si>
    <t>22.76亿</t>
  </si>
  <si>
    <t>13.39亿</t>
  </si>
  <si>
    <t>-9.53亿</t>
  </si>
  <si>
    <t>-3.31亿</t>
  </si>
  <si>
    <t>-7821.48万</t>
  </si>
  <si>
    <t>1826.13万</t>
  </si>
  <si>
    <t>69.85亿</t>
  </si>
  <si>
    <t>86.30亿</t>
  </si>
  <si>
    <t>52.23亿</t>
  </si>
  <si>
    <t>-7.97亿</t>
  </si>
  <si>
    <t>-2.78亿</t>
  </si>
  <si>
    <t>-1.59亿</t>
  </si>
  <si>
    <t>5495.50万</t>
  </si>
  <si>
    <t>3.15亿</t>
  </si>
  <si>
    <t>-2-1</t>
  </si>
  <si>
    <t xml:space="preserve">
市值141.51963亿, 利润-9.27亿; PE; 平均PE-39.68; 平均PEG-0.42, PB1.36; ROIC0%; ROE-5.6067%; 股利率0%; 毛利4.9733%; 净利-22.73%; 上一年度营收增231.09%, 利润增2.73%; 当季营收增24.66%, 利润增-543.85%; 过往5年营收增93.38%, 利润增-159.74%
Income profile:
</t>
  </si>
  <si>
    <r>
      <t>1.问：公司目前产品情况？答：公司产品实现了Wh级到MWh级无缝覆盖，并可</t>
    </r>
    <r>
      <rPr>
        <sz val="9"/>
        <color rgb="FFFF0000"/>
        <rFont val="宋体"/>
        <family val="3"/>
        <charset val="134"/>
        <scheme val="minor"/>
      </rPr>
      <t>通过集装箱系统扩展至百MWh</t>
    </r>
    <r>
      <rPr>
        <sz val="9"/>
        <color theme="1"/>
        <rFont val="宋体"/>
        <family val="2"/>
        <charset val="134"/>
        <scheme val="minor"/>
      </rPr>
      <t>，能够覆盖从家庭到工商业再到电网、大型新能源发电站等各种场景，为用户提供全场景解决方案。主要产品通过国际IEC、欧盟CE、欧洲VDE、美国UL、澳洲CEC、日本JIS、联合国UN38.3等全球最主要的安全标准。2.问：公司能够在户用储能市场取得全球第二市占率的原因？与许多重量级玩家一起在储能领域竞争，公司长期的竞争力和壁垒？答：派能专注于储能市场，</t>
    </r>
    <r>
      <rPr>
        <sz val="9"/>
        <color rgb="FFFF0000"/>
        <rFont val="宋体"/>
        <family val="3"/>
        <charset val="134"/>
        <scheme val="minor"/>
      </rPr>
      <t>从电芯到BMS的整个系统都是自己做的</t>
    </r>
    <r>
      <rPr>
        <sz val="9"/>
        <color theme="1"/>
        <rFont val="宋体"/>
        <family val="2"/>
        <charset val="134"/>
        <scheme val="minor"/>
      </rPr>
      <t>，公司对产品的理解、在海外的品牌影响力等各方面构成了派能的优势。产品的打造需要多年的积累，公司能力也在持续进步，公司每年研发投入都有非常大幅的增长。</t>
    </r>
    <r>
      <rPr>
        <sz val="9"/>
        <color rgb="FFFF0000"/>
        <rFont val="宋体"/>
        <family val="3"/>
        <charset val="134"/>
        <scheme val="minor"/>
      </rPr>
      <t>公司是一个做产品的公司，核心能力是把产品做好、服务好客户</t>
    </r>
    <r>
      <rPr>
        <sz val="9"/>
        <color theme="1"/>
        <rFont val="宋体"/>
        <family val="2"/>
        <charset val="134"/>
        <scheme val="minor"/>
      </rPr>
      <t>。不管是什么公司，最终需要靠客户的体验评判。公司同时也具有一定的客户影响力、品牌影响力，基本上代表了中国储能企业的高水平。</t>
    </r>
    <r>
      <rPr>
        <sz val="9"/>
        <color theme="1"/>
        <rFont val="宋体"/>
        <family val="3"/>
        <charset val="134"/>
        <scheme val="minor"/>
      </rPr>
      <t>3.2022 年年底，公司推出大容量长寿命</t>
    </r>
    <r>
      <rPr>
        <sz val="9"/>
        <color rgb="FFFF0000"/>
        <rFont val="宋体"/>
        <family val="3"/>
        <charset val="134"/>
        <scheme val="minor"/>
      </rPr>
      <t>铝壳储能电池</t>
    </r>
    <r>
      <rPr>
        <sz val="9"/>
        <color theme="1"/>
        <rFont val="宋体"/>
        <family val="3"/>
        <charset val="134"/>
        <scheme val="minor"/>
      </rPr>
      <t>、</t>
    </r>
    <r>
      <rPr>
        <b/>
        <sz val="9"/>
        <color rgb="FFFF0000"/>
        <rFont val="宋体"/>
        <family val="3"/>
        <charset val="134"/>
        <scheme val="minor"/>
      </rPr>
      <t>钠离子电池</t>
    </r>
    <r>
      <rPr>
        <sz val="9"/>
        <color theme="1"/>
        <rFont val="宋体"/>
        <family val="3"/>
        <charset val="134"/>
        <scheme val="minor"/>
      </rPr>
      <t>及高能量密度储能系统并成功实现商用</t>
    </r>
    <phoneticPr fontId="1" type="noConversion"/>
  </si>
  <si>
    <t>360.03万</t>
  </si>
  <si>
    <t>28.17亿</t>
  </si>
  <si>
    <t>96.74亿</t>
  </si>
  <si>
    <t>30.49亿</t>
  </si>
  <si>
    <t>60.13亿</t>
  </si>
  <si>
    <t>22.86亿</t>
  </si>
  <si>
    <t>19.55亿</t>
  </si>
  <si>
    <t>7032.53万</t>
  </si>
  <si>
    <t>8357.44万</t>
  </si>
  <si>
    <t>15536226亿</t>
  </si>
  <si>
    <t>34.95万</t>
  </si>
  <si>
    <t>620117630亿</t>
  </si>
  <si>
    <t>43.41亿</t>
  </si>
  <si>
    <t>1585389900亿</t>
  </si>
  <si>
    <t>679.02万</t>
  </si>
  <si>
    <t>9192480900亿</t>
  </si>
  <si>
    <t>5.82亿</t>
  </si>
  <si>
    <t>3.84亿</t>
  </si>
  <si>
    <t>17.38亿</t>
  </si>
  <si>
    <t>11.44亿</t>
  </si>
  <si>
    <t>-26.93亿</t>
  </si>
  <si>
    <t>47.20亿</t>
  </si>
  <si>
    <t>4.26亿</t>
  </si>
  <si>
    <t>1.44亿</t>
  </si>
  <si>
    <t>4545.93万</t>
  </si>
  <si>
    <t>-4412.50万</t>
  </si>
  <si>
    <t>25.57亿</t>
  </si>
  <si>
    <t>35.68亿</t>
  </si>
  <si>
    <t>18.54亿</t>
  </si>
  <si>
    <t>6.45亿</t>
  </si>
  <si>
    <t>2.64亿</t>
  </si>
  <si>
    <t>10派21.8元(含税)</t>
  </si>
  <si>
    <t>1997.23万</t>
  </si>
  <si>
    <t>公司的主营业务为于磷酸铁锂电芯、模组及储能电池系统的研发、生产和销售。公司主要产品是储能产品。
市值152.9881亿, 利润12.73亿; PE11.93; 平均PE45.71; 平均PEG0.38, PB1.6; ROIC10.74%; ROE21.3767%; 股利率2.5026%; 毛利37.16%; 净利22.3167%; 上一年度营收增191.47%, 利润增302.85%; 当季营收增-71.3%, 利润增-110.02%; 过往5年营收增120.53%, 利润增165.65%
Income profile:
（海外占比98.2%）
储能行业 59.27亿 98.57% 99.42% 34.11%
其他业务 5340.98万 0.89%
其他行业 3245.03万 0.54% 0.58% 36.30%</t>
  </si>
  <si>
    <r>
      <t>1.</t>
    </r>
    <r>
      <rPr>
        <b/>
        <sz val="9"/>
        <color rgb="FFFF0000"/>
        <rFont val="宋体"/>
        <family val="3"/>
        <charset val="134"/>
        <scheme val="minor"/>
      </rPr>
      <t>微型逆变器的应用市场主要是在境外</t>
    </r>
    <r>
      <rPr>
        <sz val="9"/>
        <color theme="1"/>
        <rFont val="宋体"/>
        <family val="2"/>
        <charset val="134"/>
        <scheme val="minor"/>
      </rPr>
      <t>。北美地区由于分布式光伏发电市场发展较早以及对直流高压风险强制性规定等因素的影响，占据了全球微型逆变器市场约 70%的份额。</t>
    </r>
    <phoneticPr fontId="1" type="noConversion"/>
  </si>
  <si>
    <t>1.境外收入占比97.58%</t>
    <phoneticPr fontId="1" type="noConversion"/>
  </si>
  <si>
    <t>195.73万</t>
  </si>
  <si>
    <t>15.33亿</t>
  </si>
  <si>
    <t>37.74亿</t>
  </si>
  <si>
    <t>9.69亿</t>
  </si>
  <si>
    <t>13.38亿</t>
  </si>
  <si>
    <t>3.61亿</t>
  </si>
  <si>
    <t>5.72亿</t>
  </si>
  <si>
    <t>9730.41万</t>
  </si>
  <si>
    <t>5963.09万</t>
  </si>
  <si>
    <t>4330.31万</t>
  </si>
  <si>
    <t>15790917亿</t>
  </si>
  <si>
    <t>5.98万</t>
  </si>
  <si>
    <t>155261020亿</t>
  </si>
  <si>
    <t>20.08亿</t>
  </si>
  <si>
    <t>300803150亿</t>
  </si>
  <si>
    <t>4781187500亿</t>
  </si>
  <si>
    <t>59.96万</t>
  </si>
  <si>
    <t>10.77亿</t>
  </si>
  <si>
    <t>6803.71万</t>
  </si>
  <si>
    <t>14.09亿</t>
  </si>
  <si>
    <t>4410.79万</t>
  </si>
  <si>
    <t>-9.32亿</t>
  </si>
  <si>
    <t>4.41亿</t>
  </si>
  <si>
    <t>8.65亿</t>
  </si>
  <si>
    <t>4.89亿</t>
  </si>
  <si>
    <t>2.36亿</t>
  </si>
  <si>
    <t>7681.35万</t>
  </si>
  <si>
    <t>2156.35万</t>
  </si>
  <si>
    <t>1262.95万</t>
  </si>
  <si>
    <t>6.58亿</t>
  </si>
  <si>
    <t>9.28亿</t>
  </si>
  <si>
    <t>4.97亿</t>
  </si>
  <si>
    <t>1.29亿</t>
  </si>
  <si>
    <t>10转4股派22元(含税)</t>
  </si>
  <si>
    <t>光伏设备</t>
  </si>
  <si>
    <t>1045.37万</t>
  </si>
  <si>
    <t>6246.02万</t>
  </si>
  <si>
    <t>公司专注于光伏发电新能源领域，主要从事分布式光伏发电系统中组件级电力电子设备的研发、生产及销售，主要产品包括微型逆变器、智控关断器、能量通信及监控分析系统等。微型逆变器市占率国内第一，全球第二；
市值80.864亿, 利润3.61亿; PE28.07; 平均PE70.32; 平均PEG1.24, PB2.18; ROIC28.51%; ROE22.85%; 股利率3.0471%; 毛利39.0767%; 净利16.89%; 上一年度营收增101.2%, 利润增250.49%; 当季营收增-27.84%, 利润增-62.6%; 过往5年营收增56.84%, 利润增152.88%
Income profile:
微型逆变器 5.12亿 76.98% 75.97% 36.87%
智控关断器 8748.38万 13.16% 7.28% 20.67%
能量通信器 5328.39万 8.01% 15.15% 70.65%
其他业务收入 592.34万 0.89% 0.16% 6.72%
光伏发电 375.79万 0.57% 1.00% 66.06%
其他 260.69万 0.39% 0.44% 42.29%</t>
  </si>
  <si>
    <t>264.73万</t>
  </si>
  <si>
    <t>7.66亿</t>
  </si>
  <si>
    <t>27.64亿</t>
  </si>
  <si>
    <t>12.35亿</t>
  </si>
  <si>
    <t>8.07亿</t>
  </si>
  <si>
    <t>5.46亿</t>
  </si>
  <si>
    <t>6002.93万</t>
  </si>
  <si>
    <t>7133.44万</t>
  </si>
  <si>
    <t>8202.79万</t>
  </si>
  <si>
    <t>2900123亿</t>
  </si>
  <si>
    <t>83.98万</t>
  </si>
  <si>
    <t>161233680亿</t>
  </si>
  <si>
    <t>1283848850亿</t>
  </si>
  <si>
    <t>2842.31万</t>
  </si>
  <si>
    <t>2079369900亿</t>
  </si>
  <si>
    <t>151.43万</t>
  </si>
  <si>
    <t>8189.21万</t>
  </si>
  <si>
    <t>3934.07万</t>
  </si>
  <si>
    <t>1.41亿</t>
  </si>
  <si>
    <t>-2.55亿</t>
  </si>
  <si>
    <t>-3363.86万</t>
  </si>
  <si>
    <t>11.41亿</t>
  </si>
  <si>
    <t>9.52亿</t>
  </si>
  <si>
    <t>2.29亿</t>
  </si>
  <si>
    <t>9010.53万</t>
  </si>
  <si>
    <t>5071.11万</t>
  </si>
  <si>
    <t>3814.82万</t>
  </si>
  <si>
    <t>8.09亿</t>
  </si>
  <si>
    <t>5.36亿</t>
  </si>
  <si>
    <t>6544.21万</t>
  </si>
  <si>
    <t>IT服务</t>
  </si>
  <si>
    <t>1043.60万</t>
  </si>
  <si>
    <t>7646.74万</t>
  </si>
  <si>
    <t>公司主营业务包括智能制造、智能电气两个板块；其中智能制造包括，软件系统与服务（增速29.77%）、数字孪生产线建设与服务（增速165.04%）、数字孪生测试台建设与服务（增速69.59%）三类；智能电气包括，电气传动、机械传动、自动化控制、数据采集等方面的技术优势，聚焦于工业电气领域的电能控制和电源系统，自主研发工业电气产品与系统、电源产品与系统两类
按产品分：
智能制造 7.77亿 81.58%（毛利39.62%，增速37.23%）
智能电气 1.75亿 18.42%（毛利41.09%）
其他业务 4.10万 0.0043%（毛利-9.63%）
按行业分：
国防军工 3.86亿 40.54%（毛利48.94%，增速85.52%）
高科技电子与5G 1.60亿 16.77%（毛利34.99%）
汽车及轨道交通 1.42亿 14.95%（毛利27.23%）
能源动力 1.12亿 11.74%（毛利44.42%）
装备制造 1.12亿 11.73%（毛利30.69%）
其他 3266.62万 3.43%（毛利25.23%）
基础设施 783.22万 0.82%（毛利51.17%）
其他业务 4.10万 0.0043%（毛利-9.63%）</t>
  </si>
  <si>
    <t>381.48万</t>
  </si>
  <si>
    <t>72.13亿</t>
  </si>
  <si>
    <t>87.16亿</t>
  </si>
  <si>
    <t>14101235000亿</t>
  </si>
  <si>
    <t>119.76亿</t>
  </si>
  <si>
    <t>9.35亿</t>
  </si>
  <si>
    <t>139.69亿</t>
  </si>
  <si>
    <t>133.74亿</t>
  </si>
  <si>
    <t>1550.44万</t>
  </si>
  <si>
    <t>1.75亿</t>
  </si>
  <si>
    <t>8240524亿</t>
  </si>
  <si>
    <t>375.17万</t>
  </si>
  <si>
    <t>72395395亿</t>
  </si>
  <si>
    <t>19.07亿</t>
  </si>
  <si>
    <t>1113212470亿</t>
  </si>
  <si>
    <t>3981.29万</t>
  </si>
  <si>
    <t>7494065300亿</t>
  </si>
  <si>
    <t>9.56亿</t>
  </si>
  <si>
    <t>15.57亿</t>
  </si>
  <si>
    <t>19.56亿</t>
  </si>
  <si>
    <t>15.07亿</t>
  </si>
  <si>
    <t>59.96亿</t>
  </si>
  <si>
    <t>9980.00万</t>
  </si>
  <si>
    <t>18.29亿</t>
  </si>
  <si>
    <t>-1887.53万</t>
  </si>
  <si>
    <t>75.45亿</t>
  </si>
  <si>
    <t>81.50亿</t>
  </si>
  <si>
    <t>88.12亿</t>
  </si>
  <si>
    <t>66.52亿</t>
  </si>
  <si>
    <t>42.38亿</t>
  </si>
  <si>
    <t>8.89亿</t>
  </si>
  <si>
    <t>7.62亿</t>
  </si>
  <si>
    <t>12.70亿</t>
  </si>
  <si>
    <t>6.79亿</t>
  </si>
  <si>
    <t>88.25亿</t>
  </si>
  <si>
    <t>79.19亿</t>
  </si>
  <si>
    <t>52.12亿</t>
  </si>
  <si>
    <t>1.74亿</t>
  </si>
  <si>
    <t>11.31亿</t>
  </si>
  <si>
    <t>10派3.5元(含税)</t>
  </si>
  <si>
    <t>焦炭加工</t>
  </si>
  <si>
    <t>1629.70万</t>
  </si>
  <si>
    <t xml:space="preserve">
市值81.233121亿, 利润9.35亿; PE127, PB0.959; ROIC11.02%; ROE13.07%; 股利率3.6842%; 毛利13.0167%; 净利7.7033%; 上一年度营收增58.73%, 利润增5.17%; 当季营收增94.91%, 利润增-58.66%; 过往5年营收增26.64%, 利润增26.11%
Income profile:
</t>
  </si>
  <si>
    <t>63.77亿</t>
  </si>
  <si>
    <t>71.16亿</t>
  </si>
  <si>
    <t>53.37亿</t>
  </si>
  <si>
    <t>86.48亿</t>
  </si>
  <si>
    <t>-8.04亿</t>
  </si>
  <si>
    <t>59.44亿</t>
  </si>
  <si>
    <t>52.56亿</t>
  </si>
  <si>
    <t>5641.73万</t>
  </si>
  <si>
    <t>2.24亿</t>
  </si>
  <si>
    <t>262438310亿</t>
  </si>
  <si>
    <t>1091.82万</t>
  </si>
  <si>
    <t>-613579520亿</t>
  </si>
  <si>
    <t>4.85亿</t>
  </si>
  <si>
    <t>1006286800亿</t>
  </si>
  <si>
    <t>6541784200亿</t>
  </si>
  <si>
    <t>6741.16万</t>
  </si>
  <si>
    <t>4.31亿</t>
  </si>
  <si>
    <t>4898.66万</t>
  </si>
  <si>
    <t>53.97亿</t>
  </si>
  <si>
    <t>8.46亿</t>
  </si>
  <si>
    <t>-6.87亿</t>
  </si>
  <si>
    <t>57.55亿</t>
  </si>
  <si>
    <t>71.33亿</t>
  </si>
  <si>
    <t>84.83亿</t>
  </si>
  <si>
    <t>153.81亿</t>
  </si>
  <si>
    <t>224.78亿</t>
  </si>
  <si>
    <t>8140.02万</t>
  </si>
  <si>
    <t>-13.80亿</t>
  </si>
  <si>
    <t>1.39亿</t>
  </si>
  <si>
    <t>5.06亿</t>
  </si>
  <si>
    <t>25.39亿</t>
  </si>
  <si>
    <t>37.12亿</t>
  </si>
  <si>
    <t>66.29亿</t>
  </si>
  <si>
    <t>48.06亿</t>
  </si>
  <si>
    <t>-1.67亿</t>
  </si>
  <si>
    <t>-2.72亿</t>
  </si>
  <si>
    <t>-1.48亿</t>
  </si>
  <si>
    <t>其他化学制品</t>
  </si>
  <si>
    <t>1.83亿</t>
  </si>
  <si>
    <t>8.99亿</t>
  </si>
  <si>
    <t>-3-1</t>
  </si>
  <si>
    <t xml:space="preserve">
市值58.508036亿, 利润-8.04亿; PE; 平均PE32.46; 平均PEG2.64, PB.868; ROIC.95%; ROE-5.5033%; 股利率0%; 毛利8.8367%; 净利-8.51%; 上一年度营收增50.27%, 利润增-1087.71%; 当季营收增-10.86%, 利润增-11.06%; 过往5年营收增-12.28%, 利润增-445.44%
Income profile:
</t>
  </si>
  <si>
    <t>1028.72万</t>
  </si>
  <si>
    <t>32.11亿</t>
  </si>
  <si>
    <t>9.73亿</t>
  </si>
  <si>
    <t>2.15亿</t>
  </si>
  <si>
    <t>4.87亿</t>
  </si>
  <si>
    <t>2.14亿</t>
  </si>
  <si>
    <t>9692.88万</t>
  </si>
  <si>
    <t>7581.73万</t>
  </si>
  <si>
    <t>6766.19万</t>
  </si>
  <si>
    <t>16117943亿</t>
  </si>
  <si>
    <t>11.38万</t>
  </si>
  <si>
    <t>123329032亿</t>
  </si>
  <si>
    <t>6.44亿</t>
  </si>
  <si>
    <t>423741800亿</t>
  </si>
  <si>
    <t>1364.49万</t>
  </si>
  <si>
    <t>1476744800亿</t>
  </si>
  <si>
    <t>1600.00万</t>
  </si>
  <si>
    <t>3.57亿</t>
  </si>
  <si>
    <t>1.14亿</t>
  </si>
  <si>
    <t>-4697.00万</t>
  </si>
  <si>
    <t>-1895.74万</t>
  </si>
  <si>
    <t>10.03亿</t>
  </si>
  <si>
    <t>9.94亿</t>
  </si>
  <si>
    <t>7105.02万</t>
  </si>
  <si>
    <t>2.34亿</t>
  </si>
  <si>
    <t>2.57亿</t>
  </si>
  <si>
    <t>3.40亿</t>
  </si>
  <si>
    <t>5.48亿</t>
  </si>
  <si>
    <t>3.17亿</t>
  </si>
  <si>
    <t>7057.88万</t>
  </si>
  <si>
    <t>1.23亿</t>
  </si>
  <si>
    <t>6954.26万</t>
  </si>
  <si>
    <t>软件开发</t>
  </si>
  <si>
    <t>3748.09万</t>
  </si>
  <si>
    <t>2.48亿</t>
  </si>
  <si>
    <t xml:space="preserve">
市值43.222869亿, 利润2.15亿; PE19.21; 平均PE18.96; 平均PEG5.4, PB1.35; ROIC3.3533%; ROE3.56%; 股利率0.4386%; 毛利61.0933%; 净利15.92%; 上一年度营收增-12.26%, 利润增202.6%; 当季营收增16.88%, 利润增18.33%; 过往5年营收增3.51%, 利润增24.3%
Income profile:
</t>
  </si>
  <si>
    <t>1008.06万</t>
  </si>
  <si>
    <t>18.37亿</t>
  </si>
  <si>
    <t>18.91亿</t>
  </si>
  <si>
    <t>3.30亿</t>
  </si>
  <si>
    <t>140.78万</t>
  </si>
  <si>
    <t>3786.64万</t>
  </si>
  <si>
    <t>797.26万</t>
  </si>
  <si>
    <t>424266亿</t>
  </si>
  <si>
    <t>32.78万</t>
  </si>
  <si>
    <t>179037890亿</t>
  </si>
  <si>
    <t>1.54亿</t>
  </si>
  <si>
    <t>204393380亿</t>
  </si>
  <si>
    <t>416494560亿</t>
  </si>
  <si>
    <t>2.88亿</t>
  </si>
  <si>
    <t>1.45亿</t>
  </si>
  <si>
    <t>5421.57万</t>
  </si>
  <si>
    <t>7.48亿</t>
  </si>
  <si>
    <t>9.80亿</t>
  </si>
  <si>
    <t>-3.53亿</t>
  </si>
  <si>
    <t>4656.71万</t>
  </si>
  <si>
    <t>4.45亿</t>
  </si>
  <si>
    <t>4.27亿</t>
  </si>
  <si>
    <t>8088.60万</t>
  </si>
  <si>
    <t>4211.80万</t>
  </si>
  <si>
    <t>6616.27万</t>
  </si>
  <si>
    <t>1.16亿</t>
  </si>
  <si>
    <t>5.19亿</t>
  </si>
  <si>
    <t>8025.46万</t>
  </si>
  <si>
    <t>新能源发电</t>
  </si>
  <si>
    <t>3927.24万</t>
  </si>
  <si>
    <t xml:space="preserve">
市值46.95亿, 利润1.92亿; PE21.69; 平均PE46.4; 平均PEG95.63, PB2.48; ROIC4.4267%; ROE4.7133%; 股利率1.278%; 毛利54.31%; 净利25.5233%; 上一年度营收增46.07%, 利润增74.55%; 当季营收增-5.78%, 利润增-4.98%; 过往5年营收增.49%, 利润增24.66%
Income profile:
</t>
  </si>
  <si>
    <t>1152.97万</t>
  </si>
  <si>
    <t>13.08亿</t>
  </si>
  <si>
    <t>13.96亿</t>
  </si>
  <si>
    <t>21.36亿</t>
  </si>
  <si>
    <t>5366.67万</t>
  </si>
  <si>
    <t>10.75亿</t>
  </si>
  <si>
    <t>7021.73万</t>
  </si>
  <si>
    <t>5772.61万</t>
  </si>
  <si>
    <t>955603亿</t>
  </si>
  <si>
    <t>88.81万</t>
  </si>
  <si>
    <t>38124259亿</t>
  </si>
  <si>
    <t>531614480亿</t>
  </si>
  <si>
    <t>55.72万</t>
  </si>
  <si>
    <t>1733245700亿</t>
  </si>
  <si>
    <t>3.50亿</t>
  </si>
  <si>
    <t>6063.34万</t>
  </si>
  <si>
    <t>7965.50万</t>
  </si>
  <si>
    <t>-9916.23万</t>
  </si>
  <si>
    <t>745.09万</t>
  </si>
  <si>
    <t>14.97亿</t>
  </si>
  <si>
    <t>18.53亿</t>
  </si>
  <si>
    <t>19.09亿</t>
  </si>
  <si>
    <t>8568.43万</t>
  </si>
  <si>
    <t>2516.91万</t>
  </si>
  <si>
    <t>3012.30万</t>
  </si>
  <si>
    <t>16.63亿</t>
  </si>
  <si>
    <t>4441.40万</t>
  </si>
  <si>
    <t>5197.77万</t>
  </si>
  <si>
    <t>4041.91万</t>
  </si>
  <si>
    <t>10派0.9元(含税)</t>
  </si>
  <si>
    <t>4046.10万</t>
  </si>
  <si>
    <t>9988.62万</t>
  </si>
  <si>
    <t xml:space="preserve">
市值18.037698亿, 利润5366.67万; PE37.68; 平均PE24.07; 平均PEG6.07, PB1.4; ROIC3.2267%; ROE3.9533%; 股利率1.049%; 毛利18.3267%; 净利3.39%; 上一年度营收增2.45%, 利润增-37.37%; 当季营收增-23.08%, 利润增-84.69%; 过往5年营收增3.97%, 利润增18.78%
Income profile:
</t>
  </si>
  <si>
    <t>1024.79万</t>
  </si>
  <si>
    <t>26.24亿</t>
  </si>
  <si>
    <t>15.46亿</t>
  </si>
  <si>
    <t>32.25亿</t>
  </si>
  <si>
    <t>40.35亿</t>
  </si>
  <si>
    <t>-9.16亿</t>
  </si>
  <si>
    <t>25.87亿</t>
  </si>
  <si>
    <t>6523.23万</t>
  </si>
  <si>
    <t>3.59亿</t>
  </si>
  <si>
    <t>-734842亿</t>
  </si>
  <si>
    <t>7.84万</t>
  </si>
  <si>
    <t>3553049亿</t>
  </si>
  <si>
    <t>4.35亿</t>
  </si>
  <si>
    <t>658268730亿</t>
  </si>
  <si>
    <t>5883.76万</t>
  </si>
  <si>
    <t>2192371100亿</t>
  </si>
  <si>
    <t>2.75亿</t>
  </si>
  <si>
    <t>9648.99万</t>
  </si>
  <si>
    <t>6.94亿</t>
  </si>
  <si>
    <t>15.63亿</t>
  </si>
  <si>
    <t>4.66亿</t>
  </si>
  <si>
    <t>-1.32亿</t>
  </si>
  <si>
    <t>-8998.91万</t>
  </si>
  <si>
    <t>36.64亿</t>
  </si>
  <si>
    <t>33.86亿</t>
  </si>
  <si>
    <t>38.61亿</t>
  </si>
  <si>
    <t>38.21亿</t>
  </si>
  <si>
    <t>25.41亿</t>
  </si>
  <si>
    <t>2356.15万</t>
  </si>
  <si>
    <t>-4.23亿</t>
  </si>
  <si>
    <t>5989.17万</t>
  </si>
  <si>
    <t>21.63亿</t>
  </si>
  <si>
    <t>29.19亿</t>
  </si>
  <si>
    <t>590.58万</t>
  </si>
  <si>
    <t>-4141.23万</t>
  </si>
  <si>
    <t>-2826.48万</t>
  </si>
  <si>
    <t>3653.44万</t>
  </si>
  <si>
    <t xml:space="preserve">
市值23.998018亿, 利润-9.16亿; PE; 平均PE-14.54; 平均PEG-1.27, PB1.61; ROIC2.82%; ROE-6.7567%; 股利率0%; 毛利21.0333%; 净利-3.8233%; 上一年度营收增10.13%, 利润增-3987.7%; 当季营收增4.94%, 利润增138.39%; 过往5年营收增11.49%, 利润增-948.28%
Income profile:
</t>
  </si>
  <si>
    <t>1.公司是中国最大的碳纳米管生产企业之一，在碳纳米管及其相关复合材料领域处于行业领先水平。2.硅基负极的导电性能比天然石墨和人造石墨等石墨类负极材料要差，因此需要添加高性能导电剂来提升其导电性能。</t>
    <phoneticPr fontId="1" type="noConversion"/>
  </si>
  <si>
    <t>2728.10万</t>
  </si>
  <si>
    <t>7030.16万</t>
  </si>
  <si>
    <t>公司的主营业务是为客户提供包括产品设计研发、材料选型验证、模具设计、试制、测试、量产等一系列服务。公司主要产品为消费电子精密功能件和结构件，产品主要应用于平板电脑、笔记本电脑、一体机电脑、智能家居、3D打印、无人机等消费电子产品领域。
市值23.101705亿, 利润8583.98万; PE; 平均PE36.42; 平均PEG1.51, PB1.7; ROIC18.73%; ROE10.395%; 股利率1.25%; 毛利25.41%; 净利4.4333%; 上一年度营收增3.3%, 利润增-9.91%; 当季营收增-45.07%, 利润增-116.37%; 过往5年营收增24.19%, 利润增776.37%
Income profile:
精密功能件及结构件 3.08亿 94.30% 5935.76万 94.58% 19.27%
其他业务 987.24万 3.02% 447.54万 7.13% 45.33%
碳纳米管 876.26万 2.68% -107.34万 -1.71% -12.25%</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</si>
</sst>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sz val="9"/>
      <color rgb="FF000000"/>
      <name val="宋体"/>
      <family val="3"/>
      <charset val="134"/>
    </font>
    <font>
      <sz val="5"/>
      <color rgb="FF0000FF"/>
      <name val="Calibri"/>
      <family val="2"/>
    </font>
    <font>
      <b/>
      <sz val="10.5"/>
      <color rgb="FF000000"/>
      <name val="宋体"/>
      <family val="3"/>
      <charset val="134"/>
    </font>
    <font>
      <b/>
      <sz val="9"/>
      <color rgb="FF000000"/>
      <name val="宋体"/>
      <family val="3"/>
      <charset val="134"/>
    </font>
    <font>
      <sz val="9"/>
      <color theme="1"/>
      <name val="宋体"/>
      <family val="2"/>
      <charset val="134"/>
      <scheme val="minor"/>
    </font>
    <font>
      <sz val="9"/>
      <color theme="1"/>
      <name val="宋体"/>
      <family val="3"/>
      <charset val="134"/>
      <scheme val="minor"/>
    </font>
    <font>
      <sz val="9"/>
      <color rgb="FFFF0000"/>
      <name val="宋体"/>
      <family val="3"/>
      <charset val="134"/>
      <scheme val="minor"/>
    </font>
    <font>
      <b/>
      <sz val="9"/>
      <color rgb="FFFF0000"/>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40">
    <xf numFmtId="0" fontId="0" fillId="0" borderId="0" xfId="0">
      <alignment vertical="center"/>
    </xf>
    <xf numFmtId="0" fontId="0" fillId="0" borderId="0" xfId="0" applyFill="1">
      <alignment vertical="center"/>
    </xf>
    <xf numFmtId="0" fontId="0" fillId="2" borderId="0" xfId="0" applyFill="1">
      <alignment vertical="center"/>
    </xf>
    <xf numFmtId="9"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vertical="center" wrapText="1"/>
    </xf>
    <xf numFmtId="0" fontId="7"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7"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6"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14" fontId="5" fillId="0" borderId="0" xfId="2" applyNumberFormat="1" applyBorder="1" applyAlignment="1">
      <alignment vertical="center" wrapText="1"/>
    </xf>
    <xf numFmtId="0" fontId="0" fillId="0" borderId="0" xfId="0" applyAlignment="1">
      <alignment vertical="center" wrapText="1"/>
    </xf>
    <xf numFmtId="0" fontId="9" fillId="0" borderId="4" xfId="0" applyFont="1" applyBorder="1" applyAlignment="1">
      <alignment vertical="center" wrapText="1"/>
    </xf>
    <xf numFmtId="0" fontId="10" fillId="0" borderId="4" xfId="0" applyFont="1" applyBorder="1" applyAlignment="1">
      <alignment horizontal="justify"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9" fillId="0" borderId="5" xfId="0" applyFont="1" applyBorder="1" applyAlignment="1">
      <alignment vertical="center" wrapText="1"/>
    </xf>
    <xf numFmtId="0" fontId="0" fillId="0" borderId="0" xfId="0" applyAlignment="1">
      <alignment horizontal="center" vertical="center" wrapText="1"/>
    </xf>
    <xf numFmtId="0" fontId="13" fillId="0" borderId="0" xfId="0" applyFont="1" applyAlignment="1">
      <alignment vertical="center" wrapText="1"/>
    </xf>
    <xf numFmtId="10" fontId="0" fillId="0" borderId="0" xfId="0" applyNumberForma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3" fillId="0" borderId="0" xfId="0" applyFont="1">
      <alignment vertical="center"/>
    </xf>
    <xf numFmtId="14" fontId="0" fillId="0" borderId="0" xfId="0" applyNumberFormat="1">
      <alignment vertical="center"/>
    </xf>
    <xf numFmtId="0" fontId="0" fillId="0" borderId="0" xfId="0" applyNumberFormat="1">
      <alignment vertical="center"/>
    </xf>
    <xf numFmtId="0" fontId="14" fillId="0" borderId="0" xfId="0" applyFont="1" applyAlignment="1">
      <alignment vertical="center" wrapText="1"/>
    </xf>
    <xf numFmtId="0" fontId="13" fillId="0" borderId="0" xfId="0" applyFont="1">
      <alignment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3</xdr:col>
      <xdr:colOff>304800</xdr:colOff>
      <xdr:row>3</xdr:row>
      <xdr:rowOff>176213</xdr:rowOff>
    </xdr:to>
    <xdr:sp macro="" textlink="">
      <xdr:nvSpPr>
        <xdr:cNvPr id="66561" name="AutoShape 1" descr="https://wx.qq.com/cgi-bin/mmwebwx-bin/webwxgetmsgimg?&amp;MsgID=5904078036513070907&amp;skey=%40crypt_21750da1_57f4d462527662108363289da73244d4"/>
        <xdr:cNvSpPr>
          <a:spLocks noChangeAspect="1" noChangeArrowheads="1"/>
        </xdr:cNvSpPr>
      </xdr:nvSpPr>
      <xdr:spPr bwMode="auto">
        <a:xfrm>
          <a:off x="6216650" y="127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xdr:row>
      <xdr:rowOff>0</xdr:rowOff>
    </xdr:from>
    <xdr:to>
      <xdr:col>3</xdr:col>
      <xdr:colOff>304800</xdr:colOff>
      <xdr:row>3</xdr:row>
      <xdr:rowOff>176213</xdr:rowOff>
    </xdr:to>
    <xdr:sp macro="" textlink="">
      <xdr:nvSpPr>
        <xdr:cNvPr id="66565" name="AutoShape 5" descr="https://wx.qq.com/cgi-bin/mmwebwx-bin/webwxgetmsgimg?&amp;MsgID=5904078036513070907&amp;skey=%40crypt_21750da1_57f4d462527662108363289da73244d4"/>
        <xdr:cNvSpPr>
          <a:spLocks noChangeAspect="1" noChangeArrowheads="1"/>
        </xdr:cNvSpPr>
      </xdr:nvSpPr>
      <xdr:spPr bwMode="auto">
        <a:xfrm>
          <a:off x="6216650" y="127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261938</xdr:rowOff>
        </xdr:from>
        <xdr:to>
          <xdr:col>1</xdr:col>
          <xdr:colOff>1090613</xdr:colOff>
          <xdr:row>1</xdr:row>
          <xdr:rowOff>709613</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261938</xdr:rowOff>
        </xdr:from>
        <xdr:to>
          <xdr:col>1</xdr:col>
          <xdr:colOff>1090613</xdr:colOff>
          <xdr:row>1</xdr:row>
          <xdr:rowOff>709613</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261938</xdr:rowOff>
        </xdr:from>
        <xdr:to>
          <xdr:col>1</xdr:col>
          <xdr:colOff>1090613</xdr:colOff>
          <xdr:row>1</xdr:row>
          <xdr:rowOff>709613</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261938</xdr:rowOff>
        </xdr:from>
        <xdr:to>
          <xdr:col>1</xdr:col>
          <xdr:colOff>1090613</xdr:colOff>
          <xdr:row>1</xdr:row>
          <xdr:rowOff>709613</xdr:rowOff>
        </xdr:to>
        <xdr:sp macro="" textlink="">
          <xdr:nvSpPr>
            <xdr:cNvPr id="68609" name="Button 1" hidden="1">
              <a:extLst>
                <a:ext uri="{63B3BB69-23CF-44E3-9099-C40C66FF867C}">
                  <a14:compatExt spid="_x0000_s68609"/>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261938</xdr:rowOff>
        </xdr:from>
        <xdr:to>
          <xdr:col>1</xdr:col>
          <xdr:colOff>1090613</xdr:colOff>
          <xdr:row>1</xdr:row>
          <xdr:rowOff>709613</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261938</xdr:rowOff>
        </xdr:from>
        <xdr:to>
          <xdr:col>1</xdr:col>
          <xdr:colOff>1090613</xdr:colOff>
          <xdr:row>1</xdr:row>
          <xdr:rowOff>709613</xdr:rowOff>
        </xdr:to>
        <xdr:sp macro="" textlink="">
          <xdr:nvSpPr>
            <xdr:cNvPr id="62465" name="Button 1" hidden="1">
              <a:extLst>
                <a:ext uri="{63B3BB69-23CF-44E3-9099-C40C66FF867C}">
                  <a14:compatExt spid="_x0000_s6246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261938</xdr:rowOff>
        </xdr:from>
        <xdr:to>
          <xdr:col>1</xdr:col>
          <xdr:colOff>1090613</xdr:colOff>
          <xdr:row>1</xdr:row>
          <xdr:rowOff>709613</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261938</xdr:rowOff>
        </xdr:from>
        <xdr:to>
          <xdr:col>1</xdr:col>
          <xdr:colOff>1090613</xdr:colOff>
          <xdr:row>1</xdr:row>
          <xdr:rowOff>709613</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52388</xdr:colOff>
          <xdr:row>37</xdr:row>
          <xdr:rowOff>52388</xdr:rowOff>
        </xdr:from>
        <xdr:to>
          <xdr:col>15</xdr:col>
          <xdr:colOff>547688</xdr:colOff>
          <xdr:row>59</xdr:row>
          <xdr:rowOff>90488</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100013</xdr:colOff>
          <xdr:row>1</xdr:row>
          <xdr:rowOff>38100</xdr:rowOff>
        </xdr:from>
        <xdr:to>
          <xdr:col>25</xdr:col>
          <xdr:colOff>461963</xdr:colOff>
          <xdr:row>36</xdr:row>
          <xdr:rowOff>100013</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166688</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9.vml"/><Relationship Id="rId7" Type="http://schemas.openxmlformats.org/officeDocument/2006/relationships/image" Target="../media/image2.emf"/><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K12"/>
  <sheetViews>
    <sheetView workbookViewId="0">
      <selection activeCell="B12" sqref="B12"/>
    </sheetView>
  </sheetViews>
  <sheetFormatPr defaultRowHeight="13.5" x14ac:dyDescent="0.3"/>
  <cols>
    <col min="1" max="1" width="14.9296875" style="23" customWidth="1"/>
    <col min="2" max="2" width="39.19921875" customWidth="1"/>
    <col min="3" max="3" width="34.9296875" customWidth="1"/>
    <col min="4" max="4" width="41.796875" customWidth="1"/>
  </cols>
  <sheetData>
    <row r="1" spans="1:141" s="14" customFormat="1" x14ac:dyDescent="0.3">
      <c r="A1" s="15" t="s">
        <v>47</v>
      </c>
      <c r="B1" s="18" t="s">
        <v>126</v>
      </c>
      <c r="C1" s="19" t="s">
        <v>127</v>
      </c>
      <c r="D1" s="18" t="s">
        <v>128</v>
      </c>
      <c r="E1" t="s">
        <v>2</v>
      </c>
      <c r="F1" t="s">
        <v>3</v>
      </c>
      <c r="G1" t="s">
        <v>0</v>
      </c>
      <c r="H1" t="s">
        <v>99</v>
      </c>
      <c r="I1" t="s">
        <v>129</v>
      </c>
      <c r="J1" t="s">
        <v>4</v>
      </c>
      <c r="K1" t="s">
        <v>5</v>
      </c>
      <c r="L1" t="s">
        <v>1</v>
      </c>
      <c r="M1" t="s">
        <v>6</v>
      </c>
      <c r="N1" t="s">
        <v>7</v>
      </c>
      <c r="O1" t="s">
        <v>8</v>
      </c>
      <c r="P1" t="s">
        <v>9</v>
      </c>
      <c r="Q1" t="s">
        <v>130</v>
      </c>
      <c r="R1" t="s">
        <v>100</v>
      </c>
      <c r="S1" t="s">
        <v>131</v>
      </c>
      <c r="T1" t="s">
        <v>10</v>
      </c>
      <c r="U1" t="s">
        <v>101</v>
      </c>
      <c r="V1" t="s">
        <v>102</v>
      </c>
      <c r="W1" t="s">
        <v>11</v>
      </c>
      <c r="X1" t="s">
        <v>69</v>
      </c>
      <c r="Y1" t="s">
        <v>70</v>
      </c>
      <c r="Z1" t="s">
        <v>71</v>
      </c>
      <c r="AA1" t="s">
        <v>72</v>
      </c>
      <c r="AB1" t="s">
        <v>73</v>
      </c>
      <c r="AC1" t="s">
        <v>103</v>
      </c>
      <c r="AD1" t="s">
        <v>74</v>
      </c>
      <c r="AE1" t="s">
        <v>132</v>
      </c>
      <c r="AF1" t="s">
        <v>12</v>
      </c>
      <c r="AG1" t="s">
        <v>13</v>
      </c>
      <c r="AH1" t="s">
        <v>104</v>
      </c>
      <c r="AI1" t="s">
        <v>133</v>
      </c>
      <c r="AJ1" t="s">
        <v>105</v>
      </c>
      <c r="AK1" t="s">
        <v>14</v>
      </c>
      <c r="AL1" t="s">
        <v>106</v>
      </c>
      <c r="AM1" t="s">
        <v>48</v>
      </c>
      <c r="AN1" t="s">
        <v>107</v>
      </c>
      <c r="AO1" t="s">
        <v>108</v>
      </c>
      <c r="AP1" t="s">
        <v>109</v>
      </c>
      <c r="AQ1" t="s">
        <v>110</v>
      </c>
      <c r="AR1" t="s">
        <v>111</v>
      </c>
      <c r="AS1" t="s">
        <v>112</v>
      </c>
      <c r="AT1" t="s">
        <v>113</v>
      </c>
      <c r="AU1" t="s">
        <v>114</v>
      </c>
      <c r="AV1" t="s">
        <v>115</v>
      </c>
      <c r="AW1" t="s">
        <v>116</v>
      </c>
      <c r="AX1" t="s">
        <v>117</v>
      </c>
      <c r="AY1" t="s">
        <v>134</v>
      </c>
      <c r="AZ1" t="s">
        <v>49</v>
      </c>
      <c r="BA1" t="s">
        <v>50</v>
      </c>
      <c r="BB1" t="s">
        <v>51</v>
      </c>
      <c r="BC1" t="s">
        <v>52</v>
      </c>
      <c r="BD1" t="s">
        <v>58</v>
      </c>
      <c r="BE1" t="s">
        <v>53</v>
      </c>
      <c r="BF1" t="s">
        <v>54</v>
      </c>
      <c r="BG1" t="s">
        <v>55</v>
      </c>
      <c r="BH1" t="s">
        <v>56</v>
      </c>
      <c r="BI1" t="s">
        <v>135</v>
      </c>
      <c r="BJ1" t="s">
        <v>118</v>
      </c>
      <c r="BK1" t="s">
        <v>57</v>
      </c>
      <c r="BL1" t="s">
        <v>119</v>
      </c>
      <c r="BM1" t="s">
        <v>120</v>
      </c>
      <c r="BN1" t="s">
        <v>121</v>
      </c>
      <c r="BO1" t="s">
        <v>122</v>
      </c>
      <c r="BP1" t="s">
        <v>59</v>
      </c>
      <c r="BQ1" t="s">
        <v>60</v>
      </c>
      <c r="BR1" t="s">
        <v>61</v>
      </c>
      <c r="BS1" t="s">
        <v>123</v>
      </c>
      <c r="BT1" t="s">
        <v>62</v>
      </c>
      <c r="BU1" t="s">
        <v>63</v>
      </c>
      <c r="BV1" t="s">
        <v>64</v>
      </c>
      <c r="BW1" t="s">
        <v>124</v>
      </c>
      <c r="BX1" t="s">
        <v>65</v>
      </c>
      <c r="BY1" t="s">
        <v>66</v>
      </c>
      <c r="BZ1" t="s">
        <v>125</v>
      </c>
      <c r="CA1" t="s">
        <v>67</v>
      </c>
      <c r="CB1" t="s">
        <v>68</v>
      </c>
      <c r="CC1" t="s">
        <v>136</v>
      </c>
      <c r="CD1" t="s">
        <v>137</v>
      </c>
      <c r="CE1" t="s">
        <v>138</v>
      </c>
      <c r="CF1" t="s">
        <v>139</v>
      </c>
      <c r="CG1" s="1" t="s">
        <v>75</v>
      </c>
      <c r="CH1" s="1" t="s">
        <v>76</v>
      </c>
      <c r="CI1" s="1" t="s">
        <v>77</v>
      </c>
      <c r="CJ1" s="1" t="s">
        <v>78</v>
      </c>
      <c r="CK1" s="1" t="s">
        <v>79</v>
      </c>
      <c r="CL1" s="1" t="s">
        <v>80</v>
      </c>
      <c r="CM1" s="1" t="s">
        <v>81</v>
      </c>
      <c r="CN1" s="1" t="s">
        <v>82</v>
      </c>
      <c r="CO1" s="1" t="s">
        <v>83</v>
      </c>
      <c r="CP1" s="1" t="s">
        <v>84</v>
      </c>
      <c r="CQ1" s="1" t="s">
        <v>85</v>
      </c>
      <c r="CR1" s="1" t="s">
        <v>86</v>
      </c>
      <c r="CS1" s="1" t="s">
        <v>140</v>
      </c>
      <c r="CT1" s="1" t="s">
        <v>141</v>
      </c>
      <c r="CU1" s="1" t="s">
        <v>142</v>
      </c>
      <c r="CV1" s="1" t="s">
        <v>87</v>
      </c>
      <c r="CW1" s="1" t="s">
        <v>143</v>
      </c>
      <c r="CX1" s="1" t="s">
        <v>28</v>
      </c>
      <c r="CY1">
        <v>1</v>
      </c>
      <c r="CZ1" t="s">
        <v>144</v>
      </c>
      <c r="DA1" t="s">
        <v>94</v>
      </c>
      <c r="DB1">
        <v>3</v>
      </c>
      <c r="DC1" t="s">
        <v>145</v>
      </c>
      <c r="DD1" t="s">
        <v>146</v>
      </c>
      <c r="DE1">
        <v>6</v>
      </c>
      <c r="DF1" t="s">
        <v>95</v>
      </c>
      <c r="DG1" t="s">
        <v>147</v>
      </c>
      <c r="DH1">
        <v>10</v>
      </c>
      <c r="DI1" t="s">
        <v>148</v>
      </c>
      <c r="DJ1" t="s">
        <v>96</v>
      </c>
      <c r="DK1">
        <v>20</v>
      </c>
      <c r="DL1" t="s">
        <v>149</v>
      </c>
      <c r="DM1" t="s">
        <v>88</v>
      </c>
      <c r="DN1" t="s">
        <v>89</v>
      </c>
      <c r="DO1" s="2" t="s">
        <v>90</v>
      </c>
      <c r="DP1" t="s">
        <v>150</v>
      </c>
      <c r="DQ1" t="s">
        <v>97</v>
      </c>
      <c r="DR1" s="1" t="s">
        <v>91</v>
      </c>
      <c r="DS1" s="1" t="s">
        <v>92</v>
      </c>
      <c r="DT1" s="1" t="s">
        <v>151</v>
      </c>
      <c r="DU1" t="s">
        <v>152</v>
      </c>
      <c r="DV1" t="s">
        <v>98</v>
      </c>
      <c r="DW1" t="s">
        <v>153</v>
      </c>
      <c r="DX1" t="s">
        <v>154</v>
      </c>
      <c r="DY1" t="s">
        <v>155</v>
      </c>
      <c r="DZ1" t="s">
        <v>156</v>
      </c>
      <c r="EA1" t="s">
        <v>157</v>
      </c>
      <c r="EB1" t="s">
        <v>93</v>
      </c>
      <c r="EC1" t="s">
        <v>158</v>
      </c>
      <c r="ED1" t="s">
        <v>159</v>
      </c>
      <c r="EE1" t="s">
        <v>160</v>
      </c>
      <c r="EF1" t="s">
        <v>161</v>
      </c>
      <c r="EG1" t="s">
        <v>162</v>
      </c>
      <c r="EH1" t="s">
        <v>163</v>
      </c>
      <c r="EI1" t="s">
        <v>164</v>
      </c>
      <c r="EJ1" t="s">
        <v>165</v>
      </c>
      <c r="EK1"/>
    </row>
    <row r="2" spans="1:141" s="14" customFormat="1" ht="71.55" customHeight="1" thickBot="1" x14ac:dyDescent="0.35">
      <c r="A2" s="22"/>
      <c r="B2" s="20"/>
      <c r="C2" s="21"/>
      <c r="D2" s="21"/>
      <c r="T2" s="16"/>
      <c r="U2" s="16"/>
      <c r="V2" s="16"/>
      <c r="AB2" s="17"/>
    </row>
    <row r="3" spans="1:141" ht="13.9" thickBot="1" x14ac:dyDescent="0.35">
      <c r="A3" s="26" t="s">
        <v>185</v>
      </c>
      <c r="B3" s="27" t="s">
        <v>166</v>
      </c>
      <c r="C3" s="27" t="s">
        <v>167</v>
      </c>
    </row>
    <row r="4" spans="1:141" ht="22.9" thickBot="1" x14ac:dyDescent="0.35">
      <c r="A4" s="24" t="s">
        <v>196</v>
      </c>
      <c r="B4" s="24" t="s">
        <v>203</v>
      </c>
      <c r="C4" s="25"/>
    </row>
    <row r="5" spans="1:141" ht="13.9" thickBot="1" x14ac:dyDescent="0.35">
      <c r="A5" s="24" t="s">
        <v>197</v>
      </c>
      <c r="B5" s="24" t="s">
        <v>195</v>
      </c>
      <c r="C5" s="25"/>
    </row>
    <row r="6" spans="1:141" ht="22.9" thickBot="1" x14ac:dyDescent="0.35">
      <c r="A6" s="24" t="s">
        <v>198</v>
      </c>
      <c r="B6" s="24" t="s">
        <v>208</v>
      </c>
      <c r="C6" s="25"/>
    </row>
    <row r="7" spans="1:141" ht="13.9" thickBot="1" x14ac:dyDescent="0.35">
      <c r="A7" s="24" t="s">
        <v>200</v>
      </c>
      <c r="B7" s="24" t="s">
        <v>211</v>
      </c>
      <c r="C7" s="25"/>
    </row>
    <row r="8" spans="1:141" ht="34.15" thickBot="1" x14ac:dyDescent="0.35">
      <c r="A8" s="24" t="s">
        <v>186</v>
      </c>
      <c r="B8" s="24" t="s">
        <v>199</v>
      </c>
      <c r="C8" s="25"/>
    </row>
    <row r="9" spans="1:141" ht="34.15" thickBot="1" x14ac:dyDescent="0.35">
      <c r="A9" s="24" t="s">
        <v>201</v>
      </c>
      <c r="B9" s="24" t="s">
        <v>230</v>
      </c>
      <c r="C9" s="25"/>
    </row>
    <row r="10" spans="1:141" ht="35.549999999999997" customHeight="1" thickBot="1" x14ac:dyDescent="0.35">
      <c r="A10" s="24" t="s">
        <v>193</v>
      </c>
      <c r="B10" s="24" t="s">
        <v>246</v>
      </c>
      <c r="C10" s="25"/>
    </row>
    <row r="11" spans="1:141" ht="35.549999999999997" customHeight="1" thickBot="1" x14ac:dyDescent="0.35">
      <c r="A11" s="28" t="s">
        <v>194</v>
      </c>
      <c r="B11" s="24" t="s">
        <v>252</v>
      </c>
      <c r="C11" s="25"/>
    </row>
    <row r="12" spans="1:141" ht="56.65" thickBot="1" x14ac:dyDescent="0.35">
      <c r="A12" s="24" t="s">
        <v>187</v>
      </c>
      <c r="B12" s="24" t="s">
        <v>202</v>
      </c>
      <c r="C12" s="25"/>
    </row>
  </sheetData>
  <phoneticPr fontId="1" type="noConversion"/>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7"/>
  <sheetViews>
    <sheetView workbookViewId="0">
      <selection activeCell="D7" sqref="D7"/>
    </sheetView>
  </sheetViews>
  <sheetFormatPr defaultRowHeight="13.5" x14ac:dyDescent="0.3"/>
  <cols>
    <col min="1" max="1" width="8.9296875" style="23"/>
    <col min="2" max="2" width="39.19921875" customWidth="1"/>
    <col min="3" max="3" width="34.9296875" customWidth="1"/>
    <col min="4" max="4" width="41.796875" customWidth="1"/>
  </cols>
  <sheetData>
    <row r="1" spans="1:147" s="14" customFormat="1" x14ac:dyDescent="0.3">
      <c r="A1" s="15" t="s">
        <v>47</v>
      </c>
      <c r="B1" s="18" t="s">
        <v>126</v>
      </c>
      <c r="C1" s="19" t="s">
        <v>127</v>
      </c>
      <c r="D1" s="18" t="s">
        <v>128</v>
      </c>
      <c r="E1" t="s">
        <v>2</v>
      </c>
      <c r="F1" t="s">
        <v>3</v>
      </c>
      <c r="G1" t="s">
        <v>0</v>
      </c>
      <c r="H1" t="s">
        <v>99</v>
      </c>
      <c r="I1" t="s">
        <v>129</v>
      </c>
      <c r="J1" t="s">
        <v>4</v>
      </c>
      <c r="K1" t="s">
        <v>5</v>
      </c>
      <c r="L1" t="s">
        <v>1</v>
      </c>
      <c r="M1" t="s">
        <v>6</v>
      </c>
      <c r="N1" t="s">
        <v>7</v>
      </c>
      <c r="O1" t="s">
        <v>8</v>
      </c>
      <c r="P1" t="s">
        <v>9</v>
      </c>
      <c r="Q1" t="s">
        <v>130</v>
      </c>
      <c r="R1" t="s">
        <v>100</v>
      </c>
      <c r="S1" t="s">
        <v>131</v>
      </c>
      <c r="T1" t="s">
        <v>10</v>
      </c>
      <c r="U1" t="s">
        <v>101</v>
      </c>
      <c r="V1" t="s">
        <v>102</v>
      </c>
      <c r="W1" t="s">
        <v>11</v>
      </c>
      <c r="X1" t="s">
        <v>69</v>
      </c>
      <c r="Y1" t="s">
        <v>70</v>
      </c>
      <c r="Z1" t="s">
        <v>71</v>
      </c>
      <c r="AA1" t="s">
        <v>72</v>
      </c>
      <c r="AB1" t="s">
        <v>73</v>
      </c>
      <c r="AC1" t="s">
        <v>103</v>
      </c>
      <c r="AD1" t="s">
        <v>74</v>
      </c>
      <c r="AE1" t="s">
        <v>132</v>
      </c>
      <c r="AF1" t="s">
        <v>12</v>
      </c>
      <c r="AG1" t="s">
        <v>13</v>
      </c>
      <c r="AH1" t="s">
        <v>104</v>
      </c>
      <c r="AI1" t="s">
        <v>133</v>
      </c>
      <c r="AJ1" t="s">
        <v>105</v>
      </c>
      <c r="AK1" t="s">
        <v>14</v>
      </c>
      <c r="AL1" t="s">
        <v>106</v>
      </c>
      <c r="AM1" t="s">
        <v>48</v>
      </c>
      <c r="AN1" t="s">
        <v>107</v>
      </c>
      <c r="AO1" t="s">
        <v>108</v>
      </c>
      <c r="AP1" t="s">
        <v>109</v>
      </c>
      <c r="AQ1" t="s">
        <v>110</v>
      </c>
      <c r="AR1" t="s">
        <v>111</v>
      </c>
      <c r="AS1" t="s">
        <v>112</v>
      </c>
      <c r="AT1" t="s">
        <v>113</v>
      </c>
      <c r="AU1" t="s">
        <v>114</v>
      </c>
      <c r="AV1" t="s">
        <v>115</v>
      </c>
      <c r="AW1" t="s">
        <v>116</v>
      </c>
      <c r="AX1" t="s">
        <v>117</v>
      </c>
      <c r="AY1" t="s">
        <v>134</v>
      </c>
      <c r="AZ1" t="s">
        <v>49</v>
      </c>
      <c r="BA1" t="s">
        <v>50</v>
      </c>
      <c r="BB1" t="s">
        <v>51</v>
      </c>
      <c r="BC1" t="s">
        <v>52</v>
      </c>
      <c r="BD1" t="s">
        <v>58</v>
      </c>
      <c r="BE1" t="s">
        <v>53</v>
      </c>
      <c r="BF1" t="s">
        <v>54</v>
      </c>
      <c r="BG1" t="s">
        <v>55</v>
      </c>
      <c r="BH1" t="s">
        <v>56</v>
      </c>
      <c r="BI1" t="s">
        <v>135</v>
      </c>
      <c r="BJ1" t="s">
        <v>118</v>
      </c>
      <c r="BK1" t="s">
        <v>57</v>
      </c>
      <c r="BL1" t="s">
        <v>119</v>
      </c>
      <c r="BM1" t="s">
        <v>120</v>
      </c>
      <c r="BN1" t="s">
        <v>121</v>
      </c>
      <c r="BO1" t="s">
        <v>122</v>
      </c>
      <c r="BP1" t="s">
        <v>59</v>
      </c>
      <c r="BQ1" t="s">
        <v>60</v>
      </c>
      <c r="BR1" t="s">
        <v>61</v>
      </c>
      <c r="BS1" t="s">
        <v>123</v>
      </c>
      <c r="BT1" t="s">
        <v>62</v>
      </c>
      <c r="BU1" t="s">
        <v>63</v>
      </c>
      <c r="BV1" t="s">
        <v>64</v>
      </c>
      <c r="BW1" t="s">
        <v>124</v>
      </c>
      <c r="BX1" t="s">
        <v>65</v>
      </c>
      <c r="BY1" t="s">
        <v>66</v>
      </c>
      <c r="BZ1" t="s">
        <v>125</v>
      </c>
      <c r="CA1" t="s">
        <v>67</v>
      </c>
      <c r="CB1" t="s">
        <v>68</v>
      </c>
      <c r="CC1" t="s">
        <v>136</v>
      </c>
      <c r="CD1" t="s">
        <v>137</v>
      </c>
      <c r="CE1" t="s">
        <v>138</v>
      </c>
      <c r="CF1" t="s">
        <v>139</v>
      </c>
      <c r="CG1" s="1" t="s">
        <v>75</v>
      </c>
      <c r="CH1" s="1" t="s">
        <v>76</v>
      </c>
      <c r="CI1" s="1" t="s">
        <v>77</v>
      </c>
      <c r="CJ1" s="1" t="s">
        <v>78</v>
      </c>
      <c r="CK1" s="1" t="s">
        <v>79</v>
      </c>
      <c r="CL1" s="1" t="s">
        <v>80</v>
      </c>
      <c r="CM1" s="1" t="s">
        <v>81</v>
      </c>
      <c r="CN1" s="1" t="s">
        <v>82</v>
      </c>
      <c r="CO1" s="1" t="s">
        <v>83</v>
      </c>
      <c r="CP1" s="1" t="s">
        <v>84</v>
      </c>
      <c r="CQ1" s="1" t="s">
        <v>85</v>
      </c>
      <c r="CR1" s="1" t="s">
        <v>86</v>
      </c>
      <c r="CS1" s="1" t="s">
        <v>140</v>
      </c>
      <c r="CT1" s="1" t="s">
        <v>141</v>
      </c>
      <c r="CU1" s="1" t="s">
        <v>142</v>
      </c>
      <c r="CV1" s="1" t="s">
        <v>87</v>
      </c>
      <c r="CW1" s="1" t="s">
        <v>143</v>
      </c>
      <c r="CX1" s="1" t="s">
        <v>28</v>
      </c>
      <c r="CY1">
        <v>1</v>
      </c>
      <c r="CZ1" t="s">
        <v>144</v>
      </c>
      <c r="DA1" t="s">
        <v>94</v>
      </c>
      <c r="DB1">
        <v>3</v>
      </c>
      <c r="DC1" t="s">
        <v>145</v>
      </c>
      <c r="DD1" t="s">
        <v>146</v>
      </c>
      <c r="DE1">
        <v>6</v>
      </c>
      <c r="DF1" t="s">
        <v>95</v>
      </c>
      <c r="DG1" t="s">
        <v>147</v>
      </c>
      <c r="DH1">
        <v>10</v>
      </c>
      <c r="DI1" t="s">
        <v>148</v>
      </c>
      <c r="DJ1" t="s">
        <v>96</v>
      </c>
      <c r="DK1">
        <v>20</v>
      </c>
      <c r="DL1" t="s">
        <v>149</v>
      </c>
      <c r="DM1" t="s">
        <v>88</v>
      </c>
      <c r="DN1" t="s">
        <v>89</v>
      </c>
      <c r="DO1" s="2" t="s">
        <v>90</v>
      </c>
      <c r="DP1" t="s">
        <v>150</v>
      </c>
      <c r="DQ1" t="s">
        <v>97</v>
      </c>
      <c r="DR1" s="1" t="s">
        <v>91</v>
      </c>
      <c r="DS1" s="1" t="s">
        <v>92</v>
      </c>
      <c r="DT1" s="1" t="s">
        <v>151</v>
      </c>
      <c r="DU1" t="s">
        <v>152</v>
      </c>
      <c r="DV1" t="s">
        <v>98</v>
      </c>
      <c r="DW1" t="s">
        <v>153</v>
      </c>
      <c r="DX1" t="s">
        <v>154</v>
      </c>
      <c r="DY1" t="s">
        <v>155</v>
      </c>
      <c r="DZ1" t="s">
        <v>156</v>
      </c>
      <c r="EA1" t="s">
        <v>157</v>
      </c>
      <c r="EB1" t="s">
        <v>93</v>
      </c>
      <c r="EC1" t="s">
        <v>158</v>
      </c>
      <c r="ED1" t="s">
        <v>159</v>
      </c>
      <c r="EE1" t="s">
        <v>160</v>
      </c>
      <c r="EF1" t="s">
        <v>161</v>
      </c>
      <c r="EG1" t="s">
        <v>162</v>
      </c>
      <c r="EH1" t="s">
        <v>163</v>
      </c>
      <c r="EI1" t="s">
        <v>164</v>
      </c>
      <c r="EJ1" t="s">
        <v>165</v>
      </c>
      <c r="EK1"/>
    </row>
    <row r="2" spans="1:147" s="14" customFormat="1" ht="71.55" customHeight="1" x14ac:dyDescent="0.3">
      <c r="A2" s="22"/>
      <c r="B2" s="20"/>
      <c r="C2" s="21">
        <v>3</v>
      </c>
      <c r="D2" s="21">
        <v>7</v>
      </c>
      <c r="T2" s="16"/>
      <c r="U2" s="16"/>
      <c r="V2" s="16"/>
      <c r="AB2" s="17"/>
    </row>
    <row r="3" spans="1:147" ht="180" x14ac:dyDescent="0.3">
      <c r="B3" s="30" t="s">
        <v>298</v>
      </c>
      <c r="C3" s="30" t="s">
        <v>299</v>
      </c>
      <c r="D3" s="30" t="s">
        <v>348</v>
      </c>
      <c r="E3" t="s">
        <v>169</v>
      </c>
      <c r="F3" t="s">
        <v>170</v>
      </c>
      <c r="G3">
        <v>31.8</v>
      </c>
      <c r="H3">
        <v>-0.87</v>
      </c>
      <c r="I3" t="s">
        <v>300</v>
      </c>
      <c r="J3">
        <v>54380760000</v>
      </c>
      <c r="K3">
        <v>13.89</v>
      </c>
      <c r="L3">
        <v>1.69</v>
      </c>
      <c r="M3" t="s">
        <v>168</v>
      </c>
      <c r="N3" t="s">
        <v>301</v>
      </c>
      <c r="O3" t="s">
        <v>302</v>
      </c>
      <c r="P3" t="s">
        <v>303</v>
      </c>
      <c r="Q3">
        <v>4.88</v>
      </c>
      <c r="R3" t="s">
        <v>304</v>
      </c>
      <c r="S3">
        <v>3013180600</v>
      </c>
      <c r="T3" s="31">
        <v>1.8E-3</v>
      </c>
      <c r="U3" t="s">
        <v>305</v>
      </c>
      <c r="V3">
        <v>1686333200</v>
      </c>
      <c r="W3">
        <v>1710085000</v>
      </c>
      <c r="X3">
        <v>3.01</v>
      </c>
      <c r="Y3">
        <v>0.42</v>
      </c>
      <c r="Z3">
        <v>7.92</v>
      </c>
      <c r="AA3" t="s">
        <v>306</v>
      </c>
      <c r="AB3" t="s">
        <v>307</v>
      </c>
      <c r="AC3" t="s">
        <v>308</v>
      </c>
      <c r="AD3" t="s">
        <v>309</v>
      </c>
      <c r="AE3" t="s">
        <v>310</v>
      </c>
      <c r="AF3">
        <v>1031292280</v>
      </c>
      <c r="AG3" t="s">
        <v>311</v>
      </c>
      <c r="AH3" t="s">
        <v>312</v>
      </c>
      <c r="AI3" t="s">
        <v>313</v>
      </c>
      <c r="AJ3" t="s">
        <v>314</v>
      </c>
      <c r="AK3" t="s">
        <v>315</v>
      </c>
      <c r="AL3" t="s">
        <v>316</v>
      </c>
      <c r="AM3" t="s">
        <v>317</v>
      </c>
      <c r="AN3" t="s">
        <v>316</v>
      </c>
      <c r="AO3" t="s">
        <v>318</v>
      </c>
      <c r="AP3" t="s">
        <v>319</v>
      </c>
      <c r="AQ3" t="s">
        <v>320</v>
      </c>
      <c r="AR3" t="s">
        <v>321</v>
      </c>
      <c r="AS3" t="s">
        <v>316</v>
      </c>
      <c r="AT3" t="s">
        <v>322</v>
      </c>
      <c r="AU3" t="s">
        <v>323</v>
      </c>
      <c r="AV3" t="s">
        <v>324</v>
      </c>
      <c r="AW3" t="s">
        <v>325</v>
      </c>
      <c r="AX3" t="s">
        <v>326</v>
      </c>
      <c r="AY3" t="s">
        <v>327</v>
      </c>
      <c r="AZ3" t="s">
        <v>328</v>
      </c>
      <c r="BA3" t="s">
        <v>329</v>
      </c>
      <c r="BB3" t="s">
        <v>330</v>
      </c>
      <c r="BC3" t="s">
        <v>331</v>
      </c>
      <c r="BD3" t="s">
        <v>332</v>
      </c>
      <c r="BE3" t="s">
        <v>333</v>
      </c>
      <c r="BF3" t="s">
        <v>334</v>
      </c>
      <c r="BG3" t="s">
        <v>335</v>
      </c>
      <c r="BH3" t="s">
        <v>336</v>
      </c>
      <c r="BI3" t="s">
        <v>337</v>
      </c>
      <c r="BJ3" t="s">
        <v>338</v>
      </c>
      <c r="BK3" t="s">
        <v>339</v>
      </c>
      <c r="BL3" t="s">
        <v>340</v>
      </c>
      <c r="BM3" t="s">
        <v>341</v>
      </c>
      <c r="BN3" t="s">
        <v>342</v>
      </c>
      <c r="BO3">
        <v>2.81</v>
      </c>
      <c r="BP3">
        <v>13.62</v>
      </c>
      <c r="BQ3">
        <v>6.93</v>
      </c>
      <c r="BR3">
        <v>3.08</v>
      </c>
      <c r="BS3">
        <v>23.49</v>
      </c>
      <c r="BT3">
        <v>12.73</v>
      </c>
      <c r="BU3" t="s">
        <v>343</v>
      </c>
      <c r="BV3" t="s">
        <v>344</v>
      </c>
      <c r="BW3">
        <v>14.91</v>
      </c>
      <c r="BX3">
        <v>20.350000000000001</v>
      </c>
      <c r="BY3">
        <v>15.66</v>
      </c>
      <c r="BZ3">
        <v>8.84</v>
      </c>
      <c r="CA3">
        <v>11.39</v>
      </c>
      <c r="CB3">
        <v>5.31</v>
      </c>
      <c r="CC3">
        <v>20.45</v>
      </c>
      <c r="CD3">
        <v>21.93</v>
      </c>
      <c r="CE3" t="s">
        <v>345</v>
      </c>
      <c r="CF3" t="s">
        <v>346</v>
      </c>
      <c r="CG3" s="32">
        <v>2.8823329942355494E-3</v>
      </c>
      <c r="CH3" s="33">
        <v>0.23428271276595714</v>
      </c>
      <c r="CI3" s="32">
        <v>0.78480625152587891</v>
      </c>
      <c r="CJ3" s="32">
        <v>0.66691827774047852</v>
      </c>
      <c r="CK3" s="32">
        <v>0.12379999458789825</v>
      </c>
      <c r="CL3" s="32">
        <v>0.30461549758911133</v>
      </c>
      <c r="CM3" s="32">
        <v>0.4970475435256958</v>
      </c>
      <c r="CN3" s="33">
        <v>3.0785675626248121E-3</v>
      </c>
      <c r="CO3" s="33">
        <v>2.3459227085113525</v>
      </c>
      <c r="CP3" s="33">
        <v>8.7083330154418945</v>
      </c>
      <c r="CQ3" s="33">
        <v>-0.92146599292755127</v>
      </c>
      <c r="CR3" s="33">
        <v>-0.19409282505512238</v>
      </c>
      <c r="CS3">
        <v>26.067313253974593</v>
      </c>
      <c r="CT3">
        <v>0.54828053196369964</v>
      </c>
      <c r="CU3">
        <v>0.62893081761006286</v>
      </c>
      <c r="CV3" s="32">
        <v>0.47543751299381254</v>
      </c>
      <c r="CW3" s="33">
        <v>1.9883550947066397</v>
      </c>
      <c r="CX3">
        <v>0.06</v>
      </c>
      <c r="CY3">
        <v>18.243876412851254</v>
      </c>
      <c r="CZ3">
        <v>5442415731.892271</v>
      </c>
      <c r="DA3">
        <v>0.47543751299381254</v>
      </c>
      <c r="DB3">
        <v>4.3680955632968601</v>
      </c>
      <c r="DC3">
        <v>22730903791.184319</v>
      </c>
      <c r="DD3">
        <v>0.45166563734412191</v>
      </c>
      <c r="DE3">
        <v>1.3535926503209912</v>
      </c>
      <c r="DF3">
        <v>73353501126.394394</v>
      </c>
      <c r="DG3">
        <v>0.41838501143455503</v>
      </c>
      <c r="DH3">
        <v>0.45254782259361764</v>
      </c>
      <c r="DI3">
        <v>219403906157.25464</v>
      </c>
      <c r="DJ3">
        <v>0.38035001039505006</v>
      </c>
      <c r="DK3">
        <v>5.3835810508993519E-2</v>
      </c>
      <c r="DL3">
        <v>1844325534644.1384</v>
      </c>
      <c r="DM3">
        <v>0.33280625909566874</v>
      </c>
      <c r="DN3">
        <v>3910000000</v>
      </c>
      <c r="DO3">
        <v>0.47543751299381254</v>
      </c>
      <c r="DP3">
        <v>99290760000</v>
      </c>
      <c r="DQ3">
        <v>4069606000</v>
      </c>
      <c r="DR3">
        <v>4319</v>
      </c>
      <c r="DS3">
        <v>-0.47255517999957697</v>
      </c>
      <c r="DT3">
        <v>-1.7540723819406825</v>
      </c>
      <c r="DU3" s="34">
        <v>0.40999999999999992</v>
      </c>
      <c r="DV3">
        <v>0.41666666666666669</v>
      </c>
      <c r="DW3">
        <v>0.82666666666666666</v>
      </c>
      <c r="DX3">
        <v>9.9325125398996814</v>
      </c>
      <c r="DY3">
        <v>0.81481344961959623</v>
      </c>
      <c r="DZ3">
        <v>9.2749172387013594</v>
      </c>
      <c r="EA3">
        <v>536</v>
      </c>
      <c r="EB3">
        <v>9.2461143380086455</v>
      </c>
      <c r="EC3">
        <v>9</v>
      </c>
      <c r="ED3">
        <v>0.1894642663961148</v>
      </c>
      <c r="EE3">
        <v>0.64265811348558699</v>
      </c>
      <c r="EF3" s="35">
        <v>-3.0507</v>
      </c>
      <c r="EG3">
        <v>-3.0419999999999998</v>
      </c>
      <c r="EH3">
        <v>52.294813449619596</v>
      </c>
      <c r="EI3" t="s">
        <v>347</v>
      </c>
      <c r="EJ3">
        <v>1</v>
      </c>
      <c r="EK3">
        <v>1</v>
      </c>
      <c r="EL3" s="36">
        <v>45385</v>
      </c>
      <c r="EM3" s="37">
        <v>0.64</v>
      </c>
      <c r="EN3" s="37">
        <v>2.0699999999999998</v>
      </c>
      <c r="EO3" s="37">
        <v>9.99</v>
      </c>
      <c r="EP3" s="37">
        <v>7.54</v>
      </c>
      <c r="EQ3" s="37">
        <v>-0.87</v>
      </c>
    </row>
    <row r="4" spans="1:147" ht="90" x14ac:dyDescent="0.3">
      <c r="B4" s="30"/>
      <c r="C4" s="30"/>
      <c r="D4" s="30" t="s">
        <v>396</v>
      </c>
      <c r="E4" t="s">
        <v>179</v>
      </c>
      <c r="F4" t="s">
        <v>180</v>
      </c>
      <c r="G4">
        <v>51.92</v>
      </c>
      <c r="H4">
        <v>-3.76</v>
      </c>
      <c r="I4" t="s">
        <v>349</v>
      </c>
      <c r="J4">
        <v>34777267000</v>
      </c>
      <c r="K4">
        <v>18.850000000000001</v>
      </c>
      <c r="L4">
        <v>1.87</v>
      </c>
      <c r="M4" t="s">
        <v>171</v>
      </c>
      <c r="N4" t="s">
        <v>350</v>
      </c>
      <c r="O4" t="s">
        <v>351</v>
      </c>
      <c r="P4" t="s">
        <v>352</v>
      </c>
      <c r="Q4">
        <v>17.52</v>
      </c>
      <c r="R4" t="s">
        <v>353</v>
      </c>
      <c r="S4">
        <v>1386526300</v>
      </c>
      <c r="T4" s="31">
        <v>0.27829999999999999</v>
      </c>
      <c r="U4" t="s">
        <v>354</v>
      </c>
      <c r="V4">
        <v>287485820</v>
      </c>
      <c r="W4">
        <v>669824100</v>
      </c>
      <c r="X4">
        <v>2.35</v>
      </c>
      <c r="Y4">
        <v>0.46</v>
      </c>
      <c r="Z4">
        <v>5.83</v>
      </c>
      <c r="AA4" t="s">
        <v>355</v>
      </c>
      <c r="AB4" t="s">
        <v>356</v>
      </c>
      <c r="AC4" t="s">
        <v>357</v>
      </c>
      <c r="AD4" t="s">
        <v>358</v>
      </c>
      <c r="AE4" t="s">
        <v>359</v>
      </c>
      <c r="AF4">
        <v>369916750</v>
      </c>
      <c r="AG4" t="s">
        <v>360</v>
      </c>
      <c r="AH4" t="s">
        <v>361</v>
      </c>
      <c r="AI4" t="s">
        <v>362</v>
      </c>
      <c r="AJ4" t="s">
        <v>363</v>
      </c>
      <c r="AK4" t="s">
        <v>364</v>
      </c>
      <c r="AL4" t="s">
        <v>365</v>
      </c>
      <c r="AM4" t="s">
        <v>366</v>
      </c>
      <c r="AN4" t="s">
        <v>316</v>
      </c>
      <c r="AO4" t="s">
        <v>367</v>
      </c>
      <c r="AP4" t="s">
        <v>368</v>
      </c>
      <c r="AQ4" t="s">
        <v>369</v>
      </c>
      <c r="AR4" t="s">
        <v>370</v>
      </c>
      <c r="AS4" t="s">
        <v>316</v>
      </c>
      <c r="AT4" t="s">
        <v>371</v>
      </c>
      <c r="AU4" t="s">
        <v>372</v>
      </c>
      <c r="AV4" t="s">
        <v>373</v>
      </c>
      <c r="AW4" t="s">
        <v>374</v>
      </c>
      <c r="AX4" t="s">
        <v>375</v>
      </c>
      <c r="AY4" t="s">
        <v>376</v>
      </c>
      <c r="AZ4" t="s">
        <v>377</v>
      </c>
      <c r="BA4" t="s">
        <v>378</v>
      </c>
      <c r="BB4" t="s">
        <v>379</v>
      </c>
      <c r="BC4" t="s">
        <v>380</v>
      </c>
      <c r="BD4" t="s">
        <v>381</v>
      </c>
      <c r="BE4" t="s">
        <v>382</v>
      </c>
      <c r="BF4" t="s">
        <v>383</v>
      </c>
      <c r="BG4" t="s">
        <v>384</v>
      </c>
      <c r="BH4" t="s">
        <v>385</v>
      </c>
      <c r="BI4" t="s">
        <v>386</v>
      </c>
      <c r="BJ4" t="s">
        <v>387</v>
      </c>
      <c r="BK4" t="s">
        <v>388</v>
      </c>
      <c r="BL4" t="s">
        <v>389</v>
      </c>
      <c r="BM4" t="s">
        <v>390</v>
      </c>
      <c r="BN4" t="s">
        <v>391</v>
      </c>
      <c r="BO4">
        <v>1.08</v>
      </c>
      <c r="BP4">
        <v>8.8699999999999992</v>
      </c>
      <c r="BQ4">
        <v>10.43</v>
      </c>
      <c r="BR4">
        <v>2.04</v>
      </c>
      <c r="BS4">
        <v>19.89</v>
      </c>
      <c r="BT4">
        <v>17.97</v>
      </c>
      <c r="BU4" t="s">
        <v>392</v>
      </c>
      <c r="BV4" t="s">
        <v>220</v>
      </c>
      <c r="BW4">
        <v>11.1</v>
      </c>
      <c r="BX4">
        <v>11.54</v>
      </c>
      <c r="BY4">
        <v>13.14</v>
      </c>
      <c r="BZ4">
        <v>4.8899999999999997</v>
      </c>
      <c r="CA4">
        <v>4.67</v>
      </c>
      <c r="CB4">
        <v>5.65</v>
      </c>
      <c r="CC4">
        <v>-5.51</v>
      </c>
      <c r="CD4">
        <v>18.649999999999999</v>
      </c>
      <c r="CE4" t="s">
        <v>393</v>
      </c>
      <c r="CF4" t="s">
        <v>394</v>
      </c>
      <c r="CG4" s="32">
        <v>0.10786991062562139</v>
      </c>
      <c r="CH4" s="33">
        <v>0.45878844339622643</v>
      </c>
      <c r="CI4" s="32">
        <v>0.51175767183303833</v>
      </c>
      <c r="CJ4" s="32">
        <v>1.6978493928909302</v>
      </c>
      <c r="CK4" s="32">
        <v>0.40086612105369568</v>
      </c>
      <c r="CL4" s="32">
        <v>0.73109519481658936</v>
      </c>
      <c r="CM4" s="32">
        <v>0.64769065380096436</v>
      </c>
      <c r="CN4" s="33">
        <v>0.64430242776870728</v>
      </c>
      <c r="CO4" s="33">
        <v>1.235714316368103</v>
      </c>
      <c r="CP4" s="33">
        <v>1.3333333730697632</v>
      </c>
      <c r="CQ4" s="33">
        <v>1.8510831594467163</v>
      </c>
      <c r="CR4" s="33">
        <v>2.4625601768493652</v>
      </c>
      <c r="CS4">
        <v>65.94165240999844</v>
      </c>
      <c r="CT4">
        <v>0.8264899802375878</v>
      </c>
      <c r="CU4">
        <v>0.49691833590138673</v>
      </c>
      <c r="CV4" s="32">
        <v>0.79785180687904356</v>
      </c>
      <c r="CW4" s="33">
        <v>1.505398690700531</v>
      </c>
      <c r="CX4">
        <v>0.06</v>
      </c>
      <c r="CY4">
        <v>16.695804488439045</v>
      </c>
      <c r="CZ4">
        <v>2618757726.2464557</v>
      </c>
      <c r="DA4">
        <v>0.79785180687904356</v>
      </c>
      <c r="DB4">
        <v>3.1567650136240704</v>
      </c>
      <c r="DC4">
        <v>13850339449.183578</v>
      </c>
      <c r="DD4">
        <v>0.75795921653509135</v>
      </c>
      <c r="DE4">
        <v>0.66174318915419461</v>
      </c>
      <c r="DF4">
        <v>66071351721.630112</v>
      </c>
      <c r="DG4">
        <v>0.70210959005355833</v>
      </c>
      <c r="DH4">
        <v>0.13019671259561019</v>
      </c>
      <c r="DI4">
        <v>335816981307.36194</v>
      </c>
      <c r="DJ4">
        <v>0.63828144550323485</v>
      </c>
      <c r="DK4">
        <v>4.0663844994613795E-3</v>
      </c>
      <c r="DL4">
        <v>10752123171281.838</v>
      </c>
      <c r="DM4">
        <v>0.55849626481533043</v>
      </c>
      <c r="DN4">
        <v>1544000000</v>
      </c>
      <c r="DO4">
        <v>0.79785180687904356</v>
      </c>
      <c r="DP4">
        <v>43722267000</v>
      </c>
      <c r="DQ4">
        <v>15783308000</v>
      </c>
      <c r="DR4">
        <v>2381</v>
      </c>
      <c r="DS4">
        <v>-0.68998189625342221</v>
      </c>
      <c r="DT4">
        <v>-1.0466102473043046</v>
      </c>
      <c r="DU4" s="34">
        <v>0.59333333333333316</v>
      </c>
      <c r="DV4">
        <v>2.2590000000000003</v>
      </c>
      <c r="DW4">
        <v>2.8523333333333336</v>
      </c>
      <c r="DX4">
        <v>-6.2280629139072845</v>
      </c>
      <c r="DY4">
        <v>0.28231259259259256</v>
      </c>
      <c r="DZ4">
        <v>-6.0301755954132945</v>
      </c>
      <c r="EA4">
        <v>2</v>
      </c>
      <c r="EB4">
        <v>-6.0301638011606409</v>
      </c>
      <c r="EC4">
        <v>6</v>
      </c>
      <c r="ED4">
        <v>2.6667001082821596E-2</v>
      </c>
      <c r="EE4">
        <v>0.20154545051454553</v>
      </c>
      <c r="EF4" s="35">
        <v>4.0094000000000003</v>
      </c>
      <c r="EG4">
        <v>4.0282099999999996</v>
      </c>
      <c r="EH4">
        <v>15.132312592592593</v>
      </c>
      <c r="EI4" t="s">
        <v>395</v>
      </c>
      <c r="EJ4">
        <v>0</v>
      </c>
      <c r="EK4">
        <v>1</v>
      </c>
      <c r="EL4" s="36">
        <v>45378</v>
      </c>
      <c r="EM4">
        <v>-1.56</v>
      </c>
      <c r="EN4">
        <v>-4.32</v>
      </c>
      <c r="EO4">
        <v>-2.0999999999999999E-3</v>
      </c>
      <c r="EP4">
        <v>3.12</v>
      </c>
      <c r="EQ4">
        <v>-3.76</v>
      </c>
    </row>
    <row r="5" spans="1:147" ht="90" x14ac:dyDescent="0.3">
      <c r="B5" s="38"/>
      <c r="C5" s="38"/>
      <c r="D5" s="38" t="s">
        <v>443</v>
      </c>
      <c r="E5" t="s">
        <v>181</v>
      </c>
      <c r="F5" t="s">
        <v>182</v>
      </c>
      <c r="G5">
        <v>5.82</v>
      </c>
      <c r="H5">
        <v>-4.12</v>
      </c>
      <c r="I5" t="s">
        <v>397</v>
      </c>
      <c r="J5">
        <v>29889114000</v>
      </c>
      <c r="K5">
        <v>35.68</v>
      </c>
      <c r="L5">
        <v>1.6</v>
      </c>
      <c r="M5" t="s">
        <v>171</v>
      </c>
      <c r="N5" t="s">
        <v>398</v>
      </c>
      <c r="O5" t="s">
        <v>399</v>
      </c>
      <c r="P5" t="s">
        <v>400</v>
      </c>
      <c r="Q5">
        <v>-5.36</v>
      </c>
      <c r="R5" t="s">
        <v>401</v>
      </c>
      <c r="S5">
        <v>547618970</v>
      </c>
      <c r="T5" s="31">
        <v>-0.4556</v>
      </c>
      <c r="U5" t="s">
        <v>402</v>
      </c>
      <c r="V5">
        <v>5078104700</v>
      </c>
      <c r="W5">
        <v>5135586600</v>
      </c>
      <c r="X5">
        <v>2.2000000000000002</v>
      </c>
      <c r="Y5">
        <v>0.44</v>
      </c>
      <c r="Z5">
        <v>3.7</v>
      </c>
      <c r="AA5" t="s">
        <v>403</v>
      </c>
      <c r="AB5" t="s">
        <v>404</v>
      </c>
      <c r="AC5" t="s">
        <v>405</v>
      </c>
      <c r="AD5" t="s">
        <v>406</v>
      </c>
      <c r="AE5" t="s">
        <v>407</v>
      </c>
      <c r="AF5">
        <v>342070510</v>
      </c>
      <c r="AG5" t="s">
        <v>408</v>
      </c>
      <c r="AH5" t="s">
        <v>409</v>
      </c>
      <c r="AI5" t="s">
        <v>410</v>
      </c>
      <c r="AJ5" t="s">
        <v>411</v>
      </c>
      <c r="AK5" t="s">
        <v>412</v>
      </c>
      <c r="AL5" t="s">
        <v>413</v>
      </c>
      <c r="AM5" t="s">
        <v>414</v>
      </c>
      <c r="AN5" t="s">
        <v>316</v>
      </c>
      <c r="AO5" t="s">
        <v>415</v>
      </c>
      <c r="AP5" t="s">
        <v>416</v>
      </c>
      <c r="AQ5" t="s">
        <v>417</v>
      </c>
      <c r="AR5" t="s">
        <v>418</v>
      </c>
      <c r="AS5" t="s">
        <v>316</v>
      </c>
      <c r="AT5" t="s">
        <v>419</v>
      </c>
      <c r="AU5" t="s">
        <v>420</v>
      </c>
      <c r="AV5" t="s">
        <v>421</v>
      </c>
      <c r="AW5" t="s">
        <v>422</v>
      </c>
      <c r="AX5" t="s">
        <v>423</v>
      </c>
      <c r="AY5" t="s">
        <v>424</v>
      </c>
      <c r="AZ5" t="s">
        <v>425</v>
      </c>
      <c r="BA5" t="s">
        <v>426</v>
      </c>
      <c r="BB5" t="s">
        <v>427</v>
      </c>
      <c r="BC5" t="s">
        <v>428</v>
      </c>
      <c r="BD5" t="s">
        <v>429</v>
      </c>
      <c r="BE5" t="s">
        <v>430</v>
      </c>
      <c r="BF5" t="s">
        <v>431</v>
      </c>
      <c r="BG5" t="s">
        <v>432</v>
      </c>
      <c r="BH5" t="s">
        <v>433</v>
      </c>
      <c r="BI5" t="s">
        <v>434</v>
      </c>
      <c r="BJ5" t="s">
        <v>435</v>
      </c>
      <c r="BK5" t="s">
        <v>436</v>
      </c>
      <c r="BL5" t="s">
        <v>430</v>
      </c>
      <c r="BM5" t="s">
        <v>437</v>
      </c>
      <c r="BN5" t="s">
        <v>438</v>
      </c>
      <c r="BO5">
        <v>1.0900000000000001</v>
      </c>
      <c r="BP5">
        <v>5.72</v>
      </c>
      <c r="BQ5">
        <v>3.59</v>
      </c>
      <c r="BR5">
        <v>0.93</v>
      </c>
      <c r="BS5">
        <v>6.72</v>
      </c>
      <c r="BT5">
        <v>3.38</v>
      </c>
      <c r="BU5" t="s">
        <v>439</v>
      </c>
      <c r="BV5" t="s">
        <v>220</v>
      </c>
      <c r="BW5">
        <v>12.58</v>
      </c>
      <c r="BX5">
        <v>17.22</v>
      </c>
      <c r="BY5">
        <v>16.66</v>
      </c>
      <c r="BZ5">
        <v>4.29</v>
      </c>
      <c r="CA5">
        <v>4.9800000000000004</v>
      </c>
      <c r="CB5">
        <v>3.43</v>
      </c>
      <c r="CC5">
        <v>-10.19</v>
      </c>
      <c r="CD5">
        <v>27.91</v>
      </c>
      <c r="CE5" t="s">
        <v>440</v>
      </c>
      <c r="CF5" t="s">
        <v>441</v>
      </c>
      <c r="CG5" s="32">
        <v>-2.1744966442953019E-2</v>
      </c>
      <c r="CH5" s="33">
        <v>-0.58578778461538461</v>
      </c>
      <c r="CI5" s="32">
        <v>0.52282267808914185</v>
      </c>
      <c r="CJ5" s="32">
        <v>0.54829132556915283</v>
      </c>
      <c r="CK5" s="32">
        <v>-0.13153128325939178</v>
      </c>
      <c r="CL5" s="32">
        <v>3.4298907965421677E-2</v>
      </c>
      <c r="CM5" s="32">
        <v>0.29073658585548401</v>
      </c>
      <c r="CN5" s="33">
        <v>0.40411701798439026</v>
      </c>
      <c r="CO5" s="33">
        <v>1.2348668575286865</v>
      </c>
      <c r="CP5" s="33">
        <v>-0.43809524178504944</v>
      </c>
      <c r="CQ5" s="33">
        <v>6.8493150174617767E-3</v>
      </c>
      <c r="CR5" s="33">
        <v>0.19672131538391113</v>
      </c>
      <c r="CS5">
        <v>38.099571701720841</v>
      </c>
      <c r="CT5">
        <v>1.5063665568515443</v>
      </c>
      <c r="CU5">
        <v>0.85910652920962194</v>
      </c>
      <c r="CV5" s="32">
        <v>0.25292364284396174</v>
      </c>
      <c r="CW5" s="33">
        <v>0.28089185282588003</v>
      </c>
      <c r="CX5">
        <v>0.06</v>
      </c>
      <c r="CY5">
        <v>22.312578741682525</v>
      </c>
      <c r="CZ5">
        <v>1531876453.8922398</v>
      </c>
      <c r="DA5">
        <v>0.25292364284396174</v>
      </c>
      <c r="DB5">
        <v>6.3687950874626784</v>
      </c>
      <c r="DC5">
        <v>5366810131.3677721</v>
      </c>
      <c r="DD5">
        <v>0.24027746070176365</v>
      </c>
      <c r="DE5">
        <v>2.5900687764403405</v>
      </c>
      <c r="DF5">
        <v>13196604781.659666</v>
      </c>
      <c r="DG5">
        <v>0.22257280570268634</v>
      </c>
      <c r="DH5">
        <v>1.2363240218358964</v>
      </c>
      <c r="DI5">
        <v>27646566269.28899</v>
      </c>
      <c r="DJ5">
        <v>0.2023389142751694</v>
      </c>
      <c r="DK5">
        <v>0.36815105253176605</v>
      </c>
      <c r="DL5">
        <v>92842635556.639496</v>
      </c>
      <c r="DM5">
        <v>0.17704654999077321</v>
      </c>
      <c r="DN5">
        <v>1296000000</v>
      </c>
      <c r="DO5">
        <v>0.25292364284396174</v>
      </c>
      <c r="DP5">
        <v>34180114000</v>
      </c>
      <c r="DQ5">
        <v>4681536000</v>
      </c>
      <c r="DR5">
        <v>852</v>
      </c>
      <c r="DS5">
        <v>-0.27466860928691478</v>
      </c>
      <c r="DT5">
        <v>-0.86667963744126464</v>
      </c>
      <c r="DU5" s="34">
        <v>-2.3333333333333355E-2</v>
      </c>
      <c r="DV5">
        <v>0.21333333333333335</v>
      </c>
      <c r="DW5">
        <v>0.19</v>
      </c>
      <c r="DX5">
        <v>-7.2674540682414701</v>
      </c>
      <c r="DY5">
        <v>0.35187031509308031</v>
      </c>
      <c r="DZ5">
        <v>-7.0513164963464172</v>
      </c>
      <c r="EA5">
        <v>1793</v>
      </c>
      <c r="EB5">
        <v>-7.0333351639350186</v>
      </c>
      <c r="EC5">
        <v>7</v>
      </c>
      <c r="ED5">
        <v>0.1544127403089649</v>
      </c>
      <c r="EE5">
        <v>0.80477661500246145</v>
      </c>
      <c r="EF5" s="35">
        <v>1.0356000000000001</v>
      </c>
      <c r="EG5">
        <v>1.0056099999999999</v>
      </c>
      <c r="EH5">
        <v>16.19187031509308</v>
      </c>
      <c r="EI5" t="s">
        <v>442</v>
      </c>
      <c r="EJ5">
        <v>0</v>
      </c>
      <c r="EK5">
        <v>0</v>
      </c>
      <c r="EL5" s="36">
        <v>45378</v>
      </c>
      <c r="EM5">
        <v>-2.2599999999999998</v>
      </c>
      <c r="EN5">
        <v>-1.26</v>
      </c>
      <c r="EO5">
        <v>-2.7099999999999999E-2</v>
      </c>
      <c r="EP5">
        <v>-0.49</v>
      </c>
      <c r="EQ5">
        <v>-4.12</v>
      </c>
    </row>
    <row r="6" spans="1:147" ht="90" x14ac:dyDescent="0.3">
      <c r="B6" s="30"/>
      <c r="C6" s="30"/>
      <c r="D6" s="30" t="s">
        <v>485</v>
      </c>
      <c r="E6" t="s">
        <v>204</v>
      </c>
      <c r="F6" t="s">
        <v>205</v>
      </c>
      <c r="G6">
        <v>17.559999999999999</v>
      </c>
      <c r="H6">
        <v>-2.06</v>
      </c>
      <c r="I6" t="s">
        <v>444</v>
      </c>
      <c r="J6">
        <v>2831618000</v>
      </c>
      <c r="K6">
        <v>45.97</v>
      </c>
      <c r="L6">
        <v>0.91400000000000003</v>
      </c>
      <c r="M6" t="s">
        <v>171</v>
      </c>
      <c r="N6" t="s">
        <v>445</v>
      </c>
      <c r="O6" t="s">
        <v>446</v>
      </c>
      <c r="P6" t="s">
        <v>447</v>
      </c>
      <c r="Q6">
        <v>-41.22</v>
      </c>
      <c r="R6" t="s">
        <v>448</v>
      </c>
      <c r="S6">
        <v>19657300</v>
      </c>
      <c r="T6">
        <v>-0.81079999999999997</v>
      </c>
      <c r="U6" t="s">
        <v>449</v>
      </c>
      <c r="V6">
        <v>59699378</v>
      </c>
      <c r="W6">
        <v>161253870</v>
      </c>
      <c r="X6">
        <v>1.33</v>
      </c>
      <c r="Y6">
        <v>0.19</v>
      </c>
      <c r="Z6">
        <v>2.5499999999999998</v>
      </c>
      <c r="AA6" t="s">
        <v>450</v>
      </c>
      <c r="AB6" t="s">
        <v>451</v>
      </c>
      <c r="AC6" t="s">
        <v>452</v>
      </c>
      <c r="AD6" t="s">
        <v>453</v>
      </c>
      <c r="AE6" t="s">
        <v>454</v>
      </c>
      <c r="AF6">
        <v>-13268868</v>
      </c>
      <c r="AG6" t="s">
        <v>455</v>
      </c>
      <c r="AH6" t="s">
        <v>456</v>
      </c>
      <c r="AI6" t="s">
        <v>457</v>
      </c>
      <c r="AJ6" t="s">
        <v>458</v>
      </c>
      <c r="AK6" t="s">
        <v>459</v>
      </c>
      <c r="AL6" t="s">
        <v>460</v>
      </c>
      <c r="AM6" t="s">
        <v>461</v>
      </c>
      <c r="AN6" t="s">
        <v>316</v>
      </c>
      <c r="AO6" t="s">
        <v>462</v>
      </c>
      <c r="AP6" t="s">
        <v>316</v>
      </c>
      <c r="AQ6" t="s">
        <v>463</v>
      </c>
      <c r="AR6" t="s">
        <v>464</v>
      </c>
      <c r="AS6" t="s">
        <v>316</v>
      </c>
      <c r="AT6" t="s">
        <v>465</v>
      </c>
      <c r="AU6" t="s">
        <v>316</v>
      </c>
      <c r="AV6" t="s">
        <v>466</v>
      </c>
      <c r="AW6" t="s">
        <v>467</v>
      </c>
      <c r="AX6" t="s">
        <v>468</v>
      </c>
      <c r="AY6" t="s">
        <v>469</v>
      </c>
      <c r="AZ6" t="s">
        <v>470</v>
      </c>
      <c r="BA6" t="s">
        <v>421</v>
      </c>
      <c r="BB6" t="s">
        <v>471</v>
      </c>
      <c r="BC6" t="s">
        <v>316</v>
      </c>
      <c r="BD6" t="s">
        <v>472</v>
      </c>
      <c r="BE6" t="s">
        <v>473</v>
      </c>
      <c r="BF6" t="s">
        <v>474</v>
      </c>
      <c r="BG6" t="s">
        <v>475</v>
      </c>
      <c r="BH6" t="s">
        <v>316</v>
      </c>
      <c r="BI6" t="s">
        <v>476</v>
      </c>
      <c r="BJ6" t="s">
        <v>477</v>
      </c>
      <c r="BK6" t="s">
        <v>478</v>
      </c>
      <c r="BL6" t="s">
        <v>479</v>
      </c>
      <c r="BM6" t="s">
        <v>480</v>
      </c>
      <c r="BN6" t="s">
        <v>481</v>
      </c>
      <c r="BO6">
        <v>0.04</v>
      </c>
      <c r="BP6">
        <v>7.82</v>
      </c>
      <c r="BQ6">
        <v>6.88</v>
      </c>
      <c r="BR6">
        <v>0.21</v>
      </c>
      <c r="BS6">
        <v>7.95</v>
      </c>
      <c r="BT6" t="s">
        <v>316</v>
      </c>
      <c r="BU6" t="s">
        <v>482</v>
      </c>
      <c r="BV6" t="s">
        <v>220</v>
      </c>
      <c r="BW6">
        <v>12.05</v>
      </c>
      <c r="BX6">
        <v>16.010000000000002</v>
      </c>
      <c r="BY6">
        <v>15.4</v>
      </c>
      <c r="BZ6">
        <v>3.43</v>
      </c>
      <c r="CA6">
        <v>9.7200000000000006</v>
      </c>
      <c r="CB6">
        <v>7.08</v>
      </c>
      <c r="CC6">
        <v>-5.64</v>
      </c>
      <c r="CD6">
        <v>1.56</v>
      </c>
      <c r="CE6" t="s">
        <v>483</v>
      </c>
      <c r="CF6" t="s">
        <v>484</v>
      </c>
      <c r="CG6" s="32">
        <v>-0.28735632183908061</v>
      </c>
      <c r="CH6" s="33">
        <v>-0.88911340516567561</v>
      </c>
      <c r="CI6" s="32">
        <v>0.91224020719528198</v>
      </c>
      <c r="CJ6" s="32">
        <v>0.49568220973014832</v>
      </c>
      <c r="CK6" s="32">
        <v>7.821229100227356E-2</v>
      </c>
      <c r="CL6" s="32">
        <v>-0.15830720961093903</v>
      </c>
      <c r="CM6" s="32" t="s">
        <v>316</v>
      </c>
      <c r="CN6" s="33">
        <v>0.74734365940093994</v>
      </c>
      <c r="CO6" s="33">
        <v>1.0387421846389771</v>
      </c>
      <c r="CP6" s="33">
        <v>1.0220938920974731</v>
      </c>
      <c r="CQ6" s="33">
        <v>-0.43795859813690186</v>
      </c>
      <c r="CR6" s="33" t="s">
        <v>316</v>
      </c>
      <c r="CS6">
        <v>43.314316517401792</v>
      </c>
      <c r="CT6">
        <v>1.3048175782565028</v>
      </c>
      <c r="CU6">
        <v>1.8792710706150342</v>
      </c>
      <c r="CV6" s="32">
        <v>0.33195687457919121</v>
      </c>
      <c r="CW6" s="33">
        <v>0.59255528450012207</v>
      </c>
      <c r="CX6">
        <v>0.06</v>
      </c>
      <c r="CY6">
        <v>4.1132964056275814</v>
      </c>
      <c r="CZ6">
        <v>183458211.0269452</v>
      </c>
      <c r="DA6">
        <v>0.33195687457919121</v>
      </c>
      <c r="DB6">
        <v>1.1016863650325244</v>
      </c>
      <c r="DC6">
        <v>684966269.84915245</v>
      </c>
      <c r="DD6">
        <v>0.31535903085023165</v>
      </c>
      <c r="DE6">
        <v>0.40709046360657675</v>
      </c>
      <c r="DF6">
        <v>1853686262.5435591</v>
      </c>
      <c r="DG6">
        <v>0.29212204962968824</v>
      </c>
      <c r="DH6">
        <v>0.17184059307216998</v>
      </c>
      <c r="DI6">
        <v>4391383819.7885752</v>
      </c>
      <c r="DJ6">
        <v>0.26556549966335297</v>
      </c>
      <c r="DK6">
        <v>3.7347968554596163E-2</v>
      </c>
      <c r="DL6">
        <v>20205061458.61404</v>
      </c>
      <c r="DM6">
        <v>0.23236981220543382</v>
      </c>
      <c r="DN6">
        <v>146000000</v>
      </c>
      <c r="DO6">
        <v>0.33195687457919121</v>
      </c>
      <c r="DP6">
        <v>754618000</v>
      </c>
      <c r="DQ6">
        <v>1350455000</v>
      </c>
      <c r="DR6">
        <v>4709</v>
      </c>
      <c r="DS6">
        <v>-0.61931319641827187</v>
      </c>
      <c r="DT6">
        <v>-1.4816686896657978</v>
      </c>
      <c r="DU6" s="34">
        <v>-8.7999999999999995E-2</v>
      </c>
      <c r="DV6">
        <v>0.41200000000000003</v>
      </c>
      <c r="DW6">
        <v>0.32400000000000007</v>
      </c>
      <c r="DX6">
        <v>-4.2765957446808507</v>
      </c>
      <c r="DY6">
        <v>0.32286510738257901</v>
      </c>
      <c r="DZ6">
        <v>-4.0256860935313519</v>
      </c>
      <c r="EA6">
        <v>1469</v>
      </c>
      <c r="EB6">
        <v>-4.0183120713704072</v>
      </c>
      <c r="EC6">
        <v>4</v>
      </c>
      <c r="ED6">
        <v>1.3066973214348281E-2</v>
      </c>
      <c r="EE6">
        <v>0.14070918111918801</v>
      </c>
      <c r="EF6" s="35">
        <v>1.0159</v>
      </c>
      <c r="EG6">
        <v>1.00471</v>
      </c>
      <c r="EH6">
        <v>23.092865107382579</v>
      </c>
      <c r="EI6" t="s">
        <v>442</v>
      </c>
      <c r="EJ6">
        <v>0</v>
      </c>
      <c r="EK6">
        <v>1</v>
      </c>
      <c r="EL6" s="36">
        <v>45378</v>
      </c>
      <c r="EM6">
        <v>0.32</v>
      </c>
      <c r="EN6">
        <v>-1.94</v>
      </c>
      <c r="EO6">
        <v>-1.6E-2</v>
      </c>
      <c r="EP6">
        <v>0.39</v>
      </c>
      <c r="EQ6">
        <v>-2.06</v>
      </c>
    </row>
    <row r="7" spans="1:147" ht="90" x14ac:dyDescent="0.3">
      <c r="B7" s="30"/>
      <c r="C7" s="30"/>
      <c r="D7" s="30" t="s">
        <v>533</v>
      </c>
      <c r="E7" t="s">
        <v>206</v>
      </c>
      <c r="F7" t="s">
        <v>207</v>
      </c>
      <c r="G7">
        <v>4.75</v>
      </c>
      <c r="H7">
        <v>-5.94</v>
      </c>
      <c r="I7" t="s">
        <v>486</v>
      </c>
      <c r="J7">
        <v>2423322000</v>
      </c>
      <c r="L7">
        <v>2.3199999999999998</v>
      </c>
      <c r="M7" t="s">
        <v>171</v>
      </c>
      <c r="N7" t="s">
        <v>487</v>
      </c>
      <c r="O7" t="s">
        <v>488</v>
      </c>
      <c r="P7" t="s">
        <v>489</v>
      </c>
      <c r="Q7">
        <v>0.79</v>
      </c>
      <c r="R7" t="s">
        <v>490</v>
      </c>
      <c r="S7">
        <v>-82870198</v>
      </c>
      <c r="T7" s="31">
        <v>-4.7460000000000004</v>
      </c>
      <c r="U7" t="s">
        <v>491</v>
      </c>
      <c r="V7">
        <v>386669050</v>
      </c>
      <c r="W7">
        <v>510173050</v>
      </c>
      <c r="X7">
        <v>2.4500000000000002</v>
      </c>
      <c r="Y7">
        <v>0.49</v>
      </c>
      <c r="Z7">
        <v>-4.37</v>
      </c>
      <c r="AA7" t="s">
        <v>492</v>
      </c>
      <c r="AB7" t="s">
        <v>493</v>
      </c>
      <c r="AC7" t="s">
        <v>494</v>
      </c>
      <c r="AD7" t="s">
        <v>495</v>
      </c>
      <c r="AE7" t="s">
        <v>496</v>
      </c>
      <c r="AF7">
        <v>43009130</v>
      </c>
      <c r="AG7" t="s">
        <v>497</v>
      </c>
      <c r="AH7" t="s">
        <v>498</v>
      </c>
      <c r="AI7" t="s">
        <v>499</v>
      </c>
      <c r="AJ7" t="s">
        <v>500</v>
      </c>
      <c r="AK7" t="s">
        <v>501</v>
      </c>
      <c r="AL7" t="s">
        <v>502</v>
      </c>
      <c r="AM7" t="s">
        <v>503</v>
      </c>
      <c r="AN7" t="s">
        <v>316</v>
      </c>
      <c r="AO7" t="s">
        <v>504</v>
      </c>
      <c r="AP7" t="s">
        <v>505</v>
      </c>
      <c r="AQ7" t="s">
        <v>506</v>
      </c>
      <c r="AR7" t="s">
        <v>507</v>
      </c>
      <c r="AS7">
        <v>5367.11</v>
      </c>
      <c r="AT7" t="s">
        <v>508</v>
      </c>
      <c r="AU7" t="s">
        <v>509</v>
      </c>
      <c r="AV7" t="s">
        <v>510</v>
      </c>
      <c r="AW7" t="s">
        <v>511</v>
      </c>
      <c r="AX7" t="s">
        <v>512</v>
      </c>
      <c r="AY7" t="s">
        <v>513</v>
      </c>
      <c r="AZ7" t="s">
        <v>514</v>
      </c>
      <c r="BA7" t="s">
        <v>515</v>
      </c>
      <c r="BB7" t="s">
        <v>516</v>
      </c>
      <c r="BC7" t="s">
        <v>517</v>
      </c>
      <c r="BD7" t="s">
        <v>518</v>
      </c>
      <c r="BE7" t="s">
        <v>519</v>
      </c>
      <c r="BF7" t="s">
        <v>520</v>
      </c>
      <c r="BG7" t="s">
        <v>521</v>
      </c>
      <c r="BH7" t="s">
        <v>522</v>
      </c>
      <c r="BI7" t="s">
        <v>523</v>
      </c>
      <c r="BJ7" t="s">
        <v>524</v>
      </c>
      <c r="BK7" t="s">
        <v>525</v>
      </c>
      <c r="BL7" t="s">
        <v>526</v>
      </c>
      <c r="BM7" t="s">
        <v>527</v>
      </c>
      <c r="BN7" t="s">
        <v>528</v>
      </c>
      <c r="BO7" t="s">
        <v>316</v>
      </c>
      <c r="BP7">
        <v>4.6100000000000003</v>
      </c>
      <c r="BQ7">
        <v>5.23</v>
      </c>
      <c r="BR7">
        <v>7.0000000000000007E-2</v>
      </c>
      <c r="BS7">
        <v>6.23</v>
      </c>
      <c r="BT7">
        <v>6.58</v>
      </c>
      <c r="BU7" t="s">
        <v>529</v>
      </c>
      <c r="BV7" t="s">
        <v>220</v>
      </c>
      <c r="BW7">
        <v>9.44</v>
      </c>
      <c r="BX7">
        <v>12.02</v>
      </c>
      <c r="BY7">
        <v>15.38</v>
      </c>
      <c r="BZ7">
        <v>-1</v>
      </c>
      <c r="CA7">
        <v>3.22</v>
      </c>
      <c r="CB7">
        <v>5.97</v>
      </c>
      <c r="CC7">
        <v>-12.84</v>
      </c>
      <c r="CD7">
        <v>11.24</v>
      </c>
      <c r="CE7" t="s">
        <v>530</v>
      </c>
      <c r="CF7" t="s">
        <v>531</v>
      </c>
      <c r="CG7" s="32">
        <v>-0.49627263045793402</v>
      </c>
      <c r="CH7" s="33">
        <v>-4.5578401139453577</v>
      </c>
      <c r="CI7" s="32">
        <v>0.41787442564964294</v>
      </c>
      <c r="CJ7" s="32">
        <v>1.0845921039581299</v>
      </c>
      <c r="CK7" s="32">
        <v>4.4164039194583893E-2</v>
      </c>
      <c r="CL7" s="32">
        <v>0.2318652868270874</v>
      </c>
      <c r="CM7" s="32">
        <v>3.0208332538604736</v>
      </c>
      <c r="CN7" s="33">
        <v>-0.92826032638549805</v>
      </c>
      <c r="CO7" s="33">
        <v>0.12463528662919998</v>
      </c>
      <c r="CP7" s="33">
        <v>-0.20401346683502197</v>
      </c>
      <c r="CQ7" s="33">
        <v>1.9877614974975586</v>
      </c>
      <c r="CR7" s="33">
        <v>1.8797922134399414</v>
      </c>
      <c r="CS7">
        <v>60.842161555524591</v>
      </c>
      <c r="CT7">
        <v>0.63386111024579239</v>
      </c>
      <c r="CU7">
        <v>0</v>
      </c>
      <c r="CV7" s="32">
        <v>0.95986582189798353</v>
      </c>
      <c r="CW7" s="33">
        <v>0.57198304086923601</v>
      </c>
      <c r="CX7">
        <v>0.06</v>
      </c>
      <c r="CY7">
        <v>347.15155920879971</v>
      </c>
      <c r="CZ7">
        <v>8850088.4368838575</v>
      </c>
      <c r="DA7">
        <v>0.95986582189798353</v>
      </c>
      <c r="DB7">
        <v>58.754610865348383</v>
      </c>
      <c r="DC7">
        <v>52290738.628854722</v>
      </c>
      <c r="DD7">
        <v>0.91187253080308428</v>
      </c>
      <c r="DE7">
        <v>10.196264564044405</v>
      </c>
      <c r="DF7">
        <v>301318387.79802573</v>
      </c>
      <c r="DG7">
        <v>0.84468192327022551</v>
      </c>
      <c r="DH7">
        <v>1.5526249528095715</v>
      </c>
      <c r="DI7">
        <v>1978792105.8723435</v>
      </c>
      <c r="DJ7">
        <v>0.76789265751838687</v>
      </c>
      <c r="DK7">
        <v>2.5872601492869643E-2</v>
      </c>
      <c r="DL7">
        <v>118748089589.93614</v>
      </c>
      <c r="DM7">
        <v>0.67190607532858848</v>
      </c>
      <c r="DN7">
        <v>4786600</v>
      </c>
      <c r="DO7">
        <v>0.95986582189798353</v>
      </c>
      <c r="DP7">
        <v>3072322000</v>
      </c>
      <c r="DQ7">
        <v>828539400</v>
      </c>
      <c r="DR7">
        <v>4677</v>
      </c>
      <c r="DS7">
        <v>-1.4561384523559175</v>
      </c>
      <c r="DT7">
        <v>-5.1298231548145941</v>
      </c>
      <c r="DU7" s="34">
        <v>0.70166666666666666</v>
      </c>
      <c r="DV7">
        <v>-0.51300000000000001</v>
      </c>
      <c r="DW7">
        <v>0.18866666666666665</v>
      </c>
      <c r="DX7">
        <v>-5.8753894080996885</v>
      </c>
      <c r="DY7">
        <v>0.31035953079178757</v>
      </c>
      <c r="DZ7">
        <v>-5.122869246580974</v>
      </c>
      <c r="EA7">
        <v>1801</v>
      </c>
      <c r="EB7">
        <v>-5.0796236899868106</v>
      </c>
      <c r="EC7">
        <v>5</v>
      </c>
      <c r="ED7">
        <v>9.3816402101208604E-2</v>
      </c>
      <c r="EE7">
        <v>0.66840065346454502</v>
      </c>
      <c r="EF7" s="35">
        <v>-1.0630999999999999</v>
      </c>
      <c r="EG7">
        <v>-1.0037</v>
      </c>
      <c r="EH7">
        <v>17.140359530791788</v>
      </c>
      <c r="EI7" t="s">
        <v>532</v>
      </c>
      <c r="EJ7">
        <v>0</v>
      </c>
      <c r="EK7">
        <v>0</v>
      </c>
      <c r="EL7" s="36">
        <v>45378</v>
      </c>
      <c r="EM7">
        <v>0.55000000000000004</v>
      </c>
      <c r="EN7">
        <v>-3.92</v>
      </c>
      <c r="EO7">
        <v>-4.6600000000000003E-2</v>
      </c>
      <c r="EP7">
        <v>2.85</v>
      </c>
      <c r="EQ7">
        <v>-5.94</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print="0" autoFill="0" autoPict="0" macro="[0]!'Industry_copy_call_buttom [c2],[d2]'">
                <anchor moveWithCells="1" sizeWithCells="1">
                  <from>
                    <xdr:col>1</xdr:col>
                    <xdr:colOff>61913</xdr:colOff>
                    <xdr:row>1</xdr:row>
                    <xdr:rowOff>261938</xdr:rowOff>
                  </from>
                  <to>
                    <xdr:col>1</xdr:col>
                    <xdr:colOff>1090613</xdr:colOff>
                    <xdr:row>1</xdr:row>
                    <xdr:rowOff>709613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8"/>
  <sheetViews>
    <sheetView workbookViewId="0">
      <selection activeCell="D8" sqref="D8"/>
    </sheetView>
  </sheetViews>
  <sheetFormatPr defaultRowHeight="13.5" x14ac:dyDescent="0.3"/>
  <cols>
    <col min="1" max="1" width="8.9296875" style="23"/>
    <col min="2" max="2" width="39.19921875" customWidth="1"/>
    <col min="3" max="3" width="34.9296875" customWidth="1"/>
    <col min="4" max="4" width="41.796875" customWidth="1"/>
  </cols>
  <sheetData>
    <row r="1" spans="1:147" s="14" customFormat="1" x14ac:dyDescent="0.3">
      <c r="A1" s="15" t="s">
        <v>47</v>
      </c>
      <c r="B1" s="18" t="s">
        <v>126</v>
      </c>
      <c r="C1" s="19" t="s">
        <v>127</v>
      </c>
      <c r="D1" s="18" t="s">
        <v>128</v>
      </c>
      <c r="E1" t="s">
        <v>2</v>
      </c>
      <c r="F1" t="s">
        <v>3</v>
      </c>
      <c r="G1" t="s">
        <v>0</v>
      </c>
      <c r="H1" t="s">
        <v>99</v>
      </c>
      <c r="I1" t="s">
        <v>129</v>
      </c>
      <c r="J1" t="s">
        <v>4</v>
      </c>
      <c r="K1" t="s">
        <v>5</v>
      </c>
      <c r="L1" t="s">
        <v>1</v>
      </c>
      <c r="M1" t="s">
        <v>6</v>
      </c>
      <c r="N1" t="s">
        <v>7</v>
      </c>
      <c r="O1" t="s">
        <v>8</v>
      </c>
      <c r="P1" t="s">
        <v>9</v>
      </c>
      <c r="Q1" t="s">
        <v>130</v>
      </c>
      <c r="R1" t="s">
        <v>100</v>
      </c>
      <c r="S1" t="s">
        <v>131</v>
      </c>
      <c r="T1" t="s">
        <v>10</v>
      </c>
      <c r="U1" t="s">
        <v>101</v>
      </c>
      <c r="V1" t="s">
        <v>102</v>
      </c>
      <c r="W1" t="s">
        <v>11</v>
      </c>
      <c r="X1" t="s">
        <v>69</v>
      </c>
      <c r="Y1" t="s">
        <v>70</v>
      </c>
      <c r="Z1" t="s">
        <v>71</v>
      </c>
      <c r="AA1" t="s">
        <v>72</v>
      </c>
      <c r="AB1" t="s">
        <v>73</v>
      </c>
      <c r="AC1" t="s">
        <v>103</v>
      </c>
      <c r="AD1" t="s">
        <v>74</v>
      </c>
      <c r="AE1" t="s">
        <v>132</v>
      </c>
      <c r="AF1" t="s">
        <v>12</v>
      </c>
      <c r="AG1" t="s">
        <v>13</v>
      </c>
      <c r="AH1" t="s">
        <v>104</v>
      </c>
      <c r="AI1" t="s">
        <v>133</v>
      </c>
      <c r="AJ1" t="s">
        <v>105</v>
      </c>
      <c r="AK1" t="s">
        <v>14</v>
      </c>
      <c r="AL1" t="s">
        <v>106</v>
      </c>
      <c r="AM1" t="s">
        <v>48</v>
      </c>
      <c r="AN1" t="s">
        <v>107</v>
      </c>
      <c r="AO1" t="s">
        <v>108</v>
      </c>
      <c r="AP1" t="s">
        <v>109</v>
      </c>
      <c r="AQ1" t="s">
        <v>110</v>
      </c>
      <c r="AR1" t="s">
        <v>111</v>
      </c>
      <c r="AS1" t="s">
        <v>112</v>
      </c>
      <c r="AT1" t="s">
        <v>113</v>
      </c>
      <c r="AU1" t="s">
        <v>114</v>
      </c>
      <c r="AV1" t="s">
        <v>115</v>
      </c>
      <c r="AW1" t="s">
        <v>116</v>
      </c>
      <c r="AX1" t="s">
        <v>117</v>
      </c>
      <c r="AY1" t="s">
        <v>134</v>
      </c>
      <c r="AZ1" t="s">
        <v>49</v>
      </c>
      <c r="BA1" t="s">
        <v>50</v>
      </c>
      <c r="BB1" t="s">
        <v>51</v>
      </c>
      <c r="BC1" t="s">
        <v>52</v>
      </c>
      <c r="BD1" t="s">
        <v>58</v>
      </c>
      <c r="BE1" t="s">
        <v>53</v>
      </c>
      <c r="BF1" t="s">
        <v>54</v>
      </c>
      <c r="BG1" t="s">
        <v>55</v>
      </c>
      <c r="BH1" t="s">
        <v>56</v>
      </c>
      <c r="BI1" t="s">
        <v>135</v>
      </c>
      <c r="BJ1" t="s">
        <v>118</v>
      </c>
      <c r="BK1" t="s">
        <v>57</v>
      </c>
      <c r="BL1" t="s">
        <v>119</v>
      </c>
      <c r="BM1" t="s">
        <v>120</v>
      </c>
      <c r="BN1" t="s">
        <v>121</v>
      </c>
      <c r="BO1" t="s">
        <v>122</v>
      </c>
      <c r="BP1" t="s">
        <v>59</v>
      </c>
      <c r="BQ1" t="s">
        <v>60</v>
      </c>
      <c r="BR1" t="s">
        <v>61</v>
      </c>
      <c r="BS1" t="s">
        <v>123</v>
      </c>
      <c r="BT1" t="s">
        <v>62</v>
      </c>
      <c r="BU1" t="s">
        <v>63</v>
      </c>
      <c r="BV1" t="s">
        <v>64</v>
      </c>
      <c r="BW1" t="s">
        <v>124</v>
      </c>
      <c r="BX1" t="s">
        <v>65</v>
      </c>
      <c r="BY1" t="s">
        <v>66</v>
      </c>
      <c r="BZ1" t="s">
        <v>125</v>
      </c>
      <c r="CA1" t="s">
        <v>67</v>
      </c>
      <c r="CB1" t="s">
        <v>68</v>
      </c>
      <c r="CC1" t="s">
        <v>136</v>
      </c>
      <c r="CD1" t="s">
        <v>137</v>
      </c>
      <c r="CE1" t="s">
        <v>138</v>
      </c>
      <c r="CF1" t="s">
        <v>139</v>
      </c>
      <c r="CG1" s="1" t="s">
        <v>75</v>
      </c>
      <c r="CH1" s="1" t="s">
        <v>76</v>
      </c>
      <c r="CI1" s="1" t="s">
        <v>77</v>
      </c>
      <c r="CJ1" s="1" t="s">
        <v>78</v>
      </c>
      <c r="CK1" s="1" t="s">
        <v>79</v>
      </c>
      <c r="CL1" s="1" t="s">
        <v>80</v>
      </c>
      <c r="CM1" s="1" t="s">
        <v>81</v>
      </c>
      <c r="CN1" s="1" t="s">
        <v>82</v>
      </c>
      <c r="CO1" s="1" t="s">
        <v>83</v>
      </c>
      <c r="CP1" s="1" t="s">
        <v>84</v>
      </c>
      <c r="CQ1" s="1" t="s">
        <v>85</v>
      </c>
      <c r="CR1" s="1" t="s">
        <v>86</v>
      </c>
      <c r="CS1" s="1" t="s">
        <v>140</v>
      </c>
      <c r="CT1" s="1" t="s">
        <v>141</v>
      </c>
      <c r="CU1" s="1" t="s">
        <v>142</v>
      </c>
      <c r="CV1" s="1" t="s">
        <v>87</v>
      </c>
      <c r="CW1" s="1" t="s">
        <v>143</v>
      </c>
      <c r="CX1" s="1" t="s">
        <v>28</v>
      </c>
      <c r="CY1">
        <v>1</v>
      </c>
      <c r="CZ1" t="s">
        <v>144</v>
      </c>
      <c r="DA1" t="s">
        <v>94</v>
      </c>
      <c r="DB1">
        <v>3</v>
      </c>
      <c r="DC1" t="s">
        <v>145</v>
      </c>
      <c r="DD1" t="s">
        <v>146</v>
      </c>
      <c r="DE1">
        <v>6</v>
      </c>
      <c r="DF1" t="s">
        <v>95</v>
      </c>
      <c r="DG1" t="s">
        <v>147</v>
      </c>
      <c r="DH1">
        <v>10</v>
      </c>
      <c r="DI1" t="s">
        <v>148</v>
      </c>
      <c r="DJ1" t="s">
        <v>96</v>
      </c>
      <c r="DK1">
        <v>20</v>
      </c>
      <c r="DL1" t="s">
        <v>149</v>
      </c>
      <c r="DM1" t="s">
        <v>88</v>
      </c>
      <c r="DN1" t="s">
        <v>89</v>
      </c>
      <c r="DO1" s="2" t="s">
        <v>90</v>
      </c>
      <c r="DP1" t="s">
        <v>150</v>
      </c>
      <c r="DQ1" t="s">
        <v>97</v>
      </c>
      <c r="DR1" s="1" t="s">
        <v>91</v>
      </c>
      <c r="DS1" s="1" t="s">
        <v>92</v>
      </c>
      <c r="DT1" s="1" t="s">
        <v>151</v>
      </c>
      <c r="DU1" t="s">
        <v>152</v>
      </c>
      <c r="DV1" t="s">
        <v>98</v>
      </c>
      <c r="DW1" t="s">
        <v>153</v>
      </c>
      <c r="DX1" t="s">
        <v>154</v>
      </c>
      <c r="DY1" t="s">
        <v>155</v>
      </c>
      <c r="DZ1" t="s">
        <v>156</v>
      </c>
      <c r="EA1" t="s">
        <v>157</v>
      </c>
      <c r="EB1" t="s">
        <v>93</v>
      </c>
      <c r="EC1" t="s">
        <v>158</v>
      </c>
      <c r="ED1" t="s">
        <v>159</v>
      </c>
      <c r="EE1" t="s">
        <v>160</v>
      </c>
      <c r="EF1" t="s">
        <v>161</v>
      </c>
      <c r="EG1" t="s">
        <v>162</v>
      </c>
      <c r="EH1" t="s">
        <v>163</v>
      </c>
      <c r="EI1" t="s">
        <v>164</v>
      </c>
      <c r="EJ1" t="s">
        <v>165</v>
      </c>
      <c r="EK1"/>
    </row>
    <row r="2" spans="1:147" s="14" customFormat="1" ht="71.55" customHeight="1" x14ac:dyDescent="0.3">
      <c r="A2" s="22"/>
      <c r="B2" s="20"/>
      <c r="C2" s="21">
        <v>3</v>
      </c>
      <c r="D2" s="21">
        <v>8</v>
      </c>
      <c r="T2" s="16"/>
      <c r="U2" s="16"/>
      <c r="V2" s="16"/>
      <c r="AB2" s="17"/>
    </row>
    <row r="3" spans="1:147" ht="90" x14ac:dyDescent="0.3">
      <c r="A3" s="29" t="s">
        <v>209</v>
      </c>
      <c r="B3" s="30"/>
      <c r="C3" s="30"/>
      <c r="D3" s="30" t="s">
        <v>582</v>
      </c>
      <c r="E3" t="s">
        <v>188</v>
      </c>
      <c r="F3" t="s">
        <v>189</v>
      </c>
      <c r="G3">
        <v>58.84</v>
      </c>
      <c r="H3">
        <v>-1.01</v>
      </c>
      <c r="I3" t="s">
        <v>534</v>
      </c>
      <c r="J3">
        <v>32492988000</v>
      </c>
      <c r="K3">
        <v>12.61</v>
      </c>
      <c r="L3">
        <v>2.23</v>
      </c>
      <c r="M3" t="s">
        <v>190</v>
      </c>
      <c r="N3" t="s">
        <v>535</v>
      </c>
      <c r="O3" t="s">
        <v>536</v>
      </c>
      <c r="P3" t="s">
        <v>537</v>
      </c>
      <c r="Q3">
        <v>5.76</v>
      </c>
      <c r="R3" t="s">
        <v>538</v>
      </c>
      <c r="S3">
        <v>2058392200</v>
      </c>
      <c r="T3" s="31">
        <v>0.1045</v>
      </c>
      <c r="U3" t="s">
        <v>539</v>
      </c>
      <c r="V3">
        <v>520148420</v>
      </c>
      <c r="W3">
        <v>520413170</v>
      </c>
      <c r="X3">
        <v>1.3</v>
      </c>
      <c r="Y3">
        <v>0.38</v>
      </c>
      <c r="Z3">
        <v>34.15</v>
      </c>
      <c r="AA3" t="s">
        <v>540</v>
      </c>
      <c r="AB3" t="s">
        <v>541</v>
      </c>
      <c r="AC3" t="s">
        <v>542</v>
      </c>
      <c r="AD3" t="s">
        <v>543</v>
      </c>
      <c r="AE3" t="s">
        <v>544</v>
      </c>
      <c r="AF3">
        <v>28866355</v>
      </c>
      <c r="AG3" t="s">
        <v>545</v>
      </c>
      <c r="AH3" t="s">
        <v>546</v>
      </c>
      <c r="AI3" t="s">
        <v>547</v>
      </c>
      <c r="AJ3" t="s">
        <v>548</v>
      </c>
      <c r="AK3" t="s">
        <v>549</v>
      </c>
      <c r="AL3" t="s">
        <v>550</v>
      </c>
      <c r="AM3" t="s">
        <v>551</v>
      </c>
      <c r="AN3" t="s">
        <v>316</v>
      </c>
      <c r="AO3" t="s">
        <v>552</v>
      </c>
      <c r="AP3" t="s">
        <v>553</v>
      </c>
      <c r="AQ3" t="s">
        <v>554</v>
      </c>
      <c r="AR3" t="s">
        <v>555</v>
      </c>
      <c r="AS3" t="s">
        <v>316</v>
      </c>
      <c r="AT3" t="s">
        <v>556</v>
      </c>
      <c r="AU3" t="s">
        <v>557</v>
      </c>
      <c r="AV3" t="s">
        <v>558</v>
      </c>
      <c r="AW3" t="s">
        <v>559</v>
      </c>
      <c r="AX3" t="s">
        <v>560</v>
      </c>
      <c r="AY3" t="s">
        <v>561</v>
      </c>
      <c r="AZ3" t="s">
        <v>562</v>
      </c>
      <c r="BA3" t="s">
        <v>563</v>
      </c>
      <c r="BB3" t="s">
        <v>564</v>
      </c>
      <c r="BC3" t="s">
        <v>565</v>
      </c>
      <c r="BD3" t="s">
        <v>566</v>
      </c>
      <c r="BE3" t="s">
        <v>567</v>
      </c>
      <c r="BF3" t="s">
        <v>568</v>
      </c>
      <c r="BG3" t="s">
        <v>569</v>
      </c>
      <c r="BH3" t="s">
        <v>570</v>
      </c>
      <c r="BI3" t="s">
        <v>571</v>
      </c>
      <c r="BJ3" t="s">
        <v>572</v>
      </c>
      <c r="BK3" t="s">
        <v>573</v>
      </c>
      <c r="BL3" t="s">
        <v>574</v>
      </c>
      <c r="BM3" t="s">
        <v>575</v>
      </c>
      <c r="BN3" t="s">
        <v>576</v>
      </c>
      <c r="BO3">
        <v>6.5</v>
      </c>
      <c r="BP3">
        <v>18.63</v>
      </c>
      <c r="BQ3">
        <v>8.64</v>
      </c>
      <c r="BR3">
        <v>7.26</v>
      </c>
      <c r="BS3">
        <v>22.3</v>
      </c>
      <c r="BT3">
        <v>10.69</v>
      </c>
      <c r="BU3" t="s">
        <v>577</v>
      </c>
      <c r="BV3" t="s">
        <v>578</v>
      </c>
      <c r="BW3">
        <v>62.47</v>
      </c>
      <c r="BX3">
        <v>60.82</v>
      </c>
      <c r="BY3">
        <v>53.57</v>
      </c>
      <c r="BZ3">
        <v>35.5</v>
      </c>
      <c r="CA3">
        <v>26.47</v>
      </c>
      <c r="CB3">
        <v>15.25</v>
      </c>
      <c r="CC3">
        <v>2.87</v>
      </c>
      <c r="CD3">
        <v>-15.9</v>
      </c>
      <c r="CE3" t="s">
        <v>579</v>
      </c>
      <c r="CF3" t="s">
        <v>580</v>
      </c>
      <c r="CG3" s="32">
        <v>-7.935656836461126E-2</v>
      </c>
      <c r="CH3" s="33">
        <v>-0.10593536379018613</v>
      </c>
      <c r="CI3" s="32">
        <v>0.284830242395401</v>
      </c>
      <c r="CJ3" s="32">
        <v>0.43189868330955505</v>
      </c>
      <c r="CK3" s="32">
        <v>7.6881170272827148E-2</v>
      </c>
      <c r="CL3" s="32">
        <v>-0.31285125017166138</v>
      </c>
      <c r="CM3" s="32">
        <v>-0.33424794673919678</v>
      </c>
      <c r="CN3" s="33">
        <v>0.59758555889129639</v>
      </c>
      <c r="CO3" s="33">
        <v>1.4603961706161499</v>
      </c>
      <c r="CP3" s="33">
        <v>1.0335570573806763</v>
      </c>
      <c r="CQ3" s="33">
        <v>-2.6143791154026985E-2</v>
      </c>
      <c r="CR3" s="33">
        <v>0.5</v>
      </c>
      <c r="CS3">
        <v>36.874962738793265</v>
      </c>
      <c r="CT3">
        <v>12.584375283216666</v>
      </c>
      <c r="CU3">
        <v>1.9459551325628821</v>
      </c>
      <c r="CV3" s="32">
        <v>2.930217981338501E-2</v>
      </c>
      <c r="CW3" s="33">
        <v>0.71307899914681916</v>
      </c>
      <c r="CX3">
        <v>0.06</v>
      </c>
      <c r="CY3">
        <v>9.8853532521989234</v>
      </c>
      <c r="CZ3">
        <v>2313016785.2032857</v>
      </c>
      <c r="DA3">
        <v>2.930217981338501E-2</v>
      </c>
      <c r="DB3">
        <v>3.4019953361109785</v>
      </c>
      <c r="DC3">
        <v>6721052129.9944859</v>
      </c>
      <c r="DD3">
        <v>2.7837070822715759E-2</v>
      </c>
      <c r="DE3">
        <v>1.7917126990132148</v>
      </c>
      <c r="DF3">
        <v>12761525892.288918</v>
      </c>
      <c r="DG3">
        <v>2.5785918235778808E-2</v>
      </c>
      <c r="DH3">
        <v>1.1584032087561449</v>
      </c>
      <c r="DI3">
        <v>19738367286.250587</v>
      </c>
      <c r="DJ3">
        <v>2.3441743850708009E-2</v>
      </c>
      <c r="DK3">
        <v>0.69817732020969825</v>
      </c>
      <c r="DL3">
        <v>32749542756.749069</v>
      </c>
      <c r="DM3">
        <v>2.0511525869369506E-2</v>
      </c>
      <c r="DN3">
        <v>2382000000</v>
      </c>
      <c r="DO3">
        <v>2.930217981338501E-2</v>
      </c>
      <c r="DP3">
        <v>22864988000</v>
      </c>
      <c r="DQ3">
        <v>11458274000</v>
      </c>
      <c r="DR3">
        <v>257</v>
      </c>
      <c r="DS3">
        <v>-0.10865874817799627</v>
      </c>
      <c r="DT3">
        <v>-0.81901436293700525</v>
      </c>
      <c r="DU3" s="34">
        <v>-0.34</v>
      </c>
      <c r="DV3">
        <v>0.83333333333333337</v>
      </c>
      <c r="DW3">
        <v>0.49333333333333335</v>
      </c>
      <c r="DX3">
        <v>6.1529035695258392</v>
      </c>
      <c r="DY3">
        <v>0.43438888888888783</v>
      </c>
      <c r="DZ3">
        <v>6.0297227549872732</v>
      </c>
      <c r="EA3">
        <v>1070</v>
      </c>
      <c r="EB3">
        <v>6.0234916915397063</v>
      </c>
      <c r="EC3">
        <v>6</v>
      </c>
      <c r="ED3">
        <v>6.387328744966235E-2</v>
      </c>
      <c r="EE3">
        <v>0.32858507404799153</v>
      </c>
      <c r="EF3" s="35">
        <v>0.1285</v>
      </c>
      <c r="EG3">
        <v>0.11840000000000001</v>
      </c>
      <c r="EH3">
        <v>24.194388888888888</v>
      </c>
      <c r="EI3" t="s">
        <v>581</v>
      </c>
      <c r="EJ3">
        <v>0</v>
      </c>
      <c r="EK3">
        <v>1</v>
      </c>
      <c r="EL3" s="36">
        <v>45289</v>
      </c>
      <c r="EM3" s="37">
        <v>3.15</v>
      </c>
      <c r="EN3" s="37">
        <v>-3.51</v>
      </c>
      <c r="EO3" s="37">
        <v>0.14000000000000001</v>
      </c>
      <c r="EP3" s="37">
        <v>4.26</v>
      </c>
      <c r="EQ3" s="37">
        <v>-1.01</v>
      </c>
    </row>
    <row r="4" spans="1:147" ht="90" x14ac:dyDescent="0.3">
      <c r="A4" s="29"/>
      <c r="B4" s="30"/>
      <c r="C4" s="30"/>
      <c r="D4" s="30" t="s">
        <v>627</v>
      </c>
      <c r="E4" t="s">
        <v>176</v>
      </c>
      <c r="F4" t="s">
        <v>177</v>
      </c>
      <c r="G4">
        <v>35.450000000000003</v>
      </c>
      <c r="H4">
        <v>-1.36</v>
      </c>
      <c r="I4" t="s">
        <v>583</v>
      </c>
      <c r="J4">
        <v>17955452000</v>
      </c>
      <c r="K4">
        <v>7.9</v>
      </c>
      <c r="L4">
        <v>1.42</v>
      </c>
      <c r="M4" t="s">
        <v>171</v>
      </c>
      <c r="N4" t="s">
        <v>584</v>
      </c>
      <c r="O4" t="s">
        <v>585</v>
      </c>
      <c r="P4" t="s">
        <v>586</v>
      </c>
      <c r="Q4">
        <v>-10.96</v>
      </c>
      <c r="R4" t="s">
        <v>587</v>
      </c>
      <c r="S4">
        <v>1491575400</v>
      </c>
      <c r="T4" s="31">
        <v>9.1299999999999992E-3</v>
      </c>
      <c r="U4" t="s">
        <v>588</v>
      </c>
      <c r="V4">
        <v>488466020</v>
      </c>
      <c r="W4">
        <v>506500770</v>
      </c>
      <c r="X4">
        <v>1.47</v>
      </c>
      <c r="Y4">
        <v>0.62</v>
      </c>
      <c r="Z4">
        <v>11.88</v>
      </c>
      <c r="AA4" t="s">
        <v>589</v>
      </c>
      <c r="AB4" t="s">
        <v>590</v>
      </c>
      <c r="AC4" t="s">
        <v>591</v>
      </c>
      <c r="AD4" t="s">
        <v>308</v>
      </c>
      <c r="AE4" t="s">
        <v>592</v>
      </c>
      <c r="AF4">
        <v>-247910680</v>
      </c>
      <c r="AG4" t="s">
        <v>593</v>
      </c>
      <c r="AH4" t="s">
        <v>594</v>
      </c>
      <c r="AI4" t="s">
        <v>595</v>
      </c>
      <c r="AJ4" t="s">
        <v>596</v>
      </c>
      <c r="AK4" t="s">
        <v>597</v>
      </c>
      <c r="AL4" t="s">
        <v>598</v>
      </c>
      <c r="AM4" t="s">
        <v>599</v>
      </c>
      <c r="AN4" t="s">
        <v>316</v>
      </c>
      <c r="AO4" t="s">
        <v>600</v>
      </c>
      <c r="AP4" t="s">
        <v>316</v>
      </c>
      <c r="AQ4" t="s">
        <v>601</v>
      </c>
      <c r="AR4" t="s">
        <v>602</v>
      </c>
      <c r="AS4" t="s">
        <v>603</v>
      </c>
      <c r="AT4" t="s">
        <v>604</v>
      </c>
      <c r="AU4" t="s">
        <v>316</v>
      </c>
      <c r="AV4" t="s">
        <v>605</v>
      </c>
      <c r="AW4" t="s">
        <v>510</v>
      </c>
      <c r="AX4" t="s">
        <v>606</v>
      </c>
      <c r="AY4" t="s">
        <v>607</v>
      </c>
      <c r="AZ4" t="s">
        <v>608</v>
      </c>
      <c r="BA4" t="s">
        <v>609</v>
      </c>
      <c r="BB4" t="s">
        <v>610</v>
      </c>
      <c r="BC4" t="s">
        <v>611</v>
      </c>
      <c r="BD4" t="s">
        <v>612</v>
      </c>
      <c r="BE4" t="s">
        <v>613</v>
      </c>
      <c r="BF4" t="s">
        <v>614</v>
      </c>
      <c r="BG4" t="s">
        <v>615</v>
      </c>
      <c r="BH4" t="s">
        <v>616</v>
      </c>
      <c r="BI4" t="s">
        <v>617</v>
      </c>
      <c r="BJ4" t="s">
        <v>618</v>
      </c>
      <c r="BK4" t="s">
        <v>619</v>
      </c>
      <c r="BL4" t="s">
        <v>620</v>
      </c>
      <c r="BM4" t="s">
        <v>621</v>
      </c>
      <c r="BN4" t="s">
        <v>622</v>
      </c>
      <c r="BO4">
        <v>3.66</v>
      </c>
      <c r="BP4">
        <v>15.9</v>
      </c>
      <c r="BQ4">
        <v>10.02</v>
      </c>
      <c r="BR4">
        <v>3.68</v>
      </c>
      <c r="BS4">
        <v>23.22</v>
      </c>
      <c r="BT4">
        <v>11.97</v>
      </c>
      <c r="BU4" t="s">
        <v>623</v>
      </c>
      <c r="BV4" t="s">
        <v>220</v>
      </c>
      <c r="BW4">
        <v>17.579999999999998</v>
      </c>
      <c r="BX4">
        <v>18.239999999999998</v>
      </c>
      <c r="BY4">
        <v>19.21</v>
      </c>
      <c r="BZ4">
        <v>11.01</v>
      </c>
      <c r="CA4">
        <v>13.21</v>
      </c>
      <c r="CB4">
        <v>12.21</v>
      </c>
      <c r="CC4">
        <v>-1.56</v>
      </c>
      <c r="CD4">
        <v>14.5</v>
      </c>
      <c r="CE4" t="s">
        <v>624</v>
      </c>
      <c r="CF4" t="s">
        <v>625</v>
      </c>
      <c r="CG4" s="32">
        <v>-0.16726980297547245</v>
      </c>
      <c r="CH4" s="33">
        <v>-7.5017667844544009E-4</v>
      </c>
      <c r="CI4" s="32">
        <v>1.5749574899673462</v>
      </c>
      <c r="CJ4" s="32">
        <v>1.5944076776504517</v>
      </c>
      <c r="CK4" s="32">
        <v>0.3936077356338501</v>
      </c>
      <c r="CL4" s="32">
        <v>-0.30387076735496521</v>
      </c>
      <c r="CM4" s="32">
        <v>0.5203891396522522</v>
      </c>
      <c r="CN4" s="33">
        <v>1.0705773830413818</v>
      </c>
      <c r="CO4" s="33">
        <v>1.8337663412094116</v>
      </c>
      <c r="CP4" s="33">
        <v>2.8421051502227783</v>
      </c>
      <c r="CQ4" s="33">
        <v>-1.6613924503326416</v>
      </c>
      <c r="CR4" s="33">
        <v>0.26399999856948853</v>
      </c>
      <c r="CS4">
        <v>26.327642228739002</v>
      </c>
      <c r="CT4">
        <v>0.34829611063085686</v>
      </c>
      <c r="CU4">
        <v>1.8843441466854722</v>
      </c>
      <c r="CV4" s="32">
        <v>0.75589825510978703</v>
      </c>
      <c r="CW4" s="33">
        <v>0.86981128454208378</v>
      </c>
      <c r="CX4">
        <v>0.06</v>
      </c>
      <c r="CY4">
        <v>2.988321570950041</v>
      </c>
      <c r="CZ4">
        <v>3742051092.7292533</v>
      </c>
      <c r="DA4">
        <v>0.75589825510978703</v>
      </c>
      <c r="DB4">
        <v>0.58194561683431933</v>
      </c>
      <c r="DC4">
        <v>19215630595.9147</v>
      </c>
      <c r="DD4">
        <v>0.71810334235429762</v>
      </c>
      <c r="DE4">
        <v>0.12823386839626133</v>
      </c>
      <c r="DF4">
        <v>87203576869.759521</v>
      </c>
      <c r="DG4">
        <v>0.66519046449661257</v>
      </c>
      <c r="DH4">
        <v>2.700145560766232E-2</v>
      </c>
      <c r="DI4">
        <v>414142561885.68988</v>
      </c>
      <c r="DJ4">
        <v>0.60471860408782963</v>
      </c>
      <c r="DK4">
        <v>9.9767732352428178E-4</v>
      </c>
      <c r="DL4">
        <v>11208485686031.369</v>
      </c>
      <c r="DM4">
        <v>0.52912877857685092</v>
      </c>
      <c r="DN4">
        <v>2259000000</v>
      </c>
      <c r="DO4">
        <v>0.75589825510978703</v>
      </c>
      <c r="DP4">
        <v>11182452000</v>
      </c>
      <c r="DQ4">
        <v>9058446000</v>
      </c>
      <c r="DR4">
        <v>1573</v>
      </c>
      <c r="DS4">
        <v>-0.92316805808525948</v>
      </c>
      <c r="DT4">
        <v>-0.87056146122052924</v>
      </c>
      <c r="DU4" s="34">
        <v>0.31</v>
      </c>
      <c r="DV4">
        <v>0.60333333333333339</v>
      </c>
      <c r="DW4">
        <v>0.91333333333333333</v>
      </c>
      <c r="DX4">
        <v>2.145</v>
      </c>
      <c r="DY4">
        <v>0.68625215189873301</v>
      </c>
      <c r="DZ4">
        <v>2.0284565620253163</v>
      </c>
      <c r="EA4">
        <v>432</v>
      </c>
      <c r="EB4">
        <v>2.0260541319305467</v>
      </c>
      <c r="EC4">
        <v>2</v>
      </c>
      <c r="ED4">
        <v>0.1530493231036944</v>
      </c>
      <c r="EE4">
        <v>0.77986061107073934</v>
      </c>
      <c r="EF4" s="35">
        <v>-1.0129999999999999</v>
      </c>
      <c r="EG4">
        <v>-1.00061</v>
      </c>
      <c r="EH4">
        <v>49.196252151898733</v>
      </c>
      <c r="EI4" t="s">
        <v>626</v>
      </c>
      <c r="EJ4">
        <v>1</v>
      </c>
      <c r="EK4">
        <v>1</v>
      </c>
      <c r="EL4" s="36">
        <v>45378</v>
      </c>
      <c r="EM4">
        <v>0.47</v>
      </c>
      <c r="EN4">
        <v>-4.1900000000000004</v>
      </c>
      <c r="EO4">
        <v>-3.4599999999999999E-2</v>
      </c>
      <c r="EP4">
        <v>9.98</v>
      </c>
      <c r="EQ4">
        <v>-1.36</v>
      </c>
    </row>
    <row r="5" spans="1:147" ht="90" x14ac:dyDescent="0.3">
      <c r="A5" s="29"/>
      <c r="B5" s="30"/>
      <c r="C5" s="30"/>
      <c r="D5" s="30" t="s">
        <v>671</v>
      </c>
      <c r="E5" t="s">
        <v>172</v>
      </c>
      <c r="F5" t="s">
        <v>173</v>
      </c>
      <c r="G5">
        <v>27.3</v>
      </c>
      <c r="H5">
        <v>-4.1100000000000003</v>
      </c>
      <c r="I5" t="s">
        <v>628</v>
      </c>
      <c r="J5">
        <v>13219304000</v>
      </c>
      <c r="K5">
        <v>12.58</v>
      </c>
      <c r="L5">
        <v>1.52</v>
      </c>
      <c r="M5" t="s">
        <v>171</v>
      </c>
      <c r="N5" t="s">
        <v>629</v>
      </c>
      <c r="O5" t="s">
        <v>630</v>
      </c>
      <c r="P5" t="s">
        <v>631</v>
      </c>
      <c r="Q5">
        <v>-3.66</v>
      </c>
      <c r="R5" t="s">
        <v>632</v>
      </c>
      <c r="S5">
        <v>615905690</v>
      </c>
      <c r="T5" s="31">
        <v>-0.32919999999999999</v>
      </c>
      <c r="U5" t="s">
        <v>633</v>
      </c>
      <c r="V5">
        <v>283738010</v>
      </c>
      <c r="W5">
        <v>484268290</v>
      </c>
      <c r="X5">
        <v>2.39</v>
      </c>
      <c r="Y5">
        <v>0.74</v>
      </c>
      <c r="Z5">
        <v>3.47</v>
      </c>
      <c r="AA5" t="s">
        <v>634</v>
      </c>
      <c r="AB5" t="s">
        <v>635</v>
      </c>
      <c r="AC5" t="s">
        <v>636</v>
      </c>
      <c r="AD5" t="s">
        <v>637</v>
      </c>
      <c r="AE5" t="s">
        <v>334</v>
      </c>
      <c r="AF5">
        <v>40828344</v>
      </c>
      <c r="AG5" t="s">
        <v>638</v>
      </c>
      <c r="AH5" t="s">
        <v>639</v>
      </c>
      <c r="AI5" t="s">
        <v>640</v>
      </c>
      <c r="AJ5" t="s">
        <v>641</v>
      </c>
      <c r="AK5" t="s">
        <v>642</v>
      </c>
      <c r="AL5" t="s">
        <v>316</v>
      </c>
      <c r="AM5" t="s">
        <v>643</v>
      </c>
      <c r="AN5" t="s">
        <v>316</v>
      </c>
      <c r="AO5" t="s">
        <v>644</v>
      </c>
      <c r="AP5" t="s">
        <v>645</v>
      </c>
      <c r="AQ5" t="s">
        <v>646</v>
      </c>
      <c r="AR5" t="s">
        <v>647</v>
      </c>
      <c r="AS5" t="s">
        <v>316</v>
      </c>
      <c r="AT5" t="s">
        <v>648</v>
      </c>
      <c r="AU5" t="s">
        <v>649</v>
      </c>
      <c r="AV5" t="s">
        <v>650</v>
      </c>
      <c r="AW5" t="s">
        <v>651</v>
      </c>
      <c r="AX5" t="s">
        <v>652</v>
      </c>
      <c r="AY5" t="s">
        <v>653</v>
      </c>
      <c r="AZ5" t="s">
        <v>654</v>
      </c>
      <c r="BA5" t="s">
        <v>655</v>
      </c>
      <c r="BB5" t="s">
        <v>656</v>
      </c>
      <c r="BC5" t="s">
        <v>657</v>
      </c>
      <c r="BD5" t="s">
        <v>658</v>
      </c>
      <c r="BE5" t="s">
        <v>659</v>
      </c>
      <c r="BF5" t="s">
        <v>660</v>
      </c>
      <c r="BG5" t="s">
        <v>659</v>
      </c>
      <c r="BH5" t="s">
        <v>661</v>
      </c>
      <c r="BI5" t="s">
        <v>662</v>
      </c>
      <c r="BJ5" t="s">
        <v>663</v>
      </c>
      <c r="BK5" t="s">
        <v>664</v>
      </c>
      <c r="BL5" t="s">
        <v>665</v>
      </c>
      <c r="BM5" t="s">
        <v>666</v>
      </c>
      <c r="BN5" t="s">
        <v>667</v>
      </c>
      <c r="BO5">
        <v>2.38</v>
      </c>
      <c r="BP5">
        <v>15.59</v>
      </c>
      <c r="BQ5">
        <v>3.97</v>
      </c>
      <c r="BR5">
        <v>4.38</v>
      </c>
      <c r="BS5">
        <v>18.41</v>
      </c>
      <c r="BT5">
        <v>4.8499999999999996</v>
      </c>
      <c r="BU5" t="s">
        <v>668</v>
      </c>
      <c r="BV5" t="s">
        <v>220</v>
      </c>
      <c r="BW5">
        <v>7.9</v>
      </c>
      <c r="BX5">
        <v>15.34</v>
      </c>
      <c r="BY5">
        <v>12.18</v>
      </c>
      <c r="BZ5">
        <v>3.07</v>
      </c>
      <c r="CA5">
        <v>8.85</v>
      </c>
      <c r="CB5">
        <v>5.52</v>
      </c>
      <c r="CC5">
        <v>-9.51</v>
      </c>
      <c r="CD5">
        <v>-0.51</v>
      </c>
      <c r="CE5" t="s">
        <v>669</v>
      </c>
      <c r="CF5" t="s">
        <v>670</v>
      </c>
      <c r="CG5" s="32">
        <v>-0.26491523230231656</v>
      </c>
      <c r="CH5" s="33">
        <v>0.30167961538461541</v>
      </c>
      <c r="CI5" s="32">
        <v>1.9362509250640869</v>
      </c>
      <c r="CJ5" s="32">
        <v>1.7032938003540039</v>
      </c>
      <c r="CK5" s="32">
        <v>-9.427209198474884E-2</v>
      </c>
      <c r="CL5" s="32">
        <v>0.37783631682395935</v>
      </c>
      <c r="CM5" s="32">
        <v>0.61841398477554321</v>
      </c>
      <c r="CN5" s="33">
        <v>0.48518106341362</v>
      </c>
      <c r="CO5" s="33">
        <v>3.2769954204559326</v>
      </c>
      <c r="CP5" s="33">
        <v>1.4366081953048706</v>
      </c>
      <c r="CQ5" s="33">
        <v>-0.58959341049194336</v>
      </c>
      <c r="CR5" s="33">
        <v>5.8427577018737793</v>
      </c>
      <c r="CS5">
        <v>28.240900873776468</v>
      </c>
      <c r="CT5">
        <v>0.310918840197074</v>
      </c>
      <c r="CU5">
        <v>1.1058974358974358</v>
      </c>
      <c r="CV5" s="32">
        <v>0.90830458700656891</v>
      </c>
      <c r="CW5" s="33">
        <v>2.0903897941112519</v>
      </c>
      <c r="CX5">
        <v>0.06</v>
      </c>
      <c r="CY5">
        <v>7.0779142039867562</v>
      </c>
      <c r="CZ5">
        <v>2435788779.452724</v>
      </c>
      <c r="DA5">
        <v>0.90830458700656891</v>
      </c>
      <c r="DB5">
        <v>1.240233772253899</v>
      </c>
      <c r="DC5">
        <v>13900850295.883242</v>
      </c>
      <c r="DD5">
        <v>0.86288935765624042</v>
      </c>
      <c r="DE5">
        <v>0.22840944693839851</v>
      </c>
      <c r="DF5">
        <v>75479820257.389221</v>
      </c>
      <c r="DG5">
        <v>0.79930803656578064</v>
      </c>
      <c r="DH5">
        <v>3.769506705813553E-2</v>
      </c>
      <c r="DI5">
        <v>457362337979.4231</v>
      </c>
      <c r="DJ5">
        <v>0.72664366960525517</v>
      </c>
      <c r="DK5">
        <v>7.6438494041793873E-4</v>
      </c>
      <c r="DL5">
        <v>22554478886742.078</v>
      </c>
      <c r="DM5">
        <v>0.63581321090459819</v>
      </c>
      <c r="DN5">
        <v>1353000000</v>
      </c>
      <c r="DO5">
        <v>0.90830458700656891</v>
      </c>
      <c r="DP5">
        <v>17240304000</v>
      </c>
      <c r="DQ5">
        <v>6530127000</v>
      </c>
      <c r="DR5">
        <v>4553</v>
      </c>
      <c r="DS5">
        <v>-1.1732198193088854</v>
      </c>
      <c r="DT5">
        <v>-1.7887101787266366</v>
      </c>
      <c r="DU5" s="34">
        <v>0.47666666666666663</v>
      </c>
      <c r="DV5">
        <v>0.99666666666666659</v>
      </c>
      <c r="DW5">
        <v>1.4733333333333332</v>
      </c>
      <c r="DX5">
        <v>-5.0536277602523656</v>
      </c>
      <c r="DY5">
        <v>0.47255206611570189</v>
      </c>
      <c r="DZ5">
        <v>-5.0113986912427979</v>
      </c>
      <c r="EA5">
        <v>87</v>
      </c>
      <c r="EB5">
        <v>-5.0112048889879368</v>
      </c>
      <c r="EC5">
        <v>5</v>
      </c>
      <c r="ED5">
        <v>0.10621715495763723</v>
      </c>
      <c r="EE5">
        <v>0.49972299445829915</v>
      </c>
      <c r="EF5" s="35">
        <v>9.9000000000000005E-2</v>
      </c>
      <c r="EG5">
        <v>5.79E-2</v>
      </c>
      <c r="EH5">
        <v>26.212552066115702</v>
      </c>
      <c r="EI5" t="s">
        <v>581</v>
      </c>
      <c r="EJ5">
        <v>0</v>
      </c>
      <c r="EK5">
        <v>1</v>
      </c>
      <c r="EL5" s="36">
        <v>45378</v>
      </c>
      <c r="EM5">
        <v>-1.82</v>
      </c>
      <c r="EN5">
        <v>-4.71</v>
      </c>
      <c r="EO5">
        <v>-2.46E-2</v>
      </c>
      <c r="EP5">
        <v>3.87</v>
      </c>
      <c r="EQ5">
        <v>-4.1100000000000003</v>
      </c>
    </row>
    <row r="6" spans="1:147" ht="101.25" x14ac:dyDescent="0.3">
      <c r="A6" s="29"/>
      <c r="B6" s="30"/>
      <c r="C6" s="30"/>
      <c r="D6" s="30" t="s">
        <v>714</v>
      </c>
      <c r="E6" t="s">
        <v>174</v>
      </c>
      <c r="F6" t="s">
        <v>175</v>
      </c>
      <c r="G6">
        <v>5.29</v>
      </c>
      <c r="H6">
        <v>-4.51</v>
      </c>
      <c r="I6" t="s">
        <v>672</v>
      </c>
      <c r="J6">
        <v>10205563900</v>
      </c>
      <c r="K6">
        <v>22.77</v>
      </c>
      <c r="L6">
        <v>1.35</v>
      </c>
      <c r="M6" t="s">
        <v>171</v>
      </c>
      <c r="N6" t="s">
        <v>673</v>
      </c>
      <c r="O6" t="s">
        <v>674</v>
      </c>
      <c r="P6" t="s">
        <v>675</v>
      </c>
      <c r="Q6">
        <v>-34.11</v>
      </c>
      <c r="R6" t="s">
        <v>676</v>
      </c>
      <c r="S6">
        <v>72235981</v>
      </c>
      <c r="T6" s="31">
        <v>-0.93510000000000004</v>
      </c>
      <c r="U6" t="s">
        <v>677</v>
      </c>
      <c r="V6">
        <v>1042556800</v>
      </c>
      <c r="W6">
        <v>1929218000</v>
      </c>
      <c r="X6">
        <v>1.98</v>
      </c>
      <c r="Y6">
        <v>0.51</v>
      </c>
      <c r="Z6">
        <v>0.86</v>
      </c>
      <c r="AA6" t="s">
        <v>678</v>
      </c>
      <c r="AB6" t="s">
        <v>679</v>
      </c>
      <c r="AC6" t="s">
        <v>680</v>
      </c>
      <c r="AD6" t="s">
        <v>681</v>
      </c>
      <c r="AE6" t="s">
        <v>682</v>
      </c>
      <c r="AF6">
        <v>23545801</v>
      </c>
      <c r="AG6" t="s">
        <v>683</v>
      </c>
      <c r="AH6" t="s">
        <v>684</v>
      </c>
      <c r="AI6" t="s">
        <v>685</v>
      </c>
      <c r="AJ6" t="s">
        <v>686</v>
      </c>
      <c r="AK6" t="s">
        <v>687</v>
      </c>
      <c r="AL6" t="s">
        <v>688</v>
      </c>
      <c r="AM6" t="s">
        <v>689</v>
      </c>
      <c r="AN6" t="s">
        <v>316</v>
      </c>
      <c r="AO6" t="s">
        <v>690</v>
      </c>
      <c r="AP6" t="s">
        <v>316</v>
      </c>
      <c r="AQ6" t="s">
        <v>691</v>
      </c>
      <c r="AR6" t="s">
        <v>692</v>
      </c>
      <c r="AS6" t="s">
        <v>316</v>
      </c>
      <c r="AT6" t="s">
        <v>693</v>
      </c>
      <c r="AU6" t="s">
        <v>694</v>
      </c>
      <c r="AV6" t="s">
        <v>695</v>
      </c>
      <c r="AW6" t="s">
        <v>696</v>
      </c>
      <c r="AX6" t="s">
        <v>697</v>
      </c>
      <c r="AY6" t="s">
        <v>698</v>
      </c>
      <c r="AZ6" t="s">
        <v>699</v>
      </c>
      <c r="BA6" t="s">
        <v>700</v>
      </c>
      <c r="BB6" t="s">
        <v>701</v>
      </c>
      <c r="BC6" t="s">
        <v>702</v>
      </c>
      <c r="BD6" t="s">
        <v>703</v>
      </c>
      <c r="BE6" t="s">
        <v>397</v>
      </c>
      <c r="BF6" t="s">
        <v>178</v>
      </c>
      <c r="BG6" t="s">
        <v>704</v>
      </c>
      <c r="BH6" t="s">
        <v>705</v>
      </c>
      <c r="BI6" t="s">
        <v>706</v>
      </c>
      <c r="BJ6" t="s">
        <v>707</v>
      </c>
      <c r="BK6" t="s">
        <v>708</v>
      </c>
      <c r="BL6" t="s">
        <v>709</v>
      </c>
      <c r="BM6" t="s">
        <v>710</v>
      </c>
      <c r="BN6" t="s">
        <v>711</v>
      </c>
      <c r="BO6">
        <v>0.01</v>
      </c>
      <c r="BP6">
        <v>14.11</v>
      </c>
      <c r="BQ6">
        <v>3.38</v>
      </c>
      <c r="BR6">
        <v>0.01</v>
      </c>
      <c r="BS6">
        <v>15.89</v>
      </c>
      <c r="BT6">
        <v>3.52</v>
      </c>
      <c r="BU6" t="s">
        <v>712</v>
      </c>
      <c r="BV6" t="s">
        <v>220</v>
      </c>
      <c r="BW6">
        <v>5.8</v>
      </c>
      <c r="BX6">
        <v>16.850000000000001</v>
      </c>
      <c r="BY6">
        <v>14.47</v>
      </c>
      <c r="BZ6">
        <v>1.32</v>
      </c>
      <c r="CA6">
        <v>10.24</v>
      </c>
      <c r="CB6">
        <v>5.46</v>
      </c>
      <c r="CC6">
        <v>-13.28</v>
      </c>
      <c r="CD6">
        <v>0.95</v>
      </c>
      <c r="CE6" t="s">
        <v>397</v>
      </c>
      <c r="CF6" t="s">
        <v>713</v>
      </c>
      <c r="CG6" s="32">
        <v>-0.31364803476199865</v>
      </c>
      <c r="CH6" s="33">
        <v>-0.97830370505617981</v>
      </c>
      <c r="CI6" s="32">
        <v>1.6275397539138794</v>
      </c>
      <c r="CJ6" s="32">
        <v>2.4017901420593262</v>
      </c>
      <c r="CK6" s="32">
        <v>-0.27295735478401184</v>
      </c>
      <c r="CL6" s="32">
        <v>4.8124313354492188E-2</v>
      </c>
      <c r="CM6" s="32">
        <v>0.56524324417114258</v>
      </c>
      <c r="CN6" s="33">
        <v>1.1241083145141602</v>
      </c>
      <c r="CO6" s="33">
        <v>5.3727273941040039</v>
      </c>
      <c r="CP6" s="33">
        <v>-0.46601942181587219</v>
      </c>
      <c r="CQ6" s="33">
        <v>0.13812154531478882</v>
      </c>
      <c r="CR6" s="33">
        <v>1.1173184029757977E-2</v>
      </c>
      <c r="CS6">
        <v>21.365451290997907</v>
      </c>
      <c r="CT6">
        <v>0.24447050406134724</v>
      </c>
      <c r="CU6">
        <v>4.3780718336483933</v>
      </c>
      <c r="CV6" s="32">
        <v>0.87394801974296565</v>
      </c>
      <c r="CW6" s="33">
        <v>1.2360222032293677</v>
      </c>
      <c r="CX6">
        <v>0.06</v>
      </c>
      <c r="CY6">
        <v>3.8321272882309367</v>
      </c>
      <c r="CZ6">
        <v>2632366605.0917697</v>
      </c>
      <c r="DA6">
        <v>0.87394801974296565</v>
      </c>
      <c r="DB6">
        <v>0.68739233915614306</v>
      </c>
      <c r="DC6">
        <v>14675118306.357183</v>
      </c>
      <c r="DD6">
        <v>0.83025061875581729</v>
      </c>
      <c r="DE6">
        <v>0.13175694153603446</v>
      </c>
      <c r="DF6">
        <v>76561916073.629654</v>
      </c>
      <c r="DG6">
        <v>0.76907425737380974</v>
      </c>
      <c r="DH6">
        <v>2.2955178325760814E-2</v>
      </c>
      <c r="DI6">
        <v>439446113501.95917</v>
      </c>
      <c r="DJ6">
        <v>0.69915841579437255</v>
      </c>
      <c r="DK6">
        <v>5.3153662700513346E-4</v>
      </c>
      <c r="DL6">
        <v>18978116252941.824</v>
      </c>
      <c r="DM6">
        <v>0.61176361382007594</v>
      </c>
      <c r="DN6">
        <v>1489000000</v>
      </c>
      <c r="DO6">
        <v>0.87394801974296565</v>
      </c>
      <c r="DP6">
        <v>10087563900</v>
      </c>
      <c r="DQ6">
        <v>6689577000</v>
      </c>
      <c r="DR6">
        <v>5108</v>
      </c>
      <c r="DS6">
        <v>-1.1875960545049642</v>
      </c>
      <c r="DT6">
        <v>-2.2143259082855478</v>
      </c>
      <c r="DU6" s="34">
        <v>0.24333333333333326</v>
      </c>
      <c r="DV6">
        <v>0.14333333333333331</v>
      </c>
      <c r="DW6">
        <v>0.3866666666666666</v>
      </c>
      <c r="DX6">
        <v>-5.0715361445783129</v>
      </c>
      <c r="DY6">
        <v>0.30398294762484757</v>
      </c>
      <c r="DZ6">
        <v>-5.0095846235123194</v>
      </c>
      <c r="EA6">
        <v>1305</v>
      </c>
      <c r="EB6">
        <v>-5.0071402354561192</v>
      </c>
      <c r="EC6">
        <v>5</v>
      </c>
      <c r="ED6">
        <v>5.7017921250993933E-2</v>
      </c>
      <c r="EE6">
        <v>0.42556103042787291</v>
      </c>
      <c r="EF6" s="35">
        <v>-1.0120100000000001</v>
      </c>
      <c r="EG6">
        <v>-1.05711</v>
      </c>
      <c r="EH6">
        <v>17.133982947624848</v>
      </c>
      <c r="EI6" t="s">
        <v>626</v>
      </c>
      <c r="EJ6">
        <v>0</v>
      </c>
      <c r="EK6">
        <v>1</v>
      </c>
      <c r="EL6" s="36">
        <v>45378</v>
      </c>
      <c r="EM6">
        <v>0.99</v>
      </c>
      <c r="EN6">
        <v>-4.4000000000000004</v>
      </c>
      <c r="EO6">
        <v>-3.7199999999999997E-2</v>
      </c>
      <c r="EP6">
        <v>1.84</v>
      </c>
      <c r="EQ6">
        <v>-4.51</v>
      </c>
    </row>
    <row r="7" spans="1:147" ht="168.75" x14ac:dyDescent="0.3">
      <c r="A7" s="29" t="s">
        <v>210</v>
      </c>
      <c r="B7" s="30" t="s">
        <v>715</v>
      </c>
      <c r="C7" s="30" t="s">
        <v>716</v>
      </c>
      <c r="D7" s="30" t="s">
        <v>762</v>
      </c>
      <c r="E7" t="s">
        <v>183</v>
      </c>
      <c r="F7" t="s">
        <v>184</v>
      </c>
      <c r="G7">
        <v>11.61</v>
      </c>
      <c r="H7">
        <v>-5.38</v>
      </c>
      <c r="I7" t="s">
        <v>717</v>
      </c>
      <c r="J7">
        <v>26217972000</v>
      </c>
      <c r="K7">
        <v>15.56</v>
      </c>
      <c r="L7">
        <v>1.1299999999999999</v>
      </c>
      <c r="M7" t="s">
        <v>171</v>
      </c>
      <c r="N7" t="s">
        <v>718</v>
      </c>
      <c r="O7" t="s">
        <v>719</v>
      </c>
      <c r="P7" t="s">
        <v>720</v>
      </c>
      <c r="Q7">
        <v>-7.14</v>
      </c>
      <c r="R7" t="s">
        <v>721</v>
      </c>
      <c r="S7">
        <v>1202181390</v>
      </c>
      <c r="T7" s="31">
        <v>-0.45579999999999998</v>
      </c>
      <c r="U7" t="s">
        <v>722</v>
      </c>
      <c r="V7">
        <v>1757236500</v>
      </c>
      <c r="W7">
        <v>2258992600</v>
      </c>
      <c r="X7">
        <v>2.0299999999999998</v>
      </c>
      <c r="Y7">
        <v>0.31</v>
      </c>
      <c r="Z7">
        <v>8.58</v>
      </c>
      <c r="AA7" t="s">
        <v>723</v>
      </c>
      <c r="AB7" t="s">
        <v>724</v>
      </c>
      <c r="AC7" t="s">
        <v>725</v>
      </c>
      <c r="AD7" t="s">
        <v>726</v>
      </c>
      <c r="AE7" t="s">
        <v>727</v>
      </c>
      <c r="AF7">
        <v>359966530</v>
      </c>
      <c r="AG7" t="s">
        <v>728</v>
      </c>
      <c r="AH7" t="s">
        <v>729</v>
      </c>
      <c r="AI7" t="s">
        <v>730</v>
      </c>
      <c r="AJ7" t="s">
        <v>731</v>
      </c>
      <c r="AK7" t="s">
        <v>732</v>
      </c>
      <c r="AL7" t="s">
        <v>391</v>
      </c>
      <c r="AM7" t="s">
        <v>733</v>
      </c>
      <c r="AN7" t="s">
        <v>316</v>
      </c>
      <c r="AO7" t="s">
        <v>734</v>
      </c>
      <c r="AP7" t="s">
        <v>735</v>
      </c>
      <c r="AQ7" t="s">
        <v>736</v>
      </c>
      <c r="AR7" t="s">
        <v>737</v>
      </c>
      <c r="AS7" t="s">
        <v>738</v>
      </c>
      <c r="AT7" t="s">
        <v>739</v>
      </c>
      <c r="AU7" t="s">
        <v>740</v>
      </c>
      <c r="AV7" t="s">
        <v>741</v>
      </c>
      <c r="AW7" t="s">
        <v>742</v>
      </c>
      <c r="AX7" t="s">
        <v>743</v>
      </c>
      <c r="AY7" t="s">
        <v>744</v>
      </c>
      <c r="AZ7" t="s">
        <v>745</v>
      </c>
      <c r="BA7" t="s">
        <v>746</v>
      </c>
      <c r="BB7" t="s">
        <v>747</v>
      </c>
      <c r="BC7" t="s">
        <v>748</v>
      </c>
      <c r="BD7" t="s">
        <v>749</v>
      </c>
      <c r="BE7" t="s">
        <v>750</v>
      </c>
      <c r="BF7" t="s">
        <v>751</v>
      </c>
      <c r="BG7" t="s">
        <v>752</v>
      </c>
      <c r="BH7" t="s">
        <v>753</v>
      </c>
      <c r="BI7" t="s">
        <v>754</v>
      </c>
      <c r="BJ7" t="s">
        <v>755</v>
      </c>
      <c r="BK7" t="s">
        <v>756</v>
      </c>
      <c r="BL7" t="s">
        <v>757</v>
      </c>
      <c r="BM7" t="s">
        <v>758</v>
      </c>
      <c r="BN7" t="s">
        <v>759</v>
      </c>
      <c r="BO7">
        <v>1.76</v>
      </c>
      <c r="BP7">
        <v>15.21</v>
      </c>
      <c r="BQ7">
        <v>1.98</v>
      </c>
      <c r="BR7">
        <v>2.4300000000000002</v>
      </c>
      <c r="BS7">
        <v>23.75</v>
      </c>
      <c r="BT7">
        <v>1.21</v>
      </c>
      <c r="BU7" t="s">
        <v>760</v>
      </c>
      <c r="BV7" t="s">
        <v>220</v>
      </c>
      <c r="BW7">
        <v>18.32</v>
      </c>
      <c r="BX7">
        <v>25.03</v>
      </c>
      <c r="BY7">
        <v>18.420000000000002</v>
      </c>
      <c r="BZ7">
        <v>11.31</v>
      </c>
      <c r="CA7">
        <v>17.25</v>
      </c>
      <c r="CB7">
        <v>2.5</v>
      </c>
      <c r="CC7">
        <v>-7.27</v>
      </c>
      <c r="CD7">
        <v>5.45</v>
      </c>
      <c r="CE7" t="s">
        <v>308</v>
      </c>
      <c r="CF7" t="s">
        <v>761</v>
      </c>
      <c r="CG7" s="32">
        <v>3.3931741960939038E-2</v>
      </c>
      <c r="CH7" s="33">
        <v>-0.65477848540146011</v>
      </c>
      <c r="CI7" s="32">
        <v>4.8456434160470963E-2</v>
      </c>
      <c r="CJ7" s="32">
        <v>1.5193525552749634</v>
      </c>
      <c r="CK7" s="32">
        <v>-5.345616489648819E-2</v>
      </c>
      <c r="CL7" s="32">
        <v>-1.9541477784514427E-2</v>
      </c>
      <c r="CM7" s="32">
        <v>7.0366352796554565E-2</v>
      </c>
      <c r="CN7" s="33">
        <v>-0.19431136548519135</v>
      </c>
      <c r="CO7" s="33">
        <v>23.202898025512695</v>
      </c>
      <c r="CP7" s="33">
        <v>-0.48888888955116272</v>
      </c>
      <c r="CQ7" s="33">
        <v>-0.75784754753112793</v>
      </c>
      <c r="CR7" s="33">
        <v>0.24441970884799957</v>
      </c>
      <c r="CS7">
        <v>18.616311479289941</v>
      </c>
      <c r="CT7">
        <v>0.59470280865330927</v>
      </c>
      <c r="CU7">
        <v>2.5839793281653747</v>
      </c>
      <c r="CV7" s="32">
        <v>0.31303553991019728</v>
      </c>
      <c r="CW7" s="33">
        <v>4.4012539863586424</v>
      </c>
      <c r="CX7">
        <v>0.06</v>
      </c>
      <c r="CY7">
        <v>8.098087765940484</v>
      </c>
      <c r="CZ7">
        <v>3333376073.4890003</v>
      </c>
      <c r="DA7">
        <v>0.31303553991019728</v>
      </c>
      <c r="DB7">
        <v>2.2019879685670829</v>
      </c>
      <c r="DC7">
        <v>12258909851.158724</v>
      </c>
      <c r="DD7">
        <v>0.29738376291468738</v>
      </c>
      <c r="DE7">
        <v>0.83264970283512074</v>
      </c>
      <c r="DF7">
        <v>32419361837.38155</v>
      </c>
      <c r="DG7">
        <v>0.27547127512097364</v>
      </c>
      <c r="DH7">
        <v>0.36214935189450537</v>
      </c>
      <c r="DI7">
        <v>74538230867.422302</v>
      </c>
      <c r="DJ7">
        <v>0.25042843192815784</v>
      </c>
      <c r="DK7">
        <v>8.5019660430205105E-2</v>
      </c>
      <c r="DL7">
        <v>317502703061.95905</v>
      </c>
      <c r="DM7">
        <v>0.21912487793713809</v>
      </c>
      <c r="DN7">
        <v>2691000000</v>
      </c>
      <c r="DO7">
        <v>0.31303553991019728</v>
      </c>
      <c r="DP7">
        <v>26993972000</v>
      </c>
      <c r="DQ7">
        <v>6217974000</v>
      </c>
      <c r="DR7">
        <v>3554</v>
      </c>
      <c r="DS7">
        <v>-0.27910379794925821</v>
      </c>
      <c r="DT7">
        <v>-5.0560324717601022</v>
      </c>
      <c r="DU7" s="34">
        <v>-0.14000000000000001</v>
      </c>
      <c r="DV7">
        <v>-0.32000000000000006</v>
      </c>
      <c r="DW7">
        <v>-0.46000000000000008</v>
      </c>
      <c r="DX7">
        <v>-5.7496561210453923</v>
      </c>
      <c r="DY7">
        <v>0.3728189910979236</v>
      </c>
      <c r="DZ7">
        <v>-5.1145616920885395</v>
      </c>
      <c r="EA7">
        <v>3240</v>
      </c>
      <c r="EB7">
        <v>-5.0420231182431481</v>
      </c>
      <c r="EC7">
        <v>5</v>
      </c>
      <c r="ED7">
        <v>4.5595545554243957E-2</v>
      </c>
      <c r="EE7">
        <v>0.29836308450058668</v>
      </c>
      <c r="EF7" s="35">
        <v>6.6400000000000001E-2</v>
      </c>
      <c r="EG7">
        <v>1.26E-2</v>
      </c>
      <c r="EH7">
        <v>22.152818991097924</v>
      </c>
      <c r="EI7" t="s">
        <v>581</v>
      </c>
      <c r="EJ7">
        <v>0</v>
      </c>
      <c r="EK7">
        <v>0</v>
      </c>
      <c r="EL7" s="36">
        <v>45378</v>
      </c>
      <c r="EM7">
        <v>-2.42</v>
      </c>
      <c r="EN7">
        <v>-1.86</v>
      </c>
      <c r="EO7">
        <v>-1.8200000000000001E-2</v>
      </c>
      <c r="EP7">
        <v>3.2</v>
      </c>
      <c r="EQ7">
        <v>-5.38</v>
      </c>
    </row>
    <row r="8" spans="1:147" ht="90" x14ac:dyDescent="0.3">
      <c r="A8" s="29"/>
      <c r="B8" s="30"/>
      <c r="C8" s="30"/>
      <c r="D8" s="30" t="s">
        <v>627</v>
      </c>
      <c r="E8" t="s">
        <v>176</v>
      </c>
      <c r="F8" t="s">
        <v>177</v>
      </c>
      <c r="G8">
        <v>35.450000000000003</v>
      </c>
      <c r="H8">
        <v>-1.36</v>
      </c>
      <c r="I8" t="s">
        <v>583</v>
      </c>
      <c r="J8">
        <v>17955452000</v>
      </c>
      <c r="K8">
        <v>7.9</v>
      </c>
      <c r="L8">
        <v>1.42</v>
      </c>
      <c r="M8" t="s">
        <v>171</v>
      </c>
      <c r="N8" t="s">
        <v>584</v>
      </c>
      <c r="O8" t="s">
        <v>585</v>
      </c>
      <c r="P8" t="s">
        <v>586</v>
      </c>
      <c r="Q8">
        <v>-10.96</v>
      </c>
      <c r="R8" t="s">
        <v>587</v>
      </c>
      <c r="S8">
        <v>1491575400</v>
      </c>
      <c r="T8" s="31">
        <v>9.1299999999999992E-3</v>
      </c>
      <c r="U8" t="s">
        <v>588</v>
      </c>
      <c r="V8">
        <v>488466020</v>
      </c>
      <c r="W8">
        <v>506500770</v>
      </c>
      <c r="X8">
        <v>1.47</v>
      </c>
      <c r="Y8">
        <v>0.62</v>
      </c>
      <c r="Z8">
        <v>11.88</v>
      </c>
      <c r="AA8" t="s">
        <v>589</v>
      </c>
      <c r="AB8" t="s">
        <v>590</v>
      </c>
      <c r="AC8" t="s">
        <v>591</v>
      </c>
      <c r="AD8" t="s">
        <v>308</v>
      </c>
      <c r="AE8" t="s">
        <v>592</v>
      </c>
      <c r="AF8">
        <v>-247910680</v>
      </c>
      <c r="AG8" t="s">
        <v>593</v>
      </c>
      <c r="AH8" t="s">
        <v>594</v>
      </c>
      <c r="AI8" t="s">
        <v>595</v>
      </c>
      <c r="AJ8" t="s">
        <v>596</v>
      </c>
      <c r="AK8" t="s">
        <v>597</v>
      </c>
      <c r="AL8" t="s">
        <v>598</v>
      </c>
      <c r="AM8" t="s">
        <v>599</v>
      </c>
      <c r="AN8" t="s">
        <v>316</v>
      </c>
      <c r="AO8" t="s">
        <v>600</v>
      </c>
      <c r="AP8" t="s">
        <v>316</v>
      </c>
      <c r="AQ8" t="s">
        <v>601</v>
      </c>
      <c r="AR8" t="s">
        <v>602</v>
      </c>
      <c r="AS8" t="s">
        <v>603</v>
      </c>
      <c r="AT8" t="s">
        <v>604</v>
      </c>
      <c r="AU8" t="s">
        <v>316</v>
      </c>
      <c r="AV8" t="s">
        <v>605</v>
      </c>
      <c r="AW8" t="s">
        <v>510</v>
      </c>
      <c r="AX8" t="s">
        <v>606</v>
      </c>
      <c r="AY8" t="s">
        <v>607</v>
      </c>
      <c r="AZ8" t="s">
        <v>608</v>
      </c>
      <c r="BA8" t="s">
        <v>609</v>
      </c>
      <c r="BB8" t="s">
        <v>610</v>
      </c>
      <c r="BC8" t="s">
        <v>611</v>
      </c>
      <c r="BD8" t="s">
        <v>612</v>
      </c>
      <c r="BE8" t="s">
        <v>613</v>
      </c>
      <c r="BF8" t="s">
        <v>614</v>
      </c>
      <c r="BG8" t="s">
        <v>615</v>
      </c>
      <c r="BH8" t="s">
        <v>616</v>
      </c>
      <c r="BI8" t="s">
        <v>617</v>
      </c>
      <c r="BJ8" t="s">
        <v>618</v>
      </c>
      <c r="BK8" t="s">
        <v>619</v>
      </c>
      <c r="BL8" t="s">
        <v>620</v>
      </c>
      <c r="BM8" t="s">
        <v>621</v>
      </c>
      <c r="BN8" t="s">
        <v>622</v>
      </c>
      <c r="BO8">
        <v>3.66</v>
      </c>
      <c r="BP8">
        <v>15.9</v>
      </c>
      <c r="BQ8">
        <v>10.02</v>
      </c>
      <c r="BR8">
        <v>3.68</v>
      </c>
      <c r="BS8">
        <v>23.22</v>
      </c>
      <c r="BT8">
        <v>11.97</v>
      </c>
      <c r="BU8" t="s">
        <v>623</v>
      </c>
      <c r="BV8" t="s">
        <v>220</v>
      </c>
      <c r="BW8">
        <v>17.579999999999998</v>
      </c>
      <c r="BX8">
        <v>18.239999999999998</v>
      </c>
      <c r="BY8">
        <v>19.21</v>
      </c>
      <c r="BZ8">
        <v>11.01</v>
      </c>
      <c r="CA8">
        <v>13.21</v>
      </c>
      <c r="CB8">
        <v>12.21</v>
      </c>
      <c r="CC8">
        <v>-1.56</v>
      </c>
      <c r="CD8">
        <v>14.5</v>
      </c>
      <c r="CE8" t="s">
        <v>624</v>
      </c>
      <c r="CF8" t="s">
        <v>625</v>
      </c>
      <c r="CG8" s="32">
        <v>-0.16726980297547245</v>
      </c>
      <c r="CH8" s="33">
        <v>-7.5017667844544009E-4</v>
      </c>
      <c r="CI8" s="32">
        <v>1.5749574899673462</v>
      </c>
      <c r="CJ8" s="32">
        <v>1.5944076776504517</v>
      </c>
      <c r="CK8" s="32">
        <v>0.3936077356338501</v>
      </c>
      <c r="CL8" s="32">
        <v>-0.30387076735496521</v>
      </c>
      <c r="CM8" s="32">
        <v>0.5203891396522522</v>
      </c>
      <c r="CN8" s="33">
        <v>1.0705773830413818</v>
      </c>
      <c r="CO8" s="33">
        <v>1.8337663412094116</v>
      </c>
      <c r="CP8" s="33">
        <v>2.8421051502227783</v>
      </c>
      <c r="CQ8" s="33">
        <v>-1.6613924503326416</v>
      </c>
      <c r="CR8" s="33">
        <v>0.26399999856948853</v>
      </c>
      <c r="CS8">
        <v>26.327642228739002</v>
      </c>
      <c r="CT8">
        <v>0.34829611063085686</v>
      </c>
      <c r="CU8">
        <v>1.8843441466854722</v>
      </c>
      <c r="CV8" s="32">
        <v>0.75589825510978703</v>
      </c>
      <c r="CW8" s="33">
        <v>0.86981128454208378</v>
      </c>
      <c r="CX8">
        <v>0.06</v>
      </c>
      <c r="CY8">
        <v>2.988321570950041</v>
      </c>
      <c r="CZ8">
        <v>3742051092.7292533</v>
      </c>
      <c r="DA8">
        <v>0.75589825510978703</v>
      </c>
      <c r="DB8">
        <v>0.58194561683431933</v>
      </c>
      <c r="DC8">
        <v>19215630595.9147</v>
      </c>
      <c r="DD8">
        <v>0.71810334235429762</v>
      </c>
      <c r="DE8">
        <v>0.12823386839626133</v>
      </c>
      <c r="DF8">
        <v>87203576869.759521</v>
      </c>
      <c r="DG8">
        <v>0.66519046449661257</v>
      </c>
      <c r="DH8">
        <v>2.700145560766232E-2</v>
      </c>
      <c r="DI8">
        <v>414142561885.68988</v>
      </c>
      <c r="DJ8">
        <v>0.60471860408782963</v>
      </c>
      <c r="DK8">
        <v>9.9767732352428178E-4</v>
      </c>
      <c r="DL8">
        <v>11208485686031.369</v>
      </c>
      <c r="DM8">
        <v>0.52912877857685092</v>
      </c>
      <c r="DN8">
        <v>2259000000</v>
      </c>
      <c r="DO8">
        <v>0.75589825510978703</v>
      </c>
      <c r="DP8">
        <v>11182452000</v>
      </c>
      <c r="DQ8">
        <v>9058446000</v>
      </c>
      <c r="DR8">
        <v>1573</v>
      </c>
      <c r="DS8">
        <v>-0.92316805808525948</v>
      </c>
      <c r="DT8">
        <v>-0.87056146122052924</v>
      </c>
      <c r="DU8" s="34">
        <v>0.31</v>
      </c>
      <c r="DV8">
        <v>0.60333333333333339</v>
      </c>
      <c r="DW8">
        <v>0.91333333333333333</v>
      </c>
      <c r="DX8">
        <v>2.145</v>
      </c>
      <c r="DY8">
        <v>0.68625215189873301</v>
      </c>
      <c r="DZ8">
        <v>2.0284565620253163</v>
      </c>
      <c r="EA8">
        <v>432</v>
      </c>
      <c r="EB8">
        <v>2.0260541319305467</v>
      </c>
      <c r="EC8">
        <v>2</v>
      </c>
      <c r="ED8">
        <v>0.1530493231036944</v>
      </c>
      <c r="EE8">
        <v>0.77986061107073934</v>
      </c>
      <c r="EF8" s="35">
        <v>-1.0129999999999999</v>
      </c>
      <c r="EG8">
        <v>-1.00061</v>
      </c>
      <c r="EH8">
        <v>49.196252151898733</v>
      </c>
      <c r="EI8" t="s">
        <v>626</v>
      </c>
      <c r="EJ8">
        <v>1</v>
      </c>
      <c r="EK8">
        <v>1</v>
      </c>
      <c r="EL8" s="36">
        <v>45378</v>
      </c>
      <c r="EM8">
        <v>0.47</v>
      </c>
      <c r="EN8">
        <v>-4.1900000000000004</v>
      </c>
      <c r="EO8">
        <v>-3.4599999999999999E-2</v>
      </c>
      <c r="EP8">
        <v>9.98</v>
      </c>
      <c r="EQ8">
        <v>-1.36</v>
      </c>
    </row>
  </sheetData>
  <mergeCells count="2">
    <mergeCell ref="A7:A8"/>
    <mergeCell ref="A3:A6"/>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Industry_copy_call_buttom [c2],[d2]'">
                <anchor moveWithCells="1" sizeWithCells="1">
                  <from>
                    <xdr:col>1</xdr:col>
                    <xdr:colOff>61913</xdr:colOff>
                    <xdr:row>1</xdr:row>
                    <xdr:rowOff>261938</xdr:rowOff>
                  </from>
                  <to>
                    <xdr:col>1</xdr:col>
                    <xdr:colOff>1090613</xdr:colOff>
                    <xdr:row>1</xdr:row>
                    <xdr:rowOff>709613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4"/>
  <sheetViews>
    <sheetView workbookViewId="0">
      <selection activeCell="D3" sqref="D3"/>
    </sheetView>
  </sheetViews>
  <sheetFormatPr defaultRowHeight="13.5" x14ac:dyDescent="0.3"/>
  <cols>
    <col min="1" max="1" width="8.9296875" style="23"/>
    <col min="2" max="2" width="39.19921875" customWidth="1"/>
    <col min="3" max="3" width="34.9296875" customWidth="1"/>
    <col min="4" max="4" width="41.796875" customWidth="1"/>
  </cols>
  <sheetData>
    <row r="1" spans="1:147" s="14" customFormat="1" x14ac:dyDescent="0.3">
      <c r="A1" s="15" t="s">
        <v>47</v>
      </c>
      <c r="B1" s="18" t="s">
        <v>126</v>
      </c>
      <c r="C1" s="19" t="s">
        <v>127</v>
      </c>
      <c r="D1" s="18" t="s">
        <v>128</v>
      </c>
      <c r="E1" t="s">
        <v>2</v>
      </c>
      <c r="F1" t="s">
        <v>3</v>
      </c>
      <c r="G1" t="s">
        <v>0</v>
      </c>
      <c r="H1" t="s">
        <v>99</v>
      </c>
      <c r="I1" t="s">
        <v>129</v>
      </c>
      <c r="J1" t="s">
        <v>4</v>
      </c>
      <c r="K1" t="s">
        <v>5</v>
      </c>
      <c r="L1" t="s">
        <v>1</v>
      </c>
      <c r="M1" t="s">
        <v>6</v>
      </c>
      <c r="N1" t="s">
        <v>7</v>
      </c>
      <c r="O1" t="s">
        <v>8</v>
      </c>
      <c r="P1" t="s">
        <v>9</v>
      </c>
      <c r="Q1" t="s">
        <v>130</v>
      </c>
      <c r="R1" t="s">
        <v>100</v>
      </c>
      <c r="S1" t="s">
        <v>131</v>
      </c>
      <c r="T1" t="s">
        <v>10</v>
      </c>
      <c r="U1" t="s">
        <v>101</v>
      </c>
      <c r="V1" t="s">
        <v>102</v>
      </c>
      <c r="W1" t="s">
        <v>11</v>
      </c>
      <c r="X1" t="s">
        <v>69</v>
      </c>
      <c r="Y1" t="s">
        <v>70</v>
      </c>
      <c r="Z1" t="s">
        <v>71</v>
      </c>
      <c r="AA1" t="s">
        <v>72</v>
      </c>
      <c r="AB1" t="s">
        <v>73</v>
      </c>
      <c r="AC1" t="s">
        <v>103</v>
      </c>
      <c r="AD1" t="s">
        <v>74</v>
      </c>
      <c r="AE1" t="s">
        <v>132</v>
      </c>
      <c r="AF1" t="s">
        <v>12</v>
      </c>
      <c r="AG1" t="s">
        <v>13</v>
      </c>
      <c r="AH1" t="s">
        <v>104</v>
      </c>
      <c r="AI1" t="s">
        <v>133</v>
      </c>
      <c r="AJ1" t="s">
        <v>105</v>
      </c>
      <c r="AK1" t="s">
        <v>14</v>
      </c>
      <c r="AL1" t="s">
        <v>106</v>
      </c>
      <c r="AM1" t="s">
        <v>48</v>
      </c>
      <c r="AN1" t="s">
        <v>107</v>
      </c>
      <c r="AO1" t="s">
        <v>108</v>
      </c>
      <c r="AP1" t="s">
        <v>109</v>
      </c>
      <c r="AQ1" t="s">
        <v>110</v>
      </c>
      <c r="AR1" t="s">
        <v>111</v>
      </c>
      <c r="AS1" t="s">
        <v>112</v>
      </c>
      <c r="AT1" t="s">
        <v>113</v>
      </c>
      <c r="AU1" t="s">
        <v>114</v>
      </c>
      <c r="AV1" t="s">
        <v>115</v>
      </c>
      <c r="AW1" t="s">
        <v>116</v>
      </c>
      <c r="AX1" t="s">
        <v>117</v>
      </c>
      <c r="AY1" t="s">
        <v>134</v>
      </c>
      <c r="AZ1" t="s">
        <v>49</v>
      </c>
      <c r="BA1" t="s">
        <v>50</v>
      </c>
      <c r="BB1" t="s">
        <v>51</v>
      </c>
      <c r="BC1" t="s">
        <v>52</v>
      </c>
      <c r="BD1" t="s">
        <v>58</v>
      </c>
      <c r="BE1" t="s">
        <v>53</v>
      </c>
      <c r="BF1" t="s">
        <v>54</v>
      </c>
      <c r="BG1" t="s">
        <v>55</v>
      </c>
      <c r="BH1" t="s">
        <v>56</v>
      </c>
      <c r="BI1" t="s">
        <v>135</v>
      </c>
      <c r="BJ1" t="s">
        <v>118</v>
      </c>
      <c r="BK1" t="s">
        <v>57</v>
      </c>
      <c r="BL1" t="s">
        <v>119</v>
      </c>
      <c r="BM1" t="s">
        <v>120</v>
      </c>
      <c r="BN1" t="s">
        <v>121</v>
      </c>
      <c r="BO1" t="s">
        <v>122</v>
      </c>
      <c r="BP1" t="s">
        <v>59</v>
      </c>
      <c r="BQ1" t="s">
        <v>60</v>
      </c>
      <c r="BR1" t="s">
        <v>61</v>
      </c>
      <c r="BS1" t="s">
        <v>123</v>
      </c>
      <c r="BT1" t="s">
        <v>62</v>
      </c>
      <c r="BU1" t="s">
        <v>63</v>
      </c>
      <c r="BV1" t="s">
        <v>64</v>
      </c>
      <c r="BW1" t="s">
        <v>124</v>
      </c>
      <c r="BX1" t="s">
        <v>65</v>
      </c>
      <c r="BY1" t="s">
        <v>66</v>
      </c>
      <c r="BZ1" t="s">
        <v>125</v>
      </c>
      <c r="CA1" t="s">
        <v>67</v>
      </c>
      <c r="CB1" t="s">
        <v>68</v>
      </c>
      <c r="CC1" t="s">
        <v>136</v>
      </c>
      <c r="CD1" t="s">
        <v>137</v>
      </c>
      <c r="CE1" t="s">
        <v>138</v>
      </c>
      <c r="CF1" t="s">
        <v>139</v>
      </c>
      <c r="CG1" s="1" t="s">
        <v>75</v>
      </c>
      <c r="CH1" s="1" t="s">
        <v>76</v>
      </c>
      <c r="CI1" s="1" t="s">
        <v>77</v>
      </c>
      <c r="CJ1" s="1" t="s">
        <v>78</v>
      </c>
      <c r="CK1" s="1" t="s">
        <v>79</v>
      </c>
      <c r="CL1" s="1" t="s">
        <v>80</v>
      </c>
      <c r="CM1" s="1" t="s">
        <v>81</v>
      </c>
      <c r="CN1" s="1" t="s">
        <v>82</v>
      </c>
      <c r="CO1" s="1" t="s">
        <v>83</v>
      </c>
      <c r="CP1" s="1" t="s">
        <v>84</v>
      </c>
      <c r="CQ1" s="1" t="s">
        <v>85</v>
      </c>
      <c r="CR1" s="1" t="s">
        <v>86</v>
      </c>
      <c r="CS1" s="1" t="s">
        <v>140</v>
      </c>
      <c r="CT1" s="1" t="s">
        <v>141</v>
      </c>
      <c r="CU1" s="1" t="s">
        <v>142</v>
      </c>
      <c r="CV1" s="1" t="s">
        <v>87</v>
      </c>
      <c r="CW1" s="1" t="s">
        <v>143</v>
      </c>
      <c r="CX1" s="1" t="s">
        <v>28</v>
      </c>
      <c r="CY1">
        <v>1</v>
      </c>
      <c r="CZ1" t="s">
        <v>144</v>
      </c>
      <c r="DA1" t="s">
        <v>94</v>
      </c>
      <c r="DB1">
        <v>3</v>
      </c>
      <c r="DC1" t="s">
        <v>145</v>
      </c>
      <c r="DD1" t="s">
        <v>146</v>
      </c>
      <c r="DE1">
        <v>6</v>
      </c>
      <c r="DF1" t="s">
        <v>95</v>
      </c>
      <c r="DG1" t="s">
        <v>147</v>
      </c>
      <c r="DH1">
        <v>10</v>
      </c>
      <c r="DI1" t="s">
        <v>148</v>
      </c>
      <c r="DJ1" t="s">
        <v>96</v>
      </c>
      <c r="DK1">
        <v>20</v>
      </c>
      <c r="DL1" t="s">
        <v>149</v>
      </c>
      <c r="DM1" t="s">
        <v>88</v>
      </c>
      <c r="DN1" t="s">
        <v>89</v>
      </c>
      <c r="DO1" s="2" t="s">
        <v>90</v>
      </c>
      <c r="DP1" t="s">
        <v>150</v>
      </c>
      <c r="DQ1" t="s">
        <v>97</v>
      </c>
      <c r="DR1" s="1" t="s">
        <v>91</v>
      </c>
      <c r="DS1" s="1" t="s">
        <v>92</v>
      </c>
      <c r="DT1" s="1" t="s">
        <v>151</v>
      </c>
      <c r="DU1" t="s">
        <v>152</v>
      </c>
      <c r="DV1" t="s">
        <v>98</v>
      </c>
      <c r="DW1" t="s">
        <v>153</v>
      </c>
      <c r="DX1" t="s">
        <v>154</v>
      </c>
      <c r="DY1" t="s">
        <v>155</v>
      </c>
      <c r="DZ1" t="s">
        <v>156</v>
      </c>
      <c r="EA1" t="s">
        <v>157</v>
      </c>
      <c r="EB1" t="s">
        <v>93</v>
      </c>
      <c r="EC1" t="s">
        <v>158</v>
      </c>
      <c r="ED1" t="s">
        <v>159</v>
      </c>
      <c r="EE1" t="s">
        <v>160</v>
      </c>
      <c r="EF1" t="s">
        <v>161</v>
      </c>
      <c r="EG1" t="s">
        <v>162</v>
      </c>
      <c r="EH1" t="s">
        <v>163</v>
      </c>
      <c r="EI1" t="s">
        <v>164</v>
      </c>
      <c r="EJ1" t="s">
        <v>165</v>
      </c>
      <c r="EK1"/>
    </row>
    <row r="2" spans="1:147" s="14" customFormat="1" ht="71.55" customHeight="1" x14ac:dyDescent="0.3">
      <c r="A2" s="22"/>
      <c r="B2" s="20"/>
      <c r="C2" s="21">
        <v>3</v>
      </c>
      <c r="D2" s="21">
        <v>4</v>
      </c>
      <c r="T2" s="16"/>
      <c r="U2" s="16"/>
      <c r="V2" s="16"/>
      <c r="AB2" s="17"/>
    </row>
    <row r="3" spans="1:147" ht="135" x14ac:dyDescent="0.3">
      <c r="B3" s="30"/>
      <c r="C3" s="30"/>
      <c r="D3" s="30" t="s">
        <v>800</v>
      </c>
      <c r="E3" t="s">
        <v>191</v>
      </c>
      <c r="F3" t="s">
        <v>192</v>
      </c>
      <c r="G3">
        <v>19.89</v>
      </c>
      <c r="H3">
        <v>2.21</v>
      </c>
      <c r="I3" t="s">
        <v>763</v>
      </c>
      <c r="J3">
        <v>5203224000</v>
      </c>
      <c r="K3">
        <v>167.8</v>
      </c>
      <c r="L3">
        <v>3.21</v>
      </c>
      <c r="M3" t="s">
        <v>168</v>
      </c>
      <c r="N3" t="s">
        <v>764</v>
      </c>
      <c r="O3" t="s">
        <v>765</v>
      </c>
      <c r="P3" t="s">
        <v>766</v>
      </c>
      <c r="Q3">
        <v>-20.87</v>
      </c>
      <c r="R3" t="s">
        <v>767</v>
      </c>
      <c r="S3">
        <v>12843900</v>
      </c>
      <c r="T3" s="31">
        <v>-0.90510000000000002</v>
      </c>
      <c r="U3" t="s">
        <v>768</v>
      </c>
      <c r="V3">
        <v>175047000</v>
      </c>
      <c r="W3">
        <v>261600000</v>
      </c>
      <c r="X3">
        <v>1.29</v>
      </c>
      <c r="Y3">
        <v>0.24</v>
      </c>
      <c r="Z3">
        <v>2.61</v>
      </c>
      <c r="AA3" t="s">
        <v>769</v>
      </c>
      <c r="AB3" t="s">
        <v>770</v>
      </c>
      <c r="AC3" t="s">
        <v>771</v>
      </c>
      <c r="AD3" t="s">
        <v>772</v>
      </c>
      <c r="AE3" t="s">
        <v>773</v>
      </c>
      <c r="AF3">
        <v>-8371254</v>
      </c>
      <c r="AG3" t="s">
        <v>774</v>
      </c>
      <c r="AH3" t="s">
        <v>775</v>
      </c>
      <c r="AI3" t="s">
        <v>776</v>
      </c>
      <c r="AJ3" t="s">
        <v>500</v>
      </c>
      <c r="AK3" t="s">
        <v>777</v>
      </c>
      <c r="AL3" t="s">
        <v>778</v>
      </c>
      <c r="AM3" t="s">
        <v>779</v>
      </c>
      <c r="AN3" t="s">
        <v>316</v>
      </c>
      <c r="AO3" t="s">
        <v>780</v>
      </c>
      <c r="AP3" t="s">
        <v>781</v>
      </c>
      <c r="AQ3" t="s">
        <v>316</v>
      </c>
      <c r="AR3" t="s">
        <v>782</v>
      </c>
      <c r="AS3" t="s">
        <v>316</v>
      </c>
      <c r="AT3" t="s">
        <v>558</v>
      </c>
      <c r="AU3" t="s">
        <v>316</v>
      </c>
      <c r="AV3" t="s">
        <v>783</v>
      </c>
      <c r="AW3" t="s">
        <v>784</v>
      </c>
      <c r="AX3" t="s">
        <v>785</v>
      </c>
      <c r="AY3" t="s">
        <v>786</v>
      </c>
      <c r="AZ3" t="s">
        <v>787</v>
      </c>
      <c r="BA3" t="s">
        <v>788</v>
      </c>
      <c r="BB3" t="s">
        <v>789</v>
      </c>
      <c r="BC3" t="s">
        <v>790</v>
      </c>
      <c r="BD3" t="s">
        <v>791</v>
      </c>
      <c r="BE3" t="s">
        <v>682</v>
      </c>
      <c r="BF3" t="s">
        <v>466</v>
      </c>
      <c r="BG3" t="s">
        <v>480</v>
      </c>
      <c r="BH3" t="s">
        <v>792</v>
      </c>
      <c r="BI3" t="s">
        <v>793</v>
      </c>
      <c r="BJ3" t="s">
        <v>794</v>
      </c>
      <c r="BK3" t="s">
        <v>795</v>
      </c>
      <c r="BL3" t="s">
        <v>796</v>
      </c>
      <c r="BM3" t="s">
        <v>394</v>
      </c>
      <c r="BN3" t="s">
        <v>495</v>
      </c>
      <c r="BO3">
        <v>0.15</v>
      </c>
      <c r="BP3">
        <v>15.37</v>
      </c>
      <c r="BQ3">
        <v>15.48</v>
      </c>
      <c r="BR3">
        <v>0.11</v>
      </c>
      <c r="BS3">
        <v>15.86</v>
      </c>
      <c r="BT3">
        <v>24.67</v>
      </c>
      <c r="BU3" t="s">
        <v>760</v>
      </c>
      <c r="BV3" t="s">
        <v>344</v>
      </c>
      <c r="BW3">
        <v>14.88</v>
      </c>
      <c r="BX3">
        <v>38.33</v>
      </c>
      <c r="BY3">
        <v>45.33</v>
      </c>
      <c r="BZ3">
        <v>5.96</v>
      </c>
      <c r="CA3">
        <v>24.53</v>
      </c>
      <c r="CB3">
        <v>26.68</v>
      </c>
      <c r="CC3">
        <v>11.74</v>
      </c>
      <c r="CD3">
        <v>4.1399999999999997</v>
      </c>
      <c r="CE3" t="s">
        <v>797</v>
      </c>
      <c r="CF3" t="s">
        <v>798</v>
      </c>
      <c r="CG3" s="32">
        <v>0.65079365079365081</v>
      </c>
      <c r="CH3" s="33">
        <v>-1.1181852941176471</v>
      </c>
      <c r="CI3" s="32">
        <v>-0.2298969030380249</v>
      </c>
      <c r="CJ3" s="32">
        <v>0.62751680612564087</v>
      </c>
      <c r="CK3" s="32">
        <v>0.23908524215221405</v>
      </c>
      <c r="CL3" s="32">
        <v>-8.901514858007431E-2</v>
      </c>
      <c r="CM3" s="32">
        <v>0.63467490673065186</v>
      </c>
      <c r="CN3" s="33">
        <v>-0.3571428656578064</v>
      </c>
      <c r="CO3" s="33">
        <v>0.49685534834861755</v>
      </c>
      <c r="CP3" s="33">
        <v>0.18656715750694275</v>
      </c>
      <c r="CQ3" s="33">
        <v>0.28846153616905212</v>
      </c>
      <c r="CR3" s="33">
        <v>1.1485872268676758</v>
      </c>
      <c r="CS3">
        <v>37.325679614836801</v>
      </c>
      <c r="CT3">
        <v>1.5784331684662731</v>
      </c>
      <c r="CU3">
        <v>1.5082956259426847</v>
      </c>
      <c r="CV3" s="32">
        <v>0.23647298067808151</v>
      </c>
      <c r="CW3" s="33">
        <v>0.35266568064689635</v>
      </c>
      <c r="CX3">
        <v>0.06</v>
      </c>
      <c r="CY3">
        <v>22.688281716335553</v>
      </c>
      <c r="CZ3">
        <v>178472043.43749666</v>
      </c>
      <c r="DA3">
        <v>0.23647298067808151</v>
      </c>
      <c r="DB3">
        <v>6.5634870377480343</v>
      </c>
      <c r="DC3">
        <v>616931819.42952526</v>
      </c>
      <c r="DD3">
        <v>0.22464933164417741</v>
      </c>
      <c r="DE3">
        <v>2.7225070906133024</v>
      </c>
      <c r="DF3">
        <v>1487314400.0105529</v>
      </c>
      <c r="DG3">
        <v>0.20809622299671174</v>
      </c>
      <c r="DH3">
        <v>1.3322103925752899</v>
      </c>
      <c r="DI3">
        <v>3039477865.1834888</v>
      </c>
      <c r="DJ3">
        <v>0.18917838454246522</v>
      </c>
      <c r="DK3">
        <v>0.42235583816112421</v>
      </c>
      <c r="DL3">
        <v>9587233404.01717</v>
      </c>
      <c r="DM3">
        <v>0.16553108647465706</v>
      </c>
      <c r="DN3">
        <v>153000000</v>
      </c>
      <c r="DO3">
        <v>0.23647298067808151</v>
      </c>
      <c r="DP3">
        <v>4049224000</v>
      </c>
      <c r="DQ3">
        <v>573361640</v>
      </c>
      <c r="DR3">
        <v>4529</v>
      </c>
      <c r="DS3">
        <v>0.41432067011556928</v>
      </c>
      <c r="DT3">
        <v>-1.4708509747645435</v>
      </c>
      <c r="DU3" s="34">
        <v>2.6666666666666616E-2</v>
      </c>
      <c r="DV3">
        <v>-6.6666666666666714E-3</v>
      </c>
      <c r="DW3">
        <v>1.9999999999999945E-2</v>
      </c>
      <c r="DX3">
        <v>5.352640545144804</v>
      </c>
      <c r="DY3">
        <v>0.60178862573555159</v>
      </c>
      <c r="DZ3">
        <v>5.0605796346290628</v>
      </c>
      <c r="EA3">
        <v>2245</v>
      </c>
      <c r="EB3">
        <v>5.0339961163057154</v>
      </c>
      <c r="EC3">
        <v>5</v>
      </c>
      <c r="ED3">
        <v>5.305313455657492E-2</v>
      </c>
      <c r="EE3">
        <v>0.30882798165137615</v>
      </c>
      <c r="EF3" s="35">
        <v>-6.0842999999999998</v>
      </c>
      <c r="EG3">
        <v>-6.1063999999999998</v>
      </c>
      <c r="EH3">
        <v>43.171788625735552</v>
      </c>
      <c r="EI3" t="s">
        <v>799</v>
      </c>
      <c r="EJ3">
        <v>1</v>
      </c>
      <c r="EK3">
        <v>0</v>
      </c>
      <c r="EL3" s="36">
        <v>45385</v>
      </c>
      <c r="EM3" s="37">
        <v>2.36</v>
      </c>
      <c r="EN3" s="37">
        <v>0.11</v>
      </c>
      <c r="EO3" s="37">
        <v>4.82</v>
      </c>
      <c r="EP3" s="37">
        <v>1.78</v>
      </c>
      <c r="EQ3" s="37">
        <v>2.21</v>
      </c>
    </row>
    <row r="4" spans="1:147" x14ac:dyDescent="0.3">
      <c r="E4">
        <v>2237</v>
      </c>
      <c r="F4" t="s">
        <v>212</v>
      </c>
      <c r="G4">
        <v>0.40500000000000003</v>
      </c>
      <c r="H4">
        <v>-2.41</v>
      </c>
      <c r="I4" t="s">
        <v>213</v>
      </c>
      <c r="J4">
        <v>648000000</v>
      </c>
      <c r="K4">
        <v>27.73</v>
      </c>
      <c r="L4">
        <v>0</v>
      </c>
      <c r="M4" t="s">
        <v>214</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8369" r:id="rId3" name="Button 1">
              <controlPr defaultSize="0" print="0" autoFill="0" autoPict="0" macro="[0]!'Industry_copy_call_buttom [c2],[d2]'">
                <anchor moveWithCells="1" sizeWithCells="1">
                  <from>
                    <xdr:col>1</xdr:col>
                    <xdr:colOff>61913</xdr:colOff>
                    <xdr:row>1</xdr:row>
                    <xdr:rowOff>261938</xdr:rowOff>
                  </from>
                  <to>
                    <xdr:col>1</xdr:col>
                    <xdr:colOff>1090613</xdr:colOff>
                    <xdr:row>1</xdr:row>
                    <xdr:rowOff>709613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Q9"/>
  <sheetViews>
    <sheetView topLeftCell="A4" workbookViewId="0">
      <selection activeCell="D9" sqref="D9"/>
    </sheetView>
  </sheetViews>
  <sheetFormatPr defaultRowHeight="13.5" x14ac:dyDescent="0.3"/>
  <cols>
    <col min="1" max="1" width="9.06640625" style="23"/>
    <col min="2" max="2" width="39.19921875" customWidth="1"/>
    <col min="3" max="3" width="34.9296875" customWidth="1"/>
    <col min="4" max="4" width="41.796875" customWidth="1"/>
  </cols>
  <sheetData>
    <row r="1" spans="1:147" s="14" customFormat="1" x14ac:dyDescent="0.3">
      <c r="A1" s="15" t="s">
        <v>47</v>
      </c>
      <c r="B1" s="18" t="s">
        <v>126</v>
      </c>
      <c r="C1" s="19" t="s">
        <v>127</v>
      </c>
      <c r="D1" s="18" t="s">
        <v>128</v>
      </c>
      <c r="E1" t="s">
        <v>2</v>
      </c>
      <c r="F1" t="s">
        <v>3</v>
      </c>
      <c r="G1" t="s">
        <v>0</v>
      </c>
      <c r="H1" t="s">
        <v>99</v>
      </c>
      <c r="I1" t="s">
        <v>129</v>
      </c>
      <c r="J1" t="s">
        <v>4</v>
      </c>
      <c r="K1" t="s">
        <v>5</v>
      </c>
      <c r="L1" t="s">
        <v>1</v>
      </c>
      <c r="M1" t="s">
        <v>6</v>
      </c>
      <c r="N1" t="s">
        <v>7</v>
      </c>
      <c r="O1" t="s">
        <v>8</v>
      </c>
      <c r="P1" t="s">
        <v>9</v>
      </c>
      <c r="Q1" t="s">
        <v>130</v>
      </c>
      <c r="R1" t="s">
        <v>100</v>
      </c>
      <c r="S1" t="s">
        <v>131</v>
      </c>
      <c r="T1" t="s">
        <v>10</v>
      </c>
      <c r="U1" t="s">
        <v>101</v>
      </c>
      <c r="V1" t="s">
        <v>102</v>
      </c>
      <c r="W1" t="s">
        <v>11</v>
      </c>
      <c r="X1" t="s">
        <v>69</v>
      </c>
      <c r="Y1" t="s">
        <v>70</v>
      </c>
      <c r="Z1" t="s">
        <v>71</v>
      </c>
      <c r="AA1" t="s">
        <v>72</v>
      </c>
      <c r="AB1" t="s">
        <v>73</v>
      </c>
      <c r="AC1" t="s">
        <v>103</v>
      </c>
      <c r="AD1" t="s">
        <v>74</v>
      </c>
      <c r="AE1" t="s">
        <v>132</v>
      </c>
      <c r="AF1" t="s">
        <v>12</v>
      </c>
      <c r="AG1" t="s">
        <v>13</v>
      </c>
      <c r="AH1" t="s">
        <v>104</v>
      </c>
      <c r="AI1" t="s">
        <v>133</v>
      </c>
      <c r="AJ1" t="s">
        <v>105</v>
      </c>
      <c r="AK1" t="s">
        <v>14</v>
      </c>
      <c r="AL1" t="s">
        <v>106</v>
      </c>
      <c r="AM1" t="s">
        <v>48</v>
      </c>
      <c r="AN1" t="s">
        <v>107</v>
      </c>
      <c r="AO1" t="s">
        <v>108</v>
      </c>
      <c r="AP1" t="s">
        <v>109</v>
      </c>
      <c r="AQ1" t="s">
        <v>110</v>
      </c>
      <c r="AR1" t="s">
        <v>111</v>
      </c>
      <c r="AS1" t="s">
        <v>112</v>
      </c>
      <c r="AT1" t="s">
        <v>113</v>
      </c>
      <c r="AU1" t="s">
        <v>114</v>
      </c>
      <c r="AV1" t="s">
        <v>115</v>
      </c>
      <c r="AW1" t="s">
        <v>116</v>
      </c>
      <c r="AX1" t="s">
        <v>117</v>
      </c>
      <c r="AY1" t="s">
        <v>134</v>
      </c>
      <c r="AZ1" t="s">
        <v>49</v>
      </c>
      <c r="BA1" t="s">
        <v>50</v>
      </c>
      <c r="BB1" t="s">
        <v>51</v>
      </c>
      <c r="BC1" t="s">
        <v>52</v>
      </c>
      <c r="BD1" t="s">
        <v>58</v>
      </c>
      <c r="BE1" t="s">
        <v>53</v>
      </c>
      <c r="BF1" t="s">
        <v>54</v>
      </c>
      <c r="BG1" t="s">
        <v>55</v>
      </c>
      <c r="BH1" t="s">
        <v>56</v>
      </c>
      <c r="BI1" t="s">
        <v>135</v>
      </c>
      <c r="BJ1" t="s">
        <v>118</v>
      </c>
      <c r="BK1" t="s">
        <v>57</v>
      </c>
      <c r="BL1" t="s">
        <v>119</v>
      </c>
      <c r="BM1" t="s">
        <v>120</v>
      </c>
      <c r="BN1" t="s">
        <v>121</v>
      </c>
      <c r="BO1" t="s">
        <v>122</v>
      </c>
      <c r="BP1" t="s">
        <v>59</v>
      </c>
      <c r="BQ1" t="s">
        <v>60</v>
      </c>
      <c r="BR1" t="s">
        <v>61</v>
      </c>
      <c r="BS1" t="s">
        <v>123</v>
      </c>
      <c r="BT1" t="s">
        <v>62</v>
      </c>
      <c r="BU1" t="s">
        <v>63</v>
      </c>
      <c r="BV1" t="s">
        <v>64</v>
      </c>
      <c r="BW1" t="s">
        <v>124</v>
      </c>
      <c r="BX1" t="s">
        <v>65</v>
      </c>
      <c r="BY1" t="s">
        <v>66</v>
      </c>
      <c r="BZ1" t="s">
        <v>125</v>
      </c>
      <c r="CA1" t="s">
        <v>67</v>
      </c>
      <c r="CB1" t="s">
        <v>68</v>
      </c>
      <c r="CC1" t="s">
        <v>136</v>
      </c>
      <c r="CD1" t="s">
        <v>137</v>
      </c>
      <c r="CE1" t="s">
        <v>138</v>
      </c>
      <c r="CF1" t="s">
        <v>139</v>
      </c>
      <c r="CG1" s="1" t="s">
        <v>75</v>
      </c>
      <c r="CH1" s="1" t="s">
        <v>76</v>
      </c>
      <c r="CI1" s="1" t="s">
        <v>77</v>
      </c>
      <c r="CJ1" s="1" t="s">
        <v>78</v>
      </c>
      <c r="CK1" s="1" t="s">
        <v>79</v>
      </c>
      <c r="CL1" s="1" t="s">
        <v>80</v>
      </c>
      <c r="CM1" s="1" t="s">
        <v>81</v>
      </c>
      <c r="CN1" s="1" t="s">
        <v>82</v>
      </c>
      <c r="CO1" s="1" t="s">
        <v>83</v>
      </c>
      <c r="CP1" s="1" t="s">
        <v>84</v>
      </c>
      <c r="CQ1" s="1" t="s">
        <v>85</v>
      </c>
      <c r="CR1" s="1" t="s">
        <v>86</v>
      </c>
      <c r="CS1" s="1" t="s">
        <v>140</v>
      </c>
      <c r="CT1" s="1" t="s">
        <v>141</v>
      </c>
      <c r="CU1" s="1" t="s">
        <v>142</v>
      </c>
      <c r="CV1" s="1" t="s">
        <v>87</v>
      </c>
      <c r="CW1" s="1" t="s">
        <v>143</v>
      </c>
      <c r="CX1" s="1" t="s">
        <v>28</v>
      </c>
      <c r="CY1">
        <v>1</v>
      </c>
      <c r="CZ1" t="s">
        <v>144</v>
      </c>
      <c r="DA1" t="s">
        <v>94</v>
      </c>
      <c r="DB1">
        <v>3</v>
      </c>
      <c r="DC1" t="s">
        <v>145</v>
      </c>
      <c r="DD1" t="s">
        <v>146</v>
      </c>
      <c r="DE1">
        <v>6</v>
      </c>
      <c r="DF1" t="s">
        <v>95</v>
      </c>
      <c r="DG1" t="s">
        <v>147</v>
      </c>
      <c r="DH1">
        <v>10</v>
      </c>
      <c r="DI1" t="s">
        <v>148</v>
      </c>
      <c r="DJ1" t="s">
        <v>96</v>
      </c>
      <c r="DK1">
        <v>20</v>
      </c>
      <c r="DL1" t="s">
        <v>149</v>
      </c>
      <c r="DM1" t="s">
        <v>88</v>
      </c>
      <c r="DN1" t="s">
        <v>89</v>
      </c>
      <c r="DO1" s="2" t="s">
        <v>90</v>
      </c>
      <c r="DP1" t="s">
        <v>150</v>
      </c>
      <c r="DQ1" t="s">
        <v>97</v>
      </c>
      <c r="DR1" s="1" t="s">
        <v>91</v>
      </c>
      <c r="DS1" s="1" t="s">
        <v>92</v>
      </c>
      <c r="DT1" s="1" t="s">
        <v>151</v>
      </c>
      <c r="DU1" t="s">
        <v>152</v>
      </c>
      <c r="DV1" t="s">
        <v>98</v>
      </c>
      <c r="DW1" t="s">
        <v>153</v>
      </c>
      <c r="DX1" t="s">
        <v>154</v>
      </c>
      <c r="DY1" t="s">
        <v>155</v>
      </c>
      <c r="DZ1" t="s">
        <v>156</v>
      </c>
      <c r="EA1" t="s">
        <v>157</v>
      </c>
      <c r="EB1" t="s">
        <v>93</v>
      </c>
      <c r="EC1" t="s">
        <v>158</v>
      </c>
      <c r="ED1" t="s">
        <v>159</v>
      </c>
      <c r="EE1" t="s">
        <v>160</v>
      </c>
      <c r="EF1" t="s">
        <v>161</v>
      </c>
      <c r="EG1" t="s">
        <v>162</v>
      </c>
      <c r="EH1" t="s">
        <v>163</v>
      </c>
      <c r="EI1" t="s">
        <v>164</v>
      </c>
      <c r="EJ1" t="s">
        <v>165</v>
      </c>
      <c r="EK1"/>
    </row>
    <row r="2" spans="1:147" s="14" customFormat="1" ht="71.55" customHeight="1" x14ac:dyDescent="0.3">
      <c r="A2" s="22"/>
      <c r="B2" s="20"/>
      <c r="C2" s="21">
        <v>3</v>
      </c>
      <c r="D2" s="21">
        <v>9</v>
      </c>
      <c r="T2" s="16"/>
      <c r="U2" s="16"/>
      <c r="V2" s="16"/>
      <c r="AB2" s="17"/>
    </row>
    <row r="3" spans="1:147" ht="112.5" x14ac:dyDescent="0.3">
      <c r="B3" s="30" t="s">
        <v>801</v>
      </c>
      <c r="C3" s="30"/>
      <c r="D3" s="30" t="s">
        <v>846</v>
      </c>
      <c r="E3" t="s">
        <v>215</v>
      </c>
      <c r="F3" t="s">
        <v>216</v>
      </c>
      <c r="G3">
        <v>51.01</v>
      </c>
      <c r="H3">
        <v>0.77</v>
      </c>
      <c r="I3" t="s">
        <v>802</v>
      </c>
      <c r="J3">
        <v>83718713000</v>
      </c>
      <c r="K3">
        <v>11.47</v>
      </c>
      <c r="L3">
        <v>1.63</v>
      </c>
      <c r="M3" t="s">
        <v>168</v>
      </c>
      <c r="N3" t="s">
        <v>803</v>
      </c>
      <c r="O3" t="s">
        <v>804</v>
      </c>
      <c r="P3" t="s">
        <v>805</v>
      </c>
      <c r="Q3">
        <v>35.520000000000003</v>
      </c>
      <c r="R3" t="s">
        <v>806</v>
      </c>
      <c r="S3">
        <v>8098513800</v>
      </c>
      <c r="T3" s="3">
        <v>-0.49330000000000002</v>
      </c>
      <c r="U3" t="s">
        <v>807</v>
      </c>
      <c r="V3">
        <v>1474779000</v>
      </c>
      <c r="W3">
        <v>1641221600</v>
      </c>
      <c r="X3">
        <v>1.44</v>
      </c>
      <c r="Y3">
        <v>0.46</v>
      </c>
      <c r="Z3">
        <v>66.98</v>
      </c>
      <c r="AA3" t="s">
        <v>808</v>
      </c>
      <c r="AB3" t="s">
        <v>809</v>
      </c>
      <c r="AC3" t="s">
        <v>810</v>
      </c>
      <c r="AD3" t="s">
        <v>766</v>
      </c>
      <c r="AE3" t="s">
        <v>811</v>
      </c>
      <c r="AF3">
        <v>-92901866</v>
      </c>
      <c r="AG3" t="s">
        <v>812</v>
      </c>
      <c r="AH3" t="s">
        <v>813</v>
      </c>
      <c r="AI3" t="s">
        <v>814</v>
      </c>
      <c r="AJ3" t="s">
        <v>815</v>
      </c>
      <c r="AK3" t="s">
        <v>816</v>
      </c>
      <c r="AL3" t="s">
        <v>817</v>
      </c>
      <c r="AM3" t="s">
        <v>818</v>
      </c>
      <c r="AN3" t="s">
        <v>316</v>
      </c>
      <c r="AO3" t="s">
        <v>819</v>
      </c>
      <c r="AP3" t="s">
        <v>820</v>
      </c>
      <c r="AQ3" t="s">
        <v>821</v>
      </c>
      <c r="AR3" t="s">
        <v>822</v>
      </c>
      <c r="AS3" t="s">
        <v>316</v>
      </c>
      <c r="AT3" t="s">
        <v>823</v>
      </c>
      <c r="AU3" t="s">
        <v>824</v>
      </c>
      <c r="AV3" t="s">
        <v>825</v>
      </c>
      <c r="AW3" t="s">
        <v>826</v>
      </c>
      <c r="AX3" t="s">
        <v>827</v>
      </c>
      <c r="AY3" t="s">
        <v>828</v>
      </c>
      <c r="AZ3" t="s">
        <v>829</v>
      </c>
      <c r="BA3" t="s">
        <v>830</v>
      </c>
      <c r="BB3" t="s">
        <v>831</v>
      </c>
      <c r="BC3" t="s">
        <v>832</v>
      </c>
      <c r="BD3" t="s">
        <v>833</v>
      </c>
      <c r="BE3" t="s">
        <v>834</v>
      </c>
      <c r="BF3" t="s">
        <v>835</v>
      </c>
      <c r="BG3" t="s">
        <v>836</v>
      </c>
      <c r="BH3" t="s">
        <v>837</v>
      </c>
      <c r="BI3" t="s">
        <v>838</v>
      </c>
      <c r="BJ3" t="s">
        <v>839</v>
      </c>
      <c r="BK3" t="s">
        <v>840</v>
      </c>
      <c r="BL3" t="s">
        <v>841</v>
      </c>
      <c r="BM3" t="s">
        <v>842</v>
      </c>
      <c r="BN3" t="s">
        <v>843</v>
      </c>
      <c r="BO3">
        <v>13.32</v>
      </c>
      <c r="BP3">
        <v>9.2100000000000009</v>
      </c>
      <c r="BQ3" t="s">
        <v>316</v>
      </c>
      <c r="BR3">
        <v>9.61</v>
      </c>
      <c r="BS3">
        <v>23.15</v>
      </c>
      <c r="BT3">
        <v>-30.14</v>
      </c>
      <c r="BU3" t="s">
        <v>844</v>
      </c>
      <c r="BV3" t="s">
        <v>344</v>
      </c>
      <c r="BW3">
        <v>87.12</v>
      </c>
      <c r="BX3">
        <v>61.97</v>
      </c>
      <c r="BY3">
        <v>41.49</v>
      </c>
      <c r="BZ3">
        <v>66.430000000000007</v>
      </c>
      <c r="CA3">
        <v>33.799999999999997</v>
      </c>
      <c r="CB3">
        <v>-34.799999999999997</v>
      </c>
      <c r="CC3">
        <v>7.39</v>
      </c>
      <c r="CD3">
        <v>8.16</v>
      </c>
      <c r="CE3" t="s">
        <v>394</v>
      </c>
      <c r="CF3" t="s">
        <v>845</v>
      </c>
      <c r="CG3" s="32">
        <v>-0.17140096618357487</v>
      </c>
      <c r="CH3" s="33">
        <v>-0.70873628162037861</v>
      </c>
      <c r="CI3" s="32">
        <v>4.2784810066223145</v>
      </c>
      <c r="CJ3" s="32">
        <v>1.3658536672592163</v>
      </c>
      <c r="CK3" s="32">
        <v>-0.33092334866523743</v>
      </c>
      <c r="CL3" s="32">
        <v>-0.22469568252563477</v>
      </c>
      <c r="CM3" s="32">
        <v>0.14149901270866394</v>
      </c>
      <c r="CN3" s="33">
        <v>10.604135513305664</v>
      </c>
      <c r="CO3" s="33">
        <v>2.1335878372192383</v>
      </c>
      <c r="CP3" s="33">
        <v>0.69346481561660767</v>
      </c>
      <c r="CQ3" s="33">
        <v>-3.7195456027984619</v>
      </c>
      <c r="CR3" s="33">
        <v>2.5641055777668953E-2</v>
      </c>
      <c r="CS3">
        <v>22.097144026042585</v>
      </c>
      <c r="CT3">
        <v>0.21124509682629353</v>
      </c>
      <c r="CU3">
        <v>5.8811997647520098</v>
      </c>
      <c r="CV3" s="32">
        <v>1.0460429310798645</v>
      </c>
      <c r="CW3" s="33">
        <v>1.9474567238241434</v>
      </c>
      <c r="CX3">
        <v>0.06</v>
      </c>
      <c r="CY3">
        <v>1.1773138320510363</v>
      </c>
      <c r="CZ3">
        <v>46566778973.86956</v>
      </c>
      <c r="DA3">
        <v>1.0460429310798645</v>
      </c>
      <c r="DB3">
        <v>0.18823321598109333</v>
      </c>
      <c r="DC3">
        <v>291254190788.02039</v>
      </c>
      <c r="DD3">
        <v>0.99374078452587122</v>
      </c>
      <c r="DE3">
        <v>2.9622534223471577E-2</v>
      </c>
      <c r="DF3">
        <v>1850743511220.594</v>
      </c>
      <c r="DG3">
        <v>0.92051777935028067</v>
      </c>
      <c r="DH3">
        <v>3.9527633075464464E-3</v>
      </c>
      <c r="DI3">
        <v>13869718152699.131</v>
      </c>
      <c r="DJ3">
        <v>0.83683434486389163</v>
      </c>
      <c r="DK3">
        <v>4.7801656699706562E-5</v>
      </c>
      <c r="DL3">
        <v>1146899852120325</v>
      </c>
      <c r="DM3">
        <v>0.73223005175590505</v>
      </c>
      <c r="DN3">
        <v>24125000000</v>
      </c>
      <c r="DO3">
        <v>1.0460429310798645</v>
      </c>
      <c r="DP3">
        <v>54823713000</v>
      </c>
      <c r="DQ3">
        <v>12096960000</v>
      </c>
      <c r="DR3">
        <v>972</v>
      </c>
      <c r="DS3">
        <v>-1.2174438972634394</v>
      </c>
      <c r="DT3">
        <v>-2.6561930054445222</v>
      </c>
      <c r="DU3" s="34">
        <v>-9.0000000000000011E-2</v>
      </c>
      <c r="DV3">
        <v>-0.37000000000000016</v>
      </c>
      <c r="DW3">
        <v>-0.46000000000000019</v>
      </c>
      <c r="DX3">
        <v>9.9056372549019613</v>
      </c>
      <c r="DY3">
        <v>0.45900662251655561</v>
      </c>
      <c r="DZ3">
        <v>9.1349459485781068</v>
      </c>
      <c r="EA3">
        <v>3241</v>
      </c>
      <c r="EB3">
        <v>9.0494573208725466</v>
      </c>
      <c r="EC3">
        <v>9</v>
      </c>
      <c r="ED3">
        <v>8.2255802628968575E-2</v>
      </c>
      <c r="EE3">
        <v>0.55202783097663355</v>
      </c>
      <c r="EF3" s="35">
        <v>-1.0244</v>
      </c>
      <c r="EG3">
        <v>-1.0321</v>
      </c>
      <c r="EH3">
        <v>31.149006622516556</v>
      </c>
      <c r="EI3" t="s">
        <v>532</v>
      </c>
      <c r="EJ3">
        <v>1</v>
      </c>
      <c r="EK3">
        <v>0</v>
      </c>
      <c r="EL3" s="36">
        <v>45385</v>
      </c>
      <c r="EM3" s="37">
        <v>0.34</v>
      </c>
      <c r="EN3" s="37">
        <v>0.65</v>
      </c>
      <c r="EO3" s="37">
        <v>4.88</v>
      </c>
      <c r="EP3" s="37">
        <v>0.62</v>
      </c>
      <c r="EQ3" s="37">
        <v>0.77</v>
      </c>
    </row>
    <row r="4" spans="1:147" ht="213.75" x14ac:dyDescent="0.3">
      <c r="B4" s="30" t="s">
        <v>847</v>
      </c>
      <c r="C4" s="30" t="s">
        <v>848</v>
      </c>
      <c r="D4" s="30" t="s">
        <v>894</v>
      </c>
      <c r="E4" t="s">
        <v>217</v>
      </c>
      <c r="F4" t="s">
        <v>218</v>
      </c>
      <c r="G4">
        <v>39.89</v>
      </c>
      <c r="H4">
        <v>0.68</v>
      </c>
      <c r="I4" t="s">
        <v>849</v>
      </c>
      <c r="J4">
        <v>80464823000</v>
      </c>
      <c r="K4">
        <v>16.27</v>
      </c>
      <c r="L4">
        <v>1.71</v>
      </c>
      <c r="M4" t="s">
        <v>168</v>
      </c>
      <c r="N4" t="s">
        <v>850</v>
      </c>
      <c r="O4" t="s">
        <v>851</v>
      </c>
      <c r="P4" t="s">
        <v>852</v>
      </c>
      <c r="Q4">
        <v>-6.99</v>
      </c>
      <c r="R4" t="s">
        <v>853</v>
      </c>
      <c r="S4">
        <v>6009847000</v>
      </c>
      <c r="T4" s="31">
        <v>-0.59379999999999999</v>
      </c>
      <c r="U4" t="s">
        <v>854</v>
      </c>
      <c r="V4">
        <v>1207032780</v>
      </c>
      <c r="W4">
        <v>2017167800</v>
      </c>
      <c r="X4">
        <v>1.72</v>
      </c>
      <c r="Y4">
        <v>0.3</v>
      </c>
      <c r="Z4">
        <v>22.89</v>
      </c>
      <c r="AA4" t="s">
        <v>855</v>
      </c>
      <c r="AB4" t="s">
        <v>856</v>
      </c>
      <c r="AC4" t="s">
        <v>857</v>
      </c>
      <c r="AD4" t="s">
        <v>858</v>
      </c>
      <c r="AE4" t="s">
        <v>859</v>
      </c>
      <c r="AF4">
        <v>379613690</v>
      </c>
      <c r="AG4" t="s">
        <v>860</v>
      </c>
      <c r="AH4" t="s">
        <v>861</v>
      </c>
      <c r="AI4" t="s">
        <v>862</v>
      </c>
      <c r="AJ4" t="s">
        <v>863</v>
      </c>
      <c r="AK4" t="s">
        <v>864</v>
      </c>
      <c r="AL4" t="s">
        <v>316</v>
      </c>
      <c r="AM4" t="s">
        <v>865</v>
      </c>
      <c r="AN4" t="s">
        <v>316</v>
      </c>
      <c r="AO4" t="s">
        <v>866</v>
      </c>
      <c r="AP4" t="s">
        <v>867</v>
      </c>
      <c r="AQ4" t="s">
        <v>868</v>
      </c>
      <c r="AR4" t="s">
        <v>869</v>
      </c>
      <c r="AS4" t="s">
        <v>316</v>
      </c>
      <c r="AT4" t="s">
        <v>870</v>
      </c>
      <c r="AU4" t="s">
        <v>871</v>
      </c>
      <c r="AV4" t="s">
        <v>872</v>
      </c>
      <c r="AW4" t="s">
        <v>873</v>
      </c>
      <c r="AX4" t="s">
        <v>874</v>
      </c>
      <c r="AY4" t="s">
        <v>875</v>
      </c>
      <c r="AZ4" t="s">
        <v>876</v>
      </c>
      <c r="BA4" t="s">
        <v>877</v>
      </c>
      <c r="BB4" t="s">
        <v>878</v>
      </c>
      <c r="BC4" t="s">
        <v>879</v>
      </c>
      <c r="BD4" t="s">
        <v>880</v>
      </c>
      <c r="BE4" t="s">
        <v>881</v>
      </c>
      <c r="BF4" t="s">
        <v>882</v>
      </c>
      <c r="BG4" t="s">
        <v>883</v>
      </c>
      <c r="BH4" t="s">
        <v>884</v>
      </c>
      <c r="BI4" t="s">
        <v>885</v>
      </c>
      <c r="BJ4" t="s">
        <v>886</v>
      </c>
      <c r="BK4" t="s">
        <v>887</v>
      </c>
      <c r="BL4" t="s">
        <v>888</v>
      </c>
      <c r="BM4" t="s">
        <v>889</v>
      </c>
      <c r="BN4" t="s">
        <v>890</v>
      </c>
      <c r="BO4">
        <v>3.39</v>
      </c>
      <c r="BP4">
        <v>20.48</v>
      </c>
      <c r="BQ4">
        <v>7.25</v>
      </c>
      <c r="BR4">
        <v>5.31</v>
      </c>
      <c r="BS4">
        <v>31.04</v>
      </c>
      <c r="BT4">
        <v>11.07</v>
      </c>
      <c r="BU4" t="s">
        <v>891</v>
      </c>
      <c r="BV4" t="s">
        <v>344</v>
      </c>
      <c r="BW4">
        <v>22.6</v>
      </c>
      <c r="BX4">
        <v>39.81</v>
      </c>
      <c r="BY4">
        <v>21.38</v>
      </c>
      <c r="BZ4">
        <v>32.22</v>
      </c>
      <c r="CA4">
        <v>48.53</v>
      </c>
      <c r="CB4">
        <v>19.25</v>
      </c>
      <c r="CC4">
        <v>11.55</v>
      </c>
      <c r="CD4">
        <v>10.35</v>
      </c>
      <c r="CE4" t="s">
        <v>892</v>
      </c>
      <c r="CF4" t="s">
        <v>893</v>
      </c>
      <c r="CG4" s="32">
        <v>-0.42762758201701095</v>
      </c>
      <c r="CH4" s="33">
        <v>-0.97880294390664369</v>
      </c>
      <c r="CI4" s="32">
        <v>2.7469089031219482</v>
      </c>
      <c r="CJ4" s="32">
        <v>1.0206373929977417</v>
      </c>
      <c r="CK4" s="32">
        <v>3.4069564193487167E-2</v>
      </c>
      <c r="CL4" s="32">
        <v>6.754593551158905E-2</v>
      </c>
      <c r="CM4" s="32">
        <v>0.14168381690979004</v>
      </c>
      <c r="CN4" s="33">
        <v>2.9219586849212646</v>
      </c>
      <c r="CO4" s="33">
        <v>4.1004881858825684</v>
      </c>
      <c r="CP4" s="33">
        <v>1.8631285429000854</v>
      </c>
      <c r="CQ4" s="33">
        <v>-0.73303502798080444</v>
      </c>
      <c r="CR4" s="33">
        <v>-8.7134107947349548E-2</v>
      </c>
      <c r="CS4">
        <v>16.13329784461153</v>
      </c>
      <c r="CT4">
        <v>0.20112090320041018</v>
      </c>
      <c r="CU4">
        <v>2.5068939583855601</v>
      </c>
      <c r="CV4" s="32">
        <v>0.8021691225469112</v>
      </c>
      <c r="CW4" s="33">
        <v>1.6130812555551528</v>
      </c>
      <c r="CX4">
        <v>0.06</v>
      </c>
      <c r="CY4">
        <v>1.8691247715490646</v>
      </c>
      <c r="CZ4">
        <v>34860071404.435722</v>
      </c>
      <c r="DA4">
        <v>0.8021691225469112</v>
      </c>
      <c r="DB4">
        <v>0.35234045086325194</v>
      </c>
      <c r="DC4">
        <v>184928590629.7731</v>
      </c>
      <c r="DD4">
        <v>0.7620606664195656</v>
      </c>
      <c r="DE4">
        <v>7.3483309177267961E-2</v>
      </c>
      <c r="DF4">
        <v>886702350908.23254</v>
      </c>
      <c r="DG4">
        <v>0.70590882784128184</v>
      </c>
      <c r="DH4">
        <v>1.43575403738994E-2</v>
      </c>
      <c r="DI4">
        <v>4538230177534.4844</v>
      </c>
      <c r="DJ4">
        <v>0.64173529803752904</v>
      </c>
      <c r="DK4">
        <v>4.4078876334309171E-4</v>
      </c>
      <c r="DL4">
        <v>147820970992592.78</v>
      </c>
      <c r="DM4">
        <v>0.56151838578283775</v>
      </c>
      <c r="DN4">
        <v>20504000000</v>
      </c>
      <c r="DO4">
        <v>0.8021691225469112</v>
      </c>
      <c r="DP4">
        <v>65157823000</v>
      </c>
      <c r="DQ4">
        <v>11198733000</v>
      </c>
      <c r="DR4">
        <v>967</v>
      </c>
      <c r="DS4">
        <v>-1.2297967045639222</v>
      </c>
      <c r="DT4">
        <v>-2.5918841994617967</v>
      </c>
      <c r="DU4" s="34">
        <v>0.16</v>
      </c>
      <c r="DV4">
        <v>0.59666666666666679</v>
      </c>
      <c r="DW4">
        <v>0.75666666666666682</v>
      </c>
      <c r="DX4">
        <v>5.8961038961038961</v>
      </c>
      <c r="DY4">
        <v>0.51094247246022184</v>
      </c>
      <c r="DZ4">
        <v>5.1711042935033147</v>
      </c>
      <c r="EA4">
        <v>624</v>
      </c>
      <c r="EB4">
        <v>5.1502346533262102</v>
      </c>
      <c r="EC4">
        <v>5</v>
      </c>
      <c r="ED4">
        <v>7.7336154186082084E-2</v>
      </c>
      <c r="EE4">
        <v>0.40502332032069915</v>
      </c>
      <c r="EF4" s="35">
        <v>-1.0522</v>
      </c>
      <c r="EG4">
        <v>-1.0589999999999999</v>
      </c>
      <c r="EH4">
        <v>32.190942472460222</v>
      </c>
      <c r="EI4" t="s">
        <v>532</v>
      </c>
      <c r="EJ4">
        <v>1</v>
      </c>
      <c r="EK4">
        <v>1</v>
      </c>
      <c r="EL4" s="36">
        <v>45385</v>
      </c>
      <c r="EM4" s="37">
        <v>0.48</v>
      </c>
      <c r="EN4" s="37">
        <v>1.2</v>
      </c>
      <c r="EO4" s="37">
        <v>8.2799999999999994</v>
      </c>
      <c r="EP4" s="37">
        <v>0.64</v>
      </c>
      <c r="EQ4" s="37">
        <v>0.68</v>
      </c>
    </row>
    <row r="5" spans="1:147" ht="168.75" x14ac:dyDescent="0.3">
      <c r="B5" s="30" t="s">
        <v>715</v>
      </c>
      <c r="C5" s="30" t="s">
        <v>895</v>
      </c>
      <c r="D5" s="30" t="s">
        <v>762</v>
      </c>
      <c r="E5" t="s">
        <v>183</v>
      </c>
      <c r="F5" t="s">
        <v>184</v>
      </c>
      <c r="G5">
        <v>11.61</v>
      </c>
      <c r="H5">
        <v>-5.38</v>
      </c>
      <c r="I5" t="s">
        <v>717</v>
      </c>
      <c r="J5">
        <v>26217972000</v>
      </c>
      <c r="K5">
        <v>15.56</v>
      </c>
      <c r="L5">
        <v>1.1299999999999999</v>
      </c>
      <c r="M5" t="s">
        <v>171</v>
      </c>
      <c r="N5" t="s">
        <v>718</v>
      </c>
      <c r="O5" t="s">
        <v>719</v>
      </c>
      <c r="P5" t="s">
        <v>720</v>
      </c>
      <c r="Q5">
        <v>-7.14</v>
      </c>
      <c r="R5" t="s">
        <v>721</v>
      </c>
      <c r="S5">
        <v>1202181390</v>
      </c>
      <c r="T5" s="31">
        <v>-0.45579999999999998</v>
      </c>
      <c r="U5" t="s">
        <v>722</v>
      </c>
      <c r="V5">
        <v>1757236500</v>
      </c>
      <c r="W5">
        <v>2258992600</v>
      </c>
      <c r="X5">
        <v>2.0299999999999998</v>
      </c>
      <c r="Y5">
        <v>0.31</v>
      </c>
      <c r="Z5">
        <v>8.58</v>
      </c>
      <c r="AA5" t="s">
        <v>723</v>
      </c>
      <c r="AB5" t="s">
        <v>724</v>
      </c>
      <c r="AC5" t="s">
        <v>725</v>
      </c>
      <c r="AD5" t="s">
        <v>726</v>
      </c>
      <c r="AE5" t="s">
        <v>727</v>
      </c>
      <c r="AF5">
        <v>359966530</v>
      </c>
      <c r="AG5" t="s">
        <v>728</v>
      </c>
      <c r="AH5" t="s">
        <v>729</v>
      </c>
      <c r="AI5" t="s">
        <v>730</v>
      </c>
      <c r="AJ5" t="s">
        <v>731</v>
      </c>
      <c r="AK5" t="s">
        <v>732</v>
      </c>
      <c r="AL5" t="s">
        <v>391</v>
      </c>
      <c r="AM5" t="s">
        <v>733</v>
      </c>
      <c r="AN5" t="s">
        <v>316</v>
      </c>
      <c r="AO5" t="s">
        <v>734</v>
      </c>
      <c r="AP5" t="s">
        <v>735</v>
      </c>
      <c r="AQ5" t="s">
        <v>736</v>
      </c>
      <c r="AR5" t="s">
        <v>737</v>
      </c>
      <c r="AS5" t="s">
        <v>738</v>
      </c>
      <c r="AT5" t="s">
        <v>739</v>
      </c>
      <c r="AU5" t="s">
        <v>740</v>
      </c>
      <c r="AV5" t="s">
        <v>741</v>
      </c>
      <c r="AW5" t="s">
        <v>742</v>
      </c>
      <c r="AX5" t="s">
        <v>743</v>
      </c>
      <c r="AY5" t="s">
        <v>744</v>
      </c>
      <c r="AZ5" t="s">
        <v>745</v>
      </c>
      <c r="BA5" t="s">
        <v>746</v>
      </c>
      <c r="BB5" t="s">
        <v>747</v>
      </c>
      <c r="BC5" t="s">
        <v>748</v>
      </c>
      <c r="BD5" t="s">
        <v>749</v>
      </c>
      <c r="BE5" t="s">
        <v>750</v>
      </c>
      <c r="BF5" t="s">
        <v>751</v>
      </c>
      <c r="BG5" t="s">
        <v>752</v>
      </c>
      <c r="BH5" t="s">
        <v>753</v>
      </c>
      <c r="BI5" t="s">
        <v>754</v>
      </c>
      <c r="BJ5" t="s">
        <v>755</v>
      </c>
      <c r="BK5" t="s">
        <v>756</v>
      </c>
      <c r="BL5" t="s">
        <v>757</v>
      </c>
      <c r="BM5" t="s">
        <v>758</v>
      </c>
      <c r="BN5" t="s">
        <v>759</v>
      </c>
      <c r="BO5">
        <v>1.76</v>
      </c>
      <c r="BP5">
        <v>15.21</v>
      </c>
      <c r="BQ5">
        <v>1.98</v>
      </c>
      <c r="BR5">
        <v>2.4300000000000002</v>
      </c>
      <c r="BS5">
        <v>23.75</v>
      </c>
      <c r="BT5">
        <v>1.21</v>
      </c>
      <c r="BU5" t="s">
        <v>760</v>
      </c>
      <c r="BV5" t="s">
        <v>220</v>
      </c>
      <c r="BW5">
        <v>18.32</v>
      </c>
      <c r="BX5">
        <v>25.03</v>
      </c>
      <c r="BY5">
        <v>18.420000000000002</v>
      </c>
      <c r="BZ5">
        <v>11.31</v>
      </c>
      <c r="CA5">
        <v>17.25</v>
      </c>
      <c r="CB5">
        <v>2.5</v>
      </c>
      <c r="CC5">
        <v>-7.27</v>
      </c>
      <c r="CD5">
        <v>5.45</v>
      </c>
      <c r="CE5" t="s">
        <v>308</v>
      </c>
      <c r="CF5" t="s">
        <v>761</v>
      </c>
      <c r="CG5" s="32">
        <v>3.3931741960939038E-2</v>
      </c>
      <c r="CH5" s="33">
        <v>-0.65477848540146011</v>
      </c>
      <c r="CI5" s="32">
        <v>4.8456434160470963E-2</v>
      </c>
      <c r="CJ5" s="32">
        <v>1.5193525552749634</v>
      </c>
      <c r="CK5" s="32">
        <v>-5.345616489648819E-2</v>
      </c>
      <c r="CL5" s="32">
        <v>-1.9541477784514427E-2</v>
      </c>
      <c r="CM5" s="32">
        <v>7.0366352796554565E-2</v>
      </c>
      <c r="CN5" s="33">
        <v>-0.19431136548519135</v>
      </c>
      <c r="CO5" s="33">
        <v>23.202898025512695</v>
      </c>
      <c r="CP5" s="33">
        <v>-0.48888888955116272</v>
      </c>
      <c r="CQ5" s="33">
        <v>-0.75784754753112793</v>
      </c>
      <c r="CR5" s="33">
        <v>0.24441970884799957</v>
      </c>
      <c r="CS5">
        <v>18.616311479289941</v>
      </c>
      <c r="CT5">
        <v>0.59470280865330927</v>
      </c>
      <c r="CU5">
        <v>2.5839793281653747</v>
      </c>
      <c r="CV5" s="32">
        <v>0.31303553991019728</v>
      </c>
      <c r="CW5" s="33">
        <v>4.4012539863586424</v>
      </c>
      <c r="CX5">
        <v>0.06</v>
      </c>
      <c r="CY5">
        <v>8.098087765940484</v>
      </c>
      <c r="CZ5">
        <v>3333376073.4890003</v>
      </c>
      <c r="DA5">
        <v>0.31303553991019728</v>
      </c>
      <c r="DB5">
        <v>2.2019879685670829</v>
      </c>
      <c r="DC5">
        <v>12258909851.158724</v>
      </c>
      <c r="DD5">
        <v>0.29738376291468738</v>
      </c>
      <c r="DE5">
        <v>0.83264970283512074</v>
      </c>
      <c r="DF5">
        <v>32419361837.38155</v>
      </c>
      <c r="DG5">
        <v>0.27547127512097364</v>
      </c>
      <c r="DH5">
        <v>0.36214935189450537</v>
      </c>
      <c r="DI5">
        <v>74538230867.422302</v>
      </c>
      <c r="DJ5">
        <v>0.25042843192815784</v>
      </c>
      <c r="DK5">
        <v>8.5019660430205105E-2</v>
      </c>
      <c r="DL5">
        <v>317502703061.95905</v>
      </c>
      <c r="DM5">
        <v>0.21912487793713809</v>
      </c>
      <c r="DN5">
        <v>2691000000</v>
      </c>
      <c r="DO5">
        <v>0.31303553991019728</v>
      </c>
      <c r="DP5">
        <v>26993972000</v>
      </c>
      <c r="DQ5">
        <v>6217974000</v>
      </c>
      <c r="DR5">
        <v>3554</v>
      </c>
      <c r="DS5">
        <v>-0.27910379794925821</v>
      </c>
      <c r="DT5">
        <v>-5.0560324717601022</v>
      </c>
      <c r="DU5" s="34">
        <v>-0.14000000000000001</v>
      </c>
      <c r="DV5">
        <v>-0.32000000000000006</v>
      </c>
      <c r="DW5">
        <v>-0.46000000000000008</v>
      </c>
      <c r="DX5">
        <v>-5.7496561210453923</v>
      </c>
      <c r="DY5">
        <v>0.3728189910979236</v>
      </c>
      <c r="DZ5">
        <v>-5.1145616920885395</v>
      </c>
      <c r="EA5">
        <v>3240</v>
      </c>
      <c r="EB5">
        <v>-5.0420231182431481</v>
      </c>
      <c r="EC5">
        <v>5</v>
      </c>
      <c r="ED5">
        <v>4.5595545554243957E-2</v>
      </c>
      <c r="EE5">
        <v>0.29836308450058668</v>
      </c>
      <c r="EF5" s="35">
        <v>6.6400000000000001E-2</v>
      </c>
      <c r="EG5">
        <v>1.26E-2</v>
      </c>
      <c r="EH5">
        <v>22.152818991097924</v>
      </c>
      <c r="EI5" t="s">
        <v>581</v>
      </c>
      <c r="EJ5">
        <v>0</v>
      </c>
      <c r="EK5">
        <v>0</v>
      </c>
      <c r="EL5" s="36">
        <v>45378</v>
      </c>
      <c r="EM5">
        <v>-2.42</v>
      </c>
      <c r="EN5">
        <v>-1.86</v>
      </c>
      <c r="EO5">
        <v>-1.8200000000000001E-2</v>
      </c>
      <c r="EP5">
        <v>3.2</v>
      </c>
      <c r="EQ5">
        <v>-5.38</v>
      </c>
    </row>
    <row r="6" spans="1:147" ht="90" x14ac:dyDescent="0.3">
      <c r="B6" s="39"/>
      <c r="C6" s="39"/>
      <c r="D6" s="30" t="s">
        <v>938</v>
      </c>
      <c r="E6">
        <v>835185</v>
      </c>
      <c r="F6" t="s">
        <v>219</v>
      </c>
      <c r="G6">
        <v>25.45</v>
      </c>
      <c r="H6" s="31">
        <v>3.9199999999999999E-2</v>
      </c>
      <c r="I6" t="s">
        <v>896</v>
      </c>
      <c r="J6">
        <v>28118502000</v>
      </c>
      <c r="K6">
        <v>12.14</v>
      </c>
      <c r="L6">
        <v>2.4900000000000002</v>
      </c>
      <c r="M6" t="s">
        <v>229</v>
      </c>
      <c r="N6" t="s">
        <v>897</v>
      </c>
      <c r="O6" t="s">
        <v>898</v>
      </c>
      <c r="P6" t="s">
        <v>899</v>
      </c>
      <c r="Q6">
        <v>15.61</v>
      </c>
      <c r="R6" t="s">
        <v>900</v>
      </c>
      <c r="S6">
        <v>1364762900</v>
      </c>
      <c r="T6" s="31">
        <v>5.3E-3</v>
      </c>
      <c r="U6" t="s">
        <v>901</v>
      </c>
      <c r="V6">
        <v>1088475810</v>
      </c>
      <c r="W6">
        <v>1104852710</v>
      </c>
      <c r="X6">
        <v>2.2799999999999998</v>
      </c>
      <c r="Y6">
        <v>0.67</v>
      </c>
      <c r="Z6">
        <v>7.44</v>
      </c>
      <c r="AA6" t="s">
        <v>902</v>
      </c>
      <c r="AB6" t="s">
        <v>903</v>
      </c>
      <c r="AC6" t="s">
        <v>904</v>
      </c>
      <c r="AD6" t="s">
        <v>905</v>
      </c>
      <c r="AE6" t="s">
        <v>906</v>
      </c>
      <c r="AF6">
        <v>117139985</v>
      </c>
      <c r="AG6" t="s">
        <v>907</v>
      </c>
      <c r="AH6" t="s">
        <v>908</v>
      </c>
      <c r="AI6" t="s">
        <v>909</v>
      </c>
      <c r="AJ6" t="s">
        <v>830</v>
      </c>
      <c r="AK6" t="s">
        <v>316</v>
      </c>
      <c r="AL6" t="s">
        <v>910</v>
      </c>
      <c r="AM6" t="s">
        <v>911</v>
      </c>
      <c r="AN6" t="s">
        <v>316</v>
      </c>
      <c r="AO6" t="s">
        <v>912</v>
      </c>
      <c r="AP6" t="s">
        <v>913</v>
      </c>
      <c r="AQ6" t="s">
        <v>914</v>
      </c>
      <c r="AR6" t="s">
        <v>915</v>
      </c>
      <c r="AS6" t="s">
        <v>916</v>
      </c>
      <c r="AT6" t="s">
        <v>917</v>
      </c>
      <c r="AU6" t="s">
        <v>918</v>
      </c>
      <c r="AV6" t="s">
        <v>919</v>
      </c>
      <c r="AW6" t="s">
        <v>920</v>
      </c>
      <c r="AX6" t="s">
        <v>921</v>
      </c>
      <c r="AY6" t="s">
        <v>922</v>
      </c>
      <c r="AZ6" t="s">
        <v>923</v>
      </c>
      <c r="BA6" t="s">
        <v>924</v>
      </c>
      <c r="BB6" t="s">
        <v>925</v>
      </c>
      <c r="BC6" t="s">
        <v>926</v>
      </c>
      <c r="BD6" t="s">
        <v>927</v>
      </c>
      <c r="BE6" t="s">
        <v>795</v>
      </c>
      <c r="BF6" t="s">
        <v>928</v>
      </c>
      <c r="BG6" t="s">
        <v>788</v>
      </c>
      <c r="BH6" t="s">
        <v>929</v>
      </c>
      <c r="BI6" t="s">
        <v>930</v>
      </c>
      <c r="BJ6" t="s">
        <v>931</v>
      </c>
      <c r="BK6" t="s">
        <v>932</v>
      </c>
      <c r="BL6" t="s">
        <v>933</v>
      </c>
      <c r="BM6" t="s">
        <v>934</v>
      </c>
      <c r="BN6" t="s">
        <v>666</v>
      </c>
      <c r="BO6">
        <v>1.95</v>
      </c>
      <c r="BP6">
        <v>15.66</v>
      </c>
      <c r="BQ6">
        <v>7.78</v>
      </c>
      <c r="BR6">
        <v>2.9</v>
      </c>
      <c r="BS6">
        <v>20.98</v>
      </c>
      <c r="BT6">
        <v>9.8800000000000008</v>
      </c>
      <c r="BU6" t="s">
        <v>935</v>
      </c>
      <c r="BV6" t="s">
        <v>220</v>
      </c>
      <c r="BW6">
        <v>14.97</v>
      </c>
      <c r="BX6">
        <v>25.02</v>
      </c>
      <c r="BY6">
        <v>28.53</v>
      </c>
      <c r="BZ6">
        <v>6.94</v>
      </c>
      <c r="CA6">
        <v>13.73</v>
      </c>
      <c r="CB6">
        <v>11.18</v>
      </c>
      <c r="CC6">
        <v>7.25</v>
      </c>
      <c r="CD6">
        <v>18.149999999999999</v>
      </c>
      <c r="CE6" t="s">
        <v>936</v>
      </c>
      <c r="CF6" t="s">
        <v>937</v>
      </c>
      <c r="CG6" s="32">
        <v>0.15607923497267759</v>
      </c>
      <c r="CH6" s="33">
        <v>5.3E-3</v>
      </c>
      <c r="CI6" s="32">
        <v>1.4477170705795288</v>
      </c>
      <c r="CJ6" s="32">
        <v>1.3564691543579102</v>
      </c>
      <c r="CK6" s="32">
        <v>1.4122919179499149E-2</v>
      </c>
      <c r="CL6" s="32">
        <v>9.5036216080188751E-2</v>
      </c>
      <c r="CM6" s="32">
        <v>0.35119643807411194</v>
      </c>
      <c r="CN6" s="33">
        <v>0.60235947370529175</v>
      </c>
      <c r="CO6" s="33">
        <v>1.9111109972000122</v>
      </c>
      <c r="CP6" s="33">
        <v>-0.25675675272941589</v>
      </c>
      <c r="CQ6" s="33">
        <v>0.38461539149284363</v>
      </c>
      <c r="CR6" s="33">
        <v>0.431547611951828</v>
      </c>
      <c r="CS6">
        <v>29.453738128491622</v>
      </c>
      <c r="CT6">
        <v>0.45111595973574387</v>
      </c>
      <c r="CU6">
        <v>0.13097576948264572</v>
      </c>
      <c r="CV6" s="32">
        <v>0.65290835965424776</v>
      </c>
      <c r="CW6" s="33">
        <v>0.61457534432411198</v>
      </c>
      <c r="CX6">
        <v>0.06</v>
      </c>
      <c r="CY6">
        <v>8.8338305688226395</v>
      </c>
      <c r="CZ6">
        <v>3600533398.5298662</v>
      </c>
      <c r="DA6">
        <v>0.65290835965424776</v>
      </c>
      <c r="DB6">
        <v>1.8523718374612121</v>
      </c>
      <c r="DC6">
        <v>17170689683.769291</v>
      </c>
      <c r="DD6">
        <v>0.62026294167153539</v>
      </c>
      <c r="DE6">
        <v>0.4620435729726321</v>
      </c>
      <c r="DF6">
        <v>68838749980.586731</v>
      </c>
      <c r="DG6">
        <v>0.57455935649573808</v>
      </c>
      <c r="DH6">
        <v>0.1151613534745789</v>
      </c>
      <c r="DI6">
        <v>276190762268.36005</v>
      </c>
      <c r="DJ6">
        <v>0.52232668772339819</v>
      </c>
      <c r="DK6">
        <v>6.4850552135739996E-3</v>
      </c>
      <c r="DL6">
        <v>4904584610694.6279</v>
      </c>
      <c r="DM6">
        <v>0.4570358517579734</v>
      </c>
      <c r="DN6">
        <v>2309000000</v>
      </c>
      <c r="DO6">
        <v>0.65290835965424776</v>
      </c>
      <c r="DP6">
        <v>31806502000</v>
      </c>
      <c r="DQ6">
        <v>3706764000</v>
      </c>
      <c r="DR6">
        <v>115</v>
      </c>
      <c r="DS6">
        <v>-0.49682912468157014</v>
      </c>
      <c r="DT6">
        <v>-0.60927534432411201</v>
      </c>
      <c r="DU6">
        <v>0.29333333333333339</v>
      </c>
      <c r="DV6">
        <v>0.79999999999999993</v>
      </c>
      <c r="DW6">
        <v>1.0933333333333333</v>
      </c>
      <c r="DX6">
        <v>9.3994490358126725</v>
      </c>
      <c r="DY6">
        <v>0.90134852871570559</v>
      </c>
      <c r="DZ6">
        <v>9.2082521671178448</v>
      </c>
      <c r="EA6">
        <v>0</v>
      </c>
      <c r="EB6">
        <v>9.2082521671178448</v>
      </c>
      <c r="EC6">
        <v>9</v>
      </c>
      <c r="ED6">
        <v>3.0705812361178895E-2</v>
      </c>
      <c r="EE6">
        <v>5.8896900384124505E-2</v>
      </c>
      <c r="EF6">
        <v>0</v>
      </c>
      <c r="EG6">
        <v>0</v>
      </c>
      <c r="EH6">
        <v>38.521348528715706</v>
      </c>
      <c r="EI6" t="s">
        <v>581</v>
      </c>
      <c r="EJ6">
        <v>1</v>
      </c>
      <c r="EK6">
        <v>0</v>
      </c>
      <c r="EL6">
        <v>0</v>
      </c>
      <c r="EM6">
        <v>0</v>
      </c>
      <c r="EN6">
        <v>0</v>
      </c>
      <c r="EO6">
        <v>0</v>
      </c>
      <c r="EP6">
        <v>0</v>
      </c>
      <c r="EQ6">
        <v>0</v>
      </c>
    </row>
    <row r="7" spans="1:147" ht="123.75" x14ac:dyDescent="0.3">
      <c r="B7" s="30" t="s">
        <v>939</v>
      </c>
      <c r="C7" s="30" t="s">
        <v>940</v>
      </c>
      <c r="D7" s="30" t="s">
        <v>980</v>
      </c>
      <c r="E7" t="s">
        <v>221</v>
      </c>
      <c r="F7" t="s">
        <v>222</v>
      </c>
      <c r="G7">
        <v>15.49</v>
      </c>
      <c r="H7">
        <v>-3.25</v>
      </c>
      <c r="I7" t="s">
        <v>223</v>
      </c>
      <c r="J7">
        <v>6057592200</v>
      </c>
      <c r="K7">
        <v>19.22</v>
      </c>
      <c r="L7">
        <v>2.48</v>
      </c>
      <c r="M7" t="s">
        <v>224</v>
      </c>
      <c r="N7" t="s">
        <v>941</v>
      </c>
      <c r="O7" t="s">
        <v>942</v>
      </c>
      <c r="P7" t="s">
        <v>943</v>
      </c>
      <c r="Q7">
        <v>-5.28</v>
      </c>
      <c r="R7" t="s">
        <v>944</v>
      </c>
      <c r="S7">
        <v>223520850</v>
      </c>
      <c r="T7" s="31">
        <v>0.3478</v>
      </c>
      <c r="U7" t="s">
        <v>616</v>
      </c>
      <c r="V7">
        <v>335374810</v>
      </c>
      <c r="W7">
        <v>391064700</v>
      </c>
      <c r="X7">
        <v>1.28</v>
      </c>
      <c r="Y7">
        <v>0.66</v>
      </c>
      <c r="Z7">
        <v>11.69</v>
      </c>
      <c r="AA7" t="s">
        <v>945</v>
      </c>
      <c r="AB7" t="s">
        <v>946</v>
      </c>
      <c r="AC7" t="s">
        <v>947</v>
      </c>
      <c r="AD7" t="s">
        <v>948</v>
      </c>
      <c r="AE7" t="s">
        <v>949</v>
      </c>
      <c r="AF7">
        <v>-2994945</v>
      </c>
      <c r="AG7" t="s">
        <v>950</v>
      </c>
      <c r="AH7" t="s">
        <v>951</v>
      </c>
      <c r="AI7" t="s">
        <v>952</v>
      </c>
      <c r="AJ7" t="s">
        <v>953</v>
      </c>
      <c r="AK7" t="s">
        <v>954</v>
      </c>
      <c r="AL7" t="s">
        <v>955</v>
      </c>
      <c r="AM7" t="s">
        <v>956</v>
      </c>
      <c r="AN7" t="s">
        <v>316</v>
      </c>
      <c r="AO7" t="s">
        <v>957</v>
      </c>
      <c r="AP7" t="s">
        <v>958</v>
      </c>
      <c r="AQ7" t="s">
        <v>958</v>
      </c>
      <c r="AR7" t="s">
        <v>959</v>
      </c>
      <c r="AS7" t="s">
        <v>316</v>
      </c>
      <c r="AT7" t="s">
        <v>960</v>
      </c>
      <c r="AU7" t="s">
        <v>316</v>
      </c>
      <c r="AV7" t="s">
        <v>961</v>
      </c>
      <c r="AW7" t="s">
        <v>962</v>
      </c>
      <c r="AX7" t="s">
        <v>963</v>
      </c>
      <c r="AY7" t="s">
        <v>964</v>
      </c>
      <c r="AZ7" t="s">
        <v>965</v>
      </c>
      <c r="BA7" t="s">
        <v>966</v>
      </c>
      <c r="BB7" t="s">
        <v>967</v>
      </c>
      <c r="BC7" t="s">
        <v>968</v>
      </c>
      <c r="BD7" t="s">
        <v>969</v>
      </c>
      <c r="BE7" t="s">
        <v>970</v>
      </c>
      <c r="BF7" t="s">
        <v>971</v>
      </c>
      <c r="BG7" t="s">
        <v>972</v>
      </c>
      <c r="BH7" t="s">
        <v>973</v>
      </c>
      <c r="BI7" t="s">
        <v>974</v>
      </c>
      <c r="BJ7" t="s">
        <v>975</v>
      </c>
      <c r="BK7" t="s">
        <v>976</v>
      </c>
      <c r="BL7" t="s">
        <v>971</v>
      </c>
      <c r="BM7" t="s">
        <v>977</v>
      </c>
      <c r="BN7" t="s">
        <v>308</v>
      </c>
      <c r="BO7">
        <v>2.17</v>
      </c>
      <c r="BP7">
        <v>15.01</v>
      </c>
      <c r="BQ7">
        <v>18.010000000000002</v>
      </c>
      <c r="BR7">
        <v>2.44</v>
      </c>
      <c r="BS7">
        <v>14.68</v>
      </c>
      <c r="BT7">
        <v>20.88</v>
      </c>
      <c r="BU7" t="s">
        <v>760</v>
      </c>
      <c r="BV7" t="s">
        <v>978</v>
      </c>
      <c r="BW7">
        <v>24.89</v>
      </c>
      <c r="BX7">
        <v>21.8</v>
      </c>
      <c r="BY7">
        <v>31.84</v>
      </c>
      <c r="BZ7">
        <v>11.08</v>
      </c>
      <c r="CA7">
        <v>10.47</v>
      </c>
      <c r="CB7">
        <v>13.19</v>
      </c>
      <c r="CC7">
        <v>1.1100000000000001</v>
      </c>
      <c r="CD7">
        <v>16.03</v>
      </c>
      <c r="CE7" t="s">
        <v>857</v>
      </c>
      <c r="CF7" t="s">
        <v>979</v>
      </c>
      <c r="CG7" s="32">
        <v>0.12715855572998389</v>
      </c>
      <c r="CH7" s="33">
        <v>0.45271190476190476</v>
      </c>
      <c r="CI7" s="32">
        <v>5.3990662097930908E-2</v>
      </c>
      <c r="CJ7" s="32">
        <v>0.67716532945632935</v>
      </c>
      <c r="CK7" s="32">
        <v>0.49705305695533752</v>
      </c>
      <c r="CL7" s="32">
        <v>0.16877152025699615</v>
      </c>
      <c r="CM7" s="32">
        <v>0.1964285671710968</v>
      </c>
      <c r="CN7" s="33">
        <v>-6.7164182662963867E-2</v>
      </c>
      <c r="CO7" s="33">
        <v>0.3333333432674408</v>
      </c>
      <c r="CP7" s="33">
        <v>0.52272725105285645</v>
      </c>
      <c r="CQ7" s="33">
        <v>1.0266691446304321</v>
      </c>
      <c r="CR7" s="33">
        <v>0.2524036169052124</v>
      </c>
      <c r="CS7">
        <v>37.541757481149098</v>
      </c>
      <c r="CT7">
        <v>1.1780325791547723</v>
      </c>
      <c r="CU7">
        <v>1.9367333763718528</v>
      </c>
      <c r="CV7" s="32">
        <v>0.31868182718753812</v>
      </c>
      <c r="CW7" s="33">
        <v>0.41359383463859556</v>
      </c>
      <c r="CX7">
        <v>0.06</v>
      </c>
      <c r="CY7">
        <v>14.081843356865431</v>
      </c>
      <c r="CZ7">
        <v>311009864.90272123</v>
      </c>
      <c r="DA7">
        <v>0.31868182718753812</v>
      </c>
      <c r="DB7">
        <v>3.811795445863007</v>
      </c>
      <c r="DC7">
        <v>1148957823.7345424</v>
      </c>
      <c r="DD7">
        <v>0.30274773582816122</v>
      </c>
      <c r="DE7">
        <v>1.4314999156886106</v>
      </c>
      <c r="DF7">
        <v>3059442862.693593</v>
      </c>
      <c r="DG7">
        <v>0.28044000792503354</v>
      </c>
      <c r="DH7">
        <v>0.61709556228027429</v>
      </c>
      <c r="DI7">
        <v>7097105323.2284689</v>
      </c>
      <c r="DJ7">
        <v>0.25494546175003052</v>
      </c>
      <c r="DK7">
        <v>0.14158960012681915</v>
      </c>
      <c r="DL7">
        <v>30931595230.70396</v>
      </c>
      <c r="DM7">
        <v>0.22307727903127667</v>
      </c>
      <c r="DN7">
        <v>250000000</v>
      </c>
      <c r="DO7">
        <v>0.31868182718753812</v>
      </c>
      <c r="DP7">
        <v>4379592200</v>
      </c>
      <c r="DQ7">
        <v>1408402600</v>
      </c>
      <c r="DR7">
        <v>1524</v>
      </c>
      <c r="DS7">
        <v>-0.19152327145755424</v>
      </c>
      <c r="DT7">
        <v>3.9118070123309201E-2</v>
      </c>
      <c r="DU7" s="34">
        <v>0.20999999999999988</v>
      </c>
      <c r="DV7">
        <v>0.83666666666666656</v>
      </c>
      <c r="DW7">
        <v>1.0466666666666664</v>
      </c>
      <c r="DX7">
        <v>3.0003392857142859</v>
      </c>
      <c r="DY7">
        <v>0.55316205533596874</v>
      </c>
      <c r="DZ7">
        <v>3.0001367871259177</v>
      </c>
      <c r="EA7">
        <v>305</v>
      </c>
      <c r="EB7">
        <v>3.0001286323031255</v>
      </c>
      <c r="EC7">
        <v>3</v>
      </c>
      <c r="ED7">
        <v>0.2608264054515787</v>
      </c>
      <c r="EE7">
        <v>0.64695177038479812</v>
      </c>
      <c r="EF7" s="35">
        <v>1.03271</v>
      </c>
      <c r="EG7">
        <v>1.06521</v>
      </c>
      <c r="EH7">
        <v>15.403162055335969</v>
      </c>
      <c r="EI7" t="s">
        <v>442</v>
      </c>
      <c r="EJ7">
        <v>0</v>
      </c>
      <c r="EK7">
        <v>1</v>
      </c>
      <c r="EL7" s="36">
        <v>45394</v>
      </c>
      <c r="EM7">
        <v>-3.79</v>
      </c>
      <c r="EN7">
        <v>17.100000000000001</v>
      </c>
      <c r="EO7">
        <v>-7.07</v>
      </c>
      <c r="EP7">
        <v>-0.19</v>
      </c>
      <c r="EQ7">
        <v>-3.25</v>
      </c>
    </row>
    <row r="8" spans="1:147" ht="90" x14ac:dyDescent="0.3">
      <c r="B8" s="30"/>
      <c r="C8" s="30"/>
      <c r="D8" s="30" t="s">
        <v>1025</v>
      </c>
      <c r="E8" t="s">
        <v>225</v>
      </c>
      <c r="F8" t="s">
        <v>226</v>
      </c>
      <c r="G8">
        <v>30.89</v>
      </c>
      <c r="H8">
        <v>-3.29</v>
      </c>
      <c r="I8" t="s">
        <v>981</v>
      </c>
      <c r="J8">
        <v>3377399600</v>
      </c>
      <c r="K8">
        <v>25.68</v>
      </c>
      <c r="L8">
        <v>1.97</v>
      </c>
      <c r="M8" t="s">
        <v>171</v>
      </c>
      <c r="N8" t="s">
        <v>982</v>
      </c>
      <c r="O8" t="s">
        <v>983</v>
      </c>
      <c r="P8" t="s">
        <v>984</v>
      </c>
      <c r="Q8">
        <v>-17.59</v>
      </c>
      <c r="R8" t="s">
        <v>985</v>
      </c>
      <c r="S8">
        <v>89806845</v>
      </c>
      <c r="T8" s="31">
        <v>-0.24479999999999999</v>
      </c>
      <c r="U8" t="s">
        <v>986</v>
      </c>
      <c r="V8">
        <v>97358231</v>
      </c>
      <c r="W8">
        <v>109336341</v>
      </c>
      <c r="X8">
        <v>2.21</v>
      </c>
      <c r="Y8">
        <v>0.32</v>
      </c>
      <c r="Z8">
        <v>6.67</v>
      </c>
      <c r="AA8" t="s">
        <v>987</v>
      </c>
      <c r="AB8" t="s">
        <v>988</v>
      </c>
      <c r="AC8" t="s">
        <v>989</v>
      </c>
      <c r="AD8" t="s">
        <v>990</v>
      </c>
      <c r="AE8" t="s">
        <v>991</v>
      </c>
      <c r="AF8">
        <v>28145588</v>
      </c>
      <c r="AG8" t="s">
        <v>992</v>
      </c>
      <c r="AH8" t="s">
        <v>993</v>
      </c>
      <c r="AI8" t="s">
        <v>994</v>
      </c>
      <c r="AJ8" t="s">
        <v>995</v>
      </c>
      <c r="AK8" t="s">
        <v>996</v>
      </c>
      <c r="AL8" t="s">
        <v>997</v>
      </c>
      <c r="AM8" t="s">
        <v>998</v>
      </c>
      <c r="AN8" t="s">
        <v>316</v>
      </c>
      <c r="AO8" t="s">
        <v>999</v>
      </c>
      <c r="AP8" t="s">
        <v>1000</v>
      </c>
      <c r="AQ8" t="s">
        <v>1001</v>
      </c>
      <c r="AR8" t="s">
        <v>1002</v>
      </c>
      <c r="AS8" t="s">
        <v>316</v>
      </c>
      <c r="AT8" t="s">
        <v>1003</v>
      </c>
      <c r="AU8" t="s">
        <v>1004</v>
      </c>
      <c r="AV8" t="s">
        <v>1005</v>
      </c>
      <c r="AW8" t="s">
        <v>1006</v>
      </c>
      <c r="AX8" t="s">
        <v>1007</v>
      </c>
      <c r="AY8" t="s">
        <v>1008</v>
      </c>
      <c r="AZ8" t="s">
        <v>1009</v>
      </c>
      <c r="BA8" t="s">
        <v>1010</v>
      </c>
      <c r="BB8" t="s">
        <v>1011</v>
      </c>
      <c r="BC8" t="s">
        <v>1012</v>
      </c>
      <c r="BD8" t="s">
        <v>1013</v>
      </c>
      <c r="BE8" t="s">
        <v>1014</v>
      </c>
      <c r="BF8" t="s">
        <v>1015</v>
      </c>
      <c r="BG8" t="s">
        <v>1016</v>
      </c>
      <c r="BH8" t="s">
        <v>1017</v>
      </c>
      <c r="BI8" t="s">
        <v>514</v>
      </c>
      <c r="BJ8" t="s">
        <v>1018</v>
      </c>
      <c r="BK8" t="s">
        <v>1019</v>
      </c>
      <c r="BL8" t="s">
        <v>1020</v>
      </c>
      <c r="BM8" t="s">
        <v>1021</v>
      </c>
      <c r="BN8" t="s">
        <v>1022</v>
      </c>
      <c r="BO8">
        <v>2.1800000000000002</v>
      </c>
      <c r="BP8">
        <v>8.26</v>
      </c>
      <c r="BQ8">
        <v>5.17</v>
      </c>
      <c r="BR8">
        <v>3.3</v>
      </c>
      <c r="BS8">
        <v>9.2100000000000009</v>
      </c>
      <c r="BT8">
        <v>5.99</v>
      </c>
      <c r="BU8" t="s">
        <v>529</v>
      </c>
      <c r="BV8" t="s">
        <v>220</v>
      </c>
      <c r="BW8">
        <v>21.51</v>
      </c>
      <c r="BX8">
        <v>26.19</v>
      </c>
      <c r="BY8">
        <v>28.79</v>
      </c>
      <c r="BZ8">
        <v>6.9</v>
      </c>
      <c r="CA8">
        <v>8.8699999999999992</v>
      </c>
      <c r="CB8">
        <v>10.93</v>
      </c>
      <c r="CC8">
        <v>9.93</v>
      </c>
      <c r="CD8">
        <v>54.76</v>
      </c>
      <c r="CE8" t="s">
        <v>1023</v>
      </c>
      <c r="CF8" t="s">
        <v>1024</v>
      </c>
      <c r="CG8" s="32">
        <v>-0.50075187969924817</v>
      </c>
      <c r="CH8" s="33">
        <v>-0.21990074033242227</v>
      </c>
      <c r="CI8" s="32">
        <v>1.1082289218902588</v>
      </c>
      <c r="CJ8" s="32">
        <v>1.6875</v>
      </c>
      <c r="CK8" s="32">
        <v>-0.35603713989257813</v>
      </c>
      <c r="CL8" s="32">
        <v>7.6666668057441711E-2</v>
      </c>
      <c r="CM8" s="32">
        <v>0.6528925895690918</v>
      </c>
      <c r="CN8" s="33">
        <v>0.61258983612060547</v>
      </c>
      <c r="CO8" s="33">
        <v>1.196536660194397</v>
      </c>
      <c r="CP8" s="33">
        <v>-0.26318836212158203</v>
      </c>
      <c r="CQ8" s="33">
        <v>2.204596996307373E-3</v>
      </c>
      <c r="CR8" s="33">
        <v>7.5238309800624847E-2</v>
      </c>
      <c r="CS8">
        <v>41.629418750579056</v>
      </c>
      <c r="CT8">
        <v>0.65677060968188805</v>
      </c>
      <c r="CU8">
        <v>0</v>
      </c>
      <c r="CV8" s="32">
        <v>0.63385020792484281</v>
      </c>
      <c r="CW8" s="33">
        <v>0.32467620819807053</v>
      </c>
      <c r="CX8">
        <v>0.06</v>
      </c>
      <c r="CY8">
        <v>15.10878287982259</v>
      </c>
      <c r="CZ8">
        <v>248160267.43009403</v>
      </c>
      <c r="DA8">
        <v>0.63385020792484281</v>
      </c>
      <c r="DB8">
        <v>3.2125981774812109</v>
      </c>
      <c r="DC8">
        <v>1167092612.5406883</v>
      </c>
      <c r="DD8">
        <v>0.6021576975286006</v>
      </c>
      <c r="DE8">
        <v>0.82008430111909814</v>
      </c>
      <c r="DF8">
        <v>4571968509.6806736</v>
      </c>
      <c r="DG8">
        <v>0.55778818297386168</v>
      </c>
      <c r="DH8">
        <v>0.21093154482970597</v>
      </c>
      <c r="DI8">
        <v>17775433271.619236</v>
      </c>
      <c r="DJ8">
        <v>0.50708016633987429</v>
      </c>
      <c r="DK8">
        <v>1.2857463113658226E-2</v>
      </c>
      <c r="DL8">
        <v>291612705154.64966</v>
      </c>
      <c r="DM8">
        <v>0.44369514554738992</v>
      </c>
      <c r="DN8">
        <v>161000000</v>
      </c>
      <c r="DO8">
        <v>0.63385020792484281</v>
      </c>
      <c r="DP8">
        <v>3749399600</v>
      </c>
      <c r="DQ8">
        <v>440315400</v>
      </c>
      <c r="DR8">
        <v>2353</v>
      </c>
      <c r="DS8">
        <v>-1.134602087624091</v>
      </c>
      <c r="DT8">
        <v>-0.54457694853049277</v>
      </c>
      <c r="DU8" s="34">
        <v>0.26</v>
      </c>
      <c r="DV8">
        <v>0.27999999999999997</v>
      </c>
      <c r="DW8">
        <v>0.54</v>
      </c>
      <c r="DX8">
        <v>9.1813367421475522</v>
      </c>
      <c r="DY8">
        <v>1.0555254237288119</v>
      </c>
      <c r="DZ8">
        <v>9.0662831895110862</v>
      </c>
      <c r="EA8">
        <v>994</v>
      </c>
      <c r="EB8">
        <v>9.0534073852558539</v>
      </c>
      <c r="EC8">
        <v>9</v>
      </c>
      <c r="ED8">
        <v>0.39448914794029921</v>
      </c>
      <c r="EE8">
        <v>1.0792386037502388</v>
      </c>
      <c r="EF8" s="35">
        <v>-1</v>
      </c>
      <c r="EG8">
        <v>-1.03291</v>
      </c>
      <c r="EH8">
        <v>69.365525423728812</v>
      </c>
      <c r="EI8" t="s">
        <v>626</v>
      </c>
      <c r="EJ8">
        <v>1</v>
      </c>
      <c r="EK8">
        <v>1</v>
      </c>
      <c r="EL8" s="36">
        <v>45378</v>
      </c>
      <c r="EM8">
        <v>-0.64</v>
      </c>
      <c r="EN8">
        <v>-3.36</v>
      </c>
      <c r="EO8">
        <v>4.4499999999999998E-2</v>
      </c>
      <c r="EP8">
        <v>14.28</v>
      </c>
      <c r="EQ8">
        <v>-3.29</v>
      </c>
    </row>
    <row r="9" spans="1:147" ht="90" x14ac:dyDescent="0.3">
      <c r="B9" s="30"/>
      <c r="C9" s="30"/>
      <c r="D9" s="30" t="s">
        <v>1067</v>
      </c>
      <c r="E9" t="s">
        <v>227</v>
      </c>
      <c r="F9" t="s">
        <v>228</v>
      </c>
      <c r="G9">
        <v>35.75</v>
      </c>
      <c r="H9">
        <v>0.85</v>
      </c>
      <c r="I9" t="s">
        <v>1026</v>
      </c>
      <c r="J9">
        <v>3646500000</v>
      </c>
      <c r="K9">
        <v>45.58</v>
      </c>
      <c r="L9">
        <v>1.31</v>
      </c>
      <c r="M9" t="s">
        <v>171</v>
      </c>
      <c r="N9" t="s">
        <v>1027</v>
      </c>
      <c r="O9" t="s">
        <v>1028</v>
      </c>
      <c r="P9" t="s">
        <v>1029</v>
      </c>
      <c r="Q9">
        <v>0.93</v>
      </c>
      <c r="R9" t="s">
        <v>1030</v>
      </c>
      <c r="S9">
        <v>52038216</v>
      </c>
      <c r="T9">
        <v>-0.56999999999999995</v>
      </c>
      <c r="U9" t="s">
        <v>1031</v>
      </c>
      <c r="V9">
        <v>42139253</v>
      </c>
      <c r="W9">
        <v>102000000</v>
      </c>
      <c r="X9">
        <v>1.1000000000000001</v>
      </c>
      <c r="Y9">
        <v>0.23</v>
      </c>
      <c r="Z9">
        <v>7.8</v>
      </c>
      <c r="AA9" t="s">
        <v>1032</v>
      </c>
      <c r="AB9" t="s">
        <v>694</v>
      </c>
      <c r="AC9" t="s">
        <v>1033</v>
      </c>
      <c r="AD9" t="s">
        <v>1034</v>
      </c>
      <c r="AE9" t="s">
        <v>1035</v>
      </c>
      <c r="AF9">
        <v>-782989</v>
      </c>
      <c r="AG9" t="s">
        <v>1036</v>
      </c>
      <c r="AH9" t="s">
        <v>1037</v>
      </c>
      <c r="AI9" t="s">
        <v>1038</v>
      </c>
      <c r="AJ9" t="s">
        <v>1039</v>
      </c>
      <c r="AK9" t="s">
        <v>1040</v>
      </c>
      <c r="AL9" t="s">
        <v>1041</v>
      </c>
      <c r="AM9" t="s">
        <v>1042</v>
      </c>
      <c r="AN9" t="s">
        <v>316</v>
      </c>
      <c r="AO9" t="s">
        <v>986</v>
      </c>
      <c r="AP9" t="s">
        <v>1043</v>
      </c>
      <c r="AQ9" t="s">
        <v>1044</v>
      </c>
      <c r="AR9" t="s">
        <v>1045</v>
      </c>
      <c r="AS9" t="s">
        <v>316</v>
      </c>
      <c r="AT9" t="s">
        <v>1046</v>
      </c>
      <c r="AU9" t="s">
        <v>316</v>
      </c>
      <c r="AV9" t="s">
        <v>1047</v>
      </c>
      <c r="AW9" t="s">
        <v>1048</v>
      </c>
      <c r="AX9" t="s">
        <v>1049</v>
      </c>
      <c r="AY9" t="s">
        <v>1050</v>
      </c>
      <c r="AZ9" t="s">
        <v>1051</v>
      </c>
      <c r="BA9" t="s">
        <v>1052</v>
      </c>
      <c r="BB9" t="s">
        <v>506</v>
      </c>
      <c r="BC9" t="s">
        <v>1053</v>
      </c>
      <c r="BD9" t="s">
        <v>750</v>
      </c>
      <c r="BE9" t="s">
        <v>1054</v>
      </c>
      <c r="BF9" t="s">
        <v>1055</v>
      </c>
      <c r="BG9" t="s">
        <v>1056</v>
      </c>
      <c r="BH9" t="s">
        <v>1057</v>
      </c>
      <c r="BI9" t="s">
        <v>1058</v>
      </c>
      <c r="BJ9" t="s">
        <v>1059</v>
      </c>
      <c r="BK9" t="s">
        <v>1060</v>
      </c>
      <c r="BL9" t="s">
        <v>1061</v>
      </c>
      <c r="BM9" t="s">
        <v>1062</v>
      </c>
      <c r="BN9" t="s">
        <v>1063</v>
      </c>
      <c r="BO9">
        <v>0.98</v>
      </c>
      <c r="BP9">
        <v>30.33</v>
      </c>
      <c r="BQ9">
        <v>28.53</v>
      </c>
      <c r="BR9">
        <v>1.01</v>
      </c>
      <c r="BS9">
        <v>32.9</v>
      </c>
      <c r="BT9" t="s">
        <v>316</v>
      </c>
      <c r="BU9" t="s">
        <v>1064</v>
      </c>
      <c r="BV9" t="s">
        <v>220</v>
      </c>
      <c r="BW9">
        <v>14.74</v>
      </c>
      <c r="BX9">
        <v>40.58</v>
      </c>
      <c r="BY9">
        <v>53.28</v>
      </c>
      <c r="BZ9">
        <v>6.3</v>
      </c>
      <c r="CA9">
        <v>27.99</v>
      </c>
      <c r="CB9">
        <v>31.71</v>
      </c>
      <c r="CC9">
        <v>4.53</v>
      </c>
      <c r="CD9">
        <v>40.799999999999997</v>
      </c>
      <c r="CE9" t="s">
        <v>1065</v>
      </c>
      <c r="CF9" t="s">
        <v>1066</v>
      </c>
      <c r="CG9" s="32">
        <v>0.34220532319391633</v>
      </c>
      <c r="CH9" s="33">
        <v>-0.29298339239410237</v>
      </c>
      <c r="CI9" s="32">
        <v>0.83739835023880005</v>
      </c>
      <c r="CJ9" s="32">
        <v>0.80882352590560913</v>
      </c>
      <c r="CK9" s="32">
        <v>0.18260869383811951</v>
      </c>
      <c r="CL9" s="32">
        <v>0.4110429584980011</v>
      </c>
      <c r="CM9" s="32">
        <v>0.25384616851806641</v>
      </c>
      <c r="CN9" s="33">
        <v>7.9710148274898529E-2</v>
      </c>
      <c r="CO9" s="33">
        <v>0.6024896502494812</v>
      </c>
      <c r="CP9" s="33">
        <v>0.18568737804889679</v>
      </c>
      <c r="CQ9" s="33">
        <v>1.0028845071792603</v>
      </c>
      <c r="CR9" s="33">
        <v>-0.24124489724636078</v>
      </c>
      <c r="CS9">
        <v>41.296700152246075</v>
      </c>
      <c r="CT9">
        <v>0.82801407475648059</v>
      </c>
      <c r="CU9">
        <v>2.7972027972027971</v>
      </c>
      <c r="CV9" s="32">
        <v>0.49874393939971923</v>
      </c>
      <c r="CW9" s="33">
        <v>0.32590535730123521</v>
      </c>
      <c r="CX9">
        <v>0.06</v>
      </c>
      <c r="CY9">
        <v>5.4183626979576616</v>
      </c>
      <c r="CZ9">
        <v>210672497.14203602</v>
      </c>
      <c r="DA9">
        <v>0.49874393939971923</v>
      </c>
      <c r="DB9">
        <v>1.2744254246526285</v>
      </c>
      <c r="DC9">
        <v>895697761.4528836</v>
      </c>
      <c r="DD9">
        <v>0.47380674242973325</v>
      </c>
      <c r="DE9">
        <v>0.38377235571337409</v>
      </c>
      <c r="DF9">
        <v>2974419556.2969255</v>
      </c>
      <c r="DG9">
        <v>0.43889466667175292</v>
      </c>
      <c r="DH9">
        <v>0.12346012792057329</v>
      </c>
      <c r="DI9">
        <v>9245900026.3985748</v>
      </c>
      <c r="DJ9">
        <v>0.39899515151977538</v>
      </c>
      <c r="DK9">
        <v>1.3302200688922032E-2</v>
      </c>
      <c r="DL9">
        <v>85812868614.336288</v>
      </c>
      <c r="DM9">
        <v>0.34912075757980343</v>
      </c>
      <c r="DN9">
        <v>149000000</v>
      </c>
      <c r="DO9">
        <v>0.49874393939971923</v>
      </c>
      <c r="DP9">
        <v>1141500000</v>
      </c>
      <c r="DQ9">
        <v>1913832900</v>
      </c>
      <c r="DR9">
        <v>2751</v>
      </c>
      <c r="DS9">
        <v>-0.15653861620580289</v>
      </c>
      <c r="DT9">
        <v>-0.61888874969533758</v>
      </c>
      <c r="DU9" s="34">
        <v>0.54333333333333322</v>
      </c>
      <c r="DV9">
        <v>0.34666666666666673</v>
      </c>
      <c r="DW9">
        <v>0.8899999999999999</v>
      </c>
      <c r="DX9">
        <v>8.1110294117647062</v>
      </c>
      <c r="DY9">
        <v>0.74254106383184992</v>
      </c>
      <c r="DZ9">
        <v>8.0235983092930958</v>
      </c>
      <c r="EA9">
        <v>457</v>
      </c>
      <c r="EB9">
        <v>8.0214907409235536</v>
      </c>
      <c r="EC9">
        <v>8</v>
      </c>
      <c r="ED9">
        <v>0.17202156862745099</v>
      </c>
      <c r="EE9">
        <v>0.80935686274509799</v>
      </c>
      <c r="EF9" s="35">
        <v>-1.1032999999999999</v>
      </c>
      <c r="EG9">
        <v>-1.1118000000000001</v>
      </c>
      <c r="EH9">
        <v>53.21254106383185</v>
      </c>
      <c r="EI9" t="s">
        <v>532</v>
      </c>
      <c r="EJ9">
        <v>0</v>
      </c>
      <c r="EK9">
        <v>1</v>
      </c>
      <c r="EL9" s="36">
        <v>45378</v>
      </c>
      <c r="EM9">
        <v>0.59</v>
      </c>
      <c r="EN9">
        <v>-3.26</v>
      </c>
      <c r="EO9">
        <v>-3.56E-2</v>
      </c>
      <c r="EP9">
        <v>12.75</v>
      </c>
      <c r="EQ9">
        <v>0.85</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09" r:id="rId3" name="Button 1">
              <controlPr defaultSize="0" print="0" autoFill="0" autoPict="0" macro="[0]!'Industry_copy_call_buttom [c2],[d2]'">
                <anchor moveWithCells="1" sizeWithCells="1">
                  <from>
                    <xdr:col>1</xdr:col>
                    <xdr:colOff>61913</xdr:colOff>
                    <xdr:row>1</xdr:row>
                    <xdr:rowOff>261938</xdr:rowOff>
                  </from>
                  <to>
                    <xdr:col>1</xdr:col>
                    <xdr:colOff>1090613</xdr:colOff>
                    <xdr:row>1</xdr:row>
                    <xdr:rowOff>709613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Q8"/>
  <sheetViews>
    <sheetView topLeftCell="A7" workbookViewId="0">
      <selection activeCell="D8" sqref="D8"/>
    </sheetView>
  </sheetViews>
  <sheetFormatPr defaultRowHeight="13.5" x14ac:dyDescent="0.3"/>
  <cols>
    <col min="1" max="1" width="9.06640625" style="23"/>
    <col min="2" max="2" width="39.19921875" customWidth="1"/>
    <col min="3" max="3" width="34.9296875" customWidth="1"/>
    <col min="4" max="4" width="41.796875" customWidth="1"/>
  </cols>
  <sheetData>
    <row r="1" spans="1:147" s="14" customFormat="1" x14ac:dyDescent="0.3">
      <c r="A1" s="15" t="s">
        <v>47</v>
      </c>
      <c r="B1" s="18" t="s">
        <v>126</v>
      </c>
      <c r="C1" s="19" t="s">
        <v>127</v>
      </c>
      <c r="D1" s="18" t="s">
        <v>128</v>
      </c>
      <c r="E1" t="s">
        <v>2</v>
      </c>
      <c r="F1" t="s">
        <v>3</v>
      </c>
      <c r="G1" t="s">
        <v>0</v>
      </c>
      <c r="H1" t="s">
        <v>99</v>
      </c>
      <c r="I1" t="s">
        <v>129</v>
      </c>
      <c r="J1" t="s">
        <v>4</v>
      </c>
      <c r="K1" t="s">
        <v>5</v>
      </c>
      <c r="L1" t="s">
        <v>1</v>
      </c>
      <c r="M1" t="s">
        <v>6</v>
      </c>
      <c r="N1" t="s">
        <v>7</v>
      </c>
      <c r="O1" t="s">
        <v>8</v>
      </c>
      <c r="P1" t="s">
        <v>9</v>
      </c>
      <c r="Q1" t="s">
        <v>130</v>
      </c>
      <c r="R1" t="s">
        <v>100</v>
      </c>
      <c r="S1" t="s">
        <v>131</v>
      </c>
      <c r="T1" t="s">
        <v>10</v>
      </c>
      <c r="U1" t="s">
        <v>101</v>
      </c>
      <c r="V1" t="s">
        <v>102</v>
      </c>
      <c r="W1" t="s">
        <v>11</v>
      </c>
      <c r="X1" t="s">
        <v>69</v>
      </c>
      <c r="Y1" t="s">
        <v>70</v>
      </c>
      <c r="Z1" t="s">
        <v>71</v>
      </c>
      <c r="AA1" t="s">
        <v>72</v>
      </c>
      <c r="AB1" t="s">
        <v>73</v>
      </c>
      <c r="AC1" t="s">
        <v>103</v>
      </c>
      <c r="AD1" t="s">
        <v>74</v>
      </c>
      <c r="AE1" t="s">
        <v>132</v>
      </c>
      <c r="AF1" t="s">
        <v>12</v>
      </c>
      <c r="AG1" t="s">
        <v>13</v>
      </c>
      <c r="AH1" t="s">
        <v>104</v>
      </c>
      <c r="AI1" t="s">
        <v>133</v>
      </c>
      <c r="AJ1" t="s">
        <v>105</v>
      </c>
      <c r="AK1" t="s">
        <v>14</v>
      </c>
      <c r="AL1" t="s">
        <v>106</v>
      </c>
      <c r="AM1" t="s">
        <v>48</v>
      </c>
      <c r="AN1" t="s">
        <v>107</v>
      </c>
      <c r="AO1" t="s">
        <v>108</v>
      </c>
      <c r="AP1" t="s">
        <v>109</v>
      </c>
      <c r="AQ1" t="s">
        <v>110</v>
      </c>
      <c r="AR1" t="s">
        <v>111</v>
      </c>
      <c r="AS1" t="s">
        <v>112</v>
      </c>
      <c r="AT1" t="s">
        <v>113</v>
      </c>
      <c r="AU1" t="s">
        <v>114</v>
      </c>
      <c r="AV1" t="s">
        <v>115</v>
      </c>
      <c r="AW1" t="s">
        <v>116</v>
      </c>
      <c r="AX1" t="s">
        <v>117</v>
      </c>
      <c r="AY1" t="s">
        <v>134</v>
      </c>
      <c r="AZ1" t="s">
        <v>49</v>
      </c>
      <c r="BA1" t="s">
        <v>50</v>
      </c>
      <c r="BB1" t="s">
        <v>51</v>
      </c>
      <c r="BC1" t="s">
        <v>52</v>
      </c>
      <c r="BD1" t="s">
        <v>58</v>
      </c>
      <c r="BE1" t="s">
        <v>53</v>
      </c>
      <c r="BF1" t="s">
        <v>54</v>
      </c>
      <c r="BG1" t="s">
        <v>55</v>
      </c>
      <c r="BH1" t="s">
        <v>56</v>
      </c>
      <c r="BI1" t="s">
        <v>135</v>
      </c>
      <c r="BJ1" t="s">
        <v>118</v>
      </c>
      <c r="BK1" t="s">
        <v>57</v>
      </c>
      <c r="BL1" t="s">
        <v>119</v>
      </c>
      <c r="BM1" t="s">
        <v>120</v>
      </c>
      <c r="BN1" t="s">
        <v>121</v>
      </c>
      <c r="BO1" t="s">
        <v>122</v>
      </c>
      <c r="BP1" t="s">
        <v>59</v>
      </c>
      <c r="BQ1" t="s">
        <v>60</v>
      </c>
      <c r="BR1" t="s">
        <v>61</v>
      </c>
      <c r="BS1" t="s">
        <v>123</v>
      </c>
      <c r="BT1" t="s">
        <v>62</v>
      </c>
      <c r="BU1" t="s">
        <v>63</v>
      </c>
      <c r="BV1" t="s">
        <v>64</v>
      </c>
      <c r="BW1" t="s">
        <v>124</v>
      </c>
      <c r="BX1" t="s">
        <v>65</v>
      </c>
      <c r="BY1" t="s">
        <v>66</v>
      </c>
      <c r="BZ1" t="s">
        <v>125</v>
      </c>
      <c r="CA1" t="s">
        <v>67</v>
      </c>
      <c r="CB1" t="s">
        <v>68</v>
      </c>
      <c r="CC1" t="s">
        <v>136</v>
      </c>
      <c r="CD1" t="s">
        <v>137</v>
      </c>
      <c r="CE1" t="s">
        <v>138</v>
      </c>
      <c r="CF1" t="s">
        <v>139</v>
      </c>
      <c r="CG1" s="1" t="s">
        <v>75</v>
      </c>
      <c r="CH1" s="1" t="s">
        <v>76</v>
      </c>
      <c r="CI1" s="1" t="s">
        <v>77</v>
      </c>
      <c r="CJ1" s="1" t="s">
        <v>78</v>
      </c>
      <c r="CK1" s="1" t="s">
        <v>79</v>
      </c>
      <c r="CL1" s="1" t="s">
        <v>80</v>
      </c>
      <c r="CM1" s="1" t="s">
        <v>81</v>
      </c>
      <c r="CN1" s="1" t="s">
        <v>82</v>
      </c>
      <c r="CO1" s="1" t="s">
        <v>83</v>
      </c>
      <c r="CP1" s="1" t="s">
        <v>84</v>
      </c>
      <c r="CQ1" s="1" t="s">
        <v>85</v>
      </c>
      <c r="CR1" s="1" t="s">
        <v>86</v>
      </c>
      <c r="CS1" s="1" t="s">
        <v>140</v>
      </c>
      <c r="CT1" s="1" t="s">
        <v>141</v>
      </c>
      <c r="CU1" s="1" t="s">
        <v>142</v>
      </c>
      <c r="CV1" s="1" t="s">
        <v>87</v>
      </c>
      <c r="CW1" s="1" t="s">
        <v>143</v>
      </c>
      <c r="CX1" s="1" t="s">
        <v>28</v>
      </c>
      <c r="CY1">
        <v>1</v>
      </c>
      <c r="CZ1" t="s">
        <v>144</v>
      </c>
      <c r="DA1" t="s">
        <v>94</v>
      </c>
      <c r="DB1">
        <v>3</v>
      </c>
      <c r="DC1" t="s">
        <v>145</v>
      </c>
      <c r="DD1" t="s">
        <v>146</v>
      </c>
      <c r="DE1">
        <v>6</v>
      </c>
      <c r="DF1" t="s">
        <v>95</v>
      </c>
      <c r="DG1" t="s">
        <v>147</v>
      </c>
      <c r="DH1">
        <v>10</v>
      </c>
      <c r="DI1" t="s">
        <v>148</v>
      </c>
      <c r="DJ1" t="s">
        <v>96</v>
      </c>
      <c r="DK1">
        <v>20</v>
      </c>
      <c r="DL1" t="s">
        <v>149</v>
      </c>
      <c r="DM1" t="s">
        <v>88</v>
      </c>
      <c r="DN1" t="s">
        <v>89</v>
      </c>
      <c r="DO1" s="2" t="s">
        <v>90</v>
      </c>
      <c r="DP1" t="s">
        <v>150</v>
      </c>
      <c r="DQ1" t="s">
        <v>97</v>
      </c>
      <c r="DR1" s="1" t="s">
        <v>91</v>
      </c>
      <c r="DS1" s="1" t="s">
        <v>92</v>
      </c>
      <c r="DT1" s="1" t="s">
        <v>151</v>
      </c>
      <c r="DU1" t="s">
        <v>152</v>
      </c>
      <c r="DV1" t="s">
        <v>98</v>
      </c>
      <c r="DW1" t="s">
        <v>153</v>
      </c>
      <c r="DX1" t="s">
        <v>154</v>
      </c>
      <c r="DY1" t="s">
        <v>155</v>
      </c>
      <c r="DZ1" t="s">
        <v>156</v>
      </c>
      <c r="EA1" t="s">
        <v>157</v>
      </c>
      <c r="EB1" t="s">
        <v>93</v>
      </c>
      <c r="EC1" t="s">
        <v>158</v>
      </c>
      <c r="ED1" t="s">
        <v>159</v>
      </c>
      <c r="EE1" t="s">
        <v>160</v>
      </c>
      <c r="EF1" t="s">
        <v>161</v>
      </c>
      <c r="EG1" t="s">
        <v>162</v>
      </c>
      <c r="EH1" t="s">
        <v>163</v>
      </c>
      <c r="EI1" t="s">
        <v>164</v>
      </c>
      <c r="EJ1" t="s">
        <v>165</v>
      </c>
      <c r="EK1"/>
    </row>
    <row r="2" spans="1:147" s="14" customFormat="1" ht="71.55" customHeight="1" x14ac:dyDescent="0.3">
      <c r="A2" s="22"/>
      <c r="B2" s="20"/>
      <c r="C2" s="21">
        <v>3</v>
      </c>
      <c r="D2" s="21">
        <v>8</v>
      </c>
      <c r="T2" s="16"/>
      <c r="U2" s="16"/>
      <c r="V2" s="16"/>
      <c r="AB2" s="17"/>
    </row>
    <row r="3" spans="1:147" ht="202.5" x14ac:dyDescent="0.3">
      <c r="B3" s="30" t="s">
        <v>1068</v>
      </c>
      <c r="C3" s="30" t="s">
        <v>1069</v>
      </c>
      <c r="D3" s="30" t="s">
        <v>1114</v>
      </c>
      <c r="E3" t="s">
        <v>231</v>
      </c>
      <c r="F3" t="s">
        <v>232</v>
      </c>
      <c r="G3">
        <v>20.79</v>
      </c>
      <c r="H3">
        <v>3.18</v>
      </c>
      <c r="I3" t="s">
        <v>1070</v>
      </c>
      <c r="J3">
        <v>75157219000</v>
      </c>
      <c r="K3">
        <v>27.5</v>
      </c>
      <c r="L3">
        <v>3.63</v>
      </c>
      <c r="M3" t="s">
        <v>168</v>
      </c>
      <c r="N3" t="s">
        <v>1071</v>
      </c>
      <c r="O3" t="s">
        <v>1072</v>
      </c>
      <c r="P3" t="s">
        <v>1073</v>
      </c>
      <c r="Q3">
        <v>-10.98</v>
      </c>
      <c r="R3" t="s">
        <v>1074</v>
      </c>
      <c r="S3">
        <v>1380415200</v>
      </c>
      <c r="T3" s="31">
        <v>-0.70189999999999997</v>
      </c>
      <c r="U3" t="s">
        <v>1075</v>
      </c>
      <c r="V3">
        <v>3615065800</v>
      </c>
      <c r="W3">
        <v>3615065800</v>
      </c>
      <c r="X3">
        <v>1.57</v>
      </c>
      <c r="Y3">
        <v>0.64</v>
      </c>
      <c r="Z3">
        <v>6.26</v>
      </c>
      <c r="AA3" t="s">
        <v>1076</v>
      </c>
      <c r="AB3" t="s">
        <v>1077</v>
      </c>
      <c r="AC3" t="s">
        <v>1078</v>
      </c>
      <c r="AD3" t="s">
        <v>1079</v>
      </c>
      <c r="AE3" t="s">
        <v>750</v>
      </c>
      <c r="AF3">
        <v>125429796</v>
      </c>
      <c r="AG3" t="s">
        <v>1080</v>
      </c>
      <c r="AH3" t="s">
        <v>1081</v>
      </c>
      <c r="AI3" t="s">
        <v>1082</v>
      </c>
      <c r="AJ3" t="s">
        <v>1083</v>
      </c>
      <c r="AK3" t="s">
        <v>1084</v>
      </c>
      <c r="AL3" t="s">
        <v>1085</v>
      </c>
      <c r="AM3" t="s">
        <v>1086</v>
      </c>
      <c r="AN3" t="s">
        <v>316</v>
      </c>
      <c r="AO3" t="s">
        <v>1087</v>
      </c>
      <c r="AP3" t="s">
        <v>1088</v>
      </c>
      <c r="AQ3" t="s">
        <v>666</v>
      </c>
      <c r="AR3" t="s">
        <v>1089</v>
      </c>
      <c r="AS3" t="s">
        <v>316</v>
      </c>
      <c r="AT3" t="s">
        <v>1090</v>
      </c>
      <c r="AU3" t="s">
        <v>1091</v>
      </c>
      <c r="AV3" t="s">
        <v>1092</v>
      </c>
      <c r="AW3" t="s">
        <v>1093</v>
      </c>
      <c r="AX3" t="s">
        <v>1094</v>
      </c>
      <c r="AY3" t="s">
        <v>1095</v>
      </c>
      <c r="AZ3" t="s">
        <v>1096</v>
      </c>
      <c r="BA3" t="s">
        <v>1097</v>
      </c>
      <c r="BB3" t="s">
        <v>1098</v>
      </c>
      <c r="BC3" t="s">
        <v>1099</v>
      </c>
      <c r="BD3" t="s">
        <v>1100</v>
      </c>
      <c r="BE3" t="s">
        <v>622</v>
      </c>
      <c r="BF3" t="s">
        <v>1101</v>
      </c>
      <c r="BG3" t="s">
        <v>1102</v>
      </c>
      <c r="BH3" t="s">
        <v>1103</v>
      </c>
      <c r="BI3" t="s">
        <v>1104</v>
      </c>
      <c r="BJ3" t="s">
        <v>1105</v>
      </c>
      <c r="BK3" t="s">
        <v>1106</v>
      </c>
      <c r="BL3" t="s">
        <v>1107</v>
      </c>
      <c r="BM3" t="s">
        <v>1108</v>
      </c>
      <c r="BN3" t="s">
        <v>1109</v>
      </c>
      <c r="BO3">
        <v>3.11</v>
      </c>
      <c r="BP3">
        <v>21.96</v>
      </c>
      <c r="BQ3">
        <v>5.35</v>
      </c>
      <c r="BR3">
        <v>4.54</v>
      </c>
      <c r="BS3">
        <v>37.28</v>
      </c>
      <c r="BT3">
        <v>8.3000000000000007</v>
      </c>
      <c r="BU3" t="s">
        <v>1110</v>
      </c>
      <c r="BV3" t="s">
        <v>1111</v>
      </c>
      <c r="BW3">
        <v>13.64</v>
      </c>
      <c r="BX3">
        <v>27.84</v>
      </c>
      <c r="BY3">
        <v>11.74</v>
      </c>
      <c r="BZ3">
        <v>6.61</v>
      </c>
      <c r="CA3">
        <v>18.45</v>
      </c>
      <c r="CB3">
        <v>4.26</v>
      </c>
      <c r="CC3">
        <v>11</v>
      </c>
      <c r="CD3">
        <v>12.99</v>
      </c>
      <c r="CE3" t="s">
        <v>1112</v>
      </c>
      <c r="CF3" t="s">
        <v>1113</v>
      </c>
      <c r="CG3" s="32">
        <v>7.2563222772906097E-2</v>
      </c>
      <c r="CH3" s="33">
        <v>-0.78429840425531916</v>
      </c>
      <c r="CI3" s="32">
        <v>0.225335493683815</v>
      </c>
      <c r="CJ3" s="32">
        <v>0.38830298185348511</v>
      </c>
      <c r="CK3" s="32">
        <v>0.21064561605453491</v>
      </c>
      <c r="CL3" s="32">
        <v>0.29645279049873352</v>
      </c>
      <c r="CM3" s="32">
        <v>0.3676009476184845</v>
      </c>
      <c r="CN3" s="33">
        <v>0.16647176444530487</v>
      </c>
      <c r="CO3" s="33">
        <v>4.625</v>
      </c>
      <c r="CP3" s="33">
        <v>0.48051947355270386</v>
      </c>
      <c r="CQ3" s="33">
        <v>5.4794520139694214E-2</v>
      </c>
      <c r="CR3" s="33">
        <v>0.45635908842086792</v>
      </c>
      <c r="CS3">
        <v>33.09189946429882</v>
      </c>
      <c r="CT3">
        <v>1.1117065898529157</v>
      </c>
      <c r="CU3">
        <v>0.81770081770081771</v>
      </c>
      <c r="CV3" s="32">
        <v>0.2976675659418106</v>
      </c>
      <c r="CW3" s="33">
        <v>1.1566289693117142</v>
      </c>
      <c r="CX3">
        <v>0.06</v>
      </c>
      <c r="CY3">
        <v>8.7619221498528042</v>
      </c>
      <c r="CZ3">
        <v>7325700674.1469755</v>
      </c>
      <c r="DA3">
        <v>0.2976675659418106</v>
      </c>
      <c r="DB3">
        <v>2.4120595571253483</v>
      </c>
      <c r="DC3">
        <v>26610959422.783588</v>
      </c>
      <c r="DD3">
        <v>0.28278418764472008</v>
      </c>
      <c r="DE3">
        <v>0.92928449866389951</v>
      </c>
      <c r="DF3">
        <v>69071655765.577362</v>
      </c>
      <c r="DG3">
        <v>0.26194745802879332</v>
      </c>
      <c r="DH3">
        <v>0.4140337405360654</v>
      </c>
      <c r="DI3">
        <v>155028957101.16364</v>
      </c>
      <c r="DJ3">
        <v>0.23813405275344848</v>
      </c>
      <c r="DK3">
        <v>0.10340971571236782</v>
      </c>
      <c r="DL3">
        <v>620707818001.70056</v>
      </c>
      <c r="DM3">
        <v>0.20836729615926741</v>
      </c>
      <c r="DN3">
        <v>5984000000</v>
      </c>
      <c r="DO3">
        <v>0.2976675659418106</v>
      </c>
      <c r="DP3">
        <v>64187219000</v>
      </c>
      <c r="DQ3">
        <v>21181518000</v>
      </c>
      <c r="DR3">
        <v>2931</v>
      </c>
      <c r="DS3">
        <v>-0.22510434316890449</v>
      </c>
      <c r="DT3">
        <v>-1.9409273735670334</v>
      </c>
      <c r="DU3" s="34">
        <v>0.22666666666666657</v>
      </c>
      <c r="DV3">
        <v>0.32666666666666661</v>
      </c>
      <c r="DW3">
        <v>0.55333333333333323</v>
      </c>
      <c r="DX3">
        <v>9.8468052347959976</v>
      </c>
      <c r="DY3">
        <v>0.98435495609170465</v>
      </c>
      <c r="DZ3">
        <v>9.1476446895310772</v>
      </c>
      <c r="EA3">
        <v>966</v>
      </c>
      <c r="EB3">
        <v>9.1197665092951468</v>
      </c>
      <c r="EC3">
        <v>9</v>
      </c>
      <c r="ED3">
        <v>6.1686290744694054E-2</v>
      </c>
      <c r="EE3">
        <v>0.35379715633391789</v>
      </c>
      <c r="EF3" s="35">
        <v>-1.1165</v>
      </c>
      <c r="EG3">
        <v>-1.1483000000000001</v>
      </c>
      <c r="EH3">
        <v>81.174354956091705</v>
      </c>
      <c r="EI3" t="s">
        <v>532</v>
      </c>
      <c r="EJ3">
        <v>1</v>
      </c>
      <c r="EK3">
        <v>1</v>
      </c>
      <c r="EL3" s="36">
        <v>45385</v>
      </c>
      <c r="EM3" s="37">
        <v>1.92</v>
      </c>
      <c r="EN3" s="37">
        <v>1.47</v>
      </c>
      <c r="EO3" s="37">
        <v>2.89</v>
      </c>
      <c r="EP3" s="37">
        <v>1.1000000000000001</v>
      </c>
      <c r="EQ3" s="37">
        <v>3.18</v>
      </c>
    </row>
    <row r="4" spans="1:147" ht="157.5" x14ac:dyDescent="0.3">
      <c r="B4" s="30"/>
      <c r="C4" s="30"/>
      <c r="D4" s="30" t="s">
        <v>1160</v>
      </c>
      <c r="E4" t="s">
        <v>233</v>
      </c>
      <c r="F4" t="s">
        <v>234</v>
      </c>
      <c r="G4">
        <v>5.44</v>
      </c>
      <c r="H4">
        <v>2.4500000000000001E-2</v>
      </c>
      <c r="I4" t="s">
        <v>1115</v>
      </c>
      <c r="J4">
        <v>27696626000</v>
      </c>
      <c r="K4">
        <v>30.89</v>
      </c>
      <c r="L4">
        <v>1.77</v>
      </c>
      <c r="M4" t="s">
        <v>236</v>
      </c>
      <c r="N4" t="s">
        <v>1116</v>
      </c>
      <c r="O4" t="s">
        <v>1117</v>
      </c>
      <c r="P4" t="s">
        <v>1118</v>
      </c>
      <c r="Q4">
        <v>0.67</v>
      </c>
      <c r="R4" t="s">
        <v>1119</v>
      </c>
      <c r="S4">
        <v>1421125900</v>
      </c>
      <c r="T4" s="31">
        <v>0.28160000000000002</v>
      </c>
      <c r="U4" t="s">
        <v>1102</v>
      </c>
      <c r="V4">
        <v>5091291600</v>
      </c>
      <c r="W4">
        <v>5091291600</v>
      </c>
      <c r="X4">
        <v>1.55</v>
      </c>
      <c r="Y4">
        <v>0.57999999999999996</v>
      </c>
      <c r="Z4">
        <v>8.7200000000000006</v>
      </c>
      <c r="AA4" t="s">
        <v>1120</v>
      </c>
      <c r="AB4" t="s">
        <v>1121</v>
      </c>
      <c r="AC4" t="s">
        <v>1122</v>
      </c>
      <c r="AD4" t="s">
        <v>1123</v>
      </c>
      <c r="AE4" t="s">
        <v>1124</v>
      </c>
      <c r="AF4">
        <v>159845610</v>
      </c>
      <c r="AG4" t="s">
        <v>1125</v>
      </c>
      <c r="AH4" t="s">
        <v>1126</v>
      </c>
      <c r="AI4" t="s">
        <v>1127</v>
      </c>
      <c r="AJ4" t="s">
        <v>1128</v>
      </c>
      <c r="AK4" t="s">
        <v>1129</v>
      </c>
      <c r="AL4" t="s">
        <v>316</v>
      </c>
      <c r="AM4" t="s">
        <v>1130</v>
      </c>
      <c r="AN4" t="s">
        <v>316</v>
      </c>
      <c r="AO4" t="s">
        <v>1131</v>
      </c>
      <c r="AP4" t="s">
        <v>1132</v>
      </c>
      <c r="AQ4" t="s">
        <v>1133</v>
      </c>
      <c r="AR4" t="s">
        <v>1134</v>
      </c>
      <c r="AS4" t="s">
        <v>316</v>
      </c>
      <c r="AT4" t="s">
        <v>1135</v>
      </c>
      <c r="AU4" t="s">
        <v>1136</v>
      </c>
      <c r="AV4" t="s">
        <v>1137</v>
      </c>
      <c r="AW4" t="s">
        <v>1138</v>
      </c>
      <c r="AX4" t="s">
        <v>1139</v>
      </c>
      <c r="AY4" t="s">
        <v>1140</v>
      </c>
      <c r="AZ4" t="s">
        <v>1141</v>
      </c>
      <c r="BA4" t="s">
        <v>1142</v>
      </c>
      <c r="BB4" t="s">
        <v>1143</v>
      </c>
      <c r="BC4" t="s">
        <v>1144</v>
      </c>
      <c r="BD4" t="s">
        <v>1145</v>
      </c>
      <c r="BE4" t="s">
        <v>1146</v>
      </c>
      <c r="BF4" t="s">
        <v>1147</v>
      </c>
      <c r="BG4" t="s">
        <v>1148</v>
      </c>
      <c r="BH4" t="s">
        <v>1149</v>
      </c>
      <c r="BI4" t="s">
        <v>1150</v>
      </c>
      <c r="BJ4" t="s">
        <v>1151</v>
      </c>
      <c r="BK4" t="s">
        <v>1152</v>
      </c>
      <c r="BL4" t="s">
        <v>1153</v>
      </c>
      <c r="BM4" t="s">
        <v>1154</v>
      </c>
      <c r="BN4" t="s">
        <v>1155</v>
      </c>
      <c r="BO4">
        <v>3.61</v>
      </c>
      <c r="BP4">
        <v>1.95</v>
      </c>
      <c r="BQ4">
        <v>4.7</v>
      </c>
      <c r="BR4">
        <v>3.93</v>
      </c>
      <c r="BS4">
        <v>3.19</v>
      </c>
      <c r="BT4">
        <v>5.33</v>
      </c>
      <c r="BU4" t="s">
        <v>1156</v>
      </c>
      <c r="BV4" t="s">
        <v>1157</v>
      </c>
      <c r="BW4">
        <v>16</v>
      </c>
      <c r="BX4">
        <v>13.33</v>
      </c>
      <c r="BY4">
        <v>17.93</v>
      </c>
      <c r="BZ4">
        <v>9.33</v>
      </c>
      <c r="CA4">
        <v>0.46</v>
      </c>
      <c r="CB4">
        <v>4.6399999999999997</v>
      </c>
      <c r="CC4">
        <v>5.0199999999999996</v>
      </c>
      <c r="CD4">
        <v>1.87</v>
      </c>
      <c r="CE4" t="s">
        <v>1158</v>
      </c>
      <c r="CF4" t="s">
        <v>1159</v>
      </c>
      <c r="CG4" s="32">
        <v>-5.0108753315650185E-2</v>
      </c>
      <c r="CH4" s="33">
        <v>-0.2106916015625</v>
      </c>
      <c r="CI4" s="32">
        <v>0.13315942883491516</v>
      </c>
      <c r="CJ4" s="32">
        <v>0.16838379204273224</v>
      </c>
      <c r="CK4" s="32">
        <v>-0.13445200026035309</v>
      </c>
      <c r="CL4" s="32">
        <v>2.6097835972905159E-2</v>
      </c>
      <c r="CM4" s="32">
        <v>0.30948656797409058</v>
      </c>
      <c r="CN4" s="33">
        <v>0.23728813230991364</v>
      </c>
      <c r="CO4" s="33">
        <v>-0.39253538846969604</v>
      </c>
      <c r="CP4" s="33">
        <v>0.24719101190567017</v>
      </c>
      <c r="CQ4" s="33">
        <v>-0.46060609817504883</v>
      </c>
      <c r="CR4" s="33">
        <v>1.6987296342849731</v>
      </c>
      <c r="CS4">
        <v>1.2753430952709859</v>
      </c>
      <c r="CT4">
        <v>226814023.97260273</v>
      </c>
      <c r="CU4">
        <v>2.2058823529411762</v>
      </c>
      <c r="CV4" s="32">
        <v>0.10053512491285801</v>
      </c>
      <c r="CW4" s="33">
        <v>0.26601345837116241</v>
      </c>
      <c r="CX4">
        <v>0.06</v>
      </c>
      <c r="CY4">
        <v>32.420535060673245</v>
      </c>
      <c r="CZ4">
        <v>606332559.385952</v>
      </c>
      <c r="DA4">
        <v>0.10053512491285801</v>
      </c>
      <c r="DB4">
        <v>10.50074577154197</v>
      </c>
      <c r="DC4">
        <v>1872021895.1756792</v>
      </c>
      <c r="DD4">
        <v>9.5508368667215113E-2</v>
      </c>
      <c r="DE4">
        <v>5.1077986341921475</v>
      </c>
      <c r="DF4">
        <v>3848551481.3387046</v>
      </c>
      <c r="DG4">
        <v>8.847090992331505E-2</v>
      </c>
      <c r="DH4">
        <v>3.0260119352411654</v>
      </c>
      <c r="DI4">
        <v>6496215619.9933615</v>
      </c>
      <c r="DJ4">
        <v>8.042809993028642E-2</v>
      </c>
      <c r="DK4">
        <v>1.5170130336230008</v>
      </c>
      <c r="DL4">
        <v>12958112794.227448</v>
      </c>
      <c r="DM4">
        <v>7.0374587439000602E-2</v>
      </c>
      <c r="DN4">
        <v>584000000</v>
      </c>
      <c r="DO4">
        <v>0.10053512491285801</v>
      </c>
      <c r="DP4">
        <v>19657626000</v>
      </c>
      <c r="DQ4">
        <v>-3150273400</v>
      </c>
      <c r="DR4">
        <v>3126</v>
      </c>
      <c r="DS4">
        <v>-0.15064387822850819</v>
      </c>
      <c r="DT4">
        <v>-0.47670505993366241</v>
      </c>
      <c r="DU4" s="34">
        <v>0.6</v>
      </c>
      <c r="DV4">
        <v>0.6</v>
      </c>
      <c r="DW4">
        <v>1.2</v>
      </c>
      <c r="DX4">
        <v>4.3725099601593627</v>
      </c>
      <c r="DY4">
        <v>0.74496443812233049</v>
      </c>
      <c r="DZ4">
        <v>4.065175995874255</v>
      </c>
      <c r="EA4">
        <v>2157</v>
      </c>
      <c r="EB4">
        <v>4.036613496260121</v>
      </c>
      <c r="EC4">
        <v>4</v>
      </c>
      <c r="ED4">
        <v>4.8317798179149669E-2</v>
      </c>
      <c r="EE4">
        <v>0.27615782211335138</v>
      </c>
      <c r="EF4" s="35">
        <v>1.8510000000000002E-2</v>
      </c>
      <c r="EG4">
        <v>1.8265E-2</v>
      </c>
      <c r="EH4">
        <v>57.174964438122331</v>
      </c>
      <c r="EI4" t="s">
        <v>581</v>
      </c>
      <c r="EJ4">
        <v>0</v>
      </c>
      <c r="EK4">
        <v>0</v>
      </c>
      <c r="EL4" s="36">
        <v>44946</v>
      </c>
      <c r="EM4" s="37">
        <v>7.7000000000000002E-3</v>
      </c>
      <c r="EN4" s="37">
        <v>-0.38</v>
      </c>
      <c r="EO4" s="37">
        <v>1.35</v>
      </c>
      <c r="EP4" s="37">
        <v>0.76</v>
      </c>
      <c r="EQ4" s="37">
        <v>2.4500000000000001E-2</v>
      </c>
    </row>
    <row r="5" spans="1:147" ht="146.25" x14ac:dyDescent="0.3">
      <c r="B5" s="30" t="s">
        <v>1161</v>
      </c>
      <c r="C5" s="30" t="s">
        <v>1162</v>
      </c>
      <c r="D5" s="30" t="s">
        <v>1203</v>
      </c>
      <c r="E5" t="s">
        <v>237</v>
      </c>
      <c r="F5" t="s">
        <v>238</v>
      </c>
      <c r="G5">
        <v>10.75</v>
      </c>
      <c r="H5">
        <v>4.17</v>
      </c>
      <c r="I5" t="s">
        <v>397</v>
      </c>
      <c r="J5">
        <v>18842886000</v>
      </c>
      <c r="K5">
        <v>70.72</v>
      </c>
      <c r="L5">
        <v>2.14</v>
      </c>
      <c r="M5" t="s">
        <v>168</v>
      </c>
      <c r="N5" t="s">
        <v>1163</v>
      </c>
      <c r="O5" t="s">
        <v>1164</v>
      </c>
      <c r="P5" t="s">
        <v>1165</v>
      </c>
      <c r="Q5">
        <v>1.77</v>
      </c>
      <c r="R5" t="s">
        <v>1166</v>
      </c>
      <c r="S5">
        <v>158190900</v>
      </c>
      <c r="T5" s="31">
        <v>-0.89349999999999996</v>
      </c>
      <c r="U5" t="s">
        <v>1167</v>
      </c>
      <c r="V5">
        <v>1752826600</v>
      </c>
      <c r="W5">
        <v>1752826600</v>
      </c>
      <c r="X5">
        <v>1.52</v>
      </c>
      <c r="Y5">
        <v>0.87</v>
      </c>
      <c r="Z5">
        <v>1.51</v>
      </c>
      <c r="AA5" t="s">
        <v>1168</v>
      </c>
      <c r="AB5" t="s">
        <v>1169</v>
      </c>
      <c r="AC5" t="s">
        <v>1170</v>
      </c>
      <c r="AD5" t="s">
        <v>1062</v>
      </c>
      <c r="AE5" t="s">
        <v>1171</v>
      </c>
      <c r="AF5">
        <v>47774038</v>
      </c>
      <c r="AG5" t="s">
        <v>1172</v>
      </c>
      <c r="AH5" t="s">
        <v>1173</v>
      </c>
      <c r="AI5" t="s">
        <v>1174</v>
      </c>
      <c r="AJ5" t="s">
        <v>1175</v>
      </c>
      <c r="AK5" t="s">
        <v>1176</v>
      </c>
      <c r="AL5" t="s">
        <v>316</v>
      </c>
      <c r="AM5" t="s">
        <v>1177</v>
      </c>
      <c r="AN5" t="s">
        <v>316</v>
      </c>
      <c r="AO5" t="s">
        <v>1178</v>
      </c>
      <c r="AP5" t="s">
        <v>1179</v>
      </c>
      <c r="AQ5" t="s">
        <v>1180</v>
      </c>
      <c r="AR5" t="s">
        <v>1181</v>
      </c>
      <c r="AS5" t="s">
        <v>316</v>
      </c>
      <c r="AT5" t="s">
        <v>1182</v>
      </c>
      <c r="AU5" t="s">
        <v>1128</v>
      </c>
      <c r="AV5" t="s">
        <v>1183</v>
      </c>
      <c r="AW5" t="s">
        <v>1184</v>
      </c>
      <c r="AX5" t="s">
        <v>1185</v>
      </c>
      <c r="AY5" t="s">
        <v>1186</v>
      </c>
      <c r="AZ5" t="s">
        <v>1187</v>
      </c>
      <c r="BA5" t="s">
        <v>1188</v>
      </c>
      <c r="BB5" t="s">
        <v>1189</v>
      </c>
      <c r="BC5" t="s">
        <v>1190</v>
      </c>
      <c r="BD5" t="s">
        <v>1191</v>
      </c>
      <c r="BE5" t="s">
        <v>790</v>
      </c>
      <c r="BF5" t="s">
        <v>857</v>
      </c>
      <c r="BG5" t="s">
        <v>1027</v>
      </c>
      <c r="BH5" t="s">
        <v>1192</v>
      </c>
      <c r="BI5" t="s">
        <v>1193</v>
      </c>
      <c r="BJ5" t="s">
        <v>1194</v>
      </c>
      <c r="BK5" t="s">
        <v>1195</v>
      </c>
      <c r="BL5" t="s">
        <v>1196</v>
      </c>
      <c r="BM5" t="s">
        <v>1197</v>
      </c>
      <c r="BN5" t="s">
        <v>1198</v>
      </c>
      <c r="BO5">
        <v>0.81</v>
      </c>
      <c r="BP5">
        <v>10.64</v>
      </c>
      <c r="BQ5">
        <v>6.8</v>
      </c>
      <c r="BR5">
        <v>0.83</v>
      </c>
      <c r="BS5">
        <v>13.34</v>
      </c>
      <c r="BT5">
        <v>5.94</v>
      </c>
      <c r="BU5" t="s">
        <v>1199</v>
      </c>
      <c r="BV5" t="s">
        <v>1111</v>
      </c>
      <c r="BW5">
        <v>6.17</v>
      </c>
      <c r="BX5">
        <v>18.73</v>
      </c>
      <c r="BY5">
        <v>17.809999999999999</v>
      </c>
      <c r="BZ5">
        <v>1.26</v>
      </c>
      <c r="CA5">
        <v>10.57</v>
      </c>
      <c r="CB5">
        <v>6.31</v>
      </c>
      <c r="CC5">
        <v>15.59</v>
      </c>
      <c r="CD5">
        <v>20.65</v>
      </c>
      <c r="CE5" t="s">
        <v>1200</v>
      </c>
      <c r="CF5" t="s">
        <v>1201</v>
      </c>
      <c r="CG5" s="32">
        <v>0.10493077483604567</v>
      </c>
      <c r="CH5" s="33">
        <v>-0.4622144927536232</v>
      </c>
      <c r="CI5" s="32">
        <v>0.57856053113937378</v>
      </c>
      <c r="CJ5" s="32">
        <v>0.30145889520645142</v>
      </c>
      <c r="CK5" s="32">
        <v>0.1719827800989151</v>
      </c>
      <c r="CL5" s="32">
        <v>0.11771322041749954</v>
      </c>
      <c r="CM5" s="32">
        <v>0.19657957553863525</v>
      </c>
      <c r="CN5" s="33">
        <v>0.48048320412635803</v>
      </c>
      <c r="CO5" s="33">
        <v>2.3312692642211914</v>
      </c>
      <c r="CP5" s="33">
        <v>2.1666667461395264</v>
      </c>
      <c r="CQ5" s="33">
        <v>-0.64335662126541138</v>
      </c>
      <c r="CR5" s="33">
        <v>-0.15133531391620636</v>
      </c>
      <c r="CS5">
        <v>30.4162808716707</v>
      </c>
      <c r="CT5">
        <v>1.1130934687685576</v>
      </c>
      <c r="CU5">
        <v>0.93023255813953487</v>
      </c>
      <c r="CV5" s="32">
        <v>0.27325900048017504</v>
      </c>
      <c r="CW5" s="33">
        <v>0.83674545586109161</v>
      </c>
      <c r="CX5">
        <v>0.06</v>
      </c>
      <c r="CY5">
        <v>7.4460125905844432</v>
      </c>
      <c r="CZ5">
        <v>1913492063.9291685</v>
      </c>
      <c r="DA5">
        <v>0.27325900048017504</v>
      </c>
      <c r="DB5">
        <v>2.0905686191930859</v>
      </c>
      <c r="DC5">
        <v>6815316115.0478649</v>
      </c>
      <c r="DD5">
        <v>0.25959605045616629</v>
      </c>
      <c r="DE5">
        <v>0.82959690902700001</v>
      </c>
      <c r="DF5">
        <v>17174468521.960571</v>
      </c>
      <c r="DG5">
        <v>0.24046792042255405</v>
      </c>
      <c r="DH5">
        <v>0.38387267061404579</v>
      </c>
      <c r="DI5">
        <v>37116177031.329079</v>
      </c>
      <c r="DJ5">
        <v>0.21860720038414005</v>
      </c>
      <c r="DK5">
        <v>0.10562465657956249</v>
      </c>
      <c r="DL5">
        <v>134891666978.03824</v>
      </c>
      <c r="DM5">
        <v>0.19128130033612251</v>
      </c>
      <c r="DN5">
        <v>1593000000</v>
      </c>
      <c r="DO5">
        <v>0.27325900048017504</v>
      </c>
      <c r="DP5">
        <v>14247886000</v>
      </c>
      <c r="DQ5">
        <v>5344919000</v>
      </c>
      <c r="DR5">
        <v>3157</v>
      </c>
      <c r="DS5">
        <v>-0.16832822564412936</v>
      </c>
      <c r="DT5">
        <v>-1.2989599486147148</v>
      </c>
      <c r="DU5" s="34">
        <v>0.10999999999999995</v>
      </c>
      <c r="DV5">
        <v>0.17833333333333332</v>
      </c>
      <c r="DW5">
        <v>0.28833333333333327</v>
      </c>
      <c r="DX5">
        <v>9.7549636803874087</v>
      </c>
      <c r="DY5">
        <v>1.1348178137651757</v>
      </c>
      <c r="DZ5">
        <v>9.1772789209006866</v>
      </c>
      <c r="EA5">
        <v>1553</v>
      </c>
      <c r="EB5">
        <v>9.1234645807601922</v>
      </c>
      <c r="EC5">
        <v>9</v>
      </c>
      <c r="ED5">
        <v>0.13235764450402565</v>
      </c>
      <c r="EE5">
        <v>0.56366100331886804</v>
      </c>
      <c r="EF5" s="35">
        <v>2.0604</v>
      </c>
      <c r="EG5">
        <v>2.1021000000000001</v>
      </c>
      <c r="EH5">
        <v>90.234817813765176</v>
      </c>
      <c r="EI5" t="s">
        <v>1202</v>
      </c>
      <c r="EJ5">
        <v>1</v>
      </c>
      <c r="EK5">
        <v>0</v>
      </c>
      <c r="EL5" s="36">
        <v>45385</v>
      </c>
      <c r="EM5" s="37">
        <v>2.37</v>
      </c>
      <c r="EN5" s="37">
        <v>2</v>
      </c>
      <c r="EO5" s="37">
        <v>3.19</v>
      </c>
      <c r="EP5" s="37">
        <v>2.99</v>
      </c>
      <c r="EQ5" s="37">
        <v>4.17</v>
      </c>
    </row>
    <row r="6" spans="1:147" ht="123.75" x14ac:dyDescent="0.3">
      <c r="B6" s="30"/>
      <c r="C6" s="30"/>
      <c r="D6" s="30" t="s">
        <v>1247</v>
      </c>
      <c r="E6" t="s">
        <v>239</v>
      </c>
      <c r="F6" t="s">
        <v>240</v>
      </c>
      <c r="G6">
        <v>19.86</v>
      </c>
      <c r="H6">
        <v>10.029999999999999</v>
      </c>
      <c r="I6" t="s">
        <v>1204</v>
      </c>
      <c r="J6">
        <v>8420994800</v>
      </c>
      <c r="K6">
        <v>79.91</v>
      </c>
      <c r="L6">
        <v>6.65</v>
      </c>
      <c r="M6" t="s">
        <v>168</v>
      </c>
      <c r="N6" t="s">
        <v>1205</v>
      </c>
      <c r="O6" t="s">
        <v>1206</v>
      </c>
      <c r="P6" t="s">
        <v>1207</v>
      </c>
      <c r="Q6">
        <v>15.09</v>
      </c>
      <c r="R6" t="s">
        <v>1208</v>
      </c>
      <c r="S6">
        <v>81945478</v>
      </c>
      <c r="T6" s="31">
        <v>-0.35699999999999998</v>
      </c>
      <c r="U6" t="s">
        <v>1209</v>
      </c>
      <c r="V6">
        <v>422356780</v>
      </c>
      <c r="W6">
        <v>423673900</v>
      </c>
      <c r="X6">
        <v>1.49</v>
      </c>
      <c r="Y6">
        <v>0.44</v>
      </c>
      <c r="Z6">
        <v>10.31</v>
      </c>
      <c r="AA6" t="s">
        <v>1210</v>
      </c>
      <c r="AB6" t="s">
        <v>1155</v>
      </c>
      <c r="AC6" t="s">
        <v>1211</v>
      </c>
      <c r="AD6" t="s">
        <v>1212</v>
      </c>
      <c r="AE6" t="s">
        <v>1213</v>
      </c>
      <c r="AF6">
        <v>5791095</v>
      </c>
      <c r="AG6" t="s">
        <v>1214</v>
      </c>
      <c r="AH6" t="s">
        <v>1215</v>
      </c>
      <c r="AI6" t="s">
        <v>1216</v>
      </c>
      <c r="AJ6" t="s">
        <v>1217</v>
      </c>
      <c r="AK6" t="s">
        <v>1218</v>
      </c>
      <c r="AL6" t="s">
        <v>1219</v>
      </c>
      <c r="AM6" t="s">
        <v>1220</v>
      </c>
      <c r="AN6" t="s">
        <v>316</v>
      </c>
      <c r="AO6" t="s">
        <v>1221</v>
      </c>
      <c r="AP6" t="s">
        <v>1222</v>
      </c>
      <c r="AQ6" t="s">
        <v>495</v>
      </c>
      <c r="AR6" t="s">
        <v>1062</v>
      </c>
      <c r="AS6" t="s">
        <v>316</v>
      </c>
      <c r="AT6" t="s">
        <v>1223</v>
      </c>
      <c r="AU6" t="s">
        <v>1224</v>
      </c>
      <c r="AV6" t="s">
        <v>1225</v>
      </c>
      <c r="AW6" t="s">
        <v>1226</v>
      </c>
      <c r="AX6" t="s">
        <v>1227</v>
      </c>
      <c r="AY6" t="s">
        <v>1228</v>
      </c>
      <c r="AZ6" t="s">
        <v>1229</v>
      </c>
      <c r="BA6" t="s">
        <v>1230</v>
      </c>
      <c r="BB6" t="s">
        <v>1231</v>
      </c>
      <c r="BC6" t="s">
        <v>1232</v>
      </c>
      <c r="BD6" t="s">
        <v>1221</v>
      </c>
      <c r="BE6" t="s">
        <v>1233</v>
      </c>
      <c r="BF6" t="s">
        <v>1234</v>
      </c>
      <c r="BG6" t="s">
        <v>1235</v>
      </c>
      <c r="BH6" t="s">
        <v>1236</v>
      </c>
      <c r="BI6" t="s">
        <v>1237</v>
      </c>
      <c r="BJ6" t="s">
        <v>1238</v>
      </c>
      <c r="BK6" t="s">
        <v>1239</v>
      </c>
      <c r="BL6" t="s">
        <v>1240</v>
      </c>
      <c r="BM6" t="s">
        <v>1171</v>
      </c>
      <c r="BN6" t="s">
        <v>1241</v>
      </c>
      <c r="BO6">
        <v>2.48</v>
      </c>
      <c r="BP6">
        <v>9.57</v>
      </c>
      <c r="BQ6">
        <v>9.42</v>
      </c>
      <c r="BR6">
        <v>2.94</v>
      </c>
      <c r="BS6">
        <v>12.88</v>
      </c>
      <c r="BT6">
        <v>11</v>
      </c>
      <c r="BU6" t="s">
        <v>1242</v>
      </c>
      <c r="BV6" t="s">
        <v>1243</v>
      </c>
      <c r="BW6">
        <v>31.43</v>
      </c>
      <c r="BX6">
        <v>31.04</v>
      </c>
      <c r="BY6">
        <v>26.19</v>
      </c>
      <c r="BZ6">
        <v>14.65</v>
      </c>
      <c r="CA6">
        <v>13.53</v>
      </c>
      <c r="CB6">
        <v>10.18</v>
      </c>
      <c r="CC6">
        <v>61.07</v>
      </c>
      <c r="CD6">
        <v>105.17</v>
      </c>
      <c r="CE6" t="s">
        <v>1244</v>
      </c>
      <c r="CF6" t="s">
        <v>1245</v>
      </c>
      <c r="CG6" s="32">
        <v>-8.5185185185185183E-2</v>
      </c>
      <c r="CH6" s="33">
        <v>-0.94318819923508601</v>
      </c>
      <c r="CI6" s="32">
        <v>0.2319391667842865</v>
      </c>
      <c r="CJ6" s="32">
        <v>7.6398365199565887E-2</v>
      </c>
      <c r="CK6" s="32">
        <v>-3.6793693900108337E-2</v>
      </c>
      <c r="CL6" s="32">
        <v>0.27045074105262756</v>
      </c>
      <c r="CM6" s="32">
        <v>0.46813726425170898</v>
      </c>
      <c r="CN6" s="33">
        <v>0.50999999046325684</v>
      </c>
      <c r="CO6" s="33">
        <v>0.54226976633071899</v>
      </c>
      <c r="CP6" s="33">
        <v>-0.21606594324111938</v>
      </c>
      <c r="CQ6" s="33">
        <v>0.11497335135936737</v>
      </c>
      <c r="CR6" s="33">
        <v>0.37353062629699707</v>
      </c>
      <c r="CS6">
        <v>95.922155039504361</v>
      </c>
      <c r="CT6">
        <v>4.7480017419197535</v>
      </c>
      <c r="CU6">
        <v>0.50352467270896273</v>
      </c>
      <c r="CV6" s="32">
        <v>0.20202636867761611</v>
      </c>
      <c r="CW6" s="33">
        <v>0.26494155824184418</v>
      </c>
      <c r="CX6">
        <v>0.06</v>
      </c>
      <c r="CY6">
        <v>45.114185288247107</v>
      </c>
      <c r="CZ6">
        <v>171232058.17954719</v>
      </c>
      <c r="DA6">
        <v>0.20202636867761611</v>
      </c>
      <c r="DB6">
        <v>13.425306868712816</v>
      </c>
      <c r="DC6">
        <v>575405454.45577979</v>
      </c>
      <c r="DD6">
        <v>0.1919250502437353</v>
      </c>
      <c r="DE6">
        <v>5.8023564735825151</v>
      </c>
      <c r="DF6">
        <v>1331354740.9868808</v>
      </c>
      <c r="DG6">
        <v>0.17778320443630219</v>
      </c>
      <c r="DH6">
        <v>2.9877147327259386</v>
      </c>
      <c r="DI6">
        <v>2585586473.6295791</v>
      </c>
      <c r="DJ6">
        <v>0.1616210949420929</v>
      </c>
      <c r="DK6">
        <v>1.0754503362771159</v>
      </c>
      <c r="DL6">
        <v>7183032576.6056261</v>
      </c>
      <c r="DM6">
        <v>0.14141845807433126</v>
      </c>
      <c r="DN6">
        <v>151000000</v>
      </c>
      <c r="DO6">
        <v>0.20202636867761611</v>
      </c>
      <c r="DP6">
        <v>7724994800</v>
      </c>
      <c r="DQ6">
        <v>221078170</v>
      </c>
      <c r="DR6">
        <v>4249</v>
      </c>
      <c r="DS6">
        <v>-0.28721155386280128</v>
      </c>
      <c r="DT6">
        <v>-1.2081297574769301</v>
      </c>
      <c r="DU6" s="34">
        <v>-5.6666666666666719E-2</v>
      </c>
      <c r="DV6">
        <v>6.3333333333333311E-2</v>
      </c>
      <c r="DW6">
        <v>6.6666666666665916E-3</v>
      </c>
      <c r="DX6">
        <v>9.5806789008272322</v>
      </c>
      <c r="DY6">
        <v>1.0771119133574065</v>
      </c>
      <c r="DZ6">
        <v>9.2305945093537751</v>
      </c>
      <c r="EA6">
        <v>2268</v>
      </c>
      <c r="EB6">
        <v>9.1283684837059322</v>
      </c>
      <c r="EC6">
        <v>9</v>
      </c>
      <c r="ED6">
        <v>0.51926729496435831</v>
      </c>
      <c r="EE6">
        <v>1.3076094609557021</v>
      </c>
      <c r="EF6" s="35">
        <v>8.0733999999999995</v>
      </c>
      <c r="EG6">
        <v>9.0236999999999998</v>
      </c>
      <c r="EH6">
        <v>68.397111913357406</v>
      </c>
      <c r="EI6" t="s">
        <v>1246</v>
      </c>
      <c r="EJ6">
        <v>1</v>
      </c>
      <c r="EK6">
        <v>0</v>
      </c>
      <c r="EL6" s="36">
        <v>45385</v>
      </c>
      <c r="EM6" s="37">
        <v>9.98</v>
      </c>
      <c r="EN6" s="37">
        <v>10.029999999999999</v>
      </c>
      <c r="EO6" s="37">
        <v>9.99</v>
      </c>
      <c r="EP6" s="37">
        <v>9.99</v>
      </c>
      <c r="EQ6" s="37">
        <v>10.029999999999999</v>
      </c>
    </row>
    <row r="7" spans="1:147" ht="202.5" x14ac:dyDescent="0.3">
      <c r="B7" s="30"/>
      <c r="C7" s="30"/>
      <c r="D7" s="30" t="s">
        <v>1288</v>
      </c>
      <c r="E7" t="s">
        <v>241</v>
      </c>
      <c r="F7" t="s">
        <v>242</v>
      </c>
      <c r="G7">
        <v>12.03</v>
      </c>
      <c r="H7">
        <v>3.08</v>
      </c>
      <c r="I7" t="s">
        <v>1248</v>
      </c>
      <c r="J7">
        <v>7857033600</v>
      </c>
      <c r="K7">
        <v>1127</v>
      </c>
      <c r="L7">
        <v>5.55</v>
      </c>
      <c r="M7" t="s">
        <v>168</v>
      </c>
      <c r="N7" t="s">
        <v>1249</v>
      </c>
      <c r="O7" t="s">
        <v>1250</v>
      </c>
      <c r="P7" t="s">
        <v>1251</v>
      </c>
      <c r="Q7">
        <v>14.18</v>
      </c>
      <c r="R7" t="s">
        <v>421</v>
      </c>
      <c r="S7">
        <v>-4863592</v>
      </c>
      <c r="T7" s="31">
        <v>0.30790000000000001</v>
      </c>
      <c r="U7" t="s">
        <v>1252</v>
      </c>
      <c r="V7">
        <v>645813480</v>
      </c>
      <c r="W7">
        <v>653120000</v>
      </c>
      <c r="X7">
        <v>1.71</v>
      </c>
      <c r="Y7">
        <v>0.19</v>
      </c>
      <c r="Z7">
        <v>-0.68</v>
      </c>
      <c r="AA7" t="s">
        <v>1253</v>
      </c>
      <c r="AB7" t="s">
        <v>997</v>
      </c>
      <c r="AC7" t="s">
        <v>1254</v>
      </c>
      <c r="AD7" t="s">
        <v>1255</v>
      </c>
      <c r="AE7" t="s">
        <v>1256</v>
      </c>
      <c r="AF7">
        <v>18359222</v>
      </c>
      <c r="AG7" t="s">
        <v>1257</v>
      </c>
      <c r="AH7" t="s">
        <v>1258</v>
      </c>
      <c r="AI7" t="s">
        <v>1259</v>
      </c>
      <c r="AJ7" t="s">
        <v>1260</v>
      </c>
      <c r="AK7" t="s">
        <v>1261</v>
      </c>
      <c r="AL7" t="s">
        <v>1262</v>
      </c>
      <c r="AM7" t="s">
        <v>1263</v>
      </c>
      <c r="AN7" t="s">
        <v>316</v>
      </c>
      <c r="AO7" t="s">
        <v>1264</v>
      </c>
      <c r="AP7" t="s">
        <v>1265</v>
      </c>
      <c r="AQ7" t="s">
        <v>316</v>
      </c>
      <c r="AR7" t="s">
        <v>1005</v>
      </c>
      <c r="AS7" t="s">
        <v>316</v>
      </c>
      <c r="AT7" t="s">
        <v>1010</v>
      </c>
      <c r="AU7" t="s">
        <v>1266</v>
      </c>
      <c r="AV7" t="s">
        <v>1267</v>
      </c>
      <c r="AW7" t="s">
        <v>1268</v>
      </c>
      <c r="AX7" t="s">
        <v>394</v>
      </c>
      <c r="AY7" t="s">
        <v>358</v>
      </c>
      <c r="AZ7" t="s">
        <v>1269</v>
      </c>
      <c r="BA7" t="s">
        <v>1270</v>
      </c>
      <c r="BB7" t="s">
        <v>1271</v>
      </c>
      <c r="BC7" t="s">
        <v>1272</v>
      </c>
      <c r="BD7" t="s">
        <v>1273</v>
      </c>
      <c r="BE7" t="s">
        <v>1274</v>
      </c>
      <c r="BF7" t="s">
        <v>1275</v>
      </c>
      <c r="BG7" t="s">
        <v>1276</v>
      </c>
      <c r="BH7" t="s">
        <v>1277</v>
      </c>
      <c r="BI7" t="s">
        <v>1278</v>
      </c>
      <c r="BJ7" t="s">
        <v>1279</v>
      </c>
      <c r="BK7" t="s">
        <v>1280</v>
      </c>
      <c r="BL7" t="s">
        <v>1281</v>
      </c>
      <c r="BM7" t="s">
        <v>1282</v>
      </c>
      <c r="BN7" t="s">
        <v>1283</v>
      </c>
      <c r="BO7" t="s">
        <v>316</v>
      </c>
      <c r="BP7">
        <v>2.08</v>
      </c>
      <c r="BQ7">
        <v>2.7</v>
      </c>
      <c r="BR7">
        <v>-0.68</v>
      </c>
      <c r="BS7">
        <v>0.95</v>
      </c>
      <c r="BT7">
        <v>1.57</v>
      </c>
      <c r="BU7" t="s">
        <v>529</v>
      </c>
      <c r="BV7" t="s">
        <v>1243</v>
      </c>
      <c r="BW7">
        <v>17.64</v>
      </c>
      <c r="BX7">
        <v>19.579999999999998</v>
      </c>
      <c r="BY7">
        <v>17.79</v>
      </c>
      <c r="BZ7">
        <v>-1.88</v>
      </c>
      <c r="CA7">
        <v>4.07</v>
      </c>
      <c r="CB7">
        <v>3.48</v>
      </c>
      <c r="CC7">
        <v>13.92</v>
      </c>
      <c r="CD7">
        <v>25.05</v>
      </c>
      <c r="CE7" t="s">
        <v>1284</v>
      </c>
      <c r="CF7" t="s">
        <v>1285</v>
      </c>
      <c r="CG7" s="32">
        <v>0.87128712871287128</v>
      </c>
      <c r="CH7" s="33">
        <v>1.1239508756299823</v>
      </c>
      <c r="CI7" s="32">
        <v>-3.4172661602497101E-2</v>
      </c>
      <c r="CJ7" s="32">
        <v>-0.17014925181865692</v>
      </c>
      <c r="CK7" s="32">
        <v>0.60287082195281982</v>
      </c>
      <c r="CL7" s="32">
        <v>-0.10107526928186417</v>
      </c>
      <c r="CM7" s="32">
        <v>2.1551724057644606E-3</v>
      </c>
      <c r="CN7" s="33">
        <v>-5.4695134162902832</v>
      </c>
      <c r="CO7" s="33">
        <v>-0.3830903172492981</v>
      </c>
      <c r="CP7" s="33">
        <v>1.3826508522033691</v>
      </c>
      <c r="CQ7" s="33">
        <v>-7.8608465194702148</v>
      </c>
      <c r="CR7" s="33">
        <v>1.8465572968125343E-2</v>
      </c>
      <c r="CS7">
        <v>-694.60376135271963</v>
      </c>
      <c r="CT7">
        <v>-115.91070923966937</v>
      </c>
      <c r="CU7">
        <v>0</v>
      </c>
      <c r="CV7" s="32">
        <v>5.9925762331113221E-2</v>
      </c>
      <c r="CW7" s="33">
        <v>-2.4624667655676604</v>
      </c>
      <c r="CX7">
        <v>0.06</v>
      </c>
      <c r="CY7" t="e">
        <v>#VALUE!</v>
      </c>
      <c r="CZ7" t="s">
        <v>1286</v>
      </c>
      <c r="DA7">
        <v>5.9925762331113221E-2</v>
      </c>
      <c r="DB7" t="e">
        <v>#VALUE!</v>
      </c>
      <c r="DC7" t="s">
        <v>1287</v>
      </c>
      <c r="DD7">
        <v>5.692947421455756E-2</v>
      </c>
      <c r="DE7" t="e">
        <v>#VALUE!</v>
      </c>
      <c r="DF7" t="s">
        <v>1287</v>
      </c>
      <c r="DG7">
        <v>5.2734670851379638E-2</v>
      </c>
      <c r="DH7" t="e">
        <v>#VALUE!</v>
      </c>
      <c r="DI7" t="s">
        <v>1287</v>
      </c>
      <c r="DJ7">
        <v>4.7940609864890578E-2</v>
      </c>
      <c r="DK7" t="e">
        <v>#VALUE!</v>
      </c>
      <c r="DL7" t="s">
        <v>1287</v>
      </c>
      <c r="DM7">
        <v>4.194803363177925E-2</v>
      </c>
      <c r="DN7">
        <v>-62402900</v>
      </c>
      <c r="DO7">
        <v>5.9925762331113221E-2</v>
      </c>
      <c r="DP7">
        <v>7423033600</v>
      </c>
      <c r="DQ7">
        <v>218401460</v>
      </c>
      <c r="DR7">
        <v>937</v>
      </c>
      <c r="DS7">
        <v>0.81136136638175804</v>
      </c>
      <c r="DT7">
        <v>3.5864176411976425</v>
      </c>
      <c r="DU7" s="34">
        <v>-0.32333333333333331</v>
      </c>
      <c r="DV7">
        <v>-2.1816666666666666</v>
      </c>
      <c r="DW7">
        <v>-2.5049999999999999</v>
      </c>
      <c r="DX7">
        <v>9.5556886227544915</v>
      </c>
      <c r="DY7">
        <v>0.81496166484118049</v>
      </c>
      <c r="DZ7">
        <v>9.108337979025519</v>
      </c>
      <c r="EA7">
        <v>4705</v>
      </c>
      <c r="EB7">
        <v>9.0087034615675314</v>
      </c>
      <c r="EC7">
        <v>9</v>
      </c>
      <c r="ED7">
        <v>0.27253797158255755</v>
      </c>
      <c r="EE7">
        <v>1.3979054385105343</v>
      </c>
      <c r="EF7" s="35">
        <v>-1.04131</v>
      </c>
      <c r="EG7">
        <v>-1.01051</v>
      </c>
      <c r="EH7">
        <v>62.19496166484118</v>
      </c>
      <c r="EI7" t="s">
        <v>626</v>
      </c>
      <c r="EJ7">
        <v>1</v>
      </c>
      <c r="EK7">
        <v>0</v>
      </c>
      <c r="EL7" s="36">
        <v>45385</v>
      </c>
      <c r="EM7" s="37">
        <v>3.03</v>
      </c>
      <c r="EN7" s="37">
        <v>2.02</v>
      </c>
      <c r="EO7" s="37">
        <v>2.79</v>
      </c>
      <c r="EP7" s="37">
        <v>2.2799999999999998</v>
      </c>
      <c r="EQ7" s="37">
        <v>3.08</v>
      </c>
    </row>
    <row r="8" spans="1:147" ht="180" x14ac:dyDescent="0.3">
      <c r="B8" s="30"/>
      <c r="C8" s="30"/>
      <c r="D8" s="30" t="s">
        <v>1326</v>
      </c>
      <c r="E8" t="s">
        <v>243</v>
      </c>
      <c r="F8" t="s">
        <v>244</v>
      </c>
      <c r="G8">
        <v>7.69</v>
      </c>
      <c r="H8">
        <v>1.72</v>
      </c>
      <c r="I8" t="s">
        <v>1289</v>
      </c>
      <c r="J8">
        <v>5959000200</v>
      </c>
      <c r="L8">
        <v>3.94</v>
      </c>
      <c r="M8" t="s">
        <v>168</v>
      </c>
      <c r="N8" t="s">
        <v>1290</v>
      </c>
      <c r="O8" t="s">
        <v>1291</v>
      </c>
      <c r="P8" t="s">
        <v>1292</v>
      </c>
      <c r="Q8">
        <v>3.9</v>
      </c>
      <c r="R8" t="s">
        <v>1293</v>
      </c>
      <c r="S8">
        <v>-7550643</v>
      </c>
      <c r="T8" s="31">
        <v>-1.0589999999999999</v>
      </c>
      <c r="U8" t="s">
        <v>1294</v>
      </c>
      <c r="V8">
        <v>685794210</v>
      </c>
      <c r="W8">
        <v>774902500</v>
      </c>
      <c r="X8">
        <v>2.57</v>
      </c>
      <c r="Y8">
        <v>0.31</v>
      </c>
      <c r="Z8">
        <v>-1.39</v>
      </c>
      <c r="AA8" t="s">
        <v>1295</v>
      </c>
      <c r="AB8" t="s">
        <v>478</v>
      </c>
      <c r="AC8" t="s">
        <v>1296</v>
      </c>
      <c r="AD8" t="s">
        <v>1297</v>
      </c>
      <c r="AE8" t="s">
        <v>1298</v>
      </c>
      <c r="AF8">
        <v>38098432</v>
      </c>
      <c r="AG8" t="s">
        <v>1299</v>
      </c>
      <c r="AH8" t="s">
        <v>1300</v>
      </c>
      <c r="AI8" t="s">
        <v>1301</v>
      </c>
      <c r="AJ8" t="s">
        <v>1302</v>
      </c>
      <c r="AK8" t="s">
        <v>1303</v>
      </c>
      <c r="AL8" t="s">
        <v>316</v>
      </c>
      <c r="AM8" t="s">
        <v>1304</v>
      </c>
      <c r="AN8" t="s">
        <v>316</v>
      </c>
      <c r="AO8" t="s">
        <v>1305</v>
      </c>
      <c r="AP8" t="s">
        <v>1306</v>
      </c>
      <c r="AQ8" t="s">
        <v>1307</v>
      </c>
      <c r="AR8" t="s">
        <v>1308</v>
      </c>
      <c r="AS8" t="s">
        <v>316</v>
      </c>
      <c r="AT8" t="s">
        <v>1309</v>
      </c>
      <c r="AU8" t="s">
        <v>1021</v>
      </c>
      <c r="AV8" t="s">
        <v>1310</v>
      </c>
      <c r="AW8" t="s">
        <v>1311</v>
      </c>
      <c r="AX8" t="s">
        <v>1251</v>
      </c>
      <c r="AY8" t="s">
        <v>1312</v>
      </c>
      <c r="AZ8" t="s">
        <v>389</v>
      </c>
      <c r="BA8" t="s">
        <v>1145</v>
      </c>
      <c r="BB8" t="s">
        <v>1313</v>
      </c>
      <c r="BC8" t="s">
        <v>1314</v>
      </c>
      <c r="BD8" t="s">
        <v>1209</v>
      </c>
      <c r="BE8" t="s">
        <v>1315</v>
      </c>
      <c r="BF8" t="s">
        <v>1316</v>
      </c>
      <c r="BG8" t="s">
        <v>1317</v>
      </c>
      <c r="BH8" t="s">
        <v>1318</v>
      </c>
      <c r="BI8" t="s">
        <v>1319</v>
      </c>
      <c r="BJ8" t="s">
        <v>1320</v>
      </c>
      <c r="BK8" t="s">
        <v>1321</v>
      </c>
      <c r="BL8" t="s">
        <v>1322</v>
      </c>
      <c r="BM8" t="s">
        <v>1323</v>
      </c>
      <c r="BN8" t="s">
        <v>334</v>
      </c>
      <c r="BO8">
        <v>0.82</v>
      </c>
      <c r="BP8">
        <v>10.42</v>
      </c>
      <c r="BQ8" t="s">
        <v>316</v>
      </c>
      <c r="BR8">
        <v>0.68</v>
      </c>
      <c r="BS8">
        <v>12.59</v>
      </c>
      <c r="BT8">
        <v>-21.38</v>
      </c>
      <c r="BU8" t="s">
        <v>529</v>
      </c>
      <c r="BV8" t="s">
        <v>1243</v>
      </c>
      <c r="BW8">
        <v>18.579999999999998</v>
      </c>
      <c r="BX8">
        <v>24.25</v>
      </c>
      <c r="BY8">
        <v>10.74</v>
      </c>
      <c r="BZ8">
        <v>2.88</v>
      </c>
      <c r="CA8">
        <v>11.69</v>
      </c>
      <c r="CB8">
        <v>-20.23</v>
      </c>
      <c r="CC8">
        <v>40.07</v>
      </c>
      <c r="CD8">
        <v>57.26</v>
      </c>
      <c r="CE8" t="s">
        <v>1324</v>
      </c>
      <c r="CF8" t="s">
        <v>1325</v>
      </c>
      <c r="CG8" s="32">
        <v>4.6822742474916385E-2</v>
      </c>
      <c r="CH8" s="33">
        <v>-5.267217875</v>
      </c>
      <c r="CI8" s="32">
        <v>6.5318815410137177E-2</v>
      </c>
      <c r="CJ8" s="32">
        <v>0.67447918653488159</v>
      </c>
      <c r="CK8" s="32">
        <v>0.62711864709854126</v>
      </c>
      <c r="CL8" s="32">
        <v>-6.1630219221115112E-2</v>
      </c>
      <c r="CM8" s="32">
        <v>-0.40962442755699158</v>
      </c>
      <c r="CN8" s="33">
        <v>-0.34436687827110291</v>
      </c>
      <c r="CO8" s="33">
        <v>1.9378881454467773</v>
      </c>
      <c r="CP8" s="33">
        <v>0.21844659745693207</v>
      </c>
      <c r="CQ8" s="33">
        <v>-20.383127212524414</v>
      </c>
      <c r="CR8" s="33">
        <v>1.2703380584716797</v>
      </c>
      <c r="CS8">
        <v>-245.42059490158877</v>
      </c>
      <c r="CT8">
        <v>-13.700513937223599</v>
      </c>
      <c r="CU8">
        <v>0</v>
      </c>
      <c r="CV8" s="32">
        <v>0.17913240045309067</v>
      </c>
      <c r="CW8" s="33">
        <v>-3.4601642578840255</v>
      </c>
      <c r="CX8">
        <v>0.06</v>
      </c>
      <c r="CY8">
        <v>61.592423856964125</v>
      </c>
      <c r="CZ8">
        <v>110127184.07952476</v>
      </c>
      <c r="DA8">
        <v>0.17913240045309067</v>
      </c>
      <c r="DB8">
        <v>18.679182829812568</v>
      </c>
      <c r="DC8">
        <v>363131527.85110688</v>
      </c>
      <c r="DD8">
        <v>0.17017578043043613</v>
      </c>
      <c r="DE8">
        <v>8.294594717461333</v>
      </c>
      <c r="DF8">
        <v>817761497.82469714</v>
      </c>
      <c r="DG8">
        <v>0.15763651239871979</v>
      </c>
      <c r="DH8">
        <v>4.4143618920778449</v>
      </c>
      <c r="DI8">
        <v>1536575470.2107656</v>
      </c>
      <c r="DJ8">
        <v>0.14330592036247256</v>
      </c>
      <c r="DK8">
        <v>1.7226680850253471</v>
      </c>
      <c r="DL8">
        <v>3937496874.1585503</v>
      </c>
      <c r="DM8">
        <v>0.12539268031716347</v>
      </c>
      <c r="DN8">
        <v>99000600</v>
      </c>
      <c r="DO8">
        <v>0.17913240045309067</v>
      </c>
      <c r="DP8">
        <v>6783000200</v>
      </c>
      <c r="DQ8">
        <v>-331648200</v>
      </c>
      <c r="DR8">
        <v>682</v>
      </c>
      <c r="DS8">
        <v>-0.13230965797817429</v>
      </c>
      <c r="DT8">
        <v>-1.8070536171159746</v>
      </c>
      <c r="DU8" s="34">
        <v>2.6666666666666616E-2</v>
      </c>
      <c r="DV8">
        <v>-1.4650000000000001</v>
      </c>
      <c r="DW8">
        <v>-1.4383333333333335</v>
      </c>
      <c r="DX8">
        <v>9.6997904296192807</v>
      </c>
      <c r="DY8">
        <v>1.1155611729019204</v>
      </c>
      <c r="DZ8">
        <v>9.3537868703838623</v>
      </c>
      <c r="EA8">
        <v>4169</v>
      </c>
      <c r="EB8">
        <v>9.0654879136539321</v>
      </c>
      <c r="EC8">
        <v>9</v>
      </c>
      <c r="ED8">
        <v>0.64524246598765655</v>
      </c>
      <c r="EE8">
        <v>1.2762895977235846</v>
      </c>
      <c r="EF8" s="35">
        <v>2.0083000000000002</v>
      </c>
      <c r="EG8">
        <v>2.0255000000000001</v>
      </c>
      <c r="EH8">
        <v>61.50556117290192</v>
      </c>
      <c r="EI8" t="s">
        <v>1202</v>
      </c>
      <c r="EJ8">
        <v>1</v>
      </c>
      <c r="EK8">
        <v>0</v>
      </c>
      <c r="EL8" s="36">
        <v>45385</v>
      </c>
      <c r="EM8" s="37">
        <v>5.83</v>
      </c>
      <c r="EN8" s="37">
        <v>7.57</v>
      </c>
      <c r="EO8" s="37">
        <v>9.92</v>
      </c>
      <c r="EP8" s="37">
        <v>10.039999999999999</v>
      </c>
      <c r="EQ8" s="37">
        <v>1.72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Industry_copy_call_buttom [c2],[d2]'">
                <anchor moveWithCells="1" sizeWithCells="1">
                  <from>
                    <xdr:col>1</xdr:col>
                    <xdr:colOff>61913</xdr:colOff>
                    <xdr:row>1</xdr:row>
                    <xdr:rowOff>261938</xdr:rowOff>
                  </from>
                  <to>
                    <xdr:col>1</xdr:col>
                    <xdr:colOff>1090613</xdr:colOff>
                    <xdr:row>1</xdr:row>
                    <xdr:rowOff>709613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5"/>
  <sheetViews>
    <sheetView workbookViewId="0">
      <selection activeCell="D5" sqref="D5"/>
    </sheetView>
  </sheetViews>
  <sheetFormatPr defaultRowHeight="13.5" x14ac:dyDescent="0.3"/>
  <cols>
    <col min="1" max="1" width="8.9296875" style="23"/>
    <col min="2" max="2" width="39.19921875" customWidth="1"/>
    <col min="3" max="3" width="34.9296875" customWidth="1"/>
    <col min="4" max="4" width="41.796875" customWidth="1"/>
  </cols>
  <sheetData>
    <row r="1" spans="1:147" s="14" customFormat="1" x14ac:dyDescent="0.3">
      <c r="A1" s="15" t="s">
        <v>47</v>
      </c>
      <c r="B1" s="18" t="s">
        <v>126</v>
      </c>
      <c r="C1" s="19" t="s">
        <v>127</v>
      </c>
      <c r="D1" s="18" t="s">
        <v>128</v>
      </c>
      <c r="E1" t="s">
        <v>2</v>
      </c>
      <c r="F1" t="s">
        <v>3</v>
      </c>
      <c r="G1" t="s">
        <v>0</v>
      </c>
      <c r="H1" t="s">
        <v>99</v>
      </c>
      <c r="I1" t="s">
        <v>129</v>
      </c>
      <c r="J1" t="s">
        <v>4</v>
      </c>
      <c r="K1" t="s">
        <v>5</v>
      </c>
      <c r="L1" t="s">
        <v>1</v>
      </c>
      <c r="M1" t="s">
        <v>6</v>
      </c>
      <c r="N1" t="s">
        <v>7</v>
      </c>
      <c r="O1" t="s">
        <v>8</v>
      </c>
      <c r="P1" t="s">
        <v>9</v>
      </c>
      <c r="Q1" t="s">
        <v>130</v>
      </c>
      <c r="R1" t="s">
        <v>100</v>
      </c>
      <c r="S1" t="s">
        <v>131</v>
      </c>
      <c r="T1" t="s">
        <v>10</v>
      </c>
      <c r="U1" t="s">
        <v>101</v>
      </c>
      <c r="V1" t="s">
        <v>102</v>
      </c>
      <c r="W1" t="s">
        <v>11</v>
      </c>
      <c r="X1" t="s">
        <v>69</v>
      </c>
      <c r="Y1" t="s">
        <v>70</v>
      </c>
      <c r="Z1" t="s">
        <v>71</v>
      </c>
      <c r="AA1" t="s">
        <v>72</v>
      </c>
      <c r="AB1" t="s">
        <v>73</v>
      </c>
      <c r="AC1" t="s">
        <v>103</v>
      </c>
      <c r="AD1" t="s">
        <v>74</v>
      </c>
      <c r="AE1" t="s">
        <v>132</v>
      </c>
      <c r="AF1" t="s">
        <v>12</v>
      </c>
      <c r="AG1" t="s">
        <v>13</v>
      </c>
      <c r="AH1" t="s">
        <v>104</v>
      </c>
      <c r="AI1" t="s">
        <v>133</v>
      </c>
      <c r="AJ1" t="s">
        <v>105</v>
      </c>
      <c r="AK1" t="s">
        <v>14</v>
      </c>
      <c r="AL1" t="s">
        <v>106</v>
      </c>
      <c r="AM1" t="s">
        <v>48</v>
      </c>
      <c r="AN1" t="s">
        <v>107</v>
      </c>
      <c r="AO1" t="s">
        <v>108</v>
      </c>
      <c r="AP1" t="s">
        <v>109</v>
      </c>
      <c r="AQ1" t="s">
        <v>110</v>
      </c>
      <c r="AR1" t="s">
        <v>111</v>
      </c>
      <c r="AS1" t="s">
        <v>112</v>
      </c>
      <c r="AT1" t="s">
        <v>113</v>
      </c>
      <c r="AU1" t="s">
        <v>114</v>
      </c>
      <c r="AV1" t="s">
        <v>115</v>
      </c>
      <c r="AW1" t="s">
        <v>116</v>
      </c>
      <c r="AX1" t="s">
        <v>117</v>
      </c>
      <c r="AY1" t="s">
        <v>134</v>
      </c>
      <c r="AZ1" t="s">
        <v>49</v>
      </c>
      <c r="BA1" t="s">
        <v>50</v>
      </c>
      <c r="BB1" t="s">
        <v>51</v>
      </c>
      <c r="BC1" t="s">
        <v>52</v>
      </c>
      <c r="BD1" t="s">
        <v>58</v>
      </c>
      <c r="BE1" t="s">
        <v>53</v>
      </c>
      <c r="BF1" t="s">
        <v>54</v>
      </c>
      <c r="BG1" t="s">
        <v>55</v>
      </c>
      <c r="BH1" t="s">
        <v>56</v>
      </c>
      <c r="BI1" t="s">
        <v>135</v>
      </c>
      <c r="BJ1" t="s">
        <v>118</v>
      </c>
      <c r="BK1" t="s">
        <v>57</v>
      </c>
      <c r="BL1" t="s">
        <v>119</v>
      </c>
      <c r="BM1" t="s">
        <v>120</v>
      </c>
      <c r="BN1" t="s">
        <v>121</v>
      </c>
      <c r="BO1" t="s">
        <v>122</v>
      </c>
      <c r="BP1" t="s">
        <v>59</v>
      </c>
      <c r="BQ1" t="s">
        <v>60</v>
      </c>
      <c r="BR1" t="s">
        <v>61</v>
      </c>
      <c r="BS1" t="s">
        <v>123</v>
      </c>
      <c r="BT1" t="s">
        <v>62</v>
      </c>
      <c r="BU1" t="s">
        <v>63</v>
      </c>
      <c r="BV1" t="s">
        <v>64</v>
      </c>
      <c r="BW1" t="s">
        <v>124</v>
      </c>
      <c r="BX1" t="s">
        <v>65</v>
      </c>
      <c r="BY1" t="s">
        <v>66</v>
      </c>
      <c r="BZ1" t="s">
        <v>125</v>
      </c>
      <c r="CA1" t="s">
        <v>67</v>
      </c>
      <c r="CB1" t="s">
        <v>68</v>
      </c>
      <c r="CC1" t="s">
        <v>136</v>
      </c>
      <c r="CD1" t="s">
        <v>137</v>
      </c>
      <c r="CE1" t="s">
        <v>138</v>
      </c>
      <c r="CF1" t="s">
        <v>139</v>
      </c>
      <c r="CG1" s="1" t="s">
        <v>75</v>
      </c>
      <c r="CH1" s="1" t="s">
        <v>76</v>
      </c>
      <c r="CI1" s="1" t="s">
        <v>77</v>
      </c>
      <c r="CJ1" s="1" t="s">
        <v>78</v>
      </c>
      <c r="CK1" s="1" t="s">
        <v>79</v>
      </c>
      <c r="CL1" s="1" t="s">
        <v>80</v>
      </c>
      <c r="CM1" s="1" t="s">
        <v>81</v>
      </c>
      <c r="CN1" s="1" t="s">
        <v>82</v>
      </c>
      <c r="CO1" s="1" t="s">
        <v>83</v>
      </c>
      <c r="CP1" s="1" t="s">
        <v>84</v>
      </c>
      <c r="CQ1" s="1" t="s">
        <v>85</v>
      </c>
      <c r="CR1" s="1" t="s">
        <v>86</v>
      </c>
      <c r="CS1" s="1" t="s">
        <v>140</v>
      </c>
      <c r="CT1" s="1" t="s">
        <v>141</v>
      </c>
      <c r="CU1" s="1" t="s">
        <v>142</v>
      </c>
      <c r="CV1" s="1" t="s">
        <v>87</v>
      </c>
      <c r="CW1" s="1" t="s">
        <v>143</v>
      </c>
      <c r="CX1" s="1" t="s">
        <v>28</v>
      </c>
      <c r="CY1">
        <v>1</v>
      </c>
      <c r="CZ1" t="s">
        <v>144</v>
      </c>
      <c r="DA1" t="s">
        <v>94</v>
      </c>
      <c r="DB1">
        <v>3</v>
      </c>
      <c r="DC1" t="s">
        <v>145</v>
      </c>
      <c r="DD1" t="s">
        <v>146</v>
      </c>
      <c r="DE1">
        <v>6</v>
      </c>
      <c r="DF1" t="s">
        <v>95</v>
      </c>
      <c r="DG1" t="s">
        <v>147</v>
      </c>
      <c r="DH1">
        <v>10</v>
      </c>
      <c r="DI1" t="s">
        <v>148</v>
      </c>
      <c r="DJ1" t="s">
        <v>96</v>
      </c>
      <c r="DK1">
        <v>20</v>
      </c>
      <c r="DL1" t="s">
        <v>149</v>
      </c>
      <c r="DM1" t="s">
        <v>88</v>
      </c>
      <c r="DN1" t="s">
        <v>89</v>
      </c>
      <c r="DO1" s="2" t="s">
        <v>90</v>
      </c>
      <c r="DP1" t="s">
        <v>150</v>
      </c>
      <c r="DQ1" t="s">
        <v>97</v>
      </c>
      <c r="DR1" s="1" t="s">
        <v>91</v>
      </c>
      <c r="DS1" s="1" t="s">
        <v>92</v>
      </c>
      <c r="DT1" s="1" t="s">
        <v>151</v>
      </c>
      <c r="DU1" t="s">
        <v>152</v>
      </c>
      <c r="DV1" t="s">
        <v>98</v>
      </c>
      <c r="DW1" t="s">
        <v>153</v>
      </c>
      <c r="DX1" t="s">
        <v>154</v>
      </c>
      <c r="DY1" t="s">
        <v>155</v>
      </c>
      <c r="DZ1" t="s">
        <v>156</v>
      </c>
      <c r="EA1" t="s">
        <v>157</v>
      </c>
      <c r="EB1" t="s">
        <v>93</v>
      </c>
      <c r="EC1" t="s">
        <v>158</v>
      </c>
      <c r="ED1" t="s">
        <v>159</v>
      </c>
      <c r="EE1" t="s">
        <v>160</v>
      </c>
      <c r="EF1" t="s">
        <v>161</v>
      </c>
      <c r="EG1" t="s">
        <v>162</v>
      </c>
      <c r="EH1" t="s">
        <v>163</v>
      </c>
      <c r="EI1" t="s">
        <v>164</v>
      </c>
      <c r="EJ1" t="s">
        <v>165</v>
      </c>
      <c r="EK1"/>
    </row>
    <row r="2" spans="1:147" s="14" customFormat="1" ht="71.55" customHeight="1" x14ac:dyDescent="0.3">
      <c r="A2" s="22"/>
      <c r="B2" s="20"/>
      <c r="C2" s="21">
        <v>3</v>
      </c>
      <c r="D2" s="21">
        <v>5</v>
      </c>
      <c r="T2" s="16"/>
      <c r="U2" s="16"/>
      <c r="V2" s="16"/>
      <c r="AB2" s="17"/>
    </row>
    <row r="3" spans="1:147" ht="123.75" x14ac:dyDescent="0.3">
      <c r="B3" s="30"/>
      <c r="C3" s="30"/>
      <c r="D3" s="30" t="s">
        <v>1247</v>
      </c>
      <c r="E3" t="s">
        <v>239</v>
      </c>
      <c r="F3" t="s">
        <v>240</v>
      </c>
      <c r="G3">
        <v>19.86</v>
      </c>
      <c r="H3">
        <v>10.029999999999999</v>
      </c>
      <c r="I3" t="s">
        <v>1204</v>
      </c>
      <c r="J3">
        <v>8420994800</v>
      </c>
      <c r="K3">
        <v>79.91</v>
      </c>
      <c r="L3">
        <v>6.65</v>
      </c>
      <c r="M3" t="s">
        <v>168</v>
      </c>
      <c r="N3" t="s">
        <v>1205</v>
      </c>
      <c r="O3" t="s">
        <v>1206</v>
      </c>
      <c r="P3" t="s">
        <v>1207</v>
      </c>
      <c r="Q3">
        <v>15.09</v>
      </c>
      <c r="R3" t="s">
        <v>1208</v>
      </c>
      <c r="S3">
        <v>81945478</v>
      </c>
      <c r="T3" s="31">
        <v>-0.35699999999999998</v>
      </c>
      <c r="U3" t="s">
        <v>1209</v>
      </c>
      <c r="V3">
        <v>422356780</v>
      </c>
      <c r="W3">
        <v>423673900</v>
      </c>
      <c r="X3">
        <v>1.49</v>
      </c>
      <c r="Y3">
        <v>0.44</v>
      </c>
      <c r="Z3">
        <v>10.31</v>
      </c>
      <c r="AA3" t="s">
        <v>1210</v>
      </c>
      <c r="AB3" t="s">
        <v>1155</v>
      </c>
      <c r="AC3" t="s">
        <v>1211</v>
      </c>
      <c r="AD3" t="s">
        <v>1212</v>
      </c>
      <c r="AE3" t="s">
        <v>1213</v>
      </c>
      <c r="AF3">
        <v>5791095</v>
      </c>
      <c r="AG3" t="s">
        <v>1214</v>
      </c>
      <c r="AH3" t="s">
        <v>1215</v>
      </c>
      <c r="AI3" t="s">
        <v>1216</v>
      </c>
      <c r="AJ3" t="s">
        <v>1217</v>
      </c>
      <c r="AK3" t="s">
        <v>1218</v>
      </c>
      <c r="AL3" t="s">
        <v>1219</v>
      </c>
      <c r="AM3" t="s">
        <v>1220</v>
      </c>
      <c r="AN3" t="s">
        <v>316</v>
      </c>
      <c r="AO3" t="s">
        <v>1221</v>
      </c>
      <c r="AP3" t="s">
        <v>1222</v>
      </c>
      <c r="AQ3" t="s">
        <v>495</v>
      </c>
      <c r="AR3" t="s">
        <v>1062</v>
      </c>
      <c r="AS3" t="s">
        <v>316</v>
      </c>
      <c r="AT3" t="s">
        <v>1223</v>
      </c>
      <c r="AU3" t="s">
        <v>1224</v>
      </c>
      <c r="AV3" t="s">
        <v>1225</v>
      </c>
      <c r="AW3" t="s">
        <v>1226</v>
      </c>
      <c r="AX3" t="s">
        <v>1227</v>
      </c>
      <c r="AY3" t="s">
        <v>1228</v>
      </c>
      <c r="AZ3" t="s">
        <v>1229</v>
      </c>
      <c r="BA3" t="s">
        <v>1230</v>
      </c>
      <c r="BB3" t="s">
        <v>1231</v>
      </c>
      <c r="BC3" t="s">
        <v>1232</v>
      </c>
      <c r="BD3" t="s">
        <v>1221</v>
      </c>
      <c r="BE3" t="s">
        <v>1233</v>
      </c>
      <c r="BF3" t="s">
        <v>1234</v>
      </c>
      <c r="BG3" t="s">
        <v>1235</v>
      </c>
      <c r="BH3" t="s">
        <v>1236</v>
      </c>
      <c r="BI3" t="s">
        <v>1237</v>
      </c>
      <c r="BJ3" t="s">
        <v>1238</v>
      </c>
      <c r="BK3" t="s">
        <v>1239</v>
      </c>
      <c r="BL3" t="s">
        <v>1240</v>
      </c>
      <c r="BM3" t="s">
        <v>1171</v>
      </c>
      <c r="BN3" t="s">
        <v>1241</v>
      </c>
      <c r="BO3">
        <v>2.48</v>
      </c>
      <c r="BP3">
        <v>9.57</v>
      </c>
      <c r="BQ3">
        <v>9.42</v>
      </c>
      <c r="BR3">
        <v>2.94</v>
      </c>
      <c r="BS3">
        <v>12.88</v>
      </c>
      <c r="BT3">
        <v>11</v>
      </c>
      <c r="BU3" t="s">
        <v>1242</v>
      </c>
      <c r="BV3" t="s">
        <v>1243</v>
      </c>
      <c r="BW3">
        <v>31.43</v>
      </c>
      <c r="BX3">
        <v>31.04</v>
      </c>
      <c r="BY3">
        <v>26.19</v>
      </c>
      <c r="BZ3">
        <v>14.65</v>
      </c>
      <c r="CA3">
        <v>13.53</v>
      </c>
      <c r="CB3">
        <v>10.18</v>
      </c>
      <c r="CC3">
        <v>61.07</v>
      </c>
      <c r="CD3">
        <v>105.17</v>
      </c>
      <c r="CE3" t="s">
        <v>1244</v>
      </c>
      <c r="CF3" t="s">
        <v>1245</v>
      </c>
      <c r="CG3" s="32">
        <v>-8.5185185185185183E-2</v>
      </c>
      <c r="CH3" s="33">
        <v>-0.94318819923508601</v>
      </c>
      <c r="CI3" s="32">
        <v>0.2319391667842865</v>
      </c>
      <c r="CJ3" s="32">
        <v>7.6398365199565887E-2</v>
      </c>
      <c r="CK3" s="32">
        <v>-3.6793693900108337E-2</v>
      </c>
      <c r="CL3" s="32">
        <v>0.27045074105262756</v>
      </c>
      <c r="CM3" s="32">
        <v>0.46813726425170898</v>
      </c>
      <c r="CN3" s="33">
        <v>0.50999999046325684</v>
      </c>
      <c r="CO3" s="33">
        <v>0.54226976633071899</v>
      </c>
      <c r="CP3" s="33">
        <v>-0.21606594324111938</v>
      </c>
      <c r="CQ3" s="33">
        <v>0.11497335135936737</v>
      </c>
      <c r="CR3" s="33">
        <v>0.37353062629699707</v>
      </c>
      <c r="CS3">
        <v>95.922155039504361</v>
      </c>
      <c r="CT3">
        <v>4.7480017419197535</v>
      </c>
      <c r="CU3">
        <v>0.50352467270896273</v>
      </c>
      <c r="CV3" s="32">
        <v>0.20202636867761611</v>
      </c>
      <c r="CW3" s="33">
        <v>0.26494155824184418</v>
      </c>
      <c r="CX3">
        <v>0.06</v>
      </c>
      <c r="CY3">
        <v>45.114185288247107</v>
      </c>
      <c r="CZ3">
        <v>171232058.17954719</v>
      </c>
      <c r="DA3">
        <v>0.20202636867761611</v>
      </c>
      <c r="DB3">
        <v>13.425306868712816</v>
      </c>
      <c r="DC3">
        <v>575405454.45577979</v>
      </c>
      <c r="DD3">
        <v>0.1919250502437353</v>
      </c>
      <c r="DE3">
        <v>5.8023564735825151</v>
      </c>
      <c r="DF3">
        <v>1331354740.9868808</v>
      </c>
      <c r="DG3">
        <v>0.17778320443630219</v>
      </c>
      <c r="DH3">
        <v>2.9877147327259386</v>
      </c>
      <c r="DI3">
        <v>2585586473.6295791</v>
      </c>
      <c r="DJ3">
        <v>0.1616210949420929</v>
      </c>
      <c r="DK3">
        <v>1.0754503362771159</v>
      </c>
      <c r="DL3">
        <v>7183032576.6056261</v>
      </c>
      <c r="DM3">
        <v>0.14141845807433126</v>
      </c>
      <c r="DN3">
        <v>151000000</v>
      </c>
      <c r="DO3">
        <v>0.20202636867761611</v>
      </c>
      <c r="DP3">
        <v>7724994800</v>
      </c>
      <c r="DQ3">
        <v>221078170</v>
      </c>
      <c r="DR3">
        <v>4249</v>
      </c>
      <c r="DS3">
        <v>-0.28721155386280128</v>
      </c>
      <c r="DT3">
        <v>-1.2081297574769301</v>
      </c>
      <c r="DU3" s="34">
        <v>-5.6666666666666719E-2</v>
      </c>
      <c r="DV3">
        <v>6.3333333333333311E-2</v>
      </c>
      <c r="DW3">
        <v>6.6666666666665916E-3</v>
      </c>
      <c r="DX3">
        <v>9.5806789008272322</v>
      </c>
      <c r="DY3">
        <v>1.0771119133574065</v>
      </c>
      <c r="DZ3">
        <v>9.2305945093537751</v>
      </c>
      <c r="EA3">
        <v>2268</v>
      </c>
      <c r="EB3">
        <v>9.1283684837059322</v>
      </c>
      <c r="EC3">
        <v>9</v>
      </c>
      <c r="ED3">
        <v>0.51926729496435831</v>
      </c>
      <c r="EE3">
        <v>1.3076094609557021</v>
      </c>
      <c r="EF3" s="35">
        <v>8.0733999999999995</v>
      </c>
      <c r="EG3">
        <v>9.0236999999999998</v>
      </c>
      <c r="EH3">
        <v>68.397111913357406</v>
      </c>
      <c r="EI3" t="s">
        <v>1246</v>
      </c>
      <c r="EJ3">
        <v>1</v>
      </c>
      <c r="EK3">
        <v>0</v>
      </c>
      <c r="EL3" s="36">
        <v>45385</v>
      </c>
      <c r="EM3" s="37">
        <v>9.98</v>
      </c>
      <c r="EN3" s="37">
        <v>10.029999999999999</v>
      </c>
      <c r="EO3" s="37">
        <v>9.99</v>
      </c>
      <c r="EP3" s="37">
        <v>9.99</v>
      </c>
      <c r="EQ3" s="37">
        <v>10.029999999999999</v>
      </c>
    </row>
    <row r="4" spans="1:147" ht="90" x14ac:dyDescent="0.3">
      <c r="B4" s="38"/>
      <c r="C4" s="38"/>
      <c r="D4" s="38" t="s">
        <v>1363</v>
      </c>
      <c r="E4" t="s">
        <v>247</v>
      </c>
      <c r="F4" t="s">
        <v>248</v>
      </c>
      <c r="G4">
        <v>18.59</v>
      </c>
      <c r="H4">
        <v>-4.37</v>
      </c>
      <c r="I4" t="s">
        <v>1327</v>
      </c>
      <c r="J4">
        <v>8047611000</v>
      </c>
      <c r="K4">
        <v>37.520000000000003</v>
      </c>
      <c r="L4">
        <v>3.82</v>
      </c>
      <c r="M4" t="s">
        <v>171</v>
      </c>
      <c r="N4" t="s">
        <v>1328</v>
      </c>
      <c r="O4" t="s">
        <v>1329</v>
      </c>
      <c r="P4" t="s">
        <v>1330</v>
      </c>
      <c r="Q4">
        <v>-9.7200000000000006</v>
      </c>
      <c r="R4" t="s">
        <v>1331</v>
      </c>
      <c r="S4">
        <v>174687560</v>
      </c>
      <c r="T4" s="31">
        <v>-4.07E-2</v>
      </c>
      <c r="U4" t="s">
        <v>1332</v>
      </c>
      <c r="V4">
        <v>246525000</v>
      </c>
      <c r="W4">
        <v>432900000</v>
      </c>
      <c r="X4">
        <v>1.45</v>
      </c>
      <c r="Y4">
        <v>0.95</v>
      </c>
      <c r="Z4">
        <v>6.28</v>
      </c>
      <c r="AA4" t="s">
        <v>964</v>
      </c>
      <c r="AB4" t="s">
        <v>1333</v>
      </c>
      <c r="AC4" t="s">
        <v>1334</v>
      </c>
      <c r="AD4" t="s">
        <v>1335</v>
      </c>
      <c r="AE4" t="s">
        <v>1336</v>
      </c>
      <c r="AF4">
        <v>10824180</v>
      </c>
      <c r="AG4" t="s">
        <v>1337</v>
      </c>
      <c r="AH4" t="s">
        <v>1338</v>
      </c>
      <c r="AI4" t="s">
        <v>1339</v>
      </c>
      <c r="AJ4" t="s">
        <v>178</v>
      </c>
      <c r="AK4" t="s">
        <v>1340</v>
      </c>
      <c r="AL4" t="s">
        <v>542</v>
      </c>
      <c r="AM4" t="s">
        <v>1341</v>
      </c>
      <c r="AN4" t="s">
        <v>316</v>
      </c>
      <c r="AO4" t="s">
        <v>1342</v>
      </c>
      <c r="AP4" t="s">
        <v>1343</v>
      </c>
      <c r="AQ4" t="s">
        <v>316</v>
      </c>
      <c r="AR4" t="s">
        <v>1344</v>
      </c>
      <c r="AS4" t="s">
        <v>316</v>
      </c>
      <c r="AT4" t="s">
        <v>1345</v>
      </c>
      <c r="AU4" t="s">
        <v>316</v>
      </c>
      <c r="AV4" t="s">
        <v>1346</v>
      </c>
      <c r="AW4" t="s">
        <v>1347</v>
      </c>
      <c r="AX4" t="s">
        <v>1284</v>
      </c>
      <c r="AY4" t="s">
        <v>1348</v>
      </c>
      <c r="AZ4" t="s">
        <v>1349</v>
      </c>
      <c r="BA4" t="s">
        <v>1350</v>
      </c>
      <c r="BB4" t="s">
        <v>1351</v>
      </c>
      <c r="BC4" t="s">
        <v>1352</v>
      </c>
      <c r="BD4" t="s">
        <v>1353</v>
      </c>
      <c r="BE4" t="s">
        <v>517</v>
      </c>
      <c r="BF4" t="s">
        <v>1354</v>
      </c>
      <c r="BG4" t="s">
        <v>1355</v>
      </c>
      <c r="BH4" t="s">
        <v>1356</v>
      </c>
      <c r="BI4" t="s">
        <v>692</v>
      </c>
      <c r="BJ4" t="s">
        <v>1357</v>
      </c>
      <c r="BK4" t="s">
        <v>1358</v>
      </c>
      <c r="BL4" t="s">
        <v>1062</v>
      </c>
      <c r="BM4" t="s">
        <v>1359</v>
      </c>
      <c r="BN4" t="s">
        <v>334</v>
      </c>
      <c r="BO4">
        <v>1.74</v>
      </c>
      <c r="BP4">
        <v>2.66</v>
      </c>
      <c r="BQ4">
        <v>8.61</v>
      </c>
      <c r="BR4">
        <v>2.1</v>
      </c>
      <c r="BS4">
        <v>2.72</v>
      </c>
      <c r="BT4">
        <v>10.23</v>
      </c>
      <c r="BU4" t="s">
        <v>343</v>
      </c>
      <c r="BV4" t="s">
        <v>1360</v>
      </c>
      <c r="BW4">
        <v>13.88</v>
      </c>
      <c r="BX4">
        <v>12.93</v>
      </c>
      <c r="BY4">
        <v>15.01</v>
      </c>
      <c r="BZ4">
        <v>6.86</v>
      </c>
      <c r="CA4">
        <v>1.1200000000000001</v>
      </c>
      <c r="CB4">
        <v>6</v>
      </c>
      <c r="CC4">
        <v>6.05</v>
      </c>
      <c r="CD4">
        <v>65.540000000000006</v>
      </c>
      <c r="CE4" t="s">
        <v>1209</v>
      </c>
      <c r="CF4" t="s">
        <v>1361</v>
      </c>
      <c r="CG4" s="32">
        <v>-5.8997050147492625E-3</v>
      </c>
      <c r="CH4" s="33">
        <v>-0.13407161290322581</v>
      </c>
      <c r="CI4" s="32">
        <v>-0.13442268967628479</v>
      </c>
      <c r="CJ4" s="32">
        <v>0.43482339382171631</v>
      </c>
      <c r="CK4" s="32">
        <v>-0.16844293475151062</v>
      </c>
      <c r="CL4" s="32">
        <v>0.15943336486816406</v>
      </c>
      <c r="CM4" s="32">
        <v>0.40236684679985046</v>
      </c>
      <c r="CN4" s="33">
        <v>3.3017754554748535</v>
      </c>
      <c r="CO4" s="33">
        <v>-0.73121565580368042</v>
      </c>
      <c r="CP4" s="33">
        <v>-0.31428572535514832</v>
      </c>
      <c r="CQ4" s="33">
        <v>0.15226337313652039</v>
      </c>
      <c r="CR4" s="33">
        <v>0.2789473831653595</v>
      </c>
      <c r="CS4">
        <v>40.968433402629849</v>
      </c>
      <c r="CT4">
        <v>2.9526459169463868</v>
      </c>
      <c r="CU4">
        <v>1.0758472296933836</v>
      </c>
      <c r="CV4" s="32">
        <v>0.13875159621238708</v>
      </c>
      <c r="CW4" s="33">
        <v>0.53749696612358089</v>
      </c>
      <c r="CX4">
        <v>0.06</v>
      </c>
      <c r="CY4">
        <v>28.867109426036695</v>
      </c>
      <c r="CZ4">
        <v>238493258.82938677</v>
      </c>
      <c r="DA4">
        <v>0.13875159621238708</v>
      </c>
      <c r="DB4">
        <v>9.0540922735397871</v>
      </c>
      <c r="DC4">
        <v>760386661.85455096</v>
      </c>
      <c r="DD4">
        <v>0.13181401640176774</v>
      </c>
      <c r="DE4">
        <v>4.2148525712524521</v>
      </c>
      <c r="DF4">
        <v>1633416800.1407044</v>
      </c>
      <c r="DG4">
        <v>0.12210140466690063</v>
      </c>
      <c r="DH4">
        <v>2.3731753221894456</v>
      </c>
      <c r="DI4">
        <v>2901012384.3898692</v>
      </c>
      <c r="DJ4">
        <v>0.11100127696990968</v>
      </c>
      <c r="DK4">
        <v>1.0592324346641593</v>
      </c>
      <c r="DL4">
        <v>6499622532.9739246</v>
      </c>
      <c r="DM4">
        <v>9.7126117348670951E-2</v>
      </c>
      <c r="DN4">
        <v>222000000.00000003</v>
      </c>
      <c r="DO4">
        <v>0.13875159621238708</v>
      </c>
      <c r="DP4">
        <v>6884611000</v>
      </c>
      <c r="DQ4">
        <v>1585401000</v>
      </c>
      <c r="DR4">
        <v>1356</v>
      </c>
      <c r="DS4">
        <v>-0.14465130122713635</v>
      </c>
      <c r="DT4">
        <v>-0.67156857902680667</v>
      </c>
      <c r="DU4" s="34">
        <v>-0.20666666666666669</v>
      </c>
      <c r="DV4">
        <v>8.3333333333333273E-2</v>
      </c>
      <c r="DW4">
        <v>-0.12333333333333342</v>
      </c>
      <c r="DX4">
        <v>9.0923100396704299</v>
      </c>
      <c r="DY4">
        <v>0.51806603773584592</v>
      </c>
      <c r="DZ4">
        <v>9.0164372830073525</v>
      </c>
      <c r="EA4">
        <v>2555</v>
      </c>
      <c r="EB4">
        <v>9.008229884515309</v>
      </c>
      <c r="EC4">
        <v>9</v>
      </c>
      <c r="ED4">
        <v>0.34881034881034884</v>
      </c>
      <c r="EE4">
        <v>1.9588819588819588</v>
      </c>
      <c r="EF4" s="35">
        <v>3.0697000000000001</v>
      </c>
      <c r="EG4">
        <v>3.0259999999999998</v>
      </c>
      <c r="EH4">
        <v>34.178066037735846</v>
      </c>
      <c r="EI4" t="s">
        <v>1362</v>
      </c>
      <c r="EJ4">
        <v>1</v>
      </c>
      <c r="EK4">
        <v>0</v>
      </c>
      <c r="EL4" s="36">
        <v>45378</v>
      </c>
      <c r="EM4">
        <v>-1.07</v>
      </c>
      <c r="EN4">
        <v>1.65</v>
      </c>
      <c r="EO4">
        <v>2.46E-2</v>
      </c>
      <c r="EP4">
        <v>6.29</v>
      </c>
      <c r="EQ4">
        <v>-4.37</v>
      </c>
    </row>
    <row r="5" spans="1:147" ht="168.75" x14ac:dyDescent="0.3">
      <c r="B5" s="30"/>
      <c r="C5" s="30"/>
      <c r="D5" s="30" t="s">
        <v>1403</v>
      </c>
      <c r="E5" t="s">
        <v>249</v>
      </c>
      <c r="F5" t="s">
        <v>250</v>
      </c>
      <c r="G5">
        <v>24</v>
      </c>
      <c r="H5">
        <v>-4.72</v>
      </c>
      <c r="I5" t="s">
        <v>1364</v>
      </c>
      <c r="J5">
        <v>4208150500</v>
      </c>
      <c r="K5">
        <v>108</v>
      </c>
      <c r="L5">
        <v>4.57</v>
      </c>
      <c r="M5" t="s">
        <v>251</v>
      </c>
      <c r="N5" t="s">
        <v>770</v>
      </c>
      <c r="O5" t="s">
        <v>1365</v>
      </c>
      <c r="P5" t="s">
        <v>1366</v>
      </c>
      <c r="Q5">
        <v>-18.95</v>
      </c>
      <c r="R5" t="s">
        <v>1367</v>
      </c>
      <c r="S5">
        <v>37194805</v>
      </c>
      <c r="T5" s="31">
        <v>-0.28889999999999999</v>
      </c>
      <c r="U5" t="s">
        <v>1368</v>
      </c>
      <c r="V5">
        <v>174371800</v>
      </c>
      <c r="W5">
        <v>174371800</v>
      </c>
      <c r="X5">
        <v>1.42</v>
      </c>
      <c r="Y5">
        <v>0.27</v>
      </c>
      <c r="Z5">
        <v>9.82</v>
      </c>
      <c r="AA5" t="s">
        <v>531</v>
      </c>
      <c r="AB5" t="s">
        <v>1158</v>
      </c>
      <c r="AC5" t="s">
        <v>1369</v>
      </c>
      <c r="AD5" t="s">
        <v>1370</v>
      </c>
      <c r="AE5" t="s">
        <v>1371</v>
      </c>
      <c r="AF5">
        <v>1307591</v>
      </c>
      <c r="AG5" t="s">
        <v>1372</v>
      </c>
      <c r="AH5" t="s">
        <v>1373</v>
      </c>
      <c r="AI5" t="s">
        <v>1374</v>
      </c>
      <c r="AJ5" t="s">
        <v>1375</v>
      </c>
      <c r="AK5" t="s">
        <v>1376</v>
      </c>
      <c r="AL5" t="s">
        <v>1377</v>
      </c>
      <c r="AM5" t="s">
        <v>1378</v>
      </c>
      <c r="AN5" t="s">
        <v>316</v>
      </c>
      <c r="AO5" t="s">
        <v>1379</v>
      </c>
      <c r="AP5" t="s">
        <v>1380</v>
      </c>
      <c r="AQ5" t="s">
        <v>1381</v>
      </c>
      <c r="AR5" t="s">
        <v>1382</v>
      </c>
      <c r="AS5" t="s">
        <v>316</v>
      </c>
      <c r="AT5" t="s">
        <v>997</v>
      </c>
      <c r="AU5" t="s">
        <v>1383</v>
      </c>
      <c r="AV5" t="s">
        <v>1384</v>
      </c>
      <c r="AW5" t="s">
        <v>1385</v>
      </c>
      <c r="AX5" t="s">
        <v>1386</v>
      </c>
      <c r="AY5" t="s">
        <v>1387</v>
      </c>
      <c r="AZ5" t="s">
        <v>1388</v>
      </c>
      <c r="BA5" t="s">
        <v>1102</v>
      </c>
      <c r="BB5" t="s">
        <v>770</v>
      </c>
      <c r="BC5" t="s">
        <v>365</v>
      </c>
      <c r="BD5" t="s">
        <v>1389</v>
      </c>
      <c r="BE5" t="s">
        <v>1390</v>
      </c>
      <c r="BF5" t="s">
        <v>1391</v>
      </c>
      <c r="BG5" t="s">
        <v>1392</v>
      </c>
      <c r="BH5" t="s">
        <v>1393</v>
      </c>
      <c r="BI5" t="s">
        <v>1394</v>
      </c>
      <c r="BJ5" t="s">
        <v>1395</v>
      </c>
      <c r="BK5" t="s">
        <v>413</v>
      </c>
      <c r="BL5" t="s">
        <v>1396</v>
      </c>
      <c r="BM5" t="s">
        <v>1397</v>
      </c>
      <c r="BN5" t="s">
        <v>1398</v>
      </c>
      <c r="BO5">
        <v>1.17</v>
      </c>
      <c r="BP5">
        <v>4.09</v>
      </c>
      <c r="BQ5">
        <v>3.24</v>
      </c>
      <c r="BR5">
        <v>1.23</v>
      </c>
      <c r="BS5">
        <v>5.01</v>
      </c>
      <c r="BT5">
        <v>4.43</v>
      </c>
      <c r="BU5" t="s">
        <v>1399</v>
      </c>
      <c r="BV5" t="s">
        <v>1400</v>
      </c>
      <c r="BW5">
        <v>35.200000000000003</v>
      </c>
      <c r="BX5">
        <v>28.8</v>
      </c>
      <c r="BY5">
        <v>24.47</v>
      </c>
      <c r="BZ5">
        <v>9.31</v>
      </c>
      <c r="CA5">
        <v>6.98</v>
      </c>
      <c r="CB5">
        <v>6.11</v>
      </c>
      <c r="CC5">
        <v>11.52</v>
      </c>
      <c r="CD5">
        <v>44.32</v>
      </c>
      <c r="CE5" t="s">
        <v>1401</v>
      </c>
      <c r="CF5" t="s">
        <v>1402</v>
      </c>
      <c r="CG5" s="32">
        <v>-0.15950920245398773</v>
      </c>
      <c r="CH5" s="33">
        <v>7.0515039447731427</v>
      </c>
      <c r="CI5" s="32">
        <v>8.03571417927742E-2</v>
      </c>
      <c r="CJ5" s="32">
        <v>5.6603774428367615E-2</v>
      </c>
      <c r="CK5" s="32">
        <v>-9.2465750873088837E-2</v>
      </c>
      <c r="CL5" s="32">
        <v>0.41062802076339722</v>
      </c>
      <c r="CM5" s="32">
        <v>0.37541529536247253</v>
      </c>
      <c r="CN5" s="33">
        <v>3.016352653503418E-2</v>
      </c>
      <c r="CO5" s="33">
        <v>0.17583847045898438</v>
      </c>
      <c r="CP5" s="33">
        <v>-0.14162938296794891</v>
      </c>
      <c r="CQ5" s="33">
        <v>-0.49231886863708496</v>
      </c>
      <c r="CR5" s="33">
        <v>0.39251706004142761</v>
      </c>
      <c r="CS5">
        <v>85.173393576871234</v>
      </c>
      <c r="CT5">
        <v>5.1276006757518022</v>
      </c>
      <c r="CU5">
        <v>0.31129166666666663</v>
      </c>
      <c r="CV5" s="32">
        <v>0.16610769629478456</v>
      </c>
      <c r="CW5" s="33">
        <v>-7.0858389139175412E-3</v>
      </c>
      <c r="CX5">
        <v>0.06</v>
      </c>
      <c r="CY5">
        <v>78.107295283990283</v>
      </c>
      <c r="CZ5">
        <v>46502064.714875422</v>
      </c>
      <c r="DA5">
        <v>0.16610769629478456</v>
      </c>
      <c r="DB5">
        <v>23.945241379973368</v>
      </c>
      <c r="DC5">
        <v>151685691.63131317</v>
      </c>
      <c r="DD5">
        <v>0.15780231148004531</v>
      </c>
      <c r="DE5">
        <v>10.797016275075773</v>
      </c>
      <c r="DF5">
        <v>336403169.86319536</v>
      </c>
      <c r="DG5">
        <v>0.1461747727394104</v>
      </c>
      <c r="DH5">
        <v>5.8531444630836349</v>
      </c>
      <c r="DI5">
        <v>620546874.06202507</v>
      </c>
      <c r="DJ5">
        <v>0.13288615703582765</v>
      </c>
      <c r="DK5">
        <v>2.3881226051494679</v>
      </c>
      <c r="DL5">
        <v>1520922959.385777</v>
      </c>
      <c r="DM5">
        <v>0.11627538740634918</v>
      </c>
      <c r="DN5">
        <v>42270700</v>
      </c>
      <c r="DO5">
        <v>0.16610769629478456</v>
      </c>
      <c r="DP5">
        <v>3632150500</v>
      </c>
      <c r="DQ5">
        <v>540408240</v>
      </c>
      <c r="DR5">
        <v>4013</v>
      </c>
      <c r="DS5">
        <v>-0.32561689874877231</v>
      </c>
      <c r="DT5">
        <v>7.0585897836870606</v>
      </c>
      <c r="DU5" s="34">
        <v>-0.22333333333333338</v>
      </c>
      <c r="DV5">
        <v>-8.666666666666667E-2</v>
      </c>
      <c r="DW5">
        <v>-0.31000000000000005</v>
      </c>
      <c r="DX5">
        <v>9.2599277978339352</v>
      </c>
      <c r="DY5">
        <v>0.73515229629629508</v>
      </c>
      <c r="DZ5">
        <v>9.0845161203369429</v>
      </c>
      <c r="EA5">
        <v>2949</v>
      </c>
      <c r="EB5">
        <v>9.0357987554280985</v>
      </c>
      <c r="EC5">
        <v>9</v>
      </c>
      <c r="ED5">
        <v>0.40277671045432806</v>
      </c>
      <c r="EE5">
        <v>1.2387324097130386</v>
      </c>
      <c r="EF5" s="35">
        <v>2.0859000000000001</v>
      </c>
      <c r="EG5">
        <v>2.0387</v>
      </c>
      <c r="EH5">
        <v>41.325152296296295</v>
      </c>
      <c r="EI5" t="s">
        <v>1202</v>
      </c>
      <c r="EJ5">
        <v>1</v>
      </c>
      <c r="EK5">
        <v>0</v>
      </c>
      <c r="EL5" s="36">
        <v>45385</v>
      </c>
      <c r="EM5" s="37">
        <v>4.55</v>
      </c>
      <c r="EN5" s="37">
        <v>-1.02</v>
      </c>
      <c r="EO5" s="37">
        <v>5.48</v>
      </c>
      <c r="EP5" s="37">
        <v>7.24</v>
      </c>
      <c r="EQ5" s="37">
        <v>-4.72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Industry_copy_call_buttom [c2],[d2]'">
                <anchor moveWithCells="1" sizeWithCells="1">
                  <from>
                    <xdr:col>1</xdr:col>
                    <xdr:colOff>61913</xdr:colOff>
                    <xdr:row>1</xdr:row>
                    <xdr:rowOff>261938</xdr:rowOff>
                  </from>
                  <to>
                    <xdr:col>1</xdr:col>
                    <xdr:colOff>1090613</xdr:colOff>
                    <xdr:row>1</xdr:row>
                    <xdr:rowOff>709613</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5"/>
  <sheetViews>
    <sheetView tabSelected="1" workbookViewId="0">
      <pane xSplit="6" ySplit="2" topLeftCell="CL3" activePane="bottomRight" state="frozen"/>
      <selection pane="topRight" activeCell="G1" sqref="G1"/>
      <selection pane="bottomLeft" activeCell="A3" sqref="A3"/>
      <selection pane="bottomRight" activeCell="G3" sqref="G3"/>
    </sheetView>
  </sheetViews>
  <sheetFormatPr defaultRowHeight="13.5" x14ac:dyDescent="0.3"/>
  <cols>
    <col min="1" max="1" width="13" customWidth="1"/>
    <col min="2" max="2" width="35.46484375" customWidth="1"/>
    <col min="3" max="3" width="39.53125" customWidth="1"/>
    <col min="4" max="4" width="50.46484375" customWidth="1"/>
  </cols>
  <sheetData>
    <row r="1" spans="1:147" s="14" customFormat="1" x14ac:dyDescent="0.3">
      <c r="A1" s="15" t="s">
        <v>47</v>
      </c>
      <c r="B1" s="18" t="s">
        <v>126</v>
      </c>
      <c r="C1" s="19" t="s">
        <v>127</v>
      </c>
      <c r="D1" s="18" t="s">
        <v>128</v>
      </c>
      <c r="E1" t="s">
        <v>2</v>
      </c>
      <c r="F1" t="s">
        <v>3</v>
      </c>
      <c r="G1" t="s">
        <v>0</v>
      </c>
      <c r="H1" t="s">
        <v>99</v>
      </c>
      <c r="I1" t="s">
        <v>129</v>
      </c>
      <c r="J1" t="s">
        <v>4</v>
      </c>
      <c r="K1" t="s">
        <v>5</v>
      </c>
      <c r="L1" t="s">
        <v>1</v>
      </c>
      <c r="M1" t="s">
        <v>6</v>
      </c>
      <c r="N1" t="s">
        <v>7</v>
      </c>
      <c r="O1" t="s">
        <v>8</v>
      </c>
      <c r="P1" t="s">
        <v>9</v>
      </c>
      <c r="Q1" t="s">
        <v>130</v>
      </c>
      <c r="R1" t="s">
        <v>100</v>
      </c>
      <c r="S1" t="s">
        <v>131</v>
      </c>
      <c r="T1" t="s">
        <v>10</v>
      </c>
      <c r="U1" t="s">
        <v>101</v>
      </c>
      <c r="V1" t="s">
        <v>102</v>
      </c>
      <c r="W1" t="s">
        <v>11</v>
      </c>
      <c r="X1" t="s">
        <v>69</v>
      </c>
      <c r="Y1" t="s">
        <v>70</v>
      </c>
      <c r="Z1" t="s">
        <v>71</v>
      </c>
      <c r="AA1" t="s">
        <v>72</v>
      </c>
      <c r="AB1" t="s">
        <v>73</v>
      </c>
      <c r="AC1" t="s">
        <v>103</v>
      </c>
      <c r="AD1" t="s">
        <v>74</v>
      </c>
      <c r="AE1" t="s">
        <v>132</v>
      </c>
      <c r="AF1" t="s">
        <v>12</v>
      </c>
      <c r="AG1" t="s">
        <v>13</v>
      </c>
      <c r="AH1" t="s">
        <v>104</v>
      </c>
      <c r="AI1" t="s">
        <v>133</v>
      </c>
      <c r="AJ1" t="s">
        <v>105</v>
      </c>
      <c r="AK1" t="s">
        <v>14</v>
      </c>
      <c r="AL1" t="s">
        <v>106</v>
      </c>
      <c r="AM1" t="s">
        <v>48</v>
      </c>
      <c r="AN1" t="s">
        <v>107</v>
      </c>
      <c r="AO1" t="s">
        <v>108</v>
      </c>
      <c r="AP1" t="s">
        <v>109</v>
      </c>
      <c r="AQ1" t="s">
        <v>110</v>
      </c>
      <c r="AR1" t="s">
        <v>111</v>
      </c>
      <c r="AS1" t="s">
        <v>112</v>
      </c>
      <c r="AT1" t="s">
        <v>113</v>
      </c>
      <c r="AU1" t="s">
        <v>114</v>
      </c>
      <c r="AV1" t="s">
        <v>115</v>
      </c>
      <c r="AW1" t="s">
        <v>116</v>
      </c>
      <c r="AX1" t="s">
        <v>117</v>
      </c>
      <c r="AY1" t="s">
        <v>134</v>
      </c>
      <c r="AZ1" t="s">
        <v>49</v>
      </c>
      <c r="BA1" t="s">
        <v>50</v>
      </c>
      <c r="BB1" t="s">
        <v>51</v>
      </c>
      <c r="BC1" t="s">
        <v>52</v>
      </c>
      <c r="BD1" t="s">
        <v>58</v>
      </c>
      <c r="BE1" t="s">
        <v>53</v>
      </c>
      <c r="BF1" t="s">
        <v>54</v>
      </c>
      <c r="BG1" t="s">
        <v>55</v>
      </c>
      <c r="BH1" t="s">
        <v>56</v>
      </c>
      <c r="BI1" t="s">
        <v>135</v>
      </c>
      <c r="BJ1" t="s">
        <v>118</v>
      </c>
      <c r="BK1" t="s">
        <v>57</v>
      </c>
      <c r="BL1" t="s">
        <v>119</v>
      </c>
      <c r="BM1" t="s">
        <v>120</v>
      </c>
      <c r="BN1" t="s">
        <v>121</v>
      </c>
      <c r="BO1" t="s">
        <v>122</v>
      </c>
      <c r="BP1" t="s">
        <v>59</v>
      </c>
      <c r="BQ1" t="s">
        <v>60</v>
      </c>
      <c r="BR1" t="s">
        <v>61</v>
      </c>
      <c r="BS1" t="s">
        <v>123</v>
      </c>
      <c r="BT1" t="s">
        <v>62</v>
      </c>
      <c r="BU1" t="s">
        <v>63</v>
      </c>
      <c r="BV1" t="s">
        <v>64</v>
      </c>
      <c r="BW1" t="s">
        <v>124</v>
      </c>
      <c r="BX1" t="s">
        <v>65</v>
      </c>
      <c r="BY1" t="s">
        <v>66</v>
      </c>
      <c r="BZ1" t="s">
        <v>125</v>
      </c>
      <c r="CA1" t="s">
        <v>67</v>
      </c>
      <c r="CB1" t="s">
        <v>68</v>
      </c>
      <c r="CC1" t="s">
        <v>136</v>
      </c>
      <c r="CD1" t="s">
        <v>137</v>
      </c>
      <c r="CE1" t="s">
        <v>138</v>
      </c>
      <c r="CF1" t="s">
        <v>139</v>
      </c>
      <c r="CG1" s="1" t="s">
        <v>75</v>
      </c>
      <c r="CH1" s="1" t="s">
        <v>76</v>
      </c>
      <c r="CI1" s="1" t="s">
        <v>77</v>
      </c>
      <c r="CJ1" s="1" t="s">
        <v>78</v>
      </c>
      <c r="CK1" s="1" t="s">
        <v>79</v>
      </c>
      <c r="CL1" s="1" t="s">
        <v>80</v>
      </c>
      <c r="CM1" s="1" t="s">
        <v>81</v>
      </c>
      <c r="CN1" s="1" t="s">
        <v>82</v>
      </c>
      <c r="CO1" s="1" t="s">
        <v>83</v>
      </c>
      <c r="CP1" s="1" t="s">
        <v>84</v>
      </c>
      <c r="CQ1" s="1" t="s">
        <v>85</v>
      </c>
      <c r="CR1" s="1" t="s">
        <v>86</v>
      </c>
      <c r="CS1" s="1" t="s">
        <v>140</v>
      </c>
      <c r="CT1" s="1" t="s">
        <v>141</v>
      </c>
      <c r="CU1" s="1" t="s">
        <v>142</v>
      </c>
      <c r="CV1" s="1" t="s">
        <v>87</v>
      </c>
      <c r="CW1" s="1" t="s">
        <v>143</v>
      </c>
      <c r="CX1" s="1" t="s">
        <v>28</v>
      </c>
      <c r="CY1">
        <v>1</v>
      </c>
      <c r="CZ1" t="s">
        <v>144</v>
      </c>
      <c r="DA1" t="s">
        <v>94</v>
      </c>
      <c r="DB1">
        <v>3</v>
      </c>
      <c r="DC1" t="s">
        <v>145</v>
      </c>
      <c r="DD1" t="s">
        <v>146</v>
      </c>
      <c r="DE1">
        <v>6</v>
      </c>
      <c r="DF1" t="s">
        <v>95</v>
      </c>
      <c r="DG1" t="s">
        <v>147</v>
      </c>
      <c r="DH1">
        <v>10</v>
      </c>
      <c r="DI1" t="s">
        <v>148</v>
      </c>
      <c r="DJ1" t="s">
        <v>96</v>
      </c>
      <c r="DK1">
        <v>20</v>
      </c>
      <c r="DL1" t="s">
        <v>149</v>
      </c>
      <c r="DM1" t="s">
        <v>88</v>
      </c>
      <c r="DN1" t="s">
        <v>89</v>
      </c>
      <c r="DO1" s="2" t="s">
        <v>90</v>
      </c>
      <c r="DP1" t="s">
        <v>150</v>
      </c>
      <c r="DQ1" t="s">
        <v>97</v>
      </c>
      <c r="DR1" s="1" t="s">
        <v>91</v>
      </c>
      <c r="DS1" s="1" t="s">
        <v>92</v>
      </c>
      <c r="DT1" s="1" t="s">
        <v>151</v>
      </c>
      <c r="DU1" t="s">
        <v>152</v>
      </c>
      <c r="DV1" t="s">
        <v>98</v>
      </c>
      <c r="DW1" t="s">
        <v>153</v>
      </c>
      <c r="DX1" t="s">
        <v>154</v>
      </c>
      <c r="DY1" t="s">
        <v>155</v>
      </c>
      <c r="DZ1" t="s">
        <v>156</v>
      </c>
      <c r="EA1" t="s">
        <v>157</v>
      </c>
      <c r="EB1" t="s">
        <v>93</v>
      </c>
      <c r="EC1" t="s">
        <v>158</v>
      </c>
      <c r="ED1" t="s">
        <v>159</v>
      </c>
      <c r="EE1" t="s">
        <v>160</v>
      </c>
      <c r="EF1" t="s">
        <v>161</v>
      </c>
      <c r="EG1" t="s">
        <v>162</v>
      </c>
      <c r="EH1" t="s">
        <v>163</v>
      </c>
      <c r="EI1" t="s">
        <v>164</v>
      </c>
      <c r="EJ1" t="s">
        <v>165</v>
      </c>
      <c r="EK1"/>
    </row>
    <row r="2" spans="1:147" s="14" customFormat="1" ht="71.55" customHeight="1" x14ac:dyDescent="0.3">
      <c r="A2" s="22"/>
      <c r="B2" s="20"/>
      <c r="C2" s="21">
        <v>3</v>
      </c>
      <c r="D2" s="21">
        <v>5</v>
      </c>
      <c r="T2" s="16"/>
      <c r="U2" s="16"/>
      <c r="V2" s="16"/>
      <c r="AB2" s="17"/>
    </row>
    <row r="3" spans="1:147" ht="101.25" x14ac:dyDescent="0.3">
      <c r="B3" s="30"/>
      <c r="C3" s="30"/>
      <c r="D3" s="30" t="s">
        <v>1444</v>
      </c>
      <c r="E3" t="s">
        <v>253</v>
      </c>
      <c r="F3" t="s">
        <v>254</v>
      </c>
      <c r="G3">
        <v>37.770000000000003</v>
      </c>
      <c r="H3">
        <v>-7.27</v>
      </c>
      <c r="I3" t="s">
        <v>1404</v>
      </c>
      <c r="J3">
        <v>10546981600</v>
      </c>
      <c r="L3">
        <v>1.36</v>
      </c>
      <c r="M3" t="s">
        <v>171</v>
      </c>
      <c r="N3" t="s">
        <v>1405</v>
      </c>
      <c r="O3" t="s">
        <v>1406</v>
      </c>
      <c r="P3" t="s">
        <v>1407</v>
      </c>
      <c r="Q3">
        <v>-0.76</v>
      </c>
      <c r="R3" t="s">
        <v>1408</v>
      </c>
      <c r="S3">
        <v>-996139670</v>
      </c>
      <c r="T3" s="31">
        <v>-1.5449999999999999</v>
      </c>
      <c r="U3" t="s">
        <v>1409</v>
      </c>
      <c r="V3">
        <v>248460970</v>
      </c>
      <c r="W3">
        <v>279242300</v>
      </c>
      <c r="X3">
        <v>2.6</v>
      </c>
      <c r="Y3">
        <v>0.53</v>
      </c>
      <c r="Z3">
        <v>-8.5299999999999994</v>
      </c>
      <c r="AA3" t="s">
        <v>1410</v>
      </c>
      <c r="AB3" t="s">
        <v>1411</v>
      </c>
      <c r="AC3" t="s">
        <v>1412</v>
      </c>
      <c r="AD3" t="s">
        <v>1413</v>
      </c>
      <c r="AE3" t="s">
        <v>1112</v>
      </c>
      <c r="AF3">
        <v>222399610</v>
      </c>
      <c r="AG3" t="s">
        <v>1414</v>
      </c>
      <c r="AH3" t="s">
        <v>1415</v>
      </c>
      <c r="AI3" t="s">
        <v>1416</v>
      </c>
      <c r="AJ3" t="s">
        <v>1417</v>
      </c>
      <c r="AK3" t="s">
        <v>1418</v>
      </c>
      <c r="AL3" t="s">
        <v>316</v>
      </c>
      <c r="AM3" t="s">
        <v>1419</v>
      </c>
      <c r="AN3" t="s">
        <v>316</v>
      </c>
      <c r="AO3" t="s">
        <v>1420</v>
      </c>
      <c r="AP3" t="s">
        <v>1421</v>
      </c>
      <c r="AQ3" t="s">
        <v>335</v>
      </c>
      <c r="AR3" t="s">
        <v>1422</v>
      </c>
      <c r="AS3" t="s">
        <v>316</v>
      </c>
      <c r="AT3" t="s">
        <v>1423</v>
      </c>
      <c r="AU3" t="s">
        <v>1424</v>
      </c>
      <c r="AV3" t="s">
        <v>1425</v>
      </c>
      <c r="AW3" t="s">
        <v>1426</v>
      </c>
      <c r="AX3" t="s">
        <v>1427</v>
      </c>
      <c r="AY3" t="s">
        <v>1428</v>
      </c>
      <c r="AZ3" t="s">
        <v>1019</v>
      </c>
      <c r="BA3" t="s">
        <v>1429</v>
      </c>
      <c r="BB3" t="s">
        <v>1429</v>
      </c>
      <c r="BC3" t="s">
        <v>1430</v>
      </c>
      <c r="BD3" t="s">
        <v>1431</v>
      </c>
      <c r="BE3" t="s">
        <v>1432</v>
      </c>
      <c r="BF3" t="s">
        <v>1221</v>
      </c>
      <c r="BG3" t="s">
        <v>1433</v>
      </c>
      <c r="BH3" t="s">
        <v>1434</v>
      </c>
      <c r="BI3" t="s">
        <v>1435</v>
      </c>
      <c r="BJ3" t="s">
        <v>1436</v>
      </c>
      <c r="BK3" t="s">
        <v>1437</v>
      </c>
      <c r="BL3" t="s">
        <v>1438</v>
      </c>
      <c r="BM3" t="s">
        <v>1439</v>
      </c>
      <c r="BN3" t="s">
        <v>1440</v>
      </c>
      <c r="BO3" t="s">
        <v>316</v>
      </c>
      <c r="BP3">
        <v>21.18</v>
      </c>
      <c r="BQ3" t="s">
        <v>316</v>
      </c>
      <c r="BR3">
        <v>-8.4600000000000009</v>
      </c>
      <c r="BS3">
        <v>31.2</v>
      </c>
      <c r="BT3">
        <v>-2.74</v>
      </c>
      <c r="BU3" t="s">
        <v>1441</v>
      </c>
      <c r="BV3" t="s">
        <v>220</v>
      </c>
      <c r="BW3">
        <v>-2.46</v>
      </c>
      <c r="BX3">
        <v>28.85</v>
      </c>
      <c r="BY3">
        <v>10.36</v>
      </c>
      <c r="BZ3">
        <v>-14.25</v>
      </c>
      <c r="CA3">
        <v>16.61</v>
      </c>
      <c r="CB3">
        <v>-3.7</v>
      </c>
      <c r="CC3">
        <v>-13.98</v>
      </c>
      <c r="CD3">
        <v>4.3099999999999996</v>
      </c>
      <c r="CE3" t="s">
        <v>1442</v>
      </c>
      <c r="CF3" t="s">
        <v>1443</v>
      </c>
      <c r="CG3" s="32">
        <v>-0.21052631578947378</v>
      </c>
      <c r="CH3" s="33">
        <v>-0.91266363138686135</v>
      </c>
      <c r="CI3" s="32">
        <v>3.5532903671264648</v>
      </c>
      <c r="CJ3" s="32">
        <v>4.2590231895446777</v>
      </c>
      <c r="CK3" s="32">
        <v>-0.10626185685396194</v>
      </c>
      <c r="CL3" s="32">
        <v>0</v>
      </c>
      <c r="CM3" s="32">
        <v>0.23274853825569153</v>
      </c>
      <c r="CN3" s="33">
        <v>1.8848485946655273</v>
      </c>
      <c r="CO3" s="33">
        <v>30.047658920288086</v>
      </c>
      <c r="CP3" s="33">
        <v>-1.2840160131454468</v>
      </c>
      <c r="CQ3" s="33">
        <v>1.9199684262275696E-2</v>
      </c>
      <c r="CR3" s="33">
        <v>5.8112148195505142E-2</v>
      </c>
      <c r="CS3">
        <v>18.250308426193808</v>
      </c>
      <c r="CT3">
        <v>0.11494374388379895</v>
      </c>
      <c r="CU3">
        <v>2.6476039184537989</v>
      </c>
      <c r="CV3" s="32">
        <v>1.5877600476145743</v>
      </c>
      <c r="CW3" s="33">
        <v>6.1451606668531893</v>
      </c>
      <c r="CX3">
        <v>0.06</v>
      </c>
      <c r="CY3">
        <v>2.7953997297714466</v>
      </c>
      <c r="CZ3">
        <v>5810253691.8138552</v>
      </c>
      <c r="DA3">
        <v>1.5877600476145743</v>
      </c>
      <c r="DB3">
        <v>0.32163870766793318</v>
      </c>
      <c r="DC3">
        <v>50497596255.636543</v>
      </c>
      <c r="DD3">
        <v>1.5083720452338456</v>
      </c>
      <c r="DE3">
        <v>2.8667830057228463E-2</v>
      </c>
      <c r="DF3">
        <v>566557760652.8562</v>
      </c>
      <c r="DG3">
        <v>1.3972288419008254</v>
      </c>
      <c r="DH3">
        <v>1.7925548611087935E-3</v>
      </c>
      <c r="DI3">
        <v>9060800287001.2266</v>
      </c>
      <c r="DJ3">
        <v>1.2702080380916596</v>
      </c>
      <c r="DK3">
        <v>3.5143239108680289E-6</v>
      </c>
      <c r="DL3">
        <v>4621651848815573</v>
      </c>
      <c r="DM3">
        <v>1.1114320333302019</v>
      </c>
      <c r="DN3">
        <v>2380000000</v>
      </c>
      <c r="DO3">
        <v>1.5877600476145743</v>
      </c>
      <c r="DP3">
        <v>16241981600</v>
      </c>
      <c r="DQ3">
        <v>3181201400</v>
      </c>
      <c r="DR3">
        <v>2235</v>
      </c>
      <c r="DS3">
        <v>-1.7982863634040482</v>
      </c>
      <c r="DT3">
        <v>-7.0578242982400505</v>
      </c>
      <c r="DU3" s="34">
        <v>0.31</v>
      </c>
      <c r="DV3">
        <v>-0.93166666666666664</v>
      </c>
      <c r="DW3">
        <v>-0.62166666666666659</v>
      </c>
      <c r="DX3">
        <v>-5.3082975679542201</v>
      </c>
      <c r="DY3">
        <v>0.36686195121951326</v>
      </c>
      <c r="DZ3">
        <v>-5.0452771823859868</v>
      </c>
      <c r="EA3">
        <v>3462</v>
      </c>
      <c r="EB3">
        <v>-5.0146440759915594</v>
      </c>
      <c r="EC3">
        <v>5</v>
      </c>
      <c r="ED3">
        <v>0.21563137103511895</v>
      </c>
      <c r="EE3">
        <v>1.4682589278200329</v>
      </c>
      <c r="EF3" s="35">
        <v>-1.0668</v>
      </c>
      <c r="EG3">
        <v>-1.0059100000000001</v>
      </c>
      <c r="EH3">
        <v>22.146861951219513</v>
      </c>
      <c r="EI3" t="s">
        <v>626</v>
      </c>
      <c r="EJ3">
        <v>0</v>
      </c>
      <c r="EK3">
        <v>0</v>
      </c>
      <c r="EL3" s="36">
        <v>45378</v>
      </c>
      <c r="EM3">
        <v>0.55000000000000004</v>
      </c>
      <c r="EN3">
        <v>-6</v>
      </c>
      <c r="EO3">
        <v>-5.5E-2</v>
      </c>
      <c r="EP3">
        <v>5.44</v>
      </c>
      <c r="EQ3">
        <v>-7.27</v>
      </c>
    </row>
    <row r="4" spans="1:147" ht="135" x14ac:dyDescent="0.3">
      <c r="B4" s="30" t="s">
        <v>2106</v>
      </c>
      <c r="C4" s="30" t="s">
        <v>1445</v>
      </c>
      <c r="D4" s="30" t="s">
        <v>1478</v>
      </c>
      <c r="E4" t="s">
        <v>255</v>
      </c>
      <c r="F4" t="s">
        <v>256</v>
      </c>
      <c r="G4">
        <v>21.3</v>
      </c>
      <c r="H4">
        <v>-3.31</v>
      </c>
      <c r="I4" t="s">
        <v>1446</v>
      </c>
      <c r="J4">
        <v>7339184000</v>
      </c>
      <c r="K4">
        <v>28.46</v>
      </c>
      <c r="L4">
        <v>2.71</v>
      </c>
      <c r="M4" t="s">
        <v>171</v>
      </c>
      <c r="N4" t="s">
        <v>1447</v>
      </c>
      <c r="O4" t="s">
        <v>1448</v>
      </c>
      <c r="P4" t="s">
        <v>1449</v>
      </c>
      <c r="Q4">
        <v>-26.63</v>
      </c>
      <c r="R4" t="s">
        <v>1450</v>
      </c>
      <c r="S4">
        <v>161524700</v>
      </c>
      <c r="T4" s="31">
        <v>-0.50739999999999996</v>
      </c>
      <c r="U4" t="s">
        <v>558</v>
      </c>
      <c r="V4">
        <v>343692910</v>
      </c>
      <c r="W4">
        <v>343692910</v>
      </c>
      <c r="X4">
        <v>1.77</v>
      </c>
      <c r="Y4">
        <v>0.24</v>
      </c>
      <c r="Z4">
        <v>15.52</v>
      </c>
      <c r="AA4" t="s">
        <v>1451</v>
      </c>
      <c r="AB4" t="s">
        <v>1210</v>
      </c>
      <c r="AC4" t="s">
        <v>1452</v>
      </c>
      <c r="AD4" t="s">
        <v>1453</v>
      </c>
      <c r="AE4" t="s">
        <v>1454</v>
      </c>
      <c r="AF4">
        <v>23342086</v>
      </c>
      <c r="AG4" t="s">
        <v>1455</v>
      </c>
      <c r="AH4" t="s">
        <v>1456</v>
      </c>
      <c r="AI4" t="s">
        <v>1457</v>
      </c>
      <c r="AJ4" t="s">
        <v>1458</v>
      </c>
      <c r="AK4" t="s">
        <v>1459</v>
      </c>
      <c r="AL4" t="s">
        <v>316</v>
      </c>
      <c r="AM4" t="s">
        <v>1460</v>
      </c>
      <c r="AN4" t="s">
        <v>316</v>
      </c>
      <c r="AO4" t="s">
        <v>1461</v>
      </c>
      <c r="AP4" t="s">
        <v>957</v>
      </c>
      <c r="AQ4" t="s">
        <v>637</v>
      </c>
      <c r="AR4" t="s">
        <v>1462</v>
      </c>
      <c r="AS4" t="s">
        <v>316</v>
      </c>
      <c r="AT4" t="s">
        <v>1463</v>
      </c>
      <c r="AU4" t="s">
        <v>1464</v>
      </c>
      <c r="AV4" t="s">
        <v>500</v>
      </c>
      <c r="AW4" t="s">
        <v>1465</v>
      </c>
      <c r="AX4" t="s">
        <v>1466</v>
      </c>
      <c r="AY4" t="s">
        <v>1467</v>
      </c>
      <c r="AZ4" t="s">
        <v>1145</v>
      </c>
      <c r="BA4" t="s">
        <v>1468</v>
      </c>
      <c r="BB4" t="s">
        <v>910</v>
      </c>
      <c r="BC4" t="s">
        <v>1469</v>
      </c>
      <c r="BD4" t="s">
        <v>1007</v>
      </c>
      <c r="BE4" t="s">
        <v>1005</v>
      </c>
      <c r="BF4" t="s">
        <v>397</v>
      </c>
      <c r="BG4" t="s">
        <v>1470</v>
      </c>
      <c r="BH4" t="s">
        <v>1471</v>
      </c>
      <c r="BI4" t="s">
        <v>1472</v>
      </c>
      <c r="BJ4" t="s">
        <v>1473</v>
      </c>
      <c r="BK4" t="s">
        <v>1328</v>
      </c>
      <c r="BL4" t="s">
        <v>1474</v>
      </c>
      <c r="BM4" t="s">
        <v>910</v>
      </c>
      <c r="BN4" t="s">
        <v>570</v>
      </c>
      <c r="BO4">
        <v>1.44</v>
      </c>
      <c r="BP4">
        <v>15.33</v>
      </c>
      <c r="BQ4">
        <v>6.4</v>
      </c>
      <c r="BR4">
        <v>1.6</v>
      </c>
      <c r="BS4">
        <v>16.28</v>
      </c>
      <c r="BT4">
        <v>6.63</v>
      </c>
      <c r="BU4" t="s">
        <v>1475</v>
      </c>
      <c r="BV4" t="s">
        <v>220</v>
      </c>
      <c r="BW4">
        <v>31.66</v>
      </c>
      <c r="BX4">
        <v>33.869999999999997</v>
      </c>
      <c r="BY4">
        <v>39.08</v>
      </c>
      <c r="BZ4">
        <v>14.38</v>
      </c>
      <c r="CA4">
        <v>22.33</v>
      </c>
      <c r="CB4">
        <v>22.59</v>
      </c>
      <c r="CC4">
        <v>-9.7799999999999994</v>
      </c>
      <c r="CD4">
        <v>22.77</v>
      </c>
      <c r="CE4" t="s">
        <v>1476</v>
      </c>
      <c r="CF4" t="s">
        <v>1200</v>
      </c>
      <c r="CG4" s="32">
        <v>-0.16766467065868262</v>
      </c>
      <c r="CH4" s="33">
        <v>-0.42221129032258065</v>
      </c>
      <c r="CI4" s="32">
        <v>0.39545455574989319</v>
      </c>
      <c r="CJ4" s="32">
        <v>1.7966101169586182</v>
      </c>
      <c r="CK4" s="32">
        <v>0.2227979302406311</v>
      </c>
      <c r="CL4" s="32">
        <v>0.1768292635679245</v>
      </c>
      <c r="CM4" s="32">
        <v>6.4935065805912018E-2</v>
      </c>
      <c r="CN4" s="33">
        <v>0.43243244290351868</v>
      </c>
      <c r="CO4" s="33">
        <v>1.7663551568984985</v>
      </c>
      <c r="CP4" s="33">
        <v>-2.7272727340459824E-2</v>
      </c>
      <c r="CQ4" s="33">
        <v>0.6275826096534729</v>
      </c>
      <c r="CR4" s="33">
        <v>5.5666394233703613</v>
      </c>
      <c r="CS4">
        <v>44.489555915768392</v>
      </c>
      <c r="CT4">
        <v>0.83733164364305979</v>
      </c>
      <c r="CU4">
        <v>0.44600938967136144</v>
      </c>
      <c r="CV4" s="32">
        <v>0.53132538646459582</v>
      </c>
      <c r="CW4" s="33">
        <v>1.6731473810970783</v>
      </c>
      <c r="CX4">
        <v>0.06</v>
      </c>
      <c r="CY4">
        <v>10.982616855081329</v>
      </c>
      <c r="CZ4">
        <v>612530154.58583832</v>
      </c>
      <c r="DA4">
        <v>0.53132538646459582</v>
      </c>
      <c r="DB4">
        <v>2.52018253765497</v>
      </c>
      <c r="DC4">
        <v>2669324106.2846365</v>
      </c>
      <c r="DD4">
        <v>0.50475911714136601</v>
      </c>
      <c r="DE4">
        <v>0.72916012830338872</v>
      </c>
      <c r="DF4">
        <v>9225935070.8778133</v>
      </c>
      <c r="DG4">
        <v>0.46756634008884435</v>
      </c>
      <c r="DH4">
        <v>0.22225254892023313</v>
      </c>
      <c r="DI4">
        <v>30268197294.845871</v>
      </c>
      <c r="DJ4">
        <v>0.4250603091716767</v>
      </c>
      <c r="DK4">
        <v>2.0853837813822551E-2</v>
      </c>
      <c r="DL4">
        <v>322587336683.94696</v>
      </c>
      <c r="DM4">
        <v>0.37192777052521703</v>
      </c>
      <c r="DN4">
        <v>424000000</v>
      </c>
      <c r="DO4">
        <v>0.53132538646459582</v>
      </c>
      <c r="DP4">
        <v>6727184000</v>
      </c>
      <c r="DQ4">
        <v>1575393300</v>
      </c>
      <c r="DR4">
        <v>4651</v>
      </c>
      <c r="DS4">
        <v>-0.69899005712327844</v>
      </c>
      <c r="DT4">
        <v>-2.095358671419659</v>
      </c>
      <c r="DU4" s="34">
        <v>0.27666666666666662</v>
      </c>
      <c r="DV4">
        <v>1.05</v>
      </c>
      <c r="DW4">
        <v>1.3266666666666667</v>
      </c>
      <c r="DX4">
        <v>-7.3004608294930877</v>
      </c>
      <c r="DY4">
        <v>0.35859956896551592</v>
      </c>
      <c r="DZ4">
        <v>-7.0386391331638327</v>
      </c>
      <c r="EA4">
        <v>147</v>
      </c>
      <c r="EB4">
        <v>-7.0375291170264314</v>
      </c>
      <c r="EC4">
        <v>7</v>
      </c>
      <c r="ED4">
        <v>8.6807435160649676E-2</v>
      </c>
      <c r="EE4">
        <v>0.67502119842972608</v>
      </c>
      <c r="EF4" s="35">
        <v>-4.0338000000000003</v>
      </c>
      <c r="EG4">
        <v>-4.0007000000000001</v>
      </c>
      <c r="EH4">
        <v>23.128599568965516</v>
      </c>
      <c r="EI4" t="s">
        <v>1477</v>
      </c>
      <c r="EJ4">
        <v>0</v>
      </c>
      <c r="EK4">
        <v>1</v>
      </c>
      <c r="EL4" s="36">
        <v>45378</v>
      </c>
      <c r="EM4">
        <v>1.07</v>
      </c>
      <c r="EN4">
        <v>-3.5</v>
      </c>
      <c r="EO4">
        <v>-4.7E-2</v>
      </c>
      <c r="EP4">
        <v>3.57</v>
      </c>
      <c r="EQ4">
        <v>-3.31</v>
      </c>
    </row>
    <row r="5" spans="1:147" ht="135" x14ac:dyDescent="0.3">
      <c r="B5" s="38"/>
      <c r="C5" s="38"/>
      <c r="D5" s="38" t="s">
        <v>2109</v>
      </c>
      <c r="E5" t="s">
        <v>257</v>
      </c>
      <c r="F5" t="s">
        <v>258</v>
      </c>
      <c r="G5">
        <v>32</v>
      </c>
      <c r="H5">
        <v>-12.9</v>
      </c>
      <c r="I5" t="s">
        <v>259</v>
      </c>
      <c r="J5">
        <v>2310170500</v>
      </c>
      <c r="L5">
        <v>1.7</v>
      </c>
      <c r="M5" t="s">
        <v>260</v>
      </c>
      <c r="N5" t="s">
        <v>1222</v>
      </c>
      <c r="O5" t="s">
        <v>1479</v>
      </c>
      <c r="P5" t="s">
        <v>1480</v>
      </c>
      <c r="Q5">
        <v>-36.53</v>
      </c>
      <c r="R5" t="s">
        <v>1481</v>
      </c>
      <c r="S5">
        <v>-16345292</v>
      </c>
      <c r="T5">
        <v>-1.2050000000000001</v>
      </c>
      <c r="U5" t="s">
        <v>1482</v>
      </c>
      <c r="V5">
        <v>22192828</v>
      </c>
      <c r="W5">
        <v>72192828</v>
      </c>
      <c r="X5">
        <v>1.19</v>
      </c>
      <c r="Y5">
        <v>0.31</v>
      </c>
      <c r="Z5">
        <v>-3.57</v>
      </c>
      <c r="AA5" t="s">
        <v>1483</v>
      </c>
      <c r="AB5" t="s">
        <v>1279</v>
      </c>
      <c r="AC5" t="s">
        <v>1484</v>
      </c>
      <c r="AD5" t="s">
        <v>1485</v>
      </c>
      <c r="AE5" t="s">
        <v>1486</v>
      </c>
      <c r="AF5">
        <v>-1311675</v>
      </c>
      <c r="AG5" t="s">
        <v>1487</v>
      </c>
      <c r="AH5" t="s">
        <v>1488</v>
      </c>
      <c r="AI5" t="s">
        <v>1489</v>
      </c>
      <c r="AJ5" t="s">
        <v>1490</v>
      </c>
      <c r="AK5" t="s">
        <v>1491</v>
      </c>
      <c r="AL5" t="s">
        <v>1492</v>
      </c>
      <c r="AM5" t="s">
        <v>1493</v>
      </c>
      <c r="AN5" t="s">
        <v>316</v>
      </c>
      <c r="AO5" t="s">
        <v>1494</v>
      </c>
      <c r="AP5" t="s">
        <v>1495</v>
      </c>
      <c r="AQ5" t="s">
        <v>316</v>
      </c>
      <c r="AR5" t="s">
        <v>1496</v>
      </c>
      <c r="AS5" t="s">
        <v>316</v>
      </c>
      <c r="AT5" t="s">
        <v>507</v>
      </c>
      <c r="AU5" t="s">
        <v>316</v>
      </c>
      <c r="AV5" t="s">
        <v>1497</v>
      </c>
      <c r="AW5" t="s">
        <v>1498</v>
      </c>
      <c r="AX5" t="s">
        <v>1499</v>
      </c>
      <c r="AY5" t="s">
        <v>1500</v>
      </c>
      <c r="AZ5" t="s">
        <v>1501</v>
      </c>
      <c r="BA5" t="s">
        <v>1502</v>
      </c>
      <c r="BB5" t="s">
        <v>1094</v>
      </c>
      <c r="BC5" t="s">
        <v>316</v>
      </c>
      <c r="BD5" t="s">
        <v>1503</v>
      </c>
      <c r="BE5" t="s">
        <v>1504</v>
      </c>
      <c r="BF5" t="s">
        <v>1505</v>
      </c>
      <c r="BG5" t="s">
        <v>1506</v>
      </c>
      <c r="BH5" t="s">
        <v>316</v>
      </c>
      <c r="BI5" t="s">
        <v>1462</v>
      </c>
      <c r="BJ5" t="s">
        <v>1507</v>
      </c>
      <c r="BK5" t="s">
        <v>1508</v>
      </c>
      <c r="BL5" t="s">
        <v>1509</v>
      </c>
      <c r="BM5" t="s">
        <v>1510</v>
      </c>
      <c r="BN5" t="s">
        <v>1511</v>
      </c>
      <c r="BO5" t="s">
        <v>316</v>
      </c>
      <c r="BP5">
        <v>17.29</v>
      </c>
      <c r="BQ5">
        <v>20.170000000000002</v>
      </c>
      <c r="BR5">
        <v>-0.85</v>
      </c>
      <c r="BS5">
        <v>21.64</v>
      </c>
      <c r="BT5" t="s">
        <v>316</v>
      </c>
      <c r="BU5" t="s">
        <v>1512</v>
      </c>
      <c r="BV5" t="s">
        <v>1513</v>
      </c>
      <c r="BW5">
        <v>19.21</v>
      </c>
      <c r="BX5">
        <v>27.46</v>
      </c>
      <c r="BY5">
        <v>29.56</v>
      </c>
      <c r="BZ5">
        <v>-3.72</v>
      </c>
      <c r="CA5">
        <v>8.9499999999999993</v>
      </c>
      <c r="CB5">
        <v>8.07</v>
      </c>
      <c r="CC5">
        <v>11.58</v>
      </c>
      <c r="CD5" s="1">
        <v>37.93</v>
      </c>
      <c r="CE5" s="1" t="s">
        <v>2107</v>
      </c>
      <c r="CF5" s="1" t="s">
        <v>2108</v>
      </c>
      <c r="CG5" s="32">
        <v>-0.45070422535211285</v>
      </c>
      <c r="CH5" s="33">
        <v>-1.1636662514776235</v>
      </c>
      <c r="CI5" s="32">
        <v>3.2967034727334976E-2</v>
      </c>
      <c r="CJ5" s="32">
        <v>0.16802801191806793</v>
      </c>
      <c r="CK5" s="32">
        <v>0.41186162829399109</v>
      </c>
      <c r="CL5" s="32">
        <v>0.35491070151329041</v>
      </c>
      <c r="CM5" s="32" t="s">
        <v>316</v>
      </c>
      <c r="CN5" s="33">
        <v>-9.9108763039112091E-2</v>
      </c>
      <c r="CO5" s="33">
        <v>0.36488154530525208</v>
      </c>
      <c r="CP5" s="33">
        <v>1.8304882571101189E-2</v>
      </c>
      <c r="CQ5" s="33">
        <v>30.77058219909668</v>
      </c>
      <c r="CR5" s="33" t="s">
        <v>316</v>
      </c>
      <c r="CS5" s="1">
        <v>36.416595599119127</v>
      </c>
      <c r="CT5" s="1">
        <v>1.505179715092394</v>
      </c>
      <c r="CU5" s="1">
        <v>1.25</v>
      </c>
      <c r="CV5" s="32">
        <v>0.2419418441131711</v>
      </c>
      <c r="CW5" s="33">
        <v>7.7636649659834802</v>
      </c>
      <c r="CX5">
        <v>0.06</v>
      </c>
      <c r="CY5">
        <v>11.953139142726789</v>
      </c>
      <c r="CZ5">
        <v>100573622.17953375</v>
      </c>
      <c r="DA5">
        <v>0.2419418441131711</v>
      </c>
      <c r="DB5">
        <v>3.4425132262798233</v>
      </c>
      <c r="DC5">
        <v>349213037.38871449</v>
      </c>
      <c r="DD5">
        <v>0.22984475190751252</v>
      </c>
      <c r="DE5">
        <v>1.4186046375933659</v>
      </c>
      <c r="DF5">
        <v>847431672.0403918</v>
      </c>
      <c r="DG5">
        <v>0.21290882281959056</v>
      </c>
      <c r="DH5">
        <v>0.68848582663640634</v>
      </c>
      <c r="DI5">
        <v>1746107840.5538096</v>
      </c>
      <c r="DJ5">
        <v>0.1935534752905369</v>
      </c>
      <c r="DK5">
        <v>0.21380231794341506</v>
      </c>
      <c r="DL5">
        <v>5622813220.9406939</v>
      </c>
      <c r="DM5">
        <v>0.16935929087921975</v>
      </c>
      <c r="DN5">
        <v>85839800</v>
      </c>
      <c r="DO5">
        <v>0.2419418441131711</v>
      </c>
      <c r="DP5">
        <v>1202170500</v>
      </c>
      <c r="DQ5">
        <v>673002780</v>
      </c>
      <c r="DR5">
        <v>2736</v>
      </c>
      <c r="DS5">
        <v>-0.69264606946528395</v>
      </c>
      <c r="DT5">
        <v>-8.9273312174611039</v>
      </c>
      <c r="DU5" s="34">
        <v>-4.8000000000000043E-2</v>
      </c>
      <c r="DV5">
        <v>-0.33999999999999997</v>
      </c>
      <c r="DW5">
        <v>-0.38800000000000001</v>
      </c>
      <c r="DX5">
        <v>9.3052992354336936</v>
      </c>
      <c r="DY5">
        <v>0.67805660184121042</v>
      </c>
      <c r="DZ5">
        <v>9.1184733838471193</v>
      </c>
      <c r="EA5">
        <v>3089</v>
      </c>
      <c r="EB5">
        <v>9.0469400995031499</v>
      </c>
      <c r="EC5">
        <v>9</v>
      </c>
      <c r="ED5">
        <v>0.3778907234386219</v>
      </c>
      <c r="EE5">
        <v>0.97380310409781978</v>
      </c>
      <c r="EF5" s="35">
        <v>2.1457999999999999</v>
      </c>
      <c r="EG5">
        <v>2.0167999999999999</v>
      </c>
      <c r="EH5">
        <v>29.38805660184121</v>
      </c>
      <c r="EI5" t="s">
        <v>1202</v>
      </c>
      <c r="EJ5">
        <v>1</v>
      </c>
      <c r="EK5">
        <v>0</v>
      </c>
      <c r="EL5" s="36">
        <v>45394</v>
      </c>
      <c r="EM5" s="37">
        <v>-9.34</v>
      </c>
      <c r="EN5" s="37">
        <v>11.73</v>
      </c>
      <c r="EO5" s="37">
        <v>20</v>
      </c>
      <c r="EP5" s="37">
        <v>5.39</v>
      </c>
      <c r="EQ5" s="37">
        <v>-12.9</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Industry_copy_call_buttom [c2],[d2]'">
                <anchor moveWithCells="1" sizeWithCells="1">
                  <from>
                    <xdr:col>1</xdr:col>
                    <xdr:colOff>61913</xdr:colOff>
                    <xdr:row>1</xdr:row>
                    <xdr:rowOff>261938</xdr:rowOff>
                  </from>
                  <to>
                    <xdr:col>1</xdr:col>
                    <xdr:colOff>1090613</xdr:colOff>
                    <xdr:row>1</xdr:row>
                    <xdr:rowOff>709613</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19"/>
  <sheetViews>
    <sheetView workbookViewId="0">
      <selection activeCell="D19" sqref="D19"/>
    </sheetView>
  </sheetViews>
  <sheetFormatPr defaultRowHeight="13.5" x14ac:dyDescent="0.3"/>
  <cols>
    <col min="1" max="1" width="13" customWidth="1"/>
    <col min="2" max="2" width="35.46484375" customWidth="1"/>
    <col min="3" max="3" width="39.53125" customWidth="1"/>
    <col min="4" max="4" width="50.46484375" customWidth="1"/>
  </cols>
  <sheetData>
    <row r="1" spans="1:147" s="14" customFormat="1" x14ac:dyDescent="0.3">
      <c r="A1" s="15" t="s">
        <v>47</v>
      </c>
      <c r="B1" s="18" t="s">
        <v>126</v>
      </c>
      <c r="C1" s="19" t="s">
        <v>127</v>
      </c>
      <c r="D1" s="18" t="s">
        <v>128</v>
      </c>
      <c r="E1" t="s">
        <v>2</v>
      </c>
      <c r="F1" t="s">
        <v>3</v>
      </c>
      <c r="G1" t="s">
        <v>0</v>
      </c>
      <c r="H1" t="s">
        <v>99</v>
      </c>
      <c r="I1" t="s">
        <v>129</v>
      </c>
      <c r="J1" t="s">
        <v>4</v>
      </c>
      <c r="K1" t="s">
        <v>5</v>
      </c>
      <c r="L1" t="s">
        <v>1</v>
      </c>
      <c r="M1" t="s">
        <v>6</v>
      </c>
      <c r="N1" t="s">
        <v>7</v>
      </c>
      <c r="O1" t="s">
        <v>8</v>
      </c>
      <c r="P1" t="s">
        <v>9</v>
      </c>
      <c r="Q1" t="s">
        <v>130</v>
      </c>
      <c r="R1" t="s">
        <v>100</v>
      </c>
      <c r="S1" t="s">
        <v>131</v>
      </c>
      <c r="T1" t="s">
        <v>10</v>
      </c>
      <c r="U1" t="s">
        <v>101</v>
      </c>
      <c r="V1" t="s">
        <v>102</v>
      </c>
      <c r="W1" t="s">
        <v>11</v>
      </c>
      <c r="X1" t="s">
        <v>69</v>
      </c>
      <c r="Y1" t="s">
        <v>70</v>
      </c>
      <c r="Z1" t="s">
        <v>71</v>
      </c>
      <c r="AA1" t="s">
        <v>72</v>
      </c>
      <c r="AB1" t="s">
        <v>73</v>
      </c>
      <c r="AC1" t="s">
        <v>103</v>
      </c>
      <c r="AD1" t="s">
        <v>74</v>
      </c>
      <c r="AE1" t="s">
        <v>132</v>
      </c>
      <c r="AF1" t="s">
        <v>12</v>
      </c>
      <c r="AG1" t="s">
        <v>13</v>
      </c>
      <c r="AH1" t="s">
        <v>104</v>
      </c>
      <c r="AI1" t="s">
        <v>133</v>
      </c>
      <c r="AJ1" t="s">
        <v>105</v>
      </c>
      <c r="AK1" t="s">
        <v>14</v>
      </c>
      <c r="AL1" t="s">
        <v>106</v>
      </c>
      <c r="AM1" t="s">
        <v>48</v>
      </c>
      <c r="AN1" t="s">
        <v>107</v>
      </c>
      <c r="AO1" t="s">
        <v>108</v>
      </c>
      <c r="AP1" t="s">
        <v>109</v>
      </c>
      <c r="AQ1" t="s">
        <v>110</v>
      </c>
      <c r="AR1" t="s">
        <v>111</v>
      </c>
      <c r="AS1" t="s">
        <v>112</v>
      </c>
      <c r="AT1" t="s">
        <v>113</v>
      </c>
      <c r="AU1" t="s">
        <v>114</v>
      </c>
      <c r="AV1" t="s">
        <v>115</v>
      </c>
      <c r="AW1" t="s">
        <v>116</v>
      </c>
      <c r="AX1" t="s">
        <v>117</v>
      </c>
      <c r="AY1" t="s">
        <v>134</v>
      </c>
      <c r="AZ1" t="s">
        <v>49</v>
      </c>
      <c r="BA1" t="s">
        <v>50</v>
      </c>
      <c r="BB1" t="s">
        <v>51</v>
      </c>
      <c r="BC1" t="s">
        <v>52</v>
      </c>
      <c r="BD1" t="s">
        <v>58</v>
      </c>
      <c r="BE1" t="s">
        <v>53</v>
      </c>
      <c r="BF1" t="s">
        <v>54</v>
      </c>
      <c r="BG1" t="s">
        <v>55</v>
      </c>
      <c r="BH1" t="s">
        <v>56</v>
      </c>
      <c r="BI1" t="s">
        <v>135</v>
      </c>
      <c r="BJ1" t="s">
        <v>118</v>
      </c>
      <c r="BK1" t="s">
        <v>57</v>
      </c>
      <c r="BL1" t="s">
        <v>119</v>
      </c>
      <c r="BM1" t="s">
        <v>120</v>
      </c>
      <c r="BN1" t="s">
        <v>121</v>
      </c>
      <c r="BO1" t="s">
        <v>122</v>
      </c>
      <c r="BP1" t="s">
        <v>59</v>
      </c>
      <c r="BQ1" t="s">
        <v>60</v>
      </c>
      <c r="BR1" t="s">
        <v>61</v>
      </c>
      <c r="BS1" t="s">
        <v>123</v>
      </c>
      <c r="BT1" t="s">
        <v>62</v>
      </c>
      <c r="BU1" t="s">
        <v>63</v>
      </c>
      <c r="BV1" t="s">
        <v>64</v>
      </c>
      <c r="BW1" t="s">
        <v>124</v>
      </c>
      <c r="BX1" t="s">
        <v>65</v>
      </c>
      <c r="BY1" t="s">
        <v>66</v>
      </c>
      <c r="BZ1" t="s">
        <v>125</v>
      </c>
      <c r="CA1" t="s">
        <v>67</v>
      </c>
      <c r="CB1" t="s">
        <v>68</v>
      </c>
      <c r="CC1" t="s">
        <v>136</v>
      </c>
      <c r="CD1" t="s">
        <v>137</v>
      </c>
      <c r="CE1" t="s">
        <v>138</v>
      </c>
      <c r="CF1" t="s">
        <v>139</v>
      </c>
      <c r="CG1" s="1" t="s">
        <v>75</v>
      </c>
      <c r="CH1" s="1" t="s">
        <v>76</v>
      </c>
      <c r="CI1" s="1" t="s">
        <v>77</v>
      </c>
      <c r="CJ1" s="1" t="s">
        <v>78</v>
      </c>
      <c r="CK1" s="1" t="s">
        <v>79</v>
      </c>
      <c r="CL1" s="1" t="s">
        <v>80</v>
      </c>
      <c r="CM1" s="1" t="s">
        <v>81</v>
      </c>
      <c r="CN1" s="1" t="s">
        <v>82</v>
      </c>
      <c r="CO1" s="1" t="s">
        <v>83</v>
      </c>
      <c r="CP1" s="1" t="s">
        <v>84</v>
      </c>
      <c r="CQ1" s="1" t="s">
        <v>85</v>
      </c>
      <c r="CR1" s="1" t="s">
        <v>86</v>
      </c>
      <c r="CS1" s="1" t="s">
        <v>140</v>
      </c>
      <c r="CT1" s="1" t="s">
        <v>141</v>
      </c>
      <c r="CU1" s="1" t="s">
        <v>142</v>
      </c>
      <c r="CV1" s="1" t="s">
        <v>87</v>
      </c>
      <c r="CW1" s="1" t="s">
        <v>143</v>
      </c>
      <c r="CX1" s="1" t="s">
        <v>28</v>
      </c>
      <c r="CY1">
        <v>1</v>
      </c>
      <c r="CZ1" t="s">
        <v>144</v>
      </c>
      <c r="DA1" t="s">
        <v>94</v>
      </c>
      <c r="DB1">
        <v>3</v>
      </c>
      <c r="DC1" t="s">
        <v>145</v>
      </c>
      <c r="DD1" t="s">
        <v>146</v>
      </c>
      <c r="DE1">
        <v>6</v>
      </c>
      <c r="DF1" t="s">
        <v>95</v>
      </c>
      <c r="DG1" t="s">
        <v>147</v>
      </c>
      <c r="DH1">
        <v>10</v>
      </c>
      <c r="DI1" t="s">
        <v>148</v>
      </c>
      <c r="DJ1" t="s">
        <v>96</v>
      </c>
      <c r="DK1">
        <v>20</v>
      </c>
      <c r="DL1" t="s">
        <v>149</v>
      </c>
      <c r="DM1" t="s">
        <v>88</v>
      </c>
      <c r="DN1" t="s">
        <v>89</v>
      </c>
      <c r="DO1" s="2" t="s">
        <v>90</v>
      </c>
      <c r="DP1" t="s">
        <v>150</v>
      </c>
      <c r="DQ1" t="s">
        <v>97</v>
      </c>
      <c r="DR1" s="1" t="s">
        <v>91</v>
      </c>
      <c r="DS1" s="1" t="s">
        <v>92</v>
      </c>
      <c r="DT1" s="1" t="s">
        <v>151</v>
      </c>
      <c r="DU1" t="s">
        <v>152</v>
      </c>
      <c r="DV1" t="s">
        <v>98</v>
      </c>
      <c r="DW1" t="s">
        <v>153</v>
      </c>
      <c r="DX1" t="s">
        <v>154</v>
      </c>
      <c r="DY1" t="s">
        <v>155</v>
      </c>
      <c r="DZ1" t="s">
        <v>156</v>
      </c>
      <c r="EA1" t="s">
        <v>157</v>
      </c>
      <c r="EB1" t="s">
        <v>93</v>
      </c>
      <c r="EC1" t="s">
        <v>158</v>
      </c>
      <c r="ED1" t="s">
        <v>159</v>
      </c>
      <c r="EE1" t="s">
        <v>160</v>
      </c>
      <c r="EF1" t="s">
        <v>161</v>
      </c>
      <c r="EG1" t="s">
        <v>162</v>
      </c>
      <c r="EH1" t="s">
        <v>163</v>
      </c>
      <c r="EI1" t="s">
        <v>164</v>
      </c>
      <c r="EJ1" t="s">
        <v>165</v>
      </c>
      <c r="EK1"/>
    </row>
    <row r="2" spans="1:147" s="14" customFormat="1" ht="71.55" customHeight="1" x14ac:dyDescent="0.3">
      <c r="A2" s="22"/>
      <c r="B2" s="20"/>
      <c r="C2" s="21">
        <v>3</v>
      </c>
      <c r="D2" s="21">
        <v>19</v>
      </c>
      <c r="T2" s="16"/>
      <c r="U2" s="16"/>
      <c r="V2" s="16"/>
      <c r="AB2" s="17"/>
    </row>
    <row r="3" spans="1:147" ht="90" x14ac:dyDescent="0.3">
      <c r="D3" s="30" t="s">
        <v>1560</v>
      </c>
      <c r="E3" t="s">
        <v>261</v>
      </c>
      <c r="F3" t="s">
        <v>262</v>
      </c>
      <c r="G3">
        <v>188</v>
      </c>
      <c r="H3">
        <v>-1.98</v>
      </c>
      <c r="I3" t="s">
        <v>1514</v>
      </c>
      <c r="J3">
        <v>827019750000</v>
      </c>
      <c r="K3">
        <v>18.739999999999998</v>
      </c>
      <c r="L3">
        <v>4.18</v>
      </c>
      <c r="M3" t="s">
        <v>171</v>
      </c>
      <c r="N3" t="s">
        <v>1515</v>
      </c>
      <c r="O3" t="s">
        <v>1516</v>
      </c>
      <c r="P3" t="s">
        <v>1517</v>
      </c>
      <c r="Q3">
        <v>40.1</v>
      </c>
      <c r="R3" t="s">
        <v>1518</v>
      </c>
      <c r="S3">
        <v>31145474000</v>
      </c>
      <c r="T3" s="31">
        <v>0.77049999999999996</v>
      </c>
      <c r="U3" t="s">
        <v>1519</v>
      </c>
      <c r="V3">
        <v>3893035400</v>
      </c>
      <c r="W3">
        <v>4397223900</v>
      </c>
      <c r="X3">
        <v>3.33</v>
      </c>
      <c r="Y3">
        <v>0.46</v>
      </c>
      <c r="Z3">
        <v>11.03</v>
      </c>
      <c r="AA3" t="s">
        <v>1520</v>
      </c>
      <c r="AB3" t="s">
        <v>1521</v>
      </c>
      <c r="AC3" t="s">
        <v>1522</v>
      </c>
      <c r="AD3" t="s">
        <v>1523</v>
      </c>
      <c r="AE3" t="s">
        <v>1524</v>
      </c>
      <c r="AF3">
        <v>-1833890000</v>
      </c>
      <c r="AG3" t="s">
        <v>1525</v>
      </c>
      <c r="AH3" t="s">
        <v>1526</v>
      </c>
      <c r="AI3" t="s">
        <v>1527</v>
      </c>
      <c r="AJ3" t="s">
        <v>1528</v>
      </c>
      <c r="AK3" t="s">
        <v>1529</v>
      </c>
      <c r="AL3" t="s">
        <v>1530</v>
      </c>
      <c r="AM3" t="s">
        <v>1531</v>
      </c>
      <c r="AN3" t="s">
        <v>316</v>
      </c>
      <c r="AO3" t="s">
        <v>1532</v>
      </c>
      <c r="AP3" t="s">
        <v>1533</v>
      </c>
      <c r="AQ3" t="s">
        <v>1534</v>
      </c>
      <c r="AR3" t="s">
        <v>1535</v>
      </c>
      <c r="AS3" t="s">
        <v>316</v>
      </c>
      <c r="AT3" t="s">
        <v>1536</v>
      </c>
      <c r="AU3" t="s">
        <v>1537</v>
      </c>
      <c r="AV3" t="s">
        <v>1538</v>
      </c>
      <c r="AW3" t="s">
        <v>1539</v>
      </c>
      <c r="AX3" t="s">
        <v>1540</v>
      </c>
      <c r="AY3" t="s">
        <v>1541</v>
      </c>
      <c r="AZ3" t="s">
        <v>1542</v>
      </c>
      <c r="BA3" t="s">
        <v>1543</v>
      </c>
      <c r="BB3" t="s">
        <v>1544</v>
      </c>
      <c r="BC3" t="s">
        <v>1545</v>
      </c>
      <c r="BD3" t="s">
        <v>1546</v>
      </c>
      <c r="BE3" t="s">
        <v>1547</v>
      </c>
      <c r="BF3" t="s">
        <v>1548</v>
      </c>
      <c r="BG3" t="s">
        <v>1549</v>
      </c>
      <c r="BH3" t="s">
        <v>1550</v>
      </c>
      <c r="BI3" t="s">
        <v>1551</v>
      </c>
      <c r="BJ3" t="s">
        <v>1552</v>
      </c>
      <c r="BK3" t="s">
        <v>1553</v>
      </c>
      <c r="BL3" t="s">
        <v>1554</v>
      </c>
      <c r="BM3" t="s">
        <v>1555</v>
      </c>
      <c r="BN3" t="s">
        <v>1556</v>
      </c>
      <c r="BO3">
        <v>3.26</v>
      </c>
      <c r="BP3">
        <v>13.68</v>
      </c>
      <c r="BQ3">
        <v>7.07</v>
      </c>
      <c r="BR3">
        <v>5.8</v>
      </c>
      <c r="BS3">
        <v>21.52</v>
      </c>
      <c r="BT3">
        <v>11.27</v>
      </c>
      <c r="BU3" t="s">
        <v>1557</v>
      </c>
      <c r="BV3" t="s">
        <v>220</v>
      </c>
      <c r="BW3">
        <v>21.63</v>
      </c>
      <c r="BX3">
        <v>26.28</v>
      </c>
      <c r="BY3">
        <v>27.76</v>
      </c>
      <c r="BZ3">
        <v>11.35</v>
      </c>
      <c r="CA3">
        <v>13.7</v>
      </c>
      <c r="CB3">
        <v>12.13</v>
      </c>
      <c r="CC3">
        <v>-0.78</v>
      </c>
      <c r="CD3">
        <v>18.739999999999998</v>
      </c>
      <c r="CE3" t="s">
        <v>1558</v>
      </c>
      <c r="CF3" t="s">
        <v>1559</v>
      </c>
      <c r="CG3" s="32">
        <v>8.2798426603949926E-2</v>
      </c>
      <c r="CH3" s="33">
        <v>0.10658679966044142</v>
      </c>
      <c r="CI3" s="32">
        <v>1.5207431316375732</v>
      </c>
      <c r="CJ3" s="32">
        <v>1.5905921459197998</v>
      </c>
      <c r="CK3" s="32">
        <v>9.8956041038036346E-2</v>
      </c>
      <c r="CL3" s="32">
        <v>0.54631727933883667</v>
      </c>
      <c r="CM3" s="32">
        <v>0.48077213764190674</v>
      </c>
      <c r="CN3" s="33">
        <v>0.92888087034225464</v>
      </c>
      <c r="CO3" s="33">
        <v>1.8534836769104004</v>
      </c>
      <c r="CP3" s="33">
        <v>0.22434212267398834</v>
      </c>
      <c r="CQ3" s="33">
        <v>0.34632414579391479</v>
      </c>
      <c r="CR3" s="33">
        <v>-0.12661166489124298</v>
      </c>
      <c r="CS3">
        <v>77.450810076793402</v>
      </c>
      <c r="CT3">
        <v>0.91389958691383066</v>
      </c>
      <c r="CU3">
        <v>1.3404255319148937</v>
      </c>
      <c r="CV3" s="32">
        <v>0.84747614711523056</v>
      </c>
      <c r="CW3" s="33">
        <v>0.64528383016586299</v>
      </c>
      <c r="CX3">
        <v>0.06</v>
      </c>
      <c r="CY3">
        <v>20.44036713956682</v>
      </c>
      <c r="CZ3">
        <v>53557636344.06031</v>
      </c>
      <c r="DA3">
        <v>0.84747614711523056</v>
      </c>
      <c r="DB3">
        <v>3.733824499954749</v>
      </c>
      <c r="DC3">
        <v>293194752461.79016</v>
      </c>
      <c r="DD3">
        <v>0.80510233975946899</v>
      </c>
      <c r="DE3">
        <v>0.73821276344115039</v>
      </c>
      <c r="DF3">
        <v>1482956952541.5981</v>
      </c>
      <c r="DG3">
        <v>0.74577900946140285</v>
      </c>
      <c r="DH3">
        <v>0.13413920312564012</v>
      </c>
      <c r="DI3">
        <v>8161206600986.1777</v>
      </c>
      <c r="DJ3">
        <v>0.67798091769218449</v>
      </c>
      <c r="DK3">
        <v>3.4439335937894795E-3</v>
      </c>
      <c r="DL3">
        <v>317874233107794.06</v>
      </c>
      <c r="DM3">
        <v>0.59323330298066135</v>
      </c>
      <c r="DN3">
        <v>30729000000.000004</v>
      </c>
      <c r="DO3">
        <v>0.84747614711523056</v>
      </c>
      <c r="DP3">
        <v>1094737750000</v>
      </c>
      <c r="DQ3">
        <v>135188690000</v>
      </c>
      <c r="DR3">
        <v>2218</v>
      </c>
      <c r="DS3">
        <v>-0.76467772051128069</v>
      </c>
      <c r="DT3">
        <v>-0.53869703050542161</v>
      </c>
      <c r="DU3" s="34">
        <v>0.40999999999999992</v>
      </c>
      <c r="DV3">
        <v>1.4066666666666665</v>
      </c>
      <c r="DW3">
        <v>1.8166666666666664</v>
      </c>
      <c r="DX3">
        <v>3.0309880952380954</v>
      </c>
      <c r="DY3">
        <v>0.35217948717948544</v>
      </c>
      <c r="DZ3">
        <v>3.0034762286324788</v>
      </c>
      <c r="EA3">
        <v>38</v>
      </c>
      <c r="EB3">
        <v>3.0034504133719677</v>
      </c>
      <c r="EC3">
        <v>3</v>
      </c>
      <c r="ED3">
        <v>2.3878702196629104E-2</v>
      </c>
      <c r="EE3">
        <v>0.21286157386709373</v>
      </c>
      <c r="EF3" s="35">
        <v>4.6809999999999997E-2</v>
      </c>
      <c r="EG3">
        <v>6.6609999999999989E-2</v>
      </c>
      <c r="EH3">
        <v>24.112179487179485</v>
      </c>
      <c r="EI3">
        <v>-1</v>
      </c>
      <c r="EJ3">
        <v>0</v>
      </c>
      <c r="EK3">
        <v>1</v>
      </c>
      <c r="EL3" s="36">
        <v>45378</v>
      </c>
      <c r="EM3">
        <v>1.19</v>
      </c>
      <c r="EN3">
        <v>-1.36</v>
      </c>
      <c r="EO3">
        <v>-9.1999999999999998E-3</v>
      </c>
      <c r="EP3">
        <v>3.79</v>
      </c>
      <c r="EQ3">
        <v>-1.98</v>
      </c>
    </row>
    <row r="4" spans="1:147" ht="90" x14ac:dyDescent="0.3">
      <c r="B4" s="30"/>
      <c r="C4" s="30"/>
      <c r="D4" s="30" t="s">
        <v>1602</v>
      </c>
      <c r="E4" t="s">
        <v>263</v>
      </c>
      <c r="F4" t="s">
        <v>264</v>
      </c>
      <c r="G4">
        <v>260.51</v>
      </c>
      <c r="H4">
        <v>0.97</v>
      </c>
      <c r="I4" t="s">
        <v>1561</v>
      </c>
      <c r="J4">
        <v>758381830000</v>
      </c>
      <c r="K4">
        <v>38.03</v>
      </c>
      <c r="L4">
        <v>6.56</v>
      </c>
      <c r="M4" t="s">
        <v>265</v>
      </c>
      <c r="N4" t="s">
        <v>1562</v>
      </c>
      <c r="O4" t="s">
        <v>1563</v>
      </c>
      <c r="P4" t="s">
        <v>1564</v>
      </c>
      <c r="Q4">
        <v>79.83</v>
      </c>
      <c r="R4" t="s">
        <v>1565</v>
      </c>
      <c r="S4">
        <v>4130063000</v>
      </c>
      <c r="T4" s="31">
        <v>4.109</v>
      </c>
      <c r="U4" t="s">
        <v>1566</v>
      </c>
      <c r="V4">
        <v>1164764600</v>
      </c>
      <c r="W4">
        <v>2911142900</v>
      </c>
      <c r="X4">
        <v>4.34</v>
      </c>
      <c r="Y4">
        <v>0.23</v>
      </c>
      <c r="Z4">
        <v>3.64</v>
      </c>
      <c r="AA4" t="s">
        <v>1567</v>
      </c>
      <c r="AB4" t="s">
        <v>1568</v>
      </c>
      <c r="AC4" t="s">
        <v>1569</v>
      </c>
      <c r="AD4" t="s">
        <v>1570</v>
      </c>
      <c r="AE4" t="s">
        <v>1571</v>
      </c>
      <c r="AF4">
        <v>5910000</v>
      </c>
      <c r="AG4" t="s">
        <v>1572</v>
      </c>
      <c r="AH4" t="s">
        <v>1573</v>
      </c>
      <c r="AI4" t="s">
        <v>1574</v>
      </c>
      <c r="AJ4" t="s">
        <v>1575</v>
      </c>
      <c r="AK4" t="s">
        <v>1576</v>
      </c>
      <c r="AL4" t="s">
        <v>316</v>
      </c>
      <c r="AM4" t="s">
        <v>1577</v>
      </c>
      <c r="AN4" t="s">
        <v>316</v>
      </c>
      <c r="AO4" t="s">
        <v>1578</v>
      </c>
      <c r="AP4" t="s">
        <v>1579</v>
      </c>
      <c r="AQ4" t="s">
        <v>1580</v>
      </c>
      <c r="AR4" t="s">
        <v>1581</v>
      </c>
      <c r="AS4" t="s">
        <v>316</v>
      </c>
      <c r="AT4" t="s">
        <v>1582</v>
      </c>
      <c r="AU4" t="s">
        <v>1583</v>
      </c>
      <c r="AV4" t="s">
        <v>1584</v>
      </c>
      <c r="AW4" t="s">
        <v>1585</v>
      </c>
      <c r="AX4" t="s">
        <v>1586</v>
      </c>
      <c r="AY4" t="s">
        <v>1587</v>
      </c>
      <c r="AZ4" t="s">
        <v>1588</v>
      </c>
      <c r="BA4" t="s">
        <v>1589</v>
      </c>
      <c r="BB4" t="s">
        <v>1590</v>
      </c>
      <c r="BC4" t="s">
        <v>1591</v>
      </c>
      <c r="BD4" t="s">
        <v>1592</v>
      </c>
      <c r="BE4" t="s">
        <v>1593</v>
      </c>
      <c r="BF4" t="s">
        <v>309</v>
      </c>
      <c r="BG4" t="s">
        <v>1594</v>
      </c>
      <c r="BH4" t="s">
        <v>1595</v>
      </c>
      <c r="BI4" t="s">
        <v>1565</v>
      </c>
      <c r="BJ4" t="s">
        <v>1596</v>
      </c>
      <c r="BK4" t="s">
        <v>1587</v>
      </c>
      <c r="BL4" t="s">
        <v>1566</v>
      </c>
      <c r="BM4" t="s">
        <v>1597</v>
      </c>
      <c r="BN4" t="s">
        <v>1592</v>
      </c>
      <c r="BO4">
        <v>12.23</v>
      </c>
      <c r="BP4">
        <v>3.94</v>
      </c>
      <c r="BQ4">
        <v>6.75</v>
      </c>
      <c r="BR4">
        <v>16.14</v>
      </c>
      <c r="BS4">
        <v>3.73</v>
      </c>
      <c r="BT4">
        <v>7.43</v>
      </c>
      <c r="BU4" t="s">
        <v>1598</v>
      </c>
      <c r="BV4" t="s">
        <v>1599</v>
      </c>
      <c r="BW4">
        <v>17.86</v>
      </c>
      <c r="BX4">
        <v>13.02</v>
      </c>
      <c r="BY4">
        <v>19.38</v>
      </c>
      <c r="BZ4">
        <v>3.64</v>
      </c>
      <c r="CA4">
        <v>1.84</v>
      </c>
      <c r="CB4">
        <v>3.84</v>
      </c>
      <c r="CC4">
        <v>0.85</v>
      </c>
      <c r="CD4">
        <v>3.79</v>
      </c>
      <c r="CE4" t="s">
        <v>1600</v>
      </c>
      <c r="CF4" t="s">
        <v>1601</v>
      </c>
      <c r="CG4" s="32">
        <v>0.79833307893752337</v>
      </c>
      <c r="CH4" s="33">
        <v>4.1114641089108908</v>
      </c>
      <c r="CI4" s="32">
        <v>0.96195554733276367</v>
      </c>
      <c r="CJ4" s="32">
        <v>0.38023483753204346</v>
      </c>
      <c r="CK4" s="32">
        <v>0.22592152655124664</v>
      </c>
      <c r="CL4" s="32">
        <v>-1.7807798460125923E-2</v>
      </c>
      <c r="CM4" s="32">
        <v>0.2279185950756073</v>
      </c>
      <c r="CN4" s="33">
        <v>4.4587850570678711</v>
      </c>
      <c r="CO4" s="33">
        <v>-0.28082194924354553</v>
      </c>
      <c r="CP4" s="33">
        <v>1.6232962608337402</v>
      </c>
      <c r="CQ4" s="33">
        <v>-0.41942447423934937</v>
      </c>
      <c r="CR4" s="33">
        <v>-0.31628134846687317</v>
      </c>
      <c r="CS4">
        <v>140.61033280800964</v>
      </c>
      <c r="CT4">
        <v>3.9536761107854455</v>
      </c>
      <c r="CU4">
        <v>0.43837088787378603</v>
      </c>
      <c r="CV4" s="32">
        <v>0.35564454160630704</v>
      </c>
      <c r="CW4" s="33">
        <v>1.0131107091903686</v>
      </c>
      <c r="CX4">
        <v>0.06</v>
      </c>
      <c r="CY4">
        <v>49.549007118342111</v>
      </c>
      <c r="CZ4">
        <v>21258041104.320789</v>
      </c>
      <c r="DA4">
        <v>0.35564454160630704</v>
      </c>
      <c r="DB4">
        <v>13.023622098040365</v>
      </c>
      <c r="DC4">
        <v>80877256885.278473</v>
      </c>
      <c r="DD4">
        <v>0.33786231452599169</v>
      </c>
      <c r="DE4">
        <v>4.6751398781258278</v>
      </c>
      <c r="DF4">
        <v>225301243911.07062</v>
      </c>
      <c r="DG4">
        <v>0.31296719661355021</v>
      </c>
      <c r="DH4">
        <v>1.9002626179578748</v>
      </c>
      <c r="DI4">
        <v>554299611035.84155</v>
      </c>
      <c r="DJ4">
        <v>0.28451563328504564</v>
      </c>
      <c r="DK4">
        <v>0.37456940279417628</v>
      </c>
      <c r="DL4">
        <v>2812068530271.2524</v>
      </c>
      <c r="DM4">
        <v>0.24895117912441492</v>
      </c>
      <c r="DN4">
        <v>16622000000</v>
      </c>
      <c r="DO4">
        <v>0.35564454160630704</v>
      </c>
      <c r="DP4">
        <v>1053314830000</v>
      </c>
      <c r="DQ4">
        <v>-117077450000</v>
      </c>
      <c r="DR4">
        <v>1101</v>
      </c>
      <c r="DS4">
        <v>0.44268853733121633</v>
      </c>
      <c r="DT4">
        <v>3.0983533997205219</v>
      </c>
      <c r="DU4" s="34">
        <v>0.93666666666666665</v>
      </c>
      <c r="DV4">
        <v>0.64</v>
      </c>
      <c r="DW4">
        <v>1.5766666666666667</v>
      </c>
      <c r="DX4">
        <v>1.0379</v>
      </c>
      <c r="DY4">
        <v>0.38556478494623647</v>
      </c>
      <c r="DZ4">
        <v>1.0051379053494625</v>
      </c>
      <c r="EA4">
        <v>300</v>
      </c>
      <c r="EB4">
        <v>1.0048309814934611</v>
      </c>
      <c r="EC4">
        <v>1</v>
      </c>
      <c r="ED4">
        <v>1.7323127627984186E-2</v>
      </c>
      <c r="EE4">
        <v>0.12778486415077733</v>
      </c>
      <c r="EF4" s="35">
        <v>-1.012718</v>
      </c>
      <c r="EG4">
        <v>-1.00301</v>
      </c>
      <c r="EH4">
        <v>25.135564784946236</v>
      </c>
      <c r="EI4" t="s">
        <v>626</v>
      </c>
      <c r="EJ4">
        <v>0</v>
      </c>
      <c r="EK4">
        <v>1</v>
      </c>
      <c r="EL4" s="36">
        <v>45089</v>
      </c>
      <c r="EM4" s="37">
        <v>9.9000000000000008E-3</v>
      </c>
      <c r="EN4" s="37">
        <v>-1.66</v>
      </c>
      <c r="EO4" s="37">
        <v>-0.6</v>
      </c>
      <c r="EP4" s="37">
        <v>1.18E-2</v>
      </c>
      <c r="EQ4" s="37">
        <v>0.97</v>
      </c>
    </row>
    <row r="5" spans="1:147" ht="191.25" x14ac:dyDescent="0.3">
      <c r="B5" s="30" t="s">
        <v>1603</v>
      </c>
      <c r="C5" s="30" t="s">
        <v>848</v>
      </c>
      <c r="D5" s="30" t="s">
        <v>894</v>
      </c>
      <c r="E5" t="s">
        <v>217</v>
      </c>
      <c r="F5" t="s">
        <v>218</v>
      </c>
      <c r="G5">
        <v>39.89</v>
      </c>
      <c r="H5">
        <v>0.68</v>
      </c>
      <c r="I5" t="s">
        <v>849</v>
      </c>
      <c r="J5">
        <v>80464823000</v>
      </c>
      <c r="K5">
        <v>16.27</v>
      </c>
      <c r="L5">
        <v>1.71</v>
      </c>
      <c r="M5" t="s">
        <v>168</v>
      </c>
      <c r="N5" t="s">
        <v>850</v>
      </c>
      <c r="O5" t="s">
        <v>851</v>
      </c>
      <c r="P5" t="s">
        <v>852</v>
      </c>
      <c r="Q5">
        <v>-6.99</v>
      </c>
      <c r="R5" t="s">
        <v>853</v>
      </c>
      <c r="S5">
        <v>6009847000</v>
      </c>
      <c r="T5" s="31">
        <v>-0.59379999999999999</v>
      </c>
      <c r="U5" t="s">
        <v>854</v>
      </c>
      <c r="V5">
        <v>1207032780</v>
      </c>
      <c r="W5">
        <v>2017167800</v>
      </c>
      <c r="X5">
        <v>1.72</v>
      </c>
      <c r="Y5">
        <v>0.3</v>
      </c>
      <c r="Z5">
        <v>22.89</v>
      </c>
      <c r="AA5" t="s">
        <v>855</v>
      </c>
      <c r="AB5" t="s">
        <v>856</v>
      </c>
      <c r="AC5" t="s">
        <v>857</v>
      </c>
      <c r="AD5" t="s">
        <v>858</v>
      </c>
      <c r="AE5" t="s">
        <v>859</v>
      </c>
      <c r="AF5">
        <v>379613690</v>
      </c>
      <c r="AG5" t="s">
        <v>860</v>
      </c>
      <c r="AH5" t="s">
        <v>861</v>
      </c>
      <c r="AI5" t="s">
        <v>862</v>
      </c>
      <c r="AJ5" t="s">
        <v>863</v>
      </c>
      <c r="AK5" t="s">
        <v>864</v>
      </c>
      <c r="AL5" t="s">
        <v>316</v>
      </c>
      <c r="AM5" t="s">
        <v>865</v>
      </c>
      <c r="AN5" t="s">
        <v>316</v>
      </c>
      <c r="AO5" t="s">
        <v>866</v>
      </c>
      <c r="AP5" t="s">
        <v>867</v>
      </c>
      <c r="AQ5" t="s">
        <v>868</v>
      </c>
      <c r="AR5" t="s">
        <v>869</v>
      </c>
      <c r="AS5" t="s">
        <v>316</v>
      </c>
      <c r="AT5" t="s">
        <v>870</v>
      </c>
      <c r="AU5" t="s">
        <v>871</v>
      </c>
      <c r="AV5" t="s">
        <v>872</v>
      </c>
      <c r="AW5" t="s">
        <v>873</v>
      </c>
      <c r="AX5" t="s">
        <v>874</v>
      </c>
      <c r="AY5" t="s">
        <v>875</v>
      </c>
      <c r="AZ5" t="s">
        <v>876</v>
      </c>
      <c r="BA5" t="s">
        <v>877</v>
      </c>
      <c r="BB5" t="s">
        <v>878</v>
      </c>
      <c r="BC5" t="s">
        <v>879</v>
      </c>
      <c r="BD5" t="s">
        <v>880</v>
      </c>
      <c r="BE5" t="s">
        <v>881</v>
      </c>
      <c r="BF5" t="s">
        <v>882</v>
      </c>
      <c r="BG5" t="s">
        <v>883</v>
      </c>
      <c r="BH5" t="s">
        <v>884</v>
      </c>
      <c r="BI5" t="s">
        <v>885</v>
      </c>
      <c r="BJ5" t="s">
        <v>886</v>
      </c>
      <c r="BK5" t="s">
        <v>887</v>
      </c>
      <c r="BL5" t="s">
        <v>888</v>
      </c>
      <c r="BM5" t="s">
        <v>889</v>
      </c>
      <c r="BN5" t="s">
        <v>890</v>
      </c>
      <c r="BO5">
        <v>3.39</v>
      </c>
      <c r="BP5">
        <v>20.48</v>
      </c>
      <c r="BQ5">
        <v>7.25</v>
      </c>
      <c r="BR5">
        <v>5.31</v>
      </c>
      <c r="BS5">
        <v>31.04</v>
      </c>
      <c r="BT5">
        <v>11.07</v>
      </c>
      <c r="BU5" t="s">
        <v>891</v>
      </c>
      <c r="BV5" t="s">
        <v>344</v>
      </c>
      <c r="BW5">
        <v>22.6</v>
      </c>
      <c r="BX5">
        <v>39.81</v>
      </c>
      <c r="BY5">
        <v>21.38</v>
      </c>
      <c r="BZ5">
        <v>32.22</v>
      </c>
      <c r="CA5">
        <v>48.53</v>
      </c>
      <c r="CB5">
        <v>19.25</v>
      </c>
      <c r="CC5">
        <v>11.55</v>
      </c>
      <c r="CD5">
        <v>10.35</v>
      </c>
      <c r="CE5" t="s">
        <v>892</v>
      </c>
      <c r="CF5" t="s">
        <v>893</v>
      </c>
      <c r="CG5" s="32">
        <v>-0.42762758201701095</v>
      </c>
      <c r="CH5" s="33">
        <v>-0.97880294390664369</v>
      </c>
      <c r="CI5" s="32">
        <v>2.7469089031219482</v>
      </c>
      <c r="CJ5" s="32">
        <v>1.0206373929977417</v>
      </c>
      <c r="CK5" s="32">
        <v>3.4069564193487167E-2</v>
      </c>
      <c r="CL5" s="32">
        <v>6.754593551158905E-2</v>
      </c>
      <c r="CM5" s="32">
        <v>0.14168381690979004</v>
      </c>
      <c r="CN5" s="33">
        <v>2.9219586849212646</v>
      </c>
      <c r="CO5" s="33">
        <v>4.1004881858825684</v>
      </c>
      <c r="CP5" s="33">
        <v>1.8631285429000854</v>
      </c>
      <c r="CQ5" s="33">
        <v>-0.73303502798080444</v>
      </c>
      <c r="CR5" s="33">
        <v>-8.7134107947349548E-2</v>
      </c>
      <c r="CS5">
        <v>16.13329784461153</v>
      </c>
      <c r="CT5">
        <v>0.20112090320041018</v>
      </c>
      <c r="CU5">
        <v>2.5068939583855601</v>
      </c>
      <c r="CV5" s="32">
        <v>0.8021691225469112</v>
      </c>
      <c r="CW5" s="33">
        <v>1.6130812555551528</v>
      </c>
      <c r="CX5">
        <v>0.06</v>
      </c>
      <c r="CY5">
        <v>1.8691247715490646</v>
      </c>
      <c r="CZ5">
        <v>34860071404.435722</v>
      </c>
      <c r="DA5">
        <v>0.8021691225469112</v>
      </c>
      <c r="DB5">
        <v>0.35234045086325194</v>
      </c>
      <c r="DC5">
        <v>184928590629.7731</v>
      </c>
      <c r="DD5">
        <v>0.7620606664195656</v>
      </c>
      <c r="DE5">
        <v>7.3483309177267961E-2</v>
      </c>
      <c r="DF5">
        <v>886702350908.23254</v>
      </c>
      <c r="DG5">
        <v>0.70590882784128184</v>
      </c>
      <c r="DH5">
        <v>1.43575403738994E-2</v>
      </c>
      <c r="DI5">
        <v>4538230177534.4844</v>
      </c>
      <c r="DJ5">
        <v>0.64173529803752904</v>
      </c>
      <c r="DK5">
        <v>4.4078876334309171E-4</v>
      </c>
      <c r="DL5">
        <v>147820970992592.78</v>
      </c>
      <c r="DM5">
        <v>0.56151838578283775</v>
      </c>
      <c r="DN5">
        <v>20504000000</v>
      </c>
      <c r="DO5">
        <v>0.8021691225469112</v>
      </c>
      <c r="DP5">
        <v>65157823000</v>
      </c>
      <c r="DQ5">
        <v>11198733000</v>
      </c>
      <c r="DR5">
        <v>967</v>
      </c>
      <c r="DS5">
        <v>-1.2297967045639222</v>
      </c>
      <c r="DT5">
        <v>-2.5918841994617967</v>
      </c>
      <c r="DU5" s="34">
        <v>0.16</v>
      </c>
      <c r="DV5">
        <v>0.59666666666666679</v>
      </c>
      <c r="DW5">
        <v>0.75666666666666682</v>
      </c>
      <c r="DX5">
        <v>5.8961038961038961</v>
      </c>
      <c r="DY5">
        <v>0.51094247246022184</v>
      </c>
      <c r="DZ5">
        <v>5.1711042935033147</v>
      </c>
      <c r="EA5">
        <v>624</v>
      </c>
      <c r="EB5">
        <v>5.1502346533262102</v>
      </c>
      <c r="EC5">
        <v>5</v>
      </c>
      <c r="ED5">
        <v>7.7336154186082084E-2</v>
      </c>
      <c r="EE5">
        <v>0.40502332032069915</v>
      </c>
      <c r="EF5" s="35">
        <v>-1.0522</v>
      </c>
      <c r="EG5">
        <v>-1.0589999999999999</v>
      </c>
      <c r="EH5">
        <v>32.190942472460222</v>
      </c>
      <c r="EI5" t="s">
        <v>532</v>
      </c>
      <c r="EJ5">
        <v>1</v>
      </c>
      <c r="EK5">
        <v>1</v>
      </c>
      <c r="EL5" s="36">
        <v>45385</v>
      </c>
      <c r="EM5" s="37">
        <v>0.48</v>
      </c>
      <c r="EN5" s="37">
        <v>1.2</v>
      </c>
      <c r="EO5" s="37">
        <v>8.2799999999999994</v>
      </c>
      <c r="EP5" s="37">
        <v>0.64</v>
      </c>
      <c r="EQ5" s="37">
        <v>0.68</v>
      </c>
    </row>
    <row r="6" spans="1:147" ht="78.75" x14ac:dyDescent="0.3">
      <c r="B6" s="30"/>
      <c r="C6" s="30"/>
      <c r="D6" s="30" t="s">
        <v>1647</v>
      </c>
      <c r="E6" t="s">
        <v>266</v>
      </c>
      <c r="F6" t="s">
        <v>267</v>
      </c>
      <c r="G6">
        <v>38.840000000000003</v>
      </c>
      <c r="H6">
        <v>-5.41</v>
      </c>
      <c r="I6" t="s">
        <v>1604</v>
      </c>
      <c r="J6">
        <v>79455823000</v>
      </c>
      <c r="K6">
        <v>18.62</v>
      </c>
      <c r="L6">
        <v>2.36</v>
      </c>
      <c r="M6" t="s">
        <v>171</v>
      </c>
      <c r="N6" t="s">
        <v>1605</v>
      </c>
      <c r="O6" t="s">
        <v>1606</v>
      </c>
      <c r="P6" t="s">
        <v>1607</v>
      </c>
      <c r="Q6">
        <v>46.31</v>
      </c>
      <c r="R6" t="s">
        <v>1608</v>
      </c>
      <c r="S6">
        <v>3424389200</v>
      </c>
      <c r="T6" s="31">
        <v>0.28470000000000001</v>
      </c>
      <c r="U6" t="s">
        <v>1609</v>
      </c>
      <c r="V6">
        <v>1861566300</v>
      </c>
      <c r="W6">
        <v>2045721500</v>
      </c>
      <c r="X6">
        <v>2.5099999999999998</v>
      </c>
      <c r="Y6">
        <v>0.4</v>
      </c>
      <c r="Z6">
        <v>10.92</v>
      </c>
      <c r="AA6" t="s">
        <v>1610</v>
      </c>
      <c r="AB6" t="s">
        <v>1611</v>
      </c>
      <c r="AC6" t="s">
        <v>553</v>
      </c>
      <c r="AD6" t="s">
        <v>1210</v>
      </c>
      <c r="AE6" t="s">
        <v>1612</v>
      </c>
      <c r="AF6">
        <v>102342075</v>
      </c>
      <c r="AG6" t="s">
        <v>1613</v>
      </c>
      <c r="AH6" t="s">
        <v>1614</v>
      </c>
      <c r="AI6" t="s">
        <v>1615</v>
      </c>
      <c r="AJ6" t="s">
        <v>1616</v>
      </c>
      <c r="AK6" t="s">
        <v>1617</v>
      </c>
      <c r="AL6" t="s">
        <v>1618</v>
      </c>
      <c r="AM6" t="s">
        <v>1619</v>
      </c>
      <c r="AN6" t="s">
        <v>316</v>
      </c>
      <c r="AO6" t="s">
        <v>1620</v>
      </c>
      <c r="AP6" t="s">
        <v>1621</v>
      </c>
      <c r="AQ6" t="s">
        <v>1622</v>
      </c>
      <c r="AR6" t="s">
        <v>1623</v>
      </c>
      <c r="AS6" t="s">
        <v>316</v>
      </c>
      <c r="AT6" t="s">
        <v>1624</v>
      </c>
      <c r="AU6" t="s">
        <v>1625</v>
      </c>
      <c r="AV6" t="s">
        <v>1626</v>
      </c>
      <c r="AW6" t="s">
        <v>1627</v>
      </c>
      <c r="AX6" t="s">
        <v>1628</v>
      </c>
      <c r="AY6" t="s">
        <v>1629</v>
      </c>
      <c r="AZ6" t="s">
        <v>1630</v>
      </c>
      <c r="BA6" t="s">
        <v>1631</v>
      </c>
      <c r="BB6" t="s">
        <v>1632</v>
      </c>
      <c r="BC6" t="s">
        <v>1633</v>
      </c>
      <c r="BD6" t="s">
        <v>1634</v>
      </c>
      <c r="BE6" t="s">
        <v>945</v>
      </c>
      <c r="BF6" t="s">
        <v>1635</v>
      </c>
      <c r="BG6" t="s">
        <v>1636</v>
      </c>
      <c r="BH6" t="s">
        <v>1637</v>
      </c>
      <c r="BI6" t="s">
        <v>1638</v>
      </c>
      <c r="BJ6" t="s">
        <v>1639</v>
      </c>
      <c r="BK6" t="s">
        <v>1640</v>
      </c>
      <c r="BL6" t="s">
        <v>1641</v>
      </c>
      <c r="BM6" t="s">
        <v>1642</v>
      </c>
      <c r="BN6" t="s">
        <v>1643</v>
      </c>
      <c r="BO6">
        <v>2.4700000000000002</v>
      </c>
      <c r="BP6">
        <v>13.26</v>
      </c>
      <c r="BQ6">
        <v>11.86</v>
      </c>
      <c r="BR6">
        <v>3.67</v>
      </c>
      <c r="BS6">
        <v>18.11</v>
      </c>
      <c r="BT6">
        <v>18.97</v>
      </c>
      <c r="BU6" t="s">
        <v>1644</v>
      </c>
      <c r="BV6" t="s">
        <v>220</v>
      </c>
      <c r="BW6">
        <v>15.93</v>
      </c>
      <c r="BX6">
        <v>21.57</v>
      </c>
      <c r="BY6">
        <v>29.01</v>
      </c>
      <c r="BZ6">
        <v>11.02</v>
      </c>
      <c r="CA6">
        <v>18.64</v>
      </c>
      <c r="CB6">
        <v>20.6</v>
      </c>
      <c r="CC6">
        <v>-7.39</v>
      </c>
      <c r="CD6">
        <v>13.53</v>
      </c>
      <c r="CE6" t="s">
        <v>1645</v>
      </c>
      <c r="CF6" t="s">
        <v>1646</v>
      </c>
      <c r="CG6" s="32">
        <v>0.34156246660254352</v>
      </c>
      <c r="CH6" s="33">
        <v>-2.5715990818668707E-2</v>
      </c>
      <c r="CI6" s="32">
        <v>1.1481657028198242</v>
      </c>
      <c r="CJ6" s="32">
        <v>1.0705709457397461</v>
      </c>
      <c r="CK6" s="32">
        <v>0.27292570471763611</v>
      </c>
      <c r="CL6" s="32">
        <v>0.47368425130844116</v>
      </c>
      <c r="CM6" s="32">
        <v>0.45908781886100769</v>
      </c>
      <c r="CN6" s="33">
        <v>0.20750175416469574</v>
      </c>
      <c r="CO6" s="33">
        <v>0.75907981395721436</v>
      </c>
      <c r="CP6" s="33">
        <v>8.5413925349712372E-2</v>
      </c>
      <c r="CQ6" s="33">
        <v>1.6654990911483765</v>
      </c>
      <c r="CR6" s="33">
        <v>0.41687345504760742</v>
      </c>
      <c r="CS6">
        <v>45.132532235160468</v>
      </c>
      <c r="CT6">
        <v>0.65897790195869888</v>
      </c>
      <c r="CU6">
        <v>0.41194644696189492</v>
      </c>
      <c r="CV6" s="32">
        <v>0.68488688468933101</v>
      </c>
      <c r="CW6" s="33">
        <v>0.62687360793352132</v>
      </c>
      <c r="CX6">
        <v>0.06</v>
      </c>
      <c r="CY6">
        <v>17.613063379328977</v>
      </c>
      <c r="CZ6">
        <v>5577611394.6932669</v>
      </c>
      <c r="DA6">
        <v>0.68488688468933101</v>
      </c>
      <c r="DB6">
        <v>3.6086026352687894</v>
      </c>
      <c r="DC6">
        <v>27223508080.346622</v>
      </c>
      <c r="DD6">
        <v>0.65064254045486447</v>
      </c>
      <c r="DE6">
        <v>0.86594546600358457</v>
      </c>
      <c r="DF6">
        <v>113446893432.4247</v>
      </c>
      <c r="DG6">
        <v>0.60270045852661125</v>
      </c>
      <c r="DH6">
        <v>0.20476642770828374</v>
      </c>
      <c r="DI6">
        <v>479760398711.22772</v>
      </c>
      <c r="DJ6">
        <v>0.54790950775146485</v>
      </c>
      <c r="DK6">
        <v>1.0104000027273524E-2</v>
      </c>
      <c r="DL6">
        <v>9722765512156.168</v>
      </c>
      <c r="DM6">
        <v>0.47942081928253166</v>
      </c>
      <c r="DN6">
        <v>3509000000.0000005</v>
      </c>
      <c r="DO6">
        <v>0.68488688468933101</v>
      </c>
      <c r="DP6">
        <v>98238823000</v>
      </c>
      <c r="DQ6">
        <v>575399000</v>
      </c>
      <c r="DR6">
        <v>1519</v>
      </c>
      <c r="DS6">
        <v>-0.34332441808678749</v>
      </c>
      <c r="DT6">
        <v>-0.65258959875219003</v>
      </c>
      <c r="DU6" s="34">
        <v>0.54333333333333322</v>
      </c>
      <c r="DV6">
        <v>1.02</v>
      </c>
      <c r="DW6">
        <v>1.5633333333333332</v>
      </c>
      <c r="DX6">
        <v>-7.3532504780114722</v>
      </c>
      <c r="DY6">
        <v>0.35345537294563867</v>
      </c>
      <c r="DZ6">
        <v>-7.0436106695061316</v>
      </c>
      <c r="EA6">
        <v>69</v>
      </c>
      <c r="EB6">
        <v>-7.0430226030226599</v>
      </c>
      <c r="EC6">
        <v>7</v>
      </c>
      <c r="ED6">
        <v>4.7735334452905738E-2</v>
      </c>
      <c r="EE6">
        <v>0.38666064760036983</v>
      </c>
      <c r="EF6" s="35">
        <v>3.2000000000000015E-3</v>
      </c>
      <c r="EG6">
        <v>5.0910000000000004E-2</v>
      </c>
      <c r="EH6">
        <v>23.123455372945639</v>
      </c>
      <c r="EI6">
        <v>-1</v>
      </c>
      <c r="EJ6">
        <v>0</v>
      </c>
      <c r="EK6">
        <v>1</v>
      </c>
      <c r="EL6" s="36">
        <v>45378</v>
      </c>
      <c r="EM6">
        <v>0.82</v>
      </c>
      <c r="EN6">
        <v>-3.23</v>
      </c>
      <c r="EO6">
        <v>-2.6700000000000002E-2</v>
      </c>
      <c r="EP6">
        <v>4.37</v>
      </c>
      <c r="EQ6">
        <v>-5.41</v>
      </c>
    </row>
    <row r="7" spans="1:147" ht="168.75" x14ac:dyDescent="0.3">
      <c r="B7" s="38" t="s">
        <v>1648</v>
      </c>
      <c r="C7" s="38"/>
      <c r="D7" s="38" t="s">
        <v>1687</v>
      </c>
      <c r="E7" t="s">
        <v>268</v>
      </c>
      <c r="F7" t="s">
        <v>269</v>
      </c>
      <c r="G7">
        <v>19.57</v>
      </c>
      <c r="H7">
        <v>-4.07</v>
      </c>
      <c r="I7" t="s">
        <v>1649</v>
      </c>
      <c r="J7">
        <v>34938339000</v>
      </c>
      <c r="K7">
        <v>77.010000000000005</v>
      </c>
      <c r="L7">
        <v>1.44</v>
      </c>
      <c r="M7" t="s">
        <v>171</v>
      </c>
      <c r="N7" t="s">
        <v>1650</v>
      </c>
      <c r="O7" t="s">
        <v>1651</v>
      </c>
      <c r="P7" t="s">
        <v>1652</v>
      </c>
      <c r="Q7">
        <v>50.96</v>
      </c>
      <c r="R7" t="s">
        <v>1653</v>
      </c>
      <c r="S7">
        <v>292220180</v>
      </c>
      <c r="T7" s="31">
        <v>0.94650000000000001</v>
      </c>
      <c r="U7" t="s">
        <v>1375</v>
      </c>
      <c r="V7">
        <v>1290438710</v>
      </c>
      <c r="W7">
        <v>1780885200</v>
      </c>
      <c r="X7">
        <v>3.42</v>
      </c>
      <c r="Y7">
        <v>0.27</v>
      </c>
      <c r="Z7">
        <v>1.66</v>
      </c>
      <c r="AA7" t="s">
        <v>1654</v>
      </c>
      <c r="AB7" t="s">
        <v>1655</v>
      </c>
      <c r="AC7" t="s">
        <v>1272</v>
      </c>
      <c r="AD7" t="s">
        <v>1656</v>
      </c>
      <c r="AE7" t="s">
        <v>1657</v>
      </c>
      <c r="AF7">
        <v>191519570</v>
      </c>
      <c r="AG7" t="s">
        <v>1658</v>
      </c>
      <c r="AH7" t="s">
        <v>1659</v>
      </c>
      <c r="AI7" t="s">
        <v>1660</v>
      </c>
      <c r="AJ7" t="s">
        <v>1661</v>
      </c>
      <c r="AK7" t="s">
        <v>1662</v>
      </c>
      <c r="AL7" t="s">
        <v>1663</v>
      </c>
      <c r="AM7" t="s">
        <v>1664</v>
      </c>
      <c r="AN7" t="s">
        <v>316</v>
      </c>
      <c r="AO7" t="s">
        <v>1665</v>
      </c>
      <c r="AP7" t="s">
        <v>1666</v>
      </c>
      <c r="AQ7" t="s">
        <v>1667</v>
      </c>
      <c r="AR7" t="s">
        <v>1668</v>
      </c>
      <c r="AS7" t="s">
        <v>316</v>
      </c>
      <c r="AT7" t="s">
        <v>1669</v>
      </c>
      <c r="AU7" t="s">
        <v>1670</v>
      </c>
      <c r="AV7" t="s">
        <v>1671</v>
      </c>
      <c r="AW7" t="s">
        <v>1672</v>
      </c>
      <c r="AX7" t="s">
        <v>1673</v>
      </c>
      <c r="AY7" t="s">
        <v>1674</v>
      </c>
      <c r="AZ7" t="s">
        <v>1675</v>
      </c>
      <c r="BA7" t="s">
        <v>1676</v>
      </c>
      <c r="BB7" t="s">
        <v>1677</v>
      </c>
      <c r="BC7" t="s">
        <v>1678</v>
      </c>
      <c r="BD7" t="s">
        <v>857</v>
      </c>
      <c r="BE7" t="s">
        <v>512</v>
      </c>
      <c r="BF7" t="s">
        <v>1679</v>
      </c>
      <c r="BG7" t="s">
        <v>1680</v>
      </c>
      <c r="BH7" t="s">
        <v>1681</v>
      </c>
      <c r="BI7" t="s">
        <v>1682</v>
      </c>
      <c r="BJ7" t="s">
        <v>1683</v>
      </c>
      <c r="BK7" t="s">
        <v>1684</v>
      </c>
      <c r="BL7" t="s">
        <v>1671</v>
      </c>
      <c r="BM7" t="s">
        <v>512</v>
      </c>
      <c r="BN7" t="s">
        <v>1685</v>
      </c>
      <c r="BO7">
        <v>0.97</v>
      </c>
      <c r="BP7">
        <v>2.38</v>
      </c>
      <c r="BQ7">
        <v>2.2000000000000002</v>
      </c>
      <c r="BR7">
        <v>0.42</v>
      </c>
      <c r="BS7">
        <v>0.86</v>
      </c>
      <c r="BT7">
        <v>1.54</v>
      </c>
      <c r="BU7" t="s">
        <v>529</v>
      </c>
      <c r="BV7" t="s">
        <v>220</v>
      </c>
      <c r="BW7">
        <v>15.35</v>
      </c>
      <c r="BX7">
        <v>18.61</v>
      </c>
      <c r="BY7">
        <v>25.23</v>
      </c>
      <c r="BZ7">
        <v>1.58</v>
      </c>
      <c r="CA7">
        <v>0.74</v>
      </c>
      <c r="CB7">
        <v>2.1800000000000002</v>
      </c>
      <c r="CC7">
        <v>-7.65</v>
      </c>
      <c r="CD7">
        <v>8.7200000000000006</v>
      </c>
      <c r="CE7" t="s">
        <v>1005</v>
      </c>
      <c r="CF7" t="s">
        <v>1245</v>
      </c>
      <c r="CG7" s="32">
        <v>0.12975120939875637</v>
      </c>
      <c r="CH7" s="33">
        <v>-2.5756406849425723E-2</v>
      </c>
      <c r="CI7" s="32">
        <v>1.2259559631347656</v>
      </c>
      <c r="CJ7" s="32">
        <v>0.54015469551086426</v>
      </c>
      <c r="CK7" s="32">
        <v>0.35591846704483032</v>
      </c>
      <c r="CL7" s="32">
        <v>-3.2767698168754578E-2</v>
      </c>
      <c r="CM7" s="32">
        <v>5.9735413640737534E-2</v>
      </c>
      <c r="CN7" s="33">
        <v>2.0588235855102539</v>
      </c>
      <c r="CO7" s="33">
        <v>-0.31999999284744263</v>
      </c>
      <c r="CP7" s="33">
        <v>1.9266122579574585</v>
      </c>
      <c r="CQ7" s="33">
        <v>-0.91163140535354614</v>
      </c>
      <c r="CR7" s="33">
        <v>-0.30787590146064758</v>
      </c>
      <c r="CS7">
        <v>103.10077079408386</v>
      </c>
      <c r="CT7">
        <v>2.3988115947698234</v>
      </c>
      <c r="CU7">
        <v>0</v>
      </c>
      <c r="CV7" s="32">
        <v>0.42979936823248865</v>
      </c>
      <c r="CW7" s="33">
        <v>0.4891857087612152</v>
      </c>
      <c r="CX7">
        <v>0.06</v>
      </c>
      <c r="CY7">
        <v>169.3665527994078</v>
      </c>
      <c r="CZ7">
        <v>420846606.49861926</v>
      </c>
      <c r="DA7">
        <v>0.42979936823248865</v>
      </c>
      <c r="DB7">
        <v>42.003241109708064</v>
      </c>
      <c r="DC7">
        <v>1696948547.7044749</v>
      </c>
      <c r="DD7">
        <v>0.40830939982086423</v>
      </c>
      <c r="DE7">
        <v>13.767015658490534</v>
      </c>
      <c r="DF7">
        <v>5177399428.3242579</v>
      </c>
      <c r="DG7">
        <v>0.37822344404459002</v>
      </c>
      <c r="DH7">
        <v>4.961497644559147</v>
      </c>
      <c r="DI7">
        <v>14366093487.55084</v>
      </c>
      <c r="DJ7">
        <v>0.34383949458599095</v>
      </c>
      <c r="DK7">
        <v>0.71636259586461382</v>
      </c>
      <c r="DL7">
        <v>99498967996.747253</v>
      </c>
      <c r="DM7">
        <v>0.30085955776274204</v>
      </c>
      <c r="DN7">
        <v>312000000</v>
      </c>
      <c r="DO7">
        <v>0.42979936823248865</v>
      </c>
      <c r="DP7">
        <v>71277339000</v>
      </c>
      <c r="DQ7">
        <v>3439910000</v>
      </c>
      <c r="DR7">
        <v>593</v>
      </c>
      <c r="DS7">
        <v>-0.30004815883373226</v>
      </c>
      <c r="DT7">
        <v>-0.51494211561064096</v>
      </c>
      <c r="DU7" s="34">
        <v>0.17666666666666667</v>
      </c>
      <c r="DV7">
        <v>0.64166666666666672</v>
      </c>
      <c r="DW7">
        <v>0.81833333333333336</v>
      </c>
      <c r="DX7">
        <v>-7.4673182651191201</v>
      </c>
      <c r="DY7">
        <v>0.38314079422382591</v>
      </c>
      <c r="DZ7">
        <v>-7.0902582208804077</v>
      </c>
      <c r="EA7">
        <v>545</v>
      </c>
      <c r="EB7">
        <v>-7.0806450236203293</v>
      </c>
      <c r="EC7">
        <v>7</v>
      </c>
      <c r="ED7">
        <v>6.0082480330568191E-2</v>
      </c>
      <c r="EE7">
        <v>0.31108125330032504</v>
      </c>
      <c r="EF7" s="35">
        <v>-2.1150000000000002</v>
      </c>
      <c r="EG7">
        <v>-2.0743</v>
      </c>
      <c r="EH7">
        <v>19.193140794223826</v>
      </c>
      <c r="EI7" t="s">
        <v>1686</v>
      </c>
      <c r="EJ7">
        <v>0</v>
      </c>
      <c r="EK7">
        <v>1</v>
      </c>
      <c r="EL7" s="36">
        <v>45378</v>
      </c>
      <c r="EM7">
        <v>2.52</v>
      </c>
      <c r="EN7">
        <v>-3.39</v>
      </c>
      <c r="EO7">
        <v>-3.3099999999999997E-2</v>
      </c>
      <c r="EP7">
        <v>4.1900000000000004</v>
      </c>
      <c r="EQ7">
        <v>-4.07</v>
      </c>
    </row>
    <row r="8" spans="1:147" ht="78.75" x14ac:dyDescent="0.3">
      <c r="B8" s="30"/>
      <c r="C8" s="30"/>
      <c r="D8" s="30" t="s">
        <v>1729</v>
      </c>
      <c r="E8" t="s">
        <v>270</v>
      </c>
      <c r="F8" t="s">
        <v>271</v>
      </c>
      <c r="G8">
        <v>9.64</v>
      </c>
      <c r="H8">
        <v>-3.02</v>
      </c>
      <c r="I8" t="s">
        <v>1688</v>
      </c>
      <c r="J8">
        <v>15648849000</v>
      </c>
      <c r="K8">
        <v>16.54</v>
      </c>
      <c r="L8">
        <v>1.46</v>
      </c>
      <c r="M8" t="s">
        <v>272</v>
      </c>
      <c r="N8" t="s">
        <v>1689</v>
      </c>
      <c r="O8" t="s">
        <v>1690</v>
      </c>
      <c r="P8" t="s">
        <v>1691</v>
      </c>
      <c r="Q8">
        <v>8.82</v>
      </c>
      <c r="R8" t="s">
        <v>1692</v>
      </c>
      <c r="S8">
        <v>926090390</v>
      </c>
      <c r="T8" s="31">
        <v>0.4042</v>
      </c>
      <c r="U8" t="s">
        <v>1693</v>
      </c>
      <c r="V8">
        <v>1623324600</v>
      </c>
      <c r="W8">
        <v>1623324600</v>
      </c>
      <c r="X8">
        <v>2.21</v>
      </c>
      <c r="Y8">
        <v>0.28999999999999998</v>
      </c>
      <c r="Z8">
        <v>11.24</v>
      </c>
      <c r="AA8" t="s">
        <v>1694</v>
      </c>
      <c r="AB8" t="s">
        <v>1695</v>
      </c>
      <c r="AC8" t="s">
        <v>1696</v>
      </c>
      <c r="AD8" t="s">
        <v>1480</v>
      </c>
      <c r="AE8" t="s">
        <v>1697</v>
      </c>
      <c r="AF8">
        <v>457243770</v>
      </c>
      <c r="AG8" t="s">
        <v>1698</v>
      </c>
      <c r="AH8" t="s">
        <v>1699</v>
      </c>
      <c r="AI8" t="s">
        <v>1700</v>
      </c>
      <c r="AJ8" t="s">
        <v>1701</v>
      </c>
      <c r="AK8" t="s">
        <v>1702</v>
      </c>
      <c r="AL8" t="s">
        <v>1466</v>
      </c>
      <c r="AM8" t="s">
        <v>1703</v>
      </c>
      <c r="AN8" t="s">
        <v>316</v>
      </c>
      <c r="AO8" t="s">
        <v>1704</v>
      </c>
      <c r="AP8" t="s">
        <v>1705</v>
      </c>
      <c r="AQ8" t="s">
        <v>1706</v>
      </c>
      <c r="AR8" t="s">
        <v>1707</v>
      </c>
      <c r="AS8" t="s">
        <v>316</v>
      </c>
      <c r="AT8" t="s">
        <v>1708</v>
      </c>
      <c r="AU8" t="s">
        <v>1709</v>
      </c>
      <c r="AV8" t="s">
        <v>1710</v>
      </c>
      <c r="AW8" t="s">
        <v>1711</v>
      </c>
      <c r="AX8" t="s">
        <v>1712</v>
      </c>
      <c r="AY8" t="s">
        <v>1713</v>
      </c>
      <c r="AZ8" t="s">
        <v>1714</v>
      </c>
      <c r="BA8" t="s">
        <v>1715</v>
      </c>
      <c r="BB8" t="s">
        <v>1716</v>
      </c>
      <c r="BC8" t="s">
        <v>1443</v>
      </c>
      <c r="BD8" t="s">
        <v>757</v>
      </c>
      <c r="BE8" t="s">
        <v>1717</v>
      </c>
      <c r="BF8" t="s">
        <v>1245</v>
      </c>
      <c r="BG8" t="s">
        <v>1718</v>
      </c>
      <c r="BH8" t="s">
        <v>1719</v>
      </c>
      <c r="BI8" t="s">
        <v>1720</v>
      </c>
      <c r="BJ8" t="s">
        <v>1721</v>
      </c>
      <c r="BK8" t="s">
        <v>1722</v>
      </c>
      <c r="BL8" t="s">
        <v>1723</v>
      </c>
      <c r="BM8" t="s">
        <v>941</v>
      </c>
      <c r="BN8" t="s">
        <v>1724</v>
      </c>
      <c r="BO8">
        <v>1.89</v>
      </c>
      <c r="BP8">
        <v>8.8699999999999992</v>
      </c>
      <c r="BQ8">
        <v>6.07</v>
      </c>
      <c r="BR8">
        <v>3.11</v>
      </c>
      <c r="BS8">
        <v>16.27</v>
      </c>
      <c r="BT8">
        <v>15.1</v>
      </c>
      <c r="BU8" t="s">
        <v>1725</v>
      </c>
      <c r="BV8" t="s">
        <v>1726</v>
      </c>
      <c r="BW8">
        <v>17.8</v>
      </c>
      <c r="BX8">
        <v>22.85</v>
      </c>
      <c r="BY8">
        <v>24.64</v>
      </c>
      <c r="BZ8">
        <v>14.27</v>
      </c>
      <c r="CA8">
        <v>11.24</v>
      </c>
      <c r="CB8">
        <v>9.14</v>
      </c>
      <c r="CC8">
        <v>2.88</v>
      </c>
      <c r="CD8">
        <v>-14.84</v>
      </c>
      <c r="CE8" t="s">
        <v>1727</v>
      </c>
      <c r="CF8" t="s">
        <v>1728</v>
      </c>
      <c r="CG8" s="32">
        <v>3.4530868503662368E-2</v>
      </c>
      <c r="CH8" s="33">
        <v>-0.54179344322344325</v>
      </c>
      <c r="CI8" s="32">
        <v>-5.6938577443361282E-2</v>
      </c>
      <c r="CJ8" s="32">
        <v>-5.8797998353838921E-3</v>
      </c>
      <c r="CK8" s="32">
        <v>4.5508760958909988E-2</v>
      </c>
      <c r="CL8" s="32">
        <v>0.33517095446586609</v>
      </c>
      <c r="CM8" s="32">
        <v>18.909755706787109</v>
      </c>
      <c r="CN8" s="33">
        <v>-0.32872655987739563</v>
      </c>
      <c r="CO8" s="33">
        <v>0.22936892509460449</v>
      </c>
      <c r="CP8" s="33">
        <v>0.48736461997032166</v>
      </c>
      <c r="CQ8" s="33">
        <v>0.66867470741271973</v>
      </c>
      <c r="CR8" s="33">
        <v>43.386806488037109</v>
      </c>
      <c r="CS8">
        <v>27.530758796189286</v>
      </c>
      <c r="CT8">
        <v>7.1591707729180581E-2</v>
      </c>
      <c r="CU8">
        <v>1.9709543568464729</v>
      </c>
      <c r="CV8" s="32">
        <v>3.8455234089866281</v>
      </c>
      <c r="CW8" s="33">
        <v>8.8886976361274712</v>
      </c>
      <c r="CX8">
        <v>0.06</v>
      </c>
      <c r="CY8">
        <v>5.8951744492947684</v>
      </c>
      <c r="CZ8">
        <v>3108448979.3499117</v>
      </c>
      <c r="DA8">
        <v>3.8455234089866281</v>
      </c>
      <c r="DB8">
        <v>0.24892928680474771</v>
      </c>
      <c r="DC8">
        <v>73614676823.356003</v>
      </c>
      <c r="DD8">
        <v>3.6532472385372965</v>
      </c>
      <c r="DE8">
        <v>4.0830674311958682E-3</v>
      </c>
      <c r="DF8">
        <v>4488010376706.6445</v>
      </c>
      <c r="DG8">
        <v>3.3840605999082327</v>
      </c>
      <c r="DH8">
        <v>2.8184849356502655E-5</v>
      </c>
      <c r="DI8">
        <v>650166646917777.12</v>
      </c>
      <c r="DJ8">
        <v>3.0764187271893029</v>
      </c>
      <c r="DK8">
        <v>2.7844996088337521E-10</v>
      </c>
      <c r="DL8">
        <v>6.5810204971352474E+19</v>
      </c>
      <c r="DM8">
        <v>2.6918663862906396</v>
      </c>
      <c r="DN8">
        <v>680000000</v>
      </c>
      <c r="DO8">
        <v>3.8455234089866281</v>
      </c>
      <c r="DP8">
        <v>18324849000</v>
      </c>
      <c r="DQ8">
        <v>2447618400</v>
      </c>
      <c r="DR8">
        <v>536</v>
      </c>
      <c r="DS8">
        <v>-3.8109925404829657</v>
      </c>
      <c r="DT8">
        <v>-9.4304910793509151</v>
      </c>
      <c r="DU8" s="34">
        <v>0.18833333333333332</v>
      </c>
      <c r="DV8">
        <v>1.1050000000000002</v>
      </c>
      <c r="DW8">
        <v>1.2933333333333334</v>
      </c>
      <c r="DX8">
        <v>6.1625282167042892</v>
      </c>
      <c r="DY8">
        <v>0.70799922630561274</v>
      </c>
      <c r="DZ8">
        <v>6.0256793324921079</v>
      </c>
      <c r="EA8">
        <v>154</v>
      </c>
      <c r="EB8">
        <v>6.0249058888770515</v>
      </c>
      <c r="EC8">
        <v>6</v>
      </c>
      <c r="ED8">
        <v>5.0319942172994854E-2</v>
      </c>
      <c r="EE8">
        <v>0.31848220620817302</v>
      </c>
      <c r="EF8" s="35">
        <v>-1.0042</v>
      </c>
      <c r="EG8">
        <v>-1.0260100000000001</v>
      </c>
      <c r="EH8">
        <v>55.157999226305613</v>
      </c>
      <c r="EI8" t="s">
        <v>626</v>
      </c>
      <c r="EJ8">
        <v>0</v>
      </c>
      <c r="EK8">
        <v>1</v>
      </c>
      <c r="EL8" s="36">
        <v>45350</v>
      </c>
      <c r="EM8" s="37">
        <v>1.9199999999999998E-2</v>
      </c>
      <c r="EN8" s="37">
        <v>1.0500000000000001E-2</v>
      </c>
      <c r="EO8" s="37">
        <v>0.1</v>
      </c>
      <c r="EP8" s="37">
        <v>2.9</v>
      </c>
      <c r="EQ8" s="37">
        <v>-3.02</v>
      </c>
    </row>
    <row r="9" spans="1:147" ht="78.75" x14ac:dyDescent="0.3">
      <c r="B9" s="30"/>
      <c r="C9" s="30"/>
      <c r="D9" s="30" t="s">
        <v>1773</v>
      </c>
      <c r="E9" t="s">
        <v>273</v>
      </c>
      <c r="F9" t="s">
        <v>274</v>
      </c>
      <c r="G9">
        <v>11.58</v>
      </c>
      <c r="H9">
        <v>-4.53</v>
      </c>
      <c r="I9" t="s">
        <v>1730</v>
      </c>
      <c r="J9">
        <v>14151963000</v>
      </c>
      <c r="L9">
        <v>1.36</v>
      </c>
      <c r="M9" t="s">
        <v>171</v>
      </c>
      <c r="N9" t="s">
        <v>1731</v>
      </c>
      <c r="O9" t="s">
        <v>1732</v>
      </c>
      <c r="P9" t="s">
        <v>1733</v>
      </c>
      <c r="Q9">
        <v>30.14</v>
      </c>
      <c r="R9" t="s">
        <v>1734</v>
      </c>
      <c r="S9">
        <v>-1563176200</v>
      </c>
      <c r="T9" s="31">
        <v>-4.625</v>
      </c>
      <c r="U9" t="s">
        <v>1735</v>
      </c>
      <c r="V9">
        <v>1218268050</v>
      </c>
      <c r="W9">
        <v>1218268050</v>
      </c>
      <c r="X9">
        <v>2.82</v>
      </c>
      <c r="Y9">
        <v>0.36</v>
      </c>
      <c r="Z9">
        <v>-13.92</v>
      </c>
      <c r="AA9" t="s">
        <v>1736</v>
      </c>
      <c r="AB9" t="s">
        <v>1737</v>
      </c>
      <c r="AC9" t="s">
        <v>1738</v>
      </c>
      <c r="AD9" t="s">
        <v>1443</v>
      </c>
      <c r="AE9" t="s">
        <v>1739</v>
      </c>
      <c r="AF9">
        <v>119959436</v>
      </c>
      <c r="AG9" t="s">
        <v>1740</v>
      </c>
      <c r="AH9" t="s">
        <v>1741</v>
      </c>
      <c r="AI9" t="s">
        <v>1742</v>
      </c>
      <c r="AJ9" t="s">
        <v>1743</v>
      </c>
      <c r="AK9" t="s">
        <v>1744</v>
      </c>
      <c r="AL9" t="s">
        <v>768</v>
      </c>
      <c r="AM9" t="s">
        <v>1745</v>
      </c>
      <c r="AN9" t="s">
        <v>316</v>
      </c>
      <c r="AO9" t="s">
        <v>1746</v>
      </c>
      <c r="AP9" t="s">
        <v>1747</v>
      </c>
      <c r="AQ9" t="s">
        <v>1748</v>
      </c>
      <c r="AR9" t="s">
        <v>1749</v>
      </c>
      <c r="AS9" t="s">
        <v>316</v>
      </c>
      <c r="AT9" t="s">
        <v>1750</v>
      </c>
      <c r="AU9" t="s">
        <v>1751</v>
      </c>
      <c r="AV9" t="s">
        <v>1752</v>
      </c>
      <c r="AW9" t="s">
        <v>1753</v>
      </c>
      <c r="AX9" t="s">
        <v>1754</v>
      </c>
      <c r="AY9" t="s">
        <v>1755</v>
      </c>
      <c r="AZ9" t="s">
        <v>1756</v>
      </c>
      <c r="BA9" t="s">
        <v>1757</v>
      </c>
      <c r="BB9" t="s">
        <v>1758</v>
      </c>
      <c r="BC9" t="s">
        <v>1759</v>
      </c>
      <c r="BD9" t="s">
        <v>1760</v>
      </c>
      <c r="BE9" t="s">
        <v>1761</v>
      </c>
      <c r="BF9" t="s">
        <v>1496</v>
      </c>
      <c r="BG9" t="s">
        <v>1762</v>
      </c>
      <c r="BH9" t="s">
        <v>1763</v>
      </c>
      <c r="BI9" t="s">
        <v>1764</v>
      </c>
      <c r="BJ9" t="s">
        <v>1765</v>
      </c>
      <c r="BK9" t="s">
        <v>1766</v>
      </c>
      <c r="BL9" t="s">
        <v>1767</v>
      </c>
      <c r="BM9" t="s">
        <v>1768</v>
      </c>
      <c r="BN9" t="s">
        <v>1769</v>
      </c>
      <c r="BO9" t="s">
        <v>316</v>
      </c>
      <c r="BP9" t="s">
        <v>316</v>
      </c>
      <c r="BQ9" t="s">
        <v>316</v>
      </c>
      <c r="BR9">
        <v>-2.96</v>
      </c>
      <c r="BS9">
        <v>-9.8800000000000008</v>
      </c>
      <c r="BT9">
        <v>-3.98</v>
      </c>
      <c r="BU9" t="s">
        <v>529</v>
      </c>
      <c r="BV9" t="s">
        <v>220</v>
      </c>
      <c r="BW9">
        <v>2.35</v>
      </c>
      <c r="BX9">
        <v>-3.35</v>
      </c>
      <c r="BY9">
        <v>15.92</v>
      </c>
      <c r="BZ9">
        <v>-11.41</v>
      </c>
      <c r="CA9">
        <v>-27.22</v>
      </c>
      <c r="CB9">
        <v>-29.56</v>
      </c>
      <c r="CC9">
        <v>-13.71</v>
      </c>
      <c r="CD9">
        <v>-1.95</v>
      </c>
      <c r="CE9" t="s">
        <v>1770</v>
      </c>
      <c r="CF9" t="s">
        <v>1771</v>
      </c>
      <c r="CG9" s="32">
        <v>0.24655121808042293</v>
      </c>
      <c r="CH9" s="33">
        <v>-5.4384554621848737</v>
      </c>
      <c r="CI9" s="32">
        <v>2.3108570575714111</v>
      </c>
      <c r="CJ9" s="32">
        <v>2.125</v>
      </c>
      <c r="CK9" s="32">
        <v>-0.54285711050033569</v>
      </c>
      <c r="CL9" s="32">
        <v>7.6449856162071228E-2</v>
      </c>
      <c r="CM9" s="32">
        <v>0.69977587461471558</v>
      </c>
      <c r="CN9" s="33">
        <v>2.7282265946269035E-2</v>
      </c>
      <c r="CO9" s="33">
        <v>-1.8791540861129761</v>
      </c>
      <c r="CP9" s="33">
        <v>-3.5267176628112793</v>
      </c>
      <c r="CQ9" s="33">
        <v>2.6748747825622559</v>
      </c>
      <c r="CR9" s="33">
        <v>-5.2830901145935059</v>
      </c>
      <c r="CS9">
        <v>-39.679263124175357</v>
      </c>
      <c r="CT9">
        <v>-0.42490196300025818</v>
      </c>
      <c r="CU9">
        <v>0</v>
      </c>
      <c r="CV9" s="32">
        <v>0.93384513556957249</v>
      </c>
      <c r="CW9" s="33">
        <v>-1.5973609630018473</v>
      </c>
      <c r="CX9">
        <v>0.06</v>
      </c>
      <c r="CY9" t="e">
        <v>#VALUE!</v>
      </c>
      <c r="CZ9" t="s">
        <v>1286</v>
      </c>
      <c r="DA9">
        <v>0.93384513556957249</v>
      </c>
      <c r="DB9" t="e">
        <v>#VALUE!</v>
      </c>
      <c r="DC9" t="s">
        <v>1287</v>
      </c>
      <c r="DD9">
        <v>0.88715287879109384</v>
      </c>
      <c r="DE9" t="e">
        <v>#VALUE!</v>
      </c>
      <c r="DF9" t="s">
        <v>1287</v>
      </c>
      <c r="DG9">
        <v>0.82178371930122385</v>
      </c>
      <c r="DH9" t="e">
        <v>#VALUE!</v>
      </c>
      <c r="DI9" t="s">
        <v>1287</v>
      </c>
      <c r="DJ9">
        <v>0.74707610845565808</v>
      </c>
      <c r="DK9" t="e">
        <v>#VALUE!</v>
      </c>
      <c r="DL9" t="s">
        <v>1287</v>
      </c>
      <c r="DM9">
        <v>0.65369159489870066</v>
      </c>
      <c r="DN9">
        <v>-927000000</v>
      </c>
      <c r="DO9">
        <v>0.93384513556957249</v>
      </c>
      <c r="DP9">
        <v>22828963000</v>
      </c>
      <c r="DQ9">
        <v>4586326000</v>
      </c>
      <c r="DR9">
        <v>4986</v>
      </c>
      <c r="DS9">
        <v>-0.68729391748914959</v>
      </c>
      <c r="DT9">
        <v>-3.8410944991830265</v>
      </c>
      <c r="DU9" s="34">
        <v>0.27666666666666662</v>
      </c>
      <c r="DV9">
        <v>-3.0633333333333339</v>
      </c>
      <c r="DW9">
        <v>-2.7866666666666671</v>
      </c>
      <c r="DX9">
        <v>-5.1422319474835883</v>
      </c>
      <c r="DY9">
        <v>0.33446031746031923</v>
      </c>
      <c r="DZ9">
        <v>-5.0248138307109862</v>
      </c>
      <c r="EA9">
        <v>4816</v>
      </c>
      <c r="EB9">
        <v>-5.0014596371006466</v>
      </c>
      <c r="EC9">
        <v>5</v>
      </c>
      <c r="ED9">
        <v>4.5109120279399922E-2</v>
      </c>
      <c r="EE9">
        <v>0.2585637865164403</v>
      </c>
      <c r="EF9" s="35">
        <v>-2.0062000000000002</v>
      </c>
      <c r="EG9">
        <v>-2.03911</v>
      </c>
      <c r="EH9">
        <v>16.174460317460319</v>
      </c>
      <c r="EI9" t="s">
        <v>1772</v>
      </c>
      <c r="EJ9">
        <v>0</v>
      </c>
      <c r="EK9">
        <v>0</v>
      </c>
      <c r="EL9" s="36">
        <v>45378</v>
      </c>
      <c r="EM9">
        <v>2.84</v>
      </c>
      <c r="EN9">
        <v>-5.4</v>
      </c>
      <c r="EO9">
        <v>-4.1799999999999997E-2</v>
      </c>
      <c r="EP9">
        <v>1.76</v>
      </c>
      <c r="EQ9">
        <v>-4.53</v>
      </c>
    </row>
    <row r="10" spans="1:147" ht="236.25" x14ac:dyDescent="0.3">
      <c r="B10" s="30" t="s">
        <v>1774</v>
      </c>
      <c r="C10" s="30"/>
      <c r="D10" s="30" t="s">
        <v>1808</v>
      </c>
      <c r="E10" t="s">
        <v>275</v>
      </c>
      <c r="F10" t="s">
        <v>276</v>
      </c>
      <c r="G10">
        <v>87.11</v>
      </c>
      <c r="H10">
        <v>-5.93</v>
      </c>
      <c r="I10" t="s">
        <v>1775</v>
      </c>
      <c r="J10">
        <v>15298810000</v>
      </c>
      <c r="K10">
        <v>11.93</v>
      </c>
      <c r="L10">
        <v>1.6</v>
      </c>
      <c r="M10" t="s">
        <v>171</v>
      </c>
      <c r="N10" t="s">
        <v>1776</v>
      </c>
      <c r="O10" t="s">
        <v>1777</v>
      </c>
      <c r="P10" t="s">
        <v>1778</v>
      </c>
      <c r="Q10">
        <v>-14.55</v>
      </c>
      <c r="R10" t="s">
        <v>1779</v>
      </c>
      <c r="S10">
        <v>654829660</v>
      </c>
      <c r="T10" s="31">
        <v>1.54E-2</v>
      </c>
      <c r="U10" t="s">
        <v>576</v>
      </c>
      <c r="V10">
        <v>103794292</v>
      </c>
      <c r="W10">
        <v>175626330</v>
      </c>
      <c r="X10">
        <v>1.29</v>
      </c>
      <c r="Y10">
        <v>0.3</v>
      </c>
      <c r="Z10">
        <v>21.48</v>
      </c>
      <c r="AA10" t="s">
        <v>1780</v>
      </c>
      <c r="AB10" t="s">
        <v>1781</v>
      </c>
      <c r="AC10" t="s">
        <v>1782</v>
      </c>
      <c r="AD10" t="s">
        <v>1783</v>
      </c>
      <c r="AE10" t="s">
        <v>542</v>
      </c>
      <c r="AF10">
        <v>-139607120</v>
      </c>
      <c r="AG10" t="s">
        <v>1784</v>
      </c>
      <c r="AH10" t="s">
        <v>1785</v>
      </c>
      <c r="AI10" t="s">
        <v>1786</v>
      </c>
      <c r="AJ10" t="s">
        <v>1787</v>
      </c>
      <c r="AK10" t="s">
        <v>1788</v>
      </c>
      <c r="AL10" t="s">
        <v>1789</v>
      </c>
      <c r="AM10" t="s">
        <v>1790</v>
      </c>
      <c r="AN10" t="s">
        <v>316</v>
      </c>
      <c r="AO10" t="s">
        <v>1791</v>
      </c>
      <c r="AP10" t="s">
        <v>316</v>
      </c>
      <c r="AQ10" t="s">
        <v>1792</v>
      </c>
      <c r="AR10" t="s">
        <v>881</v>
      </c>
      <c r="AS10" t="s">
        <v>316</v>
      </c>
      <c r="AT10" t="s">
        <v>1793</v>
      </c>
      <c r="AU10" t="s">
        <v>316</v>
      </c>
      <c r="AV10" t="s">
        <v>1794</v>
      </c>
      <c r="AW10" t="s">
        <v>1795</v>
      </c>
      <c r="AX10" t="s">
        <v>1796</v>
      </c>
      <c r="AY10" t="s">
        <v>1358</v>
      </c>
      <c r="AZ10" t="s">
        <v>1756</v>
      </c>
      <c r="BA10" t="s">
        <v>458</v>
      </c>
      <c r="BB10" t="s">
        <v>1797</v>
      </c>
      <c r="BC10" t="s">
        <v>1260</v>
      </c>
      <c r="BD10" t="s">
        <v>615</v>
      </c>
      <c r="BE10" t="s">
        <v>1739</v>
      </c>
      <c r="BF10" t="s">
        <v>1798</v>
      </c>
      <c r="BG10" t="s">
        <v>1799</v>
      </c>
      <c r="BH10" t="s">
        <v>1800</v>
      </c>
      <c r="BI10" t="s">
        <v>1801</v>
      </c>
      <c r="BJ10" t="s">
        <v>1802</v>
      </c>
      <c r="BK10" t="s">
        <v>1803</v>
      </c>
      <c r="BL10" t="s">
        <v>451</v>
      </c>
      <c r="BM10" t="s">
        <v>1804</v>
      </c>
      <c r="BN10" t="s">
        <v>1805</v>
      </c>
      <c r="BO10">
        <v>5.96</v>
      </c>
      <c r="BP10">
        <v>9.3800000000000008</v>
      </c>
      <c r="BQ10">
        <v>16.88</v>
      </c>
      <c r="BR10">
        <v>5.87</v>
      </c>
      <c r="BS10">
        <v>11.1</v>
      </c>
      <c r="BT10">
        <v>47.16</v>
      </c>
      <c r="BU10" t="s">
        <v>1806</v>
      </c>
      <c r="BV10" t="s">
        <v>220</v>
      </c>
      <c r="BW10">
        <v>37.93</v>
      </c>
      <c r="BX10">
        <v>30.03</v>
      </c>
      <c r="BY10">
        <v>43.52</v>
      </c>
      <c r="BZ10">
        <v>27.11</v>
      </c>
      <c r="CA10">
        <v>15.33</v>
      </c>
      <c r="CB10">
        <v>24.51</v>
      </c>
      <c r="CC10">
        <v>-8.69</v>
      </c>
      <c r="CD10">
        <v>17.75</v>
      </c>
      <c r="CE10" t="s">
        <v>1807</v>
      </c>
      <c r="CF10" t="s">
        <v>245</v>
      </c>
      <c r="CG10" s="32">
        <v>-0.71295215869311557</v>
      </c>
      <c r="CH10" s="33">
        <v>-1.1001846194225722</v>
      </c>
      <c r="CI10" s="32">
        <v>1.9146873950958252</v>
      </c>
      <c r="CJ10" s="32">
        <v>0.84196436405181885</v>
      </c>
      <c r="CK10" s="32">
        <v>0.36585366725921631</v>
      </c>
      <c r="CL10" s="32">
        <v>0.92488265037536621</v>
      </c>
      <c r="CM10" s="32">
        <v>1.9790209531784058</v>
      </c>
      <c r="CN10" s="33">
        <v>3.0284807682037354</v>
      </c>
      <c r="CO10" s="33">
        <v>0.15328466892242432</v>
      </c>
      <c r="CP10" s="33">
        <v>0.90277779102325439</v>
      </c>
      <c r="CQ10" s="33">
        <v>2.1676688194274902</v>
      </c>
      <c r="CR10" s="33">
        <v>2.0302391052246094</v>
      </c>
      <c r="CS10">
        <v>45.705966382190461</v>
      </c>
      <c r="CT10">
        <v>0.37921394112945761</v>
      </c>
      <c r="CU10">
        <v>2.5025829411089426</v>
      </c>
      <c r="CV10" s="32">
        <v>1.2052818059921264</v>
      </c>
      <c r="CW10" s="33">
        <v>1.6564902305603026</v>
      </c>
      <c r="CX10">
        <v>0.06</v>
      </c>
      <c r="CY10">
        <v>3.1874908032866611</v>
      </c>
      <c r="CZ10">
        <v>2648418621.7245069</v>
      </c>
      <c r="DA10">
        <v>1.2052818059921264</v>
      </c>
      <c r="DB10">
        <v>0.46035163362376319</v>
      </c>
      <c r="DC10">
        <v>18337743115.080013</v>
      </c>
      <c r="DD10">
        <v>1.1450177156925201</v>
      </c>
      <c r="DE10">
        <v>6.0788132355932833E-2</v>
      </c>
      <c r="DF10">
        <v>138872665976.48795</v>
      </c>
      <c r="DG10">
        <v>1.0606479892730714</v>
      </c>
      <c r="DH10">
        <v>6.4083851761818807E-3</v>
      </c>
      <c r="DI10">
        <v>1317306898370.5557</v>
      </c>
      <c r="DJ10">
        <v>0.9642254447937012</v>
      </c>
      <c r="DK10">
        <v>4.3893249324487727E-5</v>
      </c>
      <c r="DL10">
        <v>192325930067117.97</v>
      </c>
      <c r="DM10">
        <v>0.84369726419448843</v>
      </c>
      <c r="DN10">
        <v>1273000000</v>
      </c>
      <c r="DO10">
        <v>1.2052818059921264</v>
      </c>
      <c r="DP10">
        <v>8441810000</v>
      </c>
      <c r="DQ10">
        <v>7454480900</v>
      </c>
      <c r="DR10">
        <v>4603</v>
      </c>
      <c r="DS10">
        <v>-1.918233964685242</v>
      </c>
      <c r="DT10">
        <v>-2.7566748499828746</v>
      </c>
      <c r="DU10" s="34">
        <v>1.0933333333333335</v>
      </c>
      <c r="DV10">
        <v>1.7541666666666671</v>
      </c>
      <c r="DW10">
        <v>2.8475000000000006</v>
      </c>
      <c r="DX10">
        <v>-7.3286686838124053</v>
      </c>
      <c r="DY10">
        <v>0.35265928571428429</v>
      </c>
      <c r="DZ10">
        <v>-7.0468876396693325</v>
      </c>
      <c r="EA10">
        <v>3</v>
      </c>
      <c r="EB10">
        <v>-7.0468601503359327</v>
      </c>
      <c r="EC10">
        <v>7</v>
      </c>
      <c r="ED10">
        <v>0.11372041993931092</v>
      </c>
      <c r="EE10">
        <v>0.79714698815376939</v>
      </c>
      <c r="EF10" s="35">
        <v>-1.1244000000000001</v>
      </c>
      <c r="EG10">
        <v>-1.0650999999999999</v>
      </c>
      <c r="EH10">
        <v>21.142659285714284</v>
      </c>
      <c r="EI10" t="s">
        <v>532</v>
      </c>
      <c r="EJ10">
        <v>0</v>
      </c>
      <c r="EK10">
        <v>1</v>
      </c>
      <c r="EL10" s="36">
        <v>45378</v>
      </c>
      <c r="EM10">
        <v>-0.3</v>
      </c>
      <c r="EN10">
        <v>-2.9</v>
      </c>
      <c r="EO10">
        <v>-3.7100000000000001E-2</v>
      </c>
      <c r="EP10">
        <v>6.44</v>
      </c>
      <c r="EQ10">
        <v>-5.93</v>
      </c>
    </row>
    <row r="11" spans="1:147" ht="168.75" x14ac:dyDescent="0.3">
      <c r="B11" s="30" t="s">
        <v>1809</v>
      </c>
      <c r="C11" s="30" t="s">
        <v>1810</v>
      </c>
      <c r="D11" s="30" t="s">
        <v>1848</v>
      </c>
      <c r="E11" t="s">
        <v>277</v>
      </c>
      <c r="F11" t="s">
        <v>278</v>
      </c>
      <c r="G11">
        <v>72.2</v>
      </c>
      <c r="H11">
        <v>-6.14</v>
      </c>
      <c r="I11" t="s">
        <v>1811</v>
      </c>
      <c r="J11">
        <v>8086400000</v>
      </c>
      <c r="K11">
        <v>28.07</v>
      </c>
      <c r="L11">
        <v>2.1800000000000002</v>
      </c>
      <c r="M11" t="s">
        <v>171</v>
      </c>
      <c r="N11" t="s">
        <v>1812</v>
      </c>
      <c r="O11" t="s">
        <v>1813</v>
      </c>
      <c r="P11" t="s">
        <v>1814</v>
      </c>
      <c r="Q11">
        <v>4.38</v>
      </c>
      <c r="R11" t="s">
        <v>1815</v>
      </c>
      <c r="S11">
        <v>180378570</v>
      </c>
      <c r="T11" s="31">
        <v>-0.28649999999999998</v>
      </c>
      <c r="U11" t="s">
        <v>1816</v>
      </c>
      <c r="V11">
        <v>57095463</v>
      </c>
      <c r="W11">
        <v>112000000</v>
      </c>
      <c r="X11">
        <v>1.41</v>
      </c>
      <c r="Y11">
        <v>0.19</v>
      </c>
      <c r="Z11">
        <v>17.79</v>
      </c>
      <c r="AA11" t="s">
        <v>516</v>
      </c>
      <c r="AB11" t="s">
        <v>1817</v>
      </c>
      <c r="AC11" t="s">
        <v>1818</v>
      </c>
      <c r="AD11" t="s">
        <v>1819</v>
      </c>
      <c r="AE11" t="s">
        <v>1820</v>
      </c>
      <c r="AF11">
        <v>-39071534</v>
      </c>
      <c r="AG11" t="s">
        <v>1821</v>
      </c>
      <c r="AH11" t="s">
        <v>1822</v>
      </c>
      <c r="AI11" t="s">
        <v>1823</v>
      </c>
      <c r="AJ11" t="s">
        <v>1824</v>
      </c>
      <c r="AK11" t="s">
        <v>1825</v>
      </c>
      <c r="AL11" t="s">
        <v>316</v>
      </c>
      <c r="AM11" t="s">
        <v>1826</v>
      </c>
      <c r="AN11" t="s">
        <v>316</v>
      </c>
      <c r="AO11" t="s">
        <v>1827</v>
      </c>
      <c r="AP11" t="s">
        <v>1828</v>
      </c>
      <c r="AQ11" t="s">
        <v>466</v>
      </c>
      <c r="AR11" t="s">
        <v>1829</v>
      </c>
      <c r="AS11" t="s">
        <v>316</v>
      </c>
      <c r="AT11" t="s">
        <v>1830</v>
      </c>
      <c r="AU11" t="s">
        <v>1831</v>
      </c>
      <c r="AV11" t="s">
        <v>1832</v>
      </c>
      <c r="AW11" t="s">
        <v>1833</v>
      </c>
      <c r="AX11" t="s">
        <v>1834</v>
      </c>
      <c r="AY11" t="s">
        <v>1205</v>
      </c>
      <c r="AZ11" t="s">
        <v>1835</v>
      </c>
      <c r="BA11" t="s">
        <v>613</v>
      </c>
      <c r="BB11" t="s">
        <v>1836</v>
      </c>
      <c r="BC11" t="s">
        <v>316</v>
      </c>
      <c r="BD11" t="s">
        <v>308</v>
      </c>
      <c r="BE11" t="s">
        <v>1837</v>
      </c>
      <c r="BF11" t="s">
        <v>1838</v>
      </c>
      <c r="BG11" t="s">
        <v>1839</v>
      </c>
      <c r="BH11" t="s">
        <v>316</v>
      </c>
      <c r="BI11" t="s">
        <v>1840</v>
      </c>
      <c r="BJ11" t="s">
        <v>1841</v>
      </c>
      <c r="BK11" t="s">
        <v>1842</v>
      </c>
      <c r="BL11" t="s">
        <v>466</v>
      </c>
      <c r="BM11" t="s">
        <v>979</v>
      </c>
      <c r="BN11" t="s">
        <v>1843</v>
      </c>
      <c r="BO11">
        <v>2.57</v>
      </c>
      <c r="BP11">
        <v>36.81</v>
      </c>
      <c r="BQ11">
        <v>46.15</v>
      </c>
      <c r="BR11">
        <v>3.12</v>
      </c>
      <c r="BS11">
        <v>42.58</v>
      </c>
      <c r="BT11" t="s">
        <v>316</v>
      </c>
      <c r="BU11" t="s">
        <v>1844</v>
      </c>
      <c r="BV11" t="s">
        <v>1845</v>
      </c>
      <c r="BW11">
        <v>41.42</v>
      </c>
      <c r="BX11">
        <v>37.36</v>
      </c>
      <c r="BY11">
        <v>38.450000000000003</v>
      </c>
      <c r="BZ11">
        <v>19.71</v>
      </c>
      <c r="CA11">
        <v>15.5</v>
      </c>
      <c r="CB11">
        <v>15.46</v>
      </c>
      <c r="CC11">
        <v>-17.829999999999998</v>
      </c>
      <c r="CD11">
        <v>-10.41</v>
      </c>
      <c r="CE11" t="s">
        <v>1846</v>
      </c>
      <c r="CF11" t="s">
        <v>1847</v>
      </c>
      <c r="CG11" s="32">
        <v>-0.27842227378190237</v>
      </c>
      <c r="CH11" s="33">
        <v>-0.62597927419354837</v>
      </c>
      <c r="CI11" s="32">
        <v>1.0120301246643066</v>
      </c>
      <c r="CJ11" s="32">
        <v>0.35991820693016052</v>
      </c>
      <c r="CK11" s="32">
        <v>0.27012985944747925</v>
      </c>
      <c r="CL11" s="32">
        <v>0.63135594129562378</v>
      </c>
      <c r="CM11" s="32" t="s">
        <v>316</v>
      </c>
      <c r="CN11" s="33">
        <v>2.5048544406890869</v>
      </c>
      <c r="CO11" s="33">
        <v>0.34091004729270935</v>
      </c>
      <c r="CP11" s="33">
        <v>2.5622003078460693</v>
      </c>
      <c r="CQ11" s="33">
        <v>0.70739144086837769</v>
      </c>
      <c r="CR11" s="33" t="s">
        <v>316</v>
      </c>
      <c r="CS11">
        <v>70.315726865696305</v>
      </c>
      <c r="CT11">
        <v>1.2371720097893824</v>
      </c>
      <c r="CU11">
        <v>3.047091412742382</v>
      </c>
      <c r="CV11" s="32">
        <v>0.56835853308439255</v>
      </c>
      <c r="CW11" s="33">
        <v>1.5288390591740608</v>
      </c>
      <c r="CX11">
        <v>0.06</v>
      </c>
      <c r="CY11">
        <v>10.94378487525864</v>
      </c>
      <c r="CZ11">
        <v>534129651.36176008</v>
      </c>
      <c r="DA11">
        <v>0.56835853308439255</v>
      </c>
      <c r="DB11">
        <v>2.4424593568772015</v>
      </c>
      <c r="DC11">
        <v>2393243508.2455649</v>
      </c>
      <c r="DD11">
        <v>0.53994060643017294</v>
      </c>
      <c r="DE11">
        <v>0.67533095818884548</v>
      </c>
      <c r="DF11">
        <v>8655607934.3328838</v>
      </c>
      <c r="DG11">
        <v>0.50015550911426543</v>
      </c>
      <c r="DH11">
        <v>0.19358922123094244</v>
      </c>
      <c r="DI11">
        <v>30194862931.065384</v>
      </c>
      <c r="DJ11">
        <v>0.45468682646751407</v>
      </c>
      <c r="DK11">
        <v>1.5530707419053555E-2</v>
      </c>
      <c r="DL11">
        <v>376376931344.97412</v>
      </c>
      <c r="DM11">
        <v>0.39785097315907475</v>
      </c>
      <c r="DN11">
        <v>361000000</v>
      </c>
      <c r="DO11">
        <v>0.56835853308439255</v>
      </c>
      <c r="DP11">
        <v>5845400000</v>
      </c>
      <c r="DQ11">
        <v>3372187500</v>
      </c>
      <c r="DR11">
        <v>4850</v>
      </c>
      <c r="DS11">
        <v>-0.84678080686629498</v>
      </c>
      <c r="DT11">
        <v>-2.1548183333676092</v>
      </c>
      <c r="DU11" s="34">
        <v>0.49199999999999988</v>
      </c>
      <c r="DV11">
        <v>1.0539999999999998</v>
      </c>
      <c r="DW11">
        <v>1.5459999999999998</v>
      </c>
      <c r="DX11">
        <v>-5.5838474481211442</v>
      </c>
      <c r="DY11">
        <v>0.39736577852776689</v>
      </c>
      <c r="DZ11">
        <v>-5.0977160826962447</v>
      </c>
      <c r="EA11">
        <v>74</v>
      </c>
      <c r="EB11">
        <v>-5.0963029519322181</v>
      </c>
      <c r="EC11">
        <v>5</v>
      </c>
      <c r="ED11">
        <v>9.3336607142857131E-2</v>
      </c>
      <c r="EE11">
        <v>0.55768035714285724</v>
      </c>
      <c r="EF11" s="35">
        <v>-3.0842000000000001</v>
      </c>
      <c r="EG11">
        <v>-3.0228000000000002</v>
      </c>
      <c r="EH11">
        <v>23.167365778527767</v>
      </c>
      <c r="EI11" t="s">
        <v>347</v>
      </c>
      <c r="EJ11">
        <v>0</v>
      </c>
      <c r="EK11">
        <v>1</v>
      </c>
      <c r="EL11" s="36">
        <v>45378</v>
      </c>
      <c r="EM11">
        <v>0.68</v>
      </c>
      <c r="EN11">
        <v>-6.01</v>
      </c>
      <c r="EO11">
        <v>-4.9099999999999998E-2</v>
      </c>
      <c r="EP11">
        <v>1.37</v>
      </c>
      <c r="EQ11">
        <v>-6.14</v>
      </c>
    </row>
    <row r="12" spans="1:147" ht="213.75" x14ac:dyDescent="0.3">
      <c r="B12" s="38"/>
      <c r="C12" s="38"/>
      <c r="D12" s="30" t="s">
        <v>1882</v>
      </c>
      <c r="E12" t="s">
        <v>279</v>
      </c>
      <c r="F12" t="s">
        <v>280</v>
      </c>
      <c r="G12">
        <v>35.5</v>
      </c>
      <c r="H12">
        <v>2.75E-2</v>
      </c>
      <c r="I12" t="s">
        <v>1849</v>
      </c>
      <c r="J12">
        <v>5913175800</v>
      </c>
      <c r="K12">
        <v>23.24</v>
      </c>
      <c r="L12">
        <v>2.2200000000000002</v>
      </c>
      <c r="M12" t="s">
        <v>281</v>
      </c>
      <c r="N12" t="s">
        <v>1850</v>
      </c>
      <c r="O12" t="s">
        <v>1851</v>
      </c>
      <c r="P12" t="s">
        <v>390</v>
      </c>
      <c r="Q12">
        <v>34.049999999999997</v>
      </c>
      <c r="R12" t="s">
        <v>1852</v>
      </c>
      <c r="S12">
        <v>165401140</v>
      </c>
      <c r="T12" s="31">
        <v>0.51490000000000002</v>
      </c>
      <c r="U12" t="s">
        <v>1380</v>
      </c>
      <c r="V12">
        <v>166568330</v>
      </c>
      <c r="W12">
        <v>166568330</v>
      </c>
      <c r="X12">
        <v>1.28</v>
      </c>
      <c r="Y12">
        <v>0.33</v>
      </c>
      <c r="Z12">
        <v>21.71</v>
      </c>
      <c r="AA12" t="s">
        <v>1853</v>
      </c>
      <c r="AB12" t="s">
        <v>1854</v>
      </c>
      <c r="AC12" t="s">
        <v>1855</v>
      </c>
      <c r="AD12" t="s">
        <v>1856</v>
      </c>
      <c r="AE12" t="s">
        <v>1857</v>
      </c>
      <c r="AF12">
        <v>1097543</v>
      </c>
      <c r="AG12" t="s">
        <v>1858</v>
      </c>
      <c r="AH12" t="s">
        <v>1859</v>
      </c>
      <c r="AI12" t="s">
        <v>1860</v>
      </c>
      <c r="AJ12" t="s">
        <v>1466</v>
      </c>
      <c r="AK12" t="s">
        <v>1861</v>
      </c>
      <c r="AL12" t="s">
        <v>1862</v>
      </c>
      <c r="AM12" t="s">
        <v>1863</v>
      </c>
      <c r="AN12" t="s">
        <v>316</v>
      </c>
      <c r="AO12" t="s">
        <v>1864</v>
      </c>
      <c r="AP12" t="s">
        <v>1865</v>
      </c>
      <c r="AQ12" t="s">
        <v>1866</v>
      </c>
      <c r="AR12" t="s">
        <v>1002</v>
      </c>
      <c r="AS12" t="s">
        <v>316</v>
      </c>
      <c r="AT12" t="s">
        <v>1693</v>
      </c>
      <c r="AU12" t="s">
        <v>316</v>
      </c>
      <c r="AV12" t="s">
        <v>1867</v>
      </c>
      <c r="AW12" t="s">
        <v>1868</v>
      </c>
      <c r="AX12" t="s">
        <v>1869</v>
      </c>
      <c r="AY12" t="s">
        <v>1870</v>
      </c>
      <c r="AZ12" t="s">
        <v>1871</v>
      </c>
      <c r="BA12" t="s">
        <v>1850</v>
      </c>
      <c r="BB12" t="s">
        <v>1232</v>
      </c>
      <c r="BC12" t="s">
        <v>1872</v>
      </c>
      <c r="BD12" t="s">
        <v>682</v>
      </c>
      <c r="BE12" t="s">
        <v>334</v>
      </c>
      <c r="BF12" t="s">
        <v>1873</v>
      </c>
      <c r="BG12" t="s">
        <v>1874</v>
      </c>
      <c r="BH12" t="s">
        <v>1875</v>
      </c>
      <c r="BI12" t="s">
        <v>1238</v>
      </c>
      <c r="BJ12" t="s">
        <v>1876</v>
      </c>
      <c r="BK12" t="s">
        <v>1877</v>
      </c>
      <c r="BL12" t="s">
        <v>308</v>
      </c>
      <c r="BM12" t="s">
        <v>1497</v>
      </c>
      <c r="BN12" t="s">
        <v>1878</v>
      </c>
      <c r="BO12">
        <v>2.0499999999999998</v>
      </c>
      <c r="BP12">
        <v>8.4499999999999993</v>
      </c>
      <c r="BQ12">
        <v>8.2200000000000006</v>
      </c>
      <c r="BR12">
        <v>1.71</v>
      </c>
      <c r="BS12">
        <v>8.49</v>
      </c>
      <c r="BT12">
        <v>8.92</v>
      </c>
      <c r="BU12" t="s">
        <v>529</v>
      </c>
      <c r="BV12" t="s">
        <v>1879</v>
      </c>
      <c r="BW12">
        <v>45.44</v>
      </c>
      <c r="BX12">
        <v>39.93</v>
      </c>
      <c r="BY12">
        <v>39.89</v>
      </c>
      <c r="BZ12">
        <v>19.05</v>
      </c>
      <c r="CA12">
        <v>14.61</v>
      </c>
      <c r="CB12">
        <v>12.67</v>
      </c>
      <c r="CC12">
        <v>7.84</v>
      </c>
      <c r="CD12">
        <v>-4.93</v>
      </c>
      <c r="CE12" t="s">
        <v>1880</v>
      </c>
      <c r="CF12" t="s">
        <v>1881</v>
      </c>
      <c r="CG12" s="32">
        <v>0.29304029304029333</v>
      </c>
      <c r="CH12" s="33">
        <v>0.43260212269186482</v>
      </c>
      <c r="CI12" s="32">
        <v>8.2383990287780762E-2</v>
      </c>
      <c r="CJ12" s="32">
        <v>0.19852934777736664</v>
      </c>
      <c r="CK12" s="32">
        <v>0.24281984567642212</v>
      </c>
      <c r="CL12" s="32">
        <v>0.87745100259780884</v>
      </c>
      <c r="CM12" s="32">
        <v>0.78165936470031738</v>
      </c>
      <c r="CN12" s="33">
        <v>0.24528302252292633</v>
      </c>
      <c r="CO12" s="33">
        <v>0.32499998807907104</v>
      </c>
      <c r="CP12" s="33">
        <v>0.33177521824836731</v>
      </c>
      <c r="CQ12" s="33">
        <v>0.77683573961257935</v>
      </c>
      <c r="CR12" s="33">
        <v>0.32931828498840332</v>
      </c>
      <c r="CS12">
        <v>54.086843710773422</v>
      </c>
      <c r="CT12">
        <v>1.2389079300944787</v>
      </c>
      <c r="CU12">
        <v>0</v>
      </c>
      <c r="CV12" s="32">
        <v>0.43656871020793914</v>
      </c>
      <c r="CW12" s="33">
        <v>0.40164245069026949</v>
      </c>
      <c r="CX12">
        <v>0.06</v>
      </c>
      <c r="CY12">
        <v>14.590344277770157</v>
      </c>
      <c r="CZ12">
        <v>268340193.03884146</v>
      </c>
      <c r="DA12">
        <v>0.43656871020793914</v>
      </c>
      <c r="DB12">
        <v>3.5994985789835172</v>
      </c>
      <c r="DC12">
        <v>1087700332.1683846</v>
      </c>
      <c r="DD12">
        <v>0.41474027469754216</v>
      </c>
      <c r="DE12">
        <v>1.1700007727388304</v>
      </c>
      <c r="DF12">
        <v>3346301892.4637518</v>
      </c>
      <c r="DG12">
        <v>0.38418046498298647</v>
      </c>
      <c r="DH12">
        <v>0.41700413946061099</v>
      </c>
      <c r="DI12">
        <v>9388817590.7899265</v>
      </c>
      <c r="DJ12">
        <v>0.34925496816635132</v>
      </c>
      <c r="DK12">
        <v>5.8506836483283343E-2</v>
      </c>
      <c r="DL12">
        <v>66918261784.990707</v>
      </c>
      <c r="DM12">
        <v>0.30559809714555736</v>
      </c>
      <c r="DN12">
        <v>198000000</v>
      </c>
      <c r="DO12">
        <v>0.43656871020793914</v>
      </c>
      <c r="DP12">
        <v>3915175800</v>
      </c>
      <c r="DQ12">
        <v>1399369900</v>
      </c>
      <c r="DR12">
        <v>4344</v>
      </c>
      <c r="DS12">
        <v>-0.14352841716764581</v>
      </c>
      <c r="DT12">
        <v>3.0959672001595329E-2</v>
      </c>
      <c r="DU12" s="34">
        <v>0.27666666666666662</v>
      </c>
      <c r="DV12">
        <v>1.0033333333333332</v>
      </c>
      <c r="DW12">
        <v>1.2799999999999998</v>
      </c>
      <c r="DX12">
        <v>5.6288265306122449</v>
      </c>
      <c r="DY12">
        <v>0.46647645924930176</v>
      </c>
      <c r="DZ12">
        <v>5.0858200183799811</v>
      </c>
      <c r="EA12">
        <v>157</v>
      </c>
      <c r="EB12">
        <v>5.0831848251694085</v>
      </c>
      <c r="EC12">
        <v>5</v>
      </c>
      <c r="ED12">
        <v>6.265296650329627E-2</v>
      </c>
      <c r="EE12">
        <v>0.45907526358702161</v>
      </c>
      <c r="EF12" s="35">
        <v>-1.077761</v>
      </c>
      <c r="EG12">
        <v>-1.0780749999999999</v>
      </c>
      <c r="EH12">
        <v>33.136476459249302</v>
      </c>
      <c r="EI12" t="s">
        <v>532</v>
      </c>
      <c r="EJ12">
        <v>1</v>
      </c>
      <c r="EK12">
        <v>1</v>
      </c>
      <c r="EL12" s="36">
        <v>45345</v>
      </c>
      <c r="EM12" s="37">
        <v>3.37</v>
      </c>
      <c r="EN12" s="37">
        <v>-6.7999999999999996E-3</v>
      </c>
      <c r="EO12" s="37">
        <v>-2.7000000000000001E-3</v>
      </c>
      <c r="EP12" s="37">
        <v>2.4899999999999999E-2</v>
      </c>
      <c r="EQ12" s="37">
        <v>2.75E-2</v>
      </c>
    </row>
    <row r="13" spans="1:147" ht="78.75" x14ac:dyDescent="0.3">
      <c r="B13" s="30"/>
      <c r="C13" s="30"/>
      <c r="D13" s="30" t="s">
        <v>1925</v>
      </c>
      <c r="E13" t="s">
        <v>282</v>
      </c>
      <c r="F13" t="s">
        <v>283</v>
      </c>
      <c r="G13">
        <v>9.5</v>
      </c>
      <c r="H13">
        <v>8.5000000000000006E-3</v>
      </c>
      <c r="I13" t="s">
        <v>1883</v>
      </c>
      <c r="J13">
        <v>8123312100</v>
      </c>
      <c r="K13">
        <v>127</v>
      </c>
      <c r="L13">
        <v>0.95899999999999996</v>
      </c>
      <c r="M13" t="s">
        <v>284</v>
      </c>
      <c r="N13" t="s">
        <v>1884</v>
      </c>
      <c r="O13" t="s">
        <v>1885</v>
      </c>
      <c r="P13" t="s">
        <v>1886</v>
      </c>
      <c r="Q13">
        <v>78.06</v>
      </c>
      <c r="R13" t="s">
        <v>1887</v>
      </c>
      <c r="S13">
        <v>259986900</v>
      </c>
      <c r="T13" s="31">
        <v>-0.77010000000000001</v>
      </c>
      <c r="U13" t="s">
        <v>1888</v>
      </c>
      <c r="V13">
        <v>855085490</v>
      </c>
      <c r="W13">
        <v>855085490</v>
      </c>
      <c r="X13">
        <v>1.83</v>
      </c>
      <c r="Y13">
        <v>0.97</v>
      </c>
      <c r="Z13">
        <v>1.84</v>
      </c>
      <c r="AA13" t="s">
        <v>1889</v>
      </c>
      <c r="AB13" t="s">
        <v>1890</v>
      </c>
      <c r="AC13" t="s">
        <v>1891</v>
      </c>
      <c r="AD13" t="s">
        <v>768</v>
      </c>
      <c r="AE13" t="s">
        <v>1892</v>
      </c>
      <c r="AF13">
        <v>69924744</v>
      </c>
      <c r="AG13" t="s">
        <v>1893</v>
      </c>
      <c r="AH13" t="s">
        <v>1894</v>
      </c>
      <c r="AI13" t="s">
        <v>1895</v>
      </c>
      <c r="AJ13" t="s">
        <v>1896</v>
      </c>
      <c r="AK13" t="s">
        <v>1897</v>
      </c>
      <c r="AL13" t="s">
        <v>1898</v>
      </c>
      <c r="AM13" t="s">
        <v>1899</v>
      </c>
      <c r="AN13" t="s">
        <v>316</v>
      </c>
      <c r="AO13" t="s">
        <v>1900</v>
      </c>
      <c r="AP13" t="s">
        <v>1901</v>
      </c>
      <c r="AQ13" t="s">
        <v>1902</v>
      </c>
      <c r="AR13" t="s">
        <v>1903</v>
      </c>
      <c r="AS13" t="s">
        <v>316</v>
      </c>
      <c r="AT13" t="s">
        <v>1904</v>
      </c>
      <c r="AU13" t="s">
        <v>1905</v>
      </c>
      <c r="AV13" t="s">
        <v>1906</v>
      </c>
      <c r="AW13" t="s">
        <v>741</v>
      </c>
      <c r="AX13" t="s">
        <v>1907</v>
      </c>
      <c r="AY13" t="s">
        <v>1908</v>
      </c>
      <c r="AZ13" t="s">
        <v>1909</v>
      </c>
      <c r="BA13" t="s">
        <v>1910</v>
      </c>
      <c r="BB13" t="s">
        <v>1911</v>
      </c>
      <c r="BC13" t="s">
        <v>1912</v>
      </c>
      <c r="BD13" t="s">
        <v>1913</v>
      </c>
      <c r="BE13" t="s">
        <v>1914</v>
      </c>
      <c r="BF13" t="s">
        <v>1915</v>
      </c>
      <c r="BG13" t="s">
        <v>1916</v>
      </c>
      <c r="BH13" t="s">
        <v>382</v>
      </c>
      <c r="BI13" t="s">
        <v>1917</v>
      </c>
      <c r="BJ13" t="s">
        <v>1918</v>
      </c>
      <c r="BK13" t="s">
        <v>1919</v>
      </c>
      <c r="BL13" t="s">
        <v>1920</v>
      </c>
      <c r="BM13" t="s">
        <v>1921</v>
      </c>
      <c r="BN13" t="s">
        <v>429</v>
      </c>
      <c r="BO13">
        <v>9.67</v>
      </c>
      <c r="BP13">
        <v>10.81</v>
      </c>
      <c r="BQ13">
        <v>12.58</v>
      </c>
      <c r="BR13">
        <v>11.15</v>
      </c>
      <c r="BS13">
        <v>13.7</v>
      </c>
      <c r="BT13">
        <v>14.36</v>
      </c>
      <c r="BU13" t="s">
        <v>1922</v>
      </c>
      <c r="BV13" t="s">
        <v>1923</v>
      </c>
      <c r="BW13">
        <v>6.19</v>
      </c>
      <c r="BX13">
        <v>18.05</v>
      </c>
      <c r="BY13">
        <v>14.81</v>
      </c>
      <c r="BZ13">
        <v>1.97</v>
      </c>
      <c r="CA13">
        <v>11.79</v>
      </c>
      <c r="CB13">
        <v>9.35</v>
      </c>
      <c r="CC13">
        <v>1.5</v>
      </c>
      <c r="CD13">
        <v>-2.2599999999999998</v>
      </c>
      <c r="CE13" t="s">
        <v>1924</v>
      </c>
      <c r="CF13" t="s">
        <v>397</v>
      </c>
      <c r="CG13" s="32">
        <v>0.94910786848910234</v>
      </c>
      <c r="CH13" s="33">
        <v>-0.58660144230769229</v>
      </c>
      <c r="CI13" s="32">
        <v>0.58727627992630005</v>
      </c>
      <c r="CJ13" s="32">
        <v>-7.4233151972293854E-2</v>
      </c>
      <c r="CK13" s="32">
        <v>-7.5124844908714294E-2</v>
      </c>
      <c r="CL13" s="32">
        <v>0.32471436262130737</v>
      </c>
      <c r="CM13" s="32">
        <v>0.56960833072662354</v>
      </c>
      <c r="CN13" s="33">
        <v>5.1743533462285995E-2</v>
      </c>
      <c r="CO13" s="33">
        <v>0.1666666716337204</v>
      </c>
      <c r="CP13" s="33">
        <v>-0.40000000596046448</v>
      </c>
      <c r="CQ13" s="33">
        <v>0.87039762735366821</v>
      </c>
      <c r="CR13" s="33">
        <v>0.61666667461395264</v>
      </c>
      <c r="CS13">
        <v>0.67829927354709418</v>
      </c>
      <c r="CT13">
        <v>7742822.9946524063</v>
      </c>
      <c r="CU13">
        <v>3.6842105263157894</v>
      </c>
      <c r="CV13" s="32">
        <v>0.26644819527864455</v>
      </c>
      <c r="CW13" s="33">
        <v>0.26109490022063253</v>
      </c>
      <c r="CX13">
        <v>0.06</v>
      </c>
      <c r="CY13">
        <v>5.9263226009142107</v>
      </c>
      <c r="CZ13">
        <v>1117102889.2316346</v>
      </c>
      <c r="DA13">
        <v>0.26644819527864455</v>
      </c>
      <c r="DB13">
        <v>1.6731006357768339</v>
      </c>
      <c r="DC13">
        <v>3956912069.9820528</v>
      </c>
      <c r="DD13">
        <v>0.25312578551471232</v>
      </c>
      <c r="DE13">
        <v>0.66941789831275322</v>
      </c>
      <c r="DF13">
        <v>9889655052.0777664</v>
      </c>
      <c r="DG13">
        <v>0.2344744118452072</v>
      </c>
      <c r="DH13">
        <v>0.31301084203036206</v>
      </c>
      <c r="DI13">
        <v>21150424237.885757</v>
      </c>
      <c r="DJ13">
        <v>0.21315855622291566</v>
      </c>
      <c r="DK13">
        <v>8.845223107724895E-2</v>
      </c>
      <c r="DL13">
        <v>74846185555.43512</v>
      </c>
      <c r="DM13">
        <v>0.18651373669505117</v>
      </c>
      <c r="DN13">
        <v>935000000</v>
      </c>
      <c r="DO13">
        <v>0.26644819527864455</v>
      </c>
      <c r="DP13">
        <v>6620312100</v>
      </c>
      <c r="DQ13">
        <v>1498065300</v>
      </c>
      <c r="DR13">
        <v>3840</v>
      </c>
      <c r="DS13">
        <v>0.68265967321045773</v>
      </c>
      <c r="DT13">
        <v>-0.84769634252832482</v>
      </c>
      <c r="DU13" s="34">
        <v>0.98333333333333328</v>
      </c>
      <c r="DV13">
        <v>9.999999999999936E-3</v>
      </c>
      <c r="DW13">
        <v>0.99333333333333318</v>
      </c>
      <c r="DX13">
        <v>-2.2599999999999999E-2</v>
      </c>
      <c r="DY13">
        <v>0.44815454545454542</v>
      </c>
      <c r="DZ13">
        <v>-3.348292727272727E-3</v>
      </c>
      <c r="EA13">
        <v>1611</v>
      </c>
      <c r="EB13">
        <v>-2.2521538157432896E-3</v>
      </c>
      <c r="EC13">
        <v>0</v>
      </c>
      <c r="ED13">
        <v>1.9058913045057052E-2</v>
      </c>
      <c r="EE13">
        <v>0.1286421080540146</v>
      </c>
      <c r="EF13" s="35">
        <v>6.989999999999999E-2</v>
      </c>
      <c r="EG13">
        <v>6.9985000000000006E-2</v>
      </c>
      <c r="EH13">
        <v>30.148154545454545</v>
      </c>
      <c r="EI13" t="s">
        <v>581</v>
      </c>
      <c r="EJ13">
        <v>0</v>
      </c>
      <c r="EK13">
        <v>0</v>
      </c>
      <c r="EL13" s="36">
        <v>44942</v>
      </c>
      <c r="EM13" s="37">
        <v>-8.5000000000000006E-3</v>
      </c>
      <c r="EN13" s="37">
        <v>2.0500000000000001E-2</v>
      </c>
      <c r="EO13">
        <v>-4.1999999999999997E-3</v>
      </c>
      <c r="EP13">
        <v>-0.11</v>
      </c>
      <c r="EQ13">
        <v>8.5000000000000006E-3</v>
      </c>
    </row>
    <row r="14" spans="1:147" ht="78.75" x14ac:dyDescent="0.3">
      <c r="D14" s="30" t="s">
        <v>1967</v>
      </c>
      <c r="E14" t="s">
        <v>285</v>
      </c>
      <c r="F14" t="s">
        <v>286</v>
      </c>
      <c r="G14">
        <v>2.4900000000000002</v>
      </c>
      <c r="H14">
        <v>-1.58</v>
      </c>
      <c r="I14" t="s">
        <v>287</v>
      </c>
      <c r="J14">
        <v>5850803600</v>
      </c>
      <c r="L14">
        <v>0.86799999999999999</v>
      </c>
      <c r="M14" t="s">
        <v>224</v>
      </c>
      <c r="N14" t="s">
        <v>1926</v>
      </c>
      <c r="O14" t="s">
        <v>1927</v>
      </c>
      <c r="P14" t="s">
        <v>1928</v>
      </c>
      <c r="Q14" s="31">
        <v>-19.5</v>
      </c>
      <c r="R14" t="s">
        <v>1929</v>
      </c>
      <c r="S14">
        <v>-304709900</v>
      </c>
      <c r="T14">
        <v>-0.1206</v>
      </c>
      <c r="U14" t="s">
        <v>1930</v>
      </c>
      <c r="V14">
        <v>2329471100</v>
      </c>
      <c r="W14">
        <v>2349720300</v>
      </c>
      <c r="X14">
        <v>1.9</v>
      </c>
      <c r="Y14">
        <v>0.37</v>
      </c>
      <c r="Z14">
        <v>-8.75</v>
      </c>
      <c r="AA14" t="s">
        <v>1931</v>
      </c>
      <c r="AB14" t="s">
        <v>1932</v>
      </c>
      <c r="AC14" t="s">
        <v>1933</v>
      </c>
      <c r="AD14" t="s">
        <v>1934</v>
      </c>
      <c r="AE14" t="s">
        <v>1209</v>
      </c>
      <c r="AF14">
        <v>201305080</v>
      </c>
      <c r="AG14" t="s">
        <v>1935</v>
      </c>
      <c r="AH14" t="s">
        <v>1936</v>
      </c>
      <c r="AI14" t="s">
        <v>1937</v>
      </c>
      <c r="AJ14" t="s">
        <v>1938</v>
      </c>
      <c r="AK14" t="s">
        <v>1939</v>
      </c>
      <c r="AL14" t="s">
        <v>1021</v>
      </c>
      <c r="AM14" t="s">
        <v>1940</v>
      </c>
      <c r="AN14" t="s">
        <v>316</v>
      </c>
      <c r="AO14" t="s">
        <v>1941</v>
      </c>
      <c r="AP14" t="s">
        <v>1942</v>
      </c>
      <c r="AQ14" t="s">
        <v>1943</v>
      </c>
      <c r="AR14" t="s">
        <v>845</v>
      </c>
      <c r="AS14" t="s">
        <v>316</v>
      </c>
      <c r="AT14" t="s">
        <v>1944</v>
      </c>
      <c r="AU14" t="s">
        <v>1469</v>
      </c>
      <c r="AV14" t="s">
        <v>1316</v>
      </c>
      <c r="AW14" t="s">
        <v>1945</v>
      </c>
      <c r="AX14" t="s">
        <v>1946</v>
      </c>
      <c r="AY14" t="s">
        <v>1947</v>
      </c>
      <c r="AZ14" t="s">
        <v>1948</v>
      </c>
      <c r="BA14" t="s">
        <v>1949</v>
      </c>
      <c r="BB14" t="s">
        <v>1950</v>
      </c>
      <c r="BC14" t="s">
        <v>1951</v>
      </c>
      <c r="BD14" t="s">
        <v>1952</v>
      </c>
      <c r="BE14" t="s">
        <v>1953</v>
      </c>
      <c r="BF14" t="s">
        <v>1954</v>
      </c>
      <c r="BG14" t="s">
        <v>1955</v>
      </c>
      <c r="BH14" t="s">
        <v>1956</v>
      </c>
      <c r="BI14" t="s">
        <v>1957</v>
      </c>
      <c r="BJ14" t="s">
        <v>1958</v>
      </c>
      <c r="BK14" t="s">
        <v>1959</v>
      </c>
      <c r="BL14" t="s">
        <v>1960</v>
      </c>
      <c r="BM14" t="s">
        <v>1961</v>
      </c>
      <c r="BN14" t="s">
        <v>1962</v>
      </c>
      <c r="BO14" t="s">
        <v>316</v>
      </c>
      <c r="BP14">
        <v>0.95</v>
      </c>
      <c r="BQ14" t="s">
        <v>316</v>
      </c>
      <c r="BR14">
        <v>-2</v>
      </c>
      <c r="BS14">
        <v>1.02</v>
      </c>
      <c r="BT14">
        <v>-15.53</v>
      </c>
      <c r="BU14" t="s">
        <v>529</v>
      </c>
      <c r="BV14" t="s">
        <v>1963</v>
      </c>
      <c r="BW14">
        <v>0.77</v>
      </c>
      <c r="BX14">
        <v>12.78</v>
      </c>
      <c r="BY14">
        <v>12.96</v>
      </c>
      <c r="BZ14">
        <v>-7.56</v>
      </c>
      <c r="CA14">
        <v>1</v>
      </c>
      <c r="CB14">
        <v>-18.97</v>
      </c>
      <c r="CC14">
        <v>-10.11</v>
      </c>
      <c r="CD14" s="32">
        <v>-1.19</v>
      </c>
      <c r="CE14" s="33" t="s">
        <v>1964</v>
      </c>
      <c r="CF14" s="32" t="s">
        <v>1965</v>
      </c>
      <c r="CG14" s="32">
        <v>-0.10861217772901831</v>
      </c>
      <c r="CH14" s="32">
        <v>-0.11056370967741935</v>
      </c>
      <c r="CI14" s="32">
        <v>0.5026932954788208</v>
      </c>
      <c r="CJ14" s="32">
        <v>-0.19318664073944092</v>
      </c>
      <c r="CK14" s="33">
        <v>-0.15914176404476166</v>
      </c>
      <c r="CL14" s="33">
        <v>-0.4484754204750061</v>
      </c>
      <c r="CM14" s="33">
        <v>-0.31573092937469482</v>
      </c>
      <c r="CN14" s="33">
        <v>-10.87712574005127</v>
      </c>
      <c r="CO14" s="33">
        <v>1.0589855909347534</v>
      </c>
      <c r="CP14">
        <v>-10.928057670593262</v>
      </c>
      <c r="CQ14">
        <v>-0.72529643774032593</v>
      </c>
      <c r="CR14">
        <v>-0.80070894956588745</v>
      </c>
      <c r="CS14" s="32">
        <v>32.462377573076097</v>
      </c>
      <c r="CT14" s="33">
        <v>2.6441988471875688</v>
      </c>
      <c r="CU14">
        <v>0</v>
      </c>
      <c r="CV14">
        <v>-0.12276829183101653</v>
      </c>
      <c r="CW14">
        <v>-4.4544406414031981</v>
      </c>
      <c r="CX14">
        <v>0.06</v>
      </c>
      <c r="CY14" t="e">
        <v>#VALUE!</v>
      </c>
      <c r="CZ14" t="s">
        <v>1286</v>
      </c>
      <c r="DA14">
        <v>-0.12276829183101653</v>
      </c>
      <c r="DB14" t="e">
        <v>#VALUE!</v>
      </c>
      <c r="DC14" t="s">
        <v>1287</v>
      </c>
      <c r="DD14">
        <v>-0.1166298772394657</v>
      </c>
      <c r="DE14" t="e">
        <v>#VALUE!</v>
      </c>
      <c r="DF14" t="s">
        <v>1287</v>
      </c>
      <c r="DG14">
        <v>-0.10803609681129456</v>
      </c>
      <c r="DH14" t="e">
        <v>#VALUE!</v>
      </c>
      <c r="DI14" t="s">
        <v>1287</v>
      </c>
      <c r="DJ14">
        <v>-9.8214633464813239E-2</v>
      </c>
      <c r="DK14" t="e">
        <v>#VALUE!</v>
      </c>
      <c r="DL14" t="s">
        <v>1287</v>
      </c>
      <c r="DM14">
        <v>-8.5937804281711563E-2</v>
      </c>
      <c r="DN14">
        <v>-803999999.99999988</v>
      </c>
      <c r="DO14">
        <v>-0.12276829183101653</v>
      </c>
      <c r="DP14">
        <v>5111803600</v>
      </c>
      <c r="DQ14">
        <v>1144784200</v>
      </c>
      <c r="DR14" s="34">
        <v>1572</v>
      </c>
      <c r="DS14">
        <v>1.4156114101998227E-2</v>
      </c>
      <c r="DT14">
        <v>4.343876931725779</v>
      </c>
      <c r="DU14">
        <v>-0.77333333333333332</v>
      </c>
      <c r="DV14">
        <v>-2.4649999999999999</v>
      </c>
      <c r="DW14">
        <v>-3.2383333333333333</v>
      </c>
      <c r="DX14">
        <v>-5.1177052423343223</v>
      </c>
      <c r="DY14">
        <v>0.34355951056729717</v>
      </c>
      <c r="DZ14">
        <v>-5.0239600215207796</v>
      </c>
      <c r="EA14">
        <v>4953</v>
      </c>
      <c r="EB14">
        <v>-5.000763386143058</v>
      </c>
      <c r="EC14" s="35">
        <v>5</v>
      </c>
      <c r="ED14">
        <v>7.7881609994176759E-2</v>
      </c>
      <c r="EE14">
        <v>0.38259872887849672</v>
      </c>
      <c r="EF14">
        <v>-3.0434100000000002</v>
      </c>
      <c r="EG14">
        <v>-3.0592100000000002</v>
      </c>
      <c r="EH14">
        <v>14.203559510567297</v>
      </c>
      <c r="EI14" s="36" t="s">
        <v>1966</v>
      </c>
      <c r="EJ14">
        <v>0</v>
      </c>
      <c r="EK14">
        <v>0</v>
      </c>
      <c r="EL14">
        <v>45394</v>
      </c>
      <c r="EM14">
        <v>-4.6900000000000004</v>
      </c>
      <c r="EN14">
        <v>0.38</v>
      </c>
      <c r="EO14">
        <v>-4.91</v>
      </c>
      <c r="EP14">
        <v>0.4</v>
      </c>
      <c r="EQ14">
        <v>-1.58</v>
      </c>
    </row>
    <row r="15" spans="1:147" ht="78.75" x14ac:dyDescent="0.3">
      <c r="B15" s="30"/>
      <c r="C15" s="30"/>
      <c r="D15" s="30" t="s">
        <v>2003</v>
      </c>
      <c r="E15" t="s">
        <v>288</v>
      </c>
      <c r="F15" t="s">
        <v>289</v>
      </c>
      <c r="G15">
        <v>11.4</v>
      </c>
      <c r="H15">
        <v>6.3399999999999998E-2</v>
      </c>
      <c r="I15" t="s">
        <v>1968</v>
      </c>
      <c r="J15">
        <v>4322286900</v>
      </c>
      <c r="K15">
        <v>19.21</v>
      </c>
      <c r="L15">
        <v>1.35</v>
      </c>
      <c r="M15" t="s">
        <v>281</v>
      </c>
      <c r="N15" t="s">
        <v>1012</v>
      </c>
      <c r="O15" t="s">
        <v>1969</v>
      </c>
      <c r="P15" t="s">
        <v>433</v>
      </c>
      <c r="Q15">
        <v>11.22</v>
      </c>
      <c r="R15" t="s">
        <v>1970</v>
      </c>
      <c r="S15">
        <v>133833533</v>
      </c>
      <c r="T15" s="31">
        <v>8.3900000000000002E-2</v>
      </c>
      <c r="U15" t="s">
        <v>1971</v>
      </c>
      <c r="V15">
        <v>359919680</v>
      </c>
      <c r="W15">
        <v>379147970</v>
      </c>
      <c r="X15">
        <v>1.1100000000000001</v>
      </c>
      <c r="Y15">
        <v>0.17</v>
      </c>
      <c r="Z15">
        <v>21.87</v>
      </c>
      <c r="AA15" t="s">
        <v>1972</v>
      </c>
      <c r="AB15" t="s">
        <v>1973</v>
      </c>
      <c r="AC15" t="s">
        <v>1974</v>
      </c>
      <c r="AD15" t="s">
        <v>1975</v>
      </c>
      <c r="AE15" t="s">
        <v>1976</v>
      </c>
      <c r="AF15">
        <v>-7219837</v>
      </c>
      <c r="AG15" t="s">
        <v>1977</v>
      </c>
      <c r="AH15" t="s">
        <v>1978</v>
      </c>
      <c r="AI15" t="s">
        <v>1979</v>
      </c>
      <c r="AJ15" t="s">
        <v>1980</v>
      </c>
      <c r="AK15" t="s">
        <v>1981</v>
      </c>
      <c r="AL15" t="s">
        <v>1982</v>
      </c>
      <c r="AM15" t="s">
        <v>1983</v>
      </c>
      <c r="AN15" t="s">
        <v>316</v>
      </c>
      <c r="AO15">
        <v>0</v>
      </c>
      <c r="AP15" t="s">
        <v>316</v>
      </c>
      <c r="AQ15" t="s">
        <v>1984</v>
      </c>
      <c r="AR15" t="s">
        <v>1843</v>
      </c>
      <c r="AS15" t="s">
        <v>316</v>
      </c>
      <c r="AT15" t="s">
        <v>1985</v>
      </c>
      <c r="AU15" t="s">
        <v>316</v>
      </c>
      <c r="AV15" t="s">
        <v>1986</v>
      </c>
      <c r="AW15" t="s">
        <v>1987</v>
      </c>
      <c r="AX15" t="s">
        <v>1988</v>
      </c>
      <c r="AY15" t="s">
        <v>1154</v>
      </c>
      <c r="AZ15" t="s">
        <v>1458</v>
      </c>
      <c r="BA15" t="s">
        <v>1989</v>
      </c>
      <c r="BB15" t="s">
        <v>1990</v>
      </c>
      <c r="BC15" t="s">
        <v>1207</v>
      </c>
      <c r="BD15" t="s">
        <v>1991</v>
      </c>
      <c r="BE15" t="s">
        <v>1992</v>
      </c>
      <c r="BF15" t="s">
        <v>1375</v>
      </c>
      <c r="BG15" t="s">
        <v>1993</v>
      </c>
      <c r="BH15" t="s">
        <v>1464</v>
      </c>
      <c r="BI15" t="s">
        <v>1994</v>
      </c>
      <c r="BJ15" t="s">
        <v>1995</v>
      </c>
      <c r="BK15" t="s">
        <v>1996</v>
      </c>
      <c r="BL15" t="s">
        <v>1997</v>
      </c>
      <c r="BM15" t="s">
        <v>1998</v>
      </c>
      <c r="BN15" t="s">
        <v>1999</v>
      </c>
      <c r="BO15">
        <v>0.49</v>
      </c>
      <c r="BP15">
        <v>2.23</v>
      </c>
      <c r="BQ15">
        <v>7.34</v>
      </c>
      <c r="BR15">
        <v>0.55000000000000004</v>
      </c>
      <c r="BS15">
        <v>2.38</v>
      </c>
      <c r="BT15">
        <v>7.75</v>
      </c>
      <c r="BU15" t="s">
        <v>439</v>
      </c>
      <c r="BV15" t="s">
        <v>2000</v>
      </c>
      <c r="BW15">
        <v>66.84</v>
      </c>
      <c r="BX15">
        <v>60.04</v>
      </c>
      <c r="BY15">
        <v>56.4</v>
      </c>
      <c r="BZ15">
        <v>20.74</v>
      </c>
      <c r="CA15">
        <v>6.41</v>
      </c>
      <c r="CB15">
        <v>20.61</v>
      </c>
      <c r="CC15">
        <v>6.34</v>
      </c>
      <c r="CD15">
        <v>-9.81</v>
      </c>
      <c r="CE15" t="s">
        <v>2001</v>
      </c>
      <c r="CF15" t="s">
        <v>2002</v>
      </c>
      <c r="CG15" s="32">
        <v>0.16883116883116883</v>
      </c>
      <c r="CH15" s="33">
        <v>0.18327365341374627</v>
      </c>
      <c r="CI15" s="32">
        <v>-0.1226329505443573</v>
      </c>
      <c r="CJ15" s="32">
        <v>-2.2907599806785583E-2</v>
      </c>
      <c r="CK15" s="32">
        <v>0.13160525262355804</v>
      </c>
      <c r="CL15" s="32">
        <v>9.0543255209922791E-3</v>
      </c>
      <c r="CM15" s="32">
        <v>0.18052256107330322</v>
      </c>
      <c r="CN15" s="33">
        <v>2.0260293483734131</v>
      </c>
      <c r="CO15" s="33">
        <v>-0.69636660814285278</v>
      </c>
      <c r="CP15" s="33">
        <v>-0.25</v>
      </c>
      <c r="CQ15" s="33">
        <v>0.21400777995586395</v>
      </c>
      <c r="CR15" s="33">
        <v>-7.8853048384189606E-2</v>
      </c>
      <c r="CS15">
        <v>18.9567030508091</v>
      </c>
      <c r="CT15">
        <v>5.3964164105788166</v>
      </c>
      <c r="CU15">
        <v>0.43859649122807015</v>
      </c>
      <c r="CV15" s="32">
        <v>3.5128317773342133E-2</v>
      </c>
      <c r="CW15" s="33">
        <v>0.24296349436044692</v>
      </c>
      <c r="CX15">
        <v>0.06</v>
      </c>
      <c r="CY15">
        <v>7.0219094093126495</v>
      </c>
      <c r="CZ15">
        <v>209955272.00119674</v>
      </c>
      <c r="DA15">
        <v>3.5128317773342133E-2</v>
      </c>
      <c r="DB15">
        <v>2.4045124299929252</v>
      </c>
      <c r="DC15">
        <v>613133407.67564166</v>
      </c>
      <c r="DD15">
        <v>3.3371901884675023E-2</v>
      </c>
      <c r="DE15">
        <v>1.2583332626161814</v>
      </c>
      <c r="DF15">
        <v>1171618794.3206975</v>
      </c>
      <c r="DG15">
        <v>3.0912919640541076E-2</v>
      </c>
      <c r="DH15">
        <v>0.80807946702830502</v>
      </c>
      <c r="DI15">
        <v>1824433066.4924064</v>
      </c>
      <c r="DJ15">
        <v>2.8102654218673709E-2</v>
      </c>
      <c r="DK15">
        <v>0.48055896398203074</v>
      </c>
      <c r="DL15">
        <v>3067858494.9986014</v>
      </c>
      <c r="DM15">
        <v>2.458982244133949E-2</v>
      </c>
      <c r="DN15">
        <v>215000000</v>
      </c>
      <c r="DO15">
        <v>3.5128317773342133E-2</v>
      </c>
      <c r="DP15">
        <v>1474286900</v>
      </c>
      <c r="DQ15">
        <v>1119744800</v>
      </c>
      <c r="DR15">
        <v>833</v>
      </c>
      <c r="DS15">
        <v>0.1337028510578267</v>
      </c>
      <c r="DT15">
        <v>-5.9689840946700656E-2</v>
      </c>
      <c r="DU15" s="34">
        <v>-0.34</v>
      </c>
      <c r="DV15">
        <v>-1.6666666666666701E-2</v>
      </c>
      <c r="DW15">
        <v>-0.35666666666666674</v>
      </c>
      <c r="DX15">
        <v>7.3925696594427244</v>
      </c>
      <c r="DY15">
        <v>0.52113266129032609</v>
      </c>
      <c r="DZ15">
        <v>7.0593300973734143</v>
      </c>
      <c r="EA15">
        <v>3038</v>
      </c>
      <c r="EB15">
        <v>7.024077831419878</v>
      </c>
      <c r="EC15">
        <v>7</v>
      </c>
      <c r="ED15">
        <v>9.8855599833489807E-2</v>
      </c>
      <c r="EE15">
        <v>0.6540981875756845</v>
      </c>
      <c r="EF15" s="35">
        <v>-1.0074780000000001</v>
      </c>
      <c r="EG15">
        <v>-1.0081340000000001</v>
      </c>
      <c r="EH15">
        <v>37.151132661290326</v>
      </c>
      <c r="EI15" t="s">
        <v>626</v>
      </c>
      <c r="EJ15">
        <v>1</v>
      </c>
      <c r="EK15">
        <v>0</v>
      </c>
      <c r="EL15" s="36">
        <v>45345</v>
      </c>
      <c r="EM15" s="37">
        <v>-1.68</v>
      </c>
      <c r="EN15" s="37">
        <v>1.14E-2</v>
      </c>
      <c r="EO15" s="37">
        <v>-7.4999999999999997E-3</v>
      </c>
      <c r="EP15" s="37">
        <v>1.32E-2</v>
      </c>
      <c r="EQ15" s="37">
        <v>6.3399999999999998E-2</v>
      </c>
    </row>
    <row r="16" spans="1:147" ht="78.75" x14ac:dyDescent="0.3">
      <c r="B16" s="30"/>
      <c r="C16" s="30"/>
      <c r="D16" s="30" t="s">
        <v>2034</v>
      </c>
      <c r="E16" t="s">
        <v>290</v>
      </c>
      <c r="F16" t="s">
        <v>291</v>
      </c>
      <c r="G16">
        <v>9.39</v>
      </c>
      <c r="H16">
        <v>-5.44</v>
      </c>
      <c r="I16" t="s">
        <v>2004</v>
      </c>
      <c r="J16">
        <v>4695000000</v>
      </c>
      <c r="K16">
        <v>21.69</v>
      </c>
      <c r="L16">
        <v>2.48</v>
      </c>
      <c r="M16" t="s">
        <v>272</v>
      </c>
      <c r="N16" t="s">
        <v>2005</v>
      </c>
      <c r="O16" t="s">
        <v>2006</v>
      </c>
      <c r="P16" t="s">
        <v>543</v>
      </c>
      <c r="Q16">
        <v>4.83</v>
      </c>
      <c r="R16" t="s">
        <v>1032</v>
      </c>
      <c r="S16">
        <v>185723890</v>
      </c>
      <c r="T16" s="31">
        <v>0.15490000000000001</v>
      </c>
      <c r="U16" t="s">
        <v>517</v>
      </c>
      <c r="V16">
        <v>500000000</v>
      </c>
      <c r="W16">
        <v>500000000</v>
      </c>
      <c r="X16">
        <v>1.97</v>
      </c>
      <c r="Y16">
        <v>0.15</v>
      </c>
      <c r="Z16">
        <v>34.17</v>
      </c>
      <c r="AA16" t="s">
        <v>2007</v>
      </c>
      <c r="AB16" t="s">
        <v>1112</v>
      </c>
      <c r="AC16" t="s">
        <v>2008</v>
      </c>
      <c r="AD16" t="s">
        <v>2009</v>
      </c>
      <c r="AE16" t="s">
        <v>2010</v>
      </c>
      <c r="AF16">
        <v>51425759</v>
      </c>
      <c r="AG16" t="s">
        <v>2011</v>
      </c>
      <c r="AH16" t="s">
        <v>2012</v>
      </c>
      <c r="AI16" t="s">
        <v>2013</v>
      </c>
      <c r="AJ16" t="s">
        <v>2014</v>
      </c>
      <c r="AK16" t="s">
        <v>2015</v>
      </c>
      <c r="AL16" t="s">
        <v>316</v>
      </c>
      <c r="AM16" t="s">
        <v>2016</v>
      </c>
      <c r="AN16" t="s">
        <v>316</v>
      </c>
      <c r="AO16" t="s">
        <v>2017</v>
      </c>
      <c r="AP16" t="s">
        <v>751</v>
      </c>
      <c r="AQ16" t="s">
        <v>2018</v>
      </c>
      <c r="AR16" t="s">
        <v>2019</v>
      </c>
      <c r="AS16" t="s">
        <v>316</v>
      </c>
      <c r="AT16" t="s">
        <v>2020</v>
      </c>
      <c r="AU16" t="s">
        <v>2021</v>
      </c>
      <c r="AV16" t="s">
        <v>235</v>
      </c>
      <c r="AW16" t="s">
        <v>2022</v>
      </c>
      <c r="AX16" t="s">
        <v>2023</v>
      </c>
      <c r="AY16" t="s">
        <v>2024</v>
      </c>
      <c r="AZ16" t="s">
        <v>2025</v>
      </c>
      <c r="BA16" t="s">
        <v>1724</v>
      </c>
      <c r="BB16" t="s">
        <v>1792</v>
      </c>
      <c r="BC16" t="s">
        <v>1559</v>
      </c>
      <c r="BD16" t="s">
        <v>397</v>
      </c>
      <c r="BE16" t="s">
        <v>2026</v>
      </c>
      <c r="BF16" t="s">
        <v>2027</v>
      </c>
      <c r="BG16" t="s">
        <v>2028</v>
      </c>
      <c r="BH16" t="s">
        <v>2029</v>
      </c>
      <c r="BI16" t="s">
        <v>1718</v>
      </c>
      <c r="BJ16" t="s">
        <v>2030</v>
      </c>
      <c r="BK16" t="s">
        <v>554</v>
      </c>
      <c r="BL16" t="s">
        <v>1497</v>
      </c>
      <c r="BM16" t="s">
        <v>986</v>
      </c>
      <c r="BN16" t="s">
        <v>2031</v>
      </c>
      <c r="BO16">
        <v>1.43</v>
      </c>
      <c r="BP16">
        <v>6.34</v>
      </c>
      <c r="BQ16">
        <v>5.51</v>
      </c>
      <c r="BR16">
        <v>1.69</v>
      </c>
      <c r="BS16">
        <v>7.03</v>
      </c>
      <c r="BT16">
        <v>5.42</v>
      </c>
      <c r="BU16" t="s">
        <v>1156</v>
      </c>
      <c r="BV16" t="s">
        <v>2032</v>
      </c>
      <c r="BW16">
        <v>57.14</v>
      </c>
      <c r="BX16">
        <v>54.82</v>
      </c>
      <c r="BY16">
        <v>50.97</v>
      </c>
      <c r="BZ16">
        <v>32.909999999999997</v>
      </c>
      <c r="CA16">
        <v>24.71</v>
      </c>
      <c r="CB16">
        <v>18.95</v>
      </c>
      <c r="CC16">
        <v>2.1800000000000002</v>
      </c>
      <c r="CD16">
        <v>-14.87</v>
      </c>
      <c r="CE16" t="s">
        <v>2033</v>
      </c>
      <c r="CF16" t="s">
        <v>1332</v>
      </c>
      <c r="CG16" s="32">
        <v>-5.7777777777778025E-2</v>
      </c>
      <c r="CH16" s="33">
        <v>-4.9804818602669811E-2</v>
      </c>
      <c r="CI16" s="32">
        <v>0.46067416667938232</v>
      </c>
      <c r="CJ16" s="32">
        <v>4.2154565453529358E-2</v>
      </c>
      <c r="CK16" s="32">
        <v>0.1033591702580452</v>
      </c>
      <c r="CL16" s="32">
        <v>7.8125E-3</v>
      </c>
      <c r="CM16" s="32">
        <v>-0.58974361419677734</v>
      </c>
      <c r="CN16" s="33">
        <v>0.74545454978942871</v>
      </c>
      <c r="CO16" s="33">
        <v>0.35993868112564087</v>
      </c>
      <c r="CP16" s="33">
        <v>0.92046153545379639</v>
      </c>
      <c r="CQ16" s="33">
        <v>-0.36341774463653564</v>
      </c>
      <c r="CR16" s="33">
        <v>-0.42963188886642456</v>
      </c>
      <c r="CS16">
        <v>46.395825067481468</v>
      </c>
      <c r="CT16">
        <v>95.634724383284691</v>
      </c>
      <c r="CU16">
        <v>1.2779552715654952</v>
      </c>
      <c r="CV16" s="32">
        <v>4.8513576388359066E-3</v>
      </c>
      <c r="CW16" s="33">
        <v>0.24656102657318116</v>
      </c>
      <c r="CX16">
        <v>0.06</v>
      </c>
      <c r="CY16">
        <v>25.498485228906006</v>
      </c>
      <c r="CZ16">
        <v>182010811.94967592</v>
      </c>
      <c r="DA16">
        <v>4.8513576388359066E-3</v>
      </c>
      <c r="DB16">
        <v>8.9616910281784854</v>
      </c>
      <c r="DC16">
        <v>517871011.77748477</v>
      </c>
      <c r="DD16">
        <v>4.608789756894111E-3</v>
      </c>
      <c r="DE16">
        <v>4.8462782211823017</v>
      </c>
      <c r="DF16">
        <v>957642089.08084071</v>
      </c>
      <c r="DG16">
        <v>4.2691947221755976E-3</v>
      </c>
      <c r="DH16">
        <v>3.220716978276978</v>
      </c>
      <c r="DI16">
        <v>1440983492.5895433</v>
      </c>
      <c r="DJ16">
        <v>3.8810861110687256E-3</v>
      </c>
      <c r="DK16">
        <v>2.046455698476275</v>
      </c>
      <c r="DL16">
        <v>2267823341.3288836</v>
      </c>
      <c r="DM16">
        <v>3.3959503471851344E-3</v>
      </c>
      <c r="DN16">
        <v>192000000</v>
      </c>
      <c r="DO16">
        <v>4.8513576388359066E-3</v>
      </c>
      <c r="DP16">
        <v>4641000000</v>
      </c>
      <c r="DQ16">
        <v>-331505440</v>
      </c>
      <c r="DR16">
        <v>3936</v>
      </c>
      <c r="DS16">
        <v>-6.2629135416613926E-2</v>
      </c>
      <c r="DT16">
        <v>-0.29636584517585096</v>
      </c>
      <c r="DU16" s="34">
        <v>-0.37333333333333335</v>
      </c>
      <c r="DV16">
        <v>0.75333333333333341</v>
      </c>
      <c r="DW16">
        <v>0.38000000000000006</v>
      </c>
      <c r="DX16">
        <v>-2.1486999999999998</v>
      </c>
      <c r="DY16">
        <v>0.51690270270270511</v>
      </c>
      <c r="DZ16">
        <v>-2.0263054318918918</v>
      </c>
      <c r="EA16">
        <v>1306</v>
      </c>
      <c r="EB16">
        <v>-2.0195863053417624</v>
      </c>
      <c r="EC16">
        <v>2</v>
      </c>
      <c r="ED16">
        <v>7.8544799999999998E-2</v>
      </c>
      <c r="EE16">
        <v>0.44400000000000006</v>
      </c>
      <c r="EF16" s="35">
        <v>-2.0406</v>
      </c>
      <c r="EG16">
        <v>-2.0138099999999999</v>
      </c>
      <c r="EH16">
        <v>34.176902702702705</v>
      </c>
      <c r="EI16" t="s">
        <v>1772</v>
      </c>
      <c r="EJ16">
        <v>0</v>
      </c>
      <c r="EK16">
        <v>1</v>
      </c>
      <c r="EL16" s="36">
        <v>45350</v>
      </c>
      <c r="EM16" s="37">
        <v>1.3100000000000001E-2</v>
      </c>
      <c r="EN16" s="37">
        <v>2.47E-2</v>
      </c>
      <c r="EO16" s="37">
        <v>1.78</v>
      </c>
      <c r="EP16" s="37">
        <v>2.27</v>
      </c>
      <c r="EQ16" s="37">
        <v>-5.44</v>
      </c>
    </row>
    <row r="17" spans="2:147" ht="135" x14ac:dyDescent="0.3">
      <c r="B17" s="30"/>
      <c r="C17" s="30"/>
      <c r="D17" s="30" t="s">
        <v>1403</v>
      </c>
      <c r="E17" t="s">
        <v>249</v>
      </c>
      <c r="F17" t="s">
        <v>250</v>
      </c>
      <c r="G17">
        <v>24</v>
      </c>
      <c r="H17">
        <v>-4.72</v>
      </c>
      <c r="I17" t="s">
        <v>1364</v>
      </c>
      <c r="J17">
        <v>4208150500</v>
      </c>
      <c r="K17">
        <v>108</v>
      </c>
      <c r="L17">
        <v>4.57</v>
      </c>
      <c r="M17" t="s">
        <v>251</v>
      </c>
      <c r="N17" t="s">
        <v>770</v>
      </c>
      <c r="O17" t="s">
        <v>1365</v>
      </c>
      <c r="P17" t="s">
        <v>1366</v>
      </c>
      <c r="Q17">
        <v>-18.95</v>
      </c>
      <c r="R17" t="s">
        <v>1367</v>
      </c>
      <c r="S17">
        <v>37194805</v>
      </c>
      <c r="T17" s="31">
        <v>-0.28889999999999999</v>
      </c>
      <c r="U17" t="s">
        <v>1368</v>
      </c>
      <c r="V17">
        <v>174371800</v>
      </c>
      <c r="W17">
        <v>174371800</v>
      </c>
      <c r="X17">
        <v>1.42</v>
      </c>
      <c r="Y17">
        <v>0.27</v>
      </c>
      <c r="Z17">
        <v>9.82</v>
      </c>
      <c r="AA17" t="s">
        <v>531</v>
      </c>
      <c r="AB17" t="s">
        <v>1158</v>
      </c>
      <c r="AC17" t="s">
        <v>1369</v>
      </c>
      <c r="AD17" t="s">
        <v>1370</v>
      </c>
      <c r="AE17" t="s">
        <v>1371</v>
      </c>
      <c r="AF17">
        <v>1307591</v>
      </c>
      <c r="AG17" t="s">
        <v>1372</v>
      </c>
      <c r="AH17" t="s">
        <v>1373</v>
      </c>
      <c r="AI17" t="s">
        <v>1374</v>
      </c>
      <c r="AJ17" t="s">
        <v>1375</v>
      </c>
      <c r="AK17" t="s">
        <v>1376</v>
      </c>
      <c r="AL17" t="s">
        <v>1377</v>
      </c>
      <c r="AM17" t="s">
        <v>1378</v>
      </c>
      <c r="AN17" t="s">
        <v>316</v>
      </c>
      <c r="AO17" t="s">
        <v>1379</v>
      </c>
      <c r="AP17" t="s">
        <v>1380</v>
      </c>
      <c r="AQ17" t="s">
        <v>1381</v>
      </c>
      <c r="AR17" t="s">
        <v>1382</v>
      </c>
      <c r="AS17" t="s">
        <v>316</v>
      </c>
      <c r="AT17" t="s">
        <v>997</v>
      </c>
      <c r="AU17" t="s">
        <v>1383</v>
      </c>
      <c r="AV17" t="s">
        <v>1384</v>
      </c>
      <c r="AW17" t="s">
        <v>1385</v>
      </c>
      <c r="AX17" t="s">
        <v>1386</v>
      </c>
      <c r="AY17" t="s">
        <v>1387</v>
      </c>
      <c r="AZ17" t="s">
        <v>1388</v>
      </c>
      <c r="BA17" t="s">
        <v>1102</v>
      </c>
      <c r="BB17" t="s">
        <v>770</v>
      </c>
      <c r="BC17" t="s">
        <v>365</v>
      </c>
      <c r="BD17" t="s">
        <v>1389</v>
      </c>
      <c r="BE17" t="s">
        <v>1390</v>
      </c>
      <c r="BF17" t="s">
        <v>1391</v>
      </c>
      <c r="BG17" t="s">
        <v>1392</v>
      </c>
      <c r="BH17" t="s">
        <v>1393</v>
      </c>
      <c r="BI17" t="s">
        <v>1394</v>
      </c>
      <c r="BJ17" t="s">
        <v>1395</v>
      </c>
      <c r="BK17" t="s">
        <v>413</v>
      </c>
      <c r="BL17" t="s">
        <v>1396</v>
      </c>
      <c r="BM17" t="s">
        <v>1397</v>
      </c>
      <c r="BN17" t="s">
        <v>1398</v>
      </c>
      <c r="BO17">
        <v>1.17</v>
      </c>
      <c r="BP17">
        <v>4.09</v>
      </c>
      <c r="BQ17">
        <v>3.24</v>
      </c>
      <c r="BR17">
        <v>1.23</v>
      </c>
      <c r="BS17">
        <v>5.01</v>
      </c>
      <c r="BT17">
        <v>4.43</v>
      </c>
      <c r="BU17" t="s">
        <v>1399</v>
      </c>
      <c r="BV17" t="s">
        <v>1400</v>
      </c>
      <c r="BW17">
        <v>35.200000000000003</v>
      </c>
      <c r="BX17">
        <v>28.8</v>
      </c>
      <c r="BY17">
        <v>24.47</v>
      </c>
      <c r="BZ17">
        <v>9.31</v>
      </c>
      <c r="CA17">
        <v>6.98</v>
      </c>
      <c r="CB17">
        <v>6.11</v>
      </c>
      <c r="CC17">
        <v>11.52</v>
      </c>
      <c r="CD17">
        <v>44.32</v>
      </c>
      <c r="CE17" t="s">
        <v>1401</v>
      </c>
      <c r="CF17" t="s">
        <v>1402</v>
      </c>
      <c r="CG17" s="32">
        <v>-0.15950920245398773</v>
      </c>
      <c r="CH17" s="33">
        <v>7.0515039447731427</v>
      </c>
      <c r="CI17" s="32">
        <v>8.03571417927742E-2</v>
      </c>
      <c r="CJ17" s="32">
        <v>5.6603774428367615E-2</v>
      </c>
      <c r="CK17" s="32">
        <v>-9.2465750873088837E-2</v>
      </c>
      <c r="CL17" s="32">
        <v>0.41062802076339722</v>
      </c>
      <c r="CM17" s="32">
        <v>0.37541529536247253</v>
      </c>
      <c r="CN17" s="33">
        <v>3.016352653503418E-2</v>
      </c>
      <c r="CO17" s="33">
        <v>0.17583847045898438</v>
      </c>
      <c r="CP17" s="33">
        <v>-0.14162938296794891</v>
      </c>
      <c r="CQ17" s="33">
        <v>-0.49231886863708496</v>
      </c>
      <c r="CR17" s="33">
        <v>0.39251706004142761</v>
      </c>
      <c r="CS17">
        <v>85.173393576871234</v>
      </c>
      <c r="CT17">
        <v>5.1276006757518022</v>
      </c>
      <c r="CU17">
        <v>0.31129166666666663</v>
      </c>
      <c r="CV17" s="32">
        <v>0.16610769629478456</v>
      </c>
      <c r="CW17" s="33">
        <v>-7.0858389139175412E-3</v>
      </c>
      <c r="CX17">
        <v>0.06</v>
      </c>
      <c r="CY17">
        <v>78.107295283990283</v>
      </c>
      <c r="CZ17">
        <v>46502064.714875422</v>
      </c>
      <c r="DA17">
        <v>0.16610769629478456</v>
      </c>
      <c r="DB17">
        <v>23.945241379973368</v>
      </c>
      <c r="DC17">
        <v>151685691.63131317</v>
      </c>
      <c r="DD17">
        <v>0.15780231148004531</v>
      </c>
      <c r="DE17">
        <v>10.797016275075773</v>
      </c>
      <c r="DF17">
        <v>336403169.86319536</v>
      </c>
      <c r="DG17">
        <v>0.1461747727394104</v>
      </c>
      <c r="DH17">
        <v>5.8531444630836349</v>
      </c>
      <c r="DI17">
        <v>620546874.06202507</v>
      </c>
      <c r="DJ17">
        <v>0.13288615703582765</v>
      </c>
      <c r="DK17">
        <v>2.3881226051494679</v>
      </c>
      <c r="DL17">
        <v>1520922959.385777</v>
      </c>
      <c r="DM17">
        <v>0.11627538740634918</v>
      </c>
      <c r="DN17">
        <v>42270700</v>
      </c>
      <c r="DO17">
        <v>0.16610769629478456</v>
      </c>
      <c r="DP17">
        <v>3632150500</v>
      </c>
      <c r="DQ17">
        <v>540408240</v>
      </c>
      <c r="DR17">
        <v>4013</v>
      </c>
      <c r="DS17">
        <v>-0.32561689874877231</v>
      </c>
      <c r="DT17">
        <v>7.0585897836870606</v>
      </c>
      <c r="DU17" s="34">
        <v>-0.22333333333333338</v>
      </c>
      <c r="DV17">
        <v>-8.666666666666667E-2</v>
      </c>
      <c r="DW17">
        <v>-0.31000000000000005</v>
      </c>
      <c r="DX17">
        <v>9.2599277978339352</v>
      </c>
      <c r="DY17">
        <v>0.73515229629629508</v>
      </c>
      <c r="DZ17">
        <v>9.0845161203369429</v>
      </c>
      <c r="EA17">
        <v>2949</v>
      </c>
      <c r="EB17">
        <v>9.0357987554280985</v>
      </c>
      <c r="EC17">
        <v>9</v>
      </c>
      <c r="ED17">
        <v>0.40277671045432806</v>
      </c>
      <c r="EE17">
        <v>1.2387324097130386</v>
      </c>
      <c r="EF17" s="35">
        <v>2.0859000000000001</v>
      </c>
      <c r="EG17">
        <v>2.0387</v>
      </c>
      <c r="EH17">
        <v>41.325152296296295</v>
      </c>
      <c r="EI17" t="s">
        <v>1202</v>
      </c>
      <c r="EJ17">
        <v>1</v>
      </c>
      <c r="EK17">
        <v>0</v>
      </c>
      <c r="EL17" s="36">
        <v>45385</v>
      </c>
      <c r="EM17" s="37">
        <v>4.55</v>
      </c>
      <c r="EN17" s="37">
        <v>-1.02</v>
      </c>
      <c r="EO17" s="37">
        <v>5.48</v>
      </c>
      <c r="EP17" s="37">
        <v>7.24</v>
      </c>
      <c r="EQ17" s="37">
        <v>-4.72</v>
      </c>
    </row>
    <row r="18" spans="2:147" ht="12.4" customHeight="1" x14ac:dyDescent="0.3">
      <c r="B18" s="38"/>
      <c r="C18" s="38"/>
      <c r="D18" s="38" t="s">
        <v>2067</v>
      </c>
      <c r="E18" t="s">
        <v>292</v>
      </c>
      <c r="F18" t="s">
        <v>293</v>
      </c>
      <c r="G18">
        <v>8.58</v>
      </c>
      <c r="H18">
        <v>0.1</v>
      </c>
      <c r="I18" t="s">
        <v>2035</v>
      </c>
      <c r="J18">
        <v>1803769800</v>
      </c>
      <c r="K18">
        <v>37.68</v>
      </c>
      <c r="L18">
        <v>1.4</v>
      </c>
      <c r="M18" t="s">
        <v>294</v>
      </c>
      <c r="N18" t="s">
        <v>1325</v>
      </c>
      <c r="O18" t="s">
        <v>2036</v>
      </c>
      <c r="P18" t="s">
        <v>2037</v>
      </c>
      <c r="Q18">
        <v>-16.02</v>
      </c>
      <c r="R18" t="s">
        <v>2038</v>
      </c>
      <c r="S18">
        <v>46184168</v>
      </c>
      <c r="T18" s="31">
        <v>-0.1115</v>
      </c>
      <c r="U18" t="s">
        <v>2039</v>
      </c>
      <c r="V18">
        <v>204919200</v>
      </c>
      <c r="W18">
        <v>210229580</v>
      </c>
      <c r="X18">
        <v>1.76</v>
      </c>
      <c r="Y18">
        <v>0.63</v>
      </c>
      <c r="Z18">
        <v>3.4</v>
      </c>
      <c r="AA18" t="s">
        <v>633</v>
      </c>
      <c r="AB18" t="s">
        <v>2040</v>
      </c>
      <c r="AC18" t="s">
        <v>308</v>
      </c>
      <c r="AD18" t="s">
        <v>2041</v>
      </c>
      <c r="AE18" t="s">
        <v>2042</v>
      </c>
      <c r="AF18">
        <v>11563689</v>
      </c>
      <c r="AG18" t="s">
        <v>2043</v>
      </c>
      <c r="AH18" t="s">
        <v>2044</v>
      </c>
      <c r="AI18" t="s">
        <v>2045</v>
      </c>
      <c r="AJ18" t="s">
        <v>1183</v>
      </c>
      <c r="AK18" t="s">
        <v>2046</v>
      </c>
      <c r="AL18" t="s">
        <v>2047</v>
      </c>
      <c r="AM18" t="s">
        <v>2048</v>
      </c>
      <c r="AN18" t="s">
        <v>316</v>
      </c>
      <c r="AO18" t="s">
        <v>659</v>
      </c>
      <c r="AP18" t="s">
        <v>2049</v>
      </c>
      <c r="AQ18" t="s">
        <v>2050</v>
      </c>
      <c r="AR18" t="s">
        <v>1739</v>
      </c>
      <c r="AS18" t="s">
        <v>316</v>
      </c>
      <c r="AT18" t="s">
        <v>845</v>
      </c>
      <c r="AU18" t="s">
        <v>2051</v>
      </c>
      <c r="AV18" t="s">
        <v>1308</v>
      </c>
      <c r="AW18" t="s">
        <v>2052</v>
      </c>
      <c r="AX18" t="s">
        <v>2053</v>
      </c>
      <c r="AY18" t="s">
        <v>340</v>
      </c>
      <c r="AZ18" t="s">
        <v>2054</v>
      </c>
      <c r="BA18" t="s">
        <v>621</v>
      </c>
      <c r="BB18" t="s">
        <v>2055</v>
      </c>
      <c r="BC18" t="s">
        <v>2056</v>
      </c>
      <c r="BD18" t="s">
        <v>2057</v>
      </c>
      <c r="BE18" t="s">
        <v>2058</v>
      </c>
      <c r="BF18" t="s">
        <v>2059</v>
      </c>
      <c r="BG18" t="s">
        <v>1986</v>
      </c>
      <c r="BH18" t="s">
        <v>1867</v>
      </c>
      <c r="BI18" t="s">
        <v>1900</v>
      </c>
      <c r="BJ18" t="s">
        <v>2060</v>
      </c>
      <c r="BK18" t="s">
        <v>612</v>
      </c>
      <c r="BL18" t="s">
        <v>2061</v>
      </c>
      <c r="BM18" t="s">
        <v>2062</v>
      </c>
      <c r="BN18" t="s">
        <v>2063</v>
      </c>
      <c r="BO18">
        <v>1.1599999999999999</v>
      </c>
      <c r="BP18">
        <v>6.16</v>
      </c>
      <c r="BQ18">
        <v>2.36</v>
      </c>
      <c r="BR18">
        <v>1.35</v>
      </c>
      <c r="BS18">
        <v>8.07</v>
      </c>
      <c r="BT18">
        <v>2.44</v>
      </c>
      <c r="BU18" t="s">
        <v>2064</v>
      </c>
      <c r="BV18" t="s">
        <v>294</v>
      </c>
      <c r="BW18">
        <v>23.4</v>
      </c>
      <c r="BX18">
        <v>18.739999999999998</v>
      </c>
      <c r="BY18">
        <v>12.84</v>
      </c>
      <c r="BZ18">
        <v>4.74</v>
      </c>
      <c r="CA18">
        <v>3.84</v>
      </c>
      <c r="CB18">
        <v>1.59</v>
      </c>
      <c r="CC18">
        <v>-23.8</v>
      </c>
      <c r="CD18">
        <v>-42.91</v>
      </c>
      <c r="CE18" t="s">
        <v>2065</v>
      </c>
      <c r="CF18" t="s">
        <v>2066</v>
      </c>
      <c r="CG18" s="32">
        <v>-0.23076923076923078</v>
      </c>
      <c r="CH18" s="33">
        <v>-0.84685273302995179</v>
      </c>
      <c r="CI18" s="32">
        <v>2.4460399523377419E-2</v>
      </c>
      <c r="CJ18" s="32">
        <v>0.39278566837310791</v>
      </c>
      <c r="CK18" s="32">
        <v>1.285516656935215E-2</v>
      </c>
      <c r="CL18" s="32">
        <v>-0.20237450301647186</v>
      </c>
      <c r="CM18" s="32">
        <v>-2.933473140001297E-2</v>
      </c>
      <c r="CN18" s="33">
        <v>-0.37366941571235657</v>
      </c>
      <c r="CO18" s="33">
        <v>2.4043452739715576</v>
      </c>
      <c r="CP18" s="33">
        <v>-0.16445572674274445</v>
      </c>
      <c r="CQ18" s="33">
        <v>-0.73576313257217407</v>
      </c>
      <c r="CR18" s="33">
        <v>-0.19148936867713928</v>
      </c>
      <c r="CS18">
        <v>24.069353671834392</v>
      </c>
      <c r="CT18">
        <v>6.0661099403823791</v>
      </c>
      <c r="CU18">
        <v>1.048951048951049</v>
      </c>
      <c r="CV18" s="32">
        <v>3.9678400009870531E-2</v>
      </c>
      <c r="CW18" s="33">
        <v>0.18779352605342864</v>
      </c>
      <c r="CX18">
        <v>0.06</v>
      </c>
      <c r="CY18">
        <v>28.207271477100569</v>
      </c>
      <c r="CZ18">
        <v>52637838.480952561</v>
      </c>
      <c r="DA18">
        <v>3.9678400009870531E-2</v>
      </c>
      <c r="DB18">
        <v>9.6214432267773518</v>
      </c>
      <c r="DC18">
        <v>154318823.59059715</v>
      </c>
      <c r="DD18">
        <v>3.7694480009377002E-2</v>
      </c>
      <c r="DE18">
        <v>5.0100383066870995</v>
      </c>
      <c r="DF18">
        <v>296358971.55081987</v>
      </c>
      <c r="DG18">
        <v>3.4916992008686067E-2</v>
      </c>
      <c r="DH18">
        <v>3.2002702297139471</v>
      </c>
      <c r="DI18">
        <v>463951383.29700196</v>
      </c>
      <c r="DJ18">
        <v>3.1742720007896429E-2</v>
      </c>
      <c r="DK18">
        <v>1.8829852063097783</v>
      </c>
      <c r="DL18">
        <v>788519099.89766216</v>
      </c>
      <c r="DM18">
        <v>2.7774880006909371E-2</v>
      </c>
      <c r="DN18">
        <v>53666700</v>
      </c>
      <c r="DO18">
        <v>3.9678400009870531E-2</v>
      </c>
      <c r="DP18">
        <v>1484769800</v>
      </c>
      <c r="DQ18">
        <v>827245700</v>
      </c>
      <c r="DR18">
        <v>4392</v>
      </c>
      <c r="DS18">
        <v>-0.27044763077910133</v>
      </c>
      <c r="DT18">
        <v>-1.0346462590833805</v>
      </c>
      <c r="DU18" s="34">
        <v>-0.40666666666666668</v>
      </c>
      <c r="DV18">
        <v>-0.3</v>
      </c>
      <c r="DW18">
        <v>-0.70666666666666667</v>
      </c>
      <c r="DX18">
        <v>-9.5546492659053825</v>
      </c>
      <c r="DY18">
        <v>0.79507097076473288</v>
      </c>
      <c r="DZ18">
        <v>-9.2246723165742388</v>
      </c>
      <c r="EA18">
        <v>3546</v>
      </c>
      <c r="EB18">
        <v>-9.0687951820463084</v>
      </c>
      <c r="EC18">
        <v>9</v>
      </c>
      <c r="ED18">
        <v>0.19246102284940111</v>
      </c>
      <c r="EE18">
        <v>0.47512914215021507</v>
      </c>
      <c r="EF18" s="35">
        <v>0.12511000000000003</v>
      </c>
      <c r="EG18">
        <v>0.12410999999999998</v>
      </c>
      <c r="EH18">
        <v>39.405070970764733</v>
      </c>
      <c r="EI18">
        <v>-1</v>
      </c>
      <c r="EJ18">
        <v>0</v>
      </c>
      <c r="EK18">
        <v>0</v>
      </c>
      <c r="EL18" s="36">
        <v>45330</v>
      </c>
      <c r="EM18" s="37">
        <v>-8.08</v>
      </c>
      <c r="EN18" s="37">
        <v>-9.9499999999999993</v>
      </c>
      <c r="EO18" s="37">
        <v>-7.73</v>
      </c>
      <c r="EP18" s="37">
        <v>-9.3000000000000007</v>
      </c>
      <c r="EQ18" s="37">
        <v>0.1</v>
      </c>
    </row>
    <row r="19" spans="2:147" ht="78.75" x14ac:dyDescent="0.3">
      <c r="B19" s="30"/>
      <c r="C19" s="30"/>
      <c r="D19" s="30" t="s">
        <v>2105</v>
      </c>
      <c r="E19" t="s">
        <v>295</v>
      </c>
      <c r="F19" t="s">
        <v>296</v>
      </c>
      <c r="G19">
        <v>15.95</v>
      </c>
      <c r="H19">
        <v>-7.27</v>
      </c>
      <c r="I19" t="s">
        <v>2068</v>
      </c>
      <c r="J19">
        <v>2399801800</v>
      </c>
      <c r="L19">
        <v>1.61</v>
      </c>
      <c r="M19" t="s">
        <v>297</v>
      </c>
      <c r="N19" t="s">
        <v>2069</v>
      </c>
      <c r="O19" t="s">
        <v>2070</v>
      </c>
      <c r="P19" t="s">
        <v>2071</v>
      </c>
      <c r="Q19">
        <v>10.5</v>
      </c>
      <c r="R19" t="s">
        <v>2072</v>
      </c>
      <c r="S19">
        <v>10952980</v>
      </c>
      <c r="T19" s="31">
        <v>1.264</v>
      </c>
      <c r="U19" t="s">
        <v>2073</v>
      </c>
      <c r="V19">
        <v>149558110</v>
      </c>
      <c r="W19">
        <v>150456220</v>
      </c>
      <c r="X19">
        <v>2.7</v>
      </c>
      <c r="Y19">
        <v>0.77</v>
      </c>
      <c r="Z19">
        <v>0.25</v>
      </c>
      <c r="AA19" t="s">
        <v>2071</v>
      </c>
      <c r="AB19" t="s">
        <v>2074</v>
      </c>
      <c r="AC19" t="s">
        <v>2075</v>
      </c>
      <c r="AD19" t="s">
        <v>2076</v>
      </c>
      <c r="AE19" t="s">
        <v>1043</v>
      </c>
      <c r="AF19">
        <v>63231104</v>
      </c>
      <c r="AG19" t="s">
        <v>2077</v>
      </c>
      <c r="AH19" t="s">
        <v>2078</v>
      </c>
      <c r="AI19" t="s">
        <v>2079</v>
      </c>
      <c r="AJ19" t="s">
        <v>2080</v>
      </c>
      <c r="AK19" t="s">
        <v>2081</v>
      </c>
      <c r="AL19" t="s">
        <v>2082</v>
      </c>
      <c r="AM19" t="s">
        <v>2083</v>
      </c>
      <c r="AN19" t="s">
        <v>316</v>
      </c>
      <c r="AO19" t="s">
        <v>1024</v>
      </c>
      <c r="AP19" t="s">
        <v>2084</v>
      </c>
      <c r="AQ19" t="s">
        <v>2085</v>
      </c>
      <c r="AR19" t="s">
        <v>2086</v>
      </c>
      <c r="AS19" t="s">
        <v>316</v>
      </c>
      <c r="AT19" t="s">
        <v>2087</v>
      </c>
      <c r="AU19" t="s">
        <v>2088</v>
      </c>
      <c r="AV19" t="s">
        <v>1266</v>
      </c>
      <c r="AW19" t="s">
        <v>2089</v>
      </c>
      <c r="AX19" t="s">
        <v>2090</v>
      </c>
      <c r="AY19" t="s">
        <v>2091</v>
      </c>
      <c r="AZ19" t="s">
        <v>2092</v>
      </c>
      <c r="BA19" t="s">
        <v>2093</v>
      </c>
      <c r="BB19" t="s">
        <v>2094</v>
      </c>
      <c r="BC19" t="s">
        <v>2095</v>
      </c>
      <c r="BD19" t="s">
        <v>2096</v>
      </c>
      <c r="BE19" t="s">
        <v>2097</v>
      </c>
      <c r="BF19" t="s">
        <v>2098</v>
      </c>
      <c r="BG19" t="s">
        <v>466</v>
      </c>
      <c r="BH19" t="s">
        <v>1496</v>
      </c>
      <c r="BI19" t="s">
        <v>2099</v>
      </c>
      <c r="BJ19" t="s">
        <v>2100</v>
      </c>
      <c r="BK19" t="s">
        <v>1896</v>
      </c>
      <c r="BL19" t="s">
        <v>2101</v>
      </c>
      <c r="BM19" t="s">
        <v>2102</v>
      </c>
      <c r="BN19" t="s">
        <v>2103</v>
      </c>
      <c r="BO19" t="s">
        <v>316</v>
      </c>
      <c r="BP19">
        <v>2.82</v>
      </c>
      <c r="BQ19" t="s">
        <v>316</v>
      </c>
      <c r="BR19">
        <v>-1.66</v>
      </c>
      <c r="BS19">
        <v>1.0900000000000001</v>
      </c>
      <c r="BT19">
        <v>-19.7</v>
      </c>
      <c r="BU19" t="s">
        <v>529</v>
      </c>
      <c r="BV19" t="s">
        <v>297</v>
      </c>
      <c r="BW19">
        <v>19.55</v>
      </c>
      <c r="BX19">
        <v>21.45</v>
      </c>
      <c r="BY19">
        <v>22.1</v>
      </c>
      <c r="BZ19">
        <v>0.22</v>
      </c>
      <c r="CA19">
        <v>0.66</v>
      </c>
      <c r="CB19">
        <v>-12.35</v>
      </c>
      <c r="CC19">
        <v>-3.27</v>
      </c>
      <c r="CD19">
        <v>28.53</v>
      </c>
      <c r="CE19" t="s">
        <v>2104</v>
      </c>
      <c r="CF19" t="s">
        <v>958</v>
      </c>
      <c r="CG19" s="32">
        <v>4.9407114624505928E-2</v>
      </c>
      <c r="CH19" s="33">
        <v>1.3838889522722952</v>
      </c>
      <c r="CI19" s="32">
        <v>0.10125547647476196</v>
      </c>
      <c r="CJ19" s="32">
        <v>8.210282027721405E-2</v>
      </c>
      <c r="CK19" s="32">
        <v>-0.12302514165639877</v>
      </c>
      <c r="CL19" s="32">
        <v>1.0468464344739914E-2</v>
      </c>
      <c r="CM19" s="32">
        <v>0.50373870134353638</v>
      </c>
      <c r="CN19" s="33">
        <v>-39.876979827880859</v>
      </c>
      <c r="CO19" s="33">
        <v>1.0557008981704712</v>
      </c>
      <c r="CP19" s="33">
        <v>-8.062748908996582</v>
      </c>
      <c r="CQ19" s="33">
        <v>-0.5530470609664917</v>
      </c>
      <c r="CR19" s="33">
        <v>2.2900763899087906E-2</v>
      </c>
      <c r="CS19">
        <v>-14.536224638755078</v>
      </c>
      <c r="CT19">
        <v>-1.2650308527452956</v>
      </c>
      <c r="CU19">
        <v>0</v>
      </c>
      <c r="CV19" s="32">
        <v>0.11490806415677071</v>
      </c>
      <c r="CW19" s="33">
        <v>-9.4828348271548748</v>
      </c>
      <c r="CX19">
        <v>0.06</v>
      </c>
      <c r="CY19" t="e">
        <v>#VALUE!</v>
      </c>
      <c r="CZ19" t="s">
        <v>1287</v>
      </c>
      <c r="DA19">
        <v>0.11490806415677071</v>
      </c>
      <c r="DB19" t="e">
        <v>#VALUE!</v>
      </c>
      <c r="DC19" t="s">
        <v>1287</v>
      </c>
      <c r="DD19">
        <v>0.10916266094893218</v>
      </c>
      <c r="DE19" t="e">
        <v>#VALUE!</v>
      </c>
      <c r="DF19" t="s">
        <v>1287</v>
      </c>
      <c r="DG19">
        <v>0.10111909645795823</v>
      </c>
      <c r="DH19" t="e">
        <v>#VALUE!</v>
      </c>
      <c r="DI19" t="s">
        <v>1287</v>
      </c>
      <c r="DJ19">
        <v>9.1926451325416575E-2</v>
      </c>
      <c r="DK19" t="e">
        <v>#VALUE!</v>
      </c>
      <c r="DL19" t="s">
        <v>1287</v>
      </c>
      <c r="DM19">
        <v>8.0435644909739493E-2</v>
      </c>
      <c r="DN19">
        <v>-916000000</v>
      </c>
      <c r="DO19">
        <v>0.11490806415677071</v>
      </c>
      <c r="DP19">
        <v>3477801800</v>
      </c>
      <c r="DQ19">
        <v>629371100</v>
      </c>
      <c r="DR19">
        <v>1951</v>
      </c>
      <c r="DS19">
        <v>-6.5500949532264791E-2</v>
      </c>
      <c r="DT19">
        <v>10.86672377942717</v>
      </c>
      <c r="DU19" s="34">
        <v>-0.34</v>
      </c>
      <c r="DV19">
        <v>-0.81000000000000016</v>
      </c>
      <c r="DW19">
        <v>-1.1500000000000001</v>
      </c>
      <c r="DX19">
        <v>-6.1028301886792455</v>
      </c>
      <c r="DY19">
        <v>0.61570580645161244</v>
      </c>
      <c r="DZ19">
        <v>-6.0242376725502131</v>
      </c>
      <c r="EA19">
        <v>3961</v>
      </c>
      <c r="EB19">
        <v>-6.0054756203767923</v>
      </c>
      <c r="EC19">
        <v>6</v>
      </c>
      <c r="ED19">
        <v>0.24282412518405685</v>
      </c>
      <c r="EE19">
        <v>1.0302000143297498</v>
      </c>
      <c r="EF19" s="35">
        <v>-2.0053100000000001</v>
      </c>
      <c r="EG19">
        <v>-2.0780099999999999</v>
      </c>
      <c r="EH19">
        <v>38.235705806451612</v>
      </c>
      <c r="EI19" t="s">
        <v>1772</v>
      </c>
      <c r="EJ19">
        <v>0</v>
      </c>
      <c r="EK19">
        <v>0</v>
      </c>
      <c r="EL19" s="36">
        <v>45378</v>
      </c>
      <c r="EM19" s="37">
        <v>-0.3</v>
      </c>
      <c r="EN19" s="37">
        <v>-1.88</v>
      </c>
      <c r="EO19" s="37">
        <v>1.9E-3</v>
      </c>
      <c r="EP19" s="37">
        <v>6.3</v>
      </c>
      <c r="EQ19" s="37">
        <v>-7.27</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21" r:id="rId3" name="Button 1">
              <controlPr defaultSize="0" print="0" autoFill="0" autoPict="0" macro="[0]!'Industry_copy_call_buttom [c2],[d2]'">
                <anchor moveWithCells="1" sizeWithCells="1">
                  <from>
                    <xdr:col>1</xdr:col>
                    <xdr:colOff>61913</xdr:colOff>
                    <xdr:row>1</xdr:row>
                    <xdr:rowOff>261938</xdr:rowOff>
                  </from>
                  <to>
                    <xdr:col>1</xdr:col>
                    <xdr:colOff>1090613</xdr:colOff>
                    <xdr:row>1</xdr:row>
                    <xdr:rowOff>709613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3.5" x14ac:dyDescent="0.3"/>
  <cols>
    <col min="1" max="1" width="8.9296875" style="1"/>
    <col min="2" max="2" width="12.53125" customWidth="1"/>
    <col min="4" max="4" width="13.9296875" bestFit="1" customWidth="1"/>
    <col min="5" max="12" width="8.796875" customWidth="1"/>
    <col min="13" max="13" width="15.9296875" customWidth="1"/>
    <col min="14" max="17" width="8.796875" customWidth="1"/>
    <col min="18" max="18" width="13.59765625" customWidth="1"/>
    <col min="19" max="19" width="12.9296875" customWidth="1"/>
  </cols>
  <sheetData>
    <row r="1" spans="1:32" s="5" customFormat="1" ht="40.5" x14ac:dyDescent="0.3">
      <c r="A1" s="4" t="s">
        <v>15</v>
      </c>
      <c r="B1" s="5" t="s">
        <v>19</v>
      </c>
      <c r="C1" s="5" t="s">
        <v>16</v>
      </c>
      <c r="D1" s="5" t="s">
        <v>20</v>
      </c>
      <c r="E1" s="6" t="s">
        <v>17</v>
      </c>
      <c r="F1" s="6" t="s">
        <v>18</v>
      </c>
      <c r="G1" s="6" t="s">
        <v>26</v>
      </c>
      <c r="H1" s="6" t="s">
        <v>21</v>
      </c>
      <c r="I1" s="6" t="s">
        <v>22</v>
      </c>
      <c r="J1" s="6" t="s">
        <v>23</v>
      </c>
      <c r="K1" s="6" t="s">
        <v>24</v>
      </c>
      <c r="L1" s="5" t="s">
        <v>25</v>
      </c>
      <c r="M1" s="5" t="s">
        <v>27</v>
      </c>
      <c r="N1" s="5" t="s">
        <v>28</v>
      </c>
      <c r="O1" s="5" t="s">
        <v>29</v>
      </c>
      <c r="P1" s="5" t="s">
        <v>30</v>
      </c>
      <c r="Q1" s="5" t="s">
        <v>31</v>
      </c>
      <c r="R1" s="9" t="s">
        <v>32</v>
      </c>
      <c r="S1" s="5" t="s">
        <v>33</v>
      </c>
      <c r="T1" s="5" t="s">
        <v>34</v>
      </c>
      <c r="U1" s="5" t="s">
        <v>35</v>
      </c>
      <c r="V1" s="5" t="s">
        <v>36</v>
      </c>
      <c r="W1" s="5" t="s">
        <v>37</v>
      </c>
      <c r="X1" s="5" t="s">
        <v>38</v>
      </c>
      <c r="Y1" s="5" t="s">
        <v>39</v>
      </c>
      <c r="Z1" s="5" t="s">
        <v>40</v>
      </c>
      <c r="AA1" s="5" t="s">
        <v>41</v>
      </c>
      <c r="AB1" s="5" t="s">
        <v>42</v>
      </c>
      <c r="AC1" s="5" t="s">
        <v>43</v>
      </c>
      <c r="AD1" s="13" t="s">
        <v>44</v>
      </c>
      <c r="AE1" s="5" t="s">
        <v>45</v>
      </c>
      <c r="AF1" s="5" t="s">
        <v>46</v>
      </c>
    </row>
    <row r="2" spans="1:32" x14ac:dyDescent="0.3">
      <c r="A2" s="2">
        <v>1</v>
      </c>
      <c r="B2">
        <v>1</v>
      </c>
      <c r="C2" s="3">
        <v>0.08</v>
      </c>
      <c r="D2">
        <f>H2</f>
        <v>7.06</v>
      </c>
      <c r="E2">
        <v>11.56</v>
      </c>
      <c r="F2">
        <v>20.440000000000001</v>
      </c>
      <c r="G2">
        <f>F2</f>
        <v>20.440000000000001</v>
      </c>
      <c r="H2" s="7">
        <v>7.06</v>
      </c>
      <c r="I2" s="8">
        <v>0.37</v>
      </c>
      <c r="J2">
        <v>9</v>
      </c>
      <c r="K2">
        <v>85</v>
      </c>
      <c r="L2">
        <f>K2-F2+E2</f>
        <v>76.12</v>
      </c>
      <c r="M2">
        <f>SUMIF(A2:A51,"&lt;"&amp;J2+1,D2:D51)</f>
        <v>88.162158341966133</v>
      </c>
      <c r="O2">
        <f>M2/L2</f>
        <v>1.1581996629265126</v>
      </c>
      <c r="R2">
        <f>S2</f>
        <v>7.06</v>
      </c>
      <c r="S2">
        <f>$H$2</f>
        <v>7.06</v>
      </c>
      <c r="T2" s="3">
        <v>0.37</v>
      </c>
      <c r="U2" s="3">
        <v>0.06</v>
      </c>
      <c r="V2">
        <f>SUM($R$2:R2)</f>
        <v>7.06</v>
      </c>
      <c r="W2" s="2">
        <f>X2-Y2</f>
        <v>474.26</v>
      </c>
      <c r="X2" s="12">
        <f>579-579*10%</f>
        <v>521.1</v>
      </c>
      <c r="Y2" s="12">
        <f>57.79-10.95</f>
        <v>46.84</v>
      </c>
      <c r="Z2">
        <f>$W$2/S2</f>
        <v>67.175637393767701</v>
      </c>
      <c r="AA2" s="3">
        <v>0.3</v>
      </c>
      <c r="AB2">
        <f>S2/AA2</f>
        <v>23.533333333333331</v>
      </c>
      <c r="AC2">
        <f>AC3*(1-$U$2)</f>
        <v>222.37291878719995</v>
      </c>
      <c r="AD2" s="3">
        <v>0</v>
      </c>
      <c r="AE2">
        <f>AC2*AD2</f>
        <v>0</v>
      </c>
      <c r="AF2">
        <f>IF(AB2&gt;AE2, 1, 0)</f>
        <v>1</v>
      </c>
    </row>
    <row r="3" spans="1:32" x14ac:dyDescent="0.3">
      <c r="A3" s="2">
        <v>2</v>
      </c>
      <c r="B3">
        <f>B2+B2*C2</f>
        <v>1.08</v>
      </c>
      <c r="C3" s="3">
        <v>0.08</v>
      </c>
      <c r="D3">
        <f>D2+D2*C2</f>
        <v>7.6247999999999996</v>
      </c>
      <c r="Q3">
        <f>$D$2*((1+$C$2)^A2)</f>
        <v>7.6248000000000005</v>
      </c>
      <c r="R3">
        <f>S3/((1+$U$2)^A2)</f>
        <v>9.1247169811320745</v>
      </c>
      <c r="S3">
        <f>S2*(1+T2)</f>
        <v>9.6722000000000001</v>
      </c>
      <c r="T3" s="3">
        <v>0.37</v>
      </c>
      <c r="V3">
        <f>SUM($R$2:R3)</f>
        <v>16.184716981132073</v>
      </c>
      <c r="W3">
        <f>V3/$W$2</f>
        <v>3.4126253492034062E-2</v>
      </c>
      <c r="Z3">
        <f t="shared" ref="Z3:Z13" si="0">$W$2/S3</f>
        <v>49.033311966253798</v>
      </c>
      <c r="AA3" s="3">
        <v>0.3</v>
      </c>
      <c r="AB3">
        <f t="shared" ref="AB3:AB66" si="1">S3/AA3</f>
        <v>32.240666666666669</v>
      </c>
      <c r="AC3">
        <f>AC4*(1-$U$2)</f>
        <v>236.56693487999996</v>
      </c>
      <c r="AD3" s="3">
        <v>0.1</v>
      </c>
      <c r="AE3">
        <f t="shared" ref="AE3:AE66" si="2">AC3*AD3</f>
        <v>23.656693487999998</v>
      </c>
      <c r="AF3">
        <f t="shared" ref="AF3:AF66" si="3">IF(AB3&gt;AE3, 1, 0)</f>
        <v>1</v>
      </c>
    </row>
    <row r="4" spans="1:32" x14ac:dyDescent="0.3">
      <c r="A4" s="2">
        <v>3</v>
      </c>
      <c r="B4">
        <f t="shared" ref="B4:B51" si="4">B3+B3*C3</f>
        <v>1.1664000000000001</v>
      </c>
      <c r="C4" s="3">
        <v>0.08</v>
      </c>
      <c r="D4">
        <f t="shared" ref="D4:D51" si="5">D3+D3*C3</f>
        <v>8.2347839999999994</v>
      </c>
      <c r="Q4">
        <f>$D$2*((1+$C$2)^A3)</f>
        <v>8.2347839999999994</v>
      </c>
      <c r="R4">
        <f t="shared" ref="R4:R67" si="6">S4/((1+$U$2)^A3)</f>
        <v>11.793266286934852</v>
      </c>
      <c r="S4">
        <f t="shared" ref="S4:S67" si="7">S3*(1+T3)</f>
        <v>13.250914000000002</v>
      </c>
      <c r="T4" s="3">
        <v>0.37</v>
      </c>
      <c r="V4">
        <f>SUM($R$2:R4)</f>
        <v>27.977983268066925</v>
      </c>
      <c r="W4">
        <f t="shared" ref="W4:W67" si="8">V4/$W$2</f>
        <v>5.8992922169415353E-2</v>
      </c>
      <c r="Z4">
        <f t="shared" si="0"/>
        <v>35.79073866149912</v>
      </c>
      <c r="AA4" s="3">
        <v>0.3</v>
      </c>
      <c r="AB4">
        <f t="shared" si="1"/>
        <v>44.169713333333341</v>
      </c>
      <c r="AC4">
        <f>AC5*(1-$U$2)</f>
        <v>251.66695199999998</v>
      </c>
      <c r="AD4" s="3">
        <v>0.15</v>
      </c>
      <c r="AE4">
        <f t="shared" si="2"/>
        <v>37.750042799999996</v>
      </c>
      <c r="AF4">
        <f t="shared" si="3"/>
        <v>1</v>
      </c>
    </row>
    <row r="5" spans="1:32" x14ac:dyDescent="0.3">
      <c r="A5" s="2">
        <v>4</v>
      </c>
      <c r="B5">
        <f t="shared" si="4"/>
        <v>1.2597120000000002</v>
      </c>
      <c r="C5" s="3">
        <v>0.08</v>
      </c>
      <c r="D5">
        <f t="shared" si="5"/>
        <v>8.893566719999999</v>
      </c>
      <c r="Q5">
        <f t="shared" ref="Q5:Q51" si="9">$D$2*((1+$C$2)^A4)</f>
        <v>8.8935667200000008</v>
      </c>
      <c r="R5">
        <f t="shared" si="6"/>
        <v>15.242240389717686</v>
      </c>
      <c r="S5">
        <f>S4*(1+T4)</f>
        <v>18.153752180000005</v>
      </c>
      <c r="T5" s="3">
        <v>0.37</v>
      </c>
      <c r="V5">
        <f>SUM($R$2:R5)</f>
        <v>43.220223657784615</v>
      </c>
      <c r="W5">
        <f t="shared" si="8"/>
        <v>9.1131918478860999E-2</v>
      </c>
      <c r="Z5">
        <f t="shared" si="0"/>
        <v>26.12462676021833</v>
      </c>
      <c r="AA5" s="3">
        <v>0.3</v>
      </c>
      <c r="AB5">
        <f t="shared" si="1"/>
        <v>60.512507266666688</v>
      </c>
      <c r="AC5">
        <f>AC6*(1-$U$2)</f>
        <v>267.73079999999999</v>
      </c>
      <c r="AD5" s="3">
        <v>0.15</v>
      </c>
      <c r="AE5">
        <f t="shared" si="2"/>
        <v>40.159619999999997</v>
      </c>
      <c r="AF5">
        <f t="shared" si="3"/>
        <v>1</v>
      </c>
    </row>
    <row r="6" spans="1:32" x14ac:dyDescent="0.3">
      <c r="A6" s="2">
        <v>5</v>
      </c>
      <c r="B6">
        <f t="shared" si="4"/>
        <v>1.3604889600000001</v>
      </c>
      <c r="C6" s="3">
        <v>0.08</v>
      </c>
      <c r="D6">
        <f t="shared" si="5"/>
        <v>9.6050520575999982</v>
      </c>
      <c r="Q6">
        <f t="shared" si="9"/>
        <v>9.6050520576000018</v>
      </c>
      <c r="R6">
        <f t="shared" si="6"/>
        <v>19.699876730106823</v>
      </c>
      <c r="S6">
        <f>S5*(1+T5)</f>
        <v>24.87064048660001</v>
      </c>
      <c r="T6" s="3">
        <v>0.37</v>
      </c>
      <c r="V6">
        <f>SUM($R$2:R6)</f>
        <v>62.920100387891438</v>
      </c>
      <c r="W6" s="10">
        <f t="shared" si="8"/>
        <v>0.13267005521842754</v>
      </c>
      <c r="Z6">
        <f t="shared" si="0"/>
        <v>19.06907062789659</v>
      </c>
      <c r="AA6" s="3">
        <v>0.3</v>
      </c>
      <c r="AB6">
        <f t="shared" si="1"/>
        <v>82.902134955333366</v>
      </c>
      <c r="AC6">
        <f>AC7*(1-$U$2)</f>
        <v>284.82</v>
      </c>
      <c r="AD6" s="3">
        <v>0.2</v>
      </c>
      <c r="AE6">
        <f t="shared" si="2"/>
        <v>56.963999999999999</v>
      </c>
      <c r="AF6">
        <f t="shared" si="3"/>
        <v>1</v>
      </c>
    </row>
    <row r="7" spans="1:32" x14ac:dyDescent="0.3">
      <c r="A7" s="2">
        <v>6</v>
      </c>
      <c r="B7">
        <f t="shared" si="4"/>
        <v>1.4693280768000001</v>
      </c>
      <c r="C7" s="3">
        <v>0.08</v>
      </c>
      <c r="D7">
        <f t="shared" si="5"/>
        <v>10.373456222207999</v>
      </c>
      <c r="Q7">
        <f t="shared" si="9"/>
        <v>10.373456222208002</v>
      </c>
      <c r="R7">
        <f t="shared" si="6"/>
        <v>25.461161434194668</v>
      </c>
      <c r="S7">
        <f t="shared" si="7"/>
        <v>34.072777466642016</v>
      </c>
      <c r="T7" s="3">
        <v>0.37</v>
      </c>
      <c r="V7">
        <f>SUM($R$2:R7)</f>
        <v>88.381261822086103</v>
      </c>
      <c r="W7" s="11">
        <f t="shared" si="8"/>
        <v>0.18635613760824465</v>
      </c>
      <c r="Z7">
        <f t="shared" si="0"/>
        <v>13.919029655398969</v>
      </c>
      <c r="AA7" s="3">
        <v>0.3</v>
      </c>
      <c r="AB7">
        <f t="shared" si="1"/>
        <v>113.57592488880672</v>
      </c>
      <c r="AC7">
        <v>303</v>
      </c>
      <c r="AD7" s="3">
        <v>0.2</v>
      </c>
      <c r="AE7">
        <f t="shared" si="2"/>
        <v>60.6</v>
      </c>
      <c r="AF7">
        <f t="shared" si="3"/>
        <v>1</v>
      </c>
    </row>
    <row r="8" spans="1:32" x14ac:dyDescent="0.3">
      <c r="A8" s="2">
        <v>7</v>
      </c>
      <c r="B8">
        <f t="shared" si="4"/>
        <v>1.5868743229440001</v>
      </c>
      <c r="C8" s="3">
        <v>0.08</v>
      </c>
      <c r="D8">
        <f t="shared" si="5"/>
        <v>11.203332719984639</v>
      </c>
      <c r="Q8">
        <f t="shared" si="9"/>
        <v>11.203332719984644</v>
      </c>
      <c r="R8">
        <f t="shared" si="6"/>
        <v>32.907350155515751</v>
      </c>
      <c r="S8">
        <f>S7*(1+T7)</f>
        <v>46.679705129299563</v>
      </c>
      <c r="T8" s="3">
        <v>0.37</v>
      </c>
      <c r="V8">
        <f>SUM($R$2:R8)</f>
        <v>121.28861197760185</v>
      </c>
      <c r="W8">
        <f t="shared" si="8"/>
        <v>0.25574286673470636</v>
      </c>
      <c r="Z8">
        <f t="shared" si="0"/>
        <v>10.15987566087516</v>
      </c>
      <c r="AA8" s="3">
        <v>0.3</v>
      </c>
      <c r="AB8">
        <f t="shared" si="1"/>
        <v>155.59901709766521</v>
      </c>
      <c r="AC8">
        <f t="shared" ref="AC8:AC67" si="10">AC7*(1+$U$2)</f>
        <v>321.18</v>
      </c>
      <c r="AD8" s="3">
        <v>0.2</v>
      </c>
      <c r="AE8">
        <f t="shared" si="2"/>
        <v>64.236000000000004</v>
      </c>
      <c r="AF8">
        <f t="shared" si="3"/>
        <v>1</v>
      </c>
    </row>
    <row r="9" spans="1:32" x14ac:dyDescent="0.3">
      <c r="A9" s="2">
        <v>8</v>
      </c>
      <c r="B9">
        <f t="shared" si="4"/>
        <v>1.7138242687795202</v>
      </c>
      <c r="C9" s="3">
        <v>0.08</v>
      </c>
      <c r="D9">
        <f t="shared" si="5"/>
        <v>12.09959933758341</v>
      </c>
      <c r="Q9">
        <f t="shared" si="9"/>
        <v>12.099599337583415</v>
      </c>
      <c r="R9">
        <f t="shared" si="6"/>
        <v>42.531197842506202</v>
      </c>
      <c r="S9">
        <f t="shared" si="7"/>
        <v>63.951196027140405</v>
      </c>
      <c r="T9" s="3">
        <v>0.1</v>
      </c>
      <c r="V9">
        <f>SUM($R$2:R9)</f>
        <v>163.81980982010805</v>
      </c>
      <c r="W9" s="10">
        <f t="shared" si="8"/>
        <v>0.34542194117173713</v>
      </c>
      <c r="Z9">
        <f t="shared" si="0"/>
        <v>7.4159676356752984</v>
      </c>
      <c r="AA9" s="3">
        <v>0.3</v>
      </c>
      <c r="AB9">
        <f t="shared" si="1"/>
        <v>213.17065342380135</v>
      </c>
      <c r="AC9">
        <f t="shared" si="10"/>
        <v>340.45080000000002</v>
      </c>
      <c r="AD9" s="3">
        <v>0.2</v>
      </c>
      <c r="AE9">
        <f t="shared" si="2"/>
        <v>68.090160000000012</v>
      </c>
      <c r="AF9" s="2">
        <f t="shared" si="3"/>
        <v>1</v>
      </c>
    </row>
    <row r="10" spans="1:32" x14ac:dyDescent="0.3">
      <c r="A10" s="2">
        <v>9</v>
      </c>
      <c r="B10">
        <f t="shared" si="4"/>
        <v>1.8509302102818819</v>
      </c>
      <c r="C10" s="3">
        <v>0.08</v>
      </c>
      <c r="D10">
        <f t="shared" si="5"/>
        <v>13.067567284590082</v>
      </c>
      <c r="Q10">
        <f t="shared" si="9"/>
        <v>13.067567284590089</v>
      </c>
      <c r="R10">
        <f t="shared" si="6"/>
        <v>44.136148704487567</v>
      </c>
      <c r="S10">
        <f t="shared" si="7"/>
        <v>70.346315629854445</v>
      </c>
      <c r="T10" s="3">
        <v>0.1</v>
      </c>
      <c r="V10">
        <f>SUM($R$2:R10)</f>
        <v>207.95595852459562</v>
      </c>
      <c r="W10">
        <f t="shared" si="8"/>
        <v>0.43848513162525959</v>
      </c>
      <c r="Z10">
        <f t="shared" si="0"/>
        <v>6.7417887597048169</v>
      </c>
      <c r="AA10" s="3">
        <v>0.3</v>
      </c>
      <c r="AB10">
        <f t="shared" si="1"/>
        <v>234.4877187661815</v>
      </c>
      <c r="AC10">
        <f t="shared" si="10"/>
        <v>360.87784800000003</v>
      </c>
      <c r="AD10" s="3">
        <v>0.2</v>
      </c>
      <c r="AE10">
        <f t="shared" si="2"/>
        <v>72.175569600000003</v>
      </c>
      <c r="AF10" s="1">
        <f t="shared" si="3"/>
        <v>1</v>
      </c>
    </row>
    <row r="11" spans="1:32" x14ac:dyDescent="0.3">
      <c r="A11" s="2">
        <v>10</v>
      </c>
      <c r="B11">
        <f t="shared" si="4"/>
        <v>1.9990046271044324</v>
      </c>
      <c r="C11" s="3">
        <v>0.08</v>
      </c>
      <c r="D11">
        <f t="shared" si="5"/>
        <v>14.112972667357289</v>
      </c>
      <c r="Q11">
        <f t="shared" si="9"/>
        <v>14.112972667357296</v>
      </c>
      <c r="R11">
        <f t="shared" si="6"/>
        <v>45.801663749939934</v>
      </c>
      <c r="S11">
        <f t="shared" si="7"/>
        <v>77.380947192839898</v>
      </c>
      <c r="T11" s="3">
        <v>0.1</v>
      </c>
      <c r="V11">
        <f>SUM($R$2:R11)</f>
        <v>253.75762227453555</v>
      </c>
      <c r="W11">
        <f t="shared" si="8"/>
        <v>0.53506014058646223</v>
      </c>
      <c r="Z11">
        <f t="shared" si="0"/>
        <v>6.1288988724589242</v>
      </c>
      <c r="AA11" s="3">
        <v>0.3</v>
      </c>
      <c r="AB11">
        <f t="shared" si="1"/>
        <v>257.9364906427997</v>
      </c>
      <c r="AC11">
        <f t="shared" si="10"/>
        <v>382.53051888000005</v>
      </c>
      <c r="AD11" s="3">
        <v>0.2</v>
      </c>
      <c r="AE11">
        <f t="shared" si="2"/>
        <v>76.506103776000018</v>
      </c>
      <c r="AF11">
        <f t="shared" si="3"/>
        <v>1</v>
      </c>
    </row>
    <row r="12" spans="1:32" x14ac:dyDescent="0.3">
      <c r="A12" s="2">
        <v>11</v>
      </c>
      <c r="B12">
        <f t="shared" si="4"/>
        <v>2.1589249972727869</v>
      </c>
      <c r="C12" s="3">
        <v>0.08</v>
      </c>
      <c r="D12">
        <f t="shared" si="5"/>
        <v>15.242010480745872</v>
      </c>
      <c r="Q12">
        <f t="shared" si="9"/>
        <v>15.242010480745881</v>
      </c>
      <c r="R12">
        <f t="shared" si="6"/>
        <v>47.530028419748987</v>
      </c>
      <c r="S12">
        <f t="shared" si="7"/>
        <v>85.11904191212389</v>
      </c>
      <c r="T12" s="3">
        <v>0.08</v>
      </c>
      <c r="V12">
        <f>SUM($R$2:R12)</f>
        <v>301.28765069428454</v>
      </c>
      <c r="W12" s="11">
        <f t="shared" si="8"/>
        <v>0.6352794895084648</v>
      </c>
      <c r="Z12">
        <f t="shared" si="0"/>
        <v>5.5717262476899307</v>
      </c>
      <c r="AA12" s="3">
        <v>0.3</v>
      </c>
      <c r="AB12">
        <f t="shared" si="1"/>
        <v>283.73013970707967</v>
      </c>
      <c r="AC12">
        <f t="shared" si="10"/>
        <v>405.48235001280005</v>
      </c>
      <c r="AD12" s="3">
        <v>0.2</v>
      </c>
      <c r="AE12">
        <f t="shared" si="2"/>
        <v>81.096470002560011</v>
      </c>
      <c r="AF12" s="1">
        <f t="shared" si="3"/>
        <v>1</v>
      </c>
    </row>
    <row r="13" spans="1:32" x14ac:dyDescent="0.3">
      <c r="A13" s="2">
        <v>12</v>
      </c>
      <c r="B13">
        <f t="shared" si="4"/>
        <v>2.3316389970546099</v>
      </c>
      <c r="C13" s="3">
        <v>0.08</v>
      </c>
      <c r="D13">
        <f t="shared" si="5"/>
        <v>16.46137131920554</v>
      </c>
      <c r="Q13">
        <f t="shared" si="9"/>
        <v>16.461371319205551</v>
      </c>
      <c r="R13">
        <f t="shared" si="6"/>
        <v>48.426821408800855</v>
      </c>
      <c r="S13">
        <f t="shared" si="7"/>
        <v>91.928565265093809</v>
      </c>
      <c r="T13" s="3">
        <v>0.08</v>
      </c>
      <c r="V13">
        <f>SUM($R$2:R13)</f>
        <v>349.71447210308537</v>
      </c>
      <c r="W13" s="11">
        <f t="shared" si="8"/>
        <v>0.73738976954220337</v>
      </c>
      <c r="Z13">
        <f t="shared" si="0"/>
        <v>5.1590057848980839</v>
      </c>
      <c r="AA13" s="3">
        <v>0.3</v>
      </c>
      <c r="AB13">
        <f t="shared" si="1"/>
        <v>306.42855088364604</v>
      </c>
      <c r="AC13">
        <f t="shared" si="10"/>
        <v>429.81129101356805</v>
      </c>
      <c r="AD13" s="3">
        <v>0.2</v>
      </c>
      <c r="AE13">
        <f t="shared" si="2"/>
        <v>85.962258202713613</v>
      </c>
      <c r="AF13">
        <f t="shared" si="3"/>
        <v>1</v>
      </c>
    </row>
    <row r="14" spans="1:32" x14ac:dyDescent="0.3">
      <c r="A14" s="2">
        <v>13</v>
      </c>
      <c r="B14">
        <f t="shared" si="4"/>
        <v>2.5181701168189785</v>
      </c>
      <c r="C14" s="3">
        <v>0.08</v>
      </c>
      <c r="D14">
        <f t="shared" si="5"/>
        <v>17.778281024741982</v>
      </c>
      <c r="Q14">
        <f t="shared" si="9"/>
        <v>17.778281024741997</v>
      </c>
      <c r="R14">
        <f t="shared" si="6"/>
        <v>49.34053502028766</v>
      </c>
      <c r="S14">
        <f t="shared" si="7"/>
        <v>99.282850486301314</v>
      </c>
      <c r="T14" s="3">
        <v>0.08</v>
      </c>
      <c r="V14">
        <f>SUM($R$2:R14)</f>
        <v>399.055007123373</v>
      </c>
      <c r="W14" s="11">
        <f t="shared" si="8"/>
        <v>0.84142665863318222</v>
      </c>
      <c r="Z14">
        <f>$W$2/S14</f>
        <v>4.7768572082389662</v>
      </c>
      <c r="AA14" s="3">
        <v>0.3</v>
      </c>
      <c r="AB14">
        <f>S14/AA14</f>
        <v>330.94283495433774</v>
      </c>
      <c r="AC14">
        <f t="shared" si="10"/>
        <v>455.59996847438214</v>
      </c>
      <c r="AD14" s="3">
        <v>0.2</v>
      </c>
      <c r="AE14">
        <f t="shared" si="2"/>
        <v>91.119993694876428</v>
      </c>
      <c r="AF14">
        <f t="shared" si="3"/>
        <v>1</v>
      </c>
    </row>
    <row r="15" spans="1:32" x14ac:dyDescent="0.3">
      <c r="A15" s="2">
        <v>14</v>
      </c>
      <c r="B15">
        <f t="shared" si="4"/>
        <v>2.7196237261644969</v>
      </c>
      <c r="C15" s="3">
        <v>0.08</v>
      </c>
      <c r="D15">
        <f t="shared" si="5"/>
        <v>19.200543506721342</v>
      </c>
      <c r="Q15">
        <f t="shared" si="9"/>
        <v>19.200543506721356</v>
      </c>
      <c r="R15">
        <f t="shared" si="6"/>
        <v>50.271488511236484</v>
      </c>
      <c r="S15">
        <f t="shared" si="7"/>
        <v>107.22547852520543</v>
      </c>
      <c r="T15" s="3">
        <v>0.08</v>
      </c>
      <c r="V15">
        <f>SUM($R$2:R15)</f>
        <v>449.3264956346095</v>
      </c>
      <c r="W15" s="11">
        <f t="shared" si="8"/>
        <v>0.94742650789568905</v>
      </c>
      <c r="Z15">
        <f t="shared" ref="Z15:Z78" si="11">$W$2/S15</f>
        <v>4.4230159335545975</v>
      </c>
      <c r="AA15" s="3">
        <v>0.3</v>
      </c>
      <c r="AB15">
        <f t="shared" si="1"/>
        <v>357.41826175068479</v>
      </c>
      <c r="AC15">
        <f t="shared" si="10"/>
        <v>482.93596658284508</v>
      </c>
      <c r="AD15" s="3">
        <v>0.2</v>
      </c>
      <c r="AE15">
        <f t="shared" si="2"/>
        <v>96.587193316569028</v>
      </c>
      <c r="AF15">
        <f t="shared" si="3"/>
        <v>1</v>
      </c>
    </row>
    <row r="16" spans="1:32" x14ac:dyDescent="0.3">
      <c r="A16" s="2">
        <v>15</v>
      </c>
      <c r="B16">
        <f t="shared" si="4"/>
        <v>2.9371936242576568</v>
      </c>
      <c r="C16" s="3">
        <v>0.08</v>
      </c>
      <c r="D16">
        <f t="shared" si="5"/>
        <v>20.736586987259049</v>
      </c>
      <c r="Q16">
        <f t="shared" si="9"/>
        <v>20.73658698725907</v>
      </c>
      <c r="R16">
        <f t="shared" si="6"/>
        <v>51.220007162391894</v>
      </c>
      <c r="S16">
        <f t="shared" si="7"/>
        <v>115.80351680722187</v>
      </c>
      <c r="T16" s="3">
        <v>0.08</v>
      </c>
      <c r="V16">
        <f>SUM($R$2:R16)</f>
        <v>500.54650279700138</v>
      </c>
      <c r="W16">
        <f t="shared" si="8"/>
        <v>1.0554263543140923</v>
      </c>
      <c r="Z16">
        <f t="shared" si="11"/>
        <v>4.0953851236616643</v>
      </c>
      <c r="AA16" s="3">
        <v>0.3</v>
      </c>
      <c r="AB16">
        <f t="shared" si="1"/>
        <v>386.01172269073959</v>
      </c>
      <c r="AC16">
        <f t="shared" si="10"/>
        <v>511.9121245778158</v>
      </c>
      <c r="AD16" s="3">
        <v>0.2</v>
      </c>
      <c r="AE16">
        <f t="shared" si="2"/>
        <v>102.38242491556316</v>
      </c>
      <c r="AF16">
        <f t="shared" si="3"/>
        <v>1</v>
      </c>
    </row>
    <row r="17" spans="1:32" x14ac:dyDescent="0.3">
      <c r="A17" s="2">
        <v>16</v>
      </c>
      <c r="B17">
        <f t="shared" si="4"/>
        <v>3.1721691141982693</v>
      </c>
      <c r="C17" s="3">
        <v>0.08</v>
      </c>
      <c r="D17">
        <f t="shared" si="5"/>
        <v>22.395513946239774</v>
      </c>
      <c r="Q17">
        <f t="shared" si="9"/>
        <v>22.395513946239795</v>
      </c>
      <c r="R17">
        <f t="shared" si="6"/>
        <v>52.18642239187097</v>
      </c>
      <c r="S17">
        <f t="shared" si="7"/>
        <v>125.06779815179962</v>
      </c>
      <c r="T17" s="3">
        <v>0.08</v>
      </c>
      <c r="V17">
        <f>SUM($R$2:R17)</f>
        <v>552.7329251888724</v>
      </c>
      <c r="W17">
        <f t="shared" si="8"/>
        <v>1.1654639336837862</v>
      </c>
      <c r="Z17">
        <f t="shared" si="11"/>
        <v>3.7920232626496895</v>
      </c>
      <c r="AA17" s="3">
        <v>0.3</v>
      </c>
      <c r="AB17">
        <f t="shared" si="1"/>
        <v>416.89266050599878</v>
      </c>
      <c r="AC17">
        <f t="shared" si="10"/>
        <v>542.62685205248476</v>
      </c>
      <c r="AD17" s="3">
        <v>0.2</v>
      </c>
      <c r="AE17">
        <f t="shared" si="2"/>
        <v>108.52537041049696</v>
      </c>
      <c r="AF17">
        <f t="shared" si="3"/>
        <v>1</v>
      </c>
    </row>
    <row r="18" spans="1:32" x14ac:dyDescent="0.3">
      <c r="A18" s="2">
        <v>17</v>
      </c>
      <c r="B18">
        <f t="shared" si="4"/>
        <v>3.4259426433341309</v>
      </c>
      <c r="C18" s="3">
        <v>0.08</v>
      </c>
      <c r="D18">
        <f t="shared" si="5"/>
        <v>24.187155061938956</v>
      </c>
      <c r="Q18">
        <f t="shared" si="9"/>
        <v>24.187155061938977</v>
      </c>
      <c r="R18">
        <f t="shared" si="6"/>
        <v>53.171071870962898</v>
      </c>
      <c r="S18">
        <f t="shared" si="7"/>
        <v>135.07322200394361</v>
      </c>
      <c r="T18" s="3">
        <v>0.08</v>
      </c>
      <c r="V18">
        <f>SUM($R$2:R18)</f>
        <v>605.90399705983532</v>
      </c>
      <c r="W18" s="11">
        <f t="shared" si="8"/>
        <v>1.2775776937963044</v>
      </c>
      <c r="Z18">
        <f t="shared" si="11"/>
        <v>3.5111326506015637</v>
      </c>
      <c r="AA18" s="3">
        <v>0.3</v>
      </c>
      <c r="AB18">
        <f t="shared" si="1"/>
        <v>450.24407334647873</v>
      </c>
      <c r="AC18">
        <f t="shared" si="10"/>
        <v>575.18446317563382</v>
      </c>
      <c r="AD18" s="3">
        <v>0.2</v>
      </c>
      <c r="AE18">
        <f t="shared" si="2"/>
        <v>115.03689263512678</v>
      </c>
      <c r="AF18">
        <f t="shared" si="3"/>
        <v>1</v>
      </c>
    </row>
    <row r="19" spans="1:32" x14ac:dyDescent="0.3">
      <c r="A19" s="2">
        <v>18</v>
      </c>
      <c r="B19">
        <f t="shared" si="4"/>
        <v>3.7000180548008612</v>
      </c>
      <c r="C19" s="3">
        <v>0.08</v>
      </c>
      <c r="D19">
        <f t="shared" si="5"/>
        <v>26.122127466894071</v>
      </c>
      <c r="Q19">
        <f t="shared" si="9"/>
        <v>26.122127466894099</v>
      </c>
      <c r="R19">
        <f t="shared" si="6"/>
        <v>54.174299642113134</v>
      </c>
      <c r="S19">
        <f t="shared" si="7"/>
        <v>145.8790797642591</v>
      </c>
      <c r="T19" s="3">
        <v>0.08</v>
      </c>
      <c r="V19">
        <f>SUM($R$2:R19)</f>
        <v>660.07829670194849</v>
      </c>
      <c r="W19">
        <f t="shared" si="8"/>
        <v>1.3918068078732098</v>
      </c>
      <c r="Z19">
        <f t="shared" si="11"/>
        <v>3.2510487505570032</v>
      </c>
      <c r="AA19" s="3">
        <v>0.3</v>
      </c>
      <c r="AB19">
        <f t="shared" si="1"/>
        <v>486.26359921419703</v>
      </c>
      <c r="AC19">
        <f t="shared" si="10"/>
        <v>609.69553096617187</v>
      </c>
      <c r="AD19" s="3">
        <v>0.2</v>
      </c>
      <c r="AE19">
        <f t="shared" si="2"/>
        <v>121.93910619323438</v>
      </c>
      <c r="AF19">
        <f t="shared" si="3"/>
        <v>1</v>
      </c>
    </row>
    <row r="20" spans="1:32" x14ac:dyDescent="0.3">
      <c r="A20" s="2">
        <v>19</v>
      </c>
      <c r="B20">
        <f t="shared" si="4"/>
        <v>3.9960194991849303</v>
      </c>
      <c r="C20" s="3">
        <v>0.08</v>
      </c>
      <c r="D20">
        <f t="shared" si="5"/>
        <v>28.211897664245598</v>
      </c>
      <c r="Q20">
        <f t="shared" si="9"/>
        <v>28.21189766424563</v>
      </c>
      <c r="R20">
        <f t="shared" si="6"/>
        <v>55.196456239134143</v>
      </c>
      <c r="S20">
        <f t="shared" si="7"/>
        <v>157.54940614539984</v>
      </c>
      <c r="T20" s="3">
        <v>0.08</v>
      </c>
      <c r="V20">
        <f>SUM($R$2:R20)</f>
        <v>715.27475294108262</v>
      </c>
      <c r="W20">
        <f t="shared" si="8"/>
        <v>1.5081911882534531</v>
      </c>
      <c r="Z20">
        <f t="shared" si="11"/>
        <v>3.0102303245898177</v>
      </c>
      <c r="AA20" s="3">
        <v>0.3</v>
      </c>
      <c r="AB20">
        <f t="shared" si="1"/>
        <v>525.16468715133283</v>
      </c>
      <c r="AC20">
        <f t="shared" si="10"/>
        <v>646.27726282414221</v>
      </c>
      <c r="AD20" s="3">
        <v>0.2</v>
      </c>
      <c r="AE20">
        <f t="shared" si="2"/>
        <v>129.25545256482846</v>
      </c>
      <c r="AF20">
        <f t="shared" si="3"/>
        <v>1</v>
      </c>
    </row>
    <row r="21" spans="1:32" x14ac:dyDescent="0.3">
      <c r="A21" s="2">
        <v>20</v>
      </c>
      <c r="B21">
        <f t="shared" si="4"/>
        <v>4.3157010591197249</v>
      </c>
      <c r="C21" s="3">
        <v>0.08</v>
      </c>
      <c r="D21">
        <f t="shared" si="5"/>
        <v>30.468849477385245</v>
      </c>
      <c r="Q21">
        <f t="shared" si="9"/>
        <v>30.46884947738528</v>
      </c>
      <c r="R21">
        <f t="shared" si="6"/>
        <v>56.237898809683834</v>
      </c>
      <c r="S21">
        <f t="shared" si="7"/>
        <v>170.15335863703183</v>
      </c>
      <c r="T21" s="3">
        <v>0.08</v>
      </c>
      <c r="V21">
        <f>SUM($R$2:R21)</f>
        <v>771.51265175076651</v>
      </c>
      <c r="W21" s="10">
        <f t="shared" si="8"/>
        <v>1.626771500338984</v>
      </c>
      <c r="Z21">
        <f t="shared" si="11"/>
        <v>2.7872503005461273</v>
      </c>
      <c r="AA21" s="3">
        <v>0.3</v>
      </c>
      <c r="AB21">
        <f t="shared" si="1"/>
        <v>567.17786212343947</v>
      </c>
      <c r="AC21">
        <f t="shared" si="10"/>
        <v>685.05389859359082</v>
      </c>
      <c r="AD21" s="3">
        <v>0.2</v>
      </c>
      <c r="AE21">
        <f t="shared" si="2"/>
        <v>137.01077971871817</v>
      </c>
      <c r="AF21">
        <f t="shared" si="3"/>
        <v>1</v>
      </c>
    </row>
    <row r="22" spans="1:32" x14ac:dyDescent="0.3">
      <c r="A22" s="2">
        <v>21</v>
      </c>
      <c r="B22">
        <f t="shared" si="4"/>
        <v>4.6609571438493029</v>
      </c>
      <c r="C22" s="3">
        <v>0.08</v>
      </c>
      <c r="D22">
        <f t="shared" si="5"/>
        <v>32.906357435576062</v>
      </c>
      <c r="Q22">
        <f t="shared" si="9"/>
        <v>32.906357435576105</v>
      </c>
      <c r="R22">
        <f t="shared" si="6"/>
        <v>57.298991240055237</v>
      </c>
      <c r="S22">
        <f t="shared" si="7"/>
        <v>183.76562732799439</v>
      </c>
      <c r="T22" s="3">
        <v>0.08</v>
      </c>
      <c r="V22">
        <f>SUM($R$2:R22)</f>
        <v>828.81164299082172</v>
      </c>
      <c r="W22">
        <f t="shared" si="8"/>
        <v>1.747589176803487</v>
      </c>
      <c r="Z22">
        <f t="shared" si="11"/>
        <v>2.5807873153204883</v>
      </c>
      <c r="AA22" s="3">
        <v>0.3</v>
      </c>
      <c r="AB22">
        <f t="shared" si="1"/>
        <v>612.55209109331463</v>
      </c>
      <c r="AC22">
        <f t="shared" si="10"/>
        <v>726.15713250920635</v>
      </c>
      <c r="AD22" s="3">
        <v>0.2</v>
      </c>
      <c r="AE22">
        <f t="shared" si="2"/>
        <v>145.23142650184127</v>
      </c>
      <c r="AF22">
        <f t="shared" si="3"/>
        <v>1</v>
      </c>
    </row>
    <row r="23" spans="1:32" x14ac:dyDescent="0.3">
      <c r="A23" s="2">
        <v>22</v>
      </c>
      <c r="B23">
        <f t="shared" si="4"/>
        <v>5.0338337153572468</v>
      </c>
      <c r="C23" s="3">
        <v>0.08</v>
      </c>
      <c r="D23">
        <f t="shared" si="5"/>
        <v>35.538866030422149</v>
      </c>
      <c r="Q23">
        <f t="shared" si="9"/>
        <v>35.538866030422191</v>
      </c>
      <c r="R23">
        <f t="shared" si="6"/>
        <v>58.380104282320424</v>
      </c>
      <c r="S23">
        <f t="shared" si="7"/>
        <v>198.46687751423397</v>
      </c>
      <c r="T23" s="3">
        <v>0.08</v>
      </c>
      <c r="V23">
        <f>SUM($R$2:R23)</f>
        <v>887.19174727314214</v>
      </c>
      <c r="W23">
        <f t="shared" si="8"/>
        <v>1.8706864320692072</v>
      </c>
      <c r="Z23">
        <f t="shared" si="11"/>
        <v>2.3896178845560074</v>
      </c>
      <c r="AA23" s="3">
        <v>0.3</v>
      </c>
      <c r="AB23">
        <f t="shared" si="1"/>
        <v>661.55625838077992</v>
      </c>
      <c r="AC23">
        <f t="shared" si="10"/>
        <v>769.72656045975873</v>
      </c>
      <c r="AD23" s="3">
        <v>0.2</v>
      </c>
      <c r="AE23">
        <f t="shared" si="2"/>
        <v>153.94531209195176</v>
      </c>
      <c r="AF23">
        <f t="shared" si="3"/>
        <v>1</v>
      </c>
    </row>
    <row r="24" spans="1:32" x14ac:dyDescent="0.3">
      <c r="A24" s="2">
        <v>23</v>
      </c>
      <c r="B24">
        <f t="shared" si="4"/>
        <v>5.4365404125858268</v>
      </c>
      <c r="C24" s="3">
        <v>0.08</v>
      </c>
      <c r="D24">
        <f t="shared" si="5"/>
        <v>38.381975312855921</v>
      </c>
      <c r="Q24">
        <f t="shared" si="9"/>
        <v>38.381975312855971</v>
      </c>
      <c r="R24">
        <f t="shared" si="6"/>
        <v>59.481615683873642</v>
      </c>
      <c r="S24">
        <f t="shared" si="7"/>
        <v>214.34422771537271</v>
      </c>
      <c r="T24" s="3">
        <v>0.08</v>
      </c>
      <c r="V24">
        <f>SUM($R$2:R24)</f>
        <v>946.6733629570158</v>
      </c>
      <c r="W24">
        <f t="shared" si="8"/>
        <v>1.996106277056922</v>
      </c>
      <c r="Z24">
        <f t="shared" si="11"/>
        <v>2.2126091523666731</v>
      </c>
      <c r="AA24" s="3">
        <v>0.3</v>
      </c>
      <c r="AB24">
        <f t="shared" si="1"/>
        <v>714.48075905124244</v>
      </c>
      <c r="AC24">
        <f t="shared" si="10"/>
        <v>815.91015408734427</v>
      </c>
      <c r="AD24" s="3">
        <v>0.2</v>
      </c>
      <c r="AE24">
        <f t="shared" si="2"/>
        <v>163.18203081746887</v>
      </c>
      <c r="AF24">
        <f t="shared" si="3"/>
        <v>1</v>
      </c>
    </row>
    <row r="25" spans="1:32" x14ac:dyDescent="0.3">
      <c r="A25" s="2">
        <v>24</v>
      </c>
      <c r="B25">
        <f t="shared" si="4"/>
        <v>5.8714636455926925</v>
      </c>
      <c r="C25" s="3">
        <v>0.08</v>
      </c>
      <c r="D25">
        <f t="shared" si="5"/>
        <v>41.452533337884397</v>
      </c>
      <c r="Q25">
        <f t="shared" si="9"/>
        <v>41.452533337884454</v>
      </c>
      <c r="R25">
        <f t="shared" si="6"/>
        <v>60.603910319418425</v>
      </c>
      <c r="S25">
        <f t="shared" si="7"/>
        <v>231.49176593260253</v>
      </c>
      <c r="T25" s="3">
        <v>0.08</v>
      </c>
      <c r="V25">
        <f>SUM($R$2:R25)</f>
        <v>1007.2772732764342</v>
      </c>
      <c r="W25">
        <f t="shared" si="8"/>
        <v>2.1238925342142165</v>
      </c>
      <c r="Z25">
        <f t="shared" si="11"/>
        <v>2.0487121781172899</v>
      </c>
      <c r="AA25" s="3">
        <v>0.3</v>
      </c>
      <c r="AB25">
        <f t="shared" si="1"/>
        <v>771.63921977534176</v>
      </c>
      <c r="AC25">
        <f t="shared" si="10"/>
        <v>864.86476333258497</v>
      </c>
      <c r="AD25" s="3">
        <v>0.2</v>
      </c>
      <c r="AE25">
        <f t="shared" si="2"/>
        <v>172.97295266651702</v>
      </c>
      <c r="AF25">
        <f t="shared" si="3"/>
        <v>1</v>
      </c>
    </row>
    <row r="26" spans="1:32" x14ac:dyDescent="0.3">
      <c r="A26" s="2">
        <v>25</v>
      </c>
      <c r="B26">
        <f t="shared" si="4"/>
        <v>6.3411807372401077</v>
      </c>
      <c r="C26" s="3">
        <v>0.08</v>
      </c>
      <c r="D26">
        <f t="shared" si="5"/>
        <v>44.768736004915148</v>
      </c>
      <c r="Q26">
        <f t="shared" si="9"/>
        <v>44.768736004915205</v>
      </c>
      <c r="R26">
        <f t="shared" si="6"/>
        <v>61.747380325445199</v>
      </c>
      <c r="S26">
        <f t="shared" si="7"/>
        <v>250.01110720721076</v>
      </c>
      <c r="T26" s="3">
        <v>0.08</v>
      </c>
      <c r="V26">
        <f>SUM($R$2:R26)</f>
        <v>1069.0246536018794</v>
      </c>
      <c r="W26">
        <f t="shared" si="8"/>
        <v>2.2540898528273088</v>
      </c>
      <c r="Z26">
        <f t="shared" si="11"/>
        <v>1.896955720478972</v>
      </c>
      <c r="AA26" s="3">
        <v>0.3</v>
      </c>
      <c r="AB26">
        <f t="shared" si="1"/>
        <v>833.37035735736924</v>
      </c>
      <c r="AC26">
        <f t="shared" si="10"/>
        <v>916.75664913254013</v>
      </c>
      <c r="AD26" s="3">
        <v>0.2</v>
      </c>
      <c r="AE26">
        <f t="shared" si="2"/>
        <v>183.35132982650805</v>
      </c>
      <c r="AF26">
        <f t="shared" si="3"/>
        <v>1</v>
      </c>
    </row>
    <row r="27" spans="1:32" x14ac:dyDescent="0.3">
      <c r="A27" s="2">
        <v>26</v>
      </c>
      <c r="B27">
        <f t="shared" si="4"/>
        <v>6.848475196219316</v>
      </c>
      <c r="C27" s="3">
        <v>0.08</v>
      </c>
      <c r="D27">
        <f t="shared" si="5"/>
        <v>48.35023488530836</v>
      </c>
      <c r="Q27">
        <f t="shared" si="9"/>
        <v>48.350234885308431</v>
      </c>
      <c r="R27">
        <f t="shared" si="6"/>
        <v>62.912425237246062</v>
      </c>
      <c r="S27">
        <f t="shared" si="7"/>
        <v>270.01199578378765</v>
      </c>
      <c r="T27" s="3">
        <v>0.08</v>
      </c>
      <c r="V27">
        <f>SUM($R$2:R27)</f>
        <v>1131.9370788391254</v>
      </c>
      <c r="W27">
        <f t="shared" si="8"/>
        <v>2.38674372462178</v>
      </c>
      <c r="Z27">
        <f t="shared" si="11"/>
        <v>1.7564404819249739</v>
      </c>
      <c r="AA27" s="3">
        <v>0.3</v>
      </c>
      <c r="AB27">
        <f t="shared" si="1"/>
        <v>900.03998594595885</v>
      </c>
      <c r="AC27">
        <f t="shared" si="10"/>
        <v>971.7620480804926</v>
      </c>
      <c r="AD27" s="3">
        <v>0.2</v>
      </c>
      <c r="AE27">
        <f t="shared" si="2"/>
        <v>194.35240961609853</v>
      </c>
      <c r="AF27">
        <f t="shared" si="3"/>
        <v>1</v>
      </c>
    </row>
    <row r="28" spans="1:32" x14ac:dyDescent="0.3">
      <c r="A28" s="2">
        <v>27</v>
      </c>
      <c r="B28">
        <f t="shared" si="4"/>
        <v>7.3963532119168613</v>
      </c>
      <c r="C28" s="3">
        <v>0.08</v>
      </c>
      <c r="D28">
        <f t="shared" si="5"/>
        <v>52.218253676133031</v>
      </c>
      <c r="Q28">
        <f t="shared" si="9"/>
        <v>52.218253676133102</v>
      </c>
      <c r="R28">
        <f t="shared" si="6"/>
        <v>64.099452128514855</v>
      </c>
      <c r="S28">
        <f t="shared" si="7"/>
        <v>291.61295544649067</v>
      </c>
      <c r="T28" s="3">
        <v>0.08</v>
      </c>
      <c r="V28">
        <f>SUM($R$2:R28)</f>
        <v>1196.0365309676404</v>
      </c>
      <c r="W28">
        <f t="shared" si="8"/>
        <v>2.5219004996576571</v>
      </c>
      <c r="Z28">
        <f t="shared" si="11"/>
        <v>1.6263337795601609</v>
      </c>
      <c r="AA28" s="3">
        <v>0.3</v>
      </c>
      <c r="AB28">
        <f t="shared" si="1"/>
        <v>972.04318482163558</v>
      </c>
      <c r="AC28">
        <f t="shared" si="10"/>
        <v>1030.0677709653223</v>
      </c>
      <c r="AD28" s="3">
        <v>0.2</v>
      </c>
      <c r="AE28">
        <f t="shared" si="2"/>
        <v>206.01355419306446</v>
      </c>
      <c r="AF28">
        <f t="shared" si="3"/>
        <v>1</v>
      </c>
    </row>
    <row r="29" spans="1:32" x14ac:dyDescent="0.3">
      <c r="A29" s="2">
        <v>28</v>
      </c>
      <c r="B29">
        <f t="shared" si="4"/>
        <v>7.9880614688702103</v>
      </c>
      <c r="C29" s="3">
        <v>0.08</v>
      </c>
      <c r="D29">
        <f t="shared" si="5"/>
        <v>56.395713970223674</v>
      </c>
      <c r="Q29">
        <f t="shared" si="9"/>
        <v>56.395713970223753</v>
      </c>
      <c r="R29">
        <f t="shared" si="6"/>
        <v>65.308875753581162</v>
      </c>
      <c r="S29">
        <f t="shared" si="7"/>
        <v>314.94199188220995</v>
      </c>
      <c r="T29" s="3">
        <v>0.08</v>
      </c>
      <c r="V29">
        <f>SUM($R$2:R29)</f>
        <v>1261.3454067212215</v>
      </c>
      <c r="W29">
        <f t="shared" si="8"/>
        <v>2.659607402524399</v>
      </c>
      <c r="Z29">
        <f t="shared" si="11"/>
        <v>1.5058646107038527</v>
      </c>
      <c r="AA29" s="3">
        <v>0.3</v>
      </c>
      <c r="AB29">
        <f t="shared" si="1"/>
        <v>1049.8066396073666</v>
      </c>
      <c r="AC29">
        <f t="shared" si="10"/>
        <v>1091.8718372232418</v>
      </c>
      <c r="AD29" s="3">
        <v>0.2</v>
      </c>
      <c r="AE29">
        <f t="shared" si="2"/>
        <v>218.37436744464836</v>
      </c>
      <c r="AF29">
        <f t="shared" si="3"/>
        <v>1</v>
      </c>
    </row>
    <row r="30" spans="1:32" x14ac:dyDescent="0.3">
      <c r="A30" s="2">
        <v>29</v>
      </c>
      <c r="B30">
        <f t="shared" si="4"/>
        <v>8.6271063863798272</v>
      </c>
      <c r="C30" s="3">
        <v>0.08</v>
      </c>
      <c r="D30">
        <f t="shared" si="5"/>
        <v>60.907371087841568</v>
      </c>
      <c r="Q30">
        <f t="shared" si="9"/>
        <v>60.907371087841653</v>
      </c>
      <c r="R30">
        <f t="shared" si="6"/>
        <v>66.541118692327984</v>
      </c>
      <c r="S30">
        <f t="shared" si="7"/>
        <v>340.13735123278678</v>
      </c>
      <c r="T30" s="3">
        <v>0.08</v>
      </c>
      <c r="V30">
        <f>SUM($R$2:R30)</f>
        <v>1327.8865254135494</v>
      </c>
      <c r="W30">
        <f t="shared" si="8"/>
        <v>2.7999125488414571</v>
      </c>
      <c r="Z30">
        <f t="shared" si="11"/>
        <v>1.3943190839850486</v>
      </c>
      <c r="AA30" s="3">
        <v>0.3</v>
      </c>
      <c r="AB30">
        <f t="shared" si="1"/>
        <v>1133.7911707759561</v>
      </c>
      <c r="AC30">
        <f t="shared" si="10"/>
        <v>1157.3841474566364</v>
      </c>
      <c r="AD30" s="3">
        <v>0.2</v>
      </c>
      <c r="AE30">
        <f t="shared" si="2"/>
        <v>231.47682949132729</v>
      </c>
      <c r="AF30">
        <f t="shared" si="3"/>
        <v>1</v>
      </c>
    </row>
    <row r="31" spans="1:32" x14ac:dyDescent="0.3">
      <c r="A31" s="2">
        <v>30</v>
      </c>
      <c r="B31">
        <f t="shared" si="4"/>
        <v>9.3172748972902131</v>
      </c>
      <c r="C31" s="3">
        <v>0.08</v>
      </c>
      <c r="D31">
        <f t="shared" si="5"/>
        <v>65.779960774868897</v>
      </c>
      <c r="Q31">
        <f t="shared" si="9"/>
        <v>65.779960774868982</v>
      </c>
      <c r="R31">
        <f t="shared" si="6"/>
        <v>67.796611497843614</v>
      </c>
      <c r="S31">
        <f t="shared" si="7"/>
        <v>367.34833933140976</v>
      </c>
      <c r="T31" s="3">
        <v>0.08</v>
      </c>
      <c r="V31">
        <f>SUM($R$2:R31)</f>
        <v>1395.6831369113929</v>
      </c>
      <c r="W31">
        <f t="shared" si="8"/>
        <v>2.9428649620701575</v>
      </c>
      <c r="Z31">
        <f t="shared" si="11"/>
        <v>1.2910361888750448</v>
      </c>
      <c r="AA31" s="3">
        <v>0.3</v>
      </c>
      <c r="AB31">
        <f t="shared" si="1"/>
        <v>1224.4944644380325</v>
      </c>
      <c r="AC31">
        <f t="shared" si="10"/>
        <v>1226.8271963040345</v>
      </c>
      <c r="AD31" s="3">
        <v>0.2</v>
      </c>
      <c r="AE31">
        <f t="shared" si="2"/>
        <v>245.36543926080691</v>
      </c>
      <c r="AF31">
        <f t="shared" si="3"/>
        <v>1</v>
      </c>
    </row>
    <row r="32" spans="1:32" x14ac:dyDescent="0.3">
      <c r="A32" s="2">
        <v>31</v>
      </c>
      <c r="B32">
        <f t="shared" si="4"/>
        <v>10.06265688907343</v>
      </c>
      <c r="C32" s="3">
        <v>0.08</v>
      </c>
      <c r="D32">
        <f t="shared" si="5"/>
        <v>71.042357636858412</v>
      </c>
      <c r="Q32">
        <f t="shared" si="9"/>
        <v>71.042357636858512</v>
      </c>
      <c r="R32">
        <f t="shared" si="6"/>
        <v>69.075792846859528</v>
      </c>
      <c r="S32">
        <f t="shared" si="7"/>
        <v>396.73620647792256</v>
      </c>
      <c r="T32" s="3">
        <v>0.08</v>
      </c>
      <c r="V32">
        <f>SUM($R$2:R32)</f>
        <v>1464.7589297582524</v>
      </c>
      <c r="W32">
        <f t="shared" si="8"/>
        <v>3.088514590642796</v>
      </c>
      <c r="Z32">
        <f t="shared" si="11"/>
        <v>1.1954038785880043</v>
      </c>
      <c r="AA32" s="3">
        <v>0.3</v>
      </c>
      <c r="AB32">
        <f t="shared" si="1"/>
        <v>1322.4540215930754</v>
      </c>
      <c r="AC32">
        <f t="shared" si="10"/>
        <v>1300.4368280822766</v>
      </c>
      <c r="AD32" s="3">
        <v>0.2</v>
      </c>
      <c r="AE32">
        <f t="shared" si="2"/>
        <v>260.08736561645532</v>
      </c>
      <c r="AF32">
        <f t="shared" si="3"/>
        <v>1</v>
      </c>
    </row>
    <row r="33" spans="1:32" x14ac:dyDescent="0.3">
      <c r="A33" s="2">
        <v>32</v>
      </c>
      <c r="B33">
        <f t="shared" si="4"/>
        <v>10.867669440199306</v>
      </c>
      <c r="C33" s="3">
        <v>0.08</v>
      </c>
      <c r="D33">
        <f t="shared" si="5"/>
        <v>76.725746247807081</v>
      </c>
      <c r="Q33">
        <f t="shared" si="9"/>
        <v>76.725746247807209</v>
      </c>
      <c r="R33">
        <f t="shared" si="6"/>
        <v>70.379109693026678</v>
      </c>
      <c r="S33">
        <f t="shared" si="7"/>
        <v>428.47510299615641</v>
      </c>
      <c r="T33" s="3">
        <v>0.08</v>
      </c>
      <c r="V33">
        <f>SUM($R$2:R33)</f>
        <v>1535.1380394512792</v>
      </c>
      <c r="W33">
        <f t="shared" si="8"/>
        <v>3.2369123254149184</v>
      </c>
      <c r="Z33">
        <f t="shared" si="11"/>
        <v>1.106855443137041</v>
      </c>
      <c r="AA33" s="3">
        <v>0.3</v>
      </c>
      <c r="AB33">
        <f t="shared" si="1"/>
        <v>1428.2503433205213</v>
      </c>
      <c r="AC33">
        <f t="shared" si="10"/>
        <v>1378.4630377672133</v>
      </c>
      <c r="AD33" s="3">
        <v>0.2</v>
      </c>
      <c r="AE33">
        <f t="shared" si="2"/>
        <v>275.69260755344266</v>
      </c>
      <c r="AF33">
        <f t="shared" si="3"/>
        <v>1</v>
      </c>
    </row>
    <row r="34" spans="1:32" x14ac:dyDescent="0.3">
      <c r="A34" s="2">
        <v>33</v>
      </c>
      <c r="B34">
        <f t="shared" si="4"/>
        <v>11.73708299541525</v>
      </c>
      <c r="C34" s="3">
        <v>0.08</v>
      </c>
      <c r="D34">
        <f t="shared" si="5"/>
        <v>82.863805947631647</v>
      </c>
      <c r="Q34">
        <f t="shared" si="9"/>
        <v>82.863805947631789</v>
      </c>
      <c r="R34">
        <f t="shared" si="6"/>
        <v>71.707017423083812</v>
      </c>
      <c r="S34">
        <f t="shared" si="7"/>
        <v>462.75311123584896</v>
      </c>
      <c r="T34" s="3">
        <v>0.08</v>
      </c>
      <c r="V34">
        <f>SUM($R$2:R34)</f>
        <v>1606.8450568743629</v>
      </c>
      <c r="W34">
        <f t="shared" si="8"/>
        <v>3.3881100174468917</v>
      </c>
      <c r="Z34">
        <f t="shared" si="11"/>
        <v>1.0248661510528156</v>
      </c>
      <c r="AA34" s="3">
        <v>0.3</v>
      </c>
      <c r="AB34">
        <f t="shared" si="1"/>
        <v>1542.5103707861633</v>
      </c>
      <c r="AC34">
        <f t="shared" si="10"/>
        <v>1461.1708200332462</v>
      </c>
      <c r="AD34" s="3">
        <v>0.2</v>
      </c>
      <c r="AE34">
        <f t="shared" si="2"/>
        <v>292.23416400664922</v>
      </c>
      <c r="AF34">
        <f t="shared" si="3"/>
        <v>1</v>
      </c>
    </row>
    <row r="35" spans="1:32" x14ac:dyDescent="0.3">
      <c r="A35" s="2">
        <v>34</v>
      </c>
      <c r="B35">
        <f t="shared" si="4"/>
        <v>12.67604963504847</v>
      </c>
      <c r="C35" s="3">
        <v>0.08</v>
      </c>
      <c r="D35">
        <f t="shared" si="5"/>
        <v>89.492910423442183</v>
      </c>
      <c r="Q35">
        <f t="shared" si="9"/>
        <v>89.492910423442325</v>
      </c>
      <c r="R35">
        <f t="shared" si="6"/>
        <v>73.059980015972187</v>
      </c>
      <c r="S35">
        <f t="shared" si="7"/>
        <v>499.77336013471694</v>
      </c>
      <c r="T35" s="3">
        <v>0.08</v>
      </c>
      <c r="V35">
        <f>SUM($R$2:R35)</f>
        <v>1679.9050368903349</v>
      </c>
      <c r="W35">
        <f t="shared" si="8"/>
        <v>3.5421604961209781</v>
      </c>
      <c r="Z35">
        <f t="shared" si="11"/>
        <v>0.94895013986371812</v>
      </c>
      <c r="AA35" s="3">
        <v>0.3</v>
      </c>
      <c r="AB35">
        <f t="shared" si="1"/>
        <v>1665.9112004490564</v>
      </c>
      <c r="AC35">
        <f t="shared" si="10"/>
        <v>1548.8410692352411</v>
      </c>
      <c r="AD35" s="3">
        <v>0.2</v>
      </c>
      <c r="AE35">
        <f t="shared" si="2"/>
        <v>309.76821384704823</v>
      </c>
      <c r="AF35">
        <f t="shared" si="3"/>
        <v>1</v>
      </c>
    </row>
    <row r="36" spans="1:32" x14ac:dyDescent="0.3">
      <c r="A36" s="2">
        <v>35</v>
      </c>
      <c r="B36">
        <f t="shared" si="4"/>
        <v>13.690133605852347</v>
      </c>
      <c r="C36" s="3">
        <v>0.08</v>
      </c>
      <c r="D36">
        <f t="shared" si="5"/>
        <v>96.652343257317554</v>
      </c>
      <c r="Q36">
        <f t="shared" si="9"/>
        <v>96.65234325731771</v>
      </c>
      <c r="R36">
        <f t="shared" si="6"/>
        <v>74.438470204952793</v>
      </c>
      <c r="S36">
        <f t="shared" si="7"/>
        <v>539.75522894549431</v>
      </c>
      <c r="T36" s="3">
        <v>0.08</v>
      </c>
      <c r="V36">
        <f>SUM($R$2:R36)</f>
        <v>1754.3435070952878</v>
      </c>
      <c r="W36">
        <f t="shared" si="8"/>
        <v>3.6991175876002358</v>
      </c>
      <c r="Z36">
        <f t="shared" si="11"/>
        <v>0.87865753691085002</v>
      </c>
      <c r="AA36" s="3">
        <v>0.3</v>
      </c>
      <c r="AB36">
        <f t="shared" si="1"/>
        <v>1799.1840964849812</v>
      </c>
      <c r="AC36">
        <f t="shared" si="10"/>
        <v>1641.7715333893557</v>
      </c>
      <c r="AD36" s="3">
        <v>0.2</v>
      </c>
      <c r="AE36">
        <f t="shared" si="2"/>
        <v>328.35430667787114</v>
      </c>
      <c r="AF36">
        <f t="shared" si="3"/>
        <v>1</v>
      </c>
    </row>
    <row r="37" spans="1:32" x14ac:dyDescent="0.3">
      <c r="A37" s="2">
        <v>36</v>
      </c>
      <c r="B37">
        <f t="shared" si="4"/>
        <v>14.785344294320534</v>
      </c>
      <c r="C37" s="3">
        <v>0.08</v>
      </c>
      <c r="D37">
        <f t="shared" si="5"/>
        <v>104.38453071790296</v>
      </c>
      <c r="Q37">
        <f t="shared" si="9"/>
        <v>104.38453071790315</v>
      </c>
      <c r="R37">
        <f t="shared" si="6"/>
        <v>75.84296964278208</v>
      </c>
      <c r="S37">
        <f t="shared" si="7"/>
        <v>582.93564726113391</v>
      </c>
      <c r="T37" s="3">
        <v>0.08</v>
      </c>
      <c r="V37">
        <f>SUM($R$2:R37)</f>
        <v>1830.1864767380698</v>
      </c>
      <c r="W37">
        <f t="shared" si="8"/>
        <v>3.8590361336357057</v>
      </c>
      <c r="Z37">
        <f t="shared" si="11"/>
        <v>0.81357179343597219</v>
      </c>
      <c r="AA37" s="3">
        <v>0.3</v>
      </c>
      <c r="AB37">
        <f t="shared" si="1"/>
        <v>1943.1188242037797</v>
      </c>
      <c r="AC37">
        <f t="shared" si="10"/>
        <v>1740.2778253927172</v>
      </c>
      <c r="AD37" s="3">
        <v>0.2</v>
      </c>
      <c r="AE37">
        <f t="shared" si="2"/>
        <v>348.05556507854345</v>
      </c>
      <c r="AF37">
        <f t="shared" si="3"/>
        <v>1</v>
      </c>
    </row>
    <row r="38" spans="1:32" x14ac:dyDescent="0.3">
      <c r="A38" s="2">
        <v>37</v>
      </c>
      <c r="B38">
        <f t="shared" si="4"/>
        <v>15.968171837866176</v>
      </c>
      <c r="C38" s="3">
        <v>0.08</v>
      </c>
      <c r="D38">
        <f t="shared" si="5"/>
        <v>112.7352931753352</v>
      </c>
      <c r="Q38">
        <f t="shared" si="9"/>
        <v>112.73529317533541</v>
      </c>
      <c r="R38">
        <f t="shared" si="6"/>
        <v>77.273969070004384</v>
      </c>
      <c r="S38">
        <f t="shared" si="7"/>
        <v>629.57049904202461</v>
      </c>
      <c r="T38" s="3">
        <v>0.08</v>
      </c>
      <c r="V38">
        <f>SUM($R$2:R38)</f>
        <v>1907.4604458080742</v>
      </c>
      <c r="W38" s="11">
        <f t="shared" si="8"/>
        <v>4.0219720107284491</v>
      </c>
      <c r="Z38">
        <f t="shared" si="11"/>
        <v>0.75330721614441876</v>
      </c>
      <c r="AA38" s="3">
        <v>0.3</v>
      </c>
      <c r="AB38">
        <f t="shared" si="1"/>
        <v>2098.5683301400823</v>
      </c>
      <c r="AC38">
        <f t="shared" si="10"/>
        <v>1844.6944949162803</v>
      </c>
      <c r="AD38" s="3">
        <v>0.2</v>
      </c>
      <c r="AE38">
        <f t="shared" si="2"/>
        <v>368.93889898325608</v>
      </c>
      <c r="AF38">
        <f t="shared" si="3"/>
        <v>1</v>
      </c>
    </row>
    <row r="39" spans="1:32" x14ac:dyDescent="0.3">
      <c r="A39" s="2">
        <v>38</v>
      </c>
      <c r="B39">
        <f t="shared" si="4"/>
        <v>17.245625584895471</v>
      </c>
      <c r="C39" s="3">
        <v>0.08</v>
      </c>
      <c r="D39">
        <f t="shared" si="5"/>
        <v>121.75411662936202</v>
      </c>
      <c r="Q39">
        <f t="shared" si="9"/>
        <v>121.75411662936224</v>
      </c>
      <c r="R39">
        <f t="shared" si="6"/>
        <v>78.731968486419561</v>
      </c>
      <c r="S39">
        <f t="shared" si="7"/>
        <v>679.93613896538659</v>
      </c>
      <c r="T39" s="3">
        <v>0.08</v>
      </c>
      <c r="V39">
        <f>SUM($R$2:R39)</f>
        <v>1986.1924142944938</v>
      </c>
      <c r="W39">
        <f t="shared" si="8"/>
        <v>4.1879821496531306</v>
      </c>
      <c r="Z39">
        <f t="shared" si="11"/>
        <v>0.69750668161520246</v>
      </c>
      <c r="AA39" s="3">
        <v>0.3</v>
      </c>
      <c r="AB39">
        <f t="shared" si="1"/>
        <v>2266.4537965512886</v>
      </c>
      <c r="AC39">
        <f t="shared" si="10"/>
        <v>1955.3761646112573</v>
      </c>
      <c r="AD39" s="3">
        <v>0.2</v>
      </c>
      <c r="AE39">
        <f t="shared" si="2"/>
        <v>391.07523292225147</v>
      </c>
      <c r="AF39">
        <f t="shared" si="3"/>
        <v>1</v>
      </c>
    </row>
    <row r="40" spans="1:32" x14ac:dyDescent="0.3">
      <c r="A40" s="2">
        <v>39</v>
      </c>
      <c r="B40">
        <f t="shared" si="4"/>
        <v>18.62527563168711</v>
      </c>
      <c r="C40" s="3">
        <v>0.08</v>
      </c>
      <c r="D40">
        <f t="shared" si="5"/>
        <v>131.49444595971099</v>
      </c>
      <c r="Q40">
        <f t="shared" si="9"/>
        <v>131.49444595971124</v>
      </c>
      <c r="R40">
        <f t="shared" si="6"/>
        <v>80.21747732578595</v>
      </c>
      <c r="S40">
        <f t="shared" si="7"/>
        <v>734.33103008261753</v>
      </c>
      <c r="T40" s="3">
        <v>0.08</v>
      </c>
      <c r="V40">
        <f>SUM($R$2:R40)</f>
        <v>2066.4098916202797</v>
      </c>
      <c r="W40">
        <f t="shared" si="8"/>
        <v>4.3571245553499764</v>
      </c>
      <c r="Z40">
        <f t="shared" si="11"/>
        <v>0.64583952001407641</v>
      </c>
      <c r="AA40" s="3">
        <v>0.3</v>
      </c>
      <c r="AB40">
        <f t="shared" si="1"/>
        <v>2447.770100275392</v>
      </c>
      <c r="AC40">
        <f t="shared" si="10"/>
        <v>2072.6987344879331</v>
      </c>
      <c r="AD40" s="3">
        <v>0.2</v>
      </c>
      <c r="AE40">
        <f t="shared" si="2"/>
        <v>414.53974689758661</v>
      </c>
      <c r="AF40">
        <f t="shared" si="3"/>
        <v>1</v>
      </c>
    </row>
    <row r="41" spans="1:32" x14ac:dyDescent="0.3">
      <c r="A41" s="2">
        <v>40</v>
      </c>
      <c r="B41">
        <f t="shared" si="4"/>
        <v>20.115297682222078</v>
      </c>
      <c r="C41" s="3">
        <v>0.08</v>
      </c>
      <c r="D41">
        <f t="shared" si="5"/>
        <v>142.01400163648788</v>
      </c>
      <c r="Q41">
        <f t="shared" si="9"/>
        <v>142.01400163648813</v>
      </c>
      <c r="R41">
        <f t="shared" si="6"/>
        <v>81.73101463381964</v>
      </c>
      <c r="S41">
        <f t="shared" si="7"/>
        <v>793.07751248922693</v>
      </c>
      <c r="T41" s="3">
        <v>0.08</v>
      </c>
      <c r="V41">
        <f>SUM($R$2:R41)</f>
        <v>2148.1409062540993</v>
      </c>
      <c r="W41">
        <f t="shared" si="8"/>
        <v>4.529458327192045</v>
      </c>
      <c r="Z41">
        <f t="shared" si="11"/>
        <v>0.59799955556858919</v>
      </c>
      <c r="AA41" s="3">
        <v>0.3</v>
      </c>
      <c r="AB41">
        <f t="shared" si="1"/>
        <v>2643.5917082974233</v>
      </c>
      <c r="AC41">
        <f t="shared" si="10"/>
        <v>2197.0606585572091</v>
      </c>
      <c r="AD41" s="3">
        <v>0.2</v>
      </c>
      <c r="AE41">
        <f t="shared" si="2"/>
        <v>439.41213171144182</v>
      </c>
      <c r="AF41">
        <f t="shared" si="3"/>
        <v>1</v>
      </c>
    </row>
    <row r="42" spans="1:32" x14ac:dyDescent="0.3">
      <c r="A42" s="2">
        <v>41</v>
      </c>
      <c r="B42">
        <f t="shared" si="4"/>
        <v>21.724521496799845</v>
      </c>
      <c r="C42" s="3">
        <v>0.08</v>
      </c>
      <c r="D42">
        <f t="shared" si="5"/>
        <v>153.37512176740691</v>
      </c>
      <c r="Q42">
        <f t="shared" si="9"/>
        <v>153.37512176740719</v>
      </c>
      <c r="R42">
        <f t="shared" si="6"/>
        <v>83.273109249552107</v>
      </c>
      <c r="S42">
        <f t="shared" si="7"/>
        <v>856.52371348836516</v>
      </c>
      <c r="T42" s="3">
        <v>0.08</v>
      </c>
      <c r="V42" s="1">
        <f>SUM($R$2:R42)</f>
        <v>2231.4140155036512</v>
      </c>
      <c r="W42">
        <f t="shared" si="8"/>
        <v>4.7050436796349073</v>
      </c>
      <c r="Z42">
        <f t="shared" si="11"/>
        <v>0.55370329219313819</v>
      </c>
      <c r="AA42" s="3">
        <v>0.3</v>
      </c>
      <c r="AB42">
        <f t="shared" si="1"/>
        <v>2855.0790449612173</v>
      </c>
      <c r="AC42">
        <f t="shared" si="10"/>
        <v>2328.8842980706418</v>
      </c>
      <c r="AD42" s="3">
        <v>0.2</v>
      </c>
      <c r="AE42">
        <f t="shared" si="2"/>
        <v>465.7768596141284</v>
      </c>
      <c r="AF42">
        <f t="shared" si="3"/>
        <v>1</v>
      </c>
    </row>
    <row r="43" spans="1:32" x14ac:dyDescent="0.3">
      <c r="A43" s="2">
        <v>42</v>
      </c>
      <c r="B43">
        <f t="shared" si="4"/>
        <v>23.462483216543834</v>
      </c>
      <c r="C43" s="3">
        <v>0.08</v>
      </c>
      <c r="D43">
        <f t="shared" si="5"/>
        <v>165.64513150879947</v>
      </c>
      <c r="Q43">
        <f t="shared" si="9"/>
        <v>165.64513150879978</v>
      </c>
      <c r="R43">
        <f t="shared" si="6"/>
        <v>84.844299990109704</v>
      </c>
      <c r="S43">
        <f t="shared" si="7"/>
        <v>925.04561056743444</v>
      </c>
      <c r="T43" s="3">
        <v>0.08</v>
      </c>
      <c r="V43">
        <f>SUM($R$2:R43)</f>
        <v>2316.2583154937611</v>
      </c>
      <c r="W43">
        <f t="shared" si="8"/>
        <v>4.8839419632559382</v>
      </c>
      <c r="Z43">
        <f t="shared" si="11"/>
        <v>0.51268823351216486</v>
      </c>
      <c r="AA43" s="3">
        <v>0.3</v>
      </c>
      <c r="AB43">
        <f t="shared" si="1"/>
        <v>3083.4853685581147</v>
      </c>
      <c r="AC43">
        <f t="shared" si="10"/>
        <v>2468.6173559548802</v>
      </c>
      <c r="AD43" s="3">
        <v>0.2</v>
      </c>
      <c r="AE43">
        <f t="shared" si="2"/>
        <v>493.72347119097606</v>
      </c>
      <c r="AF43">
        <f t="shared" si="3"/>
        <v>1</v>
      </c>
    </row>
    <row r="44" spans="1:32" x14ac:dyDescent="0.3">
      <c r="A44" s="2">
        <v>43</v>
      </c>
      <c r="B44">
        <f t="shared" si="4"/>
        <v>25.339481873867342</v>
      </c>
      <c r="C44" s="3">
        <v>0.08</v>
      </c>
      <c r="D44">
        <f t="shared" si="5"/>
        <v>178.89674202950343</v>
      </c>
      <c r="Q44">
        <f t="shared" si="9"/>
        <v>178.89674202950374</v>
      </c>
      <c r="R44">
        <f t="shared" si="6"/>
        <v>86.445135838979681</v>
      </c>
      <c r="S44">
        <f t="shared" si="7"/>
        <v>999.0492594128292</v>
      </c>
      <c r="T44" s="3">
        <v>0.08</v>
      </c>
      <c r="V44">
        <f>SUM($R$2:R44)</f>
        <v>2402.7034513327408</v>
      </c>
      <c r="W44">
        <f t="shared" si="8"/>
        <v>5.0662156861905725</v>
      </c>
      <c r="Z44">
        <f t="shared" si="11"/>
        <v>0.47471132732607862</v>
      </c>
      <c r="AA44" s="3">
        <v>0.3</v>
      </c>
      <c r="AB44">
        <f t="shared" si="1"/>
        <v>3330.1641980427639</v>
      </c>
      <c r="AC44">
        <f t="shared" si="10"/>
        <v>2616.7343973121733</v>
      </c>
      <c r="AD44" s="3">
        <v>0.2</v>
      </c>
      <c r="AE44">
        <f t="shared" si="2"/>
        <v>523.34687946243469</v>
      </c>
      <c r="AF44">
        <f t="shared" si="3"/>
        <v>1</v>
      </c>
    </row>
    <row r="45" spans="1:32" x14ac:dyDescent="0.3">
      <c r="A45" s="2">
        <v>44</v>
      </c>
      <c r="B45">
        <f t="shared" si="4"/>
        <v>27.36664042377673</v>
      </c>
      <c r="C45" s="3">
        <v>0.08</v>
      </c>
      <c r="D45">
        <f t="shared" si="5"/>
        <v>193.2084813918637</v>
      </c>
      <c r="Q45">
        <f t="shared" si="9"/>
        <v>193.20848139186404</v>
      </c>
      <c r="R45">
        <f t="shared" si="6"/>
        <v>88.076176137828355</v>
      </c>
      <c r="S45">
        <f t="shared" si="7"/>
        <v>1078.9732001658556</v>
      </c>
      <c r="T45" s="3">
        <v>0.08</v>
      </c>
      <c r="V45">
        <f>SUM($R$2:R45)</f>
        <v>2490.7796274705693</v>
      </c>
      <c r="W45">
        <f t="shared" si="8"/>
        <v>5.2519285359730299</v>
      </c>
      <c r="Z45">
        <f t="shared" si="11"/>
        <v>0.43954752530192465</v>
      </c>
      <c r="AA45" s="3">
        <v>0.3</v>
      </c>
      <c r="AB45">
        <f t="shared" si="1"/>
        <v>3596.5773338861854</v>
      </c>
      <c r="AC45">
        <f t="shared" si="10"/>
        <v>2773.7384611509037</v>
      </c>
      <c r="AD45" s="3">
        <v>0.2</v>
      </c>
      <c r="AE45">
        <f t="shared" si="2"/>
        <v>554.74769223018075</v>
      </c>
      <c r="AF45">
        <f t="shared" si="3"/>
        <v>1</v>
      </c>
    </row>
    <row r="46" spans="1:32" x14ac:dyDescent="0.3">
      <c r="A46" s="2">
        <v>45</v>
      </c>
      <c r="B46">
        <f t="shared" si="4"/>
        <v>29.555971657678867</v>
      </c>
      <c r="C46" s="3">
        <v>0.08</v>
      </c>
      <c r="D46">
        <f t="shared" si="5"/>
        <v>208.66515990321278</v>
      </c>
      <c r="Q46">
        <f t="shared" si="9"/>
        <v>208.66515990321321</v>
      </c>
      <c r="R46">
        <f t="shared" si="6"/>
        <v>89.737990781938322</v>
      </c>
      <c r="S46">
        <f t="shared" si="7"/>
        <v>1165.2910561791241</v>
      </c>
      <c r="T46" s="3">
        <v>0.08</v>
      </c>
      <c r="V46">
        <f>SUM($R$2:R46)</f>
        <v>2580.5176182525074</v>
      </c>
      <c r="W46">
        <f t="shared" si="8"/>
        <v>5.441145401789119</v>
      </c>
      <c r="Z46">
        <f t="shared" si="11"/>
        <v>0.40698844935363387</v>
      </c>
      <c r="AA46" s="3">
        <v>0.3</v>
      </c>
      <c r="AB46">
        <f t="shared" si="1"/>
        <v>3884.3035205970805</v>
      </c>
      <c r="AC46">
        <f t="shared" si="10"/>
        <v>2940.1627688199583</v>
      </c>
      <c r="AD46" s="3">
        <v>0.2</v>
      </c>
      <c r="AE46">
        <f t="shared" si="2"/>
        <v>588.0325537639917</v>
      </c>
      <c r="AF46">
        <f t="shared" si="3"/>
        <v>1</v>
      </c>
    </row>
    <row r="47" spans="1:32" x14ac:dyDescent="0.3">
      <c r="A47" s="2">
        <v>46</v>
      </c>
      <c r="B47">
        <f t="shared" si="4"/>
        <v>31.920449390293179</v>
      </c>
      <c r="C47" s="3">
        <v>0.08</v>
      </c>
      <c r="D47">
        <f t="shared" si="5"/>
        <v>225.3583726954698</v>
      </c>
      <c r="Q47">
        <f t="shared" si="9"/>
        <v>225.35837269547025</v>
      </c>
      <c r="R47">
        <f t="shared" si="6"/>
        <v>91.431160419333395</v>
      </c>
      <c r="S47">
        <f t="shared" si="7"/>
        <v>1258.5143406734542</v>
      </c>
      <c r="T47" s="3">
        <v>0.08</v>
      </c>
      <c r="V47">
        <f>SUM($R$2:R47)</f>
        <v>2671.948778671841</v>
      </c>
      <c r="W47">
        <f t="shared" si="8"/>
        <v>5.6339323971489081</v>
      </c>
      <c r="Z47">
        <f t="shared" si="11"/>
        <v>0.37684115680892022</v>
      </c>
      <c r="AA47" s="3">
        <v>0.3</v>
      </c>
      <c r="AB47">
        <f t="shared" si="1"/>
        <v>4195.0478022448478</v>
      </c>
      <c r="AC47">
        <f t="shared" si="10"/>
        <v>3116.5725349491559</v>
      </c>
      <c r="AD47" s="3">
        <v>0.2</v>
      </c>
      <c r="AE47">
        <f t="shared" si="2"/>
        <v>623.31450698983122</v>
      </c>
      <c r="AF47">
        <f t="shared" si="3"/>
        <v>1</v>
      </c>
    </row>
    <row r="48" spans="1:32" x14ac:dyDescent="0.3">
      <c r="A48" s="2">
        <v>47</v>
      </c>
      <c r="B48">
        <f t="shared" si="4"/>
        <v>34.474085341516634</v>
      </c>
      <c r="C48" s="3">
        <v>0.08</v>
      </c>
      <c r="D48">
        <f t="shared" si="5"/>
        <v>243.38704251110738</v>
      </c>
      <c r="Q48">
        <f t="shared" si="9"/>
        <v>243.38704251110792</v>
      </c>
      <c r="R48">
        <f t="shared" si="6"/>
        <v>93.156276653660441</v>
      </c>
      <c r="S48">
        <f t="shared" si="7"/>
        <v>1359.1954879273305</v>
      </c>
      <c r="T48" s="3">
        <v>0.08</v>
      </c>
      <c r="V48">
        <f>SUM($R$2:R48)</f>
        <v>2765.1050553255013</v>
      </c>
      <c r="W48">
        <f t="shared" si="8"/>
        <v>5.830356882987183</v>
      </c>
      <c r="Z48">
        <f t="shared" si="11"/>
        <v>0.34892699704529651</v>
      </c>
      <c r="AA48" s="3">
        <v>0.3</v>
      </c>
      <c r="AB48">
        <f t="shared" si="1"/>
        <v>4530.6516264244356</v>
      </c>
      <c r="AC48">
        <f t="shared" si="10"/>
        <v>3303.5668870461054</v>
      </c>
      <c r="AD48" s="3">
        <v>0.2</v>
      </c>
      <c r="AE48">
        <f t="shared" si="2"/>
        <v>660.71337740922115</v>
      </c>
      <c r="AF48">
        <f t="shared" si="3"/>
        <v>1</v>
      </c>
    </row>
    <row r="49" spans="1:32" x14ac:dyDescent="0.3">
      <c r="A49" s="2">
        <v>48</v>
      </c>
      <c r="B49">
        <f t="shared" si="4"/>
        <v>37.232012168837969</v>
      </c>
      <c r="C49" s="3">
        <v>0.08</v>
      </c>
      <c r="D49">
        <f t="shared" si="5"/>
        <v>262.85800591199597</v>
      </c>
      <c r="Q49">
        <f t="shared" si="9"/>
        <v>262.8580059119966</v>
      </c>
      <c r="R49">
        <f t="shared" si="6"/>
        <v>94.913942250899282</v>
      </c>
      <c r="S49">
        <f t="shared" si="7"/>
        <v>1467.9311269615171</v>
      </c>
      <c r="T49" s="3">
        <v>0.08</v>
      </c>
      <c r="V49" s="1">
        <f>SUM($R$2:R49)</f>
        <v>2860.0189975764006</v>
      </c>
      <c r="W49">
        <f t="shared" si="8"/>
        <v>6.0304874911997652</v>
      </c>
      <c r="Z49">
        <f t="shared" si="11"/>
        <v>0.32308055281971898</v>
      </c>
      <c r="AA49" s="3">
        <v>0.3</v>
      </c>
      <c r="AB49">
        <f t="shared" si="1"/>
        <v>4893.1037565383904</v>
      </c>
      <c r="AC49">
        <f t="shared" si="10"/>
        <v>3501.7809002688718</v>
      </c>
      <c r="AD49" s="3">
        <v>0.2</v>
      </c>
      <c r="AE49">
        <f t="shared" si="2"/>
        <v>700.35618005377444</v>
      </c>
      <c r="AF49">
        <f t="shared" si="3"/>
        <v>1</v>
      </c>
    </row>
    <row r="50" spans="1:32" x14ac:dyDescent="0.3">
      <c r="A50" s="2">
        <v>49</v>
      </c>
      <c r="B50">
        <f t="shared" si="4"/>
        <v>40.210573142345005</v>
      </c>
      <c r="C50" s="3">
        <v>0.08</v>
      </c>
      <c r="D50">
        <f t="shared" si="5"/>
        <v>283.88664638495567</v>
      </c>
      <c r="Q50">
        <f t="shared" si="9"/>
        <v>283.88664638495629</v>
      </c>
      <c r="R50">
        <f t="shared" si="6"/>
        <v>96.704771349972873</v>
      </c>
      <c r="S50">
        <f t="shared" si="7"/>
        <v>1585.3656171184384</v>
      </c>
      <c r="T50" s="3">
        <v>0.08</v>
      </c>
      <c r="V50">
        <f>SUM($R$2:R50)</f>
        <v>2956.7237689263734</v>
      </c>
      <c r="W50">
        <f t="shared" si="8"/>
        <v>6.2343941486239052</v>
      </c>
      <c r="Z50">
        <f t="shared" si="11"/>
        <v>0.29914866001825829</v>
      </c>
      <c r="AA50" s="3">
        <v>0.3</v>
      </c>
      <c r="AB50">
        <f t="shared" si="1"/>
        <v>5284.5520570614617</v>
      </c>
      <c r="AC50">
        <f t="shared" si="10"/>
        <v>3711.8877542850041</v>
      </c>
      <c r="AD50" s="3">
        <v>0.2</v>
      </c>
      <c r="AE50">
        <f t="shared" si="2"/>
        <v>742.37755085700087</v>
      </c>
      <c r="AF50">
        <f t="shared" si="3"/>
        <v>1</v>
      </c>
    </row>
    <row r="51" spans="1:32" x14ac:dyDescent="0.3">
      <c r="A51" s="2">
        <v>50</v>
      </c>
      <c r="B51">
        <f t="shared" si="4"/>
        <v>43.427418993732608</v>
      </c>
      <c r="C51" s="3">
        <v>0.08</v>
      </c>
      <c r="D51">
        <f t="shared" si="5"/>
        <v>306.59757809575211</v>
      </c>
      <c r="Q51">
        <f t="shared" si="9"/>
        <v>306.59757809575279</v>
      </c>
      <c r="R51">
        <f t="shared" si="6"/>
        <v>98.529389677330869</v>
      </c>
      <c r="S51">
        <f t="shared" si="7"/>
        <v>1712.1948664879137</v>
      </c>
      <c r="T51" s="3">
        <v>0.08</v>
      </c>
      <c r="V51">
        <f>SUM($R$2:R51)</f>
        <v>3055.2531586037044</v>
      </c>
      <c r="W51">
        <f t="shared" si="8"/>
        <v>6.442148101471143</v>
      </c>
      <c r="Z51">
        <f t="shared" si="11"/>
        <v>0.27698950001690581</v>
      </c>
      <c r="AA51" s="3">
        <v>0.3</v>
      </c>
      <c r="AB51">
        <f t="shared" si="1"/>
        <v>5707.316221626379</v>
      </c>
      <c r="AC51">
        <f t="shared" si="10"/>
        <v>3934.6010195421045</v>
      </c>
      <c r="AD51" s="3">
        <v>0.2</v>
      </c>
      <c r="AE51">
        <f t="shared" si="2"/>
        <v>786.92020390842094</v>
      </c>
      <c r="AF51">
        <f t="shared" si="3"/>
        <v>1</v>
      </c>
    </row>
    <row r="52" spans="1:32" x14ac:dyDescent="0.3">
      <c r="A52" s="2">
        <v>51</v>
      </c>
      <c r="B52">
        <f t="shared" ref="B52:B101" si="12">B51+B51*C51</f>
        <v>46.901612513231214</v>
      </c>
      <c r="C52" s="3">
        <v>0.08</v>
      </c>
      <c r="D52">
        <f t="shared" ref="D52:D101" si="13">D51+D51*C51</f>
        <v>331.12538434341229</v>
      </c>
      <c r="Q52">
        <f t="shared" ref="Q52:Q101" si="14">$D$2*((1+$C$2)^A51)</f>
        <v>331.12538434341303</v>
      </c>
      <c r="R52">
        <f t="shared" si="6"/>
        <v>100.3884347655824</v>
      </c>
      <c r="S52">
        <f t="shared" si="7"/>
        <v>1849.1704558069468</v>
      </c>
      <c r="T52" s="3">
        <v>0.08</v>
      </c>
      <c r="V52">
        <f>SUM($R$2:R52)</f>
        <v>3155.641593369287</v>
      </c>
      <c r="W52">
        <f t="shared" si="8"/>
        <v>6.6538219402211594</v>
      </c>
      <c r="Z52">
        <f t="shared" si="11"/>
        <v>0.25647175927491278</v>
      </c>
      <c r="AA52" s="3">
        <v>0.3</v>
      </c>
      <c r="AB52">
        <f t="shared" si="1"/>
        <v>6163.9015193564901</v>
      </c>
      <c r="AC52">
        <f t="shared" si="10"/>
        <v>4170.6770807146313</v>
      </c>
      <c r="AD52" s="3">
        <v>0.2</v>
      </c>
      <c r="AE52">
        <f t="shared" si="2"/>
        <v>834.13541614292626</v>
      </c>
      <c r="AF52">
        <f t="shared" si="3"/>
        <v>1</v>
      </c>
    </row>
    <row r="53" spans="1:32" x14ac:dyDescent="0.3">
      <c r="A53" s="2">
        <v>52</v>
      </c>
      <c r="B53">
        <f t="shared" si="12"/>
        <v>50.653741514289713</v>
      </c>
      <c r="C53" s="3">
        <v>0.08</v>
      </c>
      <c r="D53">
        <f t="shared" si="13"/>
        <v>357.61541509088528</v>
      </c>
      <c r="Q53">
        <f t="shared" si="14"/>
        <v>357.61541509088613</v>
      </c>
      <c r="R53">
        <f t="shared" si="6"/>
        <v>102.28255617625375</v>
      </c>
      <c r="S53">
        <f t="shared" si="7"/>
        <v>1997.1040922715026</v>
      </c>
      <c r="T53" s="3">
        <v>0.08</v>
      </c>
      <c r="V53">
        <f>SUM($R$2:R53)</f>
        <v>3257.9241495455408</v>
      </c>
      <c r="W53">
        <f t="shared" si="8"/>
        <v>6.8694896249853263</v>
      </c>
      <c r="Z53">
        <f t="shared" si="11"/>
        <v>0.23747385118047479</v>
      </c>
      <c r="AA53" s="3">
        <v>0.3</v>
      </c>
      <c r="AB53">
        <f t="shared" si="1"/>
        <v>6657.0136409050092</v>
      </c>
      <c r="AC53">
        <f t="shared" si="10"/>
        <v>4420.9177055575092</v>
      </c>
      <c r="AD53" s="3">
        <v>0.2</v>
      </c>
      <c r="AE53">
        <f t="shared" si="2"/>
        <v>884.18354111150188</v>
      </c>
      <c r="AF53">
        <f t="shared" si="3"/>
        <v>1</v>
      </c>
    </row>
    <row r="54" spans="1:32" x14ac:dyDescent="0.3">
      <c r="A54" s="2">
        <v>53</v>
      </c>
      <c r="B54">
        <f t="shared" si="12"/>
        <v>54.706040835432887</v>
      </c>
      <c r="C54" s="3">
        <v>0.08</v>
      </c>
      <c r="D54">
        <f t="shared" si="13"/>
        <v>386.22464829815613</v>
      </c>
      <c r="Q54">
        <f t="shared" si="14"/>
        <v>386.22464829815704</v>
      </c>
      <c r="R54">
        <f t="shared" si="6"/>
        <v>104.21241572674911</v>
      </c>
      <c r="S54">
        <f t="shared" si="7"/>
        <v>2156.872419653223</v>
      </c>
      <c r="T54" s="3">
        <v>0.08</v>
      </c>
      <c r="V54">
        <f>SUM($R$2:R54)</f>
        <v>3362.1365652722898</v>
      </c>
      <c r="W54">
        <f t="shared" si="8"/>
        <v>7.0892265113488167</v>
      </c>
      <c r="Z54">
        <f t="shared" si="11"/>
        <v>0.21988319553747662</v>
      </c>
      <c r="AA54" s="3">
        <v>0.3</v>
      </c>
      <c r="AB54">
        <f t="shared" si="1"/>
        <v>7189.5747321774106</v>
      </c>
      <c r="AC54">
        <f t="shared" si="10"/>
        <v>4686.1727678909601</v>
      </c>
      <c r="AD54" s="3">
        <v>0.2</v>
      </c>
      <c r="AE54">
        <f t="shared" si="2"/>
        <v>937.23455357819205</v>
      </c>
      <c r="AF54">
        <f t="shared" si="3"/>
        <v>1</v>
      </c>
    </row>
    <row r="55" spans="1:32" x14ac:dyDescent="0.3">
      <c r="A55" s="2">
        <v>54</v>
      </c>
      <c r="B55">
        <f t="shared" si="12"/>
        <v>59.08252410226752</v>
      </c>
      <c r="C55" s="3">
        <v>0.08</v>
      </c>
      <c r="D55">
        <f t="shared" si="13"/>
        <v>417.12262016200862</v>
      </c>
      <c r="Q55">
        <f t="shared" si="14"/>
        <v>417.12262016200958</v>
      </c>
      <c r="R55">
        <f t="shared" si="6"/>
        <v>106.17868772159341</v>
      </c>
      <c r="S55">
        <f t="shared" si="7"/>
        <v>2329.4222132254808</v>
      </c>
      <c r="T55" s="3">
        <v>0.08</v>
      </c>
      <c r="V55">
        <f>SUM($R$2:R55)</f>
        <v>3468.3152529938834</v>
      </c>
      <c r="W55">
        <f t="shared" si="8"/>
        <v>7.3131093767002984</v>
      </c>
      <c r="Z55">
        <f t="shared" si="11"/>
        <v>0.20359555142358948</v>
      </c>
      <c r="AA55" s="3">
        <v>0.3</v>
      </c>
      <c r="AB55">
        <f t="shared" si="1"/>
        <v>7764.7407107516028</v>
      </c>
      <c r="AC55">
        <f t="shared" si="10"/>
        <v>4967.3431339644176</v>
      </c>
      <c r="AD55" s="3">
        <v>0.2</v>
      </c>
      <c r="AE55">
        <f t="shared" si="2"/>
        <v>993.46862679288358</v>
      </c>
      <c r="AF55">
        <f t="shared" si="3"/>
        <v>1</v>
      </c>
    </row>
    <row r="56" spans="1:32" x14ac:dyDescent="0.3">
      <c r="A56" s="2">
        <v>55</v>
      </c>
      <c r="B56">
        <f t="shared" si="12"/>
        <v>63.809126030448923</v>
      </c>
      <c r="C56" s="3">
        <v>0.08</v>
      </c>
      <c r="D56">
        <f t="shared" si="13"/>
        <v>450.49242977496931</v>
      </c>
      <c r="Q56">
        <f t="shared" si="14"/>
        <v>450.49242977497045</v>
      </c>
      <c r="R56">
        <f t="shared" si="6"/>
        <v>108.18205918803858</v>
      </c>
      <c r="S56">
        <f t="shared" si="7"/>
        <v>2515.7759902835196</v>
      </c>
      <c r="T56" s="3">
        <v>0.08</v>
      </c>
      <c r="V56">
        <f>SUM($R$2:R56)</f>
        <v>3576.4973121819221</v>
      </c>
      <c r="W56">
        <f t="shared" si="8"/>
        <v>7.5412164470584111</v>
      </c>
      <c r="Z56">
        <f t="shared" si="11"/>
        <v>0.18851439946628654</v>
      </c>
      <c r="AA56" s="3">
        <v>0.3</v>
      </c>
      <c r="AB56">
        <f t="shared" si="1"/>
        <v>8385.9199676117332</v>
      </c>
      <c r="AC56">
        <f t="shared" si="10"/>
        <v>5265.3837220022833</v>
      </c>
      <c r="AD56" s="3">
        <v>0.2</v>
      </c>
      <c r="AE56">
        <f t="shared" si="2"/>
        <v>1053.0767444004566</v>
      </c>
      <c r="AF56">
        <f t="shared" si="3"/>
        <v>1</v>
      </c>
    </row>
    <row r="57" spans="1:32" x14ac:dyDescent="0.3">
      <c r="A57" s="2">
        <v>56</v>
      </c>
      <c r="B57">
        <f t="shared" si="12"/>
        <v>68.913856112884844</v>
      </c>
      <c r="C57" s="3">
        <v>0.08</v>
      </c>
      <c r="D57">
        <f t="shared" si="13"/>
        <v>486.53182415696688</v>
      </c>
      <c r="Q57">
        <f t="shared" si="14"/>
        <v>486.53182415696807</v>
      </c>
      <c r="R57">
        <f t="shared" si="6"/>
        <v>110.22323011611476</v>
      </c>
      <c r="S57">
        <f t="shared" si="7"/>
        <v>2717.0380695062013</v>
      </c>
      <c r="T57" s="3">
        <v>0.08</v>
      </c>
      <c r="V57">
        <f>SUM($R$2:R57)</f>
        <v>3686.7205422980369</v>
      </c>
      <c r="W57">
        <f t="shared" si="8"/>
        <v>7.7736274244044132</v>
      </c>
      <c r="Z57">
        <f t="shared" si="11"/>
        <v>0.17455036987619121</v>
      </c>
      <c r="AA57" s="3">
        <v>0.3</v>
      </c>
      <c r="AB57">
        <f t="shared" si="1"/>
        <v>9056.7935650206709</v>
      </c>
      <c r="AC57">
        <f t="shared" si="10"/>
        <v>5581.3067453224203</v>
      </c>
      <c r="AD57" s="3">
        <v>0.2</v>
      </c>
      <c r="AE57">
        <f t="shared" si="2"/>
        <v>1116.2613490644842</v>
      </c>
      <c r="AF57">
        <f t="shared" si="3"/>
        <v>1</v>
      </c>
    </row>
    <row r="58" spans="1:32" x14ac:dyDescent="0.3">
      <c r="A58" s="2">
        <v>57</v>
      </c>
      <c r="B58">
        <f t="shared" si="12"/>
        <v>74.426964601915628</v>
      </c>
      <c r="C58" s="3">
        <v>0.08</v>
      </c>
      <c r="D58">
        <f t="shared" si="13"/>
        <v>525.45437008952422</v>
      </c>
      <c r="Q58">
        <f t="shared" si="14"/>
        <v>525.45437008952547</v>
      </c>
      <c r="R58">
        <f t="shared" si="6"/>
        <v>112.3029137032113</v>
      </c>
      <c r="S58">
        <f t="shared" si="7"/>
        <v>2934.4011150666975</v>
      </c>
      <c r="T58" s="3">
        <v>0.08</v>
      </c>
      <c r="V58">
        <f>SUM($R$2:R58)</f>
        <v>3799.0234560012482</v>
      </c>
      <c r="W58">
        <f t="shared" si="8"/>
        <v>8.0104235145305278</v>
      </c>
      <c r="Z58">
        <f t="shared" si="11"/>
        <v>0.16162071284832522</v>
      </c>
      <c r="AA58" s="3">
        <v>0.3</v>
      </c>
      <c r="AB58">
        <f t="shared" si="1"/>
        <v>9781.3370502223261</v>
      </c>
      <c r="AC58">
        <f t="shared" si="10"/>
        <v>5916.1851500417661</v>
      </c>
      <c r="AD58" s="3">
        <v>0.2</v>
      </c>
      <c r="AE58">
        <f t="shared" si="2"/>
        <v>1183.2370300083533</v>
      </c>
      <c r="AF58">
        <f t="shared" si="3"/>
        <v>1</v>
      </c>
    </row>
    <row r="59" spans="1:32" x14ac:dyDescent="0.3">
      <c r="A59" s="2">
        <v>58</v>
      </c>
      <c r="B59">
        <f t="shared" si="12"/>
        <v>80.381121770068873</v>
      </c>
      <c r="C59" s="3">
        <v>0.08</v>
      </c>
      <c r="D59">
        <f t="shared" si="13"/>
        <v>567.49071969668614</v>
      </c>
      <c r="Q59">
        <f t="shared" si="14"/>
        <v>567.49071969668762</v>
      </c>
      <c r="R59">
        <f t="shared" si="6"/>
        <v>114.42183660327188</v>
      </c>
      <c r="S59">
        <f t="shared" si="7"/>
        <v>3169.1532042720332</v>
      </c>
      <c r="T59" s="3">
        <v>0.08</v>
      </c>
      <c r="V59">
        <f>SUM($R$2:R59)</f>
        <v>3913.4452926045201</v>
      </c>
      <c r="W59">
        <f t="shared" si="8"/>
        <v>8.2516874554137392</v>
      </c>
      <c r="Z59">
        <f t="shared" si="11"/>
        <v>0.1496488081928937</v>
      </c>
      <c r="AA59" s="3">
        <v>0.3</v>
      </c>
      <c r="AB59">
        <f t="shared" si="1"/>
        <v>10563.84401424011</v>
      </c>
      <c r="AC59">
        <f t="shared" si="10"/>
        <v>6271.1562590442727</v>
      </c>
      <c r="AD59" s="3">
        <v>0.2</v>
      </c>
      <c r="AE59">
        <f t="shared" si="2"/>
        <v>1254.2312518088547</v>
      </c>
      <c r="AF59">
        <f t="shared" si="3"/>
        <v>1</v>
      </c>
    </row>
    <row r="60" spans="1:32" x14ac:dyDescent="0.3">
      <c r="A60" s="2">
        <v>59</v>
      </c>
      <c r="B60">
        <f t="shared" si="12"/>
        <v>86.811611511674386</v>
      </c>
      <c r="C60" s="3">
        <v>0.08</v>
      </c>
      <c r="D60">
        <f t="shared" si="13"/>
        <v>612.88997727242099</v>
      </c>
      <c r="Q60">
        <f t="shared" si="14"/>
        <v>612.88997727242258</v>
      </c>
      <c r="R60">
        <f t="shared" si="6"/>
        <v>116.58073918069212</v>
      </c>
      <c r="S60">
        <f t="shared" si="7"/>
        <v>3422.6854606137963</v>
      </c>
      <c r="T60" s="3">
        <v>0.08</v>
      </c>
      <c r="V60">
        <f>SUM($R$2:R60)</f>
        <v>4030.0260317852121</v>
      </c>
      <c r="W60">
        <f t="shared" si="8"/>
        <v>8.4975035461249355</v>
      </c>
      <c r="Z60">
        <f t="shared" si="11"/>
        <v>0.13856371128971637</v>
      </c>
      <c r="AA60" s="3">
        <v>0.3</v>
      </c>
      <c r="AB60">
        <f t="shared" si="1"/>
        <v>11408.951535379321</v>
      </c>
      <c r="AC60">
        <f t="shared" si="10"/>
        <v>6647.4256345869298</v>
      </c>
      <c r="AD60" s="3">
        <v>0.2</v>
      </c>
      <c r="AE60">
        <f t="shared" si="2"/>
        <v>1329.485126917386</v>
      </c>
      <c r="AF60">
        <f t="shared" si="3"/>
        <v>1</v>
      </c>
    </row>
    <row r="61" spans="1:32" x14ac:dyDescent="0.3">
      <c r="A61" s="2">
        <v>60</v>
      </c>
      <c r="B61">
        <f t="shared" si="12"/>
        <v>93.756540432608332</v>
      </c>
      <c r="C61" s="3">
        <v>0.08</v>
      </c>
      <c r="D61">
        <f t="shared" si="13"/>
        <v>661.92117545421468</v>
      </c>
      <c r="Q61">
        <f t="shared" si="14"/>
        <v>661.92117545421638</v>
      </c>
      <c r="R61">
        <f t="shared" si="6"/>
        <v>118.78037576900705</v>
      </c>
      <c r="S61">
        <f t="shared" si="7"/>
        <v>3696.5002974629001</v>
      </c>
      <c r="T61" s="3">
        <v>0.08</v>
      </c>
      <c r="V61">
        <f>SUM($R$2:R61)</f>
        <v>4148.8064075542188</v>
      </c>
      <c r="W61">
        <f t="shared" si="8"/>
        <v>8.7479576762835123</v>
      </c>
      <c r="Z61">
        <f t="shared" si="11"/>
        <v>0.1282997326756633</v>
      </c>
      <c r="AA61" s="3">
        <v>0.3</v>
      </c>
      <c r="AB61">
        <f t="shared" si="1"/>
        <v>12321.667658209668</v>
      </c>
      <c r="AC61">
        <f t="shared" si="10"/>
        <v>7046.2711726621455</v>
      </c>
      <c r="AD61" s="3">
        <v>0.2</v>
      </c>
      <c r="AE61">
        <f t="shared" si="2"/>
        <v>1409.2542345324291</v>
      </c>
      <c r="AF61">
        <f t="shared" si="3"/>
        <v>1</v>
      </c>
    </row>
    <row r="62" spans="1:32" x14ac:dyDescent="0.3">
      <c r="A62" s="2">
        <v>61</v>
      </c>
      <c r="B62">
        <f t="shared" si="12"/>
        <v>101.257063667217</v>
      </c>
      <c r="C62" s="3">
        <v>0.08</v>
      </c>
      <c r="D62">
        <f t="shared" si="13"/>
        <v>714.87486949055187</v>
      </c>
      <c r="Q62">
        <f t="shared" si="14"/>
        <v>714.87486949055381</v>
      </c>
      <c r="R62">
        <f t="shared" si="6"/>
        <v>121.02151493446003</v>
      </c>
      <c r="S62">
        <f t="shared" si="7"/>
        <v>3992.2203212599325</v>
      </c>
      <c r="T62" s="3">
        <v>0.08</v>
      </c>
      <c r="V62">
        <f>SUM($R$2:R62)</f>
        <v>4269.8279224886792</v>
      </c>
      <c r="W62">
        <f t="shared" si="8"/>
        <v>9.0031373560677252</v>
      </c>
      <c r="Z62">
        <f t="shared" si="11"/>
        <v>0.11879604877376232</v>
      </c>
      <c r="AA62" s="3">
        <v>0.3</v>
      </c>
      <c r="AB62">
        <f t="shared" si="1"/>
        <v>13307.401070866443</v>
      </c>
      <c r="AC62">
        <f t="shared" si="10"/>
        <v>7469.0474430218746</v>
      </c>
      <c r="AD62" s="3">
        <v>0.2</v>
      </c>
      <c r="AE62">
        <f t="shared" si="2"/>
        <v>1493.809488604375</v>
      </c>
      <c r="AF62">
        <f t="shared" si="3"/>
        <v>1</v>
      </c>
    </row>
    <row r="63" spans="1:32" x14ac:dyDescent="0.3">
      <c r="A63" s="2">
        <v>62</v>
      </c>
      <c r="B63">
        <f t="shared" si="12"/>
        <v>109.35762876059435</v>
      </c>
      <c r="C63" s="3">
        <v>0.08</v>
      </c>
      <c r="D63">
        <f t="shared" si="13"/>
        <v>772.06485904979604</v>
      </c>
      <c r="Q63">
        <f t="shared" si="14"/>
        <v>772.06485904979809</v>
      </c>
      <c r="R63">
        <f t="shared" si="6"/>
        <v>123.30493974454416</v>
      </c>
      <c r="S63">
        <f t="shared" si="7"/>
        <v>4311.5979469607273</v>
      </c>
      <c r="T63" s="3">
        <v>0.08</v>
      </c>
      <c r="V63">
        <f>SUM($R$2:R63)</f>
        <v>4393.132862233223</v>
      </c>
      <c r="W63">
        <f t="shared" si="8"/>
        <v>9.2631317467912595</v>
      </c>
      <c r="Z63">
        <f t="shared" si="11"/>
        <v>0.10999634145718733</v>
      </c>
      <c r="AA63" s="3">
        <v>0.3</v>
      </c>
      <c r="AB63">
        <f t="shared" si="1"/>
        <v>14371.993156535758</v>
      </c>
      <c r="AC63">
        <f t="shared" si="10"/>
        <v>7917.1902896031879</v>
      </c>
      <c r="AD63" s="3">
        <v>0.2</v>
      </c>
      <c r="AE63">
        <f t="shared" si="2"/>
        <v>1583.4380579206377</v>
      </c>
      <c r="AF63">
        <f t="shared" si="3"/>
        <v>1</v>
      </c>
    </row>
    <row r="64" spans="1:32" x14ac:dyDescent="0.3">
      <c r="A64" s="2">
        <v>63</v>
      </c>
      <c r="B64">
        <f t="shared" si="12"/>
        <v>118.1062390614419</v>
      </c>
      <c r="C64" s="3">
        <v>0.08</v>
      </c>
      <c r="D64">
        <f t="shared" si="13"/>
        <v>833.83004777377971</v>
      </c>
      <c r="Q64">
        <f t="shared" si="14"/>
        <v>833.8300477737821</v>
      </c>
      <c r="R64">
        <f t="shared" si="6"/>
        <v>125.63144804161102</v>
      </c>
      <c r="S64">
        <f t="shared" si="7"/>
        <v>4656.5257827175856</v>
      </c>
      <c r="T64" s="3">
        <v>0.08</v>
      </c>
      <c r="V64">
        <f>SUM($R$2:R64)</f>
        <v>4518.7643102748343</v>
      </c>
      <c r="W64">
        <f t="shared" si="8"/>
        <v>9.52803169205675</v>
      </c>
      <c r="Z64">
        <f t="shared" si="11"/>
        <v>0.10184846431221048</v>
      </c>
      <c r="AA64" s="3">
        <v>0.3</v>
      </c>
      <c r="AB64">
        <f t="shared" si="1"/>
        <v>15521.75260905862</v>
      </c>
      <c r="AC64">
        <f t="shared" si="10"/>
        <v>8392.2217069793787</v>
      </c>
      <c r="AD64" s="3">
        <v>0.2</v>
      </c>
      <c r="AE64">
        <f t="shared" si="2"/>
        <v>1678.4443413958759</v>
      </c>
      <c r="AF64">
        <f t="shared" si="3"/>
        <v>1</v>
      </c>
    </row>
    <row r="65" spans="1:32" x14ac:dyDescent="0.3">
      <c r="A65" s="2">
        <v>64</v>
      </c>
      <c r="B65">
        <f t="shared" si="12"/>
        <v>127.55473818635726</v>
      </c>
      <c r="C65" s="3">
        <v>0.08</v>
      </c>
      <c r="D65">
        <f t="shared" si="13"/>
        <v>900.53645159568214</v>
      </c>
      <c r="Q65">
        <f t="shared" si="14"/>
        <v>900.53645159568475</v>
      </c>
      <c r="R65">
        <f t="shared" si="6"/>
        <v>128.0018527216414</v>
      </c>
      <c r="S65">
        <f t="shared" si="7"/>
        <v>5029.0478453349924</v>
      </c>
      <c r="T65" s="3">
        <v>0.08</v>
      </c>
      <c r="V65">
        <f>SUM($R$2:R65)</f>
        <v>4646.7661629964759</v>
      </c>
      <c r="W65">
        <f t="shared" si="8"/>
        <v>9.7979297494970616</v>
      </c>
      <c r="Z65">
        <f t="shared" si="11"/>
        <v>9.4304133622417116E-2</v>
      </c>
      <c r="AA65" s="3">
        <v>0.3</v>
      </c>
      <c r="AB65">
        <f t="shared" si="1"/>
        <v>16763.49281778331</v>
      </c>
      <c r="AC65">
        <f t="shared" si="10"/>
        <v>8895.7550093981426</v>
      </c>
      <c r="AD65" s="3">
        <v>0.2</v>
      </c>
      <c r="AE65">
        <f t="shared" si="2"/>
        <v>1779.1510018796287</v>
      </c>
      <c r="AF65">
        <f t="shared" si="3"/>
        <v>1</v>
      </c>
    </row>
    <row r="66" spans="1:32" x14ac:dyDescent="0.3">
      <c r="A66" s="2">
        <v>65</v>
      </c>
      <c r="B66">
        <f t="shared" si="12"/>
        <v>137.75911724126584</v>
      </c>
      <c r="C66" s="3">
        <v>0.08</v>
      </c>
      <c r="D66">
        <f t="shared" si="13"/>
        <v>972.57936772333676</v>
      </c>
      <c r="Q66">
        <f t="shared" si="14"/>
        <v>972.5793677233396</v>
      </c>
      <c r="R66">
        <f t="shared" si="6"/>
        <v>130.41698201827617</v>
      </c>
      <c r="S66">
        <f t="shared" si="7"/>
        <v>5431.3716729617918</v>
      </c>
      <c r="T66" s="3">
        <v>0.08</v>
      </c>
      <c r="V66">
        <f>SUM($R$2:R66)</f>
        <v>4777.183145014752</v>
      </c>
      <c r="W66">
        <f t="shared" si="8"/>
        <v>10.07292022311549</v>
      </c>
      <c r="Z66">
        <f t="shared" si="11"/>
        <v>8.7318642242978806E-2</v>
      </c>
      <c r="AA66" s="3">
        <v>0.3</v>
      </c>
      <c r="AB66">
        <f t="shared" si="1"/>
        <v>18104.572243205974</v>
      </c>
      <c r="AC66">
        <f t="shared" si="10"/>
        <v>9429.5003099620317</v>
      </c>
      <c r="AD66" s="3">
        <v>0.2</v>
      </c>
      <c r="AE66">
        <f t="shared" si="2"/>
        <v>1885.9000619924063</v>
      </c>
      <c r="AF66">
        <f t="shared" si="3"/>
        <v>1</v>
      </c>
    </row>
    <row r="67" spans="1:32" x14ac:dyDescent="0.3">
      <c r="A67" s="2">
        <v>66</v>
      </c>
      <c r="B67">
        <f t="shared" si="12"/>
        <v>148.7798466205671</v>
      </c>
      <c r="C67" s="3">
        <v>0.08</v>
      </c>
      <c r="D67">
        <f t="shared" si="13"/>
        <v>1050.3857171412037</v>
      </c>
      <c r="Q67">
        <f t="shared" si="14"/>
        <v>1050.3857171412069</v>
      </c>
      <c r="R67">
        <f t="shared" si="6"/>
        <v>132.87767979220592</v>
      </c>
      <c r="S67">
        <f t="shared" si="7"/>
        <v>5865.881406798736</v>
      </c>
      <c r="T67" s="3">
        <v>0.08</v>
      </c>
      <c r="V67">
        <f>SUM($R$2:R67)</f>
        <v>4910.0608248069575</v>
      </c>
      <c r="W67">
        <f t="shared" si="8"/>
        <v>10.353099196236153</v>
      </c>
      <c r="Z67">
        <f t="shared" si="11"/>
        <v>8.0850594669424805E-2</v>
      </c>
      <c r="AA67" s="3">
        <v>0.3</v>
      </c>
      <c r="AB67">
        <f t="shared" ref="AB67:AB130" si="15">S67/AA67</f>
        <v>19552.938022662453</v>
      </c>
      <c r="AC67">
        <f t="shared" si="10"/>
        <v>9995.2703285597545</v>
      </c>
      <c r="AD67" s="3">
        <v>0.2</v>
      </c>
      <c r="AE67">
        <f t="shared" ref="AE67:AE130" si="16">AC67*AD67</f>
        <v>1999.0540657119509</v>
      </c>
      <c r="AF67">
        <f t="shared" ref="AF67:AF130" si="17">IF(AB67&gt;AE67, 1, 0)</f>
        <v>1</v>
      </c>
    </row>
    <row r="68" spans="1:32" x14ac:dyDescent="0.3">
      <c r="A68" s="2">
        <v>67</v>
      </c>
      <c r="B68">
        <f t="shared" si="12"/>
        <v>160.68223435021247</v>
      </c>
      <c r="C68" s="3">
        <v>0.08</v>
      </c>
      <c r="D68">
        <f t="shared" si="13"/>
        <v>1134.4165745125001</v>
      </c>
      <c r="Q68">
        <f t="shared" si="14"/>
        <v>1134.4165745125033</v>
      </c>
      <c r="R68">
        <f t="shared" ref="R68:R101" si="18">S68/((1+$U$2)^A67)</f>
        <v>135.38480582602116</v>
      </c>
      <c r="S68">
        <f t="shared" ref="S68:S101" si="19">S67*(1+T67)</f>
        <v>6335.1519193426357</v>
      </c>
      <c r="T68" s="3">
        <v>0.08</v>
      </c>
      <c r="V68">
        <f>SUM($R$2:R68)</f>
        <v>5045.4456306329785</v>
      </c>
      <c r="W68">
        <f t="shared" ref="W68:W101" si="20">V68/$W$2</f>
        <v>10.638564565076074</v>
      </c>
      <c r="Z68">
        <f t="shared" si="11"/>
        <v>7.4861661730948895E-2</v>
      </c>
      <c r="AA68" s="3">
        <v>0.3</v>
      </c>
      <c r="AB68">
        <f t="shared" si="15"/>
        <v>21117.173064475453</v>
      </c>
      <c r="AC68">
        <f t="shared" ref="AC68:AC131" si="21">AC67*(1+$U$2)</f>
        <v>10594.98654827334</v>
      </c>
      <c r="AD68" s="3">
        <v>0.2</v>
      </c>
      <c r="AE68">
        <f t="shared" si="16"/>
        <v>2118.9973096546682</v>
      </c>
      <c r="AF68">
        <f t="shared" si="17"/>
        <v>1</v>
      </c>
    </row>
    <row r="69" spans="1:32" x14ac:dyDescent="0.3">
      <c r="A69" s="2">
        <v>68</v>
      </c>
      <c r="B69">
        <f t="shared" si="12"/>
        <v>173.53681309822946</v>
      </c>
      <c r="C69" s="3">
        <v>0.08</v>
      </c>
      <c r="D69">
        <f t="shared" si="13"/>
        <v>1225.1699004735001</v>
      </c>
      <c r="Q69">
        <f t="shared" si="14"/>
        <v>1225.1699004735037</v>
      </c>
      <c r="R69">
        <f t="shared" si="18"/>
        <v>137.93923612462532</v>
      </c>
      <c r="S69">
        <f t="shared" si="19"/>
        <v>6841.9640728900467</v>
      </c>
      <c r="T69" s="3">
        <v>0.08</v>
      </c>
      <c r="V69">
        <f>SUM($R$2:R69)</f>
        <v>5183.384866757604</v>
      </c>
      <c r="W69">
        <f t="shared" si="20"/>
        <v>10.92941607295071</v>
      </c>
      <c r="Z69">
        <f t="shared" si="11"/>
        <v>6.93163534545823E-2</v>
      </c>
      <c r="AA69" s="3">
        <v>0.3</v>
      </c>
      <c r="AB69">
        <f t="shared" si="15"/>
        <v>22806.546909633489</v>
      </c>
      <c r="AC69">
        <f t="shared" si="21"/>
        <v>11230.685741169742</v>
      </c>
      <c r="AD69" s="3">
        <v>0.2</v>
      </c>
      <c r="AE69">
        <f t="shared" si="16"/>
        <v>2246.1371482339487</v>
      </c>
      <c r="AF69">
        <f t="shared" si="17"/>
        <v>1</v>
      </c>
    </row>
    <row r="70" spans="1:32" x14ac:dyDescent="0.3">
      <c r="A70" s="2">
        <v>69</v>
      </c>
      <c r="B70">
        <f t="shared" si="12"/>
        <v>187.41975814608782</v>
      </c>
      <c r="C70" s="3">
        <v>0.08</v>
      </c>
      <c r="D70">
        <f t="shared" si="13"/>
        <v>1323.1834925113801</v>
      </c>
      <c r="Q70">
        <f t="shared" si="14"/>
        <v>1323.1834925113842</v>
      </c>
      <c r="R70">
        <f t="shared" si="18"/>
        <v>140.54186322131633</v>
      </c>
      <c r="S70">
        <f t="shared" si="19"/>
        <v>7389.3211987212508</v>
      </c>
      <c r="T70" s="3">
        <v>0.08</v>
      </c>
      <c r="V70">
        <f>SUM($R$2:R70)</f>
        <v>5323.9267299789199</v>
      </c>
      <c r="W70">
        <f t="shared" si="20"/>
        <v>11.225755345124869</v>
      </c>
      <c r="Z70">
        <f t="shared" si="11"/>
        <v>6.4181808754242869E-2</v>
      </c>
      <c r="AA70" s="3">
        <v>0.3</v>
      </c>
      <c r="AB70">
        <f t="shared" si="15"/>
        <v>24631.07066240417</v>
      </c>
      <c r="AC70">
        <f t="shared" si="21"/>
        <v>11904.526885639927</v>
      </c>
      <c r="AD70" s="3">
        <v>0.2</v>
      </c>
      <c r="AE70">
        <f t="shared" si="16"/>
        <v>2380.9053771279855</v>
      </c>
      <c r="AF70">
        <f t="shared" si="17"/>
        <v>1</v>
      </c>
    </row>
    <row r="71" spans="1:32" x14ac:dyDescent="0.3">
      <c r="A71" s="2">
        <v>70</v>
      </c>
      <c r="B71">
        <f t="shared" si="12"/>
        <v>202.41333879777483</v>
      </c>
      <c r="C71" s="3">
        <v>0.08</v>
      </c>
      <c r="D71">
        <f t="shared" si="13"/>
        <v>1429.0381719122906</v>
      </c>
      <c r="Q71">
        <f t="shared" si="14"/>
        <v>1429.0381719122947</v>
      </c>
      <c r="R71">
        <f t="shared" si="18"/>
        <v>143.19359648964306</v>
      </c>
      <c r="S71">
        <f t="shared" si="19"/>
        <v>7980.4668946189513</v>
      </c>
      <c r="T71" s="3">
        <v>0.08</v>
      </c>
      <c r="V71">
        <f>SUM($R$2:R71)</f>
        <v>5467.1203264685628</v>
      </c>
      <c r="W71">
        <f t="shared" si="20"/>
        <v>11.52768592432118</v>
      </c>
      <c r="Z71">
        <f t="shared" si="11"/>
        <v>5.9427600698373023E-2</v>
      </c>
      <c r="AA71" s="3">
        <v>0.3</v>
      </c>
      <c r="AB71">
        <f t="shared" si="15"/>
        <v>26601.556315396505</v>
      </c>
      <c r="AC71">
        <f t="shared" si="21"/>
        <v>12618.798498778324</v>
      </c>
      <c r="AD71" s="3">
        <v>0.2</v>
      </c>
      <c r="AE71">
        <f t="shared" si="16"/>
        <v>2523.7596997556648</v>
      </c>
      <c r="AF71">
        <f t="shared" si="17"/>
        <v>1</v>
      </c>
    </row>
    <row r="72" spans="1:32" x14ac:dyDescent="0.3">
      <c r="A72" s="2">
        <v>71</v>
      </c>
      <c r="B72">
        <f t="shared" si="12"/>
        <v>218.60640590159682</v>
      </c>
      <c r="C72" s="3">
        <v>0.08</v>
      </c>
      <c r="D72">
        <f t="shared" si="13"/>
        <v>1543.3612256652739</v>
      </c>
      <c r="Q72">
        <f t="shared" si="14"/>
        <v>1543.3612256652787</v>
      </c>
      <c r="R72">
        <f t="shared" si="18"/>
        <v>145.89536246114577</v>
      </c>
      <c r="S72">
        <f t="shared" si="19"/>
        <v>8618.9042461884674</v>
      </c>
      <c r="T72" s="3">
        <v>0.08</v>
      </c>
      <c r="V72">
        <f>SUM($R$2:R72)</f>
        <v>5613.0156889297086</v>
      </c>
      <c r="W72">
        <f t="shared" si="20"/>
        <v>11.835313306898556</v>
      </c>
      <c r="Z72">
        <f t="shared" si="11"/>
        <v>5.5025556202197248E-2</v>
      </c>
      <c r="AA72" s="3">
        <v>0.3</v>
      </c>
      <c r="AB72">
        <f t="shared" si="15"/>
        <v>28729.680820628226</v>
      </c>
      <c r="AC72">
        <f t="shared" si="21"/>
        <v>13375.926408705023</v>
      </c>
      <c r="AD72" s="3">
        <v>0.2</v>
      </c>
      <c r="AE72">
        <f t="shared" si="16"/>
        <v>2675.1852817410049</v>
      </c>
      <c r="AF72">
        <f t="shared" si="17"/>
        <v>1</v>
      </c>
    </row>
    <row r="73" spans="1:32" x14ac:dyDescent="0.3">
      <c r="A73" s="2">
        <v>72</v>
      </c>
      <c r="B73">
        <f t="shared" si="12"/>
        <v>236.09491837372457</v>
      </c>
      <c r="C73" s="3">
        <v>0.08</v>
      </c>
      <c r="D73">
        <f t="shared" si="13"/>
        <v>1666.8301237184958</v>
      </c>
      <c r="Q73">
        <f t="shared" si="14"/>
        <v>1666.830123718501</v>
      </c>
      <c r="R73">
        <f t="shared" si="18"/>
        <v>148.64810514909189</v>
      </c>
      <c r="S73">
        <f t="shared" si="19"/>
        <v>9308.4165858835458</v>
      </c>
      <c r="T73" s="3">
        <v>0.08</v>
      </c>
      <c r="V73">
        <f>SUM($R$2:R73)</f>
        <v>5761.6637940788005</v>
      </c>
      <c r="W73">
        <f t="shared" si="20"/>
        <v>12.148744979713239</v>
      </c>
      <c r="Z73">
        <f t="shared" si="11"/>
        <v>5.0949589076108553E-2</v>
      </c>
      <c r="AA73" s="3">
        <v>0.3</v>
      </c>
      <c r="AB73">
        <f t="shared" si="15"/>
        <v>31028.055286278486</v>
      </c>
      <c r="AC73">
        <f t="shared" si="21"/>
        <v>14178.481993227326</v>
      </c>
      <c r="AD73" s="3">
        <v>0.2</v>
      </c>
      <c r="AE73">
        <f t="shared" si="16"/>
        <v>2835.6963986454653</v>
      </c>
      <c r="AF73">
        <f t="shared" si="17"/>
        <v>1</v>
      </c>
    </row>
    <row r="74" spans="1:32" x14ac:dyDescent="0.3">
      <c r="A74" s="2">
        <v>73</v>
      </c>
      <c r="B74">
        <f t="shared" si="12"/>
        <v>254.98251184362255</v>
      </c>
      <c r="C74" s="3">
        <v>0.08</v>
      </c>
      <c r="D74">
        <f t="shared" si="13"/>
        <v>1800.1765336159754</v>
      </c>
      <c r="Q74">
        <f t="shared" si="14"/>
        <v>1800.176533615981</v>
      </c>
      <c r="R74">
        <f t="shared" si="18"/>
        <v>151.45278637832007</v>
      </c>
      <c r="S74">
        <f t="shared" si="19"/>
        <v>10053.089912754231</v>
      </c>
      <c r="T74" s="3">
        <v>0.08</v>
      </c>
      <c r="V74">
        <f>SUM($R$2:R74)</f>
        <v>5913.116580457121</v>
      </c>
      <c r="W74">
        <f t="shared" si="20"/>
        <v>12.46809045767537</v>
      </c>
      <c r="Z74">
        <f t="shared" si="11"/>
        <v>4.7175545440841252E-2</v>
      </c>
      <c r="AA74" s="3">
        <v>0.3</v>
      </c>
      <c r="AB74">
        <f t="shared" si="15"/>
        <v>33510.29970918077</v>
      </c>
      <c r="AC74">
        <f t="shared" si="21"/>
        <v>15029.190912820966</v>
      </c>
      <c r="AD74" s="3">
        <v>0.2</v>
      </c>
      <c r="AE74">
        <f t="shared" si="16"/>
        <v>3005.8381825641936</v>
      </c>
      <c r="AF74">
        <f t="shared" si="17"/>
        <v>1</v>
      </c>
    </row>
    <row r="75" spans="1:32" x14ac:dyDescent="0.3">
      <c r="A75" s="2">
        <v>74</v>
      </c>
      <c r="B75">
        <f t="shared" si="12"/>
        <v>275.38111279111234</v>
      </c>
      <c r="C75" s="3">
        <v>0.08</v>
      </c>
      <c r="D75">
        <f t="shared" si="13"/>
        <v>1944.1906563052535</v>
      </c>
      <c r="Q75">
        <f t="shared" si="14"/>
        <v>1944.1906563052598</v>
      </c>
      <c r="R75">
        <f t="shared" si="18"/>
        <v>154.31038612130729</v>
      </c>
      <c r="S75">
        <f t="shared" si="19"/>
        <v>10857.33710577457</v>
      </c>
      <c r="T75" s="3">
        <v>0.08</v>
      </c>
      <c r="V75">
        <f>SUM($R$2:R75)</f>
        <v>6067.4269665784286</v>
      </c>
      <c r="W75">
        <f t="shared" si="20"/>
        <v>12.793461322014146</v>
      </c>
      <c r="Z75">
        <f t="shared" si="11"/>
        <v>4.3681060593371526E-2</v>
      </c>
      <c r="AA75" s="3">
        <v>0.3</v>
      </c>
      <c r="AB75">
        <f t="shared" si="15"/>
        <v>36191.123685915234</v>
      </c>
      <c r="AC75">
        <f t="shared" si="21"/>
        <v>15930.942367590225</v>
      </c>
      <c r="AD75" s="3">
        <v>0.2</v>
      </c>
      <c r="AE75">
        <f t="shared" si="16"/>
        <v>3186.1884735180452</v>
      </c>
      <c r="AF75">
        <f t="shared" si="17"/>
        <v>1</v>
      </c>
    </row>
    <row r="76" spans="1:32" x14ac:dyDescent="0.3">
      <c r="A76" s="2">
        <v>75</v>
      </c>
      <c r="B76">
        <f t="shared" si="12"/>
        <v>297.41160181440131</v>
      </c>
      <c r="C76" s="3">
        <v>0.08</v>
      </c>
      <c r="D76">
        <f t="shared" si="13"/>
        <v>2099.7259088096739</v>
      </c>
      <c r="Q76">
        <f t="shared" si="14"/>
        <v>2099.7259088096807</v>
      </c>
      <c r="R76">
        <f t="shared" si="18"/>
        <v>157.22190284057723</v>
      </c>
      <c r="S76">
        <f t="shared" si="19"/>
        <v>11725.924074236536</v>
      </c>
      <c r="T76" s="3">
        <v>0.08</v>
      </c>
      <c r="V76">
        <f>SUM($R$2:R76)</f>
        <v>6224.6488694190057</v>
      </c>
      <c r="W76">
        <f t="shared" si="20"/>
        <v>13.124971259264973</v>
      </c>
      <c r="Z76">
        <f t="shared" si="11"/>
        <v>4.0445426475344E-2</v>
      </c>
      <c r="AA76" s="3">
        <v>0.3</v>
      </c>
      <c r="AB76">
        <f t="shared" si="15"/>
        <v>39086.41358078846</v>
      </c>
      <c r="AC76">
        <f t="shared" si="21"/>
        <v>16886.79890964564</v>
      </c>
      <c r="AD76" s="3">
        <v>0.2</v>
      </c>
      <c r="AE76">
        <f t="shared" si="16"/>
        <v>3377.3597819291281</v>
      </c>
      <c r="AF76">
        <f t="shared" si="17"/>
        <v>1</v>
      </c>
    </row>
    <row r="77" spans="1:32" x14ac:dyDescent="0.3">
      <c r="A77" s="2">
        <v>76</v>
      </c>
      <c r="B77">
        <f t="shared" si="12"/>
        <v>321.20452995955338</v>
      </c>
      <c r="C77" s="3">
        <v>0.08</v>
      </c>
      <c r="D77">
        <f t="shared" si="13"/>
        <v>2267.7039815144481</v>
      </c>
      <c r="Q77">
        <f t="shared" si="14"/>
        <v>2267.7039815144553</v>
      </c>
      <c r="R77">
        <f t="shared" si="18"/>
        <v>160.18835383756922</v>
      </c>
      <c r="S77">
        <f t="shared" si="19"/>
        <v>12663.998000175459</v>
      </c>
      <c r="T77" s="3">
        <v>0.08</v>
      </c>
      <c r="V77">
        <f>SUM($R$2:R77)</f>
        <v>6384.8372232565753</v>
      </c>
      <c r="W77">
        <f t="shared" si="20"/>
        <v>13.462736100992231</v>
      </c>
      <c r="Z77">
        <f t="shared" si="11"/>
        <v>3.7449468958651852E-2</v>
      </c>
      <c r="AA77" s="3">
        <v>0.3</v>
      </c>
      <c r="AB77">
        <f t="shared" si="15"/>
        <v>42213.326667251531</v>
      </c>
      <c r="AC77">
        <f t="shared" si="21"/>
        <v>17900.006844224379</v>
      </c>
      <c r="AD77" s="3">
        <v>0.2</v>
      </c>
      <c r="AE77">
        <f t="shared" si="16"/>
        <v>3580.0013688448762</v>
      </c>
      <c r="AF77">
        <f t="shared" si="17"/>
        <v>1</v>
      </c>
    </row>
    <row r="78" spans="1:32" x14ac:dyDescent="0.3">
      <c r="A78" s="2">
        <v>77</v>
      </c>
      <c r="B78">
        <f t="shared" si="12"/>
        <v>346.90089235631763</v>
      </c>
      <c r="C78" s="3">
        <v>0.08</v>
      </c>
      <c r="D78">
        <f t="shared" si="13"/>
        <v>2449.120300035604</v>
      </c>
      <c r="Q78">
        <f t="shared" si="14"/>
        <v>2449.1203000356118</v>
      </c>
      <c r="R78">
        <f t="shared" si="18"/>
        <v>163.21077560808939</v>
      </c>
      <c r="S78">
        <f t="shared" si="19"/>
        <v>13677.117840189498</v>
      </c>
      <c r="T78" s="3">
        <v>0.08</v>
      </c>
      <c r="V78">
        <f>SUM($R$2:R78)</f>
        <v>6548.0479988646648</v>
      </c>
      <c r="W78">
        <f t="shared" si="20"/>
        <v>13.806873864261512</v>
      </c>
      <c r="Z78">
        <f t="shared" si="11"/>
        <v>3.4675434220973932E-2</v>
      </c>
      <c r="AA78" s="3">
        <v>0.3</v>
      </c>
      <c r="AB78">
        <f t="shared" si="15"/>
        <v>45590.392800631664</v>
      </c>
      <c r="AC78">
        <f t="shared" si="21"/>
        <v>18974.007254877844</v>
      </c>
      <c r="AD78" s="3">
        <v>0.2</v>
      </c>
      <c r="AE78">
        <f t="shared" si="16"/>
        <v>3794.801450975569</v>
      </c>
      <c r="AF78">
        <f t="shared" si="17"/>
        <v>1</v>
      </c>
    </row>
    <row r="79" spans="1:32" x14ac:dyDescent="0.3">
      <c r="A79" s="2">
        <v>78</v>
      </c>
      <c r="B79">
        <f t="shared" si="12"/>
        <v>374.65296374482301</v>
      </c>
      <c r="C79" s="3">
        <v>0.08</v>
      </c>
      <c r="D79">
        <f t="shared" si="13"/>
        <v>2645.0499240384524</v>
      </c>
      <c r="Q79">
        <f t="shared" si="14"/>
        <v>2645.0499240384602</v>
      </c>
      <c r="R79">
        <f t="shared" si="18"/>
        <v>166.29022420446842</v>
      </c>
      <c r="S79">
        <f t="shared" si="19"/>
        <v>14771.287267404658</v>
      </c>
      <c r="T79" s="3">
        <v>0.08</v>
      </c>
      <c r="V79">
        <f>SUM($R$2:R79)</f>
        <v>6714.3382230691332</v>
      </c>
      <c r="W79">
        <f t="shared" si="20"/>
        <v>14.157504792875498</v>
      </c>
      <c r="Z79">
        <f t="shared" ref="Z79:Z142" si="22">$W$2/S79</f>
        <v>3.2106883537938828E-2</v>
      </c>
      <c r="AA79" s="3">
        <v>0.3</v>
      </c>
      <c r="AB79">
        <f t="shared" si="15"/>
        <v>49237.624224682193</v>
      </c>
      <c r="AC79">
        <f t="shared" si="21"/>
        <v>20112.447690170517</v>
      </c>
      <c r="AD79" s="3">
        <v>0.2</v>
      </c>
      <c r="AE79">
        <f t="shared" si="16"/>
        <v>4022.4895380341036</v>
      </c>
      <c r="AF79">
        <f t="shared" si="17"/>
        <v>1</v>
      </c>
    </row>
    <row r="80" spans="1:32" x14ac:dyDescent="0.3">
      <c r="A80" s="2">
        <v>79</v>
      </c>
      <c r="B80">
        <f t="shared" si="12"/>
        <v>404.62520084440882</v>
      </c>
      <c r="C80" s="3">
        <v>0.08</v>
      </c>
      <c r="D80">
        <f t="shared" si="13"/>
        <v>2856.6539179615288</v>
      </c>
      <c r="Q80">
        <f t="shared" si="14"/>
        <v>2856.6539179615379</v>
      </c>
      <c r="R80">
        <f t="shared" si="18"/>
        <v>169.42777560455275</v>
      </c>
      <c r="S80">
        <f t="shared" si="19"/>
        <v>15952.99024879703</v>
      </c>
      <c r="T80" s="3">
        <v>0.08</v>
      </c>
      <c r="V80">
        <f>SUM($R$2:R80)</f>
        <v>6883.7659986736862</v>
      </c>
      <c r="W80">
        <f t="shared" si="20"/>
        <v>14.51475139938786</v>
      </c>
      <c r="Z80">
        <f t="shared" si="22"/>
        <v>2.9728595868461875E-2</v>
      </c>
      <c r="AA80" s="3">
        <v>0.3</v>
      </c>
      <c r="AB80">
        <f t="shared" si="15"/>
        <v>53176.634162656766</v>
      </c>
      <c r="AC80">
        <f t="shared" si="21"/>
        <v>21319.194551580749</v>
      </c>
      <c r="AD80" s="3">
        <v>0.2</v>
      </c>
      <c r="AE80">
        <f t="shared" si="16"/>
        <v>4263.8389103161498</v>
      </c>
      <c r="AF80">
        <f t="shared" si="17"/>
        <v>1</v>
      </c>
    </row>
    <row r="81" spans="1:32" x14ac:dyDescent="0.3">
      <c r="A81" s="2">
        <v>80</v>
      </c>
      <c r="B81">
        <f t="shared" si="12"/>
        <v>436.99521691196151</v>
      </c>
      <c r="C81" s="3">
        <v>0.08</v>
      </c>
      <c r="D81">
        <f t="shared" si="13"/>
        <v>3085.1862313984511</v>
      </c>
      <c r="Q81">
        <f t="shared" si="14"/>
        <v>3085.1862313984611</v>
      </c>
      <c r="R81">
        <f t="shared" si="18"/>
        <v>172.62452608765747</v>
      </c>
      <c r="S81">
        <f t="shared" si="19"/>
        <v>17229.229468700792</v>
      </c>
      <c r="T81" s="3">
        <v>0.08</v>
      </c>
      <c r="V81">
        <f>SUM($R$2:R81)</f>
        <v>7056.3905247613438</v>
      </c>
      <c r="W81">
        <f t="shared" si="20"/>
        <v>14.878738507909889</v>
      </c>
      <c r="Z81">
        <f t="shared" si="22"/>
        <v>2.752647765598322E-2</v>
      </c>
      <c r="AA81" s="3">
        <v>0.3</v>
      </c>
      <c r="AB81">
        <f t="shared" si="15"/>
        <v>57430.764895669308</v>
      </c>
      <c r="AC81">
        <f t="shared" si="21"/>
        <v>22598.346224675595</v>
      </c>
      <c r="AD81" s="3">
        <v>0.2</v>
      </c>
      <c r="AE81">
        <f t="shared" si="16"/>
        <v>4519.6692449351194</v>
      </c>
      <c r="AF81">
        <f t="shared" si="17"/>
        <v>1</v>
      </c>
    </row>
    <row r="82" spans="1:32" x14ac:dyDescent="0.3">
      <c r="A82" s="2">
        <v>81</v>
      </c>
      <c r="B82">
        <f t="shared" si="12"/>
        <v>471.95483426491842</v>
      </c>
      <c r="C82" s="3">
        <v>0.08</v>
      </c>
      <c r="D82">
        <f t="shared" si="13"/>
        <v>3332.0011299103271</v>
      </c>
      <c r="Q82">
        <f t="shared" si="14"/>
        <v>3332.001129910338</v>
      </c>
      <c r="R82">
        <f t="shared" si="18"/>
        <v>175.88159261761334</v>
      </c>
      <c r="S82">
        <f t="shared" si="19"/>
        <v>18607.567826196857</v>
      </c>
      <c r="T82" s="3">
        <v>0.08</v>
      </c>
      <c r="V82">
        <f>SUM($R$2:R82)</f>
        <v>7232.2721173789569</v>
      </c>
      <c r="W82">
        <f t="shared" si="20"/>
        <v>15.249593297724786</v>
      </c>
      <c r="Z82">
        <f t="shared" si="22"/>
        <v>2.5487479311095573E-2</v>
      </c>
      <c r="AA82" s="3">
        <v>0.3</v>
      </c>
      <c r="AB82">
        <f t="shared" si="15"/>
        <v>62025.226087322859</v>
      </c>
      <c r="AC82">
        <f t="shared" si="21"/>
        <v>23954.246998156133</v>
      </c>
      <c r="AD82" s="3">
        <v>0.2</v>
      </c>
      <c r="AE82">
        <f t="shared" si="16"/>
        <v>4790.8493996312272</v>
      </c>
      <c r="AF82">
        <f t="shared" si="17"/>
        <v>1</v>
      </c>
    </row>
    <row r="83" spans="1:32" x14ac:dyDescent="0.3">
      <c r="A83" s="2">
        <v>82</v>
      </c>
      <c r="B83">
        <f t="shared" si="12"/>
        <v>509.71122100611188</v>
      </c>
      <c r="C83" s="3">
        <v>0.08</v>
      </c>
      <c r="D83">
        <f t="shared" si="13"/>
        <v>3598.5612203031533</v>
      </c>
      <c r="Q83">
        <f t="shared" si="14"/>
        <v>3598.5612203031651</v>
      </c>
      <c r="R83">
        <f t="shared" si="18"/>
        <v>179.20011323303999</v>
      </c>
      <c r="S83">
        <f t="shared" si="19"/>
        <v>20096.173252292607</v>
      </c>
      <c r="T83" s="3">
        <v>0.08</v>
      </c>
      <c r="V83">
        <f>SUM($R$2:R83)</f>
        <v>7411.4722306119966</v>
      </c>
      <c r="W83">
        <f t="shared" si="20"/>
        <v>15.627445347724869</v>
      </c>
      <c r="Z83">
        <f t="shared" si="22"/>
        <v>2.3599517880644048E-2</v>
      </c>
      <c r="AA83" s="3">
        <v>0.3</v>
      </c>
      <c r="AB83">
        <f t="shared" si="15"/>
        <v>66987.244174308697</v>
      </c>
      <c r="AC83">
        <f t="shared" si="21"/>
        <v>25391.501818045504</v>
      </c>
      <c r="AD83" s="3">
        <v>0.2</v>
      </c>
      <c r="AE83">
        <f t="shared" si="16"/>
        <v>5078.3003636091016</v>
      </c>
      <c r="AF83">
        <f t="shared" si="17"/>
        <v>1</v>
      </c>
    </row>
    <row r="84" spans="1:32" x14ac:dyDescent="0.3">
      <c r="A84" s="2">
        <v>83</v>
      </c>
      <c r="B84">
        <f t="shared" si="12"/>
        <v>550.48811868660084</v>
      </c>
      <c r="C84" s="3">
        <v>0.08</v>
      </c>
      <c r="D84">
        <f t="shared" si="13"/>
        <v>3886.4461179274058</v>
      </c>
      <c r="Q84">
        <f t="shared" si="14"/>
        <v>3886.4461179274185</v>
      </c>
      <c r="R84">
        <f t="shared" si="18"/>
        <v>182.58124744498417</v>
      </c>
      <c r="S84">
        <f t="shared" si="19"/>
        <v>21703.867112476019</v>
      </c>
      <c r="T84" s="3">
        <v>0.08</v>
      </c>
      <c r="V84">
        <f>SUM($R$2:R84)</f>
        <v>7594.0534780569806</v>
      </c>
      <c r="W84">
        <f t="shared" si="20"/>
        <v>16.01242668168722</v>
      </c>
      <c r="Z84">
        <f t="shared" si="22"/>
        <v>2.1851405445040779E-2</v>
      </c>
      <c r="AA84" s="3">
        <v>0.3</v>
      </c>
      <c r="AB84">
        <f t="shared" si="15"/>
        <v>72346.223708253397</v>
      </c>
      <c r="AC84">
        <f t="shared" si="21"/>
        <v>26914.991927128238</v>
      </c>
      <c r="AD84" s="3">
        <v>0.2</v>
      </c>
      <c r="AE84">
        <f t="shared" si="16"/>
        <v>5382.9983854256479</v>
      </c>
      <c r="AF84">
        <f t="shared" si="17"/>
        <v>1</v>
      </c>
    </row>
    <row r="85" spans="1:32" x14ac:dyDescent="0.3">
      <c r="A85" s="2">
        <v>84</v>
      </c>
      <c r="B85">
        <f t="shared" si="12"/>
        <v>594.52716818152885</v>
      </c>
      <c r="C85" s="3">
        <v>0.08</v>
      </c>
      <c r="D85">
        <f t="shared" si="13"/>
        <v>4197.361807361598</v>
      </c>
      <c r="Q85">
        <f t="shared" si="14"/>
        <v>4197.3618073616126</v>
      </c>
      <c r="R85">
        <f t="shared" si="18"/>
        <v>186.02617664205931</v>
      </c>
      <c r="S85">
        <f t="shared" si="19"/>
        <v>23440.1764814741</v>
      </c>
      <c r="T85" s="3">
        <v>0.08</v>
      </c>
      <c r="V85">
        <f>SUM($R$2:R85)</f>
        <v>7780.0796546990396</v>
      </c>
      <c r="W85">
        <f t="shared" si="20"/>
        <v>16.404671814403574</v>
      </c>
      <c r="Z85">
        <f t="shared" si="22"/>
        <v>2.0232782819482206E-2</v>
      </c>
      <c r="AA85" s="3">
        <v>0.3</v>
      </c>
      <c r="AB85">
        <f t="shared" si="15"/>
        <v>78133.921604913674</v>
      </c>
      <c r="AC85">
        <f t="shared" si="21"/>
        <v>28529.891442755932</v>
      </c>
      <c r="AD85" s="3">
        <v>0.2</v>
      </c>
      <c r="AE85">
        <f t="shared" si="16"/>
        <v>5705.9782885511868</v>
      </c>
      <c r="AF85">
        <f t="shared" si="17"/>
        <v>1</v>
      </c>
    </row>
    <row r="86" spans="1:32" x14ac:dyDescent="0.3">
      <c r="A86" s="2">
        <v>85</v>
      </c>
      <c r="B86">
        <f t="shared" si="12"/>
        <v>642.08934163605113</v>
      </c>
      <c r="C86" s="3">
        <v>0.08</v>
      </c>
      <c r="D86">
        <f t="shared" si="13"/>
        <v>4533.1507519505258</v>
      </c>
      <c r="Q86">
        <f t="shared" si="14"/>
        <v>4533.1507519505412</v>
      </c>
      <c r="R86">
        <f t="shared" si="18"/>
        <v>189.53610450323023</v>
      </c>
      <c r="S86">
        <f t="shared" si="19"/>
        <v>25315.390599992028</v>
      </c>
      <c r="T86" s="3">
        <v>0.08</v>
      </c>
      <c r="V86">
        <f>SUM($R$2:R86)</f>
        <v>7969.6157592022701</v>
      </c>
      <c r="W86">
        <f t="shared" si="20"/>
        <v>16.804317798680618</v>
      </c>
      <c r="Z86">
        <f t="shared" si="22"/>
        <v>1.8734058166187225E-2</v>
      </c>
      <c r="AA86" s="3">
        <v>0.3</v>
      </c>
      <c r="AB86">
        <f t="shared" si="15"/>
        <v>84384.635333306767</v>
      </c>
      <c r="AC86">
        <f t="shared" si="21"/>
        <v>30241.684929321291</v>
      </c>
      <c r="AD86" s="3">
        <v>0.2</v>
      </c>
      <c r="AE86">
        <f t="shared" si="16"/>
        <v>6048.3369858642582</v>
      </c>
      <c r="AF86">
        <f t="shared" si="17"/>
        <v>1</v>
      </c>
    </row>
    <row r="87" spans="1:32" x14ac:dyDescent="0.3">
      <c r="A87" s="2">
        <v>86</v>
      </c>
      <c r="B87">
        <f t="shared" si="12"/>
        <v>693.45648896693524</v>
      </c>
      <c r="C87" s="3">
        <v>0.08</v>
      </c>
      <c r="D87">
        <f t="shared" si="13"/>
        <v>4895.8028121065681</v>
      </c>
      <c r="Q87">
        <f t="shared" si="14"/>
        <v>4895.8028121065854</v>
      </c>
      <c r="R87">
        <f t="shared" si="18"/>
        <v>193.1122574183855</v>
      </c>
      <c r="S87">
        <f t="shared" si="19"/>
        <v>27340.621847991391</v>
      </c>
      <c r="T87" s="3">
        <v>0.08</v>
      </c>
      <c r="V87">
        <f>SUM($R$2:R87)</f>
        <v>8162.7280166206556</v>
      </c>
      <c r="W87">
        <f t="shared" si="20"/>
        <v>17.211504273227039</v>
      </c>
      <c r="Z87">
        <f t="shared" si="22"/>
        <v>1.734635015387706E-2</v>
      </c>
      <c r="AA87" s="3">
        <v>0.3</v>
      </c>
      <c r="AB87">
        <f t="shared" si="15"/>
        <v>91135.406159971302</v>
      </c>
      <c r="AC87">
        <f t="shared" si="21"/>
        <v>32056.186025080569</v>
      </c>
      <c r="AD87" s="3">
        <v>0.2</v>
      </c>
      <c r="AE87">
        <f t="shared" si="16"/>
        <v>6411.2372050161139</v>
      </c>
      <c r="AF87">
        <f t="shared" si="17"/>
        <v>1</v>
      </c>
    </row>
    <row r="88" spans="1:32" x14ac:dyDescent="0.3">
      <c r="A88" s="2">
        <v>87</v>
      </c>
      <c r="B88">
        <f t="shared" si="12"/>
        <v>748.93300808429001</v>
      </c>
      <c r="C88" s="3">
        <v>0.08</v>
      </c>
      <c r="D88">
        <f t="shared" si="13"/>
        <v>5287.4670370750937</v>
      </c>
      <c r="Q88">
        <f t="shared" si="14"/>
        <v>5287.4670370751119</v>
      </c>
      <c r="R88">
        <f t="shared" si="18"/>
        <v>196.75588491684559</v>
      </c>
      <c r="S88">
        <f t="shared" si="19"/>
        <v>29527.871595830704</v>
      </c>
      <c r="T88" s="3">
        <v>0.08</v>
      </c>
      <c r="V88">
        <f>SUM($R$2:R88)</f>
        <v>8359.4839015375019</v>
      </c>
      <c r="W88">
        <f t="shared" si="20"/>
        <v>17.62637351144415</v>
      </c>
      <c r="Z88">
        <f t="shared" si="22"/>
        <v>1.6061435327663943E-2</v>
      </c>
      <c r="AA88" s="3">
        <v>0.3</v>
      </c>
      <c r="AB88">
        <f t="shared" si="15"/>
        <v>98426.238652769011</v>
      </c>
      <c r="AC88">
        <f t="shared" si="21"/>
        <v>33979.557186585407</v>
      </c>
      <c r="AD88" s="3">
        <v>0.2</v>
      </c>
      <c r="AE88">
        <f t="shared" si="16"/>
        <v>6795.9114373170814</v>
      </c>
      <c r="AF88">
        <f t="shared" si="17"/>
        <v>1</v>
      </c>
    </row>
    <row r="89" spans="1:32" x14ac:dyDescent="0.3">
      <c r="A89" s="2">
        <v>88</v>
      </c>
      <c r="B89">
        <f t="shared" si="12"/>
        <v>808.84764873103325</v>
      </c>
      <c r="C89" s="3">
        <v>0.08</v>
      </c>
      <c r="D89">
        <f t="shared" si="13"/>
        <v>5710.4644000411008</v>
      </c>
      <c r="Q89">
        <f t="shared" si="14"/>
        <v>5710.4644000411217</v>
      </c>
      <c r="R89">
        <f t="shared" si="18"/>
        <v>200.46826010395588</v>
      </c>
      <c r="S89">
        <f t="shared" si="19"/>
        <v>31890.101323497162</v>
      </c>
      <c r="T89" s="3">
        <v>0.08</v>
      </c>
      <c r="V89">
        <f>SUM($R$2:R89)</f>
        <v>8559.9521616414586</v>
      </c>
      <c r="W89">
        <f t="shared" si="20"/>
        <v>18.049070471137053</v>
      </c>
      <c r="Z89">
        <f t="shared" si="22"/>
        <v>1.4871699377466614E-2</v>
      </c>
      <c r="AA89" s="3">
        <v>0.3</v>
      </c>
      <c r="AB89">
        <f t="shared" si="15"/>
        <v>106300.33774499054</v>
      </c>
      <c r="AC89">
        <f t="shared" si="21"/>
        <v>36018.330617780535</v>
      </c>
      <c r="AD89" s="3">
        <v>0.2</v>
      </c>
      <c r="AE89">
        <f t="shared" si="16"/>
        <v>7203.6661235561078</v>
      </c>
      <c r="AF89">
        <f t="shared" si="17"/>
        <v>1</v>
      </c>
    </row>
    <row r="90" spans="1:32" x14ac:dyDescent="0.3">
      <c r="A90" s="2">
        <v>89</v>
      </c>
      <c r="B90">
        <f t="shared" si="12"/>
        <v>873.55546062951589</v>
      </c>
      <c r="C90" s="3">
        <v>0.08</v>
      </c>
      <c r="D90">
        <f t="shared" si="13"/>
        <v>6167.3015520443887</v>
      </c>
      <c r="Q90">
        <f t="shared" si="14"/>
        <v>6167.3015520444114</v>
      </c>
      <c r="R90">
        <f t="shared" si="18"/>
        <v>204.25068010591735</v>
      </c>
      <c r="S90">
        <f t="shared" si="19"/>
        <v>34441.309429376939</v>
      </c>
      <c r="T90" s="3">
        <v>0.08</v>
      </c>
      <c r="V90">
        <f>SUM($R$2:R90)</f>
        <v>8764.2028417473757</v>
      </c>
      <c r="W90">
        <f t="shared" si="20"/>
        <v>18.479742845163784</v>
      </c>
      <c r="Z90">
        <f t="shared" si="22"/>
        <v>1.377009201617279E-2</v>
      </c>
      <c r="AA90" s="3">
        <v>0.3</v>
      </c>
      <c r="AB90">
        <f t="shared" si="15"/>
        <v>114804.3647645898</v>
      </c>
      <c r="AC90">
        <f t="shared" si="21"/>
        <v>38179.430454847366</v>
      </c>
      <c r="AD90" s="3">
        <v>0.2</v>
      </c>
      <c r="AE90">
        <f t="shared" si="16"/>
        <v>7635.886090969474</v>
      </c>
      <c r="AF90">
        <f t="shared" si="17"/>
        <v>1</v>
      </c>
    </row>
    <row r="91" spans="1:32" x14ac:dyDescent="0.3">
      <c r="A91" s="2">
        <v>90</v>
      </c>
      <c r="B91">
        <f t="shared" si="12"/>
        <v>943.43989747987712</v>
      </c>
      <c r="C91" s="3">
        <v>0.08</v>
      </c>
      <c r="D91">
        <f t="shared" si="13"/>
        <v>6660.6856762079397</v>
      </c>
      <c r="Q91">
        <f t="shared" si="14"/>
        <v>6660.6856762079651</v>
      </c>
      <c r="R91">
        <f t="shared" si="18"/>
        <v>208.10446652301019</v>
      </c>
      <c r="S91">
        <f t="shared" si="19"/>
        <v>37196.614183727099</v>
      </c>
      <c r="T91" s="3">
        <v>0.08</v>
      </c>
      <c r="V91">
        <f>SUM($R$2:R91)</f>
        <v>8972.3073082703868</v>
      </c>
      <c r="W91">
        <f t="shared" si="20"/>
        <v>18.918541113040078</v>
      </c>
      <c r="Z91">
        <f t="shared" si="22"/>
        <v>1.2750085200159989E-2</v>
      </c>
      <c r="AA91" s="3">
        <v>0.3</v>
      </c>
      <c r="AB91">
        <f t="shared" si="15"/>
        <v>123988.713945757</v>
      </c>
      <c r="AC91">
        <f t="shared" si="21"/>
        <v>40470.196282138211</v>
      </c>
      <c r="AD91" s="3">
        <v>0.2</v>
      </c>
      <c r="AE91">
        <f t="shared" si="16"/>
        <v>8094.0392564276426</v>
      </c>
      <c r="AF91">
        <f t="shared" si="17"/>
        <v>1</v>
      </c>
    </row>
    <row r="92" spans="1:32" x14ac:dyDescent="0.3">
      <c r="A92" s="2">
        <v>91</v>
      </c>
      <c r="B92">
        <f t="shared" si="12"/>
        <v>1018.9150892782673</v>
      </c>
      <c r="C92" s="3">
        <v>0.08</v>
      </c>
      <c r="D92">
        <f t="shared" si="13"/>
        <v>7193.5405303045745</v>
      </c>
      <c r="Q92">
        <f t="shared" si="14"/>
        <v>7193.5405303046018</v>
      </c>
      <c r="R92">
        <f t="shared" si="18"/>
        <v>212.03096589136888</v>
      </c>
      <c r="S92">
        <f t="shared" si="19"/>
        <v>40172.343318425272</v>
      </c>
      <c r="T92" s="3">
        <v>0.08</v>
      </c>
      <c r="V92">
        <f>SUM($R$2:R92)</f>
        <v>9184.3382741617552</v>
      </c>
      <c r="W92">
        <f t="shared" si="20"/>
        <v>19.365618593517809</v>
      </c>
      <c r="Z92">
        <f t="shared" si="22"/>
        <v>1.180563444459258E-2</v>
      </c>
      <c r="AA92" s="3">
        <v>0.3</v>
      </c>
      <c r="AB92">
        <f t="shared" si="15"/>
        <v>133907.81106141757</v>
      </c>
      <c r="AC92">
        <f t="shared" si="21"/>
        <v>42898.408059066503</v>
      </c>
      <c r="AD92" s="3">
        <v>0.2</v>
      </c>
      <c r="AE92">
        <f t="shared" si="16"/>
        <v>8579.6816118133011</v>
      </c>
      <c r="AF92">
        <f t="shared" si="17"/>
        <v>1</v>
      </c>
    </row>
    <row r="93" spans="1:32" x14ac:dyDescent="0.3">
      <c r="A93" s="2">
        <v>92</v>
      </c>
      <c r="B93">
        <f t="shared" si="12"/>
        <v>1100.4282964205286</v>
      </c>
      <c r="C93" s="3">
        <v>0.08</v>
      </c>
      <c r="D93">
        <f t="shared" si="13"/>
        <v>7769.0237727289405</v>
      </c>
      <c r="Q93">
        <f t="shared" si="14"/>
        <v>7769.0237727289696</v>
      </c>
      <c r="R93">
        <f t="shared" si="18"/>
        <v>216.03155015347014</v>
      </c>
      <c r="S93">
        <f t="shared" si="19"/>
        <v>43386.130783899294</v>
      </c>
      <c r="T93" s="3">
        <v>0.08</v>
      </c>
      <c r="V93">
        <f>SUM($R$2:R93)</f>
        <v>9400.3698243152248</v>
      </c>
      <c r="W93">
        <f t="shared" si="20"/>
        <v>19.821131498155495</v>
      </c>
      <c r="Z93">
        <f t="shared" si="22"/>
        <v>1.0931143004252389E-2</v>
      </c>
      <c r="AA93" s="3">
        <v>0.3</v>
      </c>
      <c r="AB93">
        <f t="shared" si="15"/>
        <v>144620.43594633098</v>
      </c>
      <c r="AC93">
        <f t="shared" si="21"/>
        <v>45472.312542610496</v>
      </c>
      <c r="AD93" s="3">
        <v>0.2</v>
      </c>
      <c r="AE93">
        <f t="shared" si="16"/>
        <v>9094.4625085220996</v>
      </c>
      <c r="AF93">
        <f t="shared" si="17"/>
        <v>1</v>
      </c>
    </row>
    <row r="94" spans="1:32" x14ac:dyDescent="0.3">
      <c r="A94" s="2">
        <v>93</v>
      </c>
      <c r="B94">
        <f t="shared" si="12"/>
        <v>1188.4625601341709</v>
      </c>
      <c r="C94" s="3">
        <v>0.08</v>
      </c>
      <c r="D94">
        <f t="shared" si="13"/>
        <v>8390.5456745472547</v>
      </c>
      <c r="Q94">
        <f t="shared" si="14"/>
        <v>8390.5456745472875</v>
      </c>
      <c r="R94">
        <f t="shared" si="18"/>
        <v>220.1076171374979</v>
      </c>
      <c r="S94">
        <f t="shared" si="19"/>
        <v>46857.021246611243</v>
      </c>
      <c r="T94" s="3">
        <v>0.08</v>
      </c>
      <c r="V94">
        <f>SUM($R$2:R94)</f>
        <v>9620.4774414527219</v>
      </c>
      <c r="W94">
        <f t="shared" si="20"/>
        <v>20.285238985899554</v>
      </c>
      <c r="Z94">
        <f t="shared" si="22"/>
        <v>1.01214287076411E-2</v>
      </c>
      <c r="AA94" s="3">
        <v>0.3</v>
      </c>
      <c r="AB94">
        <f t="shared" si="15"/>
        <v>156190.07082203749</v>
      </c>
      <c r="AC94">
        <f t="shared" si="21"/>
        <v>48200.651295167125</v>
      </c>
      <c r="AD94" s="3">
        <v>0.2</v>
      </c>
      <c r="AE94">
        <f t="shared" si="16"/>
        <v>9640.1302590334253</v>
      </c>
      <c r="AF94">
        <f t="shared" si="17"/>
        <v>1</v>
      </c>
    </row>
    <row r="95" spans="1:32" x14ac:dyDescent="0.3">
      <c r="A95" s="2">
        <v>94</v>
      </c>
      <c r="B95">
        <f t="shared" si="12"/>
        <v>1283.5395649449044</v>
      </c>
      <c r="C95" s="3">
        <v>0.08</v>
      </c>
      <c r="D95">
        <f t="shared" si="13"/>
        <v>9061.7893285110349</v>
      </c>
      <c r="Q95">
        <f t="shared" si="14"/>
        <v>9061.7893285110713</v>
      </c>
      <c r="R95">
        <f t="shared" si="18"/>
        <v>224.26059104575256</v>
      </c>
      <c r="S95">
        <f t="shared" si="19"/>
        <v>50605.582946340146</v>
      </c>
      <c r="T95" s="3">
        <v>0.08</v>
      </c>
      <c r="V95">
        <f>SUM($R$2:R95)</f>
        <v>9844.7380324984751</v>
      </c>
      <c r="W95">
        <f t="shared" si="20"/>
        <v>20.758103218695389</v>
      </c>
      <c r="Z95">
        <f t="shared" si="22"/>
        <v>9.3716932478158325E-3</v>
      </c>
      <c r="AA95" s="3">
        <v>0.3</v>
      </c>
      <c r="AB95">
        <f t="shared" si="15"/>
        <v>168685.2764878005</v>
      </c>
      <c r="AC95">
        <f t="shared" si="21"/>
        <v>51092.690372877158</v>
      </c>
      <c r="AD95" s="3">
        <v>0.2</v>
      </c>
      <c r="AE95">
        <f t="shared" si="16"/>
        <v>10218.538074575432</v>
      </c>
      <c r="AF95">
        <f t="shared" si="17"/>
        <v>1</v>
      </c>
    </row>
    <row r="96" spans="1:32" x14ac:dyDescent="0.3">
      <c r="A96" s="2">
        <v>95</v>
      </c>
      <c r="B96">
        <f t="shared" si="12"/>
        <v>1386.2227301404969</v>
      </c>
      <c r="C96" s="3">
        <v>0.08</v>
      </c>
      <c r="D96">
        <f t="shared" si="13"/>
        <v>9786.7324747919174</v>
      </c>
      <c r="Q96">
        <f t="shared" si="14"/>
        <v>9786.7324747919592</v>
      </c>
      <c r="R96">
        <f t="shared" si="18"/>
        <v>228.49192295227621</v>
      </c>
      <c r="S96">
        <f t="shared" si="19"/>
        <v>54654.029582047362</v>
      </c>
      <c r="T96" s="3">
        <v>0.08</v>
      </c>
      <c r="V96">
        <f>SUM($R$2:R96)</f>
        <v>10073.229955450752</v>
      </c>
      <c r="W96">
        <f t="shared" si="20"/>
        <v>21.239889418147751</v>
      </c>
      <c r="Z96">
        <f t="shared" si="22"/>
        <v>8.6774937479776222E-3</v>
      </c>
      <c r="AA96" s="3">
        <v>0.3</v>
      </c>
      <c r="AB96">
        <f t="shared" si="15"/>
        <v>182180.09860682455</v>
      </c>
      <c r="AC96">
        <f t="shared" si="21"/>
        <v>54158.251795249787</v>
      </c>
      <c r="AD96" s="3">
        <v>0.2</v>
      </c>
      <c r="AE96">
        <f t="shared" si="16"/>
        <v>10831.650359049958</v>
      </c>
      <c r="AF96">
        <f t="shared" si="17"/>
        <v>1</v>
      </c>
    </row>
    <row r="97" spans="1:32" x14ac:dyDescent="0.3">
      <c r="A97" s="2">
        <v>96</v>
      </c>
      <c r="B97">
        <f t="shared" si="12"/>
        <v>1497.1205485517366</v>
      </c>
      <c r="C97" s="3">
        <v>0.08</v>
      </c>
      <c r="D97">
        <f t="shared" si="13"/>
        <v>10569.671072775271</v>
      </c>
      <c r="Q97">
        <f t="shared" si="14"/>
        <v>10569.671072775316</v>
      </c>
      <c r="R97">
        <f t="shared" si="18"/>
        <v>232.80309130986629</v>
      </c>
      <c r="S97">
        <f t="shared" si="19"/>
        <v>59026.351948611155</v>
      </c>
      <c r="T97" s="3">
        <v>0.08</v>
      </c>
      <c r="V97">
        <f>SUM($R$2:R97)</f>
        <v>10306.033046760618</v>
      </c>
      <c r="W97">
        <f t="shared" si="20"/>
        <v>21.730765923250154</v>
      </c>
      <c r="Z97">
        <f t="shared" si="22"/>
        <v>8.0347164333126123E-3</v>
      </c>
      <c r="AA97" s="3">
        <v>0.3</v>
      </c>
      <c r="AB97">
        <f t="shared" si="15"/>
        <v>196754.50649537053</v>
      </c>
      <c r="AC97">
        <f t="shared" si="21"/>
        <v>57407.746902964776</v>
      </c>
      <c r="AD97" s="3">
        <v>0.2</v>
      </c>
      <c r="AE97">
        <f t="shared" si="16"/>
        <v>11481.549380592956</v>
      </c>
      <c r="AF97">
        <f t="shared" si="17"/>
        <v>1</v>
      </c>
    </row>
    <row r="98" spans="1:32" x14ac:dyDescent="0.3">
      <c r="A98" s="2">
        <v>97</v>
      </c>
      <c r="B98">
        <f t="shared" si="12"/>
        <v>1616.8901924358756</v>
      </c>
      <c r="C98" s="3">
        <v>0.08</v>
      </c>
      <c r="D98">
        <f t="shared" si="13"/>
        <v>11415.244758597291</v>
      </c>
      <c r="Q98">
        <f t="shared" si="14"/>
        <v>11415.244758597342</v>
      </c>
      <c r="R98">
        <f t="shared" si="18"/>
        <v>237.19560246665628</v>
      </c>
      <c r="S98">
        <f t="shared" si="19"/>
        <v>63748.460104500053</v>
      </c>
      <c r="T98" s="3">
        <v>0.08</v>
      </c>
      <c r="V98">
        <f>SUM($R$2:R98)</f>
        <v>10543.228649227274</v>
      </c>
      <c r="W98">
        <f t="shared" si="20"/>
        <v>22.230904249203547</v>
      </c>
      <c r="Z98">
        <f t="shared" si="22"/>
        <v>7.4395522530672333E-3</v>
      </c>
      <c r="AA98" s="3">
        <v>0.3</v>
      </c>
      <c r="AB98">
        <f t="shared" si="15"/>
        <v>212494.86701500017</v>
      </c>
      <c r="AC98">
        <f t="shared" si="21"/>
        <v>60852.211717142665</v>
      </c>
      <c r="AD98" s="3">
        <v>0.2</v>
      </c>
      <c r="AE98">
        <f t="shared" si="16"/>
        <v>12170.442343428535</v>
      </c>
      <c r="AF98">
        <f t="shared" si="17"/>
        <v>1</v>
      </c>
    </row>
    <row r="99" spans="1:32" x14ac:dyDescent="0.3">
      <c r="A99" s="2">
        <v>98</v>
      </c>
      <c r="B99">
        <f t="shared" si="12"/>
        <v>1746.2414078307456</v>
      </c>
      <c r="C99" s="3">
        <v>0.08</v>
      </c>
      <c r="D99">
        <f t="shared" si="13"/>
        <v>12328.464339285074</v>
      </c>
      <c r="Q99">
        <f t="shared" si="14"/>
        <v>12328.464339285129</v>
      </c>
      <c r="R99">
        <f t="shared" si="18"/>
        <v>241.67099119244227</v>
      </c>
      <c r="S99">
        <f t="shared" si="19"/>
        <v>68848.336912860061</v>
      </c>
      <c r="T99" s="3">
        <v>0.08</v>
      </c>
      <c r="V99">
        <f>SUM($R$2:R99)</f>
        <v>10784.899640419717</v>
      </c>
      <c r="W99">
        <f t="shared" si="20"/>
        <v>22.740479147344743</v>
      </c>
      <c r="Z99">
        <f t="shared" si="22"/>
        <v>6.8884743083955854E-3</v>
      </c>
      <c r="AA99" s="3">
        <v>0.3</v>
      </c>
      <c r="AB99">
        <f t="shared" si="15"/>
        <v>229494.45637620022</v>
      </c>
      <c r="AC99">
        <f t="shared" si="21"/>
        <v>64503.344420171226</v>
      </c>
      <c r="AD99" s="3">
        <v>0.2</v>
      </c>
      <c r="AE99">
        <f t="shared" si="16"/>
        <v>12900.668884034247</v>
      </c>
      <c r="AF99">
        <f t="shared" si="17"/>
        <v>1</v>
      </c>
    </row>
    <row r="100" spans="1:32" x14ac:dyDescent="0.3">
      <c r="A100" s="2">
        <v>99</v>
      </c>
      <c r="B100">
        <f t="shared" si="12"/>
        <v>1885.9407204572053</v>
      </c>
      <c r="C100" s="3">
        <v>0.08</v>
      </c>
      <c r="D100">
        <f t="shared" si="13"/>
        <v>13314.74148642788</v>
      </c>
      <c r="Q100">
        <f t="shared" si="14"/>
        <v>13314.74148642794</v>
      </c>
      <c r="R100">
        <f t="shared" si="18"/>
        <v>246.23082121494116</v>
      </c>
      <c r="S100">
        <f t="shared" si="19"/>
        <v>74356.203865888863</v>
      </c>
      <c r="T100" s="3">
        <v>0.08</v>
      </c>
      <c r="V100">
        <f>SUM($R$2:R100)</f>
        <v>11031.130461634659</v>
      </c>
      <c r="W100">
        <f t="shared" si="20"/>
        <v>23.259668666205581</v>
      </c>
      <c r="Z100">
        <f t="shared" si="22"/>
        <v>6.378216952218135E-3</v>
      </c>
      <c r="AA100" s="3">
        <v>0.3</v>
      </c>
      <c r="AB100">
        <f t="shared" si="15"/>
        <v>247854.01288629623</v>
      </c>
      <c r="AC100">
        <f t="shared" si="21"/>
        <v>68373.545085381498</v>
      </c>
      <c r="AD100" s="3">
        <v>0.2</v>
      </c>
      <c r="AE100">
        <f t="shared" si="16"/>
        <v>13674.7090170763</v>
      </c>
      <c r="AF100">
        <f t="shared" si="17"/>
        <v>1</v>
      </c>
    </row>
    <row r="101" spans="1:32" x14ac:dyDescent="0.3">
      <c r="A101" s="2">
        <v>100</v>
      </c>
      <c r="B101">
        <f t="shared" si="12"/>
        <v>2036.8159780937817</v>
      </c>
      <c r="C101" s="3">
        <v>0.08</v>
      </c>
      <c r="D101">
        <f t="shared" si="13"/>
        <v>14379.92080534211</v>
      </c>
      <c r="Q101">
        <f t="shared" si="14"/>
        <v>14379.920805342177</v>
      </c>
      <c r="R101">
        <f t="shared" si="18"/>
        <v>250.87668576616642</v>
      </c>
      <c r="S101">
        <f t="shared" si="19"/>
        <v>80304.700175159975</v>
      </c>
      <c r="T101" s="3">
        <v>0.08</v>
      </c>
      <c r="V101">
        <f>SUM($R$2:R101)</f>
        <v>11282.007147400825</v>
      </c>
      <c r="W101">
        <f t="shared" si="20"/>
        <v>23.788654213724172</v>
      </c>
      <c r="Z101">
        <f t="shared" si="22"/>
        <v>5.9057564372390139E-3</v>
      </c>
      <c r="AA101" s="3">
        <v>0.3</v>
      </c>
      <c r="AB101">
        <f t="shared" si="15"/>
        <v>267682.33391719993</v>
      </c>
      <c r="AC101">
        <f t="shared" si="21"/>
        <v>72475.957790504399</v>
      </c>
      <c r="AD101" s="3">
        <v>0.2</v>
      </c>
      <c r="AE101">
        <f t="shared" si="16"/>
        <v>14495.19155810088</v>
      </c>
      <c r="AF101">
        <f t="shared" si="17"/>
        <v>1</v>
      </c>
    </row>
    <row r="102" spans="1:32" x14ac:dyDescent="0.3">
      <c r="A102" s="2">
        <v>101</v>
      </c>
      <c r="B102">
        <f t="shared" ref="B102:B165" si="23">B101+B101*C101</f>
        <v>2199.761256341284</v>
      </c>
      <c r="C102" s="3">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3">
        <v>0.08</v>
      </c>
      <c r="V102">
        <f>SUM($R$2:R102)</f>
        <v>11537.617355539938</v>
      </c>
      <c r="W102">
        <f t="shared" ref="W102:W165" si="28">V102/$W$2</f>
        <v>24.327620620629904</v>
      </c>
      <c r="Z102">
        <f t="shared" si="22"/>
        <v>5.468292997443531E-3</v>
      </c>
      <c r="AA102" s="3">
        <v>0.3</v>
      </c>
      <c r="AB102">
        <f t="shared" si="15"/>
        <v>289096.92063057591</v>
      </c>
      <c r="AC102">
        <f t="shared" si="21"/>
        <v>76824.515257934661</v>
      </c>
      <c r="AD102" s="3">
        <v>0.2</v>
      </c>
      <c r="AE102">
        <f t="shared" si="16"/>
        <v>15364.903051586933</v>
      </c>
      <c r="AF102">
        <f t="shared" si="17"/>
        <v>1</v>
      </c>
    </row>
    <row r="103" spans="1:32" x14ac:dyDescent="0.3">
      <c r="A103" s="2">
        <v>102</v>
      </c>
      <c r="B103">
        <f t="shared" si="23"/>
        <v>2375.7421568485865</v>
      </c>
      <c r="C103" s="3">
        <v>0.08</v>
      </c>
      <c r="D103">
        <f t="shared" si="24"/>
        <v>16772.739627351039</v>
      </c>
      <c r="Q103">
        <f t="shared" si="25"/>
        <v>16772.739627351115</v>
      </c>
      <c r="R103">
        <f t="shared" si="26"/>
        <v>260.43304225494529</v>
      </c>
      <c r="S103">
        <f t="shared" si="27"/>
        <v>93667.402284306605</v>
      </c>
      <c r="T103" s="3">
        <v>0.08</v>
      </c>
      <c r="V103">
        <f>SUM($R$2:R103)</f>
        <v>11798.050397794883</v>
      </c>
      <c r="W103">
        <f t="shared" si="28"/>
        <v>24.876756205024424</v>
      </c>
      <c r="Z103">
        <f t="shared" si="22"/>
        <v>5.0632342568921584E-3</v>
      </c>
      <c r="AA103" s="3">
        <v>0.3</v>
      </c>
      <c r="AB103">
        <f t="shared" si="15"/>
        <v>312224.67428102205</v>
      </c>
      <c r="AC103">
        <f t="shared" si="21"/>
        <v>81433.98617341074</v>
      </c>
      <c r="AD103" s="3">
        <v>0.2</v>
      </c>
      <c r="AE103">
        <f t="shared" si="16"/>
        <v>16286.797234682148</v>
      </c>
      <c r="AF103">
        <f t="shared" si="17"/>
        <v>1</v>
      </c>
    </row>
    <row r="104" spans="1:32" x14ac:dyDescent="0.3">
      <c r="A104" s="2">
        <v>103</v>
      </c>
      <c r="B104">
        <f t="shared" si="23"/>
        <v>2565.8015293964736</v>
      </c>
      <c r="C104" s="3">
        <v>0.08</v>
      </c>
      <c r="D104">
        <f t="shared" si="24"/>
        <v>18114.558797539121</v>
      </c>
      <c r="Q104">
        <f t="shared" si="25"/>
        <v>18114.558797539208</v>
      </c>
      <c r="R104">
        <f t="shared" si="26"/>
        <v>265.34687324088759</v>
      </c>
      <c r="S104">
        <f t="shared" si="27"/>
        <v>101160.79446705114</v>
      </c>
      <c r="T104" s="3">
        <v>0.08</v>
      </c>
      <c r="V104">
        <f>SUM($R$2:R104)</f>
        <v>12063.39727103577</v>
      </c>
      <c r="W104">
        <f t="shared" si="28"/>
        <v>25.436252838181105</v>
      </c>
      <c r="Z104">
        <f t="shared" si="22"/>
        <v>4.6881798674927389E-3</v>
      </c>
      <c r="AA104" s="3">
        <v>0.3</v>
      </c>
      <c r="AB104">
        <f t="shared" si="15"/>
        <v>337202.64822350378</v>
      </c>
      <c r="AC104">
        <f t="shared" si="21"/>
        <v>86320.025343815389</v>
      </c>
      <c r="AD104" s="3">
        <v>0.2</v>
      </c>
      <c r="AE104">
        <f t="shared" si="16"/>
        <v>17264.005068763079</v>
      </c>
      <c r="AF104">
        <f t="shared" si="17"/>
        <v>1</v>
      </c>
    </row>
    <row r="105" spans="1:32" x14ac:dyDescent="0.3">
      <c r="A105" s="2">
        <v>104</v>
      </c>
      <c r="B105">
        <f t="shared" si="23"/>
        <v>2771.0656517481916</v>
      </c>
      <c r="C105" s="3">
        <v>0.08</v>
      </c>
      <c r="D105">
        <f t="shared" si="24"/>
        <v>19563.723501342251</v>
      </c>
      <c r="Q105">
        <f t="shared" si="25"/>
        <v>19563.723501342345</v>
      </c>
      <c r="R105">
        <f t="shared" si="26"/>
        <v>270.35341801901751</v>
      </c>
      <c r="S105">
        <f t="shared" si="27"/>
        <v>109253.65802441523</v>
      </c>
      <c r="T105" s="3">
        <v>0.08</v>
      </c>
      <c r="V105">
        <f>SUM($R$2:R105)</f>
        <v>12333.750689054788</v>
      </c>
      <c r="W105">
        <f t="shared" si="28"/>
        <v>26.006306011586027</v>
      </c>
      <c r="Z105">
        <f t="shared" si="22"/>
        <v>4.3409072847154992E-3</v>
      </c>
      <c r="AA105" s="3">
        <v>0.3</v>
      </c>
      <c r="AB105">
        <f t="shared" si="15"/>
        <v>364178.86008138413</v>
      </c>
      <c r="AC105">
        <f t="shared" si="21"/>
        <v>91499.22686444431</v>
      </c>
      <c r="AD105" s="3">
        <v>0.2</v>
      </c>
      <c r="AE105">
        <f t="shared" si="16"/>
        <v>18299.845372888863</v>
      </c>
      <c r="AF105">
        <f t="shared" si="17"/>
        <v>1</v>
      </c>
    </row>
    <row r="106" spans="1:32" x14ac:dyDescent="0.3">
      <c r="A106" s="2">
        <v>105</v>
      </c>
      <c r="B106">
        <f t="shared" si="23"/>
        <v>2992.7509038880471</v>
      </c>
      <c r="C106" s="3">
        <v>0.08</v>
      </c>
      <c r="D106">
        <f t="shared" si="24"/>
        <v>21128.82138144963</v>
      </c>
      <c r="Q106">
        <f t="shared" si="25"/>
        <v>21128.821381449732</v>
      </c>
      <c r="R106">
        <f t="shared" si="26"/>
        <v>275.45442590616886</v>
      </c>
      <c r="S106">
        <f t="shared" si="27"/>
        <v>117993.95066636846</v>
      </c>
      <c r="T106" s="3">
        <v>0.08</v>
      </c>
      <c r="V106">
        <f>SUM($R$2:R106)</f>
        <v>12609.205114960958</v>
      </c>
      <c r="W106">
        <f t="shared" si="28"/>
        <v>26.587114905243872</v>
      </c>
      <c r="Z106">
        <f t="shared" si="22"/>
        <v>4.0193585969587947E-3</v>
      </c>
      <c r="AA106" s="3">
        <v>0.3</v>
      </c>
      <c r="AB106">
        <f t="shared" si="15"/>
        <v>393313.16888789489</v>
      </c>
      <c r="AC106">
        <f t="shared" si="21"/>
        <v>96989.180476310969</v>
      </c>
      <c r="AD106" s="3">
        <v>0.2</v>
      </c>
      <c r="AE106">
        <f t="shared" si="16"/>
        <v>19397.836095262195</v>
      </c>
      <c r="AF106">
        <f t="shared" si="17"/>
        <v>1</v>
      </c>
    </row>
    <row r="107" spans="1:32" x14ac:dyDescent="0.3">
      <c r="A107" s="2">
        <v>106</v>
      </c>
      <c r="B107">
        <f t="shared" si="23"/>
        <v>3232.170976199091</v>
      </c>
      <c r="C107" s="3">
        <v>0.08</v>
      </c>
      <c r="D107">
        <f t="shared" si="24"/>
        <v>22819.127091965602</v>
      </c>
      <c r="Q107">
        <f t="shared" si="25"/>
        <v>22819.127091965714</v>
      </c>
      <c r="R107">
        <f t="shared" si="26"/>
        <v>280.65167922515326</v>
      </c>
      <c r="S107">
        <f t="shared" si="27"/>
        <v>127433.46671967795</v>
      </c>
      <c r="T107" s="3">
        <v>0.08</v>
      </c>
      <c r="V107">
        <f>SUM($R$2:R107)</f>
        <v>12889.856794186111</v>
      </c>
      <c r="W107">
        <f t="shared" si="28"/>
        <v>27.178882457272618</v>
      </c>
      <c r="Z107">
        <f t="shared" si="22"/>
        <v>3.7216283305174023E-3</v>
      </c>
      <c r="AA107" s="3">
        <v>0.3</v>
      </c>
      <c r="AB107">
        <f t="shared" si="15"/>
        <v>424778.2223989265</v>
      </c>
      <c r="AC107">
        <f t="shared" si="21"/>
        <v>102808.53130488964</v>
      </c>
      <c r="AD107" s="3">
        <v>0.2</v>
      </c>
      <c r="AE107">
        <f t="shared" si="16"/>
        <v>20561.706260977928</v>
      </c>
      <c r="AF107">
        <f t="shared" si="17"/>
        <v>1</v>
      </c>
    </row>
    <row r="108" spans="1:32" x14ac:dyDescent="0.3">
      <c r="A108" s="2">
        <v>107</v>
      </c>
      <c r="B108">
        <f t="shared" si="23"/>
        <v>3490.7446542950183</v>
      </c>
      <c r="C108" s="3">
        <v>0.08</v>
      </c>
      <c r="D108">
        <f t="shared" si="24"/>
        <v>24644.657259322848</v>
      </c>
      <c r="Q108">
        <f t="shared" si="25"/>
        <v>24644.657259322968</v>
      </c>
      <c r="R108">
        <f t="shared" si="26"/>
        <v>285.9469939275146</v>
      </c>
      <c r="S108">
        <f t="shared" si="27"/>
        <v>137628.14405725218</v>
      </c>
      <c r="T108" s="3">
        <v>0.08</v>
      </c>
      <c r="V108">
        <f>SUM($R$2:R108)</f>
        <v>13175.803788113626</v>
      </c>
      <c r="W108">
        <f t="shared" si="28"/>
        <v>27.781815434811339</v>
      </c>
      <c r="Z108">
        <f t="shared" si="22"/>
        <v>3.4459521578864838E-3</v>
      </c>
      <c r="AA108" s="3">
        <v>0.3</v>
      </c>
      <c r="AB108">
        <f t="shared" si="15"/>
        <v>458760.48019084061</v>
      </c>
      <c r="AC108">
        <f t="shared" si="21"/>
        <v>108977.04318318302</v>
      </c>
      <c r="AD108" s="3">
        <v>0.2</v>
      </c>
      <c r="AE108">
        <f t="shared" si="16"/>
        <v>21795.408636636606</v>
      </c>
      <c r="AF108">
        <f t="shared" si="17"/>
        <v>1</v>
      </c>
    </row>
    <row r="109" spans="1:32" x14ac:dyDescent="0.3">
      <c r="A109" s="2">
        <v>108</v>
      </c>
      <c r="B109">
        <f t="shared" si="23"/>
        <v>3770.0042266386199</v>
      </c>
      <c r="C109" s="3">
        <v>0.08</v>
      </c>
      <c r="D109">
        <f t="shared" si="24"/>
        <v>26616.229840068678</v>
      </c>
      <c r="Q109">
        <f t="shared" si="25"/>
        <v>26616.229840068805</v>
      </c>
      <c r="R109">
        <f t="shared" si="26"/>
        <v>291.34222022803368</v>
      </c>
      <c r="S109">
        <f t="shared" si="27"/>
        <v>148638.39558183236</v>
      </c>
      <c r="T109" s="3">
        <v>0.08</v>
      </c>
      <c r="V109">
        <f>SUM($R$2:R109)</f>
        <v>13467.14600834166</v>
      </c>
      <c r="W109">
        <f t="shared" si="28"/>
        <v>28.396124506265888</v>
      </c>
      <c r="Z109">
        <f t="shared" si="22"/>
        <v>3.1906964424874848E-3</v>
      </c>
      <c r="AA109" s="3">
        <v>0.3</v>
      </c>
      <c r="AB109">
        <f t="shared" si="15"/>
        <v>495461.3186061079</v>
      </c>
      <c r="AC109">
        <f t="shared" si="21"/>
        <v>115515.66577417401</v>
      </c>
      <c r="AD109" s="3">
        <v>0.2</v>
      </c>
      <c r="AE109">
        <f t="shared" si="16"/>
        <v>23103.133154834803</v>
      </c>
      <c r="AF109">
        <f t="shared" si="17"/>
        <v>1</v>
      </c>
    </row>
    <row r="110" spans="1:32" x14ac:dyDescent="0.3">
      <c r="A110" s="2">
        <v>109</v>
      </c>
      <c r="B110">
        <f t="shared" si="23"/>
        <v>4071.6045647697097</v>
      </c>
      <c r="C110" s="3">
        <v>0.08</v>
      </c>
      <c r="D110">
        <f t="shared" si="24"/>
        <v>28745.528227274172</v>
      </c>
      <c r="Q110">
        <f t="shared" si="25"/>
        <v>28745.528227274317</v>
      </c>
      <c r="R110">
        <f t="shared" si="26"/>
        <v>296.83924325120415</v>
      </c>
      <c r="S110">
        <f t="shared" si="27"/>
        <v>160529.46722837896</v>
      </c>
      <c r="T110" s="3">
        <v>0.08</v>
      </c>
      <c r="V110">
        <f>SUM($R$2:R110)</f>
        <v>13763.985251592865</v>
      </c>
      <c r="W110">
        <f t="shared" si="28"/>
        <v>29.022024314917694</v>
      </c>
      <c r="Z110">
        <f t="shared" si="22"/>
        <v>2.954348557858782E-3</v>
      </c>
      <c r="AA110" s="3">
        <v>0.3</v>
      </c>
      <c r="AB110">
        <f t="shared" si="15"/>
        <v>535098.22409459658</v>
      </c>
      <c r="AC110">
        <f t="shared" si="21"/>
        <v>122446.60572062446</v>
      </c>
      <c r="AD110" s="3">
        <v>0.2</v>
      </c>
      <c r="AE110">
        <f t="shared" si="16"/>
        <v>24489.321144124893</v>
      </c>
      <c r="AF110">
        <f t="shared" si="17"/>
        <v>1</v>
      </c>
    </row>
    <row r="111" spans="1:32" x14ac:dyDescent="0.3">
      <c r="A111" s="2">
        <v>110</v>
      </c>
      <c r="B111">
        <f t="shared" si="23"/>
        <v>4397.3329299512861</v>
      </c>
      <c r="C111" s="3">
        <v>0.08</v>
      </c>
      <c r="D111">
        <f t="shared" si="24"/>
        <v>31045.170485456107</v>
      </c>
      <c r="Q111">
        <f t="shared" si="25"/>
        <v>31045.170485456259</v>
      </c>
      <c r="R111">
        <f t="shared" si="26"/>
        <v>302.43998368990606</v>
      </c>
      <c r="S111">
        <f t="shared" si="27"/>
        <v>173371.82460664929</v>
      </c>
      <c r="T111" s="3">
        <v>0.08</v>
      </c>
      <c r="V111">
        <f>SUM($R$2:R111)</f>
        <v>14066.425235282772</v>
      </c>
      <c r="W111">
        <f t="shared" si="28"/>
        <v>29.65973355392142</v>
      </c>
      <c r="Z111">
        <f t="shared" si="22"/>
        <v>2.7355079239433167E-3</v>
      </c>
      <c r="AA111" s="3">
        <v>0.3</v>
      </c>
      <c r="AB111">
        <f t="shared" si="15"/>
        <v>577906.08202216437</v>
      </c>
      <c r="AC111">
        <f t="shared" si="21"/>
        <v>129793.40206386193</v>
      </c>
      <c r="AD111" s="3">
        <v>0.2</v>
      </c>
      <c r="AE111">
        <f t="shared" si="16"/>
        <v>25958.680412772388</v>
      </c>
      <c r="AF111">
        <f t="shared" si="17"/>
        <v>1</v>
      </c>
    </row>
    <row r="112" spans="1:32" x14ac:dyDescent="0.3">
      <c r="A112" s="2">
        <v>111</v>
      </c>
      <c r="B112">
        <f t="shared" si="23"/>
        <v>4749.1195643473893</v>
      </c>
      <c r="C112" s="3">
        <v>0.08</v>
      </c>
      <c r="D112">
        <f t="shared" si="24"/>
        <v>33528.784124292593</v>
      </c>
      <c r="Q112">
        <f t="shared" si="25"/>
        <v>33528.784124292768</v>
      </c>
      <c r="R112">
        <f t="shared" si="26"/>
        <v>308.14639847650812</v>
      </c>
      <c r="S112">
        <f t="shared" si="27"/>
        <v>187241.57057518125</v>
      </c>
      <c r="T112" s="3">
        <v>0.08</v>
      </c>
      <c r="V112">
        <f>SUM($R$2:R112)</f>
        <v>14374.57163375928</v>
      </c>
      <c r="W112">
        <f t="shared" si="28"/>
        <v>30.309475042717665</v>
      </c>
      <c r="Z112">
        <f t="shared" si="22"/>
        <v>2.5328777073549223E-3</v>
      </c>
      <c r="AA112" s="3">
        <v>0.3</v>
      </c>
      <c r="AB112">
        <f t="shared" si="15"/>
        <v>624138.56858393748</v>
      </c>
      <c r="AC112">
        <f t="shared" si="21"/>
        <v>137581.00618769365</v>
      </c>
      <c r="AD112" s="3">
        <v>0.2</v>
      </c>
      <c r="AE112">
        <f t="shared" si="16"/>
        <v>27516.201237538731</v>
      </c>
      <c r="AF112">
        <f t="shared" si="17"/>
        <v>1</v>
      </c>
    </row>
    <row r="113" spans="1:32" x14ac:dyDescent="0.3">
      <c r="A113" s="2">
        <v>112</v>
      </c>
      <c r="B113">
        <f t="shared" si="23"/>
        <v>5129.0491294951808</v>
      </c>
      <c r="C113" s="3">
        <v>0.08</v>
      </c>
      <c r="D113">
        <f t="shared" si="24"/>
        <v>36211.086854236004</v>
      </c>
      <c r="Q113">
        <f t="shared" si="25"/>
        <v>36211.086854236193</v>
      </c>
      <c r="R113">
        <f t="shared" si="26"/>
        <v>313.96048146663088</v>
      </c>
      <c r="S113">
        <f t="shared" si="27"/>
        <v>202220.89622119576</v>
      </c>
      <c r="T113" s="3">
        <v>0.08</v>
      </c>
      <c r="V113">
        <f>SUM($R$2:R113)</f>
        <v>14688.532115225911</v>
      </c>
      <c r="W113">
        <f t="shared" si="28"/>
        <v>30.971475804887429</v>
      </c>
      <c r="Z113">
        <f t="shared" si="22"/>
        <v>2.3452571364397431E-3</v>
      </c>
      <c r="AA113" s="3">
        <v>0.3</v>
      </c>
      <c r="AB113">
        <f t="shared" si="15"/>
        <v>674069.65407065256</v>
      </c>
      <c r="AC113">
        <f t="shared" si="21"/>
        <v>145835.86655895528</v>
      </c>
      <c r="AD113" s="3">
        <v>0.2</v>
      </c>
      <c r="AE113">
        <f t="shared" si="16"/>
        <v>29167.173311791059</v>
      </c>
      <c r="AF113">
        <f t="shared" si="17"/>
        <v>1</v>
      </c>
    </row>
    <row r="114" spans="1:32" x14ac:dyDescent="0.3">
      <c r="A114" s="2">
        <v>113</v>
      </c>
      <c r="B114">
        <f t="shared" si="23"/>
        <v>5539.3730598547954</v>
      </c>
      <c r="C114" s="3">
        <v>0.08</v>
      </c>
      <c r="D114">
        <f t="shared" si="24"/>
        <v>39107.973802574881</v>
      </c>
      <c r="Q114">
        <f t="shared" si="25"/>
        <v>39107.973802575085</v>
      </c>
      <c r="R114">
        <f t="shared" si="26"/>
        <v>319.88426413581266</v>
      </c>
      <c r="S114">
        <f t="shared" si="27"/>
        <v>218398.56791889144</v>
      </c>
      <c r="T114" s="3">
        <v>0.08</v>
      </c>
      <c r="V114">
        <f>SUM($R$2:R114)</f>
        <v>15008.416379361724</v>
      </c>
      <c r="W114">
        <f t="shared" si="28"/>
        <v>31.645967147475488</v>
      </c>
      <c r="Z114">
        <f t="shared" si="22"/>
        <v>2.1715343855923542E-3</v>
      </c>
      <c r="AA114" s="3">
        <v>0.3</v>
      </c>
      <c r="AB114">
        <f t="shared" si="15"/>
        <v>727995.22639630479</v>
      </c>
      <c r="AC114">
        <f t="shared" si="21"/>
        <v>154586.01855249261</v>
      </c>
      <c r="AD114" s="3">
        <v>0.2</v>
      </c>
      <c r="AE114">
        <f t="shared" si="16"/>
        <v>30917.203710498521</v>
      </c>
      <c r="AF114">
        <f t="shared" si="17"/>
        <v>1</v>
      </c>
    </row>
    <row r="115" spans="1:32" x14ac:dyDescent="0.3">
      <c r="A115" s="2">
        <v>114</v>
      </c>
      <c r="B115">
        <f t="shared" si="23"/>
        <v>5982.5229046431787</v>
      </c>
      <c r="C115" s="3">
        <v>0.08</v>
      </c>
      <c r="D115">
        <f t="shared" si="24"/>
        <v>42236.611706780874</v>
      </c>
      <c r="Q115">
        <f t="shared" si="25"/>
        <v>42236.611706781092</v>
      </c>
      <c r="R115">
        <f t="shared" si="26"/>
        <v>325.91981628931853</v>
      </c>
      <c r="S115">
        <f t="shared" si="27"/>
        <v>235870.45335240278</v>
      </c>
      <c r="T115" s="3">
        <v>0.08</v>
      </c>
      <c r="V115">
        <f>SUM($R$2:R115)</f>
        <v>15334.336195651043</v>
      </c>
      <c r="W115">
        <f t="shared" si="28"/>
        <v>32.333184741810491</v>
      </c>
      <c r="Z115">
        <f t="shared" si="22"/>
        <v>2.010679986659587E-3</v>
      </c>
      <c r="AA115" s="3">
        <v>0.3</v>
      </c>
      <c r="AB115">
        <f t="shared" si="15"/>
        <v>786234.84450800926</v>
      </c>
      <c r="AC115">
        <f t="shared" si="21"/>
        <v>163861.17966564218</v>
      </c>
      <c r="AD115" s="3">
        <v>0.2</v>
      </c>
      <c r="AE115">
        <f t="shared" si="16"/>
        <v>32772.235933128439</v>
      </c>
      <c r="AF115">
        <f t="shared" si="17"/>
        <v>1</v>
      </c>
    </row>
    <row r="116" spans="1:32" x14ac:dyDescent="0.3">
      <c r="A116" s="2">
        <v>115</v>
      </c>
      <c r="B116">
        <f t="shared" si="23"/>
        <v>6461.124737014633</v>
      </c>
      <c r="C116" s="3">
        <v>0.08</v>
      </c>
      <c r="D116">
        <f t="shared" si="24"/>
        <v>45615.540643323344</v>
      </c>
      <c r="Q116">
        <f t="shared" si="25"/>
        <v>45615.540643323584</v>
      </c>
      <c r="R116">
        <f t="shared" si="26"/>
        <v>332.06924678534347</v>
      </c>
      <c r="S116">
        <f t="shared" si="27"/>
        <v>254740.08962059501</v>
      </c>
      <c r="T116" s="3">
        <v>0.08</v>
      </c>
      <c r="V116">
        <f>SUM($R$2:R116)</f>
        <v>15666.405442436388</v>
      </c>
      <c r="W116">
        <f t="shared" si="28"/>
        <v>33.033368705849931</v>
      </c>
      <c r="Z116">
        <f t="shared" si="22"/>
        <v>1.8617407283885066E-3</v>
      </c>
      <c r="AA116" s="3">
        <v>0.3</v>
      </c>
      <c r="AB116">
        <f t="shared" si="15"/>
        <v>849133.6320686501</v>
      </c>
      <c r="AC116">
        <f t="shared" si="21"/>
        <v>173692.85044558073</v>
      </c>
      <c r="AD116" s="3">
        <v>0.2</v>
      </c>
      <c r="AE116">
        <f t="shared" si="16"/>
        <v>34738.570089116147</v>
      </c>
      <c r="AF116">
        <f t="shared" si="17"/>
        <v>1</v>
      </c>
    </row>
    <row r="117" spans="1:32" x14ac:dyDescent="0.3">
      <c r="A117" s="2">
        <v>116</v>
      </c>
      <c r="B117">
        <f t="shared" si="23"/>
        <v>6978.0147159758035</v>
      </c>
      <c r="C117" s="3">
        <v>0.08</v>
      </c>
      <c r="D117">
        <f t="shared" si="24"/>
        <v>49264.783894789209</v>
      </c>
      <c r="Q117">
        <f t="shared" si="25"/>
        <v>49264.783894789478</v>
      </c>
      <c r="R117">
        <f t="shared" si="26"/>
        <v>338.33470427185938</v>
      </c>
      <c r="S117">
        <f t="shared" si="27"/>
        <v>275119.2967902426</v>
      </c>
      <c r="T117" s="3">
        <v>0.08</v>
      </c>
      <c r="V117">
        <f>SUM($R$2:R117)</f>
        <v>16004.740146708247</v>
      </c>
      <c r="W117">
        <f t="shared" si="28"/>
        <v>33.746763688078794</v>
      </c>
      <c r="Z117">
        <f t="shared" si="22"/>
        <v>1.7238340077671357E-3</v>
      </c>
      <c r="AA117" s="3">
        <v>0.3</v>
      </c>
      <c r="AB117">
        <f t="shared" si="15"/>
        <v>917064.32263414201</v>
      </c>
      <c r="AC117">
        <f t="shared" si="21"/>
        <v>184114.42147231559</v>
      </c>
      <c r="AD117" s="3">
        <v>0.2</v>
      </c>
      <c r="AE117">
        <f t="shared" si="16"/>
        <v>36822.884294463118</v>
      </c>
      <c r="AF117">
        <f t="shared" si="17"/>
        <v>1</v>
      </c>
    </row>
    <row r="118" spans="1:32" x14ac:dyDescent="0.3">
      <c r="A118" s="2">
        <v>117</v>
      </c>
      <c r="B118">
        <f t="shared" si="23"/>
        <v>7536.2558932538677</v>
      </c>
      <c r="C118" s="3">
        <v>0.08</v>
      </c>
      <c r="D118">
        <f t="shared" si="24"/>
        <v>53205.966606372349</v>
      </c>
      <c r="Q118">
        <f t="shared" si="25"/>
        <v>53205.966606372633</v>
      </c>
      <c r="R118">
        <f t="shared" si="26"/>
        <v>344.71837793736609</v>
      </c>
      <c r="S118">
        <f t="shared" si="27"/>
        <v>297128.840533462</v>
      </c>
      <c r="T118" s="3">
        <v>0.08</v>
      </c>
      <c r="V118">
        <f>SUM($R$2:R118)</f>
        <v>16349.458524645614</v>
      </c>
      <c r="W118">
        <f t="shared" si="28"/>
        <v>34.473618952991217</v>
      </c>
      <c r="Z118">
        <f t="shared" si="22"/>
        <v>1.596142599784385E-3</v>
      </c>
      <c r="AA118" s="3">
        <v>0.3</v>
      </c>
      <c r="AB118">
        <f t="shared" si="15"/>
        <v>990429.46844487335</v>
      </c>
      <c r="AC118">
        <f t="shared" si="21"/>
        <v>195161.28676065453</v>
      </c>
      <c r="AD118" s="3">
        <v>0.2</v>
      </c>
      <c r="AE118">
        <f t="shared" si="16"/>
        <v>39032.25735213091</v>
      </c>
      <c r="AF118">
        <f t="shared" si="17"/>
        <v>1</v>
      </c>
    </row>
    <row r="119" spans="1:32" x14ac:dyDescent="0.3">
      <c r="A119" s="2">
        <v>118</v>
      </c>
      <c r="B119">
        <f t="shared" si="23"/>
        <v>8139.1563647141775</v>
      </c>
      <c r="C119" s="3">
        <v>0.08</v>
      </c>
      <c r="D119">
        <f t="shared" si="24"/>
        <v>57462.44393488214</v>
      </c>
      <c r="Q119">
        <f t="shared" si="25"/>
        <v>57462.443934882445</v>
      </c>
      <c r="R119">
        <f t="shared" si="26"/>
        <v>351.22249827580691</v>
      </c>
      <c r="S119">
        <f t="shared" si="27"/>
        <v>320899.14777613897</v>
      </c>
      <c r="T119" s="3">
        <v>0.08</v>
      </c>
      <c r="V119">
        <f>SUM($R$2:R119)</f>
        <v>16700.681022921421</v>
      </c>
      <c r="W119">
        <f t="shared" si="28"/>
        <v>35.214188468185007</v>
      </c>
      <c r="Z119">
        <f t="shared" si="22"/>
        <v>1.4779098146151712E-3</v>
      </c>
      <c r="AA119" s="3">
        <v>0.3</v>
      </c>
      <c r="AB119">
        <f t="shared" si="15"/>
        <v>1069663.8259204633</v>
      </c>
      <c r="AC119">
        <f t="shared" si="21"/>
        <v>206870.96396629381</v>
      </c>
      <c r="AD119" s="3">
        <v>0.2</v>
      </c>
      <c r="AE119">
        <f t="shared" si="16"/>
        <v>41374.192793258764</v>
      </c>
      <c r="AF119">
        <f t="shared" si="17"/>
        <v>1</v>
      </c>
    </row>
    <row r="120" spans="1:32" x14ac:dyDescent="0.3">
      <c r="A120" s="2">
        <v>119</v>
      </c>
      <c r="B120">
        <f t="shared" si="23"/>
        <v>8790.2888738913116</v>
      </c>
      <c r="C120" s="3">
        <v>0.08</v>
      </c>
      <c r="D120">
        <f t="shared" si="24"/>
        <v>62059.439449672711</v>
      </c>
      <c r="Q120">
        <f t="shared" si="25"/>
        <v>62059.439449673038</v>
      </c>
      <c r="R120">
        <f t="shared" si="26"/>
        <v>357.84933786591654</v>
      </c>
      <c r="S120">
        <f t="shared" si="27"/>
        <v>346571.07959823014</v>
      </c>
      <c r="T120" s="3">
        <v>0.08</v>
      </c>
      <c r="V120">
        <f>SUM($R$2:R120)</f>
        <v>17058.530360787336</v>
      </c>
      <c r="W120">
        <f t="shared" si="28"/>
        <v>35.968730993099427</v>
      </c>
      <c r="Z120">
        <f t="shared" si="22"/>
        <v>1.3684350135325658E-3</v>
      </c>
      <c r="AA120" s="3">
        <v>0.3</v>
      </c>
      <c r="AB120">
        <f t="shared" si="15"/>
        <v>1155236.9319941006</v>
      </c>
      <c r="AC120">
        <f t="shared" si="21"/>
        <v>219283.22180427145</v>
      </c>
      <c r="AD120" s="3">
        <v>0.2</v>
      </c>
      <c r="AE120">
        <f t="shared" si="16"/>
        <v>43856.64436085429</v>
      </c>
      <c r="AF120">
        <f t="shared" si="17"/>
        <v>1</v>
      </c>
    </row>
    <row r="121" spans="1:32" x14ac:dyDescent="0.3">
      <c r="A121" s="2">
        <v>120</v>
      </c>
      <c r="B121">
        <f t="shared" si="23"/>
        <v>9493.5119838026167</v>
      </c>
      <c r="C121" s="3">
        <v>0.08</v>
      </c>
      <c r="D121">
        <f t="shared" si="24"/>
        <v>67024.194605646524</v>
      </c>
      <c r="Q121">
        <f t="shared" si="25"/>
        <v>67024.194605646888</v>
      </c>
      <c r="R121">
        <f t="shared" si="26"/>
        <v>364.60121216527341</v>
      </c>
      <c r="S121">
        <f t="shared" si="27"/>
        <v>374296.76596608857</v>
      </c>
      <c r="T121" s="3">
        <v>0.08</v>
      </c>
      <c r="V121">
        <f>SUM($R$2:R121)</f>
        <v>17423.13157295261</v>
      </c>
      <c r="W121">
        <f t="shared" si="28"/>
        <v>36.737510169427338</v>
      </c>
      <c r="Z121">
        <f t="shared" si="22"/>
        <v>1.2670694569745979E-3</v>
      </c>
      <c r="AA121" s="3">
        <v>0.3</v>
      </c>
      <c r="AB121">
        <f t="shared" si="15"/>
        <v>1247655.8865536286</v>
      </c>
      <c r="AC121">
        <f t="shared" si="21"/>
        <v>232440.21511252775</v>
      </c>
      <c r="AD121" s="3">
        <v>0.2</v>
      </c>
      <c r="AE121">
        <f t="shared" si="16"/>
        <v>46488.043022505553</v>
      </c>
      <c r="AF121">
        <f t="shared" si="17"/>
        <v>1</v>
      </c>
    </row>
    <row r="122" spans="1:32" x14ac:dyDescent="0.3">
      <c r="A122" s="2">
        <v>121</v>
      </c>
      <c r="B122">
        <f t="shared" si="23"/>
        <v>10252.992942506826</v>
      </c>
      <c r="C122" s="3">
        <v>0.08</v>
      </c>
      <c r="D122">
        <f t="shared" si="24"/>
        <v>72386.130174098245</v>
      </c>
      <c r="Q122">
        <f t="shared" si="25"/>
        <v>72386.130174098653</v>
      </c>
      <c r="R122">
        <f t="shared" si="26"/>
        <v>371.4804803193353</v>
      </c>
      <c r="S122">
        <f t="shared" si="27"/>
        <v>404240.5072433757</v>
      </c>
      <c r="T122" s="3">
        <v>0.08</v>
      </c>
      <c r="V122">
        <f>SUM($R$2:R122)</f>
        <v>17794.612053271947</v>
      </c>
      <c r="W122">
        <f t="shared" si="28"/>
        <v>37.520794613233136</v>
      </c>
      <c r="Z122">
        <f t="shared" si="22"/>
        <v>1.1732124601616645E-3</v>
      </c>
      <c r="AA122" s="3">
        <v>0.3</v>
      </c>
      <c r="AB122">
        <f t="shared" si="15"/>
        <v>1347468.357477919</v>
      </c>
      <c r="AC122">
        <f t="shared" si="21"/>
        <v>246386.62801927942</v>
      </c>
      <c r="AD122" s="3">
        <v>0.2</v>
      </c>
      <c r="AE122">
        <f t="shared" si="16"/>
        <v>49277.32560385589</v>
      </c>
      <c r="AF122">
        <f t="shared" si="17"/>
        <v>1</v>
      </c>
    </row>
    <row r="123" spans="1:32" x14ac:dyDescent="0.3">
      <c r="A123" s="2">
        <v>122</v>
      </c>
      <c r="B123">
        <f t="shared" si="23"/>
        <v>11073.232377907372</v>
      </c>
      <c r="C123" s="3">
        <v>0.08</v>
      </c>
      <c r="D123">
        <f t="shared" si="24"/>
        <v>78177.020588026106</v>
      </c>
      <c r="Q123">
        <f t="shared" si="25"/>
        <v>78177.020588026542</v>
      </c>
      <c r="R123">
        <f t="shared" si="26"/>
        <v>378.48954598573783</v>
      </c>
      <c r="S123">
        <f t="shared" si="27"/>
        <v>436579.74782284576</v>
      </c>
      <c r="T123" s="3">
        <v>0.08</v>
      </c>
      <c r="V123">
        <f>SUM($R$2:R123)</f>
        <v>18173.101599257683</v>
      </c>
      <c r="W123">
        <f t="shared" si="28"/>
        <v>38.318858008808846</v>
      </c>
      <c r="Z123">
        <f t="shared" si="22"/>
        <v>1.0863078334830227E-3</v>
      </c>
      <c r="AA123" s="3">
        <v>0.3</v>
      </c>
      <c r="AB123">
        <f t="shared" si="15"/>
        <v>1455265.8260761525</v>
      </c>
      <c r="AC123">
        <f t="shared" si="21"/>
        <v>261169.82570043619</v>
      </c>
      <c r="AD123" s="3">
        <v>0.2</v>
      </c>
      <c r="AE123">
        <f t="shared" si="16"/>
        <v>52233.965140087239</v>
      </c>
      <c r="AF123">
        <f t="shared" si="17"/>
        <v>1</v>
      </c>
    </row>
    <row r="124" spans="1:32" x14ac:dyDescent="0.3">
      <c r="A124" s="2">
        <v>123</v>
      </c>
      <c r="B124">
        <f t="shared" si="23"/>
        <v>11959.090968139963</v>
      </c>
      <c r="C124" s="3">
        <v>0.08</v>
      </c>
      <c r="D124">
        <f t="shared" si="24"/>
        <v>84431.18223506819</v>
      </c>
      <c r="Q124">
        <f t="shared" si="25"/>
        <v>84431.182235068671</v>
      </c>
      <c r="R124">
        <f t="shared" si="26"/>
        <v>385.63085817414793</v>
      </c>
      <c r="S124">
        <f t="shared" si="27"/>
        <v>471506.12764867343</v>
      </c>
      <c r="T124" s="3">
        <v>0.08</v>
      </c>
      <c r="V124">
        <f>SUM($R$2:R124)</f>
        <v>18558.73245743183</v>
      </c>
      <c r="W124">
        <f t="shared" si="28"/>
        <v>39.131979204301082</v>
      </c>
      <c r="Z124">
        <f t="shared" si="22"/>
        <v>1.0058405865583544E-3</v>
      </c>
      <c r="AA124" s="3">
        <v>0.3</v>
      </c>
      <c r="AB124">
        <f t="shared" si="15"/>
        <v>1571687.0921622447</v>
      </c>
      <c r="AC124">
        <f t="shared" si="21"/>
        <v>276840.0152424624</v>
      </c>
      <c r="AD124" s="3">
        <v>0.2</v>
      </c>
      <c r="AE124">
        <f t="shared" si="16"/>
        <v>55368.003048492479</v>
      </c>
      <c r="AF124">
        <f t="shared" si="17"/>
        <v>1</v>
      </c>
    </row>
    <row r="125" spans="1:32" x14ac:dyDescent="0.3">
      <c r="A125" s="2">
        <v>124</v>
      </c>
      <c r="B125">
        <f t="shared" si="23"/>
        <v>12915.818245591159</v>
      </c>
      <c r="C125" s="3">
        <v>0.08</v>
      </c>
      <c r="D125">
        <f t="shared" si="24"/>
        <v>91185.676813873652</v>
      </c>
      <c r="Q125">
        <f t="shared" si="25"/>
        <v>91185.676813874161</v>
      </c>
      <c r="R125">
        <f t="shared" si="26"/>
        <v>392.90691210196206</v>
      </c>
      <c r="S125">
        <f t="shared" si="27"/>
        <v>509226.61786056735</v>
      </c>
      <c r="T125" s="3">
        <v>0.08</v>
      </c>
      <c r="V125">
        <f>SUM($R$2:R125)</f>
        <v>18951.639369533794</v>
      </c>
      <c r="W125">
        <f t="shared" si="28"/>
        <v>39.96044230914223</v>
      </c>
      <c r="Z125">
        <f t="shared" si="22"/>
        <v>9.3133387644292063E-4</v>
      </c>
      <c r="AA125" s="3">
        <v>0.3</v>
      </c>
      <c r="AB125">
        <f t="shared" si="15"/>
        <v>1697422.0595352245</v>
      </c>
      <c r="AC125">
        <f t="shared" si="21"/>
        <v>293450.41615701013</v>
      </c>
      <c r="AD125" s="3">
        <v>0.2</v>
      </c>
      <c r="AE125">
        <f t="shared" si="16"/>
        <v>58690.08323140203</v>
      </c>
      <c r="AF125">
        <f t="shared" si="17"/>
        <v>1</v>
      </c>
    </row>
    <row r="126" spans="1:32" x14ac:dyDescent="0.3">
      <c r="A126" s="2">
        <v>125</v>
      </c>
      <c r="B126">
        <f t="shared" si="23"/>
        <v>13949.083705238452</v>
      </c>
      <c r="C126" s="3">
        <v>0.08</v>
      </c>
      <c r="D126">
        <f t="shared" si="24"/>
        <v>98480.530958983538</v>
      </c>
      <c r="Q126">
        <f t="shared" si="25"/>
        <v>98480.530958984091</v>
      </c>
      <c r="R126">
        <f t="shared" si="26"/>
        <v>400.32025006615009</v>
      </c>
      <c r="S126">
        <f t="shared" si="27"/>
        <v>549964.74728941277</v>
      </c>
      <c r="T126" s="3">
        <v>0.08</v>
      </c>
      <c r="V126">
        <f>SUM($R$2:R126)</f>
        <v>19351.959619599944</v>
      </c>
      <c r="W126">
        <f t="shared" si="28"/>
        <v>40.804536793320004</v>
      </c>
      <c r="Z126">
        <f t="shared" si="22"/>
        <v>8.623461818915931E-4</v>
      </c>
      <c r="AA126" s="3">
        <v>0.3</v>
      </c>
      <c r="AB126">
        <f t="shared" si="15"/>
        <v>1833215.8242980426</v>
      </c>
      <c r="AC126">
        <f t="shared" si="21"/>
        <v>311057.44112643076</v>
      </c>
      <c r="AD126" s="3">
        <v>0.2</v>
      </c>
      <c r="AE126">
        <f t="shared" si="16"/>
        <v>62211.488225286157</v>
      </c>
      <c r="AF126">
        <f t="shared" si="17"/>
        <v>1</v>
      </c>
    </row>
    <row r="127" spans="1:32" x14ac:dyDescent="0.3">
      <c r="A127" s="2">
        <v>126</v>
      </c>
      <c r="B127">
        <f t="shared" si="23"/>
        <v>15065.010401657528</v>
      </c>
      <c r="C127" s="3">
        <v>0.08</v>
      </c>
      <c r="D127">
        <f t="shared" si="24"/>
        <v>106358.97343570222</v>
      </c>
      <c r="Q127">
        <f t="shared" si="25"/>
        <v>106358.97343570284</v>
      </c>
      <c r="R127">
        <f t="shared" si="26"/>
        <v>407.87346233154904</v>
      </c>
      <c r="S127">
        <f t="shared" si="27"/>
        <v>593961.92707256589</v>
      </c>
      <c r="T127" s="3">
        <v>0.08</v>
      </c>
      <c r="V127">
        <f>SUM($R$2:R127)</f>
        <v>19759.833081931494</v>
      </c>
      <c r="W127">
        <f t="shared" si="28"/>
        <v>41.664557588519997</v>
      </c>
      <c r="Z127">
        <f t="shared" si="22"/>
        <v>7.9846868693666021E-4</v>
      </c>
      <c r="AA127" s="3">
        <v>0.3</v>
      </c>
      <c r="AB127">
        <f t="shared" si="15"/>
        <v>1979873.0902418864</v>
      </c>
      <c r="AC127">
        <f t="shared" si="21"/>
        <v>329720.88759401662</v>
      </c>
      <c r="AD127" s="3">
        <v>0.2</v>
      </c>
      <c r="AE127">
        <f t="shared" si="16"/>
        <v>65944.177518803321</v>
      </c>
      <c r="AF127">
        <f t="shared" si="17"/>
        <v>1</v>
      </c>
    </row>
    <row r="128" spans="1:32" x14ac:dyDescent="0.3">
      <c r="A128" s="2">
        <v>127</v>
      </c>
      <c r="B128">
        <f t="shared" si="23"/>
        <v>16270.211233790131</v>
      </c>
      <c r="C128" s="3">
        <v>0.08</v>
      </c>
      <c r="D128">
        <f t="shared" si="24"/>
        <v>114867.69131055841</v>
      </c>
      <c r="Q128">
        <f t="shared" si="25"/>
        <v>114867.69131055908</v>
      </c>
      <c r="R128">
        <f t="shared" si="26"/>
        <v>415.56918803591799</v>
      </c>
      <c r="S128">
        <f t="shared" si="27"/>
        <v>641478.88123837125</v>
      </c>
      <c r="T128" s="3">
        <v>0.08</v>
      </c>
      <c r="V128">
        <f>SUM($R$2:R128)</f>
        <v>20175.402269967413</v>
      </c>
      <c r="W128">
        <f t="shared" si="28"/>
        <v>42.540805191176595</v>
      </c>
      <c r="Z128">
        <f t="shared" si="22"/>
        <v>7.393228582746852E-4</v>
      </c>
      <c r="AA128" s="3">
        <v>0.3</v>
      </c>
      <c r="AB128">
        <f t="shared" si="15"/>
        <v>2138262.9374612374</v>
      </c>
      <c r="AC128">
        <f t="shared" si="21"/>
        <v>349504.14084965765</v>
      </c>
      <c r="AD128" s="3">
        <v>0.2</v>
      </c>
      <c r="AE128">
        <f t="shared" si="16"/>
        <v>69900.828169931527</v>
      </c>
      <c r="AF128">
        <f t="shared" si="17"/>
        <v>1</v>
      </c>
    </row>
    <row r="129" spans="1:32" x14ac:dyDescent="0.3">
      <c r="A129" s="2">
        <v>128</v>
      </c>
      <c r="B129">
        <f t="shared" si="23"/>
        <v>17571.828132493341</v>
      </c>
      <c r="C129" s="3">
        <v>0.08</v>
      </c>
      <c r="D129">
        <f t="shared" si="24"/>
        <v>124057.10661540309</v>
      </c>
      <c r="Q129">
        <f t="shared" si="25"/>
        <v>124057.10661540383</v>
      </c>
      <c r="R129">
        <f t="shared" si="26"/>
        <v>423.41011611206733</v>
      </c>
      <c r="S129">
        <f t="shared" si="27"/>
        <v>692797.191737441</v>
      </c>
      <c r="T129" s="3">
        <v>0.08</v>
      </c>
      <c r="V129">
        <f>SUM($R$2:R129)</f>
        <v>20598.81238607948</v>
      </c>
      <c r="W129">
        <f t="shared" si="28"/>
        <v>43.433585767468223</v>
      </c>
      <c r="Z129">
        <f t="shared" si="22"/>
        <v>6.8455820210619001E-4</v>
      </c>
      <c r="AA129" s="3">
        <v>0.3</v>
      </c>
      <c r="AB129">
        <f t="shared" si="15"/>
        <v>2309323.9724581367</v>
      </c>
      <c r="AC129">
        <f t="shared" si="21"/>
        <v>370474.38930063712</v>
      </c>
      <c r="AD129" s="3">
        <v>0.2</v>
      </c>
      <c r="AE129">
        <f t="shared" si="16"/>
        <v>74094.877860127424</v>
      </c>
      <c r="AF129">
        <f t="shared" si="17"/>
        <v>1</v>
      </c>
    </row>
    <row r="130" spans="1:32" x14ac:dyDescent="0.3">
      <c r="A130" s="2">
        <v>129</v>
      </c>
      <c r="B130">
        <f t="shared" si="23"/>
        <v>18977.574383092808</v>
      </c>
      <c r="C130" s="3">
        <v>0.08</v>
      </c>
      <c r="D130">
        <f t="shared" si="24"/>
        <v>133981.67514463534</v>
      </c>
      <c r="Q130">
        <f t="shared" si="25"/>
        <v>133981.67514463613</v>
      </c>
      <c r="R130">
        <f t="shared" si="26"/>
        <v>431.39898622738957</v>
      </c>
      <c r="S130">
        <f t="shared" si="27"/>
        <v>748220.96707643638</v>
      </c>
      <c r="T130" s="3">
        <v>0.08</v>
      </c>
      <c r="V130">
        <f>SUM($R$2:R130)</f>
        <v>21030.211372306869</v>
      </c>
      <c r="W130">
        <f t="shared" si="28"/>
        <v>44.343211260293657</v>
      </c>
      <c r="Z130">
        <f t="shared" si="22"/>
        <v>6.3385018713536096E-4</v>
      </c>
      <c r="AA130" s="3">
        <v>0.3</v>
      </c>
      <c r="AB130">
        <f t="shared" si="15"/>
        <v>2494069.8902547881</v>
      </c>
      <c r="AC130">
        <f t="shared" si="21"/>
        <v>392702.85265867534</v>
      </c>
      <c r="AD130" s="3">
        <v>0.2</v>
      </c>
      <c r="AE130">
        <f t="shared" si="16"/>
        <v>78540.570531735066</v>
      </c>
      <c r="AF130">
        <f t="shared" si="17"/>
        <v>1</v>
      </c>
    </row>
    <row r="131" spans="1:32" x14ac:dyDescent="0.3">
      <c r="A131" s="2">
        <v>130</v>
      </c>
      <c r="B131">
        <f t="shared" si="23"/>
        <v>20495.780333740233</v>
      </c>
      <c r="C131" s="3">
        <v>0.08</v>
      </c>
      <c r="D131">
        <f t="shared" si="24"/>
        <v>144700.20915620617</v>
      </c>
      <c r="Q131">
        <f t="shared" si="25"/>
        <v>144700.20915620704</v>
      </c>
      <c r="R131">
        <f t="shared" si="26"/>
        <v>439.53858974111381</v>
      </c>
      <c r="S131">
        <f t="shared" si="27"/>
        <v>808078.6444425513</v>
      </c>
      <c r="T131" s="3">
        <v>0.08</v>
      </c>
      <c r="V131">
        <f>SUM($R$2:R131)</f>
        <v>21469.749962047983</v>
      </c>
      <c r="W131">
        <f t="shared" si="28"/>
        <v>45.269999498266742</v>
      </c>
      <c r="Z131">
        <f t="shared" si="22"/>
        <v>5.8689832142163061E-4</v>
      </c>
      <c r="AA131" s="3">
        <v>0.3</v>
      </c>
      <c r="AB131">
        <f t="shared" ref="AB131:AB194" si="29">S131/AA131</f>
        <v>2693595.4814751712</v>
      </c>
      <c r="AC131">
        <f t="shared" si="21"/>
        <v>416265.02381819586</v>
      </c>
      <c r="AD131" s="3">
        <v>0.2</v>
      </c>
      <c r="AE131">
        <f t="shared" ref="AE131:AE194" si="30">AC131*AD131</f>
        <v>83253.004763639183</v>
      </c>
      <c r="AF131">
        <f t="shared" ref="AF131:AF194" si="31">IF(AB131&gt;AE131, 1, 0)</f>
        <v>1</v>
      </c>
    </row>
    <row r="132" spans="1:32" x14ac:dyDescent="0.3">
      <c r="A132" s="2">
        <v>131</v>
      </c>
      <c r="B132">
        <f t="shared" si="23"/>
        <v>22135.442760439451</v>
      </c>
      <c r="C132" s="3">
        <v>0.08</v>
      </c>
      <c r="D132">
        <f t="shared" si="24"/>
        <v>156276.22588870267</v>
      </c>
      <c r="Q132">
        <f t="shared" si="25"/>
        <v>156276.2258887036</v>
      </c>
      <c r="R132">
        <f t="shared" si="26"/>
        <v>447.83177067962544</v>
      </c>
      <c r="S132">
        <f t="shared" si="27"/>
        <v>872724.9359979555</v>
      </c>
      <c r="T132" s="3">
        <v>0.08</v>
      </c>
      <c r="V132">
        <f>SUM($R$2:R132)</f>
        <v>21917.581732727609</v>
      </c>
      <c r="W132">
        <f t="shared" si="28"/>
        <v>46.214274306767614</v>
      </c>
      <c r="Z132">
        <f t="shared" si="22"/>
        <v>5.4342437168669491E-4</v>
      </c>
      <c r="AA132" s="3">
        <v>0.3</v>
      </c>
      <c r="AB132">
        <f t="shared" si="29"/>
        <v>2909083.1199931852</v>
      </c>
      <c r="AC132">
        <f t="shared" ref="AC132:AC195" si="32">AC131*(1+$U$2)</f>
        <v>441240.92524728761</v>
      </c>
      <c r="AD132" s="3">
        <v>0.2</v>
      </c>
      <c r="AE132">
        <f t="shared" si="30"/>
        <v>88248.185049457534</v>
      </c>
      <c r="AF132">
        <f t="shared" si="31"/>
        <v>1</v>
      </c>
    </row>
    <row r="133" spans="1:32" x14ac:dyDescent="0.3">
      <c r="A133" s="2">
        <v>132</v>
      </c>
      <c r="B133">
        <f t="shared" si="23"/>
        <v>23906.278181274607</v>
      </c>
      <c r="C133" s="3">
        <v>0.08</v>
      </c>
      <c r="D133">
        <f t="shared" si="24"/>
        <v>168778.32395979887</v>
      </c>
      <c r="Q133">
        <f t="shared" si="25"/>
        <v>168778.32395979989</v>
      </c>
      <c r="R133">
        <f t="shared" si="26"/>
        <v>456.28142673018436</v>
      </c>
      <c r="S133">
        <f t="shared" si="27"/>
        <v>942542.93087779195</v>
      </c>
      <c r="T133" s="3">
        <v>0.08</v>
      </c>
      <c r="V133">
        <f>SUM($R$2:R133)</f>
        <v>22373.863159457793</v>
      </c>
      <c r="W133">
        <f t="shared" si="28"/>
        <v>47.176365621089261</v>
      </c>
      <c r="Z133">
        <f t="shared" si="22"/>
        <v>5.0317071452471755E-4</v>
      </c>
      <c r="AA133" s="3">
        <v>0.3</v>
      </c>
      <c r="AB133">
        <f t="shared" si="29"/>
        <v>3141809.76959264</v>
      </c>
      <c r="AC133">
        <f t="shared" si="32"/>
        <v>467715.3807621249</v>
      </c>
      <c r="AD133" s="3">
        <v>0.2</v>
      </c>
      <c r="AE133">
        <f t="shared" si="30"/>
        <v>93543.076152424983</v>
      </c>
      <c r="AF133">
        <f t="shared" si="31"/>
        <v>1</v>
      </c>
    </row>
    <row r="134" spans="1:32" x14ac:dyDescent="0.3">
      <c r="A134" s="2">
        <v>133</v>
      </c>
      <c r="B134">
        <f t="shared" si="23"/>
        <v>25818.780435776574</v>
      </c>
      <c r="C134" s="3">
        <v>0.08</v>
      </c>
      <c r="D134">
        <f t="shared" si="24"/>
        <v>182280.58987658279</v>
      </c>
      <c r="Q134">
        <f t="shared" si="25"/>
        <v>182280.58987658392</v>
      </c>
      <c r="R134">
        <f t="shared" si="26"/>
        <v>464.89051025339541</v>
      </c>
      <c r="S134">
        <f t="shared" si="27"/>
        <v>1017946.3653480153</v>
      </c>
      <c r="T134" s="3">
        <v>0.08</v>
      </c>
      <c r="V134">
        <f>SUM($R$2:R134)</f>
        <v>22838.753669711186</v>
      </c>
      <c r="W134">
        <f t="shared" si="28"/>
        <v>48.156609601718863</v>
      </c>
      <c r="Z134">
        <f t="shared" si="22"/>
        <v>4.6589880974510876E-4</v>
      </c>
      <c r="AA134" s="3">
        <v>0.3</v>
      </c>
      <c r="AB134">
        <f t="shared" si="29"/>
        <v>3393154.551160051</v>
      </c>
      <c r="AC134">
        <f t="shared" si="32"/>
        <v>495778.30360785243</v>
      </c>
      <c r="AD134" s="3">
        <v>0.2</v>
      </c>
      <c r="AE134">
        <f t="shared" si="30"/>
        <v>99155.660721570486</v>
      </c>
      <c r="AF134">
        <f t="shared" si="31"/>
        <v>1</v>
      </c>
    </row>
    <row r="135" spans="1:32" x14ac:dyDescent="0.3">
      <c r="A135" s="2">
        <v>134</v>
      </c>
      <c r="B135">
        <f t="shared" si="23"/>
        <v>27884.282870638701</v>
      </c>
      <c r="C135" s="3">
        <v>0.08</v>
      </c>
      <c r="D135">
        <f t="shared" si="24"/>
        <v>196863.03706670942</v>
      </c>
      <c r="Q135">
        <f t="shared" si="25"/>
        <v>196863.03706671062</v>
      </c>
      <c r="R135">
        <f t="shared" si="26"/>
        <v>473.66202931478023</v>
      </c>
      <c r="S135">
        <f t="shared" si="27"/>
        <v>1099382.0745758566</v>
      </c>
      <c r="T135" s="3">
        <v>0.08</v>
      </c>
      <c r="V135">
        <f>SUM($R$2:R135)</f>
        <v>23312.415699025965</v>
      </c>
      <c r="W135">
        <f t="shared" si="28"/>
        <v>49.1553487517943</v>
      </c>
      <c r="Z135">
        <f t="shared" si="22"/>
        <v>4.3138778680102666E-4</v>
      </c>
      <c r="AA135" s="3">
        <v>0.3</v>
      </c>
      <c r="AB135">
        <f t="shared" si="29"/>
        <v>3664606.9152528555</v>
      </c>
      <c r="AC135">
        <f t="shared" si="32"/>
        <v>525525.00182432355</v>
      </c>
      <c r="AD135" s="3">
        <v>0.2</v>
      </c>
      <c r="AE135">
        <f t="shared" si="30"/>
        <v>105105.00036486471</v>
      </c>
      <c r="AF135">
        <f t="shared" si="31"/>
        <v>1</v>
      </c>
    </row>
    <row r="136" spans="1:32" x14ac:dyDescent="0.3">
      <c r="A136" s="2">
        <v>135</v>
      </c>
      <c r="B136">
        <f t="shared" si="23"/>
        <v>30115.025500289797</v>
      </c>
      <c r="C136" s="3">
        <v>0.08</v>
      </c>
      <c r="D136">
        <f t="shared" si="24"/>
        <v>212612.08003204619</v>
      </c>
      <c r="Q136">
        <f t="shared" si="25"/>
        <v>212612.0800320475</v>
      </c>
      <c r="R136">
        <f t="shared" si="26"/>
        <v>482.59904873581371</v>
      </c>
      <c r="S136">
        <f t="shared" si="27"/>
        <v>1187332.6405419251</v>
      </c>
      <c r="T136" s="3">
        <v>0.08</v>
      </c>
      <c r="V136">
        <f>SUM($R$2:R136)</f>
        <v>23795.014747761779</v>
      </c>
      <c r="W136">
        <f t="shared" si="28"/>
        <v>50.172932036776828</v>
      </c>
      <c r="Z136">
        <f t="shared" si="22"/>
        <v>3.9943313592687651E-4</v>
      </c>
      <c r="AA136" s="3">
        <v>0.3</v>
      </c>
      <c r="AB136">
        <f t="shared" si="29"/>
        <v>3957775.4684730838</v>
      </c>
      <c r="AC136">
        <f t="shared" si="32"/>
        <v>557056.50193378294</v>
      </c>
      <c r="AD136" s="3">
        <v>0.2</v>
      </c>
      <c r="AE136">
        <f t="shared" si="30"/>
        <v>111411.3003867566</v>
      </c>
      <c r="AF136">
        <f t="shared" si="31"/>
        <v>1</v>
      </c>
    </row>
    <row r="137" spans="1:32" x14ac:dyDescent="0.3">
      <c r="A137" s="2">
        <v>136</v>
      </c>
      <c r="B137">
        <f t="shared" si="23"/>
        <v>32524.227540312982</v>
      </c>
      <c r="C137" s="3">
        <v>0.08</v>
      </c>
      <c r="D137">
        <f t="shared" si="24"/>
        <v>229621.04643460989</v>
      </c>
      <c r="Q137">
        <f t="shared" si="25"/>
        <v>229621.04643461131</v>
      </c>
      <c r="R137">
        <f t="shared" si="26"/>
        <v>491.70469116479137</v>
      </c>
      <c r="S137">
        <f t="shared" si="27"/>
        <v>1282319.2517852793</v>
      </c>
      <c r="T137" s="3">
        <v>0.08</v>
      </c>
      <c r="V137">
        <f>SUM($R$2:R137)</f>
        <v>24286.719438926571</v>
      </c>
      <c r="W137">
        <f t="shared" si="28"/>
        <v>51.209715006381671</v>
      </c>
      <c r="Z137">
        <f t="shared" si="22"/>
        <v>3.6984549622858935E-4</v>
      </c>
      <c r="AA137" s="3">
        <v>0.3</v>
      </c>
      <c r="AB137">
        <f t="shared" si="29"/>
        <v>4274397.5059509315</v>
      </c>
      <c r="AC137">
        <f t="shared" si="32"/>
        <v>590479.89204980992</v>
      </c>
      <c r="AD137" s="3">
        <v>0.2</v>
      </c>
      <c r="AE137">
        <f t="shared" si="30"/>
        <v>118095.97840996199</v>
      </c>
      <c r="AF137">
        <f t="shared" si="31"/>
        <v>1</v>
      </c>
    </row>
    <row r="138" spans="1:32" x14ac:dyDescent="0.3">
      <c r="A138" s="2">
        <v>137</v>
      </c>
      <c r="B138">
        <f t="shared" si="23"/>
        <v>35126.165743538018</v>
      </c>
      <c r="C138" s="3">
        <v>0.08</v>
      </c>
      <c r="D138">
        <f t="shared" si="24"/>
        <v>247990.73014937868</v>
      </c>
      <c r="Q138">
        <f t="shared" si="25"/>
        <v>247990.73014938019</v>
      </c>
      <c r="R138">
        <f t="shared" si="26"/>
        <v>500.98213816790076</v>
      </c>
      <c r="S138">
        <f t="shared" si="27"/>
        <v>1384904.7919281018</v>
      </c>
      <c r="T138" s="3">
        <v>0.08</v>
      </c>
      <c r="V138">
        <f>SUM($R$2:R138)</f>
        <v>24787.701577094471</v>
      </c>
      <c r="W138">
        <f t="shared" si="28"/>
        <v>52.266059918809241</v>
      </c>
      <c r="Z138">
        <f t="shared" si="22"/>
        <v>3.4244953354499008E-4</v>
      </c>
      <c r="AA138" s="3">
        <v>0.3</v>
      </c>
      <c r="AB138">
        <f t="shared" si="29"/>
        <v>4616349.3064270066</v>
      </c>
      <c r="AC138">
        <f t="shared" si="32"/>
        <v>625908.6855727986</v>
      </c>
      <c r="AD138" s="3">
        <v>0.2</v>
      </c>
      <c r="AE138">
        <f t="shared" si="30"/>
        <v>125181.73711455973</v>
      </c>
      <c r="AF138">
        <f t="shared" si="31"/>
        <v>1</v>
      </c>
    </row>
    <row r="139" spans="1:32" x14ac:dyDescent="0.3">
      <c r="A139" s="2">
        <v>138</v>
      </c>
      <c r="B139">
        <f t="shared" si="23"/>
        <v>37936.259003021063</v>
      </c>
      <c r="C139" s="3">
        <v>0.08</v>
      </c>
      <c r="D139">
        <f t="shared" si="24"/>
        <v>267829.98856132897</v>
      </c>
      <c r="Q139">
        <f t="shared" si="25"/>
        <v>267829.98856133065</v>
      </c>
      <c r="R139">
        <f t="shared" si="26"/>
        <v>510.43463134088006</v>
      </c>
      <c r="S139">
        <f t="shared" si="27"/>
        <v>1495697.17528235</v>
      </c>
      <c r="T139" s="3">
        <v>0.08</v>
      </c>
      <c r="V139">
        <f>SUM($R$2:R139)</f>
        <v>25298.13620843535</v>
      </c>
      <c r="W139">
        <f t="shared" si="28"/>
        <v>53.342335867320351</v>
      </c>
      <c r="Z139">
        <f t="shared" si="22"/>
        <v>3.1708290143054636E-4</v>
      </c>
      <c r="AA139" s="3">
        <v>0.3</v>
      </c>
      <c r="AB139">
        <f t="shared" si="29"/>
        <v>4985657.2509411667</v>
      </c>
      <c r="AC139">
        <f t="shared" si="32"/>
        <v>663463.20670716651</v>
      </c>
      <c r="AD139" s="3">
        <v>0.2</v>
      </c>
      <c r="AE139">
        <f t="shared" si="30"/>
        <v>132692.64134143331</v>
      </c>
      <c r="AF139">
        <f t="shared" si="31"/>
        <v>1</v>
      </c>
    </row>
    <row r="140" spans="1:32" x14ac:dyDescent="0.3">
      <c r="A140" s="2">
        <v>139</v>
      </c>
      <c r="B140">
        <f t="shared" si="23"/>
        <v>40971.159723262746</v>
      </c>
      <c r="C140" s="3">
        <v>0.08</v>
      </c>
      <c r="D140">
        <f t="shared" si="24"/>
        <v>289256.38764623529</v>
      </c>
      <c r="Q140">
        <f t="shared" si="25"/>
        <v>289256.38764623716</v>
      </c>
      <c r="R140">
        <f t="shared" si="26"/>
        <v>520.06547344165131</v>
      </c>
      <c r="S140">
        <f t="shared" si="27"/>
        <v>1615352.9493049381</v>
      </c>
      <c r="T140" s="3">
        <v>0.08</v>
      </c>
      <c r="V140">
        <f>SUM($R$2:R140)</f>
        <v>25818.201681877003</v>
      </c>
      <c r="W140">
        <f t="shared" si="28"/>
        <v>54.4389189091996</v>
      </c>
      <c r="Z140">
        <f t="shared" si="22"/>
        <v>2.9359527910235772E-4</v>
      </c>
      <c r="AA140" s="3">
        <v>0.3</v>
      </c>
      <c r="AB140">
        <f t="shared" si="29"/>
        <v>5384509.8310164604</v>
      </c>
      <c r="AC140">
        <f t="shared" si="32"/>
        <v>703270.99910959648</v>
      </c>
      <c r="AD140" s="3">
        <v>0.2</v>
      </c>
      <c r="AE140">
        <f t="shared" si="30"/>
        <v>140654.19982191929</v>
      </c>
      <c r="AF140">
        <f t="shared" si="31"/>
        <v>1</v>
      </c>
    </row>
    <row r="141" spans="1:32" x14ac:dyDescent="0.3">
      <c r="A141" s="2">
        <v>140</v>
      </c>
      <c r="B141">
        <f t="shared" si="23"/>
        <v>44248.852501123765</v>
      </c>
      <c r="C141" s="3">
        <v>0.08</v>
      </c>
      <c r="D141">
        <f t="shared" si="24"/>
        <v>312396.8986579341</v>
      </c>
      <c r="Q141">
        <f t="shared" si="25"/>
        <v>312396.89865793608</v>
      </c>
      <c r="R141">
        <f t="shared" si="26"/>
        <v>529.87802954432402</v>
      </c>
      <c r="S141">
        <f t="shared" si="27"/>
        <v>1744581.1852493333</v>
      </c>
      <c r="T141" s="3">
        <v>0.08</v>
      </c>
      <c r="V141">
        <f>SUM($R$2:R141)</f>
        <v>26348.079711421327</v>
      </c>
      <c r="W141">
        <f t="shared" si="28"/>
        <v>55.556192197152043</v>
      </c>
      <c r="Z141">
        <f t="shared" si="22"/>
        <v>2.718474806503312E-4</v>
      </c>
      <c r="AA141" s="3">
        <v>0.3</v>
      </c>
      <c r="AB141">
        <f t="shared" si="29"/>
        <v>5815270.6174977776</v>
      </c>
      <c r="AC141">
        <f t="shared" si="32"/>
        <v>745467.25905617233</v>
      </c>
      <c r="AD141" s="3">
        <v>0.2</v>
      </c>
      <c r="AE141">
        <f t="shared" si="30"/>
        <v>149093.45181123447</v>
      </c>
      <c r="AF141">
        <f t="shared" si="31"/>
        <v>1</v>
      </c>
    </row>
    <row r="142" spans="1:32" x14ac:dyDescent="0.3">
      <c r="A142" s="2">
        <v>141</v>
      </c>
      <c r="B142">
        <f t="shared" si="23"/>
        <v>47788.760701213665</v>
      </c>
      <c r="C142" s="3">
        <v>0.08</v>
      </c>
      <c r="D142">
        <f t="shared" si="24"/>
        <v>337388.65055056883</v>
      </c>
      <c r="Q142">
        <f t="shared" si="25"/>
        <v>337388.65055057098</v>
      </c>
      <c r="R142">
        <f t="shared" si="26"/>
        <v>539.87572821497156</v>
      </c>
      <c r="S142">
        <f t="shared" si="27"/>
        <v>1884147.6800692801</v>
      </c>
      <c r="T142" s="3">
        <v>0.08</v>
      </c>
      <c r="V142">
        <f>SUM($R$2:R142)</f>
        <v>26887.955439636298</v>
      </c>
      <c r="W142">
        <f t="shared" si="28"/>
        <v>56.694546113179058</v>
      </c>
      <c r="Z142">
        <f t="shared" si="22"/>
        <v>2.5171063023178813E-4</v>
      </c>
      <c r="AA142" s="3">
        <v>0.3</v>
      </c>
      <c r="AB142">
        <f t="shared" si="29"/>
        <v>6280492.2668976001</v>
      </c>
      <c r="AC142">
        <f t="shared" si="32"/>
        <v>790195.29459954274</v>
      </c>
      <c r="AD142" s="3">
        <v>0.2</v>
      </c>
      <c r="AE142">
        <f t="shared" si="30"/>
        <v>158039.05891990857</v>
      </c>
      <c r="AF142">
        <f t="shared" si="31"/>
        <v>1</v>
      </c>
    </row>
    <row r="143" spans="1:32" x14ac:dyDescent="0.3">
      <c r="A143" s="2">
        <v>142</v>
      </c>
      <c r="B143">
        <f t="shared" si="23"/>
        <v>51611.86155731076</v>
      </c>
      <c r="C143" s="3">
        <v>0.08</v>
      </c>
      <c r="D143">
        <f t="shared" si="24"/>
        <v>364379.74259461433</v>
      </c>
      <c r="Q143">
        <f t="shared" si="25"/>
        <v>364379.74259461666</v>
      </c>
      <c r="R143">
        <f t="shared" si="26"/>
        <v>550.06206270959376</v>
      </c>
      <c r="S143">
        <f t="shared" si="27"/>
        <v>2034879.4944748227</v>
      </c>
      <c r="T143" s="3">
        <v>0.08</v>
      </c>
      <c r="V143">
        <f>SUM($R$2:R143)</f>
        <v>27438.017502345891</v>
      </c>
      <c r="W143">
        <f t="shared" si="28"/>
        <v>57.85437840498016</v>
      </c>
      <c r="Z143">
        <f t="shared" ref="Z143:Z201" si="33">$W$2/S143</f>
        <v>2.3306539836276676E-4</v>
      </c>
      <c r="AA143" s="3">
        <v>0.3</v>
      </c>
      <c r="AB143">
        <f t="shared" si="29"/>
        <v>6782931.6482494092</v>
      </c>
      <c r="AC143">
        <f t="shared" si="32"/>
        <v>837607.01227551536</v>
      </c>
      <c r="AD143" s="3">
        <v>0.2</v>
      </c>
      <c r="AE143">
        <f t="shared" si="30"/>
        <v>167521.40245510309</v>
      </c>
      <c r="AF143">
        <f t="shared" si="31"/>
        <v>1</v>
      </c>
    </row>
    <row r="144" spans="1:32" x14ac:dyDescent="0.3">
      <c r="A144" s="2">
        <v>143</v>
      </c>
      <c r="B144">
        <f t="shared" si="23"/>
        <v>55740.81048189562</v>
      </c>
      <c r="C144" s="3">
        <v>0.08</v>
      </c>
      <c r="D144">
        <f t="shared" si="24"/>
        <v>393530.12200218346</v>
      </c>
      <c r="Q144">
        <f t="shared" si="25"/>
        <v>393530.12200218608</v>
      </c>
      <c r="R144">
        <f t="shared" si="26"/>
        <v>560.44059219468033</v>
      </c>
      <c r="S144">
        <f t="shared" si="27"/>
        <v>2197669.8540328084</v>
      </c>
      <c r="T144" s="3">
        <v>0.08</v>
      </c>
      <c r="V144">
        <f>SUM($R$2:R144)</f>
        <v>27998.458094540572</v>
      </c>
      <c r="W144">
        <f t="shared" si="28"/>
        <v>59.036094324928463</v>
      </c>
      <c r="Z144">
        <f t="shared" si="33"/>
        <v>2.158012947803396E-4</v>
      </c>
      <c r="AA144" s="3">
        <v>0.3</v>
      </c>
      <c r="AB144">
        <f t="shared" si="29"/>
        <v>7325566.1801093621</v>
      </c>
      <c r="AC144">
        <f t="shared" si="32"/>
        <v>887863.43301204627</v>
      </c>
      <c r="AD144" s="3">
        <v>0.2</v>
      </c>
      <c r="AE144">
        <f t="shared" si="30"/>
        <v>177572.68660240926</v>
      </c>
      <c r="AF144">
        <f t="shared" si="31"/>
        <v>1</v>
      </c>
    </row>
    <row r="145" spans="1:32" x14ac:dyDescent="0.3">
      <c r="A145" s="2">
        <v>144</v>
      </c>
      <c r="B145">
        <f t="shared" si="23"/>
        <v>60200.075320447271</v>
      </c>
      <c r="C145" s="3">
        <v>0.08</v>
      </c>
      <c r="D145">
        <f t="shared" si="24"/>
        <v>425012.53176235815</v>
      </c>
      <c r="Q145">
        <f t="shared" si="25"/>
        <v>425012.531762361</v>
      </c>
      <c r="R145">
        <f t="shared" si="26"/>
        <v>571.01494299080628</v>
      </c>
      <c r="S145">
        <f t="shared" si="27"/>
        <v>2373483.4423554335</v>
      </c>
      <c r="T145" s="3">
        <v>0.08</v>
      </c>
      <c r="V145">
        <f>SUM($R$2:R145)</f>
        <v>28569.473037531377</v>
      </c>
      <c r="W145">
        <f t="shared" si="28"/>
        <v>60.240106771668238</v>
      </c>
      <c r="Z145">
        <f t="shared" si="33"/>
        <v>1.9981601368549961E-4</v>
      </c>
      <c r="AA145" s="3">
        <v>0.3</v>
      </c>
      <c r="AB145">
        <f t="shared" si="29"/>
        <v>7911611.4745181119</v>
      </c>
      <c r="AC145">
        <f t="shared" si="32"/>
        <v>941135.23899276904</v>
      </c>
      <c r="AD145" s="3">
        <v>0.2</v>
      </c>
      <c r="AE145">
        <f t="shared" si="30"/>
        <v>188227.04779855383</v>
      </c>
      <c r="AF145">
        <f t="shared" si="31"/>
        <v>1</v>
      </c>
    </row>
    <row r="146" spans="1:32" x14ac:dyDescent="0.3">
      <c r="A146" s="2">
        <v>145</v>
      </c>
      <c r="B146">
        <f t="shared" si="23"/>
        <v>65016.081346083054</v>
      </c>
      <c r="C146" s="3">
        <v>0.08</v>
      </c>
      <c r="D146">
        <f t="shared" si="24"/>
        <v>459013.53430334682</v>
      </c>
      <c r="Q146">
        <f t="shared" si="25"/>
        <v>459013.53430334991</v>
      </c>
      <c r="R146">
        <f t="shared" si="26"/>
        <v>581.78880983968975</v>
      </c>
      <c r="S146">
        <f t="shared" si="27"/>
        <v>2563362.1177438684</v>
      </c>
      <c r="T146" s="3">
        <v>0.08</v>
      </c>
      <c r="V146">
        <f>SUM($R$2:R146)</f>
        <v>29151.261847371068</v>
      </c>
      <c r="W146">
        <f t="shared" si="28"/>
        <v>61.466836434384241</v>
      </c>
      <c r="Z146">
        <f t="shared" si="33"/>
        <v>1.8501482748657368E-4</v>
      </c>
      <c r="AA146" s="3">
        <v>0.3</v>
      </c>
      <c r="AB146">
        <f t="shared" si="29"/>
        <v>8544540.3924795613</v>
      </c>
      <c r="AC146">
        <f t="shared" si="32"/>
        <v>997603.35333233525</v>
      </c>
      <c r="AD146" s="3">
        <v>0.2</v>
      </c>
      <c r="AE146">
        <f t="shared" si="30"/>
        <v>199520.67066646705</v>
      </c>
      <c r="AF146">
        <f t="shared" si="31"/>
        <v>1</v>
      </c>
    </row>
    <row r="147" spans="1:32" x14ac:dyDescent="0.3">
      <c r="A147" s="2">
        <v>146</v>
      </c>
      <c r="B147">
        <f t="shared" si="23"/>
        <v>70217.367853769698</v>
      </c>
      <c r="C147" s="3">
        <v>0.08</v>
      </c>
      <c r="D147">
        <f t="shared" si="24"/>
        <v>495734.61704761459</v>
      </c>
      <c r="Q147">
        <f t="shared" si="25"/>
        <v>495734.61704761785</v>
      </c>
      <c r="R147">
        <f t="shared" si="26"/>
        <v>592.76595719515547</v>
      </c>
      <c r="S147">
        <f t="shared" si="27"/>
        <v>2768431.087163378</v>
      </c>
      <c r="T147" s="3">
        <v>0.08</v>
      </c>
      <c r="V147">
        <f>SUM($R$2:R147)</f>
        <v>29744.027804566223</v>
      </c>
      <c r="W147">
        <f t="shared" si="28"/>
        <v>62.716711939792994</v>
      </c>
      <c r="Z147">
        <f t="shared" si="33"/>
        <v>1.7131002545053118E-4</v>
      </c>
      <c r="AA147" s="3">
        <v>0.3</v>
      </c>
      <c r="AB147">
        <f t="shared" si="29"/>
        <v>9228103.6238779277</v>
      </c>
      <c r="AC147">
        <f t="shared" si="32"/>
        <v>1057459.5545322753</v>
      </c>
      <c r="AD147" s="3">
        <v>0.2</v>
      </c>
      <c r="AE147">
        <f t="shared" si="30"/>
        <v>211491.91090645507</v>
      </c>
      <c r="AF147">
        <f t="shared" si="31"/>
        <v>1</v>
      </c>
    </row>
    <row r="148" spans="1:32" x14ac:dyDescent="0.3">
      <c r="A148" s="2">
        <v>147</v>
      </c>
      <c r="B148">
        <f t="shared" si="23"/>
        <v>75834.757282071281</v>
      </c>
      <c r="C148" s="3">
        <v>0.08</v>
      </c>
      <c r="D148">
        <f t="shared" si="24"/>
        <v>535393.38641142379</v>
      </c>
      <c r="Q148">
        <f t="shared" si="25"/>
        <v>535393.38641142729</v>
      </c>
      <c r="R148">
        <f t="shared" si="26"/>
        <v>603.95022053846037</v>
      </c>
      <c r="S148">
        <f t="shared" si="27"/>
        <v>2989905.5741364486</v>
      </c>
      <c r="T148" s="3">
        <v>0.08</v>
      </c>
      <c r="V148">
        <f>SUM($R$2:R148)</f>
        <v>30347.978025104683</v>
      </c>
      <c r="W148">
        <f t="shared" si="28"/>
        <v>63.990170001907572</v>
      </c>
      <c r="Z148">
        <f t="shared" si="33"/>
        <v>1.5862039393567699E-4</v>
      </c>
      <c r="AA148" s="3">
        <v>0.3</v>
      </c>
      <c r="AB148">
        <f t="shared" si="29"/>
        <v>9966351.9137881622</v>
      </c>
      <c r="AC148">
        <f t="shared" si="32"/>
        <v>1120907.1278042118</v>
      </c>
      <c r="AD148" s="3">
        <v>0.2</v>
      </c>
      <c r="AE148">
        <f t="shared" si="30"/>
        <v>224181.42556084238</v>
      </c>
      <c r="AF148">
        <f t="shared" si="31"/>
        <v>1</v>
      </c>
    </row>
    <row r="149" spans="1:32" x14ac:dyDescent="0.3">
      <c r="A149" s="2">
        <v>148</v>
      </c>
      <c r="B149">
        <f t="shared" si="23"/>
        <v>81901.537864636979</v>
      </c>
      <c r="C149" s="3">
        <v>0.08</v>
      </c>
      <c r="D149">
        <f t="shared" si="24"/>
        <v>578224.8573243377</v>
      </c>
      <c r="Q149">
        <f t="shared" si="25"/>
        <v>578224.85732434154</v>
      </c>
      <c r="R149">
        <f t="shared" si="26"/>
        <v>615.34550771843124</v>
      </c>
      <c r="S149">
        <f t="shared" si="27"/>
        <v>3229098.0200673644</v>
      </c>
      <c r="T149" s="3">
        <v>0.08</v>
      </c>
      <c r="V149">
        <f>SUM($R$2:R149)</f>
        <v>30963.323532823113</v>
      </c>
      <c r="W149">
        <f t="shared" si="28"/>
        <v>65.287655574628076</v>
      </c>
      <c r="Z149">
        <f t="shared" si="33"/>
        <v>1.4687073512562686E-4</v>
      </c>
      <c r="AA149" s="3">
        <v>0.3</v>
      </c>
      <c r="AB149">
        <f t="shared" si="29"/>
        <v>10763660.066891216</v>
      </c>
      <c r="AC149">
        <f t="shared" si="32"/>
        <v>1188161.5554724645</v>
      </c>
      <c r="AD149" s="3">
        <v>0.2</v>
      </c>
      <c r="AE149">
        <f t="shared" si="30"/>
        <v>237632.31109449291</v>
      </c>
      <c r="AF149">
        <f t="shared" si="31"/>
        <v>1</v>
      </c>
    </row>
    <row r="150" spans="1:32" x14ac:dyDescent="0.3">
      <c r="A150" s="2">
        <v>149</v>
      </c>
      <c r="B150">
        <f t="shared" si="23"/>
        <v>88453.660893807944</v>
      </c>
      <c r="C150" s="3">
        <v>0.08</v>
      </c>
      <c r="D150">
        <f t="shared" si="24"/>
        <v>624482.84591028467</v>
      </c>
      <c r="Q150">
        <f t="shared" si="25"/>
        <v>624482.84591028886</v>
      </c>
      <c r="R150">
        <f t="shared" si="26"/>
        <v>626.95580031689224</v>
      </c>
      <c r="S150">
        <f t="shared" si="27"/>
        <v>3487425.8616727539</v>
      </c>
      <c r="T150" s="3">
        <v>0.08</v>
      </c>
      <c r="V150">
        <f>SUM($R$2:R150)</f>
        <v>31590.279333140006</v>
      </c>
      <c r="W150">
        <f t="shared" si="28"/>
        <v>66.609622007211243</v>
      </c>
      <c r="Z150">
        <f t="shared" si="33"/>
        <v>1.3599142141261744E-4</v>
      </c>
      <c r="AA150" s="3">
        <v>0.3</v>
      </c>
      <c r="AB150">
        <f t="shared" si="29"/>
        <v>11624752.872242514</v>
      </c>
      <c r="AC150">
        <f t="shared" si="32"/>
        <v>1259451.2488008125</v>
      </c>
      <c r="AD150" s="3">
        <v>0.2</v>
      </c>
      <c r="AE150">
        <f t="shared" si="30"/>
        <v>251890.24976016252</v>
      </c>
      <c r="AF150">
        <f t="shared" si="31"/>
        <v>1</v>
      </c>
    </row>
    <row r="151" spans="1:32" x14ac:dyDescent="0.3">
      <c r="A151" s="2">
        <v>150</v>
      </c>
      <c r="B151">
        <f t="shared" si="23"/>
        <v>95529.953765312574</v>
      </c>
      <c r="C151" s="3">
        <v>0.08</v>
      </c>
      <c r="D151">
        <f t="shared" si="24"/>
        <v>674441.47358310746</v>
      </c>
      <c r="Q151">
        <f t="shared" si="25"/>
        <v>674441.47358311201</v>
      </c>
      <c r="R151">
        <f t="shared" si="26"/>
        <v>638.78515503985238</v>
      </c>
      <c r="S151">
        <f t="shared" si="27"/>
        <v>3766419.9306065743</v>
      </c>
      <c r="T151" s="3">
        <v>0.08</v>
      </c>
      <c r="V151">
        <f>SUM($R$2:R151)</f>
        <v>32229.064488179858</v>
      </c>
      <c r="W151">
        <f t="shared" si="28"/>
        <v>67.956531202673347</v>
      </c>
      <c r="Z151">
        <f t="shared" si="33"/>
        <v>1.2591798278946059E-4</v>
      </c>
      <c r="AA151" s="3">
        <v>0.3</v>
      </c>
      <c r="AB151">
        <f t="shared" si="29"/>
        <v>12554733.102021914</v>
      </c>
      <c r="AC151">
        <f t="shared" si="32"/>
        <v>1335018.3237288613</v>
      </c>
      <c r="AD151" s="3">
        <v>0.2</v>
      </c>
      <c r="AE151">
        <f t="shared" si="30"/>
        <v>267003.66474577226</v>
      </c>
      <c r="AF151">
        <f t="shared" si="31"/>
        <v>1</v>
      </c>
    </row>
    <row r="152" spans="1:32" x14ac:dyDescent="0.3">
      <c r="A152" s="2">
        <v>151</v>
      </c>
      <c r="B152">
        <f t="shared" si="23"/>
        <v>103172.35006653758</v>
      </c>
      <c r="C152" s="3">
        <v>0.08</v>
      </c>
      <c r="D152">
        <f t="shared" si="24"/>
        <v>728396.79146975605</v>
      </c>
      <c r="Q152">
        <f t="shared" si="25"/>
        <v>728396.79146976105</v>
      </c>
      <c r="R152">
        <f t="shared" si="26"/>
        <v>650.83770513494403</v>
      </c>
      <c r="S152">
        <f t="shared" si="27"/>
        <v>4067733.5250551007</v>
      </c>
      <c r="T152" s="3">
        <v>0.08</v>
      </c>
      <c r="V152">
        <f>SUM($R$2:R152)</f>
        <v>32879.902193314803</v>
      </c>
      <c r="W152">
        <f t="shared" si="28"/>
        <v>69.328853779181898</v>
      </c>
      <c r="Z152">
        <f t="shared" si="33"/>
        <v>1.165907248050561E-4</v>
      </c>
      <c r="AA152" s="3">
        <v>0.3</v>
      </c>
      <c r="AB152">
        <f t="shared" si="29"/>
        <v>13559111.75018367</v>
      </c>
      <c r="AC152">
        <f t="shared" si="32"/>
        <v>1415119.423152593</v>
      </c>
      <c r="AD152" s="3">
        <v>0.2</v>
      </c>
      <c r="AE152">
        <f t="shared" si="30"/>
        <v>283023.88463051862</v>
      </c>
      <c r="AF152">
        <f t="shared" si="31"/>
        <v>1</v>
      </c>
    </row>
    <row r="153" spans="1:32" x14ac:dyDescent="0.3">
      <c r="A153" s="2">
        <v>152</v>
      </c>
      <c r="B153">
        <f t="shared" si="23"/>
        <v>111426.13807186058</v>
      </c>
      <c r="C153" s="3">
        <v>0.08</v>
      </c>
      <c r="D153">
        <f t="shared" si="24"/>
        <v>786668.53478733648</v>
      </c>
      <c r="Q153">
        <f t="shared" si="25"/>
        <v>786668.53478734207</v>
      </c>
      <c r="R153">
        <f t="shared" si="26"/>
        <v>663.11766183560326</v>
      </c>
      <c r="S153">
        <f t="shared" si="27"/>
        <v>4393152.2070595091</v>
      </c>
      <c r="T153" s="3">
        <v>0.08</v>
      </c>
      <c r="V153">
        <f>SUM($R$2:R153)</f>
        <v>33543.019855150407</v>
      </c>
      <c r="W153">
        <f t="shared" si="28"/>
        <v>70.72706923449249</v>
      </c>
      <c r="Z153">
        <f t="shared" si="33"/>
        <v>1.0795437481949638E-4</v>
      </c>
      <c r="AA153" s="3">
        <v>0.3</v>
      </c>
      <c r="AB153">
        <f t="shared" si="29"/>
        <v>14643840.690198364</v>
      </c>
      <c r="AC153">
        <f t="shared" si="32"/>
        <v>1500026.5885417487</v>
      </c>
      <c r="AD153" s="3">
        <v>0.2</v>
      </c>
      <c r="AE153">
        <f t="shared" si="30"/>
        <v>300005.31770834973</v>
      </c>
      <c r="AF153">
        <f t="shared" si="31"/>
        <v>1</v>
      </c>
    </row>
    <row r="154" spans="1:32" x14ac:dyDescent="0.3">
      <c r="A154" s="2">
        <v>153</v>
      </c>
      <c r="B154">
        <f t="shared" si="23"/>
        <v>120340.22911760943</v>
      </c>
      <c r="C154" s="3">
        <v>0.08</v>
      </c>
      <c r="D154">
        <f t="shared" si="24"/>
        <v>849602.01757032343</v>
      </c>
      <c r="Q154">
        <f t="shared" si="25"/>
        <v>849602.01757032925</v>
      </c>
      <c r="R154">
        <f t="shared" si="26"/>
        <v>675.62931583250167</v>
      </c>
      <c r="S154">
        <f t="shared" si="27"/>
        <v>4744604.3836242706</v>
      </c>
      <c r="T154" s="3">
        <v>0.08</v>
      </c>
      <c r="V154">
        <f>SUM($R$2:R154)</f>
        <v>34218.649170982906</v>
      </c>
      <c r="W154">
        <f t="shared" si="28"/>
        <v>72.15166611348819</v>
      </c>
      <c r="Z154">
        <f t="shared" si="33"/>
        <v>9.9957754462496633E-5</v>
      </c>
      <c r="AA154" s="3">
        <v>0.3</v>
      </c>
      <c r="AB154">
        <f t="shared" si="29"/>
        <v>15815347.945414236</v>
      </c>
      <c r="AC154">
        <f t="shared" si="32"/>
        <v>1590028.1838542537</v>
      </c>
      <c r="AD154" s="3">
        <v>0.2</v>
      </c>
      <c r="AE154">
        <f t="shared" si="30"/>
        <v>318005.63677085075</v>
      </c>
      <c r="AF154">
        <f t="shared" si="31"/>
        <v>1</v>
      </c>
    </row>
    <row r="155" spans="1:32" x14ac:dyDescent="0.3">
      <c r="A155" s="2">
        <v>154</v>
      </c>
      <c r="B155">
        <f t="shared" si="23"/>
        <v>129967.44744701819</v>
      </c>
      <c r="C155" s="3">
        <v>0.08</v>
      </c>
      <c r="D155">
        <f t="shared" si="24"/>
        <v>917570.1789759493</v>
      </c>
      <c r="Q155">
        <f t="shared" si="25"/>
        <v>917570.17897595582</v>
      </c>
      <c r="R155">
        <f t="shared" si="26"/>
        <v>688.37703877273759</v>
      </c>
      <c r="S155">
        <f t="shared" si="27"/>
        <v>5124172.7343142126</v>
      </c>
      <c r="T155" s="3">
        <v>0.08</v>
      </c>
      <c r="V155">
        <f>SUM($R$2:R155)</f>
        <v>34907.026209755641</v>
      </c>
      <c r="W155">
        <f t="shared" si="28"/>
        <v>73.60314217888002</v>
      </c>
      <c r="Z155">
        <f t="shared" si="33"/>
        <v>9.2553476354163532E-5</v>
      </c>
      <c r="AA155" s="3">
        <v>0.3</v>
      </c>
      <c r="AB155">
        <f t="shared" si="29"/>
        <v>17080575.781047378</v>
      </c>
      <c r="AC155">
        <f t="shared" si="32"/>
        <v>1685429.874885509</v>
      </c>
      <c r="AD155" s="3">
        <v>0.2</v>
      </c>
      <c r="AE155">
        <f t="shared" si="30"/>
        <v>337085.97497710184</v>
      </c>
      <c r="AF155">
        <f t="shared" si="31"/>
        <v>1</v>
      </c>
    </row>
    <row r="156" spans="1:32" x14ac:dyDescent="0.3">
      <c r="A156" s="2">
        <v>155</v>
      </c>
      <c r="B156">
        <f t="shared" si="23"/>
        <v>140364.84324277964</v>
      </c>
      <c r="C156" s="3">
        <v>0.08</v>
      </c>
      <c r="D156">
        <f t="shared" si="24"/>
        <v>990975.79329402524</v>
      </c>
      <c r="Q156">
        <f t="shared" si="25"/>
        <v>990975.79329403222</v>
      </c>
      <c r="R156">
        <f t="shared" si="26"/>
        <v>701.36528478731759</v>
      </c>
      <c r="S156">
        <f t="shared" si="27"/>
        <v>5534106.5530593498</v>
      </c>
      <c r="T156" s="3">
        <v>0.08</v>
      </c>
      <c r="V156">
        <f>SUM($R$2:R156)</f>
        <v>35608.391494542957</v>
      </c>
      <c r="W156">
        <f t="shared" si="28"/>
        <v>75.082004585128317</v>
      </c>
      <c r="Z156">
        <f t="shared" si="33"/>
        <v>8.5697663290892158E-5</v>
      </c>
      <c r="AA156" s="3">
        <v>0.3</v>
      </c>
      <c r="AB156">
        <f t="shared" si="29"/>
        <v>18447021.843531165</v>
      </c>
      <c r="AC156">
        <f t="shared" si="32"/>
        <v>1786555.6673786396</v>
      </c>
      <c r="AD156" s="3">
        <v>0.2</v>
      </c>
      <c r="AE156">
        <f t="shared" si="30"/>
        <v>357311.13347572793</v>
      </c>
      <c r="AF156">
        <f t="shared" si="31"/>
        <v>1</v>
      </c>
    </row>
    <row r="157" spans="1:32" x14ac:dyDescent="0.3">
      <c r="A157" s="2">
        <v>156</v>
      </c>
      <c r="B157">
        <f t="shared" si="23"/>
        <v>151594.030702202</v>
      </c>
      <c r="C157" s="3">
        <v>0.08</v>
      </c>
      <c r="D157">
        <f t="shared" si="24"/>
        <v>1070253.8567575472</v>
      </c>
      <c r="Q157">
        <f t="shared" si="25"/>
        <v>1070253.8567575549</v>
      </c>
      <c r="R157">
        <f t="shared" si="26"/>
        <v>714.59859204745555</v>
      </c>
      <c r="S157">
        <f t="shared" si="27"/>
        <v>5976835.0773040978</v>
      </c>
      <c r="T157" s="3">
        <v>0.08</v>
      </c>
      <c r="V157">
        <f>SUM($R$2:R157)</f>
        <v>36322.990086590413</v>
      </c>
      <c r="W157">
        <f t="shared" si="28"/>
        <v>76.588770055645455</v>
      </c>
      <c r="Z157">
        <f t="shared" si="33"/>
        <v>7.9349688232307558E-5</v>
      </c>
      <c r="AA157" s="3">
        <v>0.3</v>
      </c>
      <c r="AB157">
        <f t="shared" si="29"/>
        <v>19922783.591013659</v>
      </c>
      <c r="AC157">
        <f t="shared" si="32"/>
        <v>1893749.007421358</v>
      </c>
      <c r="AD157" s="3">
        <v>0.2</v>
      </c>
      <c r="AE157">
        <f t="shared" si="30"/>
        <v>378749.80148427165</v>
      </c>
      <c r="AF157">
        <f t="shared" si="31"/>
        <v>1</v>
      </c>
    </row>
    <row r="158" spans="1:32" x14ac:dyDescent="0.3">
      <c r="A158" s="2">
        <v>157</v>
      </c>
      <c r="B158">
        <f t="shared" si="23"/>
        <v>163721.55315837817</v>
      </c>
      <c r="C158" s="3">
        <v>0.08</v>
      </c>
      <c r="D158">
        <f t="shared" si="24"/>
        <v>1155874.1652981511</v>
      </c>
      <c r="Q158">
        <f t="shared" si="25"/>
        <v>1155874.1652981592</v>
      </c>
      <c r="R158">
        <f t="shared" si="26"/>
        <v>728.08158435023768</v>
      </c>
      <c r="S158">
        <f t="shared" si="27"/>
        <v>6454981.883488426</v>
      </c>
      <c r="T158" s="3">
        <v>0.08</v>
      </c>
      <c r="V158">
        <f>SUM($R$2:R158)</f>
        <v>37051.071670940648</v>
      </c>
      <c r="W158">
        <f t="shared" si="28"/>
        <v>78.123965063342155</v>
      </c>
      <c r="Z158">
        <f t="shared" si="33"/>
        <v>7.3471933548432922E-5</v>
      </c>
      <c r="AA158" s="3">
        <v>0.3</v>
      </c>
      <c r="AB158">
        <f t="shared" si="29"/>
        <v>21516606.278294753</v>
      </c>
      <c r="AC158">
        <f t="shared" si="32"/>
        <v>2007373.9478666396</v>
      </c>
      <c r="AD158" s="3">
        <v>0.2</v>
      </c>
      <c r="AE158">
        <f t="shared" si="30"/>
        <v>401474.78957332793</v>
      </c>
      <c r="AF158">
        <f t="shared" si="31"/>
        <v>1</v>
      </c>
    </row>
    <row r="159" spans="1:32" x14ac:dyDescent="0.3">
      <c r="A159" s="2">
        <v>158</v>
      </c>
      <c r="B159">
        <f t="shared" si="23"/>
        <v>176819.27741104842</v>
      </c>
      <c r="C159" s="3">
        <v>0.08</v>
      </c>
      <c r="D159">
        <f t="shared" si="24"/>
        <v>1248344.0985220033</v>
      </c>
      <c r="Q159">
        <f t="shared" si="25"/>
        <v>1248344.0985220121</v>
      </c>
      <c r="R159">
        <f t="shared" si="26"/>
        <v>741.81897273420441</v>
      </c>
      <c r="S159">
        <f t="shared" si="27"/>
        <v>6971380.4341675006</v>
      </c>
      <c r="T159" s="3">
        <v>0.08</v>
      </c>
      <c r="V159">
        <f>SUM($R$2:R159)</f>
        <v>37792.890643674851</v>
      </c>
      <c r="W159">
        <f t="shared" si="28"/>
        <v>79.688126014580291</v>
      </c>
      <c r="Z159">
        <f t="shared" si="33"/>
        <v>6.8029568100400851E-5</v>
      </c>
      <c r="AA159" s="3">
        <v>0.3</v>
      </c>
      <c r="AB159">
        <f t="shared" si="29"/>
        <v>23237934.780558337</v>
      </c>
      <c r="AC159">
        <f t="shared" si="32"/>
        <v>2127816.3847386381</v>
      </c>
      <c r="AD159" s="3">
        <v>0.2</v>
      </c>
      <c r="AE159">
        <f t="shared" si="30"/>
        <v>425563.27694772766</v>
      </c>
      <c r="AF159">
        <f t="shared" si="31"/>
        <v>1</v>
      </c>
    </row>
    <row r="160" spans="1:32" x14ac:dyDescent="0.3">
      <c r="A160" s="2">
        <v>159</v>
      </c>
      <c r="B160">
        <f t="shared" si="23"/>
        <v>190964.81960393229</v>
      </c>
      <c r="C160" s="3">
        <v>0.08</v>
      </c>
      <c r="D160">
        <f t="shared" si="24"/>
        <v>1348211.6264037634</v>
      </c>
      <c r="Q160">
        <f t="shared" si="25"/>
        <v>1348211.6264037732</v>
      </c>
      <c r="R160">
        <f t="shared" si="26"/>
        <v>755.81555712541581</v>
      </c>
      <c r="S160">
        <f t="shared" si="27"/>
        <v>7529090.8689009007</v>
      </c>
      <c r="T160" s="3">
        <v>0.08</v>
      </c>
      <c r="V160">
        <f>SUM($R$2:R160)</f>
        <v>38548.706200800269</v>
      </c>
      <c r="W160">
        <f t="shared" si="28"/>
        <v>81.281799436596529</v>
      </c>
      <c r="Z160">
        <f t="shared" si="33"/>
        <v>6.2990340833704486E-5</v>
      </c>
      <c r="AA160" s="3">
        <v>0.3</v>
      </c>
      <c r="AB160">
        <f t="shared" si="29"/>
        <v>25096969.563003004</v>
      </c>
      <c r="AC160">
        <f t="shared" si="32"/>
        <v>2255485.3678229563</v>
      </c>
      <c r="AD160" s="3">
        <v>0.2</v>
      </c>
      <c r="AE160">
        <f t="shared" si="30"/>
        <v>451097.07356459129</v>
      </c>
      <c r="AF160">
        <f t="shared" si="31"/>
        <v>1</v>
      </c>
    </row>
    <row r="161" spans="1:32" x14ac:dyDescent="0.3">
      <c r="A161" s="2">
        <v>160</v>
      </c>
      <c r="B161">
        <f t="shared" si="23"/>
        <v>206242.00517224689</v>
      </c>
      <c r="C161" s="3">
        <v>0.08</v>
      </c>
      <c r="D161">
        <f t="shared" si="24"/>
        <v>1456068.5565160646</v>
      </c>
      <c r="Q161">
        <f t="shared" si="25"/>
        <v>1456068.5565160753</v>
      </c>
      <c r="R161">
        <f t="shared" si="26"/>
        <v>770.07622801457444</v>
      </c>
      <c r="S161">
        <f t="shared" si="27"/>
        <v>8131418.1384129729</v>
      </c>
      <c r="T161" s="3">
        <v>0.08</v>
      </c>
      <c r="V161">
        <f>SUM($R$2:R161)</f>
        <v>39318.78242881484</v>
      </c>
      <c r="W161">
        <f t="shared" si="28"/>
        <v>82.905542168462105</v>
      </c>
      <c r="Z161">
        <f t="shared" si="33"/>
        <v>5.8324389660837484E-5</v>
      </c>
      <c r="AA161" s="3">
        <v>0.3</v>
      </c>
      <c r="AB161">
        <f t="shared" si="29"/>
        <v>27104727.128043246</v>
      </c>
      <c r="AC161">
        <f t="shared" si="32"/>
        <v>2390814.4898923337</v>
      </c>
      <c r="AD161" s="3">
        <v>0.2</v>
      </c>
      <c r="AE161">
        <f t="shared" si="30"/>
        <v>478162.89797846676</v>
      </c>
      <c r="AF161">
        <f t="shared" si="31"/>
        <v>1</v>
      </c>
    </row>
    <row r="162" spans="1:32" x14ac:dyDescent="0.3">
      <c r="A162" s="2">
        <v>161</v>
      </c>
      <c r="B162">
        <f t="shared" si="23"/>
        <v>222741.36558602663</v>
      </c>
      <c r="C162" s="3">
        <v>0.08</v>
      </c>
      <c r="D162">
        <f t="shared" si="24"/>
        <v>1572554.0410373497</v>
      </c>
      <c r="Q162">
        <f t="shared" si="25"/>
        <v>1572554.0410373614</v>
      </c>
      <c r="R162">
        <f t="shared" si="26"/>
        <v>784.60596816579323</v>
      </c>
      <c r="S162">
        <f t="shared" si="27"/>
        <v>8781931.5894860122</v>
      </c>
      <c r="T162" s="3">
        <v>0.08</v>
      </c>
      <c r="V162">
        <f>SUM($R$2:R162)</f>
        <v>40103.388396980634</v>
      </c>
      <c r="W162">
        <f t="shared" si="28"/>
        <v>84.559921555645914</v>
      </c>
      <c r="Z162">
        <f t="shared" si="33"/>
        <v>5.4004064500775441E-5</v>
      </c>
      <c r="AA162" s="3">
        <v>0.3</v>
      </c>
      <c r="AB162">
        <f t="shared" si="29"/>
        <v>29273105.29828671</v>
      </c>
      <c r="AC162">
        <f t="shared" si="32"/>
        <v>2534263.3592858738</v>
      </c>
      <c r="AD162" s="3">
        <v>0.2</v>
      </c>
      <c r="AE162">
        <f t="shared" si="30"/>
        <v>506852.67185717478</v>
      </c>
      <c r="AF162">
        <f t="shared" si="31"/>
        <v>1</v>
      </c>
    </row>
    <row r="163" spans="1:32" x14ac:dyDescent="0.3">
      <c r="A163" s="2">
        <v>162</v>
      </c>
      <c r="B163">
        <f t="shared" si="23"/>
        <v>240560.67483290876</v>
      </c>
      <c r="C163" s="3">
        <v>0.08</v>
      </c>
      <c r="D163">
        <f t="shared" si="24"/>
        <v>1698358.3643203378</v>
      </c>
      <c r="Q163">
        <f t="shared" si="25"/>
        <v>1698358.3643203501</v>
      </c>
      <c r="R163">
        <f t="shared" si="26"/>
        <v>799.40985435760069</v>
      </c>
      <c r="S163">
        <f t="shared" si="27"/>
        <v>9484486.1166448947</v>
      </c>
      <c r="T163" s="3">
        <v>0.08</v>
      </c>
      <c r="V163">
        <f>SUM($R$2:R163)</f>
        <v>40902.798251338238</v>
      </c>
      <c r="W163">
        <f t="shared" si="28"/>
        <v>86.245515648248301</v>
      </c>
      <c r="Z163">
        <f t="shared" si="33"/>
        <v>5.0003763426643918E-5</v>
      </c>
      <c r="AA163" s="3">
        <v>0.3</v>
      </c>
      <c r="AB163">
        <f t="shared" si="29"/>
        <v>31614953.722149651</v>
      </c>
      <c r="AC163">
        <f t="shared" si="32"/>
        <v>2686319.1608430264</v>
      </c>
      <c r="AD163" s="3">
        <v>0.2</v>
      </c>
      <c r="AE163">
        <f t="shared" si="30"/>
        <v>537263.8321686053</v>
      </c>
      <c r="AF163">
        <f t="shared" si="31"/>
        <v>1</v>
      </c>
    </row>
    <row r="164" spans="1:32" x14ac:dyDescent="0.3">
      <c r="A164" s="2">
        <v>163</v>
      </c>
      <c r="B164">
        <f t="shared" si="23"/>
        <v>259805.52881954145</v>
      </c>
      <c r="C164" s="3">
        <v>0.08</v>
      </c>
      <c r="D164">
        <f t="shared" si="24"/>
        <v>1834227.0334659647</v>
      </c>
      <c r="Q164">
        <f t="shared" si="25"/>
        <v>1834227.0334659782</v>
      </c>
      <c r="R164">
        <f t="shared" si="26"/>
        <v>814.49305915680065</v>
      </c>
      <c r="S164">
        <f t="shared" si="27"/>
        <v>10243245.005976487</v>
      </c>
      <c r="T164" s="3">
        <v>0.08</v>
      </c>
      <c r="V164">
        <f>SUM($R$2:R164)</f>
        <v>41717.291310495035</v>
      </c>
      <c r="W164">
        <f t="shared" si="28"/>
        <v>87.962913402975232</v>
      </c>
      <c r="Z164">
        <f t="shared" si="33"/>
        <v>4.6299780950596215E-5</v>
      </c>
      <c r="AA164" s="3">
        <v>0.3</v>
      </c>
      <c r="AB164">
        <f t="shared" si="29"/>
        <v>34144150.019921623</v>
      </c>
      <c r="AC164">
        <f t="shared" si="32"/>
        <v>2847498.310493608</v>
      </c>
      <c r="AD164" s="3">
        <v>0.2</v>
      </c>
      <c r="AE164">
        <f t="shared" si="30"/>
        <v>569499.6620987216</v>
      </c>
      <c r="AF164">
        <f t="shared" si="31"/>
        <v>1</v>
      </c>
    </row>
    <row r="165" spans="1:32" x14ac:dyDescent="0.3">
      <c r="A165" s="2">
        <v>164</v>
      </c>
      <c r="B165">
        <f t="shared" si="23"/>
        <v>280589.97112510476</v>
      </c>
      <c r="C165" s="3">
        <v>0.08</v>
      </c>
      <c r="D165">
        <f t="shared" si="24"/>
        <v>1980965.1961432418</v>
      </c>
      <c r="Q165">
        <f t="shared" si="25"/>
        <v>1980965.1961432567</v>
      </c>
      <c r="R165">
        <f t="shared" si="26"/>
        <v>829.8608527257968</v>
      </c>
      <c r="S165">
        <f t="shared" si="27"/>
        <v>11062704.606454607</v>
      </c>
      <c r="T165" s="3">
        <v>0.08</v>
      </c>
      <c r="V165">
        <f>SUM($R$2:R165)</f>
        <v>42547.152163220831</v>
      </c>
      <c r="W165">
        <f t="shared" si="28"/>
        <v>89.712714888923443</v>
      </c>
      <c r="Z165">
        <f t="shared" si="33"/>
        <v>4.2870167546848345E-5</v>
      </c>
      <c r="AA165" s="3">
        <v>0.3</v>
      </c>
      <c r="AB165">
        <f t="shared" si="29"/>
        <v>36875682.021515362</v>
      </c>
      <c r="AC165">
        <f t="shared" si="32"/>
        <v>3018348.2091232245</v>
      </c>
      <c r="AD165" s="3">
        <v>0.2</v>
      </c>
      <c r="AE165">
        <f t="shared" si="30"/>
        <v>603669.64182464487</v>
      </c>
      <c r="AF165">
        <f t="shared" si="31"/>
        <v>1</v>
      </c>
    </row>
    <row r="166" spans="1:32" x14ac:dyDescent="0.3">
      <c r="A166" s="2">
        <v>165</v>
      </c>
      <c r="B166">
        <f t="shared" ref="B166:B200" si="34">B165+B165*C165</f>
        <v>303037.16881511314</v>
      </c>
      <c r="C166" s="3">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3">
        <v>0.08</v>
      </c>
      <c r="V166">
        <f>SUM($R$2:R166)</f>
        <v>43392.670767884854</v>
      </c>
      <c r="W166">
        <f t="shared" ref="W166:W200" si="39">V166/$W$2</f>
        <v>91.495531497248038</v>
      </c>
      <c r="Z166">
        <f t="shared" si="33"/>
        <v>3.9694599580415133E-5</v>
      </c>
      <c r="AA166" s="3">
        <v>0.3</v>
      </c>
      <c r="AB166">
        <f t="shared" si="29"/>
        <v>39825736.58323659</v>
      </c>
      <c r="AC166">
        <f t="shared" si="32"/>
        <v>3199449.1016706182</v>
      </c>
      <c r="AD166" s="3">
        <v>0.2</v>
      </c>
      <c r="AE166">
        <f t="shared" si="30"/>
        <v>639889.82033412368</v>
      </c>
      <c r="AF166">
        <f t="shared" si="31"/>
        <v>1</v>
      </c>
    </row>
    <row r="167" spans="1:32" x14ac:dyDescent="0.3">
      <c r="A167" s="2">
        <v>166</v>
      </c>
      <c r="B167">
        <f t="shared" si="34"/>
        <v>327280.14232032216</v>
      </c>
      <c r="C167" s="3">
        <v>0.08</v>
      </c>
      <c r="D167">
        <f t="shared" si="35"/>
        <v>2310597.804781477</v>
      </c>
      <c r="Q167">
        <f t="shared" si="36"/>
        <v>2310597.8047814951</v>
      </c>
      <c r="R167">
        <f t="shared" si="37"/>
        <v>861.47178588409531</v>
      </c>
      <c r="S167">
        <f t="shared" si="38"/>
        <v>12903538.652968654</v>
      </c>
      <c r="T167" s="3">
        <v>0.08</v>
      </c>
      <c r="V167">
        <f>SUM($R$2:R167)</f>
        <v>44254.14255376895</v>
      </c>
      <c r="W167">
        <f t="shared" si="39"/>
        <v>93.311986154786297</v>
      </c>
      <c r="Z167">
        <f t="shared" si="33"/>
        <v>3.6754258870754755E-5</v>
      </c>
      <c r="AA167" s="3">
        <v>0.3</v>
      </c>
      <c r="AB167">
        <f t="shared" si="29"/>
        <v>43011795.509895518</v>
      </c>
      <c r="AC167">
        <f t="shared" si="32"/>
        <v>3391416.0477708555</v>
      </c>
      <c r="AD167" s="3">
        <v>0.2</v>
      </c>
      <c r="AE167">
        <f t="shared" si="30"/>
        <v>678283.20955417119</v>
      </c>
      <c r="AF167">
        <f t="shared" si="31"/>
        <v>1</v>
      </c>
    </row>
    <row r="168" spans="1:32" x14ac:dyDescent="0.3">
      <c r="A168" s="2">
        <v>167</v>
      </c>
      <c r="B168">
        <f t="shared" si="34"/>
        <v>353462.55370594794</v>
      </c>
      <c r="C168" s="3">
        <v>0.08</v>
      </c>
      <c r="D168">
        <f t="shared" si="35"/>
        <v>2495445.6291639949</v>
      </c>
      <c r="Q168">
        <f t="shared" si="36"/>
        <v>2495445.6291640149</v>
      </c>
      <c r="R168">
        <f t="shared" si="37"/>
        <v>877.72597052341769</v>
      </c>
      <c r="S168">
        <f t="shared" si="38"/>
        <v>13935821.745206147</v>
      </c>
      <c r="T168" s="3">
        <v>0.08</v>
      </c>
      <c r="V168">
        <f>SUM($R$2:R168)</f>
        <v>45131.868524292368</v>
      </c>
      <c r="W168">
        <f t="shared" si="39"/>
        <v>95.16271354171208</v>
      </c>
      <c r="Z168">
        <f t="shared" si="33"/>
        <v>3.4031721176624766E-5</v>
      </c>
      <c r="AA168" s="3">
        <v>0.3</v>
      </c>
      <c r="AB168">
        <f t="shared" si="29"/>
        <v>46452739.150687158</v>
      </c>
      <c r="AC168">
        <f t="shared" si="32"/>
        <v>3594901.0106371068</v>
      </c>
      <c r="AD168" s="3">
        <v>0.2</v>
      </c>
      <c r="AE168">
        <f t="shared" si="30"/>
        <v>718980.20212742139</v>
      </c>
      <c r="AF168">
        <f t="shared" si="31"/>
        <v>1</v>
      </c>
    </row>
    <row r="169" spans="1:32" x14ac:dyDescent="0.3">
      <c r="A169" s="2">
        <v>168</v>
      </c>
      <c r="B169">
        <f t="shared" si="34"/>
        <v>381739.55800242379</v>
      </c>
      <c r="C169" s="3">
        <v>0.08</v>
      </c>
      <c r="D169">
        <f t="shared" si="35"/>
        <v>2695081.2794971145</v>
      </c>
      <c r="Q169">
        <f t="shared" si="36"/>
        <v>2695081.2794971359</v>
      </c>
      <c r="R169">
        <f t="shared" si="37"/>
        <v>894.28683789178399</v>
      </c>
      <c r="S169">
        <f t="shared" si="38"/>
        <v>15050687.48482264</v>
      </c>
      <c r="T169" s="3">
        <v>0.08</v>
      </c>
      <c r="V169">
        <f>SUM($R$2:R169)</f>
        <v>46026.155362184152</v>
      </c>
      <c r="W169">
        <f t="shared" si="39"/>
        <v>97.048360313296826</v>
      </c>
      <c r="Z169">
        <f t="shared" si="33"/>
        <v>3.1510852941319226E-5</v>
      </c>
      <c r="AA169" s="3">
        <v>0.3</v>
      </c>
      <c r="AB169">
        <f t="shared" si="29"/>
        <v>50168958.282742135</v>
      </c>
      <c r="AC169">
        <f t="shared" si="32"/>
        <v>3810595.0712753334</v>
      </c>
      <c r="AD169" s="3">
        <v>0.2</v>
      </c>
      <c r="AE169">
        <f t="shared" si="30"/>
        <v>762119.01425506675</v>
      </c>
      <c r="AF169">
        <f t="shared" si="31"/>
        <v>1</v>
      </c>
    </row>
    <row r="170" spans="1:32" x14ac:dyDescent="0.3">
      <c r="A170" s="2">
        <v>169</v>
      </c>
      <c r="B170">
        <f t="shared" si="34"/>
        <v>412278.72264261771</v>
      </c>
      <c r="C170" s="3">
        <v>0.08</v>
      </c>
      <c r="D170">
        <f t="shared" si="35"/>
        <v>2910687.7818568838</v>
      </c>
      <c r="Q170">
        <f t="shared" si="36"/>
        <v>2910687.7818569071</v>
      </c>
      <c r="R170">
        <f t="shared" si="37"/>
        <v>911.16017445578018</v>
      </c>
      <c r="S170">
        <f t="shared" si="38"/>
        <v>16254742.483608453</v>
      </c>
      <c r="T170" s="3">
        <v>0.08</v>
      </c>
      <c r="V170">
        <f>SUM($R$2:R170)</f>
        <v>46937.31553663993</v>
      </c>
      <c r="W170">
        <f t="shared" si="39"/>
        <v>98.969585325854865</v>
      </c>
      <c r="Z170">
        <f t="shared" si="33"/>
        <v>2.917671568640669E-5</v>
      </c>
      <c r="AA170" s="3">
        <v>0.3</v>
      </c>
      <c r="AB170">
        <f t="shared" si="29"/>
        <v>54182474.94536151</v>
      </c>
      <c r="AC170">
        <f t="shared" si="32"/>
        <v>4039230.7755518537</v>
      </c>
      <c r="AD170" s="3">
        <v>0.2</v>
      </c>
      <c r="AE170">
        <f t="shared" si="30"/>
        <v>807846.15511037083</v>
      </c>
      <c r="AF170">
        <f t="shared" si="31"/>
        <v>1</v>
      </c>
    </row>
    <row r="171" spans="1:32" x14ac:dyDescent="0.3">
      <c r="A171" s="2">
        <v>170</v>
      </c>
      <c r="B171">
        <f t="shared" si="34"/>
        <v>445261.02045402711</v>
      </c>
      <c r="C171" s="3">
        <v>0.08</v>
      </c>
      <c r="D171">
        <f t="shared" si="35"/>
        <v>3143542.8044054345</v>
      </c>
      <c r="Q171">
        <f t="shared" si="36"/>
        <v>3143542.8044054601</v>
      </c>
      <c r="R171">
        <f t="shared" si="37"/>
        <v>928.35187586060624</v>
      </c>
      <c r="S171">
        <f t="shared" si="38"/>
        <v>17555121.882297128</v>
      </c>
      <c r="T171" s="3">
        <v>0.08</v>
      </c>
      <c r="V171">
        <f>SUM($R$2:R171)</f>
        <v>47865.667412500537</v>
      </c>
      <c r="W171">
        <f t="shared" si="39"/>
        <v>100.92705986695175</v>
      </c>
      <c r="Z171">
        <f t="shared" si="33"/>
        <v>2.7015477487413603E-5</v>
      </c>
      <c r="AA171" s="3">
        <v>0.3</v>
      </c>
      <c r="AB171">
        <f t="shared" si="29"/>
        <v>58517072.940990433</v>
      </c>
      <c r="AC171">
        <f t="shared" si="32"/>
        <v>4281584.622084965</v>
      </c>
      <c r="AD171" s="3">
        <v>0.2</v>
      </c>
      <c r="AE171">
        <f t="shared" si="30"/>
        <v>856316.92441699305</v>
      </c>
      <c r="AF171">
        <f t="shared" si="31"/>
        <v>1</v>
      </c>
    </row>
    <row r="172" spans="1:32" x14ac:dyDescent="0.3">
      <c r="A172" s="2">
        <v>171</v>
      </c>
      <c r="B172">
        <f t="shared" si="34"/>
        <v>480881.90209034929</v>
      </c>
      <c r="C172" s="3">
        <v>0.08</v>
      </c>
      <c r="D172">
        <f t="shared" si="35"/>
        <v>3395026.2287578695</v>
      </c>
      <c r="Q172">
        <f t="shared" si="36"/>
        <v>3395026.2287578965</v>
      </c>
      <c r="R172">
        <f t="shared" si="37"/>
        <v>945.86794899005145</v>
      </c>
      <c r="S172">
        <f t="shared" si="38"/>
        <v>18959531.6328809</v>
      </c>
      <c r="T172" s="3">
        <v>0.08</v>
      </c>
      <c r="V172">
        <f>SUM($R$2:R172)</f>
        <v>48811.535361490591</v>
      </c>
      <c r="W172">
        <f t="shared" si="39"/>
        <v>102.92146788995612</v>
      </c>
      <c r="Z172">
        <f t="shared" si="33"/>
        <v>2.5014331006864447E-5</v>
      </c>
      <c r="AA172" s="3">
        <v>0.3</v>
      </c>
      <c r="AB172">
        <f t="shared" si="29"/>
        <v>63198438.776269667</v>
      </c>
      <c r="AC172">
        <f t="shared" si="32"/>
        <v>4538479.6994100632</v>
      </c>
      <c r="AD172" s="3">
        <v>0.2</v>
      </c>
      <c r="AE172">
        <f t="shared" si="30"/>
        <v>907695.93988201267</v>
      </c>
      <c r="AF172">
        <f t="shared" si="31"/>
        <v>1</v>
      </c>
    </row>
    <row r="173" spans="1:32" x14ac:dyDescent="0.3">
      <c r="A173" s="2">
        <v>172</v>
      </c>
      <c r="B173">
        <f t="shared" si="34"/>
        <v>519352.45425757725</v>
      </c>
      <c r="C173" s="3">
        <v>0.08</v>
      </c>
      <c r="D173">
        <f t="shared" si="35"/>
        <v>3666628.3270584992</v>
      </c>
      <c r="Q173">
        <f t="shared" si="36"/>
        <v>3666628.3270585281</v>
      </c>
      <c r="R173">
        <f t="shared" si="37"/>
        <v>963.71451406533538</v>
      </c>
      <c r="S173">
        <f t="shared" si="38"/>
        <v>20476294.163511373</v>
      </c>
      <c r="T173" s="3">
        <v>0.08</v>
      </c>
      <c r="V173">
        <f>SUM($R$2:R173)</f>
        <v>49775.249875555928</v>
      </c>
      <c r="W173">
        <f t="shared" si="39"/>
        <v>104.95350625301718</v>
      </c>
      <c r="Z173">
        <f t="shared" si="33"/>
        <v>2.3161417598948559E-5</v>
      </c>
      <c r="AA173" s="3">
        <v>0.3</v>
      </c>
      <c r="AB173">
        <f t="shared" si="29"/>
        <v>68254313.878371254</v>
      </c>
      <c r="AC173">
        <f t="shared" si="32"/>
        <v>4810788.481374667</v>
      </c>
      <c r="AD173" s="3">
        <v>0.2</v>
      </c>
      <c r="AE173">
        <f t="shared" si="30"/>
        <v>962157.69627493341</v>
      </c>
      <c r="AF173">
        <f t="shared" si="31"/>
        <v>1</v>
      </c>
    </row>
    <row r="174" spans="1:32" x14ac:dyDescent="0.3">
      <c r="A174" s="2">
        <v>173</v>
      </c>
      <c r="B174">
        <f t="shared" si="34"/>
        <v>560900.65059818339</v>
      </c>
      <c r="C174" s="3">
        <v>0.08</v>
      </c>
      <c r="D174">
        <f t="shared" si="35"/>
        <v>3959958.5932231792</v>
      </c>
      <c r="Q174">
        <f t="shared" si="36"/>
        <v>3959958.5932232109</v>
      </c>
      <c r="R174">
        <f t="shared" si="37"/>
        <v>981.89780678354941</v>
      </c>
      <c r="S174">
        <f t="shared" si="38"/>
        <v>22114397.696592286</v>
      </c>
      <c r="T174" s="3">
        <v>0.08</v>
      </c>
      <c r="V174">
        <f>SUM($R$2:R174)</f>
        <v>50757.147682339477</v>
      </c>
      <c r="W174">
        <f t="shared" si="39"/>
        <v>107.02388496255108</v>
      </c>
      <c r="Z174">
        <f t="shared" si="33"/>
        <v>2.1445757036063478E-5</v>
      </c>
      <c r="AA174" s="3">
        <v>0.3</v>
      </c>
      <c r="AB174">
        <f t="shared" si="29"/>
        <v>73714658.988640964</v>
      </c>
      <c r="AC174">
        <f t="shared" si="32"/>
        <v>5099435.7902571475</v>
      </c>
      <c r="AD174" s="3">
        <v>0.2</v>
      </c>
      <c r="AE174">
        <f t="shared" si="30"/>
        <v>1019887.1580514295</v>
      </c>
      <c r="AF174">
        <f t="shared" si="31"/>
        <v>1</v>
      </c>
    </row>
    <row r="175" spans="1:32" x14ac:dyDescent="0.3">
      <c r="A175" s="2">
        <v>174</v>
      </c>
      <c r="B175">
        <f t="shared" si="34"/>
        <v>605772.70264603803</v>
      </c>
      <c r="C175" s="3">
        <v>0.08</v>
      </c>
      <c r="D175">
        <f t="shared" si="35"/>
        <v>4276755.2806810336</v>
      </c>
      <c r="Q175">
        <f t="shared" si="36"/>
        <v>4276755.2806810681</v>
      </c>
      <c r="R175">
        <f t="shared" si="37"/>
        <v>1000.4241804964466</v>
      </c>
      <c r="S175">
        <f t="shared" si="38"/>
        <v>23883549.512319669</v>
      </c>
      <c r="T175" s="3">
        <v>0.08</v>
      </c>
      <c r="V175">
        <f>SUM($R$2:R175)</f>
        <v>51757.571862835925</v>
      </c>
      <c r="W175">
        <f t="shared" si="39"/>
        <v>109.13332742132148</v>
      </c>
      <c r="Z175">
        <f t="shared" si="33"/>
        <v>1.9857182440799518E-5</v>
      </c>
      <c r="AA175" s="3">
        <v>0.3</v>
      </c>
      <c r="AB175">
        <f t="shared" si="29"/>
        <v>79611831.70773223</v>
      </c>
      <c r="AC175">
        <f t="shared" si="32"/>
        <v>5405401.9376725769</v>
      </c>
      <c r="AD175" s="3">
        <v>0.2</v>
      </c>
      <c r="AE175">
        <f t="shared" si="30"/>
        <v>1081080.3875345155</v>
      </c>
      <c r="AF175">
        <f t="shared" si="31"/>
        <v>1</v>
      </c>
    </row>
    <row r="176" spans="1:32" x14ac:dyDescent="0.3">
      <c r="A176" s="2">
        <v>175</v>
      </c>
      <c r="B176">
        <f t="shared" si="34"/>
        <v>654234.51885772112</v>
      </c>
      <c r="C176" s="3">
        <v>0.08</v>
      </c>
      <c r="D176">
        <f t="shared" si="35"/>
        <v>4618895.7031355165</v>
      </c>
      <c r="Q176">
        <f t="shared" si="36"/>
        <v>4618895.7031355537</v>
      </c>
      <c r="R176">
        <f t="shared" si="37"/>
        <v>1019.3001084303418</v>
      </c>
      <c r="S176">
        <f t="shared" si="38"/>
        <v>25794233.473305244</v>
      </c>
      <c r="T176" s="3">
        <v>0.08</v>
      </c>
      <c r="V176">
        <f>SUM($R$2:R176)</f>
        <v>52776.871971266264</v>
      </c>
      <c r="W176">
        <f t="shared" si="39"/>
        <v>111.28257068120074</v>
      </c>
      <c r="Z176">
        <f t="shared" si="33"/>
        <v>1.838628003777733E-5</v>
      </c>
      <c r="AA176" s="3">
        <v>0.3</v>
      </c>
      <c r="AB176">
        <f t="shared" si="29"/>
        <v>85980778.244350821</v>
      </c>
      <c r="AC176">
        <f t="shared" si="32"/>
        <v>5729726.0539329322</v>
      </c>
      <c r="AD176" s="3">
        <v>0.2</v>
      </c>
      <c r="AE176">
        <f t="shared" si="30"/>
        <v>1145945.2107865864</v>
      </c>
      <c r="AF176">
        <f t="shared" si="31"/>
        <v>1</v>
      </c>
    </row>
    <row r="177" spans="1:32" x14ac:dyDescent="0.3">
      <c r="A177" s="2">
        <v>176</v>
      </c>
      <c r="B177">
        <f t="shared" si="34"/>
        <v>706573.28036633879</v>
      </c>
      <c r="C177" s="3">
        <v>0.08</v>
      </c>
      <c r="D177">
        <f t="shared" si="35"/>
        <v>4988407.3593863575</v>
      </c>
      <c r="Q177">
        <f t="shared" si="36"/>
        <v>4988407.3593863985</v>
      </c>
      <c r="R177">
        <f t="shared" si="37"/>
        <v>1038.5321859478952</v>
      </c>
      <c r="S177">
        <f t="shared" si="38"/>
        <v>27857772.151169665</v>
      </c>
      <c r="T177" s="3">
        <v>0.08</v>
      </c>
      <c r="V177">
        <f>SUM($R$2:R177)</f>
        <v>53815.404157214158</v>
      </c>
      <c r="W177">
        <f t="shared" si="39"/>
        <v>113.47236570070038</v>
      </c>
      <c r="Z177">
        <f t="shared" si="33"/>
        <v>1.7024333368312341E-5</v>
      </c>
      <c r="AA177" s="3">
        <v>0.3</v>
      </c>
      <c r="AB177">
        <f t="shared" si="29"/>
        <v>92859240.503898889</v>
      </c>
      <c r="AC177">
        <f t="shared" si="32"/>
        <v>6073509.617168908</v>
      </c>
      <c r="AD177" s="3">
        <v>0.2</v>
      </c>
      <c r="AE177">
        <f t="shared" si="30"/>
        <v>1214701.9234337816</v>
      </c>
      <c r="AF177">
        <f t="shared" si="31"/>
        <v>1</v>
      </c>
    </row>
    <row r="178" spans="1:32" x14ac:dyDescent="0.3">
      <c r="A178" s="2">
        <v>177</v>
      </c>
      <c r="B178">
        <f t="shared" si="34"/>
        <v>763099.14279564586</v>
      </c>
      <c r="C178" s="3">
        <v>0.08</v>
      </c>
      <c r="D178">
        <f t="shared" si="35"/>
        <v>5387479.9481372666</v>
      </c>
      <c r="Q178">
        <f t="shared" si="36"/>
        <v>5387479.9481373094</v>
      </c>
      <c r="R178">
        <f t="shared" si="37"/>
        <v>1058.1271328525727</v>
      </c>
      <c r="S178">
        <f t="shared" si="38"/>
        <v>30086393.923263241</v>
      </c>
      <c r="T178" s="3">
        <v>0.08</v>
      </c>
      <c r="V178">
        <f>SUM($R$2:R178)</f>
        <v>54873.531290066734</v>
      </c>
      <c r="W178">
        <f t="shared" si="39"/>
        <v>115.70347760736038</v>
      </c>
      <c r="Z178">
        <f t="shared" si="33"/>
        <v>1.5763271637326241E-5</v>
      </c>
      <c r="AA178" s="3">
        <v>0.3</v>
      </c>
      <c r="AB178">
        <f t="shared" si="29"/>
        <v>100287979.74421081</v>
      </c>
      <c r="AC178">
        <f t="shared" si="32"/>
        <v>6437920.1941990424</v>
      </c>
      <c r="AD178" s="3">
        <v>0.2</v>
      </c>
      <c r="AE178">
        <f t="shared" si="30"/>
        <v>1287584.0388398087</v>
      </c>
      <c r="AF178">
        <f t="shared" si="31"/>
        <v>1</v>
      </c>
    </row>
    <row r="179" spans="1:32" x14ac:dyDescent="0.3">
      <c r="A179" s="2">
        <v>178</v>
      </c>
      <c r="B179">
        <f t="shared" si="34"/>
        <v>824147.0742192975</v>
      </c>
      <c r="C179" s="3">
        <v>0.08</v>
      </c>
      <c r="D179">
        <f t="shared" si="35"/>
        <v>5818478.3439882481</v>
      </c>
      <c r="Q179">
        <f t="shared" si="36"/>
        <v>5818478.3439882947</v>
      </c>
      <c r="R179">
        <f t="shared" si="37"/>
        <v>1078.0917957365834</v>
      </c>
      <c r="S179">
        <f t="shared" si="38"/>
        <v>32493305.437124301</v>
      </c>
      <c r="T179" s="3">
        <v>0.08</v>
      </c>
      <c r="V179">
        <f>SUM($R$2:R179)</f>
        <v>55951.623085803316</v>
      </c>
      <c r="W179">
        <f t="shared" si="39"/>
        <v>117.97668596508944</v>
      </c>
      <c r="Z179">
        <f t="shared" si="33"/>
        <v>1.4595621886413185E-5</v>
      </c>
      <c r="AA179" s="3">
        <v>0.3</v>
      </c>
      <c r="AB179">
        <f t="shared" si="29"/>
        <v>108311018.12374768</v>
      </c>
      <c r="AC179">
        <f t="shared" si="32"/>
        <v>6824195.4058509851</v>
      </c>
      <c r="AD179" s="3">
        <v>0.2</v>
      </c>
      <c r="AE179">
        <f t="shared" si="30"/>
        <v>1364839.0811701971</v>
      </c>
      <c r="AF179">
        <f t="shared" si="31"/>
        <v>1</v>
      </c>
    </row>
    <row r="180" spans="1:32" x14ac:dyDescent="0.3">
      <c r="A180" s="2">
        <v>179</v>
      </c>
      <c r="B180">
        <f t="shared" si="34"/>
        <v>890078.84015684132</v>
      </c>
      <c r="C180" s="3">
        <v>0.08</v>
      </c>
      <c r="D180">
        <f t="shared" si="35"/>
        <v>6283956.6115073077</v>
      </c>
      <c r="Q180">
        <f t="shared" si="36"/>
        <v>6283956.611507359</v>
      </c>
      <c r="R180">
        <f t="shared" si="37"/>
        <v>1098.433150373123</v>
      </c>
      <c r="S180">
        <f t="shared" si="38"/>
        <v>35092769.872094244</v>
      </c>
      <c r="T180" s="3">
        <v>0.08</v>
      </c>
      <c r="V180">
        <f>SUM($R$2:R180)</f>
        <v>57050.056236176439</v>
      </c>
      <c r="W180">
        <f t="shared" si="39"/>
        <v>120.29278504654924</v>
      </c>
      <c r="Z180">
        <f t="shared" si="33"/>
        <v>1.3514464709641839E-5</v>
      </c>
      <c r="AA180" s="3">
        <v>0.3</v>
      </c>
      <c r="AB180">
        <f t="shared" si="29"/>
        <v>116975899.57364748</v>
      </c>
      <c r="AC180">
        <f t="shared" si="32"/>
        <v>7233647.1302020447</v>
      </c>
      <c r="AD180" s="3">
        <v>0.2</v>
      </c>
      <c r="AE180">
        <f t="shared" si="30"/>
        <v>1446729.4260404091</v>
      </c>
      <c r="AF180">
        <f t="shared" si="31"/>
        <v>1</v>
      </c>
    </row>
    <row r="181" spans="1:32" x14ac:dyDescent="0.3">
      <c r="A181" s="2">
        <v>180</v>
      </c>
      <c r="B181">
        <f t="shared" si="34"/>
        <v>961285.14736938861</v>
      </c>
      <c r="C181" s="3">
        <v>0.08</v>
      </c>
      <c r="D181">
        <f t="shared" si="35"/>
        <v>6786673.1404278921</v>
      </c>
      <c r="Q181">
        <f t="shared" si="36"/>
        <v>6786673.1404279489</v>
      </c>
      <c r="R181">
        <f t="shared" si="37"/>
        <v>1119.1583041537478</v>
      </c>
      <c r="S181">
        <f t="shared" si="38"/>
        <v>37900191.461861789</v>
      </c>
      <c r="T181" s="3">
        <v>0.08</v>
      </c>
      <c r="V181">
        <f>SUM($R$2:R181)</f>
        <v>58169.214540330184</v>
      </c>
      <c r="W181">
        <f t="shared" si="39"/>
        <v>122.65258411067808</v>
      </c>
      <c r="Z181">
        <f t="shared" si="33"/>
        <v>1.2513393249668367E-5</v>
      </c>
      <c r="AA181" s="3">
        <v>0.3</v>
      </c>
      <c r="AB181">
        <f t="shared" si="29"/>
        <v>126333971.53953931</v>
      </c>
      <c r="AC181">
        <f t="shared" si="32"/>
        <v>7667665.9580141678</v>
      </c>
      <c r="AD181" s="3">
        <v>0.2</v>
      </c>
      <c r="AE181">
        <f t="shared" si="30"/>
        <v>1533533.1916028336</v>
      </c>
      <c r="AF181">
        <f t="shared" si="31"/>
        <v>1</v>
      </c>
    </row>
    <row r="182" spans="1:32" x14ac:dyDescent="0.3">
      <c r="A182" s="2">
        <v>181</v>
      </c>
      <c r="B182">
        <f t="shared" si="34"/>
        <v>1038187.9591589397</v>
      </c>
      <c r="C182" s="3">
        <v>0.08</v>
      </c>
      <c r="D182">
        <f t="shared" si="35"/>
        <v>7329606.9916621232</v>
      </c>
      <c r="Q182">
        <f t="shared" si="36"/>
        <v>7329606.9916621847</v>
      </c>
      <c r="R182">
        <f t="shared" si="37"/>
        <v>1140.2744985717432</v>
      </c>
      <c r="S182">
        <f t="shared" si="38"/>
        <v>40932206.778810732</v>
      </c>
      <c r="T182" s="3">
        <v>0.08</v>
      </c>
      <c r="V182">
        <f>SUM($R$2:R182)</f>
        <v>59309.489038901927</v>
      </c>
      <c r="W182">
        <f t="shared" si="39"/>
        <v>125.05690768545087</v>
      </c>
      <c r="Z182">
        <f t="shared" si="33"/>
        <v>1.1586475231174414E-5</v>
      </c>
      <c r="AA182" s="3">
        <v>0.3</v>
      </c>
      <c r="AB182">
        <f t="shared" si="29"/>
        <v>136440689.26270244</v>
      </c>
      <c r="AC182">
        <f t="shared" si="32"/>
        <v>8127725.9154950185</v>
      </c>
      <c r="AD182" s="3">
        <v>0.2</v>
      </c>
      <c r="AE182">
        <f t="shared" si="30"/>
        <v>1625545.1830990037</v>
      </c>
      <c r="AF182">
        <f t="shared" si="31"/>
        <v>1</v>
      </c>
    </row>
    <row r="183" spans="1:32" x14ac:dyDescent="0.3">
      <c r="A183" s="2">
        <v>182</v>
      </c>
      <c r="B183">
        <f t="shared" si="34"/>
        <v>1121242.9958916549</v>
      </c>
      <c r="C183" s="3">
        <v>0.08</v>
      </c>
      <c r="D183">
        <f t="shared" si="35"/>
        <v>7915975.5509950928</v>
      </c>
      <c r="Q183">
        <f t="shared" si="36"/>
        <v>7915975.550995159</v>
      </c>
      <c r="R183">
        <f t="shared" si="37"/>
        <v>1161.7891117523416</v>
      </c>
      <c r="S183">
        <f t="shared" si="38"/>
        <v>44206783.321115591</v>
      </c>
      <c r="T183" s="3">
        <v>0.08</v>
      </c>
      <c r="V183">
        <f>SUM($R$2:R183)</f>
        <v>60471.278150654267</v>
      </c>
      <c r="W183">
        <f t="shared" si="39"/>
        <v>127.50659585597408</v>
      </c>
      <c r="Z183">
        <f t="shared" si="33"/>
        <v>1.0728217806642976E-5</v>
      </c>
      <c r="AA183" s="3">
        <v>0.3</v>
      </c>
      <c r="AB183">
        <f t="shared" si="29"/>
        <v>147355944.40371865</v>
      </c>
      <c r="AC183">
        <f t="shared" si="32"/>
        <v>8615389.4704247192</v>
      </c>
      <c r="AD183" s="3">
        <v>0.2</v>
      </c>
      <c r="AE183">
        <f t="shared" si="30"/>
        <v>1723077.8940849439</v>
      </c>
      <c r="AF183">
        <f t="shared" si="31"/>
        <v>1</v>
      </c>
    </row>
    <row r="184" spans="1:32" x14ac:dyDescent="0.3">
      <c r="A184" s="2">
        <v>183</v>
      </c>
      <c r="B184">
        <f t="shared" si="34"/>
        <v>1210942.4355629873</v>
      </c>
      <c r="C184" s="3">
        <v>0.08</v>
      </c>
      <c r="D184">
        <f t="shared" si="35"/>
        <v>8549253.5950747002</v>
      </c>
      <c r="Q184">
        <f t="shared" si="36"/>
        <v>8549253.5950747747</v>
      </c>
      <c r="R184">
        <f t="shared" si="37"/>
        <v>1183.7096610306878</v>
      </c>
      <c r="S184">
        <f t="shared" si="38"/>
        <v>47743325.986804843</v>
      </c>
      <c r="T184" s="3">
        <v>0.08</v>
      </c>
      <c r="V184">
        <f>SUM($R$2:R184)</f>
        <v>61654.987811684958</v>
      </c>
      <c r="W184">
        <f t="shared" si="39"/>
        <v>130.00250455801662</v>
      </c>
      <c r="Z184">
        <f t="shared" si="33"/>
        <v>9.9335350061509023E-6</v>
      </c>
      <c r="AA184" s="3">
        <v>0.3</v>
      </c>
      <c r="AB184">
        <f t="shared" si="29"/>
        <v>159144419.95601615</v>
      </c>
      <c r="AC184">
        <f t="shared" si="32"/>
        <v>9132312.8386502024</v>
      </c>
      <c r="AD184" s="3">
        <v>0.2</v>
      </c>
      <c r="AE184">
        <f t="shared" si="30"/>
        <v>1826462.5677300405</v>
      </c>
      <c r="AF184">
        <f t="shared" si="31"/>
        <v>1</v>
      </c>
    </row>
    <row r="185" spans="1:32" x14ac:dyDescent="0.3">
      <c r="A185" s="2">
        <v>184</v>
      </c>
      <c r="B185">
        <f t="shared" si="34"/>
        <v>1307817.8304080262</v>
      </c>
      <c r="C185" s="3">
        <v>0.08</v>
      </c>
      <c r="D185">
        <f t="shared" si="35"/>
        <v>9233193.8826806769</v>
      </c>
      <c r="Q185">
        <f t="shared" si="36"/>
        <v>9233193.8826807551</v>
      </c>
      <c r="R185">
        <f t="shared" si="37"/>
        <v>1206.0438055784366</v>
      </c>
      <c r="S185">
        <f t="shared" si="38"/>
        <v>51562792.065749235</v>
      </c>
      <c r="T185" s="3">
        <v>0.08</v>
      </c>
      <c r="V185">
        <f>SUM($R$2:R185)</f>
        <v>62861.031617263397</v>
      </c>
      <c r="W185">
        <f t="shared" si="39"/>
        <v>132.54550587707882</v>
      </c>
      <c r="Z185">
        <f t="shared" si="33"/>
        <v>9.1977175982878715E-6</v>
      </c>
      <c r="AA185" s="3">
        <v>0.3</v>
      </c>
      <c r="AB185">
        <f t="shared" si="29"/>
        <v>171875973.55249745</v>
      </c>
      <c r="AC185">
        <f t="shared" si="32"/>
        <v>9680251.6089692153</v>
      </c>
      <c r="AD185" s="3">
        <v>0.2</v>
      </c>
      <c r="AE185">
        <f t="shared" si="30"/>
        <v>1936050.3217938431</v>
      </c>
      <c r="AF185">
        <f t="shared" si="31"/>
        <v>1</v>
      </c>
    </row>
    <row r="186" spans="1:32" x14ac:dyDescent="0.3">
      <c r="A186" s="2">
        <v>185</v>
      </c>
      <c r="B186">
        <f t="shared" si="34"/>
        <v>1412443.2568406684</v>
      </c>
      <c r="C186" s="3">
        <v>0.08</v>
      </c>
      <c r="D186">
        <f t="shared" si="35"/>
        <v>9971849.3932951316</v>
      </c>
      <c r="Q186">
        <f t="shared" si="36"/>
        <v>9971849.3932952154</v>
      </c>
      <c r="R186">
        <f t="shared" si="37"/>
        <v>1228.799349079917</v>
      </c>
      <c r="S186">
        <f t="shared" si="38"/>
        <v>55687815.431009181</v>
      </c>
      <c r="T186" s="3">
        <v>0.08</v>
      </c>
      <c r="V186">
        <f>SUM($R$2:R186)</f>
        <v>64089.830966343317</v>
      </c>
      <c r="W186">
        <f t="shared" si="39"/>
        <v>135.13648835310445</v>
      </c>
      <c r="Z186">
        <f t="shared" si="33"/>
        <v>8.5164051835998808E-6</v>
      </c>
      <c r="AA186" s="3">
        <v>0.3</v>
      </c>
      <c r="AB186">
        <f t="shared" si="29"/>
        <v>185626051.43669727</v>
      </c>
      <c r="AC186">
        <f t="shared" si="32"/>
        <v>10261066.705507368</v>
      </c>
      <c r="AD186" s="3">
        <v>0.2</v>
      </c>
      <c r="AE186">
        <f t="shared" si="30"/>
        <v>2052213.3411014737</v>
      </c>
      <c r="AF186">
        <f t="shared" si="31"/>
        <v>1</v>
      </c>
    </row>
    <row r="187" spans="1:32" x14ac:dyDescent="0.3">
      <c r="A187" s="2">
        <v>186</v>
      </c>
      <c r="B187">
        <f t="shared" si="34"/>
        <v>1525438.7173879219</v>
      </c>
      <c r="C187" s="3">
        <v>0.08</v>
      </c>
      <c r="D187">
        <f t="shared" si="35"/>
        <v>10769597.344758742</v>
      </c>
      <c r="Q187">
        <f t="shared" si="36"/>
        <v>10769597.344758835</v>
      </c>
      <c r="R187">
        <f t="shared" si="37"/>
        <v>1251.9842424587835</v>
      </c>
      <c r="S187">
        <f t="shared" si="38"/>
        <v>60142840.665489919</v>
      </c>
      <c r="T187" s="3">
        <v>0.08</v>
      </c>
      <c r="V187">
        <f>SUM($R$2:R187)</f>
        <v>65341.815208802102</v>
      </c>
      <c r="W187">
        <f t="shared" si="39"/>
        <v>137.77635729094189</v>
      </c>
      <c r="Z187">
        <f t="shared" si="33"/>
        <v>7.885560355185074E-6</v>
      </c>
      <c r="AA187" s="3">
        <v>0.3</v>
      </c>
      <c r="AB187">
        <f t="shared" si="29"/>
        <v>200476135.55163306</v>
      </c>
      <c r="AC187">
        <f t="shared" si="32"/>
        <v>10876730.707837811</v>
      </c>
      <c r="AD187" s="3">
        <v>0.2</v>
      </c>
      <c r="AE187">
        <f t="shared" si="30"/>
        <v>2175346.1415675622</v>
      </c>
      <c r="AF187">
        <f t="shared" si="31"/>
        <v>1</v>
      </c>
    </row>
    <row r="188" spans="1:32" x14ac:dyDescent="0.3">
      <c r="A188" s="2">
        <v>187</v>
      </c>
      <c r="B188">
        <f t="shared" si="34"/>
        <v>1647473.8147789557</v>
      </c>
      <c r="C188" s="3">
        <v>0.08</v>
      </c>
      <c r="D188">
        <f t="shared" si="35"/>
        <v>11631165.13233944</v>
      </c>
      <c r="Q188">
        <f t="shared" si="36"/>
        <v>11631165.132339541</v>
      </c>
      <c r="R188">
        <f t="shared" si="37"/>
        <v>1275.6065866561191</v>
      </c>
      <c r="S188">
        <f t="shared" si="38"/>
        <v>64954267.918729119</v>
      </c>
      <c r="T188" s="3">
        <v>0.08</v>
      </c>
      <c r="V188">
        <f>SUM($R$2:R188)</f>
        <v>66617.421795458227</v>
      </c>
      <c r="W188">
        <f t="shared" si="39"/>
        <v>140.46603507666308</v>
      </c>
      <c r="Z188">
        <f t="shared" si="33"/>
        <v>7.3014447733195125E-6</v>
      </c>
      <c r="AA188" s="3">
        <v>0.3</v>
      </c>
      <c r="AB188">
        <f t="shared" si="29"/>
        <v>216514226.39576373</v>
      </c>
      <c r="AC188">
        <f t="shared" si="32"/>
        <v>11529334.55030808</v>
      </c>
      <c r="AD188" s="3">
        <v>0.2</v>
      </c>
      <c r="AE188">
        <f t="shared" si="30"/>
        <v>2305866.910061616</v>
      </c>
      <c r="AF188">
        <f t="shared" si="31"/>
        <v>1</v>
      </c>
    </row>
    <row r="189" spans="1:32" x14ac:dyDescent="0.3">
      <c r="A189" s="2">
        <v>188</v>
      </c>
      <c r="B189">
        <f t="shared" si="34"/>
        <v>1779271.7199612721</v>
      </c>
      <c r="C189" s="3">
        <v>0.08</v>
      </c>
      <c r="D189">
        <f t="shared" si="35"/>
        <v>12561658.342926595</v>
      </c>
      <c r="Q189">
        <f t="shared" si="36"/>
        <v>12561658.342926703</v>
      </c>
      <c r="R189">
        <f t="shared" si="37"/>
        <v>1299.6746354609513</v>
      </c>
      <c r="S189">
        <f t="shared" si="38"/>
        <v>70150609.352227449</v>
      </c>
      <c r="T189" s="3">
        <v>0.08</v>
      </c>
      <c r="V189">
        <f>SUM($R$2:R189)</f>
        <v>67917.096430919177</v>
      </c>
      <c r="W189">
        <f t="shared" si="39"/>
        <v>143.20646149985066</v>
      </c>
      <c r="Z189">
        <f t="shared" si="33"/>
        <v>6.7605970123328813E-6</v>
      </c>
      <c r="AA189" s="3">
        <v>0.3</v>
      </c>
      <c r="AB189">
        <f t="shared" si="29"/>
        <v>233835364.50742483</v>
      </c>
      <c r="AC189">
        <f t="shared" si="32"/>
        <v>12221094.623326566</v>
      </c>
      <c r="AD189" s="3">
        <v>0.2</v>
      </c>
      <c r="AE189">
        <f t="shared" si="30"/>
        <v>2444218.9246653132</v>
      </c>
      <c r="AF189">
        <f t="shared" si="31"/>
        <v>1</v>
      </c>
    </row>
    <row r="190" spans="1:32" x14ac:dyDescent="0.3">
      <c r="A190" s="2">
        <v>189</v>
      </c>
      <c r="B190">
        <f t="shared" si="34"/>
        <v>1921613.4575581739</v>
      </c>
      <c r="C190" s="3">
        <v>0.08</v>
      </c>
      <c r="D190">
        <f t="shared" si="35"/>
        <v>13566591.010360723</v>
      </c>
      <c r="Q190">
        <f t="shared" si="36"/>
        <v>13566591.010360841</v>
      </c>
      <c r="R190">
        <f t="shared" si="37"/>
        <v>1324.1967983941768</v>
      </c>
      <c r="S190">
        <f t="shared" si="38"/>
        <v>75762658.100405648</v>
      </c>
      <c r="T190" s="3">
        <v>0.08</v>
      </c>
      <c r="V190">
        <f>SUM($R$2:R190)</f>
        <v>69241.293229313349</v>
      </c>
      <c r="W190">
        <f t="shared" si="39"/>
        <v>145.99859408196633</v>
      </c>
      <c r="Z190">
        <f t="shared" si="33"/>
        <v>6.2598120484563715E-6</v>
      </c>
      <c r="AA190" s="3">
        <v>0.3</v>
      </c>
      <c r="AB190">
        <f t="shared" si="29"/>
        <v>252542193.66801885</v>
      </c>
      <c r="AC190">
        <f t="shared" si="32"/>
        <v>12954360.30072616</v>
      </c>
      <c r="AD190" s="3">
        <v>0.2</v>
      </c>
      <c r="AE190">
        <f t="shared" si="30"/>
        <v>2590872.0601452324</v>
      </c>
      <c r="AF190">
        <f t="shared" si="31"/>
        <v>1</v>
      </c>
    </row>
    <row r="191" spans="1:32" x14ac:dyDescent="0.3">
      <c r="A191" s="2">
        <v>190</v>
      </c>
      <c r="B191">
        <f t="shared" si="34"/>
        <v>2075342.5341628278</v>
      </c>
      <c r="C191" s="3">
        <v>0.08</v>
      </c>
      <c r="D191">
        <f t="shared" si="35"/>
        <v>14651918.291189581</v>
      </c>
      <c r="Q191">
        <f t="shared" si="36"/>
        <v>14651918.291189708</v>
      </c>
      <c r="R191">
        <f t="shared" si="37"/>
        <v>1349.1816436468969</v>
      </c>
      <c r="S191">
        <f t="shared" si="38"/>
        <v>81823670.748438105</v>
      </c>
      <c r="T191" s="3">
        <v>0.08</v>
      </c>
      <c r="V191">
        <f>SUM($R$2:R191)</f>
        <v>70590.474872960243</v>
      </c>
      <c r="W191">
        <f t="shared" si="39"/>
        <v>148.84340841091435</v>
      </c>
      <c r="Z191">
        <f t="shared" si="33"/>
        <v>5.7961222670892322E-6</v>
      </c>
      <c r="AA191" s="3">
        <v>0.3</v>
      </c>
      <c r="AB191">
        <f t="shared" si="29"/>
        <v>272745569.16146034</v>
      </c>
      <c r="AC191">
        <f t="shared" si="32"/>
        <v>13731621.91876973</v>
      </c>
      <c r="AD191" s="3">
        <v>0.2</v>
      </c>
      <c r="AE191">
        <f t="shared" si="30"/>
        <v>2746324.3837539461</v>
      </c>
      <c r="AF191">
        <f t="shared" si="31"/>
        <v>1</v>
      </c>
    </row>
    <row r="192" spans="1:32" x14ac:dyDescent="0.3">
      <c r="A192" s="2">
        <v>191</v>
      </c>
      <c r="B192">
        <f t="shared" si="34"/>
        <v>2241369.9368958538</v>
      </c>
      <c r="C192" s="3">
        <v>0.08</v>
      </c>
      <c r="D192">
        <f t="shared" si="35"/>
        <v>15824071.754484748</v>
      </c>
      <c r="Q192">
        <f t="shared" si="36"/>
        <v>15824071.754484888</v>
      </c>
      <c r="R192">
        <f t="shared" si="37"/>
        <v>1374.6379010741969</v>
      </c>
      <c r="S192">
        <f t="shared" si="38"/>
        <v>88369564.408313155</v>
      </c>
      <c r="T192" s="3">
        <v>0.08</v>
      </c>
      <c r="V192">
        <f>SUM($R$2:R192)</f>
        <v>71965.112774034438</v>
      </c>
      <c r="W192">
        <f t="shared" si="39"/>
        <v>151.74189848191801</v>
      </c>
      <c r="Z192">
        <f t="shared" si="33"/>
        <v>5.3667798769344741E-6</v>
      </c>
      <c r="AA192" s="3">
        <v>0.3</v>
      </c>
      <c r="AB192">
        <f t="shared" si="29"/>
        <v>294565214.69437718</v>
      </c>
      <c r="AC192">
        <f t="shared" si="32"/>
        <v>14555519.233895915</v>
      </c>
      <c r="AD192" s="3">
        <v>0.2</v>
      </c>
      <c r="AE192">
        <f t="shared" si="30"/>
        <v>2911103.846779183</v>
      </c>
      <c r="AF192">
        <f t="shared" si="31"/>
        <v>1</v>
      </c>
    </row>
    <row r="193" spans="1:32" x14ac:dyDescent="0.3">
      <c r="A193" s="2">
        <v>192</v>
      </c>
      <c r="B193">
        <f t="shared" si="34"/>
        <v>2420679.5318475221</v>
      </c>
      <c r="C193" s="3">
        <v>0.08</v>
      </c>
      <c r="D193">
        <f t="shared" si="35"/>
        <v>17089997.494843528</v>
      </c>
      <c r="Q193">
        <f t="shared" si="36"/>
        <v>17089997.494843684</v>
      </c>
      <c r="R193">
        <f t="shared" si="37"/>
        <v>1400.574465245408</v>
      </c>
      <c r="S193">
        <f t="shared" si="38"/>
        <v>95439129.560978219</v>
      </c>
      <c r="T193" s="3">
        <v>0.08</v>
      </c>
      <c r="V193">
        <f>SUM($R$2:R193)</f>
        <v>73365.68723927984</v>
      </c>
      <c r="W193">
        <f t="shared" si="39"/>
        <v>154.6950770448274</v>
      </c>
      <c r="Z193">
        <f t="shared" si="33"/>
        <v>4.9692406267911792E-6</v>
      </c>
      <c r="AA193" s="3">
        <v>0.3</v>
      </c>
      <c r="AB193">
        <f t="shared" si="29"/>
        <v>318130431.86992741</v>
      </c>
      <c r="AC193">
        <f t="shared" si="32"/>
        <v>15428850.387929671</v>
      </c>
      <c r="AD193" s="3">
        <v>0.2</v>
      </c>
      <c r="AE193">
        <f t="shared" si="30"/>
        <v>3085770.0775859342</v>
      </c>
      <c r="AF193">
        <f t="shared" si="31"/>
        <v>1</v>
      </c>
    </row>
    <row r="194" spans="1:32" x14ac:dyDescent="0.3">
      <c r="A194" s="2">
        <v>193</v>
      </c>
      <c r="B194">
        <f t="shared" si="34"/>
        <v>2614333.8943953239</v>
      </c>
      <c r="C194" s="3">
        <v>0.08</v>
      </c>
      <c r="D194">
        <f t="shared" si="35"/>
        <v>18457197.294431008</v>
      </c>
      <c r="Q194">
        <f t="shared" si="36"/>
        <v>18457197.294431176</v>
      </c>
      <c r="R194">
        <f t="shared" si="37"/>
        <v>1427.0003985519259</v>
      </c>
      <c r="S194">
        <f t="shared" si="38"/>
        <v>103074259.92585649</v>
      </c>
      <c r="T194" s="3">
        <v>0.08</v>
      </c>
      <c r="V194">
        <f>SUM($R$2:R194)</f>
        <v>74792.687637831768</v>
      </c>
      <c r="W194">
        <f t="shared" si="39"/>
        <v>157.70397595798036</v>
      </c>
      <c r="Z194">
        <f t="shared" si="33"/>
        <v>4.6011487285103514E-6</v>
      </c>
      <c r="AA194" s="3">
        <v>0.3</v>
      </c>
      <c r="AB194">
        <f t="shared" si="29"/>
        <v>343580866.41952163</v>
      </c>
      <c r="AC194">
        <f t="shared" si="32"/>
        <v>16354581.411205452</v>
      </c>
      <c r="AD194" s="3">
        <v>0.2</v>
      </c>
      <c r="AE194">
        <f t="shared" si="30"/>
        <v>3270916.2822410907</v>
      </c>
      <c r="AF194">
        <f t="shared" si="31"/>
        <v>1</v>
      </c>
    </row>
    <row r="195" spans="1:32" x14ac:dyDescent="0.3">
      <c r="A195" s="2">
        <v>194</v>
      </c>
      <c r="B195">
        <f t="shared" si="34"/>
        <v>2823480.6059469497</v>
      </c>
      <c r="C195" s="3">
        <v>0.08</v>
      </c>
      <c r="D195">
        <f t="shared" si="35"/>
        <v>19933773.077985488</v>
      </c>
      <c r="Q195">
        <f t="shared" si="36"/>
        <v>19933773.077985674</v>
      </c>
      <c r="R195">
        <f t="shared" si="37"/>
        <v>1453.9249343736603</v>
      </c>
      <c r="S195">
        <f t="shared" si="38"/>
        <v>111320200.71992502</v>
      </c>
      <c r="T195" s="3">
        <v>0.08</v>
      </c>
      <c r="V195">
        <f>SUM($R$2:R195)</f>
        <v>76246.612572205428</v>
      </c>
      <c r="W195">
        <f t="shared" si="39"/>
        <v>160.76964654873998</v>
      </c>
      <c r="Z195">
        <f t="shared" si="33"/>
        <v>4.2603228967688431E-6</v>
      </c>
      <c r="AA195" s="3">
        <v>0.3</v>
      </c>
      <c r="AB195">
        <f t="shared" ref="AB195:AB201" si="40">S195/AA195</f>
        <v>371067335.73308343</v>
      </c>
      <c r="AC195">
        <f t="shared" si="32"/>
        <v>17335856.295877781</v>
      </c>
      <c r="AD195" s="3">
        <v>0.2</v>
      </c>
      <c r="AE195">
        <f t="shared" ref="AE195:AE201" si="41">AC195*AD195</f>
        <v>3467171.2591755562</v>
      </c>
      <c r="AF195">
        <f t="shared" ref="AF195:AF201" si="42">IF(AB195&gt;AE195, 1, 0)</f>
        <v>1</v>
      </c>
    </row>
    <row r="196" spans="1:32" x14ac:dyDescent="0.3">
      <c r="A196" s="2">
        <v>195</v>
      </c>
      <c r="B196">
        <f t="shared" si="34"/>
        <v>3049359.0544227054</v>
      </c>
      <c r="C196" s="3">
        <v>0.08</v>
      </c>
      <c r="D196">
        <f t="shared" si="35"/>
        <v>21528474.924224328</v>
      </c>
      <c r="Q196">
        <f t="shared" si="36"/>
        <v>21528474.924224526</v>
      </c>
      <c r="R196">
        <f t="shared" si="37"/>
        <v>1481.3574803052388</v>
      </c>
      <c r="S196">
        <f t="shared" si="38"/>
        <v>120225816.77751903</v>
      </c>
      <c r="T196" s="3">
        <v>0.08</v>
      </c>
      <c r="V196">
        <f>SUM($R$2:R196)</f>
        <v>77727.97005251066</v>
      </c>
      <c r="W196">
        <f t="shared" si="39"/>
        <v>163.8931599808347</v>
      </c>
      <c r="Z196">
        <f t="shared" si="33"/>
        <v>3.9447434229341137E-6</v>
      </c>
      <c r="AA196" s="3">
        <v>0.3</v>
      </c>
      <c r="AB196">
        <f t="shared" si="40"/>
        <v>400752722.59173012</v>
      </c>
      <c r="AC196">
        <f t="shared" ref="AC196:AC201" si="43">AC195*(1+$U$2)</f>
        <v>18376007.67363045</v>
      </c>
      <c r="AD196" s="3">
        <v>0.2</v>
      </c>
      <c r="AE196">
        <f t="shared" si="41"/>
        <v>3675201.5347260903</v>
      </c>
      <c r="AF196">
        <f t="shared" si="42"/>
        <v>1</v>
      </c>
    </row>
    <row r="197" spans="1:32" x14ac:dyDescent="0.3">
      <c r="A197" s="2">
        <v>196</v>
      </c>
      <c r="B197">
        <f t="shared" si="34"/>
        <v>3293307.7787765218</v>
      </c>
      <c r="C197" s="3">
        <v>0.08</v>
      </c>
      <c r="D197">
        <f t="shared" si="35"/>
        <v>23250752.918162275</v>
      </c>
      <c r="Q197">
        <f t="shared" si="36"/>
        <v>23250752.918162487</v>
      </c>
      <c r="R197">
        <f t="shared" si="37"/>
        <v>1509.3076214430735</v>
      </c>
      <c r="S197">
        <f t="shared" si="38"/>
        <v>129843882.11972056</v>
      </c>
      <c r="T197" s="3">
        <v>0.08</v>
      </c>
      <c r="V197">
        <f>SUM($R$2:R197)</f>
        <v>79237.277673953737</v>
      </c>
      <c r="W197">
        <f t="shared" si="39"/>
        <v>167.07560762862931</v>
      </c>
      <c r="Z197">
        <f t="shared" si="33"/>
        <v>3.6525402064204753E-6</v>
      </c>
      <c r="AA197" s="3">
        <v>0.3</v>
      </c>
      <c r="AB197">
        <f t="shared" si="40"/>
        <v>432812940.39906853</v>
      </c>
      <c r="AC197">
        <f t="shared" si="43"/>
        <v>19478568.134048279</v>
      </c>
      <c r="AD197" s="3">
        <v>0.2</v>
      </c>
      <c r="AE197">
        <f t="shared" si="41"/>
        <v>3895713.6268096562</v>
      </c>
      <c r="AF197">
        <f t="shared" si="42"/>
        <v>1</v>
      </c>
    </row>
    <row r="198" spans="1:32" x14ac:dyDescent="0.3">
      <c r="A198" s="2">
        <v>197</v>
      </c>
      <c r="B198">
        <f t="shared" si="34"/>
        <v>3556772.4010786437</v>
      </c>
      <c r="C198" s="3">
        <v>0.08</v>
      </c>
      <c r="D198">
        <f t="shared" si="35"/>
        <v>25110813.151615258</v>
      </c>
      <c r="Q198">
        <f t="shared" si="36"/>
        <v>25110813.151615489</v>
      </c>
      <c r="R198">
        <f t="shared" si="37"/>
        <v>1537.7851237344521</v>
      </c>
      <c r="S198">
        <f t="shared" si="38"/>
        <v>140231392.68929821</v>
      </c>
      <c r="T198" s="3">
        <v>0.08</v>
      </c>
      <c r="V198">
        <f>SUM($R$2:R198)</f>
        <v>80775.062797688195</v>
      </c>
      <c r="W198">
        <f t="shared" si="39"/>
        <v>170.31810145845779</v>
      </c>
      <c r="Z198">
        <f t="shared" si="33"/>
        <v>3.381981672611551E-6</v>
      </c>
      <c r="AA198" s="3">
        <v>0.3</v>
      </c>
      <c r="AB198">
        <f t="shared" si="40"/>
        <v>467437975.63099408</v>
      </c>
      <c r="AC198">
        <f t="shared" si="43"/>
        <v>20647282.222091176</v>
      </c>
      <c r="AD198" s="3">
        <v>0.2</v>
      </c>
      <c r="AE198">
        <f t="shared" si="41"/>
        <v>4129456.4444182352</v>
      </c>
      <c r="AF198">
        <f t="shared" si="42"/>
        <v>1</v>
      </c>
    </row>
    <row r="199" spans="1:32" x14ac:dyDescent="0.3">
      <c r="A199" s="2">
        <v>198</v>
      </c>
      <c r="B199">
        <f t="shared" si="34"/>
        <v>3841314.1931649353</v>
      </c>
      <c r="C199" s="3">
        <v>0.08</v>
      </c>
      <c r="D199">
        <f t="shared" si="35"/>
        <v>27119678.203744479</v>
      </c>
      <c r="Q199">
        <f t="shared" si="36"/>
        <v>27119678.203744728</v>
      </c>
      <c r="R199">
        <f t="shared" si="37"/>
        <v>1566.7999373898194</v>
      </c>
      <c r="S199">
        <f t="shared" si="38"/>
        <v>151449904.10444209</v>
      </c>
      <c r="T199" s="3">
        <v>0.08</v>
      </c>
      <c r="V199">
        <f>SUM($R$2:R199)</f>
        <v>82341.862735078015</v>
      </c>
      <c r="W199">
        <f t="shared" si="39"/>
        <v>173.62177441715096</v>
      </c>
      <c r="Z199">
        <f t="shared" si="33"/>
        <v>3.1314645116773618E-6</v>
      </c>
      <c r="AA199" s="3">
        <v>0.3</v>
      </c>
      <c r="AB199">
        <f t="shared" si="40"/>
        <v>504833013.68147367</v>
      </c>
      <c r="AC199">
        <f t="shared" si="43"/>
        <v>21886119.155416649</v>
      </c>
      <c r="AD199" s="3">
        <v>0.2</v>
      </c>
      <c r="AE199">
        <f t="shared" si="41"/>
        <v>4377223.8310833303</v>
      </c>
      <c r="AF199">
        <f t="shared" si="42"/>
        <v>1</v>
      </c>
    </row>
    <row r="200" spans="1:32" x14ac:dyDescent="0.3">
      <c r="A200" s="2">
        <v>199</v>
      </c>
      <c r="B200">
        <f t="shared" si="34"/>
        <v>4148619.3286181302</v>
      </c>
      <c r="C200" s="3">
        <v>0.08</v>
      </c>
      <c r="D200">
        <f t="shared" si="35"/>
        <v>29289252.460044038</v>
      </c>
      <c r="Q200">
        <f t="shared" si="36"/>
        <v>29289252.460044313</v>
      </c>
      <c r="R200">
        <f t="shared" si="37"/>
        <v>1596.3622003594385</v>
      </c>
      <c r="S200">
        <f t="shared" si="38"/>
        <v>163565896.43279746</v>
      </c>
      <c r="T200" s="3">
        <v>0.08</v>
      </c>
      <c r="V200">
        <f>SUM($R$2:R200)</f>
        <v>83938.224935437451</v>
      </c>
      <c r="W200">
        <f t="shared" si="39"/>
        <v>176.98778082789494</v>
      </c>
      <c r="Z200">
        <f t="shared" si="33"/>
        <v>2.8995041774790384E-6</v>
      </c>
      <c r="AA200" s="3">
        <v>0.3</v>
      </c>
      <c r="AB200">
        <f t="shared" si="40"/>
        <v>545219654.77599156</v>
      </c>
      <c r="AC200">
        <f t="shared" si="43"/>
        <v>23199286.304741647</v>
      </c>
      <c r="AD200" s="3">
        <v>0.2</v>
      </c>
      <c r="AE200">
        <f t="shared" si="41"/>
        <v>4639857.2609483292</v>
      </c>
      <c r="AF200">
        <f t="shared" si="42"/>
        <v>1</v>
      </c>
    </row>
    <row r="201" spans="1:32" x14ac:dyDescent="0.3">
      <c r="A201" s="2">
        <v>200</v>
      </c>
      <c r="B201">
        <f>B200+B200*C200</f>
        <v>4480508.8749075802</v>
      </c>
      <c r="C201" s="3">
        <v>0.08</v>
      </c>
      <c r="D201">
        <f>D200+D200*C200</f>
        <v>31632392.656847559</v>
      </c>
      <c r="Q201">
        <f>$D$2*((1+$C$2)^A200)</f>
        <v>31632392.656847857</v>
      </c>
      <c r="R201">
        <f>S201/((1+$U$2)^A200)</f>
        <v>1626.4822418756539</v>
      </c>
      <c r="S201">
        <f>S200*(1+T200)</f>
        <v>176651168.14742127</v>
      </c>
      <c r="T201" s="3">
        <v>0.08</v>
      </c>
      <c r="V201">
        <f>SUM($R$2:R201)</f>
        <v>85564.707177313103</v>
      </c>
      <c r="W201">
        <f>V201/$W$2</f>
        <v>180.41729679355862</v>
      </c>
      <c r="Z201">
        <f t="shared" si="33"/>
        <v>2.6847260902583686E-6</v>
      </c>
      <c r="AA201" s="3">
        <v>0.3</v>
      </c>
      <c r="AB201">
        <f t="shared" si="40"/>
        <v>588837227.15807092</v>
      </c>
      <c r="AC201">
        <f t="shared" si="43"/>
        <v>24591243.483026147</v>
      </c>
      <c r="AD201" s="3">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3.5" x14ac:dyDescent="0.3"/>
  <sheetData>
    <row r="3" spans="3:3" x14ac:dyDescent="0.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52388</xdr:colOff>
                <xdr:row>37</xdr:row>
                <xdr:rowOff>52388</xdr:rowOff>
              </from>
              <to>
                <xdr:col>15</xdr:col>
                <xdr:colOff>547688</xdr:colOff>
                <xdr:row>59</xdr:row>
                <xdr:rowOff>90488</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100013</xdr:colOff>
                <xdr:row>1</xdr:row>
                <xdr:rowOff>38100</xdr:rowOff>
              </from>
              <to>
                <xdr:col>25</xdr:col>
                <xdr:colOff>461963</xdr:colOff>
                <xdr:row>36</xdr:row>
                <xdr:rowOff>100013</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166688</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固态电池综述</vt:lpstr>
      <vt:lpstr>正极上游材料</vt:lpstr>
      <vt:lpstr>正极材料</vt:lpstr>
      <vt:lpstr>负极上游材料</vt:lpstr>
      <vt:lpstr>负极材料</vt:lpstr>
      <vt:lpstr>电解质原材料</vt:lpstr>
      <vt:lpstr>固态电解质</vt:lpstr>
      <vt:lpstr>导电剂-碳纳米管</vt:lpstr>
      <vt:lpstr>固态电池厂家</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hxffish@163.com</cp:lastModifiedBy>
  <dcterms:created xsi:type="dcterms:W3CDTF">2018-08-09T11:49:58Z</dcterms:created>
  <dcterms:modified xsi:type="dcterms:W3CDTF">2024-04-14T11:39:32Z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