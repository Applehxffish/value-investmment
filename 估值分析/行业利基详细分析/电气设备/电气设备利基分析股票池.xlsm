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8Investment\value-investment\估值分析\行业利基详细分析\电气设备\"/>
    </mc:Choice>
  </mc:AlternateContent>
  <xr:revisionPtr revIDLastSave="0" documentId="13_ncr:1_{30466D17-63F4-41E5-9DC3-AC5DDC2E96C6}" xr6:coauthVersionLast="47" xr6:coauthVersionMax="47" xr10:uidLastSave="{00000000-0000-0000-0000-000000000000}"/>
  <bookViews>
    <workbookView xWindow="-120" yWindow="-120" windowWidth="29040" windowHeight="15720" activeTab="3" xr2:uid="{00000000-000D-0000-FFFF-FFFF00000000}"/>
  </bookViews>
  <sheets>
    <sheet name="海底光电缆" sheetId="45" r:id="rId1"/>
    <sheet name="光纤光缆" sheetId="46" r:id="rId2"/>
    <sheet name="电线电缆" sheetId="47" r:id="rId3"/>
    <sheet name="功率电源" sheetId="48" r:id="rId4"/>
    <sheet name="公司价值折现" sheetId="42" r:id="rId5"/>
    <sheet name="基本面模型"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<sst xmlns="http://schemas.openxmlformats.org/spreadsheetml/2006/main" count="3142" uniqueCount="1874">
  <si>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</si>
  <si>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</si>
  <si>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</si>
  <si>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</si>
  <si>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</si>
  <si>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</si>
  <si>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</si>
  <si>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</si>
  <si>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</si>
  <si>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</si>
  <si>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</si>
  <si>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</si>
  <si>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</si>
  <si>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</si>
  <si>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</si>
  <si>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</si>
  <si>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</si>
  <si>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</si>
  <si>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</si>
  <si>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</si>
  <si>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</si>
  <si>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</si>
  <si>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</si>
  <si>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</si>
  <si>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</si>
  <si>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</si>
  <si>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</si>
  <si>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</si>
  <si>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</si>
  <si>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</si>
  <si>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1.35亿</t>
  </si>
  <si>
    <t>4.85亿</t>
  </si>
  <si>
    <t>2.87亿</t>
  </si>
  <si>
    <t>2.51亿</t>
  </si>
  <si>
    <t>5.31亿</t>
  </si>
  <si>
    <t>2.18亿</t>
  </si>
  <si>
    <t>1.94亿</t>
  </si>
  <si>
    <t>0亿</t>
  </si>
  <si>
    <t>1.03亿</t>
  </si>
  <si>
    <t>1.13亿</t>
  </si>
  <si>
    <t>4.01亿</t>
  </si>
  <si>
    <t>1.16亿</t>
  </si>
  <si>
    <t>1.48亿</t>
  </si>
  <si>
    <t>1.65亿</t>
  </si>
  <si>
    <t>1.69亿</t>
  </si>
  <si>
    <t>4.25亿</t>
  </si>
  <si>
    <t>1.51亿</t>
  </si>
  <si>
    <t>4.35亿</t>
  </si>
  <si>
    <t>2.30亿</t>
  </si>
  <si>
    <t>3.27亿</t>
  </si>
  <si>
    <t>2.50亿</t>
  </si>
  <si>
    <t>1.92亿</t>
  </si>
  <si>
    <t>1.20亿</t>
  </si>
  <si>
    <t>1.88亿</t>
  </si>
  <si>
    <t>1.90亿</t>
  </si>
  <si>
    <t>2.43亿</t>
  </si>
  <si>
    <t>1.81亿</t>
  </si>
  <si>
    <t>1.59亿</t>
  </si>
  <si>
    <t>2.09亿</t>
  </si>
  <si>
    <t>4.17亿</t>
  </si>
  <si>
    <t>2.27亿</t>
  </si>
  <si>
    <t>1.33亿</t>
  </si>
  <si>
    <t>1.14亿</t>
  </si>
  <si>
    <t>1.05亿</t>
  </si>
  <si>
    <t>1.24亿</t>
  </si>
  <si>
    <t>1.98亿</t>
  </si>
  <si>
    <t>4.37亿</t>
  </si>
  <si>
    <t>1.54亿</t>
  </si>
  <si>
    <t>2.24亿</t>
  </si>
  <si>
    <t>1.71亿</t>
  </si>
  <si>
    <t>13.23亿</t>
  </si>
  <si>
    <t>1.77亿</t>
  </si>
  <si>
    <t>1.08亿</t>
  </si>
  <si>
    <t>23.66亿</t>
  </si>
  <si>
    <t>8.87亿</t>
  </si>
  <si>
    <t>4.00亿</t>
  </si>
  <si>
    <t>2.23亿</t>
  </si>
  <si>
    <t>3.31亿</t>
  </si>
  <si>
    <t>5.83亿</t>
  </si>
  <si>
    <t>2.80亿</t>
  </si>
  <si>
    <t>9.44亿</t>
  </si>
  <si>
    <t>4.38亿</t>
  </si>
  <si>
    <t>1.02亿</t>
  </si>
  <si>
    <t>6.84亿</t>
  </si>
  <si>
    <t>3.15亿</t>
  </si>
  <si>
    <t>1.27亿</t>
  </si>
  <si>
    <t>1.56亿</t>
  </si>
  <si>
    <t>2.15亿</t>
  </si>
  <si>
    <t>4.19亿</t>
  </si>
  <si>
    <t>2.78亿</t>
  </si>
  <si>
    <t>1.18亿</t>
  </si>
  <si>
    <t>3.54亿</t>
  </si>
  <si>
    <t>2.21亿</t>
  </si>
  <si>
    <t>3.06亿</t>
  </si>
  <si>
    <t>1.12亿</t>
  </si>
  <si>
    <t>1.15亿</t>
  </si>
  <si>
    <t>9.13亿</t>
  </si>
  <si>
    <t>通信设备</t>
  </si>
  <si>
    <t>1.55亿</t>
  </si>
  <si>
    <t>2.71亿</t>
  </si>
  <si>
    <t>14.64亿</t>
  </si>
  <si>
    <t>1.74亿</t>
  </si>
  <si>
    <t>6.14亿</t>
  </si>
  <si>
    <t>5.49亿</t>
  </si>
  <si>
    <t>2.61亿</t>
  </si>
  <si>
    <t>4.64亿</t>
  </si>
  <si>
    <t>2.66亿</t>
  </si>
  <si>
    <t>3.78亿</t>
  </si>
  <si>
    <t>1.85亿</t>
  </si>
  <si>
    <t>2.65亿</t>
  </si>
  <si>
    <t>11.61亿</t>
  </si>
  <si>
    <t>7.73亿</t>
  </si>
  <si>
    <t>4.52亿</t>
  </si>
  <si>
    <t>6.85亿</t>
  </si>
  <si>
    <t>7.77亿</t>
  </si>
  <si>
    <t>43.97亿</t>
  </si>
  <si>
    <t>5.76亿</t>
  </si>
  <si>
    <t>11.50亿</t>
  </si>
  <si>
    <t>20.62亿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</si>
  <si>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</si>
  <si>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</si>
  <si>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</si>
  <si>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</si>
  <si>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</si>
  <si>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</si>
  <si>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</si>
  <si>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</si>
  <si>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</si>
  <si>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</si>
  <si>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</si>
  <si>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</si>
  <si>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</si>
  <si>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</si>
  <si>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</si>
  <si>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</si>
  <si>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</si>
  <si>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</si>
  <si>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</si>
  <si>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</si>
  <si>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</si>
  <si>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</si>
  <si>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</si>
  <si>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</si>
  <si>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</si>
  <si>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</si>
  <si>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</si>
  <si>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</si>
  <si>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</si>
  <si>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</si>
  <si>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</si>
  <si>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</si>
  <si>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</si>
  <si>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</si>
  <si>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</si>
  <si>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</si>
  <si>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</si>
  <si>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</si>
  <si>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</si>
  <si>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</si>
  <si>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</si>
  <si>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</si>
  <si>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</si>
  <si>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</si>
  <si>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</si>
  <si>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</si>
  <si>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</si>
  <si>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</si>
  <si>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</si>
  <si>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</si>
  <si>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</si>
  <si>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</si>
  <si>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</si>
  <si>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</si>
  <si>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3.41亿</t>
  </si>
  <si>
    <t>10.97亿</t>
  </si>
  <si>
    <t>32.17亿</t>
  </si>
  <si>
    <t>7.11亿</t>
  </si>
  <si>
    <t>20.54亿</t>
  </si>
  <si>
    <t>7.04亿</t>
  </si>
  <si>
    <t>16.29亿</t>
  </si>
  <si>
    <t>15.40亿</t>
  </si>
  <si>
    <t>11.89亿</t>
  </si>
  <si>
    <t>SH603606</t>
  </si>
  <si>
    <t>东方电缆</t>
  </si>
  <si>
    <t>50.52亿</t>
  </si>
  <si>
    <t>36.90亿</t>
  </si>
  <si>
    <t>30.24亿</t>
  </si>
  <si>
    <t>17.42亿</t>
  </si>
  <si>
    <t>5019.36万</t>
  </si>
  <si>
    <t>5185.34万</t>
  </si>
  <si>
    <t>23.57亿</t>
  </si>
  <si>
    <t>19.52亿</t>
  </si>
  <si>
    <t>63.00亿</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</si>
  <si>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</si>
  <si>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</si>
  <si>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</si>
  <si>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</si>
  <si>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</si>
  <si>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</si>
  <si>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</si>
  <si>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</si>
  <si>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</si>
  <si>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</si>
  <si>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</si>
  <si>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</si>
  <si>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</si>
  <si>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</si>
  <si>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</si>
  <si>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</si>
  <si>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</si>
  <si>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</si>
  <si>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</si>
  <si>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</si>
  <si>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</si>
  <si>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</si>
  <si>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</si>
  <si>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</si>
  <si>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</si>
  <si>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</si>
  <si>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</si>
  <si>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</si>
  <si>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</si>
  <si>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</si>
  <si>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</si>
  <si>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</si>
  <si>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</si>
  <si>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</si>
  <si>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</si>
  <si>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</si>
  <si>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</si>
  <si>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</si>
  <si>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</si>
  <si>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</si>
  <si>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</si>
  <si>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</si>
  <si>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SZ002533</t>
  </si>
  <si>
    <t>金杯电工</t>
  </si>
  <si>
    <t>77.96亿</t>
  </si>
  <si>
    <t>58.44亿</t>
  </si>
  <si>
    <t>47.39亿</t>
  </si>
  <si>
    <t>39.61亿</t>
  </si>
  <si>
    <t>31.25亿</t>
  </si>
  <si>
    <t>SZ002212</t>
  </si>
  <si>
    <t>天融信</t>
  </si>
  <si>
    <t>计算机应用</t>
  </si>
  <si>
    <t>57.04亿</t>
  </si>
  <si>
    <t>70.91亿</t>
  </si>
  <si>
    <t>51.33亿</t>
  </si>
  <si>
    <t>28.71亿</t>
  </si>
  <si>
    <t>7027.58万</t>
  </si>
  <si>
    <t>SZ002309</t>
  </si>
  <si>
    <t>90.33亿</t>
  </si>
  <si>
    <t>-29.20亿</t>
  </si>
  <si>
    <t>118.25亿</t>
  </si>
  <si>
    <t>167.26亿</t>
  </si>
  <si>
    <t>194.15亿</t>
  </si>
  <si>
    <t>112.92亿</t>
  </si>
  <si>
    <t>5462.49万</t>
  </si>
  <si>
    <t>-2.88亿</t>
  </si>
  <si>
    <t>7425.16万</t>
  </si>
  <si>
    <t>SH600869</t>
  </si>
  <si>
    <t>远东股份</t>
  </si>
  <si>
    <t>198.04亿</t>
  </si>
  <si>
    <t>-16.91亿</t>
  </si>
  <si>
    <t>171.55亿</t>
  </si>
  <si>
    <t>175.12亿</t>
  </si>
  <si>
    <t>172.60亿</t>
  </si>
  <si>
    <t>122.43亿</t>
  </si>
  <si>
    <t>4489.93万</t>
  </si>
  <si>
    <t>5108.16万</t>
  </si>
  <si>
    <t>SZ002498</t>
  </si>
  <si>
    <t>汉缆股份</t>
  </si>
  <si>
    <t>69.52亿</t>
  </si>
  <si>
    <t>61.80亿</t>
  </si>
  <si>
    <t>55.68亿</t>
  </si>
  <si>
    <t>47.45亿</t>
  </si>
  <si>
    <t>41.38亿</t>
  </si>
  <si>
    <t>SZ002276</t>
  </si>
  <si>
    <t>万马股份</t>
  </si>
  <si>
    <t>93.22亿</t>
  </si>
  <si>
    <t>8.40亿</t>
  </si>
  <si>
    <t>97.45亿</t>
  </si>
  <si>
    <t>87.40亿</t>
  </si>
  <si>
    <t>74.09亿</t>
  </si>
  <si>
    <t>63.80亿</t>
  </si>
  <si>
    <t>SH600973</t>
  </si>
  <si>
    <t>宝胜股份</t>
  </si>
  <si>
    <t>332.83亿</t>
  </si>
  <si>
    <t>321.84亿</t>
  </si>
  <si>
    <t>206.91亿</t>
  </si>
  <si>
    <t>151.27亿</t>
  </si>
  <si>
    <t>8623.74万</t>
  </si>
  <si>
    <t>SH605222</t>
  </si>
  <si>
    <t>起帆电缆</t>
  </si>
  <si>
    <t>SZ300863</t>
  </si>
  <si>
    <t>卡倍亿</t>
  </si>
  <si>
    <t>汽车零部件</t>
  </si>
  <si>
    <t>12.64亿</t>
  </si>
  <si>
    <t>5290.56万</t>
  </si>
  <si>
    <t>10.68亿</t>
  </si>
  <si>
    <t>9.92亿</t>
  </si>
  <si>
    <t>6034.96万</t>
  </si>
  <si>
    <t>6213.58万</t>
  </si>
  <si>
    <t>4948.71万</t>
  </si>
  <si>
    <t>3920.43万</t>
  </si>
  <si>
    <t>SZ300913</t>
  </si>
  <si>
    <t>兆龙互连</t>
  </si>
  <si>
    <t>7299.03万</t>
  </si>
  <si>
    <t>7526.02万</t>
  </si>
  <si>
    <t>7243.24万</t>
  </si>
  <si>
    <t>3387.82万</t>
  </si>
  <si>
    <t>5321.31万</t>
  </si>
  <si>
    <t>SZ300933</t>
  </si>
  <si>
    <t>中辰股份</t>
  </si>
  <si>
    <t>9158.90万</t>
  </si>
  <si>
    <t>20.94亿</t>
  </si>
  <si>
    <t>19.02亿</t>
  </si>
  <si>
    <t>9733.60万</t>
  </si>
  <si>
    <t>8876.89万</t>
  </si>
  <si>
    <t>4863.43万</t>
  </si>
  <si>
    <t>4488.83万</t>
  </si>
  <si>
    <t>SH605196</t>
  </si>
  <si>
    <t>华通线缆</t>
  </si>
  <si>
    <t>SZ001208</t>
  </si>
  <si>
    <t>华菱线缆</t>
  </si>
  <si>
    <t>SH600577</t>
  </si>
  <si>
    <t>精达股份</t>
  </si>
  <si>
    <t>124.47亿</t>
  </si>
  <si>
    <t>119.97亿</t>
  </si>
  <si>
    <t>118.98亿</t>
  </si>
  <si>
    <t>113.44亿</t>
  </si>
  <si>
    <t>81.39亿</t>
  </si>
  <si>
    <t>SH603897</t>
  </si>
  <si>
    <t>长城科技</t>
  </si>
  <si>
    <t>62.73亿</t>
  </si>
  <si>
    <t>49.71亿</t>
  </si>
  <si>
    <t>49.79亿</t>
  </si>
  <si>
    <t>45.84亿</t>
  </si>
  <si>
    <t>32.29亿</t>
  </si>
  <si>
    <t>20.67亿</t>
  </si>
  <si>
    <t>40.95亿</t>
  </si>
  <si>
    <t>45.90亿</t>
  </si>
  <si>
    <t>8.53亿</t>
  </si>
  <si>
    <t>39.19亿</t>
  </si>
  <si>
    <t>52.03亿</t>
  </si>
  <si>
    <t>14.18亿</t>
  </si>
  <si>
    <t>CYLQ营业收入[20210331]</t>
  </si>
  <si>
    <t>LYCQ营业收入[20200630]</t>
  </si>
  <si>
    <t>LYLQ营业收入[20200331]</t>
  </si>
  <si>
    <t>CYLQ净利润[20210331]</t>
  </si>
  <si>
    <t>LYCQ净利润[20200630]</t>
  </si>
  <si>
    <t>LYLQ净利润[20200331]</t>
  </si>
  <si>
    <t>电力设备</t>
  </si>
  <si>
    <t>22.68亿</t>
  </si>
  <si>
    <t>89.53亿</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</si>
  <si>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</si>
  <si>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</si>
  <si>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</si>
  <si>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</si>
  <si>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</si>
  <si>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</si>
  <si>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</si>
  <si>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</si>
  <si>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</si>
  <si>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</si>
  <si>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</si>
  <si>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</si>
  <si>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</si>
  <si>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</si>
  <si>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</si>
  <si>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</si>
  <si>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</si>
  <si>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</si>
  <si>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
  </si>
  <si>
    <t>-1-1</t>
  </si>
  <si>
    <t>量比</t>
  </si>
  <si>
    <t>扣除非经常性损益后的净利润[20220331]</t>
  </si>
  <si>
    <t>区间涨跌幅:前复权%[20220613-20220617]</t>
  </si>
  <si>
    <t>区间涨跌幅:前复权%[20220506-20220617]</t>
  </si>
  <si>
    <t>区间成交量[20220613-20220617]</t>
  </si>
  <si>
    <t>指数@区间成交量[20220506-20220617]</t>
  </si>
  <si>
    <t>25.43亿</t>
  </si>
  <si>
    <t>33.52亿</t>
  </si>
  <si>
    <t>127.67亿</t>
  </si>
  <si>
    <t>SZ002300</t>
  </si>
  <si>
    <t>太阳电缆</t>
  </si>
  <si>
    <t>112.25亿</t>
  </si>
  <si>
    <t>105.58亿</t>
  </si>
  <si>
    <t>-38.66亿</t>
  </si>
  <si>
    <t>89.81亿</t>
  </si>
  <si>
    <t>128.32亿</t>
  </si>
  <si>
    <t>SZ002882</t>
  </si>
  <si>
    <t>金龙羽</t>
  </si>
  <si>
    <t>5160.66万</t>
  </si>
  <si>
    <t>SZ002953</t>
  </si>
  <si>
    <t>日丰股份</t>
  </si>
  <si>
    <t>8634.10万</t>
  </si>
  <si>
    <t>14.65亿</t>
  </si>
  <si>
    <t>8826.71万</t>
  </si>
  <si>
    <t>25.31亿</t>
  </si>
  <si>
    <t>8169.69万</t>
  </si>
  <si>
    <t>183.30亿</t>
  </si>
  <si>
    <t>208.71亿</t>
  </si>
  <si>
    <t>428.78亿</t>
  </si>
  <si>
    <t>-7.63亿</t>
  </si>
  <si>
    <t>79.32亿</t>
  </si>
  <si>
    <t>107.27亿</t>
  </si>
  <si>
    <t>188.78亿</t>
  </si>
  <si>
    <t>870.00万</t>
  </si>
  <si>
    <t>-9539.20万</t>
  </si>
  <si>
    <t>8.94万</t>
  </si>
  <si>
    <t>22.98亿</t>
  </si>
  <si>
    <t>-4074.10万</t>
  </si>
  <si>
    <t>79.41亿</t>
  </si>
  <si>
    <t>69.75亿</t>
  </si>
  <si>
    <t>51.05亿</t>
  </si>
  <si>
    <t>34.79亿</t>
  </si>
  <si>
    <t>2065.97万</t>
  </si>
  <si>
    <t>22.42亿</t>
  </si>
  <si>
    <t>3946.13万</t>
  </si>
  <si>
    <t>亏损</t>
  </si>
  <si>
    <t>扭亏</t>
  </si>
  <si>
    <t>11.58亿</t>
  </si>
  <si>
    <t>5886.28万</t>
  </si>
  <si>
    <t>31.99亿</t>
  </si>
  <si>
    <t>38.47亿</t>
  </si>
  <si>
    <t>33.18亿</t>
  </si>
  <si>
    <t>17.92亿</t>
  </si>
  <si>
    <t>6.74亿</t>
  </si>
  <si>
    <t>3799.24万</t>
  </si>
  <si>
    <t>15.54亿</t>
  </si>
  <si>
    <t>6180.75万</t>
  </si>
  <si>
    <t>4984.59万</t>
  </si>
  <si>
    <t>3879.85万</t>
  </si>
  <si>
    <t>1203.28万</t>
  </si>
  <si>
    <t>3.79亿</t>
  </si>
  <si>
    <t>1965.76万</t>
  </si>
  <si>
    <t>1612.92万</t>
  </si>
  <si>
    <t>39.38亿</t>
  </si>
  <si>
    <t>37.67亿</t>
  </si>
  <si>
    <t>342.84亿</t>
  </si>
  <si>
    <t>9590.28万</t>
  </si>
  <si>
    <t>14.46亿</t>
  </si>
  <si>
    <t>21.51亿</t>
  </si>
  <si>
    <t>7815.99万</t>
  </si>
  <si>
    <t>电缆线缆利基.docx</t>
  </si>
  <si>
    <t>94.32亿</t>
  </si>
  <si>
    <t>879952580亿</t>
  </si>
  <si>
    <t>12.22亿</t>
  </si>
  <si>
    <t>2.89亿</t>
  </si>
  <si>
    <t>3.86亿</t>
  </si>
  <si>
    <t>1.43亿</t>
  </si>
  <si>
    <t>4.66亿</t>
  </si>
  <si>
    <t>15828547亿</t>
  </si>
  <si>
    <t>61.98万</t>
  </si>
  <si>
    <t>-238627030亿</t>
  </si>
  <si>
    <t>8.15亿</t>
  </si>
  <si>
    <t>1690258100亿</t>
  </si>
  <si>
    <t>1209.74万</t>
  </si>
  <si>
    <t>3712017900亿</t>
  </si>
  <si>
    <t>2.22亿</t>
  </si>
  <si>
    <t>1.99亿</t>
  </si>
  <si>
    <t>12.24亿</t>
  </si>
  <si>
    <t>-5.36亿</t>
  </si>
  <si>
    <t>4.40亿</t>
  </si>
  <si>
    <t>-267.51万</t>
  </si>
  <si>
    <t>7.05亿</t>
  </si>
  <si>
    <t>-6473.59万</t>
  </si>
  <si>
    <t>-1.82亿</t>
  </si>
  <si>
    <t>软件开发</t>
  </si>
  <si>
    <t>1-0</t>
  </si>
  <si>
    <t>71.24亿</t>
  </si>
  <si>
    <t>46.16亿</t>
  </si>
  <si>
    <t>7151664900亿</t>
  </si>
  <si>
    <t>69.89亿</t>
  </si>
  <si>
    <t>62.32亿</t>
  </si>
  <si>
    <t>2.98亿</t>
  </si>
  <si>
    <t>2.57亿</t>
  </si>
  <si>
    <t>6118808亿</t>
  </si>
  <si>
    <t>311.58万</t>
  </si>
  <si>
    <t>161539160亿</t>
  </si>
  <si>
    <t>16.73亿</t>
  </si>
  <si>
    <t>4510862900亿</t>
  </si>
  <si>
    <t>9.40亿</t>
  </si>
  <si>
    <t>9108986800亿</t>
  </si>
  <si>
    <t>13.64亿</t>
  </si>
  <si>
    <t>4.09亿</t>
  </si>
  <si>
    <t>2.60亿</t>
  </si>
  <si>
    <t>28.18亿</t>
  </si>
  <si>
    <t>10.04亿</t>
  </si>
  <si>
    <t>51.65亿</t>
  </si>
  <si>
    <t>12.85亿</t>
  </si>
  <si>
    <t>-16.92亿</t>
  </si>
  <si>
    <t>-4.04亿</t>
  </si>
  <si>
    <t>15.90亿</t>
  </si>
  <si>
    <t>31.28亿</t>
  </si>
  <si>
    <t>56.10亿</t>
  </si>
  <si>
    <t>4059.51万</t>
  </si>
  <si>
    <t>6157.34万</t>
  </si>
  <si>
    <t>线缆部件及其他</t>
  </si>
  <si>
    <t>36.44亿</t>
  </si>
  <si>
    <t>19.54亿</t>
  </si>
  <si>
    <t>6271563600亿</t>
  </si>
  <si>
    <t>61.40亿</t>
  </si>
  <si>
    <t>59.94亿</t>
  </si>
  <si>
    <t>5361.04万</t>
  </si>
  <si>
    <t>4371.07万</t>
  </si>
  <si>
    <t>920.31万</t>
  </si>
  <si>
    <t>13269270亿</t>
  </si>
  <si>
    <t>28.06万</t>
  </si>
  <si>
    <t>82101209亿</t>
  </si>
  <si>
    <t>8.70亿</t>
  </si>
  <si>
    <t>1772840400亿</t>
  </si>
  <si>
    <t>245.84万</t>
  </si>
  <si>
    <t>3892121800亿</t>
  </si>
  <si>
    <t>11.19亿</t>
  </si>
  <si>
    <t>20.46亿</t>
  </si>
  <si>
    <t>1.95亿</t>
  </si>
  <si>
    <t>32.14亿</t>
  </si>
  <si>
    <t>-10.35亿</t>
  </si>
  <si>
    <t>-1.59亿</t>
  </si>
  <si>
    <t>13.59亿</t>
  </si>
  <si>
    <t>25.46亿</t>
  </si>
  <si>
    <t>50.51亿</t>
  </si>
  <si>
    <t>3129.09万</t>
  </si>
  <si>
    <t>5507.28万</t>
  </si>
  <si>
    <t>2-1</t>
  </si>
  <si>
    <t>ST中利</t>
  </si>
  <si>
    <t>110.06亿</t>
  </si>
  <si>
    <t>16.28亿</t>
  </si>
  <si>
    <t>4667611900亿</t>
  </si>
  <si>
    <t>49.01亿</t>
  </si>
  <si>
    <t>42.31亿</t>
  </si>
  <si>
    <t>8152.85万</t>
  </si>
  <si>
    <t>2.34亿</t>
  </si>
  <si>
    <t>1.93亿</t>
  </si>
  <si>
    <t>56033096亿</t>
  </si>
  <si>
    <t>598.90万</t>
  </si>
  <si>
    <t>-274807860亿</t>
  </si>
  <si>
    <t>14.97亿</t>
  </si>
  <si>
    <t>2588614700亿</t>
  </si>
  <si>
    <t>4915.65万</t>
  </si>
  <si>
    <t>7030127500亿</t>
  </si>
  <si>
    <t>32.19亿</t>
  </si>
  <si>
    <t>9.69亿</t>
  </si>
  <si>
    <t>8.02亿</t>
  </si>
  <si>
    <t>26.83亿</t>
  </si>
  <si>
    <t>94.84亿</t>
  </si>
  <si>
    <t>3.39亿</t>
  </si>
  <si>
    <t>-578.81万</t>
  </si>
  <si>
    <t>3.93亿</t>
  </si>
  <si>
    <t>-3.73亿</t>
  </si>
  <si>
    <t>21.63亿</t>
  </si>
  <si>
    <t>48.84亿</t>
  </si>
  <si>
    <t>-6335.85万</t>
  </si>
  <si>
    <t>-12.56亿</t>
  </si>
  <si>
    <t>25.66亿</t>
  </si>
  <si>
    <t>67.64亿</t>
  </si>
  <si>
    <t>4685148100亿</t>
  </si>
  <si>
    <t>41.22亿</t>
  </si>
  <si>
    <t>36.88亿</t>
  </si>
  <si>
    <t>1.10亿</t>
  </si>
  <si>
    <t>7158.18万</t>
  </si>
  <si>
    <t>2.29亿</t>
  </si>
  <si>
    <t>24690542亿</t>
  </si>
  <si>
    <t>61.08万</t>
  </si>
  <si>
    <t>477506010亿</t>
  </si>
  <si>
    <t>3716456300亿</t>
  </si>
  <si>
    <t>2.05亿</t>
  </si>
  <si>
    <t>6999263300亿</t>
  </si>
  <si>
    <t>3.98亿</t>
  </si>
  <si>
    <t>4.86亿</t>
  </si>
  <si>
    <t>5422.31万</t>
  </si>
  <si>
    <t>5.14亿</t>
  </si>
  <si>
    <t>23.04亿</t>
  </si>
  <si>
    <t>-3.74亿</t>
  </si>
  <si>
    <t>3693.20万</t>
  </si>
  <si>
    <t>-6565.66万</t>
  </si>
  <si>
    <t>17.29亿</t>
  </si>
  <si>
    <t>37.66亿</t>
  </si>
  <si>
    <t>产品覆盖电磁线、电气装备用电线、特种电线电缆、电力电缆、裸导线等五大类别，能够生产数百个品种近10,000个规格的产品
电气装备用电线 30.01亿 38.50%（毛利11.28%）
特种电线电缆 20.40亿 26.16%（毛利18.61%）
电磁线 12.00亿 15.40%（毛利16.58%）
电力电缆 9.23亿 11.84%（毛利12.48%）
冷链物流业务 3.26亿 4.18%（毛利13.17%）
新能源业务 1.56亿 2.00%（毛利14.44%）
燃油车 5991.31万 0.77%（毛利1.72%）
其他 5952.63万 0.76%（毛利11.94%）
电器开关 2111.13万 0.27%（毛利24.82%）
裸导线 926.50万 0.12%（毛利18.37%）
按行业分:
电线电缆行业 74.80亿 95.95%（毛利14.02%）
冷链行业 3.26亿 4.19%（毛利11.11%）
新能源行业 2.18亿 2.79%(毛利10.79%）</t>
  </si>
  <si>
    <t>43.28亿</t>
  </si>
  <si>
    <t>36.74亿</t>
  </si>
  <si>
    <t>6200466700亿</t>
  </si>
  <si>
    <t>59.52亿</t>
  </si>
  <si>
    <t>54.77亿</t>
  </si>
  <si>
    <t>1.26亿</t>
  </si>
  <si>
    <t>8207.65万</t>
  </si>
  <si>
    <t>602062亿</t>
  </si>
  <si>
    <t>325.30万</t>
  </si>
  <si>
    <t>162797310亿</t>
  </si>
  <si>
    <t>11.25亿</t>
  </si>
  <si>
    <t>1816757700亿</t>
  </si>
  <si>
    <t>4.14亿</t>
  </si>
  <si>
    <t>5697181200亿</t>
  </si>
  <si>
    <t>13.40亿</t>
  </si>
  <si>
    <t>1.45亿</t>
  </si>
  <si>
    <t>5.57亿</t>
  </si>
  <si>
    <t>17.52亿</t>
  </si>
  <si>
    <t>3.80亿</t>
  </si>
  <si>
    <t>504.43万</t>
  </si>
  <si>
    <t>37.20亿</t>
  </si>
  <si>
    <t>4.95亿</t>
  </si>
  <si>
    <t>-1357.83万</t>
  </si>
  <si>
    <t>-3.62亿</t>
  </si>
  <si>
    <t>-5355.56万</t>
  </si>
  <si>
    <t>27.29亿</t>
  </si>
  <si>
    <t>56.43亿</t>
  </si>
  <si>
    <t>7451.93万</t>
  </si>
  <si>
    <t>14.57亿</t>
  </si>
  <si>
    <t>19.04亿</t>
  </si>
  <si>
    <t>2062703900亿</t>
  </si>
  <si>
    <t>19.01亿</t>
  </si>
  <si>
    <t>17.91亿</t>
  </si>
  <si>
    <t>4893.07万</t>
  </si>
  <si>
    <t>3052.36万</t>
  </si>
  <si>
    <t>808.10万</t>
  </si>
  <si>
    <t>-919.3亿</t>
  </si>
  <si>
    <t>36.21万</t>
  </si>
  <si>
    <t>119626028亿</t>
  </si>
  <si>
    <t>2.40亿</t>
  </si>
  <si>
    <t>1497782500亿</t>
  </si>
  <si>
    <t>2822482000亿</t>
  </si>
  <si>
    <t>3.56亿</t>
  </si>
  <si>
    <t>1583.10万</t>
  </si>
  <si>
    <t>10.85亿</t>
  </si>
  <si>
    <t>7164.66万</t>
  </si>
  <si>
    <t>14.31亿</t>
  </si>
  <si>
    <t>-2.30亿</t>
  </si>
  <si>
    <t>-3069.61万</t>
  </si>
  <si>
    <t>2.08亿</t>
  </si>
  <si>
    <t>8.33亿</t>
  </si>
  <si>
    <t>18.38亿</t>
  </si>
  <si>
    <t>4325.13万</t>
  </si>
  <si>
    <t>1.06亿</t>
  </si>
  <si>
    <t>3-0</t>
  </si>
  <si>
    <t>2019年5月上市，2020年2月底~3月底有过一次12~35的拉升，随后一年半收敛于目前的14元左右；对应14元的估值pe和pb在上市后的底部，略低于2020年2月拉升前的估值；但再线缆细分行业中处于中间位置（28在14~60）
公司多年来专注于橡套电缆的研发、生产与销售，在橡套电缆领域积累了丰富的经验，树立了较高的知名度，具有较强的规模优势；
空调连接线组件 7.13亿 43.78% 毛利19.64% 增速56.41%
特种装备电缆 4.50亿 27.61% 毛利15.07% 增速35.13%
小家电配线组件 4.12亿 25.32% 毛利16.46% 增速45.68%
其他 5367.01万 3.29% 毛利-1.40% 增速241.92%
2021H1新增了这项业务：
通信装备组件 401,993,341.34 26.58%</t>
  </si>
  <si>
    <t>12.87亿</t>
  </si>
  <si>
    <t>1817800100亿</t>
  </si>
  <si>
    <t>17.58亿</t>
  </si>
  <si>
    <t>15.95亿</t>
  </si>
  <si>
    <t>2261.52万</t>
  </si>
  <si>
    <t>5274.61万</t>
  </si>
  <si>
    <t>6051.92万</t>
  </si>
  <si>
    <t>62.38万</t>
  </si>
  <si>
    <t>60219687亿</t>
  </si>
  <si>
    <t>3.72亿</t>
  </si>
  <si>
    <t>1050256170亿</t>
  </si>
  <si>
    <t>2156120400亿</t>
  </si>
  <si>
    <t>3.07亿</t>
  </si>
  <si>
    <t>5386.21万</t>
  </si>
  <si>
    <t>3.58亿</t>
  </si>
  <si>
    <t>2.44亿</t>
  </si>
  <si>
    <t>1.91亿</t>
  </si>
  <si>
    <t>9.02亿</t>
  </si>
  <si>
    <t>-1903.18万</t>
  </si>
  <si>
    <t>-1.43亿</t>
  </si>
  <si>
    <t>7.90亿</t>
  </si>
  <si>
    <t>15.13亿</t>
  </si>
  <si>
    <t>2894.56万</t>
  </si>
  <si>
    <t>7945.28万</t>
  </si>
  <si>
    <t>109.29万</t>
  </si>
  <si>
    <t>14.40亿</t>
  </si>
  <si>
    <t>6.96亿</t>
  </si>
  <si>
    <t>1207789530亿</t>
  </si>
  <si>
    <t>11.55亿</t>
  </si>
  <si>
    <t>10.75亿</t>
  </si>
  <si>
    <t>807.51万</t>
  </si>
  <si>
    <t>1963.32万</t>
  </si>
  <si>
    <t>2908.81万</t>
  </si>
  <si>
    <t>5218087亿</t>
  </si>
  <si>
    <t>291.72万</t>
  </si>
  <si>
    <t>50469821亿</t>
  </si>
  <si>
    <t>3.34亿</t>
  </si>
  <si>
    <t>670259020亿</t>
  </si>
  <si>
    <t>3034.75万</t>
  </si>
  <si>
    <t>1475803500亿</t>
  </si>
  <si>
    <t>10.08亿</t>
  </si>
  <si>
    <t>7425.51万</t>
  </si>
  <si>
    <t>121.50万</t>
  </si>
  <si>
    <t>11.16亿</t>
  </si>
  <si>
    <t>2210.00万</t>
  </si>
  <si>
    <t>-1265.77万</t>
  </si>
  <si>
    <t>-7285.94万</t>
  </si>
  <si>
    <t>-6225.84万</t>
  </si>
  <si>
    <t>9.16亿</t>
  </si>
  <si>
    <t>2789.39万</t>
  </si>
  <si>
    <t>3145.47万</t>
  </si>
  <si>
    <t>573.43万</t>
  </si>
  <si>
    <t>4360.39万</t>
  </si>
  <si>
    <t>359.48万</t>
  </si>
  <si>
    <t>2.39亿</t>
  </si>
  <si>
    <t>823729090亿</t>
  </si>
  <si>
    <t>7.56亿</t>
  </si>
  <si>
    <t>7.02亿</t>
  </si>
  <si>
    <t>1689.87万</t>
  </si>
  <si>
    <t>1739.87万</t>
  </si>
  <si>
    <t>2915.79万</t>
  </si>
  <si>
    <t>238554亿</t>
  </si>
  <si>
    <t>29.32万</t>
  </si>
  <si>
    <t>58153304亿</t>
  </si>
  <si>
    <t>1.42亿</t>
  </si>
  <si>
    <t>333333100亿</t>
  </si>
  <si>
    <t>777576090亿</t>
  </si>
  <si>
    <t>1264.42万</t>
  </si>
  <si>
    <t>9683.39万</t>
  </si>
  <si>
    <t>9401.87万</t>
  </si>
  <si>
    <t>-21.84万</t>
  </si>
  <si>
    <t>-607.68万</t>
  </si>
  <si>
    <t>-1619.35万</t>
  </si>
  <si>
    <t>6.77亿</t>
  </si>
  <si>
    <t>2101.69万</t>
  </si>
  <si>
    <t>4050.05万</t>
  </si>
  <si>
    <t>通信线缆及配套</t>
  </si>
  <si>
    <t>1460.52万</t>
  </si>
  <si>
    <t>18.17亿</t>
  </si>
  <si>
    <t>15.55亿</t>
  </si>
  <si>
    <t>1251650460亿</t>
  </si>
  <si>
    <t>11.99亿</t>
  </si>
  <si>
    <t>10.69亿</t>
  </si>
  <si>
    <t>4764.70万</t>
  </si>
  <si>
    <t>1764.17万</t>
  </si>
  <si>
    <t>3777.59万</t>
  </si>
  <si>
    <t>6639304亿</t>
  </si>
  <si>
    <t>533.72万</t>
  </si>
  <si>
    <t>38777618亿</t>
  </si>
  <si>
    <t>7.33亿</t>
  </si>
  <si>
    <t>1242954120亿</t>
  </si>
  <si>
    <t>764.73万</t>
  </si>
  <si>
    <t>2911731500亿</t>
  </si>
  <si>
    <t>2.26亿</t>
  </si>
  <si>
    <t>9.49亿</t>
  </si>
  <si>
    <t>13.75亿</t>
  </si>
  <si>
    <t>-5.08亿</t>
  </si>
  <si>
    <t>-7346.15万</t>
  </si>
  <si>
    <t>6.76亿</t>
  </si>
  <si>
    <t>5.03亿</t>
  </si>
  <si>
    <t>11.76亿</t>
  </si>
  <si>
    <t>2050.92万</t>
  </si>
  <si>
    <t>4225.24万</t>
  </si>
  <si>
    <t>59.98亿</t>
  </si>
  <si>
    <t>9248103000亿</t>
  </si>
  <si>
    <t>90.16亿</t>
  </si>
  <si>
    <t>86.92亿</t>
  </si>
  <si>
    <t>3768.03万</t>
  </si>
  <si>
    <t>8450.28万</t>
  </si>
  <si>
    <t>353654亿</t>
  </si>
  <si>
    <t>2175.28万</t>
  </si>
  <si>
    <t>158499610亿</t>
  </si>
  <si>
    <t>15.42亿</t>
  </si>
  <si>
    <t>3109810500亿</t>
  </si>
  <si>
    <t>17.41亿</t>
  </si>
  <si>
    <t>8506228000亿</t>
  </si>
  <si>
    <t>11.03亿</t>
  </si>
  <si>
    <t>2.07亿</t>
  </si>
  <si>
    <t>27.91亿</t>
  </si>
  <si>
    <t>7.71亿</t>
  </si>
  <si>
    <t>5.25亿</t>
  </si>
  <si>
    <t>-5.53亿</t>
  </si>
  <si>
    <t>45.76亿</t>
  </si>
  <si>
    <t>89.07亿</t>
  </si>
  <si>
    <t>2.74亿</t>
  </si>
  <si>
    <t>41.85亿</t>
  </si>
  <si>
    <t>9965341100亿</t>
  </si>
  <si>
    <t>97.04亿</t>
  </si>
  <si>
    <t>2.58亿</t>
  </si>
  <si>
    <t>17955393亿</t>
  </si>
  <si>
    <t>667.31万</t>
  </si>
  <si>
    <t>258473900亿</t>
  </si>
  <si>
    <t>46.81亿</t>
  </si>
  <si>
    <t>4371897700亿</t>
  </si>
  <si>
    <t>2421.34万</t>
  </si>
  <si>
    <t>15113641000亿</t>
  </si>
  <si>
    <t>21.37亿</t>
  </si>
  <si>
    <t>2.10亿</t>
  </si>
  <si>
    <t>58.36亿</t>
  </si>
  <si>
    <t>4.84亿</t>
  </si>
  <si>
    <t>46.56亿</t>
  </si>
  <si>
    <t>6611.67万</t>
  </si>
  <si>
    <t>137.43亿</t>
  </si>
  <si>
    <t>6.82亿</t>
  </si>
  <si>
    <t>-2.00亿</t>
  </si>
  <si>
    <t>3.04亿</t>
  </si>
  <si>
    <t>41.92亿</t>
  </si>
  <si>
    <t>90.46亿</t>
  </si>
  <si>
    <t>8661.05万</t>
  </si>
  <si>
    <t>3.02亿</t>
  </si>
  <si>
    <t>裸导体及其制品 201.17亿 58.93%（毛利1.05%，增速-1.07%）
电力电缆 114.57亿 33.56%（毛利15.06%，增速7.35%）
电气装备用电缆 17.84亿 5.22%（毛利19.53%，增速4.44%）
其他业务 5.16亿 1.51%（毛利5.58%）
通信电缆及光缆 2.65亿 0.78%（毛利10.92%，增速-24.13%）</t>
  </si>
  <si>
    <t>45.15亿</t>
  </si>
  <si>
    <t>20314080000亿</t>
  </si>
  <si>
    <t>203.35亿</t>
  </si>
  <si>
    <t>6560859亿</t>
  </si>
  <si>
    <t>311.86万</t>
  </si>
  <si>
    <t>-48783899亿</t>
  </si>
  <si>
    <t>36.57亿</t>
  </si>
  <si>
    <t>5299829200亿</t>
  </si>
  <si>
    <t>4.82亿</t>
  </si>
  <si>
    <t>14382137000亿</t>
  </si>
  <si>
    <t>50.26亿</t>
  </si>
  <si>
    <t>7.10亿</t>
  </si>
  <si>
    <t>102.18亿</t>
  </si>
  <si>
    <t>3.05亿</t>
  </si>
  <si>
    <t>9.74亿</t>
  </si>
  <si>
    <t>43.53万</t>
  </si>
  <si>
    <t>139.50亿</t>
  </si>
  <si>
    <t>27.70亿</t>
  </si>
  <si>
    <t>-3.70亿</t>
  </si>
  <si>
    <t>-2.78亿</t>
  </si>
  <si>
    <t>99.85亿</t>
  </si>
  <si>
    <t>206.19亿</t>
  </si>
  <si>
    <t>3785.11万</t>
  </si>
  <si>
    <t>公司现拥有陆缆系统、海缆系统、海洋工程三大产品领域。拥有 500kV 及以下交流海缆、陆缆，±535kV 及以下直流海缆、陆缆的系统研发生产能力
陆缆系统 26.31亿 52.07%（毛利12.09%）
海缆系统 21.79亿 43.12%（毛利53.72%）
海洋工程 2.29亿 4.53%（毛利23.55%）
其他业务 1393.68万 0.28%（毛利8.47%）</t>
  </si>
  <si>
    <t>50.64亿</t>
  </si>
  <si>
    <t>3859470400亿</t>
  </si>
  <si>
    <t>7962.46万</t>
  </si>
  <si>
    <t>4596.98万</t>
  </si>
  <si>
    <t>10416492亿</t>
  </si>
  <si>
    <t>424.99万</t>
  </si>
  <si>
    <t>529051590亿</t>
  </si>
  <si>
    <t>2867620000亿</t>
  </si>
  <si>
    <t>751.88万</t>
  </si>
  <si>
    <t>6696615400亿</t>
  </si>
  <si>
    <t>16.46亿</t>
  </si>
  <si>
    <t>6646.29万</t>
  </si>
  <si>
    <t>7.60亿</t>
  </si>
  <si>
    <t>8.82亿</t>
  </si>
  <si>
    <t>28.65亿</t>
  </si>
  <si>
    <t>8.61亿</t>
  </si>
  <si>
    <t>-5.01亿</t>
  </si>
  <si>
    <t>-1.52亿</t>
  </si>
  <si>
    <t>5.82亿</t>
  </si>
  <si>
    <t>18.16亿</t>
  </si>
  <si>
    <t>33.87亿</t>
  </si>
  <si>
    <t>6.37亿</t>
  </si>
  <si>
    <t>24.83亿</t>
  </si>
  <si>
    <t>27.64亿</t>
  </si>
  <si>
    <t>5449408400亿</t>
  </si>
  <si>
    <t>53.14亿</t>
  </si>
  <si>
    <t>51.93亿</t>
  </si>
  <si>
    <t>368.25万</t>
  </si>
  <si>
    <t>2471.45万</t>
  </si>
  <si>
    <t>8781.81万</t>
  </si>
  <si>
    <t>-12371605亿</t>
  </si>
  <si>
    <t>107382743亿</t>
  </si>
  <si>
    <t>11.01亿</t>
  </si>
  <si>
    <t>1736454500亿</t>
  </si>
  <si>
    <t>4238573100亿</t>
  </si>
  <si>
    <t>2.76亿</t>
  </si>
  <si>
    <t>15.97亿</t>
  </si>
  <si>
    <t>24.21亿</t>
  </si>
  <si>
    <t>6.38亿</t>
  </si>
  <si>
    <t>-2.12亿</t>
  </si>
  <si>
    <t>23.81亿</t>
  </si>
  <si>
    <t>50.65亿</t>
  </si>
  <si>
    <t>4891.64万</t>
  </si>
  <si>
    <t>1-1</t>
  </si>
  <si>
    <t>27.07亿</t>
  </si>
  <si>
    <t>22.64亿</t>
  </si>
  <si>
    <t>2261539100亿</t>
  </si>
  <si>
    <t>21.28亿</t>
  </si>
  <si>
    <t>2946.41万</t>
  </si>
  <si>
    <t>7426.03万</t>
  </si>
  <si>
    <t>9453.61万</t>
  </si>
  <si>
    <t>-7464996亿</t>
  </si>
  <si>
    <t>6.59万</t>
  </si>
  <si>
    <t>71750863亿</t>
  </si>
  <si>
    <t>6.18亿</t>
  </si>
  <si>
    <t>1570206800亿</t>
  </si>
  <si>
    <t>1.38亿</t>
  </si>
  <si>
    <t>4003713500亿</t>
  </si>
  <si>
    <t>6.31亿</t>
  </si>
  <si>
    <t>9115.62万</t>
  </si>
  <si>
    <t>14.71亿</t>
  </si>
  <si>
    <t>1.39亿</t>
  </si>
  <si>
    <t>4.12亿</t>
  </si>
  <si>
    <t>24.49亿</t>
  </si>
  <si>
    <t>191.77万</t>
  </si>
  <si>
    <t>-2.19亿</t>
  </si>
  <si>
    <t>2.20亿</t>
  </si>
  <si>
    <t>33.76亿</t>
  </si>
  <si>
    <t>29.55亿</t>
  </si>
  <si>
    <t>26.15亿</t>
  </si>
  <si>
    <t>13.07亿</t>
  </si>
  <si>
    <t>1.23亿</t>
  </si>
  <si>
    <t>8894.74万</t>
  </si>
  <si>
    <t>8817.44万</t>
  </si>
  <si>
    <t>7218.43万</t>
  </si>
  <si>
    <t>9.52亿</t>
  </si>
  <si>
    <t>18.80亿</t>
  </si>
  <si>
    <t>7.09亿</t>
  </si>
  <si>
    <t>2283.55万</t>
  </si>
  <si>
    <t>4363.05万</t>
  </si>
  <si>
    <t>1660.56万</t>
  </si>
  <si>
    <t>73.55亿</t>
  </si>
  <si>
    <t>39.95亿</t>
  </si>
  <si>
    <t>8163756500亿</t>
  </si>
  <si>
    <t>77.30亿</t>
  </si>
  <si>
    <t>73.70亿</t>
  </si>
  <si>
    <t>1.63亿</t>
  </si>
  <si>
    <t>7630.11万</t>
  </si>
  <si>
    <t>3370.00万</t>
  </si>
  <si>
    <t>1473339亿</t>
  </si>
  <si>
    <t>59.72万</t>
  </si>
  <si>
    <t>295273270亿</t>
  </si>
  <si>
    <t>10.43亿</t>
  </si>
  <si>
    <t>2897547000亿</t>
  </si>
  <si>
    <t>9972376700亿</t>
  </si>
  <si>
    <t>7.69亿</t>
  </si>
  <si>
    <t>8147.82万</t>
  </si>
  <si>
    <t>36.85亿</t>
  </si>
  <si>
    <t>5.23亿</t>
  </si>
  <si>
    <t>11.17亿</t>
  </si>
  <si>
    <t>63.65亿</t>
  </si>
  <si>
    <t>2000.00万</t>
  </si>
  <si>
    <t>-25.79亿</t>
  </si>
  <si>
    <t>11.15亿</t>
  </si>
  <si>
    <t>97.36亿</t>
  </si>
  <si>
    <t>76.47亿</t>
  </si>
  <si>
    <t>63.23亿</t>
  </si>
  <si>
    <t>45.98亿</t>
  </si>
  <si>
    <t>31.77亿</t>
  </si>
  <si>
    <t>4.10亿</t>
  </si>
  <si>
    <t>3.33亿</t>
  </si>
  <si>
    <t>2.63亿</t>
  </si>
  <si>
    <t>36.93亿</t>
  </si>
  <si>
    <t>74.78亿</t>
  </si>
  <si>
    <t>28.53亿</t>
  </si>
  <si>
    <t>1.50亿</t>
  </si>
  <si>
    <t>1401658000亿</t>
  </si>
  <si>
    <t>13.31亿</t>
  </si>
  <si>
    <t>11.83亿</t>
  </si>
  <si>
    <t>6502.06万</t>
  </si>
  <si>
    <t>2386.85万</t>
  </si>
  <si>
    <t>4267.00万</t>
  </si>
  <si>
    <t>2900590亿</t>
  </si>
  <si>
    <t>776.05万</t>
  </si>
  <si>
    <t>50095283亿</t>
  </si>
  <si>
    <t>4.28亿</t>
  </si>
  <si>
    <t>1117237740亿</t>
  </si>
  <si>
    <t>3.30亿</t>
  </si>
  <si>
    <t>2799058500亿</t>
  </si>
  <si>
    <t>4701.74万</t>
  </si>
  <si>
    <t>9100.00万</t>
  </si>
  <si>
    <t>17.02亿</t>
  </si>
  <si>
    <t>1952.09万</t>
  </si>
  <si>
    <t>-4.01亿</t>
  </si>
  <si>
    <t>1.32亿</t>
  </si>
  <si>
    <t>16.98亿</t>
  </si>
  <si>
    <t>15.03亿</t>
  </si>
  <si>
    <t>12.13亿</t>
  </si>
  <si>
    <t>9.20亿</t>
  </si>
  <si>
    <t>9362.87万</t>
  </si>
  <si>
    <t>7592.13万</t>
  </si>
  <si>
    <t>5389.83万</t>
  </si>
  <si>
    <t>2875.63万</t>
  </si>
  <si>
    <t>10.20亿</t>
  </si>
  <si>
    <t>3.89亿</t>
  </si>
  <si>
    <t>2912.60万</t>
  </si>
  <si>
    <t>6649.79万</t>
  </si>
  <si>
    <t>2803.61万</t>
  </si>
  <si>
    <t>2058.84万</t>
  </si>
  <si>
    <t>9.78亿</t>
  </si>
  <si>
    <t>1.中国积极实施“双循环”战略。在此背景下，我国特高压、农村电网建设，城市轨道交通、新能源汽车、清洁能源等新产业景气度不断提升，给电线电缆行业未来持续发展带来广阔前景；2.半年报各细分项增速表明现阶段的渗透力度：电气装备用电线63.31%；电力电缆65.07%；特种电线电缆99.23%；裸导线463.07%；电磁线175.52%；电器开关83.08%；其他线缆产品564.20%；新能源业务39.58%；燃油车-30.29%；冷链业务138.10%；</t>
  </si>
  <si>
    <t xml:space="preserve">1.电线电缆产品的主要原材料为铜、铝，其占产品成本的80%左右，导致其对上游产业的依赖较强。
</t>
  </si>
  <si>
    <t>1.公司产品主要为橡套电缆，橡套电缆相比于塑料电缆具有性能方面的优势，主要体现在以下几方面：（1）柔韧性更强，可进行频繁的弯曲和扭转；（2）耐磨性更强，可适应频繁拖动；（3）机械特性较好，可抵抗一定强度的机械外力破坏；（4）阻燃性更好，不易引起燃烧；（5）电气性能更好，具有较好的电气强度和良好的绝缘性；2.报告期内，公司收购天津有容蒂康通讯技术公司100%股权，成为公司的全资子公司，其主要从事通信电缆的研发、生产和销售，产品主要包括低损耗同轴电缆组件、基站用D型电源线组件、5G光电缆组件，广泛应用于通信用数字传输设备、通信基站天线、5G基站天线、RRU及BBU及相关通信设备。</t>
  </si>
  <si>
    <t>1.问：（一）公司目前市场占有率情况。
　　答：公司专用电线电缆主要有空调连接线组件、小家电电源线组件（橡套类）、工程机械电缆、通信装备电缆等。其中：1、空调连接线组件，主要客户为美的、格力等，已成为细分市场行业第一，市场占有率约达40%。2、小家电电源线组件，主要用于微波炉、电烤箱、电火锅、电压力锅等加热类电器上，市场占有率约30%。3、工程机械电缆，市场占有率约占20%，拥有专利产品，其中施工升降机电缆行业第一。4、通信装备电缆，主要客户为华为、中兴、烽火等，分别约占10%-20%。5、PVC电源线组件，行业供应商分散，集中度低，公司将利用客户资源嵌入市场，这部分未来市场空间大。</t>
  </si>
  <si>
    <t>1.2020 年，纳入行业投资统计体系的主要电力企业合计完成投资 9944 亿，同比增长 9.6%。电源工程建设完成投资 5244 亿元，同比增长29.2%，其中风电、太阳能发电、水电投资分别增长 70.6%、66.4%、19.0%</t>
  </si>
  <si>
    <t>1.公司有军用水密封电缆（耐水压10 兆帕）产品，并具有相关的军工服务资质；2.公司线缆产品有运用于风电项目，如中标亿联科技启东海上风电项目35kV海缆；2.公司海缆业务发展势头较好，主要包括海底电缆、海底光电复合缆等产品，公司现有2条海缆生产线，其中高压海缆立式成缆-铠装生产线预计今年六月底完成调试，全部投产后预计实现年产能超13亿元，现有海缆生产线处于满产状态，且能生产的海缆最高电压等级为330KV。3.，起帆电缆的高柔性机器人电缆（耐弯折达2000万次）、军用水密封电缆（耐水压10兆帕）、耐寒电缆（零下80摄氏度）等高端特种电缆达到国内领先水平；</t>
  </si>
  <si>
    <t xml:space="preserve">
市值52.907976亿, 利润1.35亿; PE40.49, PB3.73; 毛利18.6533%; 净利4.8967%; 上一年度营收增49.76%, 利润增44.19%; 当季营收增10.56%, 利润增-12.97%; 过往5年营收增29.62%, 利润增48.95%
Income profile:
</t>
  </si>
  <si>
    <t>289.39万</t>
  </si>
  <si>
    <t>1338.92万</t>
  </si>
  <si>
    <t>1.46亿</t>
  </si>
  <si>
    <t xml:space="preserve">
市值91.640785亿, 利润2.71亿; PE23.03, PB1.99; 毛利14.8467%; 净利2.0367%; 上一年度营收增36.96%, 利润增21.52%; 当季营收增21.49%, 利润增44.29%; 过往5年营收增15.64%, 利润增14.13%
Income profile:
</t>
  </si>
  <si>
    <t>1507.31万</t>
  </si>
  <si>
    <t>7568.57万</t>
  </si>
  <si>
    <t>9.64亿</t>
  </si>
  <si>
    <t xml:space="preserve">
市值48.199358亿, 利润1.59亿; PE24.55, PB2.87; 毛利6.5967%; 净利2.4133%; 上一年度营收增41.35%, 利润增-16.32%; 当季营收增24.85%, 利润增78.92%; 过往5年营收增26.84%, 利润增5.98%
Income profile:
</t>
  </si>
  <si>
    <t>575.41万</t>
  </si>
  <si>
    <t>2683.54万</t>
  </si>
  <si>
    <t>3.87亿</t>
  </si>
  <si>
    <t xml:space="preserve">
市值50.040578亿, 利润-38.66亿; PE, PB3.06; 毛利11.1067%; 净利-11.46%; 上一年度营收增16.88%, 利润增-32.4%; 当季营收增-5.2%, 利润增94.77%; 过往5年营收增4.41%, 利润增-1048.2%
Income profile:
</t>
  </si>
  <si>
    <t>2415.62万</t>
  </si>
  <si>
    <t>9694.62万</t>
  </si>
  <si>
    <t>10.45亿</t>
  </si>
  <si>
    <t xml:space="preserve">
市值137.064亿, 利润7.77亿; PE17.32, PB2.07; 毛利20.1733%; 净利7.7133%; 上一年度营收增29.19%, 利润增33.28%; 当季营收增13.35%, 利润增-1.72%; 过往5年营收增16.94%, 利润增22.5%
Income profile:
</t>
  </si>
  <si>
    <t>2080.11万</t>
  </si>
  <si>
    <t>11.70亿</t>
  </si>
  <si>
    <t>773.60万</t>
  </si>
  <si>
    <t>3673.94万</t>
  </si>
  <si>
    <t>5.29亿</t>
  </si>
  <si>
    <t xml:space="preserve">
市值52.94367亿, 利润5160.66万; PE80.51, PB2.78; 毛利14.59%; 净利6.1633%; 上一年度营收增43.48%, 利润增-73.12%; 当季营收增5.64%, 利润增12.69%; 过往5年营收增22.97%, 利润增-.08%
Income profile:
</t>
  </si>
  <si>
    <t>3949.22万</t>
  </si>
  <si>
    <t>1.21亿</t>
  </si>
  <si>
    <t>369.31万</t>
  </si>
  <si>
    <t>1931.62万</t>
  </si>
  <si>
    <t xml:space="preserve">
市值36.17565亿, 利润8169.69万; PE40.58, PB2.6; 毛利15.7%; 净利4.29%; 上一年度营收增23.22%, 利润增-10.8%; 当季营收增5.15%, 利润增11.78%; 过往5年营收增12.44%, 利润增16.76%
Income profile:
</t>
  </si>
  <si>
    <t>294.54万</t>
  </si>
  <si>
    <t>1977.73万</t>
  </si>
  <si>
    <t>2.41亿</t>
  </si>
  <si>
    <t>5-1</t>
  </si>
  <si>
    <t xml:space="preserve">
市值90.808118亿, 利润5.49亿; PE19.85, PB2.01; 毛利8.5867%; 净利3.63%; 上一年度营收增47.26%, 利润增31.03%; 当季营收增-5.97%, 利润增-49.96%; 过往5年营收增19.22%, 利润增21.68%
Income profile:
</t>
  </si>
  <si>
    <t>2628.84万</t>
  </si>
  <si>
    <t>9519.88万</t>
  </si>
  <si>
    <t>12.18亿</t>
  </si>
  <si>
    <t xml:space="preserve">
市值127.834718亿, 利润5.31亿; PE22.16, PB3.13; 毛利13.8367%; 净利-1.9833%; 上一年度营收增5.39%, 利润增131.4%; 当季营收增9.36%, 利润增43.6%; 过往5年营收增12.25%, 利润增-739.39%
Income profile:
</t>
  </si>
  <si>
    <t>2279.80万</t>
  </si>
  <si>
    <t>152.46亿</t>
  </si>
  <si>
    <t>87.28亿</t>
  </si>
  <si>
    <t>1.49亿</t>
  </si>
  <si>
    <t>14.99亿</t>
  </si>
  <si>
    <t>2084.44万</t>
  </si>
  <si>
    <t>172.23亿</t>
  </si>
  <si>
    <t>193.81亿</t>
  </si>
  <si>
    <t>8251.47万</t>
  </si>
  <si>
    <t>5.78亿</t>
  </si>
  <si>
    <t>959.96万</t>
  </si>
  <si>
    <t>38.25亿</t>
  </si>
  <si>
    <t>29.46亿</t>
  </si>
  <si>
    <t>3489.06万</t>
  </si>
  <si>
    <t>4-1</t>
  </si>
  <si>
    <t xml:space="preserve">
市值50.16387亿, 利润3.41亿; PE20.49, PB1.81; 毛利6.8233%; 净利2.6533%; 上一年度营收增71%, 利润增95.98%; 当季营收增5.3%, 利润增-50.71%; 过往5年营收增29.52%, 利润增30.25%
Income profile:
</t>
  </si>
  <si>
    <t>266.68万</t>
  </si>
  <si>
    <t>1325.72万</t>
  </si>
  <si>
    <t>1.28亿</t>
  </si>
  <si>
    <t xml:space="preserve">
市值35.3255亿, 利润1.18亿; PE24.51, PB1.57; 毛利18.8%; 净利3.7033%; 上一年度营收增30.24%, 利润增-23.38%; 当季营收增11.83%, 利润增74.54%; 过往5年营收增28.1%, 利润增12.63%
Income profile:
</t>
  </si>
  <si>
    <t>614.13万</t>
  </si>
  <si>
    <t>2468.65万</t>
  </si>
  <si>
    <t>公司是一家从事电线电缆研发、生产、销售和服务的专业制造商。公司的主要产品为电力电缆、电气装备用电线电缆。
市值91.090044亿, 利润6.84亿; PE14.04, PB2.41; 毛利10.2533%; 净利4.2%; 上一年度营收增93.9%, 利润增66.83%; 当季营收增-3.33%, 利润增-21.95%; 过往5年营收增44.88%, 利润增28.78%
Income profile:
电力电缆 52.96亿 64.88% 50.91% 7.63%
电气装备用电线电缆 26.25亿 32.16% 49.24% 14.89%
其他业务 2.42亿 2.97% -0.15% -0.48%</t>
  </si>
  <si>
    <t>1168.90万</t>
  </si>
  <si>
    <t>2805.73万</t>
  </si>
  <si>
    <t>7177.27万</t>
  </si>
  <si>
    <t>SH600522</t>
  </si>
  <si>
    <t>中天科技</t>
  </si>
  <si>
    <t>SH600487</t>
  </si>
  <si>
    <t>亨通光电</t>
  </si>
  <si>
    <t xml:space="preserve">
市值789.41525亿, 利润1.72亿; PE45.22, PB2.81; 毛利16.5467%; 净利7.3733%; 上一年度营收增9.7%, 利润增-92.44%; 当季营收增-19.38%, 利润增431.18%; 过往5年营收增17.22%, 利润增-10.56%
Income profile:
</t>
  </si>
  <si>
    <t>6002.09万</t>
  </si>
  <si>
    <t>192.82亿</t>
  </si>
  <si>
    <t>292.37亿</t>
  </si>
  <si>
    <t>20041604000亿</t>
  </si>
  <si>
    <t>461.63亿</t>
  </si>
  <si>
    <t>1.72亿</t>
  </si>
  <si>
    <t>177.95亿</t>
  </si>
  <si>
    <t>162.07亿</t>
  </si>
  <si>
    <t>3.83亿</t>
  </si>
  <si>
    <t>7.83亿</t>
  </si>
  <si>
    <t>100170415亿</t>
  </si>
  <si>
    <t>1736.85万</t>
  </si>
  <si>
    <t>1794113300亿</t>
  </si>
  <si>
    <t>115.37亿</t>
  </si>
  <si>
    <t>14385728000亿</t>
  </si>
  <si>
    <t>3.42亿</t>
  </si>
  <si>
    <t>34508055000亿</t>
  </si>
  <si>
    <t>86.13亿</t>
  </si>
  <si>
    <t>12.21亿</t>
  </si>
  <si>
    <t>39.13亿</t>
  </si>
  <si>
    <t>26.37亿</t>
  </si>
  <si>
    <t>59.15亿</t>
  </si>
  <si>
    <t>2198.89万</t>
  </si>
  <si>
    <t>179.38亿</t>
  </si>
  <si>
    <t>4.32亿</t>
  </si>
  <si>
    <t>-2.59亿</t>
  </si>
  <si>
    <t>-7.98亿</t>
  </si>
  <si>
    <t>8.48亿</t>
  </si>
  <si>
    <t>420.82亿</t>
  </si>
  <si>
    <t>387.32亿</t>
  </si>
  <si>
    <t>339.24亿</t>
  </si>
  <si>
    <t>270.80亿</t>
  </si>
  <si>
    <t>211.08亿</t>
  </si>
  <si>
    <t>22.75亿</t>
  </si>
  <si>
    <t>19.69亿</t>
  </si>
  <si>
    <t>21.22亿</t>
  </si>
  <si>
    <t>17.83亿</t>
  </si>
  <si>
    <t>15.88亿</t>
  </si>
  <si>
    <t>92.90亿</t>
  </si>
  <si>
    <t>240.53亿</t>
  </si>
  <si>
    <t>107.17亿</t>
  </si>
  <si>
    <t>10.16亿</t>
  </si>
  <si>
    <t>4.94亿</t>
  </si>
  <si>
    <t xml:space="preserve">
市值414.09557亿, 利润14.36亿; PE25.48, PB1.98; 毛利16.4367%; 净利3.93%; 上一年度营收增27.44%, 利润增35.22%; 当季营收增15.08%, 利润增26.81%; 过往5年营收增16.96%, 利润增9.44%
Income profile:
</t>
  </si>
  <si>
    <t>6093.87万</t>
  </si>
  <si>
    <t>311.04亿</t>
  </si>
  <si>
    <t>249.06亿</t>
  </si>
  <si>
    <t>22105965000亿</t>
  </si>
  <si>
    <t>412.71亿</t>
  </si>
  <si>
    <t>14.36亿</t>
  </si>
  <si>
    <t>210.39亿</t>
  </si>
  <si>
    <t>185.18亿</t>
  </si>
  <si>
    <t>5.34亿</t>
  </si>
  <si>
    <t>6.42亿</t>
  </si>
  <si>
    <t>10.71亿</t>
  </si>
  <si>
    <t>36662470亿</t>
  </si>
  <si>
    <t>1683.28万</t>
  </si>
  <si>
    <t>885396020亿</t>
  </si>
  <si>
    <t>106.36亿</t>
  </si>
  <si>
    <t>16497129000亿</t>
  </si>
  <si>
    <t>13.37亿</t>
  </si>
  <si>
    <t>38770951000亿</t>
  </si>
  <si>
    <t>67.28亿</t>
  </si>
  <si>
    <t>34.48亿</t>
  </si>
  <si>
    <t>83.30亿</t>
  </si>
  <si>
    <t>66.23亿</t>
  </si>
  <si>
    <t>52.76亿</t>
  </si>
  <si>
    <t>265.52亿</t>
  </si>
  <si>
    <t>23.41亿</t>
  </si>
  <si>
    <t>-6.65亿</t>
  </si>
  <si>
    <t>-10.95亿</t>
  </si>
  <si>
    <t>6.41亿</t>
  </si>
  <si>
    <t>323.84亿</t>
  </si>
  <si>
    <t>298.70亿</t>
  </si>
  <si>
    <t>299.95亿</t>
  </si>
  <si>
    <t>245.56亿</t>
  </si>
  <si>
    <t>193.01亿</t>
  </si>
  <si>
    <t>10.62亿</t>
  </si>
  <si>
    <t>13.62亿</t>
  </si>
  <si>
    <t>25.32亿</t>
  </si>
  <si>
    <t>21.05亿</t>
  </si>
  <si>
    <t>13.16亿</t>
  </si>
  <si>
    <t>93.52亿</t>
  </si>
  <si>
    <t>180.57亿</t>
  </si>
  <si>
    <t>69.74亿</t>
  </si>
  <si>
    <t>3.44亿</t>
  </si>
  <si>
    <t>6.71亿</t>
  </si>
  <si>
    <t>2.64亿</t>
  </si>
  <si>
    <t>2.11亿</t>
  </si>
  <si>
    <t>17.32亿</t>
  </si>
  <si>
    <t>6-1</t>
  </si>
  <si>
    <t>SH601869</t>
  </si>
  <si>
    <t>长飞光纤</t>
  </si>
  <si>
    <t>SH600498</t>
  </si>
  <si>
    <t>烽火通信</t>
  </si>
  <si>
    <t>SZ002491</t>
  </si>
  <si>
    <t>通鼎互联</t>
  </si>
  <si>
    <t>SZ000070</t>
  </si>
  <si>
    <t>特发信息</t>
  </si>
  <si>
    <t>SH600105</t>
  </si>
  <si>
    <t>永鼎股份</t>
  </si>
  <si>
    <t>SH603618</t>
  </si>
  <si>
    <t>杭电股份</t>
  </si>
  <si>
    <t>610.53万</t>
  </si>
  <si>
    <t>SZ000836</t>
  </si>
  <si>
    <t>富通信息</t>
  </si>
  <si>
    <t>SZ300265</t>
  </si>
  <si>
    <t>通光线缆</t>
  </si>
  <si>
    <t>219.77万</t>
  </si>
  <si>
    <t>743.44万</t>
  </si>
  <si>
    <t>131.38亿</t>
  </si>
  <si>
    <t>115.18亿</t>
  </si>
  <si>
    <t>6391375000亿</t>
  </si>
  <si>
    <t>95.36亿</t>
  </si>
  <si>
    <t>58.26亿</t>
  </si>
  <si>
    <t>49.56亿</t>
  </si>
  <si>
    <t>3.20亿</t>
  </si>
  <si>
    <t>32701015亿</t>
  </si>
  <si>
    <t>283.85万</t>
  </si>
  <si>
    <t>463288800亿</t>
  </si>
  <si>
    <t>42.16亿</t>
  </si>
  <si>
    <t>5253402600亿</t>
  </si>
  <si>
    <t>4.29亿</t>
  </si>
  <si>
    <t>14486787000亿</t>
  </si>
  <si>
    <t>50.32亿</t>
  </si>
  <si>
    <t>12.48亿</t>
  </si>
  <si>
    <t>25.74亿</t>
  </si>
  <si>
    <t>13.32亿</t>
  </si>
  <si>
    <t>20.41亿</t>
  </si>
  <si>
    <t>83.05亿</t>
  </si>
  <si>
    <t>29.96亿</t>
  </si>
  <si>
    <t>-12.61亿</t>
  </si>
  <si>
    <t>23.12亿</t>
  </si>
  <si>
    <t>82.22亿</t>
  </si>
  <si>
    <t>77.69亿</t>
  </si>
  <si>
    <t>113.60亿</t>
  </si>
  <si>
    <t>103.66亿</t>
  </si>
  <si>
    <t>81.11亿</t>
  </si>
  <si>
    <t>5.44亿</t>
  </si>
  <si>
    <t>8.01亿</t>
  </si>
  <si>
    <t>14.89亿</t>
  </si>
  <si>
    <t>12.68亿</t>
  </si>
  <si>
    <t>7.17亿</t>
  </si>
  <si>
    <t>29.82亿</t>
  </si>
  <si>
    <t>43.52亿</t>
  </si>
  <si>
    <t>19.12亿</t>
  </si>
  <si>
    <t>2.04亿</t>
  </si>
  <si>
    <t>4.79亿</t>
  </si>
  <si>
    <t>8446.31万</t>
  </si>
  <si>
    <t>3687.19万</t>
  </si>
  <si>
    <t>2.38亿</t>
  </si>
  <si>
    <t xml:space="preserve">
市值169.14671亿, 利润2.88亿; PE53.91, PB1.52; 毛利22.42%; 净利1.9%; 上一年度营收增24.87%, 利润增182.35%; 当季营收增18.63%, 利润增19.15%; 过往5年营收增9.69%, 利润增23.92%
Income profile:
</t>
  </si>
  <si>
    <t>714.21万</t>
  </si>
  <si>
    <t>267.90亿</t>
  </si>
  <si>
    <t>132.76亿</t>
  </si>
  <si>
    <t>14004147000亿</t>
  </si>
  <si>
    <t>263.15亿</t>
  </si>
  <si>
    <t>2.88亿</t>
  </si>
  <si>
    <t>140.15亿</t>
  </si>
  <si>
    <t>110.49亿</t>
  </si>
  <si>
    <t>8.86亿</t>
  </si>
  <si>
    <t>1.60亿</t>
  </si>
  <si>
    <t>17.21亿</t>
  </si>
  <si>
    <t>142145350亿</t>
  </si>
  <si>
    <t>502.98万</t>
  </si>
  <si>
    <t>162857040亿</t>
  </si>
  <si>
    <t>38.86亿</t>
  </si>
  <si>
    <t>7079820100亿</t>
  </si>
  <si>
    <t>10.83亿</t>
  </si>
  <si>
    <t>29970288000亿</t>
  </si>
  <si>
    <t>35.84亿</t>
  </si>
  <si>
    <t>11.73亿</t>
  </si>
  <si>
    <t>25.91亿</t>
  </si>
  <si>
    <t>53.33亿</t>
  </si>
  <si>
    <t>71.76亿</t>
  </si>
  <si>
    <t>924.71万</t>
  </si>
  <si>
    <t>204.90亿</t>
  </si>
  <si>
    <t>31.54亿</t>
  </si>
  <si>
    <t>-41.07亿</t>
  </si>
  <si>
    <t>-2.13亿</t>
  </si>
  <si>
    <t>35.91亿</t>
  </si>
  <si>
    <t>210.74亿</t>
  </si>
  <si>
    <t>246.62亿</t>
  </si>
  <si>
    <t>242.35亿</t>
  </si>
  <si>
    <t>210.56亿</t>
  </si>
  <si>
    <t>173.61亿</t>
  </si>
  <si>
    <t>9.79亿</t>
  </si>
  <si>
    <t>8.44亿</t>
  </si>
  <si>
    <t>8.25亿</t>
  </si>
  <si>
    <t>45.39亿</t>
  </si>
  <si>
    <t>120.09亿</t>
  </si>
  <si>
    <t>40.30亿</t>
  </si>
  <si>
    <t>3312.20万</t>
  </si>
  <si>
    <t>3010.02万</t>
  </si>
  <si>
    <t>通信网络设备及器件</t>
  </si>
  <si>
    <t>2892.68万</t>
  </si>
  <si>
    <t>2.42亿</t>
  </si>
  <si>
    <t xml:space="preserve">1.核心部件供应链风险；部分业务存在客户集中度较高、季节性较强的风险；
</t>
  </si>
  <si>
    <t>公司的主要产品包括智慧网络、智慧云、智慧通讯、智慧金融、智慧娱乐、智慧社区等领域。
2021H1:
企业级网络设备 32.46亿 61.41% 利润占比72.89% 毛利39.18%
其它 7.92亿 14.97% 利润占比11.25% 毛利24.80%
通讯产品 7.46亿 14.10% 利润占比9.69% 毛利22.68%
网络终端 5.03亿 9.52% 利润占比6.16% 毛利21.37%</t>
  </si>
  <si>
    <t>1768.15万</t>
  </si>
  <si>
    <t>42.33亿</t>
  </si>
  <si>
    <t>21.87亿</t>
  </si>
  <si>
    <t>1518712300亿</t>
  </si>
  <si>
    <t>29.77亿</t>
  </si>
  <si>
    <t>-6.47亿</t>
  </si>
  <si>
    <t>15.24亿</t>
  </si>
  <si>
    <t>12.72亿</t>
  </si>
  <si>
    <t>3955.27万</t>
  </si>
  <si>
    <t>7878.36万</t>
  </si>
  <si>
    <t>7238.17万</t>
  </si>
  <si>
    <t>30972435亿</t>
  </si>
  <si>
    <t>2924.30万</t>
  </si>
  <si>
    <t>-14757834亿</t>
  </si>
  <si>
    <t>1155964680亿</t>
  </si>
  <si>
    <t>1.01亿</t>
  </si>
  <si>
    <t>4316869300亿</t>
  </si>
  <si>
    <t>6.79亿</t>
  </si>
  <si>
    <t>5000.71万</t>
  </si>
  <si>
    <t>31.64亿</t>
  </si>
  <si>
    <t>1.82亿</t>
  </si>
  <si>
    <t>41.33亿</t>
  </si>
  <si>
    <t>-2321.34万</t>
  </si>
  <si>
    <t>2.67亿</t>
  </si>
  <si>
    <t>-2.89亿</t>
  </si>
  <si>
    <t>35.86亿</t>
  </si>
  <si>
    <t>35.39亿</t>
  </si>
  <si>
    <t>44.45亿</t>
  </si>
  <si>
    <t>42.32亿</t>
  </si>
  <si>
    <t>41.43亿</t>
  </si>
  <si>
    <t>4358.86万</t>
  </si>
  <si>
    <t>-21.23亿</t>
  </si>
  <si>
    <t>5.47亿</t>
  </si>
  <si>
    <t>5.95亿</t>
  </si>
  <si>
    <t>5.39亿</t>
  </si>
  <si>
    <t>6.94亿</t>
  </si>
  <si>
    <t>14.42亿</t>
  </si>
  <si>
    <t>6128.86万</t>
  </si>
  <si>
    <t>6043.71万</t>
  </si>
  <si>
    <t>-2570.29万</t>
  </si>
  <si>
    <t>8974.33万</t>
  </si>
  <si>
    <t>6.11亿</t>
  </si>
  <si>
    <t xml:space="preserve">
市值51.266221亿, 利润-6.18亿; PE, PB2.82; 毛利18.9733%; 净利3.79%; 上一年度营收增-2.77%, 利润增-5499.5%; 当季营收增42.57%, 利润增8631.41%; 过往5年营收增1.02%, 利润增-1087.72%
Income profile:
</t>
  </si>
  <si>
    <t>1347.98万</t>
  </si>
  <si>
    <t>62.27亿</t>
  </si>
  <si>
    <t>24.44亿</t>
  </si>
  <si>
    <t>1886635800亿</t>
  </si>
  <si>
    <t>45.91亿</t>
  </si>
  <si>
    <t>-6.18亿</t>
  </si>
  <si>
    <t>18.87亿</t>
  </si>
  <si>
    <t>16.11亿</t>
  </si>
  <si>
    <t>4958.57万</t>
  </si>
  <si>
    <t>6935.86万</t>
  </si>
  <si>
    <t>125256262亿</t>
  </si>
  <si>
    <t>229.08万</t>
  </si>
  <si>
    <t>-15213107亿</t>
  </si>
  <si>
    <t>12.99亿</t>
  </si>
  <si>
    <t>2318116800亿</t>
  </si>
  <si>
    <t>5764368300亿</t>
  </si>
  <si>
    <t>7.79亿</t>
  </si>
  <si>
    <t>15.36亿</t>
  </si>
  <si>
    <t>325.16万</t>
  </si>
  <si>
    <t>37.36亿</t>
  </si>
  <si>
    <t>10.89亿</t>
  </si>
  <si>
    <t>1117.50万</t>
  </si>
  <si>
    <t>-3497.43万</t>
  </si>
  <si>
    <t>47.22亿</t>
  </si>
  <si>
    <t>57.06亿</t>
  </si>
  <si>
    <t>54.73亿</t>
  </si>
  <si>
    <t>46.12亿</t>
  </si>
  <si>
    <t>1144.55万</t>
  </si>
  <si>
    <t>1.04亿</t>
  </si>
  <si>
    <t>7.96亿</t>
  </si>
  <si>
    <t>22.95亿</t>
  </si>
  <si>
    <t>15.30亿</t>
  </si>
  <si>
    <t>708.42万</t>
  </si>
  <si>
    <t>1251.24万</t>
  </si>
  <si>
    <t>1153.35万</t>
  </si>
  <si>
    <t>4879.13万</t>
  </si>
  <si>
    <t xml:space="preserve">
市值49.823975亿, 利润1.21亿; PE209.9, PB1.81; 毛利8.6133%; 净利-4.4167%; 上一年度营收增19.03%, 利润增121.61%; 当季营收增-19.05%, 利润增167.12%; 过往5年营收增8.93%, 利润增-534.64%
Income profile:
</t>
  </si>
  <si>
    <t>2712.66万</t>
  </si>
  <si>
    <t>44.92亿</t>
  </si>
  <si>
    <t>30.29亿</t>
  </si>
  <si>
    <t>1841213600亿</t>
  </si>
  <si>
    <t>39.10亿</t>
  </si>
  <si>
    <t>18.44亿</t>
  </si>
  <si>
    <t>16.00亿</t>
  </si>
  <si>
    <t>2809.34万</t>
  </si>
  <si>
    <t>6957.37万</t>
  </si>
  <si>
    <t>38850867亿</t>
  </si>
  <si>
    <t>135.97万</t>
  </si>
  <si>
    <t>24369346亿</t>
  </si>
  <si>
    <t>10.40亿</t>
  </si>
  <si>
    <t>1175452630亿</t>
  </si>
  <si>
    <t>391.17万</t>
  </si>
  <si>
    <t>3699794500亿</t>
  </si>
  <si>
    <t>9.70亿</t>
  </si>
  <si>
    <t>7.89亿</t>
  </si>
  <si>
    <t>15.00亿</t>
  </si>
  <si>
    <t>38.73亿</t>
  </si>
  <si>
    <t>2.90亿</t>
  </si>
  <si>
    <t>-5.00亿</t>
  </si>
  <si>
    <t>-9595.45万</t>
  </si>
  <si>
    <t>2.96亿</t>
  </si>
  <si>
    <t>32.85亿</t>
  </si>
  <si>
    <t>33.71亿</t>
  </si>
  <si>
    <t>32.21亿</t>
  </si>
  <si>
    <t>25.79亿</t>
  </si>
  <si>
    <t>-5.60亿</t>
  </si>
  <si>
    <t>2163.77万</t>
  </si>
  <si>
    <t>9.24亿</t>
  </si>
  <si>
    <t>19.59亿</t>
  </si>
  <si>
    <t>8.26亿</t>
  </si>
  <si>
    <t>1436.08万</t>
  </si>
  <si>
    <t>9006.52万</t>
  </si>
  <si>
    <t>9.36亿</t>
  </si>
  <si>
    <t xml:space="preserve">
市值40.564988亿, 利润9951.41万; PE33.98, PB1.56; 毛利15.2267%; 净利2.05%; 上一年度营收增25.2%, 利润增37.58%; 当季营收增30.64%, 利润增32.43%; 过往5年营收增15.37%, 利润增-2.66%
Income profile:
</t>
  </si>
  <si>
    <t>64.96亿</t>
  </si>
  <si>
    <t>28.24亿</t>
  </si>
  <si>
    <t>4036537100亿</t>
  </si>
  <si>
    <t>74.43亿</t>
  </si>
  <si>
    <t>9951.41万</t>
  </si>
  <si>
    <t>38.94亿</t>
  </si>
  <si>
    <t>34.62亿</t>
  </si>
  <si>
    <t>5507.60万</t>
  </si>
  <si>
    <t>-15900889亿</t>
  </si>
  <si>
    <t>18.23万</t>
  </si>
  <si>
    <t>77753064亿</t>
  </si>
  <si>
    <t>2837713700亿</t>
  </si>
  <si>
    <t>5939.97万</t>
  </si>
  <si>
    <t>7129377900亿</t>
  </si>
  <si>
    <t>16.37亿</t>
  </si>
  <si>
    <t>1.75亿</t>
  </si>
  <si>
    <t>33.97亿</t>
  </si>
  <si>
    <t>6.88亿</t>
  </si>
  <si>
    <t>54.87亿</t>
  </si>
  <si>
    <t>-5.84亿</t>
  </si>
  <si>
    <t>-7718.01万</t>
  </si>
  <si>
    <t>5.20亿</t>
  </si>
  <si>
    <t>59.45亿</t>
  </si>
  <si>
    <t>49.09亿</t>
  </si>
  <si>
    <t>43.77亿</t>
  </si>
  <si>
    <t>41.61亿</t>
  </si>
  <si>
    <t>36.75亿</t>
  </si>
  <si>
    <t>7232.98万</t>
  </si>
  <si>
    <t>1.00亿</t>
  </si>
  <si>
    <t>1.41亿</t>
  </si>
  <si>
    <t>17.36亿</t>
  </si>
  <si>
    <t>30.72亿</t>
  </si>
  <si>
    <t>13.11亿</t>
  </si>
  <si>
    <t>2559.76万</t>
  </si>
  <si>
    <t>6585.27万</t>
  </si>
  <si>
    <t>2045.34万</t>
  </si>
  <si>
    <t>3467.71万</t>
  </si>
  <si>
    <t>4.47亿</t>
  </si>
  <si>
    <t>-1-0</t>
  </si>
  <si>
    <t xml:space="preserve">
市值35.89112亿, 利润651.94万; PE53.35, PB2.7; 毛利18.2367%; 净利2.3633%; 上一年度营收增35.93%, 利润增-44.75%; 当季营收增-11.01%, 利润增125.92%; 过往5年营收增2.2%, 利润增-19.62%
Income profile:
</t>
  </si>
  <si>
    <t>8388.04万</t>
  </si>
  <si>
    <t>13.88亿</t>
  </si>
  <si>
    <t>13.87亿</t>
  </si>
  <si>
    <t>611270310亿</t>
  </si>
  <si>
    <t>14.30亿</t>
  </si>
  <si>
    <t>651.94万</t>
  </si>
  <si>
    <t>5.98亿</t>
  </si>
  <si>
    <t>237.42万</t>
  </si>
  <si>
    <t>3800.25万</t>
  </si>
  <si>
    <t>2934.76万</t>
  </si>
  <si>
    <t>5.38万</t>
  </si>
  <si>
    <t>9566161亿</t>
  </si>
  <si>
    <t>967634410亿</t>
  </si>
  <si>
    <t>1607344100亿</t>
  </si>
  <si>
    <t>1430.60万</t>
  </si>
  <si>
    <t>5.37亿</t>
  </si>
  <si>
    <t>2.54亿</t>
  </si>
  <si>
    <t>11.53亿</t>
  </si>
  <si>
    <t>9300.00万</t>
  </si>
  <si>
    <t>-823.56万</t>
  </si>
  <si>
    <t>-514.34万</t>
  </si>
  <si>
    <t>2094.53万</t>
  </si>
  <si>
    <t>10.52亿</t>
  </si>
  <si>
    <t>11.42亿</t>
  </si>
  <si>
    <t>26.64亿</t>
  </si>
  <si>
    <t>20.57亿</t>
  </si>
  <si>
    <t>18.60亿</t>
  </si>
  <si>
    <t>1179.91万</t>
  </si>
  <si>
    <t>4078.48万</t>
  </si>
  <si>
    <t>6666.92万</t>
  </si>
  <si>
    <t>8412.75万</t>
  </si>
  <si>
    <t>4744.71万</t>
  </si>
  <si>
    <t>2.82亿</t>
  </si>
  <si>
    <t>5.12亿</t>
  </si>
  <si>
    <t>334.75万</t>
  </si>
  <si>
    <t>-4957.85万</t>
  </si>
  <si>
    <t>-5304.39万</t>
  </si>
  <si>
    <t>8.35亿</t>
  </si>
  <si>
    <t>7-1</t>
  </si>
  <si>
    <t xml:space="preserve">
市值30.54837亿, 利润4493.70万; PE62.26, PB2.31; 毛利23.9%; 净利3.5733%; 上一年度营收增31.08%, 利润增-24.18%; 当季营收增25.05%, 利润增11.6%; 过往5年营收增6.53%, 利润增-2.21%
Income profile:
</t>
  </si>
  <si>
    <t>13.83亿</t>
  </si>
  <si>
    <t>13.78亿</t>
  </si>
  <si>
    <t>1032258190亿</t>
  </si>
  <si>
    <t>19.23亿</t>
  </si>
  <si>
    <t>4493.70万</t>
  </si>
  <si>
    <t>9.81亿</t>
  </si>
  <si>
    <t>8.43亿</t>
  </si>
  <si>
    <t>4869.30万</t>
  </si>
  <si>
    <t>3595.28万</t>
  </si>
  <si>
    <t>3562.19万</t>
  </si>
  <si>
    <t>-6516886亿</t>
  </si>
  <si>
    <t>6.33万</t>
  </si>
  <si>
    <t>32440677亿</t>
  </si>
  <si>
    <t>1203871790亿</t>
  </si>
  <si>
    <t>3463.49万</t>
  </si>
  <si>
    <t>1927154000亿</t>
  </si>
  <si>
    <t>4.23亿</t>
  </si>
  <si>
    <t>7155.66万</t>
  </si>
  <si>
    <t>3260.45万</t>
  </si>
  <si>
    <t>3.64亿</t>
  </si>
  <si>
    <t>12.35亿</t>
  </si>
  <si>
    <t>5643.70万</t>
  </si>
  <si>
    <t>-1.02亿</t>
  </si>
  <si>
    <t>3993.12万</t>
  </si>
  <si>
    <t>14.67亿</t>
  </si>
  <si>
    <t>14.76亿</t>
  </si>
  <si>
    <t>16.07亿</t>
  </si>
  <si>
    <t>15.16亿</t>
  </si>
  <si>
    <t>14.53亿</t>
  </si>
  <si>
    <t>5927.00万</t>
  </si>
  <si>
    <t>2709.90万</t>
  </si>
  <si>
    <t>3731.87万</t>
  </si>
  <si>
    <t>4230.62万</t>
  </si>
  <si>
    <t>4.07亿</t>
  </si>
  <si>
    <t>7.82亿</t>
  </si>
  <si>
    <t>1400.32万</t>
  </si>
  <si>
    <t>3727.86万</t>
  </si>
  <si>
    <t>1272.00万</t>
  </si>
  <si>
    <t>1182.51万</t>
  </si>
  <si>
    <t>-2-1</t>
  </si>
  <si>
    <t>SH600089</t>
  </si>
  <si>
    <t>特变电工</t>
  </si>
  <si>
    <t>4431.90万</t>
  </si>
  <si>
    <t>SZ002471</t>
  </si>
  <si>
    <t>中超控股</t>
  </si>
  <si>
    <t>2615.97万</t>
  </si>
  <si>
    <t>公司主营业务包括输变电业务、新能源业务及能源业务。主要产品是变压器产品、电线电缆产品、新能源产业及配套工程、输变电成套工程、贸易、煤炭产品、电费等。
市值1020亿，利润72.55亿；pe12.35,pb2.35;毛利23.83%，净利9.9%；2021营收增37.39%，利润增196.4%；2022Q1营收增81.18%，利润增230%；过往5年营收增10.1%，利润增42%；
2021：
新能源产业及工程 199.69亿 32.59% 43.22% 40.14%
变压器产品 109.26亿 17.83% 11.02% 18.72%
煤炭产品 94.22亿 15.38% 21.81% 42.94%
电线电缆产品 89.85亿 14.66% 4.09% 8.45%
发电业务 39.83亿 6.50% 17.14亿 4.01% 12.24% 56.98%
输变电成套工程 33.36亿 5.44% 2.94% 16.35%
物流贸易 26.81亿 4.38% 0.72% 4.99%
其他业务 9.32亿 1.52% 1.47% 29.29%
其他 6.74亿 1.10% 1.15% 31.51%
黄金 3.71亿 0.61% 1.35% 67.40%</t>
  </si>
  <si>
    <t>757.80亿</t>
  </si>
  <si>
    <t>630.99亿</t>
  </si>
  <si>
    <t>38720196000亿</t>
  </si>
  <si>
    <t>613.71亿</t>
  </si>
  <si>
    <t>72.55亿</t>
  </si>
  <si>
    <t>274.50亿</t>
  </si>
  <si>
    <t>238.80亿</t>
  </si>
  <si>
    <t>9.55亿</t>
  </si>
  <si>
    <t>12.25亿</t>
  </si>
  <si>
    <t>181664520亿</t>
  </si>
  <si>
    <t>5168.24万</t>
  </si>
  <si>
    <t>7074964500亿</t>
  </si>
  <si>
    <t>204.29亿</t>
  </si>
  <si>
    <t>13427202000亿</t>
  </si>
  <si>
    <t>25.33亿</t>
  </si>
  <si>
    <t>66012519000亿</t>
  </si>
  <si>
    <t>429.07亿</t>
  </si>
  <si>
    <t>103.32亿</t>
  </si>
  <si>
    <t>18.30亿</t>
  </si>
  <si>
    <t>119.02亿</t>
  </si>
  <si>
    <t>157.01亿</t>
  </si>
  <si>
    <t>476.85亿</t>
  </si>
  <si>
    <t>253.83亿</t>
  </si>
  <si>
    <t>104.18亿</t>
  </si>
  <si>
    <t>-76.00亿</t>
  </si>
  <si>
    <t>-19.50亿</t>
  </si>
  <si>
    <t>446.69亿</t>
  </si>
  <si>
    <t>369.80亿</t>
  </si>
  <si>
    <t>396.56亿</t>
  </si>
  <si>
    <t>382.81亿</t>
  </si>
  <si>
    <t>401.17亿</t>
  </si>
  <si>
    <t>24.48亿</t>
  </si>
  <si>
    <t>20.18亿</t>
  </si>
  <si>
    <t>20.48亿</t>
  </si>
  <si>
    <t>21.96亿</t>
  </si>
  <si>
    <t>21.90亿</t>
  </si>
  <si>
    <t>171.00亿</t>
  </si>
  <si>
    <t>224.92亿</t>
  </si>
  <si>
    <t>94.38亿</t>
  </si>
  <si>
    <t>31.22亿</t>
  </si>
  <si>
    <t>31.06亿</t>
  </si>
  <si>
    <t>21.19亿</t>
  </si>
  <si>
    <t>输变电设备</t>
  </si>
  <si>
    <t>2.03亿</t>
  </si>
  <si>
    <t>24.96亿</t>
  </si>
  <si>
    <t xml:space="preserve">
市值118.892718亿, 利润2.30亿; PE57.6, PB1.26; 毛利43.8967%; 净利-1.49%; 上一年度营收增-41.23%, 利润增-42.5%; 当季营收增14.08%, 利润增-62.65%; 过往5年营收增10.66%, 利润增91.76%
Income profile:
</t>
  </si>
  <si>
    <t xml:space="preserve">
市值43.0794亿, 利润8634.10万; PE41, PB6.33; 毛利12.2867%; 净利5.1133%; 上一年度营收增79.43%, 利润增63.2%; 当季营收增24.22%, 利润增14.76%; 过往5年营收增30.39%, 利润增19.96%
Income profile:
</t>
  </si>
  <si>
    <t xml:space="preserve">
市值32.5876亿, 利润2739.43万; PE159.2, PB2.44; 毛利11.9967%; 净利-2.9367%; 上一年度营收增8.19%, 利润增150.17%; 当季营收增-12.53%, 利润增-227.59%; 过往5年营收增.15%, 利润增-82.51%
Income profile:
</t>
  </si>
  <si>
    <t>46.26亿</t>
  </si>
  <si>
    <t>2613849600亿</t>
  </si>
  <si>
    <t>58.80亿</t>
  </si>
  <si>
    <t>2739.43万</t>
  </si>
  <si>
    <t>26.34亿</t>
  </si>
  <si>
    <t>23.49亿</t>
  </si>
  <si>
    <t>5603.44万</t>
  </si>
  <si>
    <t>6462.08万</t>
  </si>
  <si>
    <t>9616.38万</t>
  </si>
  <si>
    <t>11409920亿</t>
  </si>
  <si>
    <t>363.23万</t>
  </si>
  <si>
    <t>-42280148亿</t>
  </si>
  <si>
    <t>2942422400亿</t>
  </si>
  <si>
    <t>9901.54万</t>
  </si>
  <si>
    <t>4699656300亿</t>
  </si>
  <si>
    <t>4.87亿</t>
  </si>
  <si>
    <t>1579.54万</t>
  </si>
  <si>
    <t>19.93亿</t>
  </si>
  <si>
    <t>8.80亿</t>
  </si>
  <si>
    <t>10.06亿</t>
  </si>
  <si>
    <t>72.25万</t>
  </si>
  <si>
    <t>43.15亿</t>
  </si>
  <si>
    <t>7529.40万</t>
  </si>
  <si>
    <t>1610.99万</t>
  </si>
  <si>
    <t>-9189.58万</t>
  </si>
  <si>
    <t>54.35亿</t>
  </si>
  <si>
    <t>73.81亿</t>
  </si>
  <si>
    <t>76.34亿</t>
  </si>
  <si>
    <t>74.15亿</t>
  </si>
  <si>
    <t>62.17亿</t>
  </si>
  <si>
    <t>1095.01万</t>
  </si>
  <si>
    <t>-4.63亿</t>
  </si>
  <si>
    <t>8544.02万</t>
  </si>
  <si>
    <t>8371.84万</t>
  </si>
  <si>
    <t>10.91亿</t>
  </si>
  <si>
    <t>25.72亿</t>
  </si>
  <si>
    <t>8.31亿</t>
  </si>
  <si>
    <t>-2912.75万</t>
  </si>
  <si>
    <t>-3402.45万</t>
  </si>
  <si>
    <t>-4329.39万</t>
  </si>
  <si>
    <t>33.56亿</t>
  </si>
  <si>
    <t>3-1</t>
  </si>
  <si>
    <t xml:space="preserve">
市值31.64175亿, 利润8826.71万; PE28.49, PB3.51; 毛利15.48%; 净利6.23%; 上一年度营收增26.18%, 利润增20.93%; 当季营收增22.85%, 利润增102.79%; 过往5年营收增16.4%, 利润增19.86%
Income profile:
</t>
  </si>
  <si>
    <t>公司是国内光电缆品种最齐全的专业企业,主营光纤通信和电力传输。其主要产品包括光通信及网络、电力传输、海洋系列、新能源、铜产品、商品贸易。
市值789.41525亿, 利润1.72亿; PE45.22, PB2.81; 毛利16.5467%; 净利7.3733%; 上一年度营收增9.7%, 利润增-92.44%; 当季营收增-19.38%, 利润增431.18%; 过往5年营收增17.22%, 利润增-10.56%
Income profile:
电网建设 111.60亿 24.17% 20.82% 13.79%
商品贸易 101.42亿 21.97% 1.52% 1.10%
海洋系列 94.19亿 20.40% 45.30% 35.55%
光通信及网络 74.76亿 16.20% 22.73% 22.47%
铜产品 48.52亿 10.51% 2.81% 4.28%
新能源 20.88亿 4.52% 4.27% 15.13%</t>
  </si>
  <si>
    <t>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
市值414.09557亿, 利润14.36亿; PE25.48, PB1.98; 毛利16.4367%; 净利3.93%; 上一年度营收增27.44%, 利润增35.22%; 当季营收增15.08%, 利润增26.81%; 过往5年营收增16.96%, 利润增9.44%
Income profile:
智能电网 169.95亿 41.18% 34.42% 13.34%
铜导体 68.46亿 16.59% 1.09% 1.05%
光网络与系统集成 62.52亿 15.15% 14.44% 15.21%
海洋能源与通信 57.52亿 13.94% 41.16% 47.11%
工业智能 30.23亿 7.32% 6.73% 14.65%</t>
  </si>
  <si>
    <t>公司成立于1988年5月31日，主要从事研究、开发、生产和销售光纤预制棒、光纤、光缆及相关产品。公司主要产品包括光纤、光纤预制棒、光缆、其他产品及服务。
市值308.3158亿, 利润7.09亿; PE40.85, PB3.26; 毛利21.9233%; 净利7.9233%; 上一年度营收增15.98%, 利润增30.33%; 当季营收增39.73%, 利润增-18.54%; 过往5年营收增5.52%, 利润增9.26%
Income profile:
光缆 39.21亿 41.12% 17.54% 8.37%
光纤及光纤预制棒 29.19亿 30.60% 62.97% 40.39%
其他产品及服务 25.71亿 26.96% 17.91% 13.04%</t>
  </si>
  <si>
    <r>
      <t xml:space="preserve">1.2022H1利润18.24亿元 </t>
    </r>
    <r>
      <rPr>
        <sz val="9"/>
        <color rgb="FFFF0000"/>
        <rFont val="宋体"/>
        <family val="3"/>
        <charset val="134"/>
        <scheme val="minor"/>
      </rPr>
      <t>同比增长628.62%</t>
    </r>
    <r>
      <rPr>
        <sz val="9"/>
        <color theme="1"/>
        <rFont val="宋体"/>
        <family val="2"/>
        <charset val="134"/>
        <scheme val="minor"/>
      </rPr>
      <t>；</t>
    </r>
    <r>
      <rPr>
        <sz val="9"/>
        <color theme="1"/>
        <rFont val="宋体"/>
        <family val="3"/>
        <charset val="134"/>
        <scheme val="minor"/>
      </rPr>
      <t>2.受益海风规模化、远海化发展，</t>
    </r>
    <r>
      <rPr>
        <sz val="9"/>
        <color rgb="FFFF0000"/>
        <rFont val="宋体"/>
        <family val="3"/>
        <charset val="134"/>
        <scheme val="minor"/>
      </rPr>
      <t>海缆价值量持续提升</t>
    </r>
    <r>
      <rPr>
        <sz val="9"/>
        <color theme="1"/>
        <rFont val="宋体"/>
        <family val="3"/>
        <charset val="134"/>
        <scheme val="minor"/>
      </rPr>
      <t>；3.以海洋经济为龙头、新能源为突破、通信电网为支撑，提升公司核心竞争力；</t>
    </r>
    <phoneticPr fontId="1" type="noConversion"/>
  </si>
  <si>
    <t>5088.71万</t>
  </si>
  <si>
    <t>14.63亿</t>
  </si>
  <si>
    <t>公司是国内光电缆品种最齐全的专业企业,主营光纤通信和电力传输。其主要产品包括光通信及网络、电力传输、海洋系列、新能源、铜产品、商品贸易。
市值820.4731亿, 利润1.72亿; PE47, PB2.92; 毛利16.5467%; 净利7.3733%; 上一年度营收增9.7%, 利润增-92.44%; 当季营收增-19.38%, 利润增431.18%; 过往5年营收增17.22%, 利润增-10.56%
Income profile:
电网建设 111.60亿 24.17% 20.82% 13.79%
商品贸易 101.42亿 21.97% 1.52% 1.10%
海洋系列 94.19亿 20.40% 45.30% 35.55%
光通信及网络 74.76亿 16.20% 22.73% 22.47%
铜产品 48.52亿 10.51% 2.81% 4.28%
新能源 20.88亿 4.52% 4.27% 15.13%</t>
  </si>
  <si>
    <r>
      <t>1.公司专注于在能源和通信两大领域为客户创造价值，提供行业领先的</t>
    </r>
    <r>
      <rPr>
        <sz val="9"/>
        <color rgb="FFFF0000"/>
        <rFont val="宋体"/>
        <family val="3"/>
        <charset val="134"/>
        <scheme val="minor"/>
      </rPr>
      <t>海上风电、海洋通信、智慧城市、光通信</t>
    </r>
    <r>
      <rPr>
        <sz val="9"/>
        <color theme="1"/>
        <rFont val="宋体"/>
        <family val="2"/>
        <charset val="134"/>
        <scheme val="minor"/>
      </rPr>
      <t>等产品与解决方案。2.截至 2022 年 7 月末，公司拥有海底电缆、海洋工程及陆缆产品等</t>
    </r>
    <r>
      <rPr>
        <sz val="9"/>
        <color rgb="FFFF0000"/>
        <rFont val="宋体"/>
        <family val="3"/>
        <charset val="134"/>
        <scheme val="minor"/>
      </rPr>
      <t>能源互联领域在手订单 135.36 亿元</t>
    </r>
    <r>
      <rPr>
        <sz val="9"/>
        <color theme="1"/>
        <rFont val="宋体"/>
        <family val="2"/>
        <charset val="134"/>
        <scheme val="minor"/>
      </rPr>
      <t>。2022 年，公司持续中标国内外海上风电项目，体现了公司在海洋能源领域的综合技术实力</t>
    </r>
    <phoneticPr fontId="1" type="noConversion"/>
  </si>
  <si>
    <t>4250.82万</t>
  </si>
  <si>
    <t>17.15亿</t>
  </si>
  <si>
    <t>6-0</t>
  </si>
  <si>
    <t>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
市值470.78943亿, 利润14.36亿; PE28.97, PB2.25; 毛利16.4367%; 净利3.93%; 上一年度营收增27.44%, 利润增35.22%; 当季营收增15.08%, 利润增26.81%; 过往5年营收增16.96%, 利润增9.44%
Income profile:
智能电网 169.95亿 41.18% 34.42% 13.34%
铜导体 68.46亿 16.59% 1.09% 1.05%
光网络与系统集成 62.52亿 15.15% 14.44% 15.21%
海洋能源与通信 57.52亿 13.94% 41.16% 47.11%
工业智能 30.23亿 7.32% 6.73% 14.65%</t>
  </si>
  <si>
    <t>1.2020 年，纳入行业投资统计体系的主要电力企业合计完成投资 9944 亿，同比增长 9.6%。电源工程建设完成投资 5244 亿元，同比增长29.2%，其中风电、太阳能发电、水电投资分别增长 70.6%、66.4%、19.0%</t>
    <phoneticPr fontId="1" type="noConversion"/>
  </si>
  <si>
    <t xml:space="preserve">
</t>
    <phoneticPr fontId="1" type="noConversion"/>
  </si>
  <si>
    <t>1023.53万</t>
  </si>
  <si>
    <t>5200.55万</t>
  </si>
  <si>
    <t>4-0</t>
  </si>
  <si>
    <t>公司现拥有陆缆系统、海缆系统、海洋工程三大产品领域。拥有 500kV 及以下交流海缆、陆缆，±535kV 及以下直流海缆、陆缆的系统研发生产能力
市值529.05943亿, 利润11.89亿; PE49.26, PB10.46; 毛利27.52%; 净利15.0467%; 上一年度营收增57.01%, 利润增34.05%; 当季营收增5.28%, 利润增-31.99%; 过往5年营收增36.19%, 利润增106.42%
Income profile:
陆缆系统 38.41亿 48.43% 18.15% 9.49%
海缆系统 32.73亿 41.26% 71.48% 43.90%
海洋工程 8.09亿 10.20% 10.12% 25.14%</t>
  </si>
  <si>
    <r>
      <t>1.问：与中天科技、东方电缆等头部企业相比，公司在海缆上的研发投入、产品竞争力有哪些提升？（比如东方电缆的脐带缆）答：公司注重科研投入，在即墨女岛投资扩大海缆产能。公司</t>
    </r>
    <r>
      <rPr>
        <sz val="9"/>
        <color rgb="FFFF0000"/>
        <rFont val="宋体"/>
        <family val="3"/>
        <charset val="134"/>
        <scheme val="minor"/>
      </rPr>
      <t>在高压、超高压、交联电缆领域技术优势明显</t>
    </r>
    <r>
      <rPr>
        <sz val="9"/>
        <color theme="1"/>
        <rFont val="宋体"/>
        <family val="3"/>
        <charset val="134"/>
        <scheme val="minor"/>
      </rPr>
      <t>，其中110Kv-500Kv交联电缆、110kv-220kv电缆附件等产品在行业内有绝对的技术领先优势，公司是国内少数提供高压及超高压电缆、附件生产、安装、竣工检验的供应商之一。</t>
    </r>
    <phoneticPr fontId="1" type="noConversion"/>
  </si>
  <si>
    <r>
      <t>1.海缆市场</t>
    </r>
    <r>
      <rPr>
        <sz val="9"/>
        <color rgb="FFFF0000"/>
        <rFont val="宋体"/>
        <family val="3"/>
        <charset val="134"/>
        <scheme val="minor"/>
      </rPr>
      <t>竞争一直很激烈</t>
    </r>
    <r>
      <rPr>
        <sz val="9"/>
        <color theme="1"/>
        <rFont val="宋体"/>
        <family val="3"/>
        <charset val="134"/>
        <scheme val="minor"/>
      </rPr>
      <t>。海缆产品目前整体毛利较高，但产品结构设计、工艺路线制定、产品制造和发运、施工等过程都有较高的专业要求，占用公司各项服务和资源也较高。而且由于交货周期较长，期间的材料价格波动、施工环境变化等也影响了不同工程项目的海缆产品毛利水平有所波动;</t>
    </r>
    <phoneticPr fontId="1" type="noConversion"/>
  </si>
  <si>
    <t>6059.31万</t>
  </si>
  <si>
    <t>1.37亿</t>
  </si>
  <si>
    <t>公司是一家主营电线电缆及电缆附件的研发、生产、销售与安装服务,致力于为客户提供电缆及附件的全套解决方案的公司。
市值143.38491亿, 利润7.77亿; PE18.12, PB2.16; 毛利20.1733%; 净利7.7133%; 上一年度营收增29.19%, 利润增33.28%; 当季营收增13.35%, 利润增-1.72%; 过往5年营收增16.94%, 利润增22.5%
Income profile:
电力电缆 30.71亿 65.55% 90.85% 23.38%
裸电线 7.98亿 17.04% 9.15% 9.05%</t>
  </si>
  <si>
    <r>
      <t>1.公司有</t>
    </r>
    <r>
      <rPr>
        <b/>
        <sz val="9"/>
        <color rgb="FFFF0000"/>
        <rFont val="宋体"/>
        <family val="3"/>
        <charset val="134"/>
        <scheme val="minor"/>
      </rPr>
      <t>军用水密封电缆（耐水压10 兆帕）</t>
    </r>
    <r>
      <rPr>
        <sz val="9"/>
        <color theme="1"/>
        <rFont val="宋体"/>
        <family val="2"/>
        <charset val="134"/>
        <scheme val="minor"/>
      </rPr>
      <t>产品，并具有相关的军工服务资质；2.公司线缆产品有运用于风电项目，如中标亿联科技启东海上风电项目</t>
    </r>
    <r>
      <rPr>
        <b/>
        <sz val="9"/>
        <color rgb="FFFF0000"/>
        <rFont val="宋体"/>
        <family val="3"/>
        <charset val="134"/>
        <scheme val="minor"/>
      </rPr>
      <t>35kV海缆；</t>
    </r>
    <r>
      <rPr>
        <sz val="9"/>
        <rFont val="宋体"/>
        <family val="3"/>
        <charset val="134"/>
        <scheme val="minor"/>
      </rPr>
      <t>2.公司海缆业务发展势头较好，主要包括海底电缆、海底光电复合缆等产品，公司现有2条海缆生产线，其中高压海缆立式成缆-铠装生产线预计今年六月底完成调试，全部投产后预计实现年产能超13亿元，现有海缆生产线处于满产状态，且能生产的海缆最高电压等级为330KV。3.，起帆电缆的高柔性机器人电缆（耐弯折达2000万次）、军用水密封电缆（耐水压10兆帕）、耐寒电缆（零下80摄氏度）等高端特种电缆达到国内领先水平；</t>
    </r>
    <phoneticPr fontId="1" type="noConversion"/>
  </si>
  <si>
    <t>884.08万</t>
  </si>
  <si>
    <t>3134.03万</t>
  </si>
  <si>
    <t>公司是一家从事电线电缆研发、生产、销售和服务的专业制造商。公司的主要产品为电力电缆、电气装备用电线电缆。
市值102.173244亿, 利润6.84亿; PE15.75, PB2.7; 毛利10.2533%; 净利4.2%; 上一年度营收增93.9%, 利润增66.83%; 当季营收增-3.33%, 利润增-21.95%; 过往5年营收增44.88%, 利润增28.78%
Income profile:
电力电缆 52.96亿 64.88% 50.91% 7.63%
电气装备用电线电缆 26.25亿 32.16% 49.24% 14.89%
其他业务 2.42亿 2.97% -0.15% -0.48%</t>
  </si>
  <si>
    <t>4254.68万</t>
  </si>
  <si>
    <t>公司是一家主要从事电线电缆及电缆附件开发、制造、销售及相关的生产技术开发的公司.公司产品覆盖裸导体、电气装备用电缆、电力电缆、通信电缆及光缆。
市值69.528269亿, 利润-7.63亿; PE, PB2.06; 毛利6.23%; 净利.5667%; 上一年度营收增25.07%, 利润增-436.12%; 当季营收增-11.46%, 利润增-161.25%; 过往5年营收增24.76%, 利润增-77.79%
Income profile:
裸导体及其制品 242.34亿 56.52% 8.20% 0.93%
电力电缆 139.76亿 32.59% 55.24% 10.82%
电气装备用电缆 19.75亿 4.61% 12.65% 17.54%
海上风电 15.09亿 3.52% 21.30% 38.66%</t>
  </si>
  <si>
    <t>1425.19万</t>
  </si>
  <si>
    <t>4117.20万</t>
  </si>
  <si>
    <t>2.45亿</t>
  </si>
  <si>
    <t>公司是一家综合性电线电缆生产企业，主要产品电力电缆、特种电缆、建筑用线、装备用线、数据电缆、架空线。
市值50.366359亿, 利润1.59亿; PE25.65, PB3; 毛利6.5967%; 净利2.4133%; 上一年度营收增41.35%, 利润增-16.32%; 当季营收增24.85%, 利润增78.92%; 过往5年营收增26.84%, 利润增5.98%
Income profile:
铜加工 32.59亿 51.96% 6.74% 0.52%
特种电缆 18.48亿 29.47% 48.16% 6.55%
电力电缆 5.16亿 8.23% 11.51% 5.61%
建筑用线 4.08亿 6.51% 32.01% 19.73%</t>
  </si>
  <si>
    <t>SZ300820</t>
  </si>
  <si>
    <t>英杰电气</t>
  </si>
  <si>
    <t>SZ300693</t>
  </si>
  <si>
    <t>盛弘股份</t>
  </si>
  <si>
    <t>SZ300593</t>
  </si>
  <si>
    <t>新雷能</t>
  </si>
  <si>
    <t>SH688719</t>
  </si>
  <si>
    <t>爱科赛博</t>
  </si>
  <si>
    <t>SZ002111</t>
  </si>
  <si>
    <t>威海广泰</t>
  </si>
  <si>
    <t>国防军工</t>
  </si>
  <si>
    <t>SH688551</t>
  </si>
  <si>
    <t>科威尔</t>
  </si>
  <si>
    <t>SH688663</t>
  </si>
  <si>
    <t>新风光</t>
  </si>
  <si>
    <r>
      <t>0.前十大股东累计持有： 1.58亿股，</t>
    </r>
    <r>
      <rPr>
        <sz val="9"/>
        <color rgb="FFFF0000"/>
        <rFont val="宋体"/>
        <family val="3"/>
        <charset val="134"/>
        <scheme val="minor"/>
      </rPr>
      <t>累计占总股本比：71.56%，</t>
    </r>
    <r>
      <rPr>
        <sz val="9"/>
        <rFont val="宋体"/>
        <family val="3"/>
        <charset val="134"/>
        <scheme val="minor"/>
      </rPr>
      <t>董事长王军和总经理周英怀为实际控制人，截至 2023 年半年报，两人持有公司股权比例分别为 34.29%和 33.78%，</t>
    </r>
    <r>
      <rPr>
        <sz val="9"/>
        <color rgb="FFFF0000"/>
        <rFont val="宋体"/>
        <family val="3"/>
        <charset val="134"/>
        <scheme val="minor"/>
      </rPr>
      <t>合计共持股 68.07%，</t>
    </r>
    <r>
      <rPr>
        <sz val="9"/>
        <rFont val="宋体"/>
        <family val="3"/>
        <charset val="134"/>
        <scheme val="minor"/>
      </rPr>
      <t>股权集中度较高</t>
    </r>
    <r>
      <rPr>
        <sz val="9"/>
        <color theme="1"/>
        <rFont val="宋体"/>
        <family val="3"/>
        <charset val="134"/>
        <scheme val="minor"/>
      </rPr>
      <t>；</t>
    </r>
    <r>
      <rPr>
        <sz val="9"/>
        <color theme="1"/>
        <rFont val="宋体"/>
        <family val="2"/>
        <charset val="134"/>
        <scheme val="minor"/>
      </rP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r>
      <rPr>
        <sz val="9"/>
        <color theme="1"/>
        <rFont val="宋体"/>
        <family val="3"/>
        <charset val="134"/>
        <scheme val="minor"/>
      </rPr>
      <t>2.电源作为一些特殊场合（包括光伏设备，半导体设备及其他）温场控制的核心，要求能够根据负载变化进行电流电压勿扰切换，具备功率密度大、高稳定度、高控制精度、快速响应等特性，其重要程度不言而喻。3.半导体电子材料行业的订单分为半导体设备和半导体材料两大类，目前</t>
    </r>
    <r>
      <rPr>
        <sz val="9"/>
        <color rgb="FFFF0000"/>
        <rFont val="宋体"/>
        <family val="3"/>
        <charset val="134"/>
        <scheme val="minor"/>
      </rPr>
      <t>公司在这个行业处于一个相对较快的增长阶段</t>
    </r>
    <r>
      <rPr>
        <sz val="9"/>
        <color theme="1"/>
        <rFont val="宋体"/>
        <family val="3"/>
        <charset val="134"/>
        <scheme val="minor"/>
      </rPr>
      <t>。去年这个行业订单在2.3亿元左右，今年截至到目前已经近3亿元。4.请问公司电源核心技术的壁垒在哪里？答：公司的电源主要集中在电热场加热，且需要长时间精准控温，控制电流、电压、频率、响应速度等等。和国外产品相比，</t>
    </r>
    <r>
      <rPr>
        <b/>
        <sz val="9"/>
        <color rgb="FFFF0000"/>
        <rFont val="宋体"/>
        <family val="3"/>
        <charset val="134"/>
        <scheme val="minor"/>
      </rPr>
      <t>稳定性以及持续稳定工作的时间</t>
    </r>
    <r>
      <rPr>
        <sz val="9"/>
        <color theme="1"/>
        <rFont val="宋体"/>
        <family val="3"/>
        <charset val="134"/>
        <scheme val="minor"/>
      </rPr>
      <t>，国内企业有较大差距。我们实现替代的产品也是在这两点上实现了重要突破才取得了替代的成功。</t>
    </r>
    <phoneticPr fontId="1" type="noConversion"/>
  </si>
  <si>
    <r>
      <t>1.光伏配套电源对手：大全集团，北京动力源科技；2.光伏电源增速可能会变缓，主要看工业和半导体电源，以及海外充电桩市场突破；3.问：请问光伏行业、半导体行业及充电桩行业的结算周期是怎样的？答：光伏多晶行业确认周期最长，目前大概在18个月左右，目前个别项目有超过20个月的。钢铁、冶金、玻璃玻纤等行业大概是6-8个月，这几个行业的安装调试验收周期相对较长，尤其是多晶行业。</t>
    </r>
    <r>
      <rPr>
        <sz val="9"/>
        <color rgb="FFFF0000"/>
        <rFont val="宋体"/>
        <family val="3"/>
        <charset val="134"/>
        <scheme val="minor"/>
      </rPr>
      <t>半导体等电子材料行业大概是4-6个月</t>
    </r>
    <r>
      <rPr>
        <sz val="9"/>
        <color theme="1"/>
        <rFont val="宋体"/>
        <family val="2"/>
        <charset val="134"/>
        <scheme val="minor"/>
      </rPr>
      <t>，</t>
    </r>
    <r>
      <rPr>
        <sz val="9"/>
        <color rgb="FFFF0000"/>
        <rFont val="宋体"/>
        <family val="3"/>
        <charset val="134"/>
        <scheme val="minor"/>
      </rPr>
      <t>充电桩行业相对较短，大概在3-4个月</t>
    </r>
    <r>
      <rPr>
        <sz val="9"/>
        <color theme="1"/>
        <rFont val="宋体"/>
        <family val="2"/>
        <charset val="134"/>
        <scheme val="minor"/>
      </rPr>
      <t>，一般不会超过6个月。4.</t>
    </r>
    <r>
      <rPr>
        <sz val="9"/>
        <color rgb="FFFF0000"/>
        <rFont val="宋体"/>
        <family val="3"/>
        <charset val="134"/>
        <scheme val="minor"/>
      </rPr>
      <t>射频电源</t>
    </r>
    <r>
      <rPr>
        <sz val="9"/>
        <color theme="1"/>
        <rFont val="宋体"/>
        <family val="2"/>
        <charset val="134"/>
        <scheme val="minor"/>
      </rPr>
      <t>未来的市场需求，据公司了解，可能</t>
    </r>
    <r>
      <rPr>
        <sz val="9"/>
        <color rgb="FFFF0000"/>
        <rFont val="宋体"/>
        <family val="3"/>
        <charset val="134"/>
        <scheme val="minor"/>
      </rPr>
      <t>上十亿及甚至更高规模</t>
    </r>
    <r>
      <rPr>
        <sz val="9"/>
        <color theme="1"/>
        <rFont val="宋体"/>
        <family val="2"/>
        <charset val="134"/>
        <scheme val="minor"/>
      </rPr>
      <t>，但落实到公司自己的订单上，会受到未来市场竞争的影响，努力解决技术问题，争取覆盖更多类型的射频电源，形成较强的市场竞争力是当务之急。5.我国功率控制电源生产企业分为三个竞争群组：第一群组是国外的知名企业，如德国 AEG 公司/美国 AE、美国 Spang 公司、英国 Eurotherm Limited（欧陆）公司等；第二群组是国内的优势生产企业，如本公司、广州擎天实业有限公司等，这些企业凭借技术、品质优势在中国中高端功率控制电源市场占据一定的市场份额；第三群组是规模较小的生产企业，这部分企业以生产中低端功率控制电源为主，竞争力较弱。6.报告期2023年Q2内公司营业收入主要来自于</t>
    </r>
    <r>
      <rPr>
        <sz val="9"/>
        <color rgb="FFFF0000"/>
        <rFont val="宋体"/>
        <family val="3"/>
        <charset val="134"/>
        <scheme val="minor"/>
      </rPr>
      <t>光伏行业</t>
    </r>
    <r>
      <rPr>
        <sz val="9"/>
        <color theme="1"/>
        <rFont val="宋体"/>
        <family val="2"/>
        <charset val="134"/>
        <scheme val="minor"/>
      </rPr>
      <t>，销售收入 34,972.29 万元，占营业收入的比重为 54.35%，</t>
    </r>
    <r>
      <rPr>
        <sz val="9"/>
        <color rgb="FFFF0000"/>
        <rFont val="宋体"/>
        <family val="3"/>
        <charset val="134"/>
        <scheme val="minor"/>
      </rPr>
      <t>同比上升79.53%</t>
    </r>
    <r>
      <rPr>
        <sz val="9"/>
        <color theme="1"/>
        <rFont val="宋体"/>
        <family val="2"/>
        <charset val="134"/>
        <scheme val="minor"/>
      </rPr>
      <t>；来自于</t>
    </r>
    <r>
      <rPr>
        <sz val="9"/>
        <color rgb="FFFF0000"/>
        <rFont val="宋体"/>
        <family val="3"/>
        <charset val="134"/>
        <scheme val="minor"/>
      </rPr>
      <t>半导体</t>
    </r>
    <r>
      <rPr>
        <sz val="9"/>
        <color theme="1"/>
        <rFont val="宋体"/>
        <family val="2"/>
        <charset val="134"/>
        <scheme val="minor"/>
      </rPr>
      <t>等电子材料行业的销售收入 8,322.26 万元,占营业收入的比重为 12.93%，同比</t>
    </r>
    <r>
      <rPr>
        <sz val="9"/>
        <color rgb="FFFF0000"/>
        <rFont val="宋体"/>
        <family val="3"/>
        <charset val="134"/>
        <scheme val="minor"/>
      </rPr>
      <t>上升 44.64%</t>
    </r>
    <r>
      <rPr>
        <sz val="9"/>
        <color theme="1"/>
        <rFont val="宋体"/>
        <family val="2"/>
        <charset val="134"/>
        <scheme val="minor"/>
      </rPr>
      <t>；来自于</t>
    </r>
    <r>
      <rPr>
        <sz val="9"/>
        <color rgb="FFFF0000"/>
        <rFont val="宋体"/>
        <family val="3"/>
        <charset val="134"/>
        <scheme val="minor"/>
      </rPr>
      <t>充电桩</t>
    </r>
    <r>
      <rPr>
        <sz val="9"/>
        <color theme="1"/>
        <rFont val="宋体"/>
        <family val="2"/>
        <charset val="134"/>
        <scheme val="minor"/>
      </rPr>
      <t>的销售收入 5,282.27 万元，占营业收入的比重为 8.21%，同比</t>
    </r>
    <r>
      <rPr>
        <sz val="9"/>
        <color rgb="FFFF0000"/>
        <rFont val="宋体"/>
        <family val="3"/>
        <charset val="134"/>
        <scheme val="minor"/>
      </rPr>
      <t>上升 28.60%</t>
    </r>
    <r>
      <rPr>
        <sz val="9"/>
        <color theme="1"/>
        <rFont val="宋体"/>
        <family val="2"/>
        <charset val="134"/>
        <scheme val="minor"/>
      </rPr>
      <t>。</t>
    </r>
    <phoneticPr fontId="1" type="noConversion"/>
  </si>
  <si>
    <t>198.28万</t>
  </si>
  <si>
    <t>19.36亿</t>
  </si>
  <si>
    <t>19.77亿</t>
  </si>
  <si>
    <t>11.32亿</t>
  </si>
  <si>
    <t>12.83亿</t>
  </si>
  <si>
    <t>8.46亿</t>
  </si>
  <si>
    <t>6.86亿</t>
  </si>
  <si>
    <t>5282.17万</t>
  </si>
  <si>
    <t>3517.28万</t>
  </si>
  <si>
    <t>3464.67万</t>
  </si>
  <si>
    <t>5721267亿</t>
  </si>
  <si>
    <t>17.89万</t>
  </si>
  <si>
    <t>274617020亿</t>
  </si>
  <si>
    <t>3.81亿</t>
  </si>
  <si>
    <t>239526620亿</t>
  </si>
  <si>
    <t>1.67亿</t>
  </si>
  <si>
    <t>3628246200亿</t>
  </si>
  <si>
    <t>7585.91万</t>
  </si>
  <si>
    <t>2.92亿</t>
  </si>
  <si>
    <t>19.11亿</t>
  </si>
  <si>
    <t>-4519.70万</t>
  </si>
  <si>
    <t>-1390.91万</t>
  </si>
  <si>
    <t>1.78亿</t>
  </si>
  <si>
    <t>6.60亿</t>
  </si>
  <si>
    <t>4.21亿</t>
  </si>
  <si>
    <t>4.43亿</t>
  </si>
  <si>
    <t>2.77亿</t>
  </si>
  <si>
    <t>1.57亿</t>
  </si>
  <si>
    <t>1.11亿</t>
  </si>
  <si>
    <t>7208.17万</t>
  </si>
  <si>
    <t>6.43亿</t>
  </si>
  <si>
    <t>7.72亿</t>
  </si>
  <si>
    <t>1.22亿</t>
  </si>
  <si>
    <t>10转5股派5元(含税)</t>
  </si>
  <si>
    <t>其他电源设备</t>
  </si>
  <si>
    <t>953.82万</t>
  </si>
  <si>
    <t>公司主要从事以功率控制电源、特种电源为代表的工业电源设备的研发、生产与销售以及新能源汽车充电桩/站的研发、生产和销售。公司主要产品系列功率控制器、功率控制系统（还原炉电源、单晶炉电源、蓝宝石炉电源、SIC炉电源等）、特种电源。
市值116.952754亿, 利润3.39亿; PE28.48; 平均PE207; 平均PEG5.12, PB5.92; ROIC9.9767%; ROE9.41%; 股利率0.9418%; 毛利40.78%; 净利24.6533%; 上一年度营收增94.39%, 利润增115.92%; 当季营收增52.81%, 利润增35.92%; 过往5年营收增40.45%, 利润增43.01%
Income profile:
光伏行业 3.50亿 54.35% 47.74% 33.86%
冶金玻纤及其他 1.97亿 30.64% 33.22% 41.79%
半导体等电子材料 8322.26万 12.93% 16.02% 47.76%
科研院所 1286.35万 2.00% 2.98% 57.44%</t>
  </si>
  <si>
    <t>1285.02万</t>
  </si>
  <si>
    <t>18.14亿</t>
  </si>
  <si>
    <t>17.33亿</t>
  </si>
  <si>
    <t>14.49亿</t>
  </si>
  <si>
    <t>10.01亿</t>
  </si>
  <si>
    <t>2.13亿</t>
  </si>
  <si>
    <t>7031.84万</t>
  </si>
  <si>
    <t>9463.92万</t>
  </si>
  <si>
    <t>102.13万</t>
  </si>
  <si>
    <t>258854740亿</t>
  </si>
  <si>
    <t>6.56亿</t>
  </si>
  <si>
    <t>708514280亿</t>
  </si>
  <si>
    <t>2497929800亿</t>
  </si>
  <si>
    <t>6887.15万</t>
  </si>
  <si>
    <t>8104.15万</t>
  </si>
  <si>
    <t>7.45亿</t>
  </si>
  <si>
    <t>16.78亿</t>
  </si>
  <si>
    <t>2.95亿</t>
  </si>
  <si>
    <t>-3689.40万</t>
  </si>
  <si>
    <t>-658.52万</t>
  </si>
  <si>
    <t>10.21亿</t>
  </si>
  <si>
    <t>6.36亿</t>
  </si>
  <si>
    <t>4.51亿</t>
  </si>
  <si>
    <t>6205.06万</t>
  </si>
  <si>
    <t>4848.16万</t>
  </si>
  <si>
    <t>4601.48万</t>
  </si>
  <si>
    <t>11.02亿</t>
  </si>
  <si>
    <t>9.34亿</t>
  </si>
  <si>
    <t>1.31亿</t>
  </si>
  <si>
    <t>6817.94万</t>
  </si>
  <si>
    <t>10转4.967750股派2.185810元(含税)</t>
  </si>
  <si>
    <t>6150.68万</t>
  </si>
  <si>
    <t>3.52亿</t>
  </si>
  <si>
    <t>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
市值82.055625亿, 利润2.24亿; PE22.44; 平均PE219.79; 平均PEG7.94, PB6.14; ROIC10.9733%; ROE11.6367%; 股利率0.8239%; 毛利44.41%; 净利13.78%; 上一年度营收增47.21%, 利润增98.23%; 当季营收增63.9%, 利润增46.62%; 过往5年营收增27.67%, 利润增41.8%
Income profile:
工业配套电源 2.09亿 38.15% 46.83% 52.38%
电动汽车充电设备 1.30亿 23.68% 19.72% 35.54%
电池检测及化成设备 1.03亿 18.69% 15.55% 35.52%
新能源电能变换设备 8086.19万 14.74% 15.51% 44.90%</t>
  </si>
  <si>
    <t>1.问：公司现在自研芯片的应用情况？答：公司自研芯片主要是应用于微模组、电驱类、电源国产化需求的控制和驱动类芯片,公司部分中、低功率电源国产化项目已经应用了自研芯片。</t>
    <phoneticPr fontId="1" type="noConversion"/>
  </si>
  <si>
    <t>397.35万</t>
  </si>
  <si>
    <t>13.44亿</t>
  </si>
  <si>
    <t>33.09亿</t>
  </si>
  <si>
    <t>10.94亿</t>
  </si>
  <si>
    <t>17.14亿</t>
  </si>
  <si>
    <t>2.83亿</t>
  </si>
  <si>
    <t>5.65亿</t>
  </si>
  <si>
    <t>4663.61万</t>
  </si>
  <si>
    <t>7769.57万</t>
  </si>
  <si>
    <t>9175928亿</t>
  </si>
  <si>
    <t>31.40万</t>
  </si>
  <si>
    <t>139537660亿</t>
  </si>
  <si>
    <t>972191310亿</t>
  </si>
  <si>
    <t>3.19亿</t>
  </si>
  <si>
    <t>3615510300亿</t>
  </si>
  <si>
    <t>3.62亿</t>
  </si>
  <si>
    <t>3.12亿</t>
  </si>
  <si>
    <t>-1.71亿</t>
  </si>
  <si>
    <t>-3705.23万</t>
  </si>
  <si>
    <t>8312.65万</t>
  </si>
  <si>
    <t>14.78亿</t>
  </si>
  <si>
    <t>4.77亿</t>
  </si>
  <si>
    <t>3.46亿</t>
  </si>
  <si>
    <t>6223.38万</t>
  </si>
  <si>
    <t>3579.53万</t>
  </si>
  <si>
    <t>3560.21万</t>
  </si>
  <si>
    <t>13.36亿</t>
  </si>
  <si>
    <t>2.85亿</t>
  </si>
  <si>
    <t>10转3股派1.2元(含税)</t>
  </si>
  <si>
    <t>1428.60万</t>
  </si>
  <si>
    <t>-2-0</t>
  </si>
  <si>
    <t>公司通过对高性能电源产品的持续投入,成为通信、航空、航天、船舶、铁路、电力、工控等领域整机设备企业重要的电源供应商。公司电源类产品主要包括模块电源、定制电源、大功率电源及电源系统。
市值83.221919亿, 利润2.83亿; PE53.59; 平均PE176.44; 平均PEG4.41, PB2.69; ROIC11.5233%; ROE16.4767%; 股利率0.7762%; 毛利48.54%; 净利19.4167%; 上一年度营收增15.97%, 利润增3.28%; 当季营收增-54%, 利润增-131.94%; 过往5年营收增40.04%, 利润增59.62%
Income profile:
模块电源 3.85亿 43.42% 52.10% 58.59%
定制电源 2.28亿 25.76% 30.26% 57.35%
大功率电源及供配电电源系统 2.12亿 23.88% 11.91% 24.35%
其他业务 6149.20万 6.94% 5.73% 40.30%</t>
  </si>
  <si>
    <t>1.公司有三类主营产品，分别是精密测试电源，电能质量控制，和特种电源。精密测+A410试电源产生于特种电源，由于需求快速增长，于 2019  年成为独立产品线。前期精密测试电源业务从光伏储能领域切入，至今在光伏储能领域仍保持最高国内市场份额，并与华为、比亚迪等大客户形成稳定的合作关系。</t>
    <phoneticPr fontId="1" type="noConversion"/>
  </si>
  <si>
    <t>47.41万</t>
  </si>
  <si>
    <t>5.24亿</t>
  </si>
  <si>
    <t>17.97亿</t>
  </si>
  <si>
    <t>5.17亿</t>
  </si>
  <si>
    <t>5.79亿</t>
  </si>
  <si>
    <t>6868.87万</t>
  </si>
  <si>
    <t>6001.57万</t>
  </si>
  <si>
    <t>3564.12万</t>
  </si>
  <si>
    <t>3689.55万</t>
  </si>
  <si>
    <t>-17323亿</t>
  </si>
  <si>
    <t>470.62万</t>
  </si>
  <si>
    <t>87471988亿</t>
  </si>
  <si>
    <t>13.67亿</t>
  </si>
  <si>
    <t>369943580亿</t>
  </si>
  <si>
    <t>4208.80万</t>
  </si>
  <si>
    <t>2162748400亿</t>
  </si>
  <si>
    <t>609.43万</t>
  </si>
  <si>
    <t>4290.63万</t>
  </si>
  <si>
    <t>5.05亿</t>
  </si>
  <si>
    <t>416.41万</t>
  </si>
  <si>
    <t>-1092.62万</t>
  </si>
  <si>
    <t>12.93亿</t>
  </si>
  <si>
    <t>3.71亿</t>
  </si>
  <si>
    <t>4752.17万</t>
  </si>
  <si>
    <t>1680.58万</t>
  </si>
  <si>
    <t>-1743.17万</t>
  </si>
  <si>
    <t>3.11亿</t>
  </si>
  <si>
    <t>3.23亿</t>
  </si>
  <si>
    <t>1.83亿</t>
  </si>
  <si>
    <t>5433.35万</t>
  </si>
  <si>
    <t>1518.45万</t>
  </si>
  <si>
    <t>451.98万</t>
  </si>
  <si>
    <t>291.87万</t>
  </si>
  <si>
    <t>3611.05万</t>
  </si>
  <si>
    <t>公司主营业务为电力电子变换和控制设备的研发、生产和销售，主要产品为精密测试电源、精密特种电源和电能质量控制设备，产品广泛应用于光伏储能、电动汽车、航空航天、轨道交通、科研试验、电力配网、特种装备等诸多行业领域。
市值52.41604亿, 利润6868.87万; PE36.38; 平均PE457.86; 平均PEG12.79, PB2.95; ROIC12.66%; ROE0%; 股利率0%; 毛利42.8767%; 净利11.4867%; 上一年度营收增11.35%, 利润增44.54%; 当季营收增47.14%, 利润增239.91%; 过往5年营收增35.8%, 利润增141.24%
Income profile:
精密测试电源	1.98亿	63.54%	74.90%	56.09%
电能质量控制设备	5432.95万	17.46%	10.66%	29.04%
特种电源	4817.63万	15.48%	12.83%	39.42%</t>
  </si>
  <si>
    <t>293.80万</t>
  </si>
  <si>
    <t>25.49亿</t>
  </si>
  <si>
    <t>30.97亿</t>
  </si>
  <si>
    <t>473446070亿</t>
  </si>
  <si>
    <t>23.46亿</t>
  </si>
  <si>
    <t>4.42亿</t>
  </si>
  <si>
    <t>2445.36万</t>
  </si>
  <si>
    <t>4117.10万</t>
  </si>
  <si>
    <t>1.68亿</t>
  </si>
  <si>
    <t>857177亿</t>
  </si>
  <si>
    <t>17.67万</t>
  </si>
  <si>
    <t>2409.40万</t>
  </si>
  <si>
    <t>1577412600亿</t>
  </si>
  <si>
    <t>3976200300亿</t>
  </si>
  <si>
    <t>2.14亿</t>
  </si>
  <si>
    <t>10.76亿</t>
  </si>
  <si>
    <t>3.22亿</t>
  </si>
  <si>
    <t>22.91亿</t>
  </si>
  <si>
    <t>5711.16万</t>
  </si>
  <si>
    <t>-1.86亿</t>
  </si>
  <si>
    <t>-1.90亿</t>
  </si>
  <si>
    <t>2.28亿</t>
  </si>
  <si>
    <t>32.41亿</t>
  </si>
  <si>
    <t>29.65亿</t>
  </si>
  <si>
    <t>25.51亿</t>
  </si>
  <si>
    <t>18.04亿</t>
  </si>
  <si>
    <t>6395.36万</t>
  </si>
  <si>
    <t>3.32亿</t>
  </si>
  <si>
    <t>2.35亿</t>
  </si>
  <si>
    <t>6288.68万</t>
  </si>
  <si>
    <t>10派1.8元(含税)</t>
  </si>
  <si>
    <t>其他专用设备</t>
  </si>
  <si>
    <t>1419.48万</t>
  </si>
  <si>
    <t>8306.71万</t>
  </si>
  <si>
    <t xml:space="preserve">
市值49.278549亿, 利润2.40亿; PE23.72; 平均PE123.2; 平均PEG17.21, PB1.61; ROIC6.4467%; ROE7.2933%; 股利率1.9523%; 毛利31.9933%; 净利7.15%; 上一年度营收增-27.61%, 利润增275.27%; 当季营收增-13.45%, 利润增-51.34%; 过往5年营收增7.16%, 利润增71.31%
Income profile:
</t>
  </si>
  <si>
    <t>81.14万</t>
  </si>
  <si>
    <t>3.74亿</t>
  </si>
  <si>
    <t>10.80亿</t>
  </si>
  <si>
    <t>3.55亿</t>
  </si>
  <si>
    <t>3.75亿</t>
  </si>
  <si>
    <t>6222.46万</t>
  </si>
  <si>
    <t>2.91亿</t>
  </si>
  <si>
    <t>1.61亿</t>
  </si>
  <si>
    <t>4012.53万</t>
  </si>
  <si>
    <t>3576.70万</t>
  </si>
  <si>
    <t>3919.14万</t>
  </si>
  <si>
    <t>2903366亿</t>
  </si>
  <si>
    <t>54.85万</t>
  </si>
  <si>
    <t>67006089亿</t>
  </si>
  <si>
    <t>6.66亿</t>
  </si>
  <si>
    <t>240876870亿</t>
  </si>
  <si>
    <t>1486.38万</t>
  </si>
  <si>
    <t>1225972040亿</t>
  </si>
  <si>
    <t>2487.30万</t>
  </si>
  <si>
    <t>3302.08万</t>
  </si>
  <si>
    <t>8995.07万</t>
  </si>
  <si>
    <t>1107.80万</t>
  </si>
  <si>
    <t>-2932.90万</t>
  </si>
  <si>
    <t>2.48亿</t>
  </si>
  <si>
    <t>1.62亿</t>
  </si>
  <si>
    <t>1.40亿</t>
  </si>
  <si>
    <t>9878.81万</t>
  </si>
  <si>
    <t>5691.61万</t>
  </si>
  <si>
    <t>5403.43万</t>
  </si>
  <si>
    <t>6162.98万</t>
  </si>
  <si>
    <t>3395.63万</t>
  </si>
  <si>
    <t>4006.70万</t>
  </si>
  <si>
    <t>2.53亿</t>
  </si>
  <si>
    <t>1.53亿</t>
  </si>
  <si>
    <t>5016.88万</t>
  </si>
  <si>
    <t>4525.66万</t>
  </si>
  <si>
    <t>1525.75万</t>
  </si>
  <si>
    <t>10派3.7元(含税)</t>
  </si>
  <si>
    <t>305.51万</t>
  </si>
  <si>
    <t>2486.85万</t>
  </si>
  <si>
    <t>公司主营业务为提供测试系统及智能制造设备的综合性测试装备。公司主要产品有测试电源、氢能测试及智能制造装备、功率半导体测试及智能制造装备等。
市值43.5871亿, 利润6222.46万; PE47.22; 平均PE420.29; 平均PEG12.93, PB3.45; ROIC5.6433%; ROE7.4733%; 股利率0.7081%; 毛利55.5967%; 净利26.24%; 上一年度营收增51.21%, 利润增9.33%; 当季营收增35%, 利润增-16.11%; 过往5年营收增32.52%, 利润增13.72%
Income profile:
测试电源	2.66亿	70.94%	78.02%	54.79%
氢能测试及智能制造装备	8235.39万	21.95%	18.99%	43.09%
功率半导体测试及智能制造装备	2282.40万	6.08%	2.07%	16.93%</t>
  </si>
  <si>
    <t>149.56万</t>
  </si>
  <si>
    <t>13.57亿</t>
  </si>
  <si>
    <t>12.33亿</t>
  </si>
  <si>
    <t>9.97亿</t>
  </si>
  <si>
    <t>13.03亿</t>
  </si>
  <si>
    <t>1.29亿</t>
  </si>
  <si>
    <t>7.03亿</t>
  </si>
  <si>
    <t>9026.59万</t>
  </si>
  <si>
    <t>4524.26万</t>
  </si>
  <si>
    <t>2923.94万</t>
  </si>
  <si>
    <t>2626005亿</t>
  </si>
  <si>
    <t>10.32万</t>
  </si>
  <si>
    <t>111041233亿</t>
  </si>
  <si>
    <t>5.28亿</t>
  </si>
  <si>
    <t>775751260亿</t>
  </si>
  <si>
    <t>2365462100亿</t>
  </si>
  <si>
    <t>4062.51万</t>
  </si>
  <si>
    <t>4.04亿</t>
  </si>
  <si>
    <t>13.51亿</t>
  </si>
  <si>
    <t>-3971.84万</t>
  </si>
  <si>
    <t>1.36亿</t>
  </si>
  <si>
    <t>-3267.30万</t>
  </si>
  <si>
    <t>9.43亿</t>
  </si>
  <si>
    <t>5.32亿</t>
  </si>
  <si>
    <t>4.31亿</t>
  </si>
  <si>
    <t>1.07亿</t>
  </si>
  <si>
    <t>8865.35万</t>
  </si>
  <si>
    <t>7224.05万</t>
  </si>
  <si>
    <t>6.40亿</t>
  </si>
  <si>
    <t>7.19亿</t>
  </si>
  <si>
    <t>7811.57万</t>
  </si>
  <si>
    <t>7967.09万</t>
  </si>
  <si>
    <t>5607.06万</t>
  </si>
  <si>
    <t>10派4元(含税)</t>
  </si>
  <si>
    <t>电气自控设备</t>
  </si>
  <si>
    <t>553.40万</t>
  </si>
  <si>
    <t>4598.92万</t>
  </si>
  <si>
    <t xml:space="preserve">
市值35.93916亿, 利润1.29亿; PE21.4; 平均PE167.16; 平均PEG6.65, PB2.95; ROIC11.9033%; ROE11.92%; 股利率1.5576%; 毛利30.17%; 净利12.39%; 上一年度营收增38.18%, 利润增11.21%; 当季营收增52.56%, 利润增72.94%; 过往5年营收增25.14%, 利润增12.54%
Income profile: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</si>
</sst>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23">
    <xf numFmtId="0" fontId="0" fillId="0" borderId="0" xfId="0">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Alignment="1">
      <alignment vertical="center" wrapText="1"/>
    </xf>
    <xf numFmtId="0" fontId="8" fillId="2" borderId="0" xfId="0" applyFont="1" applyFill="1" applyAlignment="1">
      <alignment vertical="center" wrapText="1"/>
    </xf>
    <xf numFmtId="0" fontId="8" fillId="5" borderId="0" xfId="0" applyFont="1" applyFill="1" applyAlignment="1">
      <alignment vertical="center" wrapText="1"/>
    </xf>
    <xf numFmtId="0" fontId="3" fillId="2" borderId="0" xfId="0" applyFont="1" applyFill="1">
      <alignment vertical="center"/>
    </xf>
    <xf numFmtId="0" fontId="4" fillId="0" borderId="0" xfId="0" applyFont="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Alignment="1">
      <alignment vertical="center" wrapText="1"/>
    </xf>
    <xf numFmtId="0" fontId="0" fillId="0" borderId="1" xfId="0" applyBorder="1" applyAlignment="1">
      <alignment vertical="center" wrapText="1"/>
    </xf>
    <xf numFmtId="0" fontId="0" fillId="4" borderId="1" xfId="0" applyFill="1" applyBorder="1" applyAlignment="1">
      <alignment vertical="center" wrapText="1"/>
    </xf>
    <xf numFmtId="14" fontId="4" fillId="2" borderId="0" xfId="0" applyNumberFormat="1" applyFont="1" applyFill="1">
      <alignment vertical="center"/>
    </xf>
    <xf numFmtId="0" fontId="0" fillId="2" borderId="0" xfId="0" applyFill="1" applyAlignment="1">
      <alignment vertical="center" wrapText="1"/>
    </xf>
    <xf numFmtId="0" fontId="5" fillId="0" borderId="0" xfId="2" applyBorder="1" applyAlignment="1">
      <alignment vertical="center" wrapText="1"/>
    </xf>
    <xf numFmtId="0" fontId="0" fillId="6" borderId="0" xfId="0" applyFill="1">
      <alignment vertical="center"/>
    </xf>
    <xf numFmtId="0" fontId="0" fillId="7" borderId="0" xfId="0" applyFill="1">
      <alignment vertical="center"/>
    </xf>
    <xf numFmtId="0" fontId="3" fillId="0" borderId="0" xfId="0" applyFont="1">
      <alignment vertical="center"/>
    </xf>
    <xf numFmtId="14" fontId="0" fillId="0" borderId="0" xfId="0" applyNumberFormat="1">
      <alignment vertical="center"/>
    </xf>
    <xf numFmtId="0" fontId="11" fillId="0" borderId="0" xfId="0" applyFont="1" applyAlignment="1">
      <alignment vertical="center" wrapText="1"/>
    </xf>
  </cellXfs>
  <cellStyles count="3">
    <cellStyle name="常规" xfId="0" builtinId="0"/>
    <cellStyle name="常规 2" xfId="1" xr:uid="{00000000-0005-0000-0000-000001000000}"/>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257175</xdr:rowOff>
        </xdr:from>
        <xdr:to>
          <xdr:col>1</xdr:col>
          <xdr:colOff>1085850</xdr:colOff>
          <xdr:row>1</xdr:row>
          <xdr:rowOff>704850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257175</xdr:rowOff>
        </xdr:from>
        <xdr:to>
          <xdr:col>1</xdr:col>
          <xdr:colOff>1085850</xdr:colOff>
          <xdr:row>1</xdr:row>
          <xdr:rowOff>704850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100-000001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257175</xdr:rowOff>
        </xdr:from>
        <xdr:to>
          <xdr:col>1</xdr:col>
          <xdr:colOff>1085850</xdr:colOff>
          <xdr:row>1</xdr:row>
          <xdr:rowOff>704850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257175</xdr:rowOff>
        </xdr:from>
        <xdr:to>
          <xdr:col>1</xdr:col>
          <xdr:colOff>1085850</xdr:colOff>
          <xdr:row>1</xdr:row>
          <xdr:rowOff>704850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BC6545E0-F2B0-4AB9-BC0C-F6E48C153E3E}"/>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37</xdr:row>
          <xdr:rowOff>57150</xdr:rowOff>
        </xdr:from>
        <xdr:to>
          <xdr:col>15</xdr:col>
          <xdr:colOff>552450</xdr:colOff>
          <xdr:row>59</xdr:row>
          <xdr:rowOff>95250</xdr:rowOff>
        </xdr:to>
        <xdr:sp macro="" textlink="">
          <xdr:nvSpPr>
            <xdr:cNvPr id="8205" name="Object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xdr:row>
          <xdr:rowOff>38100</xdr:rowOff>
        </xdr:from>
        <xdr:to>
          <xdr:col>25</xdr:col>
          <xdr:colOff>466725</xdr:colOff>
          <xdr:row>36</xdr:row>
          <xdr:rowOff>95250</xdr:rowOff>
        </xdr:to>
        <xdr:sp macro="" textlink="">
          <xdr:nvSpPr>
            <xdr:cNvPr id="8206" name="Object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171450</xdr:colOff>
          <xdr:row>86</xdr:row>
          <xdr:rowOff>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30005;&#32518;&#32447;&#32518;&#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30005;&#32518;&#32447;&#32518;&#21033;&#22522;.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30005;&#32518;&#32447;&#32518;&#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Q9"/>
  <sheetViews>
    <sheetView workbookViewId="0">
      <selection activeCell="D9" sqref="D9"/>
    </sheetView>
  </sheetViews>
  <sheetFormatPr defaultRowHeight="13.5" x14ac:dyDescent="0.15"/>
  <cols>
    <col min="1" max="1" width="20.5" customWidth="1"/>
    <col min="2" max="2" width="38.75" customWidth="1"/>
    <col min="3" max="3" width="35.25" customWidth="1"/>
    <col min="4" max="4" width="52.5" customWidth="1"/>
    <col min="10" max="10" width="10.5" customWidth="1"/>
  </cols>
  <sheetData>
    <row r="1" spans="1:147" x14ac:dyDescent="0.15">
      <c r="A1" s="12" t="s">
        <v>151</v>
      </c>
      <c r="B1" s="13" t="s">
        <v>8</v>
      </c>
      <c r="C1" s="14" t="s">
        <v>9</v>
      </c>
      <c r="D1" s="13" t="s">
        <v>220</v>
      </c>
      <c r="E1" t="s">
        <v>2</v>
      </c>
      <c r="F1" t="s">
        <v>3</v>
      </c>
      <c r="G1" t="s">
        <v>0</v>
      </c>
      <c r="H1" t="s">
        <v>355</v>
      </c>
      <c r="I1" t="s">
        <v>375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356</v>
      </c>
      <c r="AD1" t="s">
        <v>25</v>
      </c>
      <c r="AE1" t="s">
        <v>26</v>
      </c>
      <c r="AF1" t="s">
        <v>27</v>
      </c>
      <c r="AG1" t="s">
        <v>28</v>
      </c>
      <c r="AH1" t="s">
        <v>357</v>
      </c>
      <c r="AI1" t="s">
        <v>376</v>
      </c>
      <c r="AJ1" t="s">
        <v>358</v>
      </c>
      <c r="AK1" t="s">
        <v>29</v>
      </c>
      <c r="AL1" t="s">
        <v>359</v>
      </c>
      <c r="AM1" t="s">
        <v>152</v>
      </c>
      <c r="AN1" t="s">
        <v>360</v>
      </c>
      <c r="AO1" t="s">
        <v>361</v>
      </c>
      <c r="AP1" t="s">
        <v>362</v>
      </c>
      <c r="AQ1" t="s">
        <v>363</v>
      </c>
      <c r="AR1" t="s">
        <v>364</v>
      </c>
      <c r="AS1" t="s">
        <v>365</v>
      </c>
      <c r="AT1" t="s">
        <v>366</v>
      </c>
      <c r="AU1" t="s">
        <v>367</v>
      </c>
      <c r="AV1" t="s">
        <v>368</v>
      </c>
      <c r="AW1" t="s">
        <v>369</v>
      </c>
      <c r="AX1" t="s">
        <v>370</v>
      </c>
      <c r="AY1" t="s">
        <v>153</v>
      </c>
      <c r="AZ1" t="s">
        <v>154</v>
      </c>
      <c r="BA1" t="s">
        <v>155</v>
      </c>
      <c r="BB1" t="s">
        <v>156</v>
      </c>
      <c r="BC1" t="s">
        <v>157</v>
      </c>
      <c r="BD1" t="s">
        <v>158</v>
      </c>
      <c r="BE1" t="s">
        <v>159</v>
      </c>
      <c r="BF1" t="s">
        <v>160</v>
      </c>
      <c r="BG1" t="s">
        <v>161</v>
      </c>
      <c r="BH1" t="s">
        <v>162</v>
      </c>
      <c r="BI1" t="s">
        <v>346</v>
      </c>
      <c r="BJ1" t="s">
        <v>347</v>
      </c>
      <c r="BK1" t="s">
        <v>348</v>
      </c>
      <c r="BL1" t="s">
        <v>349</v>
      </c>
      <c r="BM1" t="s">
        <v>350</v>
      </c>
      <c r="BN1" t="s">
        <v>351</v>
      </c>
      <c r="BO1" t="s">
        <v>371</v>
      </c>
      <c r="BP1" t="s">
        <v>163</v>
      </c>
      <c r="BQ1" t="s">
        <v>164</v>
      </c>
      <c r="BR1" t="s">
        <v>165</v>
      </c>
      <c r="BS1" t="s">
        <v>372</v>
      </c>
      <c r="BT1" t="s">
        <v>166</v>
      </c>
      <c r="BU1" t="s">
        <v>167</v>
      </c>
      <c r="BV1" t="s">
        <v>168</v>
      </c>
      <c r="BW1" t="s">
        <v>169</v>
      </c>
      <c r="BX1" t="s">
        <v>169</v>
      </c>
      <c r="BY1" t="s">
        <v>170</v>
      </c>
      <c r="BZ1" t="s">
        <v>171</v>
      </c>
      <c r="CA1" t="s">
        <v>171</v>
      </c>
      <c r="CB1" t="s">
        <v>172</v>
      </c>
      <c r="CC1" t="s">
        <v>377</v>
      </c>
      <c r="CD1" t="s">
        <v>378</v>
      </c>
      <c r="CE1" t="s">
        <v>379</v>
      </c>
      <c r="CF1" t="s">
        <v>380</v>
      </c>
      <c r="CG1" t="s">
        <v>193</v>
      </c>
      <c r="CH1" t="s">
        <v>194</v>
      </c>
      <c r="CI1" t="s">
        <v>195</v>
      </c>
      <c r="CJ1" t="s">
        <v>196</v>
      </c>
      <c r="CK1" t="s">
        <v>197</v>
      </c>
      <c r="CL1" t="s">
        <v>198</v>
      </c>
      <c r="CM1" t="s">
        <v>199</v>
      </c>
      <c r="CN1" t="s">
        <v>200</v>
      </c>
      <c r="CO1" t="s">
        <v>201</v>
      </c>
      <c r="CP1" t="s">
        <v>202</v>
      </c>
      <c r="CQ1" t="s">
        <v>203</v>
      </c>
      <c r="CR1" t="s">
        <v>204</v>
      </c>
      <c r="CS1" t="s">
        <v>221</v>
      </c>
      <c r="CT1" t="s">
        <v>205</v>
      </c>
      <c r="CU1" t="s">
        <v>206</v>
      </c>
      <c r="CV1" t="s">
        <v>139</v>
      </c>
      <c r="CW1">
        <v>1</v>
      </c>
      <c r="CX1" t="s">
        <v>207</v>
      </c>
      <c r="CY1" t="s">
        <v>222</v>
      </c>
      <c r="CZ1">
        <v>3</v>
      </c>
      <c r="DA1" t="s">
        <v>223</v>
      </c>
      <c r="DB1" t="s">
        <v>224</v>
      </c>
      <c r="DC1">
        <v>6</v>
      </c>
      <c r="DD1" t="s">
        <v>208</v>
      </c>
      <c r="DE1" t="s">
        <v>209</v>
      </c>
      <c r="DF1">
        <v>10</v>
      </c>
      <c r="DG1" t="s">
        <v>210</v>
      </c>
      <c r="DH1" t="s">
        <v>211</v>
      </c>
      <c r="DI1">
        <v>20</v>
      </c>
      <c r="DJ1" t="s">
        <v>225</v>
      </c>
      <c r="DK1" t="s">
        <v>212</v>
      </c>
      <c r="DL1" t="s">
        <v>213</v>
      </c>
      <c r="DM1" s="1" t="s">
        <v>214</v>
      </c>
      <c r="DN1" t="s">
        <v>226</v>
      </c>
      <c r="DO1" t="s">
        <v>215</v>
      </c>
      <c r="DP1" t="s">
        <v>227</v>
      </c>
      <c r="DQ1" t="s">
        <v>228</v>
      </c>
      <c r="DR1" t="s">
        <v>229</v>
      </c>
      <c r="DS1" t="s">
        <v>230</v>
      </c>
      <c r="DT1" t="s">
        <v>216</v>
      </c>
      <c r="DU1" t="s">
        <v>217</v>
      </c>
      <c r="DV1" t="s">
        <v>231</v>
      </c>
      <c r="DW1" t="s">
        <v>232</v>
      </c>
      <c r="DX1" t="s">
        <v>233</v>
      </c>
      <c r="DY1" t="s">
        <v>234</v>
      </c>
      <c r="DZ1" t="s">
        <v>218</v>
      </c>
      <c r="EA1" t="s">
        <v>219</v>
      </c>
    </row>
    <row r="2" spans="1:147" ht="53.65" customHeight="1" x14ac:dyDescent="0.15">
      <c r="A2" s="17" t="s">
        <v>445</v>
      </c>
      <c r="B2" s="15"/>
      <c r="C2" s="16">
        <v>3</v>
      </c>
      <c r="D2" s="16">
        <v>9</v>
      </c>
      <c r="T2" s="3"/>
    </row>
    <row r="3" spans="1:147" ht="166.15" customHeight="1" x14ac:dyDescent="0.15">
      <c r="B3" s="2" t="s">
        <v>1573</v>
      </c>
      <c r="C3" s="2"/>
      <c r="D3" s="2" t="s">
        <v>1576</v>
      </c>
      <c r="E3" t="s">
        <v>1031</v>
      </c>
      <c r="F3" t="s">
        <v>1032</v>
      </c>
      <c r="G3">
        <v>24.04</v>
      </c>
      <c r="H3">
        <v>0.12</v>
      </c>
      <c r="I3" t="s">
        <v>1574</v>
      </c>
      <c r="J3">
        <v>82047310000</v>
      </c>
      <c r="K3">
        <v>47</v>
      </c>
      <c r="L3">
        <v>2.92</v>
      </c>
      <c r="M3" t="s">
        <v>97</v>
      </c>
      <c r="N3" t="s">
        <v>1037</v>
      </c>
      <c r="O3" t="s">
        <v>1038</v>
      </c>
      <c r="P3" t="s">
        <v>1039</v>
      </c>
      <c r="Q3">
        <v>-16.68</v>
      </c>
      <c r="R3" t="s">
        <v>1040</v>
      </c>
      <c r="S3">
        <v>1824085400</v>
      </c>
      <c r="T3" s="3">
        <v>6.2859999999999996</v>
      </c>
      <c r="U3" t="s">
        <v>1041</v>
      </c>
      <c r="V3">
        <v>3412949700</v>
      </c>
      <c r="W3">
        <v>3412949700</v>
      </c>
      <c r="X3">
        <v>1.66</v>
      </c>
      <c r="Y3">
        <v>0.43</v>
      </c>
      <c r="Z3">
        <v>9.26</v>
      </c>
      <c r="AA3" t="s">
        <v>1042</v>
      </c>
      <c r="AB3" t="s">
        <v>1043</v>
      </c>
      <c r="AC3" t="s">
        <v>1044</v>
      </c>
      <c r="AD3" t="s">
        <v>939</v>
      </c>
      <c r="AE3" t="s">
        <v>1045</v>
      </c>
      <c r="AF3">
        <v>2143828</v>
      </c>
      <c r="AG3" t="s">
        <v>1046</v>
      </c>
      <c r="AH3" t="s">
        <v>1047</v>
      </c>
      <c r="AI3" t="s">
        <v>1048</v>
      </c>
      <c r="AJ3" t="s">
        <v>1049</v>
      </c>
      <c r="AK3" t="s">
        <v>1050</v>
      </c>
      <c r="AL3" t="s">
        <v>1051</v>
      </c>
      <c r="AM3" t="s">
        <v>1052</v>
      </c>
      <c r="AN3" t="s">
        <v>1053</v>
      </c>
      <c r="AO3" t="s">
        <v>1054</v>
      </c>
      <c r="AP3" t="s">
        <v>1055</v>
      </c>
      <c r="AQ3" t="s">
        <v>1056</v>
      </c>
      <c r="AR3" t="s">
        <v>1057</v>
      </c>
      <c r="AS3" t="s">
        <v>1058</v>
      </c>
      <c r="AT3" t="s">
        <v>1059</v>
      </c>
      <c r="AU3" t="s">
        <v>1060</v>
      </c>
      <c r="AV3" t="s">
        <v>1061</v>
      </c>
      <c r="AW3" t="s">
        <v>1062</v>
      </c>
      <c r="AX3" t="s">
        <v>1063</v>
      </c>
      <c r="AY3" t="s">
        <v>1064</v>
      </c>
      <c r="AZ3" t="s">
        <v>1065</v>
      </c>
      <c r="BA3" t="s">
        <v>1066</v>
      </c>
      <c r="BB3" t="s">
        <v>1067</v>
      </c>
      <c r="BC3" t="s">
        <v>1068</v>
      </c>
      <c r="BD3" t="s">
        <v>1069</v>
      </c>
      <c r="BE3" t="s">
        <v>1070</v>
      </c>
      <c r="BF3" t="s">
        <v>1071</v>
      </c>
      <c r="BG3" t="s">
        <v>1072</v>
      </c>
      <c r="BH3" t="s">
        <v>1073</v>
      </c>
      <c r="BI3" t="s">
        <v>1074</v>
      </c>
      <c r="BJ3" t="s">
        <v>1075</v>
      </c>
      <c r="BK3" t="s">
        <v>1076</v>
      </c>
      <c r="BL3" t="s">
        <v>1077</v>
      </c>
      <c r="BM3" t="s">
        <v>50</v>
      </c>
      <c r="BN3" t="s">
        <v>1078</v>
      </c>
      <c r="BO3">
        <v>4.76</v>
      </c>
      <c r="BP3">
        <v>0.45</v>
      </c>
      <c r="BQ3">
        <v>6.33</v>
      </c>
      <c r="BR3">
        <v>6.72</v>
      </c>
      <c r="BS3">
        <v>0.73</v>
      </c>
      <c r="BT3">
        <v>10.14</v>
      </c>
      <c r="BU3">
        <v>9.6999999999999993</v>
      </c>
      <c r="BV3" t="s">
        <v>713</v>
      </c>
      <c r="BW3">
        <v>22.91</v>
      </c>
      <c r="BX3">
        <v>13.9</v>
      </c>
      <c r="BY3">
        <v>12.83</v>
      </c>
      <c r="BZ3">
        <v>11.41</v>
      </c>
      <c r="CA3">
        <v>5.63</v>
      </c>
      <c r="CB3">
        <v>5.08</v>
      </c>
      <c r="CC3">
        <v>3.4</v>
      </c>
      <c r="CD3">
        <v>0.75</v>
      </c>
      <c r="CE3" t="s">
        <v>620</v>
      </c>
      <c r="CF3" t="s">
        <v>1575</v>
      </c>
      <c r="CG3" s="18">
        <v>-0.19379094181163767</v>
      </c>
      <c r="CH3" s="19">
        <v>4.3118254098360644</v>
      </c>
      <c r="CI3" s="18">
        <v>9.6977338194847107E-2</v>
      </c>
      <c r="CJ3" s="18">
        <v>8.6491778492927551E-2</v>
      </c>
      <c r="CK3" s="18">
        <v>0.14172860980033875</v>
      </c>
      <c r="CL3" s="18">
        <v>0.25273266434669495</v>
      </c>
      <c r="CM3" s="18">
        <v>0.28292584419250488</v>
      </c>
      <c r="CN3" s="19">
        <v>-0.92439562082290649</v>
      </c>
      <c r="CO3" s="19">
        <v>0.1554088294506073</v>
      </c>
      <c r="CP3" s="19">
        <v>-7.2101756930351257E-2</v>
      </c>
      <c r="CQ3" s="19">
        <v>0.19012904167175293</v>
      </c>
      <c r="CR3" s="19">
        <v>0.12279593199491501</v>
      </c>
      <c r="CS3">
        <v>1.7773392110564739</v>
      </c>
      <c r="CT3">
        <v>1043089127.9069767</v>
      </c>
      <c r="CU3">
        <v>6.609788</v>
      </c>
      <c r="CV3" s="18">
        <v>0.17217124700546266</v>
      </c>
      <c r="CW3" s="19">
        <v>-0.1056327149271965</v>
      </c>
      <c r="CX3">
        <v>0.06</v>
      </c>
      <c r="CY3">
        <v>379.03149269092251</v>
      </c>
      <c r="CZ3">
        <v>190201372.15560335</v>
      </c>
      <c r="DA3">
        <v>0.17217124700546266</v>
      </c>
      <c r="DB3">
        <v>115.61504998076384</v>
      </c>
      <c r="DC3">
        <v>623554718.97469056</v>
      </c>
      <c r="DD3">
        <v>0.16356268465518953</v>
      </c>
      <c r="DE3">
        <v>51.761668714115295</v>
      </c>
      <c r="DF3">
        <v>1392774069.9043689</v>
      </c>
      <c r="DG3">
        <v>0.15151069736480713</v>
      </c>
      <c r="DH3">
        <v>27.821272941708315</v>
      </c>
      <c r="DI3">
        <v>2591265689.0663934</v>
      </c>
      <c r="DJ3">
        <v>0.13773699760437014</v>
      </c>
      <c r="DK3">
        <v>11.119944721553285</v>
      </c>
      <c r="DL3">
        <v>6483153631.1746893</v>
      </c>
      <c r="DM3">
        <v>0.12051987290382385</v>
      </c>
      <c r="DN3">
        <v>172000000</v>
      </c>
      <c r="DO3">
        <v>0.17217124700546266</v>
      </c>
      <c r="DP3">
        <v>72092310000</v>
      </c>
      <c r="DQ3">
        <v>16570055000</v>
      </c>
      <c r="DR3">
        <v>3116</v>
      </c>
      <c r="DS3">
        <v>-0.3659621888171003</v>
      </c>
      <c r="DT3">
        <v>4.4174581247632609</v>
      </c>
      <c r="DU3" s="9">
        <v>-0.22</v>
      </c>
      <c r="DV3">
        <v>0.6</v>
      </c>
      <c r="DW3">
        <v>0.38</v>
      </c>
      <c r="DX3">
        <v>4.2205882352941178</v>
      </c>
      <c r="DY3">
        <v>0.4240464726596207</v>
      </c>
      <c r="DZ3">
        <v>4.0361867219102106</v>
      </c>
      <c r="EA3">
        <v>2421</v>
      </c>
      <c r="EB3">
        <v>4.018156663514528</v>
      </c>
      <c r="EC3">
        <v>4</v>
      </c>
      <c r="ED3">
        <v>7.0320403491443195E-2</v>
      </c>
      <c r="EE3">
        <v>0.42866145961658914</v>
      </c>
      <c r="EF3" s="20">
        <v>1.0481</v>
      </c>
      <c r="EG3">
        <v>1.0492999999999999</v>
      </c>
      <c r="EH3">
        <v>26.164046472659621</v>
      </c>
      <c r="EI3" t="s">
        <v>470</v>
      </c>
      <c r="EJ3">
        <v>0</v>
      </c>
      <c r="EK3">
        <v>0</v>
      </c>
      <c r="EL3" s="21">
        <v>44847</v>
      </c>
      <c r="EM3">
        <v>-3.35</v>
      </c>
      <c r="EN3">
        <v>-4.67</v>
      </c>
      <c r="EO3">
        <v>4.8099999999999996</v>
      </c>
      <c r="EP3">
        <v>6.95</v>
      </c>
      <c r="EQ3">
        <v>0.12</v>
      </c>
    </row>
    <row r="4" spans="1:147" ht="101.25" x14ac:dyDescent="0.15">
      <c r="B4" s="2"/>
      <c r="C4" s="2" t="s">
        <v>1583</v>
      </c>
      <c r="D4" s="2" t="s">
        <v>1587</v>
      </c>
      <c r="E4" t="s">
        <v>182</v>
      </c>
      <c r="F4" t="s">
        <v>183</v>
      </c>
      <c r="G4">
        <v>76.930000000000007</v>
      </c>
      <c r="H4">
        <v>1.49</v>
      </c>
      <c r="I4" t="s">
        <v>1584</v>
      </c>
      <c r="J4">
        <v>52905943000</v>
      </c>
      <c r="K4">
        <v>49.26</v>
      </c>
      <c r="L4">
        <v>10.46</v>
      </c>
      <c r="M4" t="s">
        <v>352</v>
      </c>
      <c r="N4" t="s">
        <v>1016</v>
      </c>
      <c r="O4" t="s">
        <v>812</v>
      </c>
      <c r="P4" t="s">
        <v>813</v>
      </c>
      <c r="Q4">
        <v>13.96</v>
      </c>
      <c r="R4" t="s">
        <v>405</v>
      </c>
      <c r="S4">
        <v>522171540</v>
      </c>
      <c r="T4" s="3">
        <v>-0.1802</v>
      </c>
      <c r="U4" t="s">
        <v>181</v>
      </c>
      <c r="V4">
        <v>687715370</v>
      </c>
      <c r="W4">
        <v>687715370</v>
      </c>
      <c r="X4">
        <v>1.76</v>
      </c>
      <c r="Y4">
        <v>0.45</v>
      </c>
      <c r="Z4">
        <v>13.53</v>
      </c>
      <c r="AA4" t="s">
        <v>518</v>
      </c>
      <c r="AB4" t="s">
        <v>1017</v>
      </c>
      <c r="AC4" t="s">
        <v>814</v>
      </c>
      <c r="AD4" t="s">
        <v>815</v>
      </c>
      <c r="AE4" t="s">
        <v>586</v>
      </c>
      <c r="AF4">
        <v>5121562</v>
      </c>
      <c r="AG4" t="s">
        <v>816</v>
      </c>
      <c r="AH4" t="s">
        <v>817</v>
      </c>
      <c r="AI4" t="s">
        <v>818</v>
      </c>
      <c r="AJ4" t="s">
        <v>598</v>
      </c>
      <c r="AK4" t="s">
        <v>819</v>
      </c>
      <c r="AL4" t="s">
        <v>820</v>
      </c>
      <c r="AM4" t="s">
        <v>821</v>
      </c>
      <c r="AN4" t="s">
        <v>822</v>
      </c>
      <c r="AO4" t="s">
        <v>823</v>
      </c>
      <c r="AP4" t="s">
        <v>730</v>
      </c>
      <c r="AQ4" t="s">
        <v>824</v>
      </c>
      <c r="AR4" t="s">
        <v>825</v>
      </c>
      <c r="AS4" t="s">
        <v>7</v>
      </c>
      <c r="AT4" t="s">
        <v>826</v>
      </c>
      <c r="AU4" t="s">
        <v>827</v>
      </c>
      <c r="AV4" t="s">
        <v>828</v>
      </c>
      <c r="AW4" t="s">
        <v>829</v>
      </c>
      <c r="AX4" t="s">
        <v>830</v>
      </c>
      <c r="AY4" t="s">
        <v>184</v>
      </c>
      <c r="AZ4" t="s">
        <v>185</v>
      </c>
      <c r="BA4" t="s">
        <v>186</v>
      </c>
      <c r="BB4" t="s">
        <v>118</v>
      </c>
      <c r="BC4" t="s">
        <v>187</v>
      </c>
      <c r="BD4" t="s">
        <v>74</v>
      </c>
      <c r="BE4" t="s">
        <v>112</v>
      </c>
      <c r="BF4" t="s">
        <v>69</v>
      </c>
      <c r="BG4" t="s">
        <v>188</v>
      </c>
      <c r="BH4" t="s">
        <v>189</v>
      </c>
      <c r="BI4" t="s">
        <v>831</v>
      </c>
      <c r="BJ4" t="s">
        <v>832</v>
      </c>
      <c r="BK4" t="s">
        <v>442</v>
      </c>
      <c r="BL4" t="s">
        <v>89</v>
      </c>
      <c r="BM4" t="s">
        <v>833</v>
      </c>
      <c r="BN4" t="s">
        <v>89</v>
      </c>
      <c r="BO4">
        <v>7.01</v>
      </c>
      <c r="BP4">
        <v>19.2</v>
      </c>
      <c r="BQ4">
        <v>21.21</v>
      </c>
      <c r="BR4">
        <v>14.81</v>
      </c>
      <c r="BS4">
        <v>32.18</v>
      </c>
      <c r="BT4">
        <v>34.24</v>
      </c>
      <c r="BU4">
        <v>23.48</v>
      </c>
      <c r="BV4" t="s">
        <v>499</v>
      </c>
      <c r="BW4">
        <v>27.14</v>
      </c>
      <c r="BX4">
        <v>30.55</v>
      </c>
      <c r="BY4">
        <v>24.87</v>
      </c>
      <c r="BZ4">
        <v>15.33</v>
      </c>
      <c r="CA4">
        <v>17.559999999999999</v>
      </c>
      <c r="CB4">
        <v>12.25</v>
      </c>
      <c r="CC4">
        <v>2.89</v>
      </c>
      <c r="CD4">
        <v>-1.62</v>
      </c>
      <c r="CE4" t="s">
        <v>1585</v>
      </c>
      <c r="CF4" t="s">
        <v>923</v>
      </c>
      <c r="CG4" s="18">
        <v>5.2792581143740601E-2</v>
      </c>
      <c r="CH4" s="19">
        <v>-0.31985643454038998</v>
      </c>
      <c r="CI4" s="18">
        <v>0.57007110118865967</v>
      </c>
      <c r="CJ4" s="18">
        <v>0.36910581588745117</v>
      </c>
      <c r="CK4" s="18">
        <v>0.22023805975914001</v>
      </c>
      <c r="CL4" s="18">
        <v>0.46653735637664795</v>
      </c>
      <c r="CM4" s="18">
        <v>0.18369689583778381</v>
      </c>
      <c r="CN4" s="19">
        <v>0.34047344326972961</v>
      </c>
      <c r="CO4" s="19">
        <v>0.96238940954208374</v>
      </c>
      <c r="CP4" s="19">
        <v>1.6432749032974243</v>
      </c>
      <c r="CQ4" s="19">
        <v>2.4068088531494141</v>
      </c>
      <c r="CR4" s="19">
        <v>-3.2009471207857132E-2</v>
      </c>
      <c r="CS4">
        <v>6.6699373424104902</v>
      </c>
      <c r="CT4">
        <v>44495507.989907488</v>
      </c>
      <c r="CU4">
        <v>10.71576</v>
      </c>
      <c r="CV4" s="18">
        <v>0.36192984580993653</v>
      </c>
      <c r="CW4" s="19">
        <v>1.0641874276101588</v>
      </c>
      <c r="CX4">
        <v>0.06</v>
      </c>
      <c r="CY4">
        <v>33.820656972868058</v>
      </c>
      <c r="CZ4">
        <v>1527674138.3660514</v>
      </c>
      <c r="DA4">
        <v>0.36192984580993653</v>
      </c>
      <c r="DB4">
        <v>8.8454414219397268</v>
      </c>
      <c r="DC4">
        <v>5841081358.7944031</v>
      </c>
      <c r="DD4">
        <v>0.34383335351943967</v>
      </c>
      <c r="DE4">
        <v>3.150951640953743</v>
      </c>
      <c r="DF4">
        <v>16397250382.541967</v>
      </c>
      <c r="DG4">
        <v>0.31849826431274414</v>
      </c>
      <c r="DH4">
        <v>1.2678830022743601</v>
      </c>
      <c r="DI4">
        <v>40750560507.01725</v>
      </c>
      <c r="DJ4">
        <v>0.28954387664794923</v>
      </c>
      <c r="DK4">
        <v>0.24347957974997939</v>
      </c>
      <c r="DL4">
        <v>212202366428.65479</v>
      </c>
      <c r="DM4">
        <v>0.25335089206695555</v>
      </c>
      <c r="DN4">
        <v>1189000000</v>
      </c>
      <c r="DO4">
        <v>0.36192984580993653</v>
      </c>
      <c r="DP4">
        <v>51666943000</v>
      </c>
      <c r="DQ4">
        <v>3831615400</v>
      </c>
      <c r="DR4">
        <v>4045</v>
      </c>
      <c r="DS4">
        <v>-0.30913726466619595</v>
      </c>
      <c r="DT4">
        <v>-1.3840438621505489</v>
      </c>
      <c r="DU4" s="9">
        <v>0.44</v>
      </c>
      <c r="DV4">
        <v>-0.22</v>
      </c>
      <c r="DW4">
        <v>0.22</v>
      </c>
      <c r="DX4">
        <v>4.5605536332179932</v>
      </c>
      <c r="DY4">
        <v>0.43773954372623591</v>
      </c>
      <c r="DZ4">
        <v>4.1108436196666096</v>
      </c>
      <c r="EA4">
        <v>547</v>
      </c>
      <c r="EB4">
        <v>4.0983654430957852</v>
      </c>
      <c r="EC4">
        <v>4</v>
      </c>
      <c r="ED4">
        <v>7.5620674291458689E-2</v>
      </c>
      <c r="EE4">
        <v>0.3824256537991873</v>
      </c>
      <c r="EF4" s="20">
        <v>4.0097100000000001</v>
      </c>
      <c r="EG4">
        <v>4.0052000000000003</v>
      </c>
      <c r="EH4">
        <v>24.197739543726236</v>
      </c>
      <c r="EI4" t="s">
        <v>1586</v>
      </c>
      <c r="EJ4">
        <v>0</v>
      </c>
      <c r="EK4">
        <v>1</v>
      </c>
      <c r="EL4" s="21">
        <v>44847</v>
      </c>
      <c r="EM4">
        <v>-6.74</v>
      </c>
      <c r="EN4">
        <v>-0.56000000000000005</v>
      </c>
      <c r="EO4">
        <v>2.19</v>
      </c>
      <c r="EP4">
        <v>6.97</v>
      </c>
      <c r="EQ4">
        <v>1.49</v>
      </c>
    </row>
    <row r="5" spans="1:147" ht="157.5" x14ac:dyDescent="0.15">
      <c r="B5" s="2" t="s">
        <v>1577</v>
      </c>
      <c r="C5" s="2"/>
      <c r="D5" s="2" t="s">
        <v>1581</v>
      </c>
      <c r="E5" t="s">
        <v>1033</v>
      </c>
      <c r="F5" t="s">
        <v>1034</v>
      </c>
      <c r="G5">
        <v>19.93</v>
      </c>
      <c r="H5">
        <v>-0.55000000000000004</v>
      </c>
      <c r="I5" t="s">
        <v>1578</v>
      </c>
      <c r="J5">
        <v>47078943000</v>
      </c>
      <c r="K5">
        <v>28.97</v>
      </c>
      <c r="L5">
        <v>2.25</v>
      </c>
      <c r="M5" t="s">
        <v>97</v>
      </c>
      <c r="N5" t="s">
        <v>1081</v>
      </c>
      <c r="O5" t="s">
        <v>1082</v>
      </c>
      <c r="P5" t="s">
        <v>1083</v>
      </c>
      <c r="Q5">
        <v>22.42</v>
      </c>
      <c r="R5" t="s">
        <v>1084</v>
      </c>
      <c r="S5">
        <v>860106680</v>
      </c>
      <c r="T5" s="3">
        <v>0.28170000000000001</v>
      </c>
      <c r="U5" t="s">
        <v>1085</v>
      </c>
      <c r="V5">
        <v>2362210900</v>
      </c>
      <c r="W5">
        <v>2362210900</v>
      </c>
      <c r="X5">
        <v>2.25</v>
      </c>
      <c r="Y5">
        <v>0.41</v>
      </c>
      <c r="Z5">
        <v>4.1900000000000004</v>
      </c>
      <c r="AA5" t="s">
        <v>1086</v>
      </c>
      <c r="AB5" t="s">
        <v>1087</v>
      </c>
      <c r="AC5" t="s">
        <v>1088</v>
      </c>
      <c r="AD5" t="s">
        <v>1089</v>
      </c>
      <c r="AE5" t="s">
        <v>1090</v>
      </c>
      <c r="AF5">
        <v>221114020</v>
      </c>
      <c r="AG5" t="s">
        <v>1091</v>
      </c>
      <c r="AH5" t="s">
        <v>1092</v>
      </c>
      <c r="AI5" t="s">
        <v>1093</v>
      </c>
      <c r="AJ5" t="s">
        <v>1094</v>
      </c>
      <c r="AK5" t="s">
        <v>1095</v>
      </c>
      <c r="AL5" t="s">
        <v>1096</v>
      </c>
      <c r="AM5" t="s">
        <v>1097</v>
      </c>
      <c r="AN5" t="s">
        <v>1098</v>
      </c>
      <c r="AO5" t="s">
        <v>1099</v>
      </c>
      <c r="AP5" t="s">
        <v>1100</v>
      </c>
      <c r="AQ5" t="s">
        <v>1101</v>
      </c>
      <c r="AR5" t="s">
        <v>1102</v>
      </c>
      <c r="AS5" t="s">
        <v>7</v>
      </c>
      <c r="AT5" t="s">
        <v>1103</v>
      </c>
      <c r="AU5" t="s">
        <v>1104</v>
      </c>
      <c r="AV5" t="s">
        <v>1105</v>
      </c>
      <c r="AW5" t="s">
        <v>1106</v>
      </c>
      <c r="AX5" t="s">
        <v>1107</v>
      </c>
      <c r="AY5" t="s">
        <v>1108</v>
      </c>
      <c r="AZ5" t="s">
        <v>1109</v>
      </c>
      <c r="BA5" t="s">
        <v>1110</v>
      </c>
      <c r="BB5" t="s">
        <v>1111</v>
      </c>
      <c r="BC5" t="s">
        <v>1112</v>
      </c>
      <c r="BD5" t="s">
        <v>1113</v>
      </c>
      <c r="BE5" t="s">
        <v>1114</v>
      </c>
      <c r="BF5" t="s">
        <v>1115</v>
      </c>
      <c r="BG5" t="s">
        <v>1116</v>
      </c>
      <c r="BH5" t="s">
        <v>1117</v>
      </c>
      <c r="BI5" t="s">
        <v>1118</v>
      </c>
      <c r="BJ5" t="s">
        <v>1119</v>
      </c>
      <c r="BK5" t="s">
        <v>1120</v>
      </c>
      <c r="BL5" t="s">
        <v>1121</v>
      </c>
      <c r="BM5" t="s">
        <v>1122</v>
      </c>
      <c r="BN5" t="s">
        <v>1123</v>
      </c>
      <c r="BO5">
        <v>2.0099999999999998</v>
      </c>
      <c r="BP5">
        <v>3.59</v>
      </c>
      <c r="BQ5">
        <v>2.96</v>
      </c>
      <c r="BR5">
        <v>4.43</v>
      </c>
      <c r="BS5">
        <v>7.02</v>
      </c>
      <c r="BT5">
        <v>7.36</v>
      </c>
      <c r="BU5">
        <v>10.34</v>
      </c>
      <c r="BV5" t="s">
        <v>713</v>
      </c>
      <c r="BW5">
        <v>14.95</v>
      </c>
      <c r="BX5">
        <v>16.399999999999999</v>
      </c>
      <c r="BY5">
        <v>17.96</v>
      </c>
      <c r="BZ5">
        <v>3.73</v>
      </c>
      <c r="CA5">
        <v>3.58</v>
      </c>
      <c r="CB5">
        <v>4.4800000000000004</v>
      </c>
      <c r="CC5">
        <v>4.62</v>
      </c>
      <c r="CD5">
        <v>22.34</v>
      </c>
      <c r="CE5" t="s">
        <v>76</v>
      </c>
      <c r="CF5" t="s">
        <v>1579</v>
      </c>
      <c r="CG5" s="18">
        <v>0.15076829378327167</v>
      </c>
      <c r="CH5" s="19">
        <v>0.26807538083538085</v>
      </c>
      <c r="CI5" s="18">
        <v>0.2744256854057312</v>
      </c>
      <c r="CJ5" s="18">
        <v>8.4164708852767944E-2</v>
      </c>
      <c r="CK5" s="18">
        <v>-4.1673504747450352E-3</v>
      </c>
      <c r="CL5" s="18">
        <v>0.22149376571178436</v>
      </c>
      <c r="CM5" s="18">
        <v>0.27226570248603821</v>
      </c>
      <c r="CN5" s="19">
        <v>0.35216572880744934</v>
      </c>
      <c r="CO5" s="19">
        <v>-0.22026431560516357</v>
      </c>
      <c r="CP5" s="19">
        <v>-0.4620853066444397</v>
      </c>
      <c r="CQ5" s="19">
        <v>0.20285038650035858</v>
      </c>
      <c r="CR5" s="19">
        <v>0.59954404830932617</v>
      </c>
      <c r="CS5">
        <v>1.1407269753579996</v>
      </c>
      <c r="CT5">
        <v>61657104.456824511</v>
      </c>
      <c r="CU5">
        <v>3.8652750000000005</v>
      </c>
      <c r="CV5" s="18">
        <v>0.16963650239631534</v>
      </c>
      <c r="CW5" s="19">
        <v>9.4442108273506159E-2</v>
      </c>
      <c r="CX5">
        <v>0.06</v>
      </c>
      <c r="CY5">
        <v>33.623259252257434</v>
      </c>
      <c r="CZ5">
        <v>1584526431.5482156</v>
      </c>
      <c r="DA5">
        <v>0.16963650239631534</v>
      </c>
      <c r="DB5">
        <v>10.27763914717824</v>
      </c>
      <c r="DC5">
        <v>5183772482.8690214</v>
      </c>
      <c r="DD5">
        <v>0.16115467727649957</v>
      </c>
      <c r="DE5">
        <v>4.6150890755052361</v>
      </c>
      <c r="DF5">
        <v>11544076859.267881</v>
      </c>
      <c r="DG5">
        <v>0.14928012210875749</v>
      </c>
      <c r="DH5">
        <v>2.4894615631628074</v>
      </c>
      <c r="DI5">
        <v>21400990394.209095</v>
      </c>
      <c r="DJ5">
        <v>0.13570920191705227</v>
      </c>
      <c r="DK5">
        <v>1.0036484604393043</v>
      </c>
      <c r="DL5">
        <v>53083270786.54641</v>
      </c>
      <c r="DM5">
        <v>0.11874555167742072</v>
      </c>
      <c r="DN5">
        <v>1436000000</v>
      </c>
      <c r="DO5">
        <v>0.16963650239631534</v>
      </c>
      <c r="DP5">
        <v>53276943000</v>
      </c>
      <c r="DQ5">
        <v>12218951000</v>
      </c>
      <c r="DR5">
        <v>3085</v>
      </c>
      <c r="DS5">
        <v>-1.8868208613043669E-2</v>
      </c>
      <c r="DT5">
        <v>0.17363327256187469</v>
      </c>
      <c r="DU5" s="9">
        <v>0.44</v>
      </c>
      <c r="DV5">
        <v>0.44</v>
      </c>
      <c r="DW5">
        <v>0.88</v>
      </c>
      <c r="DX5">
        <v>8.2068039391226506</v>
      </c>
      <c r="DY5">
        <v>0.36002915937135027</v>
      </c>
      <c r="DZ5">
        <v>8.0268905423588013</v>
      </c>
      <c r="EA5">
        <v>1311</v>
      </c>
      <c r="EB5">
        <v>8.0196352427020017</v>
      </c>
      <c r="EC5">
        <v>8</v>
      </c>
      <c r="ED5">
        <v>9.4403086532197436E-2</v>
      </c>
      <c r="EE5">
        <v>0.72601476862205649</v>
      </c>
      <c r="EF5" s="20">
        <v>6.0377000000000001</v>
      </c>
      <c r="EG5">
        <v>6.0321999999999996</v>
      </c>
      <c r="EH5">
        <v>23.13002915937135</v>
      </c>
      <c r="EI5" t="s">
        <v>1580</v>
      </c>
      <c r="EJ5">
        <v>0</v>
      </c>
      <c r="EK5">
        <v>1</v>
      </c>
      <c r="EL5" s="21">
        <v>44847</v>
      </c>
      <c r="EM5">
        <v>-4.46</v>
      </c>
      <c r="EN5">
        <v>-0.49</v>
      </c>
      <c r="EO5">
        <v>7.01</v>
      </c>
      <c r="EP5">
        <v>3.41</v>
      </c>
      <c r="EQ5">
        <v>-0.55000000000000004</v>
      </c>
    </row>
    <row r="6" spans="1:147" ht="90" x14ac:dyDescent="0.15">
      <c r="B6" s="22" t="s">
        <v>1588</v>
      </c>
      <c r="C6" s="22" t="s">
        <v>1589</v>
      </c>
      <c r="D6" s="22" t="s">
        <v>1592</v>
      </c>
      <c r="E6" t="s">
        <v>270</v>
      </c>
      <c r="F6" t="s">
        <v>271</v>
      </c>
      <c r="G6">
        <v>4.3099999999999996</v>
      </c>
      <c r="H6">
        <v>5.64</v>
      </c>
      <c r="I6" t="s">
        <v>1590</v>
      </c>
      <c r="J6">
        <v>14338491000</v>
      </c>
      <c r="K6">
        <v>18.12</v>
      </c>
      <c r="L6">
        <v>2.16</v>
      </c>
      <c r="M6" t="s">
        <v>352</v>
      </c>
      <c r="N6" t="s">
        <v>556</v>
      </c>
      <c r="O6" t="s">
        <v>557</v>
      </c>
      <c r="P6" t="s">
        <v>558</v>
      </c>
      <c r="Q6">
        <v>24.4</v>
      </c>
      <c r="R6" t="s">
        <v>389</v>
      </c>
      <c r="S6">
        <v>499631140</v>
      </c>
      <c r="T6" s="3">
        <v>2.9000000000000001E-2</v>
      </c>
      <c r="U6" t="s">
        <v>114</v>
      </c>
      <c r="V6">
        <v>3326796000</v>
      </c>
      <c r="W6">
        <v>3326796000</v>
      </c>
      <c r="X6">
        <v>1.38</v>
      </c>
      <c r="Y6">
        <v>0.5</v>
      </c>
      <c r="Z6">
        <v>10.57</v>
      </c>
      <c r="AA6" t="s">
        <v>559</v>
      </c>
      <c r="AB6" t="s">
        <v>560</v>
      </c>
      <c r="AC6" t="s">
        <v>561</v>
      </c>
      <c r="AD6" t="s">
        <v>562</v>
      </c>
      <c r="AE6" t="s">
        <v>563</v>
      </c>
      <c r="AF6">
        <v>10960790</v>
      </c>
      <c r="AG6" t="s">
        <v>564</v>
      </c>
      <c r="AH6" t="s">
        <v>565</v>
      </c>
      <c r="AI6" t="s">
        <v>566</v>
      </c>
      <c r="AJ6" t="s">
        <v>102</v>
      </c>
      <c r="AK6" t="s">
        <v>567</v>
      </c>
      <c r="AL6" t="s">
        <v>568</v>
      </c>
      <c r="AM6" t="s">
        <v>569</v>
      </c>
      <c r="AN6" t="s">
        <v>570</v>
      </c>
      <c r="AO6" t="s">
        <v>571</v>
      </c>
      <c r="AP6" t="s">
        <v>342</v>
      </c>
      <c r="AQ6" t="s">
        <v>572</v>
      </c>
      <c r="AR6" t="s">
        <v>573</v>
      </c>
      <c r="AS6" t="s">
        <v>7</v>
      </c>
      <c r="AT6" t="s">
        <v>574</v>
      </c>
      <c r="AU6" t="s">
        <v>7</v>
      </c>
      <c r="AV6" t="s">
        <v>575</v>
      </c>
      <c r="AW6" t="s">
        <v>576</v>
      </c>
      <c r="AX6" t="s">
        <v>577</v>
      </c>
      <c r="AY6" t="s">
        <v>272</v>
      </c>
      <c r="AZ6" t="s">
        <v>273</v>
      </c>
      <c r="BA6" t="s">
        <v>274</v>
      </c>
      <c r="BB6" t="s">
        <v>275</v>
      </c>
      <c r="BC6" t="s">
        <v>276</v>
      </c>
      <c r="BD6" t="s">
        <v>78</v>
      </c>
      <c r="BE6" t="s">
        <v>47</v>
      </c>
      <c r="BF6" t="s">
        <v>92</v>
      </c>
      <c r="BG6" t="s">
        <v>50</v>
      </c>
      <c r="BH6" t="s">
        <v>59</v>
      </c>
      <c r="BI6" t="s">
        <v>578</v>
      </c>
      <c r="BJ6" t="s">
        <v>579</v>
      </c>
      <c r="BK6" t="s">
        <v>422</v>
      </c>
      <c r="BL6" t="s">
        <v>30</v>
      </c>
      <c r="BM6" t="s">
        <v>571</v>
      </c>
      <c r="BN6" t="s">
        <v>95</v>
      </c>
      <c r="BO6">
        <v>6.3</v>
      </c>
      <c r="BP6">
        <v>10.97</v>
      </c>
      <c r="BQ6">
        <v>10.210000000000001</v>
      </c>
      <c r="BR6">
        <v>8.83</v>
      </c>
      <c r="BS6">
        <v>12.9</v>
      </c>
      <c r="BT6">
        <v>10.91</v>
      </c>
      <c r="BU6">
        <v>8.9700000000000006</v>
      </c>
      <c r="BV6" t="s">
        <v>499</v>
      </c>
      <c r="BW6">
        <v>18.809999999999999</v>
      </c>
      <c r="BX6">
        <v>22.28</v>
      </c>
      <c r="BY6">
        <v>19.43</v>
      </c>
      <c r="BZ6">
        <v>7.7</v>
      </c>
      <c r="CA6">
        <v>8.39</v>
      </c>
      <c r="CB6">
        <v>7.05</v>
      </c>
      <c r="CC6">
        <v>9.9499999999999993</v>
      </c>
      <c r="CD6">
        <v>-3.36</v>
      </c>
      <c r="CE6" t="s">
        <v>1591</v>
      </c>
      <c r="CF6" t="s">
        <v>753</v>
      </c>
      <c r="CG6" s="18">
        <v>0.13349236963190206</v>
      </c>
      <c r="CH6" s="19">
        <v>-1.7166738544474553E-2</v>
      </c>
      <c r="CI6" s="18">
        <v>0.2918584942817688</v>
      </c>
      <c r="CJ6" s="18">
        <v>0.12491913884878159</v>
      </c>
      <c r="CK6" s="18">
        <v>0.10991374403238297</v>
      </c>
      <c r="CL6" s="18">
        <v>0.17344574630260468</v>
      </c>
      <c r="CM6" s="18">
        <v>0.14668917655944824</v>
      </c>
      <c r="CN6" s="19">
        <v>0.33276158571243286</v>
      </c>
      <c r="CO6" s="19">
        <v>0.34022989869117737</v>
      </c>
      <c r="CP6" s="19">
        <v>0.96832579374313354</v>
      </c>
      <c r="CQ6" s="19">
        <v>-0.11599999666213989</v>
      </c>
      <c r="CR6" s="19">
        <v>-0.40047961473464966</v>
      </c>
      <c r="CS6">
        <v>1.5965361318338716</v>
      </c>
      <c r="CT6">
        <v>61455084.942084946</v>
      </c>
      <c r="CU6">
        <v>7.2932999999999995</v>
      </c>
      <c r="CV6" s="18">
        <v>0.16936526000499724</v>
      </c>
      <c r="CW6" s="19">
        <v>0.22496753334999084</v>
      </c>
      <c r="CX6">
        <v>0.06</v>
      </c>
      <c r="CY6">
        <v>11.830242387939034</v>
      </c>
      <c r="CZ6">
        <v>857166799.0791347</v>
      </c>
      <c r="DA6">
        <v>0.16936526000499724</v>
      </c>
      <c r="DB6">
        <v>3.6169715360445078</v>
      </c>
      <c r="DC6">
        <v>2803586066.1180549</v>
      </c>
      <c r="DD6">
        <v>0.16089699700474738</v>
      </c>
      <c r="DE6">
        <v>1.624688426361266</v>
      </c>
      <c r="DF6">
        <v>6241498884.0113516</v>
      </c>
      <c r="DG6">
        <v>0.14904142880439758</v>
      </c>
      <c r="DH6">
        <v>0.87672169054966176</v>
      </c>
      <c r="DI6">
        <v>11566374037.857334</v>
      </c>
      <c r="DJ6">
        <v>0.1354922080039978</v>
      </c>
      <c r="DK6">
        <v>0.35378402973493761</v>
      </c>
      <c r="DL6">
        <v>28662941647.189297</v>
      </c>
      <c r="DM6">
        <v>0.11855568200349806</v>
      </c>
      <c r="DN6">
        <v>777000000</v>
      </c>
      <c r="DO6">
        <v>0.16936526000499724</v>
      </c>
      <c r="DP6">
        <v>10140491000</v>
      </c>
      <c r="DQ6">
        <v>4695263300</v>
      </c>
      <c r="DR6">
        <v>990</v>
      </c>
      <c r="DS6">
        <v>-3.5872890373095184E-2</v>
      </c>
      <c r="DT6">
        <v>-0.2421342718944654</v>
      </c>
      <c r="DU6" s="9">
        <v>0.44</v>
      </c>
      <c r="DV6">
        <v>0.44</v>
      </c>
      <c r="DW6">
        <v>0.88</v>
      </c>
      <c r="DX6">
        <v>5.3376884422110553</v>
      </c>
      <c r="DY6">
        <v>0.91420670176859975</v>
      </c>
      <c r="DZ6">
        <v>5.0419431676324136</v>
      </c>
      <c r="EA6">
        <v>1576</v>
      </c>
      <c r="EB6">
        <v>5.0283390449345982</v>
      </c>
      <c r="EC6">
        <v>5</v>
      </c>
      <c r="ED6">
        <v>4.1180763713795497E-2</v>
      </c>
      <c r="EE6">
        <v>0.33155023632347763</v>
      </c>
      <c r="EF6" s="20">
        <v>-1.0581</v>
      </c>
      <c r="EG6">
        <v>-1.1145</v>
      </c>
      <c r="EH6">
        <v>79.1242067017686</v>
      </c>
      <c r="EI6" t="s">
        <v>1390</v>
      </c>
      <c r="EJ6">
        <v>1</v>
      </c>
      <c r="EK6">
        <v>0</v>
      </c>
      <c r="EL6" s="21">
        <v>44847</v>
      </c>
      <c r="EM6">
        <v>-1.02</v>
      </c>
      <c r="EN6">
        <v>-3.35</v>
      </c>
      <c r="EO6">
        <v>1.87</v>
      </c>
      <c r="EP6">
        <v>6.81</v>
      </c>
      <c r="EQ6">
        <v>5.64</v>
      </c>
    </row>
    <row r="7" spans="1:147" ht="123.75" x14ac:dyDescent="0.15">
      <c r="B7" s="2" t="s">
        <v>1593</v>
      </c>
      <c r="C7" s="2"/>
      <c r="D7" s="2" t="s">
        <v>1596</v>
      </c>
      <c r="E7" t="s">
        <v>292</v>
      </c>
      <c r="F7" t="s">
        <v>293</v>
      </c>
      <c r="G7">
        <v>24.43</v>
      </c>
      <c r="H7">
        <v>-0.73</v>
      </c>
      <c r="I7" t="s">
        <v>1594</v>
      </c>
      <c r="J7">
        <v>10217324400</v>
      </c>
      <c r="K7">
        <v>15.75</v>
      </c>
      <c r="L7">
        <v>2.7</v>
      </c>
      <c r="M7" t="s">
        <v>352</v>
      </c>
      <c r="N7" t="s">
        <v>893</v>
      </c>
      <c r="O7" t="s">
        <v>894</v>
      </c>
      <c r="P7" t="s">
        <v>895</v>
      </c>
      <c r="Q7">
        <v>9.18</v>
      </c>
      <c r="R7" t="s">
        <v>407</v>
      </c>
      <c r="S7">
        <v>303756730</v>
      </c>
      <c r="T7" s="3">
        <v>-0.1041</v>
      </c>
      <c r="U7" t="s">
        <v>83</v>
      </c>
      <c r="V7">
        <v>107078337</v>
      </c>
      <c r="W7">
        <v>418228540</v>
      </c>
      <c r="X7">
        <v>2.84</v>
      </c>
      <c r="Y7">
        <v>0.79</v>
      </c>
      <c r="Z7">
        <v>3.7</v>
      </c>
      <c r="AA7" t="s">
        <v>896</v>
      </c>
      <c r="AB7" t="s">
        <v>897</v>
      </c>
      <c r="AC7" t="s">
        <v>898</v>
      </c>
      <c r="AD7" t="s">
        <v>899</v>
      </c>
      <c r="AE7" t="s">
        <v>900</v>
      </c>
      <c r="AF7">
        <v>79834074</v>
      </c>
      <c r="AG7" t="s">
        <v>901</v>
      </c>
      <c r="AH7" t="s">
        <v>902</v>
      </c>
      <c r="AI7" t="s">
        <v>903</v>
      </c>
      <c r="AJ7" t="s">
        <v>904</v>
      </c>
      <c r="AK7" t="s">
        <v>905</v>
      </c>
      <c r="AL7" t="s">
        <v>57</v>
      </c>
      <c r="AM7" t="s">
        <v>906</v>
      </c>
      <c r="AN7" t="s">
        <v>907</v>
      </c>
      <c r="AO7" t="s">
        <v>908</v>
      </c>
      <c r="AP7" t="s">
        <v>909</v>
      </c>
      <c r="AQ7" t="s">
        <v>910</v>
      </c>
      <c r="AR7" t="s">
        <v>911</v>
      </c>
      <c r="AS7" t="s">
        <v>7</v>
      </c>
      <c r="AT7" t="s">
        <v>912</v>
      </c>
      <c r="AU7" t="s">
        <v>913</v>
      </c>
      <c r="AV7" t="s">
        <v>914</v>
      </c>
      <c r="AW7" t="s">
        <v>90</v>
      </c>
      <c r="AX7" t="s">
        <v>915</v>
      </c>
      <c r="AY7" t="s">
        <v>916</v>
      </c>
      <c r="AZ7" t="s">
        <v>917</v>
      </c>
      <c r="BA7" t="s">
        <v>918</v>
      </c>
      <c r="BB7" t="s">
        <v>919</v>
      </c>
      <c r="BC7" t="s">
        <v>920</v>
      </c>
      <c r="BD7" t="s">
        <v>921</v>
      </c>
      <c r="BE7" t="s">
        <v>922</v>
      </c>
      <c r="BF7" t="s">
        <v>33</v>
      </c>
      <c r="BG7" t="s">
        <v>923</v>
      </c>
      <c r="BH7" t="s">
        <v>58</v>
      </c>
      <c r="BI7" t="s">
        <v>924</v>
      </c>
      <c r="BJ7" t="s">
        <v>925</v>
      </c>
      <c r="BK7" t="s">
        <v>926</v>
      </c>
      <c r="BL7" t="s">
        <v>927</v>
      </c>
      <c r="BM7" t="s">
        <v>548</v>
      </c>
      <c r="BN7" t="s">
        <v>701</v>
      </c>
      <c r="BO7">
        <v>3.55</v>
      </c>
      <c r="BP7">
        <v>11.01</v>
      </c>
      <c r="BQ7">
        <v>10.75</v>
      </c>
      <c r="BR7">
        <v>14.01</v>
      </c>
      <c r="BS7">
        <v>21.13</v>
      </c>
      <c r="BT7">
        <v>19.37</v>
      </c>
      <c r="BU7">
        <v>23.94</v>
      </c>
      <c r="BV7" t="s">
        <v>499</v>
      </c>
      <c r="BW7">
        <v>10.11</v>
      </c>
      <c r="BX7">
        <v>9.85</v>
      </c>
      <c r="BY7">
        <v>10.8</v>
      </c>
      <c r="BZ7">
        <v>4.03</v>
      </c>
      <c r="CA7">
        <v>4.21</v>
      </c>
      <c r="CB7">
        <v>4.3600000000000003</v>
      </c>
      <c r="CC7">
        <v>9.9499999999999993</v>
      </c>
      <c r="CD7">
        <v>15.95</v>
      </c>
      <c r="CE7" t="s">
        <v>1595</v>
      </c>
      <c r="CF7" t="s">
        <v>94</v>
      </c>
      <c r="CG7" s="18">
        <v>-3.3349945945945945E-2</v>
      </c>
      <c r="CH7" s="19">
        <v>-0.2195089847715736</v>
      </c>
      <c r="CI7" s="18">
        <v>0.93898934125900269</v>
      </c>
      <c r="CJ7" s="18">
        <v>0.27317893505096436</v>
      </c>
      <c r="CK7" s="18">
        <v>0.20939432084560394</v>
      </c>
      <c r="CL7" s="18">
        <v>0.37516304850578308</v>
      </c>
      <c r="CM7" s="18">
        <v>0.44727736711502075</v>
      </c>
      <c r="CN7" s="19">
        <v>0.66829270124435425</v>
      </c>
      <c r="CO7" s="19">
        <v>0.23123122751712799</v>
      </c>
      <c r="CP7" s="19">
        <v>0.32669323682785034</v>
      </c>
      <c r="CQ7" s="19">
        <v>-4.5627377927303314E-2</v>
      </c>
      <c r="CR7" s="19">
        <v>0.2583732008934021</v>
      </c>
      <c r="CS7">
        <v>0.54122917681957838</v>
      </c>
      <c r="CT7">
        <v>43168606.725146197</v>
      </c>
      <c r="CU7">
        <v>8.3013200000000005</v>
      </c>
      <c r="CV7" s="18">
        <v>0.44880060255527499</v>
      </c>
      <c r="CW7" s="19">
        <v>0.28779259771108628</v>
      </c>
      <c r="CX7">
        <v>0.06</v>
      </c>
      <c r="CY7">
        <v>14.522966656001588</v>
      </c>
      <c r="CZ7">
        <v>934886426.55453575</v>
      </c>
      <c r="DA7">
        <v>0.44880060255527499</v>
      </c>
      <c r="DB7">
        <v>3.5491564239526827</v>
      </c>
      <c r="DC7">
        <v>3825507466.61061</v>
      </c>
      <c r="DD7">
        <v>0.42636057242751124</v>
      </c>
      <c r="DE7">
        <v>1.1364231033711036</v>
      </c>
      <c r="DF7">
        <v>11947420251.950182</v>
      </c>
      <c r="DG7">
        <v>0.39494453024864201</v>
      </c>
      <c r="DH7">
        <v>0.39698246578633462</v>
      </c>
      <c r="DI7">
        <v>34201320134.14325</v>
      </c>
      <c r="DJ7">
        <v>0.35904048204422001</v>
      </c>
      <c r="DK7">
        <v>5.2882117708109064E-2</v>
      </c>
      <c r="DL7">
        <v>256746987231.90546</v>
      </c>
      <c r="DM7">
        <v>0.31416042178869247</v>
      </c>
      <c r="DN7">
        <v>684000000</v>
      </c>
      <c r="DO7">
        <v>0.44880060255527499</v>
      </c>
      <c r="DP7">
        <v>13577324400</v>
      </c>
      <c r="DQ7">
        <v>3607376700</v>
      </c>
      <c r="DR7">
        <v>4327</v>
      </c>
      <c r="DS7">
        <v>-0.48215054850122091</v>
      </c>
      <c r="DT7">
        <v>-0.50730158248265989</v>
      </c>
      <c r="DU7" s="9">
        <v>0.44</v>
      </c>
      <c r="DV7">
        <v>0</v>
      </c>
      <c r="DW7">
        <v>0.44</v>
      </c>
      <c r="DX7">
        <v>9.623824451410659</v>
      </c>
      <c r="DY7">
        <v>0.66982410714285778</v>
      </c>
      <c r="DZ7">
        <v>9.1745611201298694</v>
      </c>
      <c r="EA7">
        <v>726</v>
      </c>
      <c r="EB7">
        <v>9.1484793392666699</v>
      </c>
      <c r="EC7">
        <v>9</v>
      </c>
      <c r="ED7">
        <v>7.4935823365856385E-2</v>
      </c>
      <c r="EE7">
        <v>0.26779616713866544</v>
      </c>
      <c r="EF7" s="20">
        <v>1.1317999999999999</v>
      </c>
      <c r="EG7">
        <v>1.1245000000000001</v>
      </c>
      <c r="EH7">
        <v>39.279824107142858</v>
      </c>
      <c r="EI7" t="s">
        <v>470</v>
      </c>
      <c r="EJ7">
        <v>1</v>
      </c>
      <c r="EK7">
        <v>1</v>
      </c>
      <c r="EL7" s="21">
        <v>44847</v>
      </c>
      <c r="EM7">
        <v>-4.37</v>
      </c>
      <c r="EN7">
        <v>-2.35</v>
      </c>
      <c r="EO7">
        <v>10.02</v>
      </c>
      <c r="EP7">
        <v>7.8</v>
      </c>
      <c r="EQ7">
        <v>-0.73</v>
      </c>
    </row>
    <row r="8" spans="1:147" ht="123.75" x14ac:dyDescent="0.15">
      <c r="B8" s="2" t="s">
        <v>1582</v>
      </c>
      <c r="C8" s="2"/>
      <c r="D8" s="2" t="s">
        <v>1598</v>
      </c>
      <c r="E8" t="s">
        <v>285</v>
      </c>
      <c r="F8" t="s">
        <v>286</v>
      </c>
      <c r="G8">
        <v>5.07</v>
      </c>
      <c r="H8">
        <v>0</v>
      </c>
      <c r="I8" t="s">
        <v>1597</v>
      </c>
      <c r="J8">
        <v>6952826900</v>
      </c>
      <c r="L8">
        <v>2.06</v>
      </c>
      <c r="M8" t="s">
        <v>352</v>
      </c>
      <c r="N8" t="s">
        <v>1011</v>
      </c>
      <c r="O8" t="s">
        <v>788</v>
      </c>
      <c r="P8" t="s">
        <v>789</v>
      </c>
      <c r="Q8">
        <v>-1.48</v>
      </c>
      <c r="R8" t="s">
        <v>403</v>
      </c>
      <c r="S8">
        <v>-21618921</v>
      </c>
      <c r="T8" s="3">
        <v>-1.1120000000000001</v>
      </c>
      <c r="U8" t="s">
        <v>404</v>
      </c>
      <c r="V8">
        <v>1251963260</v>
      </c>
      <c r="W8">
        <v>1371366200</v>
      </c>
      <c r="X8">
        <v>4.8099999999999996</v>
      </c>
      <c r="Y8">
        <v>0.96</v>
      </c>
      <c r="Z8">
        <v>-0.09</v>
      </c>
      <c r="AA8" t="s">
        <v>790</v>
      </c>
      <c r="AB8" t="s">
        <v>1012</v>
      </c>
      <c r="AC8" t="s">
        <v>56</v>
      </c>
      <c r="AD8" t="s">
        <v>652</v>
      </c>
      <c r="AE8" t="s">
        <v>109</v>
      </c>
      <c r="AF8">
        <v>220268720</v>
      </c>
      <c r="AG8" t="s">
        <v>791</v>
      </c>
      <c r="AH8" t="s">
        <v>792</v>
      </c>
      <c r="AI8" t="s">
        <v>793</v>
      </c>
      <c r="AJ8" t="s">
        <v>794</v>
      </c>
      <c r="AK8" t="s">
        <v>795</v>
      </c>
      <c r="AL8" t="s">
        <v>796</v>
      </c>
      <c r="AM8" t="s">
        <v>797</v>
      </c>
      <c r="AN8" t="s">
        <v>798</v>
      </c>
      <c r="AO8" t="s">
        <v>799</v>
      </c>
      <c r="AP8" t="s">
        <v>800</v>
      </c>
      <c r="AQ8" t="s">
        <v>801</v>
      </c>
      <c r="AR8" t="s">
        <v>802</v>
      </c>
      <c r="AS8" t="s">
        <v>803</v>
      </c>
      <c r="AT8" t="s">
        <v>804</v>
      </c>
      <c r="AU8" t="s">
        <v>805</v>
      </c>
      <c r="AV8" t="s">
        <v>806</v>
      </c>
      <c r="AW8" t="s">
        <v>807</v>
      </c>
      <c r="AX8" t="s">
        <v>111</v>
      </c>
      <c r="AY8" t="s">
        <v>440</v>
      </c>
      <c r="AZ8" t="s">
        <v>287</v>
      </c>
      <c r="BA8" t="s">
        <v>288</v>
      </c>
      <c r="BB8" t="s">
        <v>289</v>
      </c>
      <c r="BC8" t="s">
        <v>290</v>
      </c>
      <c r="BD8" t="s">
        <v>60</v>
      </c>
      <c r="BE8" t="s">
        <v>67</v>
      </c>
      <c r="BF8" t="s">
        <v>90</v>
      </c>
      <c r="BG8" t="s">
        <v>291</v>
      </c>
      <c r="BH8" t="s">
        <v>106</v>
      </c>
      <c r="BI8" t="s">
        <v>808</v>
      </c>
      <c r="BJ8" t="s">
        <v>809</v>
      </c>
      <c r="BK8" t="s">
        <v>354</v>
      </c>
      <c r="BL8" t="s">
        <v>810</v>
      </c>
      <c r="BM8" t="s">
        <v>535</v>
      </c>
      <c r="BN8" t="s">
        <v>441</v>
      </c>
      <c r="BO8">
        <v>-0.12</v>
      </c>
      <c r="BP8">
        <v>-4.51</v>
      </c>
      <c r="BQ8">
        <v>1.45</v>
      </c>
      <c r="BR8">
        <v>1.17</v>
      </c>
      <c r="BS8">
        <v>-17.829999999999998</v>
      </c>
      <c r="BT8">
        <v>4.6900000000000004</v>
      </c>
      <c r="BU8">
        <v>4.1399999999999997</v>
      </c>
      <c r="BV8" t="s">
        <v>499</v>
      </c>
      <c r="BW8">
        <v>5.31</v>
      </c>
      <c r="BX8">
        <v>6.86</v>
      </c>
      <c r="BY8">
        <v>6.52</v>
      </c>
      <c r="BZ8">
        <v>0.38</v>
      </c>
      <c r="CA8">
        <v>0.75</v>
      </c>
      <c r="CB8">
        <v>0.56999999999999995</v>
      </c>
      <c r="CC8">
        <v>7.19</v>
      </c>
      <c r="CD8">
        <v>-10.11</v>
      </c>
      <c r="CE8" t="s">
        <v>1186</v>
      </c>
      <c r="CF8" t="s">
        <v>1332</v>
      </c>
      <c r="CG8" s="18">
        <v>-0.11459969141093777</v>
      </c>
      <c r="CH8" s="19">
        <v>-1.612479257898271</v>
      </c>
      <c r="CI8" s="18">
        <v>0.25067093968391418</v>
      </c>
      <c r="CJ8" s="18">
        <v>3.0075380578637123E-2</v>
      </c>
      <c r="CK8" s="18">
        <v>3.4147396683692932E-2</v>
      </c>
      <c r="CL8" s="18">
        <v>0.55545896291732788</v>
      </c>
      <c r="CM8" s="18">
        <v>0.36781907081604004</v>
      </c>
      <c r="CN8" s="19">
        <v>-4.3612337112426758</v>
      </c>
      <c r="CO8" s="19">
        <v>0.47402596473693848</v>
      </c>
      <c r="CP8" s="19">
        <v>0.30508473515510559</v>
      </c>
      <c r="CQ8" s="19">
        <v>0.36831584572792053</v>
      </c>
      <c r="CR8" s="19">
        <v>-0.67579919099807739</v>
      </c>
      <c r="CS8">
        <v>0.16215371285974159</v>
      </c>
      <c r="CT8">
        <v>6393695.8060288336</v>
      </c>
      <c r="CU8">
        <v>-0.41558399999999995</v>
      </c>
      <c r="CV8" s="18">
        <v>0.24763435013592244</v>
      </c>
      <c r="CW8" s="19">
        <v>-0.77792127132415767</v>
      </c>
      <c r="CX8">
        <v>0.06</v>
      </c>
      <c r="CY8" t="e">
        <v>#VALUE!</v>
      </c>
      <c r="CZ8" t="s">
        <v>420</v>
      </c>
      <c r="DA8">
        <v>0.24763435013592244</v>
      </c>
      <c r="DB8" t="e">
        <v>#VALUE!</v>
      </c>
      <c r="DC8" t="s">
        <v>421</v>
      </c>
      <c r="DD8">
        <v>0.23525263262912632</v>
      </c>
      <c r="DE8" t="e">
        <v>#VALUE!</v>
      </c>
      <c r="DF8" t="s">
        <v>421</v>
      </c>
      <c r="DG8">
        <v>0.21791822811961176</v>
      </c>
      <c r="DH8" t="e">
        <v>#VALUE!</v>
      </c>
      <c r="DI8" t="s">
        <v>421</v>
      </c>
      <c r="DJ8">
        <v>0.19810748010873797</v>
      </c>
      <c r="DK8" t="e">
        <v>#VALUE!</v>
      </c>
      <c r="DL8" t="s">
        <v>421</v>
      </c>
      <c r="DM8">
        <v>0.1733440450951457</v>
      </c>
      <c r="DN8">
        <v>-763000000</v>
      </c>
      <c r="DO8">
        <v>0.24763435013592244</v>
      </c>
      <c r="DP8">
        <v>19660826900</v>
      </c>
      <c r="DQ8">
        <v>432137000</v>
      </c>
      <c r="DR8">
        <v>3476</v>
      </c>
      <c r="DS8">
        <v>-0.36223404154686023</v>
      </c>
      <c r="DT8">
        <v>-0.83455798657411329</v>
      </c>
      <c r="DU8" s="9">
        <v>0</v>
      </c>
      <c r="DV8" t="e">
        <v>#VALUE!</v>
      </c>
      <c r="DW8" t="e">
        <v>#VALUE!</v>
      </c>
      <c r="DX8">
        <v>7.415606936416185</v>
      </c>
      <c r="DY8">
        <v>0.51164765525982414</v>
      </c>
      <c r="DZ8">
        <v>7.1253668578796603</v>
      </c>
      <c r="EA8">
        <v>4141</v>
      </c>
      <c r="EB8">
        <v>7.018525088281045</v>
      </c>
      <c r="EC8">
        <v>7</v>
      </c>
      <c r="ED8">
        <v>0.17354955955601065</v>
      </c>
      <c r="EE8">
        <v>0.57533866592307725</v>
      </c>
      <c r="EF8" s="20">
        <v>1.119</v>
      </c>
      <c r="EG8">
        <v>1.119</v>
      </c>
      <c r="EH8">
        <v>21.301647655259824</v>
      </c>
      <c r="EI8" t="s">
        <v>470</v>
      </c>
      <c r="EJ8">
        <v>1</v>
      </c>
      <c r="EK8">
        <v>0</v>
      </c>
      <c r="EL8" s="21">
        <v>44847</v>
      </c>
      <c r="EM8">
        <v>-6.55</v>
      </c>
      <c r="EN8">
        <v>-1.36</v>
      </c>
      <c r="EO8">
        <v>6.65</v>
      </c>
      <c r="EP8">
        <v>9.0299999999999994</v>
      </c>
      <c r="EQ8">
        <v>0</v>
      </c>
    </row>
    <row r="9" spans="1:147" ht="112.5" x14ac:dyDescent="0.15">
      <c r="B9" s="22"/>
      <c r="C9" s="22"/>
      <c r="D9" s="22" t="s">
        <v>1602</v>
      </c>
      <c r="E9" t="s">
        <v>384</v>
      </c>
      <c r="F9" t="s">
        <v>385</v>
      </c>
      <c r="G9">
        <v>7.67</v>
      </c>
      <c r="H9">
        <v>3.37</v>
      </c>
      <c r="I9" t="s">
        <v>1599</v>
      </c>
      <c r="J9">
        <v>5036635900</v>
      </c>
      <c r="K9">
        <v>25.65</v>
      </c>
      <c r="L9">
        <v>3</v>
      </c>
      <c r="M9" t="s">
        <v>352</v>
      </c>
      <c r="N9" t="s">
        <v>500</v>
      </c>
      <c r="O9" t="s">
        <v>501</v>
      </c>
      <c r="P9" t="s">
        <v>502</v>
      </c>
      <c r="Q9">
        <v>24.16</v>
      </c>
      <c r="R9" t="s">
        <v>386</v>
      </c>
      <c r="S9">
        <v>92864160</v>
      </c>
      <c r="T9" s="3">
        <v>0.68620000000000003</v>
      </c>
      <c r="U9" t="s">
        <v>57</v>
      </c>
      <c r="V9">
        <v>656616550</v>
      </c>
      <c r="W9">
        <v>656667000</v>
      </c>
      <c r="X9">
        <v>2.86</v>
      </c>
      <c r="Y9">
        <v>1.26</v>
      </c>
      <c r="Z9">
        <v>1.64</v>
      </c>
      <c r="AA9" t="s">
        <v>503</v>
      </c>
      <c r="AB9" t="s">
        <v>504</v>
      </c>
      <c r="AC9" t="s">
        <v>505</v>
      </c>
      <c r="AD9" t="s">
        <v>506</v>
      </c>
      <c r="AE9" t="s">
        <v>507</v>
      </c>
      <c r="AF9">
        <v>27080481</v>
      </c>
      <c r="AG9" t="s">
        <v>508</v>
      </c>
      <c r="AH9" t="s">
        <v>509</v>
      </c>
      <c r="AI9" t="s">
        <v>510</v>
      </c>
      <c r="AJ9" t="s">
        <v>511</v>
      </c>
      <c r="AK9" t="s">
        <v>512</v>
      </c>
      <c r="AL9" t="s">
        <v>513</v>
      </c>
      <c r="AM9" t="s">
        <v>514</v>
      </c>
      <c r="AN9" t="s">
        <v>515</v>
      </c>
      <c r="AO9" t="s">
        <v>41</v>
      </c>
      <c r="AP9" t="s">
        <v>516</v>
      </c>
      <c r="AQ9" t="s">
        <v>517</v>
      </c>
      <c r="AR9" t="s">
        <v>30</v>
      </c>
      <c r="AS9" t="s">
        <v>7</v>
      </c>
      <c r="AT9" t="s">
        <v>518</v>
      </c>
      <c r="AU9" t="s">
        <v>49</v>
      </c>
      <c r="AV9" t="s">
        <v>519</v>
      </c>
      <c r="AW9" t="s">
        <v>520</v>
      </c>
      <c r="AX9" t="s">
        <v>521</v>
      </c>
      <c r="AY9" t="s">
        <v>413</v>
      </c>
      <c r="AZ9" t="s">
        <v>414</v>
      </c>
      <c r="BA9" t="s">
        <v>415</v>
      </c>
      <c r="BB9" t="s">
        <v>340</v>
      </c>
      <c r="BC9" t="s">
        <v>416</v>
      </c>
      <c r="BD9" t="s">
        <v>54</v>
      </c>
      <c r="BE9" t="s">
        <v>36</v>
      </c>
      <c r="BF9" t="s">
        <v>39</v>
      </c>
      <c r="BG9" t="s">
        <v>82</v>
      </c>
      <c r="BH9" t="s">
        <v>98</v>
      </c>
      <c r="BI9" t="s">
        <v>522</v>
      </c>
      <c r="BJ9" t="s">
        <v>523</v>
      </c>
      <c r="BK9" t="s">
        <v>339</v>
      </c>
      <c r="BL9" t="s">
        <v>524</v>
      </c>
      <c r="BM9" t="s">
        <v>525</v>
      </c>
      <c r="BN9" t="s">
        <v>417</v>
      </c>
      <c r="BO9">
        <v>2.14</v>
      </c>
      <c r="BP9">
        <v>4.3600000000000003</v>
      </c>
      <c r="BQ9">
        <v>5.84</v>
      </c>
      <c r="BR9">
        <v>6.49</v>
      </c>
      <c r="BS9">
        <v>9.67</v>
      </c>
      <c r="BT9">
        <v>12.33</v>
      </c>
      <c r="BU9">
        <v>13.75</v>
      </c>
      <c r="BV9" t="s">
        <v>499</v>
      </c>
      <c r="BW9">
        <v>4.4800000000000004</v>
      </c>
      <c r="BX9">
        <v>6.73</v>
      </c>
      <c r="BY9">
        <v>8.58</v>
      </c>
      <c r="BZ9">
        <v>1.48</v>
      </c>
      <c r="CA9">
        <v>2.79</v>
      </c>
      <c r="CB9">
        <v>2.97</v>
      </c>
      <c r="CC9">
        <v>9.1</v>
      </c>
      <c r="CD9">
        <v>-7.37</v>
      </c>
      <c r="CE9" t="s">
        <v>1600</v>
      </c>
      <c r="CF9" t="s">
        <v>1601</v>
      </c>
      <c r="CG9" s="18">
        <v>0.24851327077747989</v>
      </c>
      <c r="CH9" s="19">
        <v>0.78923898166686524</v>
      </c>
      <c r="CI9" s="18">
        <v>0.41354990005493164</v>
      </c>
      <c r="CJ9" s="18">
        <v>0.13849464058876038</v>
      </c>
      <c r="CK9" s="18">
        <v>0.36630755662918091</v>
      </c>
      <c r="CL9" s="18">
        <v>0.24664221704006195</v>
      </c>
      <c r="CM9" s="18">
        <v>0.17706237733364105</v>
      </c>
      <c r="CN9" s="19">
        <v>-0.16315789520740509</v>
      </c>
      <c r="CO9" s="19">
        <v>-2.0618556067347527E-2</v>
      </c>
      <c r="CP9" s="19">
        <v>0.71681416034698486</v>
      </c>
      <c r="CQ9" s="19">
        <v>0.10784313827753067</v>
      </c>
      <c r="CR9" s="19">
        <v>-0.34193548560142517</v>
      </c>
      <c r="CS9">
        <v>0.44869807572383075</v>
      </c>
      <c r="CT9">
        <v>51635980.503144652</v>
      </c>
      <c r="CU9">
        <v>5.9099039999999992</v>
      </c>
      <c r="CV9" s="18">
        <v>0.26841133832931519</v>
      </c>
      <c r="CW9" s="19">
        <v>5.9789072349667551E-2</v>
      </c>
      <c r="CX9">
        <v>0.06</v>
      </c>
      <c r="CY9">
        <v>35.354650323766272</v>
      </c>
      <c r="CZ9">
        <v>190261700.74939728</v>
      </c>
      <c r="DA9">
        <v>0.26841133832931519</v>
      </c>
      <c r="DB9">
        <v>9.9653424748168504</v>
      </c>
      <c r="DC9">
        <v>675002983.28920472</v>
      </c>
      <c r="DD9">
        <v>0.25499077141284943</v>
      </c>
      <c r="DE9">
        <v>3.9777569972449758</v>
      </c>
      <c r="DF9">
        <v>1691062552.2521658</v>
      </c>
      <c r="DG9">
        <v>0.23620197772979737</v>
      </c>
      <c r="DH9">
        <v>1.8543562123484545</v>
      </c>
      <c r="DI9">
        <v>3627477749.5317545</v>
      </c>
      <c r="DJ9">
        <v>0.21472907066345215</v>
      </c>
      <c r="DK9">
        <v>0.52001403698312842</v>
      </c>
      <c r="DL9">
        <v>12935489086.072964</v>
      </c>
      <c r="DM9">
        <v>0.18788793683052063</v>
      </c>
      <c r="DN9">
        <v>159000000</v>
      </c>
      <c r="DO9">
        <v>0.26841133832931519</v>
      </c>
      <c r="DP9">
        <v>6726635900</v>
      </c>
      <c r="DQ9">
        <v>678121800</v>
      </c>
      <c r="DR9">
        <v>798</v>
      </c>
      <c r="DS9">
        <v>-1.9898067551835291E-2</v>
      </c>
      <c r="DT9">
        <v>0.72944990931719766</v>
      </c>
      <c r="DU9" s="9">
        <v>0.44</v>
      </c>
      <c r="DV9">
        <v>0.44</v>
      </c>
      <c r="DW9">
        <v>0.88</v>
      </c>
      <c r="DX9">
        <v>5.8098901098901097</v>
      </c>
      <c r="DY9">
        <v>0.68804897959183764</v>
      </c>
      <c r="DZ9">
        <v>5.1361012065485534</v>
      </c>
      <c r="EA9">
        <v>1256</v>
      </c>
      <c r="EB9">
        <v>5.1009204871772873</v>
      </c>
      <c r="EC9">
        <v>5</v>
      </c>
      <c r="ED9">
        <v>6.2698445330738414E-2</v>
      </c>
      <c r="EE9">
        <v>0.37309625731154455</v>
      </c>
      <c r="EF9" s="20">
        <v>2.07131</v>
      </c>
      <c r="EG9">
        <v>2.0376099999999999</v>
      </c>
      <c r="EH9">
        <v>52.168048979591838</v>
      </c>
      <c r="EI9" t="s">
        <v>526</v>
      </c>
      <c r="EJ9">
        <v>1</v>
      </c>
      <c r="EK9">
        <v>1</v>
      </c>
      <c r="EL9" s="21">
        <v>44847</v>
      </c>
      <c r="EM9">
        <v>-1</v>
      </c>
      <c r="EN9">
        <v>-0.86</v>
      </c>
      <c r="EO9">
        <v>3.04</v>
      </c>
      <c r="EP9">
        <v>4.3600000000000003</v>
      </c>
      <c r="EQ9">
        <v>3.37</v>
      </c>
    </row>
  </sheetData>
  <phoneticPr fontId="1" type="noConversion"/>
  <hyperlinks>
    <hyperlink ref="A2" r:id="rId1"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57150</xdr:colOff>
                    <xdr:row>1</xdr:row>
                    <xdr:rowOff>257175</xdr:rowOff>
                  </from>
                  <to>
                    <xdr:col>1</xdr:col>
                    <xdr:colOff>1085850</xdr:colOff>
                    <xdr:row>1</xdr:row>
                    <xdr:rowOff>704850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Q12"/>
  <sheetViews>
    <sheetView topLeftCell="A7" workbookViewId="0">
      <selection activeCell="B12" sqref="B12:EQ12"/>
    </sheetView>
  </sheetViews>
  <sheetFormatPr defaultRowHeight="13.5" x14ac:dyDescent="0.15"/>
  <cols>
    <col min="1" max="1" width="20.5" customWidth="1"/>
    <col min="2" max="2" width="38.75" customWidth="1"/>
    <col min="3" max="3" width="42.25" customWidth="1"/>
    <col min="4" max="4" width="52.5" customWidth="1"/>
    <col min="10" max="10" width="10.5" customWidth="1"/>
  </cols>
  <sheetData>
    <row r="1" spans="1:147" x14ac:dyDescent="0.15">
      <c r="A1" s="12" t="s">
        <v>151</v>
      </c>
      <c r="B1" s="13" t="s">
        <v>8</v>
      </c>
      <c r="C1" s="14" t="s">
        <v>9</v>
      </c>
      <c r="D1" s="13" t="s">
        <v>220</v>
      </c>
      <c r="E1" t="s">
        <v>2</v>
      </c>
      <c r="F1" t="s">
        <v>3</v>
      </c>
      <c r="G1" t="s">
        <v>0</v>
      </c>
      <c r="H1" t="s">
        <v>355</v>
      </c>
      <c r="I1" t="s">
        <v>375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356</v>
      </c>
      <c r="AD1" t="s">
        <v>25</v>
      </c>
      <c r="AE1" t="s">
        <v>26</v>
      </c>
      <c r="AF1" t="s">
        <v>27</v>
      </c>
      <c r="AG1" t="s">
        <v>28</v>
      </c>
      <c r="AH1" t="s">
        <v>357</v>
      </c>
      <c r="AI1" t="s">
        <v>376</v>
      </c>
      <c r="AJ1" t="s">
        <v>358</v>
      </c>
      <c r="AK1" t="s">
        <v>29</v>
      </c>
      <c r="AL1" t="s">
        <v>359</v>
      </c>
      <c r="AM1" t="s">
        <v>152</v>
      </c>
      <c r="AN1" t="s">
        <v>360</v>
      </c>
      <c r="AO1" t="s">
        <v>361</v>
      </c>
      <c r="AP1" t="s">
        <v>362</v>
      </c>
      <c r="AQ1" t="s">
        <v>363</v>
      </c>
      <c r="AR1" t="s">
        <v>364</v>
      </c>
      <c r="AS1" t="s">
        <v>365</v>
      </c>
      <c r="AT1" t="s">
        <v>366</v>
      </c>
      <c r="AU1" t="s">
        <v>367</v>
      </c>
      <c r="AV1" t="s">
        <v>368</v>
      </c>
      <c r="AW1" t="s">
        <v>369</v>
      </c>
      <c r="AX1" t="s">
        <v>370</v>
      </c>
      <c r="AY1" t="s">
        <v>153</v>
      </c>
      <c r="AZ1" t="s">
        <v>154</v>
      </c>
      <c r="BA1" t="s">
        <v>155</v>
      </c>
      <c r="BB1" t="s">
        <v>156</v>
      </c>
      <c r="BC1" t="s">
        <v>157</v>
      </c>
      <c r="BD1" t="s">
        <v>158</v>
      </c>
      <c r="BE1" t="s">
        <v>159</v>
      </c>
      <c r="BF1" t="s">
        <v>160</v>
      </c>
      <c r="BG1" t="s">
        <v>161</v>
      </c>
      <c r="BH1" t="s">
        <v>162</v>
      </c>
      <c r="BI1" t="s">
        <v>346</v>
      </c>
      <c r="BJ1" t="s">
        <v>347</v>
      </c>
      <c r="BK1" t="s">
        <v>348</v>
      </c>
      <c r="BL1" t="s">
        <v>349</v>
      </c>
      <c r="BM1" t="s">
        <v>350</v>
      </c>
      <c r="BN1" t="s">
        <v>351</v>
      </c>
      <c r="BO1" t="s">
        <v>371</v>
      </c>
      <c r="BP1" t="s">
        <v>163</v>
      </c>
      <c r="BQ1" t="s">
        <v>164</v>
      </c>
      <c r="BR1" t="s">
        <v>165</v>
      </c>
      <c r="BS1" t="s">
        <v>372</v>
      </c>
      <c r="BT1" t="s">
        <v>166</v>
      </c>
      <c r="BU1" t="s">
        <v>167</v>
      </c>
      <c r="BV1" t="s">
        <v>168</v>
      </c>
      <c r="BW1" t="s">
        <v>169</v>
      </c>
      <c r="BX1" t="s">
        <v>169</v>
      </c>
      <c r="BY1" t="s">
        <v>170</v>
      </c>
      <c r="BZ1" t="s">
        <v>171</v>
      </c>
      <c r="CA1" t="s">
        <v>171</v>
      </c>
      <c r="CB1" t="s">
        <v>172</v>
      </c>
      <c r="CC1" t="s">
        <v>377</v>
      </c>
      <c r="CD1" t="s">
        <v>378</v>
      </c>
      <c r="CE1" t="s">
        <v>379</v>
      </c>
      <c r="CF1" t="s">
        <v>380</v>
      </c>
      <c r="CG1" t="s">
        <v>193</v>
      </c>
      <c r="CH1" t="s">
        <v>194</v>
      </c>
      <c r="CI1" t="s">
        <v>195</v>
      </c>
      <c r="CJ1" t="s">
        <v>196</v>
      </c>
      <c r="CK1" t="s">
        <v>197</v>
      </c>
      <c r="CL1" t="s">
        <v>198</v>
      </c>
      <c r="CM1" t="s">
        <v>199</v>
      </c>
      <c r="CN1" t="s">
        <v>200</v>
      </c>
      <c r="CO1" t="s">
        <v>201</v>
      </c>
      <c r="CP1" t="s">
        <v>202</v>
      </c>
      <c r="CQ1" t="s">
        <v>203</v>
      </c>
      <c r="CR1" t="s">
        <v>204</v>
      </c>
      <c r="CS1" t="s">
        <v>221</v>
      </c>
      <c r="CT1" t="s">
        <v>205</v>
      </c>
      <c r="CU1" t="s">
        <v>206</v>
      </c>
      <c r="CV1" t="s">
        <v>139</v>
      </c>
      <c r="CW1">
        <v>1</v>
      </c>
      <c r="CX1" t="s">
        <v>207</v>
      </c>
      <c r="CY1" t="s">
        <v>222</v>
      </c>
      <c r="CZ1">
        <v>3</v>
      </c>
      <c r="DA1" t="s">
        <v>223</v>
      </c>
      <c r="DB1" t="s">
        <v>224</v>
      </c>
      <c r="DC1">
        <v>6</v>
      </c>
      <c r="DD1" t="s">
        <v>208</v>
      </c>
      <c r="DE1" t="s">
        <v>209</v>
      </c>
      <c r="DF1">
        <v>10</v>
      </c>
      <c r="DG1" t="s">
        <v>210</v>
      </c>
      <c r="DH1" t="s">
        <v>211</v>
      </c>
      <c r="DI1">
        <v>20</v>
      </c>
      <c r="DJ1" t="s">
        <v>225</v>
      </c>
      <c r="DK1" t="s">
        <v>212</v>
      </c>
      <c r="DL1" t="s">
        <v>213</v>
      </c>
      <c r="DM1" s="1" t="s">
        <v>214</v>
      </c>
      <c r="DN1" t="s">
        <v>226</v>
      </c>
      <c r="DO1" t="s">
        <v>215</v>
      </c>
      <c r="DP1" t="s">
        <v>227</v>
      </c>
      <c r="DQ1" t="s">
        <v>228</v>
      </c>
      <c r="DR1" t="s">
        <v>229</v>
      </c>
      <c r="DS1" t="s">
        <v>230</v>
      </c>
      <c r="DT1" t="s">
        <v>216</v>
      </c>
      <c r="DU1" t="s">
        <v>217</v>
      </c>
      <c r="DV1" t="s">
        <v>231</v>
      </c>
      <c r="DW1" t="s">
        <v>232</v>
      </c>
      <c r="DX1" t="s">
        <v>233</v>
      </c>
      <c r="DY1" t="s">
        <v>234</v>
      </c>
      <c r="DZ1" t="s">
        <v>218</v>
      </c>
      <c r="EA1" t="s">
        <v>219</v>
      </c>
    </row>
    <row r="2" spans="1:147" ht="53.65" customHeight="1" x14ac:dyDescent="0.15">
      <c r="A2" s="17" t="s">
        <v>445</v>
      </c>
      <c r="B2" s="15"/>
      <c r="C2" s="16">
        <v>3</v>
      </c>
      <c r="D2" s="16">
        <v>12</v>
      </c>
      <c r="T2" s="3"/>
    </row>
    <row r="3" spans="1:147" ht="135" x14ac:dyDescent="0.15">
      <c r="A3" s="2"/>
      <c r="B3" s="2"/>
      <c r="C3" s="2"/>
      <c r="D3" s="2" t="s">
        <v>1570</v>
      </c>
      <c r="E3" t="s">
        <v>1031</v>
      </c>
      <c r="F3" t="s">
        <v>1032</v>
      </c>
      <c r="G3">
        <v>23.13</v>
      </c>
      <c r="H3">
        <v>-4.38</v>
      </c>
      <c r="I3" t="s">
        <v>1036</v>
      </c>
      <c r="J3">
        <v>78941525000</v>
      </c>
      <c r="K3">
        <v>45.22</v>
      </c>
      <c r="L3">
        <v>2.81</v>
      </c>
      <c r="M3" t="s">
        <v>97</v>
      </c>
      <c r="N3" t="s">
        <v>1037</v>
      </c>
      <c r="O3" t="s">
        <v>1038</v>
      </c>
      <c r="P3" t="s">
        <v>1039</v>
      </c>
      <c r="Q3">
        <v>-16.68</v>
      </c>
      <c r="R3" t="s">
        <v>1040</v>
      </c>
      <c r="S3">
        <v>1824085400</v>
      </c>
      <c r="T3">
        <v>6.2859999999999996</v>
      </c>
      <c r="U3" t="s">
        <v>1041</v>
      </c>
      <c r="V3">
        <v>3412949700</v>
      </c>
      <c r="W3">
        <v>3412949700</v>
      </c>
      <c r="X3">
        <v>1.66</v>
      </c>
      <c r="Y3">
        <v>0.43</v>
      </c>
      <c r="Z3">
        <v>9.26</v>
      </c>
      <c r="AA3" t="s">
        <v>1042</v>
      </c>
      <c r="AB3" t="s">
        <v>1043</v>
      </c>
      <c r="AC3" t="s">
        <v>1044</v>
      </c>
      <c r="AD3" t="s">
        <v>939</v>
      </c>
      <c r="AE3" t="s">
        <v>1045</v>
      </c>
      <c r="AF3">
        <v>2143828</v>
      </c>
      <c r="AG3" t="s">
        <v>1046</v>
      </c>
      <c r="AH3" t="s">
        <v>1047</v>
      </c>
      <c r="AI3" t="s">
        <v>1048</v>
      </c>
      <c r="AJ3" t="s">
        <v>1049</v>
      </c>
      <c r="AK3" t="s">
        <v>1050</v>
      </c>
      <c r="AL3" t="s">
        <v>1051</v>
      </c>
      <c r="AM3" t="s">
        <v>1052</v>
      </c>
      <c r="AN3" t="s">
        <v>1053</v>
      </c>
      <c r="AO3" t="s">
        <v>1054</v>
      </c>
      <c r="AP3" t="s">
        <v>1055</v>
      </c>
      <c r="AQ3" t="s">
        <v>1056</v>
      </c>
      <c r="AR3" t="s">
        <v>1057</v>
      </c>
      <c r="AS3" t="s">
        <v>1058</v>
      </c>
      <c r="AT3" t="s">
        <v>1059</v>
      </c>
      <c r="AU3" t="s">
        <v>1060</v>
      </c>
      <c r="AV3" t="s">
        <v>1061</v>
      </c>
      <c r="AW3" t="s">
        <v>1062</v>
      </c>
      <c r="AX3" t="s">
        <v>1063</v>
      </c>
      <c r="AY3" t="s">
        <v>1064</v>
      </c>
      <c r="AZ3" t="s">
        <v>1065</v>
      </c>
      <c r="BA3" t="s">
        <v>1066</v>
      </c>
      <c r="BB3" t="s">
        <v>1067</v>
      </c>
      <c r="BC3" t="s">
        <v>1068</v>
      </c>
      <c r="BD3" t="s">
        <v>1069</v>
      </c>
      <c r="BE3" t="s">
        <v>1070</v>
      </c>
      <c r="BF3" t="s">
        <v>1071</v>
      </c>
      <c r="BG3" t="s">
        <v>1072</v>
      </c>
      <c r="BH3" t="s">
        <v>1073</v>
      </c>
      <c r="BI3" t="s">
        <v>1074</v>
      </c>
      <c r="BJ3" t="s">
        <v>1075</v>
      </c>
      <c r="BK3" t="s">
        <v>1076</v>
      </c>
      <c r="BL3" t="s">
        <v>1077</v>
      </c>
      <c r="BM3" t="s">
        <v>50</v>
      </c>
      <c r="BN3" t="s">
        <v>1078</v>
      </c>
      <c r="BO3">
        <v>2.66</v>
      </c>
      <c r="BP3">
        <v>0.45</v>
      </c>
      <c r="BQ3">
        <v>6.33</v>
      </c>
      <c r="BR3">
        <v>6.72</v>
      </c>
      <c r="BS3">
        <v>0.73</v>
      </c>
      <c r="BT3">
        <v>10.14</v>
      </c>
      <c r="BU3">
        <v>9.6999999999999993</v>
      </c>
      <c r="BV3" t="s">
        <v>713</v>
      </c>
      <c r="BW3">
        <v>22.91</v>
      </c>
      <c r="BX3">
        <v>13.9</v>
      </c>
      <c r="BY3">
        <v>12.83</v>
      </c>
      <c r="BZ3">
        <v>11.41</v>
      </c>
      <c r="CA3">
        <v>5.63</v>
      </c>
      <c r="CB3">
        <v>5.08</v>
      </c>
      <c r="CC3">
        <v>-9.65</v>
      </c>
      <c r="CD3">
        <v>3.26</v>
      </c>
      <c r="CE3" t="s">
        <v>58</v>
      </c>
      <c r="CF3" t="s">
        <v>715</v>
      </c>
      <c r="CG3">
        <v>-0.19379094181163767</v>
      </c>
      <c r="CH3">
        <v>4.3118254098360644</v>
      </c>
      <c r="CI3">
        <v>9.6977338194847107E-2</v>
      </c>
      <c r="CJ3">
        <v>8.6491778492927551E-2</v>
      </c>
      <c r="CK3">
        <v>0.14172860980033875</v>
      </c>
      <c r="CL3">
        <v>0.25273266434669495</v>
      </c>
      <c r="CM3">
        <v>0.28292584419250488</v>
      </c>
      <c r="CN3">
        <v>-0.92439562082290649</v>
      </c>
      <c r="CO3">
        <v>0.1554088294506073</v>
      </c>
      <c r="CP3">
        <v>-7.2101756930351257E-2</v>
      </c>
      <c r="CQ3">
        <v>0.19012904167175293</v>
      </c>
      <c r="CR3">
        <v>0.12279593199491501</v>
      </c>
      <c r="CS3">
        <v>1.7100605463249789</v>
      </c>
      <c r="CT3">
        <v>1043089127.9069767</v>
      </c>
      <c r="CU3">
        <v>6.609788</v>
      </c>
      <c r="CV3">
        <v>0.17217124700546266</v>
      </c>
      <c r="CW3">
        <v>-0.1056327149271965</v>
      </c>
      <c r="CX3">
        <v>0.06</v>
      </c>
      <c r="CY3">
        <v>362.70256212222415</v>
      </c>
      <c r="CZ3">
        <v>190201372.15560335</v>
      </c>
      <c r="DA3">
        <v>0.17217124700546266</v>
      </c>
      <c r="DB3">
        <v>110.63427619220711</v>
      </c>
      <c r="DC3">
        <v>623554718.97469056</v>
      </c>
      <c r="DD3">
        <v>0.16356268465518953</v>
      </c>
      <c r="DE3">
        <v>49.531741357546075</v>
      </c>
      <c r="DF3">
        <v>1392774069.9043689</v>
      </c>
      <c r="DG3">
        <v>0.15151069736480713</v>
      </c>
      <c r="DH3">
        <v>26.622713869551195</v>
      </c>
      <c r="DI3">
        <v>2591265689.0663934</v>
      </c>
      <c r="DJ3">
        <v>0.13773699760437014</v>
      </c>
      <c r="DK3">
        <v>10.640890055153646</v>
      </c>
      <c r="DL3">
        <v>6483153631.1746893</v>
      </c>
      <c r="DM3">
        <v>0.12051987290382385</v>
      </c>
      <c r="DN3">
        <v>172000000</v>
      </c>
      <c r="DO3">
        <v>0.17217124700546266</v>
      </c>
      <c r="DP3">
        <v>68986525000</v>
      </c>
      <c r="DQ3">
        <v>16570055000</v>
      </c>
      <c r="DR3">
        <v>3104</v>
      </c>
      <c r="DS3">
        <v>-0.3659621888171003</v>
      </c>
      <c r="DT3">
        <v>4.4174581247632609</v>
      </c>
      <c r="DU3">
        <v>-3.3333333333333726E-3</v>
      </c>
      <c r="DV3">
        <v>0.53333333333333333</v>
      </c>
      <c r="DW3">
        <v>0.52999999999999992</v>
      </c>
      <c r="DX3">
        <v>-5.3378238341968913</v>
      </c>
      <c r="DY3">
        <v>0.51502476204645975</v>
      </c>
      <c r="DZ3">
        <v>-5.0388581061421194</v>
      </c>
      <c r="EA3">
        <v>2402</v>
      </c>
      <c r="EB3">
        <v>-5.0195576158705375</v>
      </c>
      <c r="EC3">
        <v>5</v>
      </c>
      <c r="ED3">
        <v>6.1237351373798446E-2</v>
      </c>
      <c r="EE3">
        <v>0.53238405476646788</v>
      </c>
      <c r="EF3">
        <v>1.0839000000000001</v>
      </c>
      <c r="EG3">
        <v>1.0401</v>
      </c>
      <c r="EH3">
        <v>40.11502476204646</v>
      </c>
      <c r="EI3" t="s">
        <v>470</v>
      </c>
      <c r="EJ3">
        <v>0</v>
      </c>
      <c r="EK3">
        <v>0</v>
      </c>
      <c r="EL3">
        <v>44819</v>
      </c>
      <c r="EM3">
        <v>-1.61</v>
      </c>
      <c r="EN3">
        <v>0</v>
      </c>
      <c r="EO3">
        <v>1.64</v>
      </c>
      <c r="EP3">
        <v>-2.34</v>
      </c>
      <c r="EQ3">
        <v>-1.75</v>
      </c>
    </row>
    <row r="4" spans="1:147" ht="157.5" x14ac:dyDescent="0.15">
      <c r="A4" s="2"/>
      <c r="B4" s="2"/>
      <c r="C4" s="2"/>
      <c r="D4" s="2" t="s">
        <v>1571</v>
      </c>
      <c r="E4" t="s">
        <v>1033</v>
      </c>
      <c r="F4" t="s">
        <v>1034</v>
      </c>
      <c r="G4">
        <v>17.53</v>
      </c>
      <c r="H4">
        <v>-6.11</v>
      </c>
      <c r="I4" t="s">
        <v>1080</v>
      </c>
      <c r="J4">
        <v>41409557000</v>
      </c>
      <c r="K4">
        <v>25.48</v>
      </c>
      <c r="L4">
        <v>1.98</v>
      </c>
      <c r="M4" t="s">
        <v>97</v>
      </c>
      <c r="N4" t="s">
        <v>1081</v>
      </c>
      <c r="O4" t="s">
        <v>1082</v>
      </c>
      <c r="P4" t="s">
        <v>1083</v>
      </c>
      <c r="Q4">
        <v>22.42</v>
      </c>
      <c r="R4" t="s">
        <v>1084</v>
      </c>
      <c r="S4">
        <v>860106680</v>
      </c>
      <c r="T4">
        <v>0.28170000000000001</v>
      </c>
      <c r="U4" t="s">
        <v>1085</v>
      </c>
      <c r="V4">
        <v>2362210900</v>
      </c>
      <c r="W4">
        <v>2362210900</v>
      </c>
      <c r="X4">
        <v>2.25</v>
      </c>
      <c r="Y4">
        <v>0.41</v>
      </c>
      <c r="Z4">
        <v>4.1900000000000004</v>
      </c>
      <c r="AA4" t="s">
        <v>1086</v>
      </c>
      <c r="AB4" t="s">
        <v>1087</v>
      </c>
      <c r="AC4" t="s">
        <v>1088</v>
      </c>
      <c r="AD4" t="s">
        <v>1089</v>
      </c>
      <c r="AE4" t="s">
        <v>1090</v>
      </c>
      <c r="AF4">
        <v>221114020</v>
      </c>
      <c r="AG4" t="s">
        <v>1091</v>
      </c>
      <c r="AH4" t="s">
        <v>1092</v>
      </c>
      <c r="AI4" t="s">
        <v>1093</v>
      </c>
      <c r="AJ4" t="s">
        <v>1094</v>
      </c>
      <c r="AK4" t="s">
        <v>1095</v>
      </c>
      <c r="AL4" t="s">
        <v>1096</v>
      </c>
      <c r="AM4" t="s">
        <v>1097</v>
      </c>
      <c r="AN4" t="s">
        <v>1098</v>
      </c>
      <c r="AO4" t="s">
        <v>1099</v>
      </c>
      <c r="AP4" t="s">
        <v>1100</v>
      </c>
      <c r="AQ4" t="s">
        <v>1101</v>
      </c>
      <c r="AR4" t="s">
        <v>1102</v>
      </c>
      <c r="AS4" t="s">
        <v>7</v>
      </c>
      <c r="AT4" t="s">
        <v>1103</v>
      </c>
      <c r="AU4" t="s">
        <v>1104</v>
      </c>
      <c r="AV4" t="s">
        <v>1105</v>
      </c>
      <c r="AW4" t="s">
        <v>1106</v>
      </c>
      <c r="AX4" t="s">
        <v>1107</v>
      </c>
      <c r="AY4" t="s">
        <v>1108</v>
      </c>
      <c r="AZ4" t="s">
        <v>1109</v>
      </c>
      <c r="BA4" t="s">
        <v>1110</v>
      </c>
      <c r="BB4" t="s">
        <v>1111</v>
      </c>
      <c r="BC4" t="s">
        <v>1112</v>
      </c>
      <c r="BD4" t="s">
        <v>1113</v>
      </c>
      <c r="BE4" t="s">
        <v>1114</v>
      </c>
      <c r="BF4" t="s">
        <v>1115</v>
      </c>
      <c r="BG4" t="s">
        <v>1116</v>
      </c>
      <c r="BH4" t="s">
        <v>1117</v>
      </c>
      <c r="BI4" t="s">
        <v>1118</v>
      </c>
      <c r="BJ4" t="s">
        <v>1119</v>
      </c>
      <c r="BK4" t="s">
        <v>1120</v>
      </c>
      <c r="BL4" t="s">
        <v>1121</v>
      </c>
      <c r="BM4" t="s">
        <v>1122</v>
      </c>
      <c r="BN4" t="s">
        <v>1123</v>
      </c>
      <c r="BO4">
        <v>0.83</v>
      </c>
      <c r="BP4">
        <v>3.59</v>
      </c>
      <c r="BQ4">
        <v>2.96</v>
      </c>
      <c r="BR4">
        <v>4.43</v>
      </c>
      <c r="BS4">
        <v>7.02</v>
      </c>
      <c r="BT4">
        <v>7.36</v>
      </c>
      <c r="BU4">
        <v>10.34</v>
      </c>
      <c r="BV4" t="s">
        <v>713</v>
      </c>
      <c r="BW4">
        <v>14.95</v>
      </c>
      <c r="BX4">
        <v>16.399999999999999</v>
      </c>
      <c r="BY4">
        <v>17.96</v>
      </c>
      <c r="BZ4">
        <v>3.73</v>
      </c>
      <c r="CA4">
        <v>3.58</v>
      </c>
      <c r="CB4">
        <v>4.4800000000000004</v>
      </c>
      <c r="CC4">
        <v>-10.65</v>
      </c>
      <c r="CD4">
        <v>11.87</v>
      </c>
      <c r="CE4" t="s">
        <v>1124</v>
      </c>
      <c r="CF4" t="s">
        <v>1125</v>
      </c>
      <c r="CG4">
        <v>0.15076829378327167</v>
      </c>
      <c r="CH4">
        <v>0.26807538083538085</v>
      </c>
      <c r="CI4">
        <v>0.2744256854057312</v>
      </c>
      <c r="CJ4">
        <v>8.4164708852767944E-2</v>
      </c>
      <c r="CK4">
        <v>-4.1673504747450352E-3</v>
      </c>
      <c r="CL4">
        <v>0.22149376571178436</v>
      </c>
      <c r="CM4">
        <v>0.27226570248603821</v>
      </c>
      <c r="CN4">
        <v>0.35216572880744934</v>
      </c>
      <c r="CO4">
        <v>-0.22026431560516357</v>
      </c>
      <c r="CP4">
        <v>-0.4620853066444397</v>
      </c>
      <c r="CQ4">
        <v>0.20285038650035858</v>
      </c>
      <c r="CR4">
        <v>0.59954404830932617</v>
      </c>
      <c r="CS4">
        <v>1.0033572484311017</v>
      </c>
      <c r="CT4">
        <v>61657104.456824511</v>
      </c>
      <c r="CU4">
        <v>3.8652750000000005</v>
      </c>
      <c r="CV4">
        <v>0.16963650239631534</v>
      </c>
      <c r="CW4">
        <v>9.4442108273506159E-2</v>
      </c>
      <c r="CX4">
        <v>0.06</v>
      </c>
      <c r="CY4">
        <v>30.045290537364789</v>
      </c>
      <c r="CZ4">
        <v>1584526431.5482156</v>
      </c>
      <c r="DA4">
        <v>0.16963650239631534</v>
      </c>
      <c r="DB4">
        <v>9.1839595887609295</v>
      </c>
      <c r="DC4">
        <v>5183772482.8690214</v>
      </c>
      <c r="DD4">
        <v>0.16115467727649957</v>
      </c>
      <c r="DE4">
        <v>4.1239812919107024</v>
      </c>
      <c r="DF4">
        <v>11544076859.267881</v>
      </c>
      <c r="DG4">
        <v>0.14928012210875749</v>
      </c>
      <c r="DH4">
        <v>2.2245492438930374</v>
      </c>
      <c r="DI4">
        <v>21400990394.209095</v>
      </c>
      <c r="DJ4">
        <v>0.13570920191705227</v>
      </c>
      <c r="DK4">
        <v>0.89684671450324061</v>
      </c>
      <c r="DL4">
        <v>53083270786.54641</v>
      </c>
      <c r="DM4">
        <v>0.11874555167742072</v>
      </c>
      <c r="DN4">
        <v>1436000000</v>
      </c>
      <c r="DO4">
        <v>0.16963650239631534</v>
      </c>
      <c r="DP4">
        <v>47607557000</v>
      </c>
      <c r="DQ4">
        <v>12218951000</v>
      </c>
      <c r="DR4">
        <v>3073</v>
      </c>
      <c r="DS4">
        <v>-1.8868208613043669E-2</v>
      </c>
      <c r="DT4">
        <v>0.17363327256187469</v>
      </c>
      <c r="DU4">
        <v>0.60333333333333328</v>
      </c>
      <c r="DV4">
        <v>0.44</v>
      </c>
      <c r="DW4">
        <v>1.0433333333333332</v>
      </c>
      <c r="DX4">
        <v>-7.4729129662522205</v>
      </c>
      <c r="DY4">
        <v>0.52182448036951856</v>
      </c>
      <c r="DZ4">
        <v>-7.0576123763736831</v>
      </c>
      <c r="EA4">
        <v>1296</v>
      </c>
      <c r="EB4">
        <v>-7.0421728313405376</v>
      </c>
      <c r="EC4">
        <v>7</v>
      </c>
      <c r="ED4">
        <v>8.9323099812976051E-2</v>
      </c>
      <c r="EE4">
        <v>0.73321141647428689</v>
      </c>
      <c r="EF4">
        <v>6.0001100000000003</v>
      </c>
      <c r="EG4">
        <v>6.06121</v>
      </c>
      <c r="EH4">
        <v>40.121824480369519</v>
      </c>
      <c r="EI4" t="s">
        <v>1126</v>
      </c>
      <c r="EJ4">
        <v>0</v>
      </c>
      <c r="EK4">
        <v>1</v>
      </c>
      <c r="EL4">
        <v>44819</v>
      </c>
      <c r="EM4">
        <v>-1.5</v>
      </c>
      <c r="EN4">
        <v>-5.0199999999999996</v>
      </c>
      <c r="EO4">
        <v>3.27</v>
      </c>
      <c r="EP4">
        <v>-1.95</v>
      </c>
      <c r="EQ4">
        <v>-4.29</v>
      </c>
    </row>
    <row r="5" spans="1:147" ht="112.5" x14ac:dyDescent="0.15">
      <c r="A5" s="2"/>
      <c r="B5" s="2"/>
      <c r="C5" s="2"/>
      <c r="D5" s="2" t="s">
        <v>1572</v>
      </c>
      <c r="E5" t="s">
        <v>1127</v>
      </c>
      <c r="F5" t="s">
        <v>1128</v>
      </c>
      <c r="G5">
        <v>40.68</v>
      </c>
      <c r="H5">
        <v>-5.72</v>
      </c>
      <c r="I5" t="s">
        <v>1145</v>
      </c>
      <c r="J5">
        <v>30831580000</v>
      </c>
      <c r="K5">
        <v>40.85</v>
      </c>
      <c r="L5">
        <v>3.26</v>
      </c>
      <c r="M5" t="s">
        <v>97</v>
      </c>
      <c r="N5" t="s">
        <v>1146</v>
      </c>
      <c r="O5" t="s">
        <v>1147</v>
      </c>
      <c r="P5" t="s">
        <v>1148</v>
      </c>
      <c r="Q5">
        <v>46.87</v>
      </c>
      <c r="R5" t="s">
        <v>1149</v>
      </c>
      <c r="S5">
        <v>525393240</v>
      </c>
      <c r="T5">
        <v>9.6500000000000002E-2</v>
      </c>
      <c r="U5" t="s">
        <v>889</v>
      </c>
      <c r="V5">
        <v>406338310</v>
      </c>
      <c r="W5">
        <v>757905110</v>
      </c>
      <c r="X5">
        <v>2.14</v>
      </c>
      <c r="Y5">
        <v>0.28999999999999998</v>
      </c>
      <c r="Z5">
        <v>8.1</v>
      </c>
      <c r="AA5" t="s">
        <v>1150</v>
      </c>
      <c r="AB5" t="s">
        <v>1151</v>
      </c>
      <c r="AC5" t="s">
        <v>1041</v>
      </c>
      <c r="AD5" t="s">
        <v>649</v>
      </c>
      <c r="AE5" t="s">
        <v>1152</v>
      </c>
      <c r="AF5">
        <v>36027573</v>
      </c>
      <c r="AG5" t="s">
        <v>1153</v>
      </c>
      <c r="AH5" t="s">
        <v>1154</v>
      </c>
      <c r="AI5" t="s">
        <v>1155</v>
      </c>
      <c r="AJ5" t="s">
        <v>1156</v>
      </c>
      <c r="AK5" t="s">
        <v>1157</v>
      </c>
      <c r="AL5" t="s">
        <v>1158</v>
      </c>
      <c r="AM5" t="s">
        <v>1159</v>
      </c>
      <c r="AN5" t="s">
        <v>1160</v>
      </c>
      <c r="AO5" t="s">
        <v>1161</v>
      </c>
      <c r="AP5" t="s">
        <v>1162</v>
      </c>
      <c r="AQ5" t="s">
        <v>1163</v>
      </c>
      <c r="AR5" t="s">
        <v>1164</v>
      </c>
      <c r="AS5" t="s">
        <v>7</v>
      </c>
      <c r="AT5" t="s">
        <v>1165</v>
      </c>
      <c r="AU5" t="s">
        <v>1166</v>
      </c>
      <c r="AV5" t="s">
        <v>77</v>
      </c>
      <c r="AW5" t="s">
        <v>1167</v>
      </c>
      <c r="AX5" t="s">
        <v>1168</v>
      </c>
      <c r="AY5" t="s">
        <v>1169</v>
      </c>
      <c r="AZ5" t="s">
        <v>1170</v>
      </c>
      <c r="BA5" t="s">
        <v>1171</v>
      </c>
      <c r="BB5" t="s">
        <v>1172</v>
      </c>
      <c r="BC5" t="s">
        <v>1173</v>
      </c>
      <c r="BD5" t="s">
        <v>1174</v>
      </c>
      <c r="BE5" t="s">
        <v>1175</v>
      </c>
      <c r="BF5" t="s">
        <v>1176</v>
      </c>
      <c r="BG5" t="s">
        <v>1177</v>
      </c>
      <c r="BH5" t="s">
        <v>1178</v>
      </c>
      <c r="BI5" t="s">
        <v>1179</v>
      </c>
      <c r="BJ5" t="s">
        <v>1180</v>
      </c>
      <c r="BK5" t="s">
        <v>1181</v>
      </c>
      <c r="BL5" t="s">
        <v>1182</v>
      </c>
      <c r="BM5" t="s">
        <v>1183</v>
      </c>
      <c r="BN5" t="s">
        <v>1184</v>
      </c>
      <c r="BO5">
        <v>1.23</v>
      </c>
      <c r="BP5">
        <v>5.12</v>
      </c>
      <c r="BQ5">
        <v>4.78</v>
      </c>
      <c r="BR5">
        <v>7.78</v>
      </c>
      <c r="BS5">
        <v>7.52</v>
      </c>
      <c r="BT5">
        <v>6.13</v>
      </c>
      <c r="BU5">
        <v>9.4600000000000009</v>
      </c>
      <c r="BV5" t="s">
        <v>713</v>
      </c>
      <c r="BW5">
        <v>20.43</v>
      </c>
      <c r="BX5">
        <v>21.74</v>
      </c>
      <c r="BY5">
        <v>23.6</v>
      </c>
      <c r="BZ5">
        <v>7.06</v>
      </c>
      <c r="CA5">
        <v>6.62</v>
      </c>
      <c r="CB5">
        <v>10.09</v>
      </c>
      <c r="CC5">
        <v>-11.37</v>
      </c>
      <c r="CD5">
        <v>20.25</v>
      </c>
      <c r="CE5" t="s">
        <v>1185</v>
      </c>
      <c r="CF5" t="s">
        <v>1186</v>
      </c>
      <c r="CG5">
        <v>0.39728483606557374</v>
      </c>
      <c r="CH5">
        <v>-0.18539117633863905</v>
      </c>
      <c r="CI5">
        <v>0.15981511771678925</v>
      </c>
      <c r="CJ5">
        <v>5.8308687061071396E-2</v>
      </c>
      <c r="CK5">
        <v>-0.31610915064811707</v>
      </c>
      <c r="CL5">
        <v>9.589039534330368E-2</v>
      </c>
      <c r="CM5">
        <v>0.27801752090454102</v>
      </c>
      <c r="CN5">
        <v>0.30330881476402283</v>
      </c>
      <c r="CO5">
        <v>-0.32084894180297852</v>
      </c>
      <c r="CP5">
        <v>-0.46205505728721619</v>
      </c>
      <c r="CQ5">
        <v>0.17429016530513763</v>
      </c>
      <c r="CR5">
        <v>0.76847976446151733</v>
      </c>
      <c r="CS5">
        <v>3.2331774328859062</v>
      </c>
      <c r="CT5">
        <v>65343977.43300423</v>
      </c>
      <c r="CU5">
        <v>5.0268600000000001</v>
      </c>
      <c r="CV5">
        <v>5.5184514075517652E-2</v>
      </c>
      <c r="CW5">
        <v>9.2634949088096621E-2</v>
      </c>
      <c r="CX5">
        <v>0.06</v>
      </c>
      <c r="CY5">
        <v>45.979798930012549</v>
      </c>
      <c r="CZ5">
        <v>705779075.92409611</v>
      </c>
      <c r="DA5">
        <v>5.5184514075517652E-2</v>
      </c>
      <c r="DB5">
        <v>15.477117922321955</v>
      </c>
      <c r="DC5">
        <v>2096745670.7942076</v>
      </c>
      <c r="DD5">
        <v>5.242528837174177E-2</v>
      </c>
      <c r="DE5">
        <v>7.9223569708957315</v>
      </c>
      <c r="DF5">
        <v>4096202698.1638145</v>
      </c>
      <c r="DG5">
        <v>4.8562372386455534E-2</v>
      </c>
      <c r="DH5">
        <v>4.9679218749168053</v>
      </c>
      <c r="DI5">
        <v>6532224301.6439238</v>
      </c>
      <c r="DJ5">
        <v>4.4147611260414124E-2</v>
      </c>
      <c r="DK5">
        <v>2.8147828533829959</v>
      </c>
      <c r="DL5">
        <v>11528981697.823511</v>
      </c>
      <c r="DM5">
        <v>3.8629159852862353E-2</v>
      </c>
      <c r="DN5">
        <v>709000000</v>
      </c>
      <c r="DO5">
        <v>5.5184514075517652E-2</v>
      </c>
      <c r="DP5">
        <v>32451580000</v>
      </c>
      <c r="DQ5">
        <v>6181787000</v>
      </c>
      <c r="DR5">
        <v>3659</v>
      </c>
      <c r="DS5">
        <v>0.34210032199005608</v>
      </c>
      <c r="DT5">
        <v>-0.27802612542673566</v>
      </c>
      <c r="DU5">
        <v>0.57333333333333336</v>
      </c>
      <c r="DV5">
        <v>0.19999999999999996</v>
      </c>
      <c r="DW5">
        <v>0.77333333333333332</v>
      </c>
      <c r="DX5">
        <v>-7.359582542694497</v>
      </c>
      <c r="DY5">
        <v>0.4049239495798318</v>
      </c>
      <c r="DZ5">
        <v>-7.0557079477141897</v>
      </c>
      <c r="EA5">
        <v>1917</v>
      </c>
      <c r="EB5">
        <v>-7.0336252066537881</v>
      </c>
      <c r="EC5">
        <v>7</v>
      </c>
      <c r="ED5">
        <v>4.8649757751336446E-2</v>
      </c>
      <c r="EE5">
        <v>0.31402347979946987</v>
      </c>
      <c r="EF5">
        <v>4.0414000000000003</v>
      </c>
      <c r="EG5">
        <v>4.0158100000000001</v>
      </c>
      <c r="EH5">
        <v>25.154923949579832</v>
      </c>
      <c r="EI5" t="s">
        <v>1019</v>
      </c>
      <c r="EJ5">
        <v>0</v>
      </c>
      <c r="EK5">
        <v>0</v>
      </c>
      <c r="EL5">
        <v>44819</v>
      </c>
      <c r="EM5">
        <v>3.55</v>
      </c>
      <c r="EN5">
        <v>0.39</v>
      </c>
      <c r="EO5">
        <v>-0.44</v>
      </c>
      <c r="EP5">
        <v>-1.54</v>
      </c>
      <c r="EQ5">
        <v>-7.0000000000000007E-2</v>
      </c>
    </row>
    <row r="6" spans="1:147" ht="67.5" x14ac:dyDescent="0.15">
      <c r="A6" s="2"/>
      <c r="B6" s="2"/>
      <c r="C6" s="2"/>
      <c r="D6" s="2" t="s">
        <v>1187</v>
      </c>
      <c r="E6" t="s">
        <v>1129</v>
      </c>
      <c r="F6" t="s">
        <v>1130</v>
      </c>
      <c r="G6">
        <v>14.24</v>
      </c>
      <c r="H6">
        <v>-2.4700000000000002</v>
      </c>
      <c r="I6" t="s">
        <v>1188</v>
      </c>
      <c r="J6">
        <v>16914671000</v>
      </c>
      <c r="K6">
        <v>53.91</v>
      </c>
      <c r="L6">
        <v>1.52</v>
      </c>
      <c r="M6" t="s">
        <v>97</v>
      </c>
      <c r="N6" t="s">
        <v>1189</v>
      </c>
      <c r="O6" t="s">
        <v>1190</v>
      </c>
      <c r="P6" t="s">
        <v>1191</v>
      </c>
      <c r="Q6">
        <v>16.62</v>
      </c>
      <c r="R6" t="s">
        <v>1192</v>
      </c>
      <c r="S6">
        <v>175986920</v>
      </c>
      <c r="T6">
        <v>0.17169999999999999</v>
      </c>
      <c r="U6" t="s">
        <v>1193</v>
      </c>
      <c r="V6">
        <v>1131545050</v>
      </c>
      <c r="W6">
        <v>1187828050</v>
      </c>
      <c r="X6">
        <v>3.02</v>
      </c>
      <c r="Y6">
        <v>0.37</v>
      </c>
      <c r="Z6">
        <v>1.44</v>
      </c>
      <c r="AA6" t="s">
        <v>1194</v>
      </c>
      <c r="AB6" t="s">
        <v>1195</v>
      </c>
      <c r="AC6" t="s">
        <v>1196</v>
      </c>
      <c r="AD6" t="s">
        <v>1197</v>
      </c>
      <c r="AE6" t="s">
        <v>1198</v>
      </c>
      <c r="AF6">
        <v>148973060</v>
      </c>
      <c r="AG6" t="s">
        <v>1199</v>
      </c>
      <c r="AH6" t="s">
        <v>1200</v>
      </c>
      <c r="AI6" t="s">
        <v>1201</v>
      </c>
      <c r="AJ6" t="s">
        <v>1202</v>
      </c>
      <c r="AK6" t="s">
        <v>1203</v>
      </c>
      <c r="AL6" t="s">
        <v>1204</v>
      </c>
      <c r="AM6" t="s">
        <v>1205</v>
      </c>
      <c r="AN6" t="s">
        <v>1206</v>
      </c>
      <c r="AO6" t="s">
        <v>1207</v>
      </c>
      <c r="AP6" t="s">
        <v>1208</v>
      </c>
      <c r="AQ6" t="s">
        <v>1209</v>
      </c>
      <c r="AR6" t="s">
        <v>1210</v>
      </c>
      <c r="AS6" t="s">
        <v>1211</v>
      </c>
      <c r="AT6" t="s">
        <v>1212</v>
      </c>
      <c r="AU6" t="s">
        <v>1213</v>
      </c>
      <c r="AV6" t="s">
        <v>1214</v>
      </c>
      <c r="AW6" t="s">
        <v>1215</v>
      </c>
      <c r="AX6" t="s">
        <v>1216</v>
      </c>
      <c r="AY6" t="s">
        <v>1217</v>
      </c>
      <c r="AZ6" t="s">
        <v>1218</v>
      </c>
      <c r="BA6" t="s">
        <v>1219</v>
      </c>
      <c r="BB6" t="s">
        <v>1220</v>
      </c>
      <c r="BC6" t="s">
        <v>1221</v>
      </c>
      <c r="BD6" t="s">
        <v>82</v>
      </c>
      <c r="BE6" t="s">
        <v>1222</v>
      </c>
      <c r="BF6" t="s">
        <v>1223</v>
      </c>
      <c r="BG6" t="s">
        <v>1224</v>
      </c>
      <c r="BH6" t="s">
        <v>824</v>
      </c>
      <c r="BI6" t="s">
        <v>1225</v>
      </c>
      <c r="BJ6" t="s">
        <v>1226</v>
      </c>
      <c r="BK6" t="s">
        <v>1227</v>
      </c>
      <c r="BL6" t="s">
        <v>1228</v>
      </c>
      <c r="BM6" t="s">
        <v>927</v>
      </c>
      <c r="BN6" t="s">
        <v>1229</v>
      </c>
      <c r="BO6">
        <v>0.12</v>
      </c>
      <c r="BP6">
        <v>1.1200000000000001</v>
      </c>
      <c r="BQ6">
        <v>0.46</v>
      </c>
      <c r="BR6">
        <v>5.48</v>
      </c>
      <c r="BS6">
        <v>2.48</v>
      </c>
      <c r="BT6">
        <v>0.9</v>
      </c>
      <c r="BU6">
        <v>9.4</v>
      </c>
      <c r="BV6" t="s">
        <v>1230</v>
      </c>
      <c r="BW6">
        <v>23.71</v>
      </c>
      <c r="BX6">
        <v>21.75</v>
      </c>
      <c r="BY6">
        <v>21.8</v>
      </c>
      <c r="BZ6">
        <v>0.75</v>
      </c>
      <c r="CA6">
        <v>0.68</v>
      </c>
      <c r="CB6">
        <v>4.2699999999999996</v>
      </c>
      <c r="CC6">
        <v>-4.88</v>
      </c>
      <c r="CD6">
        <v>-7.0000000000000007E-2</v>
      </c>
      <c r="CE6" t="s">
        <v>1231</v>
      </c>
      <c r="CF6" t="s">
        <v>1232</v>
      </c>
      <c r="CG6">
        <v>0.18625730041358565</v>
      </c>
      <c r="CH6">
        <v>0.19153593250364054</v>
      </c>
      <c r="CI6">
        <v>0.24869507551193237</v>
      </c>
      <c r="CJ6">
        <v>-0.145486980676651</v>
      </c>
      <c r="CK6">
        <v>1.7619138583540916E-2</v>
      </c>
      <c r="CL6">
        <v>0.15097834169864655</v>
      </c>
      <c r="CM6">
        <v>0.21283333003520966</v>
      </c>
      <c r="CN6">
        <v>1.8235293626785278</v>
      </c>
      <c r="CO6">
        <v>-0.89581203460693359</v>
      </c>
      <c r="CP6">
        <v>0.15995261073112488</v>
      </c>
      <c r="CQ6">
        <v>2.3030303418636322E-2</v>
      </c>
      <c r="CR6">
        <v>8.5526317358016968E-2</v>
      </c>
      <c r="CS6">
        <v>0.64277678130343918</v>
      </c>
      <c r="CT6">
        <v>56547583.333333336</v>
      </c>
      <c r="CU6">
        <v>1.6090559999999998</v>
      </c>
      <c r="CV6">
        <v>9.6927781030535703E-2</v>
      </c>
      <c r="CW6">
        <v>0.23924531191587448</v>
      </c>
      <c r="CX6">
        <v>0.06</v>
      </c>
      <c r="CY6">
        <v>102.0982566345492</v>
      </c>
      <c r="CZ6">
        <v>298033208.43093801</v>
      </c>
      <c r="DA6">
        <v>9.6927781030535703E-2</v>
      </c>
      <c r="DB6">
        <v>33.169755354611063</v>
      </c>
      <c r="DC6">
        <v>917361936.33909285</v>
      </c>
      <c r="DD6">
        <v>9.2081391979008914E-2</v>
      </c>
      <c r="DE6">
        <v>16.200865714599932</v>
      </c>
      <c r="DF6">
        <v>1878212654.5606897</v>
      </c>
      <c r="DG6">
        <v>8.5296447306871415E-2</v>
      </c>
      <c r="DH6">
        <v>9.6427650218588177</v>
      </c>
      <c r="DI6">
        <v>3155596027.8014035</v>
      </c>
      <c r="DJ6">
        <v>7.7542224824428574E-2</v>
      </c>
      <c r="DK6">
        <v>4.8845421579823283</v>
      </c>
      <c r="DL6">
        <v>6229585090.2368422</v>
      </c>
      <c r="DM6">
        <v>6.7849446721374981E-2</v>
      </c>
      <c r="DN6">
        <v>288000000</v>
      </c>
      <c r="DO6">
        <v>9.6927781030535703E-2</v>
      </c>
      <c r="DP6">
        <v>30428671000</v>
      </c>
      <c r="DQ6">
        <v>9480288000</v>
      </c>
      <c r="DR6">
        <v>3082</v>
      </c>
      <c r="DS6">
        <v>8.9329519383049949E-2</v>
      </c>
      <c r="DT6">
        <v>-4.7709379412233938E-2</v>
      </c>
      <c r="DU6">
        <v>0.60333333333333328</v>
      </c>
      <c r="DV6">
        <v>0.35333333333333333</v>
      </c>
      <c r="DW6">
        <v>0.95666666666666655</v>
      </c>
      <c r="DX6">
        <v>-4.014344262295082</v>
      </c>
      <c r="DY6">
        <v>0.43953223140496051</v>
      </c>
      <c r="DZ6">
        <v>-4.0017146016799892</v>
      </c>
      <c r="EA6">
        <v>1612</v>
      </c>
      <c r="EB6">
        <v>-4.0011430677866597</v>
      </c>
      <c r="EC6">
        <v>4</v>
      </c>
      <c r="ED6">
        <v>2.4352683033541767E-2</v>
      </c>
      <c r="EE6">
        <v>0.20373319185382094</v>
      </c>
      <c r="EF6">
        <v>2.0234100000000002</v>
      </c>
      <c r="EG6">
        <v>2.0481099999999999</v>
      </c>
      <c r="EH6">
        <v>32.11953223140496</v>
      </c>
      <c r="EI6" t="s">
        <v>526</v>
      </c>
      <c r="EJ6">
        <v>0</v>
      </c>
      <c r="EK6">
        <v>0</v>
      </c>
      <c r="EL6">
        <v>44819</v>
      </c>
      <c r="EM6">
        <v>-0.81</v>
      </c>
      <c r="EN6">
        <v>1.04</v>
      </c>
      <c r="EO6">
        <v>-0.76</v>
      </c>
      <c r="EP6">
        <v>-1.79</v>
      </c>
      <c r="EQ6">
        <v>-1.59</v>
      </c>
    </row>
    <row r="7" spans="1:147" ht="78.75" x14ac:dyDescent="0.15">
      <c r="A7" s="2"/>
      <c r="B7" s="2"/>
      <c r="C7" s="2" t="s">
        <v>1233</v>
      </c>
      <c r="D7" s="2" t="s">
        <v>1234</v>
      </c>
      <c r="E7" t="s">
        <v>1131</v>
      </c>
      <c r="F7" t="s">
        <v>1132</v>
      </c>
      <c r="G7">
        <v>5.31</v>
      </c>
      <c r="H7">
        <v>-3.98</v>
      </c>
      <c r="I7" t="s">
        <v>1235</v>
      </c>
      <c r="J7">
        <v>6588018200</v>
      </c>
      <c r="L7">
        <v>3.04</v>
      </c>
      <c r="M7" t="s">
        <v>97</v>
      </c>
      <c r="N7" t="s">
        <v>1236</v>
      </c>
      <c r="O7" t="s">
        <v>1237</v>
      </c>
      <c r="P7" t="s">
        <v>1238</v>
      </c>
      <c r="Q7">
        <v>5.32</v>
      </c>
      <c r="R7" t="s">
        <v>1239</v>
      </c>
      <c r="S7">
        <v>33441748</v>
      </c>
      <c r="T7">
        <v>-0.44669999999999999</v>
      </c>
      <c r="U7" t="s">
        <v>1240</v>
      </c>
      <c r="V7">
        <v>1187126520</v>
      </c>
      <c r="W7">
        <v>1240681400</v>
      </c>
      <c r="X7">
        <v>2.94</v>
      </c>
      <c r="Y7">
        <v>0.24</v>
      </c>
      <c r="Z7">
        <v>2.29</v>
      </c>
      <c r="AA7" t="s">
        <v>1241</v>
      </c>
      <c r="AB7" t="s">
        <v>1242</v>
      </c>
      <c r="AC7" t="s">
        <v>1243</v>
      </c>
      <c r="AD7" t="s">
        <v>1244</v>
      </c>
      <c r="AE7" t="s">
        <v>1245</v>
      </c>
      <c r="AF7">
        <v>54758350</v>
      </c>
      <c r="AG7" t="s">
        <v>1246</v>
      </c>
      <c r="AH7" t="s">
        <v>1247</v>
      </c>
      <c r="AI7" t="s">
        <v>1248</v>
      </c>
      <c r="AJ7" t="s">
        <v>117</v>
      </c>
      <c r="AK7" t="s">
        <v>1249</v>
      </c>
      <c r="AL7" t="s">
        <v>1250</v>
      </c>
      <c r="AM7" t="s">
        <v>1251</v>
      </c>
      <c r="AN7" t="s">
        <v>1252</v>
      </c>
      <c r="AO7" t="s">
        <v>1253</v>
      </c>
      <c r="AP7" t="s">
        <v>1254</v>
      </c>
      <c r="AQ7" t="s">
        <v>1255</v>
      </c>
      <c r="AR7" t="s">
        <v>1174</v>
      </c>
      <c r="AS7" t="s">
        <v>7</v>
      </c>
      <c r="AT7" t="s">
        <v>1256</v>
      </c>
      <c r="AU7" t="s">
        <v>7</v>
      </c>
      <c r="AV7" t="s">
        <v>1257</v>
      </c>
      <c r="AW7" t="s">
        <v>1258</v>
      </c>
      <c r="AX7" t="s">
        <v>1259</v>
      </c>
      <c r="AY7" t="s">
        <v>1260</v>
      </c>
      <c r="AZ7" t="s">
        <v>1261</v>
      </c>
      <c r="BA7" t="s">
        <v>1262</v>
      </c>
      <c r="BB7" t="s">
        <v>1263</v>
      </c>
      <c r="BC7" t="s">
        <v>1264</v>
      </c>
      <c r="BD7" t="s">
        <v>1265</v>
      </c>
      <c r="BE7" t="s">
        <v>1266</v>
      </c>
      <c r="BF7" t="s">
        <v>1267</v>
      </c>
      <c r="BG7" t="s">
        <v>1268</v>
      </c>
      <c r="BH7" t="s">
        <v>1269</v>
      </c>
      <c r="BI7" t="s">
        <v>1270</v>
      </c>
      <c r="BJ7" t="s">
        <v>1271</v>
      </c>
      <c r="BK7" t="s">
        <v>907</v>
      </c>
      <c r="BL7" t="s">
        <v>1272</v>
      </c>
      <c r="BM7" t="s">
        <v>1273</v>
      </c>
      <c r="BN7" t="s">
        <v>1274</v>
      </c>
      <c r="BO7">
        <v>1.1299999999999999</v>
      </c>
      <c r="BP7">
        <v>-10.51</v>
      </c>
      <c r="BQ7">
        <v>0.61</v>
      </c>
      <c r="BR7">
        <v>-24.37</v>
      </c>
      <c r="BS7">
        <v>-25.81</v>
      </c>
      <c r="BT7">
        <v>1.52</v>
      </c>
      <c r="BU7">
        <v>-52.91</v>
      </c>
      <c r="BV7" t="s">
        <v>713</v>
      </c>
      <c r="BW7">
        <v>14.89</v>
      </c>
      <c r="BX7">
        <v>15.31</v>
      </c>
      <c r="BY7">
        <v>17.55</v>
      </c>
      <c r="BZ7">
        <v>9.01</v>
      </c>
      <c r="CA7">
        <v>1.1599999999999999</v>
      </c>
      <c r="CB7">
        <v>-59.28</v>
      </c>
      <c r="CC7">
        <v>-9.5399999999999991</v>
      </c>
      <c r="CD7">
        <v>9.26</v>
      </c>
      <c r="CE7" t="s">
        <v>1275</v>
      </c>
      <c r="CF7" t="s">
        <v>1276</v>
      </c>
      <c r="CG7">
        <v>0.22542689450222883</v>
      </c>
      <c r="CH7">
        <v>-1.3232743440910146</v>
      </c>
      <c r="CI7">
        <v>-0.16982708871364594</v>
      </c>
      <c r="CJ7">
        <v>1.3280533254146576E-2</v>
      </c>
      <c r="CK7">
        <v>-0.20382453501224518</v>
      </c>
      <c r="CL7">
        <v>5.0330858677625656E-2</v>
      </c>
      <c r="CM7">
        <v>2.148200199007988E-2</v>
      </c>
      <c r="CN7">
        <v>-15.843330383300781</v>
      </c>
      <c r="CO7">
        <v>1.0205316543579102</v>
      </c>
      <c r="CP7">
        <v>-4.8811702728271484</v>
      </c>
      <c r="CQ7">
        <v>-8.0672271549701691E-2</v>
      </c>
      <c r="CR7">
        <v>0.10389610379934311</v>
      </c>
      <c r="CS7">
        <v>2.2129721867651999</v>
      </c>
      <c r="CT7">
        <v>2280963.5239567235</v>
      </c>
      <c r="CU7">
        <v>1.6158239999999999</v>
      </c>
      <c r="CV7">
        <v>-5.77116459608078E-2</v>
      </c>
      <c r="CW7">
        <v>0</v>
      </c>
      <c r="CX7">
        <v>0.06</v>
      </c>
      <c r="CY7" t="e">
        <v>#VALUE!</v>
      </c>
      <c r="CZ7" t="s">
        <v>421</v>
      </c>
      <c r="DA7">
        <v>-5.77116459608078E-2</v>
      </c>
      <c r="DB7" t="e">
        <v>#VALUE!</v>
      </c>
      <c r="DC7" t="s">
        <v>421</v>
      </c>
      <c r="DD7">
        <v>-5.4826063662767405E-2</v>
      </c>
      <c r="DE7" t="e">
        <v>#VALUE!</v>
      </c>
      <c r="DF7" t="s">
        <v>421</v>
      </c>
      <c r="DG7">
        <v>-5.0786248445510863E-2</v>
      </c>
      <c r="DH7" t="e">
        <v>#VALUE!</v>
      </c>
      <c r="DI7" t="s">
        <v>421</v>
      </c>
      <c r="DJ7">
        <v>-4.6169316768646246E-2</v>
      </c>
      <c r="DK7" t="e">
        <v>#VALUE!</v>
      </c>
      <c r="DL7" t="s">
        <v>421</v>
      </c>
      <c r="DM7">
        <v>-4.0398152172565455E-2</v>
      </c>
      <c r="DN7">
        <v>-647000000</v>
      </c>
      <c r="DO7">
        <v>-5.77116459608078E-2</v>
      </c>
      <c r="DP7">
        <v>8634018200</v>
      </c>
      <c r="DQ7">
        <v>183869300</v>
      </c>
      <c r="DR7">
        <v>981</v>
      </c>
      <c r="DS7">
        <v>0.28313854046303666</v>
      </c>
      <c r="DT7">
        <v>-1.3232743440910146</v>
      </c>
      <c r="DU7">
        <v>0.14000000000000001</v>
      </c>
      <c r="DV7">
        <v>-1.5733333333333333</v>
      </c>
      <c r="DW7">
        <v>-1.4333333333333331</v>
      </c>
      <c r="DX7">
        <v>-5.9706498951781972</v>
      </c>
      <c r="DY7">
        <v>0.38687937152209328</v>
      </c>
      <c r="DZ7">
        <v>-5.1425684465717607</v>
      </c>
      <c r="EA7">
        <v>4319</v>
      </c>
      <c r="EB7">
        <v>-5.0152414985272129</v>
      </c>
      <c r="EC7">
        <v>5</v>
      </c>
      <c r="ED7">
        <v>7.2333880398303713E-2</v>
      </c>
      <c r="EE7">
        <v>0.49247131455343812</v>
      </c>
      <c r="EF7">
        <v>2.0525099999999998</v>
      </c>
      <c r="EG7">
        <v>2.0923099999999999</v>
      </c>
      <c r="EH7">
        <v>24.146879371522093</v>
      </c>
      <c r="EI7" t="s">
        <v>526</v>
      </c>
      <c r="EJ7">
        <v>0</v>
      </c>
      <c r="EK7">
        <v>0</v>
      </c>
      <c r="EL7">
        <v>44819</v>
      </c>
      <c r="EM7">
        <v>0.82</v>
      </c>
      <c r="EN7">
        <v>-1.75</v>
      </c>
      <c r="EO7">
        <v>-2.2599999999999998</v>
      </c>
      <c r="EP7">
        <v>-1.1599999999999999</v>
      </c>
      <c r="EQ7">
        <v>-2.8</v>
      </c>
    </row>
    <row r="8" spans="1:147" ht="67.5" x14ac:dyDescent="0.15">
      <c r="A8" s="2"/>
      <c r="B8" s="2"/>
      <c r="C8" s="2"/>
      <c r="D8" s="2" t="s">
        <v>1277</v>
      </c>
      <c r="E8" t="s">
        <v>1133</v>
      </c>
      <c r="F8" t="s">
        <v>1134</v>
      </c>
      <c r="G8">
        <v>6.07</v>
      </c>
      <c r="H8">
        <v>-4.5599999999999996</v>
      </c>
      <c r="I8" t="s">
        <v>1278</v>
      </c>
      <c r="J8">
        <v>5126622100</v>
      </c>
      <c r="L8">
        <v>2.82</v>
      </c>
      <c r="M8" t="s">
        <v>97</v>
      </c>
      <c r="N8" t="s">
        <v>1279</v>
      </c>
      <c r="O8" t="s">
        <v>1280</v>
      </c>
      <c r="P8" t="s">
        <v>1281</v>
      </c>
      <c r="Q8">
        <v>-17.809999999999999</v>
      </c>
      <c r="R8" t="s">
        <v>1282</v>
      </c>
      <c r="S8">
        <v>92555949</v>
      </c>
      <c r="T8">
        <v>6.3970000000000002</v>
      </c>
      <c r="U8" t="s">
        <v>1283</v>
      </c>
      <c r="V8">
        <v>832809450</v>
      </c>
      <c r="W8">
        <v>844583540</v>
      </c>
      <c r="X8">
        <v>3.55</v>
      </c>
      <c r="Y8">
        <v>0.22</v>
      </c>
      <c r="Z8">
        <v>5.81</v>
      </c>
      <c r="AA8" t="s">
        <v>1284</v>
      </c>
      <c r="AB8" t="s">
        <v>1285</v>
      </c>
      <c r="AC8" t="s">
        <v>1286</v>
      </c>
      <c r="AD8" t="s">
        <v>1287</v>
      </c>
      <c r="AE8" t="s">
        <v>38</v>
      </c>
      <c r="AF8">
        <v>44635704</v>
      </c>
      <c r="AG8" t="s">
        <v>1288</v>
      </c>
      <c r="AH8" t="s">
        <v>1289</v>
      </c>
      <c r="AI8" t="s">
        <v>1290</v>
      </c>
      <c r="AJ8" t="s">
        <v>1291</v>
      </c>
      <c r="AK8" t="s">
        <v>1292</v>
      </c>
      <c r="AL8" t="s">
        <v>1232</v>
      </c>
      <c r="AM8" t="s">
        <v>1293</v>
      </c>
      <c r="AN8" t="s">
        <v>597</v>
      </c>
      <c r="AO8" t="s">
        <v>1294</v>
      </c>
      <c r="AP8" t="s">
        <v>1295</v>
      </c>
      <c r="AQ8" t="s">
        <v>573</v>
      </c>
      <c r="AR8" t="s">
        <v>80</v>
      </c>
      <c r="AS8" t="s">
        <v>1296</v>
      </c>
      <c r="AT8" t="s">
        <v>1297</v>
      </c>
      <c r="AU8" t="s">
        <v>1298</v>
      </c>
      <c r="AV8" t="s">
        <v>551</v>
      </c>
      <c r="AW8" t="s">
        <v>1299</v>
      </c>
      <c r="AX8" t="s">
        <v>1300</v>
      </c>
      <c r="AY8" t="s">
        <v>1301</v>
      </c>
      <c r="AZ8" t="s">
        <v>581</v>
      </c>
      <c r="BA8" t="s">
        <v>1302</v>
      </c>
      <c r="BB8" t="s">
        <v>1303</v>
      </c>
      <c r="BC8" t="s">
        <v>1304</v>
      </c>
      <c r="BD8" t="s">
        <v>1305</v>
      </c>
      <c r="BE8" t="s">
        <v>1121</v>
      </c>
      <c r="BF8" t="s">
        <v>1123</v>
      </c>
      <c r="BG8" t="s">
        <v>58</v>
      </c>
      <c r="BH8" t="s">
        <v>1306</v>
      </c>
      <c r="BI8" t="s">
        <v>1307</v>
      </c>
      <c r="BJ8" t="s">
        <v>1308</v>
      </c>
      <c r="BK8" t="s">
        <v>1309</v>
      </c>
      <c r="BL8" t="s">
        <v>1310</v>
      </c>
      <c r="BM8" t="s">
        <v>1311</v>
      </c>
      <c r="BN8" t="s">
        <v>1312</v>
      </c>
      <c r="BO8">
        <v>0.11</v>
      </c>
      <c r="BP8">
        <v>-8.4600000000000009</v>
      </c>
      <c r="BQ8">
        <v>0.18</v>
      </c>
      <c r="BR8">
        <v>6.28</v>
      </c>
      <c r="BS8">
        <v>-28.52</v>
      </c>
      <c r="BT8">
        <v>0.39</v>
      </c>
      <c r="BU8">
        <v>12.37</v>
      </c>
      <c r="BV8" t="s">
        <v>713</v>
      </c>
      <c r="BW8">
        <v>18.47</v>
      </c>
      <c r="BX8">
        <v>18.68</v>
      </c>
      <c r="BY8">
        <v>19.77</v>
      </c>
      <c r="BZ8">
        <v>1.65</v>
      </c>
      <c r="CA8">
        <v>1.23</v>
      </c>
      <c r="CB8">
        <v>8.49</v>
      </c>
      <c r="CC8">
        <v>-11.39</v>
      </c>
      <c r="CD8">
        <v>-6.76</v>
      </c>
      <c r="CE8" t="s">
        <v>1313</v>
      </c>
      <c r="CF8" t="s">
        <v>726</v>
      </c>
      <c r="CG8">
        <v>0.42566771241830065</v>
      </c>
      <c r="CH8">
        <v>86.314076003677599</v>
      </c>
      <c r="CI8">
        <v>-2.7742441743612289E-2</v>
      </c>
      <c r="CJ8">
        <v>9.1035090386867523E-2</v>
      </c>
      <c r="CK8">
        <v>-0.24150015413761139</v>
      </c>
      <c r="CL8">
        <v>4.2572617530822754E-2</v>
      </c>
      <c r="CM8">
        <v>0.18668696284294128</v>
      </c>
      <c r="CN8">
        <v>-54.995021820068359</v>
      </c>
      <c r="CO8">
        <v>-0.96672821044921875</v>
      </c>
      <c r="CP8">
        <v>0.30303031206130981</v>
      </c>
      <c r="CQ8">
        <v>0.26315790414810181</v>
      </c>
      <c r="CR8">
        <v>1.009615421295166</v>
      </c>
      <c r="CS8">
        <v>1.1166678501415814</v>
      </c>
      <c r="CT8">
        <v>2461667.7993527506</v>
      </c>
      <c r="CU8">
        <v>4.537609999999999</v>
      </c>
      <c r="CV8">
        <v>1.0210414975881576E-2</v>
      </c>
      <c r="CW8">
        <v>-10.8771892786026</v>
      </c>
      <c r="CX8">
        <v>0.06</v>
      </c>
      <c r="CY8" t="e">
        <v>#VALUE!</v>
      </c>
      <c r="CZ8" t="s">
        <v>421</v>
      </c>
      <c r="DA8">
        <v>1.0210414975881576E-2</v>
      </c>
      <c r="DB8" t="e">
        <v>#VALUE!</v>
      </c>
      <c r="DC8" t="s">
        <v>421</v>
      </c>
      <c r="DD8">
        <v>9.6998942270874969E-3</v>
      </c>
      <c r="DE8" t="e">
        <v>#VALUE!</v>
      </c>
      <c r="DF8" t="s">
        <v>421</v>
      </c>
      <c r="DG8">
        <v>8.9851651787757874E-3</v>
      </c>
      <c r="DH8" t="e">
        <v>#VALUE!</v>
      </c>
      <c r="DI8" t="s">
        <v>421</v>
      </c>
      <c r="DJ8">
        <v>8.168331980705261E-3</v>
      </c>
      <c r="DK8" t="e">
        <v>#VALUE!</v>
      </c>
      <c r="DL8" t="s">
        <v>421</v>
      </c>
      <c r="DM8">
        <v>7.1472904831171025E-3</v>
      </c>
      <c r="DN8">
        <v>-618000000</v>
      </c>
      <c r="DO8">
        <v>1.0210414975881576E-2</v>
      </c>
      <c r="DP8">
        <v>8909622100</v>
      </c>
      <c r="DQ8">
        <v>2028368300</v>
      </c>
      <c r="DR8">
        <v>52</v>
      </c>
      <c r="DS8">
        <v>0.41545729744241905</v>
      </c>
      <c r="DT8">
        <v>97.191265282280199</v>
      </c>
      <c r="DU8">
        <v>-0.25333333333333335</v>
      </c>
      <c r="DV8">
        <v>3.7007434154171883E-17</v>
      </c>
      <c r="DW8">
        <v>-0.2533333333333333</v>
      </c>
      <c r="DX8">
        <v>-5.5935030728709396</v>
      </c>
      <c r="DY8">
        <v>0.4465638472032768</v>
      </c>
      <c r="DZ8">
        <v>-5.0395058478572548</v>
      </c>
      <c r="EA8">
        <v>3534</v>
      </c>
      <c r="EB8">
        <v>-5.0106361898077223</v>
      </c>
      <c r="EC8">
        <v>5</v>
      </c>
      <c r="ED8">
        <v>5.776965532622149E-2</v>
      </c>
      <c r="EE8">
        <v>0.86788335941285333</v>
      </c>
      <c r="EF8">
        <v>2.0322</v>
      </c>
      <c r="EG8">
        <v>2.0134099999999999</v>
      </c>
      <c r="EH8">
        <v>38.066563847203277</v>
      </c>
      <c r="EI8" t="s">
        <v>526</v>
      </c>
      <c r="EJ8">
        <v>0</v>
      </c>
      <c r="EK8">
        <v>0</v>
      </c>
      <c r="EL8">
        <v>44819</v>
      </c>
      <c r="EM8">
        <v>-2.4</v>
      </c>
      <c r="EN8">
        <v>-0.17</v>
      </c>
      <c r="EO8">
        <v>2.62</v>
      </c>
      <c r="EP8">
        <v>-1.1100000000000001</v>
      </c>
      <c r="EQ8">
        <v>-1.75</v>
      </c>
    </row>
    <row r="9" spans="1:147" ht="67.5" x14ac:dyDescent="0.15">
      <c r="A9" s="2"/>
      <c r="B9" s="2"/>
      <c r="C9" s="2"/>
      <c r="D9" s="2" t="s">
        <v>1314</v>
      </c>
      <c r="E9" t="s">
        <v>1135</v>
      </c>
      <c r="F9" t="s">
        <v>1136</v>
      </c>
      <c r="G9">
        <v>3.55</v>
      </c>
      <c r="H9">
        <v>-3.79</v>
      </c>
      <c r="I9" t="s">
        <v>1315</v>
      </c>
      <c r="J9">
        <v>4982397500</v>
      </c>
      <c r="K9">
        <v>209.9</v>
      </c>
      <c r="L9">
        <v>1.81</v>
      </c>
      <c r="M9" t="s">
        <v>97</v>
      </c>
      <c r="N9" t="s">
        <v>1316</v>
      </c>
      <c r="O9" t="s">
        <v>1317</v>
      </c>
      <c r="P9" t="s">
        <v>1318</v>
      </c>
      <c r="Q9">
        <v>-6.03</v>
      </c>
      <c r="R9" t="s">
        <v>1319</v>
      </c>
      <c r="S9">
        <v>30387932</v>
      </c>
      <c r="T9">
        <v>-0.76129999999999998</v>
      </c>
      <c r="U9" t="s">
        <v>992</v>
      </c>
      <c r="V9">
        <v>1380916800</v>
      </c>
      <c r="W9">
        <v>1403492200</v>
      </c>
      <c r="X9">
        <v>2.48</v>
      </c>
      <c r="Y9">
        <v>0.25</v>
      </c>
      <c r="Z9">
        <v>2.35</v>
      </c>
      <c r="AA9" t="s">
        <v>1320</v>
      </c>
      <c r="AB9" t="s">
        <v>1321</v>
      </c>
      <c r="AC9" t="s">
        <v>1322</v>
      </c>
      <c r="AD9" t="s">
        <v>72</v>
      </c>
      <c r="AE9" t="s">
        <v>1323</v>
      </c>
      <c r="AF9">
        <v>28504775</v>
      </c>
      <c r="AG9" t="s">
        <v>1324</v>
      </c>
      <c r="AH9" t="s">
        <v>1325</v>
      </c>
      <c r="AI9" t="s">
        <v>1326</v>
      </c>
      <c r="AJ9" t="s">
        <v>1327</v>
      </c>
      <c r="AK9" t="s">
        <v>1328</v>
      </c>
      <c r="AL9" t="s">
        <v>1329</v>
      </c>
      <c r="AM9" t="s">
        <v>1330</v>
      </c>
      <c r="AN9" t="s">
        <v>1331</v>
      </c>
      <c r="AO9" t="s">
        <v>1332</v>
      </c>
      <c r="AP9" t="s">
        <v>1333</v>
      </c>
      <c r="AQ9" t="s">
        <v>486</v>
      </c>
      <c r="AR9" t="s">
        <v>1175</v>
      </c>
      <c r="AS9" t="s">
        <v>7</v>
      </c>
      <c r="AT9" t="s">
        <v>1334</v>
      </c>
      <c r="AU9" t="s">
        <v>1335</v>
      </c>
      <c r="AV9" t="s">
        <v>1336</v>
      </c>
      <c r="AW9" t="s">
        <v>1337</v>
      </c>
      <c r="AX9" t="s">
        <v>1338</v>
      </c>
      <c r="AY9" t="s">
        <v>1339</v>
      </c>
      <c r="AZ9" t="s">
        <v>1340</v>
      </c>
      <c r="BA9" t="s">
        <v>1341</v>
      </c>
      <c r="BB9" t="s">
        <v>248</v>
      </c>
      <c r="BC9" t="s">
        <v>1342</v>
      </c>
      <c r="BD9" t="s">
        <v>1343</v>
      </c>
      <c r="BE9" t="s">
        <v>1344</v>
      </c>
      <c r="BF9" t="s">
        <v>36</v>
      </c>
      <c r="BG9" t="s">
        <v>1193</v>
      </c>
      <c r="BH9" t="s">
        <v>33</v>
      </c>
      <c r="BI9" t="s">
        <v>1345</v>
      </c>
      <c r="BJ9" t="s">
        <v>1346</v>
      </c>
      <c r="BK9" t="s">
        <v>1347</v>
      </c>
      <c r="BL9" t="s">
        <v>1348</v>
      </c>
      <c r="BM9" t="s">
        <v>85</v>
      </c>
      <c r="BN9" t="s">
        <v>992</v>
      </c>
      <c r="BO9">
        <v>0.24</v>
      </c>
      <c r="BP9">
        <v>2.04</v>
      </c>
      <c r="BQ9">
        <v>-10.74</v>
      </c>
      <c r="BR9">
        <v>0.52</v>
      </c>
      <c r="BS9">
        <v>4.25</v>
      </c>
      <c r="BT9">
        <v>-20.51</v>
      </c>
      <c r="BU9">
        <v>0.78</v>
      </c>
      <c r="BV9" t="s">
        <v>713</v>
      </c>
      <c r="BW9">
        <v>15.3</v>
      </c>
      <c r="BX9">
        <v>1.26</v>
      </c>
      <c r="BY9">
        <v>9.2799999999999994</v>
      </c>
      <c r="BZ9">
        <v>1.94</v>
      </c>
      <c r="CA9">
        <v>-17.57</v>
      </c>
      <c r="CB9">
        <v>2.38</v>
      </c>
      <c r="CC9">
        <v>-8.9700000000000006</v>
      </c>
      <c r="CD9">
        <v>-3.27</v>
      </c>
      <c r="CE9" t="s">
        <v>1349</v>
      </c>
      <c r="CF9" t="s">
        <v>1350</v>
      </c>
      <c r="CG9">
        <v>-0.1904557811120918</v>
      </c>
      <c r="CH9">
        <v>1.6711886666666667</v>
      </c>
      <c r="CI9">
        <v>0.19025881588459015</v>
      </c>
      <c r="CJ9">
        <v>-2.5511754676699638E-2</v>
      </c>
      <c r="CK9">
        <v>4.6569429337978363E-2</v>
      </c>
      <c r="CL9">
        <v>0.12190869450569153</v>
      </c>
      <c r="CM9">
        <v>0.11322217434644699</v>
      </c>
      <c r="CN9">
        <v>1.2160714864730835</v>
      </c>
      <c r="CO9">
        <v>-26.880754470825195</v>
      </c>
      <c r="CP9">
        <v>-0.88846546411514282</v>
      </c>
      <c r="CQ9">
        <v>-0.3263888955116272</v>
      </c>
      <c r="CR9">
        <v>0.14741036295890808</v>
      </c>
      <c r="CS9">
        <v>1.2742704603580564</v>
      </c>
      <c r="CT9">
        <v>20139955.371900827</v>
      </c>
      <c r="CU9">
        <v>1.4570000000000001</v>
      </c>
      <c r="CV9">
        <v>8.9289471879601484E-2</v>
      </c>
      <c r="CW9">
        <v>-5.3464253962039949</v>
      </c>
      <c r="CX9">
        <v>0.06</v>
      </c>
      <c r="CY9">
        <v>51.835452620768798</v>
      </c>
      <c r="CZ9">
        <v>124343420.84663376</v>
      </c>
      <c r="DA9">
        <v>8.9289471879601484E-2</v>
      </c>
      <c r="DB9">
        <v>16.949538013985073</v>
      </c>
      <c r="DC9">
        <v>380269804.09034741</v>
      </c>
      <c r="DD9">
        <v>8.48249982856214E-2</v>
      </c>
      <c r="DE9">
        <v>8.3505802735802384</v>
      </c>
      <c r="DF9">
        <v>771850253.37605572</v>
      </c>
      <c r="DG9">
        <v>7.8574735254049302E-2</v>
      </c>
      <c r="DH9">
        <v>5.0192179245974033</v>
      </c>
      <c r="DI9">
        <v>1284143784.3161576</v>
      </c>
      <c r="DJ9">
        <v>7.143157750368119E-2</v>
      </c>
      <c r="DK9">
        <v>2.5980088682714682</v>
      </c>
      <c r="DL9">
        <v>2480898960.2442398</v>
      </c>
      <c r="DM9">
        <v>6.2502630315721036E-2</v>
      </c>
      <c r="DN9">
        <v>121000000</v>
      </c>
      <c r="DO9">
        <v>8.9289471879601484E-2</v>
      </c>
      <c r="DP9">
        <v>6445397500</v>
      </c>
      <c r="DQ9">
        <v>-173205499.99999952</v>
      </c>
      <c r="DR9">
        <v>2776</v>
      </c>
      <c r="DS9">
        <v>-0.27974525299169328</v>
      </c>
      <c r="DT9">
        <v>7.0176140628706616</v>
      </c>
      <c r="DU9">
        <v>0.16666666666666666</v>
      </c>
      <c r="DV9">
        <v>-1.2066666666666666</v>
      </c>
      <c r="DW9">
        <v>-1.0399999999999998</v>
      </c>
      <c r="DX9">
        <v>-5.3645484949832776</v>
      </c>
      <c r="DY9">
        <v>0.52622350427350306</v>
      </c>
      <c r="DZ9">
        <v>-5.0350781336649231</v>
      </c>
      <c r="EA9">
        <v>4112</v>
      </c>
      <c r="EB9">
        <v>-5.0052515650896208</v>
      </c>
      <c r="EC9">
        <v>5</v>
      </c>
      <c r="ED9">
        <v>6.4172212713401608E-2</v>
      </c>
      <c r="EE9">
        <v>0.66690787451472833</v>
      </c>
      <c r="EF9">
        <v>1.0323</v>
      </c>
      <c r="EG9">
        <v>1.0056099999999999</v>
      </c>
      <c r="EH9">
        <v>43.096223504273503</v>
      </c>
      <c r="EI9" t="s">
        <v>855</v>
      </c>
      <c r="EJ9">
        <v>0</v>
      </c>
      <c r="EK9">
        <v>0</v>
      </c>
      <c r="EL9">
        <v>44819</v>
      </c>
      <c r="EM9">
        <v>-1.71</v>
      </c>
      <c r="EN9">
        <v>0.61</v>
      </c>
      <c r="EO9">
        <v>5.99</v>
      </c>
      <c r="EP9">
        <v>0.84</v>
      </c>
      <c r="EQ9">
        <v>-3.19</v>
      </c>
    </row>
    <row r="10" spans="1:147" ht="67.5" x14ac:dyDescent="0.15">
      <c r="A10" s="2"/>
      <c r="B10" s="2"/>
      <c r="C10" s="2"/>
      <c r="D10" s="2" t="s">
        <v>1351</v>
      </c>
      <c r="E10" t="s">
        <v>1137</v>
      </c>
      <c r="F10" t="s">
        <v>1138</v>
      </c>
      <c r="G10">
        <v>5.87</v>
      </c>
      <c r="H10">
        <v>-2.65</v>
      </c>
      <c r="I10" t="s">
        <v>1139</v>
      </c>
      <c r="J10">
        <v>4056498800</v>
      </c>
      <c r="K10">
        <v>33.979999999999997</v>
      </c>
      <c r="L10">
        <v>1.56</v>
      </c>
      <c r="M10" t="s">
        <v>352</v>
      </c>
      <c r="N10" t="s">
        <v>1352</v>
      </c>
      <c r="O10" t="s">
        <v>1353</v>
      </c>
      <c r="P10" t="s">
        <v>1354</v>
      </c>
      <c r="Q10">
        <v>31.4</v>
      </c>
      <c r="R10" t="s">
        <v>1355</v>
      </c>
      <c r="S10">
        <v>85720230</v>
      </c>
      <c r="T10">
        <v>0.30170000000000002</v>
      </c>
      <c r="U10" t="s">
        <v>1356</v>
      </c>
      <c r="V10">
        <v>691056020</v>
      </c>
      <c r="W10">
        <v>691056020</v>
      </c>
      <c r="X10">
        <v>3.3</v>
      </c>
      <c r="Y10">
        <v>0.45</v>
      </c>
      <c r="Z10">
        <v>2.2400000000000002</v>
      </c>
      <c r="AA10" t="s">
        <v>1357</v>
      </c>
      <c r="AB10" t="s">
        <v>1358</v>
      </c>
      <c r="AC10" t="s">
        <v>596</v>
      </c>
      <c r="AD10" t="s">
        <v>1359</v>
      </c>
      <c r="AE10" t="s">
        <v>30</v>
      </c>
      <c r="AF10">
        <v>90936713</v>
      </c>
      <c r="AG10" t="s">
        <v>1360</v>
      </c>
      <c r="AH10" t="s">
        <v>1361</v>
      </c>
      <c r="AI10" t="s">
        <v>1362</v>
      </c>
      <c r="AJ10" t="s">
        <v>654</v>
      </c>
      <c r="AK10" t="s">
        <v>1363</v>
      </c>
      <c r="AL10" t="s">
        <v>1364</v>
      </c>
      <c r="AM10" t="s">
        <v>1365</v>
      </c>
      <c r="AN10" t="s">
        <v>1366</v>
      </c>
      <c r="AO10" t="s">
        <v>1367</v>
      </c>
      <c r="AP10" t="s">
        <v>1368</v>
      </c>
      <c r="AQ10" t="s">
        <v>1369</v>
      </c>
      <c r="AR10" t="s">
        <v>464</v>
      </c>
      <c r="AS10" t="s">
        <v>7</v>
      </c>
      <c r="AT10" t="s">
        <v>1370</v>
      </c>
      <c r="AU10" t="s">
        <v>653</v>
      </c>
      <c r="AV10" t="s">
        <v>1371</v>
      </c>
      <c r="AW10" t="s">
        <v>1372</v>
      </c>
      <c r="AX10" t="s">
        <v>1373</v>
      </c>
      <c r="AY10" t="s">
        <v>1374</v>
      </c>
      <c r="AZ10" t="s">
        <v>1375</v>
      </c>
      <c r="BA10" t="s">
        <v>1376</v>
      </c>
      <c r="BB10" t="s">
        <v>1377</v>
      </c>
      <c r="BC10" t="s">
        <v>1378</v>
      </c>
      <c r="BD10" t="s">
        <v>1379</v>
      </c>
      <c r="BE10" t="s">
        <v>41</v>
      </c>
      <c r="BF10" t="s">
        <v>1250</v>
      </c>
      <c r="BG10" t="s">
        <v>1380</v>
      </c>
      <c r="BH10" t="s">
        <v>1381</v>
      </c>
      <c r="BI10" t="s">
        <v>1382</v>
      </c>
      <c r="BJ10" t="s">
        <v>1383</v>
      </c>
      <c r="BK10" t="s">
        <v>1384</v>
      </c>
      <c r="BL10" t="s">
        <v>1385</v>
      </c>
      <c r="BM10" t="s">
        <v>1386</v>
      </c>
      <c r="BN10" t="s">
        <v>1387</v>
      </c>
      <c r="BO10">
        <v>1.04</v>
      </c>
      <c r="BP10">
        <v>1.35</v>
      </c>
      <c r="BQ10">
        <v>1.9</v>
      </c>
      <c r="BR10">
        <v>2.19</v>
      </c>
      <c r="BS10">
        <v>3.65</v>
      </c>
      <c r="BT10">
        <v>4.42</v>
      </c>
      <c r="BU10">
        <v>4.76</v>
      </c>
      <c r="BV10" t="s">
        <v>499</v>
      </c>
      <c r="BW10">
        <v>14.66</v>
      </c>
      <c r="BX10">
        <v>14.41</v>
      </c>
      <c r="BY10">
        <v>16.61</v>
      </c>
      <c r="BZ10">
        <v>1.57</v>
      </c>
      <c r="CA10">
        <v>2.13</v>
      </c>
      <c r="CB10">
        <v>2.4500000000000002</v>
      </c>
      <c r="CC10">
        <v>-0.17</v>
      </c>
      <c r="CD10">
        <v>-14.18</v>
      </c>
      <c r="CE10" t="s">
        <v>1388</v>
      </c>
      <c r="CF10" t="s">
        <v>1389</v>
      </c>
      <c r="CG10">
        <v>0.30638109028960819</v>
      </c>
      <c r="CH10">
        <v>0.32430742324220835</v>
      </c>
      <c r="CI10">
        <v>0.25197643041610718</v>
      </c>
      <c r="CJ10">
        <v>0.21104088425636292</v>
      </c>
      <c r="CK10">
        <v>0.1215444952249527</v>
      </c>
      <c r="CL10">
        <v>5.1910597831010818E-2</v>
      </c>
      <c r="CM10">
        <v>0.13224485516548157</v>
      </c>
      <c r="CN10">
        <v>0.37583813071250916</v>
      </c>
      <c r="CO10">
        <v>-0.37646722793579102</v>
      </c>
      <c r="CP10">
        <v>0.14851485192775726</v>
      </c>
      <c r="CQ10">
        <v>9.9999997764825821E-3</v>
      </c>
      <c r="CR10">
        <v>-0.29078012704849243</v>
      </c>
      <c r="CS10">
        <v>0.54500857181244111</v>
      </c>
      <c r="CT10">
        <v>78132710.841981187</v>
      </c>
      <c r="CU10">
        <v>3.3264</v>
      </c>
      <c r="CV10">
        <v>0.15374345257878302</v>
      </c>
      <c r="CW10">
        <v>-2.6578874513506889E-2</v>
      </c>
      <c r="CX10">
        <v>0.06</v>
      </c>
      <c r="CY10">
        <v>71.352162504452636</v>
      </c>
      <c r="CZ10">
        <v>108314850.29648139</v>
      </c>
      <c r="DA10">
        <v>0.15374345257878302</v>
      </c>
      <c r="DB10">
        <v>22.100774914202308</v>
      </c>
      <c r="DC10">
        <v>349693566.40221447</v>
      </c>
      <c r="DD10">
        <v>0.14605627994984385</v>
      </c>
      <c r="DE10">
        <v>10.110487739030603</v>
      </c>
      <c r="DF10">
        <v>764404151.36105108</v>
      </c>
      <c r="DG10">
        <v>0.13529423826932907</v>
      </c>
      <c r="DH10">
        <v>5.5764959855393785</v>
      </c>
      <c r="DI10">
        <v>1385905920.140723</v>
      </c>
      <c r="DJ10">
        <v>0.12299476206302642</v>
      </c>
      <c r="DK10">
        <v>2.3710062737372399</v>
      </c>
      <c r="DL10">
        <v>3259585976.4715614</v>
      </c>
      <c r="DM10">
        <v>0.10762041680514811</v>
      </c>
      <c r="DN10">
        <v>99514100</v>
      </c>
      <c r="DO10">
        <v>0.15374345257878302</v>
      </c>
      <c r="DP10">
        <v>7728498800</v>
      </c>
      <c r="DQ10">
        <v>1642377900</v>
      </c>
      <c r="DR10">
        <v>4049</v>
      </c>
      <c r="DS10">
        <v>0.15263763771082517</v>
      </c>
      <c r="DT10">
        <v>0.35088629775571523</v>
      </c>
      <c r="DU10">
        <v>0.75666666666666671</v>
      </c>
      <c r="DV10">
        <v>0.51666666666666661</v>
      </c>
      <c r="DW10">
        <v>1.2733333333333334</v>
      </c>
      <c r="DX10">
        <v>-2.1417999999999999</v>
      </c>
      <c r="DY10">
        <v>0.28757740492170125</v>
      </c>
      <c r="DZ10">
        <v>-2.0110004760178972</v>
      </c>
      <c r="EA10">
        <v>1072</v>
      </c>
      <c r="EB10">
        <v>-2.0085680275254907</v>
      </c>
      <c r="EC10">
        <v>2</v>
      </c>
      <c r="ED10">
        <v>5.0179868196503087E-2</v>
      </c>
      <c r="EE10">
        <v>0.64683612769916976</v>
      </c>
      <c r="EF10">
        <v>-1.0288999999999999</v>
      </c>
      <c r="EG10">
        <v>-1.0024</v>
      </c>
      <c r="EH10">
        <v>21.077577404921701</v>
      </c>
      <c r="EI10" t="s">
        <v>1390</v>
      </c>
      <c r="EJ10">
        <v>0</v>
      </c>
      <c r="EK10">
        <v>1</v>
      </c>
      <c r="EL10">
        <v>44827</v>
      </c>
      <c r="EM10">
        <v>-4.08</v>
      </c>
      <c r="EN10">
        <v>2.23</v>
      </c>
      <c r="EO10">
        <v>1.51</v>
      </c>
      <c r="EP10">
        <v>-0.33</v>
      </c>
      <c r="EQ10">
        <v>-2.65</v>
      </c>
    </row>
    <row r="11" spans="1:147" ht="67.5" x14ac:dyDescent="0.15">
      <c r="A11" s="2"/>
      <c r="B11" s="2"/>
      <c r="C11" s="2"/>
      <c r="D11" s="2" t="s">
        <v>1391</v>
      </c>
      <c r="E11" t="s">
        <v>1140</v>
      </c>
      <c r="F11" t="s">
        <v>1141</v>
      </c>
      <c r="G11">
        <v>2.97</v>
      </c>
      <c r="H11">
        <v>-3.88</v>
      </c>
      <c r="I11" t="s">
        <v>1392</v>
      </c>
      <c r="J11">
        <v>3589112000</v>
      </c>
      <c r="K11">
        <v>53.35</v>
      </c>
      <c r="L11">
        <v>2.7</v>
      </c>
      <c r="M11" t="s">
        <v>97</v>
      </c>
      <c r="N11" t="s">
        <v>1393</v>
      </c>
      <c r="O11" t="s">
        <v>1394</v>
      </c>
      <c r="P11" t="s">
        <v>1395</v>
      </c>
      <c r="Q11">
        <v>19.28</v>
      </c>
      <c r="R11" t="s">
        <v>1396</v>
      </c>
      <c r="S11">
        <v>11176599</v>
      </c>
      <c r="T11">
        <v>1.2250000000000001</v>
      </c>
      <c r="U11" t="s">
        <v>1397</v>
      </c>
      <c r="V11">
        <v>1208268320</v>
      </c>
      <c r="W11">
        <v>1208455220</v>
      </c>
      <c r="X11">
        <v>2</v>
      </c>
      <c r="Y11">
        <v>0.22</v>
      </c>
      <c r="Z11">
        <v>1.9</v>
      </c>
      <c r="AA11" t="s">
        <v>1398</v>
      </c>
      <c r="AB11" t="s">
        <v>736</v>
      </c>
      <c r="AC11" t="s">
        <v>1399</v>
      </c>
      <c r="AD11" t="s">
        <v>1400</v>
      </c>
      <c r="AE11" t="s">
        <v>1401</v>
      </c>
      <c r="AF11">
        <v>19830829</v>
      </c>
      <c r="AG11" t="s">
        <v>37</v>
      </c>
      <c r="AH11" t="s">
        <v>1402</v>
      </c>
      <c r="AI11" t="s">
        <v>1403</v>
      </c>
      <c r="AJ11" t="s">
        <v>61</v>
      </c>
      <c r="AK11" t="s">
        <v>1404</v>
      </c>
      <c r="AL11" t="s">
        <v>7</v>
      </c>
      <c r="AM11" t="s">
        <v>1405</v>
      </c>
      <c r="AN11" t="s">
        <v>1332</v>
      </c>
      <c r="AO11" t="s">
        <v>1406</v>
      </c>
      <c r="AP11" t="s">
        <v>1407</v>
      </c>
      <c r="AQ11" t="s">
        <v>868</v>
      </c>
      <c r="AR11" t="s">
        <v>1408</v>
      </c>
      <c r="AS11" t="s">
        <v>7</v>
      </c>
      <c r="AT11" t="s">
        <v>1409</v>
      </c>
      <c r="AU11" t="s">
        <v>1410</v>
      </c>
      <c r="AV11" t="s">
        <v>1411</v>
      </c>
      <c r="AW11" t="s">
        <v>1412</v>
      </c>
      <c r="AX11" t="s">
        <v>1413</v>
      </c>
      <c r="AY11" t="s">
        <v>1414</v>
      </c>
      <c r="AZ11" t="s">
        <v>1415</v>
      </c>
      <c r="BA11" t="s">
        <v>1416</v>
      </c>
      <c r="BB11" t="s">
        <v>1417</v>
      </c>
      <c r="BC11" t="s">
        <v>1418</v>
      </c>
      <c r="BD11" t="s">
        <v>1419</v>
      </c>
      <c r="BE11" t="s">
        <v>1420</v>
      </c>
      <c r="BF11" t="s">
        <v>1421</v>
      </c>
      <c r="BG11" t="s">
        <v>1422</v>
      </c>
      <c r="BH11" t="s">
        <v>1423</v>
      </c>
      <c r="BI11" t="s">
        <v>1424</v>
      </c>
      <c r="BJ11" t="s">
        <v>1425</v>
      </c>
      <c r="BK11" t="s">
        <v>701</v>
      </c>
      <c r="BL11" t="s">
        <v>1426</v>
      </c>
      <c r="BM11" t="s">
        <v>1427</v>
      </c>
      <c r="BN11" t="s">
        <v>1428</v>
      </c>
      <c r="BO11">
        <v>0.15</v>
      </c>
      <c r="BP11">
        <v>0.3</v>
      </c>
      <c r="BQ11">
        <v>0.55000000000000004</v>
      </c>
      <c r="BR11">
        <v>1.95</v>
      </c>
      <c r="BS11">
        <v>0.5</v>
      </c>
      <c r="BT11">
        <v>0.94</v>
      </c>
      <c r="BU11">
        <v>3.27</v>
      </c>
      <c r="BV11" t="s">
        <v>713</v>
      </c>
      <c r="BW11">
        <v>19.350000000000001</v>
      </c>
      <c r="BX11">
        <v>16.309999999999999</v>
      </c>
      <c r="BY11">
        <v>19.05</v>
      </c>
      <c r="BZ11">
        <v>1.29</v>
      </c>
      <c r="CA11">
        <v>1.56</v>
      </c>
      <c r="CB11">
        <v>4.24</v>
      </c>
      <c r="CC11">
        <v>-21.01</v>
      </c>
      <c r="CD11">
        <v>1.37</v>
      </c>
      <c r="CE11" t="s">
        <v>1429</v>
      </c>
      <c r="CF11" t="s">
        <v>1056</v>
      </c>
      <c r="CG11">
        <v>-0.11008024324324324</v>
      </c>
      <c r="CH11">
        <v>1.259219426328851</v>
      </c>
      <c r="CI11">
        <v>0.35931560397148132</v>
      </c>
      <c r="CJ11">
        <v>-7.8809104859828949E-2</v>
      </c>
      <c r="CK11">
        <v>-0.57132130861282349</v>
      </c>
      <c r="CL11">
        <v>0.29508998990058899</v>
      </c>
      <c r="CM11">
        <v>0.10591394454240799</v>
      </c>
      <c r="CN11">
        <v>-0.44746634364128113</v>
      </c>
      <c r="CO11">
        <v>-0.71069860458374023</v>
      </c>
      <c r="CP11">
        <v>-0.38825124502182007</v>
      </c>
      <c r="CQ11">
        <v>-0.2075219601392746</v>
      </c>
      <c r="CR11">
        <v>0.77307999134063721</v>
      </c>
      <c r="CS11">
        <v>2.5098685314685314</v>
      </c>
      <c r="CT11">
        <v>146733763.84329844</v>
      </c>
      <c r="CU11">
        <v>0.83599999999999997</v>
      </c>
      <c r="CV11">
        <v>2.2037824988365172E-2</v>
      </c>
      <c r="CW11">
        <v>-0.19617163240909577</v>
      </c>
      <c r="CX11">
        <v>0.06</v>
      </c>
      <c r="CY11">
        <v>571.13564472420001</v>
      </c>
      <c r="CZ11">
        <v>6285918.2983293859</v>
      </c>
      <c r="DA11">
        <v>2.2037824988365172E-2</v>
      </c>
      <c r="DB11">
        <v>197.78337344656373</v>
      </c>
      <c r="DC11">
        <v>18151738.123578731</v>
      </c>
      <c r="DD11">
        <v>2.0935933738946911E-2</v>
      </c>
      <c r="DE11">
        <v>104.99232705372971</v>
      </c>
      <c r="DF11">
        <v>34194041.609943211</v>
      </c>
      <c r="DG11">
        <v>1.9393285989761352E-2</v>
      </c>
      <c r="DH11">
        <v>68.447991799761994</v>
      </c>
      <c r="DI11">
        <v>52450216.662346013</v>
      </c>
      <c r="DJ11">
        <v>1.7630259990692138E-2</v>
      </c>
      <c r="DK11">
        <v>41.930376294065638</v>
      </c>
      <c r="DL11">
        <v>85620791.352356762</v>
      </c>
      <c r="DM11">
        <v>1.542647749185562E-2</v>
      </c>
      <c r="DN11">
        <v>6519400.0000000009</v>
      </c>
      <c r="DO11">
        <v>2.2037824988365172E-2</v>
      </c>
      <c r="DP11">
        <v>3590112000</v>
      </c>
      <c r="DQ11">
        <v>454344100</v>
      </c>
      <c r="DR11">
        <v>332</v>
      </c>
      <c r="DS11">
        <v>-0.1321180682316084</v>
      </c>
      <c r="DT11">
        <v>1.4553910587379468</v>
      </c>
      <c r="DU11">
        <v>0.59</v>
      </c>
      <c r="DV11">
        <v>8.3333333333333301E-2</v>
      </c>
      <c r="DW11">
        <v>0.67333333333333323</v>
      </c>
      <c r="DX11">
        <v>-5.0652070442646355</v>
      </c>
      <c r="DY11">
        <v>0.42664771341124441</v>
      </c>
      <c r="DZ11">
        <v>-5.0206476614647029</v>
      </c>
      <c r="EA11">
        <v>2116</v>
      </c>
      <c r="EB11">
        <v>-5.0116132421803128</v>
      </c>
      <c r="EC11">
        <v>5</v>
      </c>
      <c r="ED11">
        <v>0.69096478394954508</v>
      </c>
      <c r="EE11">
        <v>2.1821247129041321</v>
      </c>
      <c r="EF11">
        <v>7.1079100000000004</v>
      </c>
      <c r="EG11">
        <v>7.1467099999999997</v>
      </c>
      <c r="EH11">
        <v>11.316647713411244</v>
      </c>
      <c r="EI11" t="s">
        <v>1430</v>
      </c>
      <c r="EJ11">
        <v>0</v>
      </c>
      <c r="EK11">
        <v>0</v>
      </c>
      <c r="EL11">
        <v>44819</v>
      </c>
      <c r="EM11">
        <v>-1.59</v>
      </c>
      <c r="EN11">
        <v>0.05</v>
      </c>
      <c r="EO11">
        <v>2.92</v>
      </c>
      <c r="EP11">
        <v>-1.25</v>
      </c>
      <c r="EQ11">
        <v>-1.67</v>
      </c>
    </row>
    <row r="12" spans="1:147" ht="67.5" x14ac:dyDescent="0.15">
      <c r="A12" s="2"/>
      <c r="B12" s="2"/>
      <c r="C12" s="2"/>
      <c r="D12" s="2" t="s">
        <v>1431</v>
      </c>
      <c r="E12" t="s">
        <v>1142</v>
      </c>
      <c r="F12" t="s">
        <v>1143</v>
      </c>
      <c r="G12">
        <v>8.3699999999999992</v>
      </c>
      <c r="H12">
        <v>-1.53</v>
      </c>
      <c r="I12" t="s">
        <v>1144</v>
      </c>
      <c r="J12">
        <v>3054837000</v>
      </c>
      <c r="K12">
        <v>62.26</v>
      </c>
      <c r="L12">
        <v>2.31</v>
      </c>
      <c r="M12" t="s">
        <v>352</v>
      </c>
      <c r="N12" t="s">
        <v>1432</v>
      </c>
      <c r="O12" t="s">
        <v>1433</v>
      </c>
      <c r="P12" t="s">
        <v>1434</v>
      </c>
      <c r="Q12">
        <v>32.01</v>
      </c>
      <c r="R12" t="s">
        <v>1435</v>
      </c>
      <c r="S12">
        <v>41411270</v>
      </c>
      <c r="T12">
        <v>0.1109</v>
      </c>
      <c r="U12" t="s">
        <v>1436</v>
      </c>
      <c r="V12">
        <v>364640620</v>
      </c>
      <c r="W12">
        <v>364974550</v>
      </c>
      <c r="X12">
        <v>2</v>
      </c>
      <c r="Y12">
        <v>0.39</v>
      </c>
      <c r="Z12">
        <v>4.33</v>
      </c>
      <c r="AA12" t="s">
        <v>1437</v>
      </c>
      <c r="AB12" t="s">
        <v>1438</v>
      </c>
      <c r="AC12" t="s">
        <v>1439</v>
      </c>
      <c r="AD12" t="s">
        <v>1440</v>
      </c>
      <c r="AE12" t="s">
        <v>1441</v>
      </c>
      <c r="AF12">
        <v>12568875</v>
      </c>
      <c r="AG12" t="s">
        <v>1442</v>
      </c>
      <c r="AH12" t="s">
        <v>1443</v>
      </c>
      <c r="AI12" t="s">
        <v>1444</v>
      </c>
      <c r="AJ12" t="s">
        <v>534</v>
      </c>
      <c r="AK12" t="s">
        <v>1445</v>
      </c>
      <c r="AL12" t="s">
        <v>1446</v>
      </c>
      <c r="AM12" t="s">
        <v>1447</v>
      </c>
      <c r="AN12" t="s">
        <v>1448</v>
      </c>
      <c r="AO12" t="s">
        <v>1449</v>
      </c>
      <c r="AP12" t="s">
        <v>799</v>
      </c>
      <c r="AQ12" t="s">
        <v>1450</v>
      </c>
      <c r="AR12" t="s">
        <v>1451</v>
      </c>
      <c r="AS12" t="s">
        <v>7</v>
      </c>
      <c r="AT12" t="s">
        <v>1452</v>
      </c>
      <c r="AU12" t="s">
        <v>1453</v>
      </c>
      <c r="AV12" t="s">
        <v>1454</v>
      </c>
      <c r="AW12" t="s">
        <v>1454</v>
      </c>
      <c r="AX12" t="s">
        <v>1455</v>
      </c>
      <c r="AY12" t="s">
        <v>1456</v>
      </c>
      <c r="AZ12" t="s">
        <v>1457</v>
      </c>
      <c r="BA12" t="s">
        <v>1458</v>
      </c>
      <c r="BB12" t="s">
        <v>1459</v>
      </c>
      <c r="BC12" t="s">
        <v>1460</v>
      </c>
      <c r="BD12" t="s">
        <v>1461</v>
      </c>
      <c r="BE12" t="s">
        <v>1462</v>
      </c>
      <c r="BF12" t="s">
        <v>1463</v>
      </c>
      <c r="BG12" t="s">
        <v>1464</v>
      </c>
      <c r="BH12" t="s">
        <v>586</v>
      </c>
      <c r="BI12" t="s">
        <v>1465</v>
      </c>
      <c r="BJ12" t="s">
        <v>1466</v>
      </c>
      <c r="BK12" t="s">
        <v>1424</v>
      </c>
      <c r="BL12" t="s">
        <v>1467</v>
      </c>
      <c r="BM12" t="s">
        <v>1468</v>
      </c>
      <c r="BN12" t="s">
        <v>1469</v>
      </c>
      <c r="BO12">
        <v>1.88</v>
      </c>
      <c r="BP12">
        <v>2.1</v>
      </c>
      <c r="BQ12">
        <v>2.78</v>
      </c>
      <c r="BR12">
        <v>1.35</v>
      </c>
      <c r="BS12">
        <v>3.4</v>
      </c>
      <c r="BT12">
        <v>5.28</v>
      </c>
      <c r="BU12">
        <v>2.7</v>
      </c>
      <c r="BV12" t="s">
        <v>499</v>
      </c>
      <c r="BW12">
        <v>20.86</v>
      </c>
      <c r="BX12">
        <v>25.16</v>
      </c>
      <c r="BY12">
        <v>25.68</v>
      </c>
      <c r="BZ12">
        <v>3.9</v>
      </c>
      <c r="CA12">
        <v>4.53</v>
      </c>
      <c r="CB12">
        <v>2.29</v>
      </c>
      <c r="CC12">
        <v>0.24</v>
      </c>
      <c r="CD12">
        <v>-21.41</v>
      </c>
      <c r="CE12" t="s">
        <v>1470</v>
      </c>
      <c r="CF12" t="s">
        <v>461</v>
      </c>
      <c r="CG12">
        <v>0.25051637999999998</v>
      </c>
      <c r="CH12">
        <v>0.11602737941087847</v>
      </c>
      <c r="CI12">
        <v>0.31083843111991882</v>
      </c>
      <c r="CJ12">
        <v>-6.097517441958189E-3</v>
      </c>
      <c r="CK12">
        <v>-8.1518396735191345E-2</v>
      </c>
      <c r="CL12">
        <v>6.0026425868272781E-2</v>
      </c>
      <c r="CM12">
        <v>4.3358612805604935E-2</v>
      </c>
      <c r="CN12">
        <v>-0.24182555079460144</v>
      </c>
      <c r="CO12">
        <v>1.1871656179428101</v>
      </c>
      <c r="CP12">
        <v>-0.27384930849075317</v>
      </c>
      <c r="CQ12">
        <v>-0.11789052188396454</v>
      </c>
      <c r="CR12">
        <v>-0.66423648595809937</v>
      </c>
      <c r="CS12">
        <v>1.5885787831513261</v>
      </c>
      <c r="CT12">
        <v>72191461.37926431</v>
      </c>
      <c r="CU12">
        <v>3.3774000000000002</v>
      </c>
      <c r="CV12">
        <v>6.5321511123329401E-2</v>
      </c>
      <c r="CW12">
        <v>-2.2127249836921693E-2</v>
      </c>
      <c r="CX12">
        <v>0.06</v>
      </c>
      <c r="CY12">
        <v>67.751573382093881</v>
      </c>
      <c r="CZ12">
        <v>45162596.929574579</v>
      </c>
      <c r="DA12">
        <v>6.5321511123329401E-2</v>
      </c>
      <c r="DB12">
        <v>22.60943850372561</v>
      </c>
      <c r="DC12">
        <v>135334497.55931783</v>
      </c>
      <c r="DD12">
        <v>6.2055435567162927E-2</v>
      </c>
      <c r="DE12">
        <v>11.443348784949672</v>
      </c>
      <c r="DF12">
        <v>267389997.23789835</v>
      </c>
      <c r="DG12">
        <v>5.7482929788529875E-2</v>
      </c>
      <c r="DH12">
        <v>7.0877711700991171</v>
      </c>
      <c r="DI12">
        <v>431706516.2753005</v>
      </c>
      <c r="DJ12">
        <v>5.2257208898663525E-2</v>
      </c>
      <c r="DK12">
        <v>3.9135008187896214</v>
      </c>
      <c r="DL12">
        <v>781866963.0293715</v>
      </c>
      <c r="DM12">
        <v>4.5725057786330577E-2</v>
      </c>
      <c r="DN12">
        <v>44937000</v>
      </c>
      <c r="DO12">
        <v>6.5321511123329401E-2</v>
      </c>
      <c r="DP12">
        <v>3059837000</v>
      </c>
      <c r="DQ12">
        <v>692154000</v>
      </c>
      <c r="DR12">
        <v>1753</v>
      </c>
      <c r="DS12">
        <v>0.18519486887667058</v>
      </c>
      <c r="DT12">
        <v>0.13815462924780017</v>
      </c>
      <c r="DU12">
        <v>0.60666666666666669</v>
      </c>
      <c r="DV12">
        <v>0.24000000000000002</v>
      </c>
      <c r="DW12">
        <v>0.84666666666666668</v>
      </c>
      <c r="DX12">
        <v>-3.0611845238095237</v>
      </c>
      <c r="DY12">
        <v>0.27942261306532612</v>
      </c>
      <c r="DZ12">
        <v>-3.0036357442839194</v>
      </c>
      <c r="EA12">
        <v>1798</v>
      </c>
      <c r="EB12">
        <v>-3.0022873391225153</v>
      </c>
      <c r="EC12">
        <v>3</v>
      </c>
      <c r="ED12">
        <v>3.2399793355454509E-2</v>
      </c>
      <c r="EE12">
        <v>0.54524349711507281</v>
      </c>
      <c r="EF12">
        <v>-2.0047999999999999</v>
      </c>
      <c r="EG12">
        <v>-2.01051</v>
      </c>
      <c r="EH12">
        <v>22.059422613065326</v>
      </c>
      <c r="EI12" t="s">
        <v>1471</v>
      </c>
      <c r="EJ12">
        <v>0</v>
      </c>
      <c r="EK12">
        <v>0</v>
      </c>
      <c r="EL12">
        <v>44827</v>
      </c>
      <c r="EM12">
        <v>-2.68</v>
      </c>
      <c r="EN12">
        <v>2.19</v>
      </c>
      <c r="EO12">
        <v>0.71</v>
      </c>
      <c r="EP12">
        <v>0.35</v>
      </c>
      <c r="EQ12">
        <v>-1.53</v>
      </c>
    </row>
  </sheetData>
  <phoneticPr fontId="1" type="noConversion"/>
  <hyperlinks>
    <hyperlink ref="A2" r:id="rId1" xr:uid="{00000000-0004-0000-01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57150</xdr:colOff>
                    <xdr:row>1</xdr:row>
                    <xdr:rowOff>257175</xdr:rowOff>
                  </from>
                  <to>
                    <xdr:col>1</xdr:col>
                    <xdr:colOff>1085850</xdr:colOff>
                    <xdr:row>1</xdr:row>
                    <xdr:rowOff>704850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Q26"/>
  <sheetViews>
    <sheetView topLeftCell="A22" workbookViewId="0">
      <selection activeCell="B26" sqref="B26:EQ26"/>
    </sheetView>
  </sheetViews>
  <sheetFormatPr defaultRowHeight="13.5" x14ac:dyDescent="0.15"/>
  <cols>
    <col min="1" max="1" width="20.5" customWidth="1"/>
    <col min="2" max="2" width="38.75" customWidth="1"/>
    <col min="3" max="3" width="42.25" customWidth="1"/>
    <col min="4" max="4" width="52.5" customWidth="1"/>
    <col min="10" max="10" width="10.5" customWidth="1"/>
  </cols>
  <sheetData>
    <row r="1" spans="1:147" x14ac:dyDescent="0.15">
      <c r="A1" s="12" t="s">
        <v>151</v>
      </c>
      <c r="B1" s="13" t="s">
        <v>8</v>
      </c>
      <c r="C1" s="14" t="s">
        <v>9</v>
      </c>
      <c r="D1" s="13" t="s">
        <v>220</v>
      </c>
      <c r="E1" t="s">
        <v>2</v>
      </c>
      <c r="F1" t="s">
        <v>3</v>
      </c>
      <c r="G1" t="s">
        <v>0</v>
      </c>
      <c r="H1" t="s">
        <v>355</v>
      </c>
      <c r="I1" t="s">
        <v>375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356</v>
      </c>
      <c r="AD1" t="s">
        <v>25</v>
      </c>
      <c r="AE1" t="s">
        <v>26</v>
      </c>
      <c r="AF1" t="s">
        <v>27</v>
      </c>
      <c r="AG1" t="s">
        <v>28</v>
      </c>
      <c r="AH1" t="s">
        <v>357</v>
      </c>
      <c r="AI1" t="s">
        <v>376</v>
      </c>
      <c r="AJ1" t="s">
        <v>358</v>
      </c>
      <c r="AK1" t="s">
        <v>29</v>
      </c>
      <c r="AL1" t="s">
        <v>359</v>
      </c>
      <c r="AM1" t="s">
        <v>152</v>
      </c>
      <c r="AN1" t="s">
        <v>360</v>
      </c>
      <c r="AO1" t="s">
        <v>361</v>
      </c>
      <c r="AP1" t="s">
        <v>362</v>
      </c>
      <c r="AQ1" t="s">
        <v>363</v>
      </c>
      <c r="AR1" t="s">
        <v>364</v>
      </c>
      <c r="AS1" t="s">
        <v>365</v>
      </c>
      <c r="AT1" t="s">
        <v>366</v>
      </c>
      <c r="AU1" t="s">
        <v>367</v>
      </c>
      <c r="AV1" t="s">
        <v>368</v>
      </c>
      <c r="AW1" t="s">
        <v>369</v>
      </c>
      <c r="AX1" t="s">
        <v>370</v>
      </c>
      <c r="AY1" t="s">
        <v>153</v>
      </c>
      <c r="AZ1" t="s">
        <v>154</v>
      </c>
      <c r="BA1" t="s">
        <v>155</v>
      </c>
      <c r="BB1" t="s">
        <v>156</v>
      </c>
      <c r="BC1" t="s">
        <v>157</v>
      </c>
      <c r="BD1" t="s">
        <v>158</v>
      </c>
      <c r="BE1" t="s">
        <v>159</v>
      </c>
      <c r="BF1" t="s">
        <v>160</v>
      </c>
      <c r="BG1" t="s">
        <v>161</v>
      </c>
      <c r="BH1" t="s">
        <v>162</v>
      </c>
      <c r="BI1" t="s">
        <v>346</v>
      </c>
      <c r="BJ1" t="s">
        <v>347</v>
      </c>
      <c r="BK1" t="s">
        <v>348</v>
      </c>
      <c r="BL1" t="s">
        <v>349</v>
      </c>
      <c r="BM1" t="s">
        <v>350</v>
      </c>
      <c r="BN1" t="s">
        <v>351</v>
      </c>
      <c r="BO1" t="s">
        <v>371</v>
      </c>
      <c r="BP1" t="s">
        <v>163</v>
      </c>
      <c r="BQ1" t="s">
        <v>164</v>
      </c>
      <c r="BR1" t="s">
        <v>165</v>
      </c>
      <c r="BS1" t="s">
        <v>372</v>
      </c>
      <c r="BT1" t="s">
        <v>166</v>
      </c>
      <c r="BU1" t="s">
        <v>167</v>
      </c>
      <c r="BV1" t="s">
        <v>168</v>
      </c>
      <c r="BW1" t="s">
        <v>169</v>
      </c>
      <c r="BX1" t="s">
        <v>169</v>
      </c>
      <c r="BY1" t="s">
        <v>170</v>
      </c>
      <c r="BZ1" t="s">
        <v>171</v>
      </c>
      <c r="CA1" t="s">
        <v>171</v>
      </c>
      <c r="CB1" t="s">
        <v>172</v>
      </c>
      <c r="CC1" t="s">
        <v>377</v>
      </c>
      <c r="CD1" t="s">
        <v>378</v>
      </c>
      <c r="CE1" t="s">
        <v>379</v>
      </c>
      <c r="CF1" t="s">
        <v>380</v>
      </c>
      <c r="CG1" t="s">
        <v>193</v>
      </c>
      <c r="CH1" t="s">
        <v>194</v>
      </c>
      <c r="CI1" t="s">
        <v>195</v>
      </c>
      <c r="CJ1" t="s">
        <v>196</v>
      </c>
      <c r="CK1" t="s">
        <v>197</v>
      </c>
      <c r="CL1" t="s">
        <v>198</v>
      </c>
      <c r="CM1" t="s">
        <v>199</v>
      </c>
      <c r="CN1" t="s">
        <v>200</v>
      </c>
      <c r="CO1" t="s">
        <v>201</v>
      </c>
      <c r="CP1" t="s">
        <v>202</v>
      </c>
      <c r="CQ1" t="s">
        <v>203</v>
      </c>
      <c r="CR1" t="s">
        <v>204</v>
      </c>
      <c r="CS1" t="s">
        <v>221</v>
      </c>
      <c r="CT1" t="s">
        <v>205</v>
      </c>
      <c r="CU1" t="s">
        <v>206</v>
      </c>
      <c r="CV1" t="s">
        <v>139</v>
      </c>
      <c r="CW1">
        <v>1</v>
      </c>
      <c r="CX1" t="s">
        <v>207</v>
      </c>
      <c r="CY1" t="s">
        <v>222</v>
      </c>
      <c r="CZ1">
        <v>3</v>
      </c>
      <c r="DA1" t="s">
        <v>223</v>
      </c>
      <c r="DB1" t="s">
        <v>224</v>
      </c>
      <c r="DC1">
        <v>6</v>
      </c>
      <c r="DD1" t="s">
        <v>208</v>
      </c>
      <c r="DE1" t="s">
        <v>209</v>
      </c>
      <c r="DF1">
        <v>10</v>
      </c>
      <c r="DG1" t="s">
        <v>210</v>
      </c>
      <c r="DH1" t="s">
        <v>211</v>
      </c>
      <c r="DI1">
        <v>20</v>
      </c>
      <c r="DJ1" t="s">
        <v>225</v>
      </c>
      <c r="DK1" t="s">
        <v>212</v>
      </c>
      <c r="DL1" t="s">
        <v>213</v>
      </c>
      <c r="DM1" s="1" t="s">
        <v>214</v>
      </c>
      <c r="DN1" t="s">
        <v>226</v>
      </c>
      <c r="DO1" t="s">
        <v>215</v>
      </c>
      <c r="DP1" t="s">
        <v>227</v>
      </c>
      <c r="DQ1" t="s">
        <v>228</v>
      </c>
      <c r="DR1" t="s">
        <v>229</v>
      </c>
      <c r="DS1" t="s">
        <v>230</v>
      </c>
      <c r="DT1" t="s">
        <v>216</v>
      </c>
      <c r="DU1" t="s">
        <v>217</v>
      </c>
      <c r="DV1" t="s">
        <v>231</v>
      </c>
      <c r="DW1" t="s">
        <v>232</v>
      </c>
      <c r="DX1" t="s">
        <v>233</v>
      </c>
      <c r="DY1" t="s">
        <v>234</v>
      </c>
      <c r="DZ1" t="s">
        <v>218</v>
      </c>
      <c r="EA1" t="s">
        <v>219</v>
      </c>
    </row>
    <row r="2" spans="1:147" ht="53.65" customHeight="1" x14ac:dyDescent="0.15">
      <c r="A2" s="17" t="s">
        <v>445</v>
      </c>
      <c r="B2" s="15"/>
      <c r="C2" s="16">
        <v>3</v>
      </c>
      <c r="D2" s="16">
        <v>26</v>
      </c>
      <c r="T2" s="3"/>
    </row>
    <row r="3" spans="1:147" ht="191.25" x14ac:dyDescent="0.15">
      <c r="A3" s="2"/>
      <c r="B3" s="2"/>
      <c r="C3" s="2"/>
      <c r="D3" s="2" t="s">
        <v>1478</v>
      </c>
      <c r="E3" t="s">
        <v>1472</v>
      </c>
      <c r="F3" t="s">
        <v>1473</v>
      </c>
      <c r="G3">
        <v>22.33</v>
      </c>
      <c r="H3">
        <v>-2.19</v>
      </c>
      <c r="I3" t="s">
        <v>1474</v>
      </c>
      <c r="J3">
        <v>84648414000</v>
      </c>
      <c r="K3">
        <v>7.66</v>
      </c>
      <c r="L3">
        <v>1.88</v>
      </c>
      <c r="M3" t="s">
        <v>352</v>
      </c>
      <c r="N3" t="s">
        <v>1479</v>
      </c>
      <c r="O3" t="s">
        <v>1480</v>
      </c>
      <c r="P3" t="s">
        <v>1481</v>
      </c>
      <c r="Q3">
        <v>72.150000000000006</v>
      </c>
      <c r="R3" t="s">
        <v>1482</v>
      </c>
      <c r="S3">
        <v>6905277100</v>
      </c>
      <c r="T3">
        <v>1.2230000000000001</v>
      </c>
      <c r="U3" t="s">
        <v>1483</v>
      </c>
      <c r="V3">
        <v>3790793300</v>
      </c>
      <c r="W3">
        <v>3790793300</v>
      </c>
      <c r="X3">
        <v>2.2000000000000002</v>
      </c>
      <c r="Y3">
        <v>0.28999999999999998</v>
      </c>
      <c r="Z3">
        <v>24.6</v>
      </c>
      <c r="AA3" t="s">
        <v>1484</v>
      </c>
      <c r="AB3" t="s">
        <v>1485</v>
      </c>
      <c r="AC3" t="s">
        <v>1486</v>
      </c>
      <c r="AD3" t="s">
        <v>1487</v>
      </c>
      <c r="AE3" t="s">
        <v>937</v>
      </c>
      <c r="AF3">
        <v>336346940</v>
      </c>
      <c r="AG3" t="s">
        <v>1488</v>
      </c>
      <c r="AH3" t="s">
        <v>1489</v>
      </c>
      <c r="AI3" t="s">
        <v>1490</v>
      </c>
      <c r="AJ3" t="s">
        <v>1491</v>
      </c>
      <c r="AK3" t="s">
        <v>1492</v>
      </c>
      <c r="AL3" t="s">
        <v>1493</v>
      </c>
      <c r="AM3" t="s">
        <v>1494</v>
      </c>
      <c r="AN3" t="s">
        <v>1495</v>
      </c>
      <c r="AO3" t="s">
        <v>1496</v>
      </c>
      <c r="AP3" t="s">
        <v>1497</v>
      </c>
      <c r="AQ3" t="s">
        <v>1498</v>
      </c>
      <c r="AR3" t="s">
        <v>1499</v>
      </c>
      <c r="AS3" t="s">
        <v>7</v>
      </c>
      <c r="AT3" t="s">
        <v>1500</v>
      </c>
      <c r="AU3" t="s">
        <v>1501</v>
      </c>
      <c r="AV3" t="s">
        <v>1502</v>
      </c>
      <c r="AW3" t="s">
        <v>1503</v>
      </c>
      <c r="AX3" t="s">
        <v>1504</v>
      </c>
      <c r="AY3" t="s">
        <v>1505</v>
      </c>
      <c r="AZ3" t="s">
        <v>1506</v>
      </c>
      <c r="BA3" t="s">
        <v>1507</v>
      </c>
      <c r="BB3" t="s">
        <v>1508</v>
      </c>
      <c r="BC3" t="s">
        <v>1509</v>
      </c>
      <c r="BD3" t="s">
        <v>1510</v>
      </c>
      <c r="BE3" t="s">
        <v>1511</v>
      </c>
      <c r="BF3" t="s">
        <v>1512</v>
      </c>
      <c r="BG3" t="s">
        <v>1513</v>
      </c>
      <c r="BH3" t="s">
        <v>1514</v>
      </c>
      <c r="BI3" t="s">
        <v>1515</v>
      </c>
      <c r="BJ3" t="s">
        <v>1516</v>
      </c>
      <c r="BK3" t="s">
        <v>1517</v>
      </c>
      <c r="BL3" t="s">
        <v>1518</v>
      </c>
      <c r="BM3" t="s">
        <v>1519</v>
      </c>
      <c r="BN3" t="s">
        <v>1520</v>
      </c>
      <c r="BO3">
        <v>7.25</v>
      </c>
      <c r="BP3">
        <v>8.32</v>
      </c>
      <c r="BQ3">
        <v>3.17</v>
      </c>
      <c r="BR3">
        <v>2.84</v>
      </c>
      <c r="BS3">
        <v>19.37</v>
      </c>
      <c r="BT3">
        <v>6.93</v>
      </c>
      <c r="BU3">
        <v>5.85</v>
      </c>
      <c r="BV3" t="s">
        <v>1521</v>
      </c>
      <c r="BW3">
        <v>38.89</v>
      </c>
      <c r="BX3">
        <v>20.61</v>
      </c>
      <c r="BY3">
        <v>20.61</v>
      </c>
      <c r="BZ3">
        <v>25.26</v>
      </c>
      <c r="CA3">
        <v>7.25</v>
      </c>
      <c r="CB3">
        <v>6.46</v>
      </c>
      <c r="CC3">
        <v>-1.02</v>
      </c>
      <c r="CD3">
        <v>-7.42</v>
      </c>
      <c r="CE3" t="s">
        <v>1522</v>
      </c>
      <c r="CF3" t="s">
        <v>1523</v>
      </c>
      <c r="CG3">
        <v>0.6562123487053777</v>
      </c>
      <c r="CH3">
        <v>2.8331074974670725</v>
      </c>
      <c r="CI3">
        <v>0.37390574812889099</v>
      </c>
      <c r="CJ3">
        <v>0.2079232931137085</v>
      </c>
      <c r="CK3">
        <v>-6.7480400204658508E-2</v>
      </c>
      <c r="CL3">
        <v>3.5918671637773514E-2</v>
      </c>
      <c r="CM3">
        <v>-4.5766115188598633E-2</v>
      </c>
      <c r="CN3">
        <v>1.9636437892913818</v>
      </c>
      <c r="CO3">
        <v>0.21308225393295288</v>
      </c>
      <c r="CP3">
        <v>-1.46484375E-2</v>
      </c>
      <c r="CQ3">
        <v>-6.739526242017746E-2</v>
      </c>
      <c r="CR3">
        <v>2.7396674267947674E-3</v>
      </c>
      <c r="CS3">
        <v>1.3792901207410666</v>
      </c>
      <c r="CT3">
        <v>97518463.128876641</v>
      </c>
      <c r="CU3">
        <v>15.694800000000001</v>
      </c>
      <c r="CV3">
        <v>0.10090023949742317</v>
      </c>
      <c r="CW3">
        <v>0.41948440214619043</v>
      </c>
      <c r="CX3">
        <v>0.06</v>
      </c>
      <c r="CY3">
        <v>12.917087184398907</v>
      </c>
      <c r="CZ3">
        <v>7534935129.7677402</v>
      </c>
      <c r="DA3">
        <v>0.10090023949742317</v>
      </c>
      <c r="DB3">
        <v>4.1824486024826779</v>
      </c>
      <c r="DC3">
        <v>23270916931.824532</v>
      </c>
      <c r="DD3">
        <v>9.5855227522552017E-2</v>
      </c>
      <c r="DE3">
        <v>2.0335912001109255</v>
      </c>
      <c r="DF3">
        <v>47860855217.455215</v>
      </c>
      <c r="DG3">
        <v>8.8792210757732401E-2</v>
      </c>
      <c r="DH3">
        <v>1.2041894816539285</v>
      </c>
      <c r="DI3">
        <v>80825663637.52002</v>
      </c>
      <c r="DJ3">
        <v>8.0720191597938543E-2</v>
      </c>
      <c r="DK3">
        <v>0.60305247238659576</v>
      </c>
      <c r="DL3">
        <v>161394602388.10782</v>
      </c>
      <c r="DM3">
        <v>7.0630167648196213E-2</v>
      </c>
      <c r="DN3">
        <v>7255000000</v>
      </c>
      <c r="DO3">
        <v>0.10090023949742317</v>
      </c>
      <c r="DP3">
        <v>97329414000</v>
      </c>
      <c r="DQ3">
        <v>18327519000</v>
      </c>
      <c r="DR3">
        <v>2771</v>
      </c>
      <c r="DS3">
        <v>0.55531210920795449</v>
      </c>
      <c r="DT3">
        <v>2.4136230953208822</v>
      </c>
      <c r="DU3">
        <v>0.75666666666666671</v>
      </c>
      <c r="DV3">
        <v>1.05</v>
      </c>
      <c r="DW3">
        <v>1.8066666666666666</v>
      </c>
      <c r="DX3">
        <v>-2.0741999999999998</v>
      </c>
      <c r="DY3">
        <v>0.35133012820512777</v>
      </c>
      <c r="DZ3">
        <v>-2.0060346955128203</v>
      </c>
      <c r="EA3">
        <v>445</v>
      </c>
      <c r="EB3">
        <v>-2.0054807682225553</v>
      </c>
      <c r="EC3">
        <v>2</v>
      </c>
      <c r="ED3">
        <v>5.3550796346506141E-2</v>
      </c>
      <c r="EE3">
        <v>0.658437377738322</v>
      </c>
      <c r="EF3">
        <v>-1.0065</v>
      </c>
      <c r="EG3">
        <v>-1.0154099999999999</v>
      </c>
      <c r="EH3">
        <v>27.081330128205128</v>
      </c>
      <c r="EI3" t="s">
        <v>374</v>
      </c>
      <c r="EJ3">
        <v>0</v>
      </c>
      <c r="EK3">
        <v>1</v>
      </c>
      <c r="EL3">
        <v>44827</v>
      </c>
      <c r="EM3">
        <v>-3.75</v>
      </c>
      <c r="EN3">
        <v>1.19</v>
      </c>
      <c r="EO3">
        <v>-0.52</v>
      </c>
      <c r="EP3">
        <v>0.13</v>
      </c>
      <c r="EQ3">
        <v>-2.19</v>
      </c>
    </row>
    <row r="4" spans="1:147" ht="67.5" x14ac:dyDescent="0.15">
      <c r="A4" s="2"/>
      <c r="B4" s="2"/>
      <c r="C4" s="2"/>
      <c r="D4" s="2" t="s">
        <v>1035</v>
      </c>
      <c r="E4" t="s">
        <v>1031</v>
      </c>
      <c r="F4" t="s">
        <v>1032</v>
      </c>
      <c r="G4">
        <v>23.13</v>
      </c>
      <c r="H4">
        <v>-4.38</v>
      </c>
      <c r="I4" t="s">
        <v>1036</v>
      </c>
      <c r="J4">
        <v>78941525000</v>
      </c>
      <c r="K4">
        <v>45.22</v>
      </c>
      <c r="L4">
        <v>2.81</v>
      </c>
      <c r="M4" t="s">
        <v>97</v>
      </c>
      <c r="N4" t="s">
        <v>1037</v>
      </c>
      <c r="O4" t="s">
        <v>1038</v>
      </c>
      <c r="P4" t="s">
        <v>1039</v>
      </c>
      <c r="Q4">
        <v>-16.68</v>
      </c>
      <c r="R4" t="s">
        <v>1040</v>
      </c>
      <c r="S4">
        <v>1824085400</v>
      </c>
      <c r="T4">
        <v>6.2859999999999996</v>
      </c>
      <c r="U4" t="s">
        <v>1041</v>
      </c>
      <c r="V4">
        <v>3412949700</v>
      </c>
      <c r="W4">
        <v>3412949700</v>
      </c>
      <c r="X4">
        <v>1.66</v>
      </c>
      <c r="Y4">
        <v>0.43</v>
      </c>
      <c r="Z4">
        <v>9.26</v>
      </c>
      <c r="AA4" t="s">
        <v>1042</v>
      </c>
      <c r="AB4" t="s">
        <v>1043</v>
      </c>
      <c r="AC4" t="s">
        <v>1044</v>
      </c>
      <c r="AD4" t="s">
        <v>939</v>
      </c>
      <c r="AE4" t="s">
        <v>1045</v>
      </c>
      <c r="AF4">
        <v>2143828</v>
      </c>
      <c r="AG4" t="s">
        <v>1046</v>
      </c>
      <c r="AH4" t="s">
        <v>1047</v>
      </c>
      <c r="AI4" t="s">
        <v>1048</v>
      </c>
      <c r="AJ4" t="s">
        <v>1049</v>
      </c>
      <c r="AK4" t="s">
        <v>1050</v>
      </c>
      <c r="AL4" t="s">
        <v>1051</v>
      </c>
      <c r="AM4" t="s">
        <v>1052</v>
      </c>
      <c r="AN4" t="s">
        <v>1053</v>
      </c>
      <c r="AO4" t="s">
        <v>1054</v>
      </c>
      <c r="AP4" t="s">
        <v>1055</v>
      </c>
      <c r="AQ4" t="s">
        <v>1056</v>
      </c>
      <c r="AR4" t="s">
        <v>1057</v>
      </c>
      <c r="AS4" t="s">
        <v>1058</v>
      </c>
      <c r="AT4" t="s">
        <v>1059</v>
      </c>
      <c r="AU4" t="s">
        <v>1060</v>
      </c>
      <c r="AV4" t="s">
        <v>1061</v>
      </c>
      <c r="AW4" t="s">
        <v>1062</v>
      </c>
      <c r="AX4" t="s">
        <v>1063</v>
      </c>
      <c r="AY4" t="s">
        <v>1064</v>
      </c>
      <c r="AZ4" t="s">
        <v>1065</v>
      </c>
      <c r="BA4" t="s">
        <v>1066</v>
      </c>
      <c r="BB4" t="s">
        <v>1067</v>
      </c>
      <c r="BC4" t="s">
        <v>1068</v>
      </c>
      <c r="BD4" t="s">
        <v>1069</v>
      </c>
      <c r="BE4" t="s">
        <v>1070</v>
      </c>
      <c r="BF4" t="s">
        <v>1071</v>
      </c>
      <c r="BG4" t="s">
        <v>1072</v>
      </c>
      <c r="BH4" t="s">
        <v>1073</v>
      </c>
      <c r="BI4" t="s">
        <v>1074</v>
      </c>
      <c r="BJ4" t="s">
        <v>1075</v>
      </c>
      <c r="BK4" t="s">
        <v>1076</v>
      </c>
      <c r="BL4" t="s">
        <v>1077</v>
      </c>
      <c r="BM4" t="s">
        <v>50</v>
      </c>
      <c r="BN4" t="s">
        <v>1078</v>
      </c>
      <c r="BO4">
        <v>2.66</v>
      </c>
      <c r="BP4">
        <v>0.45</v>
      </c>
      <c r="BQ4">
        <v>6.33</v>
      </c>
      <c r="BR4">
        <v>6.72</v>
      </c>
      <c r="BS4">
        <v>0.73</v>
      </c>
      <c r="BT4">
        <v>10.14</v>
      </c>
      <c r="BU4">
        <v>9.6999999999999993</v>
      </c>
      <c r="BV4" t="s">
        <v>713</v>
      </c>
      <c r="BW4">
        <v>22.91</v>
      </c>
      <c r="BX4">
        <v>13.9</v>
      </c>
      <c r="BY4">
        <v>12.83</v>
      </c>
      <c r="BZ4">
        <v>11.41</v>
      </c>
      <c r="CA4">
        <v>5.63</v>
      </c>
      <c r="CB4">
        <v>5.08</v>
      </c>
      <c r="CC4">
        <v>-9.65</v>
      </c>
      <c r="CD4">
        <v>3.26</v>
      </c>
      <c r="CE4" t="s">
        <v>58</v>
      </c>
      <c r="CF4" t="s">
        <v>715</v>
      </c>
      <c r="CG4">
        <v>-0.19379094181163767</v>
      </c>
      <c r="CH4">
        <v>4.3118254098360644</v>
      </c>
      <c r="CI4">
        <v>9.6977338194847107E-2</v>
      </c>
      <c r="CJ4">
        <v>8.6491778492927551E-2</v>
      </c>
      <c r="CK4">
        <v>0.14172860980033875</v>
      </c>
      <c r="CL4">
        <v>0.25273266434669495</v>
      </c>
      <c r="CM4">
        <v>0.28292584419250488</v>
      </c>
      <c r="CN4">
        <v>-0.92439562082290649</v>
      </c>
      <c r="CO4">
        <v>0.1554088294506073</v>
      </c>
      <c r="CP4">
        <v>-7.2101756930351257E-2</v>
      </c>
      <c r="CQ4">
        <v>0.19012904167175293</v>
      </c>
      <c r="CR4">
        <v>0.12279593199491501</v>
      </c>
      <c r="CS4">
        <v>1.7100605463249789</v>
      </c>
      <c r="CT4">
        <v>1043089127.9069767</v>
      </c>
      <c r="CU4">
        <v>6.609788</v>
      </c>
      <c r="CV4">
        <v>0.17217124700546266</v>
      </c>
      <c r="CW4">
        <v>-0.1056327149271965</v>
      </c>
      <c r="CX4">
        <v>0.06</v>
      </c>
      <c r="CY4">
        <v>362.70256212222415</v>
      </c>
      <c r="CZ4">
        <v>190201372.15560335</v>
      </c>
      <c r="DA4">
        <v>0.17217124700546266</v>
      </c>
      <c r="DB4">
        <v>110.63427619220711</v>
      </c>
      <c r="DC4">
        <v>623554718.97469056</v>
      </c>
      <c r="DD4">
        <v>0.16356268465518953</v>
      </c>
      <c r="DE4">
        <v>49.531741357546075</v>
      </c>
      <c r="DF4">
        <v>1392774069.9043689</v>
      </c>
      <c r="DG4">
        <v>0.15151069736480713</v>
      </c>
      <c r="DH4">
        <v>26.622713869551195</v>
      </c>
      <c r="DI4">
        <v>2591265689.0663934</v>
      </c>
      <c r="DJ4">
        <v>0.13773699760437014</v>
      </c>
      <c r="DK4">
        <v>10.640890055153646</v>
      </c>
      <c r="DL4">
        <v>6483153631.1746893</v>
      </c>
      <c r="DM4">
        <v>0.12051987290382385</v>
      </c>
      <c r="DN4">
        <v>172000000</v>
      </c>
      <c r="DO4">
        <v>0.17217124700546266</v>
      </c>
      <c r="DP4">
        <v>68986525000</v>
      </c>
      <c r="DQ4">
        <v>16570055000</v>
      </c>
      <c r="DR4">
        <v>3104</v>
      </c>
      <c r="DS4">
        <v>-0.3659621888171003</v>
      </c>
      <c r="DT4">
        <v>4.4174581247632609</v>
      </c>
      <c r="DU4">
        <v>-3.3333333333333726E-3</v>
      </c>
      <c r="DV4">
        <v>0.53333333333333333</v>
      </c>
      <c r="DW4">
        <v>0.52999999999999992</v>
      </c>
      <c r="DX4">
        <v>-5.3378238341968913</v>
      </c>
      <c r="DY4">
        <v>0.51502476204645975</v>
      </c>
      <c r="DZ4">
        <v>-5.0388581061421194</v>
      </c>
      <c r="EA4">
        <v>2402</v>
      </c>
      <c r="EB4">
        <v>-5.0195576158705375</v>
      </c>
      <c r="EC4">
        <v>5</v>
      </c>
      <c r="ED4">
        <v>6.1237351373798446E-2</v>
      </c>
      <c r="EE4">
        <v>0.53238405476646788</v>
      </c>
      <c r="EF4">
        <v>1.0839000000000001</v>
      </c>
      <c r="EG4">
        <v>1.0401</v>
      </c>
      <c r="EH4">
        <v>40.11502476204646</v>
      </c>
      <c r="EI4" t="s">
        <v>470</v>
      </c>
      <c r="EJ4">
        <v>0</v>
      </c>
      <c r="EK4">
        <v>0</v>
      </c>
      <c r="EL4">
        <v>44819</v>
      </c>
      <c r="EM4">
        <v>-1.61</v>
      </c>
      <c r="EN4">
        <v>0</v>
      </c>
      <c r="EO4">
        <v>1.64</v>
      </c>
      <c r="EP4">
        <v>-2.34</v>
      </c>
      <c r="EQ4">
        <v>-1.75</v>
      </c>
    </row>
    <row r="5" spans="1:147" ht="67.5" x14ac:dyDescent="0.15">
      <c r="A5" s="2"/>
      <c r="B5" s="2"/>
      <c r="C5" s="2"/>
      <c r="D5" s="2" t="s">
        <v>811</v>
      </c>
      <c r="E5" t="s">
        <v>182</v>
      </c>
      <c r="F5" t="s">
        <v>183</v>
      </c>
      <c r="G5">
        <v>74.16</v>
      </c>
      <c r="H5">
        <v>-2.41</v>
      </c>
      <c r="I5" t="s">
        <v>1015</v>
      </c>
      <c r="J5">
        <v>51000972000</v>
      </c>
      <c r="K5">
        <v>47.48</v>
      </c>
      <c r="L5">
        <v>10.08</v>
      </c>
      <c r="M5" t="s">
        <v>352</v>
      </c>
      <c r="N5" t="s">
        <v>1016</v>
      </c>
      <c r="O5" t="s">
        <v>812</v>
      </c>
      <c r="P5" t="s">
        <v>813</v>
      </c>
      <c r="Q5">
        <v>13.96</v>
      </c>
      <c r="R5" t="s">
        <v>405</v>
      </c>
      <c r="S5">
        <v>522171540</v>
      </c>
      <c r="T5">
        <v>-0.1802</v>
      </c>
      <c r="U5" t="s">
        <v>181</v>
      </c>
      <c r="V5">
        <v>687715370</v>
      </c>
      <c r="W5">
        <v>687715370</v>
      </c>
      <c r="X5">
        <v>1.76</v>
      </c>
      <c r="Y5">
        <v>0.45</v>
      </c>
      <c r="Z5">
        <v>13.53</v>
      </c>
      <c r="AA5" t="s">
        <v>518</v>
      </c>
      <c r="AB5" t="s">
        <v>1017</v>
      </c>
      <c r="AC5" t="s">
        <v>814</v>
      </c>
      <c r="AD5" t="s">
        <v>815</v>
      </c>
      <c r="AE5" t="s">
        <v>586</v>
      </c>
      <c r="AF5">
        <v>5121562</v>
      </c>
      <c r="AG5" t="s">
        <v>816</v>
      </c>
      <c r="AH5" t="s">
        <v>817</v>
      </c>
      <c r="AI5" t="s">
        <v>818</v>
      </c>
      <c r="AJ5" t="s">
        <v>598</v>
      </c>
      <c r="AK5" t="s">
        <v>819</v>
      </c>
      <c r="AL5" t="s">
        <v>820</v>
      </c>
      <c r="AM5" t="s">
        <v>821</v>
      </c>
      <c r="AN5" t="s">
        <v>822</v>
      </c>
      <c r="AO5" t="s">
        <v>823</v>
      </c>
      <c r="AP5" t="s">
        <v>730</v>
      </c>
      <c r="AQ5" t="s">
        <v>824</v>
      </c>
      <c r="AR5" t="s">
        <v>825</v>
      </c>
      <c r="AS5" t="s">
        <v>7</v>
      </c>
      <c r="AT5" t="s">
        <v>826</v>
      </c>
      <c r="AU5" t="s">
        <v>827</v>
      </c>
      <c r="AV5" t="s">
        <v>828</v>
      </c>
      <c r="AW5" t="s">
        <v>829</v>
      </c>
      <c r="AX5" t="s">
        <v>830</v>
      </c>
      <c r="AY5" t="s">
        <v>184</v>
      </c>
      <c r="AZ5" t="s">
        <v>185</v>
      </c>
      <c r="BA5" t="s">
        <v>186</v>
      </c>
      <c r="BB5" t="s">
        <v>118</v>
      </c>
      <c r="BC5" t="s">
        <v>187</v>
      </c>
      <c r="BD5" t="s">
        <v>74</v>
      </c>
      <c r="BE5" t="s">
        <v>112</v>
      </c>
      <c r="BF5" t="s">
        <v>69</v>
      </c>
      <c r="BG5" t="s">
        <v>188</v>
      </c>
      <c r="BH5" t="s">
        <v>189</v>
      </c>
      <c r="BI5" t="s">
        <v>831</v>
      </c>
      <c r="BJ5" t="s">
        <v>832</v>
      </c>
      <c r="BK5" t="s">
        <v>442</v>
      </c>
      <c r="BL5" t="s">
        <v>89</v>
      </c>
      <c r="BM5" t="s">
        <v>833</v>
      </c>
      <c r="BN5" t="s">
        <v>89</v>
      </c>
      <c r="BO5">
        <v>7.01</v>
      </c>
      <c r="BP5">
        <v>19.2</v>
      </c>
      <c r="BQ5">
        <v>21.21</v>
      </c>
      <c r="BR5">
        <v>14.81</v>
      </c>
      <c r="BS5">
        <v>32.18</v>
      </c>
      <c r="BT5">
        <v>34.24</v>
      </c>
      <c r="BU5">
        <v>23.48</v>
      </c>
      <c r="BV5" t="s">
        <v>499</v>
      </c>
      <c r="BW5">
        <v>27.14</v>
      </c>
      <c r="BX5">
        <v>30.55</v>
      </c>
      <c r="BY5">
        <v>24.87</v>
      </c>
      <c r="BZ5">
        <v>15.33</v>
      </c>
      <c r="CA5">
        <v>17.559999999999999</v>
      </c>
      <c r="CB5">
        <v>12.25</v>
      </c>
      <c r="CC5">
        <v>-4.6399999999999997</v>
      </c>
      <c r="CD5">
        <v>-2.2400000000000002</v>
      </c>
      <c r="CE5" t="s">
        <v>1018</v>
      </c>
      <c r="CF5" t="s">
        <v>765</v>
      </c>
      <c r="CG5">
        <v>5.2792581143740601E-2</v>
      </c>
      <c r="CH5">
        <v>-0.31985643454038998</v>
      </c>
      <c r="CI5">
        <v>0.57007110118865967</v>
      </c>
      <c r="CJ5">
        <v>0.36910581588745117</v>
      </c>
      <c r="CK5">
        <v>0.22023805975914001</v>
      </c>
      <c r="CL5">
        <v>0.46653735637664795</v>
      </c>
      <c r="CM5">
        <v>0.18369689583778381</v>
      </c>
      <c r="CN5">
        <v>0.34047344326972961</v>
      </c>
      <c r="CO5">
        <v>0.96238940954208374</v>
      </c>
      <c r="CP5">
        <v>1.6432749032974243</v>
      </c>
      <c r="CQ5">
        <v>2.4068088531494141</v>
      </c>
      <c r="CR5">
        <v>-3.2009471207857132E-2</v>
      </c>
      <c r="CS5">
        <v>6.4297745839636917</v>
      </c>
      <c r="CT5">
        <v>44495507.989907488</v>
      </c>
      <c r="CU5">
        <v>10.71576</v>
      </c>
      <c r="CV5">
        <v>0.36192984580993653</v>
      </c>
      <c r="CW5">
        <v>1.0641874276101588</v>
      </c>
      <c r="CX5">
        <v>0.06</v>
      </c>
      <c r="CY5">
        <v>32.573682273121229</v>
      </c>
      <c r="CZ5">
        <v>1527674138.3660514</v>
      </c>
      <c r="DA5">
        <v>0.36192984580993653</v>
      </c>
      <c r="DB5">
        <v>8.5193081457558826</v>
      </c>
      <c r="DC5">
        <v>5841081358.7944031</v>
      </c>
      <c r="DD5">
        <v>0.34383335351943967</v>
      </c>
      <c r="DE5">
        <v>3.0347753945979385</v>
      </c>
      <c r="DF5">
        <v>16397250382.541967</v>
      </c>
      <c r="DG5">
        <v>0.31849826431274414</v>
      </c>
      <c r="DH5">
        <v>1.2211358906690617</v>
      </c>
      <c r="DI5">
        <v>40750560507.01725</v>
      </c>
      <c r="DJ5">
        <v>0.28954387664794923</v>
      </c>
      <c r="DK5">
        <v>0.23450243669516582</v>
      </c>
      <c r="DL5">
        <v>212202366428.65479</v>
      </c>
      <c r="DM5">
        <v>0.25335089206695555</v>
      </c>
      <c r="DN5">
        <v>1189000000</v>
      </c>
      <c r="DO5">
        <v>0.36192984580993653</v>
      </c>
      <c r="DP5">
        <v>49761972000</v>
      </c>
      <c r="DQ5">
        <v>3831615400</v>
      </c>
      <c r="DR5">
        <v>4038</v>
      </c>
      <c r="DS5">
        <v>-0.30913726466619595</v>
      </c>
      <c r="DT5">
        <v>-1.3840438621505489</v>
      </c>
      <c r="DU5">
        <v>0.66666666666666663</v>
      </c>
      <c r="DV5">
        <v>1.0366666666666668</v>
      </c>
      <c r="DW5">
        <v>1.7033333333333336</v>
      </c>
      <c r="DX5">
        <v>-4.4827586206896557</v>
      </c>
      <c r="DY5">
        <v>0.50523488372093339</v>
      </c>
      <c r="DZ5">
        <v>-4.0652858059342423</v>
      </c>
      <c r="EA5">
        <v>542</v>
      </c>
      <c r="EB5">
        <v>-4.0579869390166765</v>
      </c>
      <c r="EC5">
        <v>4</v>
      </c>
      <c r="ED5">
        <v>5.0734070404737354E-2</v>
      </c>
      <c r="EE5">
        <v>0.37515520410718756</v>
      </c>
      <c r="EF5">
        <v>4.0134100000000004</v>
      </c>
      <c r="EG5">
        <v>4.0375100000000002</v>
      </c>
      <c r="EH5">
        <v>37.135234883720933</v>
      </c>
      <c r="EI5" t="s">
        <v>1019</v>
      </c>
      <c r="EJ5">
        <v>0</v>
      </c>
      <c r="EK5">
        <v>1</v>
      </c>
      <c r="EL5">
        <v>44827</v>
      </c>
      <c r="EM5">
        <v>-1.31</v>
      </c>
      <c r="EN5">
        <v>1.22</v>
      </c>
      <c r="EO5">
        <v>-2.62</v>
      </c>
      <c r="EP5">
        <v>0.38</v>
      </c>
      <c r="EQ5">
        <v>-2.41</v>
      </c>
    </row>
    <row r="6" spans="1:147" ht="67.5" x14ac:dyDescent="0.15">
      <c r="A6" s="2"/>
      <c r="B6" s="2"/>
      <c r="C6" s="2"/>
      <c r="D6" s="2" t="s">
        <v>1079</v>
      </c>
      <c r="E6" t="s">
        <v>1033</v>
      </c>
      <c r="F6" t="s">
        <v>1034</v>
      </c>
      <c r="G6">
        <v>17.53</v>
      </c>
      <c r="H6">
        <v>-6.11</v>
      </c>
      <c r="I6" t="s">
        <v>1080</v>
      </c>
      <c r="J6">
        <v>41409557000</v>
      </c>
      <c r="K6">
        <v>25.48</v>
      </c>
      <c r="L6">
        <v>1.98</v>
      </c>
      <c r="M6" t="s">
        <v>97</v>
      </c>
      <c r="N6" t="s">
        <v>1081</v>
      </c>
      <c r="O6" t="s">
        <v>1082</v>
      </c>
      <c r="P6" t="s">
        <v>1083</v>
      </c>
      <c r="Q6">
        <v>22.42</v>
      </c>
      <c r="R6" t="s">
        <v>1084</v>
      </c>
      <c r="S6">
        <v>860106680</v>
      </c>
      <c r="T6">
        <v>0.28170000000000001</v>
      </c>
      <c r="U6" t="s">
        <v>1085</v>
      </c>
      <c r="V6">
        <v>2362210900</v>
      </c>
      <c r="W6">
        <v>2362210900</v>
      </c>
      <c r="X6">
        <v>2.25</v>
      </c>
      <c r="Y6">
        <v>0.41</v>
      </c>
      <c r="Z6">
        <v>4.1900000000000004</v>
      </c>
      <c r="AA6" t="s">
        <v>1086</v>
      </c>
      <c r="AB6" t="s">
        <v>1087</v>
      </c>
      <c r="AC6" t="s">
        <v>1088</v>
      </c>
      <c r="AD6" t="s">
        <v>1089</v>
      </c>
      <c r="AE6" t="s">
        <v>1090</v>
      </c>
      <c r="AF6">
        <v>221114020</v>
      </c>
      <c r="AG6" t="s">
        <v>1091</v>
      </c>
      <c r="AH6" t="s">
        <v>1092</v>
      </c>
      <c r="AI6" t="s">
        <v>1093</v>
      </c>
      <c r="AJ6" t="s">
        <v>1094</v>
      </c>
      <c r="AK6" t="s">
        <v>1095</v>
      </c>
      <c r="AL6" t="s">
        <v>1096</v>
      </c>
      <c r="AM6" t="s">
        <v>1097</v>
      </c>
      <c r="AN6" t="s">
        <v>1098</v>
      </c>
      <c r="AO6" t="s">
        <v>1099</v>
      </c>
      <c r="AP6" t="s">
        <v>1100</v>
      </c>
      <c r="AQ6" t="s">
        <v>1101</v>
      </c>
      <c r="AR6" t="s">
        <v>1102</v>
      </c>
      <c r="AS6" t="s">
        <v>7</v>
      </c>
      <c r="AT6" t="s">
        <v>1103</v>
      </c>
      <c r="AU6" t="s">
        <v>1104</v>
      </c>
      <c r="AV6" t="s">
        <v>1105</v>
      </c>
      <c r="AW6" t="s">
        <v>1106</v>
      </c>
      <c r="AX6" t="s">
        <v>1107</v>
      </c>
      <c r="AY6" t="s">
        <v>1108</v>
      </c>
      <c r="AZ6" t="s">
        <v>1109</v>
      </c>
      <c r="BA6" t="s">
        <v>1110</v>
      </c>
      <c r="BB6" t="s">
        <v>1111</v>
      </c>
      <c r="BC6" t="s">
        <v>1112</v>
      </c>
      <c r="BD6" t="s">
        <v>1113</v>
      </c>
      <c r="BE6" t="s">
        <v>1114</v>
      </c>
      <c r="BF6" t="s">
        <v>1115</v>
      </c>
      <c r="BG6" t="s">
        <v>1116</v>
      </c>
      <c r="BH6" t="s">
        <v>1117</v>
      </c>
      <c r="BI6" t="s">
        <v>1118</v>
      </c>
      <c r="BJ6" t="s">
        <v>1119</v>
      </c>
      <c r="BK6" t="s">
        <v>1120</v>
      </c>
      <c r="BL6" t="s">
        <v>1121</v>
      </c>
      <c r="BM6" t="s">
        <v>1122</v>
      </c>
      <c r="BN6" t="s">
        <v>1123</v>
      </c>
      <c r="BO6">
        <v>0.83</v>
      </c>
      <c r="BP6">
        <v>3.59</v>
      </c>
      <c r="BQ6">
        <v>2.96</v>
      </c>
      <c r="BR6">
        <v>4.43</v>
      </c>
      <c r="BS6">
        <v>7.02</v>
      </c>
      <c r="BT6">
        <v>7.36</v>
      </c>
      <c r="BU6">
        <v>10.34</v>
      </c>
      <c r="BV6" t="s">
        <v>713</v>
      </c>
      <c r="BW6">
        <v>14.95</v>
      </c>
      <c r="BX6">
        <v>16.399999999999999</v>
      </c>
      <c r="BY6">
        <v>17.96</v>
      </c>
      <c r="BZ6">
        <v>3.73</v>
      </c>
      <c r="CA6">
        <v>3.58</v>
      </c>
      <c r="CB6">
        <v>4.4800000000000004</v>
      </c>
      <c r="CC6">
        <v>-10.65</v>
      </c>
      <c r="CD6">
        <v>11.87</v>
      </c>
      <c r="CE6" t="s">
        <v>1124</v>
      </c>
      <c r="CF6" t="s">
        <v>1125</v>
      </c>
      <c r="CG6">
        <v>0.15076829378327167</v>
      </c>
      <c r="CH6">
        <v>0.26807538083538085</v>
      </c>
      <c r="CI6">
        <v>0.2744256854057312</v>
      </c>
      <c r="CJ6">
        <v>8.4164708852767944E-2</v>
      </c>
      <c r="CK6">
        <v>-4.1673504747450352E-3</v>
      </c>
      <c r="CL6">
        <v>0.22149376571178436</v>
      </c>
      <c r="CM6">
        <v>0.27226570248603821</v>
      </c>
      <c r="CN6">
        <v>0.35216572880744934</v>
      </c>
      <c r="CO6">
        <v>-0.22026431560516357</v>
      </c>
      <c r="CP6">
        <v>-0.4620853066444397</v>
      </c>
      <c r="CQ6">
        <v>0.20285038650035858</v>
      </c>
      <c r="CR6">
        <v>0.59954404830932617</v>
      </c>
      <c r="CS6">
        <v>1.0033572484311017</v>
      </c>
      <c r="CT6">
        <v>61657104.456824511</v>
      </c>
      <c r="CU6">
        <v>3.8652750000000005</v>
      </c>
      <c r="CV6">
        <v>0.16963650239631534</v>
      </c>
      <c r="CW6">
        <v>9.4442108273506159E-2</v>
      </c>
      <c r="CX6">
        <v>0.06</v>
      </c>
      <c r="CY6">
        <v>30.045290537364789</v>
      </c>
      <c r="CZ6">
        <v>1584526431.5482156</v>
      </c>
      <c r="DA6">
        <v>0.16963650239631534</v>
      </c>
      <c r="DB6">
        <v>9.1839595887609295</v>
      </c>
      <c r="DC6">
        <v>5183772482.8690214</v>
      </c>
      <c r="DD6">
        <v>0.16115467727649957</v>
      </c>
      <c r="DE6">
        <v>4.1239812919107024</v>
      </c>
      <c r="DF6">
        <v>11544076859.267881</v>
      </c>
      <c r="DG6">
        <v>0.14928012210875749</v>
      </c>
      <c r="DH6">
        <v>2.2245492438930374</v>
      </c>
      <c r="DI6">
        <v>21400990394.209095</v>
      </c>
      <c r="DJ6">
        <v>0.13570920191705227</v>
      </c>
      <c r="DK6">
        <v>0.89684671450324061</v>
      </c>
      <c r="DL6">
        <v>53083270786.54641</v>
      </c>
      <c r="DM6">
        <v>0.11874555167742072</v>
      </c>
      <c r="DN6">
        <v>1436000000</v>
      </c>
      <c r="DO6">
        <v>0.16963650239631534</v>
      </c>
      <c r="DP6">
        <v>47607557000</v>
      </c>
      <c r="DQ6">
        <v>12218951000</v>
      </c>
      <c r="DR6">
        <v>3073</v>
      </c>
      <c r="DS6">
        <v>-1.8868208613043669E-2</v>
      </c>
      <c r="DT6">
        <v>0.17363327256187469</v>
      </c>
      <c r="DU6">
        <v>0.60333333333333328</v>
      </c>
      <c r="DV6">
        <v>0.44</v>
      </c>
      <c r="DW6">
        <v>1.0433333333333332</v>
      </c>
      <c r="DX6">
        <v>-7.4729129662522205</v>
      </c>
      <c r="DY6">
        <v>0.52182448036951856</v>
      </c>
      <c r="DZ6">
        <v>-7.0576123763736831</v>
      </c>
      <c r="EA6">
        <v>1296</v>
      </c>
      <c r="EB6">
        <v>-7.0421728313405376</v>
      </c>
      <c r="EC6">
        <v>7</v>
      </c>
      <c r="ED6">
        <v>8.9323099812976051E-2</v>
      </c>
      <c r="EE6">
        <v>0.73321141647428689</v>
      </c>
      <c r="EF6">
        <v>6.0001100000000003</v>
      </c>
      <c r="EG6">
        <v>6.06121</v>
      </c>
      <c r="EH6">
        <v>40.121824480369519</v>
      </c>
      <c r="EI6" t="s">
        <v>1126</v>
      </c>
      <c r="EJ6">
        <v>0</v>
      </c>
      <c r="EK6">
        <v>1</v>
      </c>
      <c r="EL6">
        <v>44819</v>
      </c>
      <c r="EM6">
        <v>-1.5</v>
      </c>
      <c r="EN6">
        <v>-5.0199999999999996</v>
      </c>
      <c r="EO6">
        <v>3.27</v>
      </c>
      <c r="EP6">
        <v>-1.95</v>
      </c>
      <c r="EQ6">
        <v>-4.29</v>
      </c>
    </row>
    <row r="7" spans="1:147" ht="67.5" x14ac:dyDescent="0.15">
      <c r="A7" s="2"/>
      <c r="B7" s="2"/>
      <c r="C7" s="2"/>
      <c r="D7" s="2" t="s">
        <v>984</v>
      </c>
      <c r="E7" t="s">
        <v>270</v>
      </c>
      <c r="F7" t="s">
        <v>271</v>
      </c>
      <c r="G7">
        <v>4.12</v>
      </c>
      <c r="H7">
        <v>-2.6</v>
      </c>
      <c r="I7" t="s">
        <v>985</v>
      </c>
      <c r="J7">
        <v>13706400000</v>
      </c>
      <c r="K7">
        <v>17.32</v>
      </c>
      <c r="L7">
        <v>2.0699999999999998</v>
      </c>
      <c r="M7" t="s">
        <v>352</v>
      </c>
      <c r="N7" t="s">
        <v>556</v>
      </c>
      <c r="O7" t="s">
        <v>557</v>
      </c>
      <c r="P7" t="s">
        <v>558</v>
      </c>
      <c r="Q7">
        <v>24.4</v>
      </c>
      <c r="R7" t="s">
        <v>389</v>
      </c>
      <c r="S7">
        <v>499631140</v>
      </c>
      <c r="T7">
        <v>2.9000000000000001E-2</v>
      </c>
      <c r="U7" t="s">
        <v>114</v>
      </c>
      <c r="V7">
        <v>3326796000</v>
      </c>
      <c r="W7">
        <v>3326796000</v>
      </c>
      <c r="X7">
        <v>1.38</v>
      </c>
      <c r="Y7">
        <v>0.5</v>
      </c>
      <c r="Z7">
        <v>10.57</v>
      </c>
      <c r="AA7" t="s">
        <v>559</v>
      </c>
      <c r="AB7" t="s">
        <v>560</v>
      </c>
      <c r="AC7" t="s">
        <v>561</v>
      </c>
      <c r="AD7" t="s">
        <v>562</v>
      </c>
      <c r="AE7" t="s">
        <v>563</v>
      </c>
      <c r="AF7">
        <v>10960790</v>
      </c>
      <c r="AG7" t="s">
        <v>564</v>
      </c>
      <c r="AH7" t="s">
        <v>565</v>
      </c>
      <c r="AI7" t="s">
        <v>566</v>
      </c>
      <c r="AJ7" t="s">
        <v>102</v>
      </c>
      <c r="AK7" t="s">
        <v>567</v>
      </c>
      <c r="AL7" t="s">
        <v>568</v>
      </c>
      <c r="AM7" t="s">
        <v>569</v>
      </c>
      <c r="AN7" t="s">
        <v>570</v>
      </c>
      <c r="AO7" t="s">
        <v>571</v>
      </c>
      <c r="AP7" t="s">
        <v>342</v>
      </c>
      <c r="AQ7" t="s">
        <v>572</v>
      </c>
      <c r="AR7" t="s">
        <v>573</v>
      </c>
      <c r="AS7" t="s">
        <v>7</v>
      </c>
      <c r="AT7" t="s">
        <v>574</v>
      </c>
      <c r="AU7" t="s">
        <v>7</v>
      </c>
      <c r="AV7" t="s">
        <v>575</v>
      </c>
      <c r="AW7" t="s">
        <v>576</v>
      </c>
      <c r="AX7" t="s">
        <v>577</v>
      </c>
      <c r="AY7" t="s">
        <v>272</v>
      </c>
      <c r="AZ7" t="s">
        <v>273</v>
      </c>
      <c r="BA7" t="s">
        <v>274</v>
      </c>
      <c r="BB7" t="s">
        <v>275</v>
      </c>
      <c r="BC7" t="s">
        <v>276</v>
      </c>
      <c r="BD7" t="s">
        <v>78</v>
      </c>
      <c r="BE7" t="s">
        <v>47</v>
      </c>
      <c r="BF7" t="s">
        <v>92</v>
      </c>
      <c r="BG7" t="s">
        <v>50</v>
      </c>
      <c r="BH7" t="s">
        <v>59</v>
      </c>
      <c r="BI7" t="s">
        <v>578</v>
      </c>
      <c r="BJ7" t="s">
        <v>579</v>
      </c>
      <c r="BK7" t="s">
        <v>422</v>
      </c>
      <c r="BL7" t="s">
        <v>30</v>
      </c>
      <c r="BM7" t="s">
        <v>571</v>
      </c>
      <c r="BN7" t="s">
        <v>95</v>
      </c>
      <c r="BO7">
        <v>6.3</v>
      </c>
      <c r="BP7">
        <v>10.97</v>
      </c>
      <c r="BQ7">
        <v>10.210000000000001</v>
      </c>
      <c r="BR7">
        <v>8.83</v>
      </c>
      <c r="BS7">
        <v>12.9</v>
      </c>
      <c r="BT7">
        <v>10.91</v>
      </c>
      <c r="BU7">
        <v>8.9700000000000006</v>
      </c>
      <c r="BV7" t="s">
        <v>499</v>
      </c>
      <c r="BW7">
        <v>18.809999999999999</v>
      </c>
      <c r="BX7">
        <v>22.28</v>
      </c>
      <c r="BY7">
        <v>19.43</v>
      </c>
      <c r="BZ7">
        <v>7.7</v>
      </c>
      <c r="CA7">
        <v>8.39</v>
      </c>
      <c r="CB7">
        <v>7.05</v>
      </c>
      <c r="CC7">
        <v>2.74</v>
      </c>
      <c r="CD7">
        <v>-6.79</v>
      </c>
      <c r="CE7" t="s">
        <v>561</v>
      </c>
      <c r="CF7" t="s">
        <v>986</v>
      </c>
      <c r="CG7">
        <v>0.13349236963190206</v>
      </c>
      <c r="CH7">
        <v>-1.7166738544474553E-2</v>
      </c>
      <c r="CI7">
        <v>0.2918584942817688</v>
      </c>
      <c r="CJ7">
        <v>0.12491913884878159</v>
      </c>
      <c r="CK7">
        <v>0.10991374403238297</v>
      </c>
      <c r="CL7">
        <v>0.17344574630260468</v>
      </c>
      <c r="CM7">
        <v>0.14668917655944824</v>
      </c>
      <c r="CN7">
        <v>0.33276158571243286</v>
      </c>
      <c r="CO7">
        <v>0.34022989869117737</v>
      </c>
      <c r="CP7">
        <v>0.96832579374313354</v>
      </c>
      <c r="CQ7">
        <v>-0.11599999666213989</v>
      </c>
      <c r="CR7">
        <v>-0.40047961473464966</v>
      </c>
      <c r="CS7">
        <v>1.5261552165683108</v>
      </c>
      <c r="CT7">
        <v>61455084.942084946</v>
      </c>
      <c r="CU7">
        <v>7.2932999999999995</v>
      </c>
      <c r="CV7">
        <v>0.16936526000499724</v>
      </c>
      <c r="CW7">
        <v>0.22496753334999084</v>
      </c>
      <c r="CX7">
        <v>0.06</v>
      </c>
      <c r="CY7">
        <v>11.092823485714794</v>
      </c>
      <c r="CZ7">
        <v>857166799.0791347</v>
      </c>
      <c r="DA7">
        <v>0.16936526000499724</v>
      </c>
      <c r="DB7">
        <v>3.3915135029778734</v>
      </c>
      <c r="DC7">
        <v>2803586066.1180549</v>
      </c>
      <c r="DD7">
        <v>0.16089699700474738</v>
      </c>
      <c r="DE7">
        <v>1.5234161179388119</v>
      </c>
      <c r="DF7">
        <v>6241498884.0113516</v>
      </c>
      <c r="DG7">
        <v>0.14904142880439758</v>
      </c>
      <c r="DH7">
        <v>0.82207267107898463</v>
      </c>
      <c r="DI7">
        <v>11566374037.857334</v>
      </c>
      <c r="DJ7">
        <v>0.1354922080039978</v>
      </c>
      <c r="DK7">
        <v>0.33173147812385817</v>
      </c>
      <c r="DL7">
        <v>28662941647.189297</v>
      </c>
      <c r="DM7">
        <v>0.11855568200349806</v>
      </c>
      <c r="DN7">
        <v>777000000</v>
      </c>
      <c r="DO7">
        <v>0.16936526000499724</v>
      </c>
      <c r="DP7">
        <v>9508400000</v>
      </c>
      <c r="DQ7">
        <v>4695263300</v>
      </c>
      <c r="DR7">
        <v>990</v>
      </c>
      <c r="DS7">
        <v>-3.5872890373095184E-2</v>
      </c>
      <c r="DT7">
        <v>-0.2421342718944654</v>
      </c>
      <c r="DU7">
        <v>0.5033333333333333</v>
      </c>
      <c r="DV7">
        <v>0.48333333333333334</v>
      </c>
      <c r="DW7">
        <v>0.98666666666666658</v>
      </c>
      <c r="DX7">
        <v>6.2875131164742921</v>
      </c>
      <c r="DY7">
        <v>0.32401709401709367</v>
      </c>
      <c r="DZ7">
        <v>6.0270311477027114</v>
      </c>
      <c r="EA7">
        <v>1564</v>
      </c>
      <c r="EB7">
        <v>6.0183107031880576</v>
      </c>
      <c r="EC7">
        <v>6</v>
      </c>
      <c r="ED7">
        <v>3.3064846777500038E-2</v>
      </c>
      <c r="EE7">
        <v>0.35168973390613673</v>
      </c>
      <c r="EF7">
        <v>6.0710000000000007E-2</v>
      </c>
      <c r="EG7">
        <v>8.6709999999999995E-2</v>
      </c>
      <c r="EH7">
        <v>23.094017094017094</v>
      </c>
      <c r="EI7">
        <v>-1</v>
      </c>
      <c r="EJ7">
        <v>0</v>
      </c>
      <c r="EK7">
        <v>0</v>
      </c>
      <c r="EL7">
        <v>44827</v>
      </c>
      <c r="EM7">
        <v>-4.75</v>
      </c>
      <c r="EN7">
        <v>3.72</v>
      </c>
      <c r="EO7">
        <v>0.72</v>
      </c>
      <c r="EP7">
        <v>0.48</v>
      </c>
      <c r="EQ7">
        <v>-2.6</v>
      </c>
    </row>
    <row r="8" spans="1:147" ht="67.5" x14ac:dyDescent="0.15">
      <c r="A8" s="2"/>
      <c r="B8" s="2"/>
      <c r="C8" s="2"/>
      <c r="D8" s="2" t="s">
        <v>1004</v>
      </c>
      <c r="E8" t="s">
        <v>260</v>
      </c>
      <c r="F8" t="s">
        <v>261</v>
      </c>
      <c r="G8">
        <v>5.76</v>
      </c>
      <c r="H8">
        <v>-3.52</v>
      </c>
      <c r="I8" t="s">
        <v>1005</v>
      </c>
      <c r="J8">
        <v>12783471800</v>
      </c>
      <c r="K8">
        <v>22.16</v>
      </c>
      <c r="L8">
        <v>3.13</v>
      </c>
      <c r="M8" t="s">
        <v>352</v>
      </c>
      <c r="N8" t="s">
        <v>1006</v>
      </c>
      <c r="O8" t="s">
        <v>762</v>
      </c>
      <c r="P8" t="s">
        <v>763</v>
      </c>
      <c r="Q8">
        <v>10.16</v>
      </c>
      <c r="R8" t="s">
        <v>402</v>
      </c>
      <c r="S8">
        <v>347960000</v>
      </c>
      <c r="T8">
        <v>0.1527</v>
      </c>
      <c r="U8" t="s">
        <v>34</v>
      </c>
      <c r="V8">
        <v>2219352700</v>
      </c>
      <c r="W8">
        <v>2219352700</v>
      </c>
      <c r="X8">
        <v>4.6399999999999997</v>
      </c>
      <c r="Y8">
        <v>0.54</v>
      </c>
      <c r="Z8">
        <v>3.61</v>
      </c>
      <c r="AA8" t="s">
        <v>764</v>
      </c>
      <c r="AB8" t="s">
        <v>1007</v>
      </c>
      <c r="AC8" t="s">
        <v>107</v>
      </c>
      <c r="AD8" t="s">
        <v>568</v>
      </c>
      <c r="AE8" t="s">
        <v>765</v>
      </c>
      <c r="AF8">
        <v>102943139</v>
      </c>
      <c r="AG8" t="s">
        <v>766</v>
      </c>
      <c r="AH8" t="s">
        <v>767</v>
      </c>
      <c r="AI8" t="s">
        <v>768</v>
      </c>
      <c r="AJ8" t="s">
        <v>769</v>
      </c>
      <c r="AK8" t="s">
        <v>770</v>
      </c>
      <c r="AL8" t="s">
        <v>771</v>
      </c>
      <c r="AM8" t="s">
        <v>772</v>
      </c>
      <c r="AN8" t="s">
        <v>773</v>
      </c>
      <c r="AO8" t="s">
        <v>774</v>
      </c>
      <c r="AP8" t="s">
        <v>775</v>
      </c>
      <c r="AQ8" t="s">
        <v>776</v>
      </c>
      <c r="AR8" t="s">
        <v>777</v>
      </c>
      <c r="AS8" t="s">
        <v>778</v>
      </c>
      <c r="AT8" t="s">
        <v>779</v>
      </c>
      <c r="AU8" t="s">
        <v>780</v>
      </c>
      <c r="AV8" t="s">
        <v>781</v>
      </c>
      <c r="AW8" t="s">
        <v>109</v>
      </c>
      <c r="AX8" t="s">
        <v>782</v>
      </c>
      <c r="AY8" t="s">
        <v>262</v>
      </c>
      <c r="AZ8" t="s">
        <v>264</v>
      </c>
      <c r="BA8" t="s">
        <v>265</v>
      </c>
      <c r="BB8" t="s">
        <v>266</v>
      </c>
      <c r="BC8" t="s">
        <v>267</v>
      </c>
      <c r="BD8" t="s">
        <v>263</v>
      </c>
      <c r="BE8" t="s">
        <v>268</v>
      </c>
      <c r="BF8" t="s">
        <v>42</v>
      </c>
      <c r="BG8" t="s">
        <v>269</v>
      </c>
      <c r="BH8" t="s">
        <v>32</v>
      </c>
      <c r="BI8" t="s">
        <v>783</v>
      </c>
      <c r="BJ8" t="s">
        <v>784</v>
      </c>
      <c r="BK8" t="s">
        <v>439</v>
      </c>
      <c r="BL8" t="s">
        <v>785</v>
      </c>
      <c r="BM8" t="s">
        <v>786</v>
      </c>
      <c r="BN8" t="s">
        <v>52</v>
      </c>
      <c r="BO8">
        <v>2.97</v>
      </c>
      <c r="BP8">
        <v>4.93</v>
      </c>
      <c r="BQ8">
        <v>-15.07</v>
      </c>
      <c r="BR8">
        <v>0.37</v>
      </c>
      <c r="BS8">
        <v>15.34</v>
      </c>
      <c r="BT8">
        <v>-41.87</v>
      </c>
      <c r="BU8">
        <v>0.92</v>
      </c>
      <c r="BV8" t="s">
        <v>499</v>
      </c>
      <c r="BW8">
        <v>12.23</v>
      </c>
      <c r="BX8">
        <v>12.16</v>
      </c>
      <c r="BY8">
        <v>17.12</v>
      </c>
      <c r="BZ8">
        <v>2.2400000000000002</v>
      </c>
      <c r="CA8">
        <v>-8.51</v>
      </c>
      <c r="CB8">
        <v>0.32</v>
      </c>
      <c r="CC8">
        <v>3.97</v>
      </c>
      <c r="CD8">
        <v>-20.329999999999998</v>
      </c>
      <c r="CE8" t="s">
        <v>1008</v>
      </c>
      <c r="CF8" t="s">
        <v>1009</v>
      </c>
      <c r="CG8">
        <v>9.3642943739344578E-2</v>
      </c>
      <c r="CH8">
        <v>0.43598626373626376</v>
      </c>
      <c r="CI8">
        <v>5.3877994418144226E-2</v>
      </c>
      <c r="CJ8">
        <v>0.15441562235355377</v>
      </c>
      <c r="CK8">
        <v>-2.0385975018143654E-2</v>
      </c>
      <c r="CL8">
        <v>1.4600247144699097E-2</v>
      </c>
      <c r="CM8">
        <v>0.40978509187698364</v>
      </c>
      <c r="CN8">
        <v>1.3140153884887695</v>
      </c>
      <c r="CO8">
        <v>-38.662059783935547</v>
      </c>
      <c r="CP8">
        <v>-0.69662636518478394</v>
      </c>
      <c r="CQ8">
        <v>1.8973250389099121</v>
      </c>
      <c r="CR8">
        <v>-0.82201534509658813</v>
      </c>
      <c r="CS8">
        <v>0.61249924776004983</v>
      </c>
      <c r="CT8">
        <v>48676817.325800382</v>
      </c>
      <c r="CU8">
        <v>9.0452159999999999</v>
      </c>
      <c r="CV8">
        <v>0.12245859615504742</v>
      </c>
      <c r="CW8">
        <v>-7.3938722133636476</v>
      </c>
      <c r="CX8">
        <v>0.06</v>
      </c>
      <c r="CY8">
        <v>42.406137808931739</v>
      </c>
      <c r="CZ8">
        <v>562288221.2814436</v>
      </c>
      <c r="DA8">
        <v>0.12245859615504742</v>
      </c>
      <c r="DB8">
        <v>13.483603334732143</v>
      </c>
      <c r="DC8">
        <v>1768405018.1585736</v>
      </c>
      <c r="DD8">
        <v>0.11633566634729504</v>
      </c>
      <c r="DE8">
        <v>6.3961424899865422</v>
      </c>
      <c r="DF8">
        <v>3727945685.5955958</v>
      </c>
      <c r="DG8">
        <v>0.10776356461644174</v>
      </c>
      <c r="DH8">
        <v>3.681445235027466</v>
      </c>
      <c r="DI8">
        <v>6476932366.9762821</v>
      </c>
      <c r="DJ8">
        <v>9.7966876924037938E-2</v>
      </c>
      <c r="DK8">
        <v>1.7289835714938775</v>
      </c>
      <c r="DL8">
        <v>13791034335.507238</v>
      </c>
      <c r="DM8">
        <v>8.5721017308533196E-2</v>
      </c>
      <c r="DN8">
        <v>530999999.99999994</v>
      </c>
      <c r="DO8">
        <v>0.12245859615504742</v>
      </c>
      <c r="DP8">
        <v>23844471800</v>
      </c>
      <c r="DQ8">
        <v>1370641000</v>
      </c>
      <c r="DR8">
        <v>3409</v>
      </c>
      <c r="DS8">
        <v>-2.8815652415702844E-2</v>
      </c>
      <c r="DT8">
        <v>7.8298584770999113</v>
      </c>
      <c r="DU8">
        <v>0.25</v>
      </c>
      <c r="DV8">
        <v>-2.5000000000000133E-2</v>
      </c>
      <c r="DW8">
        <v>0.22499999999999987</v>
      </c>
      <c r="DX8">
        <v>6.1633744855967079</v>
      </c>
      <c r="DY8">
        <v>0.27939959548927745</v>
      </c>
      <c r="DZ8">
        <v>6.0162393577815818</v>
      </c>
      <c r="EA8">
        <v>2942</v>
      </c>
      <c r="EB8">
        <v>6.0063845329892107</v>
      </c>
      <c r="EC8">
        <v>6</v>
      </c>
      <c r="ED8">
        <v>6.7136692604109302E-2</v>
      </c>
      <c r="EE8">
        <v>0.67542216250711296</v>
      </c>
      <c r="EF8">
        <v>1.0624</v>
      </c>
      <c r="EG8">
        <v>1.0271999999999999</v>
      </c>
      <c r="EH8">
        <v>18.099399595489277</v>
      </c>
      <c r="EI8" t="s">
        <v>470</v>
      </c>
      <c r="EJ8">
        <v>0</v>
      </c>
      <c r="EK8">
        <v>0</v>
      </c>
      <c r="EL8">
        <v>44827</v>
      </c>
      <c r="EM8">
        <v>-2.29</v>
      </c>
      <c r="EN8">
        <v>5.12</v>
      </c>
      <c r="EO8">
        <v>1.39</v>
      </c>
      <c r="EP8">
        <v>2.4</v>
      </c>
      <c r="EQ8">
        <v>-3.52</v>
      </c>
    </row>
    <row r="9" spans="1:147" ht="67.5" x14ac:dyDescent="0.15">
      <c r="A9" s="2"/>
      <c r="B9" s="2"/>
      <c r="C9" s="2"/>
      <c r="D9" s="2" t="s">
        <v>1524</v>
      </c>
      <c r="E9" t="s">
        <v>242</v>
      </c>
      <c r="F9" t="s">
        <v>243</v>
      </c>
      <c r="G9">
        <v>10.029999999999999</v>
      </c>
      <c r="H9">
        <v>-0.99</v>
      </c>
      <c r="I9" t="s">
        <v>960</v>
      </c>
      <c r="J9">
        <v>11889271800</v>
      </c>
      <c r="K9">
        <v>57.6</v>
      </c>
      <c r="L9">
        <v>1.26</v>
      </c>
      <c r="M9" t="s">
        <v>244</v>
      </c>
      <c r="N9" t="s">
        <v>70</v>
      </c>
      <c r="O9" t="s">
        <v>446</v>
      </c>
      <c r="P9" t="s">
        <v>447</v>
      </c>
      <c r="Q9">
        <v>24.77</v>
      </c>
      <c r="R9" t="s">
        <v>382</v>
      </c>
      <c r="S9">
        <v>-205600920</v>
      </c>
      <c r="T9">
        <v>-0.12959999999999999</v>
      </c>
      <c r="U9" t="s">
        <v>48</v>
      </c>
      <c r="V9">
        <v>1166077670</v>
      </c>
      <c r="W9">
        <v>1185371070</v>
      </c>
      <c r="X9">
        <v>1.1399999999999999</v>
      </c>
      <c r="Y9">
        <v>0.08</v>
      </c>
      <c r="Z9">
        <v>-23.36</v>
      </c>
      <c r="AA9" t="s">
        <v>448</v>
      </c>
      <c r="AB9" t="s">
        <v>449</v>
      </c>
      <c r="AC9" t="s">
        <v>450</v>
      </c>
      <c r="AD9" t="s">
        <v>451</v>
      </c>
      <c r="AE9" t="s">
        <v>452</v>
      </c>
      <c r="AF9">
        <v>-3902543</v>
      </c>
      <c r="AG9" t="s">
        <v>453</v>
      </c>
      <c r="AH9" t="s">
        <v>454</v>
      </c>
      <c r="AI9" t="s">
        <v>455</v>
      </c>
      <c r="AJ9" t="s">
        <v>456</v>
      </c>
      <c r="AK9" t="s">
        <v>457</v>
      </c>
      <c r="AL9" t="s">
        <v>458</v>
      </c>
      <c r="AM9" t="s">
        <v>459</v>
      </c>
      <c r="AN9" t="s">
        <v>460</v>
      </c>
      <c r="AO9" t="s">
        <v>461</v>
      </c>
      <c r="AP9" t="s">
        <v>7</v>
      </c>
      <c r="AQ9" t="s">
        <v>7</v>
      </c>
      <c r="AR9" t="s">
        <v>116</v>
      </c>
      <c r="AS9" t="s">
        <v>408</v>
      </c>
      <c r="AT9" t="s">
        <v>462</v>
      </c>
      <c r="AU9" t="s">
        <v>7</v>
      </c>
      <c r="AV9" t="s">
        <v>463</v>
      </c>
      <c r="AW9" t="s">
        <v>464</v>
      </c>
      <c r="AX9" t="s">
        <v>465</v>
      </c>
      <c r="AY9" t="s">
        <v>245</v>
      </c>
      <c r="AZ9" t="s">
        <v>246</v>
      </c>
      <c r="BA9" t="s">
        <v>192</v>
      </c>
      <c r="BB9" t="s">
        <v>247</v>
      </c>
      <c r="BC9" t="s">
        <v>248</v>
      </c>
      <c r="BD9" t="s">
        <v>75</v>
      </c>
      <c r="BE9" t="s">
        <v>40</v>
      </c>
      <c r="BF9" t="s">
        <v>31</v>
      </c>
      <c r="BG9" t="s">
        <v>45</v>
      </c>
      <c r="BH9" t="s">
        <v>249</v>
      </c>
      <c r="BI9" t="s">
        <v>107</v>
      </c>
      <c r="BJ9" t="s">
        <v>466</v>
      </c>
      <c r="BK9" t="s">
        <v>109</v>
      </c>
      <c r="BL9" t="s">
        <v>467</v>
      </c>
      <c r="BM9" t="s">
        <v>468</v>
      </c>
      <c r="BN9" t="s">
        <v>409</v>
      </c>
      <c r="BO9">
        <v>-2.11</v>
      </c>
      <c r="BP9">
        <v>2.34</v>
      </c>
      <c r="BQ9">
        <v>4.12</v>
      </c>
      <c r="BR9">
        <v>4.32</v>
      </c>
      <c r="BS9">
        <v>2.48</v>
      </c>
      <c r="BT9">
        <v>4.34</v>
      </c>
      <c r="BU9">
        <v>4.6500000000000004</v>
      </c>
      <c r="BV9" t="s">
        <v>469</v>
      </c>
      <c r="BW9">
        <v>67.64</v>
      </c>
      <c r="BX9">
        <v>37.369999999999997</v>
      </c>
      <c r="BY9">
        <v>26.68</v>
      </c>
      <c r="BZ9">
        <v>-17.11</v>
      </c>
      <c r="CA9">
        <v>6.95</v>
      </c>
      <c r="CB9">
        <v>5.69</v>
      </c>
      <c r="CC9">
        <v>-2.15</v>
      </c>
      <c r="CD9">
        <v>7.62</v>
      </c>
      <c r="CE9" t="s">
        <v>57</v>
      </c>
      <c r="CF9" t="s">
        <v>961</v>
      </c>
      <c r="CG9">
        <v>0.14080131818181818</v>
      </c>
      <c r="CH9">
        <v>-0.62646660816552746</v>
      </c>
      <c r="CI9">
        <v>-0.41234222054481506</v>
      </c>
      <c r="CJ9">
        <v>-0.19560003280639648</v>
      </c>
      <c r="CK9">
        <v>0.12555548548698425</v>
      </c>
      <c r="CL9">
        <v>0.22735242545604706</v>
      </c>
      <c r="CM9">
        <v>0.78787881135940552</v>
      </c>
      <c r="CN9">
        <v>-0.42500001192092896</v>
      </c>
      <c r="CO9">
        <v>-2.4937656708061695E-3</v>
      </c>
      <c r="CP9">
        <v>-0.17319588363170624</v>
      </c>
      <c r="CQ9">
        <v>0.14117647707462311</v>
      </c>
      <c r="CR9">
        <v>5.0476007461547852</v>
      </c>
      <c r="CS9">
        <v>3.546918794749403</v>
      </c>
      <c r="CT9">
        <v>-103750882.60869567</v>
      </c>
      <c r="CU9">
        <v>-2.1304319999999999</v>
      </c>
      <c r="CV9">
        <v>0.10656889379024506</v>
      </c>
      <c r="CW9">
        <v>0.91761751240119338</v>
      </c>
      <c r="CX9">
        <v>0.06</v>
      </c>
      <c r="CY9">
        <v>15.744272504372505</v>
      </c>
      <c r="CZ9">
        <v>240104571.29410976</v>
      </c>
      <c r="DA9">
        <v>0.10656889379024506</v>
      </c>
      <c r="DB9">
        <v>5.0735329572315111</v>
      </c>
      <c r="DC9">
        <v>745096529.74892497</v>
      </c>
      <c r="DD9">
        <v>0.10124044910073281</v>
      </c>
      <c r="DE9">
        <v>2.4509562161717908</v>
      </c>
      <c r="DF9">
        <v>1542366107.9937608</v>
      </c>
      <c r="DG9">
        <v>9.3780626535415648E-2</v>
      </c>
      <c r="DH9">
        <v>1.4406535579018644</v>
      </c>
      <c r="DI9">
        <v>2623997823.25565</v>
      </c>
      <c r="DJ9">
        <v>8.5255115032196058E-2</v>
      </c>
      <c r="DK9">
        <v>0.70964734810636709</v>
      </c>
      <c r="DL9">
        <v>5326972347.7264166</v>
      </c>
      <c r="DM9">
        <v>7.4598225653171535E-2</v>
      </c>
      <c r="DN9">
        <v>229999999.99999997</v>
      </c>
      <c r="DO9">
        <v>0.10656889379024506</v>
      </c>
      <c r="DP9">
        <v>3780271800</v>
      </c>
      <c r="DQ9">
        <v>2488017900</v>
      </c>
      <c r="DR9">
        <v>712</v>
      </c>
      <c r="DS9">
        <v>3.4232424391573119E-2</v>
      </c>
      <c r="DT9">
        <v>-1.5440841205667208</v>
      </c>
      <c r="DU9">
        <v>0</v>
      </c>
      <c r="DV9">
        <v>-0.45833333333333331</v>
      </c>
      <c r="DW9">
        <v>-0.45833333333333331</v>
      </c>
      <c r="DX9">
        <v>2.0762</v>
      </c>
      <c r="DY9">
        <v>0.30257668711656416</v>
      </c>
      <c r="DZ9">
        <v>2.0123883435582823</v>
      </c>
      <c r="EA9">
        <v>3582</v>
      </c>
      <c r="EB9">
        <v>2.0032275164266209</v>
      </c>
      <c r="EC9">
        <v>2</v>
      </c>
      <c r="ED9">
        <v>0.13413521219140265</v>
      </c>
      <c r="EE9">
        <v>0.82505809763013693</v>
      </c>
      <c r="EF9">
        <v>1.0577000000000001</v>
      </c>
      <c r="EG9">
        <v>1.0478000000000001</v>
      </c>
      <c r="EH9">
        <v>14.162576687116564</v>
      </c>
      <c r="EI9" t="s">
        <v>470</v>
      </c>
      <c r="EJ9">
        <v>1</v>
      </c>
      <c r="EK9">
        <v>0</v>
      </c>
      <c r="EL9">
        <v>44826</v>
      </c>
      <c r="EM9">
        <v>1.56</v>
      </c>
      <c r="EN9">
        <v>1.56</v>
      </c>
      <c r="EO9">
        <v>0.31</v>
      </c>
      <c r="EP9">
        <v>2.84</v>
      </c>
      <c r="EQ9">
        <v>-0.99</v>
      </c>
    </row>
    <row r="10" spans="1:147" ht="67.5" x14ac:dyDescent="0.15">
      <c r="A10" s="2"/>
      <c r="B10" s="2"/>
      <c r="C10" s="2"/>
      <c r="D10" s="2" t="s">
        <v>972</v>
      </c>
      <c r="E10" t="s">
        <v>277</v>
      </c>
      <c r="F10" t="s">
        <v>278</v>
      </c>
      <c r="G10">
        <v>8.85</v>
      </c>
      <c r="H10">
        <v>-1.45</v>
      </c>
      <c r="I10" t="s">
        <v>973</v>
      </c>
      <c r="J10">
        <v>9164078500</v>
      </c>
      <c r="K10">
        <v>23.03</v>
      </c>
      <c r="L10">
        <v>1.99</v>
      </c>
      <c r="M10" t="s">
        <v>352</v>
      </c>
      <c r="N10" t="s">
        <v>471</v>
      </c>
      <c r="O10" t="s">
        <v>472</v>
      </c>
      <c r="P10" t="s">
        <v>473</v>
      </c>
      <c r="Q10">
        <v>27.47</v>
      </c>
      <c r="R10" t="s">
        <v>383</v>
      </c>
      <c r="S10">
        <v>188219950</v>
      </c>
      <c r="T10">
        <v>2.0569999999999999</v>
      </c>
      <c r="U10" t="s">
        <v>99</v>
      </c>
      <c r="V10">
        <v>1035300660</v>
      </c>
      <c r="W10">
        <v>1035489100</v>
      </c>
      <c r="X10">
        <v>2.54</v>
      </c>
      <c r="Y10">
        <v>0.62</v>
      </c>
      <c r="Z10">
        <v>2.64</v>
      </c>
      <c r="AA10" t="s">
        <v>474</v>
      </c>
      <c r="AB10" t="s">
        <v>475</v>
      </c>
      <c r="AC10" t="s">
        <v>476</v>
      </c>
      <c r="AD10" t="s">
        <v>42</v>
      </c>
      <c r="AE10" t="s">
        <v>477</v>
      </c>
      <c r="AF10">
        <v>36516153</v>
      </c>
      <c r="AG10" t="s">
        <v>478</v>
      </c>
      <c r="AH10" t="s">
        <v>479</v>
      </c>
      <c r="AI10" t="s">
        <v>480</v>
      </c>
      <c r="AJ10" t="s">
        <v>481</v>
      </c>
      <c r="AK10" t="s">
        <v>482</v>
      </c>
      <c r="AL10" t="s">
        <v>483</v>
      </c>
      <c r="AM10" t="s">
        <v>484</v>
      </c>
      <c r="AN10" t="s">
        <v>485</v>
      </c>
      <c r="AO10" t="s">
        <v>486</v>
      </c>
      <c r="AP10" t="s">
        <v>487</v>
      </c>
      <c r="AQ10" t="s">
        <v>488</v>
      </c>
      <c r="AR10" t="s">
        <v>489</v>
      </c>
      <c r="AS10" t="s">
        <v>410</v>
      </c>
      <c r="AT10" t="s">
        <v>490</v>
      </c>
      <c r="AU10" t="s">
        <v>491</v>
      </c>
      <c r="AV10" t="s">
        <v>492</v>
      </c>
      <c r="AW10" t="s">
        <v>493</v>
      </c>
      <c r="AX10" t="s">
        <v>494</v>
      </c>
      <c r="AY10" t="s">
        <v>279</v>
      </c>
      <c r="AZ10" t="s">
        <v>281</v>
      </c>
      <c r="BA10" t="s">
        <v>282</v>
      </c>
      <c r="BB10" t="s">
        <v>283</v>
      </c>
      <c r="BC10" t="s">
        <v>284</v>
      </c>
      <c r="BD10" t="s">
        <v>76</v>
      </c>
      <c r="BE10" t="s">
        <v>92</v>
      </c>
      <c r="BF10" t="s">
        <v>94</v>
      </c>
      <c r="BG10" t="s">
        <v>95</v>
      </c>
      <c r="BH10" t="s">
        <v>87</v>
      </c>
      <c r="BI10" t="s">
        <v>495</v>
      </c>
      <c r="BJ10" t="s">
        <v>496</v>
      </c>
      <c r="BK10" t="s">
        <v>411</v>
      </c>
      <c r="BL10" t="s">
        <v>497</v>
      </c>
      <c r="BM10" t="s">
        <v>498</v>
      </c>
      <c r="BN10" t="s">
        <v>412</v>
      </c>
      <c r="BO10">
        <v>1.98</v>
      </c>
      <c r="BP10">
        <v>3.39</v>
      </c>
      <c r="BQ10">
        <v>3.43</v>
      </c>
      <c r="BR10">
        <v>3.56</v>
      </c>
      <c r="BS10">
        <v>6.02</v>
      </c>
      <c r="BT10">
        <v>5.14</v>
      </c>
      <c r="BU10">
        <v>5.37</v>
      </c>
      <c r="BV10" t="s">
        <v>499</v>
      </c>
      <c r="BW10">
        <v>12.48</v>
      </c>
      <c r="BX10">
        <v>15.3</v>
      </c>
      <c r="BY10">
        <v>16.760000000000002</v>
      </c>
      <c r="BZ10">
        <v>1.29</v>
      </c>
      <c r="CA10">
        <v>2.4300000000000002</v>
      </c>
      <c r="CB10">
        <v>2.39</v>
      </c>
      <c r="CC10">
        <v>1.03</v>
      </c>
      <c r="CD10">
        <v>-21.05</v>
      </c>
      <c r="CE10" t="s">
        <v>974</v>
      </c>
      <c r="CF10" t="s">
        <v>975</v>
      </c>
      <c r="CG10">
        <v>0.21487466787439613</v>
      </c>
      <c r="CH10">
        <v>0.44285506243500428</v>
      </c>
      <c r="CI10">
        <v>0.3695557713508606</v>
      </c>
      <c r="CJ10">
        <v>-4.3406881392002106E-2</v>
      </c>
      <c r="CK10">
        <v>0.11498863995075226</v>
      </c>
      <c r="CL10">
        <v>0.17964635789394379</v>
      </c>
      <c r="CM10">
        <v>0.16128520667552948</v>
      </c>
      <c r="CN10">
        <v>0.21524663269519806</v>
      </c>
      <c r="CO10">
        <v>9.0497741475701332E-3</v>
      </c>
      <c r="CP10">
        <v>0.97321426868438721</v>
      </c>
      <c r="CQ10">
        <v>-2.6086956262588501E-2</v>
      </c>
      <c r="CR10">
        <v>-0.46511629223823547</v>
      </c>
      <c r="CS10">
        <v>0.71779419597399541</v>
      </c>
      <c r="CT10">
        <v>59608546.125461258</v>
      </c>
      <c r="CU10">
        <v>4.1574720000000003</v>
      </c>
      <c r="CV10">
        <v>0.15641381889581679</v>
      </c>
      <c r="CW10">
        <v>0.14126148540526628</v>
      </c>
      <c r="CX10">
        <v>0.06</v>
      </c>
      <c r="CY10">
        <v>39.479487053117801</v>
      </c>
      <c r="CZ10">
        <v>295649193.32147771</v>
      </c>
      <c r="DA10">
        <v>0.15641381889581679</v>
      </c>
      <c r="DB10">
        <v>12.201261179987942</v>
      </c>
      <c r="DC10">
        <v>956628854.00274134</v>
      </c>
      <c r="DD10">
        <v>0.14859312795102594</v>
      </c>
      <c r="DE10">
        <v>5.5643643821227649</v>
      </c>
      <c r="DF10">
        <v>2097648122.6679096</v>
      </c>
      <c r="DG10">
        <v>0.13764416062831877</v>
      </c>
      <c r="DH10">
        <v>3.0576861152095085</v>
      </c>
      <c r="DI10">
        <v>3817291265.4248176</v>
      </c>
      <c r="DJ10">
        <v>0.12513105511665343</v>
      </c>
      <c r="DK10">
        <v>1.2886518534120928</v>
      </c>
      <c r="DL10">
        <v>9057588726.6174088</v>
      </c>
      <c r="DM10">
        <v>0.10948967322707175</v>
      </c>
      <c r="DN10">
        <v>271000000</v>
      </c>
      <c r="DO10">
        <v>0.15641381889581679</v>
      </c>
      <c r="DP10">
        <v>11672078500</v>
      </c>
      <c r="DQ10">
        <v>3943986800</v>
      </c>
      <c r="DR10">
        <v>774</v>
      </c>
      <c r="DS10">
        <v>5.8460848978579338E-2</v>
      </c>
      <c r="DT10">
        <v>0.30159357702973799</v>
      </c>
      <c r="DU10">
        <v>0.60333333333333328</v>
      </c>
      <c r="DV10">
        <v>0.77333333333333332</v>
      </c>
      <c r="DW10">
        <v>1.3766666666666665</v>
      </c>
      <c r="DX10">
        <v>-3.0571130952380954</v>
      </c>
      <c r="DY10">
        <v>0.31851213278008372</v>
      </c>
      <c r="DZ10">
        <v>-3.0044840709168148</v>
      </c>
      <c r="EA10">
        <v>935</v>
      </c>
      <c r="EB10">
        <v>-3.0036192593847972</v>
      </c>
      <c r="EC10">
        <v>3</v>
      </c>
      <c r="ED10">
        <v>7.3091739932366256E-2</v>
      </c>
      <c r="EE10">
        <v>0.93096103087903093</v>
      </c>
      <c r="EF10">
        <v>2.0583100000000001</v>
      </c>
      <c r="EG10">
        <v>2.07281</v>
      </c>
      <c r="EH10">
        <v>24.078512132780084</v>
      </c>
      <c r="EI10" t="s">
        <v>526</v>
      </c>
      <c r="EJ10">
        <v>0</v>
      </c>
      <c r="EK10">
        <v>1</v>
      </c>
      <c r="EL10">
        <v>44827</v>
      </c>
      <c r="EM10">
        <v>-2.67</v>
      </c>
      <c r="EN10">
        <v>2.4</v>
      </c>
      <c r="EO10">
        <v>-0.33</v>
      </c>
      <c r="EP10">
        <v>0.56000000000000005</v>
      </c>
      <c r="EQ10">
        <v>-1.45</v>
      </c>
    </row>
    <row r="11" spans="1:147" ht="123.75" x14ac:dyDescent="0.15">
      <c r="A11" s="2"/>
      <c r="B11" s="2" t="s">
        <v>967</v>
      </c>
      <c r="C11" s="2"/>
      <c r="D11" s="2" t="s">
        <v>1027</v>
      </c>
      <c r="E11" t="s">
        <v>292</v>
      </c>
      <c r="F11" t="s">
        <v>293</v>
      </c>
      <c r="G11">
        <v>21.78</v>
      </c>
      <c r="H11">
        <v>2.64</v>
      </c>
      <c r="I11" t="s">
        <v>1028</v>
      </c>
      <c r="J11">
        <v>9109004400</v>
      </c>
      <c r="K11">
        <v>14.04</v>
      </c>
      <c r="L11">
        <v>2.41</v>
      </c>
      <c r="M11" t="s">
        <v>352</v>
      </c>
      <c r="N11" t="s">
        <v>893</v>
      </c>
      <c r="O11" t="s">
        <v>894</v>
      </c>
      <c r="P11" t="s">
        <v>895</v>
      </c>
      <c r="Q11">
        <v>9.18</v>
      </c>
      <c r="R11" t="s">
        <v>407</v>
      </c>
      <c r="S11">
        <v>303756730</v>
      </c>
      <c r="T11">
        <v>-0.1041</v>
      </c>
      <c r="U11" t="s">
        <v>83</v>
      </c>
      <c r="V11">
        <v>107077733</v>
      </c>
      <c r="W11">
        <v>418227930</v>
      </c>
      <c r="X11">
        <v>2.84</v>
      </c>
      <c r="Y11">
        <v>0.79</v>
      </c>
      <c r="Z11">
        <v>3.7</v>
      </c>
      <c r="AA11" t="s">
        <v>896</v>
      </c>
      <c r="AB11" t="s">
        <v>897</v>
      </c>
      <c r="AC11" t="s">
        <v>898</v>
      </c>
      <c r="AD11" t="s">
        <v>899</v>
      </c>
      <c r="AE11" t="s">
        <v>900</v>
      </c>
      <c r="AF11">
        <v>79834074</v>
      </c>
      <c r="AG11" t="s">
        <v>901</v>
      </c>
      <c r="AH11" t="s">
        <v>902</v>
      </c>
      <c r="AI11" t="s">
        <v>903</v>
      </c>
      <c r="AJ11" t="s">
        <v>904</v>
      </c>
      <c r="AK11" t="s">
        <v>905</v>
      </c>
      <c r="AL11" t="s">
        <v>57</v>
      </c>
      <c r="AM11" t="s">
        <v>906</v>
      </c>
      <c r="AN11" t="s">
        <v>907</v>
      </c>
      <c r="AO11" t="s">
        <v>908</v>
      </c>
      <c r="AP11" t="s">
        <v>909</v>
      </c>
      <c r="AQ11" t="s">
        <v>910</v>
      </c>
      <c r="AR11" t="s">
        <v>911</v>
      </c>
      <c r="AS11" t="s">
        <v>7</v>
      </c>
      <c r="AT11" t="s">
        <v>912</v>
      </c>
      <c r="AU11" t="s">
        <v>913</v>
      </c>
      <c r="AV11" t="s">
        <v>914</v>
      </c>
      <c r="AW11" t="s">
        <v>90</v>
      </c>
      <c r="AX11" t="s">
        <v>915</v>
      </c>
      <c r="AY11" t="s">
        <v>916</v>
      </c>
      <c r="AZ11" t="s">
        <v>917</v>
      </c>
      <c r="BA11" t="s">
        <v>918</v>
      </c>
      <c r="BB11" t="s">
        <v>919</v>
      </c>
      <c r="BC11" t="s">
        <v>920</v>
      </c>
      <c r="BD11" t="s">
        <v>921</v>
      </c>
      <c r="BE11" t="s">
        <v>922</v>
      </c>
      <c r="BF11" t="s">
        <v>33</v>
      </c>
      <c r="BG11" t="s">
        <v>923</v>
      </c>
      <c r="BH11" t="s">
        <v>58</v>
      </c>
      <c r="BI11" t="s">
        <v>924</v>
      </c>
      <c r="BJ11" t="s">
        <v>925</v>
      </c>
      <c r="BK11" t="s">
        <v>926</v>
      </c>
      <c r="BL11" t="s">
        <v>927</v>
      </c>
      <c r="BM11" t="s">
        <v>548</v>
      </c>
      <c r="BN11" t="s">
        <v>701</v>
      </c>
      <c r="BO11">
        <v>3.55</v>
      </c>
      <c r="BP11">
        <v>11.01</v>
      </c>
      <c r="BQ11">
        <v>10.75</v>
      </c>
      <c r="BR11">
        <v>14.01</v>
      </c>
      <c r="BS11">
        <v>21.13</v>
      </c>
      <c r="BT11">
        <v>19.37</v>
      </c>
      <c r="BU11">
        <v>23.94</v>
      </c>
      <c r="BV11" t="s">
        <v>499</v>
      </c>
      <c r="BW11">
        <v>10.11</v>
      </c>
      <c r="BX11">
        <v>9.85</v>
      </c>
      <c r="BY11">
        <v>10.8</v>
      </c>
      <c r="BZ11">
        <v>4.03</v>
      </c>
      <c r="CA11">
        <v>4.21</v>
      </c>
      <c r="CB11">
        <v>4.3600000000000003</v>
      </c>
      <c r="CC11">
        <v>19.670000000000002</v>
      </c>
      <c r="CD11">
        <v>-3.24</v>
      </c>
      <c r="CE11" t="s">
        <v>1029</v>
      </c>
      <c r="CF11" t="s">
        <v>1030</v>
      </c>
      <c r="CG11">
        <v>-3.3349945945945945E-2</v>
      </c>
      <c r="CH11">
        <v>-0.2195089847715736</v>
      </c>
      <c r="CI11">
        <v>0.93898934125900269</v>
      </c>
      <c r="CJ11">
        <v>0.27317893505096436</v>
      </c>
      <c r="CK11">
        <v>0.20939432084560394</v>
      </c>
      <c r="CL11">
        <v>0.37516304850578308</v>
      </c>
      <c r="CM11">
        <v>0.44727736711502075</v>
      </c>
      <c r="CN11">
        <v>0.66829270124435425</v>
      </c>
      <c r="CO11">
        <v>0.23123122751712799</v>
      </c>
      <c r="CP11">
        <v>0.32669323682785034</v>
      </c>
      <c r="CQ11">
        <v>-4.5627377927303314E-2</v>
      </c>
      <c r="CR11">
        <v>0.2583732008934021</v>
      </c>
      <c r="CS11">
        <v>0.48251956775082105</v>
      </c>
      <c r="CT11">
        <v>43168606.725146197</v>
      </c>
      <c r="CU11">
        <v>8.3013200000000005</v>
      </c>
      <c r="CV11">
        <v>0.44880060255527499</v>
      </c>
      <c r="CW11">
        <v>0.28779259771108628</v>
      </c>
      <c r="CX11">
        <v>0.06</v>
      </c>
      <c r="CY11">
        <v>13.337453669055524</v>
      </c>
      <c r="CZ11">
        <v>934886426.55453575</v>
      </c>
      <c r="DA11">
        <v>0.44880060255527499</v>
      </c>
      <c r="DB11">
        <v>3.2594379984435129</v>
      </c>
      <c r="DC11">
        <v>3825507466.61061</v>
      </c>
      <c r="DD11">
        <v>0.42636057242751124</v>
      </c>
      <c r="DE11">
        <v>1.0436566335703039</v>
      </c>
      <c r="DF11">
        <v>11947420251.950182</v>
      </c>
      <c r="DG11">
        <v>0.39494453024864201</v>
      </c>
      <c r="DH11">
        <v>0.36457669911846963</v>
      </c>
      <c r="DI11">
        <v>34201320134.14325</v>
      </c>
      <c r="DJ11">
        <v>0.35904048204422001</v>
      </c>
      <c r="DK11">
        <v>4.8565338718998999E-2</v>
      </c>
      <c r="DL11">
        <v>256746987231.90546</v>
      </c>
      <c r="DM11">
        <v>0.31416042178869247</v>
      </c>
      <c r="DN11">
        <v>684000000</v>
      </c>
      <c r="DO11">
        <v>0.44880060255527499</v>
      </c>
      <c r="DP11">
        <v>12469004400</v>
      </c>
      <c r="DQ11">
        <v>3607376700</v>
      </c>
      <c r="DR11">
        <v>4320</v>
      </c>
      <c r="DS11">
        <v>-0.48215054850122091</v>
      </c>
      <c r="DT11">
        <v>-0.50730158248265989</v>
      </c>
      <c r="DU11">
        <v>0.83333333333333337</v>
      </c>
      <c r="DV11">
        <v>0.71666666666666667</v>
      </c>
      <c r="DW11">
        <v>1.55</v>
      </c>
      <c r="DX11">
        <v>5.164717844433147</v>
      </c>
      <c r="DY11">
        <v>1.1009188094682889</v>
      </c>
      <c r="DZ11">
        <v>5.0643913036439887</v>
      </c>
      <c r="EA11">
        <v>720</v>
      </c>
      <c r="EB11">
        <v>5.0548282387463663</v>
      </c>
      <c r="EC11">
        <v>5</v>
      </c>
      <c r="ED11">
        <v>6.708614606394174E-2</v>
      </c>
      <c r="EE11">
        <v>0.17161144641870282</v>
      </c>
      <c r="EF11">
        <v>0.11929999999999999</v>
      </c>
      <c r="EG11">
        <v>0.1457</v>
      </c>
      <c r="EH11">
        <v>71.390918809468289</v>
      </c>
      <c r="EI11" t="s">
        <v>373</v>
      </c>
      <c r="EJ11">
        <v>1</v>
      </c>
      <c r="EK11">
        <v>1</v>
      </c>
      <c r="EL11">
        <v>44827</v>
      </c>
      <c r="EM11">
        <v>-2.62</v>
      </c>
      <c r="EN11">
        <v>1.03</v>
      </c>
      <c r="EO11">
        <v>3.49</v>
      </c>
      <c r="EP11">
        <v>10.01</v>
      </c>
      <c r="EQ11">
        <v>2.64</v>
      </c>
    </row>
    <row r="12" spans="1:147" ht="67.5" x14ac:dyDescent="0.15">
      <c r="A12" s="2"/>
      <c r="B12" s="2"/>
      <c r="C12" s="2"/>
      <c r="D12" s="2" t="s">
        <v>1000</v>
      </c>
      <c r="E12" t="s">
        <v>325</v>
      </c>
      <c r="F12" t="s">
        <v>326</v>
      </c>
      <c r="G12">
        <v>4.55</v>
      </c>
      <c r="H12">
        <v>-3.4</v>
      </c>
      <c r="I12" t="s">
        <v>1001</v>
      </c>
      <c r="J12">
        <v>9080811800</v>
      </c>
      <c r="K12">
        <v>19.850000000000001</v>
      </c>
      <c r="L12">
        <v>2.0099999999999998</v>
      </c>
      <c r="M12" t="s">
        <v>352</v>
      </c>
      <c r="N12" t="s">
        <v>740</v>
      </c>
      <c r="O12" t="s">
        <v>531</v>
      </c>
      <c r="P12" t="s">
        <v>741</v>
      </c>
      <c r="Q12">
        <v>3.83</v>
      </c>
      <c r="R12" t="s">
        <v>401</v>
      </c>
      <c r="S12">
        <v>182058260</v>
      </c>
      <c r="T12">
        <v>-0.33489999999999998</v>
      </c>
      <c r="U12" t="s">
        <v>103</v>
      </c>
      <c r="V12">
        <v>1995782800</v>
      </c>
      <c r="W12">
        <v>1995782800</v>
      </c>
      <c r="X12">
        <v>2.2200000000000002</v>
      </c>
      <c r="Y12">
        <v>0.88</v>
      </c>
      <c r="Z12">
        <v>2.13</v>
      </c>
      <c r="AA12" t="s">
        <v>742</v>
      </c>
      <c r="AB12" t="s">
        <v>743</v>
      </c>
      <c r="AC12" t="s">
        <v>744</v>
      </c>
      <c r="AD12" t="s">
        <v>745</v>
      </c>
      <c r="AE12" t="s">
        <v>82</v>
      </c>
      <c r="AF12">
        <v>81068958</v>
      </c>
      <c r="AG12" t="s">
        <v>746</v>
      </c>
      <c r="AH12" t="s">
        <v>747</v>
      </c>
      <c r="AI12" t="s">
        <v>748</v>
      </c>
      <c r="AJ12" t="s">
        <v>749</v>
      </c>
      <c r="AK12" t="s">
        <v>750</v>
      </c>
      <c r="AL12" t="s">
        <v>751</v>
      </c>
      <c r="AM12" t="s">
        <v>752</v>
      </c>
      <c r="AN12" t="s">
        <v>753</v>
      </c>
      <c r="AO12" t="s">
        <v>754</v>
      </c>
      <c r="AP12" t="s">
        <v>755</v>
      </c>
      <c r="AQ12" t="s">
        <v>756</v>
      </c>
      <c r="AR12" t="s">
        <v>757</v>
      </c>
      <c r="AS12" t="s">
        <v>7</v>
      </c>
      <c r="AT12" t="s">
        <v>344</v>
      </c>
      <c r="AU12" t="s">
        <v>92</v>
      </c>
      <c r="AV12" t="s">
        <v>104</v>
      </c>
      <c r="AW12" t="s">
        <v>758</v>
      </c>
      <c r="AX12" t="s">
        <v>534</v>
      </c>
      <c r="AY12" t="s">
        <v>327</v>
      </c>
      <c r="AZ12" t="s">
        <v>328</v>
      </c>
      <c r="BA12" t="s">
        <v>329</v>
      </c>
      <c r="BB12" t="s">
        <v>330</v>
      </c>
      <c r="BC12" t="s">
        <v>331</v>
      </c>
      <c r="BD12" t="s">
        <v>88</v>
      </c>
      <c r="BE12" t="s">
        <v>81</v>
      </c>
      <c r="BF12" t="s">
        <v>66</v>
      </c>
      <c r="BG12" t="s">
        <v>91</v>
      </c>
      <c r="BH12" t="s">
        <v>68</v>
      </c>
      <c r="BI12" t="s">
        <v>759</v>
      </c>
      <c r="BJ12" t="s">
        <v>760</v>
      </c>
      <c r="BK12" t="s">
        <v>438</v>
      </c>
      <c r="BL12" t="s">
        <v>82</v>
      </c>
      <c r="BM12" t="s">
        <v>761</v>
      </c>
      <c r="BN12" t="s">
        <v>62</v>
      </c>
      <c r="BO12">
        <v>2.14</v>
      </c>
      <c r="BP12">
        <v>7.6</v>
      </c>
      <c r="BQ12">
        <v>7.54</v>
      </c>
      <c r="BR12">
        <v>9.7100000000000009</v>
      </c>
      <c r="BS12">
        <v>13.25</v>
      </c>
      <c r="BT12">
        <v>11.48</v>
      </c>
      <c r="BU12">
        <v>13.05</v>
      </c>
      <c r="BV12" t="s">
        <v>499</v>
      </c>
      <c r="BW12">
        <v>6.39</v>
      </c>
      <c r="BX12">
        <v>8.81</v>
      </c>
      <c r="BY12">
        <v>10.56</v>
      </c>
      <c r="BZ12">
        <v>2.41</v>
      </c>
      <c r="CA12">
        <v>4.03</v>
      </c>
      <c r="CB12">
        <v>4.45</v>
      </c>
      <c r="CC12">
        <v>-1.94</v>
      </c>
      <c r="CD12">
        <v>-31.48</v>
      </c>
      <c r="CE12" t="s">
        <v>1002</v>
      </c>
      <c r="CF12" t="s">
        <v>1003</v>
      </c>
      <c r="CG12">
        <v>-5.974984906419803E-2</v>
      </c>
      <c r="CH12">
        <v>-0.49963587500000001</v>
      </c>
      <c r="CI12">
        <v>0.47264400124549866</v>
      </c>
      <c r="CJ12">
        <v>3.7509366869926453E-2</v>
      </c>
      <c r="CK12">
        <v>8.3206668496131897E-3</v>
      </c>
      <c r="CL12">
        <v>4.8836424946784973E-2</v>
      </c>
      <c r="CM12">
        <v>0.39378306269645691</v>
      </c>
      <c r="CN12">
        <v>0.310262531042099</v>
      </c>
      <c r="CO12">
        <v>-4.337899386882782E-2</v>
      </c>
      <c r="CP12">
        <v>2.2883294150233269E-3</v>
      </c>
      <c r="CQ12">
        <v>0.23446327447891235</v>
      </c>
      <c r="CR12">
        <v>0.5803571343421936</v>
      </c>
      <c r="CS12">
        <v>0.49540708128750682</v>
      </c>
      <c r="CT12">
        <v>28870602.9143898</v>
      </c>
      <c r="CU12">
        <v>4.161168</v>
      </c>
      <c r="CV12">
        <v>0.19221870452165604</v>
      </c>
      <c r="CW12">
        <v>0.21679845508188009</v>
      </c>
      <c r="CX12">
        <v>0.06</v>
      </c>
      <c r="CY12">
        <v>16.482838586387416</v>
      </c>
      <c r="CZ12">
        <v>617479310.17206526</v>
      </c>
      <c r="DA12">
        <v>0.19221870452165604</v>
      </c>
      <c r="DB12">
        <v>4.9449117039882005</v>
      </c>
      <c r="DC12">
        <v>2058239339.6006098</v>
      </c>
      <c r="DD12">
        <v>0.18260776929557324</v>
      </c>
      <c r="DE12">
        <v>2.1621525545203042</v>
      </c>
      <c r="DF12">
        <v>4707258874.3665466</v>
      </c>
      <c r="DG12">
        <v>0.16915245997905731</v>
      </c>
      <c r="DH12">
        <v>1.1292803041935913</v>
      </c>
      <c r="DI12">
        <v>9012653246.6780968</v>
      </c>
      <c r="DJ12">
        <v>0.15377496361732484</v>
      </c>
      <c r="DK12">
        <v>0.4209659322031914</v>
      </c>
      <c r="DL12">
        <v>24177281393.610218</v>
      </c>
      <c r="DM12">
        <v>0.13455309316515923</v>
      </c>
      <c r="DN12">
        <v>549000000</v>
      </c>
      <c r="DO12">
        <v>0.19221870452165604</v>
      </c>
      <c r="DP12">
        <v>10177811800</v>
      </c>
      <c r="DQ12">
        <v>3303228000</v>
      </c>
      <c r="DR12">
        <v>3155</v>
      </c>
      <c r="DS12">
        <v>-0.25196855358585407</v>
      </c>
      <c r="DT12">
        <v>-0.71643433008188007</v>
      </c>
      <c r="DU12">
        <v>0.26666666666666666</v>
      </c>
      <c r="DV12">
        <v>0.1633333333333333</v>
      </c>
      <c r="DW12">
        <v>0.42999999999999994</v>
      </c>
      <c r="DX12">
        <v>-3.1750714285714285</v>
      </c>
      <c r="DY12">
        <v>0.45815993431855617</v>
      </c>
      <c r="DZ12">
        <v>-3.0136835713581984</v>
      </c>
      <c r="EA12">
        <v>2574</v>
      </c>
      <c r="EB12">
        <v>-3.0064184078524221</v>
      </c>
      <c r="EC12">
        <v>3</v>
      </c>
      <c r="ED12">
        <v>4.7699980178203753E-2</v>
      </c>
      <c r="EE12">
        <v>0.61028685085371015</v>
      </c>
      <c r="EF12">
        <v>1.0782099999999999</v>
      </c>
      <c r="EG12">
        <v>1.1122099999999999</v>
      </c>
      <c r="EH12">
        <v>38.078159934318556</v>
      </c>
      <c r="EI12" t="s">
        <v>855</v>
      </c>
      <c r="EJ12">
        <v>0</v>
      </c>
      <c r="EK12">
        <v>0</v>
      </c>
      <c r="EL12">
        <v>44827</v>
      </c>
      <c r="EM12">
        <v>-2.3199999999999998</v>
      </c>
      <c r="EN12">
        <v>1.96</v>
      </c>
      <c r="EO12">
        <v>0.85</v>
      </c>
      <c r="EP12">
        <v>-0.42</v>
      </c>
      <c r="EQ12">
        <v>-3.4</v>
      </c>
    </row>
    <row r="13" spans="1:147" ht="56.25" x14ac:dyDescent="0.15">
      <c r="A13" s="2"/>
      <c r="B13" s="2" t="s">
        <v>966</v>
      </c>
      <c r="C13" s="2"/>
      <c r="D13" s="2" t="s">
        <v>787</v>
      </c>
      <c r="E13" t="s">
        <v>285</v>
      </c>
      <c r="F13" t="s">
        <v>286</v>
      </c>
      <c r="G13">
        <v>4.62</v>
      </c>
      <c r="H13">
        <v>-1.49</v>
      </c>
      <c r="I13" t="s">
        <v>1010</v>
      </c>
      <c r="J13">
        <v>6335712100</v>
      </c>
      <c r="L13">
        <v>1.87</v>
      </c>
      <c r="M13" t="s">
        <v>352</v>
      </c>
      <c r="N13" t="s">
        <v>1011</v>
      </c>
      <c r="O13" t="s">
        <v>788</v>
      </c>
      <c r="P13" t="s">
        <v>789</v>
      </c>
      <c r="Q13">
        <v>-1.48</v>
      </c>
      <c r="R13" t="s">
        <v>403</v>
      </c>
      <c r="S13">
        <v>-21618921</v>
      </c>
      <c r="T13">
        <v>-1.1120000000000001</v>
      </c>
      <c r="U13" t="s">
        <v>404</v>
      </c>
      <c r="V13">
        <v>1251963260</v>
      </c>
      <c r="W13">
        <v>1371366200</v>
      </c>
      <c r="X13">
        <v>4.8099999999999996</v>
      </c>
      <c r="Y13">
        <v>0.96</v>
      </c>
      <c r="Z13">
        <v>-0.09</v>
      </c>
      <c r="AA13" t="s">
        <v>790</v>
      </c>
      <c r="AB13" t="s">
        <v>1012</v>
      </c>
      <c r="AC13" t="s">
        <v>56</v>
      </c>
      <c r="AD13" t="s">
        <v>652</v>
      </c>
      <c r="AE13" t="s">
        <v>109</v>
      </c>
      <c r="AF13">
        <v>220268720</v>
      </c>
      <c r="AG13" t="s">
        <v>791</v>
      </c>
      <c r="AH13" t="s">
        <v>792</v>
      </c>
      <c r="AI13" t="s">
        <v>793</v>
      </c>
      <c r="AJ13" t="s">
        <v>794</v>
      </c>
      <c r="AK13" t="s">
        <v>795</v>
      </c>
      <c r="AL13" t="s">
        <v>796</v>
      </c>
      <c r="AM13" t="s">
        <v>797</v>
      </c>
      <c r="AN13" t="s">
        <v>798</v>
      </c>
      <c r="AO13" t="s">
        <v>799</v>
      </c>
      <c r="AP13" t="s">
        <v>800</v>
      </c>
      <c r="AQ13" t="s">
        <v>801</v>
      </c>
      <c r="AR13" t="s">
        <v>802</v>
      </c>
      <c r="AS13" t="s">
        <v>803</v>
      </c>
      <c r="AT13" t="s">
        <v>804</v>
      </c>
      <c r="AU13" t="s">
        <v>805</v>
      </c>
      <c r="AV13" t="s">
        <v>806</v>
      </c>
      <c r="AW13" t="s">
        <v>807</v>
      </c>
      <c r="AX13" t="s">
        <v>111</v>
      </c>
      <c r="AY13" t="s">
        <v>440</v>
      </c>
      <c r="AZ13" t="s">
        <v>287</v>
      </c>
      <c r="BA13" t="s">
        <v>288</v>
      </c>
      <c r="BB13" t="s">
        <v>289</v>
      </c>
      <c r="BC13" t="s">
        <v>290</v>
      </c>
      <c r="BD13" t="s">
        <v>60</v>
      </c>
      <c r="BE13" t="s">
        <v>67</v>
      </c>
      <c r="BF13" t="s">
        <v>90</v>
      </c>
      <c r="BG13" t="s">
        <v>291</v>
      </c>
      <c r="BH13" t="s">
        <v>106</v>
      </c>
      <c r="BI13" t="s">
        <v>808</v>
      </c>
      <c r="BJ13" t="s">
        <v>809</v>
      </c>
      <c r="BK13" t="s">
        <v>354</v>
      </c>
      <c r="BL13" t="s">
        <v>810</v>
      </c>
      <c r="BM13" t="s">
        <v>535</v>
      </c>
      <c r="BN13" t="s">
        <v>441</v>
      </c>
      <c r="BO13">
        <v>-0.12</v>
      </c>
      <c r="BP13">
        <v>-4.51</v>
      </c>
      <c r="BQ13">
        <v>1.45</v>
      </c>
      <c r="BR13">
        <v>1.17</v>
      </c>
      <c r="BS13">
        <v>-17.829999999999998</v>
      </c>
      <c r="BT13">
        <v>4.6900000000000004</v>
      </c>
      <c r="BU13">
        <v>4.1399999999999997</v>
      </c>
      <c r="BV13" t="s">
        <v>499</v>
      </c>
      <c r="BW13">
        <v>5.31</v>
      </c>
      <c r="BX13">
        <v>6.86</v>
      </c>
      <c r="BY13">
        <v>6.52</v>
      </c>
      <c r="BZ13">
        <v>0.38</v>
      </c>
      <c r="CA13">
        <v>0.75</v>
      </c>
      <c r="CB13">
        <v>0.56999999999999995</v>
      </c>
      <c r="CC13">
        <v>1.32</v>
      </c>
      <c r="CD13">
        <v>-20.07</v>
      </c>
      <c r="CE13" t="s">
        <v>1013</v>
      </c>
      <c r="CF13" t="s">
        <v>1014</v>
      </c>
      <c r="CG13">
        <v>-0.11459969141093777</v>
      </c>
      <c r="CH13">
        <v>-1.612479257898271</v>
      </c>
      <c r="CI13">
        <v>0.25067093968391418</v>
      </c>
      <c r="CJ13">
        <v>3.0075380578637123E-2</v>
      </c>
      <c r="CK13">
        <v>3.4147396683692932E-2</v>
      </c>
      <c r="CL13">
        <v>0.55545896291732788</v>
      </c>
      <c r="CM13">
        <v>0.36781907081604004</v>
      </c>
      <c r="CN13">
        <v>-4.3612337112426758</v>
      </c>
      <c r="CO13">
        <v>0.47402596473693848</v>
      </c>
      <c r="CP13">
        <v>0.30508473515510559</v>
      </c>
      <c r="CQ13">
        <v>0.36831584572792053</v>
      </c>
      <c r="CR13">
        <v>-0.67579919099807739</v>
      </c>
      <c r="CS13">
        <v>0.14776137179905779</v>
      </c>
      <c r="CT13">
        <v>6393695.8060288336</v>
      </c>
      <c r="CU13">
        <v>-0.41558399999999995</v>
      </c>
      <c r="CV13">
        <v>0.24763435013592244</v>
      </c>
      <c r="CW13">
        <v>-0.77792127132415767</v>
      </c>
      <c r="CX13">
        <v>0.06</v>
      </c>
      <c r="CY13" t="e">
        <v>#VALUE!</v>
      </c>
      <c r="CZ13" t="s">
        <v>420</v>
      </c>
      <c r="DA13">
        <v>0.24763435013592244</v>
      </c>
      <c r="DB13" t="e">
        <v>#VALUE!</v>
      </c>
      <c r="DC13" t="s">
        <v>421</v>
      </c>
      <c r="DD13">
        <v>0.23525263262912632</v>
      </c>
      <c r="DE13" t="e">
        <v>#VALUE!</v>
      </c>
      <c r="DF13" t="s">
        <v>421</v>
      </c>
      <c r="DG13">
        <v>0.21791822811961176</v>
      </c>
      <c r="DH13" t="e">
        <v>#VALUE!</v>
      </c>
      <c r="DI13" t="s">
        <v>421</v>
      </c>
      <c r="DJ13">
        <v>0.19810748010873797</v>
      </c>
      <c r="DK13" t="e">
        <v>#VALUE!</v>
      </c>
      <c r="DL13" t="s">
        <v>421</v>
      </c>
      <c r="DM13">
        <v>0.1733440450951457</v>
      </c>
      <c r="DN13">
        <v>-763000000</v>
      </c>
      <c r="DO13">
        <v>0.24763435013592244</v>
      </c>
      <c r="DP13">
        <v>19043712100</v>
      </c>
      <c r="DQ13">
        <v>432137000</v>
      </c>
      <c r="DR13">
        <v>3470</v>
      </c>
      <c r="DS13">
        <v>-0.36223404154686023</v>
      </c>
      <c r="DT13">
        <v>-0.83455798657411329</v>
      </c>
      <c r="DU13">
        <v>0.3833333333333333</v>
      </c>
      <c r="DV13">
        <v>-1.4483333333333333</v>
      </c>
      <c r="DW13">
        <v>-1.0649999999999999</v>
      </c>
      <c r="DX13">
        <v>-3.0460297619047618</v>
      </c>
      <c r="DY13">
        <v>0.47275900346020622</v>
      </c>
      <c r="DZ13">
        <v>-3.0065711629390344</v>
      </c>
      <c r="EA13">
        <v>4131</v>
      </c>
      <c r="EB13">
        <v>-3.0009718489742756</v>
      </c>
      <c r="EC13">
        <v>3</v>
      </c>
      <c r="ED13">
        <v>6.0169705218051893E-2</v>
      </c>
      <c r="EE13">
        <v>0.42147750177888299</v>
      </c>
      <c r="EF13">
        <v>1.0243</v>
      </c>
      <c r="EG13">
        <v>1.0094000000000001</v>
      </c>
      <c r="EH13">
        <v>33.142759003460206</v>
      </c>
      <c r="EI13" t="s">
        <v>470</v>
      </c>
      <c r="EJ13">
        <v>0</v>
      </c>
      <c r="EK13">
        <v>0</v>
      </c>
      <c r="EL13">
        <v>44827</v>
      </c>
      <c r="EM13">
        <v>-4</v>
      </c>
      <c r="EN13">
        <v>1.35</v>
      </c>
      <c r="EO13">
        <v>1.1100000000000001</v>
      </c>
      <c r="EP13">
        <v>2.63</v>
      </c>
      <c r="EQ13">
        <v>-1.49</v>
      </c>
    </row>
    <row r="14" spans="1:147" ht="67.5" x14ac:dyDescent="0.15">
      <c r="A14" s="2"/>
      <c r="B14" s="2"/>
      <c r="C14" s="2"/>
      <c r="D14" s="2" t="s">
        <v>990</v>
      </c>
      <c r="E14" t="s">
        <v>391</v>
      </c>
      <c r="F14" t="s">
        <v>392</v>
      </c>
      <c r="G14">
        <v>12.23</v>
      </c>
      <c r="H14">
        <v>3.47</v>
      </c>
      <c r="I14" t="s">
        <v>991</v>
      </c>
      <c r="J14">
        <v>5294367000</v>
      </c>
      <c r="K14">
        <v>80.510000000000005</v>
      </c>
      <c r="L14">
        <v>2.78</v>
      </c>
      <c r="M14" t="s">
        <v>352</v>
      </c>
      <c r="N14" t="s">
        <v>609</v>
      </c>
      <c r="O14" t="s">
        <v>610</v>
      </c>
      <c r="P14" t="s">
        <v>611</v>
      </c>
      <c r="Q14">
        <v>12.25</v>
      </c>
      <c r="R14" t="s">
        <v>341</v>
      </c>
      <c r="S14">
        <v>119891153</v>
      </c>
      <c r="T14">
        <v>0.13389999999999999</v>
      </c>
      <c r="U14" t="s">
        <v>393</v>
      </c>
      <c r="V14">
        <v>431137500</v>
      </c>
      <c r="W14">
        <v>432900000</v>
      </c>
      <c r="X14">
        <v>1.77</v>
      </c>
      <c r="Y14">
        <v>0.63</v>
      </c>
      <c r="Z14">
        <v>5.81</v>
      </c>
      <c r="AA14" t="s">
        <v>612</v>
      </c>
      <c r="AB14" t="s">
        <v>613</v>
      </c>
      <c r="AC14" t="s">
        <v>614</v>
      </c>
      <c r="AD14" t="s">
        <v>615</v>
      </c>
      <c r="AE14" t="s">
        <v>616</v>
      </c>
      <c r="AF14">
        <v>17164854</v>
      </c>
      <c r="AG14" t="s">
        <v>617</v>
      </c>
      <c r="AH14" t="s">
        <v>618</v>
      </c>
      <c r="AI14" t="s">
        <v>619</v>
      </c>
      <c r="AJ14" t="s">
        <v>620</v>
      </c>
      <c r="AK14" t="s">
        <v>621</v>
      </c>
      <c r="AL14" t="s">
        <v>53</v>
      </c>
      <c r="AM14" t="s">
        <v>622</v>
      </c>
      <c r="AN14" t="s">
        <v>623</v>
      </c>
      <c r="AO14" t="s">
        <v>624</v>
      </c>
      <c r="AP14" t="s">
        <v>625</v>
      </c>
      <c r="AQ14" t="s">
        <v>7</v>
      </c>
      <c r="AR14" t="s">
        <v>626</v>
      </c>
      <c r="AS14" t="s">
        <v>7</v>
      </c>
      <c r="AT14" t="s">
        <v>627</v>
      </c>
      <c r="AU14" t="s">
        <v>7</v>
      </c>
      <c r="AV14" t="s">
        <v>628</v>
      </c>
      <c r="AW14" t="s">
        <v>629</v>
      </c>
      <c r="AX14" t="s">
        <v>630</v>
      </c>
      <c r="AY14" t="s">
        <v>424</v>
      </c>
      <c r="AZ14" t="s">
        <v>425</v>
      </c>
      <c r="BA14" t="s">
        <v>426</v>
      </c>
      <c r="BB14" t="s">
        <v>73</v>
      </c>
      <c r="BC14" t="s">
        <v>427</v>
      </c>
      <c r="BD14" t="s">
        <v>51</v>
      </c>
      <c r="BE14" t="s">
        <v>79</v>
      </c>
      <c r="BF14" t="s">
        <v>55</v>
      </c>
      <c r="BG14" t="s">
        <v>54</v>
      </c>
      <c r="BH14" t="s">
        <v>90</v>
      </c>
      <c r="BI14" t="s">
        <v>631</v>
      </c>
      <c r="BJ14" t="s">
        <v>632</v>
      </c>
      <c r="BK14" t="s">
        <v>428</v>
      </c>
      <c r="BL14" t="s">
        <v>633</v>
      </c>
      <c r="BM14" t="s">
        <v>634</v>
      </c>
      <c r="BN14" t="s">
        <v>429</v>
      </c>
      <c r="BO14">
        <v>3.9</v>
      </c>
      <c r="BP14">
        <v>1.88</v>
      </c>
      <c r="BQ14">
        <v>8.1300000000000008</v>
      </c>
      <c r="BR14">
        <v>13.23</v>
      </c>
      <c r="BS14">
        <v>2.72</v>
      </c>
      <c r="BT14">
        <v>10.23</v>
      </c>
      <c r="BU14">
        <v>16.45</v>
      </c>
      <c r="BV14" t="s">
        <v>499</v>
      </c>
      <c r="BW14">
        <v>12.63</v>
      </c>
      <c r="BX14">
        <v>15.01</v>
      </c>
      <c r="BY14">
        <v>16.13</v>
      </c>
      <c r="BZ14">
        <v>5.2</v>
      </c>
      <c r="CA14">
        <v>6</v>
      </c>
      <c r="CB14">
        <v>7.29</v>
      </c>
      <c r="CC14">
        <v>18.05</v>
      </c>
      <c r="CD14">
        <v>9.1999999999999993</v>
      </c>
      <c r="CE14" t="s">
        <v>992</v>
      </c>
      <c r="CF14" t="s">
        <v>548</v>
      </c>
      <c r="CG14">
        <v>5.6446649484536079E-2</v>
      </c>
      <c r="CH14">
        <v>0.12693071068527634</v>
      </c>
      <c r="CI14">
        <v>0.43482339382171631</v>
      </c>
      <c r="CJ14">
        <v>-0.16844293475151062</v>
      </c>
      <c r="CK14">
        <v>0.15943336486816406</v>
      </c>
      <c r="CL14">
        <v>0.40236684679985046</v>
      </c>
      <c r="CM14">
        <v>0.32031255960464478</v>
      </c>
      <c r="CN14">
        <v>-0.73121565580368042</v>
      </c>
      <c r="CO14">
        <v>-0.31428572535514832</v>
      </c>
      <c r="CP14">
        <v>0.15226337313652039</v>
      </c>
      <c r="CQ14">
        <v>0.2789473831653595</v>
      </c>
      <c r="CR14">
        <v>0.61016947031021118</v>
      </c>
      <c r="CS14">
        <v>1.1534568627450981</v>
      </c>
      <c r="CT14">
        <v>231803738.28153762</v>
      </c>
      <c r="CU14">
        <v>6.4787309999999998</v>
      </c>
      <c r="CV14">
        <v>0.22969864606857299</v>
      </c>
      <c r="CW14">
        <v>-8.2423090934753414E-4</v>
      </c>
      <c r="CX14">
        <v>0.06</v>
      </c>
      <c r="CY14">
        <v>80.966958410054232</v>
      </c>
      <c r="CZ14">
        <v>59868458.630379632</v>
      </c>
      <c r="DA14">
        <v>0.22969864606857299</v>
      </c>
      <c r="DB14">
        <v>23.55303990570885</v>
      </c>
      <c r="DC14">
        <v>205806427.51023751</v>
      </c>
      <c r="DD14">
        <v>0.21821371376514434</v>
      </c>
      <c r="DE14">
        <v>9.8492791046787804</v>
      </c>
      <c r="DF14">
        <v>492154496.63694853</v>
      </c>
      <c r="DG14">
        <v>0.20213480854034424</v>
      </c>
      <c r="DH14">
        <v>4.8686659768085914</v>
      </c>
      <c r="DI14">
        <v>995625295.11984456</v>
      </c>
      <c r="DJ14">
        <v>0.1837589168548584</v>
      </c>
      <c r="DK14">
        <v>1.5833084716701677</v>
      </c>
      <c r="DL14">
        <v>3061543020.0324197</v>
      </c>
      <c r="DM14">
        <v>0.16078905224800108</v>
      </c>
      <c r="DN14">
        <v>51606600</v>
      </c>
      <c r="DO14">
        <v>0.22969864606857299</v>
      </c>
      <c r="DP14">
        <v>4847367000</v>
      </c>
      <c r="DQ14">
        <v>1391482000</v>
      </c>
      <c r="DR14">
        <v>1351</v>
      </c>
      <c r="DS14">
        <v>-0.17325199658403689</v>
      </c>
      <c r="DT14">
        <v>0.12775494159462386</v>
      </c>
      <c r="DU14">
        <v>0.36666666666666664</v>
      </c>
      <c r="DV14">
        <v>0.40666666666666673</v>
      </c>
      <c r="DW14">
        <v>0.77333333333333343</v>
      </c>
      <c r="DX14">
        <v>5.5096952908587253</v>
      </c>
      <c r="DY14">
        <v>0.83693215339232863</v>
      </c>
      <c r="DZ14">
        <v>5.1819266377401352</v>
      </c>
      <c r="EA14">
        <v>1919</v>
      </c>
      <c r="EB14">
        <v>5.1099140103013321</v>
      </c>
      <c r="EC14">
        <v>5</v>
      </c>
      <c r="ED14">
        <v>0.27951027951027951</v>
      </c>
      <c r="EE14">
        <v>0.78309078309078306</v>
      </c>
      <c r="EF14">
        <v>3.0621999999999998</v>
      </c>
      <c r="EG14">
        <v>3.0969000000000002</v>
      </c>
      <c r="EH14">
        <v>48.356932153392329</v>
      </c>
      <c r="EI14" t="s">
        <v>635</v>
      </c>
      <c r="EJ14">
        <v>1</v>
      </c>
      <c r="EK14">
        <v>0</v>
      </c>
      <c r="EL14">
        <v>44827</v>
      </c>
      <c r="EM14">
        <v>-4.25</v>
      </c>
      <c r="EN14">
        <v>10.029999999999999</v>
      </c>
      <c r="EO14">
        <v>10</v>
      </c>
      <c r="EP14">
        <v>-4.91</v>
      </c>
      <c r="EQ14">
        <v>3.47</v>
      </c>
    </row>
    <row r="15" spans="1:147" ht="67.5" x14ac:dyDescent="0.15">
      <c r="A15" s="2"/>
      <c r="B15" s="2"/>
      <c r="C15" s="2"/>
      <c r="D15" s="2" t="s">
        <v>968</v>
      </c>
      <c r="E15" t="s">
        <v>323</v>
      </c>
      <c r="F15" t="s">
        <v>324</v>
      </c>
      <c r="G15">
        <v>9.9</v>
      </c>
      <c r="H15">
        <v>-2.46</v>
      </c>
      <c r="I15" t="s">
        <v>969</v>
      </c>
      <c r="J15">
        <v>5290797600</v>
      </c>
      <c r="K15">
        <v>40.49</v>
      </c>
      <c r="L15">
        <v>3.73</v>
      </c>
      <c r="M15" t="s">
        <v>352</v>
      </c>
      <c r="N15" t="s">
        <v>187</v>
      </c>
      <c r="O15" t="s">
        <v>345</v>
      </c>
      <c r="P15" t="s">
        <v>928</v>
      </c>
      <c r="Q15">
        <v>37.42</v>
      </c>
      <c r="R15" t="s">
        <v>381</v>
      </c>
      <c r="S15">
        <v>62600796</v>
      </c>
      <c r="T15">
        <v>-5.8599999999999999E-2</v>
      </c>
      <c r="U15" t="s">
        <v>30</v>
      </c>
      <c r="V15">
        <v>249628800</v>
      </c>
      <c r="W15">
        <v>534424000</v>
      </c>
      <c r="X15">
        <v>2.23</v>
      </c>
      <c r="Y15">
        <v>0.49</v>
      </c>
      <c r="Z15">
        <v>4.47</v>
      </c>
      <c r="AA15" t="s">
        <v>929</v>
      </c>
      <c r="AB15" t="s">
        <v>930</v>
      </c>
      <c r="AC15" t="s">
        <v>931</v>
      </c>
      <c r="AD15" t="s">
        <v>932</v>
      </c>
      <c r="AE15" t="s">
        <v>933</v>
      </c>
      <c r="AF15">
        <v>11090346</v>
      </c>
      <c r="AG15" t="s">
        <v>934</v>
      </c>
      <c r="AH15" t="s">
        <v>935</v>
      </c>
      <c r="AI15" t="s">
        <v>936</v>
      </c>
      <c r="AJ15" t="s">
        <v>937</v>
      </c>
      <c r="AK15" t="s">
        <v>938</v>
      </c>
      <c r="AL15" t="s">
        <v>939</v>
      </c>
      <c r="AM15" t="s">
        <v>940</v>
      </c>
      <c r="AN15" t="s">
        <v>630</v>
      </c>
      <c r="AO15" t="s">
        <v>941</v>
      </c>
      <c r="AP15" t="s">
        <v>113</v>
      </c>
      <c r="AQ15" t="s">
        <v>942</v>
      </c>
      <c r="AR15" t="s">
        <v>60</v>
      </c>
      <c r="AS15" t="s">
        <v>7</v>
      </c>
      <c r="AT15" t="s">
        <v>943</v>
      </c>
      <c r="AU15" t="s">
        <v>944</v>
      </c>
      <c r="AV15" t="s">
        <v>945</v>
      </c>
      <c r="AW15" t="s">
        <v>101</v>
      </c>
      <c r="AX15" t="s">
        <v>946</v>
      </c>
      <c r="AY15" t="s">
        <v>947</v>
      </c>
      <c r="AZ15" t="s">
        <v>948</v>
      </c>
      <c r="BA15" t="s">
        <v>949</v>
      </c>
      <c r="BB15" t="s">
        <v>950</v>
      </c>
      <c r="BC15" t="s">
        <v>7</v>
      </c>
      <c r="BD15" t="s">
        <v>951</v>
      </c>
      <c r="BE15" t="s">
        <v>952</v>
      </c>
      <c r="BF15" t="s">
        <v>953</v>
      </c>
      <c r="BG15" t="s">
        <v>954</v>
      </c>
      <c r="BH15" t="s">
        <v>7</v>
      </c>
      <c r="BI15" t="s">
        <v>178</v>
      </c>
      <c r="BJ15" t="s">
        <v>955</v>
      </c>
      <c r="BK15" t="s">
        <v>956</v>
      </c>
      <c r="BL15" t="s">
        <v>957</v>
      </c>
      <c r="BM15" t="s">
        <v>958</v>
      </c>
      <c r="BN15" t="s">
        <v>959</v>
      </c>
      <c r="BO15">
        <v>2.82</v>
      </c>
      <c r="BP15">
        <v>7.86</v>
      </c>
      <c r="BQ15">
        <v>7.68</v>
      </c>
      <c r="BR15">
        <v>7.49</v>
      </c>
      <c r="BS15">
        <v>11.78</v>
      </c>
      <c r="BT15">
        <v>11.35</v>
      </c>
      <c r="BU15" t="s">
        <v>7</v>
      </c>
      <c r="BV15" t="s">
        <v>499</v>
      </c>
      <c r="BW15">
        <v>15.23</v>
      </c>
      <c r="BX15">
        <v>21.29</v>
      </c>
      <c r="BY15">
        <v>19.440000000000001</v>
      </c>
      <c r="BZ15">
        <v>4.13</v>
      </c>
      <c r="CA15">
        <v>5.51</v>
      </c>
      <c r="CB15">
        <v>5.05</v>
      </c>
      <c r="CC15">
        <v>-2.56</v>
      </c>
      <c r="CD15">
        <v>-23.61</v>
      </c>
      <c r="CE15" t="s">
        <v>970</v>
      </c>
      <c r="CF15" t="s">
        <v>971</v>
      </c>
      <c r="CG15">
        <v>0.10563866877971495</v>
      </c>
      <c r="CH15">
        <v>-0.12966122230368834</v>
      </c>
      <c r="CI15">
        <v>0.4976443350315094</v>
      </c>
      <c r="CJ15">
        <v>0.12974047660827637</v>
      </c>
      <c r="CK15">
        <v>0.23907679319381714</v>
      </c>
      <c r="CL15">
        <v>0.31847819685935974</v>
      </c>
      <c r="CM15" t="e">
        <v>#VALUE!</v>
      </c>
      <c r="CN15">
        <v>0.44186553359031677</v>
      </c>
      <c r="CO15">
        <v>0.2332337498664856</v>
      </c>
      <c r="CP15">
        <v>0.40860280394554138</v>
      </c>
      <c r="CQ15">
        <v>0.87431275844573975</v>
      </c>
      <c r="CR15" t="e">
        <v>#VALUE!</v>
      </c>
      <c r="CS15">
        <v>2.0805338576484469</v>
      </c>
      <c r="CT15">
        <v>37107617.037037037</v>
      </c>
      <c r="CU15">
        <v>4.8843689999999995</v>
      </c>
      <c r="CV15">
        <v>0.29623495042324066</v>
      </c>
      <c r="CW15">
        <v>0.48950371146202087</v>
      </c>
      <c r="CX15">
        <v>0.06</v>
      </c>
      <c r="CY15">
        <v>34.011240723711694</v>
      </c>
      <c r="CZ15">
        <v>165086526.70484668</v>
      </c>
      <c r="DA15">
        <v>0.29623495042324066</v>
      </c>
      <c r="DB15">
        <v>9.373710464149589</v>
      </c>
      <c r="DC15">
        <v>598994135.93733084</v>
      </c>
      <c r="DD15">
        <v>0.28142320290207862</v>
      </c>
      <c r="DE15">
        <v>3.6176579113727665</v>
      </c>
      <c r="DF15">
        <v>1552053217.1792312</v>
      </c>
      <c r="DG15">
        <v>0.26068675637245181</v>
      </c>
      <c r="DH15">
        <v>1.615419903756085</v>
      </c>
      <c r="DI15">
        <v>3475751157.2964916</v>
      </c>
      <c r="DJ15">
        <v>0.23698796033859254</v>
      </c>
      <c r="DK15">
        <v>0.40579123199828138</v>
      </c>
      <c r="DL15">
        <v>13836665647.876245</v>
      </c>
      <c r="DM15">
        <v>0.20736446529626845</v>
      </c>
      <c r="DN15">
        <v>135000000</v>
      </c>
      <c r="DO15">
        <v>0.29623495042324066</v>
      </c>
      <c r="DP15">
        <v>5614797600</v>
      </c>
      <c r="DQ15">
        <v>1097058500</v>
      </c>
      <c r="DR15">
        <v>450</v>
      </c>
      <c r="DS15">
        <v>-0.19059628164352571</v>
      </c>
      <c r="DT15">
        <v>-0.61916493376570925</v>
      </c>
      <c r="DU15">
        <v>0.76400000000000001</v>
      </c>
      <c r="DV15">
        <v>0.82</v>
      </c>
      <c r="DW15">
        <v>1.5840000000000001</v>
      </c>
      <c r="DX15">
        <v>-8.1084286319356202</v>
      </c>
      <c r="DY15">
        <v>0.36170684931507013</v>
      </c>
      <c r="DZ15">
        <v>-8.0099436482103581</v>
      </c>
      <c r="EA15">
        <v>676</v>
      </c>
      <c r="EB15">
        <v>-8.0085571164054485</v>
      </c>
      <c r="EC15">
        <v>8</v>
      </c>
      <c r="ED15">
        <v>2.5053515560678412E-2</v>
      </c>
      <c r="EE15">
        <v>0.27319132374294569</v>
      </c>
      <c r="EF15">
        <v>1.0359100000000001</v>
      </c>
      <c r="EG15">
        <v>1.0605100000000001</v>
      </c>
      <c r="EH15">
        <v>27.09170684931507</v>
      </c>
      <c r="EI15" t="s">
        <v>855</v>
      </c>
      <c r="EJ15">
        <v>0</v>
      </c>
      <c r="EK15">
        <v>1</v>
      </c>
      <c r="EL15">
        <v>44827</v>
      </c>
      <c r="EM15">
        <v>-3.24</v>
      </c>
      <c r="EN15">
        <v>2.2000000000000002</v>
      </c>
      <c r="EO15">
        <v>0.1</v>
      </c>
      <c r="EP15">
        <v>-0.88</v>
      </c>
      <c r="EQ15">
        <v>-2.46</v>
      </c>
    </row>
    <row r="16" spans="1:147" ht="67.5" x14ac:dyDescent="0.15">
      <c r="A16" s="2"/>
      <c r="B16" s="2"/>
      <c r="C16" s="2"/>
      <c r="D16" s="2" t="s">
        <v>1020</v>
      </c>
      <c r="E16" t="s">
        <v>332</v>
      </c>
      <c r="F16" t="s">
        <v>333</v>
      </c>
      <c r="G16">
        <v>24.3</v>
      </c>
      <c r="H16">
        <v>-2.13</v>
      </c>
      <c r="I16" t="s">
        <v>1021</v>
      </c>
      <c r="J16">
        <v>5016387000</v>
      </c>
      <c r="K16">
        <v>20.49</v>
      </c>
      <c r="L16">
        <v>1.81</v>
      </c>
      <c r="M16" t="s">
        <v>352</v>
      </c>
      <c r="N16" t="s">
        <v>834</v>
      </c>
      <c r="O16" t="s">
        <v>835</v>
      </c>
      <c r="P16" t="s">
        <v>836</v>
      </c>
      <c r="Q16">
        <v>7.58</v>
      </c>
      <c r="R16" t="s">
        <v>406</v>
      </c>
      <c r="S16">
        <v>113905063</v>
      </c>
      <c r="T16">
        <v>-0.45810000000000001</v>
      </c>
      <c r="U16" t="s">
        <v>173</v>
      </c>
      <c r="V16">
        <v>206435680</v>
      </c>
      <c r="W16">
        <v>206435680</v>
      </c>
      <c r="X16">
        <v>1.9</v>
      </c>
      <c r="Y16">
        <v>1.1299999999999999</v>
      </c>
      <c r="Z16">
        <v>2.09</v>
      </c>
      <c r="AA16" t="s">
        <v>837</v>
      </c>
      <c r="AB16" t="s">
        <v>838</v>
      </c>
      <c r="AC16" t="s">
        <v>839</v>
      </c>
      <c r="AD16" t="s">
        <v>840</v>
      </c>
      <c r="AE16" t="s">
        <v>841</v>
      </c>
      <c r="AF16">
        <v>1452453</v>
      </c>
      <c r="AG16" t="s">
        <v>842</v>
      </c>
      <c r="AH16" t="s">
        <v>7</v>
      </c>
      <c r="AI16" t="s">
        <v>843</v>
      </c>
      <c r="AJ16" t="s">
        <v>844</v>
      </c>
      <c r="AK16" t="s">
        <v>845</v>
      </c>
      <c r="AL16" t="s">
        <v>7</v>
      </c>
      <c r="AM16" t="s">
        <v>846</v>
      </c>
      <c r="AN16" t="s">
        <v>103</v>
      </c>
      <c r="AO16" t="s">
        <v>847</v>
      </c>
      <c r="AP16" t="s">
        <v>81</v>
      </c>
      <c r="AQ16" t="s">
        <v>848</v>
      </c>
      <c r="AR16" t="s">
        <v>782</v>
      </c>
      <c r="AS16" t="s">
        <v>7</v>
      </c>
      <c r="AT16" t="s">
        <v>849</v>
      </c>
      <c r="AU16" t="s">
        <v>7</v>
      </c>
      <c r="AV16" t="s">
        <v>850</v>
      </c>
      <c r="AW16" t="s">
        <v>851</v>
      </c>
      <c r="AX16" t="s">
        <v>69</v>
      </c>
      <c r="AY16" t="s">
        <v>334</v>
      </c>
      <c r="AZ16" t="s">
        <v>335</v>
      </c>
      <c r="BA16" t="s">
        <v>336</v>
      </c>
      <c r="BB16" t="s">
        <v>337</v>
      </c>
      <c r="BC16" t="s">
        <v>338</v>
      </c>
      <c r="BD16" t="s">
        <v>101</v>
      </c>
      <c r="BE16" t="s">
        <v>86</v>
      </c>
      <c r="BF16" t="s">
        <v>56</v>
      </c>
      <c r="BG16" t="s">
        <v>71</v>
      </c>
      <c r="BH16" t="s">
        <v>62</v>
      </c>
      <c r="BI16" t="s">
        <v>852</v>
      </c>
      <c r="BJ16" t="s">
        <v>853</v>
      </c>
      <c r="BK16" t="s">
        <v>443</v>
      </c>
      <c r="BL16" t="s">
        <v>854</v>
      </c>
      <c r="BM16" t="s">
        <v>774</v>
      </c>
      <c r="BN16" t="s">
        <v>444</v>
      </c>
      <c r="BO16">
        <v>2.6</v>
      </c>
      <c r="BP16">
        <v>9.02</v>
      </c>
      <c r="BQ16">
        <v>5.57</v>
      </c>
      <c r="BR16">
        <v>7.11</v>
      </c>
      <c r="BS16">
        <v>15.86</v>
      </c>
      <c r="BT16">
        <v>8.8699999999999992</v>
      </c>
      <c r="BU16">
        <v>8.5399999999999991</v>
      </c>
      <c r="BV16" t="s">
        <v>499</v>
      </c>
      <c r="BW16">
        <v>5.33</v>
      </c>
      <c r="BX16">
        <v>7.9</v>
      </c>
      <c r="BY16">
        <v>7.24</v>
      </c>
      <c r="BZ16">
        <v>2.0499999999999998</v>
      </c>
      <c r="CA16">
        <v>2.78</v>
      </c>
      <c r="CB16">
        <v>3.13</v>
      </c>
      <c r="CC16">
        <v>-3.15</v>
      </c>
      <c r="CD16">
        <v>-35.22</v>
      </c>
      <c r="CE16" t="s">
        <v>1022</v>
      </c>
      <c r="CF16" t="s">
        <v>1023</v>
      </c>
      <c r="CG16">
        <v>5.2988469457789983E-2</v>
      </c>
      <c r="CH16">
        <v>-0.50706451982363487</v>
      </c>
      <c r="CI16">
        <v>0.71002709865570068</v>
      </c>
      <c r="CJ16">
        <v>0.26191917061805725</v>
      </c>
      <c r="CK16">
        <v>-1.6067484393715858E-3</v>
      </c>
      <c r="CL16">
        <v>8.6169242858886719E-2</v>
      </c>
      <c r="CM16">
        <v>0.41963458061218262</v>
      </c>
      <c r="CN16">
        <v>0.95977014303207397</v>
      </c>
      <c r="CO16">
        <v>0.11538461595773697</v>
      </c>
      <c r="CP16">
        <v>-0.13812154531478882</v>
      </c>
      <c r="CQ16">
        <v>2.2598870098590851E-2</v>
      </c>
      <c r="CR16">
        <v>0.55263155698776245</v>
      </c>
      <c r="CS16">
        <v>0.46764118579285913</v>
      </c>
      <c r="CT16">
        <v>31490540.469208211</v>
      </c>
      <c r="CU16">
        <v>4.4872299999999994</v>
      </c>
      <c r="CV16">
        <v>0.29522866886109111</v>
      </c>
      <c r="CW16">
        <v>0.30245272815227509</v>
      </c>
      <c r="CX16">
        <v>0.06</v>
      </c>
      <c r="CY16">
        <v>11.364766448994313</v>
      </c>
      <c r="CZ16">
        <v>416672618.94493592</v>
      </c>
      <c r="DA16">
        <v>0.29522866886109111</v>
      </c>
      <c r="DB16">
        <v>3.1347375766467973</v>
      </c>
      <c r="DC16">
        <v>1510616721.2457395</v>
      </c>
      <c r="DD16">
        <v>0.28046723541803653</v>
      </c>
      <c r="DE16">
        <v>1.2112884306140617</v>
      </c>
      <c r="DF16">
        <v>3909380194.1123137</v>
      </c>
      <c r="DG16">
        <v>0.25980122859776017</v>
      </c>
      <c r="DH16">
        <v>0.5417351377794154</v>
      </c>
      <c r="DI16">
        <v>8741147970.2248192</v>
      </c>
      <c r="DJ16">
        <v>0.23618293508887289</v>
      </c>
      <c r="DK16">
        <v>0.13663209223312703</v>
      </c>
      <c r="DL16">
        <v>34657941063.51162</v>
      </c>
      <c r="DM16">
        <v>0.20666006820276378</v>
      </c>
      <c r="DN16">
        <v>341000000</v>
      </c>
      <c r="DO16">
        <v>0.29522866886109111</v>
      </c>
      <c r="DP16">
        <v>4735387000</v>
      </c>
      <c r="DQ16">
        <v>1817573100</v>
      </c>
      <c r="DR16">
        <v>4196</v>
      </c>
      <c r="DS16">
        <v>-0.24224019940330113</v>
      </c>
      <c r="DT16">
        <v>-0.80951724797590996</v>
      </c>
      <c r="DU16">
        <v>0.58333333333333337</v>
      </c>
      <c r="DV16">
        <v>0.21333333333333335</v>
      </c>
      <c r="DW16">
        <v>0.79666666666666675</v>
      </c>
      <c r="DX16">
        <v>-8.0894378194207839</v>
      </c>
      <c r="DY16">
        <v>0.35357187500000009</v>
      </c>
      <c r="DZ16">
        <v>-8.0092632426533221</v>
      </c>
      <c r="EA16">
        <v>1876</v>
      </c>
      <c r="EB16">
        <v>-8.005678704035823</v>
      </c>
      <c r="EC16">
        <v>8</v>
      </c>
      <c r="ED16">
        <v>6.4219518641351142E-2</v>
      </c>
      <c r="EE16">
        <v>0.62004785219299297</v>
      </c>
      <c r="EF16">
        <v>4.9209999999999997E-2</v>
      </c>
      <c r="EG16">
        <v>7.0510000000000003E-2</v>
      </c>
      <c r="EH16">
        <v>25.103571875</v>
      </c>
      <c r="EI16">
        <v>-1</v>
      </c>
      <c r="EJ16">
        <v>0</v>
      </c>
      <c r="EK16">
        <v>0</v>
      </c>
      <c r="EL16">
        <v>44827</v>
      </c>
      <c r="EM16">
        <v>-1.49</v>
      </c>
      <c r="EN16">
        <v>4.1500000000000004</v>
      </c>
      <c r="EO16">
        <v>-0.86</v>
      </c>
      <c r="EP16">
        <v>-2.09</v>
      </c>
      <c r="EQ16">
        <v>-2.13</v>
      </c>
    </row>
    <row r="17" spans="1:147" ht="67.5" x14ac:dyDescent="0.15">
      <c r="A17" s="2"/>
      <c r="B17" s="2"/>
      <c r="C17" s="2"/>
      <c r="D17" s="2" t="s">
        <v>980</v>
      </c>
      <c r="E17" t="s">
        <v>250</v>
      </c>
      <c r="F17" t="s">
        <v>527</v>
      </c>
      <c r="G17">
        <v>5.74</v>
      </c>
      <c r="H17">
        <v>0</v>
      </c>
      <c r="I17" t="s">
        <v>981</v>
      </c>
      <c r="J17">
        <v>5004057800</v>
      </c>
      <c r="L17">
        <v>3.06</v>
      </c>
      <c r="M17" t="s">
        <v>352</v>
      </c>
      <c r="N17" t="s">
        <v>528</v>
      </c>
      <c r="O17" t="s">
        <v>529</v>
      </c>
      <c r="P17" t="s">
        <v>530</v>
      </c>
      <c r="Q17">
        <v>-4.43</v>
      </c>
      <c r="R17" t="s">
        <v>387</v>
      </c>
      <c r="S17">
        <v>-131122476</v>
      </c>
      <c r="T17">
        <v>0.89559999999999995</v>
      </c>
      <c r="U17" t="s">
        <v>388</v>
      </c>
      <c r="V17">
        <v>746478240</v>
      </c>
      <c r="W17">
        <v>871787070</v>
      </c>
      <c r="X17">
        <v>7.76</v>
      </c>
      <c r="Y17">
        <v>0.35</v>
      </c>
      <c r="Z17">
        <v>-2.85</v>
      </c>
      <c r="AA17" t="s">
        <v>531</v>
      </c>
      <c r="AB17" t="s">
        <v>532</v>
      </c>
      <c r="AC17" t="s">
        <v>533</v>
      </c>
      <c r="AD17" t="s">
        <v>534</v>
      </c>
      <c r="AE17" t="s">
        <v>535</v>
      </c>
      <c r="AF17">
        <v>143265440</v>
      </c>
      <c r="AG17" t="s">
        <v>536</v>
      </c>
      <c r="AH17" t="s">
        <v>537</v>
      </c>
      <c r="AI17" t="s">
        <v>538</v>
      </c>
      <c r="AJ17" t="s">
        <v>539</v>
      </c>
      <c r="AK17" t="s">
        <v>540</v>
      </c>
      <c r="AL17" t="s">
        <v>541</v>
      </c>
      <c r="AM17" t="s">
        <v>542</v>
      </c>
      <c r="AN17" t="s">
        <v>543</v>
      </c>
      <c r="AO17" t="s">
        <v>544</v>
      </c>
      <c r="AP17" t="s">
        <v>343</v>
      </c>
      <c r="AQ17" t="s">
        <v>545</v>
      </c>
      <c r="AR17" t="s">
        <v>546</v>
      </c>
      <c r="AS17" t="s">
        <v>7</v>
      </c>
      <c r="AT17" t="s">
        <v>547</v>
      </c>
      <c r="AU17" t="s">
        <v>548</v>
      </c>
      <c r="AV17" t="s">
        <v>549</v>
      </c>
      <c r="AW17" t="s">
        <v>550</v>
      </c>
      <c r="AX17" t="s">
        <v>551</v>
      </c>
      <c r="AY17" t="s">
        <v>251</v>
      </c>
      <c r="AZ17" t="s">
        <v>253</v>
      </c>
      <c r="BA17" t="s">
        <v>254</v>
      </c>
      <c r="BB17" t="s">
        <v>255</v>
      </c>
      <c r="BC17" t="s">
        <v>256</v>
      </c>
      <c r="BD17" t="s">
        <v>252</v>
      </c>
      <c r="BE17" t="s">
        <v>257</v>
      </c>
      <c r="BF17" t="s">
        <v>258</v>
      </c>
      <c r="BG17" t="s">
        <v>93</v>
      </c>
      <c r="BH17" t="s">
        <v>259</v>
      </c>
      <c r="BI17" t="s">
        <v>552</v>
      </c>
      <c r="BJ17" t="s">
        <v>553</v>
      </c>
      <c r="BK17" t="s">
        <v>418</v>
      </c>
      <c r="BL17" t="s">
        <v>554</v>
      </c>
      <c r="BM17" t="s">
        <v>555</v>
      </c>
      <c r="BN17" t="s">
        <v>419</v>
      </c>
      <c r="BO17">
        <v>-1.58</v>
      </c>
      <c r="BP17">
        <v>-37.19</v>
      </c>
      <c r="BQ17">
        <v>-20.55</v>
      </c>
      <c r="BR17">
        <v>0.31</v>
      </c>
      <c r="BS17">
        <v>-104.65</v>
      </c>
      <c r="BT17">
        <v>-40.869999999999997</v>
      </c>
      <c r="BU17">
        <v>0.63</v>
      </c>
      <c r="BV17" t="s">
        <v>499</v>
      </c>
      <c r="BW17">
        <v>10.52</v>
      </c>
      <c r="BX17">
        <v>7.55</v>
      </c>
      <c r="BY17">
        <v>15.25</v>
      </c>
      <c r="BZ17">
        <v>-3.03</v>
      </c>
      <c r="CA17">
        <v>-32.369999999999997</v>
      </c>
      <c r="CB17">
        <v>1.02</v>
      </c>
      <c r="CC17">
        <v>4.74</v>
      </c>
      <c r="CD17">
        <v>16.670000000000002</v>
      </c>
      <c r="CE17" t="s">
        <v>982</v>
      </c>
      <c r="CF17" t="s">
        <v>983</v>
      </c>
      <c r="CG17">
        <v>-5.2001551854655562E-2</v>
      </c>
      <c r="CH17">
        <v>0.94769123863445404</v>
      </c>
      <c r="CI17">
        <v>0.16882544755935669</v>
      </c>
      <c r="CJ17">
        <v>-0.23610997200012207</v>
      </c>
      <c r="CK17">
        <v>-0.29301682114601135</v>
      </c>
      <c r="CL17">
        <v>-0.13850113749504089</v>
      </c>
      <c r="CM17">
        <v>0.71935874223709106</v>
      </c>
      <c r="CN17">
        <v>-0.32397255301475525</v>
      </c>
      <c r="CO17">
        <v>-54.455478668212891</v>
      </c>
      <c r="CP17">
        <v>1.1896697282791138</v>
      </c>
      <c r="CQ17">
        <v>-1.9411764144897461</v>
      </c>
      <c r="CR17">
        <v>3.1211233139038086</v>
      </c>
      <c r="CS17">
        <v>0.47395887478689147</v>
      </c>
      <c r="CT17">
        <v>7108325.4009311963</v>
      </c>
      <c r="CU17">
        <v>-7.7405999999999997</v>
      </c>
      <c r="CV17">
        <v>4.4111251831054688E-2</v>
      </c>
      <c r="CW17">
        <v>-10.481966918706894</v>
      </c>
      <c r="CX17">
        <v>0.06</v>
      </c>
      <c r="CY17" t="e">
        <v>#VALUE!</v>
      </c>
      <c r="CZ17" t="s">
        <v>420</v>
      </c>
      <c r="DA17">
        <v>4.4111251831054688E-2</v>
      </c>
      <c r="DB17" t="e">
        <v>#VALUE!</v>
      </c>
      <c r="DC17" t="s">
        <v>421</v>
      </c>
      <c r="DD17">
        <v>4.1905689239501949E-2</v>
      </c>
      <c r="DE17" t="e">
        <v>#VALUE!</v>
      </c>
      <c r="DF17" t="s">
        <v>421</v>
      </c>
      <c r="DG17">
        <v>3.8817901611328122E-2</v>
      </c>
      <c r="DH17" t="e">
        <v>#VALUE!</v>
      </c>
      <c r="DI17" t="s">
        <v>421</v>
      </c>
      <c r="DJ17">
        <v>3.5289001464843754E-2</v>
      </c>
      <c r="DK17" t="e">
        <v>#VALUE!</v>
      </c>
      <c r="DL17" t="s">
        <v>421</v>
      </c>
      <c r="DM17">
        <v>3.0877876281738281E-2</v>
      </c>
      <c r="DN17">
        <v>-3865999999.9999995</v>
      </c>
      <c r="DO17">
        <v>4.4111251831054688E-2</v>
      </c>
      <c r="DP17">
        <v>14382057800</v>
      </c>
      <c r="DQ17">
        <v>-2453872500</v>
      </c>
      <c r="DR17">
        <v>807</v>
      </c>
      <c r="DS17">
        <v>-9.6112803685710249E-2</v>
      </c>
      <c r="DT17">
        <v>11.429658157341347</v>
      </c>
      <c r="DU17">
        <v>8.3333333333333315E-2</v>
      </c>
      <c r="DV17">
        <v>-1.37</v>
      </c>
      <c r="DW17">
        <v>-1.2866666666666668</v>
      </c>
      <c r="DX17">
        <v>8.2843431313737259</v>
      </c>
      <c r="DY17">
        <v>0.42277148325358554</v>
      </c>
      <c r="DZ17">
        <v>8.0263789340505109</v>
      </c>
      <c r="EA17">
        <v>4257</v>
      </c>
      <c r="EB17">
        <v>8.0032157487672961</v>
      </c>
      <c r="EC17">
        <v>8</v>
      </c>
      <c r="ED17">
        <v>0.11120398929523011</v>
      </c>
      <c r="EE17">
        <v>1.1986871977809901</v>
      </c>
      <c r="EF17">
        <v>1.0276000000000001</v>
      </c>
      <c r="EG17">
        <v>1.0276000000000001</v>
      </c>
      <c r="EH17">
        <v>33.092771483253586</v>
      </c>
      <c r="EI17" t="s">
        <v>470</v>
      </c>
      <c r="EJ17">
        <v>0</v>
      </c>
      <c r="EK17">
        <v>0</v>
      </c>
      <c r="EL17">
        <v>44827</v>
      </c>
      <c r="EM17">
        <v>1.29</v>
      </c>
      <c r="EN17">
        <v>2.2400000000000002</v>
      </c>
      <c r="EO17">
        <v>-0.18</v>
      </c>
      <c r="EP17">
        <v>4.9400000000000004</v>
      </c>
      <c r="EQ17">
        <v>0</v>
      </c>
    </row>
    <row r="18" spans="1:147" ht="180" x14ac:dyDescent="0.15">
      <c r="A18" s="2"/>
      <c r="B18" s="2" t="s">
        <v>962</v>
      </c>
      <c r="C18" s="2" t="s">
        <v>963</v>
      </c>
      <c r="D18" s="2" t="s">
        <v>580</v>
      </c>
      <c r="E18" t="s">
        <v>235</v>
      </c>
      <c r="F18" t="s">
        <v>236</v>
      </c>
      <c r="G18">
        <v>6.59</v>
      </c>
      <c r="H18">
        <v>-1.05</v>
      </c>
      <c r="I18" t="s">
        <v>987</v>
      </c>
      <c r="J18">
        <v>4837385200</v>
      </c>
      <c r="K18">
        <v>14.22</v>
      </c>
      <c r="L18">
        <v>1.44</v>
      </c>
      <c r="M18" t="s">
        <v>352</v>
      </c>
      <c r="N18" t="s">
        <v>581</v>
      </c>
      <c r="O18" t="s">
        <v>582</v>
      </c>
      <c r="P18" t="s">
        <v>583</v>
      </c>
      <c r="Q18">
        <v>9.8699999999999992</v>
      </c>
      <c r="R18" t="s">
        <v>390</v>
      </c>
      <c r="S18">
        <v>173870580</v>
      </c>
      <c r="T18">
        <v>5.3199999999999997E-2</v>
      </c>
      <c r="U18" t="s">
        <v>77</v>
      </c>
      <c r="V18">
        <v>602051320</v>
      </c>
      <c r="W18">
        <v>734049350</v>
      </c>
      <c r="X18">
        <v>2.1800000000000002</v>
      </c>
      <c r="Y18">
        <v>0.81</v>
      </c>
      <c r="Z18">
        <v>3.19</v>
      </c>
      <c r="AA18" t="s">
        <v>584</v>
      </c>
      <c r="AB18" t="s">
        <v>585</v>
      </c>
      <c r="AC18" t="s">
        <v>586</v>
      </c>
      <c r="AD18" t="s">
        <v>587</v>
      </c>
      <c r="AE18" t="s">
        <v>35</v>
      </c>
      <c r="AF18">
        <v>30894532</v>
      </c>
      <c r="AG18" t="s">
        <v>588</v>
      </c>
      <c r="AH18" t="s">
        <v>589</v>
      </c>
      <c r="AI18" t="s">
        <v>590</v>
      </c>
      <c r="AJ18" t="s">
        <v>591</v>
      </c>
      <c r="AK18" t="s">
        <v>592</v>
      </c>
      <c r="AL18" t="s">
        <v>593</v>
      </c>
      <c r="AM18" t="s">
        <v>594</v>
      </c>
      <c r="AN18" t="s">
        <v>595</v>
      </c>
      <c r="AO18" t="s">
        <v>596</v>
      </c>
      <c r="AP18" t="s">
        <v>597</v>
      </c>
      <c r="AQ18" t="s">
        <v>598</v>
      </c>
      <c r="AR18" t="s">
        <v>599</v>
      </c>
      <c r="AS18" t="s">
        <v>600</v>
      </c>
      <c r="AT18" t="s">
        <v>601</v>
      </c>
      <c r="AU18" t="s">
        <v>602</v>
      </c>
      <c r="AV18" t="s">
        <v>603</v>
      </c>
      <c r="AW18" t="s">
        <v>604</v>
      </c>
      <c r="AX18" t="s">
        <v>605</v>
      </c>
      <c r="AY18" t="s">
        <v>237</v>
      </c>
      <c r="AZ18" t="s">
        <v>238</v>
      </c>
      <c r="BA18" t="s">
        <v>239</v>
      </c>
      <c r="BB18" t="s">
        <v>240</v>
      </c>
      <c r="BC18" t="s">
        <v>241</v>
      </c>
      <c r="BD18" t="s">
        <v>50</v>
      </c>
      <c r="BE18" t="s">
        <v>65</v>
      </c>
      <c r="BF18" t="s">
        <v>61</v>
      </c>
      <c r="BG18" t="s">
        <v>64</v>
      </c>
      <c r="BH18" t="s">
        <v>44</v>
      </c>
      <c r="BI18" t="s">
        <v>606</v>
      </c>
      <c r="BJ18" t="s">
        <v>607</v>
      </c>
      <c r="BK18" t="s">
        <v>190</v>
      </c>
      <c r="BL18" t="s">
        <v>608</v>
      </c>
      <c r="BM18" t="s">
        <v>43</v>
      </c>
      <c r="BN18" t="s">
        <v>423</v>
      </c>
      <c r="BO18">
        <v>2.73</v>
      </c>
      <c r="BP18">
        <v>5.8</v>
      </c>
      <c r="BQ18">
        <v>5.65</v>
      </c>
      <c r="BR18">
        <v>6.12</v>
      </c>
      <c r="BS18">
        <v>9.8000000000000007</v>
      </c>
      <c r="BT18">
        <v>8.0399999999999991</v>
      </c>
      <c r="BU18">
        <v>8.25</v>
      </c>
      <c r="BV18" t="s">
        <v>499</v>
      </c>
      <c r="BW18">
        <v>11.39</v>
      </c>
      <c r="BX18">
        <v>14.27</v>
      </c>
      <c r="BY18">
        <v>15.45</v>
      </c>
      <c r="BZ18">
        <v>3.19</v>
      </c>
      <c r="CA18">
        <v>3.31</v>
      </c>
      <c r="CB18">
        <v>3.63</v>
      </c>
      <c r="CC18">
        <v>0.61</v>
      </c>
      <c r="CD18">
        <v>-21.17</v>
      </c>
      <c r="CE18" t="s">
        <v>988</v>
      </c>
      <c r="CF18" t="s">
        <v>989</v>
      </c>
      <c r="CG18">
        <v>5.6441479001825931E-2</v>
      </c>
      <c r="CH18">
        <v>-6.393535913892584E-2</v>
      </c>
      <c r="CI18">
        <v>0.64597237110137939</v>
      </c>
      <c r="CJ18">
        <v>0.33401781320571899</v>
      </c>
      <c r="CK18">
        <v>0.23317155241966248</v>
      </c>
      <c r="CL18">
        <v>0.19641502201557159</v>
      </c>
      <c r="CM18">
        <v>0.26752001047134399</v>
      </c>
      <c r="CN18">
        <v>0.32400000095367432</v>
      </c>
      <c r="CO18">
        <v>0.26262626051902771</v>
      </c>
      <c r="CP18">
        <v>0.4887218177318573</v>
      </c>
      <c r="CQ18">
        <v>7.2580642998218536E-2</v>
      </c>
      <c r="CR18">
        <v>-0.26627218723297119</v>
      </c>
      <c r="CS18">
        <v>0.37697827306733167</v>
      </c>
      <c r="CT18">
        <v>49183477.341389731</v>
      </c>
      <c r="CU18">
        <v>5.6329020000000005</v>
      </c>
      <c r="CV18">
        <v>0.3354193538427353</v>
      </c>
      <c r="CW18">
        <v>0.17633130699396132</v>
      </c>
      <c r="CX18">
        <v>0.06</v>
      </c>
      <c r="CY18">
        <v>13.168676056316617</v>
      </c>
      <c r="CZ18">
        <v>417003590.68108052</v>
      </c>
      <c r="DA18">
        <v>0.3354193538427353</v>
      </c>
      <c r="DB18">
        <v>3.5173244265053012</v>
      </c>
      <c r="DC18">
        <v>1561239321.1780186</v>
      </c>
      <c r="DD18">
        <v>0.31864838615059854</v>
      </c>
      <c r="DE18">
        <v>1.2942259637401476</v>
      </c>
      <c r="DF18">
        <v>4242987974.1637993</v>
      </c>
      <c r="DG18">
        <v>0.29516903138160705</v>
      </c>
      <c r="DH18">
        <v>0.54331980909403887</v>
      </c>
      <c r="DI18">
        <v>10107095504.499708</v>
      </c>
      <c r="DJ18">
        <v>0.26833548307418825</v>
      </c>
      <c r="DK18">
        <v>0.11642004810448339</v>
      </c>
      <c r="DL18">
        <v>47168724712.015678</v>
      </c>
      <c r="DM18">
        <v>0.2347935476899147</v>
      </c>
      <c r="DN18">
        <v>331000000</v>
      </c>
      <c r="DO18">
        <v>0.3354193538427353</v>
      </c>
      <c r="DP18">
        <v>5491385200</v>
      </c>
      <c r="DQ18">
        <v>1977181199.9999995</v>
      </c>
      <c r="DR18">
        <v>1023</v>
      </c>
      <c r="DS18">
        <v>-0.27897787484090936</v>
      </c>
      <c r="DT18">
        <v>-0.24026666613288716</v>
      </c>
      <c r="DU18">
        <v>0.83333333333333337</v>
      </c>
      <c r="DV18">
        <v>0.35000000000000003</v>
      </c>
      <c r="DW18">
        <v>1.1833333333333333</v>
      </c>
      <c r="DX18">
        <v>-3.058470238095238</v>
      </c>
      <c r="DY18">
        <v>0.32945066162570869</v>
      </c>
      <c r="DZ18">
        <v>-3.0040607967211268</v>
      </c>
      <c r="EA18">
        <v>1238</v>
      </c>
      <c r="EB18">
        <v>-3.003023819340608</v>
      </c>
      <c r="EC18">
        <v>3</v>
      </c>
      <c r="ED18">
        <v>5.0050313374707028E-2</v>
      </c>
      <c r="EE18">
        <v>0.72065999377289824</v>
      </c>
      <c r="EF18">
        <v>1.0462100000000001</v>
      </c>
      <c r="EG18">
        <v>1.05671</v>
      </c>
      <c r="EH18">
        <v>26.069450661625709</v>
      </c>
      <c r="EI18" t="s">
        <v>855</v>
      </c>
      <c r="EJ18">
        <v>0</v>
      </c>
      <c r="EK18">
        <v>1</v>
      </c>
      <c r="EL18">
        <v>44827</v>
      </c>
      <c r="EM18">
        <v>-1.8</v>
      </c>
      <c r="EN18">
        <v>2.79</v>
      </c>
      <c r="EO18">
        <v>0.3</v>
      </c>
      <c r="EP18">
        <v>0.15</v>
      </c>
      <c r="EQ18">
        <v>-1.05</v>
      </c>
    </row>
    <row r="19" spans="1:147" ht="67.5" x14ac:dyDescent="0.15">
      <c r="A19" s="2"/>
      <c r="B19" s="2"/>
      <c r="C19" s="2"/>
      <c r="D19" s="2" t="s">
        <v>976</v>
      </c>
      <c r="E19" t="s">
        <v>384</v>
      </c>
      <c r="F19" t="s">
        <v>385</v>
      </c>
      <c r="G19">
        <v>7.34</v>
      </c>
      <c r="H19">
        <v>-2.78</v>
      </c>
      <c r="I19" t="s">
        <v>977</v>
      </c>
      <c r="J19">
        <v>4819935800</v>
      </c>
      <c r="K19">
        <v>24.55</v>
      </c>
      <c r="L19">
        <v>2.87</v>
      </c>
      <c r="M19" t="s">
        <v>352</v>
      </c>
      <c r="N19" t="s">
        <v>500</v>
      </c>
      <c r="O19" t="s">
        <v>501</v>
      </c>
      <c r="P19" t="s">
        <v>502</v>
      </c>
      <c r="Q19">
        <v>24.16</v>
      </c>
      <c r="R19" t="s">
        <v>386</v>
      </c>
      <c r="S19">
        <v>92864160</v>
      </c>
      <c r="T19">
        <v>0.68620000000000003</v>
      </c>
      <c r="U19" t="s">
        <v>57</v>
      </c>
      <c r="V19">
        <v>656616550</v>
      </c>
      <c r="W19">
        <v>656667000</v>
      </c>
      <c r="X19">
        <v>2.86</v>
      </c>
      <c r="Y19">
        <v>1.26</v>
      </c>
      <c r="Z19">
        <v>1.64</v>
      </c>
      <c r="AA19" t="s">
        <v>503</v>
      </c>
      <c r="AB19" t="s">
        <v>504</v>
      </c>
      <c r="AC19" t="s">
        <v>505</v>
      </c>
      <c r="AD19" t="s">
        <v>506</v>
      </c>
      <c r="AE19" t="s">
        <v>507</v>
      </c>
      <c r="AF19">
        <v>27080481</v>
      </c>
      <c r="AG19" t="s">
        <v>508</v>
      </c>
      <c r="AH19" t="s">
        <v>509</v>
      </c>
      <c r="AI19" t="s">
        <v>510</v>
      </c>
      <c r="AJ19" t="s">
        <v>511</v>
      </c>
      <c r="AK19" t="s">
        <v>512</v>
      </c>
      <c r="AL19" t="s">
        <v>513</v>
      </c>
      <c r="AM19" t="s">
        <v>514</v>
      </c>
      <c r="AN19" t="s">
        <v>515</v>
      </c>
      <c r="AO19" t="s">
        <v>41</v>
      </c>
      <c r="AP19" t="s">
        <v>516</v>
      </c>
      <c r="AQ19" t="s">
        <v>517</v>
      </c>
      <c r="AR19" t="s">
        <v>30</v>
      </c>
      <c r="AS19" t="s">
        <v>7</v>
      </c>
      <c r="AT19" t="s">
        <v>518</v>
      </c>
      <c r="AU19" t="s">
        <v>49</v>
      </c>
      <c r="AV19" t="s">
        <v>519</v>
      </c>
      <c r="AW19" t="s">
        <v>520</v>
      </c>
      <c r="AX19" t="s">
        <v>521</v>
      </c>
      <c r="AY19" t="s">
        <v>413</v>
      </c>
      <c r="AZ19" t="s">
        <v>414</v>
      </c>
      <c r="BA19" t="s">
        <v>415</v>
      </c>
      <c r="BB19" t="s">
        <v>340</v>
      </c>
      <c r="BC19" t="s">
        <v>416</v>
      </c>
      <c r="BD19" t="s">
        <v>54</v>
      </c>
      <c r="BE19" t="s">
        <v>36</v>
      </c>
      <c r="BF19" t="s">
        <v>39</v>
      </c>
      <c r="BG19" t="s">
        <v>82</v>
      </c>
      <c r="BH19" t="s">
        <v>98</v>
      </c>
      <c r="BI19" t="s">
        <v>522</v>
      </c>
      <c r="BJ19" t="s">
        <v>523</v>
      </c>
      <c r="BK19" t="s">
        <v>339</v>
      </c>
      <c r="BL19" t="s">
        <v>524</v>
      </c>
      <c r="BM19" t="s">
        <v>525</v>
      </c>
      <c r="BN19" t="s">
        <v>417</v>
      </c>
      <c r="BO19">
        <v>2.14</v>
      </c>
      <c r="BP19">
        <v>4.3600000000000003</v>
      </c>
      <c r="BQ19">
        <v>5.84</v>
      </c>
      <c r="BR19">
        <v>6.49</v>
      </c>
      <c r="BS19">
        <v>9.67</v>
      </c>
      <c r="BT19">
        <v>12.33</v>
      </c>
      <c r="BU19">
        <v>13.75</v>
      </c>
      <c r="BV19" t="s">
        <v>499</v>
      </c>
      <c r="BW19">
        <v>4.4800000000000004</v>
      </c>
      <c r="BX19">
        <v>6.73</v>
      </c>
      <c r="BY19">
        <v>8.58</v>
      </c>
      <c r="BZ19">
        <v>1.48</v>
      </c>
      <c r="CA19">
        <v>2.79</v>
      </c>
      <c r="CB19">
        <v>2.97</v>
      </c>
      <c r="CC19">
        <v>-1.74</v>
      </c>
      <c r="CD19">
        <v>-15.14</v>
      </c>
      <c r="CE19" t="s">
        <v>978</v>
      </c>
      <c r="CF19" t="s">
        <v>979</v>
      </c>
      <c r="CG19">
        <v>0.24851327077747989</v>
      </c>
      <c r="CH19">
        <v>0.78923898166686524</v>
      </c>
      <c r="CI19">
        <v>0.41354990005493164</v>
      </c>
      <c r="CJ19">
        <v>0.13849464058876038</v>
      </c>
      <c r="CK19">
        <v>0.36630755662918091</v>
      </c>
      <c r="CL19">
        <v>0.24664221704006195</v>
      </c>
      <c r="CM19">
        <v>0.17706237733364105</v>
      </c>
      <c r="CN19">
        <v>-0.16315789520740509</v>
      </c>
      <c r="CO19">
        <v>-2.0618556067347527E-2</v>
      </c>
      <c r="CP19">
        <v>0.71681416034698486</v>
      </c>
      <c r="CQ19">
        <v>0.10784313827753067</v>
      </c>
      <c r="CR19">
        <v>-0.34193548560142517</v>
      </c>
      <c r="CS19">
        <v>0.42939294432071268</v>
      </c>
      <c r="CT19">
        <v>51635980.503144652</v>
      </c>
      <c r="CU19">
        <v>5.9099039999999992</v>
      </c>
      <c r="CV19">
        <v>0.26841133832931519</v>
      </c>
      <c r="CW19">
        <v>5.9789072349667551E-2</v>
      </c>
      <c r="CX19">
        <v>0.06</v>
      </c>
      <c r="CY19">
        <v>34.215692251035563</v>
      </c>
      <c r="CZ19">
        <v>190261700.74939728</v>
      </c>
      <c r="DA19">
        <v>0.26841133832931519</v>
      </c>
      <c r="DB19">
        <v>9.6443067085094949</v>
      </c>
      <c r="DC19">
        <v>675002983.28920472</v>
      </c>
      <c r="DD19">
        <v>0.25499077141284943</v>
      </c>
      <c r="DE19">
        <v>3.8496126540854649</v>
      </c>
      <c r="DF19">
        <v>1691062552.2521658</v>
      </c>
      <c r="DG19">
        <v>0.23620197772979737</v>
      </c>
      <c r="DH19">
        <v>1.7946177067082829</v>
      </c>
      <c r="DI19">
        <v>3627477749.5317545</v>
      </c>
      <c r="DJ19">
        <v>0.21472907066345215</v>
      </c>
      <c r="DK19">
        <v>0.50326166692907992</v>
      </c>
      <c r="DL19">
        <v>12935489086.072964</v>
      </c>
      <c r="DM19">
        <v>0.18788793683052063</v>
      </c>
      <c r="DN19">
        <v>159000000</v>
      </c>
      <c r="DO19">
        <v>0.26841133832931519</v>
      </c>
      <c r="DP19">
        <v>6509935800</v>
      </c>
      <c r="DQ19">
        <v>678121800</v>
      </c>
      <c r="DR19">
        <v>798</v>
      </c>
      <c r="DS19">
        <v>-1.9898067551835291E-2</v>
      </c>
      <c r="DT19">
        <v>0.72944990931719766</v>
      </c>
      <c r="DU19">
        <v>0.73666666666666669</v>
      </c>
      <c r="DV19">
        <v>0.44</v>
      </c>
      <c r="DW19">
        <v>1.1766666666666667</v>
      </c>
      <c r="DX19">
        <v>-2.1514000000000002</v>
      </c>
      <c r="DY19">
        <v>0.3393421188630481</v>
      </c>
      <c r="DZ19">
        <v>-2.0104983967958656</v>
      </c>
      <c r="EA19">
        <v>1247</v>
      </c>
      <c r="EB19">
        <v>-2.0077980047157409</v>
      </c>
      <c r="EC19">
        <v>2</v>
      </c>
      <c r="ED19">
        <v>4.0866070626360086E-2</v>
      </c>
      <c r="EE19">
        <v>0.58933980236558259</v>
      </c>
      <c r="EF19">
        <v>2.0575100000000002</v>
      </c>
      <c r="EG19">
        <v>2.0853099999999998</v>
      </c>
      <c r="EH19">
        <v>27.069342118863048</v>
      </c>
      <c r="EI19" t="s">
        <v>526</v>
      </c>
      <c r="EJ19">
        <v>0</v>
      </c>
      <c r="EK19">
        <v>1</v>
      </c>
      <c r="EL19">
        <v>44827</v>
      </c>
      <c r="EM19">
        <v>-3.11</v>
      </c>
      <c r="EN19">
        <v>2.74</v>
      </c>
      <c r="EO19">
        <v>0.13</v>
      </c>
      <c r="EP19">
        <v>0.53</v>
      </c>
      <c r="EQ19">
        <v>-2.78</v>
      </c>
    </row>
    <row r="20" spans="1:147" ht="67.5" x14ac:dyDescent="0.15">
      <c r="A20" s="2"/>
      <c r="B20" s="2"/>
      <c r="C20" s="2"/>
      <c r="D20" s="2" t="s">
        <v>1525</v>
      </c>
      <c r="E20" t="s">
        <v>294</v>
      </c>
      <c r="F20" t="s">
        <v>295</v>
      </c>
      <c r="G20">
        <v>78</v>
      </c>
      <c r="H20">
        <v>-4.41</v>
      </c>
      <c r="I20" t="s">
        <v>661</v>
      </c>
      <c r="J20">
        <v>4307940000</v>
      </c>
      <c r="K20">
        <v>41</v>
      </c>
      <c r="L20">
        <v>6.33</v>
      </c>
      <c r="M20" t="s">
        <v>296</v>
      </c>
      <c r="N20" t="s">
        <v>662</v>
      </c>
      <c r="O20" t="s">
        <v>663</v>
      </c>
      <c r="P20" t="s">
        <v>664</v>
      </c>
      <c r="Q20">
        <v>31.87</v>
      </c>
      <c r="R20" t="s">
        <v>353</v>
      </c>
      <c r="S20">
        <v>50182425</v>
      </c>
      <c r="T20">
        <v>0.59540000000000004</v>
      </c>
      <c r="U20" t="s">
        <v>396</v>
      </c>
      <c r="V20">
        <v>18720000</v>
      </c>
      <c r="W20">
        <v>55230000</v>
      </c>
      <c r="X20">
        <v>3.07</v>
      </c>
      <c r="Y20">
        <v>0.56000000000000005</v>
      </c>
      <c r="Z20">
        <v>4.1500000000000004</v>
      </c>
      <c r="AA20" t="s">
        <v>665</v>
      </c>
      <c r="AB20" t="s">
        <v>666</v>
      </c>
      <c r="AC20" t="s">
        <v>667</v>
      </c>
      <c r="AD20" t="s">
        <v>668</v>
      </c>
      <c r="AE20" t="s">
        <v>669</v>
      </c>
      <c r="AF20">
        <v>20924264</v>
      </c>
      <c r="AG20" t="s">
        <v>670</v>
      </c>
      <c r="AH20" t="s">
        <v>671</v>
      </c>
      <c r="AI20" t="s">
        <v>672</v>
      </c>
      <c r="AJ20" t="s">
        <v>673</v>
      </c>
      <c r="AK20" t="s">
        <v>674</v>
      </c>
      <c r="AL20" t="s">
        <v>675</v>
      </c>
      <c r="AM20" t="s">
        <v>676</v>
      </c>
      <c r="AN20" t="s">
        <v>91</v>
      </c>
      <c r="AO20" t="s">
        <v>61</v>
      </c>
      <c r="AP20" t="s">
        <v>677</v>
      </c>
      <c r="AQ20" t="s">
        <v>7</v>
      </c>
      <c r="AR20" t="s">
        <v>678</v>
      </c>
      <c r="AS20" t="s">
        <v>679</v>
      </c>
      <c r="AT20" t="s">
        <v>680</v>
      </c>
      <c r="AU20" t="s">
        <v>681</v>
      </c>
      <c r="AV20" t="s">
        <v>682</v>
      </c>
      <c r="AW20" t="s">
        <v>683</v>
      </c>
      <c r="AX20" t="s">
        <v>684</v>
      </c>
      <c r="AY20" t="s">
        <v>297</v>
      </c>
      <c r="AZ20" t="s">
        <v>96</v>
      </c>
      <c r="BA20" t="s">
        <v>299</v>
      </c>
      <c r="BB20" t="s">
        <v>300</v>
      </c>
      <c r="BC20" t="s">
        <v>178</v>
      </c>
      <c r="BD20" t="s">
        <v>298</v>
      </c>
      <c r="BE20" t="s">
        <v>301</v>
      </c>
      <c r="BF20" t="s">
        <v>302</v>
      </c>
      <c r="BG20" t="s">
        <v>303</v>
      </c>
      <c r="BH20" t="s">
        <v>304</v>
      </c>
      <c r="BI20" t="s">
        <v>102</v>
      </c>
      <c r="BJ20" t="s">
        <v>685</v>
      </c>
      <c r="BK20" t="s">
        <v>81</v>
      </c>
      <c r="BL20" t="s">
        <v>686</v>
      </c>
      <c r="BM20" t="s">
        <v>687</v>
      </c>
      <c r="BN20" t="s">
        <v>434</v>
      </c>
      <c r="BO20">
        <v>1.43</v>
      </c>
      <c r="BP20">
        <v>5.56</v>
      </c>
      <c r="BQ20">
        <v>6.24</v>
      </c>
      <c r="BR20">
        <v>11.17</v>
      </c>
      <c r="BS20">
        <v>14.14</v>
      </c>
      <c r="BT20">
        <v>12.91</v>
      </c>
      <c r="BU20">
        <v>21.46</v>
      </c>
      <c r="BV20" t="s">
        <v>296</v>
      </c>
      <c r="BW20">
        <v>10.88</v>
      </c>
      <c r="BX20">
        <v>11</v>
      </c>
      <c r="BY20">
        <v>14.98</v>
      </c>
      <c r="BZ20">
        <v>4.54</v>
      </c>
      <c r="CA20">
        <v>4.1900000000000004</v>
      </c>
      <c r="CB20">
        <v>6.61</v>
      </c>
      <c r="CC20">
        <v>-3.2</v>
      </c>
      <c r="CD20">
        <v>-12.16</v>
      </c>
      <c r="CE20" t="s">
        <v>688</v>
      </c>
      <c r="CF20" t="s">
        <v>689</v>
      </c>
      <c r="CG20">
        <v>0.24223751046025105</v>
      </c>
      <c r="CH20">
        <v>0.14759755739654742</v>
      </c>
      <c r="CI20">
        <v>0.7943037748336792</v>
      </c>
      <c r="CJ20">
        <v>0.3844468891620636</v>
      </c>
      <c r="CK20">
        <v>-0.14513108134269714</v>
      </c>
      <c r="CL20">
        <v>7.6612904667854309E-2</v>
      </c>
      <c r="CM20">
        <v>0.40909090638160706</v>
      </c>
      <c r="CN20">
        <v>0.63198226690292358</v>
      </c>
      <c r="CO20">
        <v>-0.12334796041250229</v>
      </c>
      <c r="CP20">
        <v>-2.8746712952852249E-2</v>
      </c>
      <c r="CQ20">
        <v>0.25559589266777039</v>
      </c>
      <c r="CR20">
        <v>0.26228755712509155</v>
      </c>
      <c r="CS20">
        <v>1.8994444444444445</v>
      </c>
      <c r="CT20">
        <v>58454061.222362496</v>
      </c>
      <c r="CU20">
        <v>7.1346800000000012</v>
      </c>
      <c r="CV20">
        <v>0.30386467874050138</v>
      </c>
      <c r="CW20">
        <v>0.1995542086660862</v>
      </c>
      <c r="CX20">
        <v>0.06</v>
      </c>
      <c r="CY20">
        <v>47.567952073289923</v>
      </c>
      <c r="CZ20">
        <v>106204698.32748456</v>
      </c>
      <c r="DA20">
        <v>0.30386467874050138</v>
      </c>
      <c r="DB20">
        <v>13.02988509995634</v>
      </c>
      <c r="DC20">
        <v>387719458.86283582</v>
      </c>
      <c r="DD20">
        <v>0.28867144480347628</v>
      </c>
      <c r="DE20">
        <v>4.982324029429277</v>
      </c>
      <c r="DF20">
        <v>1013972589.931831</v>
      </c>
      <c r="DG20">
        <v>0.26740091729164123</v>
      </c>
      <c r="DH20">
        <v>2.1984191644797404</v>
      </c>
      <c r="DI20">
        <v>2297987609.2899466</v>
      </c>
      <c r="DJ20">
        <v>0.24309174299240111</v>
      </c>
      <c r="DK20">
        <v>0.53558317367533315</v>
      </c>
      <c r="DL20">
        <v>9432596557.0054512</v>
      </c>
      <c r="DM20">
        <v>0.21270527511835097</v>
      </c>
      <c r="DN20">
        <v>86341000</v>
      </c>
      <c r="DO20">
        <v>0.30386467874050138</v>
      </c>
      <c r="DP20">
        <v>5051940000</v>
      </c>
      <c r="DQ20">
        <v>359803500</v>
      </c>
      <c r="DR20">
        <v>2328</v>
      </c>
      <c r="DS20">
        <v>-6.1627168280250333E-2</v>
      </c>
      <c r="DT20">
        <v>-5.1956651269538773E-2</v>
      </c>
      <c r="DU20">
        <v>0.80333333333333334</v>
      </c>
      <c r="DV20">
        <v>0.98999999999999988</v>
      </c>
      <c r="DW20">
        <v>1.7933333333333332</v>
      </c>
      <c r="DX20">
        <v>-8.2631578947368425</v>
      </c>
      <c r="DY20">
        <v>0.36150887879295324</v>
      </c>
      <c r="DZ20">
        <v>-8.0346075996823565</v>
      </c>
      <c r="EA20">
        <v>456</v>
      </c>
      <c r="EB20">
        <v>-8.0313443520696275</v>
      </c>
      <c r="EC20">
        <v>8</v>
      </c>
      <c r="ED20">
        <v>0.10382581930110446</v>
      </c>
      <c r="EE20">
        <v>0.78949665037117511</v>
      </c>
      <c r="EF20">
        <v>-1.0351999999999999</v>
      </c>
      <c r="EG20">
        <v>-1.00891</v>
      </c>
      <c r="EH20">
        <v>23.131508878792953</v>
      </c>
      <c r="EI20" t="s">
        <v>374</v>
      </c>
      <c r="EJ20">
        <v>0</v>
      </c>
      <c r="EK20">
        <v>1</v>
      </c>
      <c r="EL20">
        <v>44819</v>
      </c>
      <c r="EM20">
        <v>-1.92</v>
      </c>
      <c r="EN20">
        <v>-0.55000000000000004</v>
      </c>
      <c r="EO20">
        <v>-0.57999999999999996</v>
      </c>
      <c r="EP20">
        <v>3.06</v>
      </c>
      <c r="EQ20">
        <v>-3.83</v>
      </c>
    </row>
    <row r="21" spans="1:147" ht="67.5" x14ac:dyDescent="0.15">
      <c r="A21" s="2"/>
      <c r="B21" s="2"/>
      <c r="C21" s="2"/>
      <c r="D21" s="2" t="s">
        <v>1351</v>
      </c>
      <c r="E21" t="s">
        <v>1137</v>
      </c>
      <c r="F21" t="s">
        <v>1138</v>
      </c>
      <c r="G21">
        <v>5.87</v>
      </c>
      <c r="H21">
        <v>-2.65</v>
      </c>
      <c r="I21" t="s">
        <v>1139</v>
      </c>
      <c r="J21">
        <v>4056498800</v>
      </c>
      <c r="K21">
        <v>33.979999999999997</v>
      </c>
      <c r="L21">
        <v>1.56</v>
      </c>
      <c r="M21" t="s">
        <v>352</v>
      </c>
      <c r="N21" t="s">
        <v>1352</v>
      </c>
      <c r="O21" t="s">
        <v>1353</v>
      </c>
      <c r="P21" t="s">
        <v>1354</v>
      </c>
      <c r="Q21">
        <v>31.4</v>
      </c>
      <c r="R21" t="s">
        <v>1355</v>
      </c>
      <c r="S21">
        <v>85720230</v>
      </c>
      <c r="T21">
        <v>0.30170000000000002</v>
      </c>
      <c r="U21" t="s">
        <v>1356</v>
      </c>
      <c r="V21">
        <v>691056020</v>
      </c>
      <c r="W21">
        <v>691056020</v>
      </c>
      <c r="X21">
        <v>3.3</v>
      </c>
      <c r="Y21">
        <v>0.45</v>
      </c>
      <c r="Z21">
        <v>2.2400000000000002</v>
      </c>
      <c r="AA21" t="s">
        <v>1357</v>
      </c>
      <c r="AB21" t="s">
        <v>1358</v>
      </c>
      <c r="AC21" t="s">
        <v>596</v>
      </c>
      <c r="AD21" t="s">
        <v>1359</v>
      </c>
      <c r="AE21" t="s">
        <v>30</v>
      </c>
      <c r="AF21">
        <v>90936713</v>
      </c>
      <c r="AG21" t="s">
        <v>1360</v>
      </c>
      <c r="AH21" t="s">
        <v>1361</v>
      </c>
      <c r="AI21" t="s">
        <v>1362</v>
      </c>
      <c r="AJ21" t="s">
        <v>654</v>
      </c>
      <c r="AK21" t="s">
        <v>1363</v>
      </c>
      <c r="AL21" t="s">
        <v>1364</v>
      </c>
      <c r="AM21" t="s">
        <v>1365</v>
      </c>
      <c r="AN21" t="s">
        <v>1366</v>
      </c>
      <c r="AO21" t="s">
        <v>1367</v>
      </c>
      <c r="AP21" t="s">
        <v>1368</v>
      </c>
      <c r="AQ21" t="s">
        <v>1369</v>
      </c>
      <c r="AR21" t="s">
        <v>464</v>
      </c>
      <c r="AS21" t="s">
        <v>7</v>
      </c>
      <c r="AT21" t="s">
        <v>1370</v>
      </c>
      <c r="AU21" t="s">
        <v>653</v>
      </c>
      <c r="AV21" t="s">
        <v>1371</v>
      </c>
      <c r="AW21" t="s">
        <v>1372</v>
      </c>
      <c r="AX21" t="s">
        <v>1373</v>
      </c>
      <c r="AY21" t="s">
        <v>1374</v>
      </c>
      <c r="AZ21" t="s">
        <v>1375</v>
      </c>
      <c r="BA21" t="s">
        <v>1376</v>
      </c>
      <c r="BB21" t="s">
        <v>1377</v>
      </c>
      <c r="BC21" t="s">
        <v>1378</v>
      </c>
      <c r="BD21" t="s">
        <v>1379</v>
      </c>
      <c r="BE21" t="s">
        <v>41</v>
      </c>
      <c r="BF21" t="s">
        <v>1250</v>
      </c>
      <c r="BG21" t="s">
        <v>1380</v>
      </c>
      <c r="BH21" t="s">
        <v>1381</v>
      </c>
      <c r="BI21" t="s">
        <v>1382</v>
      </c>
      <c r="BJ21" t="s">
        <v>1383</v>
      </c>
      <c r="BK21" t="s">
        <v>1384</v>
      </c>
      <c r="BL21" t="s">
        <v>1385</v>
      </c>
      <c r="BM21" t="s">
        <v>1386</v>
      </c>
      <c r="BN21" t="s">
        <v>1387</v>
      </c>
      <c r="BO21">
        <v>1.04</v>
      </c>
      <c r="BP21">
        <v>1.35</v>
      </c>
      <c r="BQ21">
        <v>1.9</v>
      </c>
      <c r="BR21">
        <v>2.19</v>
      </c>
      <c r="BS21">
        <v>3.65</v>
      </c>
      <c r="BT21">
        <v>4.42</v>
      </c>
      <c r="BU21">
        <v>4.76</v>
      </c>
      <c r="BV21" t="s">
        <v>499</v>
      </c>
      <c r="BW21">
        <v>14.66</v>
      </c>
      <c r="BX21">
        <v>14.41</v>
      </c>
      <c r="BY21">
        <v>16.61</v>
      </c>
      <c r="BZ21">
        <v>1.57</v>
      </c>
      <c r="CA21">
        <v>2.13</v>
      </c>
      <c r="CB21">
        <v>2.4500000000000002</v>
      </c>
      <c r="CC21">
        <v>-0.17</v>
      </c>
      <c r="CD21">
        <v>-14.18</v>
      </c>
      <c r="CE21" t="s">
        <v>1388</v>
      </c>
      <c r="CF21" t="s">
        <v>1389</v>
      </c>
      <c r="CG21">
        <v>0.30638109028960819</v>
      </c>
      <c r="CH21">
        <v>0.32430742324220835</v>
      </c>
      <c r="CI21">
        <v>0.25197643041610718</v>
      </c>
      <c r="CJ21">
        <v>0.21104088425636292</v>
      </c>
      <c r="CK21">
        <v>0.1215444952249527</v>
      </c>
      <c r="CL21">
        <v>5.1910597831010818E-2</v>
      </c>
      <c r="CM21">
        <v>0.13224485516548157</v>
      </c>
      <c r="CN21">
        <v>0.37583813071250916</v>
      </c>
      <c r="CO21">
        <v>-0.37646722793579102</v>
      </c>
      <c r="CP21">
        <v>0.14851485192775726</v>
      </c>
      <c r="CQ21">
        <v>9.9999997764825821E-3</v>
      </c>
      <c r="CR21">
        <v>-0.29078012704849243</v>
      </c>
      <c r="CS21">
        <v>0.54500857181244111</v>
      </c>
      <c r="CT21">
        <v>78132710.841981187</v>
      </c>
      <c r="CU21">
        <v>3.3264</v>
      </c>
      <c r="CV21">
        <v>0.15374345257878302</v>
      </c>
      <c r="CW21">
        <v>-2.6578874513506889E-2</v>
      </c>
      <c r="CX21">
        <v>0.06</v>
      </c>
      <c r="CY21">
        <v>71.352162504452636</v>
      </c>
      <c r="CZ21">
        <v>108314850.29648139</v>
      </c>
      <c r="DA21">
        <v>0.15374345257878302</v>
      </c>
      <c r="DB21">
        <v>22.100774914202308</v>
      </c>
      <c r="DC21">
        <v>349693566.40221447</v>
      </c>
      <c r="DD21">
        <v>0.14605627994984385</v>
      </c>
      <c r="DE21">
        <v>10.110487739030603</v>
      </c>
      <c r="DF21">
        <v>764404151.36105108</v>
      </c>
      <c r="DG21">
        <v>0.13529423826932907</v>
      </c>
      <c r="DH21">
        <v>5.5764959855393785</v>
      </c>
      <c r="DI21">
        <v>1385905920.140723</v>
      </c>
      <c r="DJ21">
        <v>0.12299476206302642</v>
      </c>
      <c r="DK21">
        <v>2.3710062737372399</v>
      </c>
      <c r="DL21">
        <v>3259585976.4715614</v>
      </c>
      <c r="DM21">
        <v>0.10762041680514811</v>
      </c>
      <c r="DN21">
        <v>99514100</v>
      </c>
      <c r="DO21">
        <v>0.15374345257878302</v>
      </c>
      <c r="DP21">
        <v>7728498800</v>
      </c>
      <c r="DQ21">
        <v>1642377900</v>
      </c>
      <c r="DR21">
        <v>4049</v>
      </c>
      <c r="DS21">
        <v>0.15263763771082517</v>
      </c>
      <c r="DT21">
        <v>0.35088629775571523</v>
      </c>
      <c r="DU21">
        <v>0.75666666666666671</v>
      </c>
      <c r="DV21">
        <v>0.51666666666666661</v>
      </c>
      <c r="DW21">
        <v>1.2733333333333334</v>
      </c>
      <c r="DX21">
        <v>-2.1417999999999999</v>
      </c>
      <c r="DY21">
        <v>0.28757740492170125</v>
      </c>
      <c r="DZ21">
        <v>-2.0110004760178972</v>
      </c>
      <c r="EA21">
        <v>1072</v>
      </c>
      <c r="EB21">
        <v>-2.0085680275254907</v>
      </c>
      <c r="EC21">
        <v>2</v>
      </c>
      <c r="ED21">
        <v>5.0179868196503087E-2</v>
      </c>
      <c r="EE21">
        <v>0.64683612769916976</v>
      </c>
      <c r="EF21">
        <v>-1.0288999999999999</v>
      </c>
      <c r="EG21">
        <v>-1.0024</v>
      </c>
      <c r="EH21">
        <v>21.077577404921701</v>
      </c>
      <c r="EI21" t="s">
        <v>1390</v>
      </c>
      <c r="EJ21">
        <v>0</v>
      </c>
      <c r="EK21">
        <v>1</v>
      </c>
      <c r="EL21">
        <v>44827</v>
      </c>
      <c r="EM21">
        <v>-4.08</v>
      </c>
      <c r="EN21">
        <v>2.23</v>
      </c>
      <c r="EO21">
        <v>1.51</v>
      </c>
      <c r="EP21">
        <v>-0.33</v>
      </c>
      <c r="EQ21">
        <v>-2.65</v>
      </c>
    </row>
    <row r="22" spans="1:147" ht="67.5" x14ac:dyDescent="0.15">
      <c r="A22" s="2"/>
      <c r="B22" s="2"/>
      <c r="C22" s="2"/>
      <c r="D22" s="2" t="s">
        <v>995</v>
      </c>
      <c r="E22" t="s">
        <v>312</v>
      </c>
      <c r="F22" t="s">
        <v>313</v>
      </c>
      <c r="G22">
        <v>7.89</v>
      </c>
      <c r="H22">
        <v>-2.71</v>
      </c>
      <c r="I22" t="s">
        <v>996</v>
      </c>
      <c r="J22">
        <v>3617565000</v>
      </c>
      <c r="K22">
        <v>40.58</v>
      </c>
      <c r="L22">
        <v>2.6</v>
      </c>
      <c r="M22" t="s">
        <v>352</v>
      </c>
      <c r="N22" t="s">
        <v>715</v>
      </c>
      <c r="O22" t="s">
        <v>716</v>
      </c>
      <c r="P22" t="s">
        <v>717</v>
      </c>
      <c r="Q22">
        <v>6.42</v>
      </c>
      <c r="R22" t="s">
        <v>399</v>
      </c>
      <c r="S22">
        <v>49709051</v>
      </c>
      <c r="T22">
        <v>0.17649999999999999</v>
      </c>
      <c r="U22" t="s">
        <v>400</v>
      </c>
      <c r="V22">
        <v>234750000</v>
      </c>
      <c r="W22">
        <v>458500000</v>
      </c>
      <c r="X22">
        <v>2.17</v>
      </c>
      <c r="Y22">
        <v>0.4</v>
      </c>
      <c r="Z22">
        <v>3.94</v>
      </c>
      <c r="AA22" t="s">
        <v>718</v>
      </c>
      <c r="AB22" t="s">
        <v>719</v>
      </c>
      <c r="AC22" t="s">
        <v>720</v>
      </c>
      <c r="AD22" t="s">
        <v>721</v>
      </c>
      <c r="AE22" t="s">
        <v>722</v>
      </c>
      <c r="AF22">
        <v>23682986</v>
      </c>
      <c r="AG22" t="s">
        <v>723</v>
      </c>
      <c r="AH22" t="s">
        <v>724</v>
      </c>
      <c r="AI22" t="s">
        <v>725</v>
      </c>
      <c r="AJ22" t="s">
        <v>726</v>
      </c>
      <c r="AK22" t="s">
        <v>727</v>
      </c>
      <c r="AL22" t="s">
        <v>728</v>
      </c>
      <c r="AM22" t="s">
        <v>729</v>
      </c>
      <c r="AN22" t="s">
        <v>730</v>
      </c>
      <c r="AO22" t="s">
        <v>38</v>
      </c>
      <c r="AP22" t="s">
        <v>731</v>
      </c>
      <c r="AQ22" t="s">
        <v>54</v>
      </c>
      <c r="AR22" t="s">
        <v>46</v>
      </c>
      <c r="AS22" t="s">
        <v>7</v>
      </c>
      <c r="AT22" t="s">
        <v>732</v>
      </c>
      <c r="AU22" t="s">
        <v>7</v>
      </c>
      <c r="AV22" t="s">
        <v>733</v>
      </c>
      <c r="AW22" t="s">
        <v>734</v>
      </c>
      <c r="AX22" t="s">
        <v>735</v>
      </c>
      <c r="AY22" t="s">
        <v>177</v>
      </c>
      <c r="AZ22" t="s">
        <v>315</v>
      </c>
      <c r="BA22" t="s">
        <v>316</v>
      </c>
      <c r="BB22" t="s">
        <v>191</v>
      </c>
      <c r="BC22" t="s">
        <v>100</v>
      </c>
      <c r="BD22" t="s">
        <v>314</v>
      </c>
      <c r="BE22" t="s">
        <v>317</v>
      </c>
      <c r="BF22" t="s">
        <v>318</v>
      </c>
      <c r="BG22" t="s">
        <v>319</v>
      </c>
      <c r="BH22" t="s">
        <v>320</v>
      </c>
      <c r="BI22" t="s">
        <v>736</v>
      </c>
      <c r="BJ22" t="s">
        <v>737</v>
      </c>
      <c r="BK22" t="s">
        <v>105</v>
      </c>
      <c r="BL22" t="s">
        <v>738</v>
      </c>
      <c r="BM22" t="s">
        <v>739</v>
      </c>
      <c r="BN22" t="s">
        <v>437</v>
      </c>
      <c r="BO22">
        <v>1.8</v>
      </c>
      <c r="BP22">
        <v>3.76</v>
      </c>
      <c r="BQ22">
        <v>5.1100000000000003</v>
      </c>
      <c r="BR22">
        <v>6.38</v>
      </c>
      <c r="BS22">
        <v>6.29</v>
      </c>
      <c r="BT22">
        <v>9.32</v>
      </c>
      <c r="BU22" t="s">
        <v>7</v>
      </c>
      <c r="BV22" t="s">
        <v>499</v>
      </c>
      <c r="BW22">
        <v>14.14</v>
      </c>
      <c r="BX22">
        <v>16.350000000000001</v>
      </c>
      <c r="BY22">
        <v>16.61</v>
      </c>
      <c r="BZ22">
        <v>3.87</v>
      </c>
      <c r="CA22">
        <v>4.4000000000000004</v>
      </c>
      <c r="CB22">
        <v>4.5999999999999996</v>
      </c>
      <c r="CC22">
        <v>1.28</v>
      </c>
      <c r="CD22">
        <v>-13.11</v>
      </c>
      <c r="CE22" t="s">
        <v>997</v>
      </c>
      <c r="CF22" t="s">
        <v>998</v>
      </c>
      <c r="CG22">
        <v>5.1475365168539323E-2</v>
      </c>
      <c r="CH22">
        <v>0.11777466007227293</v>
      </c>
      <c r="CI22">
        <v>0.23222982883453369</v>
      </c>
      <c r="CJ22">
        <v>-1.9102197140455246E-2</v>
      </c>
      <c r="CK22">
        <v>0.10094637423753738</v>
      </c>
      <c r="CL22">
        <v>-2.5614753365516663E-2</v>
      </c>
      <c r="CM22">
        <v>0.3333333432674408</v>
      </c>
      <c r="CN22">
        <v>-0.10800537467002869</v>
      </c>
      <c r="CO22">
        <v>-5.9042904525995255E-2</v>
      </c>
      <c r="CP22">
        <v>9.6510201692581177E-2</v>
      </c>
      <c r="CQ22">
        <v>0.82523232698440552</v>
      </c>
      <c r="CR22">
        <v>8.3451591432094574E-2</v>
      </c>
      <c r="CS22">
        <v>1.4293026471750296</v>
      </c>
      <c r="CT22">
        <v>47465225.730719283</v>
      </c>
      <c r="CU22">
        <v>3.4199199999999998</v>
      </c>
      <c r="CV22">
        <v>0.124358519166708</v>
      </c>
      <c r="CW22">
        <v>0.16762916818261148</v>
      </c>
      <c r="CX22">
        <v>0.06</v>
      </c>
      <c r="CY22">
        <v>44.769114615258268</v>
      </c>
      <c r="CZ22">
        <v>86657175.00425531</v>
      </c>
      <c r="DA22">
        <v>0.124358519166708</v>
      </c>
      <c r="DB22">
        <v>14.212236378702709</v>
      </c>
      <c r="DC22">
        <v>272973576.89698982</v>
      </c>
      <c r="DD22">
        <v>0.11814059320837259</v>
      </c>
      <c r="DE22">
        <v>6.727046595720501</v>
      </c>
      <c r="DF22">
        <v>576711480.26059997</v>
      </c>
      <c r="DG22">
        <v>0.10943549686670304</v>
      </c>
      <c r="DH22">
        <v>3.8620759983907109</v>
      </c>
      <c r="DI22">
        <v>1004528393.956146</v>
      </c>
      <c r="DJ22">
        <v>9.9486815333366396E-2</v>
      </c>
      <c r="DK22">
        <v>1.8032660233267228</v>
      </c>
      <c r="DL22">
        <v>2151410246.6384048</v>
      </c>
      <c r="DM22">
        <v>8.705096341669559E-2</v>
      </c>
      <c r="DN22">
        <v>81696900</v>
      </c>
      <c r="DO22">
        <v>0.124358519166708</v>
      </c>
      <c r="DP22">
        <v>3879565000</v>
      </c>
      <c r="DQ22">
        <v>1536731500</v>
      </c>
      <c r="DR22">
        <v>2396</v>
      </c>
      <c r="DS22">
        <v>-7.2883153998168665E-2</v>
      </c>
      <c r="DT22">
        <v>-4.985450811033855E-2</v>
      </c>
      <c r="DU22">
        <v>0.26666666666666666</v>
      </c>
      <c r="DV22">
        <v>0.45333333333333331</v>
      </c>
      <c r="DW22">
        <v>0.72</v>
      </c>
      <c r="DX22">
        <v>-2.1311</v>
      </c>
      <c r="DY22">
        <v>0.25206348547717827</v>
      </c>
      <c r="DZ22">
        <v>-2.0107585229460581</v>
      </c>
      <c r="EA22">
        <v>2028</v>
      </c>
      <c r="EB22">
        <v>-2.0062580517136723</v>
      </c>
      <c r="EC22">
        <v>2</v>
      </c>
      <c r="ED22">
        <v>4.3134787350054528E-2</v>
      </c>
      <c r="EE22">
        <v>0.52562704471101418</v>
      </c>
      <c r="EF22">
        <v>5.0246000000000004</v>
      </c>
      <c r="EG22">
        <v>5.00251</v>
      </c>
      <c r="EH22">
        <v>17.082063485477178</v>
      </c>
      <c r="EI22" t="s">
        <v>999</v>
      </c>
      <c r="EJ22">
        <v>0</v>
      </c>
      <c r="EK22">
        <v>0</v>
      </c>
      <c r="EL22">
        <v>44827</v>
      </c>
      <c r="EM22">
        <v>-2.0099999999999998</v>
      </c>
      <c r="EN22">
        <v>4.67</v>
      </c>
      <c r="EO22">
        <v>-1.1200000000000001</v>
      </c>
      <c r="EP22">
        <v>1.63</v>
      </c>
      <c r="EQ22">
        <v>-2.71</v>
      </c>
    </row>
    <row r="23" spans="1:147" ht="67.5" x14ac:dyDescent="0.15">
      <c r="A23" s="2"/>
      <c r="B23" s="2"/>
      <c r="C23" s="2"/>
      <c r="D23" s="2" t="s">
        <v>1024</v>
      </c>
      <c r="E23" t="s">
        <v>321</v>
      </c>
      <c r="F23" t="s">
        <v>322</v>
      </c>
      <c r="G23">
        <v>6.97</v>
      </c>
      <c r="H23">
        <v>-2.38</v>
      </c>
      <c r="I23" t="s">
        <v>1025</v>
      </c>
      <c r="J23">
        <v>3532550000</v>
      </c>
      <c r="K23">
        <v>24.51</v>
      </c>
      <c r="L23">
        <v>1.57</v>
      </c>
      <c r="M23" t="s">
        <v>352</v>
      </c>
      <c r="N23" t="s">
        <v>856</v>
      </c>
      <c r="O23" t="s">
        <v>857</v>
      </c>
      <c r="P23" t="s">
        <v>858</v>
      </c>
      <c r="Q23">
        <v>20.3</v>
      </c>
      <c r="R23" t="s">
        <v>115</v>
      </c>
      <c r="S23">
        <v>70004946</v>
      </c>
      <c r="T23">
        <v>0.60450000000000004</v>
      </c>
      <c r="U23" t="s">
        <v>90</v>
      </c>
      <c r="V23">
        <v>323871100</v>
      </c>
      <c r="W23">
        <v>506822100</v>
      </c>
      <c r="X23">
        <v>2.2000000000000002</v>
      </c>
      <c r="Y23">
        <v>0.48</v>
      </c>
      <c r="Z23">
        <v>3.11</v>
      </c>
      <c r="AA23" t="s">
        <v>859</v>
      </c>
      <c r="AB23" t="s">
        <v>316</v>
      </c>
      <c r="AC23" t="s">
        <v>860</v>
      </c>
      <c r="AD23" t="s">
        <v>861</v>
      </c>
      <c r="AE23" t="s">
        <v>862</v>
      </c>
      <c r="AF23">
        <v>17944400</v>
      </c>
      <c r="AG23" t="s">
        <v>863</v>
      </c>
      <c r="AH23" t="s">
        <v>864</v>
      </c>
      <c r="AI23" t="s">
        <v>865</v>
      </c>
      <c r="AJ23" t="s">
        <v>866</v>
      </c>
      <c r="AK23" t="s">
        <v>867</v>
      </c>
      <c r="AL23" t="s">
        <v>868</v>
      </c>
      <c r="AM23" t="s">
        <v>869</v>
      </c>
      <c r="AN23" t="s">
        <v>870</v>
      </c>
      <c r="AO23" t="s">
        <v>871</v>
      </c>
      <c r="AP23" t="s">
        <v>872</v>
      </c>
      <c r="AQ23" t="s">
        <v>873</v>
      </c>
      <c r="AR23" t="s">
        <v>874</v>
      </c>
      <c r="AS23" t="s">
        <v>7</v>
      </c>
      <c r="AT23" t="s">
        <v>875</v>
      </c>
      <c r="AU23" t="s">
        <v>653</v>
      </c>
      <c r="AV23" t="s">
        <v>876</v>
      </c>
      <c r="AW23" t="s">
        <v>877</v>
      </c>
      <c r="AX23" t="s">
        <v>878</v>
      </c>
      <c r="AY23" t="s">
        <v>879</v>
      </c>
      <c r="AZ23" t="s">
        <v>880</v>
      </c>
      <c r="BA23" t="s">
        <v>881</v>
      </c>
      <c r="BB23" t="s">
        <v>610</v>
      </c>
      <c r="BC23" t="s">
        <v>882</v>
      </c>
      <c r="BD23" t="s">
        <v>67</v>
      </c>
      <c r="BE23" t="s">
        <v>883</v>
      </c>
      <c r="BF23" t="s">
        <v>884</v>
      </c>
      <c r="BG23" t="s">
        <v>885</v>
      </c>
      <c r="BH23" t="s">
        <v>886</v>
      </c>
      <c r="BI23" t="s">
        <v>887</v>
      </c>
      <c r="BJ23" t="s">
        <v>888</v>
      </c>
      <c r="BK23" t="s">
        <v>889</v>
      </c>
      <c r="BL23" t="s">
        <v>890</v>
      </c>
      <c r="BM23" t="s">
        <v>891</v>
      </c>
      <c r="BN23" t="s">
        <v>892</v>
      </c>
      <c r="BO23">
        <v>1.74</v>
      </c>
      <c r="BP23">
        <v>3.7</v>
      </c>
      <c r="BQ23">
        <v>6.47</v>
      </c>
      <c r="BR23">
        <v>5.88</v>
      </c>
      <c r="BS23">
        <v>5.79</v>
      </c>
      <c r="BT23">
        <v>9.1199999999999992</v>
      </c>
      <c r="BU23" t="s">
        <v>7</v>
      </c>
      <c r="BV23" t="s">
        <v>499</v>
      </c>
      <c r="BW23">
        <v>16.190000000000001</v>
      </c>
      <c r="BX23">
        <v>20.88</v>
      </c>
      <c r="BY23">
        <v>19.329999999999998</v>
      </c>
      <c r="BZ23">
        <v>2.42</v>
      </c>
      <c r="CA23">
        <v>4.54</v>
      </c>
      <c r="CB23">
        <v>4.1500000000000004</v>
      </c>
      <c r="CC23">
        <v>-1.83</v>
      </c>
      <c r="CD23">
        <v>-18.95</v>
      </c>
      <c r="CE23" t="s">
        <v>1026</v>
      </c>
      <c r="CF23" t="s">
        <v>651</v>
      </c>
      <c r="CG23">
        <v>0.11830836891545687</v>
      </c>
      <c r="CH23">
        <v>0.74540686552031643</v>
      </c>
      <c r="CI23">
        <v>0.3024289608001709</v>
      </c>
      <c r="CJ23">
        <v>0.14247035980224609</v>
      </c>
      <c r="CK23">
        <v>0.13001911342144012</v>
      </c>
      <c r="CL23">
        <v>0.37342441082000732</v>
      </c>
      <c r="CM23">
        <v>0.45677116513252258</v>
      </c>
      <c r="CN23">
        <v>-0.23376622796058655</v>
      </c>
      <c r="CO23">
        <v>0.25203251838684082</v>
      </c>
      <c r="CP23">
        <v>0.38283973932266235</v>
      </c>
      <c r="CQ23">
        <v>8.7667172774672508E-3</v>
      </c>
      <c r="CR23">
        <v>0.22151763737201691</v>
      </c>
      <c r="CS23">
        <v>0.80340004548555832</v>
      </c>
      <c r="CT23">
        <v>60805816.101694912</v>
      </c>
      <c r="CU23">
        <v>3.28416</v>
      </c>
      <c r="CV23">
        <v>0.2810228019952774</v>
      </c>
      <c r="CW23">
        <v>0.12627807687968015</v>
      </c>
      <c r="CX23">
        <v>0.06</v>
      </c>
      <c r="CY23">
        <v>27.878167149706858</v>
      </c>
      <c r="CZ23">
        <v>142604425.12777615</v>
      </c>
      <c r="DA23">
        <v>0.2810228019952774</v>
      </c>
      <c r="DB23">
        <v>7.778192839837514</v>
      </c>
      <c r="DC23">
        <v>511114867.14991874</v>
      </c>
      <c r="DD23">
        <v>0.26697166189551352</v>
      </c>
      <c r="DE23">
        <v>3.0577571566056583</v>
      </c>
      <c r="DF23">
        <v>1300152299.9992456</v>
      </c>
      <c r="DG23">
        <v>0.24730006575584412</v>
      </c>
      <c r="DH23">
        <v>1.3980471418386604</v>
      </c>
      <c r="DI23">
        <v>2843645168.3392467</v>
      </c>
      <c r="DJ23">
        <v>0.22481824159622193</v>
      </c>
      <c r="DK23">
        <v>0.3730950455596232</v>
      </c>
      <c r="DL23">
        <v>10655595798.751177</v>
      </c>
      <c r="DM23">
        <v>0.19671596139669417</v>
      </c>
      <c r="DN23">
        <v>118000000</v>
      </c>
      <c r="DO23">
        <v>0.2810228019952774</v>
      </c>
      <c r="DP23">
        <v>3975550000</v>
      </c>
      <c r="DQ23">
        <v>1554713500</v>
      </c>
      <c r="DR23">
        <v>4315</v>
      </c>
      <c r="DS23">
        <v>-0.16271443307982053</v>
      </c>
      <c r="DT23">
        <v>0.61912878864063625</v>
      </c>
      <c r="DU23">
        <v>0.60333333333333328</v>
      </c>
      <c r="DV23">
        <v>0.65666666666666662</v>
      </c>
      <c r="DW23">
        <v>1.2599999999999998</v>
      </c>
      <c r="DX23">
        <v>-3.0333630952380952</v>
      </c>
      <c r="DY23">
        <v>0.39895670391061516</v>
      </c>
      <c r="DZ23">
        <v>-3.0023006090798749</v>
      </c>
      <c r="EA23">
        <v>1107</v>
      </c>
      <c r="EB23">
        <v>-3.0017752843580472</v>
      </c>
      <c r="EC23">
        <v>3</v>
      </c>
      <c r="ED23">
        <v>4.8708412675769266E-2</v>
      </c>
      <c r="EE23">
        <v>0.70636225215909099</v>
      </c>
      <c r="EF23">
        <v>-1.06681</v>
      </c>
      <c r="EG23">
        <v>-1.0906100000000001</v>
      </c>
      <c r="EH23">
        <v>33.068956703910615</v>
      </c>
      <c r="EI23" t="s">
        <v>374</v>
      </c>
      <c r="EJ23">
        <v>0</v>
      </c>
      <c r="EK23">
        <v>1</v>
      </c>
      <c r="EL23">
        <v>44827</v>
      </c>
      <c r="EM23">
        <v>-3.4</v>
      </c>
      <c r="EN23">
        <v>1.27</v>
      </c>
      <c r="EO23">
        <v>0.7</v>
      </c>
      <c r="EP23">
        <v>-1.24</v>
      </c>
      <c r="EQ23">
        <v>-2.38</v>
      </c>
    </row>
    <row r="24" spans="1:147" ht="135" x14ac:dyDescent="0.15">
      <c r="A24" s="2"/>
      <c r="B24" s="2" t="s">
        <v>964</v>
      </c>
      <c r="C24" s="2" t="s">
        <v>965</v>
      </c>
      <c r="D24" s="2" t="s">
        <v>636</v>
      </c>
      <c r="E24" t="s">
        <v>394</v>
      </c>
      <c r="F24" t="s">
        <v>395</v>
      </c>
      <c r="G24">
        <v>10.97</v>
      </c>
      <c r="H24">
        <v>-2.4</v>
      </c>
      <c r="I24" t="s">
        <v>993</v>
      </c>
      <c r="J24">
        <v>3473321500</v>
      </c>
      <c r="K24">
        <v>31.65</v>
      </c>
      <c r="L24">
        <v>2.91</v>
      </c>
      <c r="M24" t="s">
        <v>352</v>
      </c>
      <c r="N24" t="s">
        <v>442</v>
      </c>
      <c r="O24" t="s">
        <v>637</v>
      </c>
      <c r="P24" t="s">
        <v>638</v>
      </c>
      <c r="Q24">
        <v>20.18</v>
      </c>
      <c r="R24" t="s">
        <v>175</v>
      </c>
      <c r="S24">
        <v>62404176</v>
      </c>
      <c r="T24">
        <v>-0.21460000000000001</v>
      </c>
      <c r="U24" t="s">
        <v>85</v>
      </c>
      <c r="V24">
        <v>160850740</v>
      </c>
      <c r="W24">
        <v>316620010</v>
      </c>
      <c r="X24">
        <v>2.12</v>
      </c>
      <c r="Y24">
        <v>0.68</v>
      </c>
      <c r="Z24">
        <v>3.34</v>
      </c>
      <c r="AA24" t="s">
        <v>639</v>
      </c>
      <c r="AB24" t="s">
        <v>640</v>
      </c>
      <c r="AC24" t="s">
        <v>641</v>
      </c>
      <c r="AD24" t="s">
        <v>642</v>
      </c>
      <c r="AE24" t="s">
        <v>643</v>
      </c>
      <c r="AF24">
        <v>23538426</v>
      </c>
      <c r="AG24" t="s">
        <v>37</v>
      </c>
      <c r="AH24" t="s">
        <v>644</v>
      </c>
      <c r="AI24" t="s">
        <v>645</v>
      </c>
      <c r="AJ24" t="s">
        <v>646</v>
      </c>
      <c r="AK24" t="s">
        <v>647</v>
      </c>
      <c r="AL24" t="s">
        <v>7</v>
      </c>
      <c r="AM24" t="s">
        <v>648</v>
      </c>
      <c r="AN24" t="s">
        <v>649</v>
      </c>
      <c r="AO24" t="s">
        <v>650</v>
      </c>
      <c r="AP24" t="s">
        <v>651</v>
      </c>
      <c r="AQ24" t="s">
        <v>652</v>
      </c>
      <c r="AR24" t="s">
        <v>653</v>
      </c>
      <c r="AS24" t="s">
        <v>7</v>
      </c>
      <c r="AT24" t="s">
        <v>654</v>
      </c>
      <c r="AU24" t="s">
        <v>108</v>
      </c>
      <c r="AV24" t="s">
        <v>86</v>
      </c>
      <c r="AW24" t="s">
        <v>655</v>
      </c>
      <c r="AX24" t="s">
        <v>656</v>
      </c>
      <c r="AY24" t="s">
        <v>179</v>
      </c>
      <c r="AZ24" t="s">
        <v>180</v>
      </c>
      <c r="BA24" t="s">
        <v>430</v>
      </c>
      <c r="BB24" t="s">
        <v>297</v>
      </c>
      <c r="BC24" t="s">
        <v>280</v>
      </c>
      <c r="BD24" t="s">
        <v>63</v>
      </c>
      <c r="BE24" t="s">
        <v>72</v>
      </c>
      <c r="BF24" t="s">
        <v>41</v>
      </c>
      <c r="BG24" t="s">
        <v>431</v>
      </c>
      <c r="BH24" t="s">
        <v>432</v>
      </c>
      <c r="BI24" t="s">
        <v>657</v>
      </c>
      <c r="BJ24" t="s">
        <v>658</v>
      </c>
      <c r="BK24" t="s">
        <v>428</v>
      </c>
      <c r="BL24" t="s">
        <v>659</v>
      </c>
      <c r="BM24" t="s">
        <v>660</v>
      </c>
      <c r="BN24" t="s">
        <v>433</v>
      </c>
      <c r="BO24">
        <v>2.64</v>
      </c>
      <c r="BP24">
        <v>7.32</v>
      </c>
      <c r="BQ24">
        <v>9.7200000000000006</v>
      </c>
      <c r="BR24">
        <v>13.24</v>
      </c>
      <c r="BS24">
        <v>11.05</v>
      </c>
      <c r="BT24">
        <v>10.68</v>
      </c>
      <c r="BU24">
        <v>14.03</v>
      </c>
      <c r="BV24" t="s">
        <v>499</v>
      </c>
      <c r="BW24">
        <v>13.27</v>
      </c>
      <c r="BX24">
        <v>16.68</v>
      </c>
      <c r="BY24">
        <v>18.059999999999999</v>
      </c>
      <c r="BZ24">
        <v>3.57</v>
      </c>
      <c r="CA24">
        <v>6.46</v>
      </c>
      <c r="CB24">
        <v>7.04</v>
      </c>
      <c r="CC24">
        <v>-1.26</v>
      </c>
      <c r="CD24">
        <v>-15.87</v>
      </c>
      <c r="CE24" t="s">
        <v>994</v>
      </c>
      <c r="CF24" t="s">
        <v>77</v>
      </c>
      <c r="CG24">
        <v>0.22502991656734209</v>
      </c>
      <c r="CH24">
        <v>-0.17699785754520431</v>
      </c>
      <c r="CI24">
        <v>0.974831223487854</v>
      </c>
      <c r="CJ24">
        <v>5.7792164385318756E-2</v>
      </c>
      <c r="CK24">
        <v>-9.0090092271566391E-3</v>
      </c>
      <c r="CL24">
        <v>0.22943037748336792</v>
      </c>
      <c r="CM24">
        <v>0.50476193428039551</v>
      </c>
      <c r="CN24">
        <v>0.20952381193637848</v>
      </c>
      <c r="CO24">
        <v>-2.777777798473835E-2</v>
      </c>
      <c r="CP24">
        <v>-6.8965516984462738E-2</v>
      </c>
      <c r="CQ24">
        <v>0.87679487466812134</v>
      </c>
      <c r="CR24">
        <v>0.2399715930223465</v>
      </c>
      <c r="CS24">
        <v>1.0796771837115324</v>
      </c>
      <c r="CT24">
        <v>47417076.377952754</v>
      </c>
      <c r="CU24">
        <v>4.8149440000000006</v>
      </c>
      <c r="CV24">
        <v>0.35156133808195589</v>
      </c>
      <c r="CW24">
        <v>0.24590939693152905</v>
      </c>
      <c r="CX24">
        <v>0.06</v>
      </c>
      <c r="CY24">
        <v>22.431104856485494</v>
      </c>
      <c r="CZ24">
        <v>161932348.99661168</v>
      </c>
      <c r="DA24">
        <v>0.35156133808195589</v>
      </c>
      <c r="DB24">
        <v>5.914966380822734</v>
      </c>
      <c r="DC24">
        <v>614089965.37606144</v>
      </c>
      <c r="DD24">
        <v>0.33398327117785809</v>
      </c>
      <c r="DE24">
        <v>2.1339498377210897</v>
      </c>
      <c r="DF24">
        <v>1702158802.3264253</v>
      </c>
      <c r="DG24">
        <v>0.3093739775121212</v>
      </c>
      <c r="DH24">
        <v>0.87306007441815725</v>
      </c>
      <c r="DI24">
        <v>4160448526.3178787</v>
      </c>
      <c r="DJ24">
        <v>0.28124907046556474</v>
      </c>
      <c r="DK24">
        <v>0.1750290608250501</v>
      </c>
      <c r="DL24">
        <v>20752676629.1152</v>
      </c>
      <c r="DM24">
        <v>0.24609293665736912</v>
      </c>
      <c r="DN24">
        <v>127000000</v>
      </c>
      <c r="DO24">
        <v>0.35156133808195589</v>
      </c>
      <c r="DP24">
        <v>3632321500</v>
      </c>
      <c r="DQ24">
        <v>1254120400</v>
      </c>
      <c r="DR24">
        <v>1416</v>
      </c>
      <c r="DS24">
        <v>-0.1265314215146138</v>
      </c>
      <c r="DT24">
        <v>-0.42290725447673339</v>
      </c>
      <c r="DU24">
        <v>0.77</v>
      </c>
      <c r="DV24">
        <v>0.27999999999999997</v>
      </c>
      <c r="DW24">
        <v>1.05</v>
      </c>
      <c r="DX24">
        <v>-2.1587000000000001</v>
      </c>
      <c r="DY24">
        <v>0.28835709969788637</v>
      </c>
      <c r="DZ24">
        <v>-2.0092612717220546</v>
      </c>
      <c r="EA24">
        <v>1465</v>
      </c>
      <c r="EB24">
        <v>-2.006462640725188</v>
      </c>
      <c r="EC24">
        <v>2</v>
      </c>
      <c r="ED24">
        <v>6.1007514970389899E-2</v>
      </c>
      <c r="EE24">
        <v>1.0454171863616579</v>
      </c>
      <c r="EF24">
        <v>-1.0079100000000001</v>
      </c>
      <c r="EG24">
        <v>-1.0319100000000001</v>
      </c>
      <c r="EH24">
        <v>23.058357099697886</v>
      </c>
      <c r="EI24" t="s">
        <v>374</v>
      </c>
      <c r="EJ24">
        <v>0</v>
      </c>
      <c r="EK24">
        <v>1</v>
      </c>
      <c r="EL24">
        <v>44827</v>
      </c>
      <c r="EM24">
        <v>-2.11</v>
      </c>
      <c r="EN24">
        <v>2.59</v>
      </c>
      <c r="EO24">
        <v>-1.1299999999999999</v>
      </c>
      <c r="EP24">
        <v>-1.1399999999999999</v>
      </c>
      <c r="EQ24">
        <v>-2.4</v>
      </c>
    </row>
    <row r="25" spans="1:147" ht="67.5" x14ac:dyDescent="0.15">
      <c r="A25" s="2"/>
      <c r="B25" s="2"/>
      <c r="C25" s="2"/>
      <c r="D25" s="2" t="s">
        <v>1526</v>
      </c>
      <c r="E25" t="s">
        <v>1475</v>
      </c>
      <c r="F25" t="s">
        <v>1476</v>
      </c>
      <c r="G25">
        <v>2.57</v>
      </c>
      <c r="H25">
        <v>-3.38</v>
      </c>
      <c r="I25" t="s">
        <v>1477</v>
      </c>
      <c r="J25">
        <v>3258760000</v>
      </c>
      <c r="K25">
        <v>159.19999999999999</v>
      </c>
      <c r="L25">
        <v>2.44</v>
      </c>
      <c r="M25" t="s">
        <v>352</v>
      </c>
      <c r="N25" t="s">
        <v>1527</v>
      </c>
      <c r="O25" t="s">
        <v>732</v>
      </c>
      <c r="P25" t="s">
        <v>1528</v>
      </c>
      <c r="Q25">
        <v>1.64</v>
      </c>
      <c r="R25" t="s">
        <v>1529</v>
      </c>
      <c r="S25">
        <v>-40954430</v>
      </c>
      <c r="T25">
        <v>-0.20369999999999999</v>
      </c>
      <c r="U25" t="s">
        <v>1530</v>
      </c>
      <c r="V25">
        <v>1266189720</v>
      </c>
      <c r="W25">
        <v>1268000000</v>
      </c>
      <c r="X25">
        <v>4.3600000000000003</v>
      </c>
      <c r="Y25">
        <v>0.45</v>
      </c>
      <c r="Z25">
        <v>-1.59</v>
      </c>
      <c r="AA25" t="s">
        <v>1531</v>
      </c>
      <c r="AB25" t="s">
        <v>1532</v>
      </c>
      <c r="AC25" t="s">
        <v>1533</v>
      </c>
      <c r="AD25" t="s">
        <v>1534</v>
      </c>
      <c r="AE25" t="s">
        <v>1535</v>
      </c>
      <c r="AF25">
        <v>61737466</v>
      </c>
      <c r="AG25" t="s">
        <v>1536</v>
      </c>
      <c r="AH25" t="s">
        <v>1537</v>
      </c>
      <c r="AI25" t="s">
        <v>1538</v>
      </c>
      <c r="AJ25" t="s">
        <v>1122</v>
      </c>
      <c r="AK25" t="s">
        <v>1539</v>
      </c>
      <c r="AL25" t="s">
        <v>1540</v>
      </c>
      <c r="AM25" t="s">
        <v>1541</v>
      </c>
      <c r="AN25" t="s">
        <v>1542</v>
      </c>
      <c r="AO25" t="s">
        <v>1543</v>
      </c>
      <c r="AP25" t="s">
        <v>1544</v>
      </c>
      <c r="AQ25" t="s">
        <v>1545</v>
      </c>
      <c r="AR25" t="s">
        <v>1546</v>
      </c>
      <c r="AS25" t="s">
        <v>1547</v>
      </c>
      <c r="AT25" t="s">
        <v>1548</v>
      </c>
      <c r="AU25" t="s">
        <v>7</v>
      </c>
      <c r="AV25" t="s">
        <v>1549</v>
      </c>
      <c r="AW25" t="s">
        <v>1550</v>
      </c>
      <c r="AX25" t="s">
        <v>1551</v>
      </c>
      <c r="AY25" t="s">
        <v>1552</v>
      </c>
      <c r="AZ25" t="s">
        <v>1553</v>
      </c>
      <c r="BA25" t="s">
        <v>1554</v>
      </c>
      <c r="BB25" t="s">
        <v>1555</v>
      </c>
      <c r="BC25" t="s">
        <v>1556</v>
      </c>
      <c r="BD25" t="s">
        <v>1557</v>
      </c>
      <c r="BE25" t="s">
        <v>1558</v>
      </c>
      <c r="BF25" t="s">
        <v>1559</v>
      </c>
      <c r="BG25" t="s">
        <v>1560</v>
      </c>
      <c r="BH25" t="s">
        <v>94</v>
      </c>
      <c r="BI25" t="s">
        <v>1561</v>
      </c>
      <c r="BJ25" t="s">
        <v>1562</v>
      </c>
      <c r="BK25" t="s">
        <v>1563</v>
      </c>
      <c r="BL25" t="s">
        <v>1564</v>
      </c>
      <c r="BM25" t="s">
        <v>1565</v>
      </c>
      <c r="BN25" t="s">
        <v>1566</v>
      </c>
      <c r="BO25">
        <v>-0.94</v>
      </c>
      <c r="BP25">
        <v>0.61</v>
      </c>
      <c r="BQ25">
        <v>0.23</v>
      </c>
      <c r="BR25">
        <v>-8.2200000000000006</v>
      </c>
      <c r="BS25">
        <v>1.82</v>
      </c>
      <c r="BT25">
        <v>0.77</v>
      </c>
      <c r="BU25">
        <v>-26.93</v>
      </c>
      <c r="BV25" t="s">
        <v>499</v>
      </c>
      <c r="BW25">
        <v>10.89</v>
      </c>
      <c r="BX25">
        <v>13.27</v>
      </c>
      <c r="BY25">
        <v>11.83</v>
      </c>
      <c r="BZ25">
        <v>-2.74</v>
      </c>
      <c r="CA25">
        <v>0.14000000000000001</v>
      </c>
      <c r="CB25">
        <v>-6.21</v>
      </c>
      <c r="CC25">
        <v>-1.91</v>
      </c>
      <c r="CD25">
        <v>-32.9</v>
      </c>
      <c r="CE25" t="s">
        <v>85</v>
      </c>
      <c r="CF25" t="s">
        <v>1567</v>
      </c>
      <c r="CG25">
        <v>-0.12530178058587019</v>
      </c>
      <c r="CH25">
        <v>-2.2759110622046737</v>
      </c>
      <c r="CI25">
        <v>8.1876762211322784E-2</v>
      </c>
      <c r="CJ25">
        <v>-0.26364997029304504</v>
      </c>
      <c r="CK25">
        <v>-3.314116969704628E-2</v>
      </c>
      <c r="CL25">
        <v>2.9534701257944107E-2</v>
      </c>
      <c r="CM25">
        <v>0.19269746541976929</v>
      </c>
      <c r="CN25">
        <v>1.5017397403717041</v>
      </c>
      <c r="CO25">
        <v>1.0236504077911377</v>
      </c>
      <c r="CP25">
        <v>-6.4189949035644531</v>
      </c>
      <c r="CQ25">
        <v>2.0566565915942192E-2</v>
      </c>
      <c r="CR25">
        <v>-0.25251427292823792</v>
      </c>
      <c r="CS25">
        <v>0.55421088435374155</v>
      </c>
      <c r="CT25">
        <v>-154339216.55234849</v>
      </c>
      <c r="CU25">
        <v>-3.1195800000000005</v>
      </c>
      <c r="CV25">
        <v>1.4635577797889709E-3</v>
      </c>
      <c r="CW25">
        <v>-0.82511049248278145</v>
      </c>
      <c r="CX25">
        <v>0.06</v>
      </c>
      <c r="CY25">
        <v>251.52171453415764</v>
      </c>
      <c r="CZ25">
        <v>25881502.963100821</v>
      </c>
      <c r="DA25">
        <v>1.4635577797889709E-3</v>
      </c>
      <c r="DB25">
        <v>88.658460916590258</v>
      </c>
      <c r="DC25">
        <v>73425141.07169503</v>
      </c>
      <c r="DD25">
        <v>1.3903798907995222E-3</v>
      </c>
      <c r="DE25">
        <v>48.118628458497753</v>
      </c>
      <c r="DF25">
        <v>135285651.49388367</v>
      </c>
      <c r="DG25">
        <v>1.2879308462142944E-3</v>
      </c>
      <c r="DH25">
        <v>32.097207514762815</v>
      </c>
      <c r="DI25">
        <v>202813905.13507742</v>
      </c>
      <c r="DJ25">
        <v>1.1708462238311768E-3</v>
      </c>
      <c r="DK25">
        <v>20.5357474572521</v>
      </c>
      <c r="DL25">
        <v>316996496.64814657</v>
      </c>
      <c r="DM25">
        <v>1.0244904458522797E-3</v>
      </c>
      <c r="DN25">
        <v>27394300</v>
      </c>
      <c r="DO25">
        <v>1.4635577797889709E-3</v>
      </c>
      <c r="DP25">
        <v>6509760000</v>
      </c>
      <c r="DQ25">
        <v>384656300</v>
      </c>
      <c r="DR25">
        <v>965</v>
      </c>
      <c r="DS25">
        <v>-0.12676533836565915</v>
      </c>
      <c r="DT25">
        <v>-1.4508005697218922</v>
      </c>
      <c r="DU25">
        <v>0.38999999999999996</v>
      </c>
      <c r="DV25">
        <v>-1.0483333333333333</v>
      </c>
      <c r="DW25">
        <v>-0.65833333333333344</v>
      </c>
      <c r="DX25">
        <v>-3.1911309523809521</v>
      </c>
      <c r="DY25">
        <v>0.28784266984505535</v>
      </c>
      <c r="DZ25">
        <v>-3.0072329055281228</v>
      </c>
      <c r="EA25">
        <v>3896</v>
      </c>
      <c r="EB25">
        <v>-3.0014203230327503</v>
      </c>
      <c r="EC25">
        <v>3</v>
      </c>
      <c r="ED25">
        <v>0.10015772870662461</v>
      </c>
      <c r="EE25">
        <v>2.6466876971608833</v>
      </c>
      <c r="EF25">
        <v>3.0009999999999999</v>
      </c>
      <c r="EG25">
        <v>3.03281</v>
      </c>
      <c r="EH25">
        <v>25.037842669845055</v>
      </c>
      <c r="EI25" t="s">
        <v>1568</v>
      </c>
      <c r="EJ25">
        <v>0</v>
      </c>
      <c r="EK25">
        <v>0</v>
      </c>
      <c r="EL25">
        <v>44827</v>
      </c>
      <c r="EM25">
        <v>-2.2400000000000002</v>
      </c>
      <c r="EN25">
        <v>2.7</v>
      </c>
      <c r="EO25">
        <v>1.1299999999999999</v>
      </c>
      <c r="EP25">
        <v>-1.1200000000000001</v>
      </c>
      <c r="EQ25">
        <v>-3.38</v>
      </c>
    </row>
    <row r="26" spans="1:147" ht="67.5" x14ac:dyDescent="0.15">
      <c r="A26" s="2"/>
      <c r="B26" s="2"/>
      <c r="C26" s="2"/>
      <c r="D26" s="2" t="s">
        <v>1569</v>
      </c>
      <c r="E26" t="s">
        <v>305</v>
      </c>
      <c r="F26" t="s">
        <v>306</v>
      </c>
      <c r="G26">
        <v>17.22</v>
      </c>
      <c r="H26">
        <v>-4.28</v>
      </c>
      <c r="I26" t="s">
        <v>690</v>
      </c>
      <c r="J26">
        <v>3164175000</v>
      </c>
      <c r="K26">
        <v>28.49</v>
      </c>
      <c r="L26">
        <v>3.51</v>
      </c>
      <c r="M26" t="s">
        <v>97</v>
      </c>
      <c r="N26" t="s">
        <v>691</v>
      </c>
      <c r="O26" t="s">
        <v>654</v>
      </c>
      <c r="P26" t="s">
        <v>692</v>
      </c>
      <c r="Q26">
        <v>21.62</v>
      </c>
      <c r="R26" t="s">
        <v>397</v>
      </c>
      <c r="S26">
        <v>63283354</v>
      </c>
      <c r="T26">
        <v>0.5625</v>
      </c>
      <c r="U26" t="s">
        <v>398</v>
      </c>
      <c r="V26">
        <v>45937500</v>
      </c>
      <c r="W26">
        <v>183750000</v>
      </c>
      <c r="X26">
        <v>1.27</v>
      </c>
      <c r="Y26">
        <v>0.74</v>
      </c>
      <c r="Z26">
        <v>7.68</v>
      </c>
      <c r="AA26" t="s">
        <v>693</v>
      </c>
      <c r="AB26" t="s">
        <v>694</v>
      </c>
      <c r="AC26" t="s">
        <v>695</v>
      </c>
      <c r="AD26" t="s">
        <v>696</v>
      </c>
      <c r="AE26" t="s">
        <v>697</v>
      </c>
      <c r="AF26">
        <v>-11552154</v>
      </c>
      <c r="AG26" t="s">
        <v>698</v>
      </c>
      <c r="AH26" t="s">
        <v>699</v>
      </c>
      <c r="AI26" t="s">
        <v>700</v>
      </c>
      <c r="AJ26" t="s">
        <v>701</v>
      </c>
      <c r="AK26" t="s">
        <v>702</v>
      </c>
      <c r="AL26" t="s">
        <v>7</v>
      </c>
      <c r="AM26" t="s">
        <v>703</v>
      </c>
      <c r="AN26" t="s">
        <v>477</v>
      </c>
      <c r="AO26" t="s">
        <v>704</v>
      </c>
      <c r="AP26" t="s">
        <v>7</v>
      </c>
      <c r="AQ26" t="s">
        <v>705</v>
      </c>
      <c r="AR26" t="s">
        <v>706</v>
      </c>
      <c r="AS26" t="s">
        <v>7</v>
      </c>
      <c r="AT26" t="s">
        <v>534</v>
      </c>
      <c r="AU26" t="s">
        <v>7</v>
      </c>
      <c r="AV26" t="s">
        <v>707</v>
      </c>
      <c r="AW26" t="s">
        <v>708</v>
      </c>
      <c r="AX26" t="s">
        <v>709</v>
      </c>
      <c r="AY26" t="s">
        <v>110</v>
      </c>
      <c r="AZ26" t="s">
        <v>174</v>
      </c>
      <c r="BA26" t="s">
        <v>117</v>
      </c>
      <c r="BB26" t="s">
        <v>80</v>
      </c>
      <c r="BC26" t="s">
        <v>176</v>
      </c>
      <c r="BD26" t="s">
        <v>307</v>
      </c>
      <c r="BE26" t="s">
        <v>308</v>
      </c>
      <c r="BF26" t="s">
        <v>309</v>
      </c>
      <c r="BG26" t="s">
        <v>310</v>
      </c>
      <c r="BH26" t="s">
        <v>311</v>
      </c>
      <c r="BI26" t="s">
        <v>435</v>
      </c>
      <c r="BJ26" t="s">
        <v>710</v>
      </c>
      <c r="BK26" t="s">
        <v>84</v>
      </c>
      <c r="BL26" t="s">
        <v>711</v>
      </c>
      <c r="BM26" t="s">
        <v>712</v>
      </c>
      <c r="BN26" t="s">
        <v>436</v>
      </c>
      <c r="BO26">
        <v>2.17</v>
      </c>
      <c r="BP26">
        <v>9.58</v>
      </c>
      <c r="BQ26">
        <v>10.52</v>
      </c>
      <c r="BR26">
        <v>15.74</v>
      </c>
      <c r="BS26">
        <v>10.78</v>
      </c>
      <c r="BT26">
        <v>18.79</v>
      </c>
      <c r="BU26">
        <v>23.94</v>
      </c>
      <c r="BV26" t="s">
        <v>713</v>
      </c>
      <c r="BW26">
        <v>13.34</v>
      </c>
      <c r="BX26">
        <v>15.48</v>
      </c>
      <c r="BY26">
        <v>17.62</v>
      </c>
      <c r="BZ26">
        <v>5.54</v>
      </c>
      <c r="CA26">
        <v>6.29</v>
      </c>
      <c r="CB26">
        <v>6.86</v>
      </c>
      <c r="CC26">
        <v>-8.5</v>
      </c>
      <c r="CD26">
        <v>4.62</v>
      </c>
      <c r="CE26" t="s">
        <v>714</v>
      </c>
      <c r="CF26" t="s">
        <v>561</v>
      </c>
      <c r="CG26">
        <v>0.22853339779005524</v>
      </c>
      <c r="CH26">
        <v>1.0278585993311871</v>
      </c>
      <c r="CI26">
        <v>0.26184326410293579</v>
      </c>
      <c r="CJ26">
        <v>5.8340933173894882E-2</v>
      </c>
      <c r="CK26">
        <v>-4.6087011694908142E-2</v>
      </c>
      <c r="CL26">
        <v>0.21822033822536469</v>
      </c>
      <c r="CM26">
        <v>0.327707439661026</v>
      </c>
      <c r="CN26">
        <v>0.20929892361164093</v>
      </c>
      <c r="CO26">
        <v>-3.016064316034317E-2</v>
      </c>
      <c r="CP26">
        <v>3.9040539413690567E-2</v>
      </c>
      <c r="CQ26">
        <v>1.138023853302002</v>
      </c>
      <c r="CR26">
        <v>-0.36334848403930664</v>
      </c>
      <c r="CS26">
        <v>2.1598464163822526</v>
      </c>
      <c r="CT26">
        <v>65883329.122628942</v>
      </c>
      <c r="CU26">
        <v>7.2176639999999992</v>
      </c>
      <c r="CV26">
        <v>0.16400499269366264</v>
      </c>
      <c r="CW26">
        <v>0.19857083782553672</v>
      </c>
      <c r="CX26">
        <v>0.06</v>
      </c>
      <c r="CY26">
        <v>25.804547220672504</v>
      </c>
      <c r="CZ26">
        <v>96927684.047727138</v>
      </c>
      <c r="DA26">
        <v>0.16400499269366264</v>
      </c>
      <c r="DB26">
        <v>7.9247133336244762</v>
      </c>
      <c r="DC26">
        <v>315617094.86544335</v>
      </c>
      <c r="DD26">
        <v>0.15580474305897951</v>
      </c>
      <c r="DE26">
        <v>3.5821042782333308</v>
      </c>
      <c r="DF26">
        <v>698241817.02313876</v>
      </c>
      <c r="DG26">
        <v>0.14432439357042312</v>
      </c>
      <c r="DH26">
        <v>1.947632482071195</v>
      </c>
      <c r="DI26">
        <v>1284213024.2868738</v>
      </c>
      <c r="DJ26">
        <v>0.13120399415493011</v>
      </c>
      <c r="DK26">
        <v>0.80029611378420207</v>
      </c>
      <c r="DL26">
        <v>3125311940.0682683</v>
      </c>
      <c r="DM26">
        <v>0.11480349488556384</v>
      </c>
      <c r="DN26">
        <v>88267099.999999985</v>
      </c>
      <c r="DO26">
        <v>0.16400499269366264</v>
      </c>
      <c r="DP26">
        <v>2501175000</v>
      </c>
      <c r="DQ26">
        <v>543576090</v>
      </c>
      <c r="DR26">
        <v>2376</v>
      </c>
      <c r="DS26">
        <v>6.4528405096392599E-2</v>
      </c>
      <c r="DT26">
        <v>0.82928776150565031</v>
      </c>
      <c r="DU26">
        <v>0.60333333333333328</v>
      </c>
      <c r="DV26">
        <v>0.89999999999999991</v>
      </c>
      <c r="DW26">
        <v>1.5033333333333332</v>
      </c>
      <c r="DX26">
        <v>-5.5435294117647063</v>
      </c>
      <c r="DY26">
        <v>0.45277454545454504</v>
      </c>
      <c r="DZ26">
        <v>-5.0721668705882355</v>
      </c>
      <c r="EA26">
        <v>768</v>
      </c>
      <c r="EB26">
        <v>-5.06070612687199</v>
      </c>
      <c r="EC26">
        <v>5</v>
      </c>
      <c r="ED26">
        <v>7.9484081632653067E-2</v>
      </c>
      <c r="EE26">
        <v>0.59863945578231303</v>
      </c>
      <c r="EF26">
        <v>2.0036999999999998</v>
      </c>
      <c r="EG26">
        <v>2.03911</v>
      </c>
      <c r="EH26">
        <v>32.132774545454545</v>
      </c>
      <c r="EI26" t="s">
        <v>526</v>
      </c>
      <c r="EJ26">
        <v>0</v>
      </c>
      <c r="EK26">
        <v>1</v>
      </c>
      <c r="EL26">
        <v>44819</v>
      </c>
      <c r="EM26">
        <v>-3.06</v>
      </c>
      <c r="EN26">
        <v>1.4</v>
      </c>
      <c r="EO26">
        <v>0</v>
      </c>
      <c r="EP26">
        <v>-2.78</v>
      </c>
      <c r="EQ26">
        <v>-2.2200000000000002</v>
      </c>
    </row>
  </sheetData>
  <phoneticPr fontId="1" type="noConversion"/>
  <hyperlinks>
    <hyperlink ref="A2" r:id="rId1" xr:uid="{00000000-0004-0000-02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ndustry_copy_call_buttom [c2],[d2]'">
                <anchor moveWithCells="1" sizeWithCells="1">
                  <from>
                    <xdr:col>1</xdr:col>
                    <xdr:colOff>57150</xdr:colOff>
                    <xdr:row>1</xdr:row>
                    <xdr:rowOff>257175</xdr:rowOff>
                  </from>
                  <to>
                    <xdr:col>1</xdr:col>
                    <xdr:colOff>1085850</xdr:colOff>
                    <xdr:row>1</xdr:row>
                    <xdr:rowOff>704850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941C9-BC31-41CF-BB82-D3DA9657BF8A}">
  <sheetPr codeName="Sheet4"/>
  <dimension ref="A1:EQ26"/>
  <sheetViews>
    <sheetView tabSelected="1" workbookViewId="0">
      <selection activeCell="D9" sqref="D9"/>
    </sheetView>
  </sheetViews>
  <sheetFormatPr defaultRowHeight="13.5" x14ac:dyDescent="0.15"/>
  <cols>
    <col min="1" max="1" width="20.5" customWidth="1"/>
    <col min="2" max="2" width="38.75" customWidth="1"/>
    <col min="3" max="3" width="42.25" customWidth="1"/>
    <col min="4" max="4" width="52.5" customWidth="1"/>
    <col min="10" max="10" width="10.5" customWidth="1"/>
  </cols>
  <sheetData>
    <row r="1" spans="1:147" x14ac:dyDescent="0.15">
      <c r="A1" s="12" t="s">
        <v>151</v>
      </c>
      <c r="B1" s="13" t="s">
        <v>8</v>
      </c>
      <c r="C1" s="14" t="s">
        <v>9</v>
      </c>
      <c r="D1" s="13" t="s">
        <v>220</v>
      </c>
      <c r="E1" t="s">
        <v>2</v>
      </c>
      <c r="F1" t="s">
        <v>3</v>
      </c>
      <c r="G1" t="s">
        <v>0</v>
      </c>
      <c r="H1" t="s">
        <v>355</v>
      </c>
      <c r="I1" t="s">
        <v>375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356</v>
      </c>
      <c r="AD1" t="s">
        <v>25</v>
      </c>
      <c r="AE1" t="s">
        <v>26</v>
      </c>
      <c r="AF1" t="s">
        <v>27</v>
      </c>
      <c r="AG1" t="s">
        <v>28</v>
      </c>
      <c r="AH1" t="s">
        <v>357</v>
      </c>
      <c r="AI1" t="s">
        <v>376</v>
      </c>
      <c r="AJ1" t="s">
        <v>358</v>
      </c>
      <c r="AK1" t="s">
        <v>29</v>
      </c>
      <c r="AL1" t="s">
        <v>359</v>
      </c>
      <c r="AM1" t="s">
        <v>152</v>
      </c>
      <c r="AN1" t="s">
        <v>360</v>
      </c>
      <c r="AO1" t="s">
        <v>361</v>
      </c>
      <c r="AP1" t="s">
        <v>362</v>
      </c>
      <c r="AQ1" t="s">
        <v>363</v>
      </c>
      <c r="AR1" t="s">
        <v>364</v>
      </c>
      <c r="AS1" t="s">
        <v>365</v>
      </c>
      <c r="AT1" t="s">
        <v>366</v>
      </c>
      <c r="AU1" t="s">
        <v>367</v>
      </c>
      <c r="AV1" t="s">
        <v>368</v>
      </c>
      <c r="AW1" t="s">
        <v>369</v>
      </c>
      <c r="AX1" t="s">
        <v>370</v>
      </c>
      <c r="AY1" t="s">
        <v>153</v>
      </c>
      <c r="AZ1" t="s">
        <v>154</v>
      </c>
      <c r="BA1" t="s">
        <v>155</v>
      </c>
      <c r="BB1" t="s">
        <v>156</v>
      </c>
      <c r="BC1" t="s">
        <v>157</v>
      </c>
      <c r="BD1" t="s">
        <v>158</v>
      </c>
      <c r="BE1" t="s">
        <v>159</v>
      </c>
      <c r="BF1" t="s">
        <v>160</v>
      </c>
      <c r="BG1" t="s">
        <v>161</v>
      </c>
      <c r="BH1" t="s">
        <v>162</v>
      </c>
      <c r="BI1" t="s">
        <v>346</v>
      </c>
      <c r="BJ1" t="s">
        <v>347</v>
      </c>
      <c r="BK1" t="s">
        <v>348</v>
      </c>
      <c r="BL1" t="s">
        <v>349</v>
      </c>
      <c r="BM1" t="s">
        <v>350</v>
      </c>
      <c r="BN1" t="s">
        <v>351</v>
      </c>
      <c r="BO1" t="s">
        <v>371</v>
      </c>
      <c r="BP1" t="s">
        <v>163</v>
      </c>
      <c r="BQ1" t="s">
        <v>164</v>
      </c>
      <c r="BR1" t="s">
        <v>165</v>
      </c>
      <c r="BS1" t="s">
        <v>372</v>
      </c>
      <c r="BT1" t="s">
        <v>166</v>
      </c>
      <c r="BU1" t="s">
        <v>167</v>
      </c>
      <c r="BV1" t="s">
        <v>168</v>
      </c>
      <c r="BW1" t="s">
        <v>169</v>
      </c>
      <c r="BX1" t="s">
        <v>169</v>
      </c>
      <c r="BY1" t="s">
        <v>170</v>
      </c>
      <c r="BZ1" t="s">
        <v>171</v>
      </c>
      <c r="CA1" t="s">
        <v>171</v>
      </c>
      <c r="CB1" t="s">
        <v>172</v>
      </c>
      <c r="CC1" t="s">
        <v>377</v>
      </c>
      <c r="CD1" t="s">
        <v>378</v>
      </c>
      <c r="CE1" t="s">
        <v>379</v>
      </c>
      <c r="CF1" t="s">
        <v>380</v>
      </c>
      <c r="CG1" t="s">
        <v>193</v>
      </c>
      <c r="CH1" t="s">
        <v>194</v>
      </c>
      <c r="CI1" t="s">
        <v>195</v>
      </c>
      <c r="CJ1" t="s">
        <v>196</v>
      </c>
      <c r="CK1" t="s">
        <v>197</v>
      </c>
      <c r="CL1" t="s">
        <v>198</v>
      </c>
      <c r="CM1" t="s">
        <v>199</v>
      </c>
      <c r="CN1" t="s">
        <v>200</v>
      </c>
      <c r="CO1" t="s">
        <v>201</v>
      </c>
      <c r="CP1" t="s">
        <v>202</v>
      </c>
      <c r="CQ1" t="s">
        <v>203</v>
      </c>
      <c r="CR1" t="s">
        <v>204</v>
      </c>
      <c r="CS1" t="s">
        <v>221</v>
      </c>
      <c r="CT1" t="s">
        <v>205</v>
      </c>
      <c r="CU1" t="s">
        <v>206</v>
      </c>
      <c r="CV1" t="s">
        <v>132</v>
      </c>
      <c r="CW1">
        <v>1</v>
      </c>
      <c r="CX1" t="s">
        <v>207</v>
      </c>
      <c r="CY1" t="s">
        <v>222</v>
      </c>
      <c r="CZ1">
        <v>3</v>
      </c>
      <c r="DA1" t="s">
        <v>223</v>
      </c>
      <c r="DB1" t="s">
        <v>224</v>
      </c>
      <c r="DC1">
        <v>6</v>
      </c>
      <c r="DD1" t="s">
        <v>208</v>
      </c>
      <c r="DE1" t="s">
        <v>209</v>
      </c>
      <c r="DF1">
        <v>10</v>
      </c>
      <c r="DG1" t="s">
        <v>210</v>
      </c>
      <c r="DH1" t="s">
        <v>211</v>
      </c>
      <c r="DI1">
        <v>20</v>
      </c>
      <c r="DJ1" t="s">
        <v>225</v>
      </c>
      <c r="DK1" t="s">
        <v>212</v>
      </c>
      <c r="DL1" t="s">
        <v>213</v>
      </c>
      <c r="DM1" s="1" t="s">
        <v>214</v>
      </c>
      <c r="DN1" t="s">
        <v>226</v>
      </c>
      <c r="DO1" t="s">
        <v>215</v>
      </c>
      <c r="DP1" t="s">
        <v>227</v>
      </c>
      <c r="DQ1" t="s">
        <v>228</v>
      </c>
      <c r="DR1" t="s">
        <v>229</v>
      </c>
      <c r="DS1" t="s">
        <v>230</v>
      </c>
      <c r="DT1" t="s">
        <v>216</v>
      </c>
      <c r="DU1" t="s">
        <v>217</v>
      </c>
      <c r="DV1" t="s">
        <v>231</v>
      </c>
      <c r="DW1" t="s">
        <v>232</v>
      </c>
      <c r="DX1" t="s">
        <v>233</v>
      </c>
      <c r="DY1" t="s">
        <v>234</v>
      </c>
      <c r="DZ1" t="s">
        <v>218</v>
      </c>
      <c r="EA1" t="s">
        <v>219</v>
      </c>
    </row>
    <row r="2" spans="1:147" ht="53.65" customHeight="1" x14ac:dyDescent="0.15">
      <c r="A2" s="17"/>
      <c r="B2" s="15"/>
      <c r="C2" s="16">
        <v>3</v>
      </c>
      <c r="D2" s="16">
        <v>9</v>
      </c>
      <c r="T2" s="3"/>
    </row>
    <row r="3" spans="1:147" ht="281.25" x14ac:dyDescent="0.15">
      <c r="A3" s="2"/>
      <c r="B3" s="22" t="s">
        <v>1618</v>
      </c>
      <c r="C3" s="2" t="s">
        <v>1619</v>
      </c>
      <c r="D3" s="2" t="s">
        <v>1656</v>
      </c>
      <c r="E3" t="s">
        <v>1603</v>
      </c>
      <c r="F3" t="s">
        <v>1604</v>
      </c>
      <c r="G3">
        <v>53.09</v>
      </c>
      <c r="H3">
        <v>-3.3000000000000002E-2</v>
      </c>
      <c r="I3" t="s">
        <v>1620</v>
      </c>
      <c r="J3">
        <v>11695275400</v>
      </c>
      <c r="K3">
        <v>28.48</v>
      </c>
      <c r="L3">
        <v>5.92</v>
      </c>
      <c r="M3" t="s">
        <v>352</v>
      </c>
      <c r="N3" t="s">
        <v>1621</v>
      </c>
      <c r="O3" t="s">
        <v>1622</v>
      </c>
      <c r="P3" t="s">
        <v>1623</v>
      </c>
      <c r="Q3">
        <v>46.79</v>
      </c>
      <c r="R3" t="s">
        <v>1624</v>
      </c>
      <c r="S3">
        <v>279891170</v>
      </c>
      <c r="T3" s="3">
        <v>0.34389999999999998</v>
      </c>
      <c r="U3" t="s">
        <v>548</v>
      </c>
      <c r="V3">
        <v>105403910</v>
      </c>
      <c r="W3">
        <v>220291490</v>
      </c>
      <c r="X3">
        <v>1.98</v>
      </c>
      <c r="Y3">
        <v>0.33</v>
      </c>
      <c r="Z3">
        <v>24.71</v>
      </c>
      <c r="AA3" t="s">
        <v>1625</v>
      </c>
      <c r="AB3" t="s">
        <v>1626</v>
      </c>
      <c r="AC3" t="s">
        <v>1627</v>
      </c>
      <c r="AD3" t="s">
        <v>1628</v>
      </c>
      <c r="AE3" t="s">
        <v>1629</v>
      </c>
      <c r="AF3">
        <v>-2597033</v>
      </c>
      <c r="AG3" t="s">
        <v>1630</v>
      </c>
      <c r="AH3" t="s">
        <v>1631</v>
      </c>
      <c r="AI3" t="s">
        <v>1632</v>
      </c>
      <c r="AJ3" t="s">
        <v>1633</v>
      </c>
      <c r="AK3" t="s">
        <v>1634</v>
      </c>
      <c r="AL3" t="s">
        <v>1635</v>
      </c>
      <c r="AM3" t="s">
        <v>1636</v>
      </c>
      <c r="AN3" t="s">
        <v>7</v>
      </c>
      <c r="AO3" t="s">
        <v>1637</v>
      </c>
      <c r="AP3" t="s">
        <v>913</v>
      </c>
      <c r="AQ3" t="s">
        <v>7</v>
      </c>
      <c r="AR3" t="s">
        <v>1638</v>
      </c>
      <c r="AS3" t="s">
        <v>7</v>
      </c>
      <c r="AT3" t="s">
        <v>1639</v>
      </c>
      <c r="AU3" t="s">
        <v>7</v>
      </c>
      <c r="AV3" t="s">
        <v>1640</v>
      </c>
      <c r="AW3" t="s">
        <v>1641</v>
      </c>
      <c r="AX3" t="s">
        <v>1642</v>
      </c>
      <c r="AY3" t="s">
        <v>1643</v>
      </c>
      <c r="AZ3" t="s">
        <v>1644</v>
      </c>
      <c r="BA3" t="s">
        <v>1645</v>
      </c>
      <c r="BB3" t="s">
        <v>921</v>
      </c>
      <c r="BC3" t="s">
        <v>1646</v>
      </c>
      <c r="BD3" t="s">
        <v>1647</v>
      </c>
      <c r="BE3" t="s">
        <v>63</v>
      </c>
      <c r="BF3" t="s">
        <v>1648</v>
      </c>
      <c r="BG3" t="s">
        <v>39</v>
      </c>
      <c r="BH3" t="s">
        <v>1649</v>
      </c>
      <c r="BI3" t="s">
        <v>1650</v>
      </c>
      <c r="BJ3" t="s">
        <v>1651</v>
      </c>
      <c r="BK3" t="s">
        <v>112</v>
      </c>
      <c r="BL3" t="s">
        <v>898</v>
      </c>
      <c r="BM3" t="s">
        <v>630</v>
      </c>
      <c r="BN3" t="s">
        <v>1652</v>
      </c>
      <c r="BO3">
        <v>3.5</v>
      </c>
      <c r="BP3">
        <v>13.76</v>
      </c>
      <c r="BQ3">
        <v>12.67</v>
      </c>
      <c r="BR3">
        <v>3.59</v>
      </c>
      <c r="BS3">
        <v>13.8</v>
      </c>
      <c r="BT3">
        <v>10.84</v>
      </c>
      <c r="BU3" t="s">
        <v>1653</v>
      </c>
      <c r="BV3" t="s">
        <v>1654</v>
      </c>
      <c r="BW3">
        <v>38.549999999999997</v>
      </c>
      <c r="BX3">
        <v>42.17</v>
      </c>
      <c r="BY3">
        <v>41.62</v>
      </c>
      <c r="BZ3">
        <v>25.27</v>
      </c>
      <c r="CA3">
        <v>23.85</v>
      </c>
      <c r="CB3">
        <v>24.84</v>
      </c>
      <c r="CC3">
        <v>-7.19</v>
      </c>
      <c r="CD3">
        <v>-1.32</v>
      </c>
      <c r="CE3" t="s">
        <v>1655</v>
      </c>
      <c r="CF3" t="s">
        <v>61</v>
      </c>
      <c r="CG3" s="18">
        <v>0.52812499999999973</v>
      </c>
      <c r="CH3" s="19">
        <v>0.35919965116279068</v>
      </c>
      <c r="CI3" s="18">
        <v>0.94393950700759888</v>
      </c>
      <c r="CJ3" s="18">
        <v>0.5676959753036499</v>
      </c>
      <c r="CK3" s="18">
        <v>-4.9661397933959961E-2</v>
      </c>
      <c r="CL3" s="18">
        <v>8.0487802624702454E-2</v>
      </c>
      <c r="CM3" s="18">
        <v>0.48014441132545471</v>
      </c>
      <c r="CN3" s="19">
        <v>1.1592357158660889</v>
      </c>
      <c r="CO3" s="19">
        <v>0.49523809552192688</v>
      </c>
      <c r="CP3" s="19">
        <v>-5.4054055362939835E-2</v>
      </c>
      <c r="CQ3" s="19">
        <v>-1.7699114978313446E-2</v>
      </c>
      <c r="CR3" s="19">
        <v>0.567665696144104</v>
      </c>
      <c r="CS3">
        <v>206.99602477876107</v>
      </c>
      <c r="CT3">
        <v>5.1170617077068412</v>
      </c>
      <c r="CU3">
        <v>0.94179694857788654</v>
      </c>
      <c r="CV3" s="18">
        <v>0.40452125966548919</v>
      </c>
      <c r="CW3" s="19">
        <v>0.43007726743817332</v>
      </c>
      <c r="CX3">
        <v>0.06</v>
      </c>
      <c r="CY3">
        <v>25.945564632907747</v>
      </c>
      <c r="CZ3">
        <v>449181799.08169889</v>
      </c>
      <c r="DA3">
        <v>0.40452125966548919</v>
      </c>
      <c r="DB3">
        <v>6.5624365550369452</v>
      </c>
      <c r="DC3">
        <v>1775906753.8801353</v>
      </c>
      <c r="DD3">
        <v>0.38429519668221473</v>
      </c>
      <c r="DE3">
        <v>2.2187433213993475</v>
      </c>
      <c r="DF3">
        <v>5252646977.0508299</v>
      </c>
      <c r="DG3">
        <v>0.35597870850563046</v>
      </c>
      <c r="DH3">
        <v>0.83331894139356721</v>
      </c>
      <c r="DI3">
        <v>13985372011.957924</v>
      </c>
      <c r="DJ3">
        <v>0.32361700773239138</v>
      </c>
      <c r="DK3">
        <v>0.13387955030401255</v>
      </c>
      <c r="DL3">
        <v>87050452242.598434</v>
      </c>
      <c r="DM3">
        <v>0.28316488176584242</v>
      </c>
      <c r="DN3">
        <v>339000000</v>
      </c>
      <c r="DO3">
        <v>0.40452125966548919</v>
      </c>
      <c r="DP3">
        <v>11654275400</v>
      </c>
      <c r="DQ3">
        <v>1717246200</v>
      </c>
      <c r="DR3">
        <v>2284</v>
      </c>
      <c r="DS3">
        <v>0.12360374033451055</v>
      </c>
      <c r="DT3">
        <v>-7.0877616275382638E-2</v>
      </c>
      <c r="DU3" s="9">
        <v>-0.44</v>
      </c>
      <c r="DV3">
        <v>0.6</v>
      </c>
      <c r="DW3">
        <v>0.15999999999999998</v>
      </c>
      <c r="DX3">
        <v>-5.1835883171070929</v>
      </c>
      <c r="DY3">
        <v>0.33171578947368574</v>
      </c>
      <c r="DZ3">
        <v>-5.0131661810994803</v>
      </c>
      <c r="EA3">
        <v>387</v>
      </c>
      <c r="EB3">
        <v>-5.0121669043617869</v>
      </c>
      <c r="EC3">
        <v>5</v>
      </c>
      <c r="ED3">
        <v>4.3298086548872135E-2</v>
      </c>
      <c r="EE3">
        <v>0.6037455191755251</v>
      </c>
      <c r="EF3" s="20">
        <v>1.0015940000000001</v>
      </c>
      <c r="EG3">
        <v>1.0012700000000001</v>
      </c>
      <c r="EH3">
        <v>26.071715789473686</v>
      </c>
      <c r="EI3" t="s">
        <v>470</v>
      </c>
      <c r="EJ3">
        <v>0</v>
      </c>
      <c r="EK3">
        <v>1</v>
      </c>
      <c r="EL3" s="21">
        <v>45278</v>
      </c>
      <c r="EM3">
        <v>-0.79</v>
      </c>
      <c r="EN3">
        <v>-0.21</v>
      </c>
      <c r="EO3">
        <v>-3.21</v>
      </c>
      <c r="EP3">
        <v>1.6000000000000001E-3</v>
      </c>
      <c r="EQ3">
        <v>-3.3000000000000002E-2</v>
      </c>
    </row>
    <row r="4" spans="1:147" ht="146.25" x14ac:dyDescent="0.15">
      <c r="A4" s="2"/>
      <c r="D4" s="2" t="s">
        <v>1690</v>
      </c>
      <c r="E4" t="s">
        <v>1605</v>
      </c>
      <c r="F4" t="s">
        <v>1606</v>
      </c>
      <c r="G4">
        <v>26.53</v>
      </c>
      <c r="H4">
        <v>-3.8399999999999997E-2</v>
      </c>
      <c r="I4" t="s">
        <v>1657</v>
      </c>
      <c r="J4">
        <v>8205562500</v>
      </c>
      <c r="K4">
        <v>22.44</v>
      </c>
      <c r="L4">
        <v>6.14</v>
      </c>
      <c r="M4" t="s">
        <v>352</v>
      </c>
      <c r="N4" t="s">
        <v>1658</v>
      </c>
      <c r="O4" t="s">
        <v>595</v>
      </c>
      <c r="P4" t="s">
        <v>1659</v>
      </c>
      <c r="Q4">
        <v>85.42</v>
      </c>
      <c r="R4" t="s">
        <v>948</v>
      </c>
      <c r="S4">
        <v>273106230</v>
      </c>
      <c r="T4" s="3">
        <v>1.0840000000000001</v>
      </c>
      <c r="U4" t="s">
        <v>68</v>
      </c>
      <c r="V4">
        <v>247584400</v>
      </c>
      <c r="W4">
        <v>309293730</v>
      </c>
      <c r="X4">
        <v>2.35</v>
      </c>
      <c r="Y4">
        <v>0.64</v>
      </c>
      <c r="Z4">
        <v>15.62</v>
      </c>
      <c r="AA4" t="s">
        <v>1660</v>
      </c>
      <c r="AB4" t="s">
        <v>1661</v>
      </c>
      <c r="AC4" t="s">
        <v>1662</v>
      </c>
      <c r="AD4" t="s">
        <v>1663</v>
      </c>
      <c r="AE4" t="s">
        <v>1664</v>
      </c>
      <c r="AF4">
        <v>-9370295</v>
      </c>
      <c r="AG4" t="s">
        <v>37</v>
      </c>
      <c r="AH4" t="s">
        <v>1665</v>
      </c>
      <c r="AI4" t="s">
        <v>1666</v>
      </c>
      <c r="AJ4" t="s">
        <v>1667</v>
      </c>
      <c r="AK4" t="s">
        <v>1668</v>
      </c>
      <c r="AL4" t="s">
        <v>94</v>
      </c>
      <c r="AM4" t="s">
        <v>1669</v>
      </c>
      <c r="AN4" t="s">
        <v>7</v>
      </c>
      <c r="AO4" t="s">
        <v>1670</v>
      </c>
      <c r="AP4" t="s">
        <v>1671</v>
      </c>
      <c r="AQ4" t="s">
        <v>939</v>
      </c>
      <c r="AR4" t="s">
        <v>1672</v>
      </c>
      <c r="AS4" t="s">
        <v>7</v>
      </c>
      <c r="AT4" t="s">
        <v>1673</v>
      </c>
      <c r="AU4" t="s">
        <v>82</v>
      </c>
      <c r="AV4" t="s">
        <v>1674</v>
      </c>
      <c r="AW4" t="s">
        <v>1675</v>
      </c>
      <c r="AX4" t="s">
        <v>1676</v>
      </c>
      <c r="AY4" t="s">
        <v>1677</v>
      </c>
      <c r="AZ4" t="s">
        <v>756</v>
      </c>
      <c r="BA4" t="s">
        <v>1678</v>
      </c>
      <c r="BB4" t="s">
        <v>34</v>
      </c>
      <c r="BC4" t="s">
        <v>1679</v>
      </c>
      <c r="BD4" t="s">
        <v>39</v>
      </c>
      <c r="BE4" t="s">
        <v>634</v>
      </c>
      <c r="BF4" t="s">
        <v>1680</v>
      </c>
      <c r="BG4" t="s">
        <v>1681</v>
      </c>
      <c r="BH4" t="s">
        <v>1682</v>
      </c>
      <c r="BI4" t="s">
        <v>1683</v>
      </c>
      <c r="BJ4" t="s">
        <v>1684</v>
      </c>
      <c r="BK4" t="s">
        <v>103</v>
      </c>
      <c r="BL4" t="s">
        <v>56</v>
      </c>
      <c r="BM4" t="s">
        <v>1685</v>
      </c>
      <c r="BN4" t="s">
        <v>1686</v>
      </c>
      <c r="BO4">
        <v>4.84</v>
      </c>
      <c r="BP4">
        <v>13.87</v>
      </c>
      <c r="BQ4">
        <v>14.21</v>
      </c>
      <c r="BR4">
        <v>5.71</v>
      </c>
      <c r="BS4">
        <v>14.2</v>
      </c>
      <c r="BT4">
        <v>15</v>
      </c>
      <c r="BU4" t="s">
        <v>1687</v>
      </c>
      <c r="BV4" t="s">
        <v>1654</v>
      </c>
      <c r="BW4">
        <v>41.54</v>
      </c>
      <c r="BX4">
        <v>43.5</v>
      </c>
      <c r="BY4">
        <v>48.19</v>
      </c>
      <c r="BZ4">
        <v>16.47</v>
      </c>
      <c r="CA4">
        <v>11.11</v>
      </c>
      <c r="CB4">
        <v>13.76</v>
      </c>
      <c r="CC4">
        <v>-3.18</v>
      </c>
      <c r="CD4">
        <v>-5.59</v>
      </c>
      <c r="CE4" t="s">
        <v>1688</v>
      </c>
      <c r="CF4" t="s">
        <v>1689</v>
      </c>
      <c r="CG4" s="18">
        <v>0.6389610389610384</v>
      </c>
      <c r="CH4" s="19">
        <v>0.46617876938456493</v>
      </c>
      <c r="CI4" s="18">
        <v>0.47208625078201294</v>
      </c>
      <c r="CJ4" s="18">
        <v>0.32425421476364136</v>
      </c>
      <c r="CK4" s="18">
        <v>0.21226415038108826</v>
      </c>
      <c r="CL4" s="18">
        <v>0.1977401077747345</v>
      </c>
      <c r="CM4" s="18">
        <v>0.17738358676433563</v>
      </c>
      <c r="CN4" s="19">
        <v>0.98230087757110596</v>
      </c>
      <c r="CO4" s="19">
        <v>6.6037736833095551E-2</v>
      </c>
      <c r="CP4" s="19">
        <v>0.70828324556350708</v>
      </c>
      <c r="CQ4" s="19">
        <v>0.27987939119338989</v>
      </c>
      <c r="CR4" s="19">
        <v>5.3608838468790054E-2</v>
      </c>
      <c r="CS4">
        <v>219.79185267857142</v>
      </c>
      <c r="CT4">
        <v>7.9420161825185751</v>
      </c>
      <c r="CU4">
        <v>0.82390124387485864</v>
      </c>
      <c r="CV4" s="18">
        <v>0.27674566209316254</v>
      </c>
      <c r="CW4" s="19">
        <v>0.41802201792597771</v>
      </c>
      <c r="CX4">
        <v>0.06</v>
      </c>
      <c r="CY4">
        <v>32.17001702607152</v>
      </c>
      <c r="CZ4">
        <v>269802856.89515889</v>
      </c>
      <c r="DA4">
        <v>0.27674566209316254</v>
      </c>
      <c r="DB4">
        <v>9.0067262114789983</v>
      </c>
      <c r="DC4">
        <v>963675623.77303863</v>
      </c>
      <c r="DD4">
        <v>0.26290837898850439</v>
      </c>
      <c r="DE4">
        <v>3.559088970987597</v>
      </c>
      <c r="DF4">
        <v>2438703435.2758942</v>
      </c>
      <c r="DG4">
        <v>0.24353618264198304</v>
      </c>
      <c r="DH4">
        <v>1.6380462112821648</v>
      </c>
      <c r="DI4">
        <v>5298728717.3089924</v>
      </c>
      <c r="DJ4">
        <v>0.22139652967453005</v>
      </c>
      <c r="DK4">
        <v>0.44458182563562304</v>
      </c>
      <c r="DL4">
        <v>19522980921.657658</v>
      </c>
      <c r="DM4">
        <v>0.19372196346521375</v>
      </c>
      <c r="DN4">
        <v>224000000.00000003</v>
      </c>
      <c r="DO4">
        <v>0.27674566209316254</v>
      </c>
      <c r="DP4">
        <v>8679562500</v>
      </c>
      <c r="DQ4">
        <v>819929800</v>
      </c>
      <c r="DR4">
        <v>2166</v>
      </c>
      <c r="DS4">
        <v>0.36221537686787586</v>
      </c>
      <c r="DT4">
        <v>4.8156751458587221E-2</v>
      </c>
      <c r="DU4" s="9">
        <v>-0.44</v>
      </c>
      <c r="DV4">
        <v>0.6</v>
      </c>
      <c r="DW4">
        <v>0.15999999999999998</v>
      </c>
      <c r="DX4">
        <v>-8.5688729874776381</v>
      </c>
      <c r="DY4">
        <v>0.43473522727272695</v>
      </c>
      <c r="DZ4">
        <v>-8.0994021507562213</v>
      </c>
      <c r="EA4">
        <v>74</v>
      </c>
      <c r="EB4">
        <v>-8.0979595621788611</v>
      </c>
      <c r="EC4">
        <v>8</v>
      </c>
      <c r="ED4">
        <v>0.19886209785112682</v>
      </c>
      <c r="EE4">
        <v>1.1380767401912739</v>
      </c>
      <c r="EF4" s="20">
        <v>2.0247920000000001</v>
      </c>
      <c r="EG4">
        <v>2.024416</v>
      </c>
      <c r="EH4">
        <v>26.174735227272727</v>
      </c>
      <c r="EI4" t="s">
        <v>526</v>
      </c>
      <c r="EJ4">
        <v>0</v>
      </c>
      <c r="EK4">
        <v>1</v>
      </c>
      <c r="EL4" s="21">
        <v>45278</v>
      </c>
      <c r="EM4">
        <v>-1.46</v>
      </c>
      <c r="EN4">
        <v>-1.78</v>
      </c>
      <c r="EO4">
        <v>0.83</v>
      </c>
      <c r="EP4">
        <v>3.1800000000000002E-2</v>
      </c>
      <c r="EQ4">
        <v>-3.8399999999999997E-2</v>
      </c>
    </row>
    <row r="5" spans="1:147" ht="135" x14ac:dyDescent="0.15">
      <c r="A5" s="2"/>
      <c r="B5" s="2" t="s">
        <v>1691</v>
      </c>
      <c r="C5" s="2"/>
      <c r="D5" s="2" t="s">
        <v>1723</v>
      </c>
      <c r="E5" t="s">
        <v>1607</v>
      </c>
      <c r="F5" t="s">
        <v>1608</v>
      </c>
      <c r="G5">
        <v>15.46</v>
      </c>
      <c r="H5">
        <v>-2.0299999999999999E-2</v>
      </c>
      <c r="I5" t="s">
        <v>1692</v>
      </c>
      <c r="J5">
        <v>8322191900</v>
      </c>
      <c r="K5">
        <v>53.59</v>
      </c>
      <c r="L5">
        <v>2.69</v>
      </c>
      <c r="M5" t="s">
        <v>352</v>
      </c>
      <c r="N5" t="s">
        <v>1693</v>
      </c>
      <c r="O5" t="s">
        <v>1694</v>
      </c>
      <c r="P5" t="s">
        <v>1695</v>
      </c>
      <c r="Q5">
        <v>-18.170000000000002</v>
      </c>
      <c r="R5" t="s">
        <v>1696</v>
      </c>
      <c r="S5">
        <v>158062140</v>
      </c>
      <c r="T5" s="3">
        <v>-0.44629999999999997</v>
      </c>
      <c r="U5" t="s">
        <v>1697</v>
      </c>
      <c r="V5">
        <v>445103660</v>
      </c>
      <c r="W5">
        <v>538304780</v>
      </c>
      <c r="X5">
        <v>1.41</v>
      </c>
      <c r="Y5">
        <v>0.24</v>
      </c>
      <c r="Z5">
        <v>13.94</v>
      </c>
      <c r="AA5" t="s">
        <v>483</v>
      </c>
      <c r="AB5" t="s">
        <v>1698</v>
      </c>
      <c r="AC5" t="s">
        <v>1699</v>
      </c>
      <c r="AD5" t="s">
        <v>1700</v>
      </c>
      <c r="AE5" t="s">
        <v>898</v>
      </c>
      <c r="AF5">
        <v>6106370</v>
      </c>
      <c r="AG5" t="s">
        <v>1701</v>
      </c>
      <c r="AH5" t="s">
        <v>1702</v>
      </c>
      <c r="AI5" t="s">
        <v>1703</v>
      </c>
      <c r="AJ5" t="s">
        <v>34</v>
      </c>
      <c r="AK5" t="s">
        <v>1704</v>
      </c>
      <c r="AL5" t="s">
        <v>1705</v>
      </c>
      <c r="AM5" t="s">
        <v>1706</v>
      </c>
      <c r="AN5" t="s">
        <v>7</v>
      </c>
      <c r="AO5" t="s">
        <v>43</v>
      </c>
      <c r="AP5" t="s">
        <v>1707</v>
      </c>
      <c r="AQ5" t="s">
        <v>1381</v>
      </c>
      <c r="AR5" t="s">
        <v>1708</v>
      </c>
      <c r="AS5" t="s">
        <v>7</v>
      </c>
      <c r="AT5" t="s">
        <v>1414</v>
      </c>
      <c r="AU5" t="s">
        <v>68</v>
      </c>
      <c r="AV5" t="s">
        <v>1709</v>
      </c>
      <c r="AW5" t="s">
        <v>1710</v>
      </c>
      <c r="AX5" t="s">
        <v>1711</v>
      </c>
      <c r="AY5" t="s">
        <v>1712</v>
      </c>
      <c r="AZ5" t="s">
        <v>1438</v>
      </c>
      <c r="BA5" t="s">
        <v>1651</v>
      </c>
      <c r="BB5" t="s">
        <v>1713</v>
      </c>
      <c r="BC5" t="s">
        <v>1714</v>
      </c>
      <c r="BD5" t="s">
        <v>761</v>
      </c>
      <c r="BE5" t="s">
        <v>883</v>
      </c>
      <c r="BF5" t="s">
        <v>1715</v>
      </c>
      <c r="BG5" t="s">
        <v>1716</v>
      </c>
      <c r="BH5" t="s">
        <v>1717</v>
      </c>
      <c r="BI5" t="s">
        <v>74</v>
      </c>
      <c r="BJ5" t="s">
        <v>1718</v>
      </c>
      <c r="BK5" t="s">
        <v>1196</v>
      </c>
      <c r="BL5" t="s">
        <v>54</v>
      </c>
      <c r="BM5" t="s">
        <v>1719</v>
      </c>
      <c r="BN5" t="s">
        <v>108</v>
      </c>
      <c r="BO5">
        <v>2.95</v>
      </c>
      <c r="BP5">
        <v>19.02</v>
      </c>
      <c r="BQ5">
        <v>12.6</v>
      </c>
      <c r="BR5">
        <v>3.75</v>
      </c>
      <c r="BS5">
        <v>28.64</v>
      </c>
      <c r="BT5">
        <v>17.04</v>
      </c>
      <c r="BU5" t="s">
        <v>1720</v>
      </c>
      <c r="BV5" t="s">
        <v>1654</v>
      </c>
      <c r="BW5">
        <v>50.07</v>
      </c>
      <c r="BX5">
        <v>47.28</v>
      </c>
      <c r="BY5">
        <v>48.27</v>
      </c>
      <c r="BZ5">
        <v>21.21</v>
      </c>
      <c r="CA5">
        <v>19.84</v>
      </c>
      <c r="CB5">
        <v>17.2</v>
      </c>
      <c r="CC5">
        <v>-5.79</v>
      </c>
      <c r="CD5">
        <v>-9.9600000000000009</v>
      </c>
      <c r="CE5" t="s">
        <v>1721</v>
      </c>
      <c r="CF5" t="s">
        <v>701</v>
      </c>
      <c r="CG5" s="18">
        <v>-0.5399999999999997</v>
      </c>
      <c r="CH5" s="19">
        <v>-1.3193786000000001</v>
      </c>
      <c r="CI5" s="18">
        <v>0.1596752405166626</v>
      </c>
      <c r="CJ5" s="18">
        <v>0.75326216220855713</v>
      </c>
      <c r="CK5" s="18">
        <v>9.1968908905982971E-2</v>
      </c>
      <c r="CL5" s="18">
        <v>0.61844861507415771</v>
      </c>
      <c r="CM5" s="18">
        <v>0.37861272692680359</v>
      </c>
      <c r="CN5" s="19">
        <v>3.2846715301275253E-2</v>
      </c>
      <c r="CO5" s="19">
        <v>1.227642297744751</v>
      </c>
      <c r="CP5" s="19">
        <v>0.97641795873641968</v>
      </c>
      <c r="CQ5" s="19">
        <v>0.73860257863998413</v>
      </c>
      <c r="CR5" s="19">
        <v>5.4266462102532387E-3</v>
      </c>
      <c r="CS5">
        <v>176.44223109540636</v>
      </c>
      <c r="CT5">
        <v>4.406720327755739</v>
      </c>
      <c r="CU5">
        <v>0.77619663648124182</v>
      </c>
      <c r="CV5" s="18">
        <v>0.4003935307264328</v>
      </c>
      <c r="CW5" s="19">
        <v>0.59618723932653661</v>
      </c>
      <c r="CX5">
        <v>0.06</v>
      </c>
      <c r="CY5">
        <v>17.003356294516184</v>
      </c>
      <c r="CZ5">
        <v>373878650.18450981</v>
      </c>
      <c r="DA5">
        <v>0.4003935307264328</v>
      </c>
      <c r="DB5">
        <v>4.3145741890727374</v>
      </c>
      <c r="DC5">
        <v>1473422780.8854179</v>
      </c>
      <c r="DD5">
        <v>0.38037385419011116</v>
      </c>
      <c r="DE5">
        <v>1.4661573433196731</v>
      </c>
      <c r="DF5">
        <v>4335954752.0363998</v>
      </c>
      <c r="DG5">
        <v>0.35234630703926084</v>
      </c>
      <c r="DH5">
        <v>0.55437327048927754</v>
      </c>
      <c r="DI5">
        <v>11467349236.353483</v>
      </c>
      <c r="DJ5">
        <v>0.32031482458114624</v>
      </c>
      <c r="DK5">
        <v>9.0626747244677314E-2</v>
      </c>
      <c r="DL5">
        <v>70146971984.293198</v>
      </c>
      <c r="DM5">
        <v>0.28027547150850296</v>
      </c>
      <c r="DN5">
        <v>283000000</v>
      </c>
      <c r="DO5">
        <v>0.4003935307264328</v>
      </c>
      <c r="DP5">
        <v>6357191900</v>
      </c>
      <c r="DQ5">
        <v>2563510300</v>
      </c>
      <c r="DR5">
        <v>2067</v>
      </c>
      <c r="DS5">
        <v>-0.9403935307264325</v>
      </c>
      <c r="DT5">
        <v>-1.9155658393265367</v>
      </c>
      <c r="DU5" s="9">
        <v>-0.44</v>
      </c>
      <c r="DV5">
        <v>-0.22</v>
      </c>
      <c r="DW5">
        <v>-0.66</v>
      </c>
      <c r="DX5">
        <v>-8.581325301204819</v>
      </c>
      <c r="DY5">
        <v>0.48060563380281451</v>
      </c>
      <c r="DZ5">
        <v>-8.0584846003733244</v>
      </c>
      <c r="EA5">
        <v>400</v>
      </c>
      <c r="EB5">
        <v>-8.0538966732995192</v>
      </c>
      <c r="EC5">
        <v>8</v>
      </c>
      <c r="ED5">
        <v>2.653886892849066E-2</v>
      </c>
      <c r="EE5">
        <v>0.26379108132757062</v>
      </c>
      <c r="EF5" s="20">
        <v>-2.0182869999999999</v>
      </c>
      <c r="EG5">
        <v>-2.018097</v>
      </c>
      <c r="EH5">
        <v>38.100605633802815</v>
      </c>
      <c r="EI5" t="s">
        <v>1722</v>
      </c>
      <c r="EJ5">
        <v>0</v>
      </c>
      <c r="EK5">
        <v>1</v>
      </c>
      <c r="EL5" s="21">
        <v>45278</v>
      </c>
      <c r="EM5">
        <v>-0.67</v>
      </c>
      <c r="EN5">
        <v>-1.78</v>
      </c>
      <c r="EO5">
        <v>-0.31</v>
      </c>
      <c r="EP5">
        <v>-1.1299999999999999E-2</v>
      </c>
      <c r="EQ5">
        <v>-2.0299999999999999E-2</v>
      </c>
    </row>
    <row r="6" spans="1:147" ht="135" x14ac:dyDescent="0.15">
      <c r="A6" s="2"/>
      <c r="B6" s="2" t="s">
        <v>1724</v>
      </c>
      <c r="C6" s="2"/>
      <c r="D6" s="2" t="s">
        <v>1759</v>
      </c>
      <c r="E6" t="s">
        <v>1609</v>
      </c>
      <c r="F6" t="s">
        <v>1610</v>
      </c>
      <c r="G6">
        <v>63.55</v>
      </c>
      <c r="H6">
        <v>-3.5999999999999999E-3</v>
      </c>
      <c r="I6" t="s">
        <v>1725</v>
      </c>
      <c r="J6">
        <v>5241604000</v>
      </c>
      <c r="K6">
        <v>36.380000000000003</v>
      </c>
      <c r="L6">
        <v>2.95</v>
      </c>
      <c r="M6" t="s">
        <v>352</v>
      </c>
      <c r="N6" t="s">
        <v>1726</v>
      </c>
      <c r="O6" t="s">
        <v>1727</v>
      </c>
      <c r="P6" t="s">
        <v>1728</v>
      </c>
      <c r="Q6" s="3">
        <v>60.15</v>
      </c>
      <c r="R6" t="s">
        <v>1729</v>
      </c>
      <c r="S6">
        <v>90584403</v>
      </c>
      <c r="T6">
        <v>4.9660000000000002</v>
      </c>
      <c r="U6" t="s">
        <v>1730</v>
      </c>
      <c r="V6">
        <v>18147175</v>
      </c>
      <c r="W6">
        <v>82480000</v>
      </c>
      <c r="X6">
        <v>1.29</v>
      </c>
      <c r="Y6">
        <v>0.32</v>
      </c>
      <c r="Z6">
        <v>17.18</v>
      </c>
      <c r="AA6" t="s">
        <v>1158</v>
      </c>
      <c r="AB6" t="s">
        <v>106</v>
      </c>
      <c r="AC6" t="s">
        <v>1731</v>
      </c>
      <c r="AD6" t="s">
        <v>1732</v>
      </c>
      <c r="AE6" t="s">
        <v>1733</v>
      </c>
      <c r="AF6">
        <v>4396316</v>
      </c>
      <c r="AG6" t="s">
        <v>1734</v>
      </c>
      <c r="AH6" t="s">
        <v>1735</v>
      </c>
      <c r="AI6" t="s">
        <v>1736</v>
      </c>
      <c r="AJ6" t="s">
        <v>1737</v>
      </c>
      <c r="AK6" t="s">
        <v>1738</v>
      </c>
      <c r="AL6" t="s">
        <v>1739</v>
      </c>
      <c r="AM6" t="s">
        <v>1740</v>
      </c>
      <c r="AN6" t="s">
        <v>7</v>
      </c>
      <c r="AO6" t="s">
        <v>1741</v>
      </c>
      <c r="AP6" t="s">
        <v>1652</v>
      </c>
      <c r="AQ6" t="s">
        <v>1742</v>
      </c>
      <c r="AR6" t="s">
        <v>1124</v>
      </c>
      <c r="AS6" t="s">
        <v>7</v>
      </c>
      <c r="AT6" t="s">
        <v>1743</v>
      </c>
      <c r="AU6" t="s">
        <v>7</v>
      </c>
      <c r="AV6" t="s">
        <v>1744</v>
      </c>
      <c r="AW6" t="s">
        <v>1745</v>
      </c>
      <c r="AX6" t="s">
        <v>1746</v>
      </c>
      <c r="AY6" t="s">
        <v>1373</v>
      </c>
      <c r="AZ6" t="s">
        <v>1747</v>
      </c>
      <c r="BA6" t="s">
        <v>1186</v>
      </c>
      <c r="BB6" t="s">
        <v>7</v>
      </c>
      <c r="BC6" t="s">
        <v>7</v>
      </c>
      <c r="BD6" t="s">
        <v>1748</v>
      </c>
      <c r="BE6" t="s">
        <v>1749</v>
      </c>
      <c r="BF6" t="s">
        <v>1750</v>
      </c>
      <c r="BG6" t="s">
        <v>7</v>
      </c>
      <c r="BH6" t="s">
        <v>7</v>
      </c>
      <c r="BI6" t="s">
        <v>1751</v>
      </c>
      <c r="BJ6" t="s">
        <v>1752</v>
      </c>
      <c r="BK6" t="s">
        <v>1753</v>
      </c>
      <c r="BL6" t="s">
        <v>1754</v>
      </c>
      <c r="BM6" t="s">
        <v>1755</v>
      </c>
      <c r="BN6" t="s">
        <v>1756</v>
      </c>
      <c r="BO6" t="s">
        <v>7</v>
      </c>
      <c r="BP6">
        <v>15.31</v>
      </c>
      <c r="BQ6">
        <v>10.01</v>
      </c>
      <c r="BR6" t="s">
        <v>7</v>
      </c>
      <c r="BS6" t="s">
        <v>7</v>
      </c>
      <c r="BT6" t="s">
        <v>7</v>
      </c>
      <c r="BU6" t="s">
        <v>7</v>
      </c>
      <c r="BV6" t="s">
        <v>1654</v>
      </c>
      <c r="BW6">
        <v>47.58</v>
      </c>
      <c r="BX6">
        <v>39.369999999999997</v>
      </c>
      <c r="BY6">
        <v>41.68</v>
      </c>
      <c r="BZ6">
        <v>17.190000000000001</v>
      </c>
      <c r="CA6">
        <v>10.55</v>
      </c>
      <c r="CB6">
        <v>6.72</v>
      </c>
      <c r="CC6">
        <v>-4.58</v>
      </c>
      <c r="CD6" s="18">
        <v>-9.34</v>
      </c>
      <c r="CE6" s="19" t="s">
        <v>1757</v>
      </c>
      <c r="CF6" s="18" t="s">
        <v>1758</v>
      </c>
      <c r="CG6" s="18">
        <v>0.47142857142857142</v>
      </c>
      <c r="CH6" s="18">
        <v>2.3991488743237035</v>
      </c>
      <c r="CI6" s="18">
        <v>0.11346153914928436</v>
      </c>
      <c r="CJ6" s="18">
        <v>0.40161725878715515</v>
      </c>
      <c r="CK6" s="19">
        <v>0.55882352590560913</v>
      </c>
      <c r="CL6" s="19" t="s">
        <v>7</v>
      </c>
      <c r="CM6" s="19" t="s">
        <v>7</v>
      </c>
      <c r="CN6" s="19">
        <v>0.44541764259338379</v>
      </c>
      <c r="CO6" s="19">
        <v>1.8276964426040649</v>
      </c>
      <c r="CP6">
        <v>1.9640941619873047</v>
      </c>
      <c r="CQ6" t="s">
        <v>7</v>
      </c>
      <c r="CR6" t="s">
        <v>7</v>
      </c>
      <c r="CS6" s="18">
        <v>457.85731859825563</v>
      </c>
      <c r="CT6" s="19">
        <v>12.790473819635707</v>
      </c>
      <c r="CU6">
        <v>0</v>
      </c>
      <c r="CV6">
        <v>0.35796744128068286</v>
      </c>
      <c r="CW6">
        <v>1.4124027490615845</v>
      </c>
      <c r="CX6">
        <v>0.06</v>
      </c>
      <c r="CY6">
        <v>45.099214382115171</v>
      </c>
      <c r="CZ6">
        <v>87997186.965940028</v>
      </c>
      <c r="DA6">
        <v>0.35796744128068286</v>
      </c>
      <c r="DB6">
        <v>11.832249788038437</v>
      </c>
      <c r="DC6">
        <v>335405698.07881981</v>
      </c>
      <c r="DD6">
        <v>0.3400690692166487</v>
      </c>
      <c r="DE6">
        <v>4.2354131351340989</v>
      </c>
      <c r="DF6">
        <v>937005168.88876021</v>
      </c>
      <c r="DG6">
        <v>0.3150113483270009</v>
      </c>
      <c r="DH6">
        <v>1.7151284816314623</v>
      </c>
      <c r="DI6">
        <v>2313881462.819036</v>
      </c>
      <c r="DJ6">
        <v>0.28637395302454632</v>
      </c>
      <c r="DK6">
        <v>0.33483402634026299</v>
      </c>
      <c r="DL6">
        <v>11852451327.53339</v>
      </c>
      <c r="DM6">
        <v>0.250577208896478</v>
      </c>
      <c r="DN6">
        <v>68688700</v>
      </c>
      <c r="DO6">
        <v>0.35796744128068286</v>
      </c>
      <c r="DP6">
        <v>3968604000</v>
      </c>
      <c r="DQ6">
        <v>1657748400</v>
      </c>
      <c r="DR6" s="9">
        <v>5074</v>
      </c>
      <c r="DS6">
        <v>0.11346113014788856</v>
      </c>
      <c r="DT6">
        <v>0.98674612526211902</v>
      </c>
      <c r="DU6">
        <v>-0.44</v>
      </c>
      <c r="DV6">
        <v>0.6</v>
      </c>
      <c r="DW6">
        <v>0.15999999999999998</v>
      </c>
      <c r="DX6">
        <v>-8.4903640256959321</v>
      </c>
      <c r="DY6">
        <v>0.27082690630149259</v>
      </c>
      <c r="DZ6">
        <v>-8.0396346071585469</v>
      </c>
      <c r="EA6">
        <v>26</v>
      </c>
      <c r="EB6">
        <v>-8.0394325087498153</v>
      </c>
      <c r="EC6" s="20">
        <v>8</v>
      </c>
      <c r="ED6" s="20">
        <v>3.5386760426770129E-2</v>
      </c>
      <c r="EE6">
        <v>0.43780916585838991</v>
      </c>
      <c r="EF6">
        <v>3.0452669999999999</v>
      </c>
      <c r="EG6">
        <v>3.045264</v>
      </c>
      <c r="EH6">
        <v>19.080826906301493</v>
      </c>
      <c r="EI6" s="21" t="s">
        <v>635</v>
      </c>
      <c r="EJ6">
        <v>0</v>
      </c>
      <c r="EK6">
        <v>1</v>
      </c>
      <c r="EL6">
        <v>45278</v>
      </c>
      <c r="EM6">
        <v>-0.06</v>
      </c>
      <c r="EN6">
        <v>-1.59</v>
      </c>
      <c r="EO6">
        <v>-2.31</v>
      </c>
      <c r="EP6">
        <v>-3.3E-3</v>
      </c>
      <c r="EQ6">
        <v>-3.5999999999999999E-3</v>
      </c>
    </row>
    <row r="7" spans="1:147" ht="78.75" x14ac:dyDescent="0.15">
      <c r="A7" s="2"/>
      <c r="D7" s="2" t="s">
        <v>1794</v>
      </c>
      <c r="E7" t="s">
        <v>1611</v>
      </c>
      <c r="F7" t="s">
        <v>1612</v>
      </c>
      <c r="G7">
        <v>9.2200000000000006</v>
      </c>
      <c r="H7">
        <v>-0.54</v>
      </c>
      <c r="I7" t="s">
        <v>1760</v>
      </c>
      <c r="J7">
        <v>4927854900</v>
      </c>
      <c r="K7">
        <v>23.72</v>
      </c>
      <c r="L7">
        <v>1.61</v>
      </c>
      <c r="M7" t="s">
        <v>1613</v>
      </c>
      <c r="N7" t="s">
        <v>1761</v>
      </c>
      <c r="O7" t="s">
        <v>1762</v>
      </c>
      <c r="P7" t="s">
        <v>1763</v>
      </c>
      <c r="Q7" s="3">
        <v>-13.49</v>
      </c>
      <c r="R7" t="s">
        <v>1764</v>
      </c>
      <c r="S7">
        <v>30598112</v>
      </c>
      <c r="T7">
        <v>-0.51339999999999997</v>
      </c>
      <c r="U7" t="s">
        <v>620</v>
      </c>
      <c r="V7">
        <v>475411210</v>
      </c>
      <c r="W7">
        <v>534474510</v>
      </c>
      <c r="X7">
        <v>1.82</v>
      </c>
      <c r="Y7">
        <v>0.09</v>
      </c>
      <c r="Z7">
        <v>6.41</v>
      </c>
      <c r="AA7" t="s">
        <v>1765</v>
      </c>
      <c r="AB7" t="s">
        <v>939</v>
      </c>
      <c r="AC7" t="s">
        <v>1766</v>
      </c>
      <c r="AD7" t="s">
        <v>1767</v>
      </c>
      <c r="AE7" t="s">
        <v>1768</v>
      </c>
      <c r="AF7">
        <v>8855006</v>
      </c>
      <c r="AG7" t="s">
        <v>1769</v>
      </c>
      <c r="AH7" t="s">
        <v>1770</v>
      </c>
      <c r="AI7" t="s">
        <v>1771</v>
      </c>
      <c r="AJ7" t="s">
        <v>874</v>
      </c>
      <c r="AK7" t="s">
        <v>1772</v>
      </c>
      <c r="AL7" t="s">
        <v>7</v>
      </c>
      <c r="AM7" t="s">
        <v>1773</v>
      </c>
      <c r="AN7" t="s">
        <v>7</v>
      </c>
      <c r="AO7" t="s">
        <v>1774</v>
      </c>
      <c r="AP7" t="s">
        <v>1775</v>
      </c>
      <c r="AQ7" t="s">
        <v>1776</v>
      </c>
      <c r="AR7" t="s">
        <v>847</v>
      </c>
      <c r="AS7" t="s">
        <v>7</v>
      </c>
      <c r="AT7" t="s">
        <v>1777</v>
      </c>
      <c r="AU7" t="s">
        <v>1778</v>
      </c>
      <c r="AV7" t="s">
        <v>1779</v>
      </c>
      <c r="AW7" t="s">
        <v>1780</v>
      </c>
      <c r="AX7" t="s">
        <v>1781</v>
      </c>
      <c r="AY7" t="s">
        <v>1782</v>
      </c>
      <c r="AZ7" t="s">
        <v>1783</v>
      </c>
      <c r="BA7" t="s">
        <v>1784</v>
      </c>
      <c r="BB7" t="s">
        <v>1237</v>
      </c>
      <c r="BC7" t="s">
        <v>1785</v>
      </c>
      <c r="BD7" t="s">
        <v>1786</v>
      </c>
      <c r="BE7" t="s">
        <v>1044</v>
      </c>
      <c r="BF7" t="s">
        <v>1787</v>
      </c>
      <c r="BG7" t="s">
        <v>1788</v>
      </c>
      <c r="BH7" t="s">
        <v>39</v>
      </c>
      <c r="BI7" t="s">
        <v>1764</v>
      </c>
      <c r="BJ7" t="s">
        <v>1267</v>
      </c>
      <c r="BK7" t="s">
        <v>1782</v>
      </c>
      <c r="BL7" t="s">
        <v>620</v>
      </c>
      <c r="BM7" t="s">
        <v>1789</v>
      </c>
      <c r="BN7" t="s">
        <v>1786</v>
      </c>
      <c r="BO7">
        <v>6.37</v>
      </c>
      <c r="BP7">
        <v>1.96</v>
      </c>
      <c r="BQ7">
        <v>11.01</v>
      </c>
      <c r="BR7">
        <v>7.76</v>
      </c>
      <c r="BS7">
        <v>1.63</v>
      </c>
      <c r="BT7">
        <v>12.49</v>
      </c>
      <c r="BU7" t="s">
        <v>1790</v>
      </c>
      <c r="BV7" t="s">
        <v>1791</v>
      </c>
      <c r="BW7">
        <v>30.19</v>
      </c>
      <c r="BX7">
        <v>33.950000000000003</v>
      </c>
      <c r="BY7">
        <v>31.84</v>
      </c>
      <c r="BZ7">
        <v>6.41</v>
      </c>
      <c r="CA7">
        <v>2.08</v>
      </c>
      <c r="CB7">
        <v>12.96</v>
      </c>
      <c r="CC7">
        <v>2.2200000000000002</v>
      </c>
      <c r="CD7" s="18">
        <v>-0.32</v>
      </c>
      <c r="CE7" s="19" t="s">
        <v>1792</v>
      </c>
      <c r="CF7" s="18" t="s">
        <v>1793</v>
      </c>
      <c r="CG7" s="18">
        <v>-0.13446787934186472</v>
      </c>
      <c r="CH7" s="18">
        <v>-0.51344142172920226</v>
      </c>
      <c r="CI7" s="18">
        <v>-0.27614936232566833</v>
      </c>
      <c r="CJ7" s="18">
        <v>9.3086004257202148E-2</v>
      </c>
      <c r="CK7" s="19">
        <v>0.16228924691677094</v>
      </c>
      <c r="CL7" s="19">
        <v>0.16643804311752319</v>
      </c>
      <c r="CM7" s="19">
        <v>0.21230602264404297</v>
      </c>
      <c r="CN7" s="19">
        <v>2.752720832824707</v>
      </c>
      <c r="CO7" s="19">
        <v>-0.83301931619644165</v>
      </c>
      <c r="CP7">
        <v>0.15361446142196655</v>
      </c>
      <c r="CQ7">
        <v>0.41276594996452332</v>
      </c>
      <c r="CR7">
        <v>1.0796459913253784</v>
      </c>
      <c r="CS7" s="18">
        <v>123.1963725</v>
      </c>
      <c r="CT7" s="19">
        <v>17.207641439386165</v>
      </c>
      <c r="CU7">
        <v>1.9522776572668112</v>
      </c>
      <c r="CV7">
        <v>7.1593990921974188E-2</v>
      </c>
      <c r="CW7">
        <v>0.71314558386802673</v>
      </c>
      <c r="CX7">
        <v>0.06</v>
      </c>
      <c r="CY7">
        <v>18.051948131048434</v>
      </c>
      <c r="CZ7">
        <v>242625054.54837152</v>
      </c>
      <c r="DA7">
        <v>7.1593990921974188E-2</v>
      </c>
      <c r="DB7">
        <v>5.9920663790987811</v>
      </c>
      <c r="DC7">
        <v>730942319.87776124</v>
      </c>
      <c r="DD7">
        <v>6.8014291375875474E-2</v>
      </c>
      <c r="DE7">
        <v>3.0115660153934893</v>
      </c>
      <c r="DF7">
        <v>1454344642.4924977</v>
      </c>
      <c r="DG7">
        <v>6.3002712011337281E-2</v>
      </c>
      <c r="DH7">
        <v>1.8509071770180221</v>
      </c>
      <c r="DI7">
        <v>2366328768.0673108</v>
      </c>
      <c r="DJ7">
        <v>5.7275192737579354E-2</v>
      </c>
      <c r="DK7">
        <v>1.005324020252796</v>
      </c>
      <c r="DL7">
        <v>4356659954.1694565</v>
      </c>
      <c r="DM7">
        <v>5.0115793645381927E-2</v>
      </c>
      <c r="DN7">
        <v>240000000</v>
      </c>
      <c r="DO7">
        <v>7.1593990921974188E-2</v>
      </c>
      <c r="DP7">
        <v>4379854900</v>
      </c>
      <c r="DQ7">
        <v>1685200300</v>
      </c>
      <c r="DR7" s="9">
        <v>624</v>
      </c>
      <c r="DS7">
        <v>-0.2060618702638389</v>
      </c>
      <c r="DT7">
        <v>-1.226587005597229</v>
      </c>
      <c r="DU7">
        <v>0.18333333333333326</v>
      </c>
      <c r="DV7">
        <v>0.23</v>
      </c>
      <c r="DW7">
        <v>0.41333333333333327</v>
      </c>
      <c r="DX7">
        <v>-3.2000000000000002E-3</v>
      </c>
      <c r="DY7">
        <v>0.43088354695823328</v>
      </c>
      <c r="DZ7">
        <v>-5.4682735026634376E-4</v>
      </c>
      <c r="EA7">
        <v>1978</v>
      </c>
      <c r="EB7">
        <v>-3.3294075765672777E-4</v>
      </c>
      <c r="EC7" s="20">
        <v>0</v>
      </c>
      <c r="ED7" s="20">
        <v>2.6558422776794349E-2</v>
      </c>
      <c r="EE7">
        <v>0.15541826307114251</v>
      </c>
      <c r="EF7">
        <v>1.0621</v>
      </c>
      <c r="EG7">
        <v>1.0567</v>
      </c>
      <c r="EH7">
        <v>26.170883546958233</v>
      </c>
      <c r="EI7" s="21" t="s">
        <v>470</v>
      </c>
      <c r="EJ7">
        <v>0</v>
      </c>
      <c r="EK7">
        <v>0</v>
      </c>
      <c r="EL7">
        <v>45156</v>
      </c>
      <c r="EM7">
        <v>1.1100000000000001</v>
      </c>
      <c r="EN7">
        <v>0.44</v>
      </c>
      <c r="EO7">
        <v>-1.0900000000000001</v>
      </c>
      <c r="EP7">
        <v>2.3199999999999998</v>
      </c>
      <c r="EQ7">
        <v>-0.54</v>
      </c>
    </row>
    <row r="8" spans="1:147" ht="123.75" x14ac:dyDescent="0.15">
      <c r="A8" s="2"/>
      <c r="B8" s="2"/>
      <c r="C8" s="2"/>
      <c r="D8" s="2" t="s">
        <v>1835</v>
      </c>
      <c r="E8" t="s">
        <v>1614</v>
      </c>
      <c r="F8" t="s">
        <v>1615</v>
      </c>
      <c r="G8">
        <v>52.25</v>
      </c>
      <c r="H8">
        <v>1.44E-2</v>
      </c>
      <c r="I8" t="s">
        <v>1795</v>
      </c>
      <c r="J8">
        <v>4358710000</v>
      </c>
      <c r="K8">
        <v>47.22</v>
      </c>
      <c r="L8">
        <v>3.45</v>
      </c>
      <c r="M8" t="s">
        <v>352</v>
      </c>
      <c r="N8" t="s">
        <v>1796</v>
      </c>
      <c r="O8" t="s">
        <v>1797</v>
      </c>
      <c r="P8" t="s">
        <v>1798</v>
      </c>
      <c r="Q8">
        <v>40.119999999999997</v>
      </c>
      <c r="R8" t="s">
        <v>1799</v>
      </c>
      <c r="S8">
        <v>75334467</v>
      </c>
      <c r="T8" s="3">
        <v>0.66459999999999997</v>
      </c>
      <c r="U8" t="s">
        <v>1800</v>
      </c>
      <c r="V8">
        <v>53150483</v>
      </c>
      <c r="W8">
        <v>80303210</v>
      </c>
      <c r="X8">
        <v>1.35</v>
      </c>
      <c r="Y8">
        <v>0.25</v>
      </c>
      <c r="Z8">
        <v>20.95</v>
      </c>
      <c r="AA8" t="s">
        <v>1801</v>
      </c>
      <c r="AB8" t="s">
        <v>1802</v>
      </c>
      <c r="AC8" t="s">
        <v>1803</v>
      </c>
      <c r="AD8" t="s">
        <v>1804</v>
      </c>
      <c r="AE8" t="s">
        <v>1805</v>
      </c>
      <c r="AF8">
        <v>-11140914</v>
      </c>
      <c r="AG8" t="s">
        <v>1806</v>
      </c>
      <c r="AH8" t="s">
        <v>1807</v>
      </c>
      <c r="AI8" t="s">
        <v>1808</v>
      </c>
      <c r="AJ8" t="s">
        <v>1809</v>
      </c>
      <c r="AK8" t="s">
        <v>1810</v>
      </c>
      <c r="AL8" t="s">
        <v>1811</v>
      </c>
      <c r="AM8" t="s">
        <v>1812</v>
      </c>
      <c r="AN8" t="s">
        <v>7</v>
      </c>
      <c r="AO8" t="s">
        <v>1813</v>
      </c>
      <c r="AP8" t="s">
        <v>1814</v>
      </c>
      <c r="AQ8" t="s">
        <v>561</v>
      </c>
      <c r="AR8" t="s">
        <v>1815</v>
      </c>
      <c r="AS8" t="s">
        <v>7</v>
      </c>
      <c r="AT8" t="s">
        <v>623</v>
      </c>
      <c r="AU8" t="s">
        <v>7</v>
      </c>
      <c r="AV8" t="s">
        <v>1816</v>
      </c>
      <c r="AW8" t="s">
        <v>62</v>
      </c>
      <c r="AX8" t="s">
        <v>1817</v>
      </c>
      <c r="AY8" t="s">
        <v>1818</v>
      </c>
      <c r="AZ8" t="s">
        <v>1819</v>
      </c>
      <c r="BA8" t="s">
        <v>44</v>
      </c>
      <c r="BB8" t="s">
        <v>1820</v>
      </c>
      <c r="BC8" t="s">
        <v>1821</v>
      </c>
      <c r="BD8" t="s">
        <v>1822</v>
      </c>
      <c r="BE8" t="s">
        <v>1823</v>
      </c>
      <c r="BF8" t="s">
        <v>1824</v>
      </c>
      <c r="BG8" t="s">
        <v>1825</v>
      </c>
      <c r="BH8" t="s">
        <v>1826</v>
      </c>
      <c r="BI8" t="s">
        <v>878</v>
      </c>
      <c r="BJ8" t="s">
        <v>1827</v>
      </c>
      <c r="BK8" t="s">
        <v>1828</v>
      </c>
      <c r="BL8" t="s">
        <v>1829</v>
      </c>
      <c r="BM8" t="s">
        <v>1830</v>
      </c>
      <c r="BN8" t="s">
        <v>1831</v>
      </c>
      <c r="BO8">
        <v>1.71</v>
      </c>
      <c r="BP8">
        <v>5.66</v>
      </c>
      <c r="BQ8">
        <v>9.56</v>
      </c>
      <c r="BR8">
        <v>2.12</v>
      </c>
      <c r="BS8">
        <v>6.06</v>
      </c>
      <c r="BT8">
        <v>14.24</v>
      </c>
      <c r="BU8" t="s">
        <v>1832</v>
      </c>
      <c r="BV8" t="s">
        <v>1654</v>
      </c>
      <c r="BW8">
        <v>55.31</v>
      </c>
      <c r="BX8">
        <v>51.43</v>
      </c>
      <c r="BY8">
        <v>60.05</v>
      </c>
      <c r="BZ8">
        <v>22.53</v>
      </c>
      <c r="CA8">
        <v>22.93</v>
      </c>
      <c r="CB8">
        <v>33.26</v>
      </c>
      <c r="CC8">
        <v>-6.71</v>
      </c>
      <c r="CD8">
        <v>9.31</v>
      </c>
      <c r="CE8" t="s">
        <v>1833</v>
      </c>
      <c r="CF8" t="s">
        <v>1834</v>
      </c>
      <c r="CG8" s="18">
        <v>0.35000000000000009</v>
      </c>
      <c r="CH8" s="19">
        <v>-0.16111926691134068</v>
      </c>
      <c r="CI8" s="18">
        <v>0.51209676265716553</v>
      </c>
      <c r="CJ8" s="18">
        <v>0.5308641791343689</v>
      </c>
      <c r="CK8" s="18">
        <v>-4.1420117020606995E-2</v>
      </c>
      <c r="CL8" s="18">
        <v>0.20714285969734192</v>
      </c>
      <c r="CM8" s="18">
        <v>0.41717478632926941</v>
      </c>
      <c r="CN8" s="19">
        <v>9.326886385679245E-2</v>
      </c>
      <c r="CO8" s="19">
        <v>5.3332790732383728E-2</v>
      </c>
      <c r="CP8" s="19">
        <v>-0.12324395030736923</v>
      </c>
      <c r="CQ8" s="19">
        <v>0.81497395038604736</v>
      </c>
      <c r="CR8" s="19">
        <v>-0.15251204371452332</v>
      </c>
      <c r="CS8">
        <v>420.28811756122178</v>
      </c>
      <c r="CT8">
        <v>12.925113873997169</v>
      </c>
      <c r="CU8">
        <v>0.70813397129186606</v>
      </c>
      <c r="CV8" s="18">
        <v>0.32517169415950775</v>
      </c>
      <c r="CW8" s="19">
        <v>0.1371639221906662</v>
      </c>
      <c r="CX8">
        <v>0.06</v>
      </c>
      <c r="CY8">
        <v>46.955535159344514</v>
      </c>
      <c r="CZ8">
        <v>77790828.868299723</v>
      </c>
      <c r="DA8">
        <v>0.32517169415950775</v>
      </c>
      <c r="DB8">
        <v>12.644596024202855</v>
      </c>
      <c r="DC8">
        <v>288875183.75505203</v>
      </c>
      <c r="DD8">
        <v>0.30891310945153233</v>
      </c>
      <c r="DE8">
        <v>4.7112054189947115</v>
      </c>
      <c r="DF8">
        <v>775323866.21753895</v>
      </c>
      <c r="DG8">
        <v>0.28615109086036683</v>
      </c>
      <c r="DH8">
        <v>2.010196536633019</v>
      </c>
      <c r="DI8">
        <v>1817090982.6151183</v>
      </c>
      <c r="DJ8">
        <v>0.26013735532760623</v>
      </c>
      <c r="DK8">
        <v>0.44919374825255493</v>
      </c>
      <c r="DL8">
        <v>8131702665.5195084</v>
      </c>
      <c r="DM8">
        <v>0.22762018591165542</v>
      </c>
      <c r="DN8">
        <v>62224600</v>
      </c>
      <c r="DO8">
        <v>0.32517169415950775</v>
      </c>
      <c r="DP8">
        <v>3652710000</v>
      </c>
      <c r="DQ8">
        <v>869972040</v>
      </c>
      <c r="DR8">
        <v>4957</v>
      </c>
      <c r="DS8">
        <v>2.4828305840492337E-2</v>
      </c>
      <c r="DT8">
        <v>-0.29828318910200691</v>
      </c>
      <c r="DU8" s="9">
        <v>-0.44</v>
      </c>
      <c r="DV8">
        <v>0.6</v>
      </c>
      <c r="DW8">
        <v>0.15999999999999998</v>
      </c>
      <c r="DX8">
        <v>-7.4188514357053679</v>
      </c>
      <c r="DY8">
        <v>0.48285019200997026</v>
      </c>
      <c r="DZ8">
        <v>-7.0514559793000569</v>
      </c>
      <c r="EA8">
        <v>537</v>
      </c>
      <c r="EB8">
        <v>-7.0460369047983642</v>
      </c>
      <c r="EC8">
        <v>7</v>
      </c>
      <c r="ED8">
        <v>3.80445563757663E-2</v>
      </c>
      <c r="EE8">
        <v>0.30968251455950513</v>
      </c>
      <c r="EF8" s="20">
        <v>1.0649660000000001</v>
      </c>
      <c r="EG8">
        <v>1.0651440000000001</v>
      </c>
      <c r="EH8">
        <v>36.12285019200997</v>
      </c>
      <c r="EI8" t="s">
        <v>855</v>
      </c>
      <c r="EJ8">
        <v>0</v>
      </c>
      <c r="EK8">
        <v>1</v>
      </c>
      <c r="EL8" s="21">
        <v>45278</v>
      </c>
      <c r="EM8">
        <v>-1.7</v>
      </c>
      <c r="EN8">
        <v>-3.58</v>
      </c>
      <c r="EO8">
        <v>-2.4300000000000002</v>
      </c>
      <c r="EP8">
        <v>-5.5999999999999999E-3</v>
      </c>
      <c r="EQ8">
        <v>1.44E-2</v>
      </c>
    </row>
    <row r="9" spans="1:147" ht="78.75" x14ac:dyDescent="0.15">
      <c r="A9" s="2"/>
      <c r="B9" s="2"/>
      <c r="C9" s="2"/>
      <c r="D9" s="2" t="s">
        <v>1873</v>
      </c>
      <c r="E9" t="s">
        <v>1616</v>
      </c>
      <c r="F9" t="s">
        <v>1617</v>
      </c>
      <c r="G9">
        <v>25.68</v>
      </c>
      <c r="H9">
        <v>-2.7300000000000001E-2</v>
      </c>
      <c r="I9" t="s">
        <v>1836</v>
      </c>
      <c r="J9">
        <v>3593916000</v>
      </c>
      <c r="K9">
        <v>21.4</v>
      </c>
      <c r="L9">
        <v>2.95</v>
      </c>
      <c r="M9" t="s">
        <v>352</v>
      </c>
      <c r="N9" t="s">
        <v>1837</v>
      </c>
      <c r="O9" t="s">
        <v>1838</v>
      </c>
      <c r="P9" t="s">
        <v>1839</v>
      </c>
      <c r="Q9">
        <v>38.67</v>
      </c>
      <c r="R9" t="s">
        <v>1840</v>
      </c>
      <c r="S9">
        <v>118929476</v>
      </c>
      <c r="T9" s="3">
        <v>0.49280000000000002</v>
      </c>
      <c r="U9" t="s">
        <v>1841</v>
      </c>
      <c r="V9">
        <v>86420400</v>
      </c>
      <c r="W9">
        <v>139950000</v>
      </c>
      <c r="X9">
        <v>2.1</v>
      </c>
      <c r="Y9">
        <v>0.4</v>
      </c>
      <c r="Z9">
        <v>11.92</v>
      </c>
      <c r="AA9" t="s">
        <v>74</v>
      </c>
      <c r="AB9" t="s">
        <v>1842</v>
      </c>
      <c r="AC9" t="s">
        <v>1843</v>
      </c>
      <c r="AD9" t="s">
        <v>1844</v>
      </c>
      <c r="AE9" t="s">
        <v>1845</v>
      </c>
      <c r="AF9">
        <v>-3519087</v>
      </c>
      <c r="AG9" t="s">
        <v>1846</v>
      </c>
      <c r="AH9" t="s">
        <v>1847</v>
      </c>
      <c r="AI9" t="s">
        <v>1848</v>
      </c>
      <c r="AJ9" t="s">
        <v>1849</v>
      </c>
      <c r="AK9" t="s">
        <v>1850</v>
      </c>
      <c r="AL9" t="s">
        <v>1774</v>
      </c>
      <c r="AM9" t="s">
        <v>1851</v>
      </c>
      <c r="AN9" t="s">
        <v>7</v>
      </c>
      <c r="AO9" t="s">
        <v>1852</v>
      </c>
      <c r="AP9" t="s">
        <v>7</v>
      </c>
      <c r="AQ9" t="s">
        <v>1853</v>
      </c>
      <c r="AR9" t="s">
        <v>1174</v>
      </c>
      <c r="AS9" t="s">
        <v>7</v>
      </c>
      <c r="AT9" t="s">
        <v>1854</v>
      </c>
      <c r="AU9" t="s">
        <v>7</v>
      </c>
      <c r="AV9" t="s">
        <v>1855</v>
      </c>
      <c r="AW9" t="s">
        <v>1856</v>
      </c>
      <c r="AX9" t="s">
        <v>1857</v>
      </c>
      <c r="AY9" t="s">
        <v>1858</v>
      </c>
      <c r="AZ9" t="s">
        <v>1223</v>
      </c>
      <c r="BA9" t="s">
        <v>870</v>
      </c>
      <c r="BB9" t="s">
        <v>1859</v>
      </c>
      <c r="BC9" t="s">
        <v>1860</v>
      </c>
      <c r="BD9" t="s">
        <v>41</v>
      </c>
      <c r="BE9" t="s">
        <v>1861</v>
      </c>
      <c r="BF9" t="s">
        <v>63</v>
      </c>
      <c r="BG9" t="s">
        <v>1862</v>
      </c>
      <c r="BH9" t="s">
        <v>1863</v>
      </c>
      <c r="BI9" t="s">
        <v>1864</v>
      </c>
      <c r="BJ9" t="s">
        <v>1865</v>
      </c>
      <c r="BK9" t="s">
        <v>31</v>
      </c>
      <c r="BL9" t="s">
        <v>1866</v>
      </c>
      <c r="BM9" t="s">
        <v>1867</v>
      </c>
      <c r="BN9" t="s">
        <v>1868</v>
      </c>
      <c r="BO9">
        <v>1.63</v>
      </c>
      <c r="BP9">
        <v>14.1</v>
      </c>
      <c r="BQ9">
        <v>19.98</v>
      </c>
      <c r="BR9">
        <v>1.78</v>
      </c>
      <c r="BS9">
        <v>13.25</v>
      </c>
      <c r="BT9">
        <v>20.73</v>
      </c>
      <c r="BU9" t="s">
        <v>1869</v>
      </c>
      <c r="BV9" t="s">
        <v>1870</v>
      </c>
      <c r="BW9">
        <v>29.76</v>
      </c>
      <c r="BX9">
        <v>28.23</v>
      </c>
      <c r="BY9">
        <v>32.520000000000003</v>
      </c>
      <c r="BZ9">
        <v>12.21</v>
      </c>
      <c r="CA9">
        <v>12.31</v>
      </c>
      <c r="CB9">
        <v>12.65</v>
      </c>
      <c r="CC9">
        <v>-3.09</v>
      </c>
      <c r="CD9">
        <v>-10.119999999999999</v>
      </c>
      <c r="CE9" t="s">
        <v>1871</v>
      </c>
      <c r="CF9" t="s">
        <v>1872</v>
      </c>
      <c r="CG9" s="18">
        <v>0.52564102564102577</v>
      </c>
      <c r="CH9" s="19">
        <v>0.72937530455121391</v>
      </c>
      <c r="CI9" s="18">
        <v>0.38176041841506958</v>
      </c>
      <c r="CJ9" s="18">
        <v>0.11729858070611954</v>
      </c>
      <c r="CK9" s="18">
        <v>0.33755943179130554</v>
      </c>
      <c r="CL9" s="18">
        <v>0.18609023094177246</v>
      </c>
      <c r="CM9" s="18">
        <v>0.23433874547481537</v>
      </c>
      <c r="CN9" s="19">
        <v>0.11206896603107452</v>
      </c>
      <c r="CO9" s="19">
        <v>8.4112152457237244E-2</v>
      </c>
      <c r="CP9" s="19">
        <v>1.904761977493763E-2</v>
      </c>
      <c r="CQ9" s="19">
        <v>0.18438634276390076</v>
      </c>
      <c r="CR9" s="19">
        <v>0.22719955444335938</v>
      </c>
      <c r="CS9">
        <v>167.15888372093022</v>
      </c>
      <c r="CT9">
        <v>6.6488695154346589</v>
      </c>
      <c r="CU9">
        <v>1.557632398753894</v>
      </c>
      <c r="CV9" s="18">
        <v>0.25140948146581649</v>
      </c>
      <c r="CW9" s="19">
        <v>0.12536292709410191</v>
      </c>
      <c r="CX9">
        <v>0.06</v>
      </c>
      <c r="CY9">
        <v>24.412726586980359</v>
      </c>
      <c r="CZ9">
        <v>152294172.74442485</v>
      </c>
      <c r="DA9">
        <v>0.25140948146581649</v>
      </c>
      <c r="DB9">
        <v>6.976843112615434</v>
      </c>
      <c r="DC9">
        <v>532893737.1799739</v>
      </c>
      <c r="DD9">
        <v>0.23883900739252564</v>
      </c>
      <c r="DE9">
        <v>2.8425240769698537</v>
      </c>
      <c r="DF9">
        <v>1307962887.6752801</v>
      </c>
      <c r="DG9">
        <v>0.22124034368991852</v>
      </c>
      <c r="DH9">
        <v>1.3599502128030578</v>
      </c>
      <c r="DI9">
        <v>2733861846.557476</v>
      </c>
      <c r="DJ9">
        <v>0.20112758517265319</v>
      </c>
      <c r="DK9">
        <v>0.40732667599935563</v>
      </c>
      <c r="DL9">
        <v>9127602533.9569988</v>
      </c>
      <c r="DM9">
        <v>0.17598663702607154</v>
      </c>
      <c r="DN9">
        <v>129000000</v>
      </c>
      <c r="DO9">
        <v>0.25140948146581649</v>
      </c>
      <c r="DP9">
        <v>3717916000</v>
      </c>
      <c r="DQ9">
        <v>1014462100</v>
      </c>
      <c r="DR9">
        <v>5041</v>
      </c>
      <c r="DS9">
        <v>0.27423154417520929</v>
      </c>
      <c r="DT9">
        <v>0.604012377457112</v>
      </c>
      <c r="DU9" s="9">
        <v>-0.44</v>
      </c>
      <c r="DV9">
        <v>0.6</v>
      </c>
      <c r="DW9">
        <v>0.15999999999999998</v>
      </c>
      <c r="DX9">
        <v>-8.3053359683794472</v>
      </c>
      <c r="DY9">
        <v>0.49033259982778332</v>
      </c>
      <c r="DZ9">
        <v>-8.0367418708960336</v>
      </c>
      <c r="EA9">
        <v>453</v>
      </c>
      <c r="EB9">
        <v>-8.033477688210036</v>
      </c>
      <c r="EC9">
        <v>8</v>
      </c>
      <c r="ED9">
        <v>3.9542693819221153E-2</v>
      </c>
      <c r="EE9">
        <v>0.32861164701679169</v>
      </c>
      <c r="EF9" s="20">
        <v>-1.083636</v>
      </c>
      <c r="EG9">
        <v>-1.0838829999999999</v>
      </c>
      <c r="EH9">
        <v>37.120332599827783</v>
      </c>
      <c r="EI9" t="s">
        <v>1390</v>
      </c>
      <c r="EJ9">
        <v>0</v>
      </c>
      <c r="EK9">
        <v>1</v>
      </c>
      <c r="EL9" s="21">
        <v>45278</v>
      </c>
      <c r="EM9">
        <v>-0.38</v>
      </c>
      <c r="EN9">
        <v>-0.15</v>
      </c>
      <c r="EO9">
        <v>0.42</v>
      </c>
      <c r="EP9">
        <v>-2.5999999999999999E-3</v>
      </c>
      <c r="EQ9">
        <v>-2.7300000000000001E-2</v>
      </c>
    </row>
    <row r="10" spans="1:147" x14ac:dyDescent="0.15">
      <c r="A10" s="2"/>
      <c r="B10" s="2"/>
      <c r="C10" s="2"/>
      <c r="D10" s="2"/>
    </row>
    <row r="11" spans="1:147" x14ac:dyDescent="0.15">
      <c r="A11" s="2"/>
      <c r="B11" s="2"/>
      <c r="C11" s="2"/>
      <c r="D11" s="2"/>
    </row>
    <row r="12" spans="1:147" x14ac:dyDescent="0.15">
      <c r="A12" s="2"/>
      <c r="B12" s="2"/>
      <c r="C12" s="2"/>
      <c r="D12" s="2"/>
    </row>
    <row r="13" spans="1:147" x14ac:dyDescent="0.15">
      <c r="A13" s="2"/>
      <c r="B13" s="2"/>
      <c r="C13" s="2"/>
      <c r="D13" s="2"/>
    </row>
    <row r="14" spans="1:147" x14ac:dyDescent="0.15">
      <c r="A14" s="2"/>
      <c r="B14" s="2"/>
      <c r="C14" s="2"/>
      <c r="D14" s="2"/>
    </row>
    <row r="15" spans="1:147" x14ac:dyDescent="0.15">
      <c r="A15" s="2"/>
      <c r="B15" s="2"/>
      <c r="C15" s="2"/>
      <c r="D15" s="2"/>
    </row>
    <row r="16" spans="1:147" x14ac:dyDescent="0.15">
      <c r="A16" s="2"/>
      <c r="B16" s="2"/>
      <c r="C16" s="2"/>
      <c r="D16" s="2"/>
    </row>
    <row r="17" spans="1:4" x14ac:dyDescent="0.15">
      <c r="A17" s="2"/>
      <c r="B17" s="2"/>
      <c r="C17" s="2"/>
      <c r="D17" s="2"/>
    </row>
    <row r="18" spans="1:4" x14ac:dyDescent="0.15">
      <c r="A18" s="2"/>
      <c r="B18" s="2"/>
      <c r="C18" s="2"/>
      <c r="D18" s="2"/>
    </row>
    <row r="19" spans="1:4" x14ac:dyDescent="0.15">
      <c r="A19" s="2"/>
      <c r="B19" s="2"/>
      <c r="C19" s="2"/>
      <c r="D19" s="2"/>
    </row>
    <row r="20" spans="1:4" x14ac:dyDescent="0.15">
      <c r="A20" s="2"/>
      <c r="B20" s="2"/>
      <c r="C20" s="2"/>
      <c r="D20" s="2"/>
    </row>
    <row r="21" spans="1:4" x14ac:dyDescent="0.15">
      <c r="A21" s="2"/>
      <c r="B21" s="2"/>
      <c r="C21" s="2"/>
      <c r="D21" s="2"/>
    </row>
    <row r="22" spans="1:4" x14ac:dyDescent="0.15">
      <c r="A22" s="2"/>
      <c r="B22" s="2"/>
      <c r="C22" s="2"/>
      <c r="D22" s="2"/>
    </row>
    <row r="23" spans="1:4" x14ac:dyDescent="0.15">
      <c r="A23" s="2"/>
      <c r="B23" s="2"/>
      <c r="C23" s="2"/>
      <c r="D23" s="2"/>
    </row>
    <row r="24" spans="1:4" x14ac:dyDescent="0.15">
      <c r="A24" s="2"/>
      <c r="B24" s="2"/>
      <c r="C24" s="2"/>
      <c r="D24" s="2"/>
    </row>
    <row r="25" spans="1:4" x14ac:dyDescent="0.15">
      <c r="A25" s="2"/>
      <c r="B25" s="2"/>
      <c r="C25" s="2"/>
      <c r="D25" s="2"/>
    </row>
    <row r="26" spans="1:4" x14ac:dyDescent="0.15">
      <c r="A26" s="2"/>
      <c r="B26" s="2"/>
      <c r="C26" s="2"/>
      <c r="D26" s="2"/>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Industry_copy_call_buttom [c2],[d2]'">
                <anchor moveWithCells="1" sizeWithCells="1">
                  <from>
                    <xdr:col>1</xdr:col>
                    <xdr:colOff>57150</xdr:colOff>
                    <xdr:row>1</xdr:row>
                    <xdr:rowOff>257175</xdr:rowOff>
                  </from>
                  <to>
                    <xdr:col>1</xdr:col>
                    <xdr:colOff>1085850</xdr:colOff>
                    <xdr:row>1</xdr:row>
                    <xdr:rowOff>704850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AF201"/>
  <sheetViews>
    <sheetView zoomScale="85" zoomScaleNormal="85" workbookViewId="0">
      <selection activeCell="Z2" sqref="Z2"/>
    </sheetView>
  </sheetViews>
  <sheetFormatPr defaultRowHeight="13.5" x14ac:dyDescent="0.15"/>
  <cols>
    <col min="1" max="1" width="8.875"/>
    <col min="2" max="2" width="12.5" customWidth="1"/>
    <col min="4" max="4" width="13.875" bestFit="1" customWidth="1"/>
    <col min="5" max="12" width="8.75" customWidth="1"/>
    <col min="13" max="13" width="15.875" customWidth="1"/>
    <col min="14" max="17" width="8.75" customWidth="1"/>
    <col min="18" max="18" width="13.625" customWidth="1"/>
    <col min="19" max="19" width="12.875" customWidth="1"/>
  </cols>
  <sheetData>
    <row r="1" spans="1:32" s="5" customFormat="1" ht="40.5" x14ac:dyDescent="0.15">
      <c r="A1" s="5" t="s">
        <v>119</v>
      </c>
      <c r="B1" s="5" t="s">
        <v>123</v>
      </c>
      <c r="C1" s="5" t="s">
        <v>120</v>
      </c>
      <c r="D1" s="5" t="s">
        <v>124</v>
      </c>
      <c r="E1" s="6" t="s">
        <v>121</v>
      </c>
      <c r="F1" s="6" t="s">
        <v>122</v>
      </c>
      <c r="G1" s="6" t="s">
        <v>130</v>
      </c>
      <c r="H1" s="6" t="s">
        <v>125</v>
      </c>
      <c r="I1" s="6" t="s">
        <v>126</v>
      </c>
      <c r="J1" s="6" t="s">
        <v>127</v>
      </c>
      <c r="K1" s="6" t="s">
        <v>128</v>
      </c>
      <c r="L1" s="5" t="s">
        <v>129</v>
      </c>
      <c r="M1" s="5" t="s">
        <v>131</v>
      </c>
      <c r="N1" s="5" t="s">
        <v>132</v>
      </c>
      <c r="O1" s="5" t="s">
        <v>133</v>
      </c>
      <c r="P1" s="5" t="s">
        <v>134</v>
      </c>
      <c r="Q1" s="5" t="s">
        <v>135</v>
      </c>
      <c r="R1" s="7" t="s">
        <v>136</v>
      </c>
      <c r="S1" s="5" t="s">
        <v>137</v>
      </c>
      <c r="T1" s="5" t="s">
        <v>138</v>
      </c>
      <c r="U1" s="5" t="s">
        <v>139</v>
      </c>
      <c r="V1" s="5" t="s">
        <v>140</v>
      </c>
      <c r="W1" s="5" t="s">
        <v>141</v>
      </c>
      <c r="X1" s="5" t="s">
        <v>142</v>
      </c>
      <c r="Y1" s="5" t="s">
        <v>143</v>
      </c>
      <c r="Z1" s="5" t="s">
        <v>144</v>
      </c>
      <c r="AA1" s="5" t="s">
        <v>145</v>
      </c>
      <c r="AB1" s="5" t="s">
        <v>146</v>
      </c>
      <c r="AC1" s="5" t="s">
        <v>147</v>
      </c>
      <c r="AD1" s="11" t="s">
        <v>148</v>
      </c>
      <c r="AE1" s="5" t="s">
        <v>149</v>
      </c>
      <c r="AF1" s="5" t="s">
        <v>150</v>
      </c>
    </row>
    <row r="2" spans="1:32" x14ac:dyDescent="0.15">
      <c r="A2" s="1">
        <v>1</v>
      </c>
      <c r="B2">
        <v>1</v>
      </c>
      <c r="C2" s="4">
        <v>0.08</v>
      </c>
      <c r="D2">
        <f>H2</f>
        <v>7.06</v>
      </c>
      <c r="E2">
        <v>11.56</v>
      </c>
      <c r="F2">
        <v>20.440000000000001</v>
      </c>
      <c r="G2">
        <f>F2</f>
        <v>20.440000000000001</v>
      </c>
      <c r="H2">
        <v>7.06</v>
      </c>
      <c r="I2" s="4">
        <v>0.37</v>
      </c>
      <c r="J2">
        <v>9</v>
      </c>
      <c r="K2">
        <v>85</v>
      </c>
      <c r="L2">
        <f>K2-F2+E2</f>
        <v>76.12</v>
      </c>
      <c r="M2">
        <f>SUMIF(A2:A51,"&lt;"&amp;J2+1,D2:D51)</f>
        <v>88.162158341966133</v>
      </c>
      <c r="O2">
        <f>M2/L2</f>
        <v>1.1581996629265126</v>
      </c>
      <c r="R2">
        <f>S2</f>
        <v>7.06</v>
      </c>
      <c r="S2">
        <f>$H$2</f>
        <v>7.06</v>
      </c>
      <c r="T2" s="4">
        <v>0.37</v>
      </c>
      <c r="U2" s="4">
        <v>0.06</v>
      </c>
      <c r="V2">
        <f>SUM($R$2:R2)</f>
        <v>7.06</v>
      </c>
      <c r="W2" s="1">
        <f>X2-Y2</f>
        <v>474.26</v>
      </c>
      <c r="X2" s="10">
        <f>579-579*10%</f>
        <v>521.1</v>
      </c>
      <c r="Y2" s="10">
        <f>57.79-10.95</f>
        <v>46.84</v>
      </c>
      <c r="Z2">
        <f>$W$2/S2</f>
        <v>67.175637393767701</v>
      </c>
      <c r="AA2" s="4">
        <v>0.3</v>
      </c>
      <c r="AB2">
        <f>S2/AA2</f>
        <v>23.533333333333331</v>
      </c>
      <c r="AC2">
        <f>AC3*(1-$U$2)</f>
        <v>222.37291878719995</v>
      </c>
      <c r="AD2" s="4">
        <v>0</v>
      </c>
      <c r="AE2">
        <f>AC2*AD2</f>
        <v>0</v>
      </c>
      <c r="AF2">
        <f>IF(AB2&gt;AE2, 1, 0)</f>
        <v>1</v>
      </c>
    </row>
    <row r="3" spans="1:32" x14ac:dyDescent="0.15">
      <c r="A3" s="1">
        <v>2</v>
      </c>
      <c r="B3">
        <f>B2+B2*C2</f>
        <v>1.08</v>
      </c>
      <c r="C3" s="4">
        <v>0.08</v>
      </c>
      <c r="D3">
        <f>D2+D2*C2</f>
        <v>7.6247999999999996</v>
      </c>
      <c r="Q3">
        <f>$D$2*((1+$C$2)^A2)</f>
        <v>7.6248000000000005</v>
      </c>
      <c r="R3">
        <f>S3/((1+$U$2)^A2)</f>
        <v>9.1247169811320745</v>
      </c>
      <c r="S3">
        <f>S2*(1+T2)</f>
        <v>9.6722000000000001</v>
      </c>
      <c r="T3" s="4">
        <v>0.37</v>
      </c>
      <c r="V3">
        <f>SUM($R$2:R3)</f>
        <v>16.184716981132073</v>
      </c>
      <c r="W3">
        <f>V3/$W$2</f>
        <v>3.4126253492034062E-2</v>
      </c>
      <c r="Z3">
        <f t="shared" ref="Z3:Z13" si="0">$W$2/S3</f>
        <v>49.033311966253798</v>
      </c>
      <c r="AA3" s="4">
        <v>0.3</v>
      </c>
      <c r="AB3">
        <f t="shared" ref="AB3:AB66" si="1">S3/AA3</f>
        <v>32.240666666666669</v>
      </c>
      <c r="AC3">
        <f>AC4*(1-$U$2)</f>
        <v>236.56693487999996</v>
      </c>
      <c r="AD3" s="4">
        <v>0.1</v>
      </c>
      <c r="AE3">
        <f t="shared" ref="AE3:AE66" si="2">AC3*AD3</f>
        <v>23.656693487999998</v>
      </c>
      <c r="AF3">
        <f t="shared" ref="AF3:AF66" si="3">IF(AB3&gt;AE3, 1, 0)</f>
        <v>1</v>
      </c>
    </row>
    <row r="4" spans="1:32" x14ac:dyDescent="0.15">
      <c r="A4" s="1">
        <v>3</v>
      </c>
      <c r="B4">
        <f t="shared" ref="B4:B51" si="4">B3+B3*C3</f>
        <v>1.1664000000000001</v>
      </c>
      <c r="C4" s="4">
        <v>0.08</v>
      </c>
      <c r="D4">
        <f t="shared" ref="D4:D51" si="5">D3+D3*C3</f>
        <v>8.2347839999999994</v>
      </c>
      <c r="Q4">
        <f>$D$2*((1+$C$2)^A3)</f>
        <v>8.2347839999999994</v>
      </c>
      <c r="R4">
        <f t="shared" ref="R4:R67" si="6">S4/((1+$U$2)^A3)</f>
        <v>11.793266286934852</v>
      </c>
      <c r="S4">
        <f t="shared" ref="S4:S67" si="7">S3*(1+T3)</f>
        <v>13.250914000000002</v>
      </c>
      <c r="T4" s="4">
        <v>0.37</v>
      </c>
      <c r="V4">
        <f>SUM($R$2:R4)</f>
        <v>27.977983268066925</v>
      </c>
      <c r="W4">
        <f t="shared" ref="W4:W67" si="8">V4/$W$2</f>
        <v>5.8992922169415353E-2</v>
      </c>
      <c r="Z4">
        <f t="shared" si="0"/>
        <v>35.79073866149912</v>
      </c>
      <c r="AA4" s="4">
        <v>0.3</v>
      </c>
      <c r="AB4">
        <f t="shared" si="1"/>
        <v>44.169713333333341</v>
      </c>
      <c r="AC4">
        <f>AC5*(1-$U$2)</f>
        <v>251.66695199999998</v>
      </c>
      <c r="AD4" s="4">
        <v>0.15</v>
      </c>
      <c r="AE4">
        <f t="shared" si="2"/>
        <v>37.750042799999996</v>
      </c>
      <c r="AF4">
        <f t="shared" si="3"/>
        <v>1</v>
      </c>
    </row>
    <row r="5" spans="1:32" x14ac:dyDescent="0.15">
      <c r="A5" s="1">
        <v>4</v>
      </c>
      <c r="B5">
        <f t="shared" si="4"/>
        <v>1.2597120000000002</v>
      </c>
      <c r="C5" s="4">
        <v>0.08</v>
      </c>
      <c r="D5">
        <f t="shared" si="5"/>
        <v>8.893566719999999</v>
      </c>
      <c r="Q5">
        <f t="shared" ref="Q5:Q51" si="9">$D$2*((1+$C$2)^A4)</f>
        <v>8.8935667200000008</v>
      </c>
      <c r="R5">
        <f t="shared" si="6"/>
        <v>15.242240389717686</v>
      </c>
      <c r="S5">
        <f>S4*(1+T4)</f>
        <v>18.153752180000005</v>
      </c>
      <c r="T5" s="4">
        <v>0.37</v>
      </c>
      <c r="V5">
        <f>SUM($R$2:R5)</f>
        <v>43.220223657784615</v>
      </c>
      <c r="W5">
        <f t="shared" si="8"/>
        <v>9.1131918478860999E-2</v>
      </c>
      <c r="Z5">
        <f t="shared" si="0"/>
        <v>26.12462676021833</v>
      </c>
      <c r="AA5" s="4">
        <v>0.3</v>
      </c>
      <c r="AB5">
        <f t="shared" si="1"/>
        <v>60.512507266666688</v>
      </c>
      <c r="AC5">
        <f>AC6*(1-$U$2)</f>
        <v>267.73079999999999</v>
      </c>
      <c r="AD5" s="4">
        <v>0.15</v>
      </c>
      <c r="AE5">
        <f t="shared" si="2"/>
        <v>40.159619999999997</v>
      </c>
      <c r="AF5">
        <f t="shared" si="3"/>
        <v>1</v>
      </c>
    </row>
    <row r="6" spans="1:32" x14ac:dyDescent="0.15">
      <c r="A6" s="1">
        <v>5</v>
      </c>
      <c r="B6">
        <f t="shared" si="4"/>
        <v>1.3604889600000001</v>
      </c>
      <c r="C6" s="4">
        <v>0.08</v>
      </c>
      <c r="D6">
        <f t="shared" si="5"/>
        <v>9.6050520575999982</v>
      </c>
      <c r="Q6">
        <f t="shared" si="9"/>
        <v>9.6050520576000018</v>
      </c>
      <c r="R6">
        <f t="shared" si="6"/>
        <v>19.699876730106823</v>
      </c>
      <c r="S6">
        <f>S5*(1+T5)</f>
        <v>24.87064048660001</v>
      </c>
      <c r="T6" s="4">
        <v>0.37</v>
      </c>
      <c r="V6">
        <f>SUM($R$2:R6)</f>
        <v>62.920100387891438</v>
      </c>
      <c r="W6" s="8">
        <f t="shared" si="8"/>
        <v>0.13267005521842754</v>
      </c>
      <c r="Z6">
        <f t="shared" si="0"/>
        <v>19.06907062789659</v>
      </c>
      <c r="AA6" s="4">
        <v>0.3</v>
      </c>
      <c r="AB6">
        <f t="shared" si="1"/>
        <v>82.902134955333366</v>
      </c>
      <c r="AC6">
        <f>AC7*(1-$U$2)</f>
        <v>284.82</v>
      </c>
      <c r="AD6" s="4">
        <v>0.2</v>
      </c>
      <c r="AE6">
        <f t="shared" si="2"/>
        <v>56.963999999999999</v>
      </c>
      <c r="AF6">
        <f t="shared" si="3"/>
        <v>1</v>
      </c>
    </row>
    <row r="7" spans="1:32" x14ac:dyDescent="0.15">
      <c r="A7" s="1">
        <v>6</v>
      </c>
      <c r="B7">
        <f t="shared" si="4"/>
        <v>1.4693280768000001</v>
      </c>
      <c r="C7" s="4">
        <v>0.08</v>
      </c>
      <c r="D7">
        <f t="shared" si="5"/>
        <v>10.373456222207999</v>
      </c>
      <c r="Q7">
        <f t="shared" si="9"/>
        <v>10.373456222208002</v>
      </c>
      <c r="R7">
        <f t="shared" si="6"/>
        <v>25.461161434194668</v>
      </c>
      <c r="S7">
        <f t="shared" si="7"/>
        <v>34.072777466642016</v>
      </c>
      <c r="T7" s="4">
        <v>0.37</v>
      </c>
      <c r="V7">
        <f>SUM($R$2:R7)</f>
        <v>88.381261822086103</v>
      </c>
      <c r="W7" s="9">
        <f t="shared" si="8"/>
        <v>0.18635613760824465</v>
      </c>
      <c r="Z7">
        <f t="shared" si="0"/>
        <v>13.919029655398969</v>
      </c>
      <c r="AA7" s="4">
        <v>0.3</v>
      </c>
      <c r="AB7">
        <f t="shared" si="1"/>
        <v>113.57592488880672</v>
      </c>
      <c r="AC7">
        <v>303</v>
      </c>
      <c r="AD7" s="4">
        <v>0.2</v>
      </c>
      <c r="AE7">
        <f t="shared" si="2"/>
        <v>60.6</v>
      </c>
      <c r="AF7">
        <f t="shared" si="3"/>
        <v>1</v>
      </c>
    </row>
    <row r="8" spans="1:32" x14ac:dyDescent="0.15">
      <c r="A8" s="1">
        <v>7</v>
      </c>
      <c r="B8">
        <f t="shared" si="4"/>
        <v>1.5868743229440001</v>
      </c>
      <c r="C8" s="4">
        <v>0.08</v>
      </c>
      <c r="D8">
        <f t="shared" si="5"/>
        <v>11.203332719984639</v>
      </c>
      <c r="Q8">
        <f t="shared" si="9"/>
        <v>11.203332719984644</v>
      </c>
      <c r="R8">
        <f t="shared" si="6"/>
        <v>32.907350155515751</v>
      </c>
      <c r="S8">
        <f>S7*(1+T7)</f>
        <v>46.679705129299563</v>
      </c>
      <c r="T8" s="4">
        <v>0.37</v>
      </c>
      <c r="V8">
        <f>SUM($R$2:R8)</f>
        <v>121.28861197760185</v>
      </c>
      <c r="W8">
        <f t="shared" si="8"/>
        <v>0.25574286673470636</v>
      </c>
      <c r="Z8">
        <f t="shared" si="0"/>
        <v>10.15987566087516</v>
      </c>
      <c r="AA8" s="4">
        <v>0.3</v>
      </c>
      <c r="AB8">
        <f t="shared" si="1"/>
        <v>155.59901709766521</v>
      </c>
      <c r="AC8">
        <f t="shared" ref="AC8:AC67" si="10">AC7*(1+$U$2)</f>
        <v>321.18</v>
      </c>
      <c r="AD8" s="4">
        <v>0.2</v>
      </c>
      <c r="AE8">
        <f t="shared" si="2"/>
        <v>64.236000000000004</v>
      </c>
      <c r="AF8">
        <f t="shared" si="3"/>
        <v>1</v>
      </c>
    </row>
    <row r="9" spans="1:32" x14ac:dyDescent="0.15">
      <c r="A9" s="1">
        <v>8</v>
      </c>
      <c r="B9">
        <f t="shared" si="4"/>
        <v>1.7138242687795202</v>
      </c>
      <c r="C9" s="4">
        <v>0.08</v>
      </c>
      <c r="D9">
        <f t="shared" si="5"/>
        <v>12.09959933758341</v>
      </c>
      <c r="Q9">
        <f t="shared" si="9"/>
        <v>12.099599337583415</v>
      </c>
      <c r="R9">
        <f t="shared" si="6"/>
        <v>42.531197842506202</v>
      </c>
      <c r="S9">
        <f t="shared" si="7"/>
        <v>63.951196027140405</v>
      </c>
      <c r="T9" s="4">
        <v>0.1</v>
      </c>
      <c r="V9">
        <f>SUM($R$2:R9)</f>
        <v>163.81980982010805</v>
      </c>
      <c r="W9" s="8">
        <f t="shared" si="8"/>
        <v>0.34542194117173713</v>
      </c>
      <c r="Z9">
        <f t="shared" si="0"/>
        <v>7.4159676356752984</v>
      </c>
      <c r="AA9" s="4">
        <v>0.3</v>
      </c>
      <c r="AB9">
        <f t="shared" si="1"/>
        <v>213.17065342380135</v>
      </c>
      <c r="AC9">
        <f t="shared" si="10"/>
        <v>340.45080000000002</v>
      </c>
      <c r="AD9" s="4">
        <v>0.2</v>
      </c>
      <c r="AE9">
        <f t="shared" si="2"/>
        <v>68.090160000000012</v>
      </c>
      <c r="AF9" s="1">
        <f t="shared" si="3"/>
        <v>1</v>
      </c>
    </row>
    <row r="10" spans="1:32" x14ac:dyDescent="0.15">
      <c r="A10" s="1">
        <v>9</v>
      </c>
      <c r="B10">
        <f t="shared" si="4"/>
        <v>1.8509302102818819</v>
      </c>
      <c r="C10" s="4">
        <v>0.08</v>
      </c>
      <c r="D10">
        <f t="shared" si="5"/>
        <v>13.067567284590082</v>
      </c>
      <c r="Q10">
        <f t="shared" si="9"/>
        <v>13.067567284590089</v>
      </c>
      <c r="R10">
        <f t="shared" si="6"/>
        <v>44.136148704487567</v>
      </c>
      <c r="S10">
        <f t="shared" si="7"/>
        <v>70.346315629854445</v>
      </c>
      <c r="T10" s="4">
        <v>0.1</v>
      </c>
      <c r="V10">
        <f>SUM($R$2:R10)</f>
        <v>207.95595852459562</v>
      </c>
      <c r="W10">
        <f t="shared" si="8"/>
        <v>0.43848513162525959</v>
      </c>
      <c r="Z10">
        <f t="shared" si="0"/>
        <v>6.7417887597048169</v>
      </c>
      <c r="AA10" s="4">
        <v>0.3</v>
      </c>
      <c r="AB10">
        <f t="shared" si="1"/>
        <v>234.4877187661815</v>
      </c>
      <c r="AC10">
        <f t="shared" si="10"/>
        <v>360.87784800000003</v>
      </c>
      <c r="AD10" s="4">
        <v>0.2</v>
      </c>
      <c r="AE10">
        <f t="shared" si="2"/>
        <v>72.175569600000003</v>
      </c>
      <c r="AF10">
        <f t="shared" si="3"/>
        <v>1</v>
      </c>
    </row>
    <row r="11" spans="1:32" x14ac:dyDescent="0.15">
      <c r="A11" s="1">
        <v>10</v>
      </c>
      <c r="B11">
        <f t="shared" si="4"/>
        <v>1.9990046271044324</v>
      </c>
      <c r="C11" s="4">
        <v>0.08</v>
      </c>
      <c r="D11">
        <f t="shared" si="5"/>
        <v>14.112972667357289</v>
      </c>
      <c r="Q11">
        <f t="shared" si="9"/>
        <v>14.112972667357296</v>
      </c>
      <c r="R11">
        <f t="shared" si="6"/>
        <v>45.801663749939934</v>
      </c>
      <c r="S11">
        <f t="shared" si="7"/>
        <v>77.380947192839898</v>
      </c>
      <c r="T11" s="4">
        <v>0.1</v>
      </c>
      <c r="V11">
        <f>SUM($R$2:R11)</f>
        <v>253.75762227453555</v>
      </c>
      <c r="W11">
        <f t="shared" si="8"/>
        <v>0.53506014058646223</v>
      </c>
      <c r="Z11">
        <f t="shared" si="0"/>
        <v>6.1288988724589242</v>
      </c>
      <c r="AA11" s="4">
        <v>0.3</v>
      </c>
      <c r="AB11">
        <f t="shared" si="1"/>
        <v>257.9364906427997</v>
      </c>
      <c r="AC11">
        <f t="shared" si="10"/>
        <v>382.53051888000005</v>
      </c>
      <c r="AD11" s="4">
        <v>0.2</v>
      </c>
      <c r="AE11">
        <f t="shared" si="2"/>
        <v>76.506103776000018</v>
      </c>
      <c r="AF11">
        <f t="shared" si="3"/>
        <v>1</v>
      </c>
    </row>
    <row r="12" spans="1:32" x14ac:dyDescent="0.15">
      <c r="A12" s="1">
        <v>11</v>
      </c>
      <c r="B12">
        <f t="shared" si="4"/>
        <v>2.1589249972727869</v>
      </c>
      <c r="C12" s="4">
        <v>0.08</v>
      </c>
      <c r="D12">
        <f t="shared" si="5"/>
        <v>15.242010480745872</v>
      </c>
      <c r="Q12">
        <f t="shared" si="9"/>
        <v>15.242010480745881</v>
      </c>
      <c r="R12">
        <f t="shared" si="6"/>
        <v>47.530028419748987</v>
      </c>
      <c r="S12">
        <f t="shared" si="7"/>
        <v>85.11904191212389</v>
      </c>
      <c r="T12" s="4">
        <v>0.08</v>
      </c>
      <c r="V12">
        <f>SUM($R$2:R12)</f>
        <v>301.28765069428454</v>
      </c>
      <c r="W12" s="9">
        <f t="shared" si="8"/>
        <v>0.6352794895084648</v>
      </c>
      <c r="Z12">
        <f t="shared" si="0"/>
        <v>5.5717262476899307</v>
      </c>
      <c r="AA12" s="4">
        <v>0.3</v>
      </c>
      <c r="AB12">
        <f t="shared" si="1"/>
        <v>283.73013970707967</v>
      </c>
      <c r="AC12">
        <f t="shared" si="10"/>
        <v>405.48235001280005</v>
      </c>
      <c r="AD12" s="4">
        <v>0.2</v>
      </c>
      <c r="AE12">
        <f t="shared" si="2"/>
        <v>81.096470002560011</v>
      </c>
      <c r="AF12">
        <f t="shared" si="3"/>
        <v>1</v>
      </c>
    </row>
    <row r="13" spans="1:32" x14ac:dyDescent="0.15">
      <c r="A13" s="1">
        <v>12</v>
      </c>
      <c r="B13">
        <f t="shared" si="4"/>
        <v>2.3316389970546099</v>
      </c>
      <c r="C13" s="4">
        <v>0.08</v>
      </c>
      <c r="D13">
        <f t="shared" si="5"/>
        <v>16.46137131920554</v>
      </c>
      <c r="Q13">
        <f t="shared" si="9"/>
        <v>16.461371319205551</v>
      </c>
      <c r="R13">
        <f t="shared" si="6"/>
        <v>48.426821408800855</v>
      </c>
      <c r="S13">
        <f t="shared" si="7"/>
        <v>91.928565265093809</v>
      </c>
      <c r="T13" s="4">
        <v>0.08</v>
      </c>
      <c r="V13">
        <f>SUM($R$2:R13)</f>
        <v>349.71447210308537</v>
      </c>
      <c r="W13" s="9">
        <f t="shared" si="8"/>
        <v>0.73738976954220337</v>
      </c>
      <c r="Z13">
        <f t="shared" si="0"/>
        <v>5.1590057848980839</v>
      </c>
      <c r="AA13" s="4">
        <v>0.3</v>
      </c>
      <c r="AB13">
        <f t="shared" si="1"/>
        <v>306.42855088364604</v>
      </c>
      <c r="AC13">
        <f t="shared" si="10"/>
        <v>429.81129101356805</v>
      </c>
      <c r="AD13" s="4">
        <v>0.2</v>
      </c>
      <c r="AE13">
        <f t="shared" si="2"/>
        <v>85.962258202713613</v>
      </c>
      <c r="AF13">
        <f t="shared" si="3"/>
        <v>1</v>
      </c>
    </row>
    <row r="14" spans="1:32" x14ac:dyDescent="0.15">
      <c r="A14" s="1">
        <v>13</v>
      </c>
      <c r="B14">
        <f t="shared" si="4"/>
        <v>2.5181701168189785</v>
      </c>
      <c r="C14" s="4">
        <v>0.08</v>
      </c>
      <c r="D14">
        <f t="shared" si="5"/>
        <v>17.778281024741982</v>
      </c>
      <c r="Q14">
        <f t="shared" si="9"/>
        <v>17.778281024741997</v>
      </c>
      <c r="R14">
        <f t="shared" si="6"/>
        <v>49.34053502028766</v>
      </c>
      <c r="S14">
        <f t="shared" si="7"/>
        <v>99.282850486301314</v>
      </c>
      <c r="T14" s="4">
        <v>0.08</v>
      </c>
      <c r="V14">
        <f>SUM($R$2:R14)</f>
        <v>399.055007123373</v>
      </c>
      <c r="W14" s="9">
        <f t="shared" si="8"/>
        <v>0.84142665863318222</v>
      </c>
      <c r="Z14">
        <f>$W$2/S14</f>
        <v>4.7768572082389662</v>
      </c>
      <c r="AA14" s="4">
        <v>0.3</v>
      </c>
      <c r="AB14">
        <f>S14/AA14</f>
        <v>330.94283495433774</v>
      </c>
      <c r="AC14">
        <f t="shared" si="10"/>
        <v>455.59996847438214</v>
      </c>
      <c r="AD14" s="4">
        <v>0.2</v>
      </c>
      <c r="AE14">
        <f t="shared" si="2"/>
        <v>91.119993694876428</v>
      </c>
      <c r="AF14">
        <f t="shared" si="3"/>
        <v>1</v>
      </c>
    </row>
    <row r="15" spans="1:32" x14ac:dyDescent="0.15">
      <c r="A15" s="1">
        <v>14</v>
      </c>
      <c r="B15">
        <f t="shared" si="4"/>
        <v>2.7196237261644969</v>
      </c>
      <c r="C15" s="4">
        <v>0.08</v>
      </c>
      <c r="D15">
        <f t="shared" si="5"/>
        <v>19.200543506721342</v>
      </c>
      <c r="Q15">
        <f t="shared" si="9"/>
        <v>19.200543506721356</v>
      </c>
      <c r="R15">
        <f t="shared" si="6"/>
        <v>50.271488511236484</v>
      </c>
      <c r="S15">
        <f t="shared" si="7"/>
        <v>107.22547852520543</v>
      </c>
      <c r="T15" s="4">
        <v>0.08</v>
      </c>
      <c r="V15">
        <f>SUM($R$2:R15)</f>
        <v>449.3264956346095</v>
      </c>
      <c r="W15" s="9">
        <f t="shared" si="8"/>
        <v>0.94742650789568905</v>
      </c>
      <c r="Z15">
        <f t="shared" ref="Z15:Z78" si="11">$W$2/S15</f>
        <v>4.4230159335545975</v>
      </c>
      <c r="AA15" s="4">
        <v>0.3</v>
      </c>
      <c r="AB15">
        <f t="shared" si="1"/>
        <v>357.41826175068479</v>
      </c>
      <c r="AC15">
        <f t="shared" si="10"/>
        <v>482.93596658284508</v>
      </c>
      <c r="AD15" s="4">
        <v>0.2</v>
      </c>
      <c r="AE15">
        <f t="shared" si="2"/>
        <v>96.587193316569028</v>
      </c>
      <c r="AF15">
        <f t="shared" si="3"/>
        <v>1</v>
      </c>
    </row>
    <row r="16" spans="1:32" x14ac:dyDescent="0.15">
      <c r="A16" s="1">
        <v>15</v>
      </c>
      <c r="B16">
        <f t="shared" si="4"/>
        <v>2.9371936242576568</v>
      </c>
      <c r="C16" s="4">
        <v>0.08</v>
      </c>
      <c r="D16">
        <f t="shared" si="5"/>
        <v>20.736586987259049</v>
      </c>
      <c r="Q16">
        <f t="shared" si="9"/>
        <v>20.73658698725907</v>
      </c>
      <c r="R16">
        <f t="shared" si="6"/>
        <v>51.220007162391894</v>
      </c>
      <c r="S16">
        <f t="shared" si="7"/>
        <v>115.80351680722187</v>
      </c>
      <c r="T16" s="4">
        <v>0.08</v>
      </c>
      <c r="V16">
        <f>SUM($R$2:R16)</f>
        <v>500.54650279700138</v>
      </c>
      <c r="W16">
        <f t="shared" si="8"/>
        <v>1.0554263543140923</v>
      </c>
      <c r="Z16">
        <f t="shared" si="11"/>
        <v>4.0953851236616643</v>
      </c>
      <c r="AA16" s="4">
        <v>0.3</v>
      </c>
      <c r="AB16">
        <f t="shared" si="1"/>
        <v>386.01172269073959</v>
      </c>
      <c r="AC16">
        <f t="shared" si="10"/>
        <v>511.9121245778158</v>
      </c>
      <c r="AD16" s="4">
        <v>0.2</v>
      </c>
      <c r="AE16">
        <f t="shared" si="2"/>
        <v>102.38242491556316</v>
      </c>
      <c r="AF16">
        <f t="shared" si="3"/>
        <v>1</v>
      </c>
    </row>
    <row r="17" spans="1:32" x14ac:dyDescent="0.15">
      <c r="A17" s="1">
        <v>16</v>
      </c>
      <c r="B17">
        <f t="shared" si="4"/>
        <v>3.1721691141982693</v>
      </c>
      <c r="C17" s="4">
        <v>0.08</v>
      </c>
      <c r="D17">
        <f t="shared" si="5"/>
        <v>22.395513946239774</v>
      </c>
      <c r="Q17">
        <f t="shared" si="9"/>
        <v>22.395513946239795</v>
      </c>
      <c r="R17">
        <f t="shared" si="6"/>
        <v>52.18642239187097</v>
      </c>
      <c r="S17">
        <f t="shared" si="7"/>
        <v>125.06779815179962</v>
      </c>
      <c r="T17" s="4">
        <v>0.08</v>
      </c>
      <c r="V17">
        <f>SUM($R$2:R17)</f>
        <v>552.7329251888724</v>
      </c>
      <c r="W17">
        <f t="shared" si="8"/>
        <v>1.1654639336837862</v>
      </c>
      <c r="Z17">
        <f t="shared" si="11"/>
        <v>3.7920232626496895</v>
      </c>
      <c r="AA17" s="4">
        <v>0.3</v>
      </c>
      <c r="AB17">
        <f t="shared" si="1"/>
        <v>416.89266050599878</v>
      </c>
      <c r="AC17">
        <f t="shared" si="10"/>
        <v>542.62685205248476</v>
      </c>
      <c r="AD17" s="4">
        <v>0.2</v>
      </c>
      <c r="AE17">
        <f t="shared" si="2"/>
        <v>108.52537041049696</v>
      </c>
      <c r="AF17">
        <f t="shared" si="3"/>
        <v>1</v>
      </c>
    </row>
    <row r="18" spans="1:32" x14ac:dyDescent="0.15">
      <c r="A18" s="1">
        <v>17</v>
      </c>
      <c r="B18">
        <f t="shared" si="4"/>
        <v>3.4259426433341309</v>
      </c>
      <c r="C18" s="4">
        <v>0.08</v>
      </c>
      <c r="D18">
        <f t="shared" si="5"/>
        <v>24.187155061938956</v>
      </c>
      <c r="Q18">
        <f t="shared" si="9"/>
        <v>24.187155061938977</v>
      </c>
      <c r="R18">
        <f t="shared" si="6"/>
        <v>53.171071870962898</v>
      </c>
      <c r="S18">
        <f t="shared" si="7"/>
        <v>135.07322200394361</v>
      </c>
      <c r="T18" s="4">
        <v>0.08</v>
      </c>
      <c r="V18">
        <f>SUM($R$2:R18)</f>
        <v>605.90399705983532</v>
      </c>
      <c r="W18" s="9">
        <f t="shared" si="8"/>
        <v>1.2775776937963044</v>
      </c>
      <c r="Z18">
        <f t="shared" si="11"/>
        <v>3.5111326506015637</v>
      </c>
      <c r="AA18" s="4">
        <v>0.3</v>
      </c>
      <c r="AB18">
        <f t="shared" si="1"/>
        <v>450.24407334647873</v>
      </c>
      <c r="AC18">
        <f t="shared" si="10"/>
        <v>575.18446317563382</v>
      </c>
      <c r="AD18" s="4">
        <v>0.2</v>
      </c>
      <c r="AE18">
        <f t="shared" si="2"/>
        <v>115.03689263512678</v>
      </c>
      <c r="AF18">
        <f t="shared" si="3"/>
        <v>1</v>
      </c>
    </row>
    <row r="19" spans="1:32" x14ac:dyDescent="0.15">
      <c r="A19" s="1">
        <v>18</v>
      </c>
      <c r="B19">
        <f t="shared" si="4"/>
        <v>3.7000180548008612</v>
      </c>
      <c r="C19" s="4">
        <v>0.08</v>
      </c>
      <c r="D19">
        <f t="shared" si="5"/>
        <v>26.122127466894071</v>
      </c>
      <c r="Q19">
        <f t="shared" si="9"/>
        <v>26.122127466894099</v>
      </c>
      <c r="R19">
        <f t="shared" si="6"/>
        <v>54.174299642113134</v>
      </c>
      <c r="S19">
        <f t="shared" si="7"/>
        <v>145.8790797642591</v>
      </c>
      <c r="T19" s="4">
        <v>0.08</v>
      </c>
      <c r="V19">
        <f>SUM($R$2:R19)</f>
        <v>660.07829670194849</v>
      </c>
      <c r="W19">
        <f t="shared" si="8"/>
        <v>1.3918068078732098</v>
      </c>
      <c r="Z19">
        <f t="shared" si="11"/>
        <v>3.2510487505570032</v>
      </c>
      <c r="AA19" s="4">
        <v>0.3</v>
      </c>
      <c r="AB19">
        <f t="shared" si="1"/>
        <v>486.26359921419703</v>
      </c>
      <c r="AC19">
        <f t="shared" si="10"/>
        <v>609.69553096617187</v>
      </c>
      <c r="AD19" s="4">
        <v>0.2</v>
      </c>
      <c r="AE19">
        <f t="shared" si="2"/>
        <v>121.93910619323438</v>
      </c>
      <c r="AF19">
        <f t="shared" si="3"/>
        <v>1</v>
      </c>
    </row>
    <row r="20" spans="1:32" x14ac:dyDescent="0.15">
      <c r="A20" s="1">
        <v>19</v>
      </c>
      <c r="B20">
        <f t="shared" si="4"/>
        <v>3.9960194991849303</v>
      </c>
      <c r="C20" s="4">
        <v>0.08</v>
      </c>
      <c r="D20">
        <f t="shared" si="5"/>
        <v>28.211897664245598</v>
      </c>
      <c r="Q20">
        <f t="shared" si="9"/>
        <v>28.21189766424563</v>
      </c>
      <c r="R20">
        <f t="shared" si="6"/>
        <v>55.196456239134143</v>
      </c>
      <c r="S20">
        <f t="shared" si="7"/>
        <v>157.54940614539984</v>
      </c>
      <c r="T20" s="4">
        <v>0.08</v>
      </c>
      <c r="V20">
        <f>SUM($R$2:R20)</f>
        <v>715.27475294108262</v>
      </c>
      <c r="W20">
        <f t="shared" si="8"/>
        <v>1.5081911882534531</v>
      </c>
      <c r="Z20">
        <f t="shared" si="11"/>
        <v>3.0102303245898177</v>
      </c>
      <c r="AA20" s="4">
        <v>0.3</v>
      </c>
      <c r="AB20">
        <f t="shared" si="1"/>
        <v>525.16468715133283</v>
      </c>
      <c r="AC20">
        <f t="shared" si="10"/>
        <v>646.27726282414221</v>
      </c>
      <c r="AD20" s="4">
        <v>0.2</v>
      </c>
      <c r="AE20">
        <f t="shared" si="2"/>
        <v>129.25545256482846</v>
      </c>
      <c r="AF20">
        <f t="shared" si="3"/>
        <v>1</v>
      </c>
    </row>
    <row r="21" spans="1:32" x14ac:dyDescent="0.15">
      <c r="A21" s="1">
        <v>20</v>
      </c>
      <c r="B21">
        <f t="shared" si="4"/>
        <v>4.3157010591197249</v>
      </c>
      <c r="C21" s="4">
        <v>0.08</v>
      </c>
      <c r="D21">
        <f t="shared" si="5"/>
        <v>30.468849477385245</v>
      </c>
      <c r="Q21">
        <f t="shared" si="9"/>
        <v>30.46884947738528</v>
      </c>
      <c r="R21">
        <f t="shared" si="6"/>
        <v>56.237898809683834</v>
      </c>
      <c r="S21">
        <f t="shared" si="7"/>
        <v>170.15335863703183</v>
      </c>
      <c r="T21" s="4">
        <v>0.08</v>
      </c>
      <c r="V21">
        <f>SUM($R$2:R21)</f>
        <v>771.51265175076651</v>
      </c>
      <c r="W21" s="8">
        <f t="shared" si="8"/>
        <v>1.626771500338984</v>
      </c>
      <c r="Z21">
        <f t="shared" si="11"/>
        <v>2.7872503005461273</v>
      </c>
      <c r="AA21" s="4">
        <v>0.3</v>
      </c>
      <c r="AB21">
        <f t="shared" si="1"/>
        <v>567.17786212343947</v>
      </c>
      <c r="AC21">
        <f t="shared" si="10"/>
        <v>685.05389859359082</v>
      </c>
      <c r="AD21" s="4">
        <v>0.2</v>
      </c>
      <c r="AE21">
        <f t="shared" si="2"/>
        <v>137.01077971871817</v>
      </c>
      <c r="AF21">
        <f t="shared" si="3"/>
        <v>1</v>
      </c>
    </row>
    <row r="22" spans="1:32" x14ac:dyDescent="0.15">
      <c r="A22" s="1">
        <v>21</v>
      </c>
      <c r="B22">
        <f t="shared" si="4"/>
        <v>4.6609571438493029</v>
      </c>
      <c r="C22" s="4">
        <v>0.08</v>
      </c>
      <c r="D22">
        <f t="shared" si="5"/>
        <v>32.906357435576062</v>
      </c>
      <c r="Q22">
        <f t="shared" si="9"/>
        <v>32.906357435576105</v>
      </c>
      <c r="R22">
        <f t="shared" si="6"/>
        <v>57.298991240055237</v>
      </c>
      <c r="S22">
        <f t="shared" si="7"/>
        <v>183.76562732799439</v>
      </c>
      <c r="T22" s="4">
        <v>0.08</v>
      </c>
      <c r="V22">
        <f>SUM($R$2:R22)</f>
        <v>828.81164299082172</v>
      </c>
      <c r="W22">
        <f t="shared" si="8"/>
        <v>1.747589176803487</v>
      </c>
      <c r="Z22">
        <f t="shared" si="11"/>
        <v>2.5807873153204883</v>
      </c>
      <c r="AA22" s="4">
        <v>0.3</v>
      </c>
      <c r="AB22">
        <f t="shared" si="1"/>
        <v>612.55209109331463</v>
      </c>
      <c r="AC22">
        <f t="shared" si="10"/>
        <v>726.15713250920635</v>
      </c>
      <c r="AD22" s="4">
        <v>0.2</v>
      </c>
      <c r="AE22">
        <f t="shared" si="2"/>
        <v>145.23142650184127</v>
      </c>
      <c r="AF22">
        <f t="shared" si="3"/>
        <v>1</v>
      </c>
    </row>
    <row r="23" spans="1:32" x14ac:dyDescent="0.15">
      <c r="A23" s="1">
        <v>22</v>
      </c>
      <c r="B23">
        <f t="shared" si="4"/>
        <v>5.0338337153572468</v>
      </c>
      <c r="C23" s="4">
        <v>0.08</v>
      </c>
      <c r="D23">
        <f t="shared" si="5"/>
        <v>35.538866030422149</v>
      </c>
      <c r="Q23">
        <f t="shared" si="9"/>
        <v>35.538866030422191</v>
      </c>
      <c r="R23">
        <f t="shared" si="6"/>
        <v>58.380104282320424</v>
      </c>
      <c r="S23">
        <f t="shared" si="7"/>
        <v>198.46687751423397</v>
      </c>
      <c r="T23" s="4">
        <v>0.08</v>
      </c>
      <c r="V23">
        <f>SUM($R$2:R23)</f>
        <v>887.19174727314214</v>
      </c>
      <c r="W23">
        <f t="shared" si="8"/>
        <v>1.8706864320692072</v>
      </c>
      <c r="Z23">
        <f t="shared" si="11"/>
        <v>2.3896178845560074</v>
      </c>
      <c r="AA23" s="4">
        <v>0.3</v>
      </c>
      <c r="AB23">
        <f t="shared" si="1"/>
        <v>661.55625838077992</v>
      </c>
      <c r="AC23">
        <f t="shared" si="10"/>
        <v>769.72656045975873</v>
      </c>
      <c r="AD23" s="4">
        <v>0.2</v>
      </c>
      <c r="AE23">
        <f t="shared" si="2"/>
        <v>153.94531209195176</v>
      </c>
      <c r="AF23">
        <f t="shared" si="3"/>
        <v>1</v>
      </c>
    </row>
    <row r="24" spans="1:32" x14ac:dyDescent="0.15">
      <c r="A24" s="1">
        <v>23</v>
      </c>
      <c r="B24">
        <f t="shared" si="4"/>
        <v>5.4365404125858268</v>
      </c>
      <c r="C24" s="4">
        <v>0.08</v>
      </c>
      <c r="D24">
        <f t="shared" si="5"/>
        <v>38.381975312855921</v>
      </c>
      <c r="Q24">
        <f t="shared" si="9"/>
        <v>38.381975312855971</v>
      </c>
      <c r="R24">
        <f t="shared" si="6"/>
        <v>59.481615683873642</v>
      </c>
      <c r="S24">
        <f t="shared" si="7"/>
        <v>214.34422771537271</v>
      </c>
      <c r="T24" s="4">
        <v>0.08</v>
      </c>
      <c r="V24">
        <f>SUM($R$2:R24)</f>
        <v>946.6733629570158</v>
      </c>
      <c r="W24">
        <f t="shared" si="8"/>
        <v>1.996106277056922</v>
      </c>
      <c r="Z24">
        <f t="shared" si="11"/>
        <v>2.2126091523666731</v>
      </c>
      <c r="AA24" s="4">
        <v>0.3</v>
      </c>
      <c r="AB24">
        <f t="shared" si="1"/>
        <v>714.48075905124244</v>
      </c>
      <c r="AC24">
        <f t="shared" si="10"/>
        <v>815.91015408734427</v>
      </c>
      <c r="AD24" s="4">
        <v>0.2</v>
      </c>
      <c r="AE24">
        <f t="shared" si="2"/>
        <v>163.18203081746887</v>
      </c>
      <c r="AF24">
        <f t="shared" si="3"/>
        <v>1</v>
      </c>
    </row>
    <row r="25" spans="1:32" x14ac:dyDescent="0.15">
      <c r="A25" s="1">
        <v>24</v>
      </c>
      <c r="B25">
        <f t="shared" si="4"/>
        <v>5.8714636455926925</v>
      </c>
      <c r="C25" s="4">
        <v>0.08</v>
      </c>
      <c r="D25">
        <f t="shared" si="5"/>
        <v>41.452533337884397</v>
      </c>
      <c r="Q25">
        <f t="shared" si="9"/>
        <v>41.452533337884454</v>
      </c>
      <c r="R25">
        <f t="shared" si="6"/>
        <v>60.603910319418425</v>
      </c>
      <c r="S25">
        <f t="shared" si="7"/>
        <v>231.49176593260253</v>
      </c>
      <c r="T25" s="4">
        <v>0.08</v>
      </c>
      <c r="V25">
        <f>SUM($R$2:R25)</f>
        <v>1007.2772732764342</v>
      </c>
      <c r="W25">
        <f t="shared" si="8"/>
        <v>2.1238925342142165</v>
      </c>
      <c r="Z25">
        <f t="shared" si="11"/>
        <v>2.0487121781172899</v>
      </c>
      <c r="AA25" s="4">
        <v>0.3</v>
      </c>
      <c r="AB25">
        <f t="shared" si="1"/>
        <v>771.63921977534176</v>
      </c>
      <c r="AC25">
        <f t="shared" si="10"/>
        <v>864.86476333258497</v>
      </c>
      <c r="AD25" s="4">
        <v>0.2</v>
      </c>
      <c r="AE25">
        <f t="shared" si="2"/>
        <v>172.97295266651702</v>
      </c>
      <c r="AF25">
        <f t="shared" si="3"/>
        <v>1</v>
      </c>
    </row>
    <row r="26" spans="1:32" x14ac:dyDescent="0.15">
      <c r="A26" s="1">
        <v>25</v>
      </c>
      <c r="B26">
        <f t="shared" si="4"/>
        <v>6.3411807372401077</v>
      </c>
      <c r="C26" s="4">
        <v>0.08</v>
      </c>
      <c r="D26">
        <f t="shared" si="5"/>
        <v>44.768736004915148</v>
      </c>
      <c r="Q26">
        <f t="shared" si="9"/>
        <v>44.768736004915205</v>
      </c>
      <c r="R26">
        <f t="shared" si="6"/>
        <v>61.747380325445199</v>
      </c>
      <c r="S26">
        <f t="shared" si="7"/>
        <v>250.01110720721076</v>
      </c>
      <c r="T26" s="4">
        <v>0.08</v>
      </c>
      <c r="V26">
        <f>SUM($R$2:R26)</f>
        <v>1069.0246536018794</v>
      </c>
      <c r="W26">
        <f t="shared" si="8"/>
        <v>2.2540898528273088</v>
      </c>
      <c r="Z26">
        <f t="shared" si="11"/>
        <v>1.896955720478972</v>
      </c>
      <c r="AA26" s="4">
        <v>0.3</v>
      </c>
      <c r="AB26">
        <f t="shared" si="1"/>
        <v>833.37035735736924</v>
      </c>
      <c r="AC26">
        <f t="shared" si="10"/>
        <v>916.75664913254013</v>
      </c>
      <c r="AD26" s="4">
        <v>0.2</v>
      </c>
      <c r="AE26">
        <f t="shared" si="2"/>
        <v>183.35132982650805</v>
      </c>
      <c r="AF26">
        <f t="shared" si="3"/>
        <v>1</v>
      </c>
    </row>
    <row r="27" spans="1:32" x14ac:dyDescent="0.15">
      <c r="A27" s="1">
        <v>26</v>
      </c>
      <c r="B27">
        <f t="shared" si="4"/>
        <v>6.848475196219316</v>
      </c>
      <c r="C27" s="4">
        <v>0.08</v>
      </c>
      <c r="D27">
        <f t="shared" si="5"/>
        <v>48.35023488530836</v>
      </c>
      <c r="Q27">
        <f t="shared" si="9"/>
        <v>48.350234885308431</v>
      </c>
      <c r="R27">
        <f t="shared" si="6"/>
        <v>62.912425237246062</v>
      </c>
      <c r="S27">
        <f t="shared" si="7"/>
        <v>270.01199578378765</v>
      </c>
      <c r="T27" s="4">
        <v>0.08</v>
      </c>
      <c r="V27">
        <f>SUM($R$2:R27)</f>
        <v>1131.9370788391254</v>
      </c>
      <c r="W27">
        <f t="shared" si="8"/>
        <v>2.38674372462178</v>
      </c>
      <c r="Z27">
        <f t="shared" si="11"/>
        <v>1.7564404819249739</v>
      </c>
      <c r="AA27" s="4">
        <v>0.3</v>
      </c>
      <c r="AB27">
        <f t="shared" si="1"/>
        <v>900.03998594595885</v>
      </c>
      <c r="AC27">
        <f t="shared" si="10"/>
        <v>971.7620480804926</v>
      </c>
      <c r="AD27" s="4">
        <v>0.2</v>
      </c>
      <c r="AE27">
        <f t="shared" si="2"/>
        <v>194.35240961609853</v>
      </c>
      <c r="AF27">
        <f t="shared" si="3"/>
        <v>1</v>
      </c>
    </row>
    <row r="28" spans="1:32" x14ac:dyDescent="0.15">
      <c r="A28" s="1">
        <v>27</v>
      </c>
      <c r="B28">
        <f t="shared" si="4"/>
        <v>7.3963532119168613</v>
      </c>
      <c r="C28" s="4">
        <v>0.08</v>
      </c>
      <c r="D28">
        <f t="shared" si="5"/>
        <v>52.218253676133031</v>
      </c>
      <c r="Q28">
        <f t="shared" si="9"/>
        <v>52.218253676133102</v>
      </c>
      <c r="R28">
        <f t="shared" si="6"/>
        <v>64.099452128514855</v>
      </c>
      <c r="S28">
        <f t="shared" si="7"/>
        <v>291.61295544649067</v>
      </c>
      <c r="T28" s="4">
        <v>0.08</v>
      </c>
      <c r="V28">
        <f>SUM($R$2:R28)</f>
        <v>1196.0365309676404</v>
      </c>
      <c r="W28">
        <f t="shared" si="8"/>
        <v>2.5219004996576571</v>
      </c>
      <c r="Z28">
        <f t="shared" si="11"/>
        <v>1.6263337795601609</v>
      </c>
      <c r="AA28" s="4">
        <v>0.3</v>
      </c>
      <c r="AB28">
        <f t="shared" si="1"/>
        <v>972.04318482163558</v>
      </c>
      <c r="AC28">
        <f t="shared" si="10"/>
        <v>1030.0677709653223</v>
      </c>
      <c r="AD28" s="4">
        <v>0.2</v>
      </c>
      <c r="AE28">
        <f t="shared" si="2"/>
        <v>206.01355419306446</v>
      </c>
      <c r="AF28">
        <f t="shared" si="3"/>
        <v>1</v>
      </c>
    </row>
    <row r="29" spans="1:32" x14ac:dyDescent="0.15">
      <c r="A29" s="1">
        <v>28</v>
      </c>
      <c r="B29">
        <f t="shared" si="4"/>
        <v>7.9880614688702103</v>
      </c>
      <c r="C29" s="4">
        <v>0.08</v>
      </c>
      <c r="D29">
        <f t="shared" si="5"/>
        <v>56.395713970223674</v>
      </c>
      <c r="Q29">
        <f t="shared" si="9"/>
        <v>56.395713970223753</v>
      </c>
      <c r="R29">
        <f t="shared" si="6"/>
        <v>65.308875753581162</v>
      </c>
      <c r="S29">
        <f t="shared" si="7"/>
        <v>314.94199188220995</v>
      </c>
      <c r="T29" s="4">
        <v>0.08</v>
      </c>
      <c r="V29">
        <f>SUM($R$2:R29)</f>
        <v>1261.3454067212215</v>
      </c>
      <c r="W29">
        <f t="shared" si="8"/>
        <v>2.659607402524399</v>
      </c>
      <c r="Z29">
        <f t="shared" si="11"/>
        <v>1.5058646107038527</v>
      </c>
      <c r="AA29" s="4">
        <v>0.3</v>
      </c>
      <c r="AB29">
        <f t="shared" si="1"/>
        <v>1049.8066396073666</v>
      </c>
      <c r="AC29">
        <f t="shared" si="10"/>
        <v>1091.8718372232418</v>
      </c>
      <c r="AD29" s="4">
        <v>0.2</v>
      </c>
      <c r="AE29">
        <f t="shared" si="2"/>
        <v>218.37436744464836</v>
      </c>
      <c r="AF29">
        <f t="shared" si="3"/>
        <v>1</v>
      </c>
    </row>
    <row r="30" spans="1:32" x14ac:dyDescent="0.15">
      <c r="A30" s="1">
        <v>29</v>
      </c>
      <c r="B30">
        <f t="shared" si="4"/>
        <v>8.6271063863798272</v>
      </c>
      <c r="C30" s="4">
        <v>0.08</v>
      </c>
      <c r="D30">
        <f t="shared" si="5"/>
        <v>60.907371087841568</v>
      </c>
      <c r="Q30">
        <f t="shared" si="9"/>
        <v>60.907371087841653</v>
      </c>
      <c r="R30">
        <f t="shared" si="6"/>
        <v>66.541118692327984</v>
      </c>
      <c r="S30">
        <f t="shared" si="7"/>
        <v>340.13735123278678</v>
      </c>
      <c r="T30" s="4">
        <v>0.08</v>
      </c>
      <c r="V30">
        <f>SUM($R$2:R30)</f>
        <v>1327.8865254135494</v>
      </c>
      <c r="W30">
        <f t="shared" si="8"/>
        <v>2.7999125488414571</v>
      </c>
      <c r="Z30">
        <f t="shared" si="11"/>
        <v>1.3943190839850486</v>
      </c>
      <c r="AA30" s="4">
        <v>0.3</v>
      </c>
      <c r="AB30">
        <f t="shared" si="1"/>
        <v>1133.7911707759561</v>
      </c>
      <c r="AC30">
        <f t="shared" si="10"/>
        <v>1157.3841474566364</v>
      </c>
      <c r="AD30" s="4">
        <v>0.2</v>
      </c>
      <c r="AE30">
        <f t="shared" si="2"/>
        <v>231.47682949132729</v>
      </c>
      <c r="AF30">
        <f t="shared" si="3"/>
        <v>1</v>
      </c>
    </row>
    <row r="31" spans="1:32" x14ac:dyDescent="0.15">
      <c r="A31" s="1">
        <v>30</v>
      </c>
      <c r="B31">
        <f t="shared" si="4"/>
        <v>9.3172748972902131</v>
      </c>
      <c r="C31" s="4">
        <v>0.08</v>
      </c>
      <c r="D31">
        <f t="shared" si="5"/>
        <v>65.779960774868897</v>
      </c>
      <c r="Q31">
        <f t="shared" si="9"/>
        <v>65.779960774868982</v>
      </c>
      <c r="R31">
        <f t="shared" si="6"/>
        <v>67.796611497843614</v>
      </c>
      <c r="S31">
        <f t="shared" si="7"/>
        <v>367.34833933140976</v>
      </c>
      <c r="T31" s="4">
        <v>0.08</v>
      </c>
      <c r="V31">
        <f>SUM($R$2:R31)</f>
        <v>1395.6831369113929</v>
      </c>
      <c r="W31">
        <f t="shared" si="8"/>
        <v>2.9428649620701575</v>
      </c>
      <c r="Z31">
        <f t="shared" si="11"/>
        <v>1.2910361888750448</v>
      </c>
      <c r="AA31" s="4">
        <v>0.3</v>
      </c>
      <c r="AB31">
        <f t="shared" si="1"/>
        <v>1224.4944644380325</v>
      </c>
      <c r="AC31">
        <f t="shared" si="10"/>
        <v>1226.8271963040345</v>
      </c>
      <c r="AD31" s="4">
        <v>0.2</v>
      </c>
      <c r="AE31">
        <f t="shared" si="2"/>
        <v>245.36543926080691</v>
      </c>
      <c r="AF31">
        <f t="shared" si="3"/>
        <v>1</v>
      </c>
    </row>
    <row r="32" spans="1:32" x14ac:dyDescent="0.15">
      <c r="A32" s="1">
        <v>31</v>
      </c>
      <c r="B32">
        <f t="shared" si="4"/>
        <v>10.06265688907343</v>
      </c>
      <c r="C32" s="4">
        <v>0.08</v>
      </c>
      <c r="D32">
        <f t="shared" si="5"/>
        <v>71.042357636858412</v>
      </c>
      <c r="Q32">
        <f t="shared" si="9"/>
        <v>71.042357636858512</v>
      </c>
      <c r="R32">
        <f t="shared" si="6"/>
        <v>69.075792846859528</v>
      </c>
      <c r="S32">
        <f t="shared" si="7"/>
        <v>396.73620647792256</v>
      </c>
      <c r="T32" s="4">
        <v>0.08</v>
      </c>
      <c r="V32">
        <f>SUM($R$2:R32)</f>
        <v>1464.7589297582524</v>
      </c>
      <c r="W32">
        <f t="shared" si="8"/>
        <v>3.088514590642796</v>
      </c>
      <c r="Z32">
        <f t="shared" si="11"/>
        <v>1.1954038785880043</v>
      </c>
      <c r="AA32" s="4">
        <v>0.3</v>
      </c>
      <c r="AB32">
        <f t="shared" si="1"/>
        <v>1322.4540215930754</v>
      </c>
      <c r="AC32">
        <f t="shared" si="10"/>
        <v>1300.4368280822766</v>
      </c>
      <c r="AD32" s="4">
        <v>0.2</v>
      </c>
      <c r="AE32">
        <f t="shared" si="2"/>
        <v>260.08736561645532</v>
      </c>
      <c r="AF32">
        <f t="shared" si="3"/>
        <v>1</v>
      </c>
    </row>
    <row r="33" spans="1:32" x14ac:dyDescent="0.15">
      <c r="A33" s="1">
        <v>32</v>
      </c>
      <c r="B33">
        <f t="shared" si="4"/>
        <v>10.867669440199306</v>
      </c>
      <c r="C33" s="4">
        <v>0.08</v>
      </c>
      <c r="D33">
        <f t="shared" si="5"/>
        <v>76.725746247807081</v>
      </c>
      <c r="Q33">
        <f t="shared" si="9"/>
        <v>76.725746247807209</v>
      </c>
      <c r="R33">
        <f t="shared" si="6"/>
        <v>70.379109693026678</v>
      </c>
      <c r="S33">
        <f t="shared" si="7"/>
        <v>428.47510299615641</v>
      </c>
      <c r="T33" s="4">
        <v>0.08</v>
      </c>
      <c r="V33">
        <f>SUM($R$2:R33)</f>
        <v>1535.1380394512792</v>
      </c>
      <c r="W33">
        <f t="shared" si="8"/>
        <v>3.2369123254149184</v>
      </c>
      <c r="Z33">
        <f t="shared" si="11"/>
        <v>1.106855443137041</v>
      </c>
      <c r="AA33" s="4">
        <v>0.3</v>
      </c>
      <c r="AB33">
        <f t="shared" si="1"/>
        <v>1428.2503433205213</v>
      </c>
      <c r="AC33">
        <f t="shared" si="10"/>
        <v>1378.4630377672133</v>
      </c>
      <c r="AD33" s="4">
        <v>0.2</v>
      </c>
      <c r="AE33">
        <f t="shared" si="2"/>
        <v>275.69260755344266</v>
      </c>
      <c r="AF33">
        <f t="shared" si="3"/>
        <v>1</v>
      </c>
    </row>
    <row r="34" spans="1:32" x14ac:dyDescent="0.15">
      <c r="A34" s="1">
        <v>33</v>
      </c>
      <c r="B34">
        <f t="shared" si="4"/>
        <v>11.73708299541525</v>
      </c>
      <c r="C34" s="4">
        <v>0.08</v>
      </c>
      <c r="D34">
        <f t="shared" si="5"/>
        <v>82.863805947631647</v>
      </c>
      <c r="Q34">
        <f t="shared" si="9"/>
        <v>82.863805947631789</v>
      </c>
      <c r="R34">
        <f t="shared" si="6"/>
        <v>71.707017423083812</v>
      </c>
      <c r="S34">
        <f t="shared" si="7"/>
        <v>462.75311123584896</v>
      </c>
      <c r="T34" s="4">
        <v>0.08</v>
      </c>
      <c r="V34">
        <f>SUM($R$2:R34)</f>
        <v>1606.8450568743629</v>
      </c>
      <c r="W34">
        <f t="shared" si="8"/>
        <v>3.3881100174468917</v>
      </c>
      <c r="Z34">
        <f t="shared" si="11"/>
        <v>1.0248661510528156</v>
      </c>
      <c r="AA34" s="4">
        <v>0.3</v>
      </c>
      <c r="AB34">
        <f t="shared" si="1"/>
        <v>1542.5103707861633</v>
      </c>
      <c r="AC34">
        <f t="shared" si="10"/>
        <v>1461.1708200332462</v>
      </c>
      <c r="AD34" s="4">
        <v>0.2</v>
      </c>
      <c r="AE34">
        <f t="shared" si="2"/>
        <v>292.23416400664922</v>
      </c>
      <c r="AF34">
        <f t="shared" si="3"/>
        <v>1</v>
      </c>
    </row>
    <row r="35" spans="1:32" x14ac:dyDescent="0.15">
      <c r="A35" s="1">
        <v>34</v>
      </c>
      <c r="B35">
        <f t="shared" si="4"/>
        <v>12.67604963504847</v>
      </c>
      <c r="C35" s="4">
        <v>0.08</v>
      </c>
      <c r="D35">
        <f t="shared" si="5"/>
        <v>89.492910423442183</v>
      </c>
      <c r="Q35">
        <f t="shared" si="9"/>
        <v>89.492910423442325</v>
      </c>
      <c r="R35">
        <f t="shared" si="6"/>
        <v>73.059980015972187</v>
      </c>
      <c r="S35">
        <f t="shared" si="7"/>
        <v>499.77336013471694</v>
      </c>
      <c r="T35" s="4">
        <v>0.08</v>
      </c>
      <c r="V35">
        <f>SUM($R$2:R35)</f>
        <v>1679.9050368903349</v>
      </c>
      <c r="W35">
        <f t="shared" si="8"/>
        <v>3.5421604961209781</v>
      </c>
      <c r="Z35">
        <f t="shared" si="11"/>
        <v>0.94895013986371812</v>
      </c>
      <c r="AA35" s="4">
        <v>0.3</v>
      </c>
      <c r="AB35">
        <f t="shared" si="1"/>
        <v>1665.9112004490564</v>
      </c>
      <c r="AC35">
        <f t="shared" si="10"/>
        <v>1548.8410692352411</v>
      </c>
      <c r="AD35" s="4">
        <v>0.2</v>
      </c>
      <c r="AE35">
        <f t="shared" si="2"/>
        <v>309.76821384704823</v>
      </c>
      <c r="AF35">
        <f t="shared" si="3"/>
        <v>1</v>
      </c>
    </row>
    <row r="36" spans="1:32" x14ac:dyDescent="0.15">
      <c r="A36" s="1">
        <v>35</v>
      </c>
      <c r="B36">
        <f t="shared" si="4"/>
        <v>13.690133605852347</v>
      </c>
      <c r="C36" s="4">
        <v>0.08</v>
      </c>
      <c r="D36">
        <f t="shared" si="5"/>
        <v>96.652343257317554</v>
      </c>
      <c r="Q36">
        <f t="shared" si="9"/>
        <v>96.65234325731771</v>
      </c>
      <c r="R36">
        <f t="shared" si="6"/>
        <v>74.438470204952793</v>
      </c>
      <c r="S36">
        <f t="shared" si="7"/>
        <v>539.75522894549431</v>
      </c>
      <c r="T36" s="4">
        <v>0.08</v>
      </c>
      <c r="V36">
        <f>SUM($R$2:R36)</f>
        <v>1754.3435070952878</v>
      </c>
      <c r="W36">
        <f t="shared" si="8"/>
        <v>3.6991175876002358</v>
      </c>
      <c r="Z36">
        <f t="shared" si="11"/>
        <v>0.87865753691085002</v>
      </c>
      <c r="AA36" s="4">
        <v>0.3</v>
      </c>
      <c r="AB36">
        <f t="shared" si="1"/>
        <v>1799.1840964849812</v>
      </c>
      <c r="AC36">
        <f t="shared" si="10"/>
        <v>1641.7715333893557</v>
      </c>
      <c r="AD36" s="4">
        <v>0.2</v>
      </c>
      <c r="AE36">
        <f t="shared" si="2"/>
        <v>328.35430667787114</v>
      </c>
      <c r="AF36">
        <f t="shared" si="3"/>
        <v>1</v>
      </c>
    </row>
    <row r="37" spans="1:32" x14ac:dyDescent="0.15">
      <c r="A37" s="1">
        <v>36</v>
      </c>
      <c r="B37">
        <f t="shared" si="4"/>
        <v>14.785344294320534</v>
      </c>
      <c r="C37" s="4">
        <v>0.08</v>
      </c>
      <c r="D37">
        <f t="shared" si="5"/>
        <v>104.38453071790296</v>
      </c>
      <c r="Q37">
        <f t="shared" si="9"/>
        <v>104.38453071790315</v>
      </c>
      <c r="R37">
        <f t="shared" si="6"/>
        <v>75.84296964278208</v>
      </c>
      <c r="S37">
        <f t="shared" si="7"/>
        <v>582.93564726113391</v>
      </c>
      <c r="T37" s="4">
        <v>0.08</v>
      </c>
      <c r="V37">
        <f>SUM($R$2:R37)</f>
        <v>1830.1864767380698</v>
      </c>
      <c r="W37">
        <f t="shared" si="8"/>
        <v>3.8590361336357057</v>
      </c>
      <c r="Z37">
        <f t="shared" si="11"/>
        <v>0.81357179343597219</v>
      </c>
      <c r="AA37" s="4">
        <v>0.3</v>
      </c>
      <c r="AB37">
        <f t="shared" si="1"/>
        <v>1943.1188242037797</v>
      </c>
      <c r="AC37">
        <f t="shared" si="10"/>
        <v>1740.2778253927172</v>
      </c>
      <c r="AD37" s="4">
        <v>0.2</v>
      </c>
      <c r="AE37">
        <f t="shared" si="2"/>
        <v>348.05556507854345</v>
      </c>
      <c r="AF37">
        <f t="shared" si="3"/>
        <v>1</v>
      </c>
    </row>
    <row r="38" spans="1:32" x14ac:dyDescent="0.15">
      <c r="A38" s="1">
        <v>37</v>
      </c>
      <c r="B38">
        <f t="shared" si="4"/>
        <v>15.968171837866176</v>
      </c>
      <c r="C38" s="4">
        <v>0.08</v>
      </c>
      <c r="D38">
        <f t="shared" si="5"/>
        <v>112.7352931753352</v>
      </c>
      <c r="Q38">
        <f t="shared" si="9"/>
        <v>112.73529317533541</v>
      </c>
      <c r="R38">
        <f t="shared" si="6"/>
        <v>77.273969070004384</v>
      </c>
      <c r="S38">
        <f t="shared" si="7"/>
        <v>629.57049904202461</v>
      </c>
      <c r="T38" s="4">
        <v>0.08</v>
      </c>
      <c r="V38">
        <f>SUM($R$2:R38)</f>
        <v>1907.4604458080742</v>
      </c>
      <c r="W38" s="9">
        <f t="shared" si="8"/>
        <v>4.0219720107284491</v>
      </c>
      <c r="Z38">
        <f t="shared" si="11"/>
        <v>0.75330721614441876</v>
      </c>
      <c r="AA38" s="4">
        <v>0.3</v>
      </c>
      <c r="AB38">
        <f t="shared" si="1"/>
        <v>2098.5683301400823</v>
      </c>
      <c r="AC38">
        <f t="shared" si="10"/>
        <v>1844.6944949162803</v>
      </c>
      <c r="AD38" s="4">
        <v>0.2</v>
      </c>
      <c r="AE38">
        <f t="shared" si="2"/>
        <v>368.93889898325608</v>
      </c>
      <c r="AF38">
        <f t="shared" si="3"/>
        <v>1</v>
      </c>
    </row>
    <row r="39" spans="1:32" x14ac:dyDescent="0.15">
      <c r="A39" s="1">
        <v>38</v>
      </c>
      <c r="B39">
        <f t="shared" si="4"/>
        <v>17.245625584895471</v>
      </c>
      <c r="C39" s="4">
        <v>0.08</v>
      </c>
      <c r="D39">
        <f t="shared" si="5"/>
        <v>121.75411662936202</v>
      </c>
      <c r="Q39">
        <f t="shared" si="9"/>
        <v>121.75411662936224</v>
      </c>
      <c r="R39">
        <f t="shared" si="6"/>
        <v>78.731968486419561</v>
      </c>
      <c r="S39">
        <f t="shared" si="7"/>
        <v>679.93613896538659</v>
      </c>
      <c r="T39" s="4">
        <v>0.08</v>
      </c>
      <c r="V39">
        <f>SUM($R$2:R39)</f>
        <v>1986.1924142944938</v>
      </c>
      <c r="W39">
        <f t="shared" si="8"/>
        <v>4.1879821496531306</v>
      </c>
      <c r="Z39">
        <f t="shared" si="11"/>
        <v>0.69750668161520246</v>
      </c>
      <c r="AA39" s="4">
        <v>0.3</v>
      </c>
      <c r="AB39">
        <f t="shared" si="1"/>
        <v>2266.4537965512886</v>
      </c>
      <c r="AC39">
        <f t="shared" si="10"/>
        <v>1955.3761646112573</v>
      </c>
      <c r="AD39" s="4">
        <v>0.2</v>
      </c>
      <c r="AE39">
        <f t="shared" si="2"/>
        <v>391.07523292225147</v>
      </c>
      <c r="AF39">
        <f t="shared" si="3"/>
        <v>1</v>
      </c>
    </row>
    <row r="40" spans="1:32" x14ac:dyDescent="0.15">
      <c r="A40" s="1">
        <v>39</v>
      </c>
      <c r="B40">
        <f t="shared" si="4"/>
        <v>18.62527563168711</v>
      </c>
      <c r="C40" s="4">
        <v>0.08</v>
      </c>
      <c r="D40">
        <f t="shared" si="5"/>
        <v>131.49444595971099</v>
      </c>
      <c r="Q40">
        <f t="shared" si="9"/>
        <v>131.49444595971124</v>
      </c>
      <c r="R40">
        <f t="shared" si="6"/>
        <v>80.21747732578595</v>
      </c>
      <c r="S40">
        <f t="shared" si="7"/>
        <v>734.33103008261753</v>
      </c>
      <c r="T40" s="4">
        <v>0.08</v>
      </c>
      <c r="V40">
        <f>SUM($R$2:R40)</f>
        <v>2066.4098916202797</v>
      </c>
      <c r="W40">
        <f t="shared" si="8"/>
        <v>4.3571245553499764</v>
      </c>
      <c r="Z40">
        <f t="shared" si="11"/>
        <v>0.64583952001407641</v>
      </c>
      <c r="AA40" s="4">
        <v>0.3</v>
      </c>
      <c r="AB40">
        <f t="shared" si="1"/>
        <v>2447.770100275392</v>
      </c>
      <c r="AC40">
        <f t="shared" si="10"/>
        <v>2072.6987344879331</v>
      </c>
      <c r="AD40" s="4">
        <v>0.2</v>
      </c>
      <c r="AE40">
        <f t="shared" si="2"/>
        <v>414.53974689758661</v>
      </c>
      <c r="AF40">
        <f t="shared" si="3"/>
        <v>1</v>
      </c>
    </row>
    <row r="41" spans="1:32" x14ac:dyDescent="0.15">
      <c r="A41" s="1">
        <v>40</v>
      </c>
      <c r="B41">
        <f t="shared" si="4"/>
        <v>20.115297682222078</v>
      </c>
      <c r="C41" s="4">
        <v>0.08</v>
      </c>
      <c r="D41">
        <f t="shared" si="5"/>
        <v>142.01400163648788</v>
      </c>
      <c r="Q41">
        <f t="shared" si="9"/>
        <v>142.01400163648813</v>
      </c>
      <c r="R41">
        <f t="shared" si="6"/>
        <v>81.73101463381964</v>
      </c>
      <c r="S41">
        <f t="shared" si="7"/>
        <v>793.07751248922693</v>
      </c>
      <c r="T41" s="4">
        <v>0.08</v>
      </c>
      <c r="V41">
        <f>SUM($R$2:R41)</f>
        <v>2148.1409062540993</v>
      </c>
      <c r="W41">
        <f t="shared" si="8"/>
        <v>4.529458327192045</v>
      </c>
      <c r="Z41">
        <f t="shared" si="11"/>
        <v>0.59799955556858919</v>
      </c>
      <c r="AA41" s="4">
        <v>0.3</v>
      </c>
      <c r="AB41">
        <f t="shared" si="1"/>
        <v>2643.5917082974233</v>
      </c>
      <c r="AC41">
        <f t="shared" si="10"/>
        <v>2197.0606585572091</v>
      </c>
      <c r="AD41" s="4">
        <v>0.2</v>
      </c>
      <c r="AE41">
        <f t="shared" si="2"/>
        <v>439.41213171144182</v>
      </c>
      <c r="AF41">
        <f t="shared" si="3"/>
        <v>1</v>
      </c>
    </row>
    <row r="42" spans="1:32" x14ac:dyDescent="0.15">
      <c r="A42" s="1">
        <v>41</v>
      </c>
      <c r="B42">
        <f t="shared" si="4"/>
        <v>21.724521496799845</v>
      </c>
      <c r="C42" s="4">
        <v>0.08</v>
      </c>
      <c r="D42">
        <f t="shared" si="5"/>
        <v>153.37512176740691</v>
      </c>
      <c r="Q42">
        <f t="shared" si="9"/>
        <v>153.37512176740719</v>
      </c>
      <c r="R42">
        <f t="shared" si="6"/>
        <v>83.273109249552107</v>
      </c>
      <c r="S42">
        <f t="shared" si="7"/>
        <v>856.52371348836516</v>
      </c>
      <c r="T42" s="4">
        <v>0.08</v>
      </c>
      <c r="V42">
        <f>SUM($R$2:R42)</f>
        <v>2231.4140155036512</v>
      </c>
      <c r="W42">
        <f t="shared" si="8"/>
        <v>4.7050436796349073</v>
      </c>
      <c r="Z42">
        <f t="shared" si="11"/>
        <v>0.55370329219313819</v>
      </c>
      <c r="AA42" s="4">
        <v>0.3</v>
      </c>
      <c r="AB42">
        <f t="shared" si="1"/>
        <v>2855.0790449612173</v>
      </c>
      <c r="AC42">
        <f t="shared" si="10"/>
        <v>2328.8842980706418</v>
      </c>
      <c r="AD42" s="4">
        <v>0.2</v>
      </c>
      <c r="AE42">
        <f t="shared" si="2"/>
        <v>465.7768596141284</v>
      </c>
      <c r="AF42">
        <f t="shared" si="3"/>
        <v>1</v>
      </c>
    </row>
    <row r="43" spans="1:32" x14ac:dyDescent="0.15">
      <c r="A43" s="1">
        <v>42</v>
      </c>
      <c r="B43">
        <f t="shared" si="4"/>
        <v>23.462483216543834</v>
      </c>
      <c r="C43" s="4">
        <v>0.08</v>
      </c>
      <c r="D43">
        <f t="shared" si="5"/>
        <v>165.64513150879947</v>
      </c>
      <c r="Q43">
        <f t="shared" si="9"/>
        <v>165.64513150879978</v>
      </c>
      <c r="R43">
        <f t="shared" si="6"/>
        <v>84.844299990109704</v>
      </c>
      <c r="S43">
        <f t="shared" si="7"/>
        <v>925.04561056743444</v>
      </c>
      <c r="T43" s="4">
        <v>0.08</v>
      </c>
      <c r="V43">
        <f>SUM($R$2:R43)</f>
        <v>2316.2583154937611</v>
      </c>
      <c r="W43">
        <f t="shared" si="8"/>
        <v>4.8839419632559382</v>
      </c>
      <c r="Z43">
        <f t="shared" si="11"/>
        <v>0.51268823351216486</v>
      </c>
      <c r="AA43" s="4">
        <v>0.3</v>
      </c>
      <c r="AB43">
        <f t="shared" si="1"/>
        <v>3083.4853685581147</v>
      </c>
      <c r="AC43">
        <f t="shared" si="10"/>
        <v>2468.6173559548802</v>
      </c>
      <c r="AD43" s="4">
        <v>0.2</v>
      </c>
      <c r="AE43">
        <f t="shared" si="2"/>
        <v>493.72347119097606</v>
      </c>
      <c r="AF43">
        <f t="shared" si="3"/>
        <v>1</v>
      </c>
    </row>
    <row r="44" spans="1:32" x14ac:dyDescent="0.15">
      <c r="A44" s="1">
        <v>43</v>
      </c>
      <c r="B44">
        <f t="shared" si="4"/>
        <v>25.339481873867342</v>
      </c>
      <c r="C44" s="4">
        <v>0.08</v>
      </c>
      <c r="D44">
        <f t="shared" si="5"/>
        <v>178.89674202950343</v>
      </c>
      <c r="Q44">
        <f t="shared" si="9"/>
        <v>178.89674202950374</v>
      </c>
      <c r="R44">
        <f t="shared" si="6"/>
        <v>86.445135838979681</v>
      </c>
      <c r="S44">
        <f t="shared" si="7"/>
        <v>999.0492594128292</v>
      </c>
      <c r="T44" s="4">
        <v>0.08</v>
      </c>
      <c r="V44">
        <f>SUM($R$2:R44)</f>
        <v>2402.7034513327408</v>
      </c>
      <c r="W44">
        <f t="shared" si="8"/>
        <v>5.0662156861905725</v>
      </c>
      <c r="Z44">
        <f t="shared" si="11"/>
        <v>0.47471132732607862</v>
      </c>
      <c r="AA44" s="4">
        <v>0.3</v>
      </c>
      <c r="AB44">
        <f t="shared" si="1"/>
        <v>3330.1641980427639</v>
      </c>
      <c r="AC44">
        <f t="shared" si="10"/>
        <v>2616.7343973121733</v>
      </c>
      <c r="AD44" s="4">
        <v>0.2</v>
      </c>
      <c r="AE44">
        <f t="shared" si="2"/>
        <v>523.34687946243469</v>
      </c>
      <c r="AF44">
        <f t="shared" si="3"/>
        <v>1</v>
      </c>
    </row>
    <row r="45" spans="1:32" x14ac:dyDescent="0.15">
      <c r="A45" s="1">
        <v>44</v>
      </c>
      <c r="B45">
        <f t="shared" si="4"/>
        <v>27.36664042377673</v>
      </c>
      <c r="C45" s="4">
        <v>0.08</v>
      </c>
      <c r="D45">
        <f t="shared" si="5"/>
        <v>193.2084813918637</v>
      </c>
      <c r="Q45">
        <f t="shared" si="9"/>
        <v>193.20848139186404</v>
      </c>
      <c r="R45">
        <f t="shared" si="6"/>
        <v>88.076176137828355</v>
      </c>
      <c r="S45">
        <f t="shared" si="7"/>
        <v>1078.9732001658556</v>
      </c>
      <c r="T45" s="4">
        <v>0.08</v>
      </c>
      <c r="V45">
        <f>SUM($R$2:R45)</f>
        <v>2490.7796274705693</v>
      </c>
      <c r="W45">
        <f t="shared" si="8"/>
        <v>5.2519285359730299</v>
      </c>
      <c r="Z45">
        <f t="shared" si="11"/>
        <v>0.43954752530192465</v>
      </c>
      <c r="AA45" s="4">
        <v>0.3</v>
      </c>
      <c r="AB45">
        <f t="shared" si="1"/>
        <v>3596.5773338861854</v>
      </c>
      <c r="AC45">
        <f t="shared" si="10"/>
        <v>2773.7384611509037</v>
      </c>
      <c r="AD45" s="4">
        <v>0.2</v>
      </c>
      <c r="AE45">
        <f t="shared" si="2"/>
        <v>554.74769223018075</v>
      </c>
      <c r="AF45">
        <f t="shared" si="3"/>
        <v>1</v>
      </c>
    </row>
    <row r="46" spans="1:32" x14ac:dyDescent="0.15">
      <c r="A46" s="1">
        <v>45</v>
      </c>
      <c r="B46">
        <f t="shared" si="4"/>
        <v>29.555971657678867</v>
      </c>
      <c r="C46" s="4">
        <v>0.08</v>
      </c>
      <c r="D46">
        <f t="shared" si="5"/>
        <v>208.66515990321278</v>
      </c>
      <c r="Q46">
        <f t="shared" si="9"/>
        <v>208.66515990321321</v>
      </c>
      <c r="R46">
        <f t="shared" si="6"/>
        <v>89.737990781938322</v>
      </c>
      <c r="S46">
        <f t="shared" si="7"/>
        <v>1165.2910561791241</v>
      </c>
      <c r="T46" s="4">
        <v>0.08</v>
      </c>
      <c r="V46">
        <f>SUM($R$2:R46)</f>
        <v>2580.5176182525074</v>
      </c>
      <c r="W46">
        <f t="shared" si="8"/>
        <v>5.441145401789119</v>
      </c>
      <c r="Z46">
        <f t="shared" si="11"/>
        <v>0.40698844935363387</v>
      </c>
      <c r="AA46" s="4">
        <v>0.3</v>
      </c>
      <c r="AB46">
        <f t="shared" si="1"/>
        <v>3884.3035205970805</v>
      </c>
      <c r="AC46">
        <f t="shared" si="10"/>
        <v>2940.1627688199583</v>
      </c>
      <c r="AD46" s="4">
        <v>0.2</v>
      </c>
      <c r="AE46">
        <f t="shared" si="2"/>
        <v>588.0325537639917</v>
      </c>
      <c r="AF46">
        <f t="shared" si="3"/>
        <v>1</v>
      </c>
    </row>
    <row r="47" spans="1:32" x14ac:dyDescent="0.15">
      <c r="A47" s="1">
        <v>46</v>
      </c>
      <c r="B47">
        <f t="shared" si="4"/>
        <v>31.920449390293179</v>
      </c>
      <c r="C47" s="4">
        <v>0.08</v>
      </c>
      <c r="D47">
        <f t="shared" si="5"/>
        <v>225.3583726954698</v>
      </c>
      <c r="Q47">
        <f t="shared" si="9"/>
        <v>225.35837269547025</v>
      </c>
      <c r="R47">
        <f t="shared" si="6"/>
        <v>91.431160419333395</v>
      </c>
      <c r="S47">
        <f t="shared" si="7"/>
        <v>1258.5143406734542</v>
      </c>
      <c r="T47" s="4">
        <v>0.08</v>
      </c>
      <c r="V47">
        <f>SUM($R$2:R47)</f>
        <v>2671.948778671841</v>
      </c>
      <c r="W47">
        <f t="shared" si="8"/>
        <v>5.6339323971489081</v>
      </c>
      <c r="Z47">
        <f t="shared" si="11"/>
        <v>0.37684115680892022</v>
      </c>
      <c r="AA47" s="4">
        <v>0.3</v>
      </c>
      <c r="AB47">
        <f t="shared" si="1"/>
        <v>4195.0478022448478</v>
      </c>
      <c r="AC47">
        <f t="shared" si="10"/>
        <v>3116.5725349491559</v>
      </c>
      <c r="AD47" s="4">
        <v>0.2</v>
      </c>
      <c r="AE47">
        <f t="shared" si="2"/>
        <v>623.31450698983122</v>
      </c>
      <c r="AF47">
        <f t="shared" si="3"/>
        <v>1</v>
      </c>
    </row>
    <row r="48" spans="1:32" x14ac:dyDescent="0.15">
      <c r="A48" s="1">
        <v>47</v>
      </c>
      <c r="B48">
        <f t="shared" si="4"/>
        <v>34.474085341516634</v>
      </c>
      <c r="C48" s="4">
        <v>0.08</v>
      </c>
      <c r="D48">
        <f t="shared" si="5"/>
        <v>243.38704251110738</v>
      </c>
      <c r="Q48">
        <f t="shared" si="9"/>
        <v>243.38704251110792</v>
      </c>
      <c r="R48">
        <f t="shared" si="6"/>
        <v>93.156276653660441</v>
      </c>
      <c r="S48">
        <f t="shared" si="7"/>
        <v>1359.1954879273305</v>
      </c>
      <c r="T48" s="4">
        <v>0.08</v>
      </c>
      <c r="V48">
        <f>SUM($R$2:R48)</f>
        <v>2765.1050553255013</v>
      </c>
      <c r="W48">
        <f t="shared" si="8"/>
        <v>5.830356882987183</v>
      </c>
      <c r="Z48">
        <f t="shared" si="11"/>
        <v>0.34892699704529651</v>
      </c>
      <c r="AA48" s="4">
        <v>0.3</v>
      </c>
      <c r="AB48">
        <f t="shared" si="1"/>
        <v>4530.6516264244356</v>
      </c>
      <c r="AC48">
        <f t="shared" si="10"/>
        <v>3303.5668870461054</v>
      </c>
      <c r="AD48" s="4">
        <v>0.2</v>
      </c>
      <c r="AE48">
        <f t="shared" si="2"/>
        <v>660.71337740922115</v>
      </c>
      <c r="AF48">
        <f t="shared" si="3"/>
        <v>1</v>
      </c>
    </row>
    <row r="49" spans="1:32" x14ac:dyDescent="0.15">
      <c r="A49" s="1">
        <v>48</v>
      </c>
      <c r="B49">
        <f t="shared" si="4"/>
        <v>37.232012168837969</v>
      </c>
      <c r="C49" s="4">
        <v>0.08</v>
      </c>
      <c r="D49">
        <f t="shared" si="5"/>
        <v>262.85800591199597</v>
      </c>
      <c r="Q49">
        <f t="shared" si="9"/>
        <v>262.8580059119966</v>
      </c>
      <c r="R49">
        <f t="shared" si="6"/>
        <v>94.913942250899282</v>
      </c>
      <c r="S49">
        <f t="shared" si="7"/>
        <v>1467.9311269615171</v>
      </c>
      <c r="T49" s="4">
        <v>0.08</v>
      </c>
      <c r="V49">
        <f>SUM($R$2:R49)</f>
        <v>2860.0189975764006</v>
      </c>
      <c r="W49">
        <f t="shared" si="8"/>
        <v>6.0304874911997652</v>
      </c>
      <c r="Z49">
        <f t="shared" si="11"/>
        <v>0.32308055281971898</v>
      </c>
      <c r="AA49" s="4">
        <v>0.3</v>
      </c>
      <c r="AB49">
        <f t="shared" si="1"/>
        <v>4893.1037565383904</v>
      </c>
      <c r="AC49">
        <f t="shared" si="10"/>
        <v>3501.7809002688718</v>
      </c>
      <c r="AD49" s="4">
        <v>0.2</v>
      </c>
      <c r="AE49">
        <f t="shared" si="2"/>
        <v>700.35618005377444</v>
      </c>
      <c r="AF49">
        <f t="shared" si="3"/>
        <v>1</v>
      </c>
    </row>
    <row r="50" spans="1:32" x14ac:dyDescent="0.15">
      <c r="A50" s="1">
        <v>49</v>
      </c>
      <c r="B50">
        <f t="shared" si="4"/>
        <v>40.210573142345005</v>
      </c>
      <c r="C50" s="4">
        <v>0.08</v>
      </c>
      <c r="D50">
        <f t="shared" si="5"/>
        <v>283.88664638495567</v>
      </c>
      <c r="Q50">
        <f t="shared" si="9"/>
        <v>283.88664638495629</v>
      </c>
      <c r="R50">
        <f t="shared" si="6"/>
        <v>96.704771349972873</v>
      </c>
      <c r="S50">
        <f t="shared" si="7"/>
        <v>1585.3656171184384</v>
      </c>
      <c r="T50" s="4">
        <v>0.08</v>
      </c>
      <c r="V50">
        <f>SUM($R$2:R50)</f>
        <v>2956.7237689263734</v>
      </c>
      <c r="W50">
        <f t="shared" si="8"/>
        <v>6.2343941486239052</v>
      </c>
      <c r="Z50">
        <f t="shared" si="11"/>
        <v>0.29914866001825829</v>
      </c>
      <c r="AA50" s="4">
        <v>0.3</v>
      </c>
      <c r="AB50">
        <f t="shared" si="1"/>
        <v>5284.5520570614617</v>
      </c>
      <c r="AC50">
        <f t="shared" si="10"/>
        <v>3711.8877542850041</v>
      </c>
      <c r="AD50" s="4">
        <v>0.2</v>
      </c>
      <c r="AE50">
        <f t="shared" si="2"/>
        <v>742.37755085700087</v>
      </c>
      <c r="AF50">
        <f t="shared" si="3"/>
        <v>1</v>
      </c>
    </row>
    <row r="51" spans="1:32" x14ac:dyDescent="0.15">
      <c r="A51" s="1">
        <v>50</v>
      </c>
      <c r="B51">
        <f t="shared" si="4"/>
        <v>43.427418993732608</v>
      </c>
      <c r="C51" s="4">
        <v>0.08</v>
      </c>
      <c r="D51">
        <f t="shared" si="5"/>
        <v>306.59757809575211</v>
      </c>
      <c r="Q51">
        <f t="shared" si="9"/>
        <v>306.59757809575279</v>
      </c>
      <c r="R51">
        <f t="shared" si="6"/>
        <v>98.529389677330869</v>
      </c>
      <c r="S51">
        <f t="shared" si="7"/>
        <v>1712.1948664879137</v>
      </c>
      <c r="T51" s="4">
        <v>0.08</v>
      </c>
      <c r="V51">
        <f>SUM($R$2:R51)</f>
        <v>3055.2531586037044</v>
      </c>
      <c r="W51">
        <f t="shared" si="8"/>
        <v>6.442148101471143</v>
      </c>
      <c r="Z51">
        <f t="shared" si="11"/>
        <v>0.27698950001690581</v>
      </c>
      <c r="AA51" s="4">
        <v>0.3</v>
      </c>
      <c r="AB51">
        <f t="shared" si="1"/>
        <v>5707.316221626379</v>
      </c>
      <c r="AC51">
        <f t="shared" si="10"/>
        <v>3934.6010195421045</v>
      </c>
      <c r="AD51" s="4">
        <v>0.2</v>
      </c>
      <c r="AE51">
        <f t="shared" si="2"/>
        <v>786.92020390842094</v>
      </c>
      <c r="AF51">
        <f t="shared" si="3"/>
        <v>1</v>
      </c>
    </row>
    <row r="52" spans="1:32" x14ac:dyDescent="0.15">
      <c r="A52" s="1">
        <v>51</v>
      </c>
      <c r="B52">
        <f t="shared" ref="B52:B101" si="12">B51+B51*C51</f>
        <v>46.901612513231214</v>
      </c>
      <c r="C52" s="4">
        <v>0.08</v>
      </c>
      <c r="D52">
        <f t="shared" ref="D52:D101" si="13">D51+D51*C51</f>
        <v>331.12538434341229</v>
      </c>
      <c r="Q52">
        <f t="shared" ref="Q52:Q101" si="14">$D$2*((1+$C$2)^A51)</f>
        <v>331.12538434341303</v>
      </c>
      <c r="R52">
        <f t="shared" si="6"/>
        <v>100.3884347655824</v>
      </c>
      <c r="S52">
        <f t="shared" si="7"/>
        <v>1849.1704558069468</v>
      </c>
      <c r="T52" s="4">
        <v>0.08</v>
      </c>
      <c r="V52">
        <f>SUM($R$2:R52)</f>
        <v>3155.641593369287</v>
      </c>
      <c r="W52">
        <f t="shared" si="8"/>
        <v>6.6538219402211594</v>
      </c>
      <c r="Z52">
        <f t="shared" si="11"/>
        <v>0.25647175927491278</v>
      </c>
      <c r="AA52" s="4">
        <v>0.3</v>
      </c>
      <c r="AB52">
        <f t="shared" si="1"/>
        <v>6163.9015193564901</v>
      </c>
      <c r="AC52">
        <f t="shared" si="10"/>
        <v>4170.6770807146313</v>
      </c>
      <c r="AD52" s="4">
        <v>0.2</v>
      </c>
      <c r="AE52">
        <f t="shared" si="2"/>
        <v>834.13541614292626</v>
      </c>
      <c r="AF52">
        <f t="shared" si="3"/>
        <v>1</v>
      </c>
    </row>
    <row r="53" spans="1:32" x14ac:dyDescent="0.15">
      <c r="A53" s="1">
        <v>52</v>
      </c>
      <c r="B53">
        <f t="shared" si="12"/>
        <v>50.653741514289713</v>
      </c>
      <c r="C53" s="4">
        <v>0.08</v>
      </c>
      <c r="D53">
        <f t="shared" si="13"/>
        <v>357.61541509088528</v>
      </c>
      <c r="Q53">
        <f t="shared" si="14"/>
        <v>357.61541509088613</v>
      </c>
      <c r="R53">
        <f t="shared" si="6"/>
        <v>102.28255617625375</v>
      </c>
      <c r="S53">
        <f t="shared" si="7"/>
        <v>1997.1040922715026</v>
      </c>
      <c r="T53" s="4">
        <v>0.08</v>
      </c>
      <c r="V53">
        <f>SUM($R$2:R53)</f>
        <v>3257.9241495455408</v>
      </c>
      <c r="W53">
        <f t="shared" si="8"/>
        <v>6.8694896249853263</v>
      </c>
      <c r="Z53">
        <f t="shared" si="11"/>
        <v>0.23747385118047479</v>
      </c>
      <c r="AA53" s="4">
        <v>0.3</v>
      </c>
      <c r="AB53">
        <f t="shared" si="1"/>
        <v>6657.0136409050092</v>
      </c>
      <c r="AC53">
        <f t="shared" si="10"/>
        <v>4420.9177055575092</v>
      </c>
      <c r="AD53" s="4">
        <v>0.2</v>
      </c>
      <c r="AE53">
        <f t="shared" si="2"/>
        <v>884.18354111150188</v>
      </c>
      <c r="AF53">
        <f t="shared" si="3"/>
        <v>1</v>
      </c>
    </row>
    <row r="54" spans="1:32" x14ac:dyDescent="0.15">
      <c r="A54" s="1">
        <v>53</v>
      </c>
      <c r="B54">
        <f t="shared" si="12"/>
        <v>54.706040835432887</v>
      </c>
      <c r="C54" s="4">
        <v>0.08</v>
      </c>
      <c r="D54">
        <f t="shared" si="13"/>
        <v>386.22464829815613</v>
      </c>
      <c r="Q54">
        <f t="shared" si="14"/>
        <v>386.22464829815704</v>
      </c>
      <c r="R54">
        <f t="shared" si="6"/>
        <v>104.21241572674911</v>
      </c>
      <c r="S54">
        <f t="shared" si="7"/>
        <v>2156.872419653223</v>
      </c>
      <c r="T54" s="4">
        <v>0.08</v>
      </c>
      <c r="V54">
        <f>SUM($R$2:R54)</f>
        <v>3362.1365652722898</v>
      </c>
      <c r="W54">
        <f t="shared" si="8"/>
        <v>7.0892265113488167</v>
      </c>
      <c r="Z54">
        <f t="shared" si="11"/>
        <v>0.21988319553747662</v>
      </c>
      <c r="AA54" s="4">
        <v>0.3</v>
      </c>
      <c r="AB54">
        <f t="shared" si="1"/>
        <v>7189.5747321774106</v>
      </c>
      <c r="AC54">
        <f t="shared" si="10"/>
        <v>4686.1727678909601</v>
      </c>
      <c r="AD54" s="4">
        <v>0.2</v>
      </c>
      <c r="AE54">
        <f t="shared" si="2"/>
        <v>937.23455357819205</v>
      </c>
      <c r="AF54">
        <f t="shared" si="3"/>
        <v>1</v>
      </c>
    </row>
    <row r="55" spans="1:32" x14ac:dyDescent="0.15">
      <c r="A55" s="1">
        <v>54</v>
      </c>
      <c r="B55">
        <f t="shared" si="12"/>
        <v>59.08252410226752</v>
      </c>
      <c r="C55" s="4">
        <v>0.08</v>
      </c>
      <c r="D55">
        <f t="shared" si="13"/>
        <v>417.12262016200862</v>
      </c>
      <c r="Q55">
        <f t="shared" si="14"/>
        <v>417.12262016200958</v>
      </c>
      <c r="R55">
        <f t="shared" si="6"/>
        <v>106.17868772159341</v>
      </c>
      <c r="S55">
        <f t="shared" si="7"/>
        <v>2329.4222132254808</v>
      </c>
      <c r="T55" s="4">
        <v>0.08</v>
      </c>
      <c r="V55">
        <f>SUM($R$2:R55)</f>
        <v>3468.3152529938834</v>
      </c>
      <c r="W55">
        <f t="shared" si="8"/>
        <v>7.3131093767002984</v>
      </c>
      <c r="Z55">
        <f t="shared" si="11"/>
        <v>0.20359555142358948</v>
      </c>
      <c r="AA55" s="4">
        <v>0.3</v>
      </c>
      <c r="AB55">
        <f t="shared" si="1"/>
        <v>7764.7407107516028</v>
      </c>
      <c r="AC55">
        <f t="shared" si="10"/>
        <v>4967.3431339644176</v>
      </c>
      <c r="AD55" s="4">
        <v>0.2</v>
      </c>
      <c r="AE55">
        <f t="shared" si="2"/>
        <v>993.46862679288358</v>
      </c>
      <c r="AF55">
        <f t="shared" si="3"/>
        <v>1</v>
      </c>
    </row>
    <row r="56" spans="1:32" x14ac:dyDescent="0.15">
      <c r="A56" s="1">
        <v>55</v>
      </c>
      <c r="B56">
        <f t="shared" si="12"/>
        <v>63.809126030448923</v>
      </c>
      <c r="C56" s="4">
        <v>0.08</v>
      </c>
      <c r="D56">
        <f t="shared" si="13"/>
        <v>450.49242977496931</v>
      </c>
      <c r="Q56">
        <f t="shared" si="14"/>
        <v>450.49242977497045</v>
      </c>
      <c r="R56">
        <f t="shared" si="6"/>
        <v>108.18205918803858</v>
      </c>
      <c r="S56">
        <f t="shared" si="7"/>
        <v>2515.7759902835196</v>
      </c>
      <c r="T56" s="4">
        <v>0.08</v>
      </c>
      <c r="V56">
        <f>SUM($R$2:R56)</f>
        <v>3576.4973121819221</v>
      </c>
      <c r="W56">
        <f t="shared" si="8"/>
        <v>7.5412164470584111</v>
      </c>
      <c r="Z56">
        <f t="shared" si="11"/>
        <v>0.18851439946628654</v>
      </c>
      <c r="AA56" s="4">
        <v>0.3</v>
      </c>
      <c r="AB56">
        <f t="shared" si="1"/>
        <v>8385.9199676117332</v>
      </c>
      <c r="AC56">
        <f t="shared" si="10"/>
        <v>5265.3837220022833</v>
      </c>
      <c r="AD56" s="4">
        <v>0.2</v>
      </c>
      <c r="AE56">
        <f t="shared" si="2"/>
        <v>1053.0767444004566</v>
      </c>
      <c r="AF56">
        <f t="shared" si="3"/>
        <v>1</v>
      </c>
    </row>
    <row r="57" spans="1:32" x14ac:dyDescent="0.15">
      <c r="A57" s="1">
        <v>56</v>
      </c>
      <c r="B57">
        <f t="shared" si="12"/>
        <v>68.913856112884844</v>
      </c>
      <c r="C57" s="4">
        <v>0.08</v>
      </c>
      <c r="D57">
        <f t="shared" si="13"/>
        <v>486.53182415696688</v>
      </c>
      <c r="Q57">
        <f t="shared" si="14"/>
        <v>486.53182415696807</v>
      </c>
      <c r="R57">
        <f t="shared" si="6"/>
        <v>110.22323011611476</v>
      </c>
      <c r="S57">
        <f t="shared" si="7"/>
        <v>2717.0380695062013</v>
      </c>
      <c r="T57" s="4">
        <v>0.08</v>
      </c>
      <c r="V57">
        <f>SUM($R$2:R57)</f>
        <v>3686.7205422980369</v>
      </c>
      <c r="W57">
        <f t="shared" si="8"/>
        <v>7.7736274244044132</v>
      </c>
      <c r="Z57">
        <f t="shared" si="11"/>
        <v>0.17455036987619121</v>
      </c>
      <c r="AA57" s="4">
        <v>0.3</v>
      </c>
      <c r="AB57">
        <f t="shared" si="1"/>
        <v>9056.7935650206709</v>
      </c>
      <c r="AC57">
        <f t="shared" si="10"/>
        <v>5581.3067453224203</v>
      </c>
      <c r="AD57" s="4">
        <v>0.2</v>
      </c>
      <c r="AE57">
        <f t="shared" si="2"/>
        <v>1116.2613490644842</v>
      </c>
      <c r="AF57">
        <f t="shared" si="3"/>
        <v>1</v>
      </c>
    </row>
    <row r="58" spans="1:32" x14ac:dyDescent="0.15">
      <c r="A58" s="1">
        <v>57</v>
      </c>
      <c r="B58">
        <f t="shared" si="12"/>
        <v>74.426964601915628</v>
      </c>
      <c r="C58" s="4">
        <v>0.08</v>
      </c>
      <c r="D58">
        <f t="shared" si="13"/>
        <v>525.45437008952422</v>
      </c>
      <c r="Q58">
        <f t="shared" si="14"/>
        <v>525.45437008952547</v>
      </c>
      <c r="R58">
        <f t="shared" si="6"/>
        <v>112.3029137032113</v>
      </c>
      <c r="S58">
        <f t="shared" si="7"/>
        <v>2934.4011150666975</v>
      </c>
      <c r="T58" s="4">
        <v>0.08</v>
      </c>
      <c r="V58">
        <f>SUM($R$2:R58)</f>
        <v>3799.0234560012482</v>
      </c>
      <c r="W58">
        <f t="shared" si="8"/>
        <v>8.0104235145305278</v>
      </c>
      <c r="Z58">
        <f t="shared" si="11"/>
        <v>0.16162071284832522</v>
      </c>
      <c r="AA58" s="4">
        <v>0.3</v>
      </c>
      <c r="AB58">
        <f t="shared" si="1"/>
        <v>9781.3370502223261</v>
      </c>
      <c r="AC58">
        <f t="shared" si="10"/>
        <v>5916.1851500417661</v>
      </c>
      <c r="AD58" s="4">
        <v>0.2</v>
      </c>
      <c r="AE58">
        <f t="shared" si="2"/>
        <v>1183.2370300083533</v>
      </c>
      <c r="AF58">
        <f t="shared" si="3"/>
        <v>1</v>
      </c>
    </row>
    <row r="59" spans="1:32" x14ac:dyDescent="0.15">
      <c r="A59" s="1">
        <v>58</v>
      </c>
      <c r="B59">
        <f t="shared" si="12"/>
        <v>80.381121770068873</v>
      </c>
      <c r="C59" s="4">
        <v>0.08</v>
      </c>
      <c r="D59">
        <f t="shared" si="13"/>
        <v>567.49071969668614</v>
      </c>
      <c r="Q59">
        <f t="shared" si="14"/>
        <v>567.49071969668762</v>
      </c>
      <c r="R59">
        <f t="shared" si="6"/>
        <v>114.42183660327188</v>
      </c>
      <c r="S59">
        <f t="shared" si="7"/>
        <v>3169.1532042720332</v>
      </c>
      <c r="T59" s="4">
        <v>0.08</v>
      </c>
      <c r="V59">
        <f>SUM($R$2:R59)</f>
        <v>3913.4452926045201</v>
      </c>
      <c r="W59">
        <f t="shared" si="8"/>
        <v>8.2516874554137392</v>
      </c>
      <c r="Z59">
        <f t="shared" si="11"/>
        <v>0.1496488081928937</v>
      </c>
      <c r="AA59" s="4">
        <v>0.3</v>
      </c>
      <c r="AB59">
        <f t="shared" si="1"/>
        <v>10563.84401424011</v>
      </c>
      <c r="AC59">
        <f t="shared" si="10"/>
        <v>6271.1562590442727</v>
      </c>
      <c r="AD59" s="4">
        <v>0.2</v>
      </c>
      <c r="AE59">
        <f t="shared" si="2"/>
        <v>1254.2312518088547</v>
      </c>
      <c r="AF59">
        <f t="shared" si="3"/>
        <v>1</v>
      </c>
    </row>
    <row r="60" spans="1:32" x14ac:dyDescent="0.15">
      <c r="A60" s="1">
        <v>59</v>
      </c>
      <c r="B60">
        <f t="shared" si="12"/>
        <v>86.811611511674386</v>
      </c>
      <c r="C60" s="4">
        <v>0.08</v>
      </c>
      <c r="D60">
        <f t="shared" si="13"/>
        <v>612.88997727242099</v>
      </c>
      <c r="Q60">
        <f t="shared" si="14"/>
        <v>612.88997727242258</v>
      </c>
      <c r="R60">
        <f t="shared" si="6"/>
        <v>116.58073918069212</v>
      </c>
      <c r="S60">
        <f t="shared" si="7"/>
        <v>3422.6854606137963</v>
      </c>
      <c r="T60" s="4">
        <v>0.08</v>
      </c>
      <c r="V60">
        <f>SUM($R$2:R60)</f>
        <v>4030.0260317852121</v>
      </c>
      <c r="W60">
        <f t="shared" si="8"/>
        <v>8.4975035461249355</v>
      </c>
      <c r="Z60">
        <f t="shared" si="11"/>
        <v>0.13856371128971637</v>
      </c>
      <c r="AA60" s="4">
        <v>0.3</v>
      </c>
      <c r="AB60">
        <f t="shared" si="1"/>
        <v>11408.951535379321</v>
      </c>
      <c r="AC60">
        <f t="shared" si="10"/>
        <v>6647.4256345869298</v>
      </c>
      <c r="AD60" s="4">
        <v>0.2</v>
      </c>
      <c r="AE60">
        <f t="shared" si="2"/>
        <v>1329.485126917386</v>
      </c>
      <c r="AF60">
        <f t="shared" si="3"/>
        <v>1</v>
      </c>
    </row>
    <row r="61" spans="1:32" x14ac:dyDescent="0.15">
      <c r="A61" s="1">
        <v>60</v>
      </c>
      <c r="B61">
        <f t="shared" si="12"/>
        <v>93.756540432608332</v>
      </c>
      <c r="C61" s="4">
        <v>0.08</v>
      </c>
      <c r="D61">
        <f t="shared" si="13"/>
        <v>661.92117545421468</v>
      </c>
      <c r="Q61">
        <f t="shared" si="14"/>
        <v>661.92117545421638</v>
      </c>
      <c r="R61">
        <f t="shared" si="6"/>
        <v>118.78037576900705</v>
      </c>
      <c r="S61">
        <f t="shared" si="7"/>
        <v>3696.5002974629001</v>
      </c>
      <c r="T61" s="4">
        <v>0.08</v>
      </c>
      <c r="V61">
        <f>SUM($R$2:R61)</f>
        <v>4148.8064075542188</v>
      </c>
      <c r="W61">
        <f t="shared" si="8"/>
        <v>8.7479576762835123</v>
      </c>
      <c r="Z61">
        <f t="shared" si="11"/>
        <v>0.1282997326756633</v>
      </c>
      <c r="AA61" s="4">
        <v>0.3</v>
      </c>
      <c r="AB61">
        <f t="shared" si="1"/>
        <v>12321.667658209668</v>
      </c>
      <c r="AC61">
        <f t="shared" si="10"/>
        <v>7046.2711726621455</v>
      </c>
      <c r="AD61" s="4">
        <v>0.2</v>
      </c>
      <c r="AE61">
        <f t="shared" si="2"/>
        <v>1409.2542345324291</v>
      </c>
      <c r="AF61">
        <f t="shared" si="3"/>
        <v>1</v>
      </c>
    </row>
    <row r="62" spans="1:32" x14ac:dyDescent="0.15">
      <c r="A62" s="1">
        <v>61</v>
      </c>
      <c r="B62">
        <f t="shared" si="12"/>
        <v>101.257063667217</v>
      </c>
      <c r="C62" s="4">
        <v>0.08</v>
      </c>
      <c r="D62">
        <f t="shared" si="13"/>
        <v>714.87486949055187</v>
      </c>
      <c r="Q62">
        <f t="shared" si="14"/>
        <v>714.87486949055381</v>
      </c>
      <c r="R62">
        <f t="shared" si="6"/>
        <v>121.02151493446003</v>
      </c>
      <c r="S62">
        <f t="shared" si="7"/>
        <v>3992.2203212599325</v>
      </c>
      <c r="T62" s="4">
        <v>0.08</v>
      </c>
      <c r="V62">
        <f>SUM($R$2:R62)</f>
        <v>4269.8279224886792</v>
      </c>
      <c r="W62">
        <f t="shared" si="8"/>
        <v>9.0031373560677252</v>
      </c>
      <c r="Z62">
        <f t="shared" si="11"/>
        <v>0.11879604877376232</v>
      </c>
      <c r="AA62" s="4">
        <v>0.3</v>
      </c>
      <c r="AB62">
        <f t="shared" si="1"/>
        <v>13307.401070866443</v>
      </c>
      <c r="AC62">
        <f t="shared" si="10"/>
        <v>7469.0474430218746</v>
      </c>
      <c r="AD62" s="4">
        <v>0.2</v>
      </c>
      <c r="AE62">
        <f t="shared" si="2"/>
        <v>1493.809488604375</v>
      </c>
      <c r="AF62">
        <f t="shared" si="3"/>
        <v>1</v>
      </c>
    </row>
    <row r="63" spans="1:32" x14ac:dyDescent="0.15">
      <c r="A63" s="1">
        <v>62</v>
      </c>
      <c r="B63">
        <f t="shared" si="12"/>
        <v>109.35762876059435</v>
      </c>
      <c r="C63" s="4">
        <v>0.08</v>
      </c>
      <c r="D63">
        <f t="shared" si="13"/>
        <v>772.06485904979604</v>
      </c>
      <c r="Q63">
        <f t="shared" si="14"/>
        <v>772.06485904979809</v>
      </c>
      <c r="R63">
        <f t="shared" si="6"/>
        <v>123.30493974454416</v>
      </c>
      <c r="S63">
        <f t="shared" si="7"/>
        <v>4311.5979469607273</v>
      </c>
      <c r="T63" s="4">
        <v>0.08</v>
      </c>
      <c r="V63">
        <f>SUM($R$2:R63)</f>
        <v>4393.132862233223</v>
      </c>
      <c r="W63">
        <f t="shared" si="8"/>
        <v>9.2631317467912595</v>
      </c>
      <c r="Z63">
        <f t="shared" si="11"/>
        <v>0.10999634145718733</v>
      </c>
      <c r="AA63" s="4">
        <v>0.3</v>
      </c>
      <c r="AB63">
        <f t="shared" si="1"/>
        <v>14371.993156535758</v>
      </c>
      <c r="AC63">
        <f t="shared" si="10"/>
        <v>7917.1902896031879</v>
      </c>
      <c r="AD63" s="4">
        <v>0.2</v>
      </c>
      <c r="AE63">
        <f t="shared" si="2"/>
        <v>1583.4380579206377</v>
      </c>
      <c r="AF63">
        <f t="shared" si="3"/>
        <v>1</v>
      </c>
    </row>
    <row r="64" spans="1:32" x14ac:dyDescent="0.15">
      <c r="A64" s="1">
        <v>63</v>
      </c>
      <c r="B64">
        <f t="shared" si="12"/>
        <v>118.1062390614419</v>
      </c>
      <c r="C64" s="4">
        <v>0.08</v>
      </c>
      <c r="D64">
        <f t="shared" si="13"/>
        <v>833.83004777377971</v>
      </c>
      <c r="Q64">
        <f t="shared" si="14"/>
        <v>833.8300477737821</v>
      </c>
      <c r="R64">
        <f t="shared" si="6"/>
        <v>125.63144804161102</v>
      </c>
      <c r="S64">
        <f t="shared" si="7"/>
        <v>4656.5257827175856</v>
      </c>
      <c r="T64" s="4">
        <v>0.08</v>
      </c>
      <c r="V64">
        <f>SUM($R$2:R64)</f>
        <v>4518.7643102748343</v>
      </c>
      <c r="W64">
        <f t="shared" si="8"/>
        <v>9.52803169205675</v>
      </c>
      <c r="Z64">
        <f t="shared" si="11"/>
        <v>0.10184846431221048</v>
      </c>
      <c r="AA64" s="4">
        <v>0.3</v>
      </c>
      <c r="AB64">
        <f t="shared" si="1"/>
        <v>15521.75260905862</v>
      </c>
      <c r="AC64">
        <f t="shared" si="10"/>
        <v>8392.2217069793787</v>
      </c>
      <c r="AD64" s="4">
        <v>0.2</v>
      </c>
      <c r="AE64">
        <f t="shared" si="2"/>
        <v>1678.4443413958759</v>
      </c>
      <c r="AF64">
        <f t="shared" si="3"/>
        <v>1</v>
      </c>
    </row>
    <row r="65" spans="1:32" x14ac:dyDescent="0.15">
      <c r="A65" s="1">
        <v>64</v>
      </c>
      <c r="B65">
        <f t="shared" si="12"/>
        <v>127.55473818635726</v>
      </c>
      <c r="C65" s="4">
        <v>0.08</v>
      </c>
      <c r="D65">
        <f t="shared" si="13"/>
        <v>900.53645159568214</v>
      </c>
      <c r="Q65">
        <f t="shared" si="14"/>
        <v>900.53645159568475</v>
      </c>
      <c r="R65">
        <f t="shared" si="6"/>
        <v>128.0018527216414</v>
      </c>
      <c r="S65">
        <f t="shared" si="7"/>
        <v>5029.0478453349924</v>
      </c>
      <c r="T65" s="4">
        <v>0.08</v>
      </c>
      <c r="V65">
        <f>SUM($R$2:R65)</f>
        <v>4646.7661629964759</v>
      </c>
      <c r="W65">
        <f t="shared" si="8"/>
        <v>9.7979297494970616</v>
      </c>
      <c r="Z65">
        <f t="shared" si="11"/>
        <v>9.4304133622417116E-2</v>
      </c>
      <c r="AA65" s="4">
        <v>0.3</v>
      </c>
      <c r="AB65">
        <f t="shared" si="1"/>
        <v>16763.49281778331</v>
      </c>
      <c r="AC65">
        <f t="shared" si="10"/>
        <v>8895.7550093981426</v>
      </c>
      <c r="AD65" s="4">
        <v>0.2</v>
      </c>
      <c r="AE65">
        <f t="shared" si="2"/>
        <v>1779.1510018796287</v>
      </c>
      <c r="AF65">
        <f t="shared" si="3"/>
        <v>1</v>
      </c>
    </row>
    <row r="66" spans="1:32" x14ac:dyDescent="0.15">
      <c r="A66" s="1">
        <v>65</v>
      </c>
      <c r="B66">
        <f t="shared" si="12"/>
        <v>137.75911724126584</v>
      </c>
      <c r="C66" s="4">
        <v>0.08</v>
      </c>
      <c r="D66">
        <f t="shared" si="13"/>
        <v>972.57936772333676</v>
      </c>
      <c r="Q66">
        <f t="shared" si="14"/>
        <v>972.5793677233396</v>
      </c>
      <c r="R66">
        <f t="shared" si="6"/>
        <v>130.41698201827617</v>
      </c>
      <c r="S66">
        <f t="shared" si="7"/>
        <v>5431.3716729617918</v>
      </c>
      <c r="T66" s="4">
        <v>0.08</v>
      </c>
      <c r="V66">
        <f>SUM($R$2:R66)</f>
        <v>4777.183145014752</v>
      </c>
      <c r="W66">
        <f t="shared" si="8"/>
        <v>10.07292022311549</v>
      </c>
      <c r="Z66">
        <f t="shared" si="11"/>
        <v>8.7318642242978806E-2</v>
      </c>
      <c r="AA66" s="4">
        <v>0.3</v>
      </c>
      <c r="AB66">
        <f t="shared" si="1"/>
        <v>18104.572243205974</v>
      </c>
      <c r="AC66">
        <f t="shared" si="10"/>
        <v>9429.5003099620317</v>
      </c>
      <c r="AD66" s="4">
        <v>0.2</v>
      </c>
      <c r="AE66">
        <f t="shared" si="2"/>
        <v>1885.9000619924063</v>
      </c>
      <c r="AF66">
        <f t="shared" si="3"/>
        <v>1</v>
      </c>
    </row>
    <row r="67" spans="1:32" x14ac:dyDescent="0.15">
      <c r="A67" s="1">
        <v>66</v>
      </c>
      <c r="B67">
        <f t="shared" si="12"/>
        <v>148.7798466205671</v>
      </c>
      <c r="C67" s="4">
        <v>0.08</v>
      </c>
      <c r="D67">
        <f t="shared" si="13"/>
        <v>1050.3857171412037</v>
      </c>
      <c r="Q67">
        <f t="shared" si="14"/>
        <v>1050.3857171412069</v>
      </c>
      <c r="R67">
        <f t="shared" si="6"/>
        <v>132.87767979220592</v>
      </c>
      <c r="S67">
        <f t="shared" si="7"/>
        <v>5865.881406798736</v>
      </c>
      <c r="T67" s="4">
        <v>0.08</v>
      </c>
      <c r="V67">
        <f>SUM($R$2:R67)</f>
        <v>4910.0608248069575</v>
      </c>
      <c r="W67">
        <f t="shared" si="8"/>
        <v>10.353099196236153</v>
      </c>
      <c r="Z67">
        <f t="shared" si="11"/>
        <v>8.0850594669424805E-2</v>
      </c>
      <c r="AA67" s="4">
        <v>0.3</v>
      </c>
      <c r="AB67">
        <f t="shared" ref="AB67:AB130" si="15">S67/AA67</f>
        <v>19552.938022662453</v>
      </c>
      <c r="AC67">
        <f t="shared" si="10"/>
        <v>9995.2703285597545</v>
      </c>
      <c r="AD67" s="4">
        <v>0.2</v>
      </c>
      <c r="AE67">
        <f t="shared" ref="AE67:AE130" si="16">AC67*AD67</f>
        <v>1999.0540657119509</v>
      </c>
      <c r="AF67">
        <f t="shared" ref="AF67:AF130" si="17">IF(AB67&gt;AE67, 1, 0)</f>
        <v>1</v>
      </c>
    </row>
    <row r="68" spans="1:32" x14ac:dyDescent="0.15">
      <c r="A68" s="1">
        <v>67</v>
      </c>
      <c r="B68">
        <f t="shared" si="12"/>
        <v>160.68223435021247</v>
      </c>
      <c r="C68" s="4">
        <v>0.08</v>
      </c>
      <c r="D68">
        <f t="shared" si="13"/>
        <v>1134.4165745125001</v>
      </c>
      <c r="Q68">
        <f t="shared" si="14"/>
        <v>1134.4165745125033</v>
      </c>
      <c r="R68">
        <f t="shared" ref="R68:R101" si="18">S68/((1+$U$2)^A67)</f>
        <v>135.38480582602116</v>
      </c>
      <c r="S68">
        <f t="shared" ref="S68:S101" si="19">S67*(1+T67)</f>
        <v>6335.1519193426357</v>
      </c>
      <c r="T68" s="4">
        <v>0.08</v>
      </c>
      <c r="V68">
        <f>SUM($R$2:R68)</f>
        <v>5045.4456306329785</v>
      </c>
      <c r="W68">
        <f t="shared" ref="W68:W101" si="20">V68/$W$2</f>
        <v>10.638564565076074</v>
      </c>
      <c r="Z68">
        <f t="shared" si="11"/>
        <v>7.4861661730948895E-2</v>
      </c>
      <c r="AA68" s="4">
        <v>0.3</v>
      </c>
      <c r="AB68">
        <f t="shared" si="15"/>
        <v>21117.173064475453</v>
      </c>
      <c r="AC68">
        <f t="shared" ref="AC68:AC131" si="21">AC67*(1+$U$2)</f>
        <v>10594.98654827334</v>
      </c>
      <c r="AD68" s="4">
        <v>0.2</v>
      </c>
      <c r="AE68">
        <f t="shared" si="16"/>
        <v>2118.9973096546682</v>
      </c>
      <c r="AF68">
        <f t="shared" si="17"/>
        <v>1</v>
      </c>
    </row>
    <row r="69" spans="1:32" x14ac:dyDescent="0.15">
      <c r="A69" s="1">
        <v>68</v>
      </c>
      <c r="B69">
        <f t="shared" si="12"/>
        <v>173.53681309822946</v>
      </c>
      <c r="C69" s="4">
        <v>0.08</v>
      </c>
      <c r="D69">
        <f t="shared" si="13"/>
        <v>1225.1699004735001</v>
      </c>
      <c r="Q69">
        <f t="shared" si="14"/>
        <v>1225.1699004735037</v>
      </c>
      <c r="R69">
        <f t="shared" si="18"/>
        <v>137.93923612462532</v>
      </c>
      <c r="S69">
        <f t="shared" si="19"/>
        <v>6841.9640728900467</v>
      </c>
      <c r="T69" s="4">
        <v>0.08</v>
      </c>
      <c r="V69">
        <f>SUM($R$2:R69)</f>
        <v>5183.384866757604</v>
      </c>
      <c r="W69">
        <f t="shared" si="20"/>
        <v>10.92941607295071</v>
      </c>
      <c r="Z69">
        <f t="shared" si="11"/>
        <v>6.93163534545823E-2</v>
      </c>
      <c r="AA69" s="4">
        <v>0.3</v>
      </c>
      <c r="AB69">
        <f t="shared" si="15"/>
        <v>22806.546909633489</v>
      </c>
      <c r="AC69">
        <f t="shared" si="21"/>
        <v>11230.685741169742</v>
      </c>
      <c r="AD69" s="4">
        <v>0.2</v>
      </c>
      <c r="AE69">
        <f t="shared" si="16"/>
        <v>2246.1371482339487</v>
      </c>
      <c r="AF69">
        <f t="shared" si="17"/>
        <v>1</v>
      </c>
    </row>
    <row r="70" spans="1:32" x14ac:dyDescent="0.15">
      <c r="A70" s="1">
        <v>69</v>
      </c>
      <c r="B70">
        <f t="shared" si="12"/>
        <v>187.41975814608782</v>
      </c>
      <c r="C70" s="4">
        <v>0.08</v>
      </c>
      <c r="D70">
        <f t="shared" si="13"/>
        <v>1323.1834925113801</v>
      </c>
      <c r="Q70">
        <f t="shared" si="14"/>
        <v>1323.1834925113842</v>
      </c>
      <c r="R70">
        <f t="shared" si="18"/>
        <v>140.54186322131633</v>
      </c>
      <c r="S70">
        <f t="shared" si="19"/>
        <v>7389.3211987212508</v>
      </c>
      <c r="T70" s="4">
        <v>0.08</v>
      </c>
      <c r="V70">
        <f>SUM($R$2:R70)</f>
        <v>5323.9267299789199</v>
      </c>
      <c r="W70">
        <f t="shared" si="20"/>
        <v>11.225755345124869</v>
      </c>
      <c r="Z70">
        <f t="shared" si="11"/>
        <v>6.4181808754242869E-2</v>
      </c>
      <c r="AA70" s="4">
        <v>0.3</v>
      </c>
      <c r="AB70">
        <f t="shared" si="15"/>
        <v>24631.07066240417</v>
      </c>
      <c r="AC70">
        <f t="shared" si="21"/>
        <v>11904.526885639927</v>
      </c>
      <c r="AD70" s="4">
        <v>0.2</v>
      </c>
      <c r="AE70">
        <f t="shared" si="16"/>
        <v>2380.9053771279855</v>
      </c>
      <c r="AF70">
        <f t="shared" si="17"/>
        <v>1</v>
      </c>
    </row>
    <row r="71" spans="1:32" x14ac:dyDescent="0.15">
      <c r="A71" s="1">
        <v>70</v>
      </c>
      <c r="B71">
        <f t="shared" si="12"/>
        <v>202.41333879777483</v>
      </c>
      <c r="C71" s="4">
        <v>0.08</v>
      </c>
      <c r="D71">
        <f t="shared" si="13"/>
        <v>1429.0381719122906</v>
      </c>
      <c r="Q71">
        <f t="shared" si="14"/>
        <v>1429.0381719122947</v>
      </c>
      <c r="R71">
        <f t="shared" si="18"/>
        <v>143.19359648964306</v>
      </c>
      <c r="S71">
        <f t="shared" si="19"/>
        <v>7980.4668946189513</v>
      </c>
      <c r="T71" s="4">
        <v>0.08</v>
      </c>
      <c r="V71">
        <f>SUM($R$2:R71)</f>
        <v>5467.1203264685628</v>
      </c>
      <c r="W71">
        <f t="shared" si="20"/>
        <v>11.52768592432118</v>
      </c>
      <c r="Z71">
        <f t="shared" si="11"/>
        <v>5.9427600698373023E-2</v>
      </c>
      <c r="AA71" s="4">
        <v>0.3</v>
      </c>
      <c r="AB71">
        <f t="shared" si="15"/>
        <v>26601.556315396505</v>
      </c>
      <c r="AC71">
        <f t="shared" si="21"/>
        <v>12618.798498778324</v>
      </c>
      <c r="AD71" s="4">
        <v>0.2</v>
      </c>
      <c r="AE71">
        <f t="shared" si="16"/>
        <v>2523.7596997556648</v>
      </c>
      <c r="AF71">
        <f t="shared" si="17"/>
        <v>1</v>
      </c>
    </row>
    <row r="72" spans="1:32" x14ac:dyDescent="0.15">
      <c r="A72" s="1">
        <v>71</v>
      </c>
      <c r="B72">
        <f t="shared" si="12"/>
        <v>218.60640590159682</v>
      </c>
      <c r="C72" s="4">
        <v>0.08</v>
      </c>
      <c r="D72">
        <f t="shared" si="13"/>
        <v>1543.3612256652739</v>
      </c>
      <c r="Q72">
        <f t="shared" si="14"/>
        <v>1543.3612256652787</v>
      </c>
      <c r="R72">
        <f t="shared" si="18"/>
        <v>145.89536246114577</v>
      </c>
      <c r="S72">
        <f t="shared" si="19"/>
        <v>8618.9042461884674</v>
      </c>
      <c r="T72" s="4">
        <v>0.08</v>
      </c>
      <c r="V72">
        <f>SUM($R$2:R72)</f>
        <v>5613.0156889297086</v>
      </c>
      <c r="W72">
        <f t="shared" si="20"/>
        <v>11.835313306898556</v>
      </c>
      <c r="Z72">
        <f t="shared" si="11"/>
        <v>5.5025556202197248E-2</v>
      </c>
      <c r="AA72" s="4">
        <v>0.3</v>
      </c>
      <c r="AB72">
        <f t="shared" si="15"/>
        <v>28729.680820628226</v>
      </c>
      <c r="AC72">
        <f t="shared" si="21"/>
        <v>13375.926408705023</v>
      </c>
      <c r="AD72" s="4">
        <v>0.2</v>
      </c>
      <c r="AE72">
        <f t="shared" si="16"/>
        <v>2675.1852817410049</v>
      </c>
      <c r="AF72">
        <f t="shared" si="17"/>
        <v>1</v>
      </c>
    </row>
    <row r="73" spans="1:32" x14ac:dyDescent="0.15">
      <c r="A73" s="1">
        <v>72</v>
      </c>
      <c r="B73">
        <f t="shared" si="12"/>
        <v>236.09491837372457</v>
      </c>
      <c r="C73" s="4">
        <v>0.08</v>
      </c>
      <c r="D73">
        <f t="shared" si="13"/>
        <v>1666.8301237184958</v>
      </c>
      <c r="Q73">
        <f t="shared" si="14"/>
        <v>1666.830123718501</v>
      </c>
      <c r="R73">
        <f t="shared" si="18"/>
        <v>148.64810514909189</v>
      </c>
      <c r="S73">
        <f t="shared" si="19"/>
        <v>9308.4165858835458</v>
      </c>
      <c r="T73" s="4">
        <v>0.08</v>
      </c>
      <c r="V73">
        <f>SUM($R$2:R73)</f>
        <v>5761.6637940788005</v>
      </c>
      <c r="W73">
        <f t="shared" si="20"/>
        <v>12.148744979713239</v>
      </c>
      <c r="Z73">
        <f t="shared" si="11"/>
        <v>5.0949589076108553E-2</v>
      </c>
      <c r="AA73" s="4">
        <v>0.3</v>
      </c>
      <c r="AB73">
        <f t="shared" si="15"/>
        <v>31028.055286278486</v>
      </c>
      <c r="AC73">
        <f t="shared" si="21"/>
        <v>14178.481993227326</v>
      </c>
      <c r="AD73" s="4">
        <v>0.2</v>
      </c>
      <c r="AE73">
        <f t="shared" si="16"/>
        <v>2835.6963986454653</v>
      </c>
      <c r="AF73">
        <f t="shared" si="17"/>
        <v>1</v>
      </c>
    </row>
    <row r="74" spans="1:32" x14ac:dyDescent="0.15">
      <c r="A74" s="1">
        <v>73</v>
      </c>
      <c r="B74">
        <f t="shared" si="12"/>
        <v>254.98251184362255</v>
      </c>
      <c r="C74" s="4">
        <v>0.08</v>
      </c>
      <c r="D74">
        <f t="shared" si="13"/>
        <v>1800.1765336159754</v>
      </c>
      <c r="Q74">
        <f t="shared" si="14"/>
        <v>1800.176533615981</v>
      </c>
      <c r="R74">
        <f t="shared" si="18"/>
        <v>151.45278637832007</v>
      </c>
      <c r="S74">
        <f t="shared" si="19"/>
        <v>10053.089912754231</v>
      </c>
      <c r="T74" s="4">
        <v>0.08</v>
      </c>
      <c r="V74">
        <f>SUM($R$2:R74)</f>
        <v>5913.116580457121</v>
      </c>
      <c r="W74">
        <f t="shared" si="20"/>
        <v>12.46809045767537</v>
      </c>
      <c r="Z74">
        <f t="shared" si="11"/>
        <v>4.7175545440841252E-2</v>
      </c>
      <c r="AA74" s="4">
        <v>0.3</v>
      </c>
      <c r="AB74">
        <f t="shared" si="15"/>
        <v>33510.29970918077</v>
      </c>
      <c r="AC74">
        <f t="shared" si="21"/>
        <v>15029.190912820966</v>
      </c>
      <c r="AD74" s="4">
        <v>0.2</v>
      </c>
      <c r="AE74">
        <f t="shared" si="16"/>
        <v>3005.8381825641936</v>
      </c>
      <c r="AF74">
        <f t="shared" si="17"/>
        <v>1</v>
      </c>
    </row>
    <row r="75" spans="1:32" x14ac:dyDescent="0.15">
      <c r="A75" s="1">
        <v>74</v>
      </c>
      <c r="B75">
        <f t="shared" si="12"/>
        <v>275.38111279111234</v>
      </c>
      <c r="C75" s="4">
        <v>0.08</v>
      </c>
      <c r="D75">
        <f t="shared" si="13"/>
        <v>1944.1906563052535</v>
      </c>
      <c r="Q75">
        <f t="shared" si="14"/>
        <v>1944.1906563052598</v>
      </c>
      <c r="R75">
        <f t="shared" si="18"/>
        <v>154.31038612130729</v>
      </c>
      <c r="S75">
        <f t="shared" si="19"/>
        <v>10857.33710577457</v>
      </c>
      <c r="T75" s="4">
        <v>0.08</v>
      </c>
      <c r="V75">
        <f>SUM($R$2:R75)</f>
        <v>6067.4269665784286</v>
      </c>
      <c r="W75">
        <f t="shared" si="20"/>
        <v>12.793461322014146</v>
      </c>
      <c r="Z75">
        <f t="shared" si="11"/>
        <v>4.3681060593371526E-2</v>
      </c>
      <c r="AA75" s="4">
        <v>0.3</v>
      </c>
      <c r="AB75">
        <f t="shared" si="15"/>
        <v>36191.123685915234</v>
      </c>
      <c r="AC75">
        <f t="shared" si="21"/>
        <v>15930.942367590225</v>
      </c>
      <c r="AD75" s="4">
        <v>0.2</v>
      </c>
      <c r="AE75">
        <f t="shared" si="16"/>
        <v>3186.1884735180452</v>
      </c>
      <c r="AF75">
        <f t="shared" si="17"/>
        <v>1</v>
      </c>
    </row>
    <row r="76" spans="1:32" x14ac:dyDescent="0.15">
      <c r="A76" s="1">
        <v>75</v>
      </c>
      <c r="B76">
        <f t="shared" si="12"/>
        <v>297.41160181440131</v>
      </c>
      <c r="C76" s="4">
        <v>0.08</v>
      </c>
      <c r="D76">
        <f t="shared" si="13"/>
        <v>2099.7259088096739</v>
      </c>
      <c r="Q76">
        <f t="shared" si="14"/>
        <v>2099.7259088096807</v>
      </c>
      <c r="R76">
        <f t="shared" si="18"/>
        <v>157.22190284057723</v>
      </c>
      <c r="S76">
        <f t="shared" si="19"/>
        <v>11725.924074236536</v>
      </c>
      <c r="T76" s="4">
        <v>0.08</v>
      </c>
      <c r="V76">
        <f>SUM($R$2:R76)</f>
        <v>6224.6488694190057</v>
      </c>
      <c r="W76">
        <f t="shared" si="20"/>
        <v>13.124971259264973</v>
      </c>
      <c r="Z76">
        <f t="shared" si="11"/>
        <v>4.0445426475344E-2</v>
      </c>
      <c r="AA76" s="4">
        <v>0.3</v>
      </c>
      <c r="AB76">
        <f t="shared" si="15"/>
        <v>39086.41358078846</v>
      </c>
      <c r="AC76">
        <f t="shared" si="21"/>
        <v>16886.79890964564</v>
      </c>
      <c r="AD76" s="4">
        <v>0.2</v>
      </c>
      <c r="AE76">
        <f t="shared" si="16"/>
        <v>3377.3597819291281</v>
      </c>
      <c r="AF76">
        <f t="shared" si="17"/>
        <v>1</v>
      </c>
    </row>
    <row r="77" spans="1:32" x14ac:dyDescent="0.15">
      <c r="A77" s="1">
        <v>76</v>
      </c>
      <c r="B77">
        <f t="shared" si="12"/>
        <v>321.20452995955338</v>
      </c>
      <c r="C77" s="4">
        <v>0.08</v>
      </c>
      <c r="D77">
        <f t="shared" si="13"/>
        <v>2267.7039815144481</v>
      </c>
      <c r="Q77">
        <f t="shared" si="14"/>
        <v>2267.7039815144553</v>
      </c>
      <c r="R77">
        <f t="shared" si="18"/>
        <v>160.18835383756922</v>
      </c>
      <c r="S77">
        <f t="shared" si="19"/>
        <v>12663.998000175459</v>
      </c>
      <c r="T77" s="4">
        <v>0.08</v>
      </c>
      <c r="V77">
        <f>SUM($R$2:R77)</f>
        <v>6384.8372232565753</v>
      </c>
      <c r="W77">
        <f t="shared" si="20"/>
        <v>13.462736100992231</v>
      </c>
      <c r="Z77">
        <f t="shared" si="11"/>
        <v>3.7449468958651852E-2</v>
      </c>
      <c r="AA77" s="4">
        <v>0.3</v>
      </c>
      <c r="AB77">
        <f t="shared" si="15"/>
        <v>42213.326667251531</v>
      </c>
      <c r="AC77">
        <f t="shared" si="21"/>
        <v>17900.006844224379</v>
      </c>
      <c r="AD77" s="4">
        <v>0.2</v>
      </c>
      <c r="AE77">
        <f t="shared" si="16"/>
        <v>3580.0013688448762</v>
      </c>
      <c r="AF77">
        <f t="shared" si="17"/>
        <v>1</v>
      </c>
    </row>
    <row r="78" spans="1:32" x14ac:dyDescent="0.15">
      <c r="A78" s="1">
        <v>77</v>
      </c>
      <c r="B78">
        <f t="shared" si="12"/>
        <v>346.90089235631763</v>
      </c>
      <c r="C78" s="4">
        <v>0.08</v>
      </c>
      <c r="D78">
        <f t="shared" si="13"/>
        <v>2449.120300035604</v>
      </c>
      <c r="Q78">
        <f t="shared" si="14"/>
        <v>2449.1203000356118</v>
      </c>
      <c r="R78">
        <f t="shared" si="18"/>
        <v>163.21077560808939</v>
      </c>
      <c r="S78">
        <f t="shared" si="19"/>
        <v>13677.117840189498</v>
      </c>
      <c r="T78" s="4">
        <v>0.08</v>
      </c>
      <c r="V78">
        <f>SUM($R$2:R78)</f>
        <v>6548.0479988646648</v>
      </c>
      <c r="W78">
        <f t="shared" si="20"/>
        <v>13.806873864261512</v>
      </c>
      <c r="Z78">
        <f t="shared" si="11"/>
        <v>3.4675434220973932E-2</v>
      </c>
      <c r="AA78" s="4">
        <v>0.3</v>
      </c>
      <c r="AB78">
        <f t="shared" si="15"/>
        <v>45590.392800631664</v>
      </c>
      <c r="AC78">
        <f t="shared" si="21"/>
        <v>18974.007254877844</v>
      </c>
      <c r="AD78" s="4">
        <v>0.2</v>
      </c>
      <c r="AE78">
        <f t="shared" si="16"/>
        <v>3794.801450975569</v>
      </c>
      <c r="AF78">
        <f t="shared" si="17"/>
        <v>1</v>
      </c>
    </row>
    <row r="79" spans="1:32" x14ac:dyDescent="0.15">
      <c r="A79" s="1">
        <v>78</v>
      </c>
      <c r="B79">
        <f t="shared" si="12"/>
        <v>374.65296374482301</v>
      </c>
      <c r="C79" s="4">
        <v>0.08</v>
      </c>
      <c r="D79">
        <f t="shared" si="13"/>
        <v>2645.0499240384524</v>
      </c>
      <c r="Q79">
        <f t="shared" si="14"/>
        <v>2645.0499240384602</v>
      </c>
      <c r="R79">
        <f t="shared" si="18"/>
        <v>166.29022420446842</v>
      </c>
      <c r="S79">
        <f t="shared" si="19"/>
        <v>14771.287267404658</v>
      </c>
      <c r="T79" s="4">
        <v>0.08</v>
      </c>
      <c r="V79">
        <f>SUM($R$2:R79)</f>
        <v>6714.3382230691332</v>
      </c>
      <c r="W79">
        <f t="shared" si="20"/>
        <v>14.157504792875498</v>
      </c>
      <c r="Z79">
        <f t="shared" ref="Z79:Z142" si="22">$W$2/S79</f>
        <v>3.2106883537938828E-2</v>
      </c>
      <c r="AA79" s="4">
        <v>0.3</v>
      </c>
      <c r="AB79">
        <f t="shared" si="15"/>
        <v>49237.624224682193</v>
      </c>
      <c r="AC79">
        <f t="shared" si="21"/>
        <v>20112.447690170517</v>
      </c>
      <c r="AD79" s="4">
        <v>0.2</v>
      </c>
      <c r="AE79">
        <f t="shared" si="16"/>
        <v>4022.4895380341036</v>
      </c>
      <c r="AF79">
        <f t="shared" si="17"/>
        <v>1</v>
      </c>
    </row>
    <row r="80" spans="1:32" x14ac:dyDescent="0.15">
      <c r="A80" s="1">
        <v>79</v>
      </c>
      <c r="B80">
        <f t="shared" si="12"/>
        <v>404.62520084440882</v>
      </c>
      <c r="C80" s="4">
        <v>0.08</v>
      </c>
      <c r="D80">
        <f t="shared" si="13"/>
        <v>2856.6539179615288</v>
      </c>
      <c r="Q80">
        <f t="shared" si="14"/>
        <v>2856.6539179615379</v>
      </c>
      <c r="R80">
        <f t="shared" si="18"/>
        <v>169.42777560455275</v>
      </c>
      <c r="S80">
        <f t="shared" si="19"/>
        <v>15952.99024879703</v>
      </c>
      <c r="T80" s="4">
        <v>0.08</v>
      </c>
      <c r="V80">
        <f>SUM($R$2:R80)</f>
        <v>6883.7659986736862</v>
      </c>
      <c r="W80">
        <f t="shared" si="20"/>
        <v>14.51475139938786</v>
      </c>
      <c r="Z80">
        <f t="shared" si="22"/>
        <v>2.9728595868461875E-2</v>
      </c>
      <c r="AA80" s="4">
        <v>0.3</v>
      </c>
      <c r="AB80">
        <f t="shared" si="15"/>
        <v>53176.634162656766</v>
      </c>
      <c r="AC80">
        <f t="shared" si="21"/>
        <v>21319.194551580749</v>
      </c>
      <c r="AD80" s="4">
        <v>0.2</v>
      </c>
      <c r="AE80">
        <f t="shared" si="16"/>
        <v>4263.8389103161498</v>
      </c>
      <c r="AF80">
        <f t="shared" si="17"/>
        <v>1</v>
      </c>
    </row>
    <row r="81" spans="1:32" x14ac:dyDescent="0.15">
      <c r="A81" s="1">
        <v>80</v>
      </c>
      <c r="B81">
        <f t="shared" si="12"/>
        <v>436.99521691196151</v>
      </c>
      <c r="C81" s="4">
        <v>0.08</v>
      </c>
      <c r="D81">
        <f t="shared" si="13"/>
        <v>3085.1862313984511</v>
      </c>
      <c r="Q81">
        <f t="shared" si="14"/>
        <v>3085.1862313984611</v>
      </c>
      <c r="R81">
        <f t="shared" si="18"/>
        <v>172.62452608765747</v>
      </c>
      <c r="S81">
        <f t="shared" si="19"/>
        <v>17229.229468700792</v>
      </c>
      <c r="T81" s="4">
        <v>0.08</v>
      </c>
      <c r="V81">
        <f>SUM($R$2:R81)</f>
        <v>7056.3905247613438</v>
      </c>
      <c r="W81">
        <f t="shared" si="20"/>
        <v>14.878738507909889</v>
      </c>
      <c r="Z81">
        <f t="shared" si="22"/>
        <v>2.752647765598322E-2</v>
      </c>
      <c r="AA81" s="4">
        <v>0.3</v>
      </c>
      <c r="AB81">
        <f t="shared" si="15"/>
        <v>57430.764895669308</v>
      </c>
      <c r="AC81">
        <f t="shared" si="21"/>
        <v>22598.346224675595</v>
      </c>
      <c r="AD81" s="4">
        <v>0.2</v>
      </c>
      <c r="AE81">
        <f t="shared" si="16"/>
        <v>4519.6692449351194</v>
      </c>
      <c r="AF81">
        <f t="shared" si="17"/>
        <v>1</v>
      </c>
    </row>
    <row r="82" spans="1:32" x14ac:dyDescent="0.15">
      <c r="A82" s="1">
        <v>81</v>
      </c>
      <c r="B82">
        <f t="shared" si="12"/>
        <v>471.95483426491842</v>
      </c>
      <c r="C82" s="4">
        <v>0.08</v>
      </c>
      <c r="D82">
        <f t="shared" si="13"/>
        <v>3332.0011299103271</v>
      </c>
      <c r="Q82">
        <f t="shared" si="14"/>
        <v>3332.001129910338</v>
      </c>
      <c r="R82">
        <f t="shared" si="18"/>
        <v>175.88159261761334</v>
      </c>
      <c r="S82">
        <f t="shared" si="19"/>
        <v>18607.567826196857</v>
      </c>
      <c r="T82" s="4">
        <v>0.08</v>
      </c>
      <c r="V82">
        <f>SUM($R$2:R82)</f>
        <v>7232.2721173789569</v>
      </c>
      <c r="W82">
        <f t="shared" si="20"/>
        <v>15.249593297724786</v>
      </c>
      <c r="Z82">
        <f t="shared" si="22"/>
        <v>2.5487479311095573E-2</v>
      </c>
      <c r="AA82" s="4">
        <v>0.3</v>
      </c>
      <c r="AB82">
        <f t="shared" si="15"/>
        <v>62025.226087322859</v>
      </c>
      <c r="AC82">
        <f t="shared" si="21"/>
        <v>23954.246998156133</v>
      </c>
      <c r="AD82" s="4">
        <v>0.2</v>
      </c>
      <c r="AE82">
        <f t="shared" si="16"/>
        <v>4790.8493996312272</v>
      </c>
      <c r="AF82">
        <f t="shared" si="17"/>
        <v>1</v>
      </c>
    </row>
    <row r="83" spans="1:32" x14ac:dyDescent="0.15">
      <c r="A83" s="1">
        <v>82</v>
      </c>
      <c r="B83">
        <f t="shared" si="12"/>
        <v>509.71122100611188</v>
      </c>
      <c r="C83" s="4">
        <v>0.08</v>
      </c>
      <c r="D83">
        <f t="shared" si="13"/>
        <v>3598.5612203031533</v>
      </c>
      <c r="Q83">
        <f t="shared" si="14"/>
        <v>3598.5612203031651</v>
      </c>
      <c r="R83">
        <f t="shared" si="18"/>
        <v>179.20011323303999</v>
      </c>
      <c r="S83">
        <f t="shared" si="19"/>
        <v>20096.173252292607</v>
      </c>
      <c r="T83" s="4">
        <v>0.08</v>
      </c>
      <c r="V83">
        <f>SUM($R$2:R83)</f>
        <v>7411.4722306119966</v>
      </c>
      <c r="W83">
        <f t="shared" si="20"/>
        <v>15.627445347724869</v>
      </c>
      <c r="Z83">
        <f t="shared" si="22"/>
        <v>2.3599517880644048E-2</v>
      </c>
      <c r="AA83" s="4">
        <v>0.3</v>
      </c>
      <c r="AB83">
        <f t="shared" si="15"/>
        <v>66987.244174308697</v>
      </c>
      <c r="AC83">
        <f t="shared" si="21"/>
        <v>25391.501818045504</v>
      </c>
      <c r="AD83" s="4">
        <v>0.2</v>
      </c>
      <c r="AE83">
        <f t="shared" si="16"/>
        <v>5078.3003636091016</v>
      </c>
      <c r="AF83">
        <f t="shared" si="17"/>
        <v>1</v>
      </c>
    </row>
    <row r="84" spans="1:32" x14ac:dyDescent="0.15">
      <c r="A84" s="1">
        <v>83</v>
      </c>
      <c r="B84">
        <f t="shared" si="12"/>
        <v>550.48811868660084</v>
      </c>
      <c r="C84" s="4">
        <v>0.08</v>
      </c>
      <c r="D84">
        <f t="shared" si="13"/>
        <v>3886.4461179274058</v>
      </c>
      <c r="Q84">
        <f t="shared" si="14"/>
        <v>3886.4461179274185</v>
      </c>
      <c r="R84">
        <f t="shared" si="18"/>
        <v>182.58124744498417</v>
      </c>
      <c r="S84">
        <f t="shared" si="19"/>
        <v>21703.867112476019</v>
      </c>
      <c r="T84" s="4">
        <v>0.08</v>
      </c>
      <c r="V84">
        <f>SUM($R$2:R84)</f>
        <v>7594.0534780569806</v>
      </c>
      <c r="W84">
        <f t="shared" si="20"/>
        <v>16.01242668168722</v>
      </c>
      <c r="Z84">
        <f t="shared" si="22"/>
        <v>2.1851405445040779E-2</v>
      </c>
      <c r="AA84" s="4">
        <v>0.3</v>
      </c>
      <c r="AB84">
        <f t="shared" si="15"/>
        <v>72346.223708253397</v>
      </c>
      <c r="AC84">
        <f t="shared" si="21"/>
        <v>26914.991927128238</v>
      </c>
      <c r="AD84" s="4">
        <v>0.2</v>
      </c>
      <c r="AE84">
        <f t="shared" si="16"/>
        <v>5382.9983854256479</v>
      </c>
      <c r="AF84">
        <f t="shared" si="17"/>
        <v>1</v>
      </c>
    </row>
    <row r="85" spans="1:32" x14ac:dyDescent="0.15">
      <c r="A85" s="1">
        <v>84</v>
      </c>
      <c r="B85">
        <f t="shared" si="12"/>
        <v>594.52716818152885</v>
      </c>
      <c r="C85" s="4">
        <v>0.08</v>
      </c>
      <c r="D85">
        <f t="shared" si="13"/>
        <v>4197.361807361598</v>
      </c>
      <c r="Q85">
        <f t="shared" si="14"/>
        <v>4197.3618073616126</v>
      </c>
      <c r="R85">
        <f t="shared" si="18"/>
        <v>186.02617664205931</v>
      </c>
      <c r="S85">
        <f t="shared" si="19"/>
        <v>23440.1764814741</v>
      </c>
      <c r="T85" s="4">
        <v>0.08</v>
      </c>
      <c r="V85">
        <f>SUM($R$2:R85)</f>
        <v>7780.0796546990396</v>
      </c>
      <c r="W85">
        <f t="shared" si="20"/>
        <v>16.404671814403574</v>
      </c>
      <c r="Z85">
        <f t="shared" si="22"/>
        <v>2.0232782819482206E-2</v>
      </c>
      <c r="AA85" s="4">
        <v>0.3</v>
      </c>
      <c r="AB85">
        <f t="shared" si="15"/>
        <v>78133.921604913674</v>
      </c>
      <c r="AC85">
        <f t="shared" si="21"/>
        <v>28529.891442755932</v>
      </c>
      <c r="AD85" s="4">
        <v>0.2</v>
      </c>
      <c r="AE85">
        <f t="shared" si="16"/>
        <v>5705.9782885511868</v>
      </c>
      <c r="AF85">
        <f t="shared" si="17"/>
        <v>1</v>
      </c>
    </row>
    <row r="86" spans="1:32" x14ac:dyDescent="0.15">
      <c r="A86" s="1">
        <v>85</v>
      </c>
      <c r="B86">
        <f t="shared" si="12"/>
        <v>642.08934163605113</v>
      </c>
      <c r="C86" s="4">
        <v>0.08</v>
      </c>
      <c r="D86">
        <f t="shared" si="13"/>
        <v>4533.1507519505258</v>
      </c>
      <c r="Q86">
        <f t="shared" si="14"/>
        <v>4533.1507519505412</v>
      </c>
      <c r="R86">
        <f t="shared" si="18"/>
        <v>189.53610450323023</v>
      </c>
      <c r="S86">
        <f t="shared" si="19"/>
        <v>25315.390599992028</v>
      </c>
      <c r="T86" s="4">
        <v>0.08</v>
      </c>
      <c r="V86">
        <f>SUM($R$2:R86)</f>
        <v>7969.6157592022701</v>
      </c>
      <c r="W86">
        <f t="shared" si="20"/>
        <v>16.804317798680618</v>
      </c>
      <c r="Z86">
        <f t="shared" si="22"/>
        <v>1.8734058166187225E-2</v>
      </c>
      <c r="AA86" s="4">
        <v>0.3</v>
      </c>
      <c r="AB86">
        <f t="shared" si="15"/>
        <v>84384.635333306767</v>
      </c>
      <c r="AC86">
        <f t="shared" si="21"/>
        <v>30241.684929321291</v>
      </c>
      <c r="AD86" s="4">
        <v>0.2</v>
      </c>
      <c r="AE86">
        <f t="shared" si="16"/>
        <v>6048.3369858642582</v>
      </c>
      <c r="AF86">
        <f t="shared" si="17"/>
        <v>1</v>
      </c>
    </row>
    <row r="87" spans="1:32" x14ac:dyDescent="0.15">
      <c r="A87" s="1">
        <v>86</v>
      </c>
      <c r="B87">
        <f t="shared" si="12"/>
        <v>693.45648896693524</v>
      </c>
      <c r="C87" s="4">
        <v>0.08</v>
      </c>
      <c r="D87">
        <f t="shared" si="13"/>
        <v>4895.8028121065681</v>
      </c>
      <c r="Q87">
        <f t="shared" si="14"/>
        <v>4895.8028121065854</v>
      </c>
      <c r="R87">
        <f t="shared" si="18"/>
        <v>193.1122574183855</v>
      </c>
      <c r="S87">
        <f t="shared" si="19"/>
        <v>27340.621847991391</v>
      </c>
      <c r="T87" s="4">
        <v>0.08</v>
      </c>
      <c r="V87">
        <f>SUM($R$2:R87)</f>
        <v>8162.7280166206556</v>
      </c>
      <c r="W87">
        <f t="shared" si="20"/>
        <v>17.211504273227039</v>
      </c>
      <c r="Z87">
        <f t="shared" si="22"/>
        <v>1.734635015387706E-2</v>
      </c>
      <c r="AA87" s="4">
        <v>0.3</v>
      </c>
      <c r="AB87">
        <f t="shared" si="15"/>
        <v>91135.406159971302</v>
      </c>
      <c r="AC87">
        <f t="shared" si="21"/>
        <v>32056.186025080569</v>
      </c>
      <c r="AD87" s="4">
        <v>0.2</v>
      </c>
      <c r="AE87">
        <f t="shared" si="16"/>
        <v>6411.2372050161139</v>
      </c>
      <c r="AF87">
        <f t="shared" si="17"/>
        <v>1</v>
      </c>
    </row>
    <row r="88" spans="1:32" x14ac:dyDescent="0.15">
      <c r="A88" s="1">
        <v>87</v>
      </c>
      <c r="B88">
        <f t="shared" si="12"/>
        <v>748.93300808429001</v>
      </c>
      <c r="C88" s="4">
        <v>0.08</v>
      </c>
      <c r="D88">
        <f t="shared" si="13"/>
        <v>5287.4670370750937</v>
      </c>
      <c r="Q88">
        <f t="shared" si="14"/>
        <v>5287.4670370751119</v>
      </c>
      <c r="R88">
        <f t="shared" si="18"/>
        <v>196.75588491684559</v>
      </c>
      <c r="S88">
        <f t="shared" si="19"/>
        <v>29527.871595830704</v>
      </c>
      <c r="T88" s="4">
        <v>0.08</v>
      </c>
      <c r="V88">
        <f>SUM($R$2:R88)</f>
        <v>8359.4839015375019</v>
      </c>
      <c r="W88">
        <f t="shared" si="20"/>
        <v>17.62637351144415</v>
      </c>
      <c r="Z88">
        <f t="shared" si="22"/>
        <v>1.6061435327663943E-2</v>
      </c>
      <c r="AA88" s="4">
        <v>0.3</v>
      </c>
      <c r="AB88">
        <f t="shared" si="15"/>
        <v>98426.238652769011</v>
      </c>
      <c r="AC88">
        <f t="shared" si="21"/>
        <v>33979.557186585407</v>
      </c>
      <c r="AD88" s="4">
        <v>0.2</v>
      </c>
      <c r="AE88">
        <f t="shared" si="16"/>
        <v>6795.9114373170814</v>
      </c>
      <c r="AF88">
        <f t="shared" si="17"/>
        <v>1</v>
      </c>
    </row>
    <row r="89" spans="1:32" x14ac:dyDescent="0.15">
      <c r="A89" s="1">
        <v>88</v>
      </c>
      <c r="B89">
        <f t="shared" si="12"/>
        <v>808.84764873103325</v>
      </c>
      <c r="C89" s="4">
        <v>0.08</v>
      </c>
      <c r="D89">
        <f t="shared" si="13"/>
        <v>5710.4644000411008</v>
      </c>
      <c r="Q89">
        <f t="shared" si="14"/>
        <v>5710.4644000411217</v>
      </c>
      <c r="R89">
        <f t="shared" si="18"/>
        <v>200.46826010395588</v>
      </c>
      <c r="S89">
        <f t="shared" si="19"/>
        <v>31890.101323497162</v>
      </c>
      <c r="T89" s="4">
        <v>0.08</v>
      </c>
      <c r="V89">
        <f>SUM($R$2:R89)</f>
        <v>8559.9521616414586</v>
      </c>
      <c r="W89">
        <f t="shared" si="20"/>
        <v>18.049070471137053</v>
      </c>
      <c r="Z89">
        <f t="shared" si="22"/>
        <v>1.4871699377466614E-2</v>
      </c>
      <c r="AA89" s="4">
        <v>0.3</v>
      </c>
      <c r="AB89">
        <f t="shared" si="15"/>
        <v>106300.33774499054</v>
      </c>
      <c r="AC89">
        <f t="shared" si="21"/>
        <v>36018.330617780535</v>
      </c>
      <c r="AD89" s="4">
        <v>0.2</v>
      </c>
      <c r="AE89">
        <f t="shared" si="16"/>
        <v>7203.6661235561078</v>
      </c>
      <c r="AF89">
        <f t="shared" si="17"/>
        <v>1</v>
      </c>
    </row>
    <row r="90" spans="1:32" x14ac:dyDescent="0.15">
      <c r="A90" s="1">
        <v>89</v>
      </c>
      <c r="B90">
        <f t="shared" si="12"/>
        <v>873.55546062951589</v>
      </c>
      <c r="C90" s="4">
        <v>0.08</v>
      </c>
      <c r="D90">
        <f t="shared" si="13"/>
        <v>6167.3015520443887</v>
      </c>
      <c r="Q90">
        <f t="shared" si="14"/>
        <v>6167.3015520444114</v>
      </c>
      <c r="R90">
        <f t="shared" si="18"/>
        <v>204.25068010591735</v>
      </c>
      <c r="S90">
        <f t="shared" si="19"/>
        <v>34441.309429376939</v>
      </c>
      <c r="T90" s="4">
        <v>0.08</v>
      </c>
      <c r="V90">
        <f>SUM($R$2:R90)</f>
        <v>8764.2028417473757</v>
      </c>
      <c r="W90">
        <f t="shared" si="20"/>
        <v>18.479742845163784</v>
      </c>
      <c r="Z90">
        <f t="shared" si="22"/>
        <v>1.377009201617279E-2</v>
      </c>
      <c r="AA90" s="4">
        <v>0.3</v>
      </c>
      <c r="AB90">
        <f t="shared" si="15"/>
        <v>114804.3647645898</v>
      </c>
      <c r="AC90">
        <f t="shared" si="21"/>
        <v>38179.430454847366</v>
      </c>
      <c r="AD90" s="4">
        <v>0.2</v>
      </c>
      <c r="AE90">
        <f t="shared" si="16"/>
        <v>7635.886090969474</v>
      </c>
      <c r="AF90">
        <f t="shared" si="17"/>
        <v>1</v>
      </c>
    </row>
    <row r="91" spans="1:32" x14ac:dyDescent="0.15">
      <c r="A91" s="1">
        <v>90</v>
      </c>
      <c r="B91">
        <f t="shared" si="12"/>
        <v>943.43989747987712</v>
      </c>
      <c r="C91" s="4">
        <v>0.08</v>
      </c>
      <c r="D91">
        <f t="shared" si="13"/>
        <v>6660.6856762079397</v>
      </c>
      <c r="Q91">
        <f t="shared" si="14"/>
        <v>6660.6856762079651</v>
      </c>
      <c r="R91">
        <f t="shared" si="18"/>
        <v>208.10446652301019</v>
      </c>
      <c r="S91">
        <f t="shared" si="19"/>
        <v>37196.614183727099</v>
      </c>
      <c r="T91" s="4">
        <v>0.08</v>
      </c>
      <c r="V91">
        <f>SUM($R$2:R91)</f>
        <v>8972.3073082703868</v>
      </c>
      <c r="W91">
        <f t="shared" si="20"/>
        <v>18.918541113040078</v>
      </c>
      <c r="Z91">
        <f t="shared" si="22"/>
        <v>1.2750085200159989E-2</v>
      </c>
      <c r="AA91" s="4">
        <v>0.3</v>
      </c>
      <c r="AB91">
        <f t="shared" si="15"/>
        <v>123988.713945757</v>
      </c>
      <c r="AC91">
        <f t="shared" si="21"/>
        <v>40470.196282138211</v>
      </c>
      <c r="AD91" s="4">
        <v>0.2</v>
      </c>
      <c r="AE91">
        <f t="shared" si="16"/>
        <v>8094.0392564276426</v>
      </c>
      <c r="AF91">
        <f t="shared" si="17"/>
        <v>1</v>
      </c>
    </row>
    <row r="92" spans="1:32" x14ac:dyDescent="0.15">
      <c r="A92" s="1">
        <v>91</v>
      </c>
      <c r="B92">
        <f t="shared" si="12"/>
        <v>1018.9150892782673</v>
      </c>
      <c r="C92" s="4">
        <v>0.08</v>
      </c>
      <c r="D92">
        <f t="shared" si="13"/>
        <v>7193.5405303045745</v>
      </c>
      <c r="Q92">
        <f t="shared" si="14"/>
        <v>7193.5405303046018</v>
      </c>
      <c r="R92">
        <f t="shared" si="18"/>
        <v>212.03096589136888</v>
      </c>
      <c r="S92">
        <f t="shared" si="19"/>
        <v>40172.343318425272</v>
      </c>
      <c r="T92" s="4">
        <v>0.08</v>
      </c>
      <c r="V92">
        <f>SUM($R$2:R92)</f>
        <v>9184.3382741617552</v>
      </c>
      <c r="W92">
        <f t="shared" si="20"/>
        <v>19.365618593517809</v>
      </c>
      <c r="Z92">
        <f t="shared" si="22"/>
        <v>1.180563444459258E-2</v>
      </c>
      <c r="AA92" s="4">
        <v>0.3</v>
      </c>
      <c r="AB92">
        <f t="shared" si="15"/>
        <v>133907.81106141757</v>
      </c>
      <c r="AC92">
        <f t="shared" si="21"/>
        <v>42898.408059066503</v>
      </c>
      <c r="AD92" s="4">
        <v>0.2</v>
      </c>
      <c r="AE92">
        <f t="shared" si="16"/>
        <v>8579.6816118133011</v>
      </c>
      <c r="AF92">
        <f t="shared" si="17"/>
        <v>1</v>
      </c>
    </row>
    <row r="93" spans="1:32" x14ac:dyDescent="0.15">
      <c r="A93" s="1">
        <v>92</v>
      </c>
      <c r="B93">
        <f t="shared" si="12"/>
        <v>1100.4282964205286</v>
      </c>
      <c r="C93" s="4">
        <v>0.08</v>
      </c>
      <c r="D93">
        <f t="shared" si="13"/>
        <v>7769.0237727289405</v>
      </c>
      <c r="Q93">
        <f t="shared" si="14"/>
        <v>7769.0237727289696</v>
      </c>
      <c r="R93">
        <f t="shared" si="18"/>
        <v>216.03155015347014</v>
      </c>
      <c r="S93">
        <f t="shared" si="19"/>
        <v>43386.130783899294</v>
      </c>
      <c r="T93" s="4">
        <v>0.08</v>
      </c>
      <c r="V93">
        <f>SUM($R$2:R93)</f>
        <v>9400.3698243152248</v>
      </c>
      <c r="W93">
        <f t="shared" si="20"/>
        <v>19.821131498155495</v>
      </c>
      <c r="Z93">
        <f t="shared" si="22"/>
        <v>1.0931143004252389E-2</v>
      </c>
      <c r="AA93" s="4">
        <v>0.3</v>
      </c>
      <c r="AB93">
        <f t="shared" si="15"/>
        <v>144620.43594633098</v>
      </c>
      <c r="AC93">
        <f t="shared" si="21"/>
        <v>45472.312542610496</v>
      </c>
      <c r="AD93" s="4">
        <v>0.2</v>
      </c>
      <c r="AE93">
        <f t="shared" si="16"/>
        <v>9094.4625085220996</v>
      </c>
      <c r="AF93">
        <f t="shared" si="17"/>
        <v>1</v>
      </c>
    </row>
    <row r="94" spans="1:32" x14ac:dyDescent="0.15">
      <c r="A94" s="1">
        <v>93</v>
      </c>
      <c r="B94">
        <f t="shared" si="12"/>
        <v>1188.4625601341709</v>
      </c>
      <c r="C94" s="4">
        <v>0.08</v>
      </c>
      <c r="D94">
        <f t="shared" si="13"/>
        <v>8390.5456745472547</v>
      </c>
      <c r="Q94">
        <f t="shared" si="14"/>
        <v>8390.5456745472875</v>
      </c>
      <c r="R94">
        <f t="shared" si="18"/>
        <v>220.1076171374979</v>
      </c>
      <c r="S94">
        <f t="shared" si="19"/>
        <v>46857.021246611243</v>
      </c>
      <c r="T94" s="4">
        <v>0.08</v>
      </c>
      <c r="V94">
        <f>SUM($R$2:R94)</f>
        <v>9620.4774414527219</v>
      </c>
      <c r="W94">
        <f t="shared" si="20"/>
        <v>20.285238985899554</v>
      </c>
      <c r="Z94">
        <f t="shared" si="22"/>
        <v>1.01214287076411E-2</v>
      </c>
      <c r="AA94" s="4">
        <v>0.3</v>
      </c>
      <c r="AB94">
        <f t="shared" si="15"/>
        <v>156190.07082203749</v>
      </c>
      <c r="AC94">
        <f t="shared" si="21"/>
        <v>48200.651295167125</v>
      </c>
      <c r="AD94" s="4">
        <v>0.2</v>
      </c>
      <c r="AE94">
        <f t="shared" si="16"/>
        <v>9640.1302590334253</v>
      </c>
      <c r="AF94">
        <f t="shared" si="17"/>
        <v>1</v>
      </c>
    </row>
    <row r="95" spans="1:32" x14ac:dyDescent="0.15">
      <c r="A95" s="1">
        <v>94</v>
      </c>
      <c r="B95">
        <f t="shared" si="12"/>
        <v>1283.5395649449044</v>
      </c>
      <c r="C95" s="4">
        <v>0.08</v>
      </c>
      <c r="D95">
        <f t="shared" si="13"/>
        <v>9061.7893285110349</v>
      </c>
      <c r="Q95">
        <f t="shared" si="14"/>
        <v>9061.7893285110713</v>
      </c>
      <c r="R95">
        <f t="shared" si="18"/>
        <v>224.26059104575256</v>
      </c>
      <c r="S95">
        <f t="shared" si="19"/>
        <v>50605.582946340146</v>
      </c>
      <c r="T95" s="4">
        <v>0.08</v>
      </c>
      <c r="V95">
        <f>SUM($R$2:R95)</f>
        <v>9844.7380324984751</v>
      </c>
      <c r="W95">
        <f t="shared" si="20"/>
        <v>20.758103218695389</v>
      </c>
      <c r="Z95">
        <f t="shared" si="22"/>
        <v>9.3716932478158325E-3</v>
      </c>
      <c r="AA95" s="4">
        <v>0.3</v>
      </c>
      <c r="AB95">
        <f t="shared" si="15"/>
        <v>168685.2764878005</v>
      </c>
      <c r="AC95">
        <f t="shared" si="21"/>
        <v>51092.690372877158</v>
      </c>
      <c r="AD95" s="4">
        <v>0.2</v>
      </c>
      <c r="AE95">
        <f t="shared" si="16"/>
        <v>10218.538074575432</v>
      </c>
      <c r="AF95">
        <f t="shared" si="17"/>
        <v>1</v>
      </c>
    </row>
    <row r="96" spans="1:32" x14ac:dyDescent="0.15">
      <c r="A96" s="1">
        <v>95</v>
      </c>
      <c r="B96">
        <f t="shared" si="12"/>
        <v>1386.2227301404969</v>
      </c>
      <c r="C96" s="4">
        <v>0.08</v>
      </c>
      <c r="D96">
        <f t="shared" si="13"/>
        <v>9786.7324747919174</v>
      </c>
      <c r="Q96">
        <f t="shared" si="14"/>
        <v>9786.7324747919592</v>
      </c>
      <c r="R96">
        <f t="shared" si="18"/>
        <v>228.49192295227621</v>
      </c>
      <c r="S96">
        <f t="shared" si="19"/>
        <v>54654.029582047362</v>
      </c>
      <c r="T96" s="4">
        <v>0.08</v>
      </c>
      <c r="V96">
        <f>SUM($R$2:R96)</f>
        <v>10073.229955450752</v>
      </c>
      <c r="W96">
        <f t="shared" si="20"/>
        <v>21.239889418147751</v>
      </c>
      <c r="Z96">
        <f t="shared" si="22"/>
        <v>8.6774937479776222E-3</v>
      </c>
      <c r="AA96" s="4">
        <v>0.3</v>
      </c>
      <c r="AB96">
        <f t="shared" si="15"/>
        <v>182180.09860682455</v>
      </c>
      <c r="AC96">
        <f t="shared" si="21"/>
        <v>54158.251795249787</v>
      </c>
      <c r="AD96" s="4">
        <v>0.2</v>
      </c>
      <c r="AE96">
        <f t="shared" si="16"/>
        <v>10831.650359049958</v>
      </c>
      <c r="AF96">
        <f t="shared" si="17"/>
        <v>1</v>
      </c>
    </row>
    <row r="97" spans="1:32" x14ac:dyDescent="0.15">
      <c r="A97" s="1">
        <v>96</v>
      </c>
      <c r="B97">
        <f t="shared" si="12"/>
        <v>1497.1205485517366</v>
      </c>
      <c r="C97" s="4">
        <v>0.08</v>
      </c>
      <c r="D97">
        <f t="shared" si="13"/>
        <v>10569.671072775271</v>
      </c>
      <c r="Q97">
        <f t="shared" si="14"/>
        <v>10569.671072775316</v>
      </c>
      <c r="R97">
        <f t="shared" si="18"/>
        <v>232.80309130986629</v>
      </c>
      <c r="S97">
        <f t="shared" si="19"/>
        <v>59026.351948611155</v>
      </c>
      <c r="T97" s="4">
        <v>0.08</v>
      </c>
      <c r="V97">
        <f>SUM($R$2:R97)</f>
        <v>10306.033046760618</v>
      </c>
      <c r="W97">
        <f t="shared" si="20"/>
        <v>21.730765923250154</v>
      </c>
      <c r="Z97">
        <f t="shared" si="22"/>
        <v>8.0347164333126123E-3</v>
      </c>
      <c r="AA97" s="4">
        <v>0.3</v>
      </c>
      <c r="AB97">
        <f t="shared" si="15"/>
        <v>196754.50649537053</v>
      </c>
      <c r="AC97">
        <f t="shared" si="21"/>
        <v>57407.746902964776</v>
      </c>
      <c r="AD97" s="4">
        <v>0.2</v>
      </c>
      <c r="AE97">
        <f t="shared" si="16"/>
        <v>11481.549380592956</v>
      </c>
      <c r="AF97">
        <f t="shared" si="17"/>
        <v>1</v>
      </c>
    </row>
    <row r="98" spans="1:32" x14ac:dyDescent="0.15">
      <c r="A98" s="1">
        <v>97</v>
      </c>
      <c r="B98">
        <f t="shared" si="12"/>
        <v>1616.8901924358756</v>
      </c>
      <c r="C98" s="4">
        <v>0.08</v>
      </c>
      <c r="D98">
        <f t="shared" si="13"/>
        <v>11415.244758597291</v>
      </c>
      <c r="Q98">
        <f t="shared" si="14"/>
        <v>11415.244758597342</v>
      </c>
      <c r="R98">
        <f t="shared" si="18"/>
        <v>237.19560246665628</v>
      </c>
      <c r="S98">
        <f t="shared" si="19"/>
        <v>63748.460104500053</v>
      </c>
      <c r="T98" s="4">
        <v>0.08</v>
      </c>
      <c r="V98">
        <f>SUM($R$2:R98)</f>
        <v>10543.228649227274</v>
      </c>
      <c r="W98">
        <f t="shared" si="20"/>
        <v>22.230904249203547</v>
      </c>
      <c r="Z98">
        <f t="shared" si="22"/>
        <v>7.4395522530672333E-3</v>
      </c>
      <c r="AA98" s="4">
        <v>0.3</v>
      </c>
      <c r="AB98">
        <f t="shared" si="15"/>
        <v>212494.86701500017</v>
      </c>
      <c r="AC98">
        <f t="shared" si="21"/>
        <v>60852.211717142665</v>
      </c>
      <c r="AD98" s="4">
        <v>0.2</v>
      </c>
      <c r="AE98">
        <f t="shared" si="16"/>
        <v>12170.442343428535</v>
      </c>
      <c r="AF98">
        <f t="shared" si="17"/>
        <v>1</v>
      </c>
    </row>
    <row r="99" spans="1:32" x14ac:dyDescent="0.15">
      <c r="A99" s="1">
        <v>98</v>
      </c>
      <c r="B99">
        <f t="shared" si="12"/>
        <v>1746.2414078307456</v>
      </c>
      <c r="C99" s="4">
        <v>0.08</v>
      </c>
      <c r="D99">
        <f t="shared" si="13"/>
        <v>12328.464339285074</v>
      </c>
      <c r="Q99">
        <f t="shared" si="14"/>
        <v>12328.464339285129</v>
      </c>
      <c r="R99">
        <f t="shared" si="18"/>
        <v>241.67099119244227</v>
      </c>
      <c r="S99">
        <f t="shared" si="19"/>
        <v>68848.336912860061</v>
      </c>
      <c r="T99" s="4">
        <v>0.08</v>
      </c>
      <c r="V99">
        <f>SUM($R$2:R99)</f>
        <v>10784.899640419717</v>
      </c>
      <c r="W99">
        <f t="shared" si="20"/>
        <v>22.740479147344743</v>
      </c>
      <c r="Z99">
        <f t="shared" si="22"/>
        <v>6.8884743083955854E-3</v>
      </c>
      <c r="AA99" s="4">
        <v>0.3</v>
      </c>
      <c r="AB99">
        <f t="shared" si="15"/>
        <v>229494.45637620022</v>
      </c>
      <c r="AC99">
        <f t="shared" si="21"/>
        <v>64503.344420171226</v>
      </c>
      <c r="AD99" s="4">
        <v>0.2</v>
      </c>
      <c r="AE99">
        <f t="shared" si="16"/>
        <v>12900.668884034247</v>
      </c>
      <c r="AF99">
        <f t="shared" si="17"/>
        <v>1</v>
      </c>
    </row>
    <row r="100" spans="1:32" x14ac:dyDescent="0.15">
      <c r="A100" s="1">
        <v>99</v>
      </c>
      <c r="B100">
        <f t="shared" si="12"/>
        <v>1885.9407204572053</v>
      </c>
      <c r="C100" s="4">
        <v>0.08</v>
      </c>
      <c r="D100">
        <f t="shared" si="13"/>
        <v>13314.74148642788</v>
      </c>
      <c r="Q100">
        <f t="shared" si="14"/>
        <v>13314.74148642794</v>
      </c>
      <c r="R100">
        <f t="shared" si="18"/>
        <v>246.23082121494116</v>
      </c>
      <c r="S100">
        <f t="shared" si="19"/>
        <v>74356.203865888863</v>
      </c>
      <c r="T100" s="4">
        <v>0.08</v>
      </c>
      <c r="V100">
        <f>SUM($R$2:R100)</f>
        <v>11031.130461634659</v>
      </c>
      <c r="W100">
        <f t="shared" si="20"/>
        <v>23.259668666205581</v>
      </c>
      <c r="Z100">
        <f t="shared" si="22"/>
        <v>6.378216952218135E-3</v>
      </c>
      <c r="AA100" s="4">
        <v>0.3</v>
      </c>
      <c r="AB100">
        <f t="shared" si="15"/>
        <v>247854.01288629623</v>
      </c>
      <c r="AC100">
        <f t="shared" si="21"/>
        <v>68373.545085381498</v>
      </c>
      <c r="AD100" s="4">
        <v>0.2</v>
      </c>
      <c r="AE100">
        <f t="shared" si="16"/>
        <v>13674.7090170763</v>
      </c>
      <c r="AF100">
        <f t="shared" si="17"/>
        <v>1</v>
      </c>
    </row>
    <row r="101" spans="1:32" x14ac:dyDescent="0.15">
      <c r="A101" s="1">
        <v>100</v>
      </c>
      <c r="B101">
        <f t="shared" si="12"/>
        <v>2036.8159780937817</v>
      </c>
      <c r="C101" s="4">
        <v>0.08</v>
      </c>
      <c r="D101">
        <f t="shared" si="13"/>
        <v>14379.92080534211</v>
      </c>
      <c r="Q101">
        <f t="shared" si="14"/>
        <v>14379.920805342177</v>
      </c>
      <c r="R101">
        <f t="shared" si="18"/>
        <v>250.87668576616642</v>
      </c>
      <c r="S101">
        <f t="shared" si="19"/>
        <v>80304.700175159975</v>
      </c>
      <c r="T101" s="4">
        <v>0.08</v>
      </c>
      <c r="V101">
        <f>SUM($R$2:R101)</f>
        <v>11282.007147400825</v>
      </c>
      <c r="W101">
        <f t="shared" si="20"/>
        <v>23.788654213724172</v>
      </c>
      <c r="Z101">
        <f t="shared" si="22"/>
        <v>5.9057564372390139E-3</v>
      </c>
      <c r="AA101" s="4">
        <v>0.3</v>
      </c>
      <c r="AB101">
        <f t="shared" si="15"/>
        <v>267682.33391719993</v>
      </c>
      <c r="AC101">
        <f t="shared" si="21"/>
        <v>72475.957790504399</v>
      </c>
      <c r="AD101" s="4">
        <v>0.2</v>
      </c>
      <c r="AE101">
        <f t="shared" si="16"/>
        <v>14495.19155810088</v>
      </c>
      <c r="AF101">
        <f t="shared" si="17"/>
        <v>1</v>
      </c>
    </row>
    <row r="102" spans="1:32" x14ac:dyDescent="0.15">
      <c r="A102" s="1">
        <v>101</v>
      </c>
      <c r="B102">
        <f t="shared" ref="B102:B165" si="23">B101+B101*C101</f>
        <v>2199.761256341284</v>
      </c>
      <c r="C102" s="4">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4">
        <v>0.08</v>
      </c>
      <c r="V102">
        <f>SUM($R$2:R102)</f>
        <v>11537.617355539938</v>
      </c>
      <c r="W102">
        <f t="shared" ref="W102:W165" si="28">V102/$W$2</f>
        <v>24.327620620629904</v>
      </c>
      <c r="Z102">
        <f t="shared" si="22"/>
        <v>5.468292997443531E-3</v>
      </c>
      <c r="AA102" s="4">
        <v>0.3</v>
      </c>
      <c r="AB102">
        <f t="shared" si="15"/>
        <v>289096.92063057591</v>
      </c>
      <c r="AC102">
        <f t="shared" si="21"/>
        <v>76824.515257934661</v>
      </c>
      <c r="AD102" s="4">
        <v>0.2</v>
      </c>
      <c r="AE102">
        <f t="shared" si="16"/>
        <v>15364.903051586933</v>
      </c>
      <c r="AF102">
        <f t="shared" si="17"/>
        <v>1</v>
      </c>
    </row>
    <row r="103" spans="1:32" x14ac:dyDescent="0.15">
      <c r="A103" s="1">
        <v>102</v>
      </c>
      <c r="B103">
        <f t="shared" si="23"/>
        <v>2375.7421568485865</v>
      </c>
      <c r="C103" s="4">
        <v>0.08</v>
      </c>
      <c r="D103">
        <f t="shared" si="24"/>
        <v>16772.739627351039</v>
      </c>
      <c r="Q103">
        <f t="shared" si="25"/>
        <v>16772.739627351115</v>
      </c>
      <c r="R103">
        <f t="shared" si="26"/>
        <v>260.43304225494529</v>
      </c>
      <c r="S103">
        <f t="shared" si="27"/>
        <v>93667.402284306605</v>
      </c>
      <c r="T103" s="4">
        <v>0.08</v>
      </c>
      <c r="V103">
        <f>SUM($R$2:R103)</f>
        <v>11798.050397794883</v>
      </c>
      <c r="W103">
        <f t="shared" si="28"/>
        <v>24.876756205024424</v>
      </c>
      <c r="Z103">
        <f t="shared" si="22"/>
        <v>5.0632342568921584E-3</v>
      </c>
      <c r="AA103" s="4">
        <v>0.3</v>
      </c>
      <c r="AB103">
        <f t="shared" si="15"/>
        <v>312224.67428102205</v>
      </c>
      <c r="AC103">
        <f t="shared" si="21"/>
        <v>81433.98617341074</v>
      </c>
      <c r="AD103" s="4">
        <v>0.2</v>
      </c>
      <c r="AE103">
        <f t="shared" si="16"/>
        <v>16286.797234682148</v>
      </c>
      <c r="AF103">
        <f t="shared" si="17"/>
        <v>1</v>
      </c>
    </row>
    <row r="104" spans="1:32" x14ac:dyDescent="0.15">
      <c r="A104" s="1">
        <v>103</v>
      </c>
      <c r="B104">
        <f t="shared" si="23"/>
        <v>2565.8015293964736</v>
      </c>
      <c r="C104" s="4">
        <v>0.08</v>
      </c>
      <c r="D104">
        <f t="shared" si="24"/>
        <v>18114.558797539121</v>
      </c>
      <c r="Q104">
        <f t="shared" si="25"/>
        <v>18114.558797539208</v>
      </c>
      <c r="R104">
        <f t="shared" si="26"/>
        <v>265.34687324088759</v>
      </c>
      <c r="S104">
        <f t="shared" si="27"/>
        <v>101160.79446705114</v>
      </c>
      <c r="T104" s="4">
        <v>0.08</v>
      </c>
      <c r="V104">
        <f>SUM($R$2:R104)</f>
        <v>12063.39727103577</v>
      </c>
      <c r="W104">
        <f t="shared" si="28"/>
        <v>25.436252838181105</v>
      </c>
      <c r="Z104">
        <f t="shared" si="22"/>
        <v>4.6881798674927389E-3</v>
      </c>
      <c r="AA104" s="4">
        <v>0.3</v>
      </c>
      <c r="AB104">
        <f t="shared" si="15"/>
        <v>337202.64822350378</v>
      </c>
      <c r="AC104">
        <f t="shared" si="21"/>
        <v>86320.025343815389</v>
      </c>
      <c r="AD104" s="4">
        <v>0.2</v>
      </c>
      <c r="AE104">
        <f t="shared" si="16"/>
        <v>17264.005068763079</v>
      </c>
      <c r="AF104">
        <f t="shared" si="17"/>
        <v>1</v>
      </c>
    </row>
    <row r="105" spans="1:32" x14ac:dyDescent="0.15">
      <c r="A105" s="1">
        <v>104</v>
      </c>
      <c r="B105">
        <f t="shared" si="23"/>
        <v>2771.0656517481916</v>
      </c>
      <c r="C105" s="4">
        <v>0.08</v>
      </c>
      <c r="D105">
        <f t="shared" si="24"/>
        <v>19563.723501342251</v>
      </c>
      <c r="Q105">
        <f t="shared" si="25"/>
        <v>19563.723501342345</v>
      </c>
      <c r="R105">
        <f t="shared" si="26"/>
        <v>270.35341801901751</v>
      </c>
      <c r="S105">
        <f t="shared" si="27"/>
        <v>109253.65802441523</v>
      </c>
      <c r="T105" s="4">
        <v>0.08</v>
      </c>
      <c r="V105">
        <f>SUM($R$2:R105)</f>
        <v>12333.750689054788</v>
      </c>
      <c r="W105">
        <f t="shared" si="28"/>
        <v>26.006306011586027</v>
      </c>
      <c r="Z105">
        <f t="shared" si="22"/>
        <v>4.3409072847154992E-3</v>
      </c>
      <c r="AA105" s="4">
        <v>0.3</v>
      </c>
      <c r="AB105">
        <f t="shared" si="15"/>
        <v>364178.86008138413</v>
      </c>
      <c r="AC105">
        <f t="shared" si="21"/>
        <v>91499.22686444431</v>
      </c>
      <c r="AD105" s="4">
        <v>0.2</v>
      </c>
      <c r="AE105">
        <f t="shared" si="16"/>
        <v>18299.845372888863</v>
      </c>
      <c r="AF105">
        <f t="shared" si="17"/>
        <v>1</v>
      </c>
    </row>
    <row r="106" spans="1:32" x14ac:dyDescent="0.15">
      <c r="A106" s="1">
        <v>105</v>
      </c>
      <c r="B106">
        <f t="shared" si="23"/>
        <v>2992.7509038880471</v>
      </c>
      <c r="C106" s="4">
        <v>0.08</v>
      </c>
      <c r="D106">
        <f t="shared" si="24"/>
        <v>21128.82138144963</v>
      </c>
      <c r="Q106">
        <f t="shared" si="25"/>
        <v>21128.821381449732</v>
      </c>
      <c r="R106">
        <f t="shared" si="26"/>
        <v>275.45442590616886</v>
      </c>
      <c r="S106">
        <f t="shared" si="27"/>
        <v>117993.95066636846</v>
      </c>
      <c r="T106" s="4">
        <v>0.08</v>
      </c>
      <c r="V106">
        <f>SUM($R$2:R106)</f>
        <v>12609.205114960958</v>
      </c>
      <c r="W106">
        <f t="shared" si="28"/>
        <v>26.587114905243872</v>
      </c>
      <c r="Z106">
        <f t="shared" si="22"/>
        <v>4.0193585969587947E-3</v>
      </c>
      <c r="AA106" s="4">
        <v>0.3</v>
      </c>
      <c r="AB106">
        <f t="shared" si="15"/>
        <v>393313.16888789489</v>
      </c>
      <c r="AC106">
        <f t="shared" si="21"/>
        <v>96989.180476310969</v>
      </c>
      <c r="AD106" s="4">
        <v>0.2</v>
      </c>
      <c r="AE106">
        <f t="shared" si="16"/>
        <v>19397.836095262195</v>
      </c>
      <c r="AF106">
        <f t="shared" si="17"/>
        <v>1</v>
      </c>
    </row>
    <row r="107" spans="1:32" x14ac:dyDescent="0.15">
      <c r="A107" s="1">
        <v>106</v>
      </c>
      <c r="B107">
        <f t="shared" si="23"/>
        <v>3232.170976199091</v>
      </c>
      <c r="C107" s="4">
        <v>0.08</v>
      </c>
      <c r="D107">
        <f t="shared" si="24"/>
        <v>22819.127091965602</v>
      </c>
      <c r="Q107">
        <f t="shared" si="25"/>
        <v>22819.127091965714</v>
      </c>
      <c r="R107">
        <f t="shared" si="26"/>
        <v>280.65167922515326</v>
      </c>
      <c r="S107">
        <f t="shared" si="27"/>
        <v>127433.46671967795</v>
      </c>
      <c r="T107" s="4">
        <v>0.08</v>
      </c>
      <c r="V107">
        <f>SUM($R$2:R107)</f>
        <v>12889.856794186111</v>
      </c>
      <c r="W107">
        <f t="shared" si="28"/>
        <v>27.178882457272618</v>
      </c>
      <c r="Z107">
        <f t="shared" si="22"/>
        <v>3.7216283305174023E-3</v>
      </c>
      <c r="AA107" s="4">
        <v>0.3</v>
      </c>
      <c r="AB107">
        <f t="shared" si="15"/>
        <v>424778.2223989265</v>
      </c>
      <c r="AC107">
        <f t="shared" si="21"/>
        <v>102808.53130488964</v>
      </c>
      <c r="AD107" s="4">
        <v>0.2</v>
      </c>
      <c r="AE107">
        <f t="shared" si="16"/>
        <v>20561.706260977928</v>
      </c>
      <c r="AF107">
        <f t="shared" si="17"/>
        <v>1</v>
      </c>
    </row>
    <row r="108" spans="1:32" x14ac:dyDescent="0.15">
      <c r="A108" s="1">
        <v>107</v>
      </c>
      <c r="B108">
        <f t="shared" si="23"/>
        <v>3490.7446542950183</v>
      </c>
      <c r="C108" s="4">
        <v>0.08</v>
      </c>
      <c r="D108">
        <f t="shared" si="24"/>
        <v>24644.657259322848</v>
      </c>
      <c r="Q108">
        <f t="shared" si="25"/>
        <v>24644.657259322968</v>
      </c>
      <c r="R108">
        <f t="shared" si="26"/>
        <v>285.9469939275146</v>
      </c>
      <c r="S108">
        <f t="shared" si="27"/>
        <v>137628.14405725218</v>
      </c>
      <c r="T108" s="4">
        <v>0.08</v>
      </c>
      <c r="V108">
        <f>SUM($R$2:R108)</f>
        <v>13175.803788113626</v>
      </c>
      <c r="W108">
        <f t="shared" si="28"/>
        <v>27.781815434811339</v>
      </c>
      <c r="Z108">
        <f t="shared" si="22"/>
        <v>3.4459521578864838E-3</v>
      </c>
      <c r="AA108" s="4">
        <v>0.3</v>
      </c>
      <c r="AB108">
        <f t="shared" si="15"/>
        <v>458760.48019084061</v>
      </c>
      <c r="AC108">
        <f t="shared" si="21"/>
        <v>108977.04318318302</v>
      </c>
      <c r="AD108" s="4">
        <v>0.2</v>
      </c>
      <c r="AE108">
        <f t="shared" si="16"/>
        <v>21795.408636636606</v>
      </c>
      <c r="AF108">
        <f t="shared" si="17"/>
        <v>1</v>
      </c>
    </row>
    <row r="109" spans="1:32" x14ac:dyDescent="0.15">
      <c r="A109" s="1">
        <v>108</v>
      </c>
      <c r="B109">
        <f t="shared" si="23"/>
        <v>3770.0042266386199</v>
      </c>
      <c r="C109" s="4">
        <v>0.08</v>
      </c>
      <c r="D109">
        <f t="shared" si="24"/>
        <v>26616.229840068678</v>
      </c>
      <c r="Q109">
        <f t="shared" si="25"/>
        <v>26616.229840068805</v>
      </c>
      <c r="R109">
        <f t="shared" si="26"/>
        <v>291.34222022803368</v>
      </c>
      <c r="S109">
        <f t="shared" si="27"/>
        <v>148638.39558183236</v>
      </c>
      <c r="T109" s="4">
        <v>0.08</v>
      </c>
      <c r="V109">
        <f>SUM($R$2:R109)</f>
        <v>13467.14600834166</v>
      </c>
      <c r="W109">
        <f t="shared" si="28"/>
        <v>28.396124506265888</v>
      </c>
      <c r="Z109">
        <f t="shared" si="22"/>
        <v>3.1906964424874848E-3</v>
      </c>
      <c r="AA109" s="4">
        <v>0.3</v>
      </c>
      <c r="AB109">
        <f t="shared" si="15"/>
        <v>495461.3186061079</v>
      </c>
      <c r="AC109">
        <f t="shared" si="21"/>
        <v>115515.66577417401</v>
      </c>
      <c r="AD109" s="4">
        <v>0.2</v>
      </c>
      <c r="AE109">
        <f t="shared" si="16"/>
        <v>23103.133154834803</v>
      </c>
      <c r="AF109">
        <f t="shared" si="17"/>
        <v>1</v>
      </c>
    </row>
    <row r="110" spans="1:32" x14ac:dyDescent="0.15">
      <c r="A110" s="1">
        <v>109</v>
      </c>
      <c r="B110">
        <f t="shared" si="23"/>
        <v>4071.6045647697097</v>
      </c>
      <c r="C110" s="4">
        <v>0.08</v>
      </c>
      <c r="D110">
        <f t="shared" si="24"/>
        <v>28745.528227274172</v>
      </c>
      <c r="Q110">
        <f t="shared" si="25"/>
        <v>28745.528227274317</v>
      </c>
      <c r="R110">
        <f t="shared" si="26"/>
        <v>296.83924325120415</v>
      </c>
      <c r="S110">
        <f t="shared" si="27"/>
        <v>160529.46722837896</v>
      </c>
      <c r="T110" s="4">
        <v>0.08</v>
      </c>
      <c r="V110">
        <f>SUM($R$2:R110)</f>
        <v>13763.985251592865</v>
      </c>
      <c r="W110">
        <f t="shared" si="28"/>
        <v>29.022024314917694</v>
      </c>
      <c r="Z110">
        <f t="shared" si="22"/>
        <v>2.954348557858782E-3</v>
      </c>
      <c r="AA110" s="4">
        <v>0.3</v>
      </c>
      <c r="AB110">
        <f t="shared" si="15"/>
        <v>535098.22409459658</v>
      </c>
      <c r="AC110">
        <f t="shared" si="21"/>
        <v>122446.60572062446</v>
      </c>
      <c r="AD110" s="4">
        <v>0.2</v>
      </c>
      <c r="AE110">
        <f t="shared" si="16"/>
        <v>24489.321144124893</v>
      </c>
      <c r="AF110">
        <f t="shared" si="17"/>
        <v>1</v>
      </c>
    </row>
    <row r="111" spans="1:32" x14ac:dyDescent="0.15">
      <c r="A111" s="1">
        <v>110</v>
      </c>
      <c r="B111">
        <f t="shared" si="23"/>
        <v>4397.3329299512861</v>
      </c>
      <c r="C111" s="4">
        <v>0.08</v>
      </c>
      <c r="D111">
        <f t="shared" si="24"/>
        <v>31045.170485456107</v>
      </c>
      <c r="Q111">
        <f t="shared" si="25"/>
        <v>31045.170485456259</v>
      </c>
      <c r="R111">
        <f t="shared" si="26"/>
        <v>302.43998368990606</v>
      </c>
      <c r="S111">
        <f t="shared" si="27"/>
        <v>173371.82460664929</v>
      </c>
      <c r="T111" s="4">
        <v>0.08</v>
      </c>
      <c r="V111">
        <f>SUM($R$2:R111)</f>
        <v>14066.425235282772</v>
      </c>
      <c r="W111">
        <f t="shared" si="28"/>
        <v>29.65973355392142</v>
      </c>
      <c r="Z111">
        <f t="shared" si="22"/>
        <v>2.7355079239433167E-3</v>
      </c>
      <c r="AA111" s="4">
        <v>0.3</v>
      </c>
      <c r="AB111">
        <f t="shared" si="15"/>
        <v>577906.08202216437</v>
      </c>
      <c r="AC111">
        <f t="shared" si="21"/>
        <v>129793.40206386193</v>
      </c>
      <c r="AD111" s="4">
        <v>0.2</v>
      </c>
      <c r="AE111">
        <f t="shared" si="16"/>
        <v>25958.680412772388</v>
      </c>
      <c r="AF111">
        <f t="shared" si="17"/>
        <v>1</v>
      </c>
    </row>
    <row r="112" spans="1:32" x14ac:dyDescent="0.15">
      <c r="A112" s="1">
        <v>111</v>
      </c>
      <c r="B112">
        <f t="shared" si="23"/>
        <v>4749.1195643473893</v>
      </c>
      <c r="C112" s="4">
        <v>0.08</v>
      </c>
      <c r="D112">
        <f t="shared" si="24"/>
        <v>33528.784124292593</v>
      </c>
      <c r="Q112">
        <f t="shared" si="25"/>
        <v>33528.784124292768</v>
      </c>
      <c r="R112">
        <f t="shared" si="26"/>
        <v>308.14639847650812</v>
      </c>
      <c r="S112">
        <f t="shared" si="27"/>
        <v>187241.57057518125</v>
      </c>
      <c r="T112" s="4">
        <v>0.08</v>
      </c>
      <c r="V112">
        <f>SUM($R$2:R112)</f>
        <v>14374.57163375928</v>
      </c>
      <c r="W112">
        <f t="shared" si="28"/>
        <v>30.309475042717665</v>
      </c>
      <c r="Z112">
        <f t="shared" si="22"/>
        <v>2.5328777073549223E-3</v>
      </c>
      <c r="AA112" s="4">
        <v>0.3</v>
      </c>
      <c r="AB112">
        <f t="shared" si="15"/>
        <v>624138.56858393748</v>
      </c>
      <c r="AC112">
        <f t="shared" si="21"/>
        <v>137581.00618769365</v>
      </c>
      <c r="AD112" s="4">
        <v>0.2</v>
      </c>
      <c r="AE112">
        <f t="shared" si="16"/>
        <v>27516.201237538731</v>
      </c>
      <c r="AF112">
        <f t="shared" si="17"/>
        <v>1</v>
      </c>
    </row>
    <row r="113" spans="1:32" x14ac:dyDescent="0.15">
      <c r="A113" s="1">
        <v>112</v>
      </c>
      <c r="B113">
        <f t="shared" si="23"/>
        <v>5129.0491294951808</v>
      </c>
      <c r="C113" s="4">
        <v>0.08</v>
      </c>
      <c r="D113">
        <f t="shared" si="24"/>
        <v>36211.086854236004</v>
      </c>
      <c r="Q113">
        <f t="shared" si="25"/>
        <v>36211.086854236193</v>
      </c>
      <c r="R113">
        <f t="shared" si="26"/>
        <v>313.96048146663088</v>
      </c>
      <c r="S113">
        <f t="shared" si="27"/>
        <v>202220.89622119576</v>
      </c>
      <c r="T113" s="4">
        <v>0.08</v>
      </c>
      <c r="V113">
        <f>SUM($R$2:R113)</f>
        <v>14688.532115225911</v>
      </c>
      <c r="W113">
        <f t="shared" si="28"/>
        <v>30.971475804887429</v>
      </c>
      <c r="Z113">
        <f t="shared" si="22"/>
        <v>2.3452571364397431E-3</v>
      </c>
      <c r="AA113" s="4">
        <v>0.3</v>
      </c>
      <c r="AB113">
        <f t="shared" si="15"/>
        <v>674069.65407065256</v>
      </c>
      <c r="AC113">
        <f t="shared" si="21"/>
        <v>145835.86655895528</v>
      </c>
      <c r="AD113" s="4">
        <v>0.2</v>
      </c>
      <c r="AE113">
        <f t="shared" si="16"/>
        <v>29167.173311791059</v>
      </c>
      <c r="AF113">
        <f t="shared" si="17"/>
        <v>1</v>
      </c>
    </row>
    <row r="114" spans="1:32" x14ac:dyDescent="0.15">
      <c r="A114" s="1">
        <v>113</v>
      </c>
      <c r="B114">
        <f t="shared" si="23"/>
        <v>5539.3730598547954</v>
      </c>
      <c r="C114" s="4">
        <v>0.08</v>
      </c>
      <c r="D114">
        <f t="shared" si="24"/>
        <v>39107.973802574881</v>
      </c>
      <c r="Q114">
        <f t="shared" si="25"/>
        <v>39107.973802575085</v>
      </c>
      <c r="R114">
        <f t="shared" si="26"/>
        <v>319.88426413581266</v>
      </c>
      <c r="S114">
        <f t="shared" si="27"/>
        <v>218398.56791889144</v>
      </c>
      <c r="T114" s="4">
        <v>0.08</v>
      </c>
      <c r="V114">
        <f>SUM($R$2:R114)</f>
        <v>15008.416379361724</v>
      </c>
      <c r="W114">
        <f t="shared" si="28"/>
        <v>31.645967147475488</v>
      </c>
      <c r="Z114">
        <f t="shared" si="22"/>
        <v>2.1715343855923542E-3</v>
      </c>
      <c r="AA114" s="4">
        <v>0.3</v>
      </c>
      <c r="AB114">
        <f t="shared" si="15"/>
        <v>727995.22639630479</v>
      </c>
      <c r="AC114">
        <f t="shared" si="21"/>
        <v>154586.01855249261</v>
      </c>
      <c r="AD114" s="4">
        <v>0.2</v>
      </c>
      <c r="AE114">
        <f t="shared" si="16"/>
        <v>30917.203710498521</v>
      </c>
      <c r="AF114">
        <f t="shared" si="17"/>
        <v>1</v>
      </c>
    </row>
    <row r="115" spans="1:32" x14ac:dyDescent="0.15">
      <c r="A115" s="1">
        <v>114</v>
      </c>
      <c r="B115">
        <f t="shared" si="23"/>
        <v>5982.5229046431787</v>
      </c>
      <c r="C115" s="4">
        <v>0.08</v>
      </c>
      <c r="D115">
        <f t="shared" si="24"/>
        <v>42236.611706780874</v>
      </c>
      <c r="Q115">
        <f t="shared" si="25"/>
        <v>42236.611706781092</v>
      </c>
      <c r="R115">
        <f t="shared" si="26"/>
        <v>325.91981628931853</v>
      </c>
      <c r="S115">
        <f t="shared" si="27"/>
        <v>235870.45335240278</v>
      </c>
      <c r="T115" s="4">
        <v>0.08</v>
      </c>
      <c r="V115">
        <f>SUM($R$2:R115)</f>
        <v>15334.336195651043</v>
      </c>
      <c r="W115">
        <f t="shared" si="28"/>
        <v>32.333184741810491</v>
      </c>
      <c r="Z115">
        <f t="shared" si="22"/>
        <v>2.010679986659587E-3</v>
      </c>
      <c r="AA115" s="4">
        <v>0.3</v>
      </c>
      <c r="AB115">
        <f t="shared" si="15"/>
        <v>786234.84450800926</v>
      </c>
      <c r="AC115">
        <f t="shared" si="21"/>
        <v>163861.17966564218</v>
      </c>
      <c r="AD115" s="4">
        <v>0.2</v>
      </c>
      <c r="AE115">
        <f t="shared" si="16"/>
        <v>32772.235933128439</v>
      </c>
      <c r="AF115">
        <f t="shared" si="17"/>
        <v>1</v>
      </c>
    </row>
    <row r="116" spans="1:32" x14ac:dyDescent="0.15">
      <c r="A116" s="1">
        <v>115</v>
      </c>
      <c r="B116">
        <f t="shared" si="23"/>
        <v>6461.124737014633</v>
      </c>
      <c r="C116" s="4">
        <v>0.08</v>
      </c>
      <c r="D116">
        <f t="shared" si="24"/>
        <v>45615.540643323344</v>
      </c>
      <c r="Q116">
        <f t="shared" si="25"/>
        <v>45615.540643323584</v>
      </c>
      <c r="R116">
        <f t="shared" si="26"/>
        <v>332.06924678534347</v>
      </c>
      <c r="S116">
        <f t="shared" si="27"/>
        <v>254740.08962059501</v>
      </c>
      <c r="T116" s="4">
        <v>0.08</v>
      </c>
      <c r="V116">
        <f>SUM($R$2:R116)</f>
        <v>15666.405442436388</v>
      </c>
      <c r="W116">
        <f t="shared" si="28"/>
        <v>33.033368705849931</v>
      </c>
      <c r="Z116">
        <f t="shared" si="22"/>
        <v>1.8617407283885066E-3</v>
      </c>
      <c r="AA116" s="4">
        <v>0.3</v>
      </c>
      <c r="AB116">
        <f t="shared" si="15"/>
        <v>849133.6320686501</v>
      </c>
      <c r="AC116">
        <f t="shared" si="21"/>
        <v>173692.85044558073</v>
      </c>
      <c r="AD116" s="4">
        <v>0.2</v>
      </c>
      <c r="AE116">
        <f t="shared" si="16"/>
        <v>34738.570089116147</v>
      </c>
      <c r="AF116">
        <f t="shared" si="17"/>
        <v>1</v>
      </c>
    </row>
    <row r="117" spans="1:32" x14ac:dyDescent="0.15">
      <c r="A117" s="1">
        <v>116</v>
      </c>
      <c r="B117">
        <f t="shared" si="23"/>
        <v>6978.0147159758035</v>
      </c>
      <c r="C117" s="4">
        <v>0.08</v>
      </c>
      <c r="D117">
        <f t="shared" si="24"/>
        <v>49264.783894789209</v>
      </c>
      <c r="Q117">
        <f t="shared" si="25"/>
        <v>49264.783894789478</v>
      </c>
      <c r="R117">
        <f t="shared" si="26"/>
        <v>338.33470427185938</v>
      </c>
      <c r="S117">
        <f t="shared" si="27"/>
        <v>275119.2967902426</v>
      </c>
      <c r="T117" s="4">
        <v>0.08</v>
      </c>
      <c r="V117">
        <f>SUM($R$2:R117)</f>
        <v>16004.740146708247</v>
      </c>
      <c r="W117">
        <f t="shared" si="28"/>
        <v>33.746763688078794</v>
      </c>
      <c r="Z117">
        <f t="shared" si="22"/>
        <v>1.7238340077671357E-3</v>
      </c>
      <c r="AA117" s="4">
        <v>0.3</v>
      </c>
      <c r="AB117">
        <f t="shared" si="15"/>
        <v>917064.32263414201</v>
      </c>
      <c r="AC117">
        <f t="shared" si="21"/>
        <v>184114.42147231559</v>
      </c>
      <c r="AD117" s="4">
        <v>0.2</v>
      </c>
      <c r="AE117">
        <f t="shared" si="16"/>
        <v>36822.884294463118</v>
      </c>
      <c r="AF117">
        <f t="shared" si="17"/>
        <v>1</v>
      </c>
    </row>
    <row r="118" spans="1:32" x14ac:dyDescent="0.15">
      <c r="A118" s="1">
        <v>117</v>
      </c>
      <c r="B118">
        <f t="shared" si="23"/>
        <v>7536.2558932538677</v>
      </c>
      <c r="C118" s="4">
        <v>0.08</v>
      </c>
      <c r="D118">
        <f t="shared" si="24"/>
        <v>53205.966606372349</v>
      </c>
      <c r="Q118">
        <f t="shared" si="25"/>
        <v>53205.966606372633</v>
      </c>
      <c r="R118">
        <f t="shared" si="26"/>
        <v>344.71837793736609</v>
      </c>
      <c r="S118">
        <f t="shared" si="27"/>
        <v>297128.840533462</v>
      </c>
      <c r="T118" s="4">
        <v>0.08</v>
      </c>
      <c r="V118">
        <f>SUM($R$2:R118)</f>
        <v>16349.458524645614</v>
      </c>
      <c r="W118">
        <f t="shared" si="28"/>
        <v>34.473618952991217</v>
      </c>
      <c r="Z118">
        <f t="shared" si="22"/>
        <v>1.596142599784385E-3</v>
      </c>
      <c r="AA118" s="4">
        <v>0.3</v>
      </c>
      <c r="AB118">
        <f t="shared" si="15"/>
        <v>990429.46844487335</v>
      </c>
      <c r="AC118">
        <f t="shared" si="21"/>
        <v>195161.28676065453</v>
      </c>
      <c r="AD118" s="4">
        <v>0.2</v>
      </c>
      <c r="AE118">
        <f t="shared" si="16"/>
        <v>39032.25735213091</v>
      </c>
      <c r="AF118">
        <f t="shared" si="17"/>
        <v>1</v>
      </c>
    </row>
    <row r="119" spans="1:32" x14ac:dyDescent="0.15">
      <c r="A119" s="1">
        <v>118</v>
      </c>
      <c r="B119">
        <f t="shared" si="23"/>
        <v>8139.1563647141775</v>
      </c>
      <c r="C119" s="4">
        <v>0.08</v>
      </c>
      <c r="D119">
        <f t="shared" si="24"/>
        <v>57462.44393488214</v>
      </c>
      <c r="Q119">
        <f t="shared" si="25"/>
        <v>57462.443934882445</v>
      </c>
      <c r="R119">
        <f t="shared" si="26"/>
        <v>351.22249827580691</v>
      </c>
      <c r="S119">
        <f t="shared" si="27"/>
        <v>320899.14777613897</v>
      </c>
      <c r="T119" s="4">
        <v>0.08</v>
      </c>
      <c r="V119">
        <f>SUM($R$2:R119)</f>
        <v>16700.681022921421</v>
      </c>
      <c r="W119">
        <f t="shared" si="28"/>
        <v>35.214188468185007</v>
      </c>
      <c r="Z119">
        <f t="shared" si="22"/>
        <v>1.4779098146151712E-3</v>
      </c>
      <c r="AA119" s="4">
        <v>0.3</v>
      </c>
      <c r="AB119">
        <f t="shared" si="15"/>
        <v>1069663.8259204633</v>
      </c>
      <c r="AC119">
        <f t="shared" si="21"/>
        <v>206870.96396629381</v>
      </c>
      <c r="AD119" s="4">
        <v>0.2</v>
      </c>
      <c r="AE119">
        <f t="shared" si="16"/>
        <v>41374.192793258764</v>
      </c>
      <c r="AF119">
        <f t="shared" si="17"/>
        <v>1</v>
      </c>
    </row>
    <row r="120" spans="1:32" x14ac:dyDescent="0.15">
      <c r="A120" s="1">
        <v>119</v>
      </c>
      <c r="B120">
        <f t="shared" si="23"/>
        <v>8790.2888738913116</v>
      </c>
      <c r="C120" s="4">
        <v>0.08</v>
      </c>
      <c r="D120">
        <f t="shared" si="24"/>
        <v>62059.439449672711</v>
      </c>
      <c r="Q120">
        <f t="shared" si="25"/>
        <v>62059.439449673038</v>
      </c>
      <c r="R120">
        <f t="shared" si="26"/>
        <v>357.84933786591654</v>
      </c>
      <c r="S120">
        <f t="shared" si="27"/>
        <v>346571.07959823014</v>
      </c>
      <c r="T120" s="4">
        <v>0.08</v>
      </c>
      <c r="V120">
        <f>SUM($R$2:R120)</f>
        <v>17058.530360787336</v>
      </c>
      <c r="W120">
        <f t="shared" si="28"/>
        <v>35.968730993099427</v>
      </c>
      <c r="Z120">
        <f t="shared" si="22"/>
        <v>1.3684350135325658E-3</v>
      </c>
      <c r="AA120" s="4">
        <v>0.3</v>
      </c>
      <c r="AB120">
        <f t="shared" si="15"/>
        <v>1155236.9319941006</v>
      </c>
      <c r="AC120">
        <f t="shared" si="21"/>
        <v>219283.22180427145</v>
      </c>
      <c r="AD120" s="4">
        <v>0.2</v>
      </c>
      <c r="AE120">
        <f t="shared" si="16"/>
        <v>43856.64436085429</v>
      </c>
      <c r="AF120">
        <f t="shared" si="17"/>
        <v>1</v>
      </c>
    </row>
    <row r="121" spans="1:32" x14ac:dyDescent="0.15">
      <c r="A121" s="1">
        <v>120</v>
      </c>
      <c r="B121">
        <f t="shared" si="23"/>
        <v>9493.5119838026167</v>
      </c>
      <c r="C121" s="4">
        <v>0.08</v>
      </c>
      <c r="D121">
        <f t="shared" si="24"/>
        <v>67024.194605646524</v>
      </c>
      <c r="Q121">
        <f t="shared" si="25"/>
        <v>67024.194605646888</v>
      </c>
      <c r="R121">
        <f t="shared" si="26"/>
        <v>364.60121216527341</v>
      </c>
      <c r="S121">
        <f t="shared" si="27"/>
        <v>374296.76596608857</v>
      </c>
      <c r="T121" s="4">
        <v>0.08</v>
      </c>
      <c r="V121">
        <f>SUM($R$2:R121)</f>
        <v>17423.13157295261</v>
      </c>
      <c r="W121">
        <f t="shared" si="28"/>
        <v>36.737510169427338</v>
      </c>
      <c r="Z121">
        <f t="shared" si="22"/>
        <v>1.2670694569745979E-3</v>
      </c>
      <c r="AA121" s="4">
        <v>0.3</v>
      </c>
      <c r="AB121">
        <f t="shared" si="15"/>
        <v>1247655.8865536286</v>
      </c>
      <c r="AC121">
        <f t="shared" si="21"/>
        <v>232440.21511252775</v>
      </c>
      <c r="AD121" s="4">
        <v>0.2</v>
      </c>
      <c r="AE121">
        <f t="shared" si="16"/>
        <v>46488.043022505553</v>
      </c>
      <c r="AF121">
        <f t="shared" si="17"/>
        <v>1</v>
      </c>
    </row>
    <row r="122" spans="1:32" x14ac:dyDescent="0.15">
      <c r="A122" s="1">
        <v>121</v>
      </c>
      <c r="B122">
        <f t="shared" si="23"/>
        <v>10252.992942506826</v>
      </c>
      <c r="C122" s="4">
        <v>0.08</v>
      </c>
      <c r="D122">
        <f t="shared" si="24"/>
        <v>72386.130174098245</v>
      </c>
      <c r="Q122">
        <f t="shared" si="25"/>
        <v>72386.130174098653</v>
      </c>
      <c r="R122">
        <f t="shared" si="26"/>
        <v>371.4804803193353</v>
      </c>
      <c r="S122">
        <f t="shared" si="27"/>
        <v>404240.5072433757</v>
      </c>
      <c r="T122" s="4">
        <v>0.08</v>
      </c>
      <c r="V122">
        <f>SUM($R$2:R122)</f>
        <v>17794.612053271947</v>
      </c>
      <c r="W122">
        <f t="shared" si="28"/>
        <v>37.520794613233136</v>
      </c>
      <c r="Z122">
        <f t="shared" si="22"/>
        <v>1.1732124601616645E-3</v>
      </c>
      <c r="AA122" s="4">
        <v>0.3</v>
      </c>
      <c r="AB122">
        <f t="shared" si="15"/>
        <v>1347468.357477919</v>
      </c>
      <c r="AC122">
        <f t="shared" si="21"/>
        <v>246386.62801927942</v>
      </c>
      <c r="AD122" s="4">
        <v>0.2</v>
      </c>
      <c r="AE122">
        <f t="shared" si="16"/>
        <v>49277.32560385589</v>
      </c>
      <c r="AF122">
        <f t="shared" si="17"/>
        <v>1</v>
      </c>
    </row>
    <row r="123" spans="1:32" x14ac:dyDescent="0.15">
      <c r="A123" s="1">
        <v>122</v>
      </c>
      <c r="B123">
        <f t="shared" si="23"/>
        <v>11073.232377907372</v>
      </c>
      <c r="C123" s="4">
        <v>0.08</v>
      </c>
      <c r="D123">
        <f t="shared" si="24"/>
        <v>78177.020588026106</v>
      </c>
      <c r="Q123">
        <f t="shared" si="25"/>
        <v>78177.020588026542</v>
      </c>
      <c r="R123">
        <f t="shared" si="26"/>
        <v>378.48954598573783</v>
      </c>
      <c r="S123">
        <f t="shared" si="27"/>
        <v>436579.74782284576</v>
      </c>
      <c r="T123" s="4">
        <v>0.08</v>
      </c>
      <c r="V123">
        <f>SUM($R$2:R123)</f>
        <v>18173.101599257683</v>
      </c>
      <c r="W123">
        <f t="shared" si="28"/>
        <v>38.318858008808846</v>
      </c>
      <c r="Z123">
        <f t="shared" si="22"/>
        <v>1.0863078334830227E-3</v>
      </c>
      <c r="AA123" s="4">
        <v>0.3</v>
      </c>
      <c r="AB123">
        <f t="shared" si="15"/>
        <v>1455265.8260761525</v>
      </c>
      <c r="AC123">
        <f t="shared" si="21"/>
        <v>261169.82570043619</v>
      </c>
      <c r="AD123" s="4">
        <v>0.2</v>
      </c>
      <c r="AE123">
        <f t="shared" si="16"/>
        <v>52233.965140087239</v>
      </c>
      <c r="AF123">
        <f t="shared" si="17"/>
        <v>1</v>
      </c>
    </row>
    <row r="124" spans="1:32" x14ac:dyDescent="0.15">
      <c r="A124" s="1">
        <v>123</v>
      </c>
      <c r="B124">
        <f t="shared" si="23"/>
        <v>11959.090968139963</v>
      </c>
      <c r="C124" s="4">
        <v>0.08</v>
      </c>
      <c r="D124">
        <f t="shared" si="24"/>
        <v>84431.18223506819</v>
      </c>
      <c r="Q124">
        <f t="shared" si="25"/>
        <v>84431.182235068671</v>
      </c>
      <c r="R124">
        <f t="shared" si="26"/>
        <v>385.63085817414793</v>
      </c>
      <c r="S124">
        <f t="shared" si="27"/>
        <v>471506.12764867343</v>
      </c>
      <c r="T124" s="4">
        <v>0.08</v>
      </c>
      <c r="V124">
        <f>SUM($R$2:R124)</f>
        <v>18558.73245743183</v>
      </c>
      <c r="W124">
        <f t="shared" si="28"/>
        <v>39.131979204301082</v>
      </c>
      <c r="Z124">
        <f t="shared" si="22"/>
        <v>1.0058405865583544E-3</v>
      </c>
      <c r="AA124" s="4">
        <v>0.3</v>
      </c>
      <c r="AB124">
        <f t="shared" si="15"/>
        <v>1571687.0921622447</v>
      </c>
      <c r="AC124">
        <f t="shared" si="21"/>
        <v>276840.0152424624</v>
      </c>
      <c r="AD124" s="4">
        <v>0.2</v>
      </c>
      <c r="AE124">
        <f t="shared" si="16"/>
        <v>55368.003048492479</v>
      </c>
      <c r="AF124">
        <f t="shared" si="17"/>
        <v>1</v>
      </c>
    </row>
    <row r="125" spans="1:32" x14ac:dyDescent="0.15">
      <c r="A125" s="1">
        <v>124</v>
      </c>
      <c r="B125">
        <f t="shared" si="23"/>
        <v>12915.818245591159</v>
      </c>
      <c r="C125" s="4">
        <v>0.08</v>
      </c>
      <c r="D125">
        <f t="shared" si="24"/>
        <v>91185.676813873652</v>
      </c>
      <c r="Q125">
        <f t="shared" si="25"/>
        <v>91185.676813874161</v>
      </c>
      <c r="R125">
        <f t="shared" si="26"/>
        <v>392.90691210196206</v>
      </c>
      <c r="S125">
        <f t="shared" si="27"/>
        <v>509226.61786056735</v>
      </c>
      <c r="T125" s="4">
        <v>0.08</v>
      </c>
      <c r="V125">
        <f>SUM($R$2:R125)</f>
        <v>18951.639369533794</v>
      </c>
      <c r="W125">
        <f t="shared" si="28"/>
        <v>39.96044230914223</v>
      </c>
      <c r="Z125">
        <f t="shared" si="22"/>
        <v>9.3133387644292063E-4</v>
      </c>
      <c r="AA125" s="4">
        <v>0.3</v>
      </c>
      <c r="AB125">
        <f t="shared" si="15"/>
        <v>1697422.0595352245</v>
      </c>
      <c r="AC125">
        <f t="shared" si="21"/>
        <v>293450.41615701013</v>
      </c>
      <c r="AD125" s="4">
        <v>0.2</v>
      </c>
      <c r="AE125">
        <f t="shared" si="16"/>
        <v>58690.08323140203</v>
      </c>
      <c r="AF125">
        <f t="shared" si="17"/>
        <v>1</v>
      </c>
    </row>
    <row r="126" spans="1:32" x14ac:dyDescent="0.15">
      <c r="A126" s="1">
        <v>125</v>
      </c>
      <c r="B126">
        <f t="shared" si="23"/>
        <v>13949.083705238452</v>
      </c>
      <c r="C126" s="4">
        <v>0.08</v>
      </c>
      <c r="D126">
        <f t="shared" si="24"/>
        <v>98480.530958983538</v>
      </c>
      <c r="Q126">
        <f t="shared" si="25"/>
        <v>98480.530958984091</v>
      </c>
      <c r="R126">
        <f t="shared" si="26"/>
        <v>400.32025006615009</v>
      </c>
      <c r="S126">
        <f t="shared" si="27"/>
        <v>549964.74728941277</v>
      </c>
      <c r="T126" s="4">
        <v>0.08</v>
      </c>
      <c r="V126">
        <f>SUM($R$2:R126)</f>
        <v>19351.959619599944</v>
      </c>
      <c r="W126">
        <f t="shared" si="28"/>
        <v>40.804536793320004</v>
      </c>
      <c r="Z126">
        <f t="shared" si="22"/>
        <v>8.623461818915931E-4</v>
      </c>
      <c r="AA126" s="4">
        <v>0.3</v>
      </c>
      <c r="AB126">
        <f t="shared" si="15"/>
        <v>1833215.8242980426</v>
      </c>
      <c r="AC126">
        <f t="shared" si="21"/>
        <v>311057.44112643076</v>
      </c>
      <c r="AD126" s="4">
        <v>0.2</v>
      </c>
      <c r="AE126">
        <f t="shared" si="16"/>
        <v>62211.488225286157</v>
      </c>
      <c r="AF126">
        <f t="shared" si="17"/>
        <v>1</v>
      </c>
    </row>
    <row r="127" spans="1:32" x14ac:dyDescent="0.15">
      <c r="A127" s="1">
        <v>126</v>
      </c>
      <c r="B127">
        <f t="shared" si="23"/>
        <v>15065.010401657528</v>
      </c>
      <c r="C127" s="4">
        <v>0.08</v>
      </c>
      <c r="D127">
        <f t="shared" si="24"/>
        <v>106358.97343570222</v>
      </c>
      <c r="Q127">
        <f t="shared" si="25"/>
        <v>106358.97343570284</v>
      </c>
      <c r="R127">
        <f t="shared" si="26"/>
        <v>407.87346233154904</v>
      </c>
      <c r="S127">
        <f t="shared" si="27"/>
        <v>593961.92707256589</v>
      </c>
      <c r="T127" s="4">
        <v>0.08</v>
      </c>
      <c r="V127">
        <f>SUM($R$2:R127)</f>
        <v>19759.833081931494</v>
      </c>
      <c r="W127">
        <f t="shared" si="28"/>
        <v>41.664557588519997</v>
      </c>
      <c r="Z127">
        <f t="shared" si="22"/>
        <v>7.9846868693666021E-4</v>
      </c>
      <c r="AA127" s="4">
        <v>0.3</v>
      </c>
      <c r="AB127">
        <f t="shared" si="15"/>
        <v>1979873.0902418864</v>
      </c>
      <c r="AC127">
        <f t="shared" si="21"/>
        <v>329720.88759401662</v>
      </c>
      <c r="AD127" s="4">
        <v>0.2</v>
      </c>
      <c r="AE127">
        <f t="shared" si="16"/>
        <v>65944.177518803321</v>
      </c>
      <c r="AF127">
        <f t="shared" si="17"/>
        <v>1</v>
      </c>
    </row>
    <row r="128" spans="1:32" x14ac:dyDescent="0.15">
      <c r="A128" s="1">
        <v>127</v>
      </c>
      <c r="B128">
        <f t="shared" si="23"/>
        <v>16270.211233790131</v>
      </c>
      <c r="C128" s="4">
        <v>0.08</v>
      </c>
      <c r="D128">
        <f t="shared" si="24"/>
        <v>114867.69131055841</v>
      </c>
      <c r="Q128">
        <f t="shared" si="25"/>
        <v>114867.69131055908</v>
      </c>
      <c r="R128">
        <f t="shared" si="26"/>
        <v>415.56918803591799</v>
      </c>
      <c r="S128">
        <f t="shared" si="27"/>
        <v>641478.88123837125</v>
      </c>
      <c r="T128" s="4">
        <v>0.08</v>
      </c>
      <c r="V128">
        <f>SUM($R$2:R128)</f>
        <v>20175.402269967413</v>
      </c>
      <c r="W128">
        <f t="shared" si="28"/>
        <v>42.540805191176595</v>
      </c>
      <c r="Z128">
        <f t="shared" si="22"/>
        <v>7.393228582746852E-4</v>
      </c>
      <c r="AA128" s="4">
        <v>0.3</v>
      </c>
      <c r="AB128">
        <f t="shared" si="15"/>
        <v>2138262.9374612374</v>
      </c>
      <c r="AC128">
        <f t="shared" si="21"/>
        <v>349504.14084965765</v>
      </c>
      <c r="AD128" s="4">
        <v>0.2</v>
      </c>
      <c r="AE128">
        <f t="shared" si="16"/>
        <v>69900.828169931527</v>
      </c>
      <c r="AF128">
        <f t="shared" si="17"/>
        <v>1</v>
      </c>
    </row>
    <row r="129" spans="1:32" x14ac:dyDescent="0.15">
      <c r="A129" s="1">
        <v>128</v>
      </c>
      <c r="B129">
        <f t="shared" si="23"/>
        <v>17571.828132493341</v>
      </c>
      <c r="C129" s="4">
        <v>0.08</v>
      </c>
      <c r="D129">
        <f t="shared" si="24"/>
        <v>124057.10661540309</v>
      </c>
      <c r="Q129">
        <f t="shared" si="25"/>
        <v>124057.10661540383</v>
      </c>
      <c r="R129">
        <f t="shared" si="26"/>
        <v>423.41011611206733</v>
      </c>
      <c r="S129">
        <f t="shared" si="27"/>
        <v>692797.191737441</v>
      </c>
      <c r="T129" s="4">
        <v>0.08</v>
      </c>
      <c r="V129">
        <f>SUM($R$2:R129)</f>
        <v>20598.81238607948</v>
      </c>
      <c r="W129">
        <f t="shared" si="28"/>
        <v>43.433585767468223</v>
      </c>
      <c r="Z129">
        <f t="shared" si="22"/>
        <v>6.8455820210619001E-4</v>
      </c>
      <c r="AA129" s="4">
        <v>0.3</v>
      </c>
      <c r="AB129">
        <f t="shared" si="15"/>
        <v>2309323.9724581367</v>
      </c>
      <c r="AC129">
        <f t="shared" si="21"/>
        <v>370474.38930063712</v>
      </c>
      <c r="AD129" s="4">
        <v>0.2</v>
      </c>
      <c r="AE129">
        <f t="shared" si="16"/>
        <v>74094.877860127424</v>
      </c>
      <c r="AF129">
        <f t="shared" si="17"/>
        <v>1</v>
      </c>
    </row>
    <row r="130" spans="1:32" x14ac:dyDescent="0.15">
      <c r="A130" s="1">
        <v>129</v>
      </c>
      <c r="B130">
        <f t="shared" si="23"/>
        <v>18977.574383092808</v>
      </c>
      <c r="C130" s="4">
        <v>0.08</v>
      </c>
      <c r="D130">
        <f t="shared" si="24"/>
        <v>133981.67514463534</v>
      </c>
      <c r="Q130">
        <f t="shared" si="25"/>
        <v>133981.67514463613</v>
      </c>
      <c r="R130">
        <f t="shared" si="26"/>
        <v>431.39898622738957</v>
      </c>
      <c r="S130">
        <f t="shared" si="27"/>
        <v>748220.96707643638</v>
      </c>
      <c r="T130" s="4">
        <v>0.08</v>
      </c>
      <c r="V130">
        <f>SUM($R$2:R130)</f>
        <v>21030.211372306869</v>
      </c>
      <c r="W130">
        <f t="shared" si="28"/>
        <v>44.343211260293657</v>
      </c>
      <c r="Z130">
        <f t="shared" si="22"/>
        <v>6.3385018713536096E-4</v>
      </c>
      <c r="AA130" s="4">
        <v>0.3</v>
      </c>
      <c r="AB130">
        <f t="shared" si="15"/>
        <v>2494069.8902547881</v>
      </c>
      <c r="AC130">
        <f t="shared" si="21"/>
        <v>392702.85265867534</v>
      </c>
      <c r="AD130" s="4">
        <v>0.2</v>
      </c>
      <c r="AE130">
        <f t="shared" si="16"/>
        <v>78540.570531735066</v>
      </c>
      <c r="AF130">
        <f t="shared" si="17"/>
        <v>1</v>
      </c>
    </row>
    <row r="131" spans="1:32" x14ac:dyDescent="0.15">
      <c r="A131" s="1">
        <v>130</v>
      </c>
      <c r="B131">
        <f t="shared" si="23"/>
        <v>20495.780333740233</v>
      </c>
      <c r="C131" s="4">
        <v>0.08</v>
      </c>
      <c r="D131">
        <f t="shared" si="24"/>
        <v>144700.20915620617</v>
      </c>
      <c r="Q131">
        <f t="shared" si="25"/>
        <v>144700.20915620704</v>
      </c>
      <c r="R131">
        <f t="shared" si="26"/>
        <v>439.53858974111381</v>
      </c>
      <c r="S131">
        <f t="shared" si="27"/>
        <v>808078.6444425513</v>
      </c>
      <c r="T131" s="4">
        <v>0.08</v>
      </c>
      <c r="V131">
        <f>SUM($R$2:R131)</f>
        <v>21469.749962047983</v>
      </c>
      <c r="W131">
        <f t="shared" si="28"/>
        <v>45.269999498266742</v>
      </c>
      <c r="Z131">
        <f t="shared" si="22"/>
        <v>5.8689832142163061E-4</v>
      </c>
      <c r="AA131" s="4">
        <v>0.3</v>
      </c>
      <c r="AB131">
        <f t="shared" ref="AB131:AB194" si="29">S131/AA131</f>
        <v>2693595.4814751712</v>
      </c>
      <c r="AC131">
        <f t="shared" si="21"/>
        <v>416265.02381819586</v>
      </c>
      <c r="AD131" s="4">
        <v>0.2</v>
      </c>
      <c r="AE131">
        <f t="shared" ref="AE131:AE194" si="30">AC131*AD131</f>
        <v>83253.004763639183</v>
      </c>
      <c r="AF131">
        <f t="shared" ref="AF131:AF194" si="31">IF(AB131&gt;AE131, 1, 0)</f>
        <v>1</v>
      </c>
    </row>
    <row r="132" spans="1:32" x14ac:dyDescent="0.15">
      <c r="A132" s="1">
        <v>131</v>
      </c>
      <c r="B132">
        <f t="shared" si="23"/>
        <v>22135.442760439451</v>
      </c>
      <c r="C132" s="4">
        <v>0.08</v>
      </c>
      <c r="D132">
        <f t="shared" si="24"/>
        <v>156276.22588870267</v>
      </c>
      <c r="Q132">
        <f t="shared" si="25"/>
        <v>156276.2258887036</v>
      </c>
      <c r="R132">
        <f t="shared" si="26"/>
        <v>447.83177067962544</v>
      </c>
      <c r="S132">
        <f t="shared" si="27"/>
        <v>872724.9359979555</v>
      </c>
      <c r="T132" s="4">
        <v>0.08</v>
      </c>
      <c r="V132">
        <f>SUM($R$2:R132)</f>
        <v>21917.581732727609</v>
      </c>
      <c r="W132">
        <f t="shared" si="28"/>
        <v>46.214274306767614</v>
      </c>
      <c r="Z132">
        <f t="shared" si="22"/>
        <v>5.4342437168669491E-4</v>
      </c>
      <c r="AA132" s="4">
        <v>0.3</v>
      </c>
      <c r="AB132">
        <f t="shared" si="29"/>
        <v>2909083.1199931852</v>
      </c>
      <c r="AC132">
        <f t="shared" ref="AC132:AC195" si="32">AC131*(1+$U$2)</f>
        <v>441240.92524728761</v>
      </c>
      <c r="AD132" s="4">
        <v>0.2</v>
      </c>
      <c r="AE132">
        <f t="shared" si="30"/>
        <v>88248.185049457534</v>
      </c>
      <c r="AF132">
        <f t="shared" si="31"/>
        <v>1</v>
      </c>
    </row>
    <row r="133" spans="1:32" x14ac:dyDescent="0.15">
      <c r="A133" s="1">
        <v>132</v>
      </c>
      <c r="B133">
        <f t="shared" si="23"/>
        <v>23906.278181274607</v>
      </c>
      <c r="C133" s="4">
        <v>0.08</v>
      </c>
      <c r="D133">
        <f t="shared" si="24"/>
        <v>168778.32395979887</v>
      </c>
      <c r="Q133">
        <f t="shared" si="25"/>
        <v>168778.32395979989</v>
      </c>
      <c r="R133">
        <f t="shared" si="26"/>
        <v>456.28142673018436</v>
      </c>
      <c r="S133">
        <f t="shared" si="27"/>
        <v>942542.93087779195</v>
      </c>
      <c r="T133" s="4">
        <v>0.08</v>
      </c>
      <c r="V133">
        <f>SUM($R$2:R133)</f>
        <v>22373.863159457793</v>
      </c>
      <c r="W133">
        <f t="shared" si="28"/>
        <v>47.176365621089261</v>
      </c>
      <c r="Z133">
        <f t="shared" si="22"/>
        <v>5.0317071452471755E-4</v>
      </c>
      <c r="AA133" s="4">
        <v>0.3</v>
      </c>
      <c r="AB133">
        <f t="shared" si="29"/>
        <v>3141809.76959264</v>
      </c>
      <c r="AC133">
        <f t="shared" si="32"/>
        <v>467715.3807621249</v>
      </c>
      <c r="AD133" s="4">
        <v>0.2</v>
      </c>
      <c r="AE133">
        <f t="shared" si="30"/>
        <v>93543.076152424983</v>
      </c>
      <c r="AF133">
        <f t="shared" si="31"/>
        <v>1</v>
      </c>
    </row>
    <row r="134" spans="1:32" x14ac:dyDescent="0.15">
      <c r="A134" s="1">
        <v>133</v>
      </c>
      <c r="B134">
        <f t="shared" si="23"/>
        <v>25818.780435776574</v>
      </c>
      <c r="C134" s="4">
        <v>0.08</v>
      </c>
      <c r="D134">
        <f t="shared" si="24"/>
        <v>182280.58987658279</v>
      </c>
      <c r="Q134">
        <f t="shared" si="25"/>
        <v>182280.58987658392</v>
      </c>
      <c r="R134">
        <f t="shared" si="26"/>
        <v>464.89051025339541</v>
      </c>
      <c r="S134">
        <f t="shared" si="27"/>
        <v>1017946.3653480153</v>
      </c>
      <c r="T134" s="4">
        <v>0.08</v>
      </c>
      <c r="V134">
        <f>SUM($R$2:R134)</f>
        <v>22838.753669711186</v>
      </c>
      <c r="W134">
        <f t="shared" si="28"/>
        <v>48.156609601718863</v>
      </c>
      <c r="Z134">
        <f t="shared" si="22"/>
        <v>4.6589880974510876E-4</v>
      </c>
      <c r="AA134" s="4">
        <v>0.3</v>
      </c>
      <c r="AB134">
        <f t="shared" si="29"/>
        <v>3393154.551160051</v>
      </c>
      <c r="AC134">
        <f t="shared" si="32"/>
        <v>495778.30360785243</v>
      </c>
      <c r="AD134" s="4">
        <v>0.2</v>
      </c>
      <c r="AE134">
        <f t="shared" si="30"/>
        <v>99155.660721570486</v>
      </c>
      <c r="AF134">
        <f t="shared" si="31"/>
        <v>1</v>
      </c>
    </row>
    <row r="135" spans="1:32" x14ac:dyDescent="0.15">
      <c r="A135" s="1">
        <v>134</v>
      </c>
      <c r="B135">
        <f t="shared" si="23"/>
        <v>27884.282870638701</v>
      </c>
      <c r="C135" s="4">
        <v>0.08</v>
      </c>
      <c r="D135">
        <f t="shared" si="24"/>
        <v>196863.03706670942</v>
      </c>
      <c r="Q135">
        <f t="shared" si="25"/>
        <v>196863.03706671062</v>
      </c>
      <c r="R135">
        <f t="shared" si="26"/>
        <v>473.66202931478023</v>
      </c>
      <c r="S135">
        <f t="shared" si="27"/>
        <v>1099382.0745758566</v>
      </c>
      <c r="T135" s="4">
        <v>0.08</v>
      </c>
      <c r="V135">
        <f>SUM($R$2:R135)</f>
        <v>23312.415699025965</v>
      </c>
      <c r="W135">
        <f t="shared" si="28"/>
        <v>49.1553487517943</v>
      </c>
      <c r="Z135">
        <f t="shared" si="22"/>
        <v>4.3138778680102666E-4</v>
      </c>
      <c r="AA135" s="4">
        <v>0.3</v>
      </c>
      <c r="AB135">
        <f t="shared" si="29"/>
        <v>3664606.9152528555</v>
      </c>
      <c r="AC135">
        <f t="shared" si="32"/>
        <v>525525.00182432355</v>
      </c>
      <c r="AD135" s="4">
        <v>0.2</v>
      </c>
      <c r="AE135">
        <f t="shared" si="30"/>
        <v>105105.00036486471</v>
      </c>
      <c r="AF135">
        <f t="shared" si="31"/>
        <v>1</v>
      </c>
    </row>
    <row r="136" spans="1:32" x14ac:dyDescent="0.15">
      <c r="A136" s="1">
        <v>135</v>
      </c>
      <c r="B136">
        <f t="shared" si="23"/>
        <v>30115.025500289797</v>
      </c>
      <c r="C136" s="4">
        <v>0.08</v>
      </c>
      <c r="D136">
        <f t="shared" si="24"/>
        <v>212612.08003204619</v>
      </c>
      <c r="Q136">
        <f t="shared" si="25"/>
        <v>212612.0800320475</v>
      </c>
      <c r="R136">
        <f t="shared" si="26"/>
        <v>482.59904873581371</v>
      </c>
      <c r="S136">
        <f t="shared" si="27"/>
        <v>1187332.6405419251</v>
      </c>
      <c r="T136" s="4">
        <v>0.08</v>
      </c>
      <c r="V136">
        <f>SUM($R$2:R136)</f>
        <v>23795.014747761779</v>
      </c>
      <c r="W136">
        <f t="shared" si="28"/>
        <v>50.172932036776828</v>
      </c>
      <c r="Z136">
        <f t="shared" si="22"/>
        <v>3.9943313592687651E-4</v>
      </c>
      <c r="AA136" s="4">
        <v>0.3</v>
      </c>
      <c r="AB136">
        <f t="shared" si="29"/>
        <v>3957775.4684730838</v>
      </c>
      <c r="AC136">
        <f t="shared" si="32"/>
        <v>557056.50193378294</v>
      </c>
      <c r="AD136" s="4">
        <v>0.2</v>
      </c>
      <c r="AE136">
        <f t="shared" si="30"/>
        <v>111411.3003867566</v>
      </c>
      <c r="AF136">
        <f t="shared" si="31"/>
        <v>1</v>
      </c>
    </row>
    <row r="137" spans="1:32" x14ac:dyDescent="0.15">
      <c r="A137" s="1">
        <v>136</v>
      </c>
      <c r="B137">
        <f t="shared" si="23"/>
        <v>32524.227540312982</v>
      </c>
      <c r="C137" s="4">
        <v>0.08</v>
      </c>
      <c r="D137">
        <f t="shared" si="24"/>
        <v>229621.04643460989</v>
      </c>
      <c r="Q137">
        <f t="shared" si="25"/>
        <v>229621.04643461131</v>
      </c>
      <c r="R137">
        <f t="shared" si="26"/>
        <v>491.70469116479137</v>
      </c>
      <c r="S137">
        <f t="shared" si="27"/>
        <v>1282319.2517852793</v>
      </c>
      <c r="T137" s="4">
        <v>0.08</v>
      </c>
      <c r="V137">
        <f>SUM($R$2:R137)</f>
        <v>24286.719438926571</v>
      </c>
      <c r="W137">
        <f t="shared" si="28"/>
        <v>51.209715006381671</v>
      </c>
      <c r="Z137">
        <f t="shared" si="22"/>
        <v>3.6984549622858935E-4</v>
      </c>
      <c r="AA137" s="4">
        <v>0.3</v>
      </c>
      <c r="AB137">
        <f t="shared" si="29"/>
        <v>4274397.5059509315</v>
      </c>
      <c r="AC137">
        <f t="shared" si="32"/>
        <v>590479.89204980992</v>
      </c>
      <c r="AD137" s="4">
        <v>0.2</v>
      </c>
      <c r="AE137">
        <f t="shared" si="30"/>
        <v>118095.97840996199</v>
      </c>
      <c r="AF137">
        <f t="shared" si="31"/>
        <v>1</v>
      </c>
    </row>
    <row r="138" spans="1:32" x14ac:dyDescent="0.15">
      <c r="A138" s="1">
        <v>137</v>
      </c>
      <c r="B138">
        <f t="shared" si="23"/>
        <v>35126.165743538018</v>
      </c>
      <c r="C138" s="4">
        <v>0.08</v>
      </c>
      <c r="D138">
        <f t="shared" si="24"/>
        <v>247990.73014937868</v>
      </c>
      <c r="Q138">
        <f t="shared" si="25"/>
        <v>247990.73014938019</v>
      </c>
      <c r="R138">
        <f t="shared" si="26"/>
        <v>500.98213816790076</v>
      </c>
      <c r="S138">
        <f t="shared" si="27"/>
        <v>1384904.7919281018</v>
      </c>
      <c r="T138" s="4">
        <v>0.08</v>
      </c>
      <c r="V138">
        <f>SUM($R$2:R138)</f>
        <v>24787.701577094471</v>
      </c>
      <c r="W138">
        <f t="shared" si="28"/>
        <v>52.266059918809241</v>
      </c>
      <c r="Z138">
        <f t="shared" si="22"/>
        <v>3.4244953354499008E-4</v>
      </c>
      <c r="AA138" s="4">
        <v>0.3</v>
      </c>
      <c r="AB138">
        <f t="shared" si="29"/>
        <v>4616349.3064270066</v>
      </c>
      <c r="AC138">
        <f t="shared" si="32"/>
        <v>625908.6855727986</v>
      </c>
      <c r="AD138" s="4">
        <v>0.2</v>
      </c>
      <c r="AE138">
        <f t="shared" si="30"/>
        <v>125181.73711455973</v>
      </c>
      <c r="AF138">
        <f t="shared" si="31"/>
        <v>1</v>
      </c>
    </row>
    <row r="139" spans="1:32" x14ac:dyDescent="0.15">
      <c r="A139" s="1">
        <v>138</v>
      </c>
      <c r="B139">
        <f t="shared" si="23"/>
        <v>37936.259003021063</v>
      </c>
      <c r="C139" s="4">
        <v>0.08</v>
      </c>
      <c r="D139">
        <f t="shared" si="24"/>
        <v>267829.98856132897</v>
      </c>
      <c r="Q139">
        <f t="shared" si="25"/>
        <v>267829.98856133065</v>
      </c>
      <c r="R139">
        <f t="shared" si="26"/>
        <v>510.43463134088006</v>
      </c>
      <c r="S139">
        <f t="shared" si="27"/>
        <v>1495697.17528235</v>
      </c>
      <c r="T139" s="4">
        <v>0.08</v>
      </c>
      <c r="V139">
        <f>SUM($R$2:R139)</f>
        <v>25298.13620843535</v>
      </c>
      <c r="W139">
        <f t="shared" si="28"/>
        <v>53.342335867320351</v>
      </c>
      <c r="Z139">
        <f t="shared" si="22"/>
        <v>3.1708290143054636E-4</v>
      </c>
      <c r="AA139" s="4">
        <v>0.3</v>
      </c>
      <c r="AB139">
        <f t="shared" si="29"/>
        <v>4985657.2509411667</v>
      </c>
      <c r="AC139">
        <f t="shared" si="32"/>
        <v>663463.20670716651</v>
      </c>
      <c r="AD139" s="4">
        <v>0.2</v>
      </c>
      <c r="AE139">
        <f t="shared" si="30"/>
        <v>132692.64134143331</v>
      </c>
      <c r="AF139">
        <f t="shared" si="31"/>
        <v>1</v>
      </c>
    </row>
    <row r="140" spans="1:32" x14ac:dyDescent="0.15">
      <c r="A140" s="1">
        <v>139</v>
      </c>
      <c r="B140">
        <f t="shared" si="23"/>
        <v>40971.159723262746</v>
      </c>
      <c r="C140" s="4">
        <v>0.08</v>
      </c>
      <c r="D140">
        <f t="shared" si="24"/>
        <v>289256.38764623529</v>
      </c>
      <c r="Q140">
        <f t="shared" si="25"/>
        <v>289256.38764623716</v>
      </c>
      <c r="R140">
        <f t="shared" si="26"/>
        <v>520.06547344165131</v>
      </c>
      <c r="S140">
        <f t="shared" si="27"/>
        <v>1615352.9493049381</v>
      </c>
      <c r="T140" s="4">
        <v>0.08</v>
      </c>
      <c r="V140">
        <f>SUM($R$2:R140)</f>
        <v>25818.201681877003</v>
      </c>
      <c r="W140">
        <f t="shared" si="28"/>
        <v>54.4389189091996</v>
      </c>
      <c r="Z140">
        <f t="shared" si="22"/>
        <v>2.9359527910235772E-4</v>
      </c>
      <c r="AA140" s="4">
        <v>0.3</v>
      </c>
      <c r="AB140">
        <f t="shared" si="29"/>
        <v>5384509.8310164604</v>
      </c>
      <c r="AC140">
        <f t="shared" si="32"/>
        <v>703270.99910959648</v>
      </c>
      <c r="AD140" s="4">
        <v>0.2</v>
      </c>
      <c r="AE140">
        <f t="shared" si="30"/>
        <v>140654.19982191929</v>
      </c>
      <c r="AF140">
        <f t="shared" si="31"/>
        <v>1</v>
      </c>
    </row>
    <row r="141" spans="1:32" x14ac:dyDescent="0.15">
      <c r="A141" s="1">
        <v>140</v>
      </c>
      <c r="B141">
        <f t="shared" si="23"/>
        <v>44248.852501123765</v>
      </c>
      <c r="C141" s="4">
        <v>0.08</v>
      </c>
      <c r="D141">
        <f t="shared" si="24"/>
        <v>312396.8986579341</v>
      </c>
      <c r="Q141">
        <f t="shared" si="25"/>
        <v>312396.89865793608</v>
      </c>
      <c r="R141">
        <f t="shared" si="26"/>
        <v>529.87802954432402</v>
      </c>
      <c r="S141">
        <f t="shared" si="27"/>
        <v>1744581.1852493333</v>
      </c>
      <c r="T141" s="4">
        <v>0.08</v>
      </c>
      <c r="V141">
        <f>SUM($R$2:R141)</f>
        <v>26348.079711421327</v>
      </c>
      <c r="W141">
        <f t="shared" si="28"/>
        <v>55.556192197152043</v>
      </c>
      <c r="Z141">
        <f t="shared" si="22"/>
        <v>2.718474806503312E-4</v>
      </c>
      <c r="AA141" s="4">
        <v>0.3</v>
      </c>
      <c r="AB141">
        <f t="shared" si="29"/>
        <v>5815270.6174977776</v>
      </c>
      <c r="AC141">
        <f t="shared" si="32"/>
        <v>745467.25905617233</v>
      </c>
      <c r="AD141" s="4">
        <v>0.2</v>
      </c>
      <c r="AE141">
        <f t="shared" si="30"/>
        <v>149093.45181123447</v>
      </c>
      <c r="AF141">
        <f t="shared" si="31"/>
        <v>1</v>
      </c>
    </row>
    <row r="142" spans="1:32" x14ac:dyDescent="0.15">
      <c r="A142" s="1">
        <v>141</v>
      </c>
      <c r="B142">
        <f t="shared" si="23"/>
        <v>47788.760701213665</v>
      </c>
      <c r="C142" s="4">
        <v>0.08</v>
      </c>
      <c r="D142">
        <f t="shared" si="24"/>
        <v>337388.65055056883</v>
      </c>
      <c r="Q142">
        <f t="shared" si="25"/>
        <v>337388.65055057098</v>
      </c>
      <c r="R142">
        <f t="shared" si="26"/>
        <v>539.87572821497156</v>
      </c>
      <c r="S142">
        <f t="shared" si="27"/>
        <v>1884147.6800692801</v>
      </c>
      <c r="T142" s="4">
        <v>0.08</v>
      </c>
      <c r="V142">
        <f>SUM($R$2:R142)</f>
        <v>26887.955439636298</v>
      </c>
      <c r="W142">
        <f t="shared" si="28"/>
        <v>56.694546113179058</v>
      </c>
      <c r="Z142">
        <f t="shared" si="22"/>
        <v>2.5171063023178813E-4</v>
      </c>
      <c r="AA142" s="4">
        <v>0.3</v>
      </c>
      <c r="AB142">
        <f t="shared" si="29"/>
        <v>6280492.2668976001</v>
      </c>
      <c r="AC142">
        <f t="shared" si="32"/>
        <v>790195.29459954274</v>
      </c>
      <c r="AD142" s="4">
        <v>0.2</v>
      </c>
      <c r="AE142">
        <f t="shared" si="30"/>
        <v>158039.05891990857</v>
      </c>
      <c r="AF142">
        <f t="shared" si="31"/>
        <v>1</v>
      </c>
    </row>
    <row r="143" spans="1:32" x14ac:dyDescent="0.15">
      <c r="A143" s="1">
        <v>142</v>
      </c>
      <c r="B143">
        <f t="shared" si="23"/>
        <v>51611.86155731076</v>
      </c>
      <c r="C143" s="4">
        <v>0.08</v>
      </c>
      <c r="D143">
        <f t="shared" si="24"/>
        <v>364379.74259461433</v>
      </c>
      <c r="Q143">
        <f t="shared" si="25"/>
        <v>364379.74259461666</v>
      </c>
      <c r="R143">
        <f t="shared" si="26"/>
        <v>550.06206270959376</v>
      </c>
      <c r="S143">
        <f t="shared" si="27"/>
        <v>2034879.4944748227</v>
      </c>
      <c r="T143" s="4">
        <v>0.08</v>
      </c>
      <c r="V143">
        <f>SUM($R$2:R143)</f>
        <v>27438.017502345891</v>
      </c>
      <c r="W143">
        <f t="shared" si="28"/>
        <v>57.85437840498016</v>
      </c>
      <c r="Z143">
        <f t="shared" ref="Z143:Z201" si="33">$W$2/S143</f>
        <v>2.3306539836276676E-4</v>
      </c>
      <c r="AA143" s="4">
        <v>0.3</v>
      </c>
      <c r="AB143">
        <f t="shared" si="29"/>
        <v>6782931.6482494092</v>
      </c>
      <c r="AC143">
        <f t="shared" si="32"/>
        <v>837607.01227551536</v>
      </c>
      <c r="AD143" s="4">
        <v>0.2</v>
      </c>
      <c r="AE143">
        <f t="shared" si="30"/>
        <v>167521.40245510309</v>
      </c>
      <c r="AF143">
        <f t="shared" si="31"/>
        <v>1</v>
      </c>
    </row>
    <row r="144" spans="1:32" x14ac:dyDescent="0.15">
      <c r="A144" s="1">
        <v>143</v>
      </c>
      <c r="B144">
        <f t="shared" si="23"/>
        <v>55740.81048189562</v>
      </c>
      <c r="C144" s="4">
        <v>0.08</v>
      </c>
      <c r="D144">
        <f t="shared" si="24"/>
        <v>393530.12200218346</v>
      </c>
      <c r="Q144">
        <f t="shared" si="25"/>
        <v>393530.12200218608</v>
      </c>
      <c r="R144">
        <f t="shared" si="26"/>
        <v>560.44059219468033</v>
      </c>
      <c r="S144">
        <f t="shared" si="27"/>
        <v>2197669.8540328084</v>
      </c>
      <c r="T144" s="4">
        <v>0.08</v>
      </c>
      <c r="V144">
        <f>SUM($R$2:R144)</f>
        <v>27998.458094540572</v>
      </c>
      <c r="W144">
        <f t="shared" si="28"/>
        <v>59.036094324928463</v>
      </c>
      <c r="Z144">
        <f t="shared" si="33"/>
        <v>2.158012947803396E-4</v>
      </c>
      <c r="AA144" s="4">
        <v>0.3</v>
      </c>
      <c r="AB144">
        <f t="shared" si="29"/>
        <v>7325566.1801093621</v>
      </c>
      <c r="AC144">
        <f t="shared" si="32"/>
        <v>887863.43301204627</v>
      </c>
      <c r="AD144" s="4">
        <v>0.2</v>
      </c>
      <c r="AE144">
        <f t="shared" si="30"/>
        <v>177572.68660240926</v>
      </c>
      <c r="AF144">
        <f t="shared" si="31"/>
        <v>1</v>
      </c>
    </row>
    <row r="145" spans="1:32" x14ac:dyDescent="0.15">
      <c r="A145" s="1">
        <v>144</v>
      </c>
      <c r="B145">
        <f t="shared" si="23"/>
        <v>60200.075320447271</v>
      </c>
      <c r="C145" s="4">
        <v>0.08</v>
      </c>
      <c r="D145">
        <f t="shared" si="24"/>
        <v>425012.53176235815</v>
      </c>
      <c r="Q145">
        <f t="shared" si="25"/>
        <v>425012.531762361</v>
      </c>
      <c r="R145">
        <f t="shared" si="26"/>
        <v>571.01494299080628</v>
      </c>
      <c r="S145">
        <f t="shared" si="27"/>
        <v>2373483.4423554335</v>
      </c>
      <c r="T145" s="4">
        <v>0.08</v>
      </c>
      <c r="V145">
        <f>SUM($R$2:R145)</f>
        <v>28569.473037531377</v>
      </c>
      <c r="W145">
        <f t="shared" si="28"/>
        <v>60.240106771668238</v>
      </c>
      <c r="Z145">
        <f t="shared" si="33"/>
        <v>1.9981601368549961E-4</v>
      </c>
      <c r="AA145" s="4">
        <v>0.3</v>
      </c>
      <c r="AB145">
        <f t="shared" si="29"/>
        <v>7911611.4745181119</v>
      </c>
      <c r="AC145">
        <f t="shared" si="32"/>
        <v>941135.23899276904</v>
      </c>
      <c r="AD145" s="4">
        <v>0.2</v>
      </c>
      <c r="AE145">
        <f t="shared" si="30"/>
        <v>188227.04779855383</v>
      </c>
      <c r="AF145">
        <f t="shared" si="31"/>
        <v>1</v>
      </c>
    </row>
    <row r="146" spans="1:32" x14ac:dyDescent="0.15">
      <c r="A146" s="1">
        <v>145</v>
      </c>
      <c r="B146">
        <f t="shared" si="23"/>
        <v>65016.081346083054</v>
      </c>
      <c r="C146" s="4">
        <v>0.08</v>
      </c>
      <c r="D146">
        <f t="shared" si="24"/>
        <v>459013.53430334682</v>
      </c>
      <c r="Q146">
        <f t="shared" si="25"/>
        <v>459013.53430334991</v>
      </c>
      <c r="R146">
        <f t="shared" si="26"/>
        <v>581.78880983968975</v>
      </c>
      <c r="S146">
        <f t="shared" si="27"/>
        <v>2563362.1177438684</v>
      </c>
      <c r="T146" s="4">
        <v>0.08</v>
      </c>
      <c r="V146">
        <f>SUM($R$2:R146)</f>
        <v>29151.261847371068</v>
      </c>
      <c r="W146">
        <f t="shared" si="28"/>
        <v>61.466836434384241</v>
      </c>
      <c r="Z146">
        <f t="shared" si="33"/>
        <v>1.8501482748657368E-4</v>
      </c>
      <c r="AA146" s="4">
        <v>0.3</v>
      </c>
      <c r="AB146">
        <f t="shared" si="29"/>
        <v>8544540.3924795613</v>
      </c>
      <c r="AC146">
        <f t="shared" si="32"/>
        <v>997603.35333233525</v>
      </c>
      <c r="AD146" s="4">
        <v>0.2</v>
      </c>
      <c r="AE146">
        <f t="shared" si="30"/>
        <v>199520.67066646705</v>
      </c>
      <c r="AF146">
        <f t="shared" si="31"/>
        <v>1</v>
      </c>
    </row>
    <row r="147" spans="1:32" x14ac:dyDescent="0.15">
      <c r="A147" s="1">
        <v>146</v>
      </c>
      <c r="B147">
        <f t="shared" si="23"/>
        <v>70217.367853769698</v>
      </c>
      <c r="C147" s="4">
        <v>0.08</v>
      </c>
      <c r="D147">
        <f t="shared" si="24"/>
        <v>495734.61704761459</v>
      </c>
      <c r="Q147">
        <f t="shared" si="25"/>
        <v>495734.61704761785</v>
      </c>
      <c r="R147">
        <f t="shared" si="26"/>
        <v>592.76595719515547</v>
      </c>
      <c r="S147">
        <f t="shared" si="27"/>
        <v>2768431.087163378</v>
      </c>
      <c r="T147" s="4">
        <v>0.08</v>
      </c>
      <c r="V147">
        <f>SUM($R$2:R147)</f>
        <v>29744.027804566223</v>
      </c>
      <c r="W147">
        <f t="shared" si="28"/>
        <v>62.716711939792994</v>
      </c>
      <c r="Z147">
        <f t="shared" si="33"/>
        <v>1.7131002545053118E-4</v>
      </c>
      <c r="AA147" s="4">
        <v>0.3</v>
      </c>
      <c r="AB147">
        <f t="shared" si="29"/>
        <v>9228103.6238779277</v>
      </c>
      <c r="AC147">
        <f t="shared" si="32"/>
        <v>1057459.5545322753</v>
      </c>
      <c r="AD147" s="4">
        <v>0.2</v>
      </c>
      <c r="AE147">
        <f t="shared" si="30"/>
        <v>211491.91090645507</v>
      </c>
      <c r="AF147">
        <f t="shared" si="31"/>
        <v>1</v>
      </c>
    </row>
    <row r="148" spans="1:32" x14ac:dyDescent="0.15">
      <c r="A148" s="1">
        <v>147</v>
      </c>
      <c r="B148">
        <f t="shared" si="23"/>
        <v>75834.757282071281</v>
      </c>
      <c r="C148" s="4">
        <v>0.08</v>
      </c>
      <c r="D148">
        <f t="shared" si="24"/>
        <v>535393.38641142379</v>
      </c>
      <c r="Q148">
        <f t="shared" si="25"/>
        <v>535393.38641142729</v>
      </c>
      <c r="R148">
        <f t="shared" si="26"/>
        <v>603.95022053846037</v>
      </c>
      <c r="S148">
        <f t="shared" si="27"/>
        <v>2989905.5741364486</v>
      </c>
      <c r="T148" s="4">
        <v>0.08</v>
      </c>
      <c r="V148">
        <f>SUM($R$2:R148)</f>
        <v>30347.978025104683</v>
      </c>
      <c r="W148">
        <f t="shared" si="28"/>
        <v>63.990170001907572</v>
      </c>
      <c r="Z148">
        <f t="shared" si="33"/>
        <v>1.5862039393567699E-4</v>
      </c>
      <c r="AA148" s="4">
        <v>0.3</v>
      </c>
      <c r="AB148">
        <f t="shared" si="29"/>
        <v>9966351.9137881622</v>
      </c>
      <c r="AC148">
        <f t="shared" si="32"/>
        <v>1120907.1278042118</v>
      </c>
      <c r="AD148" s="4">
        <v>0.2</v>
      </c>
      <c r="AE148">
        <f t="shared" si="30"/>
        <v>224181.42556084238</v>
      </c>
      <c r="AF148">
        <f t="shared" si="31"/>
        <v>1</v>
      </c>
    </row>
    <row r="149" spans="1:32" x14ac:dyDescent="0.15">
      <c r="A149" s="1">
        <v>148</v>
      </c>
      <c r="B149">
        <f t="shared" si="23"/>
        <v>81901.537864636979</v>
      </c>
      <c r="C149" s="4">
        <v>0.08</v>
      </c>
      <c r="D149">
        <f t="shared" si="24"/>
        <v>578224.8573243377</v>
      </c>
      <c r="Q149">
        <f t="shared" si="25"/>
        <v>578224.85732434154</v>
      </c>
      <c r="R149">
        <f t="shared" si="26"/>
        <v>615.34550771843124</v>
      </c>
      <c r="S149">
        <f t="shared" si="27"/>
        <v>3229098.0200673644</v>
      </c>
      <c r="T149" s="4">
        <v>0.08</v>
      </c>
      <c r="V149">
        <f>SUM($R$2:R149)</f>
        <v>30963.323532823113</v>
      </c>
      <c r="W149">
        <f t="shared" si="28"/>
        <v>65.287655574628076</v>
      </c>
      <c r="Z149">
        <f t="shared" si="33"/>
        <v>1.4687073512562686E-4</v>
      </c>
      <c r="AA149" s="4">
        <v>0.3</v>
      </c>
      <c r="AB149">
        <f t="shared" si="29"/>
        <v>10763660.066891216</v>
      </c>
      <c r="AC149">
        <f t="shared" si="32"/>
        <v>1188161.5554724645</v>
      </c>
      <c r="AD149" s="4">
        <v>0.2</v>
      </c>
      <c r="AE149">
        <f t="shared" si="30"/>
        <v>237632.31109449291</v>
      </c>
      <c r="AF149">
        <f t="shared" si="31"/>
        <v>1</v>
      </c>
    </row>
    <row r="150" spans="1:32" x14ac:dyDescent="0.15">
      <c r="A150" s="1">
        <v>149</v>
      </c>
      <c r="B150">
        <f t="shared" si="23"/>
        <v>88453.660893807944</v>
      </c>
      <c r="C150" s="4">
        <v>0.08</v>
      </c>
      <c r="D150">
        <f t="shared" si="24"/>
        <v>624482.84591028467</v>
      </c>
      <c r="Q150">
        <f t="shared" si="25"/>
        <v>624482.84591028886</v>
      </c>
      <c r="R150">
        <f t="shared" si="26"/>
        <v>626.95580031689224</v>
      </c>
      <c r="S150">
        <f t="shared" si="27"/>
        <v>3487425.8616727539</v>
      </c>
      <c r="T150" s="4">
        <v>0.08</v>
      </c>
      <c r="V150">
        <f>SUM($R$2:R150)</f>
        <v>31590.279333140006</v>
      </c>
      <c r="W150">
        <f t="shared" si="28"/>
        <v>66.609622007211243</v>
      </c>
      <c r="Z150">
        <f t="shared" si="33"/>
        <v>1.3599142141261744E-4</v>
      </c>
      <c r="AA150" s="4">
        <v>0.3</v>
      </c>
      <c r="AB150">
        <f t="shared" si="29"/>
        <v>11624752.872242514</v>
      </c>
      <c r="AC150">
        <f t="shared" si="32"/>
        <v>1259451.2488008125</v>
      </c>
      <c r="AD150" s="4">
        <v>0.2</v>
      </c>
      <c r="AE150">
        <f t="shared" si="30"/>
        <v>251890.24976016252</v>
      </c>
      <c r="AF150">
        <f t="shared" si="31"/>
        <v>1</v>
      </c>
    </row>
    <row r="151" spans="1:32" x14ac:dyDescent="0.15">
      <c r="A151" s="1">
        <v>150</v>
      </c>
      <c r="B151">
        <f t="shared" si="23"/>
        <v>95529.953765312574</v>
      </c>
      <c r="C151" s="4">
        <v>0.08</v>
      </c>
      <c r="D151">
        <f t="shared" si="24"/>
        <v>674441.47358310746</v>
      </c>
      <c r="Q151">
        <f t="shared" si="25"/>
        <v>674441.47358311201</v>
      </c>
      <c r="R151">
        <f t="shared" si="26"/>
        <v>638.78515503985238</v>
      </c>
      <c r="S151">
        <f t="shared" si="27"/>
        <v>3766419.9306065743</v>
      </c>
      <c r="T151" s="4">
        <v>0.08</v>
      </c>
      <c r="V151">
        <f>SUM($R$2:R151)</f>
        <v>32229.064488179858</v>
      </c>
      <c r="W151">
        <f t="shared" si="28"/>
        <v>67.956531202673347</v>
      </c>
      <c r="Z151">
        <f t="shared" si="33"/>
        <v>1.2591798278946059E-4</v>
      </c>
      <c r="AA151" s="4">
        <v>0.3</v>
      </c>
      <c r="AB151">
        <f t="shared" si="29"/>
        <v>12554733.102021914</v>
      </c>
      <c r="AC151">
        <f t="shared" si="32"/>
        <v>1335018.3237288613</v>
      </c>
      <c r="AD151" s="4">
        <v>0.2</v>
      </c>
      <c r="AE151">
        <f t="shared" si="30"/>
        <v>267003.66474577226</v>
      </c>
      <c r="AF151">
        <f t="shared" si="31"/>
        <v>1</v>
      </c>
    </row>
    <row r="152" spans="1:32" x14ac:dyDescent="0.15">
      <c r="A152" s="1">
        <v>151</v>
      </c>
      <c r="B152">
        <f t="shared" si="23"/>
        <v>103172.35006653758</v>
      </c>
      <c r="C152" s="4">
        <v>0.08</v>
      </c>
      <c r="D152">
        <f t="shared" si="24"/>
        <v>728396.79146975605</v>
      </c>
      <c r="Q152">
        <f t="shared" si="25"/>
        <v>728396.79146976105</v>
      </c>
      <c r="R152">
        <f t="shared" si="26"/>
        <v>650.83770513494403</v>
      </c>
      <c r="S152">
        <f t="shared" si="27"/>
        <v>4067733.5250551007</v>
      </c>
      <c r="T152" s="4">
        <v>0.08</v>
      </c>
      <c r="V152">
        <f>SUM($R$2:R152)</f>
        <v>32879.902193314803</v>
      </c>
      <c r="W152">
        <f t="shared" si="28"/>
        <v>69.328853779181898</v>
      </c>
      <c r="Z152">
        <f t="shared" si="33"/>
        <v>1.165907248050561E-4</v>
      </c>
      <c r="AA152" s="4">
        <v>0.3</v>
      </c>
      <c r="AB152">
        <f t="shared" si="29"/>
        <v>13559111.75018367</v>
      </c>
      <c r="AC152">
        <f t="shared" si="32"/>
        <v>1415119.423152593</v>
      </c>
      <c r="AD152" s="4">
        <v>0.2</v>
      </c>
      <c r="AE152">
        <f t="shared" si="30"/>
        <v>283023.88463051862</v>
      </c>
      <c r="AF152">
        <f t="shared" si="31"/>
        <v>1</v>
      </c>
    </row>
    <row r="153" spans="1:32" x14ac:dyDescent="0.15">
      <c r="A153" s="1">
        <v>152</v>
      </c>
      <c r="B153">
        <f t="shared" si="23"/>
        <v>111426.13807186058</v>
      </c>
      <c r="C153" s="4">
        <v>0.08</v>
      </c>
      <c r="D153">
        <f t="shared" si="24"/>
        <v>786668.53478733648</v>
      </c>
      <c r="Q153">
        <f t="shared" si="25"/>
        <v>786668.53478734207</v>
      </c>
      <c r="R153">
        <f t="shared" si="26"/>
        <v>663.11766183560326</v>
      </c>
      <c r="S153">
        <f t="shared" si="27"/>
        <v>4393152.2070595091</v>
      </c>
      <c r="T153" s="4">
        <v>0.08</v>
      </c>
      <c r="V153">
        <f>SUM($R$2:R153)</f>
        <v>33543.019855150407</v>
      </c>
      <c r="W153">
        <f t="shared" si="28"/>
        <v>70.72706923449249</v>
      </c>
      <c r="Z153">
        <f t="shared" si="33"/>
        <v>1.0795437481949638E-4</v>
      </c>
      <c r="AA153" s="4">
        <v>0.3</v>
      </c>
      <c r="AB153">
        <f t="shared" si="29"/>
        <v>14643840.690198364</v>
      </c>
      <c r="AC153">
        <f t="shared" si="32"/>
        <v>1500026.5885417487</v>
      </c>
      <c r="AD153" s="4">
        <v>0.2</v>
      </c>
      <c r="AE153">
        <f t="shared" si="30"/>
        <v>300005.31770834973</v>
      </c>
      <c r="AF153">
        <f t="shared" si="31"/>
        <v>1</v>
      </c>
    </row>
    <row r="154" spans="1:32" x14ac:dyDescent="0.15">
      <c r="A154" s="1">
        <v>153</v>
      </c>
      <c r="B154">
        <f t="shared" si="23"/>
        <v>120340.22911760943</v>
      </c>
      <c r="C154" s="4">
        <v>0.08</v>
      </c>
      <c r="D154">
        <f t="shared" si="24"/>
        <v>849602.01757032343</v>
      </c>
      <c r="Q154">
        <f t="shared" si="25"/>
        <v>849602.01757032925</v>
      </c>
      <c r="R154">
        <f t="shared" si="26"/>
        <v>675.62931583250167</v>
      </c>
      <c r="S154">
        <f t="shared" si="27"/>
        <v>4744604.3836242706</v>
      </c>
      <c r="T154" s="4">
        <v>0.08</v>
      </c>
      <c r="V154">
        <f>SUM($R$2:R154)</f>
        <v>34218.649170982906</v>
      </c>
      <c r="W154">
        <f t="shared" si="28"/>
        <v>72.15166611348819</v>
      </c>
      <c r="Z154">
        <f t="shared" si="33"/>
        <v>9.9957754462496633E-5</v>
      </c>
      <c r="AA154" s="4">
        <v>0.3</v>
      </c>
      <c r="AB154">
        <f t="shared" si="29"/>
        <v>15815347.945414236</v>
      </c>
      <c r="AC154">
        <f t="shared" si="32"/>
        <v>1590028.1838542537</v>
      </c>
      <c r="AD154" s="4">
        <v>0.2</v>
      </c>
      <c r="AE154">
        <f t="shared" si="30"/>
        <v>318005.63677085075</v>
      </c>
      <c r="AF154">
        <f t="shared" si="31"/>
        <v>1</v>
      </c>
    </row>
    <row r="155" spans="1:32" x14ac:dyDescent="0.15">
      <c r="A155" s="1">
        <v>154</v>
      </c>
      <c r="B155">
        <f t="shared" si="23"/>
        <v>129967.44744701819</v>
      </c>
      <c r="C155" s="4">
        <v>0.08</v>
      </c>
      <c r="D155">
        <f t="shared" si="24"/>
        <v>917570.1789759493</v>
      </c>
      <c r="Q155">
        <f t="shared" si="25"/>
        <v>917570.17897595582</v>
      </c>
      <c r="R155">
        <f t="shared" si="26"/>
        <v>688.37703877273759</v>
      </c>
      <c r="S155">
        <f t="shared" si="27"/>
        <v>5124172.7343142126</v>
      </c>
      <c r="T155" s="4">
        <v>0.08</v>
      </c>
      <c r="V155">
        <f>SUM($R$2:R155)</f>
        <v>34907.026209755641</v>
      </c>
      <c r="W155">
        <f t="shared" si="28"/>
        <v>73.60314217888002</v>
      </c>
      <c r="Z155">
        <f t="shared" si="33"/>
        <v>9.2553476354163532E-5</v>
      </c>
      <c r="AA155" s="4">
        <v>0.3</v>
      </c>
      <c r="AB155">
        <f t="shared" si="29"/>
        <v>17080575.781047378</v>
      </c>
      <c r="AC155">
        <f t="shared" si="32"/>
        <v>1685429.874885509</v>
      </c>
      <c r="AD155" s="4">
        <v>0.2</v>
      </c>
      <c r="AE155">
        <f t="shared" si="30"/>
        <v>337085.97497710184</v>
      </c>
      <c r="AF155">
        <f t="shared" si="31"/>
        <v>1</v>
      </c>
    </row>
    <row r="156" spans="1:32" x14ac:dyDescent="0.15">
      <c r="A156" s="1">
        <v>155</v>
      </c>
      <c r="B156">
        <f t="shared" si="23"/>
        <v>140364.84324277964</v>
      </c>
      <c r="C156" s="4">
        <v>0.08</v>
      </c>
      <c r="D156">
        <f t="shared" si="24"/>
        <v>990975.79329402524</v>
      </c>
      <c r="Q156">
        <f t="shared" si="25"/>
        <v>990975.79329403222</v>
      </c>
      <c r="R156">
        <f t="shared" si="26"/>
        <v>701.36528478731759</v>
      </c>
      <c r="S156">
        <f t="shared" si="27"/>
        <v>5534106.5530593498</v>
      </c>
      <c r="T156" s="4">
        <v>0.08</v>
      </c>
      <c r="V156">
        <f>SUM($R$2:R156)</f>
        <v>35608.391494542957</v>
      </c>
      <c r="W156">
        <f t="shared" si="28"/>
        <v>75.082004585128317</v>
      </c>
      <c r="Z156">
        <f t="shared" si="33"/>
        <v>8.5697663290892158E-5</v>
      </c>
      <c r="AA156" s="4">
        <v>0.3</v>
      </c>
      <c r="AB156">
        <f t="shared" si="29"/>
        <v>18447021.843531165</v>
      </c>
      <c r="AC156">
        <f t="shared" si="32"/>
        <v>1786555.6673786396</v>
      </c>
      <c r="AD156" s="4">
        <v>0.2</v>
      </c>
      <c r="AE156">
        <f t="shared" si="30"/>
        <v>357311.13347572793</v>
      </c>
      <c r="AF156">
        <f t="shared" si="31"/>
        <v>1</v>
      </c>
    </row>
    <row r="157" spans="1:32" x14ac:dyDescent="0.15">
      <c r="A157" s="1">
        <v>156</v>
      </c>
      <c r="B157">
        <f t="shared" si="23"/>
        <v>151594.030702202</v>
      </c>
      <c r="C157" s="4">
        <v>0.08</v>
      </c>
      <c r="D157">
        <f t="shared" si="24"/>
        <v>1070253.8567575472</v>
      </c>
      <c r="Q157">
        <f t="shared" si="25"/>
        <v>1070253.8567575549</v>
      </c>
      <c r="R157">
        <f t="shared" si="26"/>
        <v>714.59859204745555</v>
      </c>
      <c r="S157">
        <f t="shared" si="27"/>
        <v>5976835.0773040978</v>
      </c>
      <c r="T157" s="4">
        <v>0.08</v>
      </c>
      <c r="V157">
        <f>SUM($R$2:R157)</f>
        <v>36322.990086590413</v>
      </c>
      <c r="W157">
        <f t="shared" si="28"/>
        <v>76.588770055645455</v>
      </c>
      <c r="Z157">
        <f t="shared" si="33"/>
        <v>7.9349688232307558E-5</v>
      </c>
      <c r="AA157" s="4">
        <v>0.3</v>
      </c>
      <c r="AB157">
        <f t="shared" si="29"/>
        <v>19922783.591013659</v>
      </c>
      <c r="AC157">
        <f t="shared" si="32"/>
        <v>1893749.007421358</v>
      </c>
      <c r="AD157" s="4">
        <v>0.2</v>
      </c>
      <c r="AE157">
        <f t="shared" si="30"/>
        <v>378749.80148427165</v>
      </c>
      <c r="AF157">
        <f t="shared" si="31"/>
        <v>1</v>
      </c>
    </row>
    <row r="158" spans="1:32" x14ac:dyDescent="0.15">
      <c r="A158" s="1">
        <v>157</v>
      </c>
      <c r="B158">
        <f t="shared" si="23"/>
        <v>163721.55315837817</v>
      </c>
      <c r="C158" s="4">
        <v>0.08</v>
      </c>
      <c r="D158">
        <f t="shared" si="24"/>
        <v>1155874.1652981511</v>
      </c>
      <c r="Q158">
        <f t="shared" si="25"/>
        <v>1155874.1652981592</v>
      </c>
      <c r="R158">
        <f t="shared" si="26"/>
        <v>728.08158435023768</v>
      </c>
      <c r="S158">
        <f t="shared" si="27"/>
        <v>6454981.883488426</v>
      </c>
      <c r="T158" s="4">
        <v>0.08</v>
      </c>
      <c r="V158">
        <f>SUM($R$2:R158)</f>
        <v>37051.071670940648</v>
      </c>
      <c r="W158">
        <f t="shared" si="28"/>
        <v>78.123965063342155</v>
      </c>
      <c r="Z158">
        <f t="shared" si="33"/>
        <v>7.3471933548432922E-5</v>
      </c>
      <c r="AA158" s="4">
        <v>0.3</v>
      </c>
      <c r="AB158">
        <f t="shared" si="29"/>
        <v>21516606.278294753</v>
      </c>
      <c r="AC158">
        <f t="shared" si="32"/>
        <v>2007373.9478666396</v>
      </c>
      <c r="AD158" s="4">
        <v>0.2</v>
      </c>
      <c r="AE158">
        <f t="shared" si="30"/>
        <v>401474.78957332793</v>
      </c>
      <c r="AF158">
        <f t="shared" si="31"/>
        <v>1</v>
      </c>
    </row>
    <row r="159" spans="1:32" x14ac:dyDescent="0.15">
      <c r="A159" s="1">
        <v>158</v>
      </c>
      <c r="B159">
        <f t="shared" si="23"/>
        <v>176819.27741104842</v>
      </c>
      <c r="C159" s="4">
        <v>0.08</v>
      </c>
      <c r="D159">
        <f t="shared" si="24"/>
        <v>1248344.0985220033</v>
      </c>
      <c r="Q159">
        <f t="shared" si="25"/>
        <v>1248344.0985220121</v>
      </c>
      <c r="R159">
        <f t="shared" si="26"/>
        <v>741.81897273420441</v>
      </c>
      <c r="S159">
        <f t="shared" si="27"/>
        <v>6971380.4341675006</v>
      </c>
      <c r="T159" s="4">
        <v>0.08</v>
      </c>
      <c r="V159">
        <f>SUM($R$2:R159)</f>
        <v>37792.890643674851</v>
      </c>
      <c r="W159">
        <f t="shared" si="28"/>
        <v>79.688126014580291</v>
      </c>
      <c r="Z159">
        <f t="shared" si="33"/>
        <v>6.8029568100400851E-5</v>
      </c>
      <c r="AA159" s="4">
        <v>0.3</v>
      </c>
      <c r="AB159">
        <f t="shared" si="29"/>
        <v>23237934.780558337</v>
      </c>
      <c r="AC159">
        <f t="shared" si="32"/>
        <v>2127816.3847386381</v>
      </c>
      <c r="AD159" s="4">
        <v>0.2</v>
      </c>
      <c r="AE159">
        <f t="shared" si="30"/>
        <v>425563.27694772766</v>
      </c>
      <c r="AF159">
        <f t="shared" si="31"/>
        <v>1</v>
      </c>
    </row>
    <row r="160" spans="1:32" x14ac:dyDescent="0.15">
      <c r="A160" s="1">
        <v>159</v>
      </c>
      <c r="B160">
        <f t="shared" si="23"/>
        <v>190964.81960393229</v>
      </c>
      <c r="C160" s="4">
        <v>0.08</v>
      </c>
      <c r="D160">
        <f t="shared" si="24"/>
        <v>1348211.6264037634</v>
      </c>
      <c r="Q160">
        <f t="shared" si="25"/>
        <v>1348211.6264037732</v>
      </c>
      <c r="R160">
        <f t="shared" si="26"/>
        <v>755.81555712541581</v>
      </c>
      <c r="S160">
        <f t="shared" si="27"/>
        <v>7529090.8689009007</v>
      </c>
      <c r="T160" s="4">
        <v>0.08</v>
      </c>
      <c r="V160">
        <f>SUM($R$2:R160)</f>
        <v>38548.706200800269</v>
      </c>
      <c r="W160">
        <f t="shared" si="28"/>
        <v>81.281799436596529</v>
      </c>
      <c r="Z160">
        <f t="shared" si="33"/>
        <v>6.2990340833704486E-5</v>
      </c>
      <c r="AA160" s="4">
        <v>0.3</v>
      </c>
      <c r="AB160">
        <f t="shared" si="29"/>
        <v>25096969.563003004</v>
      </c>
      <c r="AC160">
        <f t="shared" si="32"/>
        <v>2255485.3678229563</v>
      </c>
      <c r="AD160" s="4">
        <v>0.2</v>
      </c>
      <c r="AE160">
        <f t="shared" si="30"/>
        <v>451097.07356459129</v>
      </c>
      <c r="AF160">
        <f t="shared" si="31"/>
        <v>1</v>
      </c>
    </row>
    <row r="161" spans="1:32" x14ac:dyDescent="0.15">
      <c r="A161" s="1">
        <v>160</v>
      </c>
      <c r="B161">
        <f t="shared" si="23"/>
        <v>206242.00517224689</v>
      </c>
      <c r="C161" s="4">
        <v>0.08</v>
      </c>
      <c r="D161">
        <f t="shared" si="24"/>
        <v>1456068.5565160646</v>
      </c>
      <c r="Q161">
        <f t="shared" si="25"/>
        <v>1456068.5565160753</v>
      </c>
      <c r="R161">
        <f t="shared" si="26"/>
        <v>770.07622801457444</v>
      </c>
      <c r="S161">
        <f t="shared" si="27"/>
        <v>8131418.1384129729</v>
      </c>
      <c r="T161" s="4">
        <v>0.08</v>
      </c>
      <c r="V161">
        <f>SUM($R$2:R161)</f>
        <v>39318.78242881484</v>
      </c>
      <c r="W161">
        <f t="shared" si="28"/>
        <v>82.905542168462105</v>
      </c>
      <c r="Z161">
        <f t="shared" si="33"/>
        <v>5.8324389660837484E-5</v>
      </c>
      <c r="AA161" s="4">
        <v>0.3</v>
      </c>
      <c r="AB161">
        <f t="shared" si="29"/>
        <v>27104727.128043246</v>
      </c>
      <c r="AC161">
        <f t="shared" si="32"/>
        <v>2390814.4898923337</v>
      </c>
      <c r="AD161" s="4">
        <v>0.2</v>
      </c>
      <c r="AE161">
        <f t="shared" si="30"/>
        <v>478162.89797846676</v>
      </c>
      <c r="AF161">
        <f t="shared" si="31"/>
        <v>1</v>
      </c>
    </row>
    <row r="162" spans="1:32" x14ac:dyDescent="0.15">
      <c r="A162" s="1">
        <v>161</v>
      </c>
      <c r="B162">
        <f t="shared" si="23"/>
        <v>222741.36558602663</v>
      </c>
      <c r="C162" s="4">
        <v>0.08</v>
      </c>
      <c r="D162">
        <f t="shared" si="24"/>
        <v>1572554.0410373497</v>
      </c>
      <c r="Q162">
        <f t="shared" si="25"/>
        <v>1572554.0410373614</v>
      </c>
      <c r="R162">
        <f t="shared" si="26"/>
        <v>784.60596816579323</v>
      </c>
      <c r="S162">
        <f t="shared" si="27"/>
        <v>8781931.5894860122</v>
      </c>
      <c r="T162" s="4">
        <v>0.08</v>
      </c>
      <c r="V162">
        <f>SUM($R$2:R162)</f>
        <v>40103.388396980634</v>
      </c>
      <c r="W162">
        <f t="shared" si="28"/>
        <v>84.559921555645914</v>
      </c>
      <c r="Z162">
        <f t="shared" si="33"/>
        <v>5.4004064500775441E-5</v>
      </c>
      <c r="AA162" s="4">
        <v>0.3</v>
      </c>
      <c r="AB162">
        <f t="shared" si="29"/>
        <v>29273105.29828671</v>
      </c>
      <c r="AC162">
        <f t="shared" si="32"/>
        <v>2534263.3592858738</v>
      </c>
      <c r="AD162" s="4">
        <v>0.2</v>
      </c>
      <c r="AE162">
        <f t="shared" si="30"/>
        <v>506852.67185717478</v>
      </c>
      <c r="AF162">
        <f t="shared" si="31"/>
        <v>1</v>
      </c>
    </row>
    <row r="163" spans="1:32" x14ac:dyDescent="0.15">
      <c r="A163" s="1">
        <v>162</v>
      </c>
      <c r="B163">
        <f t="shared" si="23"/>
        <v>240560.67483290876</v>
      </c>
      <c r="C163" s="4">
        <v>0.08</v>
      </c>
      <c r="D163">
        <f t="shared" si="24"/>
        <v>1698358.3643203378</v>
      </c>
      <c r="Q163">
        <f t="shared" si="25"/>
        <v>1698358.3643203501</v>
      </c>
      <c r="R163">
        <f t="shared" si="26"/>
        <v>799.40985435760069</v>
      </c>
      <c r="S163">
        <f t="shared" si="27"/>
        <v>9484486.1166448947</v>
      </c>
      <c r="T163" s="4">
        <v>0.08</v>
      </c>
      <c r="V163">
        <f>SUM($R$2:R163)</f>
        <v>40902.798251338238</v>
      </c>
      <c r="W163">
        <f t="shared" si="28"/>
        <v>86.245515648248301</v>
      </c>
      <c r="Z163">
        <f t="shared" si="33"/>
        <v>5.0003763426643918E-5</v>
      </c>
      <c r="AA163" s="4">
        <v>0.3</v>
      </c>
      <c r="AB163">
        <f t="shared" si="29"/>
        <v>31614953.722149651</v>
      </c>
      <c r="AC163">
        <f t="shared" si="32"/>
        <v>2686319.1608430264</v>
      </c>
      <c r="AD163" s="4">
        <v>0.2</v>
      </c>
      <c r="AE163">
        <f t="shared" si="30"/>
        <v>537263.8321686053</v>
      </c>
      <c r="AF163">
        <f t="shared" si="31"/>
        <v>1</v>
      </c>
    </row>
    <row r="164" spans="1:32" x14ac:dyDescent="0.15">
      <c r="A164" s="1">
        <v>163</v>
      </c>
      <c r="B164">
        <f t="shared" si="23"/>
        <v>259805.52881954145</v>
      </c>
      <c r="C164" s="4">
        <v>0.08</v>
      </c>
      <c r="D164">
        <f t="shared" si="24"/>
        <v>1834227.0334659647</v>
      </c>
      <c r="Q164">
        <f t="shared" si="25"/>
        <v>1834227.0334659782</v>
      </c>
      <c r="R164">
        <f t="shared" si="26"/>
        <v>814.49305915680065</v>
      </c>
      <c r="S164">
        <f t="shared" si="27"/>
        <v>10243245.005976487</v>
      </c>
      <c r="T164" s="4">
        <v>0.08</v>
      </c>
      <c r="V164">
        <f>SUM($R$2:R164)</f>
        <v>41717.291310495035</v>
      </c>
      <c r="W164">
        <f t="shared" si="28"/>
        <v>87.962913402975232</v>
      </c>
      <c r="Z164">
        <f t="shared" si="33"/>
        <v>4.6299780950596215E-5</v>
      </c>
      <c r="AA164" s="4">
        <v>0.3</v>
      </c>
      <c r="AB164">
        <f t="shared" si="29"/>
        <v>34144150.019921623</v>
      </c>
      <c r="AC164">
        <f t="shared" si="32"/>
        <v>2847498.310493608</v>
      </c>
      <c r="AD164" s="4">
        <v>0.2</v>
      </c>
      <c r="AE164">
        <f t="shared" si="30"/>
        <v>569499.6620987216</v>
      </c>
      <c r="AF164">
        <f t="shared" si="31"/>
        <v>1</v>
      </c>
    </row>
    <row r="165" spans="1:32" x14ac:dyDescent="0.15">
      <c r="A165" s="1">
        <v>164</v>
      </c>
      <c r="B165">
        <f t="shared" si="23"/>
        <v>280589.97112510476</v>
      </c>
      <c r="C165" s="4">
        <v>0.08</v>
      </c>
      <c r="D165">
        <f t="shared" si="24"/>
        <v>1980965.1961432418</v>
      </c>
      <c r="Q165">
        <f t="shared" si="25"/>
        <v>1980965.1961432567</v>
      </c>
      <c r="R165">
        <f t="shared" si="26"/>
        <v>829.8608527257968</v>
      </c>
      <c r="S165">
        <f t="shared" si="27"/>
        <v>11062704.606454607</v>
      </c>
      <c r="T165" s="4">
        <v>0.08</v>
      </c>
      <c r="V165">
        <f>SUM($R$2:R165)</f>
        <v>42547.152163220831</v>
      </c>
      <c r="W165">
        <f t="shared" si="28"/>
        <v>89.712714888923443</v>
      </c>
      <c r="Z165">
        <f t="shared" si="33"/>
        <v>4.2870167546848345E-5</v>
      </c>
      <c r="AA165" s="4">
        <v>0.3</v>
      </c>
      <c r="AB165">
        <f t="shared" si="29"/>
        <v>36875682.021515362</v>
      </c>
      <c r="AC165">
        <f t="shared" si="32"/>
        <v>3018348.2091232245</v>
      </c>
      <c r="AD165" s="4">
        <v>0.2</v>
      </c>
      <c r="AE165">
        <f t="shared" si="30"/>
        <v>603669.64182464487</v>
      </c>
      <c r="AF165">
        <f t="shared" si="31"/>
        <v>1</v>
      </c>
    </row>
    <row r="166" spans="1:32" x14ac:dyDescent="0.15">
      <c r="A166" s="1">
        <v>165</v>
      </c>
      <c r="B166">
        <f t="shared" ref="B166:B200" si="34">B165+B165*C165</f>
        <v>303037.16881511314</v>
      </c>
      <c r="C166" s="4">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4">
        <v>0.08</v>
      </c>
      <c r="V166">
        <f>SUM($R$2:R166)</f>
        <v>43392.670767884854</v>
      </c>
      <c r="W166">
        <f t="shared" ref="W166:W200" si="39">V166/$W$2</f>
        <v>91.495531497248038</v>
      </c>
      <c r="Z166">
        <f t="shared" si="33"/>
        <v>3.9694599580415133E-5</v>
      </c>
      <c r="AA166" s="4">
        <v>0.3</v>
      </c>
      <c r="AB166">
        <f t="shared" si="29"/>
        <v>39825736.58323659</v>
      </c>
      <c r="AC166">
        <f t="shared" si="32"/>
        <v>3199449.1016706182</v>
      </c>
      <c r="AD166" s="4">
        <v>0.2</v>
      </c>
      <c r="AE166">
        <f t="shared" si="30"/>
        <v>639889.82033412368</v>
      </c>
      <c r="AF166">
        <f t="shared" si="31"/>
        <v>1</v>
      </c>
    </row>
    <row r="167" spans="1:32" x14ac:dyDescent="0.15">
      <c r="A167" s="1">
        <v>166</v>
      </c>
      <c r="B167">
        <f t="shared" si="34"/>
        <v>327280.14232032216</v>
      </c>
      <c r="C167" s="4">
        <v>0.08</v>
      </c>
      <c r="D167">
        <f t="shared" si="35"/>
        <v>2310597.804781477</v>
      </c>
      <c r="Q167">
        <f t="shared" si="36"/>
        <v>2310597.8047814951</v>
      </c>
      <c r="R167">
        <f t="shared" si="37"/>
        <v>861.47178588409531</v>
      </c>
      <c r="S167">
        <f t="shared" si="38"/>
        <v>12903538.652968654</v>
      </c>
      <c r="T167" s="4">
        <v>0.08</v>
      </c>
      <c r="V167">
        <f>SUM($R$2:R167)</f>
        <v>44254.14255376895</v>
      </c>
      <c r="W167">
        <f t="shared" si="39"/>
        <v>93.311986154786297</v>
      </c>
      <c r="Z167">
        <f t="shared" si="33"/>
        <v>3.6754258870754755E-5</v>
      </c>
      <c r="AA167" s="4">
        <v>0.3</v>
      </c>
      <c r="AB167">
        <f t="shared" si="29"/>
        <v>43011795.509895518</v>
      </c>
      <c r="AC167">
        <f t="shared" si="32"/>
        <v>3391416.0477708555</v>
      </c>
      <c r="AD167" s="4">
        <v>0.2</v>
      </c>
      <c r="AE167">
        <f t="shared" si="30"/>
        <v>678283.20955417119</v>
      </c>
      <c r="AF167">
        <f t="shared" si="31"/>
        <v>1</v>
      </c>
    </row>
    <row r="168" spans="1:32" x14ac:dyDescent="0.15">
      <c r="A168" s="1">
        <v>167</v>
      </c>
      <c r="B168">
        <f t="shared" si="34"/>
        <v>353462.55370594794</v>
      </c>
      <c r="C168" s="4">
        <v>0.08</v>
      </c>
      <c r="D168">
        <f t="shared" si="35"/>
        <v>2495445.6291639949</v>
      </c>
      <c r="Q168">
        <f t="shared" si="36"/>
        <v>2495445.6291640149</v>
      </c>
      <c r="R168">
        <f t="shared" si="37"/>
        <v>877.72597052341769</v>
      </c>
      <c r="S168">
        <f t="shared" si="38"/>
        <v>13935821.745206147</v>
      </c>
      <c r="T168" s="4">
        <v>0.08</v>
      </c>
      <c r="V168">
        <f>SUM($R$2:R168)</f>
        <v>45131.868524292368</v>
      </c>
      <c r="W168">
        <f t="shared" si="39"/>
        <v>95.16271354171208</v>
      </c>
      <c r="Z168">
        <f t="shared" si="33"/>
        <v>3.4031721176624766E-5</v>
      </c>
      <c r="AA168" s="4">
        <v>0.3</v>
      </c>
      <c r="AB168">
        <f t="shared" si="29"/>
        <v>46452739.150687158</v>
      </c>
      <c r="AC168">
        <f t="shared" si="32"/>
        <v>3594901.0106371068</v>
      </c>
      <c r="AD168" s="4">
        <v>0.2</v>
      </c>
      <c r="AE168">
        <f t="shared" si="30"/>
        <v>718980.20212742139</v>
      </c>
      <c r="AF168">
        <f t="shared" si="31"/>
        <v>1</v>
      </c>
    </row>
    <row r="169" spans="1:32" x14ac:dyDescent="0.15">
      <c r="A169" s="1">
        <v>168</v>
      </c>
      <c r="B169">
        <f t="shared" si="34"/>
        <v>381739.55800242379</v>
      </c>
      <c r="C169" s="4">
        <v>0.08</v>
      </c>
      <c r="D169">
        <f t="shared" si="35"/>
        <v>2695081.2794971145</v>
      </c>
      <c r="Q169">
        <f t="shared" si="36"/>
        <v>2695081.2794971359</v>
      </c>
      <c r="R169">
        <f t="shared" si="37"/>
        <v>894.28683789178399</v>
      </c>
      <c r="S169">
        <f t="shared" si="38"/>
        <v>15050687.48482264</v>
      </c>
      <c r="T169" s="4">
        <v>0.08</v>
      </c>
      <c r="V169">
        <f>SUM($R$2:R169)</f>
        <v>46026.155362184152</v>
      </c>
      <c r="W169">
        <f t="shared" si="39"/>
        <v>97.048360313296826</v>
      </c>
      <c r="Z169">
        <f t="shared" si="33"/>
        <v>3.1510852941319226E-5</v>
      </c>
      <c r="AA169" s="4">
        <v>0.3</v>
      </c>
      <c r="AB169">
        <f t="shared" si="29"/>
        <v>50168958.282742135</v>
      </c>
      <c r="AC169">
        <f t="shared" si="32"/>
        <v>3810595.0712753334</v>
      </c>
      <c r="AD169" s="4">
        <v>0.2</v>
      </c>
      <c r="AE169">
        <f t="shared" si="30"/>
        <v>762119.01425506675</v>
      </c>
      <c r="AF169">
        <f t="shared" si="31"/>
        <v>1</v>
      </c>
    </row>
    <row r="170" spans="1:32" x14ac:dyDescent="0.15">
      <c r="A170" s="1">
        <v>169</v>
      </c>
      <c r="B170">
        <f t="shared" si="34"/>
        <v>412278.72264261771</v>
      </c>
      <c r="C170" s="4">
        <v>0.08</v>
      </c>
      <c r="D170">
        <f t="shared" si="35"/>
        <v>2910687.7818568838</v>
      </c>
      <c r="Q170">
        <f t="shared" si="36"/>
        <v>2910687.7818569071</v>
      </c>
      <c r="R170">
        <f t="shared" si="37"/>
        <v>911.16017445578018</v>
      </c>
      <c r="S170">
        <f t="shared" si="38"/>
        <v>16254742.483608453</v>
      </c>
      <c r="T170" s="4">
        <v>0.08</v>
      </c>
      <c r="V170">
        <f>SUM($R$2:R170)</f>
        <v>46937.31553663993</v>
      </c>
      <c r="W170">
        <f t="shared" si="39"/>
        <v>98.969585325854865</v>
      </c>
      <c r="Z170">
        <f t="shared" si="33"/>
        <v>2.917671568640669E-5</v>
      </c>
      <c r="AA170" s="4">
        <v>0.3</v>
      </c>
      <c r="AB170">
        <f t="shared" si="29"/>
        <v>54182474.94536151</v>
      </c>
      <c r="AC170">
        <f t="shared" si="32"/>
        <v>4039230.7755518537</v>
      </c>
      <c r="AD170" s="4">
        <v>0.2</v>
      </c>
      <c r="AE170">
        <f t="shared" si="30"/>
        <v>807846.15511037083</v>
      </c>
      <c r="AF170">
        <f t="shared" si="31"/>
        <v>1</v>
      </c>
    </row>
    <row r="171" spans="1:32" x14ac:dyDescent="0.15">
      <c r="A171" s="1">
        <v>170</v>
      </c>
      <c r="B171">
        <f t="shared" si="34"/>
        <v>445261.02045402711</v>
      </c>
      <c r="C171" s="4">
        <v>0.08</v>
      </c>
      <c r="D171">
        <f t="shared" si="35"/>
        <v>3143542.8044054345</v>
      </c>
      <c r="Q171">
        <f t="shared" si="36"/>
        <v>3143542.8044054601</v>
      </c>
      <c r="R171">
        <f t="shared" si="37"/>
        <v>928.35187586060624</v>
      </c>
      <c r="S171">
        <f t="shared" si="38"/>
        <v>17555121.882297128</v>
      </c>
      <c r="T171" s="4">
        <v>0.08</v>
      </c>
      <c r="V171">
        <f>SUM($R$2:R171)</f>
        <v>47865.667412500537</v>
      </c>
      <c r="W171">
        <f t="shared" si="39"/>
        <v>100.92705986695175</v>
      </c>
      <c r="Z171">
        <f t="shared" si="33"/>
        <v>2.7015477487413603E-5</v>
      </c>
      <c r="AA171" s="4">
        <v>0.3</v>
      </c>
      <c r="AB171">
        <f t="shared" si="29"/>
        <v>58517072.940990433</v>
      </c>
      <c r="AC171">
        <f t="shared" si="32"/>
        <v>4281584.622084965</v>
      </c>
      <c r="AD171" s="4">
        <v>0.2</v>
      </c>
      <c r="AE171">
        <f t="shared" si="30"/>
        <v>856316.92441699305</v>
      </c>
      <c r="AF171">
        <f t="shared" si="31"/>
        <v>1</v>
      </c>
    </row>
    <row r="172" spans="1:32" x14ac:dyDescent="0.15">
      <c r="A172" s="1">
        <v>171</v>
      </c>
      <c r="B172">
        <f t="shared" si="34"/>
        <v>480881.90209034929</v>
      </c>
      <c r="C172" s="4">
        <v>0.08</v>
      </c>
      <c r="D172">
        <f t="shared" si="35"/>
        <v>3395026.2287578695</v>
      </c>
      <c r="Q172">
        <f t="shared" si="36"/>
        <v>3395026.2287578965</v>
      </c>
      <c r="R172">
        <f t="shared" si="37"/>
        <v>945.86794899005145</v>
      </c>
      <c r="S172">
        <f t="shared" si="38"/>
        <v>18959531.6328809</v>
      </c>
      <c r="T172" s="4">
        <v>0.08</v>
      </c>
      <c r="V172">
        <f>SUM($R$2:R172)</f>
        <v>48811.535361490591</v>
      </c>
      <c r="W172">
        <f t="shared" si="39"/>
        <v>102.92146788995612</v>
      </c>
      <c r="Z172">
        <f t="shared" si="33"/>
        <v>2.5014331006864447E-5</v>
      </c>
      <c r="AA172" s="4">
        <v>0.3</v>
      </c>
      <c r="AB172">
        <f t="shared" si="29"/>
        <v>63198438.776269667</v>
      </c>
      <c r="AC172">
        <f t="shared" si="32"/>
        <v>4538479.6994100632</v>
      </c>
      <c r="AD172" s="4">
        <v>0.2</v>
      </c>
      <c r="AE172">
        <f t="shared" si="30"/>
        <v>907695.93988201267</v>
      </c>
      <c r="AF172">
        <f t="shared" si="31"/>
        <v>1</v>
      </c>
    </row>
    <row r="173" spans="1:32" x14ac:dyDescent="0.15">
      <c r="A173" s="1">
        <v>172</v>
      </c>
      <c r="B173">
        <f t="shared" si="34"/>
        <v>519352.45425757725</v>
      </c>
      <c r="C173" s="4">
        <v>0.08</v>
      </c>
      <c r="D173">
        <f t="shared" si="35"/>
        <v>3666628.3270584992</v>
      </c>
      <c r="Q173">
        <f t="shared" si="36"/>
        <v>3666628.3270585281</v>
      </c>
      <c r="R173">
        <f t="shared" si="37"/>
        <v>963.71451406533538</v>
      </c>
      <c r="S173">
        <f t="shared" si="38"/>
        <v>20476294.163511373</v>
      </c>
      <c r="T173" s="4">
        <v>0.08</v>
      </c>
      <c r="V173">
        <f>SUM($R$2:R173)</f>
        <v>49775.249875555928</v>
      </c>
      <c r="W173">
        <f t="shared" si="39"/>
        <v>104.95350625301718</v>
      </c>
      <c r="Z173">
        <f t="shared" si="33"/>
        <v>2.3161417598948559E-5</v>
      </c>
      <c r="AA173" s="4">
        <v>0.3</v>
      </c>
      <c r="AB173">
        <f t="shared" si="29"/>
        <v>68254313.878371254</v>
      </c>
      <c r="AC173">
        <f t="shared" si="32"/>
        <v>4810788.481374667</v>
      </c>
      <c r="AD173" s="4">
        <v>0.2</v>
      </c>
      <c r="AE173">
        <f t="shared" si="30"/>
        <v>962157.69627493341</v>
      </c>
      <c r="AF173">
        <f t="shared" si="31"/>
        <v>1</v>
      </c>
    </row>
    <row r="174" spans="1:32" x14ac:dyDescent="0.15">
      <c r="A174" s="1">
        <v>173</v>
      </c>
      <c r="B174">
        <f t="shared" si="34"/>
        <v>560900.65059818339</v>
      </c>
      <c r="C174" s="4">
        <v>0.08</v>
      </c>
      <c r="D174">
        <f t="shared" si="35"/>
        <v>3959958.5932231792</v>
      </c>
      <c r="Q174">
        <f t="shared" si="36"/>
        <v>3959958.5932232109</v>
      </c>
      <c r="R174">
        <f t="shared" si="37"/>
        <v>981.89780678354941</v>
      </c>
      <c r="S174">
        <f t="shared" si="38"/>
        <v>22114397.696592286</v>
      </c>
      <c r="T174" s="4">
        <v>0.08</v>
      </c>
      <c r="V174">
        <f>SUM($R$2:R174)</f>
        <v>50757.147682339477</v>
      </c>
      <c r="W174">
        <f t="shared" si="39"/>
        <v>107.02388496255108</v>
      </c>
      <c r="Z174">
        <f t="shared" si="33"/>
        <v>2.1445757036063478E-5</v>
      </c>
      <c r="AA174" s="4">
        <v>0.3</v>
      </c>
      <c r="AB174">
        <f t="shared" si="29"/>
        <v>73714658.988640964</v>
      </c>
      <c r="AC174">
        <f t="shared" si="32"/>
        <v>5099435.7902571475</v>
      </c>
      <c r="AD174" s="4">
        <v>0.2</v>
      </c>
      <c r="AE174">
        <f t="shared" si="30"/>
        <v>1019887.1580514295</v>
      </c>
      <c r="AF174">
        <f t="shared" si="31"/>
        <v>1</v>
      </c>
    </row>
    <row r="175" spans="1:32" x14ac:dyDescent="0.15">
      <c r="A175" s="1">
        <v>174</v>
      </c>
      <c r="B175">
        <f t="shared" si="34"/>
        <v>605772.70264603803</v>
      </c>
      <c r="C175" s="4">
        <v>0.08</v>
      </c>
      <c r="D175">
        <f t="shared" si="35"/>
        <v>4276755.2806810336</v>
      </c>
      <c r="Q175">
        <f t="shared" si="36"/>
        <v>4276755.2806810681</v>
      </c>
      <c r="R175">
        <f t="shared" si="37"/>
        <v>1000.4241804964466</v>
      </c>
      <c r="S175">
        <f t="shared" si="38"/>
        <v>23883549.512319669</v>
      </c>
      <c r="T175" s="4">
        <v>0.08</v>
      </c>
      <c r="V175">
        <f>SUM($R$2:R175)</f>
        <v>51757.571862835925</v>
      </c>
      <c r="W175">
        <f t="shared" si="39"/>
        <v>109.13332742132148</v>
      </c>
      <c r="Z175">
        <f t="shared" si="33"/>
        <v>1.9857182440799518E-5</v>
      </c>
      <c r="AA175" s="4">
        <v>0.3</v>
      </c>
      <c r="AB175">
        <f t="shared" si="29"/>
        <v>79611831.70773223</v>
      </c>
      <c r="AC175">
        <f t="shared" si="32"/>
        <v>5405401.9376725769</v>
      </c>
      <c r="AD175" s="4">
        <v>0.2</v>
      </c>
      <c r="AE175">
        <f t="shared" si="30"/>
        <v>1081080.3875345155</v>
      </c>
      <c r="AF175">
        <f t="shared" si="31"/>
        <v>1</v>
      </c>
    </row>
    <row r="176" spans="1:32" x14ac:dyDescent="0.15">
      <c r="A176" s="1">
        <v>175</v>
      </c>
      <c r="B176">
        <f t="shared" si="34"/>
        <v>654234.51885772112</v>
      </c>
      <c r="C176" s="4">
        <v>0.08</v>
      </c>
      <c r="D176">
        <f t="shared" si="35"/>
        <v>4618895.7031355165</v>
      </c>
      <c r="Q176">
        <f t="shared" si="36"/>
        <v>4618895.7031355537</v>
      </c>
      <c r="R176">
        <f t="shared" si="37"/>
        <v>1019.3001084303418</v>
      </c>
      <c r="S176">
        <f t="shared" si="38"/>
        <v>25794233.473305244</v>
      </c>
      <c r="T176" s="4">
        <v>0.08</v>
      </c>
      <c r="V176">
        <f>SUM($R$2:R176)</f>
        <v>52776.871971266264</v>
      </c>
      <c r="W176">
        <f t="shared" si="39"/>
        <v>111.28257068120074</v>
      </c>
      <c r="Z176">
        <f t="shared" si="33"/>
        <v>1.838628003777733E-5</v>
      </c>
      <c r="AA176" s="4">
        <v>0.3</v>
      </c>
      <c r="AB176">
        <f t="shared" si="29"/>
        <v>85980778.244350821</v>
      </c>
      <c r="AC176">
        <f t="shared" si="32"/>
        <v>5729726.0539329322</v>
      </c>
      <c r="AD176" s="4">
        <v>0.2</v>
      </c>
      <c r="AE176">
        <f t="shared" si="30"/>
        <v>1145945.2107865864</v>
      </c>
      <c r="AF176">
        <f t="shared" si="31"/>
        <v>1</v>
      </c>
    </row>
    <row r="177" spans="1:32" x14ac:dyDescent="0.15">
      <c r="A177" s="1">
        <v>176</v>
      </c>
      <c r="B177">
        <f t="shared" si="34"/>
        <v>706573.28036633879</v>
      </c>
      <c r="C177" s="4">
        <v>0.08</v>
      </c>
      <c r="D177">
        <f t="shared" si="35"/>
        <v>4988407.3593863575</v>
      </c>
      <c r="Q177">
        <f t="shared" si="36"/>
        <v>4988407.3593863985</v>
      </c>
      <c r="R177">
        <f t="shared" si="37"/>
        <v>1038.5321859478952</v>
      </c>
      <c r="S177">
        <f t="shared" si="38"/>
        <v>27857772.151169665</v>
      </c>
      <c r="T177" s="4">
        <v>0.08</v>
      </c>
      <c r="V177">
        <f>SUM($R$2:R177)</f>
        <v>53815.404157214158</v>
      </c>
      <c r="W177">
        <f t="shared" si="39"/>
        <v>113.47236570070038</v>
      </c>
      <c r="Z177">
        <f t="shared" si="33"/>
        <v>1.7024333368312341E-5</v>
      </c>
      <c r="AA177" s="4">
        <v>0.3</v>
      </c>
      <c r="AB177">
        <f t="shared" si="29"/>
        <v>92859240.503898889</v>
      </c>
      <c r="AC177">
        <f t="shared" si="32"/>
        <v>6073509.617168908</v>
      </c>
      <c r="AD177" s="4">
        <v>0.2</v>
      </c>
      <c r="AE177">
        <f t="shared" si="30"/>
        <v>1214701.9234337816</v>
      </c>
      <c r="AF177">
        <f t="shared" si="31"/>
        <v>1</v>
      </c>
    </row>
    <row r="178" spans="1:32" x14ac:dyDescent="0.15">
      <c r="A178" s="1">
        <v>177</v>
      </c>
      <c r="B178">
        <f t="shared" si="34"/>
        <v>763099.14279564586</v>
      </c>
      <c r="C178" s="4">
        <v>0.08</v>
      </c>
      <c r="D178">
        <f t="shared" si="35"/>
        <v>5387479.9481372666</v>
      </c>
      <c r="Q178">
        <f t="shared" si="36"/>
        <v>5387479.9481373094</v>
      </c>
      <c r="R178">
        <f t="shared" si="37"/>
        <v>1058.1271328525727</v>
      </c>
      <c r="S178">
        <f t="shared" si="38"/>
        <v>30086393.923263241</v>
      </c>
      <c r="T178" s="4">
        <v>0.08</v>
      </c>
      <c r="V178">
        <f>SUM($R$2:R178)</f>
        <v>54873.531290066734</v>
      </c>
      <c r="W178">
        <f t="shared" si="39"/>
        <v>115.70347760736038</v>
      </c>
      <c r="Z178">
        <f t="shared" si="33"/>
        <v>1.5763271637326241E-5</v>
      </c>
      <c r="AA178" s="4">
        <v>0.3</v>
      </c>
      <c r="AB178">
        <f t="shared" si="29"/>
        <v>100287979.74421081</v>
      </c>
      <c r="AC178">
        <f t="shared" si="32"/>
        <v>6437920.1941990424</v>
      </c>
      <c r="AD178" s="4">
        <v>0.2</v>
      </c>
      <c r="AE178">
        <f t="shared" si="30"/>
        <v>1287584.0388398087</v>
      </c>
      <c r="AF178">
        <f t="shared" si="31"/>
        <v>1</v>
      </c>
    </row>
    <row r="179" spans="1:32" x14ac:dyDescent="0.15">
      <c r="A179" s="1">
        <v>178</v>
      </c>
      <c r="B179">
        <f t="shared" si="34"/>
        <v>824147.0742192975</v>
      </c>
      <c r="C179" s="4">
        <v>0.08</v>
      </c>
      <c r="D179">
        <f t="shared" si="35"/>
        <v>5818478.3439882481</v>
      </c>
      <c r="Q179">
        <f t="shared" si="36"/>
        <v>5818478.3439882947</v>
      </c>
      <c r="R179">
        <f t="shared" si="37"/>
        <v>1078.0917957365834</v>
      </c>
      <c r="S179">
        <f t="shared" si="38"/>
        <v>32493305.437124301</v>
      </c>
      <c r="T179" s="4">
        <v>0.08</v>
      </c>
      <c r="V179">
        <f>SUM($R$2:R179)</f>
        <v>55951.623085803316</v>
      </c>
      <c r="W179">
        <f t="shared" si="39"/>
        <v>117.97668596508944</v>
      </c>
      <c r="Z179">
        <f t="shared" si="33"/>
        <v>1.4595621886413185E-5</v>
      </c>
      <c r="AA179" s="4">
        <v>0.3</v>
      </c>
      <c r="AB179">
        <f t="shared" si="29"/>
        <v>108311018.12374768</v>
      </c>
      <c r="AC179">
        <f t="shared" si="32"/>
        <v>6824195.4058509851</v>
      </c>
      <c r="AD179" s="4">
        <v>0.2</v>
      </c>
      <c r="AE179">
        <f t="shared" si="30"/>
        <v>1364839.0811701971</v>
      </c>
      <c r="AF179">
        <f t="shared" si="31"/>
        <v>1</v>
      </c>
    </row>
    <row r="180" spans="1:32" x14ac:dyDescent="0.15">
      <c r="A180" s="1">
        <v>179</v>
      </c>
      <c r="B180">
        <f t="shared" si="34"/>
        <v>890078.84015684132</v>
      </c>
      <c r="C180" s="4">
        <v>0.08</v>
      </c>
      <c r="D180">
        <f t="shared" si="35"/>
        <v>6283956.6115073077</v>
      </c>
      <c r="Q180">
        <f t="shared" si="36"/>
        <v>6283956.611507359</v>
      </c>
      <c r="R180">
        <f t="shared" si="37"/>
        <v>1098.433150373123</v>
      </c>
      <c r="S180">
        <f t="shared" si="38"/>
        <v>35092769.872094244</v>
      </c>
      <c r="T180" s="4">
        <v>0.08</v>
      </c>
      <c r="V180">
        <f>SUM($R$2:R180)</f>
        <v>57050.056236176439</v>
      </c>
      <c r="W180">
        <f t="shared" si="39"/>
        <v>120.29278504654924</v>
      </c>
      <c r="Z180">
        <f t="shared" si="33"/>
        <v>1.3514464709641839E-5</v>
      </c>
      <c r="AA180" s="4">
        <v>0.3</v>
      </c>
      <c r="AB180">
        <f t="shared" si="29"/>
        <v>116975899.57364748</v>
      </c>
      <c r="AC180">
        <f t="shared" si="32"/>
        <v>7233647.1302020447</v>
      </c>
      <c r="AD180" s="4">
        <v>0.2</v>
      </c>
      <c r="AE180">
        <f t="shared" si="30"/>
        <v>1446729.4260404091</v>
      </c>
      <c r="AF180">
        <f t="shared" si="31"/>
        <v>1</v>
      </c>
    </row>
    <row r="181" spans="1:32" x14ac:dyDescent="0.15">
      <c r="A181" s="1">
        <v>180</v>
      </c>
      <c r="B181">
        <f t="shared" si="34"/>
        <v>961285.14736938861</v>
      </c>
      <c r="C181" s="4">
        <v>0.08</v>
      </c>
      <c r="D181">
        <f t="shared" si="35"/>
        <v>6786673.1404278921</v>
      </c>
      <c r="Q181">
        <f t="shared" si="36"/>
        <v>6786673.1404279489</v>
      </c>
      <c r="R181">
        <f t="shared" si="37"/>
        <v>1119.1583041537478</v>
      </c>
      <c r="S181">
        <f t="shared" si="38"/>
        <v>37900191.461861789</v>
      </c>
      <c r="T181" s="4">
        <v>0.08</v>
      </c>
      <c r="V181">
        <f>SUM($R$2:R181)</f>
        <v>58169.214540330184</v>
      </c>
      <c r="W181">
        <f t="shared" si="39"/>
        <v>122.65258411067808</v>
      </c>
      <c r="Z181">
        <f t="shared" si="33"/>
        <v>1.2513393249668367E-5</v>
      </c>
      <c r="AA181" s="4">
        <v>0.3</v>
      </c>
      <c r="AB181">
        <f t="shared" si="29"/>
        <v>126333971.53953931</v>
      </c>
      <c r="AC181">
        <f t="shared" si="32"/>
        <v>7667665.9580141678</v>
      </c>
      <c r="AD181" s="4">
        <v>0.2</v>
      </c>
      <c r="AE181">
        <f t="shared" si="30"/>
        <v>1533533.1916028336</v>
      </c>
      <c r="AF181">
        <f t="shared" si="31"/>
        <v>1</v>
      </c>
    </row>
    <row r="182" spans="1:32" x14ac:dyDescent="0.15">
      <c r="A182" s="1">
        <v>181</v>
      </c>
      <c r="B182">
        <f t="shared" si="34"/>
        <v>1038187.9591589397</v>
      </c>
      <c r="C182" s="4">
        <v>0.08</v>
      </c>
      <c r="D182">
        <f t="shared" si="35"/>
        <v>7329606.9916621232</v>
      </c>
      <c r="Q182">
        <f t="shared" si="36"/>
        <v>7329606.9916621847</v>
      </c>
      <c r="R182">
        <f t="shared" si="37"/>
        <v>1140.2744985717432</v>
      </c>
      <c r="S182">
        <f t="shared" si="38"/>
        <v>40932206.778810732</v>
      </c>
      <c r="T182" s="4">
        <v>0.08</v>
      </c>
      <c r="V182">
        <f>SUM($R$2:R182)</f>
        <v>59309.489038901927</v>
      </c>
      <c r="W182">
        <f t="shared" si="39"/>
        <v>125.05690768545087</v>
      </c>
      <c r="Z182">
        <f t="shared" si="33"/>
        <v>1.1586475231174414E-5</v>
      </c>
      <c r="AA182" s="4">
        <v>0.3</v>
      </c>
      <c r="AB182">
        <f t="shared" si="29"/>
        <v>136440689.26270244</v>
      </c>
      <c r="AC182">
        <f t="shared" si="32"/>
        <v>8127725.9154950185</v>
      </c>
      <c r="AD182" s="4">
        <v>0.2</v>
      </c>
      <c r="AE182">
        <f t="shared" si="30"/>
        <v>1625545.1830990037</v>
      </c>
      <c r="AF182">
        <f t="shared" si="31"/>
        <v>1</v>
      </c>
    </row>
    <row r="183" spans="1:32" x14ac:dyDescent="0.15">
      <c r="A183" s="1">
        <v>182</v>
      </c>
      <c r="B183">
        <f t="shared" si="34"/>
        <v>1121242.9958916549</v>
      </c>
      <c r="C183" s="4">
        <v>0.08</v>
      </c>
      <c r="D183">
        <f t="shared" si="35"/>
        <v>7915975.5509950928</v>
      </c>
      <c r="Q183">
        <f t="shared" si="36"/>
        <v>7915975.550995159</v>
      </c>
      <c r="R183">
        <f t="shared" si="37"/>
        <v>1161.7891117523416</v>
      </c>
      <c r="S183">
        <f t="shared" si="38"/>
        <v>44206783.321115591</v>
      </c>
      <c r="T183" s="4">
        <v>0.08</v>
      </c>
      <c r="V183">
        <f>SUM($R$2:R183)</f>
        <v>60471.278150654267</v>
      </c>
      <c r="W183">
        <f t="shared" si="39"/>
        <v>127.50659585597408</v>
      </c>
      <c r="Z183">
        <f t="shared" si="33"/>
        <v>1.0728217806642976E-5</v>
      </c>
      <c r="AA183" s="4">
        <v>0.3</v>
      </c>
      <c r="AB183">
        <f t="shared" si="29"/>
        <v>147355944.40371865</v>
      </c>
      <c r="AC183">
        <f t="shared" si="32"/>
        <v>8615389.4704247192</v>
      </c>
      <c r="AD183" s="4">
        <v>0.2</v>
      </c>
      <c r="AE183">
        <f t="shared" si="30"/>
        <v>1723077.8940849439</v>
      </c>
      <c r="AF183">
        <f t="shared" si="31"/>
        <v>1</v>
      </c>
    </row>
    <row r="184" spans="1:32" x14ac:dyDescent="0.15">
      <c r="A184" s="1">
        <v>183</v>
      </c>
      <c r="B184">
        <f t="shared" si="34"/>
        <v>1210942.4355629873</v>
      </c>
      <c r="C184" s="4">
        <v>0.08</v>
      </c>
      <c r="D184">
        <f t="shared" si="35"/>
        <v>8549253.5950747002</v>
      </c>
      <c r="Q184">
        <f t="shared" si="36"/>
        <v>8549253.5950747747</v>
      </c>
      <c r="R184">
        <f t="shared" si="37"/>
        <v>1183.7096610306878</v>
      </c>
      <c r="S184">
        <f t="shared" si="38"/>
        <v>47743325.986804843</v>
      </c>
      <c r="T184" s="4">
        <v>0.08</v>
      </c>
      <c r="V184">
        <f>SUM($R$2:R184)</f>
        <v>61654.987811684958</v>
      </c>
      <c r="W184">
        <f t="shared" si="39"/>
        <v>130.00250455801662</v>
      </c>
      <c r="Z184">
        <f t="shared" si="33"/>
        <v>9.9335350061509023E-6</v>
      </c>
      <c r="AA184" s="4">
        <v>0.3</v>
      </c>
      <c r="AB184">
        <f t="shared" si="29"/>
        <v>159144419.95601615</v>
      </c>
      <c r="AC184">
        <f t="shared" si="32"/>
        <v>9132312.8386502024</v>
      </c>
      <c r="AD184" s="4">
        <v>0.2</v>
      </c>
      <c r="AE184">
        <f t="shared" si="30"/>
        <v>1826462.5677300405</v>
      </c>
      <c r="AF184">
        <f t="shared" si="31"/>
        <v>1</v>
      </c>
    </row>
    <row r="185" spans="1:32" x14ac:dyDescent="0.15">
      <c r="A185" s="1">
        <v>184</v>
      </c>
      <c r="B185">
        <f t="shared" si="34"/>
        <v>1307817.8304080262</v>
      </c>
      <c r="C185" s="4">
        <v>0.08</v>
      </c>
      <c r="D185">
        <f t="shared" si="35"/>
        <v>9233193.8826806769</v>
      </c>
      <c r="Q185">
        <f t="shared" si="36"/>
        <v>9233193.8826807551</v>
      </c>
      <c r="R185">
        <f t="shared" si="37"/>
        <v>1206.0438055784366</v>
      </c>
      <c r="S185">
        <f t="shared" si="38"/>
        <v>51562792.065749235</v>
      </c>
      <c r="T185" s="4">
        <v>0.08</v>
      </c>
      <c r="V185">
        <f>SUM($R$2:R185)</f>
        <v>62861.031617263397</v>
      </c>
      <c r="W185">
        <f t="shared" si="39"/>
        <v>132.54550587707882</v>
      </c>
      <c r="Z185">
        <f t="shared" si="33"/>
        <v>9.1977175982878715E-6</v>
      </c>
      <c r="AA185" s="4">
        <v>0.3</v>
      </c>
      <c r="AB185">
        <f t="shared" si="29"/>
        <v>171875973.55249745</v>
      </c>
      <c r="AC185">
        <f t="shared" si="32"/>
        <v>9680251.6089692153</v>
      </c>
      <c r="AD185" s="4">
        <v>0.2</v>
      </c>
      <c r="AE185">
        <f t="shared" si="30"/>
        <v>1936050.3217938431</v>
      </c>
      <c r="AF185">
        <f t="shared" si="31"/>
        <v>1</v>
      </c>
    </row>
    <row r="186" spans="1:32" x14ac:dyDescent="0.15">
      <c r="A186" s="1">
        <v>185</v>
      </c>
      <c r="B186">
        <f t="shared" si="34"/>
        <v>1412443.2568406684</v>
      </c>
      <c r="C186" s="4">
        <v>0.08</v>
      </c>
      <c r="D186">
        <f t="shared" si="35"/>
        <v>9971849.3932951316</v>
      </c>
      <c r="Q186">
        <f t="shared" si="36"/>
        <v>9971849.3932952154</v>
      </c>
      <c r="R186">
        <f t="shared" si="37"/>
        <v>1228.799349079917</v>
      </c>
      <c r="S186">
        <f t="shared" si="38"/>
        <v>55687815.431009181</v>
      </c>
      <c r="T186" s="4">
        <v>0.08</v>
      </c>
      <c r="V186">
        <f>SUM($R$2:R186)</f>
        <v>64089.830966343317</v>
      </c>
      <c r="W186">
        <f t="shared" si="39"/>
        <v>135.13648835310445</v>
      </c>
      <c r="Z186">
        <f t="shared" si="33"/>
        <v>8.5164051835998808E-6</v>
      </c>
      <c r="AA186" s="4">
        <v>0.3</v>
      </c>
      <c r="AB186">
        <f t="shared" si="29"/>
        <v>185626051.43669727</v>
      </c>
      <c r="AC186">
        <f t="shared" si="32"/>
        <v>10261066.705507368</v>
      </c>
      <c r="AD186" s="4">
        <v>0.2</v>
      </c>
      <c r="AE186">
        <f t="shared" si="30"/>
        <v>2052213.3411014737</v>
      </c>
      <c r="AF186">
        <f t="shared" si="31"/>
        <v>1</v>
      </c>
    </row>
    <row r="187" spans="1:32" x14ac:dyDescent="0.15">
      <c r="A187" s="1">
        <v>186</v>
      </c>
      <c r="B187">
        <f t="shared" si="34"/>
        <v>1525438.7173879219</v>
      </c>
      <c r="C187" s="4">
        <v>0.08</v>
      </c>
      <c r="D187">
        <f t="shared" si="35"/>
        <v>10769597.344758742</v>
      </c>
      <c r="Q187">
        <f t="shared" si="36"/>
        <v>10769597.344758835</v>
      </c>
      <c r="R187">
        <f t="shared" si="37"/>
        <v>1251.9842424587835</v>
      </c>
      <c r="S187">
        <f t="shared" si="38"/>
        <v>60142840.665489919</v>
      </c>
      <c r="T187" s="4">
        <v>0.08</v>
      </c>
      <c r="V187">
        <f>SUM($R$2:R187)</f>
        <v>65341.815208802102</v>
      </c>
      <c r="W187">
        <f t="shared" si="39"/>
        <v>137.77635729094189</v>
      </c>
      <c r="Z187">
        <f t="shared" si="33"/>
        <v>7.885560355185074E-6</v>
      </c>
      <c r="AA187" s="4">
        <v>0.3</v>
      </c>
      <c r="AB187">
        <f t="shared" si="29"/>
        <v>200476135.55163306</v>
      </c>
      <c r="AC187">
        <f t="shared" si="32"/>
        <v>10876730.707837811</v>
      </c>
      <c r="AD187" s="4">
        <v>0.2</v>
      </c>
      <c r="AE187">
        <f t="shared" si="30"/>
        <v>2175346.1415675622</v>
      </c>
      <c r="AF187">
        <f t="shared" si="31"/>
        <v>1</v>
      </c>
    </row>
    <row r="188" spans="1:32" x14ac:dyDescent="0.15">
      <c r="A188" s="1">
        <v>187</v>
      </c>
      <c r="B188">
        <f t="shared" si="34"/>
        <v>1647473.8147789557</v>
      </c>
      <c r="C188" s="4">
        <v>0.08</v>
      </c>
      <c r="D188">
        <f t="shared" si="35"/>
        <v>11631165.13233944</v>
      </c>
      <c r="Q188">
        <f t="shared" si="36"/>
        <v>11631165.132339541</v>
      </c>
      <c r="R188">
        <f t="shared" si="37"/>
        <v>1275.6065866561191</v>
      </c>
      <c r="S188">
        <f t="shared" si="38"/>
        <v>64954267.918729119</v>
      </c>
      <c r="T188" s="4">
        <v>0.08</v>
      </c>
      <c r="V188">
        <f>SUM($R$2:R188)</f>
        <v>66617.421795458227</v>
      </c>
      <c r="W188">
        <f t="shared" si="39"/>
        <v>140.46603507666308</v>
      </c>
      <c r="Z188">
        <f t="shared" si="33"/>
        <v>7.3014447733195125E-6</v>
      </c>
      <c r="AA188" s="4">
        <v>0.3</v>
      </c>
      <c r="AB188">
        <f t="shared" si="29"/>
        <v>216514226.39576373</v>
      </c>
      <c r="AC188">
        <f t="shared" si="32"/>
        <v>11529334.55030808</v>
      </c>
      <c r="AD188" s="4">
        <v>0.2</v>
      </c>
      <c r="AE188">
        <f t="shared" si="30"/>
        <v>2305866.910061616</v>
      </c>
      <c r="AF188">
        <f t="shared" si="31"/>
        <v>1</v>
      </c>
    </row>
    <row r="189" spans="1:32" x14ac:dyDescent="0.15">
      <c r="A189" s="1">
        <v>188</v>
      </c>
      <c r="B189">
        <f t="shared" si="34"/>
        <v>1779271.7199612721</v>
      </c>
      <c r="C189" s="4">
        <v>0.08</v>
      </c>
      <c r="D189">
        <f t="shared" si="35"/>
        <v>12561658.342926595</v>
      </c>
      <c r="Q189">
        <f t="shared" si="36"/>
        <v>12561658.342926703</v>
      </c>
      <c r="R189">
        <f t="shared" si="37"/>
        <v>1299.6746354609513</v>
      </c>
      <c r="S189">
        <f t="shared" si="38"/>
        <v>70150609.352227449</v>
      </c>
      <c r="T189" s="4">
        <v>0.08</v>
      </c>
      <c r="V189">
        <f>SUM($R$2:R189)</f>
        <v>67917.096430919177</v>
      </c>
      <c r="W189">
        <f t="shared" si="39"/>
        <v>143.20646149985066</v>
      </c>
      <c r="Z189">
        <f t="shared" si="33"/>
        <v>6.7605970123328813E-6</v>
      </c>
      <c r="AA189" s="4">
        <v>0.3</v>
      </c>
      <c r="AB189">
        <f t="shared" si="29"/>
        <v>233835364.50742483</v>
      </c>
      <c r="AC189">
        <f t="shared" si="32"/>
        <v>12221094.623326566</v>
      </c>
      <c r="AD189" s="4">
        <v>0.2</v>
      </c>
      <c r="AE189">
        <f t="shared" si="30"/>
        <v>2444218.9246653132</v>
      </c>
      <c r="AF189">
        <f t="shared" si="31"/>
        <v>1</v>
      </c>
    </row>
    <row r="190" spans="1:32" x14ac:dyDescent="0.15">
      <c r="A190" s="1">
        <v>189</v>
      </c>
      <c r="B190">
        <f t="shared" si="34"/>
        <v>1921613.4575581739</v>
      </c>
      <c r="C190" s="4">
        <v>0.08</v>
      </c>
      <c r="D190">
        <f t="shared" si="35"/>
        <v>13566591.010360723</v>
      </c>
      <c r="Q190">
        <f t="shared" si="36"/>
        <v>13566591.010360841</v>
      </c>
      <c r="R190">
        <f t="shared" si="37"/>
        <v>1324.1967983941768</v>
      </c>
      <c r="S190">
        <f t="shared" si="38"/>
        <v>75762658.100405648</v>
      </c>
      <c r="T190" s="4">
        <v>0.08</v>
      </c>
      <c r="V190">
        <f>SUM($R$2:R190)</f>
        <v>69241.293229313349</v>
      </c>
      <c r="W190">
        <f t="shared" si="39"/>
        <v>145.99859408196633</v>
      </c>
      <c r="Z190">
        <f t="shared" si="33"/>
        <v>6.2598120484563715E-6</v>
      </c>
      <c r="AA190" s="4">
        <v>0.3</v>
      </c>
      <c r="AB190">
        <f t="shared" si="29"/>
        <v>252542193.66801885</v>
      </c>
      <c r="AC190">
        <f t="shared" si="32"/>
        <v>12954360.30072616</v>
      </c>
      <c r="AD190" s="4">
        <v>0.2</v>
      </c>
      <c r="AE190">
        <f t="shared" si="30"/>
        <v>2590872.0601452324</v>
      </c>
      <c r="AF190">
        <f t="shared" si="31"/>
        <v>1</v>
      </c>
    </row>
    <row r="191" spans="1:32" x14ac:dyDescent="0.15">
      <c r="A191" s="1">
        <v>190</v>
      </c>
      <c r="B191">
        <f t="shared" si="34"/>
        <v>2075342.5341628278</v>
      </c>
      <c r="C191" s="4">
        <v>0.08</v>
      </c>
      <c r="D191">
        <f t="shared" si="35"/>
        <v>14651918.291189581</v>
      </c>
      <c r="Q191">
        <f t="shared" si="36"/>
        <v>14651918.291189708</v>
      </c>
      <c r="R191">
        <f t="shared" si="37"/>
        <v>1349.1816436468969</v>
      </c>
      <c r="S191">
        <f t="shared" si="38"/>
        <v>81823670.748438105</v>
      </c>
      <c r="T191" s="4">
        <v>0.08</v>
      </c>
      <c r="V191">
        <f>SUM($R$2:R191)</f>
        <v>70590.474872960243</v>
      </c>
      <c r="W191">
        <f t="shared" si="39"/>
        <v>148.84340841091435</v>
      </c>
      <c r="Z191">
        <f t="shared" si="33"/>
        <v>5.7961222670892322E-6</v>
      </c>
      <c r="AA191" s="4">
        <v>0.3</v>
      </c>
      <c r="AB191">
        <f t="shared" si="29"/>
        <v>272745569.16146034</v>
      </c>
      <c r="AC191">
        <f t="shared" si="32"/>
        <v>13731621.91876973</v>
      </c>
      <c r="AD191" s="4">
        <v>0.2</v>
      </c>
      <c r="AE191">
        <f t="shared" si="30"/>
        <v>2746324.3837539461</v>
      </c>
      <c r="AF191">
        <f t="shared" si="31"/>
        <v>1</v>
      </c>
    </row>
    <row r="192" spans="1:32" x14ac:dyDescent="0.15">
      <c r="A192" s="1">
        <v>191</v>
      </c>
      <c r="B192">
        <f t="shared" si="34"/>
        <v>2241369.9368958538</v>
      </c>
      <c r="C192" s="4">
        <v>0.08</v>
      </c>
      <c r="D192">
        <f t="shared" si="35"/>
        <v>15824071.754484748</v>
      </c>
      <c r="Q192">
        <f t="shared" si="36"/>
        <v>15824071.754484888</v>
      </c>
      <c r="R192">
        <f t="shared" si="37"/>
        <v>1374.6379010741969</v>
      </c>
      <c r="S192">
        <f t="shared" si="38"/>
        <v>88369564.408313155</v>
      </c>
      <c r="T192" s="4">
        <v>0.08</v>
      </c>
      <c r="V192">
        <f>SUM($R$2:R192)</f>
        <v>71965.112774034438</v>
      </c>
      <c r="W192">
        <f t="shared" si="39"/>
        <v>151.74189848191801</v>
      </c>
      <c r="Z192">
        <f t="shared" si="33"/>
        <v>5.3667798769344741E-6</v>
      </c>
      <c r="AA192" s="4">
        <v>0.3</v>
      </c>
      <c r="AB192">
        <f t="shared" si="29"/>
        <v>294565214.69437718</v>
      </c>
      <c r="AC192">
        <f t="shared" si="32"/>
        <v>14555519.233895915</v>
      </c>
      <c r="AD192" s="4">
        <v>0.2</v>
      </c>
      <c r="AE192">
        <f t="shared" si="30"/>
        <v>2911103.846779183</v>
      </c>
      <c r="AF192">
        <f t="shared" si="31"/>
        <v>1</v>
      </c>
    </row>
    <row r="193" spans="1:32" x14ac:dyDescent="0.15">
      <c r="A193" s="1">
        <v>192</v>
      </c>
      <c r="B193">
        <f t="shared" si="34"/>
        <v>2420679.5318475221</v>
      </c>
      <c r="C193" s="4">
        <v>0.08</v>
      </c>
      <c r="D193">
        <f t="shared" si="35"/>
        <v>17089997.494843528</v>
      </c>
      <c r="Q193">
        <f t="shared" si="36"/>
        <v>17089997.494843684</v>
      </c>
      <c r="R193">
        <f t="shared" si="37"/>
        <v>1400.574465245408</v>
      </c>
      <c r="S193">
        <f t="shared" si="38"/>
        <v>95439129.560978219</v>
      </c>
      <c r="T193" s="4">
        <v>0.08</v>
      </c>
      <c r="V193">
        <f>SUM($R$2:R193)</f>
        <v>73365.68723927984</v>
      </c>
      <c r="W193">
        <f t="shared" si="39"/>
        <v>154.6950770448274</v>
      </c>
      <c r="Z193">
        <f t="shared" si="33"/>
        <v>4.9692406267911792E-6</v>
      </c>
      <c r="AA193" s="4">
        <v>0.3</v>
      </c>
      <c r="AB193">
        <f t="shared" si="29"/>
        <v>318130431.86992741</v>
      </c>
      <c r="AC193">
        <f t="shared" si="32"/>
        <v>15428850.387929671</v>
      </c>
      <c r="AD193" s="4">
        <v>0.2</v>
      </c>
      <c r="AE193">
        <f t="shared" si="30"/>
        <v>3085770.0775859342</v>
      </c>
      <c r="AF193">
        <f t="shared" si="31"/>
        <v>1</v>
      </c>
    </row>
    <row r="194" spans="1:32" x14ac:dyDescent="0.15">
      <c r="A194" s="1">
        <v>193</v>
      </c>
      <c r="B194">
        <f t="shared" si="34"/>
        <v>2614333.8943953239</v>
      </c>
      <c r="C194" s="4">
        <v>0.08</v>
      </c>
      <c r="D194">
        <f t="shared" si="35"/>
        <v>18457197.294431008</v>
      </c>
      <c r="Q194">
        <f t="shared" si="36"/>
        <v>18457197.294431176</v>
      </c>
      <c r="R194">
        <f t="shared" si="37"/>
        <v>1427.0003985519259</v>
      </c>
      <c r="S194">
        <f t="shared" si="38"/>
        <v>103074259.92585649</v>
      </c>
      <c r="T194" s="4">
        <v>0.08</v>
      </c>
      <c r="V194">
        <f>SUM($R$2:R194)</f>
        <v>74792.687637831768</v>
      </c>
      <c r="W194">
        <f t="shared" si="39"/>
        <v>157.70397595798036</v>
      </c>
      <c r="Z194">
        <f t="shared" si="33"/>
        <v>4.6011487285103514E-6</v>
      </c>
      <c r="AA194" s="4">
        <v>0.3</v>
      </c>
      <c r="AB194">
        <f t="shared" si="29"/>
        <v>343580866.41952163</v>
      </c>
      <c r="AC194">
        <f t="shared" si="32"/>
        <v>16354581.411205452</v>
      </c>
      <c r="AD194" s="4">
        <v>0.2</v>
      </c>
      <c r="AE194">
        <f t="shared" si="30"/>
        <v>3270916.2822410907</v>
      </c>
      <c r="AF194">
        <f t="shared" si="31"/>
        <v>1</v>
      </c>
    </row>
    <row r="195" spans="1:32" x14ac:dyDescent="0.15">
      <c r="A195" s="1">
        <v>194</v>
      </c>
      <c r="B195">
        <f t="shared" si="34"/>
        <v>2823480.6059469497</v>
      </c>
      <c r="C195" s="4">
        <v>0.08</v>
      </c>
      <c r="D195">
        <f t="shared" si="35"/>
        <v>19933773.077985488</v>
      </c>
      <c r="Q195">
        <f t="shared" si="36"/>
        <v>19933773.077985674</v>
      </c>
      <c r="R195">
        <f t="shared" si="37"/>
        <v>1453.9249343736603</v>
      </c>
      <c r="S195">
        <f t="shared" si="38"/>
        <v>111320200.71992502</v>
      </c>
      <c r="T195" s="4">
        <v>0.08</v>
      </c>
      <c r="V195">
        <f>SUM($R$2:R195)</f>
        <v>76246.612572205428</v>
      </c>
      <c r="W195">
        <f t="shared" si="39"/>
        <v>160.76964654873998</v>
      </c>
      <c r="Z195">
        <f t="shared" si="33"/>
        <v>4.2603228967688431E-6</v>
      </c>
      <c r="AA195" s="4">
        <v>0.3</v>
      </c>
      <c r="AB195">
        <f t="shared" ref="AB195:AB201" si="40">S195/AA195</f>
        <v>371067335.73308343</v>
      </c>
      <c r="AC195">
        <f t="shared" si="32"/>
        <v>17335856.295877781</v>
      </c>
      <c r="AD195" s="4">
        <v>0.2</v>
      </c>
      <c r="AE195">
        <f t="shared" ref="AE195:AE201" si="41">AC195*AD195</f>
        <v>3467171.2591755562</v>
      </c>
      <c r="AF195">
        <f t="shared" ref="AF195:AF201" si="42">IF(AB195&gt;AE195, 1, 0)</f>
        <v>1</v>
      </c>
    </row>
    <row r="196" spans="1:32" x14ac:dyDescent="0.15">
      <c r="A196" s="1">
        <v>195</v>
      </c>
      <c r="B196">
        <f t="shared" si="34"/>
        <v>3049359.0544227054</v>
      </c>
      <c r="C196" s="4">
        <v>0.08</v>
      </c>
      <c r="D196">
        <f t="shared" si="35"/>
        <v>21528474.924224328</v>
      </c>
      <c r="Q196">
        <f t="shared" si="36"/>
        <v>21528474.924224526</v>
      </c>
      <c r="R196">
        <f t="shared" si="37"/>
        <v>1481.3574803052388</v>
      </c>
      <c r="S196">
        <f t="shared" si="38"/>
        <v>120225816.77751903</v>
      </c>
      <c r="T196" s="4">
        <v>0.08</v>
      </c>
      <c r="V196">
        <f>SUM($R$2:R196)</f>
        <v>77727.97005251066</v>
      </c>
      <c r="W196">
        <f t="shared" si="39"/>
        <v>163.8931599808347</v>
      </c>
      <c r="Z196">
        <f t="shared" si="33"/>
        <v>3.9447434229341137E-6</v>
      </c>
      <c r="AA196" s="4">
        <v>0.3</v>
      </c>
      <c r="AB196">
        <f t="shared" si="40"/>
        <v>400752722.59173012</v>
      </c>
      <c r="AC196">
        <f t="shared" ref="AC196:AC201" si="43">AC195*(1+$U$2)</f>
        <v>18376007.67363045</v>
      </c>
      <c r="AD196" s="4">
        <v>0.2</v>
      </c>
      <c r="AE196">
        <f t="shared" si="41"/>
        <v>3675201.5347260903</v>
      </c>
      <c r="AF196">
        <f t="shared" si="42"/>
        <v>1</v>
      </c>
    </row>
    <row r="197" spans="1:32" x14ac:dyDescent="0.15">
      <c r="A197" s="1">
        <v>196</v>
      </c>
      <c r="B197">
        <f t="shared" si="34"/>
        <v>3293307.7787765218</v>
      </c>
      <c r="C197" s="4">
        <v>0.08</v>
      </c>
      <c r="D197">
        <f t="shared" si="35"/>
        <v>23250752.918162275</v>
      </c>
      <c r="Q197">
        <f t="shared" si="36"/>
        <v>23250752.918162487</v>
      </c>
      <c r="R197">
        <f t="shared" si="37"/>
        <v>1509.3076214430735</v>
      </c>
      <c r="S197">
        <f t="shared" si="38"/>
        <v>129843882.11972056</v>
      </c>
      <c r="T197" s="4">
        <v>0.08</v>
      </c>
      <c r="V197">
        <f>SUM($R$2:R197)</f>
        <v>79237.277673953737</v>
      </c>
      <c r="W197">
        <f t="shared" si="39"/>
        <v>167.07560762862931</v>
      </c>
      <c r="Z197">
        <f t="shared" si="33"/>
        <v>3.6525402064204753E-6</v>
      </c>
      <c r="AA197" s="4">
        <v>0.3</v>
      </c>
      <c r="AB197">
        <f t="shared" si="40"/>
        <v>432812940.39906853</v>
      </c>
      <c r="AC197">
        <f t="shared" si="43"/>
        <v>19478568.134048279</v>
      </c>
      <c r="AD197" s="4">
        <v>0.2</v>
      </c>
      <c r="AE197">
        <f t="shared" si="41"/>
        <v>3895713.6268096562</v>
      </c>
      <c r="AF197">
        <f t="shared" si="42"/>
        <v>1</v>
      </c>
    </row>
    <row r="198" spans="1:32" x14ac:dyDescent="0.15">
      <c r="A198" s="1">
        <v>197</v>
      </c>
      <c r="B198">
        <f t="shared" si="34"/>
        <v>3556772.4010786437</v>
      </c>
      <c r="C198" s="4">
        <v>0.08</v>
      </c>
      <c r="D198">
        <f t="shared" si="35"/>
        <v>25110813.151615258</v>
      </c>
      <c r="Q198">
        <f t="shared" si="36"/>
        <v>25110813.151615489</v>
      </c>
      <c r="R198">
        <f t="shared" si="37"/>
        <v>1537.7851237344521</v>
      </c>
      <c r="S198">
        <f t="shared" si="38"/>
        <v>140231392.68929821</v>
      </c>
      <c r="T198" s="4">
        <v>0.08</v>
      </c>
      <c r="V198">
        <f>SUM($R$2:R198)</f>
        <v>80775.062797688195</v>
      </c>
      <c r="W198">
        <f t="shared" si="39"/>
        <v>170.31810145845779</v>
      </c>
      <c r="Z198">
        <f t="shared" si="33"/>
        <v>3.381981672611551E-6</v>
      </c>
      <c r="AA198" s="4">
        <v>0.3</v>
      </c>
      <c r="AB198">
        <f t="shared" si="40"/>
        <v>467437975.63099408</v>
      </c>
      <c r="AC198">
        <f t="shared" si="43"/>
        <v>20647282.222091176</v>
      </c>
      <c r="AD198" s="4">
        <v>0.2</v>
      </c>
      <c r="AE198">
        <f t="shared" si="41"/>
        <v>4129456.4444182352</v>
      </c>
      <c r="AF198">
        <f t="shared" si="42"/>
        <v>1</v>
      </c>
    </row>
    <row r="199" spans="1:32" x14ac:dyDescent="0.15">
      <c r="A199" s="1">
        <v>198</v>
      </c>
      <c r="B199">
        <f t="shared" si="34"/>
        <v>3841314.1931649353</v>
      </c>
      <c r="C199" s="4">
        <v>0.08</v>
      </c>
      <c r="D199">
        <f t="shared" si="35"/>
        <v>27119678.203744479</v>
      </c>
      <c r="Q199">
        <f t="shared" si="36"/>
        <v>27119678.203744728</v>
      </c>
      <c r="R199">
        <f t="shared" si="37"/>
        <v>1566.7999373898194</v>
      </c>
      <c r="S199">
        <f t="shared" si="38"/>
        <v>151449904.10444209</v>
      </c>
      <c r="T199" s="4">
        <v>0.08</v>
      </c>
      <c r="V199">
        <f>SUM($R$2:R199)</f>
        <v>82341.862735078015</v>
      </c>
      <c r="W199">
        <f t="shared" si="39"/>
        <v>173.62177441715096</v>
      </c>
      <c r="Z199">
        <f t="shared" si="33"/>
        <v>3.1314645116773618E-6</v>
      </c>
      <c r="AA199" s="4">
        <v>0.3</v>
      </c>
      <c r="AB199">
        <f t="shared" si="40"/>
        <v>504833013.68147367</v>
      </c>
      <c r="AC199">
        <f t="shared" si="43"/>
        <v>21886119.155416649</v>
      </c>
      <c r="AD199" s="4">
        <v>0.2</v>
      </c>
      <c r="AE199">
        <f t="shared" si="41"/>
        <v>4377223.8310833303</v>
      </c>
      <c r="AF199">
        <f t="shared" si="42"/>
        <v>1</v>
      </c>
    </row>
    <row r="200" spans="1:32" x14ac:dyDescent="0.15">
      <c r="A200" s="1">
        <v>199</v>
      </c>
      <c r="B200">
        <f t="shared" si="34"/>
        <v>4148619.3286181302</v>
      </c>
      <c r="C200" s="4">
        <v>0.08</v>
      </c>
      <c r="D200">
        <f t="shared" si="35"/>
        <v>29289252.460044038</v>
      </c>
      <c r="Q200">
        <f t="shared" si="36"/>
        <v>29289252.460044313</v>
      </c>
      <c r="R200">
        <f t="shared" si="37"/>
        <v>1596.3622003594385</v>
      </c>
      <c r="S200">
        <f t="shared" si="38"/>
        <v>163565896.43279746</v>
      </c>
      <c r="T200" s="4">
        <v>0.08</v>
      </c>
      <c r="V200">
        <f>SUM($R$2:R200)</f>
        <v>83938.224935437451</v>
      </c>
      <c r="W200">
        <f t="shared" si="39"/>
        <v>176.98778082789494</v>
      </c>
      <c r="Z200">
        <f t="shared" si="33"/>
        <v>2.8995041774790384E-6</v>
      </c>
      <c r="AA200" s="4">
        <v>0.3</v>
      </c>
      <c r="AB200">
        <f t="shared" si="40"/>
        <v>545219654.77599156</v>
      </c>
      <c r="AC200">
        <f t="shared" si="43"/>
        <v>23199286.304741647</v>
      </c>
      <c r="AD200" s="4">
        <v>0.2</v>
      </c>
      <c r="AE200">
        <f t="shared" si="41"/>
        <v>4639857.2609483292</v>
      </c>
      <c r="AF200">
        <f t="shared" si="42"/>
        <v>1</v>
      </c>
    </row>
    <row r="201" spans="1:32" x14ac:dyDescent="0.15">
      <c r="A201" s="1">
        <v>200</v>
      </c>
      <c r="B201">
        <f>B200+B200*C200</f>
        <v>4480508.8749075802</v>
      </c>
      <c r="C201" s="4">
        <v>0.08</v>
      </c>
      <c r="D201">
        <f>D200+D200*C200</f>
        <v>31632392.656847559</v>
      </c>
      <c r="Q201">
        <f>$D$2*((1+$C$2)^A200)</f>
        <v>31632392.656847857</v>
      </c>
      <c r="R201">
        <f>S201/((1+$U$2)^A200)</f>
        <v>1626.4822418756539</v>
      </c>
      <c r="S201">
        <f>S200*(1+T200)</f>
        <v>176651168.14742127</v>
      </c>
      <c r="T201" s="4">
        <v>0.08</v>
      </c>
      <c r="V201">
        <f>SUM($R$2:R201)</f>
        <v>85564.707177313103</v>
      </c>
      <c r="W201">
        <f>V201/$W$2</f>
        <v>180.41729679355862</v>
      </c>
      <c r="Z201">
        <f t="shared" si="33"/>
        <v>2.6847260902583686E-6</v>
      </c>
      <c r="AA201" s="4">
        <v>0.3</v>
      </c>
      <c r="AB201">
        <f t="shared" si="40"/>
        <v>588837227.15807092</v>
      </c>
      <c r="AC201">
        <f t="shared" si="43"/>
        <v>24591243.483026147</v>
      </c>
      <c r="AD201" s="4">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C3"/>
  <sheetViews>
    <sheetView workbookViewId="0">
      <selection activeCell="A63" sqref="A63"/>
    </sheetView>
  </sheetViews>
  <sheetFormatPr defaultRowHeight="13.5" x14ac:dyDescent="0.15"/>
  <sheetData>
    <row r="3" spans="3:3" x14ac:dyDescent="0.1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57150</xdr:colOff>
                <xdr:row>37</xdr:row>
                <xdr:rowOff>57150</xdr:rowOff>
              </from>
              <to>
                <xdr:col>15</xdr:col>
                <xdr:colOff>552450</xdr:colOff>
                <xdr:row>59</xdr:row>
                <xdr:rowOff>95250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95250</xdr:colOff>
                <xdr:row>1</xdr:row>
                <xdr:rowOff>38100</xdr:rowOff>
              </from>
              <to>
                <xdr:col>25</xdr:col>
                <xdr:colOff>466725</xdr:colOff>
                <xdr:row>36</xdr:row>
                <xdr:rowOff>95250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171450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海底光电缆</vt:lpstr>
      <vt:lpstr>光纤光缆</vt:lpstr>
      <vt:lpstr>电线电缆</vt:lpstr>
      <vt:lpstr>功率电源</vt:lpstr>
      <vt:lpstr>公司价值折现</vt:lpstr>
      <vt:lpstr>基本面模型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cp:lastModifiedBy>
  <dcterms:created xsi:type="dcterms:W3CDTF">2018-08-09T11:49:58Z</dcterms:created>
  <dcterms:modified xsi:type="dcterms:W3CDTF">2023-12-19T03:05:26Z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