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001Xiaofeng\value-investment-backup\估值分析\New-钢铁\"/>
    </mc:Choice>
  </mc:AlternateContent>
  <bookViews>
    <workbookView xWindow="0" yWindow="0" windowWidth="3800" windowHeight="2950"/>
  </bookViews>
  <sheets>
    <sheet name="钢铁" sheetId="15" r:id="rId1"/>
    <sheet name="估值-增速与年化收益" sheetId="14" r:id="rId2"/>
  </sheets>
  <functionGroups builtInGroupCount="18"/>
  <definedNames>
    <definedName name="_xlnm._FilterDatabase" localSheetId="0" hidden="1">钢铁!$BU$1:$BU$48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4" i="15" l="1"/>
  <c r="C22" i="15"/>
  <c r="B5" i="14" l="1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46" i="15"/>
  <c r="C45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26" i="15"/>
  <c r="C25" i="15"/>
  <c r="C24" i="15"/>
  <c r="C23" i="15"/>
  <c r="C21" i="15"/>
  <c r="C20" i="15"/>
  <c r="C19" i="15"/>
  <c r="C18" i="15"/>
  <c r="C17" i="15"/>
  <c r="C16" i="15"/>
  <c r="C15" i="15"/>
  <c r="C14" i="15"/>
  <c r="C13" i="15"/>
  <c r="C12" i="15"/>
  <c r="C11" i="15"/>
  <c r="C10" i="15"/>
  <c r="C9" i="15"/>
  <c r="C8" i="15"/>
  <c r="C7" i="15"/>
  <c r="C6" i="15"/>
  <c r="C5" i="15"/>
  <c r="C4" i="15"/>
  <c r="C3" i="15"/>
  <c r="C2" i="15"/>
</calcChain>
</file>

<file path=xl/sharedStrings.xml><?xml version="1.0" encoding="utf-8"?>
<sst xmlns="http://schemas.openxmlformats.org/spreadsheetml/2006/main" count="2664" uniqueCount="1990">
  <si>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</si>
  <si>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</si>
  <si>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</si>
  <si>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现价</t>
  </si>
  <si>
    <t>市净率</t>
  </si>
  <si>
    <t>包钢股份</t>
  </si>
  <si>
    <t>久立特材</t>
  </si>
  <si>
    <t>金洲管道</t>
  </si>
  <si>
    <t>沙钢股份</t>
  </si>
  <si>
    <t>本钢板材</t>
  </si>
  <si>
    <t>武进不锈</t>
  </si>
  <si>
    <t>常宝股份</t>
  </si>
  <si>
    <t>八一钢铁</t>
  </si>
  <si>
    <t>酒钢宏兴</t>
  </si>
  <si>
    <t>重庆钢铁</t>
  </si>
  <si>
    <t>新兴铸管</t>
  </si>
  <si>
    <t>首钢股份</t>
  </si>
  <si>
    <t>杭钢股份</t>
  </si>
  <si>
    <t>河钢股份</t>
  </si>
  <si>
    <t>凌钢股份</t>
  </si>
  <si>
    <t>宝钢股份</t>
  </si>
  <si>
    <t>方大特钢</t>
  </si>
  <si>
    <t>山东钢铁</t>
  </si>
  <si>
    <t>太钢不锈</t>
  </si>
  <si>
    <t>鞍钢股份</t>
  </si>
  <si>
    <t>马钢股份</t>
  </si>
  <si>
    <t>柳钢股份</t>
  </si>
  <si>
    <t>安阳钢铁</t>
  </si>
  <si>
    <t>南钢股份</t>
  </si>
  <si>
    <t>三钢闽光</t>
  </si>
  <si>
    <t>新钢股份</t>
  </si>
  <si>
    <t>华菱钢铁</t>
  </si>
  <si>
    <t>代码</t>
  </si>
  <si>
    <t>总市值</t>
  </si>
  <si>
    <t>TTM市盈率</t>
  </si>
  <si>
    <t>所属行业</t>
  </si>
  <si>
    <t>SH600022</t>
  </si>
  <si>
    <t>钢铁</t>
  </si>
  <si>
    <t>SH688186</t>
  </si>
  <si>
    <t>广大特材</t>
  </si>
  <si>
    <t>SZ000708</t>
  </si>
  <si>
    <t>中信特钢</t>
  </si>
  <si>
    <t>SH600010</t>
  </si>
  <si>
    <t>SZ002075</t>
  </si>
  <si>
    <t>SH600231</t>
  </si>
  <si>
    <t>SZ000761</t>
  </si>
  <si>
    <t>SH603995</t>
  </si>
  <si>
    <t>甬金股份</t>
  </si>
  <si>
    <t>SZ002318</t>
  </si>
  <si>
    <t>SH601005</t>
  </si>
  <si>
    <t>SH600126</t>
  </si>
  <si>
    <t>SH600581</t>
  </si>
  <si>
    <t>SZ002443</t>
  </si>
  <si>
    <t>SZ000709</t>
  </si>
  <si>
    <t>SH600808</t>
  </si>
  <si>
    <t>SZ000959</t>
  </si>
  <si>
    <t>SH603878</t>
  </si>
  <si>
    <t>SH600569</t>
  </si>
  <si>
    <t>SZ000898</t>
  </si>
  <si>
    <t>SZ000778</t>
  </si>
  <si>
    <t>SH600307</t>
  </si>
  <si>
    <t>SZ002478</t>
  </si>
  <si>
    <t>SH600019</t>
  </si>
  <si>
    <t>SZ000825</t>
  </si>
  <si>
    <t>SH600507</t>
  </si>
  <si>
    <t>SZ000932</t>
  </si>
  <si>
    <t>SZ000717</t>
  </si>
  <si>
    <t>SZ002110</t>
  </si>
  <si>
    <t>SH600282</t>
  </si>
  <si>
    <t>SH601003</t>
  </si>
  <si>
    <t>SH600782</t>
  </si>
  <si>
    <t>SH600399</t>
  </si>
  <si>
    <t>SH600117</t>
  </si>
  <si>
    <t>--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</si>
  <si>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</si>
  <si>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</si>
  <si>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</si>
  <si>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</si>
  <si>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</si>
  <si>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</si>
  <si>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</si>
  <si>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</si>
  <si>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</si>
  <si>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</si>
  <si>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</si>
  <si>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1214.95亿</t>
  </si>
  <si>
    <t>291.43亿</t>
  </si>
  <si>
    <t>18.24亿</t>
  </si>
  <si>
    <t>527.41亿</t>
  </si>
  <si>
    <t>5.56亿</t>
  </si>
  <si>
    <t>408.90亿</t>
  </si>
  <si>
    <t>14.97亿</t>
  </si>
  <si>
    <t>1.73亿</t>
  </si>
  <si>
    <t>1055.87亿</t>
  </si>
  <si>
    <t>17.87亿</t>
  </si>
  <si>
    <t>43.91亿</t>
  </si>
  <si>
    <t>633.97亿</t>
  </si>
  <si>
    <t>710.92亿</t>
  </si>
  <si>
    <t>267.42亿</t>
  </si>
  <si>
    <t>9.18亿</t>
  </si>
  <si>
    <t>211.17亿</t>
  </si>
  <si>
    <t>4.28亿</t>
  </si>
  <si>
    <t>1.24亿</t>
  </si>
  <si>
    <t>7.01亿</t>
  </si>
  <si>
    <t>12.07亿</t>
  </si>
  <si>
    <t>1.11亿</t>
  </si>
  <si>
    <t>479.70亿</t>
  </si>
  <si>
    <t>26.06亿</t>
  </si>
  <si>
    <t>467.36亿</t>
  </si>
  <si>
    <t>12.37亿</t>
  </si>
  <si>
    <t>298.36亿</t>
  </si>
  <si>
    <t>2.56亿</t>
  </si>
  <si>
    <t>206.12亿</t>
  </si>
  <si>
    <t>579.04亿</t>
  </si>
  <si>
    <t>34.14亿</t>
  </si>
  <si>
    <t>782.63亿</t>
  </si>
  <si>
    <t>11.28亿</t>
  </si>
  <si>
    <t>486.20亿</t>
  </si>
  <si>
    <t>234.78亿</t>
  </si>
  <si>
    <t>9.26亿</t>
  </si>
  <si>
    <t>23.24亿</t>
  </si>
  <si>
    <t>3.15亿</t>
  </si>
  <si>
    <t>1.91亿</t>
  </si>
  <si>
    <t>726.20亿</t>
  </si>
  <si>
    <t>53.86亿</t>
  </si>
  <si>
    <t>704.19亿</t>
  </si>
  <si>
    <t>21.19亿</t>
  </si>
  <si>
    <t>134.75亿</t>
  </si>
  <si>
    <t>5.29亿</t>
  </si>
  <si>
    <t>44.37亿</t>
  </si>
  <si>
    <t>5.00亿</t>
  </si>
  <si>
    <t>50.49亿</t>
  </si>
  <si>
    <t>2.75亿</t>
  </si>
  <si>
    <t>1.99亿</t>
  </si>
  <si>
    <t>52.85亿</t>
  </si>
  <si>
    <t>6.01亿</t>
  </si>
  <si>
    <t>SZ300881</t>
  </si>
  <si>
    <t>盛德鑫泰</t>
  </si>
  <si>
    <t>3.95亿</t>
  </si>
  <si>
    <t>9.05亿</t>
  </si>
  <si>
    <t>6988.11万</t>
  </si>
  <si>
    <t>98.46亿</t>
  </si>
  <si>
    <t>9568.52万</t>
  </si>
  <si>
    <t>57.41亿</t>
  </si>
  <si>
    <t>3.02亿</t>
  </si>
  <si>
    <t>153.89亿</t>
  </si>
  <si>
    <t>17.11亿</t>
  </si>
  <si>
    <t>158.28亿</t>
  </si>
  <si>
    <t>3.33亿</t>
  </si>
  <si>
    <t>15.88亿</t>
  </si>
  <si>
    <t>1.42亿</t>
  </si>
  <si>
    <t>3.87亿</t>
  </si>
  <si>
    <t>流动资产</t>
  </si>
  <si>
    <t>营业收入[20191231]</t>
  </si>
  <si>
    <t>营业收入[20181231]</t>
  </si>
  <si>
    <t>营业收入[20171231]</t>
  </si>
  <si>
    <t>净利润[20191231]</t>
  </si>
  <si>
    <t>净利润[20181231]</t>
  </si>
  <si>
    <t>净利润[20171231]</t>
  </si>
  <si>
    <t>721.90亿</t>
  </si>
  <si>
    <t>35.80亿</t>
  </si>
  <si>
    <t>1076.57亿</t>
  </si>
  <si>
    <t>16.98亿</t>
  </si>
  <si>
    <t>1209.57亿</t>
  </si>
  <si>
    <t>25.46亿</t>
  </si>
  <si>
    <t>36.26亿</t>
  </si>
  <si>
    <t>2.28亿</t>
  </si>
  <si>
    <t>315.56亿</t>
  </si>
  <si>
    <t>18.61亿</t>
  </si>
  <si>
    <t>271.12亿</t>
  </si>
  <si>
    <t>33.06亿</t>
  </si>
  <si>
    <t>486.85亿</t>
  </si>
  <si>
    <t>3.84亿</t>
  </si>
  <si>
    <t>24.04亿</t>
  </si>
  <si>
    <t>501.82亿</t>
  </si>
  <si>
    <t>10.36亿</t>
  </si>
  <si>
    <t>429.61亿</t>
  </si>
  <si>
    <t>18.12亿</t>
  </si>
  <si>
    <t>405.47亿</t>
  </si>
  <si>
    <t>21.01亿</t>
  </si>
  <si>
    <t>674.19亿</t>
  </si>
  <si>
    <t>17.35亿</t>
  </si>
  <si>
    <t>1.21亿</t>
  </si>
  <si>
    <t>729.46亿</t>
  </si>
  <si>
    <t>49.77亿</t>
  </si>
  <si>
    <t>1009.03亿</t>
  </si>
  <si>
    <t>19.78亿</t>
  </si>
  <si>
    <t>1051.57亿</t>
  </si>
  <si>
    <t>79.52亿</t>
  </si>
  <si>
    <t>63.95亿</t>
  </si>
  <si>
    <t>46.10亿</t>
  </si>
  <si>
    <t>1071.16亿</t>
  </si>
  <si>
    <t>1012.04亿</t>
  </si>
  <si>
    <t>73.78亿</t>
  </si>
  <si>
    <t>799.51亿</t>
  </si>
  <si>
    <t>17.86亿</t>
  </si>
  <si>
    <t>688.41亿</t>
  </si>
  <si>
    <t>657.77亿</t>
  </si>
  <si>
    <t>11.86亿</t>
  </si>
  <si>
    <t>144.27亿</t>
  </si>
  <si>
    <t>6.50亿</t>
  </si>
  <si>
    <t>147.12亿</t>
  </si>
  <si>
    <t>11.77亿</t>
  </si>
  <si>
    <t>2.20亿</t>
  </si>
  <si>
    <t>486.36亿</t>
  </si>
  <si>
    <t>25.56亿</t>
  </si>
  <si>
    <t>510.40亿</t>
  </si>
  <si>
    <t>362.48亿</t>
  </si>
  <si>
    <t>43.24亿</t>
  </si>
  <si>
    <t>65.07亿</t>
  </si>
  <si>
    <t>9.27亿</t>
  </si>
  <si>
    <t>49.55亿</t>
  </si>
  <si>
    <t>7.72亿</t>
  </si>
  <si>
    <t>40.63亿</t>
  </si>
  <si>
    <t>3.04亿</t>
  </si>
  <si>
    <t>1.34亿</t>
  </si>
  <si>
    <t>1.23亿</t>
  </si>
  <si>
    <t>51.10亿</t>
  </si>
  <si>
    <t>5.84亿</t>
  </si>
  <si>
    <t>48.08亿</t>
  </si>
  <si>
    <t>39.42亿</t>
  </si>
  <si>
    <t>53.76亿</t>
  </si>
  <si>
    <t>4.80亿</t>
  </si>
  <si>
    <t>11.68亿</t>
  </si>
  <si>
    <t>8.81亿</t>
  </si>
  <si>
    <t>5210.60万</t>
  </si>
  <si>
    <t>8.74亿</t>
  </si>
  <si>
    <t>7.61亿</t>
  </si>
  <si>
    <t>6120.75万</t>
  </si>
  <si>
    <t>592.66亿</t>
  </si>
  <si>
    <t>4.06亿</t>
  </si>
  <si>
    <t>671.88亿</t>
  </si>
  <si>
    <t>13.76亿</t>
  </si>
  <si>
    <t>2916.00亿</t>
  </si>
  <si>
    <t>3050.81亿</t>
  </si>
  <si>
    <t>873.17亿</t>
  </si>
  <si>
    <t>559.08亿</t>
  </si>
  <si>
    <t>100.76亿</t>
  </si>
  <si>
    <t>5913.71万</t>
  </si>
  <si>
    <t>67.87亿</t>
  </si>
  <si>
    <t>74.34亿</t>
  </si>
  <si>
    <t>-20.46亿</t>
  </si>
  <si>
    <t>1.80亿</t>
  </si>
  <si>
    <t>264.50亿</t>
  </si>
  <si>
    <t>202.97亿</t>
  </si>
  <si>
    <t>207.77亿</t>
  </si>
  <si>
    <t>531.23亿</t>
  </si>
  <si>
    <t>28.46亿</t>
  </si>
  <si>
    <t>436.47亿</t>
  </si>
  <si>
    <t>40.08亿</t>
  </si>
  <si>
    <t>370.21亿</t>
  </si>
  <si>
    <t>5.18亿</t>
  </si>
  <si>
    <t>454.31亿</t>
  </si>
  <si>
    <t>10.93亿</t>
  </si>
  <si>
    <t>抚顺特钢</t>
  </si>
  <si>
    <t>62.72亿</t>
  </si>
  <si>
    <t>5.52亿</t>
  </si>
  <si>
    <t>58.48亿</t>
  </si>
  <si>
    <t>26.07亿</t>
  </si>
  <si>
    <t>166.01亿</t>
  </si>
  <si>
    <t>21.40亿</t>
  </si>
  <si>
    <t>172.86亿</t>
  </si>
  <si>
    <t>29.27亿</t>
  </si>
  <si>
    <t>6.66亿</t>
  </si>
  <si>
    <t>318.96亿</t>
  </si>
  <si>
    <t>331.77亿</t>
  </si>
  <si>
    <t>18.57亿</t>
  </si>
  <si>
    <t>201.05亿</t>
  </si>
  <si>
    <t>724.12亿</t>
  </si>
  <si>
    <t>27.00亿</t>
  </si>
  <si>
    <t>569.63亿</t>
  </si>
  <si>
    <t>59.05亿</t>
  </si>
  <si>
    <t>816.14亿</t>
  </si>
  <si>
    <t>19.83亿</t>
  </si>
  <si>
    <t>819.52亿</t>
  </si>
  <si>
    <t>59.43亿</t>
  </si>
  <si>
    <t>546.94亿</t>
  </si>
  <si>
    <t>17.19亿</t>
  </si>
  <si>
    <t>473.51亿</t>
  </si>
  <si>
    <t>23.42亿</t>
  </si>
  <si>
    <t>1.96亿</t>
  </si>
  <si>
    <t>244.90亿</t>
  </si>
  <si>
    <t>6.38亿</t>
  </si>
  <si>
    <t>226.39亿</t>
  </si>
  <si>
    <t>17.88亿</t>
  </si>
  <si>
    <t>SH601686</t>
  </si>
  <si>
    <t>友发集团</t>
  </si>
  <si>
    <t>484.19亿</t>
  </si>
  <si>
    <t>11.43亿</t>
  </si>
  <si>
    <t>447.49亿</t>
  </si>
  <si>
    <t>377.05亿</t>
  </si>
  <si>
    <t>8.65亿</t>
  </si>
  <si>
    <t>24.01亿</t>
  </si>
  <si>
    <t>20.00亿</t>
  </si>
  <si>
    <t>14.61亿</t>
  </si>
  <si>
    <t>1.28亿</t>
  </si>
  <si>
    <t>1.22亿</t>
  </si>
  <si>
    <t>1.36亿</t>
  </si>
  <si>
    <t>204.43亿</t>
  </si>
  <si>
    <t>4.14亿</t>
  </si>
  <si>
    <t>156.50亿</t>
  </si>
  <si>
    <t>3.31亿</t>
  </si>
  <si>
    <t>18.10亿</t>
  </si>
  <si>
    <t>15.07亿</t>
  </si>
  <si>
    <t>2.41亿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</si>
  <si>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</si>
  <si>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</si>
  <si>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</si>
  <si>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</si>
  <si>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</si>
  <si>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</si>
  <si>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</si>
  <si>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</si>
  <si>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</si>
  <si>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</si>
  <si>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</si>
  <si>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</si>
  <si>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</si>
  <si>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1.并购GS未通过证监会审核，未批准，所以下杀了30%；GS是欧洲和亚太地区最大的数据中心业主、运营商和开发商</t>
    <phoneticPr fontId="1" type="noConversion"/>
  </si>
  <si>
    <t>销售毛利率%[20201231]</t>
  </si>
  <si>
    <t>销售净利率%[20201231]</t>
  </si>
  <si>
    <t>SZ000629</t>
  </si>
  <si>
    <t>131.59亿</t>
  </si>
  <si>
    <t>151.61亿</t>
  </si>
  <si>
    <t>14.19亿</t>
  </si>
  <si>
    <t>30.90亿</t>
  </si>
  <si>
    <t>SZ000655</t>
  </si>
  <si>
    <t>金岭矿业</t>
  </si>
  <si>
    <t>14.35亿</t>
  </si>
  <si>
    <t>2.30亿</t>
  </si>
  <si>
    <t>1.27亿</t>
  </si>
  <si>
    <t>13.36亿</t>
  </si>
  <si>
    <t>10.41亿</t>
  </si>
  <si>
    <t>1.00亿</t>
  </si>
  <si>
    <t>6.86亿</t>
  </si>
  <si>
    <t>4.25亿</t>
  </si>
  <si>
    <t>SZ000923</t>
  </si>
  <si>
    <t>河钢资源</t>
  </si>
  <si>
    <t>59.35亿</t>
  </si>
  <si>
    <t>9.71亿</t>
  </si>
  <si>
    <t>58.00亿</t>
  </si>
  <si>
    <t>49.72亿</t>
  </si>
  <si>
    <t>SZ001203</t>
  </si>
  <si>
    <t>大中矿业</t>
  </si>
  <si>
    <t>25.67亿</t>
  </si>
  <si>
    <t>15.37亿</t>
  </si>
  <si>
    <t>2.09亿</t>
  </si>
  <si>
    <t>SH600295</t>
  </si>
  <si>
    <t>鄂尔多斯</t>
  </si>
  <si>
    <t>231.41亿</t>
  </si>
  <si>
    <t>15.28亿</t>
  </si>
  <si>
    <t>228.22亿</t>
  </si>
  <si>
    <t>246.23亿</t>
  </si>
  <si>
    <t>13.35亿</t>
  </si>
  <si>
    <t>9.53亿</t>
  </si>
  <si>
    <t>5.21亿</t>
  </si>
  <si>
    <t>SH600516</t>
  </si>
  <si>
    <t>方大炭素</t>
  </si>
  <si>
    <t>35.39亿</t>
  </si>
  <si>
    <t>5.47亿</t>
  </si>
  <si>
    <t>67.51亿</t>
  </si>
  <si>
    <t>116.51亿</t>
  </si>
  <si>
    <t>20.16亿</t>
  </si>
  <si>
    <t>55.93亿</t>
  </si>
  <si>
    <t>SH601969</t>
  </si>
  <si>
    <t>海南矿业</t>
  </si>
  <si>
    <t>27.64亿</t>
  </si>
  <si>
    <t>1.43亿</t>
  </si>
  <si>
    <t>14.88亿</t>
  </si>
  <si>
    <t>37.18亿</t>
  </si>
  <si>
    <t>25.15亿</t>
  </si>
  <si>
    <t>-6.35亿</t>
  </si>
  <si>
    <t>5.91亿</t>
  </si>
  <si>
    <t>涨幅%</t>
  </si>
  <si>
    <t>流通股本</t>
  </si>
  <si>
    <t>净利润[20201231]</t>
  </si>
  <si>
    <t>投入资本回报率roic%[20201231]</t>
  </si>
  <si>
    <t>净资产收益率%[20201231]</t>
  </si>
  <si>
    <t>140.60亿</t>
  </si>
  <si>
    <t>13.28亿</t>
  </si>
  <si>
    <t>105.39亿</t>
  </si>
  <si>
    <t>3.81亿</t>
  </si>
  <si>
    <t>18.23亿</t>
  </si>
  <si>
    <t>762.89亿</t>
  </si>
  <si>
    <t>60.32亿</t>
  </si>
  <si>
    <t>1496.26亿</t>
  </si>
  <si>
    <t>26.88亿</t>
  </si>
  <si>
    <t>454.82亿</t>
  </si>
  <si>
    <t>19.22亿</t>
  </si>
  <si>
    <t>779.12亿</t>
  </si>
  <si>
    <t>25.01亿</t>
  </si>
  <si>
    <t>533.01亿</t>
  </si>
  <si>
    <t>20.07亿</t>
  </si>
  <si>
    <t>1014.37亿</t>
  </si>
  <si>
    <t>63.10亿</t>
  </si>
  <si>
    <t>65.67亿</t>
  </si>
  <si>
    <t>13.01亿</t>
  </si>
  <si>
    <t>96.80亿</t>
  </si>
  <si>
    <t>11.23亿</t>
  </si>
  <si>
    <t>48.95亿</t>
  </si>
  <si>
    <t>16.25亿</t>
  </si>
  <si>
    <t>24.97亿</t>
  </si>
  <si>
    <t>5.92亿</t>
  </si>
  <si>
    <t>184.87亿</t>
  </si>
  <si>
    <t>11.12亿</t>
  </si>
  <si>
    <t>627.53亿</t>
  </si>
  <si>
    <t>39.79亿</t>
  </si>
  <si>
    <t>59.74亿</t>
  </si>
  <si>
    <t>7.94亿</t>
  </si>
  <si>
    <t>70.43亿</t>
  </si>
  <si>
    <t>3.86亿</t>
  </si>
  <si>
    <t>42.26亿</t>
  </si>
  <si>
    <t>5234.46万</t>
  </si>
  <si>
    <t>328.87亿</t>
  </si>
  <si>
    <t>364.73亿</t>
  </si>
  <si>
    <t>60.91亿</t>
  </si>
  <si>
    <t>486.68亿</t>
  </si>
  <si>
    <t>SH600382</t>
  </si>
  <si>
    <t>17.43亿</t>
  </si>
  <si>
    <t>16.07亿</t>
  </si>
  <si>
    <t>11.15亿</t>
  </si>
  <si>
    <t>8.50亿</t>
  </si>
  <si>
    <t>3.00亿</t>
  </si>
  <si>
    <t>3.56亿</t>
  </si>
  <si>
    <t>1.76亿</t>
  </si>
  <si>
    <t>74.14亿</t>
  </si>
  <si>
    <t>7.83亿</t>
  </si>
  <si>
    <t>216.79亿</t>
  </si>
  <si>
    <t>27.32亿</t>
  </si>
  <si>
    <t>46.52亿</t>
  </si>
  <si>
    <t>10.85亿</t>
  </si>
  <si>
    <t>308.79亿</t>
  </si>
  <si>
    <t>11.81亿</t>
  </si>
  <si>
    <t>231.10亿</t>
  </si>
  <si>
    <t>3.30亿</t>
  </si>
  <si>
    <t>1.82亿</t>
  </si>
  <si>
    <t>1138.51亿</t>
  </si>
  <si>
    <t>53.32亿</t>
  </si>
  <si>
    <t>398.49亿</t>
  </si>
  <si>
    <t>22.74亿</t>
  </si>
  <si>
    <t>668.66亿</t>
  </si>
  <si>
    <t>6.14亿</t>
  </si>
  <si>
    <t>41.19亿</t>
  </si>
  <si>
    <t>26.99亿</t>
  </si>
  <si>
    <t>313.66亿</t>
  </si>
  <si>
    <t>1.31亿</t>
  </si>
  <si>
    <t>27.37亿</t>
  </si>
  <si>
    <t xml:space="preserve">    名称</t>
  </si>
  <si>
    <t>净利润?</t>
  </si>
  <si>
    <t>投入资本回报率roic%[20211231]</t>
  </si>
  <si>
    <t>净资产收益率%[20211231]</t>
  </si>
  <si>
    <t>单季营收增速</t>
  </si>
  <si>
    <t>单季利润增速</t>
  </si>
  <si>
    <t/>
  </si>
  <si>
    <t>2.27亿</t>
  </si>
  <si>
    <t>亏损</t>
  </si>
  <si>
    <t>扭亏</t>
  </si>
  <si>
    <t>2.00亿</t>
  </si>
  <si>
    <t>1.03亿</t>
  </si>
  <si>
    <t>净利润[20211231]</t>
  </si>
  <si>
    <t>细分行业</t>
  </si>
  <si>
    <t>N</t>
    <phoneticPr fontId="1" type="noConversion"/>
  </si>
  <si>
    <t>冶钢原料</t>
  </si>
  <si>
    <t>特钢</t>
  </si>
  <si>
    <t>普钢</t>
  </si>
  <si>
    <t>8.94亿</t>
  </si>
  <si>
    <t>6.82亿</t>
  </si>
  <si>
    <t>2.37亿</t>
  </si>
  <si>
    <t>1.06亿</t>
  </si>
  <si>
    <t>9.64亿</t>
  </si>
  <si>
    <t>1.57亿</t>
  </si>
  <si>
    <t>3.62亿</t>
  </si>
  <si>
    <t>钒钛股份</t>
  </si>
  <si>
    <t>1.87亿</t>
  </si>
  <si>
    <t>2.48亿</t>
  </si>
  <si>
    <t>3.19亿</t>
  </si>
  <si>
    <t>不分配不转增</t>
  </si>
  <si>
    <t>10派0.5元(含税)</t>
  </si>
  <si>
    <t>10派1元(含税)</t>
  </si>
  <si>
    <t>中南股份</t>
  </si>
  <si>
    <t>2.96亿</t>
  </si>
  <si>
    <t>1.07亿</t>
  </si>
  <si>
    <t>2.98亿</t>
  </si>
  <si>
    <t>1.16亿</t>
  </si>
  <si>
    <t>4.19亿</t>
  </si>
  <si>
    <t>10派2.5元(含税)</t>
  </si>
  <si>
    <t>1.78亿</t>
  </si>
  <si>
    <t>1.69亿</t>
  </si>
  <si>
    <t>10.91亿</t>
  </si>
  <si>
    <t>10派5元(含税)</t>
  </si>
  <si>
    <t>9.35亿</t>
  </si>
  <si>
    <t>13.73亿</t>
  </si>
  <si>
    <t>5.41亿</t>
  </si>
  <si>
    <t>2.03亿</t>
  </si>
  <si>
    <t>1.93亿</t>
  </si>
  <si>
    <t>150.88亿</t>
  </si>
  <si>
    <t>13.44亿</t>
  </si>
  <si>
    <t>0亿</t>
  </si>
  <si>
    <t>6600.00万</t>
  </si>
  <si>
    <t>-1.98亿</t>
  </si>
  <si>
    <t>1-0</t>
  </si>
  <si>
    <t>2.49亿</t>
  </si>
  <si>
    <t>1.09亿</t>
  </si>
  <si>
    <t>983.45亿</t>
  </si>
  <si>
    <t>71.05亿</t>
  </si>
  <si>
    <t>985.93亿</t>
  </si>
  <si>
    <t>77.78亿</t>
  </si>
  <si>
    <t>1.33亿</t>
  </si>
  <si>
    <t>1434.70亿</t>
  </si>
  <si>
    <t>13.95亿</t>
  </si>
  <si>
    <t>1.39亿</t>
  </si>
  <si>
    <t>10派0.4元(含税)</t>
  </si>
  <si>
    <t>6.41亿</t>
  </si>
  <si>
    <t>2.55亿</t>
  </si>
  <si>
    <t>10派0.3元(含税)</t>
  </si>
  <si>
    <t>626.17亿</t>
  </si>
  <si>
    <t>-12.33亿</t>
  </si>
  <si>
    <t>477.60亿</t>
  </si>
  <si>
    <t>16.76亿</t>
  </si>
  <si>
    <t>1.54亿</t>
  </si>
  <si>
    <t>2.62亿</t>
  </si>
  <si>
    <t>68.20亿</t>
  </si>
  <si>
    <t>976.54亿</t>
  </si>
  <si>
    <t>1310.72亿</t>
  </si>
  <si>
    <t>1.56亿</t>
  </si>
  <si>
    <t>1361.20亿</t>
  </si>
  <si>
    <t>69.64亿</t>
  </si>
  <si>
    <t>50.53亿</t>
  </si>
  <si>
    <t>63.79亿</t>
  </si>
  <si>
    <t>6.44亿</t>
  </si>
  <si>
    <t>1711.76亿</t>
  </si>
  <si>
    <t>1162.76亿</t>
  </si>
  <si>
    <t>1680.99亿</t>
  </si>
  <si>
    <t>21.11亿</t>
  </si>
  <si>
    <t>-1-0</t>
  </si>
  <si>
    <t>1181.42亿</t>
  </si>
  <si>
    <t>11.25亿</t>
  </si>
  <si>
    <t>-2.96亿</t>
  </si>
  <si>
    <t>1329.84亿</t>
  </si>
  <si>
    <t>71.06亿</t>
  </si>
  <si>
    <t>1.15亿</t>
  </si>
  <si>
    <t>4.71亿</t>
  </si>
  <si>
    <t>12.15亿</t>
  </si>
  <si>
    <t>181.73亿</t>
  </si>
  <si>
    <t>4.53亿</t>
  </si>
  <si>
    <t>38.84亿</t>
  </si>
  <si>
    <t>516.58亿</t>
  </si>
  <si>
    <t>5.32亿</t>
  </si>
  <si>
    <t>65.37亿</t>
  </si>
  <si>
    <t>12.88亿</t>
  </si>
  <si>
    <t>5.31亿</t>
  </si>
  <si>
    <t>2.15亿</t>
  </si>
  <si>
    <t>-1.34亿</t>
  </si>
  <si>
    <t>60.89亿</t>
  </si>
  <si>
    <t>2.35亿</t>
  </si>
  <si>
    <t>2.08亿</t>
  </si>
  <si>
    <t>62.23亿</t>
  </si>
  <si>
    <t>1.08亿</t>
  </si>
  <si>
    <t>10.83亿</t>
  </si>
  <si>
    <t>7.58亿</t>
  </si>
  <si>
    <t>7345.05万</t>
  </si>
  <si>
    <t>2.59亿</t>
  </si>
  <si>
    <t>121.87亿</t>
  </si>
  <si>
    <t>70.72亿</t>
  </si>
  <si>
    <t>2815.19亿</t>
  </si>
  <si>
    <t>3677.78亿</t>
  </si>
  <si>
    <t>2.33亿</t>
  </si>
  <si>
    <t>1022.89亿</t>
  </si>
  <si>
    <t>8.29亿</t>
  </si>
  <si>
    <t>5.90亿</t>
  </si>
  <si>
    <t>5.96亿</t>
  </si>
  <si>
    <t>77.57亿</t>
  </si>
  <si>
    <t>-11.51亿</t>
  </si>
  <si>
    <t>122.34亿</t>
  </si>
  <si>
    <t>-11.47亿</t>
  </si>
  <si>
    <t>2.58亿</t>
  </si>
  <si>
    <t>433.25亿</t>
  </si>
  <si>
    <t>1.18亿</t>
  </si>
  <si>
    <t>-1.89亿</t>
  </si>
  <si>
    <t>215.58亿</t>
  </si>
  <si>
    <t>-8.34亿</t>
  </si>
  <si>
    <t>3.55亿</t>
  </si>
  <si>
    <t>706.67亿</t>
  </si>
  <si>
    <t>21.61亿</t>
  </si>
  <si>
    <t>175.87亿</t>
  </si>
  <si>
    <t>3.42亿</t>
  </si>
  <si>
    <t>765.54亿</t>
  </si>
  <si>
    <t>42.04亿</t>
  </si>
  <si>
    <t>363.93亿</t>
  </si>
  <si>
    <t>65.20亿</t>
  </si>
  <si>
    <t>446.11亿</t>
  </si>
  <si>
    <t>-24.76亿</t>
  </si>
  <si>
    <t>5.25亿</t>
  </si>
  <si>
    <t>78.15亿</t>
  </si>
  <si>
    <t>18.22亿</t>
  </si>
  <si>
    <t>1-1</t>
  </si>
  <si>
    <t>1.45亿</t>
  </si>
  <si>
    <t>2.54亿</t>
  </si>
  <si>
    <t>5.15亿</t>
  </si>
  <si>
    <t>3.09亿</t>
  </si>
  <si>
    <t>53.20亿</t>
  </si>
  <si>
    <t>8.40亿</t>
  </si>
  <si>
    <t>15.60亿</t>
  </si>
  <si>
    <t>77.36亿</t>
  </si>
  <si>
    <t>392.35亿</t>
  </si>
  <si>
    <t>-30.01亿</t>
  </si>
  <si>
    <t>2.06亿</t>
  </si>
  <si>
    <t>525.67亿</t>
  </si>
  <si>
    <t>230.44亿</t>
  </si>
  <si>
    <t>2.81亿</t>
  </si>
  <si>
    <t>2-0</t>
  </si>
  <si>
    <t>990.01亿</t>
  </si>
  <si>
    <t>10.46亿</t>
  </si>
  <si>
    <t>3.75亿</t>
  </si>
  <si>
    <t>2.47亿</t>
  </si>
  <si>
    <t>1049.11亿</t>
  </si>
  <si>
    <t>43.51亿</t>
  </si>
  <si>
    <t>1021.54亿</t>
  </si>
  <si>
    <t>-8.58亿</t>
  </si>
  <si>
    <t>807.25亿</t>
  </si>
  <si>
    <t>-23.42亿</t>
  </si>
  <si>
    <t>1.90亿</t>
  </si>
  <si>
    <t>927.22亿</t>
  </si>
  <si>
    <t>14.47亿</t>
  </si>
  <si>
    <t>365.62亿</t>
  </si>
  <si>
    <t>-10.19亿</t>
  </si>
  <si>
    <t>SH601121</t>
  </si>
  <si>
    <t>宝地矿业</t>
  </si>
  <si>
    <t>6.88亿</t>
  </si>
  <si>
    <t>7.99亿</t>
  </si>
  <si>
    <t>1.55亿</t>
  </si>
  <si>
    <t>5108.52万</t>
  </si>
  <si>
    <t>673.60亿</t>
  </si>
  <si>
    <t>2.97亿</t>
  </si>
  <si>
    <t>78.99亿</t>
  </si>
  <si>
    <t>48.30亿</t>
  </si>
  <si>
    <t>6.15亿</t>
  </si>
  <si>
    <t>8.98亿</t>
  </si>
  <si>
    <t>3.32亿</t>
  </si>
  <si>
    <t>11.08亿</t>
  </si>
  <si>
    <t>SH603191</t>
  </si>
  <si>
    <t>望变电气</t>
  </si>
  <si>
    <t>25.26亿</t>
  </si>
  <si>
    <t>1.79亿</t>
  </si>
  <si>
    <t>19.33亿</t>
  </si>
  <si>
    <t>12.97亿</t>
  </si>
  <si>
    <t>5341.91万</t>
  </si>
  <si>
    <t>3.38亿</t>
  </si>
  <si>
    <t>-2-0</t>
  </si>
  <si>
    <t>28.30亿</t>
  </si>
  <si>
    <t>395.55亿</t>
  </si>
  <si>
    <t>4.87亿</t>
  </si>
  <si>
    <t>7.28亿</t>
  </si>
  <si>
    <t>10.70亿</t>
  </si>
  <si>
    <t>721.72亿</t>
  </si>
  <si>
    <t>-3.70亿</t>
  </si>
  <si>
    <t>33.67亿</t>
  </si>
  <si>
    <t>成交量[20230512]</t>
  </si>
  <si>
    <t>当季营业收入(同比增长率) %</t>
  </si>
  <si>
    <t>LYear营业总收入[20221231]</t>
  </si>
  <si>
    <t>LYear净利润[20221231]</t>
  </si>
  <si>
    <t>权益乘数[20220930]</t>
  </si>
  <si>
    <t>总资产周转率[20220930]</t>
  </si>
  <si>
    <t>净利润／营业总收入%[20220930]</t>
  </si>
  <si>
    <t>营业总成本[20220930]</t>
  </si>
  <si>
    <t>营业成本[20220930]</t>
  </si>
  <si>
    <t>销售费用[20230331]</t>
  </si>
  <si>
    <t>管理费用[20220930]</t>
  </si>
  <si>
    <t>研发费用总额</t>
  </si>
  <si>
    <t>其他收入[20230331]</t>
  </si>
  <si>
    <t>扣除非经常性损益后的净利润[20230331]</t>
  </si>
  <si>
    <t>货币资金[20230331]</t>
  </si>
  <si>
    <t>应收票据[20230331]</t>
  </si>
  <si>
    <t>固定资产[20230331]</t>
  </si>
  <si>
    <t>在建工程[20230331]</t>
  </si>
  <si>
    <t>短期借款[20230331]</t>
  </si>
  <si>
    <t>应付票据[20230331]</t>
  </si>
  <si>
    <t>应付账款[20230331]</t>
  </si>
  <si>
    <t>预收款项[20230331]</t>
  </si>
  <si>
    <t>流动负债[20230331]</t>
  </si>
  <si>
    <t>长期借款[20230331]</t>
  </si>
  <si>
    <t>经营活动产生的现金流量净额[20230331]</t>
  </si>
  <si>
    <t>投资活动产生的现金流量净额[20230331]</t>
  </si>
  <si>
    <t>筹资活动产生的现金流量净额[20230331]</t>
  </si>
  <si>
    <t>营业收入[20211231]</t>
  </si>
  <si>
    <t>营业收入[20201231]</t>
  </si>
  <si>
    <t>CYLQ营业收入[20221231]</t>
  </si>
  <si>
    <t>LYCQ营业收入[20220331]</t>
  </si>
  <si>
    <t>LYLQ营业收入[20211231]</t>
  </si>
  <si>
    <t>CYLQ净利润[20221231]</t>
  </si>
  <si>
    <t>LYCQ净利润[20220331]</t>
  </si>
  <si>
    <t>LYLQ净利润[20211231]</t>
  </si>
  <si>
    <t>投入资本回报率roic%[20221231]</t>
  </si>
  <si>
    <t>净资产收益率%[20221231]</t>
  </si>
  <si>
    <t>分红明细[20221231]</t>
  </si>
  <si>
    <t>销售毛利率%[20230331]</t>
  </si>
  <si>
    <t>销售毛利率%[20211231]</t>
  </si>
  <si>
    <t>销售净利率%[20230331]</t>
  </si>
  <si>
    <t>销售净利率%[20211231]</t>
  </si>
  <si>
    <t>区间涨跌幅:前复权%[20230508-20230512]</t>
  </si>
  <si>
    <t>区间涨跌幅:前复权%[20230328-20230512]</t>
  </si>
  <si>
    <t>区间成交量[20230508-20230512]</t>
  </si>
  <si>
    <t>区间成交量[20230328-20230512]</t>
  </si>
  <si>
    <t>6年PE</t>
    <phoneticPr fontId="1" type="noConversion"/>
  </si>
  <si>
    <t>5年营收增速PEG</t>
    <phoneticPr fontId="1" type="noConversion"/>
  </si>
  <si>
    <t>股利率</t>
    <phoneticPr fontId="1" type="noConversion"/>
  </si>
  <si>
    <t>过往营收增速均值</t>
    <phoneticPr fontId="1" type="noConversion"/>
  </si>
  <si>
    <t>过往利润增速均值</t>
    <phoneticPr fontId="1" type="noConversion"/>
  </si>
  <si>
    <t>折现率</t>
    <phoneticPr fontId="1" type="noConversion"/>
  </si>
  <si>
    <t>1年自由现金流折现</t>
    <phoneticPr fontId="1" type="noConversion"/>
  </si>
  <si>
    <t>1增速</t>
    <phoneticPr fontId="1" type="noConversion"/>
  </si>
  <si>
    <t>3年自由现金流折现</t>
    <phoneticPr fontId="1" type="noConversion"/>
  </si>
  <si>
    <t>3增速</t>
    <phoneticPr fontId="1" type="noConversion"/>
  </si>
  <si>
    <t>6年自由现金流折现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</si>
  <si>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</si>
  <si>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</si>
  <si>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10增速</t>
    <phoneticPr fontId="1" type="noConversion"/>
  </si>
  <si>
    <t>20年自由现金流折现</t>
    <phoneticPr fontId="1" type="noConversion"/>
  </si>
  <si>
    <t>承担负债现期溢价</t>
    <phoneticPr fontId="1" type="noConversion"/>
  </si>
  <si>
    <t>清算价格</t>
    <phoneticPr fontId="1" type="noConversion"/>
  </si>
  <si>
    <t>原始顺序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</si>
  <si>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</si>
  <si>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</si>
  <si>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营收成长策略</t>
    <phoneticPr fontId="1" type="noConversion"/>
  </si>
  <si>
    <t>利润成长策略</t>
    <phoneticPr fontId="1" type="noConversion"/>
  </si>
  <si>
    <t>营收和利润加权</t>
    <phoneticPr fontId="1" type="noConversion"/>
  </si>
  <si>
    <t>价格变动策略</t>
    <phoneticPr fontId="1" type="noConversion"/>
  </si>
  <si>
    <t>成交量综合策略</t>
    <phoneticPr fontId="1" type="noConversion"/>
  </si>
  <si>
    <t>量价齐升策略</t>
    <phoneticPr fontId="1" type="noConversion"/>
  </si>
  <si>
    <t>基本面排序</t>
    <phoneticPr fontId="1" type="noConversion"/>
  </si>
  <si>
    <t>综合策略</t>
    <phoneticPr fontId="1" type="noConversion"/>
  </si>
  <si>
    <t>机会区域号</t>
    <phoneticPr fontId="1" type="noConversion"/>
  </si>
  <si>
    <t>5日成交换手率</t>
    <phoneticPr fontId="1" type="noConversion"/>
  </si>
  <si>
    <t>30日成交换手率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</si>
  <si>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</si>
  <si>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</si>
  <si>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成交量异动策略</t>
    <phoneticPr fontId="1" type="noConversion"/>
  </si>
  <si>
    <t>价格箱体形态过滤</t>
    <phoneticPr fontId="1" type="noConversion"/>
  </si>
  <si>
    <t>价格右侧初期策略</t>
    <phoneticPr fontId="1" type="noConversion"/>
  </si>
  <si>
    <t>N日期</t>
    <phoneticPr fontId="1" type="noConversion"/>
  </si>
  <si>
    <t>N-4</t>
    <phoneticPr fontId="1" type="noConversion"/>
  </si>
  <si>
    <t>N-3</t>
    <phoneticPr fontId="1" type="noConversion"/>
  </si>
  <si>
    <t>N-2</t>
    <phoneticPr fontId="1" type="noConversion"/>
  </si>
  <si>
    <t>N-1</t>
    <phoneticPr fontId="1" type="noConversion"/>
  </si>
  <si>
    <t>4203.13万</t>
  </si>
  <si>
    <t>27.98亿</t>
  </si>
  <si>
    <t>126.34亿</t>
  </si>
  <si>
    <t>35.86亿</t>
  </si>
  <si>
    <t>143.80亿</t>
  </si>
  <si>
    <t>10.58亿</t>
  </si>
  <si>
    <t>35.32亿</t>
  </si>
  <si>
    <t>32.97亿</t>
  </si>
  <si>
    <t>2889.68万</t>
  </si>
  <si>
    <t>4823.00万</t>
  </si>
  <si>
    <t>15199705亿</t>
  </si>
  <si>
    <t>157.40万</t>
  </si>
  <si>
    <t>65675848亿</t>
  </si>
  <si>
    <t>180219240亿</t>
  </si>
  <si>
    <t>6431632500亿</t>
  </si>
  <si>
    <t>10.43亿</t>
  </si>
  <si>
    <t>4819.63万</t>
  </si>
  <si>
    <t>6.99亿</t>
  </si>
  <si>
    <t>20.25亿</t>
  </si>
  <si>
    <t>4309.00万</t>
  </si>
  <si>
    <t>-5654.26万</t>
  </si>
  <si>
    <t>-2.25亿</t>
  </si>
  <si>
    <t>39.50亿</t>
  </si>
  <si>
    <t>3.29亿</t>
  </si>
  <si>
    <t>2.29亿</t>
  </si>
  <si>
    <t>14.96亿</t>
  </si>
  <si>
    <t>249.96万</t>
  </si>
  <si>
    <t>4.54亿</t>
  </si>
  <si>
    <t>33.31亿</t>
  </si>
  <si>
    <t>14.54亿</t>
  </si>
  <si>
    <t>47.31万</t>
  </si>
  <si>
    <t>3121.20万</t>
  </si>
  <si>
    <t>8849651亿</t>
  </si>
  <si>
    <t>21786949亿</t>
  </si>
  <si>
    <t>20.44亿</t>
  </si>
  <si>
    <t>30558838亿</t>
  </si>
  <si>
    <t>2306753100亿</t>
  </si>
  <si>
    <t>3710.26万</t>
  </si>
  <si>
    <t>107.50万</t>
  </si>
  <si>
    <t>-7714.19万</t>
  </si>
  <si>
    <t>-1112.38万</t>
  </si>
  <si>
    <t>2.63亿</t>
  </si>
  <si>
    <t>1643.07万</t>
  </si>
  <si>
    <t>10派1.2元(含税)</t>
  </si>
  <si>
    <t>1503.62万</t>
  </si>
  <si>
    <t>1.62亿</t>
  </si>
  <si>
    <t>515.24万</t>
  </si>
  <si>
    <t>748.72亿</t>
  </si>
  <si>
    <t>429.77亿</t>
  </si>
  <si>
    <t>284.29亿</t>
  </si>
  <si>
    <t>1140.19亿</t>
  </si>
  <si>
    <t>57.21亿</t>
  </si>
  <si>
    <t>271.76亿</t>
  </si>
  <si>
    <t>249.30亿</t>
  </si>
  <si>
    <t>5.04亿</t>
  </si>
  <si>
    <t>-13375693亿</t>
  </si>
  <si>
    <t>575.09万</t>
  </si>
  <si>
    <t>1337744670亿</t>
  </si>
  <si>
    <t>57.50亿</t>
  </si>
  <si>
    <t>7340183400亿</t>
  </si>
  <si>
    <t>97.02亿</t>
  </si>
  <si>
    <t>49402673000亿</t>
  </si>
  <si>
    <t>37.83亿</t>
  </si>
  <si>
    <t>98.95亿</t>
  </si>
  <si>
    <t>61.13亿</t>
  </si>
  <si>
    <t>142.95亿</t>
  </si>
  <si>
    <t>466.21亿</t>
  </si>
  <si>
    <t>172.65亿</t>
  </si>
  <si>
    <t>-13.95亿</t>
  </si>
  <si>
    <t>-2.69亿</t>
  </si>
  <si>
    <t>-10.64亿</t>
  </si>
  <si>
    <t>279.69亿</t>
  </si>
  <si>
    <t>14.80亿</t>
  </si>
  <si>
    <t>10派5.646744元(含税)</t>
  </si>
  <si>
    <t>3375.24万</t>
  </si>
  <si>
    <t>2.45亿</t>
  </si>
  <si>
    <t>2-1</t>
  </si>
  <si>
    <t>3285.72万</t>
  </si>
  <si>
    <t>1995.17亿</t>
  </si>
  <si>
    <t>671.74亿</t>
  </si>
  <si>
    <t>297.50亿</t>
  </si>
  <si>
    <t>1227.44亿</t>
  </si>
  <si>
    <t>10.84亿</t>
  </si>
  <si>
    <t>299.72亿</t>
  </si>
  <si>
    <t>269.57亿</t>
  </si>
  <si>
    <t>2290.01万</t>
  </si>
  <si>
    <t>7.27亿</t>
  </si>
  <si>
    <t>189926870亿</t>
  </si>
  <si>
    <t>65319280亿</t>
  </si>
  <si>
    <t>337.63亿</t>
  </si>
  <si>
    <t>1197020540亿</t>
  </si>
  <si>
    <t>67.95亿</t>
  </si>
  <si>
    <t>71499634000亿</t>
  </si>
  <si>
    <t>268.04亿</t>
  </si>
  <si>
    <t>686.65亿</t>
  </si>
  <si>
    <t>312.98亿</t>
  </si>
  <si>
    <t>166.61亿</t>
  </si>
  <si>
    <t>1447.31亿</t>
  </si>
  <si>
    <t>268.52亿</t>
  </si>
  <si>
    <t>31.44亿</t>
  </si>
  <si>
    <t>-17.96亿</t>
  </si>
  <si>
    <t>-50.67亿</t>
  </si>
  <si>
    <t>318.51亿</t>
  </si>
  <si>
    <t>2.34亿</t>
  </si>
  <si>
    <t>16.94亿</t>
  </si>
  <si>
    <t>1083.24万</t>
  </si>
  <si>
    <t>121.43亿</t>
  </si>
  <si>
    <t>88.04亿</t>
  </si>
  <si>
    <t>80.50亿</t>
  </si>
  <si>
    <t>390.14亿</t>
  </si>
  <si>
    <t>4902.54万</t>
  </si>
  <si>
    <t>84.42亿</t>
  </si>
  <si>
    <t>82.10亿</t>
  </si>
  <si>
    <t>3239.93万</t>
  </si>
  <si>
    <t>5370.25万</t>
  </si>
  <si>
    <t>-10759115亿</t>
  </si>
  <si>
    <t>325.97万</t>
  </si>
  <si>
    <t>-328551810亿</t>
  </si>
  <si>
    <t>9.28亿</t>
  </si>
  <si>
    <t>124380725亿</t>
  </si>
  <si>
    <t>182.76万</t>
  </si>
  <si>
    <t>4274696700亿</t>
  </si>
  <si>
    <t>30.39亿</t>
  </si>
  <si>
    <t>46.26亿</t>
  </si>
  <si>
    <t>94.23亿</t>
  </si>
  <si>
    <t>20.32亿</t>
  </si>
  <si>
    <t>7857.08万</t>
  </si>
  <si>
    <t>-4.77亿</t>
  </si>
  <si>
    <t>393.54亿</t>
  </si>
  <si>
    <t>-12.83亿</t>
  </si>
  <si>
    <t>90.77亿</t>
  </si>
  <si>
    <t>596.22万</t>
  </si>
  <si>
    <t>7554.10万</t>
  </si>
  <si>
    <t>4.41亿</t>
  </si>
  <si>
    <t>773.14万</t>
  </si>
  <si>
    <t>285.83亿</t>
  </si>
  <si>
    <t>167.22亿</t>
  </si>
  <si>
    <t>148.07亿</t>
  </si>
  <si>
    <t>578.15亿</t>
  </si>
  <si>
    <t>-17.43亿</t>
  </si>
  <si>
    <t>156.38亿</t>
  </si>
  <si>
    <t>152.43亿</t>
  </si>
  <si>
    <t>3819.62万</t>
  </si>
  <si>
    <t>2.07亿</t>
  </si>
  <si>
    <t>-14906442亿</t>
  </si>
  <si>
    <t>249.93万</t>
  </si>
  <si>
    <t>-917000630亿</t>
  </si>
  <si>
    <t>18.82亿</t>
  </si>
  <si>
    <t>1264446910亿</t>
  </si>
  <si>
    <t>13716188000亿</t>
  </si>
  <si>
    <t>45.55亿</t>
  </si>
  <si>
    <t>4.95亿</t>
  </si>
  <si>
    <t>108.59亿</t>
  </si>
  <si>
    <t>28.22亿</t>
  </si>
  <si>
    <t>197.59亿</t>
  </si>
  <si>
    <t>23.22亿</t>
  </si>
  <si>
    <t>5.20亿</t>
  </si>
  <si>
    <t>-2.34亿</t>
  </si>
  <si>
    <t>157.84亿</t>
  </si>
  <si>
    <t>4752.40万</t>
  </si>
  <si>
    <t>3586.74万</t>
  </si>
  <si>
    <t>1636.47万</t>
  </si>
  <si>
    <t>270.48亿</t>
  </si>
  <si>
    <t>286.41亿</t>
  </si>
  <si>
    <t>91.24亿</t>
  </si>
  <si>
    <t>432.53亿</t>
  </si>
  <si>
    <t>13.51亿</t>
  </si>
  <si>
    <t>91.02亿</t>
  </si>
  <si>
    <t>86.69亿</t>
  </si>
  <si>
    <t>9261.87万</t>
  </si>
  <si>
    <t>1.40亿</t>
  </si>
  <si>
    <t>13990021亿</t>
  </si>
  <si>
    <t>1177.90万</t>
  </si>
  <si>
    <t>60475889亿</t>
  </si>
  <si>
    <t>68.37亿</t>
  </si>
  <si>
    <t>3271895600亿</t>
  </si>
  <si>
    <t>26.41亿</t>
  </si>
  <si>
    <t>24222852000亿</t>
  </si>
  <si>
    <t>6.05亿</t>
  </si>
  <si>
    <t>33.19亿</t>
  </si>
  <si>
    <t>20.51亿</t>
  </si>
  <si>
    <t>65.66亿</t>
  </si>
  <si>
    <t>29.83万</t>
  </si>
  <si>
    <t>80.43亿</t>
  </si>
  <si>
    <t>-20.34亿</t>
  </si>
  <si>
    <t>-1.28亿</t>
  </si>
  <si>
    <t>-11.57亿</t>
  </si>
  <si>
    <t>118.51亿</t>
  </si>
  <si>
    <t>3.41亿</t>
  </si>
  <si>
    <t>10派0.6元(含税)</t>
  </si>
  <si>
    <t>7.38亿</t>
  </si>
  <si>
    <t>-1-1</t>
  </si>
  <si>
    <t>1291.80万</t>
  </si>
  <si>
    <t>323.25亿</t>
  </si>
  <si>
    <t>359.25亿</t>
  </si>
  <si>
    <t>244.63亿</t>
  </si>
  <si>
    <t>1056.18亿</t>
  </si>
  <si>
    <t>-10.81亿</t>
  </si>
  <si>
    <t>245.02亿</t>
  </si>
  <si>
    <t>241.68亿</t>
  </si>
  <si>
    <t>5107.95万</t>
  </si>
  <si>
    <t>1.30亿</t>
  </si>
  <si>
    <t>32654077亿</t>
  </si>
  <si>
    <t>57.15万</t>
  </si>
  <si>
    <t>-44578317亿</t>
  </si>
  <si>
    <t>70.04亿</t>
  </si>
  <si>
    <t>1276817890亿</t>
  </si>
  <si>
    <t>11.69万</t>
  </si>
  <si>
    <t>20034987000亿</t>
  </si>
  <si>
    <t>25.29亿</t>
  </si>
  <si>
    <t>3.59亿</t>
  </si>
  <si>
    <t>90.80亿</t>
  </si>
  <si>
    <t>77.12亿</t>
  </si>
  <si>
    <t>247.95万</t>
  </si>
  <si>
    <t>224.24亿</t>
  </si>
  <si>
    <t>89.93亿</t>
  </si>
  <si>
    <t>-8.97亿</t>
  </si>
  <si>
    <t>-5.55亿</t>
  </si>
  <si>
    <t>259.06亿</t>
  </si>
  <si>
    <t>-5.92亿</t>
  </si>
  <si>
    <t>9283.69万</t>
  </si>
  <si>
    <t>6.73亿</t>
  </si>
  <si>
    <t>1402.47万</t>
  </si>
  <si>
    <t>416.23亿</t>
  </si>
  <si>
    <t>537.44亿</t>
  </si>
  <si>
    <t>273.43亿</t>
  </si>
  <si>
    <t>1135.02亿</t>
  </si>
  <si>
    <t>-32.57亿</t>
  </si>
  <si>
    <t>290.44亿</t>
  </si>
  <si>
    <t>282.87亿</t>
  </si>
  <si>
    <t>1.25亿</t>
  </si>
  <si>
    <t>100000000亿</t>
  </si>
  <si>
    <t>200.00万</t>
  </si>
  <si>
    <t>-1688000000亿</t>
  </si>
  <si>
    <t>31.12亿</t>
  </si>
  <si>
    <t>2479000000亿</t>
  </si>
  <si>
    <t>3.03亿</t>
  </si>
  <si>
    <t>28087000000亿</t>
  </si>
  <si>
    <t>64.87亿</t>
  </si>
  <si>
    <t>13.30亿</t>
  </si>
  <si>
    <t>191.66亿</t>
  </si>
  <si>
    <t>77.63亿</t>
  </si>
  <si>
    <t>378.37亿</t>
  </si>
  <si>
    <t>51.99亿</t>
  </si>
  <si>
    <t>7.51亿</t>
  </si>
  <si>
    <t>-7.76亿</t>
  </si>
  <si>
    <t>-8400.00万</t>
  </si>
  <si>
    <t>308.44亿</t>
  </si>
  <si>
    <t>-1.49亿</t>
  </si>
  <si>
    <t>1.01亿</t>
  </si>
  <si>
    <t>712.88万</t>
  </si>
  <si>
    <t>36.75亿</t>
  </si>
  <si>
    <t>126.52亿</t>
  </si>
  <si>
    <t>16.11亿</t>
  </si>
  <si>
    <t>58.67亿</t>
  </si>
  <si>
    <t>9.12亿</t>
  </si>
  <si>
    <t>11.33亿</t>
  </si>
  <si>
    <t>1.32亿</t>
  </si>
  <si>
    <t>7248430亿</t>
  </si>
  <si>
    <t>242273630亿</t>
  </si>
  <si>
    <t>54.67亿</t>
  </si>
  <si>
    <t>991167820亿</t>
  </si>
  <si>
    <t>7257919400亿</t>
  </si>
  <si>
    <t>59.29亿</t>
  </si>
  <si>
    <t>11.69亿</t>
  </si>
  <si>
    <t>9.20亿</t>
  </si>
  <si>
    <t>-3.13亿</t>
  </si>
  <si>
    <t>11.40亿</t>
  </si>
  <si>
    <t>1.88亿</t>
  </si>
  <si>
    <t>10派6元(含税)</t>
  </si>
  <si>
    <t>2881.18万</t>
  </si>
  <si>
    <t>2.71亿</t>
  </si>
  <si>
    <t>4-1</t>
  </si>
  <si>
    <t>3874.66万</t>
  </si>
  <si>
    <t>687.91亿</t>
  </si>
  <si>
    <t>650.34亿</t>
  </si>
  <si>
    <t>369.12亿</t>
  </si>
  <si>
    <t>1638.97亿</t>
  </si>
  <si>
    <t>50.79亿</t>
  </si>
  <si>
    <t>368.29亿</t>
  </si>
  <si>
    <t>347.48亿</t>
  </si>
  <si>
    <t>115500784亿</t>
  </si>
  <si>
    <t>408.01万</t>
  </si>
  <si>
    <t>322512400亿</t>
  </si>
  <si>
    <t>58.49亿</t>
  </si>
  <si>
    <t>5198936900亿</t>
  </si>
  <si>
    <t>72386610000亿</t>
  </si>
  <si>
    <t>50.55亿</t>
  </si>
  <si>
    <t>113.09亿</t>
  </si>
  <si>
    <t>553.14亿</t>
  </si>
  <si>
    <t>174.56亿</t>
  </si>
  <si>
    <t>1.84亿</t>
  </si>
  <si>
    <t>-37.11亿</t>
  </si>
  <si>
    <t>28.72亿</t>
  </si>
  <si>
    <t>397.62亿</t>
  </si>
  <si>
    <t>6.89亿</t>
  </si>
  <si>
    <t>10派2.3元(含税)</t>
  </si>
  <si>
    <t>19.66亿</t>
  </si>
  <si>
    <t>1835.65万</t>
  </si>
  <si>
    <t>830.99亿</t>
  </si>
  <si>
    <t>543.27亿</t>
  </si>
  <si>
    <t>295.40亿</t>
  </si>
  <si>
    <t>1137.61亿</t>
  </si>
  <si>
    <t>6.64亿</t>
  </si>
  <si>
    <t>295.98亿</t>
  </si>
  <si>
    <t>286.53亿</t>
  </si>
  <si>
    <t>4866.50万</t>
  </si>
  <si>
    <t>2.78亿</t>
  </si>
  <si>
    <t>-109909831亿</t>
  </si>
  <si>
    <t>51.55万</t>
  </si>
  <si>
    <t>-36576879亿</t>
  </si>
  <si>
    <t>60.61亿</t>
  </si>
  <si>
    <t>1757117500亿</t>
  </si>
  <si>
    <t>44.78亿</t>
  </si>
  <si>
    <t>33404531000亿</t>
  </si>
  <si>
    <t>55.95亿</t>
  </si>
  <si>
    <t>244.65亿</t>
  </si>
  <si>
    <t>33.90亿</t>
  </si>
  <si>
    <t>218.84亿</t>
  </si>
  <si>
    <t>649.74亿</t>
  </si>
  <si>
    <t>125.68亿</t>
  </si>
  <si>
    <t>-18.80亿</t>
  </si>
  <si>
    <t>438.00万</t>
  </si>
  <si>
    <t>287.15亿</t>
  </si>
  <si>
    <t>-5847.66万</t>
  </si>
  <si>
    <t>6.93亿</t>
  </si>
  <si>
    <t>325.22万</t>
  </si>
  <si>
    <t>81.58亿</t>
  </si>
  <si>
    <t>61.46亿</t>
  </si>
  <si>
    <t>9.21亿</t>
  </si>
  <si>
    <t>40.03亿</t>
  </si>
  <si>
    <t>11.41亿</t>
  </si>
  <si>
    <t>6.45亿</t>
  </si>
  <si>
    <t>3.98亿</t>
  </si>
  <si>
    <t>54.72万</t>
  </si>
  <si>
    <t>2112000亿</t>
  </si>
  <si>
    <t>12.59万</t>
  </si>
  <si>
    <t>237260390亿</t>
  </si>
  <si>
    <t>12.36亿</t>
  </si>
  <si>
    <t>175427310亿</t>
  </si>
  <si>
    <t>6083.65万</t>
  </si>
  <si>
    <t>2199434800亿</t>
  </si>
  <si>
    <t>25.11亿</t>
  </si>
  <si>
    <t>1939.69万</t>
  </si>
  <si>
    <t>6.57亿</t>
  </si>
  <si>
    <t>50.86亿</t>
  </si>
  <si>
    <t>20.91亿</t>
  </si>
  <si>
    <t>2.95亿</t>
  </si>
  <si>
    <t>-2.78亿</t>
  </si>
  <si>
    <t>41.57亿</t>
  </si>
  <si>
    <t>2.01亿</t>
  </si>
  <si>
    <t>1642.41万</t>
  </si>
  <si>
    <t>8581.89万</t>
  </si>
  <si>
    <t>135.86亿</t>
  </si>
  <si>
    <t>99.23亿</t>
  </si>
  <si>
    <t>37.06亿</t>
  </si>
  <si>
    <t>153.59亿</t>
  </si>
  <si>
    <t>37.43亿</t>
  </si>
  <si>
    <t>747.82万</t>
  </si>
  <si>
    <t>6439.09万</t>
  </si>
  <si>
    <t>49989169亿</t>
  </si>
  <si>
    <t>272.70万</t>
  </si>
  <si>
    <t>8171718亿</t>
  </si>
  <si>
    <t>60.62亿</t>
  </si>
  <si>
    <t>26700200亿</t>
  </si>
  <si>
    <t>13865237000亿</t>
  </si>
  <si>
    <t>11.58亿</t>
  </si>
  <si>
    <t>73.62亿</t>
  </si>
  <si>
    <t>112.61亿</t>
  </si>
  <si>
    <t>3.39亿</t>
  </si>
  <si>
    <t>-6016.68万</t>
  </si>
  <si>
    <t>14.10亿</t>
  </si>
  <si>
    <t>-1.77亿</t>
  </si>
  <si>
    <t>5148.96万</t>
  </si>
  <si>
    <t>7.86亿</t>
  </si>
  <si>
    <t>681.18万</t>
  </si>
  <si>
    <t>276.62亿</t>
  </si>
  <si>
    <t>205.06亿</t>
  </si>
  <si>
    <t>112.02亿</t>
  </si>
  <si>
    <t>479.41亿</t>
  </si>
  <si>
    <t>-6.68亿</t>
  </si>
  <si>
    <t>113.47亿</t>
  </si>
  <si>
    <t>107.60亿</t>
  </si>
  <si>
    <t>1548.28万</t>
  </si>
  <si>
    <t>5715576亿</t>
  </si>
  <si>
    <t>122.05万</t>
  </si>
  <si>
    <t>-106726130亿</t>
  </si>
  <si>
    <t>71.10亿</t>
  </si>
  <si>
    <t>535382110亿</t>
  </si>
  <si>
    <t>2589.35万</t>
  </si>
  <si>
    <t>20554312000亿</t>
  </si>
  <si>
    <t>34.18亿</t>
  </si>
  <si>
    <t>113.96亿</t>
  </si>
  <si>
    <t>92.72亿</t>
  </si>
  <si>
    <t>39.12亿</t>
  </si>
  <si>
    <t>284.31亿</t>
  </si>
  <si>
    <t>32.47亿</t>
  </si>
  <si>
    <t>-5.23亿</t>
  </si>
  <si>
    <t>-4.83亿</t>
  </si>
  <si>
    <t>32.54亿</t>
  </si>
  <si>
    <t>119.70亿</t>
  </si>
  <si>
    <t>-6642.24万</t>
  </si>
  <si>
    <t>3829.69万</t>
  </si>
  <si>
    <t>3.10亿</t>
  </si>
  <si>
    <t>659.06万</t>
  </si>
  <si>
    <t>55.64亿</t>
  </si>
  <si>
    <t>75.75亿</t>
  </si>
  <si>
    <t>23.89亿</t>
  </si>
  <si>
    <t>85.68亿</t>
  </si>
  <si>
    <t>14.89亿</t>
  </si>
  <si>
    <t>19.98亿</t>
  </si>
  <si>
    <t>17.44亿</t>
  </si>
  <si>
    <t>1.04亿</t>
  </si>
  <si>
    <t>7682.48万</t>
  </si>
  <si>
    <t>16621953亿</t>
  </si>
  <si>
    <t>3.15万</t>
  </si>
  <si>
    <t>340247120亿</t>
  </si>
  <si>
    <t>39.32亿</t>
  </si>
  <si>
    <t>1469595600亿</t>
  </si>
  <si>
    <t>8500094000亿</t>
  </si>
  <si>
    <t>6.71亿</t>
  </si>
  <si>
    <t>7.16亿</t>
  </si>
  <si>
    <t>49.75亿</t>
  </si>
  <si>
    <t>8156.38万</t>
  </si>
  <si>
    <t>444.72万</t>
  </si>
  <si>
    <t>-1.41亿</t>
  </si>
  <si>
    <t>-2.18亿</t>
  </si>
  <si>
    <t>16.79亿</t>
  </si>
  <si>
    <t>10派4.8元(含税)</t>
  </si>
  <si>
    <t>2580.05万</t>
  </si>
  <si>
    <t>213.93万</t>
  </si>
  <si>
    <t>10.52亿</t>
  </si>
  <si>
    <t>36.42亿</t>
  </si>
  <si>
    <t>10.37亿</t>
  </si>
  <si>
    <t>57.43亿</t>
  </si>
  <si>
    <t>2.84亿</t>
  </si>
  <si>
    <t>9.78亿</t>
  </si>
  <si>
    <t>9.04亿</t>
  </si>
  <si>
    <t>846.83万</t>
  </si>
  <si>
    <t>3095.26万</t>
  </si>
  <si>
    <t>270444亿</t>
  </si>
  <si>
    <t>5.30万</t>
  </si>
  <si>
    <t>45646510亿</t>
  </si>
  <si>
    <t>8.51亿</t>
  </si>
  <si>
    <t>858839200亿</t>
  </si>
  <si>
    <t>6056.40万</t>
  </si>
  <si>
    <t>3570965100亿</t>
  </si>
  <si>
    <t>398.22万</t>
  </si>
  <si>
    <t>2.51亿</t>
  </si>
  <si>
    <t>8.10亿</t>
  </si>
  <si>
    <t>-9285.89万</t>
  </si>
  <si>
    <t>6705.15万</t>
  </si>
  <si>
    <t>-836.09万</t>
  </si>
  <si>
    <t>12.43亿</t>
  </si>
  <si>
    <t>6288.97万</t>
  </si>
  <si>
    <t>2031.26万</t>
  </si>
  <si>
    <t>387.59万</t>
  </si>
  <si>
    <t>24.09亿</t>
  </si>
  <si>
    <t>55.97亿</t>
  </si>
  <si>
    <t>13.03亿</t>
  </si>
  <si>
    <t>66.61亿</t>
  </si>
  <si>
    <t>11.52亿</t>
  </si>
  <si>
    <t>794.79万</t>
  </si>
  <si>
    <t>2821.83万</t>
  </si>
  <si>
    <t>5976979亿</t>
  </si>
  <si>
    <t>578.65万</t>
  </si>
  <si>
    <t>123012280亿</t>
  </si>
  <si>
    <t>18.29亿</t>
  </si>
  <si>
    <t>933743530亿</t>
  </si>
  <si>
    <t>5406509100亿</t>
  </si>
  <si>
    <t>13.80亿</t>
  </si>
  <si>
    <t>2.94亿</t>
  </si>
  <si>
    <t>22.82亿</t>
  </si>
  <si>
    <t>-7319.15万</t>
  </si>
  <si>
    <t>1.37亿</t>
  </si>
  <si>
    <t>-3189.94万</t>
  </si>
  <si>
    <t>10派2.8元(含税)</t>
  </si>
  <si>
    <t>3605.58万</t>
  </si>
  <si>
    <t>136.25万</t>
  </si>
  <si>
    <t>17.67亿</t>
  </si>
  <si>
    <t>5.94亿</t>
  </si>
  <si>
    <t>11.19亿</t>
  </si>
  <si>
    <t>2.50亿</t>
  </si>
  <si>
    <t>5.36亿</t>
  </si>
  <si>
    <t>4.78亿</t>
  </si>
  <si>
    <t>846.61万</t>
  </si>
  <si>
    <t>2580.27万</t>
  </si>
  <si>
    <t>-1543471亿</t>
  </si>
  <si>
    <t>314.06万</t>
  </si>
  <si>
    <t>48003434亿</t>
  </si>
  <si>
    <t>756596430亿</t>
  </si>
  <si>
    <t>2003464600亿</t>
  </si>
  <si>
    <t>6746.83万</t>
  </si>
  <si>
    <t>4.37亿</t>
  </si>
  <si>
    <t>7.10亿</t>
  </si>
  <si>
    <t>2.67亿</t>
  </si>
  <si>
    <t>15.24亿</t>
  </si>
  <si>
    <t>1.48亿</t>
  </si>
  <si>
    <t>-2224.13万</t>
  </si>
  <si>
    <t>19.81亿</t>
  </si>
  <si>
    <t>3736.18万</t>
  </si>
  <si>
    <t>10派5.528356元(含税)</t>
  </si>
  <si>
    <t>701.39万</t>
  </si>
  <si>
    <t>5423.46万</t>
  </si>
  <si>
    <t>1.10亿</t>
  </si>
  <si>
    <t>903.12亿</t>
  </si>
  <si>
    <t>615.20亿</t>
  </si>
  <si>
    <t>177.48亿</t>
  </si>
  <si>
    <t>2543.97亿</t>
  </si>
  <si>
    <t>84.46亿</t>
  </si>
  <si>
    <t>12373079亿</t>
  </si>
  <si>
    <t>1187.45万</t>
  </si>
  <si>
    <t>53855003亿</t>
  </si>
  <si>
    <t>81.37亿</t>
  </si>
  <si>
    <t>4721324300亿</t>
  </si>
  <si>
    <t>39623747000亿</t>
  </si>
  <si>
    <t>15.96亿</t>
  </si>
  <si>
    <t>106.35亿</t>
  </si>
  <si>
    <t>164.73亿</t>
  </si>
  <si>
    <t>-2.98亿</t>
  </si>
  <si>
    <t>-5.74亿</t>
  </si>
  <si>
    <t>9773.51万</t>
  </si>
  <si>
    <t>-7.26亿</t>
  </si>
  <si>
    <t>705.65亿</t>
  </si>
  <si>
    <t>652.69亿</t>
  </si>
  <si>
    <t>22.50亿</t>
  </si>
  <si>
    <t>9.17亿</t>
  </si>
  <si>
    <t>47.03亿</t>
  </si>
  <si>
    <t>-2-1</t>
  </si>
  <si>
    <t>5934.86万</t>
  </si>
  <si>
    <t>1559.14亿</t>
  </si>
  <si>
    <t>2220.73亿</t>
  </si>
  <si>
    <t>808.14亿</t>
  </si>
  <si>
    <t>57.03亿</t>
  </si>
  <si>
    <t>8.28亿</t>
  </si>
  <si>
    <t>100715418亿</t>
  </si>
  <si>
    <t>1083.29万</t>
  </si>
  <si>
    <t>1576000000亿</t>
  </si>
  <si>
    <t>231.69亿</t>
  </si>
  <si>
    <t>16542103000亿</t>
  </si>
  <si>
    <t>137798510000亿</t>
  </si>
  <si>
    <t>120.09亿</t>
  </si>
  <si>
    <t>65.87亿</t>
  </si>
  <si>
    <t>517.75亿</t>
  </si>
  <si>
    <t>-30.10亿</t>
  </si>
  <si>
    <t>-48.19亿</t>
  </si>
  <si>
    <t>52.53亿</t>
  </si>
  <si>
    <t>3445.00亿</t>
  </si>
  <si>
    <t>12.04亿</t>
  </si>
  <si>
    <t>119.44亿</t>
  </si>
  <si>
    <t>10派2.0元(含税)</t>
  </si>
  <si>
    <t>2.92亿</t>
  </si>
  <si>
    <t>19.26亿</t>
  </si>
  <si>
    <t>0828000000</t>
  </si>
  <si>
    <t>02484000000</t>
  </si>
  <si>
    <t>04968000000</t>
  </si>
  <si>
    <t>08280000000</t>
  </si>
  <si>
    <t>016560000000</t>
  </si>
  <si>
    <t>3048.38万</t>
  </si>
  <si>
    <t>361.30亿</t>
  </si>
  <si>
    <t>298.37亿</t>
  </si>
  <si>
    <t>228.30亿</t>
  </si>
  <si>
    <t>959.75亿</t>
  </si>
  <si>
    <t>11114693亿</t>
  </si>
  <si>
    <t>416.28万</t>
  </si>
  <si>
    <t>-644980140亿</t>
  </si>
  <si>
    <t>66.95亿</t>
  </si>
  <si>
    <t>323441960亿</t>
  </si>
  <si>
    <t>15909891000亿</t>
  </si>
  <si>
    <t>42.17亿</t>
  </si>
  <si>
    <t>101.48亿</t>
  </si>
  <si>
    <t>107.70亿</t>
  </si>
  <si>
    <t>15.12亿</t>
  </si>
  <si>
    <t>-8764.63万</t>
  </si>
  <si>
    <t>-8.44亿</t>
  </si>
  <si>
    <t>5.54亿</t>
  </si>
  <si>
    <t>904.75亿</t>
  </si>
  <si>
    <t>176.49亿</t>
  </si>
  <si>
    <t>-4.00亿</t>
  </si>
  <si>
    <t>10.11亿</t>
  </si>
  <si>
    <t>ST西钢</t>
  </si>
  <si>
    <t>539.32万</t>
  </si>
  <si>
    <t>63.07亿</t>
  </si>
  <si>
    <t>74.45亿</t>
  </si>
  <si>
    <t>11.62亿</t>
  </si>
  <si>
    <t>68.81亿</t>
  </si>
  <si>
    <t>1.58亿</t>
  </si>
  <si>
    <t>681.01万</t>
  </si>
  <si>
    <t>4971.49万</t>
  </si>
  <si>
    <t>-461593亿</t>
  </si>
  <si>
    <t>20.00万</t>
  </si>
  <si>
    <t>-184239430亿</t>
  </si>
  <si>
    <t>1.60亿</t>
  </si>
  <si>
    <t>3.48亿</t>
  </si>
  <si>
    <t>2743608100亿</t>
  </si>
  <si>
    <t>9418.18万</t>
  </si>
  <si>
    <t>5055.31万</t>
  </si>
  <si>
    <t>10.73亿</t>
  </si>
  <si>
    <t>30.28亿</t>
  </si>
  <si>
    <t>-4.02亿</t>
  </si>
  <si>
    <t>-1789.26万</t>
  </si>
  <si>
    <t>-272.98万</t>
  </si>
  <si>
    <t>49.39亿</t>
  </si>
  <si>
    <t>13.37亿</t>
  </si>
  <si>
    <t>16.86亿</t>
  </si>
  <si>
    <t>4983.73万</t>
  </si>
  <si>
    <t>2381.17万</t>
  </si>
  <si>
    <t>9321.77万</t>
  </si>
  <si>
    <t>1643.14万</t>
  </si>
  <si>
    <t>109.93亿</t>
  </si>
  <si>
    <t>202.67亿</t>
  </si>
  <si>
    <t>160.43亿</t>
  </si>
  <si>
    <t>48.68亿</t>
  </si>
  <si>
    <t>2865.94万</t>
  </si>
  <si>
    <t>32533210亿</t>
  </si>
  <si>
    <t>8.90万</t>
  </si>
  <si>
    <t>14385187亿</t>
  </si>
  <si>
    <t>58.98亿</t>
  </si>
  <si>
    <t>1709318500亿</t>
  </si>
  <si>
    <t>18259825000亿</t>
  </si>
  <si>
    <t>13.09亿</t>
  </si>
  <si>
    <t>39.98亿</t>
  </si>
  <si>
    <t>24.84亿</t>
  </si>
  <si>
    <t>-21.65亿</t>
  </si>
  <si>
    <t>-8819.72万</t>
  </si>
  <si>
    <t>4.91亿</t>
  </si>
  <si>
    <t>4.81亿</t>
  </si>
  <si>
    <t>558.27亿</t>
  </si>
  <si>
    <t>991.86万</t>
  </si>
  <si>
    <t>7217.61万</t>
  </si>
  <si>
    <t>028659400</t>
  </si>
  <si>
    <t>085978200</t>
  </si>
  <si>
    <t>0171956400</t>
  </si>
  <si>
    <t>0286594000</t>
  </si>
  <si>
    <t>0573188000</t>
  </si>
  <si>
    <t>1720.47万</t>
  </si>
  <si>
    <t>90.37亿</t>
  </si>
  <si>
    <t>51.85亿</t>
  </si>
  <si>
    <t>13.70亿</t>
  </si>
  <si>
    <t>3533.31万</t>
  </si>
  <si>
    <t>258411亿</t>
  </si>
  <si>
    <t>310.23万</t>
  </si>
  <si>
    <t>-323095870亿</t>
  </si>
  <si>
    <t>16.66亿</t>
  </si>
  <si>
    <t>5029960亿</t>
  </si>
  <si>
    <t>3815998900亿</t>
  </si>
  <si>
    <t>4.27亿</t>
  </si>
  <si>
    <t>22.57亿</t>
  </si>
  <si>
    <t>8.90亿</t>
  </si>
  <si>
    <t>-6.32亿</t>
  </si>
  <si>
    <t>-1.72亿</t>
  </si>
  <si>
    <t>-1358.49万</t>
  </si>
  <si>
    <t>203.21亿</t>
  </si>
  <si>
    <t>-6.81亿</t>
  </si>
  <si>
    <t>837.94万</t>
  </si>
  <si>
    <t>4.75亿</t>
  </si>
  <si>
    <t>开始亏损</t>
  </si>
  <si>
    <t>0105999300</t>
  </si>
  <si>
    <t>0211998600</t>
  </si>
  <si>
    <t>0353331000</t>
  </si>
  <si>
    <t>0706662000</t>
  </si>
  <si>
    <t>2198.87万</t>
  </si>
  <si>
    <t>448.43亿</t>
  </si>
  <si>
    <t>284.41亿</t>
  </si>
  <si>
    <t>168.72亿</t>
  </si>
  <si>
    <t>22.22亿</t>
  </si>
  <si>
    <t>164.42亿</t>
  </si>
  <si>
    <t>151.35亿</t>
  </si>
  <si>
    <t>3.66亿</t>
  </si>
  <si>
    <t>1787971亿</t>
  </si>
  <si>
    <t>500.76万</t>
  </si>
  <si>
    <t>427313580亿</t>
  </si>
  <si>
    <t>3330368400亿</t>
  </si>
  <si>
    <t>31661206000亿</t>
  </si>
  <si>
    <t>54.94亿</t>
  </si>
  <si>
    <t>126.68亿</t>
  </si>
  <si>
    <t>347.23亿</t>
  </si>
  <si>
    <t>77.00亿</t>
  </si>
  <si>
    <t>-11.82亿</t>
  </si>
  <si>
    <t>4517.49万</t>
  </si>
  <si>
    <t>725.43亿</t>
  </si>
  <si>
    <t>4.03亿</t>
  </si>
  <si>
    <t>21.25亿</t>
  </si>
  <si>
    <t>5989.69万</t>
  </si>
  <si>
    <t>9.66亿</t>
  </si>
  <si>
    <t>0206000000</t>
  </si>
  <si>
    <t>0618000000</t>
  </si>
  <si>
    <t>01236000000</t>
  </si>
  <si>
    <t>02060000000</t>
  </si>
  <si>
    <t>04120000000</t>
  </si>
  <si>
    <t>-4-1</t>
  </si>
  <si>
    <t>478.80万</t>
  </si>
  <si>
    <t>221.75亿</t>
  </si>
  <si>
    <t>268.49亿</t>
  </si>
  <si>
    <t>67.01亿</t>
  </si>
  <si>
    <t>1379.98亿</t>
  </si>
  <si>
    <t>3.92亿</t>
  </si>
  <si>
    <t>64.16亿</t>
  </si>
  <si>
    <t>56.30亿</t>
  </si>
  <si>
    <t>3.45亿</t>
  </si>
  <si>
    <t>2.36亿</t>
  </si>
  <si>
    <t>262046280亿</t>
  </si>
  <si>
    <t>149.73万</t>
  </si>
  <si>
    <t>381047700亿</t>
  </si>
  <si>
    <t>47.38亿</t>
  </si>
  <si>
    <t>1219544070亿</t>
  </si>
  <si>
    <t>11834181800亿</t>
  </si>
  <si>
    <t>28.67亿</t>
  </si>
  <si>
    <t>20.97亿</t>
  </si>
  <si>
    <t>31.60亿</t>
  </si>
  <si>
    <t>79.68亿</t>
  </si>
  <si>
    <t>173.64亿</t>
  </si>
  <si>
    <t>17.91亿</t>
  </si>
  <si>
    <t>-5.19亿</t>
  </si>
  <si>
    <t>-6.49亿</t>
  </si>
  <si>
    <t>47.26亿</t>
  </si>
  <si>
    <t>305.54亿</t>
  </si>
  <si>
    <t>313.99亿</t>
  </si>
  <si>
    <t>29.04亿</t>
  </si>
  <si>
    <t>5.30亿</t>
  </si>
  <si>
    <t>10派8元(含税)</t>
  </si>
  <si>
    <t>2589.00万</t>
  </si>
  <si>
    <t>1134.25万</t>
  </si>
  <si>
    <t>342.18亿</t>
  </si>
  <si>
    <t>96.43亿</t>
  </si>
  <si>
    <t>82.07亿</t>
  </si>
  <si>
    <t>132.91亿</t>
  </si>
  <si>
    <t>87.26亿</t>
  </si>
  <si>
    <t>76.83亿</t>
  </si>
  <si>
    <t>1.70亿</t>
  </si>
  <si>
    <t>804715亿</t>
  </si>
  <si>
    <t>280.99万</t>
  </si>
  <si>
    <t>-523547970亿</t>
  </si>
  <si>
    <t>17.22亿</t>
  </si>
  <si>
    <t>308992480亿</t>
  </si>
  <si>
    <t>12088884600亿</t>
  </si>
  <si>
    <t>46.86亿</t>
  </si>
  <si>
    <t>78.79亿</t>
  </si>
  <si>
    <t>75.47亿</t>
  </si>
  <si>
    <t>85.42亿</t>
  </si>
  <si>
    <t>272.70亿</t>
  </si>
  <si>
    <t>88.51亿</t>
  </si>
  <si>
    <t>-8.56亿</t>
  </si>
  <si>
    <t>-8.74亿</t>
  </si>
  <si>
    <t>-9.68亿</t>
  </si>
  <si>
    <t>394.52亿</t>
  </si>
  <si>
    <t>-10.50亿</t>
  </si>
  <si>
    <t>8003.87万</t>
  </si>
  <si>
    <t>7.36亿</t>
  </si>
  <si>
    <t>0711000000</t>
  </si>
  <si>
    <t>01422000000</t>
  </si>
  <si>
    <t>02370000000</t>
  </si>
  <si>
    <t>04740000000</t>
  </si>
  <si>
    <t>广东明珠</t>
  </si>
  <si>
    <t>246.70万</t>
  </si>
  <si>
    <t>31.29亿</t>
  </si>
  <si>
    <t>980.08亿</t>
  </si>
  <si>
    <t>8.88亿</t>
  </si>
  <si>
    <t>6150.02万</t>
  </si>
  <si>
    <t>3398.34万</t>
  </si>
  <si>
    <t>51.87万</t>
  </si>
  <si>
    <t>1907.72万</t>
  </si>
  <si>
    <t>875323亿</t>
  </si>
  <si>
    <t>13.66万</t>
  </si>
  <si>
    <t>39864176亿</t>
  </si>
  <si>
    <t>17865667亿</t>
  </si>
  <si>
    <t>7630.31万</t>
  </si>
  <si>
    <t>2334632100亿</t>
  </si>
  <si>
    <t>69.37万</t>
  </si>
  <si>
    <t>3214.63万</t>
  </si>
  <si>
    <t>396.94万</t>
  </si>
  <si>
    <t>-2273.64万</t>
  </si>
  <si>
    <t>4055.77万</t>
  </si>
  <si>
    <t>-1.22亿</t>
  </si>
  <si>
    <t>143.37亿</t>
  </si>
  <si>
    <t>5.08亿</t>
  </si>
  <si>
    <t>10派1.828元(含税)</t>
  </si>
  <si>
    <t>1029.09万</t>
  </si>
  <si>
    <t>7835.89万</t>
  </si>
  <si>
    <t>-3-1</t>
  </si>
  <si>
    <t>1970.02万</t>
  </si>
  <si>
    <t>59.73亿</t>
  </si>
  <si>
    <t>65.33亿</t>
  </si>
  <si>
    <t>20.71亿</t>
  </si>
  <si>
    <t>23.30亿</t>
  </si>
  <si>
    <t>3000.56万</t>
  </si>
  <si>
    <t>19.80亿</t>
  </si>
  <si>
    <t>18.19亿</t>
  </si>
  <si>
    <t>1420.69万</t>
  </si>
  <si>
    <t>5592.03万</t>
  </si>
  <si>
    <t>1610772亿</t>
  </si>
  <si>
    <t>497.12万</t>
  </si>
  <si>
    <t>106131845亿</t>
  </si>
  <si>
    <t>601192210亿</t>
  </si>
  <si>
    <t>8.47亿</t>
  </si>
  <si>
    <t>6042170400亿</t>
  </si>
  <si>
    <t>8.35亿</t>
  </si>
  <si>
    <t>8.04亿</t>
  </si>
  <si>
    <t>12.63亿</t>
  </si>
  <si>
    <t>2.38万</t>
  </si>
  <si>
    <t>32.75亿</t>
  </si>
  <si>
    <t>21.02亿</t>
  </si>
  <si>
    <t>-3.91亿</t>
  </si>
  <si>
    <t>-4699.65万</t>
  </si>
  <si>
    <t>85.75亿</t>
  </si>
  <si>
    <t>6.55亿</t>
  </si>
  <si>
    <t>3145.77万</t>
  </si>
  <si>
    <t>10派0.56元(含税)</t>
  </si>
  <si>
    <t>8.68亿</t>
  </si>
  <si>
    <t>030005600</t>
  </si>
  <si>
    <t>090016800</t>
  </si>
  <si>
    <t>0180033600</t>
  </si>
  <si>
    <t>0300056000</t>
  </si>
  <si>
    <t>0600112000</t>
  </si>
  <si>
    <t>1042.91万</t>
  </si>
  <si>
    <t>102.71亿</t>
  </si>
  <si>
    <t>96.09亿</t>
  </si>
  <si>
    <t>58.74亿</t>
  </si>
  <si>
    <t>109.78亿</t>
  </si>
  <si>
    <t>9.69亿</t>
  </si>
  <si>
    <t>56.96亿</t>
  </si>
  <si>
    <t>55.38亿</t>
  </si>
  <si>
    <t>969.38万</t>
  </si>
  <si>
    <t>1.12亿</t>
  </si>
  <si>
    <t>14700910亿</t>
  </si>
  <si>
    <t>307.66万</t>
  </si>
  <si>
    <t>157201630亿</t>
  </si>
  <si>
    <t>78.96亿</t>
  </si>
  <si>
    <t>1173635340亿</t>
  </si>
  <si>
    <t>6.91亿</t>
  </si>
  <si>
    <t>12526603300亿</t>
  </si>
  <si>
    <t>3.06亿</t>
  </si>
  <si>
    <t>67.29亿</t>
  </si>
  <si>
    <t>20.22亿</t>
  </si>
  <si>
    <t>112.84亿</t>
  </si>
  <si>
    <t>2000.00万</t>
  </si>
  <si>
    <t>17.72亿</t>
  </si>
  <si>
    <t>80.94万</t>
  </si>
  <si>
    <t>-1.87亿</t>
  </si>
  <si>
    <t>314.63亿</t>
  </si>
  <si>
    <t>10.62亿</t>
  </si>
  <si>
    <t>265.07亿</t>
  </si>
  <si>
    <t>31.42亿</t>
  </si>
  <si>
    <t>6003.98万</t>
  </si>
  <si>
    <t>3.63亿</t>
  </si>
  <si>
    <t>1249.52万</t>
  </si>
  <si>
    <t>32.65亿</t>
  </si>
  <si>
    <t>186.05亿</t>
  </si>
  <si>
    <t>13.88亿</t>
  </si>
  <si>
    <t>70.71亿</t>
  </si>
  <si>
    <t>13.64亿</t>
  </si>
  <si>
    <t>11.51亿</t>
  </si>
  <si>
    <t>10.27亿</t>
  </si>
  <si>
    <t>3194.11万</t>
  </si>
  <si>
    <t>8770.61万</t>
  </si>
  <si>
    <t>20380353亿</t>
  </si>
  <si>
    <t>89.30万</t>
  </si>
  <si>
    <t>199568220亿</t>
  </si>
  <si>
    <t>66.01亿</t>
  </si>
  <si>
    <t>644843070亿</t>
  </si>
  <si>
    <t>9.06亿</t>
  </si>
  <si>
    <t>11033249900亿</t>
  </si>
  <si>
    <t>7.74亿</t>
  </si>
  <si>
    <t>4.08亿</t>
  </si>
  <si>
    <t>23.51亿</t>
  </si>
  <si>
    <t>6.34亿</t>
  </si>
  <si>
    <t>-1859.08万</t>
  </si>
  <si>
    <t>-1641.65万</t>
  </si>
  <si>
    <t>4.48亿</t>
  </si>
  <si>
    <t>51.32亿</t>
  </si>
  <si>
    <t>11.02亿</t>
  </si>
  <si>
    <t>4.16亿</t>
  </si>
  <si>
    <t>7751.96万</t>
  </si>
  <si>
    <t>6.24亿</t>
  </si>
  <si>
    <t>01364000000</t>
  </si>
  <si>
    <t>04092000000</t>
  </si>
  <si>
    <t>08184000000</t>
  </si>
  <si>
    <t>013640000000</t>
  </si>
  <si>
    <t>027280000000</t>
  </si>
  <si>
    <t>761.35万</t>
  </si>
  <si>
    <t>361.03亿</t>
  </si>
  <si>
    <t>68.72亿</t>
  </si>
  <si>
    <t>85.08亿</t>
  </si>
  <si>
    <t>72.81亿</t>
  </si>
  <si>
    <t>14.24亿</t>
  </si>
  <si>
    <t>94.11亿</t>
  </si>
  <si>
    <t>87.74亿</t>
  </si>
  <si>
    <t>2903.30万</t>
  </si>
  <si>
    <t>1.68亿</t>
  </si>
  <si>
    <t>419143亿</t>
  </si>
  <si>
    <t>33.65万</t>
  </si>
  <si>
    <t>-498160820亿</t>
  </si>
  <si>
    <t>75.16亿</t>
  </si>
  <si>
    <t>554171340亿</t>
  </si>
  <si>
    <t>18651829000亿</t>
  </si>
  <si>
    <t>38.33亿</t>
  </si>
  <si>
    <t>50.71亿</t>
  </si>
  <si>
    <t>63.99亿</t>
  </si>
  <si>
    <t>138.49亿</t>
  </si>
  <si>
    <t>110.13万</t>
  </si>
  <si>
    <t>317.40亿</t>
  </si>
  <si>
    <t>7.81亿</t>
  </si>
  <si>
    <t>-2.97亿</t>
  </si>
  <si>
    <t>421.51亿</t>
  </si>
  <si>
    <t>11.30亿</t>
  </si>
  <si>
    <t>-15.54亿</t>
  </si>
  <si>
    <t>2.22亿</t>
  </si>
  <si>
    <t>4371.26万</t>
  </si>
  <si>
    <t>3.05亿</t>
  </si>
  <si>
    <t>04272000000</t>
  </si>
  <si>
    <t>08544000000</t>
  </si>
  <si>
    <t>014240000000</t>
  </si>
  <si>
    <t>028480000000</t>
  </si>
  <si>
    <t>3-1</t>
  </si>
  <si>
    <t>490.55万</t>
  </si>
  <si>
    <t>274.10亿</t>
  </si>
  <si>
    <t>14.37亿</t>
  </si>
  <si>
    <t>34.90亿</t>
  </si>
  <si>
    <t>299.28亿</t>
  </si>
  <si>
    <t>23.58亿</t>
  </si>
  <si>
    <t>38.28亿</t>
  </si>
  <si>
    <t>35.42亿</t>
  </si>
  <si>
    <t>1867.73万</t>
  </si>
  <si>
    <t>7257.03万</t>
  </si>
  <si>
    <t>139.77万</t>
  </si>
  <si>
    <t>-417290350亿</t>
  </si>
  <si>
    <t>12.75亿</t>
  </si>
  <si>
    <t>591124550亿</t>
  </si>
  <si>
    <t>9989.78万</t>
  </si>
  <si>
    <t>7821039400亿</t>
  </si>
  <si>
    <t>22.76亿</t>
  </si>
  <si>
    <t>65.06亿</t>
  </si>
  <si>
    <t>65.83亿</t>
  </si>
  <si>
    <t>239.92亿</t>
  </si>
  <si>
    <t>5.40亿</t>
  </si>
  <si>
    <t>-2.57亿</t>
  </si>
  <si>
    <t>-3.20亿</t>
  </si>
  <si>
    <t>-13.62亿</t>
  </si>
  <si>
    <t>229.71亿</t>
  </si>
  <si>
    <t>66.51亿</t>
  </si>
  <si>
    <t>-11.63亿</t>
  </si>
  <si>
    <t>6.25亿</t>
  </si>
  <si>
    <t>3227.68万</t>
  </si>
  <si>
    <t>2.93亿</t>
  </si>
  <si>
    <t>4-0</t>
  </si>
  <si>
    <t>1447.09万</t>
  </si>
  <si>
    <t>256.32亿</t>
  </si>
  <si>
    <t>271.48亿</t>
  </si>
  <si>
    <t>112.94亿</t>
  </si>
  <si>
    <t>8029.28万</t>
  </si>
  <si>
    <t>116.98亿</t>
  </si>
  <si>
    <t>112.69亿</t>
  </si>
  <si>
    <t>2251.93万</t>
  </si>
  <si>
    <t>230265380亿</t>
  </si>
  <si>
    <t>13.94万</t>
  </si>
  <si>
    <t>-240596300亿</t>
  </si>
  <si>
    <t>34.29亿</t>
  </si>
  <si>
    <t>2021096400亿</t>
  </si>
  <si>
    <t>8479.21万</t>
  </si>
  <si>
    <t>21061252000亿</t>
  </si>
  <si>
    <t>22.37亿</t>
  </si>
  <si>
    <t>99.24亿</t>
  </si>
  <si>
    <t>39.13亿</t>
  </si>
  <si>
    <t>201.22亿</t>
  </si>
  <si>
    <t>34.09亿</t>
  </si>
  <si>
    <t>-2352.44万</t>
  </si>
  <si>
    <t>-6.19亿</t>
  </si>
  <si>
    <t>-4.32亿</t>
  </si>
  <si>
    <t>711.43亿</t>
  </si>
  <si>
    <t>1516.45万</t>
  </si>
  <si>
    <t>4.98亿</t>
  </si>
  <si>
    <t>9132.63万</t>
  </si>
  <si>
    <t>10派1.5元(含税)</t>
  </si>
  <si>
    <t>6.78亿</t>
  </si>
  <si>
    <t>0762000000</t>
  </si>
  <si>
    <t>01524000000</t>
  </si>
  <si>
    <t>02540000000</t>
  </si>
  <si>
    <t>05080000000</t>
  </si>
  <si>
    <t>2039.93万</t>
  </si>
  <si>
    <t>522.73亿</t>
  </si>
  <si>
    <t>319.37亿</t>
  </si>
  <si>
    <t>203.92亿</t>
  </si>
  <si>
    <t>319.28亿</t>
  </si>
  <si>
    <t>104.38亿</t>
  </si>
  <si>
    <t>208.65亿</t>
  </si>
  <si>
    <t>200.68亿</t>
  </si>
  <si>
    <t>7576.97万</t>
  </si>
  <si>
    <t>60559196亿</t>
  </si>
  <si>
    <t>45.77万</t>
  </si>
  <si>
    <t>-424083000亿</t>
  </si>
  <si>
    <t>51.38亿</t>
  </si>
  <si>
    <t>1497294600亿</t>
  </si>
  <si>
    <t>14.30亿</t>
  </si>
  <si>
    <t>23423012000亿</t>
  </si>
  <si>
    <t>40.99亿</t>
  </si>
  <si>
    <t>114.29亿</t>
  </si>
  <si>
    <t>93.57亿</t>
  </si>
  <si>
    <t>134.22亿</t>
  </si>
  <si>
    <t>441.58亿</t>
  </si>
  <si>
    <t>77.90亿</t>
  </si>
  <si>
    <t>-13.08亿</t>
  </si>
  <si>
    <t>12.10亿</t>
  </si>
  <si>
    <t>989.38亿</t>
  </si>
  <si>
    <t>126.82亿</t>
  </si>
  <si>
    <t>-13.27亿</t>
  </si>
  <si>
    <t>48.19亿</t>
  </si>
  <si>
    <t>8.46亿</t>
  </si>
  <si>
    <t>031314000000</t>
  </si>
  <si>
    <t>062628000000</t>
  </si>
  <si>
    <t>0104380000000</t>
  </si>
  <si>
    <t>0208760000000</t>
  </si>
  <si>
    <t>451.12万</t>
  </si>
  <si>
    <t>473.07亿</t>
  </si>
  <si>
    <t>213.12亿</t>
  </si>
  <si>
    <t>199.88亿</t>
  </si>
  <si>
    <t>393.18亿</t>
  </si>
  <si>
    <t>-14.94亿</t>
  </si>
  <si>
    <t>199.69亿</t>
  </si>
  <si>
    <t>189.91亿</t>
  </si>
  <si>
    <t>1178.00万</t>
  </si>
  <si>
    <t>49524亿</t>
  </si>
  <si>
    <t>713.61万</t>
  </si>
  <si>
    <t>30129259亿</t>
  </si>
  <si>
    <t>30.78亿</t>
  </si>
  <si>
    <t>1419276400亿</t>
  </si>
  <si>
    <t>20.62亿</t>
  </si>
  <si>
    <t>18494034000亿</t>
  </si>
  <si>
    <t>96.69亿</t>
  </si>
  <si>
    <t>35.91亿</t>
  </si>
  <si>
    <t>23.46亿</t>
  </si>
  <si>
    <t>76.88亿</t>
  </si>
  <si>
    <t>248.86亿</t>
  </si>
  <si>
    <t>201.73亿</t>
  </si>
  <si>
    <t>-37.79亿</t>
  </si>
  <si>
    <t>796.65亿</t>
  </si>
  <si>
    <t>104.70亿</t>
  </si>
  <si>
    <t>-10.12亿</t>
  </si>
  <si>
    <t>-1.05亿</t>
  </si>
  <si>
    <t>2923.91万</t>
  </si>
  <si>
    <t>6557.88万</t>
  </si>
  <si>
    <t>175.03亿</t>
  </si>
  <si>
    <t>195.26亿</t>
  </si>
  <si>
    <t>810.20亿</t>
  </si>
  <si>
    <t>119.30亿</t>
  </si>
  <si>
    <t>80.82亿</t>
  </si>
  <si>
    <t>1630.33万</t>
  </si>
  <si>
    <t>6111.88万</t>
  </si>
  <si>
    <t>2534492亿</t>
  </si>
  <si>
    <t>24.13万</t>
  </si>
  <si>
    <t>-334357280亿</t>
  </si>
  <si>
    <t>9.43亿</t>
  </si>
  <si>
    <t>9190326亿</t>
  </si>
  <si>
    <t>6046558700亿</t>
  </si>
  <si>
    <t>14.48亿</t>
  </si>
  <si>
    <t>24.54亿</t>
  </si>
  <si>
    <t>41.39亿</t>
  </si>
  <si>
    <t>143.49亿</t>
  </si>
  <si>
    <t>30.82亿</t>
  </si>
  <si>
    <t>-8.33亿</t>
  </si>
  <si>
    <t>-1.83亿</t>
  </si>
  <si>
    <t>-2699.16万</t>
  </si>
  <si>
    <t>198.39亿</t>
  </si>
  <si>
    <t>36.55亿</t>
  </si>
  <si>
    <t>212.45万</t>
  </si>
  <si>
    <t>24.37亿</t>
  </si>
  <si>
    <t>38.23亿</t>
  </si>
  <si>
    <t>2.44亿</t>
  </si>
  <si>
    <t>57.51亿</t>
  </si>
  <si>
    <t>6.27亿</t>
  </si>
  <si>
    <t>1.71亿</t>
  </si>
  <si>
    <t>59.48万</t>
  </si>
  <si>
    <t>2355.27万</t>
  </si>
  <si>
    <t>6464946亿</t>
  </si>
  <si>
    <t>33.57万</t>
  </si>
  <si>
    <t>36098616亿</t>
  </si>
  <si>
    <t>23638990亿</t>
  </si>
  <si>
    <t>4984.10万</t>
  </si>
  <si>
    <t>1970930200亿</t>
  </si>
  <si>
    <t>4.18亿</t>
  </si>
  <si>
    <t>6000.00万</t>
  </si>
  <si>
    <t>9570.98万</t>
  </si>
  <si>
    <t>28.56万</t>
  </si>
  <si>
    <t>9.13亿</t>
  </si>
  <si>
    <t>1.85亿</t>
  </si>
  <si>
    <t>-2202.78万</t>
  </si>
  <si>
    <t>2189.51万</t>
  </si>
  <si>
    <t>8.66亿</t>
  </si>
  <si>
    <t>10派1.17元(含税)</t>
  </si>
  <si>
    <t>1296.55万</t>
  </si>
  <si>
    <t>1.38亿</t>
  </si>
  <si>
    <t>203.85万</t>
  </si>
  <si>
    <t>99.47亿</t>
  </si>
  <si>
    <t>72.15亿</t>
  </si>
  <si>
    <t>107.51亿</t>
  </si>
  <si>
    <t>365.78亿</t>
  </si>
  <si>
    <t>127.51亿</t>
  </si>
  <si>
    <t>106.85亿</t>
  </si>
  <si>
    <t>105.04亿</t>
  </si>
  <si>
    <t>3490.31万</t>
  </si>
  <si>
    <t>7695.91万</t>
  </si>
  <si>
    <t>-13648876亿</t>
  </si>
  <si>
    <t>41.67万</t>
  </si>
  <si>
    <t>-10705480亿</t>
  </si>
  <si>
    <t>36.46亿</t>
  </si>
  <si>
    <t>1234544880亿</t>
  </si>
  <si>
    <t>8333.15万</t>
  </si>
  <si>
    <t>10897280600亿</t>
  </si>
  <si>
    <t>23.10亿</t>
  </si>
  <si>
    <t>35.79亿</t>
  </si>
  <si>
    <t>3.65亿</t>
  </si>
  <si>
    <t>1522.25万</t>
  </si>
  <si>
    <t>75.12亿</t>
  </si>
  <si>
    <t>-3.25亿</t>
  </si>
  <si>
    <t>6.53亿</t>
  </si>
  <si>
    <t>609.18亿</t>
  </si>
  <si>
    <t>5.70亿</t>
  </si>
  <si>
    <t>32.45亿</t>
  </si>
  <si>
    <t>1200.25万</t>
  </si>
  <si>
    <t>7093.02万</t>
  </si>
  <si>
    <t>556.33万</t>
  </si>
  <si>
    <t>47.67亿</t>
  </si>
  <si>
    <t>74.54亿</t>
  </si>
  <si>
    <t>11.10亿</t>
  </si>
  <si>
    <t>61.97亿</t>
  </si>
  <si>
    <t>15.57亿</t>
  </si>
  <si>
    <t>8.52亿</t>
  </si>
  <si>
    <t>251.34万</t>
  </si>
  <si>
    <t>9931.93万</t>
  </si>
  <si>
    <t>22042140亿</t>
  </si>
  <si>
    <t>51.56万</t>
  </si>
  <si>
    <t>225861520亿</t>
  </si>
  <si>
    <t>30.01亿</t>
  </si>
  <si>
    <t>679223380亿</t>
  </si>
  <si>
    <t>5000290500亿</t>
  </si>
  <si>
    <t>13.25亿</t>
  </si>
  <si>
    <t>61.74万</t>
  </si>
  <si>
    <t>-804.43万</t>
  </si>
  <si>
    <t>9312.17万</t>
  </si>
  <si>
    <t>46.79亿</t>
  </si>
  <si>
    <t>16.18亿</t>
  </si>
  <si>
    <t>3348.23万</t>
  </si>
  <si>
    <t>410.19万</t>
  </si>
  <si>
    <t>24.17亿</t>
  </si>
  <si>
    <t>5.27亿</t>
  </si>
  <si>
    <t>27.12亿</t>
  </si>
  <si>
    <t>6387.58万</t>
  </si>
  <si>
    <t>5.11亿</t>
  </si>
  <si>
    <t>4.65亿</t>
  </si>
  <si>
    <t>1849.27万</t>
  </si>
  <si>
    <t>2260.34万</t>
  </si>
  <si>
    <t>218737亿</t>
  </si>
  <si>
    <t>76.15万</t>
  </si>
  <si>
    <t>21287873亿</t>
  </si>
  <si>
    <t>9.87亿</t>
  </si>
  <si>
    <t>991915350亿</t>
  </si>
  <si>
    <t>2858973900亿</t>
  </si>
  <si>
    <t>5.57亿</t>
  </si>
  <si>
    <t>9251.35万</t>
  </si>
  <si>
    <t>5.87亿</t>
  </si>
  <si>
    <t>16.03亿</t>
  </si>
  <si>
    <t>11.47亿</t>
  </si>
  <si>
    <t>4.11亿</t>
  </si>
  <si>
    <t>27.18亿</t>
  </si>
  <si>
    <t>5.86亿</t>
  </si>
  <si>
    <t>1261.48万</t>
  </si>
  <si>
    <t>1962.62万</t>
  </si>
  <si>
    <t>480.48万</t>
  </si>
  <si>
    <t>14.59亿</t>
  </si>
  <si>
    <t>7.30亿</t>
  </si>
  <si>
    <t>-7008.72万</t>
  </si>
  <si>
    <t>797.65万</t>
  </si>
  <si>
    <t>1907.75万</t>
  </si>
  <si>
    <t>702921亿</t>
  </si>
  <si>
    <t>2.18万</t>
  </si>
  <si>
    <t>64950015亿</t>
  </si>
  <si>
    <t>6.83亿</t>
  </si>
  <si>
    <t>803896410亿</t>
  </si>
  <si>
    <t>712.04万</t>
  </si>
  <si>
    <t>3173246400亿</t>
  </si>
  <si>
    <t>7662.50万</t>
  </si>
  <si>
    <t>3955.07万</t>
  </si>
  <si>
    <t>7805.85万</t>
  </si>
  <si>
    <t>4500.90万</t>
  </si>
  <si>
    <t>-3205.64万</t>
  </si>
  <si>
    <t>-707.19万</t>
  </si>
  <si>
    <t>35.16亿</t>
  </si>
  <si>
    <t>6001.67万</t>
  </si>
  <si>
    <t>3.52亿</t>
  </si>
  <si>
    <t>-600.08万</t>
  </si>
  <si>
    <t>10派5.3元(含税)</t>
  </si>
  <si>
    <t>2631.19万</t>
  </si>
  <si>
    <t>202.51万</t>
  </si>
  <si>
    <t>64.08亿</t>
  </si>
  <si>
    <t>62.88亿</t>
  </si>
  <si>
    <t>93.05亿</t>
  </si>
  <si>
    <t>215.71亿</t>
  </si>
  <si>
    <t>2.04亿</t>
  </si>
  <si>
    <t>91.05亿</t>
  </si>
  <si>
    <t>88.59亿</t>
  </si>
  <si>
    <t>1935.03万</t>
  </si>
  <si>
    <t>4537.63万</t>
  </si>
  <si>
    <t>-245437亿</t>
  </si>
  <si>
    <t>11.17万</t>
  </si>
  <si>
    <t>114854505亿</t>
  </si>
  <si>
    <t>15.69亿</t>
  </si>
  <si>
    <t>1217958370亿</t>
  </si>
  <si>
    <t>69.04万</t>
  </si>
  <si>
    <t>6520967300亿</t>
  </si>
  <si>
    <t>12.80亿</t>
  </si>
  <si>
    <t>13.24亿</t>
  </si>
  <si>
    <t>20.69亿</t>
  </si>
  <si>
    <t>60.15亿</t>
  </si>
  <si>
    <t>8.22亿</t>
  </si>
  <si>
    <t>7419.22万</t>
  </si>
  <si>
    <t>-2.55亿</t>
  </si>
  <si>
    <t>398.74亿</t>
  </si>
  <si>
    <t>51.11亿</t>
  </si>
  <si>
    <t>6002.96万</t>
  </si>
  <si>
    <t>1190.00万</t>
  </si>
  <si>
    <t>7426.71万</t>
  </si>
  <si>
    <t>168.81万</t>
  </si>
  <si>
    <t>67.72亿</t>
  </si>
  <si>
    <t>39.02亿</t>
  </si>
  <si>
    <t>8.92亿</t>
  </si>
  <si>
    <t>217.99亿</t>
  </si>
  <si>
    <t>31.06亿</t>
  </si>
  <si>
    <t>8.87亿</t>
  </si>
  <si>
    <t>7.76亿</t>
  </si>
  <si>
    <t>408.32万</t>
  </si>
  <si>
    <t>3403.22万</t>
  </si>
  <si>
    <t>320.94万</t>
  </si>
  <si>
    <t>3168778亿</t>
  </si>
  <si>
    <t>1197994250亿</t>
  </si>
  <si>
    <t>5080996300亿</t>
  </si>
  <si>
    <t>12.31亿</t>
  </si>
  <si>
    <t>10.86亿</t>
  </si>
  <si>
    <t>44.46万</t>
  </si>
  <si>
    <t>34.92亿</t>
  </si>
  <si>
    <t>20.39亿</t>
  </si>
  <si>
    <t>-2.67亿</t>
  </si>
  <si>
    <t>3.76亿</t>
  </si>
  <si>
    <t>37.88亿</t>
  </si>
  <si>
    <t>30.85亿</t>
  </si>
  <si>
    <t>4.35亿</t>
  </si>
  <si>
    <t>1046.20万</t>
  </si>
  <si>
    <t>8661.28万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</si>
</sst>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9"/>
      <color theme="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Fill="0" applyProtection="0"/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0" borderId="1" xfId="0" applyNumberFormat="1" applyFill="1" applyBorder="1" applyAlignment="1">
      <alignment vertical="center" wrapText="1"/>
    </xf>
    <xf numFmtId="0" fontId="0" fillId="3" borderId="1" xfId="0" applyNumberFormat="1" applyFill="1" applyBorder="1" applyAlignment="1">
      <alignment vertical="center" wrapText="1"/>
    </xf>
    <xf numFmtId="10" fontId="0" fillId="0" borderId="0" xfId="0" applyNumberFormat="1">
      <alignment vertical="center"/>
    </xf>
    <xf numFmtId="0" fontId="3" fillId="0" borderId="0" xfId="0" applyFont="1" applyAlignment="1">
      <alignment vertical="center" wrapText="1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 applyFill="1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603250</xdr:colOff>
          <xdr:row>0</xdr:row>
          <xdr:rowOff>63500</xdr:rowOff>
        </xdr:from>
        <xdr:to>
          <xdr:col>147</xdr:col>
          <xdr:colOff>1543050</xdr:colOff>
          <xdr:row>0</xdr:row>
          <xdr:rowOff>374650</xdr:rowOff>
        </xdr:to>
        <xdr:sp macro="" textlink="">
          <xdr:nvSpPr>
            <xdr:cNvPr id="2050" name="Button 2" descr="更新基本面按钮&#10;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P46"/>
  <sheetViews>
    <sheetView tabSelected="1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D46" sqref="D46:EP46"/>
    </sheetView>
  </sheetViews>
  <sheetFormatPr defaultRowHeight="14"/>
  <cols>
    <col min="1" max="1" width="35.1796875" customWidth="1"/>
    <col min="2" max="2" width="37.81640625" customWidth="1"/>
    <col min="3" max="3" width="47.08984375" customWidth="1"/>
    <col min="148" max="148" width="25.90625" customWidth="1"/>
  </cols>
  <sheetData>
    <row r="1" spans="1:146" ht="35.5" customHeight="1">
      <c r="A1" s="3" t="s">
        <v>74</v>
      </c>
      <c r="B1" s="4" t="s">
        <v>75</v>
      </c>
      <c r="C1" s="3" t="s">
        <v>76</v>
      </c>
      <c r="D1" t="s">
        <v>32</v>
      </c>
      <c r="E1" t="s">
        <v>447</v>
      </c>
      <c r="F1" t="s">
        <v>3</v>
      </c>
      <c r="G1" t="s">
        <v>373</v>
      </c>
      <c r="H1" t="s">
        <v>657</v>
      </c>
      <c r="I1" t="s">
        <v>33</v>
      </c>
      <c r="J1" t="s">
        <v>34</v>
      </c>
      <c r="K1" t="s">
        <v>4</v>
      </c>
      <c r="L1" t="s">
        <v>35</v>
      </c>
      <c r="M1" t="s">
        <v>77</v>
      </c>
      <c r="N1" t="s">
        <v>78</v>
      </c>
      <c r="O1" t="s">
        <v>79</v>
      </c>
      <c r="P1" t="s">
        <v>658</v>
      </c>
      <c r="Q1" t="s">
        <v>659</v>
      </c>
      <c r="R1" t="s">
        <v>448</v>
      </c>
      <c r="S1" t="s">
        <v>80</v>
      </c>
      <c r="T1" t="s">
        <v>660</v>
      </c>
      <c r="U1" t="s">
        <v>374</v>
      </c>
      <c r="V1" t="s">
        <v>81</v>
      </c>
      <c r="W1" t="s">
        <v>661</v>
      </c>
      <c r="X1" t="s">
        <v>662</v>
      </c>
      <c r="Y1" t="s">
        <v>663</v>
      </c>
      <c r="Z1" t="s">
        <v>664</v>
      </c>
      <c r="AA1" t="s">
        <v>665</v>
      </c>
      <c r="AB1" t="s">
        <v>666</v>
      </c>
      <c r="AC1" t="s">
        <v>667</v>
      </c>
      <c r="AD1" t="s">
        <v>668</v>
      </c>
      <c r="AE1" t="s">
        <v>82</v>
      </c>
      <c r="AF1" t="s">
        <v>83</v>
      </c>
      <c r="AG1" t="s">
        <v>669</v>
      </c>
      <c r="AH1" t="s">
        <v>670</v>
      </c>
      <c r="AI1" t="s">
        <v>671</v>
      </c>
      <c r="AJ1" t="s">
        <v>84</v>
      </c>
      <c r="AK1" t="s">
        <v>672</v>
      </c>
      <c r="AL1" t="s">
        <v>152</v>
      </c>
      <c r="AM1" t="s">
        <v>673</v>
      </c>
      <c r="AN1" t="s">
        <v>674</v>
      </c>
      <c r="AO1" t="s">
        <v>675</v>
      </c>
      <c r="AP1" t="s">
        <v>676</v>
      </c>
      <c r="AQ1" t="s">
        <v>677</v>
      </c>
      <c r="AR1" t="s">
        <v>678</v>
      </c>
      <c r="AS1" t="s">
        <v>679</v>
      </c>
      <c r="AT1" t="s">
        <v>680</v>
      </c>
      <c r="AU1" t="s">
        <v>681</v>
      </c>
      <c r="AV1" t="s">
        <v>682</v>
      </c>
      <c r="AW1" t="s">
        <v>683</v>
      </c>
      <c r="AX1" t="s">
        <v>684</v>
      </c>
      <c r="AY1" t="s">
        <v>685</v>
      </c>
      <c r="AZ1" t="s">
        <v>153</v>
      </c>
      <c r="BA1" t="s">
        <v>154</v>
      </c>
      <c r="BB1" t="s">
        <v>155</v>
      </c>
      <c r="BC1" t="s">
        <v>459</v>
      </c>
      <c r="BD1" t="s">
        <v>375</v>
      </c>
      <c r="BE1" t="s">
        <v>156</v>
      </c>
      <c r="BF1" t="s">
        <v>157</v>
      </c>
      <c r="BG1" t="s">
        <v>158</v>
      </c>
      <c r="BH1" t="s">
        <v>686</v>
      </c>
      <c r="BI1" t="s">
        <v>687</v>
      </c>
      <c r="BJ1" t="s">
        <v>688</v>
      </c>
      <c r="BK1" t="s">
        <v>689</v>
      </c>
      <c r="BL1" t="s">
        <v>690</v>
      </c>
      <c r="BM1" t="s">
        <v>691</v>
      </c>
      <c r="BN1" t="s">
        <v>692</v>
      </c>
      <c r="BO1" t="s">
        <v>449</v>
      </c>
      <c r="BP1" t="s">
        <v>376</v>
      </c>
      <c r="BQ1" t="s">
        <v>693</v>
      </c>
      <c r="BR1" t="s">
        <v>450</v>
      </c>
      <c r="BS1" t="s">
        <v>377</v>
      </c>
      <c r="BT1" t="s">
        <v>694</v>
      </c>
      <c r="BU1" t="s">
        <v>460</v>
      </c>
      <c r="BV1" t="s">
        <v>695</v>
      </c>
      <c r="BW1" t="s">
        <v>696</v>
      </c>
      <c r="BX1" t="s">
        <v>319</v>
      </c>
      <c r="BY1" t="s">
        <v>697</v>
      </c>
      <c r="BZ1" t="s">
        <v>698</v>
      </c>
      <c r="CA1" t="s">
        <v>320</v>
      </c>
      <c r="CB1" t="s">
        <v>699</v>
      </c>
      <c r="CC1" t="s">
        <v>700</v>
      </c>
      <c r="CD1" t="s">
        <v>701</v>
      </c>
      <c r="CE1" t="s">
        <v>702</v>
      </c>
      <c r="CF1" s="1" t="s">
        <v>451</v>
      </c>
      <c r="CG1" s="1" t="s">
        <v>452</v>
      </c>
      <c r="CH1" s="1" t="s">
        <v>305</v>
      </c>
      <c r="CI1" s="1" t="s">
        <v>306</v>
      </c>
      <c r="CJ1" s="1" t="s">
        <v>307</v>
      </c>
      <c r="CK1" s="1" t="s">
        <v>308</v>
      </c>
      <c r="CL1" s="1" t="s">
        <v>309</v>
      </c>
      <c r="CM1" s="1" t="s">
        <v>310</v>
      </c>
      <c r="CN1" s="1" t="s">
        <v>311</v>
      </c>
      <c r="CO1" s="1" t="s">
        <v>312</v>
      </c>
      <c r="CP1" s="1" t="s">
        <v>313</v>
      </c>
      <c r="CQ1" s="1" t="s">
        <v>314</v>
      </c>
      <c r="CR1" s="1" t="s">
        <v>703</v>
      </c>
      <c r="CS1" s="1" t="s">
        <v>704</v>
      </c>
      <c r="CT1" s="1" t="s">
        <v>705</v>
      </c>
      <c r="CU1" s="1" t="s">
        <v>706</v>
      </c>
      <c r="CV1" s="1" t="s">
        <v>707</v>
      </c>
      <c r="CW1" s="1" t="s">
        <v>708</v>
      </c>
      <c r="CX1">
        <v>1</v>
      </c>
      <c r="CY1" t="s">
        <v>709</v>
      </c>
      <c r="CZ1" t="s">
        <v>710</v>
      </c>
      <c r="DA1">
        <v>3</v>
      </c>
      <c r="DB1" t="s">
        <v>711</v>
      </c>
      <c r="DC1" t="s">
        <v>712</v>
      </c>
      <c r="DD1">
        <v>6</v>
      </c>
      <c r="DE1" t="s">
        <v>713</v>
      </c>
      <c r="DF1" t="s">
        <v>714</v>
      </c>
      <c r="DG1">
        <v>10</v>
      </c>
      <c r="DH1" t="s">
        <v>715</v>
      </c>
      <c r="DI1" t="s">
        <v>716</v>
      </c>
      <c r="DJ1">
        <v>20</v>
      </c>
      <c r="DK1" t="s">
        <v>717</v>
      </c>
      <c r="DL1" t="s">
        <v>315</v>
      </c>
      <c r="DM1" t="s">
        <v>316</v>
      </c>
      <c r="DN1" s="2" t="s">
        <v>317</v>
      </c>
      <c r="DO1" t="s">
        <v>718</v>
      </c>
      <c r="DP1" t="s">
        <v>719</v>
      </c>
      <c r="DQ1" s="11" t="s">
        <v>720</v>
      </c>
      <c r="DR1" s="1" t="s">
        <v>721</v>
      </c>
      <c r="DS1" s="1" t="s">
        <v>722</v>
      </c>
      <c r="DT1" t="s">
        <v>723</v>
      </c>
      <c r="DU1" t="s">
        <v>724</v>
      </c>
      <c r="DV1" t="s">
        <v>725</v>
      </c>
      <c r="DW1" t="s">
        <v>726</v>
      </c>
      <c r="DX1" t="s">
        <v>727</v>
      </c>
      <c r="DY1" t="s">
        <v>728</v>
      </c>
      <c r="DZ1" t="s">
        <v>729</v>
      </c>
      <c r="EA1" t="s">
        <v>730</v>
      </c>
      <c r="EB1" t="s">
        <v>731</v>
      </c>
      <c r="EC1" t="s">
        <v>732</v>
      </c>
      <c r="ED1" t="s">
        <v>733</v>
      </c>
      <c r="EE1" t="s">
        <v>734</v>
      </c>
      <c r="EF1" t="s">
        <v>735</v>
      </c>
      <c r="EG1" t="s">
        <v>736</v>
      </c>
      <c r="EH1" t="s">
        <v>737</v>
      </c>
      <c r="EI1" t="s">
        <v>738</v>
      </c>
      <c r="EK1" s="12" t="s">
        <v>739</v>
      </c>
      <c r="EL1" t="s">
        <v>740</v>
      </c>
      <c r="EM1" t="s">
        <v>741</v>
      </c>
      <c r="EN1" t="s">
        <v>742</v>
      </c>
      <c r="EO1" t="s">
        <v>743</v>
      </c>
      <c r="EP1" t="s">
        <v>461</v>
      </c>
    </row>
    <row r="2" spans="1:146" ht="204">
      <c r="A2" s="6"/>
      <c r="B2" s="6"/>
      <c r="C2" s="6" t="str">
        <f>"公司主营业务包括钒、钛、电三大板块，其中钒、钛板块是公司战略重点发展业务，主要是钒产品、钛渣、钛白粉的生产、销售、技术研发和应用开发，主要产品包括氧化钒、钒铁、钒氮合金、钒铝合金、钛白粉、钛渣等。公司是国内最大的产钒企业，在国内钛领域也拥有重要地位。公司钛白粉是国内知名品牌，具备硫酸法钛白粉22万吨/年、氯化法钛白粉1.5万吨/年的生产能力;"&amp;CHAR(10)&amp;Basic_Fundamental_Information_Constructure(F2)&amp;CHAR(10)&amp;Basic_Fundamental_Information_Concatenate("钛产品 67.95亿 48.33% 43.03%(钛白粉占比其中50%） 17.74%
钒产品 45.15亿 32.11% 49.16% 30.50%
电 18.86亿 13.41% 7.63% 11.33%
其他 5.71亿 4.06% -0.07% -0.32%
钢材及钢材制品 2.93亿 2.09% 0.24% 2.33%")</f>
        <v>公司主营业务包括钒、钛、电三大板块，其中钒、钛板块是公司战略重点发展业务，主要是钒产品、钛渣、钛白粉的生产、销售、技术研发和应用开发，主要产品包括氧化钒、钒铁、钒氮合金、钒铝合金、钛白粉、钛渣等。公司是国内最大的产钒企业，在国内钛领域也拥有重要地位。公司钛白粉是国内知名品牌，具备硫酸法钛白粉22万吨/年、氯化法钛白粉1.5万吨/年的生产能力;
市值234.23484亿, 利润10.58亿; PE29.41; 平均PE16.3; 平均PEG27.98, PB1.92; ROIC12.32%; ROE12.66%; 股利率0%; 毛利16.8733%; 净利8.9533%; 上一年度营收增-4.69%, 利润增-21.28%; 当季营收增-9.22%, 利润增-79.29%; 过往5年营收增.58%, 利润增20.25%
Income profile:
钛产品 67.95亿 48.33% 43.03%(钛白粉占比其中50%） 17.74%
钒产品 45.15亿 32.11% 49.16% 30.50%
电 18.86亿 13.41% 7.63% 11.33%
其他 5.71亿 4.06% -0.07% -0.32%
钢材及钢材制品 2.93亿 2.09% 0.24% 2.33%</v>
      </c>
      <c r="D2" t="s">
        <v>321</v>
      </c>
      <c r="E2" t="s">
        <v>472</v>
      </c>
      <c r="F2">
        <v>2.52</v>
      </c>
      <c r="G2">
        <v>2.02</v>
      </c>
      <c r="H2" t="s">
        <v>744</v>
      </c>
      <c r="I2">
        <v>23423484000</v>
      </c>
      <c r="J2">
        <v>29.41</v>
      </c>
      <c r="K2">
        <v>1.92</v>
      </c>
      <c r="L2" t="s">
        <v>37</v>
      </c>
      <c r="M2" t="s">
        <v>745</v>
      </c>
      <c r="N2" t="s">
        <v>746</v>
      </c>
      <c r="O2" t="s">
        <v>747</v>
      </c>
      <c r="P2">
        <v>-9.1999999999999993</v>
      </c>
      <c r="Q2" t="s">
        <v>748</v>
      </c>
      <c r="R2">
        <v>68146679</v>
      </c>
      <c r="S2" s="5">
        <v>-0.79310000000000003</v>
      </c>
      <c r="T2" t="s">
        <v>749</v>
      </c>
      <c r="U2">
        <v>9195473700</v>
      </c>
      <c r="V2">
        <v>9295033200</v>
      </c>
      <c r="W2">
        <v>1.21</v>
      </c>
      <c r="X2">
        <v>0.23</v>
      </c>
      <c r="Y2">
        <v>2.15</v>
      </c>
      <c r="Z2" t="s">
        <v>750</v>
      </c>
      <c r="AA2" t="s">
        <v>751</v>
      </c>
      <c r="AB2" t="s">
        <v>752</v>
      </c>
      <c r="AC2" t="s">
        <v>753</v>
      </c>
      <c r="AD2" t="s">
        <v>73</v>
      </c>
      <c r="AE2">
        <v>-16969083</v>
      </c>
      <c r="AF2" t="s">
        <v>754</v>
      </c>
      <c r="AG2" t="s">
        <v>755</v>
      </c>
      <c r="AH2" t="s">
        <v>756</v>
      </c>
      <c r="AI2" t="s">
        <v>653</v>
      </c>
      <c r="AJ2" t="s">
        <v>757</v>
      </c>
      <c r="AK2" t="s">
        <v>122</v>
      </c>
      <c r="AL2" t="s">
        <v>758</v>
      </c>
      <c r="AM2" t="s">
        <v>73</v>
      </c>
      <c r="AN2" t="s">
        <v>759</v>
      </c>
      <c r="AO2" t="s">
        <v>498</v>
      </c>
      <c r="AP2" t="s">
        <v>760</v>
      </c>
      <c r="AQ2" t="s">
        <v>761</v>
      </c>
      <c r="AR2" t="s">
        <v>73</v>
      </c>
      <c r="AS2" t="s">
        <v>762</v>
      </c>
      <c r="AT2" t="s">
        <v>763</v>
      </c>
      <c r="AU2" t="s">
        <v>764</v>
      </c>
      <c r="AV2" t="s">
        <v>537</v>
      </c>
      <c r="AW2" t="s">
        <v>765</v>
      </c>
      <c r="AX2" t="s">
        <v>495</v>
      </c>
      <c r="AY2" t="s">
        <v>378</v>
      </c>
      <c r="AZ2" t="s">
        <v>380</v>
      </c>
      <c r="BA2" t="s">
        <v>322</v>
      </c>
      <c r="BB2" t="s">
        <v>323</v>
      </c>
      <c r="BC2" t="s">
        <v>496</v>
      </c>
      <c r="BD2" t="s">
        <v>379</v>
      </c>
      <c r="BE2" t="s">
        <v>381</v>
      </c>
      <c r="BF2" t="s">
        <v>324</v>
      </c>
      <c r="BG2" t="s">
        <v>325</v>
      </c>
      <c r="BH2" t="s">
        <v>748</v>
      </c>
      <c r="BI2" t="s">
        <v>766</v>
      </c>
      <c r="BJ2" t="s">
        <v>495</v>
      </c>
      <c r="BK2" t="s">
        <v>749</v>
      </c>
      <c r="BL2" t="s">
        <v>767</v>
      </c>
      <c r="BM2" t="s">
        <v>496</v>
      </c>
      <c r="BN2">
        <v>7.26</v>
      </c>
      <c r="BO2">
        <v>15.25</v>
      </c>
      <c r="BP2">
        <v>14.45</v>
      </c>
      <c r="BQ2">
        <v>8.36</v>
      </c>
      <c r="BR2">
        <v>16.47</v>
      </c>
      <c r="BS2">
        <v>13.15</v>
      </c>
      <c r="BT2" t="s">
        <v>476</v>
      </c>
      <c r="BU2" t="s">
        <v>462</v>
      </c>
      <c r="BV2">
        <v>14.4</v>
      </c>
      <c r="BW2">
        <v>16.3</v>
      </c>
      <c r="BX2">
        <v>19.920000000000002</v>
      </c>
      <c r="BY2">
        <v>7.46</v>
      </c>
      <c r="BZ2">
        <v>9.0500000000000007</v>
      </c>
      <c r="CA2">
        <v>10.35</v>
      </c>
      <c r="CB2">
        <v>0.8</v>
      </c>
      <c r="CC2">
        <v>-16.28</v>
      </c>
      <c r="CD2" t="s">
        <v>768</v>
      </c>
      <c r="CE2" t="s">
        <v>769</v>
      </c>
      <c r="CF2" s="7">
        <v>-9.2151898734177215E-2</v>
      </c>
      <c r="CG2" s="8">
        <v>-0.79286723708206686</v>
      </c>
      <c r="CH2" s="7">
        <v>-4.6924691647291183E-2</v>
      </c>
      <c r="CI2" s="7">
        <v>7.311519980430603E-2</v>
      </c>
      <c r="CJ2" s="7">
        <v>0.33409246802330017</v>
      </c>
      <c r="CK2" s="7">
        <v>-0.19910329580307007</v>
      </c>
      <c r="CL2" s="7">
        <v>-0.1320493221282959</v>
      </c>
      <c r="CM2" s="8">
        <v>-0.212797611951828</v>
      </c>
      <c r="CN2" s="8">
        <v>1.2048192322254181E-2</v>
      </c>
      <c r="CO2" s="8">
        <v>2.4855642318725586</v>
      </c>
      <c r="CP2" s="8">
        <v>-0.73150104284286499</v>
      </c>
      <c r="CQ2" s="8">
        <v>-0.54077666997909546</v>
      </c>
      <c r="CR2">
        <v>16.304049187935036</v>
      </c>
      <c r="CS2">
        <v>27.984635562323103</v>
      </c>
      <c r="CT2">
        <v>0</v>
      </c>
      <c r="CU2" s="7">
        <v>5.82607164978981E-3</v>
      </c>
      <c r="CV2" s="8">
        <v>0.20250741988420487</v>
      </c>
      <c r="CW2">
        <v>0.06</v>
      </c>
      <c r="CX2">
        <v>13.534317322500861</v>
      </c>
      <c r="CY2">
        <v>1003928286.6089411</v>
      </c>
      <c r="CZ2">
        <v>5.82607164978981E-3</v>
      </c>
      <c r="DA2">
        <v>4.7527717264261051</v>
      </c>
      <c r="DB2">
        <v>2858854744.5802212</v>
      </c>
      <c r="DC2">
        <v>5.5347680673003196E-3</v>
      </c>
      <c r="DD2">
        <v>2.5675062918348406</v>
      </c>
      <c r="DE2">
        <v>5292093749.9591684</v>
      </c>
      <c r="DF2">
        <v>5.1269430518150324E-3</v>
      </c>
      <c r="DG2">
        <v>1.7044743083833163</v>
      </c>
      <c r="DH2">
        <v>7971656676.2966623</v>
      </c>
      <c r="DI2">
        <v>4.6608573198318485E-3</v>
      </c>
      <c r="DJ2">
        <v>1.0808629217055323</v>
      </c>
      <c r="DK2">
        <v>12570959487.221397</v>
      </c>
      <c r="DL2">
        <v>4.0782501548528669E-3</v>
      </c>
      <c r="DM2">
        <v>1058000000</v>
      </c>
      <c r="DN2">
        <v>5.82607164978981E-3</v>
      </c>
      <c r="DO2">
        <v>13587484000</v>
      </c>
      <c r="DP2">
        <v>4406632500</v>
      </c>
      <c r="DQ2">
        <v>186</v>
      </c>
      <c r="DR2">
        <v>-9.7977970383967022E-2</v>
      </c>
      <c r="DS2">
        <v>-0.9953746569662717</v>
      </c>
      <c r="DT2" s="9">
        <v>-0.42333333333333334</v>
      </c>
      <c r="DU2">
        <v>-0.55666666666666664</v>
      </c>
      <c r="DV2">
        <v>-0.98</v>
      </c>
      <c r="DW2">
        <v>-3.0031666666666665</v>
      </c>
      <c r="DX2">
        <v>0.37307486631015974</v>
      </c>
      <c r="DY2">
        <v>-3.0004847370766488</v>
      </c>
      <c r="DZ2">
        <v>3545</v>
      </c>
      <c r="EA2">
        <v>-3.0001484566585042</v>
      </c>
      <c r="EB2">
        <v>3</v>
      </c>
      <c r="EC2">
        <v>2.4636813561892387E-2</v>
      </c>
      <c r="ED2">
        <v>0.16094617069253717</v>
      </c>
      <c r="EE2" s="10">
        <v>1.7100000000000001E-2</v>
      </c>
      <c r="EF2">
        <v>6.3099999999999962E-3</v>
      </c>
      <c r="EG2">
        <v>22.15307486631016</v>
      </c>
      <c r="EH2">
        <v>-1</v>
      </c>
      <c r="EI2">
        <v>0</v>
      </c>
      <c r="EJ2">
        <v>0</v>
      </c>
      <c r="EK2" s="12">
        <v>45470</v>
      </c>
      <c r="EL2" s="13">
        <v>0</v>
      </c>
      <c r="EM2" s="13">
        <v>-2.33</v>
      </c>
      <c r="EN2" s="13">
        <v>-0.4</v>
      </c>
      <c r="EO2" s="13">
        <v>1.99</v>
      </c>
      <c r="EP2" s="13">
        <v>-2.34</v>
      </c>
    </row>
    <row r="3" spans="1:146" ht="96">
      <c r="A3" s="6"/>
      <c r="B3" s="6"/>
      <c r="C3" s="6" t="str">
        <f>""&amp;CHAR(10)&amp;Basic_Fundamental_Information_Constructure(F3)&amp;CHAR(10)&amp;Basic_Fundamental_Information_Concatenate("")</f>
        <v xml:space="preserve">
市值33.517655亿, 利润2.35亿; PE13.91; 平均PE18.69; 平均PEG2.12, PB1.02; ROIC5.0633%; ROE5.7133%; 股利率2.1314%; 毛利24.5633%; 净利13.1367%; 上一年度营收增5.9%, 利润增15.76%; 当季营收增6.84%, 利润增34.29%; 过往5年营收增8.8%, 利润增27.56%
Income profile:
</v>
      </c>
      <c r="D3" t="s">
        <v>326</v>
      </c>
      <c r="E3" t="s">
        <v>327</v>
      </c>
      <c r="F3">
        <v>5.63</v>
      </c>
      <c r="G3">
        <v>1.08</v>
      </c>
      <c r="H3" t="s">
        <v>770</v>
      </c>
      <c r="I3">
        <v>3351765500</v>
      </c>
      <c r="J3">
        <v>13.91</v>
      </c>
      <c r="K3">
        <v>1.02</v>
      </c>
      <c r="L3" t="s">
        <v>37</v>
      </c>
      <c r="M3" t="s">
        <v>771</v>
      </c>
      <c r="N3" t="s">
        <v>772</v>
      </c>
      <c r="O3" t="s">
        <v>609</v>
      </c>
      <c r="P3">
        <v>6.64</v>
      </c>
      <c r="Q3" t="s">
        <v>773</v>
      </c>
      <c r="R3">
        <v>22064264</v>
      </c>
      <c r="S3" s="5">
        <v>0.34289999999999998</v>
      </c>
      <c r="T3" t="s">
        <v>554</v>
      </c>
      <c r="U3">
        <v>595340230</v>
      </c>
      <c r="V3">
        <v>595340230</v>
      </c>
      <c r="W3">
        <v>1.1399999999999999</v>
      </c>
      <c r="X3">
        <v>7.0000000000000007E-2</v>
      </c>
      <c r="Y3">
        <v>8.18</v>
      </c>
      <c r="Z3" t="s">
        <v>520</v>
      </c>
      <c r="AA3" t="s">
        <v>566</v>
      </c>
      <c r="AB3" t="s">
        <v>774</v>
      </c>
      <c r="AC3" t="s">
        <v>775</v>
      </c>
      <c r="AD3" t="s">
        <v>73</v>
      </c>
      <c r="AE3">
        <v>-11302530</v>
      </c>
      <c r="AF3" t="s">
        <v>776</v>
      </c>
      <c r="AG3">
        <v>2800</v>
      </c>
      <c r="AH3" t="s">
        <v>777</v>
      </c>
      <c r="AI3" t="s">
        <v>778</v>
      </c>
      <c r="AJ3" t="s">
        <v>779</v>
      </c>
      <c r="AK3" t="s">
        <v>73</v>
      </c>
      <c r="AL3" t="s">
        <v>780</v>
      </c>
      <c r="AM3" t="s">
        <v>73</v>
      </c>
      <c r="AN3" t="s">
        <v>781</v>
      </c>
      <c r="AO3" t="s">
        <v>73</v>
      </c>
      <c r="AP3" t="s">
        <v>73</v>
      </c>
      <c r="AQ3" t="s">
        <v>333</v>
      </c>
      <c r="AR3" t="s">
        <v>782</v>
      </c>
      <c r="AS3" t="s">
        <v>474</v>
      </c>
      <c r="AT3" t="s">
        <v>73</v>
      </c>
      <c r="AU3" t="s">
        <v>783</v>
      </c>
      <c r="AV3" t="s">
        <v>784</v>
      </c>
      <c r="AW3" t="s">
        <v>73</v>
      </c>
      <c r="AX3" t="s">
        <v>491</v>
      </c>
      <c r="AY3" t="s">
        <v>382</v>
      </c>
      <c r="AZ3" t="s">
        <v>328</v>
      </c>
      <c r="BA3" t="s">
        <v>331</v>
      </c>
      <c r="BB3" t="s">
        <v>332</v>
      </c>
      <c r="BC3" t="s">
        <v>493</v>
      </c>
      <c r="BD3" t="s">
        <v>295</v>
      </c>
      <c r="BE3" t="s">
        <v>329</v>
      </c>
      <c r="BF3" t="s">
        <v>242</v>
      </c>
      <c r="BG3" t="s">
        <v>333</v>
      </c>
      <c r="BH3" t="s">
        <v>773</v>
      </c>
      <c r="BI3" t="s">
        <v>785</v>
      </c>
      <c r="BJ3" t="s">
        <v>491</v>
      </c>
      <c r="BK3" t="s">
        <v>554</v>
      </c>
      <c r="BL3" t="s">
        <v>786</v>
      </c>
      <c r="BM3" t="s">
        <v>493</v>
      </c>
      <c r="BN3">
        <v>4.92</v>
      </c>
      <c r="BO3">
        <v>5.86</v>
      </c>
      <c r="BP3">
        <v>4.41</v>
      </c>
      <c r="BQ3">
        <v>5.61</v>
      </c>
      <c r="BR3">
        <v>7.02</v>
      </c>
      <c r="BS3">
        <v>4.51</v>
      </c>
      <c r="BT3" t="s">
        <v>787</v>
      </c>
      <c r="BU3" t="s">
        <v>462</v>
      </c>
      <c r="BV3">
        <v>22.15</v>
      </c>
      <c r="BW3">
        <v>21.12</v>
      </c>
      <c r="BX3">
        <v>30.42</v>
      </c>
      <c r="BY3">
        <v>16.510000000000002</v>
      </c>
      <c r="BZ3">
        <v>15.12</v>
      </c>
      <c r="CA3">
        <v>7.78</v>
      </c>
      <c r="CB3">
        <v>1.81</v>
      </c>
      <c r="CC3">
        <v>-9.92</v>
      </c>
      <c r="CD3" t="s">
        <v>788</v>
      </c>
      <c r="CE3" t="s">
        <v>789</v>
      </c>
      <c r="CF3" s="7">
        <v>6.8441064638783272E-2</v>
      </c>
      <c r="CG3" s="8">
        <v>0.34286816751568711</v>
      </c>
      <c r="CH3" s="7">
        <v>5.8994952589273453E-2</v>
      </c>
      <c r="CI3" s="7">
        <v>-0.24684591591358185</v>
      </c>
      <c r="CJ3" s="7">
        <v>0.27038326859474182</v>
      </c>
      <c r="CK3" s="7">
        <v>7.4101842939853668E-2</v>
      </c>
      <c r="CL3" s="7">
        <v>0.28338137269020081</v>
      </c>
      <c r="CM3" s="8">
        <v>0.15763546526432037</v>
      </c>
      <c r="CN3" s="8">
        <v>0.5859375</v>
      </c>
      <c r="CO3" s="8">
        <v>-0.44347825646400452</v>
      </c>
      <c r="CP3" s="8">
        <v>0.27777779102325439</v>
      </c>
      <c r="CQ3" s="8">
        <v>0.80000001192092896</v>
      </c>
      <c r="CR3">
        <v>18.690142193308549</v>
      </c>
      <c r="CS3">
        <v>2.1238048779574115</v>
      </c>
      <c r="CT3">
        <v>2.1314387211367674</v>
      </c>
      <c r="CU3" s="7">
        <v>8.8003104180097574E-2</v>
      </c>
      <c r="CV3" s="8">
        <v>0.27557450234889985</v>
      </c>
      <c r="CW3">
        <v>0.06</v>
      </c>
      <c r="CX3">
        <v>1.9682806405431252</v>
      </c>
      <c r="CY3">
        <v>241208235.36068195</v>
      </c>
      <c r="CZ3">
        <v>8.8003104180097574E-2</v>
      </c>
      <c r="DA3">
        <v>0.64430455504924389</v>
      </c>
      <c r="DB3">
        <v>736865037.3171953</v>
      </c>
      <c r="DC3">
        <v>8.3602948971092689E-2</v>
      </c>
      <c r="DD3">
        <v>0.31789388879699398</v>
      </c>
      <c r="DE3">
        <v>1493471616.5719805</v>
      </c>
      <c r="DF3">
        <v>7.7442731678485865E-2</v>
      </c>
      <c r="DG3">
        <v>0.19138751983121505</v>
      </c>
      <c r="DH3">
        <v>2480650255.6629419</v>
      </c>
      <c r="DI3">
        <v>7.040248334407806E-2</v>
      </c>
      <c r="DJ3">
        <v>9.942086158495228E-2</v>
      </c>
      <c r="DK3">
        <v>4775310658.4610157</v>
      </c>
      <c r="DL3">
        <v>6.1602172926068295E-2</v>
      </c>
      <c r="DM3">
        <v>235000000</v>
      </c>
      <c r="DN3">
        <v>8.8003104180097574E-2</v>
      </c>
      <c r="DO3">
        <v>474765500</v>
      </c>
      <c r="DP3">
        <v>2058753100</v>
      </c>
      <c r="DQ3">
        <v>199</v>
      </c>
      <c r="DR3">
        <v>-1.9562039541314302E-2</v>
      </c>
      <c r="DS3">
        <v>6.7293665166787253E-2</v>
      </c>
      <c r="DT3" s="9">
        <v>-0.35666666666666669</v>
      </c>
      <c r="DU3">
        <v>0.72000000000000008</v>
      </c>
      <c r="DV3">
        <v>0.3633333333333334</v>
      </c>
      <c r="DW3">
        <v>-2.0992000000000002</v>
      </c>
      <c r="DX3">
        <v>0.28281604938271571</v>
      </c>
      <c r="DY3">
        <v>-2.0092073520987652</v>
      </c>
      <c r="DZ3">
        <v>923</v>
      </c>
      <c r="EA3">
        <v>-2.0075442628644873</v>
      </c>
      <c r="EB3">
        <v>2</v>
      </c>
      <c r="EC3">
        <v>2.5256482331120135E-2</v>
      </c>
      <c r="ED3">
        <v>0.27211330905690684</v>
      </c>
      <c r="EE3" s="10">
        <v>0.11910000000000001</v>
      </c>
      <c r="EF3">
        <v>8.5499999999999993E-2</v>
      </c>
      <c r="EG3">
        <v>19.092816049382716</v>
      </c>
      <c r="EH3" t="s">
        <v>453</v>
      </c>
      <c r="EI3">
        <v>0</v>
      </c>
      <c r="EJ3">
        <v>1</v>
      </c>
      <c r="EK3" s="12">
        <v>45470</v>
      </c>
      <c r="EL3" s="13">
        <v>0.35</v>
      </c>
      <c r="EM3" s="13">
        <v>-4.75</v>
      </c>
      <c r="EN3" s="13">
        <v>2.77</v>
      </c>
      <c r="EO3" s="13">
        <v>1.62</v>
      </c>
      <c r="EP3" s="13">
        <v>-3.36</v>
      </c>
    </row>
    <row r="4" spans="1:146" ht="96">
      <c r="A4" s="6"/>
      <c r="B4" s="6"/>
      <c r="C4" s="6" t="str">
        <f>""&amp;CHAR(10)&amp;Basic_Fundamental_Information_Constructure(F4)&amp;CHAR(10)&amp;Basic_Fundamental_Information_Concatenate("")</f>
        <v xml:space="preserve">
市值683.88971亿, 利润57.21亿; PE12.21; 平均PE11.53; 平均PEG1.14, PB1.73; ROIC12.9933%; ROE19.9067%; 股利率4.1673%; 毛利15%; 净利6.86%; 上一年度营收增15.94%, 利润增-19.48%; 当季营收增1.64%, 利润增-8.12%; 过往5年营收增10.11%, 利润增12.65%
Income profile:
</v>
      </c>
      <c r="D4" t="s">
        <v>40</v>
      </c>
      <c r="E4" t="s">
        <v>41</v>
      </c>
      <c r="F4">
        <v>13.55</v>
      </c>
      <c r="G4">
        <v>0.74</v>
      </c>
      <c r="H4" t="s">
        <v>790</v>
      </c>
      <c r="I4">
        <v>68388971000</v>
      </c>
      <c r="J4">
        <v>12.21</v>
      </c>
      <c r="K4">
        <v>1.73</v>
      </c>
      <c r="L4" t="s">
        <v>37</v>
      </c>
      <c r="M4" t="s">
        <v>791</v>
      </c>
      <c r="N4" t="s">
        <v>792</v>
      </c>
      <c r="O4" t="s">
        <v>793</v>
      </c>
      <c r="P4">
        <v>1.64</v>
      </c>
      <c r="Q4" t="s">
        <v>794</v>
      </c>
      <c r="R4">
        <v>1359809800</v>
      </c>
      <c r="S4" s="5">
        <v>-8.14E-2</v>
      </c>
      <c r="T4" t="s">
        <v>795</v>
      </c>
      <c r="U4">
        <v>5047156600</v>
      </c>
      <c r="V4">
        <v>5047156600</v>
      </c>
      <c r="W4">
        <v>2.65</v>
      </c>
      <c r="X4">
        <v>0.25</v>
      </c>
      <c r="Y4">
        <v>5</v>
      </c>
      <c r="Z4" t="s">
        <v>796</v>
      </c>
      <c r="AA4" t="s">
        <v>797</v>
      </c>
      <c r="AB4" t="s">
        <v>470</v>
      </c>
      <c r="AC4" t="s">
        <v>798</v>
      </c>
      <c r="AD4" t="s">
        <v>73</v>
      </c>
      <c r="AE4">
        <v>217088820</v>
      </c>
      <c r="AF4" t="s">
        <v>799</v>
      </c>
      <c r="AG4" t="s">
        <v>800</v>
      </c>
      <c r="AH4" t="s">
        <v>801</v>
      </c>
      <c r="AI4" t="s">
        <v>802</v>
      </c>
      <c r="AJ4" t="s">
        <v>803</v>
      </c>
      <c r="AK4" t="s">
        <v>804</v>
      </c>
      <c r="AL4" t="s">
        <v>805</v>
      </c>
      <c r="AM4" t="s">
        <v>73</v>
      </c>
      <c r="AN4" t="s">
        <v>806</v>
      </c>
      <c r="AO4" t="s">
        <v>807</v>
      </c>
      <c r="AP4" t="s">
        <v>808</v>
      </c>
      <c r="AQ4" t="s">
        <v>809</v>
      </c>
      <c r="AR4" t="s">
        <v>73</v>
      </c>
      <c r="AS4" t="s">
        <v>810</v>
      </c>
      <c r="AT4" t="s">
        <v>811</v>
      </c>
      <c r="AU4" t="s">
        <v>812</v>
      </c>
      <c r="AV4" t="s">
        <v>813</v>
      </c>
      <c r="AW4" t="s">
        <v>814</v>
      </c>
      <c r="AX4" t="s">
        <v>503</v>
      </c>
      <c r="AY4" t="s">
        <v>505</v>
      </c>
      <c r="AZ4" t="s">
        <v>383</v>
      </c>
      <c r="BA4" t="s">
        <v>123</v>
      </c>
      <c r="BB4" t="s">
        <v>159</v>
      </c>
      <c r="BC4" t="s">
        <v>504</v>
      </c>
      <c r="BD4" t="s">
        <v>506</v>
      </c>
      <c r="BE4" t="s">
        <v>384</v>
      </c>
      <c r="BF4" t="s">
        <v>124</v>
      </c>
      <c r="BG4" t="s">
        <v>160</v>
      </c>
      <c r="BH4" t="s">
        <v>794</v>
      </c>
      <c r="BI4" t="s">
        <v>815</v>
      </c>
      <c r="BJ4" t="s">
        <v>503</v>
      </c>
      <c r="BK4" t="s">
        <v>795</v>
      </c>
      <c r="BL4" t="s">
        <v>816</v>
      </c>
      <c r="BM4" t="s">
        <v>504</v>
      </c>
      <c r="BN4">
        <v>7.37</v>
      </c>
      <c r="BO4">
        <v>13.78</v>
      </c>
      <c r="BP4">
        <v>17.829999999999998</v>
      </c>
      <c r="BQ4">
        <v>11.98</v>
      </c>
      <c r="BR4">
        <v>20.96</v>
      </c>
      <c r="BS4">
        <v>26.78</v>
      </c>
      <c r="BT4" t="s">
        <v>817</v>
      </c>
      <c r="BU4" t="s">
        <v>463</v>
      </c>
      <c r="BV4">
        <v>13.14</v>
      </c>
      <c r="BW4">
        <v>14.74</v>
      </c>
      <c r="BX4">
        <v>17.12</v>
      </c>
      <c r="BY4">
        <v>5.17</v>
      </c>
      <c r="BZ4">
        <v>7.23</v>
      </c>
      <c r="CA4">
        <v>8.18</v>
      </c>
      <c r="CB4">
        <v>-0.15</v>
      </c>
      <c r="CC4">
        <v>-9.85</v>
      </c>
      <c r="CD4" t="s">
        <v>818</v>
      </c>
      <c r="CE4" t="s">
        <v>819</v>
      </c>
      <c r="CF4" s="7">
        <v>1.6446780363974536E-2</v>
      </c>
      <c r="CG4" s="8">
        <v>-8.1209594594594592E-2</v>
      </c>
      <c r="CH4" s="7">
        <v>0.15937769412994385</v>
      </c>
      <c r="CI4" s="7">
        <v>-2.5153553579002619E-3</v>
      </c>
      <c r="CJ4" s="7">
        <v>0.29236191511154175</v>
      </c>
      <c r="CK4" s="7">
        <v>5.0523273646831512E-2</v>
      </c>
      <c r="CL4" s="7">
        <v>5.9564770199358463E-3</v>
      </c>
      <c r="CM4" s="8">
        <v>-0.19479240477085114</v>
      </c>
      <c r="CN4" s="8">
        <v>-8.6526095867156982E-2</v>
      </c>
      <c r="CO4" s="8">
        <v>0.28945621848106384</v>
      </c>
      <c r="CP4" s="8">
        <v>0.1199406161904335</v>
      </c>
      <c r="CQ4" s="8">
        <v>0.50446921586990356</v>
      </c>
      <c r="CR4">
        <v>11.525583562721195</v>
      </c>
      <c r="CS4">
        <v>1.1395582652117993</v>
      </c>
      <c r="CT4">
        <v>4.167338745387454</v>
      </c>
      <c r="CU4" s="7">
        <v>0.10114080091007054</v>
      </c>
      <c r="CV4" s="8">
        <v>0.12650950998067856</v>
      </c>
      <c r="CW4">
        <v>0.06</v>
      </c>
      <c r="CX4">
        <v>16.874176411674281</v>
      </c>
      <c r="CY4">
        <v>5943043888.6853895</v>
      </c>
      <c r="CZ4">
        <v>0.10114080091007054</v>
      </c>
      <c r="DA4">
        <v>5.4626120933961815</v>
      </c>
      <c r="DB4">
        <v>18358244972.443588</v>
      </c>
      <c r="DC4">
        <v>9.6083760864567005E-2</v>
      </c>
      <c r="DD4">
        <v>2.6553049502160575</v>
      </c>
      <c r="DE4">
        <v>37767402569.652145</v>
      </c>
      <c r="DF4">
        <v>8.9003904800862066E-2</v>
      </c>
      <c r="DG4">
        <v>1.571846013199224</v>
      </c>
      <c r="DH4">
        <v>63800124285.641129</v>
      </c>
      <c r="DI4">
        <v>8.0912640728056429E-2</v>
      </c>
      <c r="DJ4">
        <v>0.78662543956137243</v>
      </c>
      <c r="DK4">
        <v>127486305370.3412</v>
      </c>
      <c r="DL4">
        <v>7.0798560637049368E-2</v>
      </c>
      <c r="DM4">
        <v>5721000000</v>
      </c>
      <c r="DN4">
        <v>0.10114080091007054</v>
      </c>
      <c r="DO4">
        <v>100283971000</v>
      </c>
      <c r="DP4">
        <v>2781673000</v>
      </c>
      <c r="DQ4">
        <v>233</v>
      </c>
      <c r="DR4">
        <v>-8.4694020546095997E-2</v>
      </c>
      <c r="DS4">
        <v>-0.20771910457527315</v>
      </c>
      <c r="DT4" s="9">
        <v>-0.14000000000000001</v>
      </c>
      <c r="DU4">
        <v>6.6666666666666652E-2</v>
      </c>
      <c r="DV4">
        <v>-7.3333333333333361E-2</v>
      </c>
      <c r="DW4">
        <v>-2.0985</v>
      </c>
      <c r="DX4">
        <v>0.31776489795918322</v>
      </c>
      <c r="DY4">
        <v>-2.0135698424489794</v>
      </c>
      <c r="DZ4">
        <v>1879</v>
      </c>
      <c r="EA4">
        <v>-2.0085800706365271</v>
      </c>
      <c r="EB4">
        <v>2</v>
      </c>
      <c r="EC4">
        <v>6.6874089066307155E-3</v>
      </c>
      <c r="ED4">
        <v>4.854218313733321E-2</v>
      </c>
      <c r="EE4" s="10">
        <v>2.0226099999999998</v>
      </c>
      <c r="EF4">
        <v>2.0348099999999998</v>
      </c>
      <c r="EG4">
        <v>18.137764897959183</v>
      </c>
      <c r="EH4" t="s">
        <v>820</v>
      </c>
      <c r="EI4">
        <v>0</v>
      </c>
      <c r="EJ4">
        <v>0</v>
      </c>
      <c r="EK4" s="12">
        <v>45470</v>
      </c>
      <c r="EL4" s="13">
        <v>-0.84</v>
      </c>
      <c r="EM4" s="13">
        <v>-1.27</v>
      </c>
      <c r="EN4" s="13">
        <v>-0.14000000000000001</v>
      </c>
      <c r="EO4" s="13">
        <v>0.28999999999999998</v>
      </c>
      <c r="EP4" s="13">
        <v>-1.22</v>
      </c>
    </row>
    <row r="5" spans="1:146" ht="192">
      <c r="A5" s="6"/>
      <c r="B5" s="6"/>
      <c r="C5" s="6" t="str">
        <f>"公司的主营业务为黑色金属的冶炼和加工。公司的主要产品包括棒材、线材、型材、热轧带钢、热轧板、冷轧板、镀锌板、彩涂板、宽厚板、焊管、五氧化二钒、钒氮合金、钒铁合金等系列。"&amp;CHAR(10)&amp;Basic_Fundamental_Information_Constructure(F5)&amp;CHAR(10)&amp;Basic_Fundamental_Information_Concatenate("板材 1018.28亿 68.06% 78.06% 12.59%
棒材及型材 177.46亿 11.86% 10.56% 9.78%
气体、水电等其他产品 117.70亿 7.87% 0.74% 1.04%
其他业务 87.45亿 5.84% 3.62% 6.79%
线材、带钢等 52.27亿 3.49% 3.19% 10.03%
钢坯 26.00亿 1.74% 1.34% 8.46%
钒产品 17.10亿 1.14% 2.49% 23.89%")</f>
        <v>公司的主营业务为黑色金属的冶炼和加工。公司的主要产品包括棒材、线材、型材、热轧带钢、热轧板、冷轧板、镀锌板、彩涂板、宽厚板、焊管、五氧化二钒、钒氮合金、钒铁合金等系列。
市值202.60757亿, 利润10.84亿; PE20.51; 平均PE9.32; 平均PEG4.92, PB.394; ROIC3.3433%; ROE2.9567%; 股利率2.0408%; 毛利10.1667%; 净利1.3567%; 上一年度营收增-14.45%, 利润增-22.29%; 当季营收增-6.6%, 利润增-37.62%; 过往5年营收增1.9%, 利润增-15.04%
Income profile:
板材 1018.28亿 68.06% 78.06% 12.59%
棒材及型材 177.46亿 11.86% 10.56% 9.78%
气体、水电等其他产品 117.70亿 7.87% 0.74% 1.04%
其他业务 87.45亿 5.84% 3.62% 6.79%
线材、带钢等 52.27亿 3.49% 3.19% 10.03%
钢坯 26.00亿 1.74% 1.34% 8.46%
钒产品 17.10亿 1.14% 2.49% 23.89%</v>
      </c>
      <c r="D5" t="s">
        <v>53</v>
      </c>
      <c r="E5" t="s">
        <v>18</v>
      </c>
      <c r="F5">
        <v>1.96</v>
      </c>
      <c r="G5">
        <v>0</v>
      </c>
      <c r="H5" t="s">
        <v>821</v>
      </c>
      <c r="I5">
        <v>20260757000</v>
      </c>
      <c r="J5">
        <v>20.51</v>
      </c>
      <c r="K5">
        <v>0.39400000000000002</v>
      </c>
      <c r="L5" t="s">
        <v>37</v>
      </c>
      <c r="M5" t="s">
        <v>822</v>
      </c>
      <c r="N5" t="s">
        <v>823</v>
      </c>
      <c r="O5" t="s">
        <v>824</v>
      </c>
      <c r="P5">
        <v>-6.6</v>
      </c>
      <c r="Q5" t="s">
        <v>825</v>
      </c>
      <c r="R5">
        <v>159058190</v>
      </c>
      <c r="S5" s="5">
        <v>-0.37580000000000002</v>
      </c>
      <c r="T5" t="s">
        <v>826</v>
      </c>
      <c r="U5">
        <v>10335412300</v>
      </c>
      <c r="V5">
        <v>10337121100</v>
      </c>
      <c r="W5">
        <v>3.88</v>
      </c>
      <c r="X5">
        <v>0.11</v>
      </c>
      <c r="Y5">
        <v>0.62</v>
      </c>
      <c r="Z5" t="s">
        <v>827</v>
      </c>
      <c r="AA5" t="s">
        <v>828</v>
      </c>
      <c r="AB5" t="s">
        <v>829</v>
      </c>
      <c r="AC5" t="s">
        <v>830</v>
      </c>
      <c r="AD5" t="s">
        <v>73</v>
      </c>
      <c r="AE5">
        <v>1714537700</v>
      </c>
      <c r="AF5" t="s">
        <v>831</v>
      </c>
      <c r="AG5" t="s">
        <v>216</v>
      </c>
      <c r="AH5" t="s">
        <v>832</v>
      </c>
      <c r="AI5" t="s">
        <v>833</v>
      </c>
      <c r="AJ5" t="s">
        <v>834</v>
      </c>
      <c r="AK5" t="s">
        <v>835</v>
      </c>
      <c r="AL5" t="s">
        <v>836</v>
      </c>
      <c r="AM5" t="s">
        <v>73</v>
      </c>
      <c r="AN5" t="s">
        <v>837</v>
      </c>
      <c r="AO5" t="s">
        <v>838</v>
      </c>
      <c r="AP5" t="s">
        <v>839</v>
      </c>
      <c r="AQ5" t="s">
        <v>840</v>
      </c>
      <c r="AR5" t="s">
        <v>73</v>
      </c>
      <c r="AS5" t="s">
        <v>841</v>
      </c>
      <c r="AT5" t="s">
        <v>842</v>
      </c>
      <c r="AU5" t="s">
        <v>843</v>
      </c>
      <c r="AV5" t="s">
        <v>844</v>
      </c>
      <c r="AW5" t="s">
        <v>845</v>
      </c>
      <c r="AX5" t="s">
        <v>508</v>
      </c>
      <c r="AY5" t="s">
        <v>385</v>
      </c>
      <c r="AZ5" t="s">
        <v>161</v>
      </c>
      <c r="BA5" t="s">
        <v>85</v>
      </c>
      <c r="BB5" t="s">
        <v>163</v>
      </c>
      <c r="BC5" t="s">
        <v>509</v>
      </c>
      <c r="BD5" t="s">
        <v>386</v>
      </c>
      <c r="BE5" t="s">
        <v>162</v>
      </c>
      <c r="BF5" t="s">
        <v>164</v>
      </c>
      <c r="BG5" t="s">
        <v>165</v>
      </c>
      <c r="BH5" t="s">
        <v>825</v>
      </c>
      <c r="BI5" t="s">
        <v>846</v>
      </c>
      <c r="BJ5" t="s">
        <v>508</v>
      </c>
      <c r="BK5" t="s">
        <v>826</v>
      </c>
      <c r="BL5" t="s">
        <v>513</v>
      </c>
      <c r="BM5" t="s">
        <v>509</v>
      </c>
      <c r="BN5">
        <v>2.5</v>
      </c>
      <c r="BO5">
        <v>3.33</v>
      </c>
      <c r="BP5">
        <v>4.2</v>
      </c>
      <c r="BQ5">
        <v>1.29</v>
      </c>
      <c r="BR5">
        <v>2.64</v>
      </c>
      <c r="BS5">
        <v>4.9400000000000004</v>
      </c>
      <c r="BT5" t="s">
        <v>511</v>
      </c>
      <c r="BU5" t="s">
        <v>464</v>
      </c>
      <c r="BV5">
        <v>10.220000000000001</v>
      </c>
      <c r="BW5">
        <v>9.3000000000000007</v>
      </c>
      <c r="BX5">
        <v>10.98</v>
      </c>
      <c r="BY5">
        <v>0.97</v>
      </c>
      <c r="BZ5">
        <v>1.1000000000000001</v>
      </c>
      <c r="CA5">
        <v>2</v>
      </c>
      <c r="CB5">
        <v>1.03</v>
      </c>
      <c r="CC5">
        <v>-9.68</v>
      </c>
      <c r="CD5" t="s">
        <v>847</v>
      </c>
      <c r="CE5" t="s">
        <v>848</v>
      </c>
      <c r="CF5" s="7">
        <v>-6.5963392044205829E-2</v>
      </c>
      <c r="CG5" s="8">
        <v>-0.37624239215686267</v>
      </c>
      <c r="CH5" s="7">
        <v>-0.14446228742599487</v>
      </c>
      <c r="CI5" s="7">
        <v>-4.1142538189888E-2</v>
      </c>
      <c r="CJ5" s="7">
        <v>0.38983985781669617</v>
      </c>
      <c r="CK5" s="7">
        <v>-0.11389768868684769</v>
      </c>
      <c r="CL5" s="7">
        <v>4.4478732161223888E-3</v>
      </c>
      <c r="CM5" s="8">
        <v>-0.22293910384178162</v>
      </c>
      <c r="CN5" s="8">
        <v>-0.48102676868438721</v>
      </c>
      <c r="CO5" s="8">
        <v>0.58303886651992798</v>
      </c>
      <c r="CP5" s="8">
        <v>-0.33307144045829773</v>
      </c>
      <c r="CQ5" s="8">
        <v>-0.29784888029098511</v>
      </c>
      <c r="CR5">
        <v>9.3245794277824654</v>
      </c>
      <c r="CS5">
        <v>4.9187941693140278</v>
      </c>
      <c r="CT5">
        <v>2.0408163265306123</v>
      </c>
      <c r="CU5" s="7">
        <v>1.89570433460176E-2</v>
      </c>
      <c r="CV5" s="8">
        <v>-0.15036946535110474</v>
      </c>
      <c r="CW5">
        <v>0.06</v>
      </c>
      <c r="CX5">
        <v>146.44883904348896</v>
      </c>
      <c r="CY5">
        <v>1042027768.8557386</v>
      </c>
      <c r="CZ5">
        <v>1.89570433460176E-2</v>
      </c>
      <c r="DA5">
        <v>50.849482861721889</v>
      </c>
      <c r="DB5">
        <v>3001087688.8361821</v>
      </c>
      <c r="DC5">
        <v>1.8009191178716719E-2</v>
      </c>
      <c r="DD5">
        <v>27.083509563690512</v>
      </c>
      <c r="DE5">
        <v>5634563594.541976</v>
      </c>
      <c r="DF5">
        <v>1.6682198144495487E-2</v>
      </c>
      <c r="DG5">
        <v>17.71839996642262</v>
      </c>
      <c r="DH5">
        <v>8612727858.564703</v>
      </c>
      <c r="DI5">
        <v>1.5165634676814081E-2</v>
      </c>
      <c r="DJ5">
        <v>10.927603831809691</v>
      </c>
      <c r="DK5">
        <v>13964978905.60219</v>
      </c>
      <c r="DL5">
        <v>1.3269930342212318E-2</v>
      </c>
      <c r="DM5">
        <v>1084000000</v>
      </c>
      <c r="DN5">
        <v>1.89570433460176E-2</v>
      </c>
      <c r="DO5">
        <v>152603757000</v>
      </c>
      <c r="DP5">
        <v>-73231366000</v>
      </c>
      <c r="DQ5">
        <v>234</v>
      </c>
      <c r="DR5">
        <v>-8.4920435390223425E-2</v>
      </c>
      <c r="DS5">
        <v>-0.22587292680575793</v>
      </c>
      <c r="DT5" s="9">
        <v>-0.3066666666666667</v>
      </c>
      <c r="DU5">
        <v>-0.62</v>
      </c>
      <c r="DV5">
        <v>-0.92666666666666675</v>
      </c>
      <c r="DW5">
        <v>-2.0968</v>
      </c>
      <c r="DX5">
        <v>0.29813459268004638</v>
      </c>
      <c r="DY5">
        <v>-2.0133714285714284</v>
      </c>
      <c r="DZ5">
        <v>3482</v>
      </c>
      <c r="EA5">
        <v>-2.0042600167738329</v>
      </c>
      <c r="EB5">
        <v>2</v>
      </c>
      <c r="EC5">
        <v>2.2636863565427323E-2</v>
      </c>
      <c r="ED5">
        <v>0.16387541401638414</v>
      </c>
      <c r="EE5" s="10">
        <v>2.87E-2</v>
      </c>
      <c r="EF5">
        <v>1.8499999999999999E-2</v>
      </c>
      <c r="EG5">
        <v>16.138134592680046</v>
      </c>
      <c r="EH5" t="s">
        <v>453</v>
      </c>
      <c r="EI5">
        <v>0</v>
      </c>
      <c r="EJ5">
        <v>0</v>
      </c>
      <c r="EK5" s="12">
        <v>45470</v>
      </c>
      <c r="EL5" s="13">
        <v>-1</v>
      </c>
      <c r="EM5" s="13">
        <v>-2.5299999999999998</v>
      </c>
      <c r="EN5" s="13">
        <v>0.52</v>
      </c>
      <c r="EO5" s="13">
        <v>1.03</v>
      </c>
      <c r="EP5" s="13">
        <v>-1.02</v>
      </c>
    </row>
    <row r="6" spans="1:146" ht="96">
      <c r="A6" s="6"/>
      <c r="B6" s="6"/>
      <c r="C6" s="6" t="str">
        <f>""&amp;CHAR(10)&amp;Basic_Fundamental_Information_Constructure(F6)&amp;CHAR(10)&amp;Basic_Fundamental_Information_Concatenate("")</f>
        <v xml:space="preserve">
市值42.417298亿, 利润4902.54万; PE; 平均PE3.31; 平均PEG.36, PB.482; ROIC15.35%; ROE1.5833%; 股利率0%; 毛利3.88%; 净利.3533%; 上一年度营收增-.86%, 利润增103.82%; 当季营收增-11.31%, 利润增-5283.5%; 过往5年营收增9.11%, 利润增-20.49%
Income profile:
</v>
      </c>
      <c r="D6" t="s">
        <v>66</v>
      </c>
      <c r="E6" t="s">
        <v>479</v>
      </c>
      <c r="F6">
        <v>1.75</v>
      </c>
      <c r="G6">
        <v>1.74</v>
      </c>
      <c r="H6" t="s">
        <v>849</v>
      </c>
      <c r="I6">
        <v>4241729800</v>
      </c>
      <c r="K6">
        <v>0.48199999999999998</v>
      </c>
      <c r="L6" t="s">
        <v>37</v>
      </c>
      <c r="M6" t="s">
        <v>850</v>
      </c>
      <c r="N6" t="s">
        <v>851</v>
      </c>
      <c r="O6" t="s">
        <v>852</v>
      </c>
      <c r="P6">
        <v>-11.31</v>
      </c>
      <c r="Q6" t="s">
        <v>853</v>
      </c>
      <c r="R6">
        <v>-309050390</v>
      </c>
      <c r="S6" s="5">
        <v>-52.84</v>
      </c>
      <c r="T6" t="s">
        <v>854</v>
      </c>
      <c r="U6">
        <v>2423523800</v>
      </c>
      <c r="V6">
        <v>2423845600</v>
      </c>
      <c r="W6">
        <v>2.37</v>
      </c>
      <c r="X6">
        <v>0.38</v>
      </c>
      <c r="Y6">
        <v>-3.84</v>
      </c>
      <c r="Z6" t="s">
        <v>855</v>
      </c>
      <c r="AA6" t="s">
        <v>856</v>
      </c>
      <c r="AB6" t="s">
        <v>857</v>
      </c>
      <c r="AC6" t="s">
        <v>858</v>
      </c>
      <c r="AD6" t="s">
        <v>73</v>
      </c>
      <c r="AE6">
        <v>24216330</v>
      </c>
      <c r="AF6" t="s">
        <v>859</v>
      </c>
      <c r="AG6" t="s">
        <v>860</v>
      </c>
      <c r="AH6" t="s">
        <v>861</v>
      </c>
      <c r="AI6" t="s">
        <v>862</v>
      </c>
      <c r="AJ6" t="s">
        <v>863</v>
      </c>
      <c r="AK6" t="s">
        <v>864</v>
      </c>
      <c r="AL6" t="s">
        <v>865</v>
      </c>
      <c r="AM6" t="s">
        <v>73</v>
      </c>
      <c r="AN6" t="s">
        <v>426</v>
      </c>
      <c r="AO6" t="s">
        <v>212</v>
      </c>
      <c r="AP6" t="s">
        <v>866</v>
      </c>
      <c r="AQ6" t="s">
        <v>867</v>
      </c>
      <c r="AR6" t="s">
        <v>73</v>
      </c>
      <c r="AS6" t="s">
        <v>868</v>
      </c>
      <c r="AT6" t="s">
        <v>869</v>
      </c>
      <c r="AU6" t="s">
        <v>870</v>
      </c>
      <c r="AV6" t="s">
        <v>871</v>
      </c>
      <c r="AW6" t="s">
        <v>613</v>
      </c>
      <c r="AX6" t="s">
        <v>872</v>
      </c>
      <c r="AY6" t="s">
        <v>387</v>
      </c>
      <c r="AZ6" t="s">
        <v>167</v>
      </c>
      <c r="BA6" t="s">
        <v>86</v>
      </c>
      <c r="BB6" t="s">
        <v>169</v>
      </c>
      <c r="BC6" t="s">
        <v>873</v>
      </c>
      <c r="BD6" t="s">
        <v>388</v>
      </c>
      <c r="BE6" t="s">
        <v>168</v>
      </c>
      <c r="BF6" t="s">
        <v>87</v>
      </c>
      <c r="BG6" t="s">
        <v>170</v>
      </c>
      <c r="BH6" t="s">
        <v>853</v>
      </c>
      <c r="BI6" t="s">
        <v>874</v>
      </c>
      <c r="BJ6" t="s">
        <v>872</v>
      </c>
      <c r="BK6" t="s">
        <v>854</v>
      </c>
      <c r="BL6" t="s">
        <v>875</v>
      </c>
      <c r="BM6" t="s">
        <v>873</v>
      </c>
      <c r="BN6" t="s">
        <v>73</v>
      </c>
      <c r="BO6" t="s">
        <v>73</v>
      </c>
      <c r="BP6">
        <v>15.35</v>
      </c>
      <c r="BQ6">
        <v>-1.1499999999999999</v>
      </c>
      <c r="BR6">
        <v>-12.88</v>
      </c>
      <c r="BS6">
        <v>18.78</v>
      </c>
      <c r="BT6" t="s">
        <v>476</v>
      </c>
      <c r="BU6" t="s">
        <v>464</v>
      </c>
      <c r="BV6">
        <v>2.2599999999999998</v>
      </c>
      <c r="BW6">
        <v>0.04</v>
      </c>
      <c r="BX6">
        <v>9.34</v>
      </c>
      <c r="BY6">
        <v>0.13</v>
      </c>
      <c r="BZ6">
        <v>-3.3</v>
      </c>
      <c r="CA6">
        <v>4.2300000000000004</v>
      </c>
      <c r="CB6">
        <v>3.55</v>
      </c>
      <c r="CC6">
        <v>-18.22</v>
      </c>
      <c r="CD6" t="s">
        <v>876</v>
      </c>
      <c r="CE6" t="s">
        <v>877</v>
      </c>
      <c r="CF6" s="7">
        <v>-0.11314310895670375</v>
      </c>
      <c r="CG6" s="8">
        <v>-52.834958572339069</v>
      </c>
      <c r="CH6" s="7">
        <v>-8.6395479738712311E-3</v>
      </c>
      <c r="CI6" s="7">
        <v>-0.13473464548587799</v>
      </c>
      <c r="CJ6" s="7">
        <v>0.44131070375442505</v>
      </c>
      <c r="CK6" s="7">
        <v>8.2798637449741364E-2</v>
      </c>
      <c r="CL6" s="7">
        <v>7.4911460280418396E-2</v>
      </c>
      <c r="CM6" s="8">
        <v>1.0382115840911865</v>
      </c>
      <c r="CN6" s="8">
        <v>-1.6675338745117187</v>
      </c>
      <c r="CO6" s="8">
        <v>3.2778110355138779E-2</v>
      </c>
      <c r="CP6" s="8">
        <v>2.0285053178668022E-2</v>
      </c>
      <c r="CQ6" s="8">
        <v>-0.44827583432197571</v>
      </c>
      <c r="CR6">
        <v>3.3142719908180012</v>
      </c>
      <c r="CS6">
        <v>0.36368886901023001</v>
      </c>
      <c r="CT6">
        <v>0</v>
      </c>
      <c r="CU6" s="7">
        <v>9.1129321604967117E-2</v>
      </c>
      <c r="CV6" s="8">
        <v>-0.20490699224174022</v>
      </c>
      <c r="CW6">
        <v>0.06</v>
      </c>
      <c r="CX6">
        <v>150.21714729623278</v>
      </c>
      <c r="CY6">
        <v>50465142.871143535</v>
      </c>
      <c r="CZ6">
        <v>9.1129321604967117E-2</v>
      </c>
      <c r="DA6">
        <v>49.042646980239354</v>
      </c>
      <c r="DB6">
        <v>154574238.27581099</v>
      </c>
      <c r="DC6">
        <v>8.6572855524718759E-2</v>
      </c>
      <c r="DD6">
        <v>24.111694479334108</v>
      </c>
      <c r="DE6">
        <v>314400541.4674347</v>
      </c>
      <c r="DF6">
        <v>8.019380301237107E-2</v>
      </c>
      <c r="DG6">
        <v>14.458603451447436</v>
      </c>
      <c r="DH6">
        <v>524305810.40944868</v>
      </c>
      <c r="DI6">
        <v>7.2903457283973697E-2</v>
      </c>
      <c r="DJ6">
        <v>7.4454376089970822</v>
      </c>
      <c r="DK6">
        <v>1018171153.6793258</v>
      </c>
      <c r="DL6">
        <v>6.3790525123476979E-2</v>
      </c>
      <c r="DM6">
        <v>49025400</v>
      </c>
      <c r="DN6">
        <v>9.1129321604967117E-2</v>
      </c>
      <c r="DO6">
        <v>7580729800</v>
      </c>
      <c r="DP6">
        <v>-5148303300</v>
      </c>
      <c r="DQ6">
        <v>241</v>
      </c>
      <c r="DR6">
        <v>-0.20427243056167088</v>
      </c>
      <c r="DS6">
        <v>-52.63005158009733</v>
      </c>
      <c r="DT6" s="9">
        <v>-0.3066666666666667</v>
      </c>
      <c r="DU6">
        <v>-1.3816666666666668</v>
      </c>
      <c r="DV6">
        <v>-1.6883333333333335</v>
      </c>
      <c r="DW6">
        <v>6.1630684428112081</v>
      </c>
      <c r="DX6">
        <v>0.33129478458049977</v>
      </c>
      <c r="DY6">
        <v>6.0279327737832231</v>
      </c>
      <c r="DZ6">
        <v>4169</v>
      </c>
      <c r="EA6">
        <v>6.0051437847612545</v>
      </c>
      <c r="EB6">
        <v>6</v>
      </c>
      <c r="EC6">
        <v>3.1165764023913075E-2</v>
      </c>
      <c r="ED6">
        <v>0.18194228213216221</v>
      </c>
      <c r="EE6" s="10">
        <v>7.51E-2</v>
      </c>
      <c r="EF6">
        <v>5.2199999999999996E-2</v>
      </c>
      <c r="EG6">
        <v>16.1712947845805</v>
      </c>
      <c r="EH6" t="s">
        <v>453</v>
      </c>
      <c r="EI6">
        <v>0</v>
      </c>
      <c r="EJ6">
        <v>0</v>
      </c>
      <c r="EK6" s="12">
        <v>45470</v>
      </c>
      <c r="EL6" s="13">
        <v>0</v>
      </c>
      <c r="EM6" s="13">
        <v>-3.95</v>
      </c>
      <c r="EN6" s="13">
        <v>-0.59</v>
      </c>
      <c r="EO6" s="13">
        <v>3.55</v>
      </c>
      <c r="EP6" s="13">
        <v>-2.29</v>
      </c>
    </row>
    <row r="7" spans="1:146" ht="96">
      <c r="A7" s="6"/>
      <c r="B7" s="6"/>
      <c r="C7" s="6" t="str">
        <f>""&amp;CHAR(10)&amp;Basic_Fundamental_Information_Constructure(F7)&amp;CHAR(10)&amp;Basic_Fundamental_Information_Concatenate("")</f>
        <v xml:space="preserve">
市值107.635392亿, 利润-17.43亿; PE; 平均PE43.03; 平均PEG7.14, PB.71; ROIC7.47%; ROE-.3233%; 股利率0%; 毛利2.4733%; 净利-.5233%; 上一年度营收增-7.67%, 利润增-41.36%; 当季营收增-6.19%, 利润增-2005.49%; 过往5年营收增6.03%, 利润增56.67%
Income profile:
</v>
      </c>
      <c r="D7" t="s">
        <v>45</v>
      </c>
      <c r="E7" t="s">
        <v>9</v>
      </c>
      <c r="F7">
        <v>2.62</v>
      </c>
      <c r="G7">
        <v>1.1599999999999999</v>
      </c>
      <c r="H7" t="s">
        <v>878</v>
      </c>
      <c r="I7">
        <v>10763539200</v>
      </c>
      <c r="K7">
        <v>0.71</v>
      </c>
      <c r="L7" t="s">
        <v>37</v>
      </c>
      <c r="M7" t="s">
        <v>879</v>
      </c>
      <c r="N7" t="s">
        <v>880</v>
      </c>
      <c r="O7" t="s">
        <v>881</v>
      </c>
      <c r="P7">
        <v>-6.19</v>
      </c>
      <c r="Q7" t="s">
        <v>882</v>
      </c>
      <c r="R7">
        <v>-905564800</v>
      </c>
      <c r="S7" s="5">
        <v>-20.05</v>
      </c>
      <c r="T7" t="s">
        <v>883</v>
      </c>
      <c r="U7">
        <v>3708221100</v>
      </c>
      <c r="V7">
        <v>4108221100</v>
      </c>
      <c r="W7">
        <v>2.76</v>
      </c>
      <c r="X7">
        <v>0.32</v>
      </c>
      <c r="Y7">
        <v>-5.92</v>
      </c>
      <c r="Z7" t="s">
        <v>884</v>
      </c>
      <c r="AA7" t="s">
        <v>885</v>
      </c>
      <c r="AB7" t="s">
        <v>886</v>
      </c>
      <c r="AC7" t="s">
        <v>887</v>
      </c>
      <c r="AD7" t="s">
        <v>73</v>
      </c>
      <c r="AE7">
        <v>78923859</v>
      </c>
      <c r="AF7" t="s">
        <v>888</v>
      </c>
      <c r="AG7" t="s">
        <v>889</v>
      </c>
      <c r="AH7" t="s">
        <v>890</v>
      </c>
      <c r="AI7" t="s">
        <v>891</v>
      </c>
      <c r="AJ7" t="s">
        <v>892</v>
      </c>
      <c r="AK7" t="s">
        <v>139</v>
      </c>
      <c r="AL7" t="s">
        <v>893</v>
      </c>
      <c r="AM7" t="s">
        <v>73</v>
      </c>
      <c r="AN7" t="s">
        <v>894</v>
      </c>
      <c r="AO7" t="s">
        <v>895</v>
      </c>
      <c r="AP7" t="s">
        <v>896</v>
      </c>
      <c r="AQ7" t="s">
        <v>897</v>
      </c>
      <c r="AR7" t="s">
        <v>73</v>
      </c>
      <c r="AS7" t="s">
        <v>898</v>
      </c>
      <c r="AT7" t="s">
        <v>899</v>
      </c>
      <c r="AU7" t="s">
        <v>900</v>
      </c>
      <c r="AV7" t="s">
        <v>901</v>
      </c>
      <c r="AW7" t="s">
        <v>655</v>
      </c>
      <c r="AX7" t="s">
        <v>515</v>
      </c>
      <c r="AY7" t="s">
        <v>389</v>
      </c>
      <c r="AZ7" t="s">
        <v>171</v>
      </c>
      <c r="BA7" t="s">
        <v>88</v>
      </c>
      <c r="BB7" t="s">
        <v>174</v>
      </c>
      <c r="BC7" t="s">
        <v>516</v>
      </c>
      <c r="BD7" t="s">
        <v>390</v>
      </c>
      <c r="BE7" t="s">
        <v>172</v>
      </c>
      <c r="BF7" t="s">
        <v>89</v>
      </c>
      <c r="BG7" t="s">
        <v>175</v>
      </c>
      <c r="BH7" t="s">
        <v>882</v>
      </c>
      <c r="BI7" t="s">
        <v>902</v>
      </c>
      <c r="BJ7" t="s">
        <v>515</v>
      </c>
      <c r="BK7" t="s">
        <v>883</v>
      </c>
      <c r="BL7" t="s">
        <v>903</v>
      </c>
      <c r="BM7" t="s">
        <v>516</v>
      </c>
      <c r="BN7" t="s">
        <v>73</v>
      </c>
      <c r="BO7" t="s">
        <v>73</v>
      </c>
      <c r="BP7">
        <v>7.47</v>
      </c>
      <c r="BQ7">
        <v>-6.85</v>
      </c>
      <c r="BR7">
        <v>-6</v>
      </c>
      <c r="BS7">
        <v>11.88</v>
      </c>
      <c r="BT7" t="s">
        <v>476</v>
      </c>
      <c r="BU7" t="s">
        <v>464</v>
      </c>
      <c r="BV7">
        <v>-0.88</v>
      </c>
      <c r="BW7">
        <v>0.56999999999999995</v>
      </c>
      <c r="BX7">
        <v>7.73</v>
      </c>
      <c r="BY7">
        <v>-2.89</v>
      </c>
      <c r="BZ7">
        <v>-1.93</v>
      </c>
      <c r="CA7">
        <v>3.25</v>
      </c>
      <c r="CB7">
        <v>4.38</v>
      </c>
      <c r="CC7">
        <v>-14.66</v>
      </c>
      <c r="CD7" t="s">
        <v>904</v>
      </c>
      <c r="CE7" t="s">
        <v>501</v>
      </c>
      <c r="CF7" s="7">
        <v>-6.1898124683223518E-2</v>
      </c>
      <c r="CG7" s="8">
        <v>-20.054894369160845</v>
      </c>
      <c r="CH7" s="7">
        <v>-7.6688483357429504E-2</v>
      </c>
      <c r="CI7" s="7">
        <v>-0.19631117582321167</v>
      </c>
      <c r="CJ7" s="7">
        <v>0.60032868385314941</v>
      </c>
      <c r="CK7" s="7">
        <v>-7.6904162764549255E-2</v>
      </c>
      <c r="CL7" s="7">
        <v>5.0994392484426498E-2</v>
      </c>
      <c r="CM7" s="8">
        <v>-0.41362541913986206</v>
      </c>
      <c r="CN7" s="8">
        <v>-1.4930027723312378</v>
      </c>
      <c r="CO7" s="8">
        <v>5.5130205154418945</v>
      </c>
      <c r="CP7" s="8">
        <v>-0.30935251712799072</v>
      </c>
      <c r="CQ7" s="8">
        <v>-0.46332046389579773</v>
      </c>
      <c r="CR7">
        <v>43.025473151232511</v>
      </c>
      <c r="CS7">
        <v>7.1371474323969775</v>
      </c>
      <c r="CT7">
        <v>0</v>
      </c>
      <c r="CU7" s="7">
        <v>6.0283850878477097E-2</v>
      </c>
      <c r="CV7" s="8">
        <v>0.56674386858940129</v>
      </c>
      <c r="CW7">
        <v>0.06</v>
      </c>
      <c r="CX7" t="e">
        <v>#VALUE!</v>
      </c>
      <c r="CY7" t="s">
        <v>455</v>
      </c>
      <c r="CZ7">
        <v>6.0283850878477097E-2</v>
      </c>
      <c r="DA7" t="e">
        <v>#VALUE!</v>
      </c>
      <c r="DB7" t="s">
        <v>456</v>
      </c>
      <c r="DC7">
        <v>5.726965833455324E-2</v>
      </c>
      <c r="DD7" t="e">
        <v>#VALUE!</v>
      </c>
      <c r="DE7" t="s">
        <v>456</v>
      </c>
      <c r="DF7">
        <v>5.3049788773059846E-2</v>
      </c>
      <c r="DG7" t="e">
        <v>#VALUE!</v>
      </c>
      <c r="DH7" t="s">
        <v>456</v>
      </c>
      <c r="DI7">
        <v>4.8227080702781679E-2</v>
      </c>
      <c r="DJ7" t="e">
        <v>#VALUE!</v>
      </c>
      <c r="DK7" t="s">
        <v>456</v>
      </c>
      <c r="DL7">
        <v>4.2198695614933966E-2</v>
      </c>
      <c r="DM7">
        <v>-1743000000</v>
      </c>
      <c r="DN7">
        <v>6.0283850878477097E-2</v>
      </c>
      <c r="DO7">
        <v>22624539200</v>
      </c>
      <c r="DP7">
        <v>-6042812000</v>
      </c>
      <c r="DQ7">
        <v>269</v>
      </c>
      <c r="DR7">
        <v>-0.12218197556170061</v>
      </c>
      <c r="DS7">
        <v>-20.621638237750247</v>
      </c>
      <c r="DT7" s="9">
        <v>-0.32333333333333331</v>
      </c>
      <c r="DU7">
        <v>-2.145</v>
      </c>
      <c r="DV7">
        <v>-2.4683333333333333</v>
      </c>
      <c r="DW7">
        <v>6.2300420168067223</v>
      </c>
      <c r="DX7">
        <v>0.41404578313252971</v>
      </c>
      <c r="DY7">
        <v>6.0331365824643113</v>
      </c>
      <c r="DZ7">
        <v>4659</v>
      </c>
      <c r="EA7">
        <v>6.0029245790002745</v>
      </c>
      <c r="EB7">
        <v>6</v>
      </c>
      <c r="EC7">
        <v>8.7306401303474147E-3</v>
      </c>
      <c r="ED7">
        <v>6.0610175046323586E-2</v>
      </c>
      <c r="EE7" s="10">
        <v>-1.0336000000000001</v>
      </c>
      <c r="EF7">
        <v>-1.0105999999999999</v>
      </c>
      <c r="EG7">
        <v>27.14404578313253</v>
      </c>
      <c r="EH7" t="s">
        <v>534</v>
      </c>
      <c r="EI7">
        <v>0</v>
      </c>
      <c r="EJ7">
        <v>0</v>
      </c>
      <c r="EK7" s="12">
        <v>45470</v>
      </c>
      <c r="EL7" s="13">
        <v>0.78</v>
      </c>
      <c r="EM7" s="13">
        <v>-2.33</v>
      </c>
      <c r="EN7" s="13">
        <v>0.79</v>
      </c>
      <c r="EO7" s="13">
        <v>2.76</v>
      </c>
      <c r="EP7" s="13">
        <v>-2.2999999999999998</v>
      </c>
    </row>
    <row r="8" spans="1:146" ht="96">
      <c r="A8" s="6"/>
      <c r="B8" s="6"/>
      <c r="C8" s="6" t="str">
        <f>""&amp;CHAR(10)&amp;Basic_Fundamental_Information_Constructure(F8)&amp;CHAR(10)&amp;Basic_Fundamental_Information_Concatenate("")</f>
        <v xml:space="preserve">
市值140.45007亿, 利润13.51亿; PE11.9; 平均PE8.07; 平均PEG3.98, PB.548; ROIC4.8533%; ROE6.7133%; 股利率1.7045%; 毛利7.9233%; 净利3.7933%; 上一年度营收增-9.44%, 利润增-19.39%; 当季营收增-23.01%, 利润增-49.87%; 过往5年营收增2.03%, 利润增-6.57%
Income profile:
</v>
      </c>
      <c r="D8" t="s">
        <v>59</v>
      </c>
      <c r="E8" t="s">
        <v>15</v>
      </c>
      <c r="F8">
        <v>3.52</v>
      </c>
      <c r="G8">
        <v>0.56999999999999995</v>
      </c>
      <c r="H8" t="s">
        <v>905</v>
      </c>
      <c r="I8">
        <v>14045007000</v>
      </c>
      <c r="J8">
        <v>11.9</v>
      </c>
      <c r="K8">
        <v>0.54800000000000004</v>
      </c>
      <c r="L8" t="s">
        <v>37</v>
      </c>
      <c r="M8" t="s">
        <v>906</v>
      </c>
      <c r="N8" t="s">
        <v>907</v>
      </c>
      <c r="O8" t="s">
        <v>908</v>
      </c>
      <c r="P8">
        <v>-23.01</v>
      </c>
      <c r="Q8" t="s">
        <v>909</v>
      </c>
      <c r="R8">
        <v>170936900</v>
      </c>
      <c r="S8" s="5">
        <v>-0.499</v>
      </c>
      <c r="T8" t="s">
        <v>910</v>
      </c>
      <c r="U8">
        <v>3896212700</v>
      </c>
      <c r="V8">
        <v>3990058800</v>
      </c>
      <c r="W8">
        <v>1.93</v>
      </c>
      <c r="X8">
        <v>0.16</v>
      </c>
      <c r="Y8">
        <v>1.67</v>
      </c>
      <c r="Z8" t="s">
        <v>911</v>
      </c>
      <c r="AA8" t="s">
        <v>912</v>
      </c>
      <c r="AB8" t="s">
        <v>913</v>
      </c>
      <c r="AC8" t="s">
        <v>914</v>
      </c>
      <c r="AD8" t="s">
        <v>73</v>
      </c>
      <c r="AE8">
        <v>71978208</v>
      </c>
      <c r="AF8" t="s">
        <v>915</v>
      </c>
      <c r="AG8" t="s">
        <v>916</v>
      </c>
      <c r="AH8" t="s">
        <v>917</v>
      </c>
      <c r="AI8" t="s">
        <v>918</v>
      </c>
      <c r="AJ8" t="s">
        <v>919</v>
      </c>
      <c r="AK8" t="s">
        <v>920</v>
      </c>
      <c r="AL8" t="s">
        <v>921</v>
      </c>
      <c r="AM8" t="s">
        <v>73</v>
      </c>
      <c r="AN8" t="s">
        <v>922</v>
      </c>
      <c r="AO8" t="s">
        <v>923</v>
      </c>
      <c r="AP8" t="s">
        <v>924</v>
      </c>
      <c r="AQ8" t="s">
        <v>925</v>
      </c>
      <c r="AR8" t="s">
        <v>926</v>
      </c>
      <c r="AS8" t="s">
        <v>880</v>
      </c>
      <c r="AT8" t="s">
        <v>927</v>
      </c>
      <c r="AU8" t="s">
        <v>928</v>
      </c>
      <c r="AV8" t="s">
        <v>929</v>
      </c>
      <c r="AW8" t="s">
        <v>930</v>
      </c>
      <c r="AX8" t="s">
        <v>517</v>
      </c>
      <c r="AY8" t="s">
        <v>391</v>
      </c>
      <c r="AZ8" t="s">
        <v>176</v>
      </c>
      <c r="BA8" t="s">
        <v>90</v>
      </c>
      <c r="BB8" t="s">
        <v>178</v>
      </c>
      <c r="BC8" t="s">
        <v>518</v>
      </c>
      <c r="BD8" t="s">
        <v>392</v>
      </c>
      <c r="BE8" t="s">
        <v>177</v>
      </c>
      <c r="BF8" t="s">
        <v>91</v>
      </c>
      <c r="BG8" t="s">
        <v>179</v>
      </c>
      <c r="BH8" t="s">
        <v>909</v>
      </c>
      <c r="BI8" t="s">
        <v>931</v>
      </c>
      <c r="BJ8" t="s">
        <v>517</v>
      </c>
      <c r="BK8" t="s">
        <v>910</v>
      </c>
      <c r="BL8" t="s">
        <v>932</v>
      </c>
      <c r="BM8" t="s">
        <v>518</v>
      </c>
      <c r="BN8">
        <v>3.05</v>
      </c>
      <c r="BO8">
        <v>5.32</v>
      </c>
      <c r="BP8">
        <v>6.19</v>
      </c>
      <c r="BQ8">
        <v>4.32</v>
      </c>
      <c r="BR8">
        <v>7.01</v>
      </c>
      <c r="BS8">
        <v>8.81</v>
      </c>
      <c r="BT8" t="s">
        <v>933</v>
      </c>
      <c r="BU8" t="s">
        <v>464</v>
      </c>
      <c r="BV8">
        <v>6.29</v>
      </c>
      <c r="BW8">
        <v>7.31</v>
      </c>
      <c r="BX8">
        <v>10.17</v>
      </c>
      <c r="BY8">
        <v>3.27</v>
      </c>
      <c r="BZ8">
        <v>4.0199999999999996</v>
      </c>
      <c r="CA8">
        <v>4.09</v>
      </c>
      <c r="CB8">
        <v>1.1499999999999999</v>
      </c>
      <c r="CC8">
        <v>-5.88</v>
      </c>
      <c r="CD8" t="s">
        <v>468</v>
      </c>
      <c r="CE8" t="s">
        <v>934</v>
      </c>
      <c r="CF8" s="7">
        <v>-0.23010716395240907</v>
      </c>
      <c r="CG8" s="8">
        <v>-0.49871876832844575</v>
      </c>
      <c r="CH8" s="7">
        <v>-9.436769038438797E-2</v>
      </c>
      <c r="CI8" s="7">
        <v>-0.10395675897598267</v>
      </c>
      <c r="CJ8" s="7">
        <v>0.24068340659141541</v>
      </c>
      <c r="CK8" s="7">
        <v>5.0648055970668793E-2</v>
      </c>
      <c r="CL8" s="7">
        <v>8.4592951461672783E-3</v>
      </c>
      <c r="CM8" s="8">
        <v>-0.19391404092311859</v>
      </c>
      <c r="CN8" s="8">
        <v>-0.1649228036403656</v>
      </c>
      <c r="CO8" s="8">
        <v>0.10761593282222748</v>
      </c>
      <c r="CP8" s="8">
        <v>0.2104208916425705</v>
      </c>
      <c r="CQ8" s="8">
        <v>-0.28748220205307007</v>
      </c>
      <c r="CR8">
        <v>8.0687516277288385</v>
      </c>
      <c r="CS8">
        <v>3.9760743044207527</v>
      </c>
      <c r="CT8">
        <v>1.7045454545454544</v>
      </c>
      <c r="CU8" s="7">
        <v>2.0293261669576169E-2</v>
      </c>
      <c r="CV8" s="8">
        <v>-6.5656444430351263E-2</v>
      </c>
      <c r="CW8">
        <v>0.06</v>
      </c>
      <c r="CX8">
        <v>9.5755748179433429</v>
      </c>
      <c r="CY8">
        <v>1300392638.2222617</v>
      </c>
      <c r="CZ8">
        <v>2.0293261669576169E-2</v>
      </c>
      <c r="DA8">
        <v>3.320982186997842</v>
      </c>
      <c r="DB8">
        <v>3749495269.4270768</v>
      </c>
      <c r="DC8">
        <v>1.9278598586097359E-2</v>
      </c>
      <c r="DD8">
        <v>1.7662662455770526</v>
      </c>
      <c r="DE8">
        <v>7049903734.0385971</v>
      </c>
      <c r="DF8">
        <v>1.785807026922703E-2</v>
      </c>
      <c r="DG8">
        <v>1.1537697508245841</v>
      </c>
      <c r="DH8">
        <v>10792454032.618475</v>
      </c>
      <c r="DI8">
        <v>1.6234609335660937E-2</v>
      </c>
      <c r="DJ8">
        <v>0.70949986062375714</v>
      </c>
      <c r="DK8">
        <v>17550400910.653893</v>
      </c>
      <c r="DL8">
        <v>1.4205283168703318E-2</v>
      </c>
      <c r="DM8">
        <v>1351000000</v>
      </c>
      <c r="DN8">
        <v>2.0293261669576169E-2</v>
      </c>
      <c r="DO8">
        <v>12452006999.999996</v>
      </c>
      <c r="DP8">
        <v>7500852000</v>
      </c>
      <c r="DQ8">
        <v>276</v>
      </c>
      <c r="DR8">
        <v>-0.25040042562198522</v>
      </c>
      <c r="DS8">
        <v>-0.43306232389809451</v>
      </c>
      <c r="DT8" s="9">
        <v>-0.3066666666666667</v>
      </c>
      <c r="DU8">
        <v>-0.52</v>
      </c>
      <c r="DV8">
        <v>-0.82666666666666666</v>
      </c>
      <c r="DW8">
        <v>-1.0588</v>
      </c>
      <c r="DX8">
        <v>0.32363143631436159</v>
      </c>
      <c r="DY8">
        <v>-1.0084455284552845</v>
      </c>
      <c r="DZ8">
        <v>3375</v>
      </c>
      <c r="EA8">
        <v>-1.0028675130860898</v>
      </c>
      <c r="EB8">
        <v>1</v>
      </c>
      <c r="EC8">
        <v>2.6566024540791228E-2</v>
      </c>
      <c r="ED8">
        <v>0.18495968029343327</v>
      </c>
      <c r="EE8" s="10">
        <v>-1.0383100000000001</v>
      </c>
      <c r="EF8">
        <v>-1.0497099999999999</v>
      </c>
      <c r="EG8">
        <v>18.143631436314362</v>
      </c>
      <c r="EH8" t="s">
        <v>935</v>
      </c>
      <c r="EI8">
        <v>0</v>
      </c>
      <c r="EJ8">
        <v>0</v>
      </c>
      <c r="EK8" s="12">
        <v>45470</v>
      </c>
      <c r="EL8" s="13">
        <v>0.85</v>
      </c>
      <c r="EM8" s="13">
        <v>-1.97</v>
      </c>
      <c r="EN8" s="13">
        <v>0</v>
      </c>
      <c r="EO8" s="13">
        <v>0.86</v>
      </c>
      <c r="EP8" s="13">
        <v>-1.1399999999999999</v>
      </c>
    </row>
    <row r="9" spans="1:146" ht="96">
      <c r="A9" s="6"/>
      <c r="B9" s="6"/>
      <c r="C9" s="6" t="str">
        <f>""&amp;CHAR(10)&amp;Basic_Fundamental_Information_Constructure(F9)&amp;CHAR(10)&amp;Basic_Fundamental_Information_Concatenate("")</f>
        <v xml:space="preserve">
市值199.00445亿, 利润-10.81亿; PE; 平均PE8.4; 平均PEG.89, PB.593; ROIC6.915%; ROE5.8167%; 股利率0%; 毛利5.69%; 净利1.7033%; 上一年度营收增8.16%, 利润增-801.95%; 当季营收增-5.57%, 利润增100.57%; 过往5年营收增9.43%, 利润增-142.27%
Income profile:
</v>
      </c>
      <c r="D9" t="s">
        <v>63</v>
      </c>
      <c r="E9" t="s">
        <v>23</v>
      </c>
      <c r="F9">
        <v>3.48</v>
      </c>
      <c r="G9">
        <v>0</v>
      </c>
      <c r="H9" t="s">
        <v>936</v>
      </c>
      <c r="I9">
        <v>19900445000</v>
      </c>
      <c r="K9">
        <v>0.59299999999999997</v>
      </c>
      <c r="L9" t="s">
        <v>37</v>
      </c>
      <c r="M9" t="s">
        <v>937</v>
      </c>
      <c r="N9" t="s">
        <v>938</v>
      </c>
      <c r="O9" t="s">
        <v>939</v>
      </c>
      <c r="P9">
        <v>-5.57</v>
      </c>
      <c r="Q9" t="s">
        <v>940</v>
      </c>
      <c r="R9">
        <v>3351988</v>
      </c>
      <c r="S9" s="5">
        <v>1.006</v>
      </c>
      <c r="T9" t="s">
        <v>941</v>
      </c>
      <c r="U9">
        <v>5696247800</v>
      </c>
      <c r="V9">
        <v>5718518600</v>
      </c>
      <c r="W9">
        <v>1.89</v>
      </c>
      <c r="X9">
        <v>0.36</v>
      </c>
      <c r="Y9">
        <v>0.02</v>
      </c>
      <c r="Z9" t="s">
        <v>942</v>
      </c>
      <c r="AA9" t="s">
        <v>943</v>
      </c>
      <c r="AB9" t="s">
        <v>944</v>
      </c>
      <c r="AC9" t="s">
        <v>945</v>
      </c>
      <c r="AD9" t="s">
        <v>73</v>
      </c>
      <c r="AE9">
        <v>-4444115</v>
      </c>
      <c r="AF9" t="s">
        <v>946</v>
      </c>
      <c r="AG9" t="s">
        <v>947</v>
      </c>
      <c r="AH9" t="s">
        <v>948</v>
      </c>
      <c r="AI9" t="s">
        <v>949</v>
      </c>
      <c r="AJ9" t="s">
        <v>950</v>
      </c>
      <c r="AK9" t="s">
        <v>951</v>
      </c>
      <c r="AL9" t="s">
        <v>952</v>
      </c>
      <c r="AM9" t="s">
        <v>73</v>
      </c>
      <c r="AN9" t="s">
        <v>953</v>
      </c>
      <c r="AO9" t="s">
        <v>954</v>
      </c>
      <c r="AP9" t="s">
        <v>955</v>
      </c>
      <c r="AQ9" t="s">
        <v>956</v>
      </c>
      <c r="AR9" t="s">
        <v>957</v>
      </c>
      <c r="AS9" t="s">
        <v>958</v>
      </c>
      <c r="AT9" t="s">
        <v>959</v>
      </c>
      <c r="AU9" t="s">
        <v>960</v>
      </c>
      <c r="AV9" t="s">
        <v>961</v>
      </c>
      <c r="AW9" t="s">
        <v>242</v>
      </c>
      <c r="AX9" t="s">
        <v>522</v>
      </c>
      <c r="AY9" t="s">
        <v>393</v>
      </c>
      <c r="AZ9" t="s">
        <v>180</v>
      </c>
      <c r="BA9" t="s">
        <v>125</v>
      </c>
      <c r="BB9" t="s">
        <v>183</v>
      </c>
      <c r="BC9" t="s">
        <v>519</v>
      </c>
      <c r="BD9" t="s">
        <v>394</v>
      </c>
      <c r="BE9" t="s">
        <v>181</v>
      </c>
      <c r="BF9" t="s">
        <v>126</v>
      </c>
      <c r="BG9" t="s">
        <v>184</v>
      </c>
      <c r="BH9" t="s">
        <v>940</v>
      </c>
      <c r="BI9" t="s">
        <v>962</v>
      </c>
      <c r="BJ9" t="s">
        <v>522</v>
      </c>
      <c r="BK9" t="s">
        <v>941</v>
      </c>
      <c r="BL9" t="s">
        <v>963</v>
      </c>
      <c r="BM9" t="s">
        <v>519</v>
      </c>
      <c r="BN9" t="s">
        <v>73</v>
      </c>
      <c r="BO9">
        <v>0.57999999999999996</v>
      </c>
      <c r="BP9">
        <v>13.25</v>
      </c>
      <c r="BQ9">
        <v>-0.86</v>
      </c>
      <c r="BR9">
        <v>0.44</v>
      </c>
      <c r="BS9">
        <v>17.87</v>
      </c>
      <c r="BT9" t="s">
        <v>476</v>
      </c>
      <c r="BU9" t="s">
        <v>463</v>
      </c>
      <c r="BV9">
        <v>0.67</v>
      </c>
      <c r="BW9">
        <v>3.04</v>
      </c>
      <c r="BX9">
        <v>13.36</v>
      </c>
      <c r="BY9">
        <v>-1.2</v>
      </c>
      <c r="BZ9">
        <v>0.15</v>
      </c>
      <c r="CA9">
        <v>6.16</v>
      </c>
      <c r="CB9">
        <v>2.96</v>
      </c>
      <c r="CC9">
        <v>-9.61</v>
      </c>
      <c r="CD9" t="s">
        <v>964</v>
      </c>
      <c r="CE9" t="s">
        <v>965</v>
      </c>
      <c r="CF9" s="7">
        <v>-5.5701381919246507E-2</v>
      </c>
      <c r="CG9" s="8">
        <v>1.0056621418918918</v>
      </c>
      <c r="CH9" s="7">
        <v>8.1553243100643158E-2</v>
      </c>
      <c r="CI9" s="7">
        <v>-3.7294086068868637E-2</v>
      </c>
      <c r="CJ9" s="7">
        <v>0.50457578897476196</v>
      </c>
      <c r="CK9" s="7">
        <v>-4.2602088302373886E-2</v>
      </c>
      <c r="CL9" s="7">
        <v>-3.464210033416748E-2</v>
      </c>
      <c r="CM9" s="8">
        <v>-8.0194797515869141</v>
      </c>
      <c r="CN9" s="8">
        <v>-0.97559434175491333</v>
      </c>
      <c r="CO9" s="8">
        <v>2.6368875503540039</v>
      </c>
      <c r="CP9" s="8">
        <v>-0.18121755123138428</v>
      </c>
      <c r="CQ9" s="8">
        <v>-0.5742415189743042</v>
      </c>
      <c r="CR9">
        <v>8.4003566905867455</v>
      </c>
      <c r="CS9">
        <v>0.89064051397386623</v>
      </c>
      <c r="CT9">
        <v>0</v>
      </c>
      <c r="CU9" s="7">
        <v>9.4318151473999023E-2</v>
      </c>
      <c r="CV9" s="8">
        <v>-1.4227291226387024</v>
      </c>
      <c r="CW9">
        <v>0.06</v>
      </c>
      <c r="CX9" t="e">
        <v>#VALUE!</v>
      </c>
      <c r="CY9" t="s">
        <v>456</v>
      </c>
      <c r="CZ9">
        <v>9.4318151473999023E-2</v>
      </c>
      <c r="DA9" t="e">
        <v>#VALUE!</v>
      </c>
      <c r="DB9" t="s">
        <v>456</v>
      </c>
      <c r="DC9">
        <v>8.9602243900299069E-2</v>
      </c>
      <c r="DD9" t="e">
        <v>#VALUE!</v>
      </c>
      <c r="DE9" t="s">
        <v>456</v>
      </c>
      <c r="DF9">
        <v>8.299997329711914E-2</v>
      </c>
      <c r="DG9" t="e">
        <v>#VALUE!</v>
      </c>
      <c r="DH9" t="s">
        <v>456</v>
      </c>
      <c r="DI9">
        <v>7.5454521179199222E-2</v>
      </c>
      <c r="DJ9" t="e">
        <v>#VALUE!</v>
      </c>
      <c r="DK9" t="s">
        <v>456</v>
      </c>
      <c r="DL9">
        <v>6.6022706031799314E-2</v>
      </c>
      <c r="DM9">
        <v>-1081000000</v>
      </c>
      <c r="DN9">
        <v>9.4318151473999023E-2</v>
      </c>
      <c r="DO9">
        <v>16300445000</v>
      </c>
      <c r="DP9">
        <v>-2389013000</v>
      </c>
      <c r="DQ9">
        <v>311</v>
      </c>
      <c r="DR9">
        <v>-0.15001953339324553</v>
      </c>
      <c r="DS9">
        <v>2.4283912645305943</v>
      </c>
      <c r="DT9" s="9">
        <v>-0.3066666666666667</v>
      </c>
      <c r="DU9">
        <v>-1.4116666666666668</v>
      </c>
      <c r="DV9">
        <v>-1.7183333333333335</v>
      </c>
      <c r="DW9">
        <v>6.2354813046937156</v>
      </c>
      <c r="DX9">
        <v>0.29794486775631401</v>
      </c>
      <c r="DY9">
        <v>6.0324834374350589</v>
      </c>
      <c r="DZ9">
        <v>4198</v>
      </c>
      <c r="EA9">
        <v>6.0057974354091535</v>
      </c>
      <c r="EB9">
        <v>6</v>
      </c>
      <c r="EC9">
        <v>1.6234431763499028E-2</v>
      </c>
      <c r="ED9">
        <v>0.11768782215729787</v>
      </c>
      <c r="EE9" s="10">
        <v>1.0967100000000001</v>
      </c>
      <c r="EF9">
        <v>1.1083099999999999</v>
      </c>
      <c r="EG9">
        <v>16.137944867756314</v>
      </c>
      <c r="EH9" t="s">
        <v>595</v>
      </c>
      <c r="EI9">
        <v>0</v>
      </c>
      <c r="EJ9">
        <v>0</v>
      </c>
      <c r="EK9" s="12">
        <v>45470</v>
      </c>
      <c r="EL9" s="13">
        <v>0</v>
      </c>
      <c r="EM9" s="13">
        <v>-1.46</v>
      </c>
      <c r="EN9" s="13">
        <v>0.59</v>
      </c>
      <c r="EO9" s="13">
        <v>1.77</v>
      </c>
      <c r="EP9" s="13">
        <v>-1.1599999999999999</v>
      </c>
    </row>
    <row r="10" spans="1:146" ht="96">
      <c r="A10" s="6"/>
      <c r="B10" s="6"/>
      <c r="C10" s="6" t="str">
        <f>""&amp;CHAR(10)&amp;Basic_Fundamental_Information_Constructure(F10)&amp;CHAR(10)&amp;Basic_Fundamental_Information_Concatenate("")</f>
        <v xml:space="preserve">
市值205.50636亿, 利润-32.57亿; PE; 平均PE7.94; 平均PEG2.88, PB.387; ROIC10.81%; ROE2.94%; 股利率0%; 毛利3.85%; 净利.7967%; 上一年度营收增-13.4%, 利润增-3115.74%; 当季营收增-11.35%, 利润增-1012.08%; 过往5年营收增2.75%, 利润增-605.79%
Income profile:
</v>
      </c>
      <c r="D10" t="s">
        <v>58</v>
      </c>
      <c r="E10" t="s">
        <v>24</v>
      </c>
      <c r="F10">
        <v>2.19</v>
      </c>
      <c r="G10">
        <v>0.46</v>
      </c>
      <c r="H10" t="s">
        <v>966</v>
      </c>
      <c r="I10">
        <v>20550636000</v>
      </c>
      <c r="K10">
        <v>0.38700000000000001</v>
      </c>
      <c r="L10" t="s">
        <v>37</v>
      </c>
      <c r="M10" t="s">
        <v>967</v>
      </c>
      <c r="N10" t="s">
        <v>968</v>
      </c>
      <c r="O10" t="s">
        <v>969</v>
      </c>
      <c r="P10">
        <v>-11.35</v>
      </c>
      <c r="Q10" t="s">
        <v>970</v>
      </c>
      <c r="R10">
        <v>-1657000000</v>
      </c>
      <c r="S10" s="5">
        <v>-10.119999999999999</v>
      </c>
      <c r="T10" t="s">
        <v>971</v>
      </c>
      <c r="U10">
        <v>7957421900</v>
      </c>
      <c r="V10">
        <v>9383852000</v>
      </c>
      <c r="W10">
        <v>1.83</v>
      </c>
      <c r="X10">
        <v>0.28000000000000003</v>
      </c>
      <c r="Y10">
        <v>-6.03</v>
      </c>
      <c r="Z10" t="s">
        <v>972</v>
      </c>
      <c r="AA10" t="s">
        <v>973</v>
      </c>
      <c r="AB10" t="s">
        <v>974</v>
      </c>
      <c r="AC10" t="s">
        <v>609</v>
      </c>
      <c r="AD10" t="s">
        <v>73</v>
      </c>
      <c r="AE10">
        <v>56000000</v>
      </c>
      <c r="AF10" t="s">
        <v>975</v>
      </c>
      <c r="AG10" t="s">
        <v>976</v>
      </c>
      <c r="AH10" t="s">
        <v>977</v>
      </c>
      <c r="AI10" t="s">
        <v>978</v>
      </c>
      <c r="AJ10" t="s">
        <v>979</v>
      </c>
      <c r="AK10" t="s">
        <v>980</v>
      </c>
      <c r="AL10" t="s">
        <v>981</v>
      </c>
      <c r="AM10" t="s">
        <v>73</v>
      </c>
      <c r="AN10" t="s">
        <v>982</v>
      </c>
      <c r="AO10" t="s">
        <v>983</v>
      </c>
      <c r="AP10" t="s">
        <v>984</v>
      </c>
      <c r="AQ10" t="s">
        <v>985</v>
      </c>
      <c r="AR10" t="s">
        <v>73</v>
      </c>
      <c r="AS10" t="s">
        <v>986</v>
      </c>
      <c r="AT10" t="s">
        <v>987</v>
      </c>
      <c r="AU10" t="s">
        <v>988</v>
      </c>
      <c r="AV10" t="s">
        <v>989</v>
      </c>
      <c r="AW10" t="s">
        <v>990</v>
      </c>
      <c r="AX10" t="s">
        <v>523</v>
      </c>
      <c r="AY10" t="s">
        <v>525</v>
      </c>
      <c r="AZ10" t="s">
        <v>185</v>
      </c>
      <c r="BA10" t="s">
        <v>93</v>
      </c>
      <c r="BB10" t="s">
        <v>187</v>
      </c>
      <c r="BC10" t="s">
        <v>557</v>
      </c>
      <c r="BD10" t="s">
        <v>526</v>
      </c>
      <c r="BE10" t="s">
        <v>186</v>
      </c>
      <c r="BF10" t="s">
        <v>94</v>
      </c>
      <c r="BG10" t="s">
        <v>188</v>
      </c>
      <c r="BH10" t="s">
        <v>970</v>
      </c>
      <c r="BI10" t="s">
        <v>991</v>
      </c>
      <c r="BJ10" t="s">
        <v>523</v>
      </c>
      <c r="BK10" t="s">
        <v>971</v>
      </c>
      <c r="BL10" t="s">
        <v>992</v>
      </c>
      <c r="BM10" t="s">
        <v>557</v>
      </c>
      <c r="BN10" t="s">
        <v>73</v>
      </c>
      <c r="BO10" t="s">
        <v>73</v>
      </c>
      <c r="BP10">
        <v>10.81</v>
      </c>
      <c r="BQ10">
        <v>-3.7</v>
      </c>
      <c r="BR10">
        <v>0.26</v>
      </c>
      <c r="BS10">
        <v>12.26</v>
      </c>
      <c r="BT10" t="s">
        <v>476</v>
      </c>
      <c r="BU10" t="s">
        <v>464</v>
      </c>
      <c r="BV10">
        <v>-0.47</v>
      </c>
      <c r="BW10">
        <v>2.33</v>
      </c>
      <c r="BX10">
        <v>9.69</v>
      </c>
      <c r="BY10">
        <v>-2.84</v>
      </c>
      <c r="BZ10">
        <v>0.14000000000000001</v>
      </c>
      <c r="CA10">
        <v>5.09</v>
      </c>
      <c r="CB10">
        <v>3.3</v>
      </c>
      <c r="CC10">
        <v>-5.6</v>
      </c>
      <c r="CD10" t="s">
        <v>993</v>
      </c>
      <c r="CE10" t="s">
        <v>652</v>
      </c>
      <c r="CF10" s="7">
        <v>-0.11350667877058747</v>
      </c>
      <c r="CG10" s="8">
        <v>-10.120805369127517</v>
      </c>
      <c r="CH10" s="7">
        <v>-0.13404843211174011</v>
      </c>
      <c r="CI10" s="7">
        <v>-3.7084929645061493E-2</v>
      </c>
      <c r="CJ10" s="7">
        <v>0.34901833534240723</v>
      </c>
      <c r="CK10" s="7">
        <v>-4.4361494481563568E-2</v>
      </c>
      <c r="CL10" s="7">
        <v>4.0891054086387157E-3</v>
      </c>
      <c r="CM10" s="8">
        <v>-31.157407760620117</v>
      </c>
      <c r="CN10" s="8">
        <v>-0.98449164628982544</v>
      </c>
      <c r="CO10" s="8">
        <v>2.5207278728485107</v>
      </c>
      <c r="CP10" s="8">
        <v>0.10688300430774689</v>
      </c>
      <c r="CQ10" s="8">
        <v>-0.77527666091918945</v>
      </c>
      <c r="CR10">
        <v>7.9386953386556787</v>
      </c>
      <c r="CS10">
        <v>2.8844365385507826</v>
      </c>
      <c r="CT10">
        <v>0</v>
      </c>
      <c r="CU10" s="7">
        <v>2.7522516902536154E-2</v>
      </c>
      <c r="CV10" s="8">
        <v>-6.0579130381345747</v>
      </c>
      <c r="CW10">
        <v>0.06</v>
      </c>
      <c r="CX10" t="e">
        <v>#VALUE!</v>
      </c>
      <c r="CY10" t="s">
        <v>455</v>
      </c>
      <c r="CZ10">
        <v>2.7522516902536154E-2</v>
      </c>
      <c r="DA10" t="e">
        <v>#VALUE!</v>
      </c>
      <c r="DB10" t="s">
        <v>456</v>
      </c>
      <c r="DC10">
        <v>2.6146391057409346E-2</v>
      </c>
      <c r="DD10" t="e">
        <v>#VALUE!</v>
      </c>
      <c r="DE10" t="s">
        <v>456</v>
      </c>
      <c r="DF10">
        <v>2.4219814874231815E-2</v>
      </c>
      <c r="DG10" t="e">
        <v>#VALUE!</v>
      </c>
      <c r="DH10" t="s">
        <v>456</v>
      </c>
      <c r="DI10">
        <v>2.2018013522028923E-2</v>
      </c>
      <c r="DJ10" t="e">
        <v>#VALUE!</v>
      </c>
      <c r="DK10" t="s">
        <v>456</v>
      </c>
      <c r="DL10">
        <v>1.9265761831775308E-2</v>
      </c>
      <c r="DM10">
        <v>-3257000000</v>
      </c>
      <c r="DN10">
        <v>2.7522516902536154E-2</v>
      </c>
      <c r="DO10">
        <v>8429635999.9999924</v>
      </c>
      <c r="DP10">
        <v>-9750000000</v>
      </c>
      <c r="DQ10">
        <v>353</v>
      </c>
      <c r="DR10">
        <v>-0.14102919567312361</v>
      </c>
      <c r="DS10">
        <v>-4.0628923309929421</v>
      </c>
      <c r="DT10" s="9">
        <v>-0.3066666666666667</v>
      </c>
      <c r="DU10">
        <v>-1.8533333333333335</v>
      </c>
      <c r="DV10">
        <v>-2.16</v>
      </c>
      <c r="DW10">
        <v>6.3707865168539328</v>
      </c>
      <c r="DX10">
        <v>0.29873626373626283</v>
      </c>
      <c r="DY10">
        <v>6.0514415359920974</v>
      </c>
      <c r="DZ10">
        <v>4507</v>
      </c>
      <c r="EA10">
        <v>6.0060703025838036</v>
      </c>
      <c r="EB10">
        <v>6</v>
      </c>
      <c r="EC10">
        <v>1.0763170604139963E-2</v>
      </c>
      <c r="ED10">
        <v>7.758008118627617E-2</v>
      </c>
      <c r="EE10" s="10">
        <v>-1.0032099999999999</v>
      </c>
      <c r="EF10">
        <v>-1.01251</v>
      </c>
      <c r="EG10">
        <v>16.138736263736263</v>
      </c>
      <c r="EH10" t="s">
        <v>935</v>
      </c>
      <c r="EI10">
        <v>0</v>
      </c>
      <c r="EJ10">
        <v>0</v>
      </c>
      <c r="EK10" s="12">
        <v>45470</v>
      </c>
      <c r="EL10" s="13">
        <v>0</v>
      </c>
      <c r="EM10" s="13">
        <v>-2.2999999999999998</v>
      </c>
      <c r="EN10" s="13">
        <v>0.47</v>
      </c>
      <c r="EO10" s="13">
        <v>1.41</v>
      </c>
      <c r="EP10" s="13">
        <v>-0.93</v>
      </c>
    </row>
    <row r="11" spans="1:146" ht="96">
      <c r="C11" s="6" t="str">
        <f>""&amp;CHAR(10)&amp;Basic_Fundamental_Information_Constructure(F11)&amp;CHAR(10)&amp;Basic_Fundamental_Information_Concatenate("")</f>
        <v xml:space="preserve">
市值115.337207亿, 利润9.12亿; PE11.95; 平均PE15.33; 平均PEG3.38, PB1.2; ROIC10.78%; ROE10.6767%; 股利率3.3956%; 毛利66.9167%; 净利23.8533%; 上一年度营收增16.11%, 利润增36.94%; 当季营收增41.32%, 利润增27.7%; 过往5年营收增4.54%, 利润增80.09%
Income profile:
</v>
      </c>
      <c r="D11" t="s">
        <v>336</v>
      </c>
      <c r="E11" t="s">
        <v>337</v>
      </c>
      <c r="F11">
        <v>17.670000000000002</v>
      </c>
      <c r="G11">
        <v>2.85</v>
      </c>
      <c r="H11" t="s">
        <v>994</v>
      </c>
      <c r="I11">
        <v>11533720700</v>
      </c>
      <c r="J11">
        <v>11.95</v>
      </c>
      <c r="K11">
        <v>1.2</v>
      </c>
      <c r="L11" t="s">
        <v>37</v>
      </c>
      <c r="M11" t="s">
        <v>995</v>
      </c>
      <c r="N11" t="s">
        <v>996</v>
      </c>
      <c r="O11" t="s">
        <v>997</v>
      </c>
      <c r="P11">
        <v>41.36</v>
      </c>
      <c r="Q11" t="s">
        <v>998</v>
      </c>
      <c r="R11">
        <v>240082820</v>
      </c>
      <c r="S11" s="5">
        <v>0.27939999999999998</v>
      </c>
      <c r="T11" t="s">
        <v>999</v>
      </c>
      <c r="U11">
        <v>627893850</v>
      </c>
      <c r="V11">
        <v>652728960</v>
      </c>
      <c r="W11">
        <v>1.3</v>
      </c>
      <c r="X11">
        <v>0.1</v>
      </c>
      <c r="Y11">
        <v>22.04</v>
      </c>
      <c r="Z11" t="s">
        <v>1000</v>
      </c>
      <c r="AA11" t="s">
        <v>550</v>
      </c>
      <c r="AB11" t="s">
        <v>592</v>
      </c>
      <c r="AC11" t="s">
        <v>1001</v>
      </c>
      <c r="AD11" t="s">
        <v>73</v>
      </c>
      <c r="AE11">
        <v>-65476043</v>
      </c>
      <c r="AF11" t="s">
        <v>1002</v>
      </c>
      <c r="AG11" t="s">
        <v>73</v>
      </c>
      <c r="AH11" t="s">
        <v>1003</v>
      </c>
      <c r="AI11" t="s">
        <v>1004</v>
      </c>
      <c r="AJ11" t="s">
        <v>1005</v>
      </c>
      <c r="AK11" t="s">
        <v>73</v>
      </c>
      <c r="AL11" t="s">
        <v>1006</v>
      </c>
      <c r="AM11" t="s">
        <v>73</v>
      </c>
      <c r="AN11" t="s">
        <v>1007</v>
      </c>
      <c r="AO11" t="s">
        <v>73</v>
      </c>
      <c r="AP11" t="s">
        <v>73</v>
      </c>
      <c r="AQ11" t="s">
        <v>637</v>
      </c>
      <c r="AR11" t="s">
        <v>73</v>
      </c>
      <c r="AS11" t="s">
        <v>1008</v>
      </c>
      <c r="AT11" t="s">
        <v>73</v>
      </c>
      <c r="AU11" t="s">
        <v>1009</v>
      </c>
      <c r="AV11" t="s">
        <v>1010</v>
      </c>
      <c r="AW11" t="s">
        <v>73</v>
      </c>
      <c r="AX11" t="s">
        <v>527</v>
      </c>
      <c r="AY11" t="s">
        <v>395</v>
      </c>
      <c r="AZ11" t="s">
        <v>338</v>
      </c>
      <c r="BA11" t="s">
        <v>340</v>
      </c>
      <c r="BB11" t="s">
        <v>341</v>
      </c>
      <c r="BC11" t="s">
        <v>263</v>
      </c>
      <c r="BD11" t="s">
        <v>396</v>
      </c>
      <c r="BE11" t="s">
        <v>339</v>
      </c>
      <c r="BF11" t="s">
        <v>128</v>
      </c>
      <c r="BG11" t="s">
        <v>215</v>
      </c>
      <c r="BH11" t="s">
        <v>998</v>
      </c>
      <c r="BI11" t="s">
        <v>1011</v>
      </c>
      <c r="BJ11" t="s">
        <v>527</v>
      </c>
      <c r="BK11" t="s">
        <v>999</v>
      </c>
      <c r="BL11" t="s">
        <v>1012</v>
      </c>
      <c r="BM11" t="s">
        <v>263</v>
      </c>
      <c r="BN11">
        <v>6.28</v>
      </c>
      <c r="BO11">
        <v>7.36</v>
      </c>
      <c r="BP11">
        <v>18.7</v>
      </c>
      <c r="BQ11">
        <v>7.31</v>
      </c>
      <c r="BR11">
        <v>7.87</v>
      </c>
      <c r="BS11">
        <v>16.850000000000001</v>
      </c>
      <c r="BT11" t="s">
        <v>1013</v>
      </c>
      <c r="BU11" t="s">
        <v>462</v>
      </c>
      <c r="BV11">
        <v>63.02</v>
      </c>
      <c r="BW11">
        <v>64.72</v>
      </c>
      <c r="BX11">
        <v>73.010000000000005</v>
      </c>
      <c r="BY11">
        <v>21.63</v>
      </c>
      <c r="BZ11">
        <v>19.14</v>
      </c>
      <c r="CA11">
        <v>30.79</v>
      </c>
      <c r="CB11">
        <v>2.61</v>
      </c>
      <c r="CC11">
        <v>-8.8699999999999992</v>
      </c>
      <c r="CD11" t="s">
        <v>1014</v>
      </c>
      <c r="CE11" t="s">
        <v>1015</v>
      </c>
      <c r="CF11" s="7">
        <v>0.41315789473684211</v>
      </c>
      <c r="CG11" s="8">
        <v>0.2770362765957447</v>
      </c>
      <c r="CH11" s="7">
        <v>0.16109234094619751</v>
      </c>
      <c r="CI11" s="7">
        <v>-0.23054665327072144</v>
      </c>
      <c r="CJ11" s="7">
        <v>0.10648693889379501</v>
      </c>
      <c r="CK11" s="7">
        <v>2.3275872692465782E-2</v>
      </c>
      <c r="CL11" s="7">
        <v>0.16653251647949219</v>
      </c>
      <c r="CM11" s="8">
        <v>0.36936935782432556</v>
      </c>
      <c r="CN11" s="8">
        <v>-0.48808607459068298</v>
      </c>
      <c r="CO11" s="8">
        <v>0.33985576033592224</v>
      </c>
      <c r="CP11" s="8">
        <v>0.83553874492645264</v>
      </c>
      <c r="CQ11" s="8">
        <v>2.9477612972259521</v>
      </c>
      <c r="CR11">
        <v>15.333996055838689</v>
      </c>
      <c r="CS11">
        <v>3.3798993550026868</v>
      </c>
      <c r="CT11">
        <v>3.3955857385398978</v>
      </c>
      <c r="CU11" s="7">
        <v>4.5368203148245814E-2</v>
      </c>
      <c r="CV11" s="8">
        <v>0.80088781714439394</v>
      </c>
      <c r="CW11">
        <v>0.06</v>
      </c>
      <c r="CX11">
        <v>2.8426607203438659</v>
      </c>
      <c r="CY11">
        <v>899411133.27471709</v>
      </c>
      <c r="CZ11">
        <v>4.5368203148245814E-2</v>
      </c>
      <c r="DA11">
        <v>0.96491667834841688</v>
      </c>
      <c r="DB11">
        <v>2649680285.7384195</v>
      </c>
      <c r="DC11">
        <v>4.3099792990833524E-2</v>
      </c>
      <c r="DD11">
        <v>0.49931033582759027</v>
      </c>
      <c r="DE11">
        <v>5120504256.6609812</v>
      </c>
      <c r="DF11">
        <v>3.9924018770456315E-2</v>
      </c>
      <c r="DG11">
        <v>0.31680860668607019</v>
      </c>
      <c r="DH11">
        <v>8070237506.3108311</v>
      </c>
      <c r="DI11">
        <v>3.6294562518596654E-2</v>
      </c>
      <c r="DJ11">
        <v>0.18388704639712025</v>
      </c>
      <c r="DK11">
        <v>13903756409.674103</v>
      </c>
      <c r="DL11">
        <v>3.1757742203772067E-2</v>
      </c>
      <c r="DM11">
        <v>911999999.99999988</v>
      </c>
      <c r="DN11">
        <v>4.5368203148245814E-2</v>
      </c>
      <c r="DO11">
        <v>2556720700</v>
      </c>
      <c r="DP11">
        <v>6088919400</v>
      </c>
      <c r="DQ11">
        <v>373</v>
      </c>
      <c r="DR11">
        <v>0.36778969158859631</v>
      </c>
      <c r="DS11">
        <v>-0.52385154054864924</v>
      </c>
      <c r="DT11" s="9">
        <v>-0.32333333333333336</v>
      </c>
      <c r="DU11">
        <v>1.1416666666666666</v>
      </c>
      <c r="DV11">
        <v>0.81833333333333325</v>
      </c>
      <c r="DW11">
        <v>6.2273519163763069</v>
      </c>
      <c r="DX11">
        <v>0.42631660516605024</v>
      </c>
      <c r="DY11">
        <v>6.0241712839271253</v>
      </c>
      <c r="DZ11">
        <v>332</v>
      </c>
      <c r="EA11">
        <v>6.0226008600007441</v>
      </c>
      <c r="EB11">
        <v>6</v>
      </c>
      <c r="EC11">
        <v>4.4140526567106812E-2</v>
      </c>
      <c r="ED11">
        <v>0.41517998527290717</v>
      </c>
      <c r="EE11" s="10">
        <v>4.0285099999999998</v>
      </c>
      <c r="EF11">
        <v>4.0611100000000002</v>
      </c>
      <c r="EG11">
        <v>32.10631660516605</v>
      </c>
      <c r="EH11" t="s">
        <v>1016</v>
      </c>
      <c r="EI11">
        <v>0</v>
      </c>
      <c r="EJ11">
        <v>1</v>
      </c>
      <c r="EK11" s="12">
        <v>45470</v>
      </c>
      <c r="EL11" s="13">
        <v>1.24</v>
      </c>
      <c r="EM11" s="13">
        <v>-3.27</v>
      </c>
      <c r="EN11" s="13">
        <v>0.4</v>
      </c>
      <c r="EO11" s="13">
        <v>-0.23</v>
      </c>
      <c r="EP11" s="13">
        <v>-3.26</v>
      </c>
    </row>
    <row r="12" spans="1:146" ht="96">
      <c r="A12" s="6"/>
      <c r="B12" s="6"/>
      <c r="C12" s="6" t="str">
        <f>""&amp;CHAR(10)&amp;Basic_Fundamental_Information_Constructure(F12)&amp;CHAR(10)&amp;Basic_Fundamental_Information_Concatenate("")</f>
        <v xml:space="preserve">
市值314.34278亿, 利润50.79亿; PE6.57; 平均PE4.8; 平均PEG.42, PB.586; ROIC10.79%; ROE15.2967%; 股利率5.0549%; 毛利10.8567%; 净利4.9133%; 上一年度营收增-2.5%, 利润增-20.38%; 当季营收增-7.17%, 利润增-43.17%; 过往5年营收增11.46%, 利润增.41%
Income profile:
</v>
      </c>
      <c r="D12" t="s">
        <v>65</v>
      </c>
      <c r="E12" t="s">
        <v>31</v>
      </c>
      <c r="F12">
        <v>4.55</v>
      </c>
      <c r="G12">
        <v>0</v>
      </c>
      <c r="H12" t="s">
        <v>1017</v>
      </c>
      <c r="I12">
        <v>31434278000</v>
      </c>
      <c r="J12">
        <v>6.57</v>
      </c>
      <c r="K12">
        <v>0.58599999999999997</v>
      </c>
      <c r="L12" t="s">
        <v>37</v>
      </c>
      <c r="M12" t="s">
        <v>1018</v>
      </c>
      <c r="N12" t="s">
        <v>1019</v>
      </c>
      <c r="O12" t="s">
        <v>1020</v>
      </c>
      <c r="P12">
        <v>-7.17</v>
      </c>
      <c r="Q12" t="s">
        <v>1021</v>
      </c>
      <c r="R12">
        <v>391534070</v>
      </c>
      <c r="S12" s="5">
        <v>-0.43130000000000002</v>
      </c>
      <c r="T12" t="s">
        <v>1022</v>
      </c>
      <c r="U12">
        <v>6908546600</v>
      </c>
      <c r="V12">
        <v>6908632500</v>
      </c>
      <c r="W12">
        <v>2.14</v>
      </c>
      <c r="X12">
        <v>0.27</v>
      </c>
      <c r="Y12">
        <v>1.96</v>
      </c>
      <c r="Z12" t="s">
        <v>1023</v>
      </c>
      <c r="AA12" t="s">
        <v>1024</v>
      </c>
      <c r="AB12" t="s">
        <v>468</v>
      </c>
      <c r="AC12" t="s">
        <v>484</v>
      </c>
      <c r="AD12" t="s">
        <v>73</v>
      </c>
      <c r="AE12">
        <v>59732649</v>
      </c>
      <c r="AF12" t="s">
        <v>1025</v>
      </c>
      <c r="AG12" t="s">
        <v>1026</v>
      </c>
      <c r="AH12" t="s">
        <v>1027</v>
      </c>
      <c r="AI12" t="s">
        <v>1028</v>
      </c>
      <c r="AJ12" t="s">
        <v>1029</v>
      </c>
      <c r="AK12" t="s">
        <v>569</v>
      </c>
      <c r="AL12" t="s">
        <v>1030</v>
      </c>
      <c r="AM12" t="s">
        <v>73</v>
      </c>
      <c r="AN12">
        <v>0</v>
      </c>
      <c r="AO12" t="s">
        <v>1031</v>
      </c>
      <c r="AP12" t="s">
        <v>584</v>
      </c>
      <c r="AQ12" t="s">
        <v>1032</v>
      </c>
      <c r="AR12" t="s">
        <v>73</v>
      </c>
      <c r="AS12" t="s">
        <v>1033</v>
      </c>
      <c r="AT12" t="s">
        <v>1034</v>
      </c>
      <c r="AU12" t="s">
        <v>1035</v>
      </c>
      <c r="AV12" t="s">
        <v>1036</v>
      </c>
      <c r="AW12" t="s">
        <v>1037</v>
      </c>
      <c r="AX12" t="s">
        <v>532</v>
      </c>
      <c r="AY12" t="s">
        <v>530</v>
      </c>
      <c r="AZ12" t="s">
        <v>531</v>
      </c>
      <c r="BA12" t="s">
        <v>191</v>
      </c>
      <c r="BB12" t="s">
        <v>192</v>
      </c>
      <c r="BC12" t="s">
        <v>528</v>
      </c>
      <c r="BD12" t="s">
        <v>397</v>
      </c>
      <c r="BE12" t="s">
        <v>189</v>
      </c>
      <c r="BF12" t="s">
        <v>95</v>
      </c>
      <c r="BG12" t="s">
        <v>193</v>
      </c>
      <c r="BH12" t="s">
        <v>1021</v>
      </c>
      <c r="BI12" t="s">
        <v>1038</v>
      </c>
      <c r="BJ12" t="s">
        <v>532</v>
      </c>
      <c r="BK12" t="s">
        <v>1022</v>
      </c>
      <c r="BL12" t="s">
        <v>1039</v>
      </c>
      <c r="BM12" t="s">
        <v>528</v>
      </c>
      <c r="BN12">
        <v>6.22</v>
      </c>
      <c r="BO12">
        <v>10.26</v>
      </c>
      <c r="BP12">
        <v>15.89</v>
      </c>
      <c r="BQ12">
        <v>7.9</v>
      </c>
      <c r="BR12">
        <v>13.42</v>
      </c>
      <c r="BS12">
        <v>24.57</v>
      </c>
      <c r="BT12" t="s">
        <v>1040</v>
      </c>
      <c r="BU12" t="s">
        <v>464</v>
      </c>
      <c r="BV12">
        <v>9.4</v>
      </c>
      <c r="BW12">
        <v>10.32</v>
      </c>
      <c r="BX12">
        <v>12.85</v>
      </c>
      <c r="BY12">
        <v>4.05</v>
      </c>
      <c r="BZ12">
        <v>4.57</v>
      </c>
      <c r="CA12">
        <v>6.12</v>
      </c>
      <c r="CB12">
        <v>2.71</v>
      </c>
      <c r="CC12">
        <v>-8.27</v>
      </c>
      <c r="CD12" t="s">
        <v>454</v>
      </c>
      <c r="CE12" t="s">
        <v>1041</v>
      </c>
      <c r="CF12" s="7">
        <v>-7.1676475026407116E-2</v>
      </c>
      <c r="CG12" s="8">
        <v>-0.43173574746008708</v>
      </c>
      <c r="CH12" s="7">
        <v>-2.4997200816869736E-2</v>
      </c>
      <c r="CI12" s="7">
        <v>-1.7975633963942528E-2</v>
      </c>
      <c r="CJ12" s="7">
        <v>0.47215244174003601</v>
      </c>
      <c r="CK12" s="7">
        <v>8.5514761507511139E-2</v>
      </c>
      <c r="CL12" s="7">
        <v>5.8416686952114105E-2</v>
      </c>
      <c r="CM12" s="8">
        <v>-0.20379365980625153</v>
      </c>
      <c r="CN12" s="8">
        <v>-0.34101241827011108</v>
      </c>
      <c r="CO12" s="8">
        <v>0.51368260383605957</v>
      </c>
      <c r="CP12" s="8">
        <v>0.45638799667358398</v>
      </c>
      <c r="CQ12" s="8">
        <v>-0.4048522412776947</v>
      </c>
      <c r="CR12">
        <v>4.7988821942903668</v>
      </c>
      <c r="CS12">
        <v>0.41866948376900365</v>
      </c>
      <c r="CT12">
        <v>5.0549450549450547</v>
      </c>
      <c r="CU12" s="7">
        <v>0.1146222110837698</v>
      </c>
      <c r="CV12" s="8">
        <v>4.0824562311172485E-3</v>
      </c>
      <c r="CW12">
        <v>0.06</v>
      </c>
      <c r="CX12">
        <v>6.5892350260773451</v>
      </c>
      <c r="CY12">
        <v>5340722839.7117615</v>
      </c>
      <c r="CZ12">
        <v>0.1146222110837698</v>
      </c>
      <c r="DA12">
        <v>2.1089933591879881</v>
      </c>
      <c r="DB12">
        <v>16686291517.55578</v>
      </c>
      <c r="DC12">
        <v>0.1088911005295813</v>
      </c>
      <c r="DD12">
        <v>1.0094792432616144</v>
      </c>
      <c r="DE12">
        <v>34860823771.172783</v>
      </c>
      <c r="DF12">
        <v>0.10086754575371742</v>
      </c>
      <c r="DG12">
        <v>0.587112805444298</v>
      </c>
      <c r="DH12">
        <v>59939551094.221115</v>
      </c>
      <c r="DI12">
        <v>9.1697768867015847E-2</v>
      </c>
      <c r="DJ12">
        <v>0.28236815714668428</v>
      </c>
      <c r="DK12">
        <v>124629060003.10394</v>
      </c>
      <c r="DL12">
        <v>8.023554775863885E-2</v>
      </c>
      <c r="DM12">
        <v>5079000000</v>
      </c>
      <c r="DN12">
        <v>0.1146222110837698</v>
      </c>
      <c r="DO12">
        <v>35191278000</v>
      </c>
      <c r="DP12">
        <v>17072610000</v>
      </c>
      <c r="DQ12">
        <v>381</v>
      </c>
      <c r="DR12">
        <v>-0.18629868611017691</v>
      </c>
      <c r="DS12">
        <v>-0.43581820369120433</v>
      </c>
      <c r="DT12" s="9">
        <v>-0.3066666666666667</v>
      </c>
      <c r="DU12">
        <v>-0.38666666666666666</v>
      </c>
      <c r="DV12">
        <v>-0.69333333333333336</v>
      </c>
      <c r="DW12">
        <v>6.2468123861566482</v>
      </c>
      <c r="DX12">
        <v>0.31546286876907531</v>
      </c>
      <c r="DY12">
        <v>6.0284976661533873</v>
      </c>
      <c r="DZ12">
        <v>3187</v>
      </c>
      <c r="EA12">
        <v>6.0107242684956876</v>
      </c>
      <c r="EB12">
        <v>6</v>
      </c>
      <c r="EC12">
        <v>3.2857443206017981E-2</v>
      </c>
      <c r="ED12">
        <v>0.28457151252436719</v>
      </c>
      <c r="EE12" s="10">
        <v>-2.0091999999999999</v>
      </c>
      <c r="EF12">
        <v>-2.0004</v>
      </c>
      <c r="EG12">
        <v>20.115462868769075</v>
      </c>
      <c r="EH12" t="s">
        <v>648</v>
      </c>
      <c r="EI12">
        <v>0</v>
      </c>
      <c r="EJ12">
        <v>0</v>
      </c>
      <c r="EK12" s="12">
        <v>45470</v>
      </c>
      <c r="EL12" s="13">
        <v>-1.1100000000000001</v>
      </c>
      <c r="EM12" s="13">
        <v>-1.8</v>
      </c>
      <c r="EN12" s="13">
        <v>2.06</v>
      </c>
      <c r="EO12" s="13">
        <v>1.35</v>
      </c>
      <c r="EP12" s="13">
        <v>-0.88</v>
      </c>
    </row>
    <row r="13" spans="1:146" ht="96">
      <c r="A13" s="6"/>
      <c r="B13" s="6"/>
      <c r="C13" s="6" t="str">
        <f>""&amp;CHAR(10)&amp;Basic_Fundamental_Information_Constructure(F13)&amp;CHAR(10)&amp;Basic_Fundamental_Information_Concatenate("")</f>
        <v xml:space="preserve">
市值216.6902亿, 利润6.64亿; PE31.05; 平均PE9.11; 平均PEG.63, PB.438; ROIC5.2133%; ROE7.81%; 股利率1.0791%; 毛利7.3967%; 净利2.7167%; 上一年度营收增-3.71%, 利润增-40.98%; 当季营收增2.87%, 利润增58.45%; 过往5年营收增14.45%, 利润增34.53%
Income profile:
</v>
      </c>
      <c r="D13" t="s">
        <v>55</v>
      </c>
      <c r="E13" t="s">
        <v>16</v>
      </c>
      <c r="F13">
        <v>2.78</v>
      </c>
      <c r="G13">
        <v>0.36</v>
      </c>
      <c r="H13" t="s">
        <v>1042</v>
      </c>
      <c r="I13">
        <v>21669020000</v>
      </c>
      <c r="J13">
        <v>31.05</v>
      </c>
      <c r="K13">
        <v>0.438</v>
      </c>
      <c r="L13" t="s">
        <v>37</v>
      </c>
      <c r="M13" t="s">
        <v>1043</v>
      </c>
      <c r="N13" t="s">
        <v>1044</v>
      </c>
      <c r="O13" t="s">
        <v>1045</v>
      </c>
      <c r="P13">
        <v>2.87</v>
      </c>
      <c r="Q13" t="s">
        <v>1046</v>
      </c>
      <c r="R13">
        <v>-24299128</v>
      </c>
      <c r="S13" s="5">
        <v>0.58450000000000002</v>
      </c>
      <c r="T13" t="s">
        <v>1047</v>
      </c>
      <c r="U13">
        <v>6507263600</v>
      </c>
      <c r="V13">
        <v>7794611600</v>
      </c>
      <c r="W13">
        <v>2.5299999999999998</v>
      </c>
      <c r="X13">
        <v>0.21</v>
      </c>
      <c r="Y13">
        <v>-0.03</v>
      </c>
      <c r="Z13" t="s">
        <v>1048</v>
      </c>
      <c r="AA13" t="s">
        <v>1049</v>
      </c>
      <c r="AB13" t="s">
        <v>1050</v>
      </c>
      <c r="AC13" t="s">
        <v>1051</v>
      </c>
      <c r="AD13" t="s">
        <v>73</v>
      </c>
      <c r="AE13">
        <v>314466540</v>
      </c>
      <c r="AF13" t="s">
        <v>1052</v>
      </c>
      <c r="AG13" t="s">
        <v>1053</v>
      </c>
      <c r="AH13" t="s">
        <v>1054</v>
      </c>
      <c r="AI13" t="s">
        <v>1055</v>
      </c>
      <c r="AJ13" t="s">
        <v>1056</v>
      </c>
      <c r="AK13" t="s">
        <v>1057</v>
      </c>
      <c r="AL13" t="s">
        <v>1058</v>
      </c>
      <c r="AM13" t="s">
        <v>73</v>
      </c>
      <c r="AN13" t="s">
        <v>1059</v>
      </c>
      <c r="AO13" t="s">
        <v>1060</v>
      </c>
      <c r="AP13" t="s">
        <v>1061</v>
      </c>
      <c r="AQ13" t="s">
        <v>1062</v>
      </c>
      <c r="AR13" t="s">
        <v>73</v>
      </c>
      <c r="AS13" t="s">
        <v>1063</v>
      </c>
      <c r="AT13" t="s">
        <v>1064</v>
      </c>
      <c r="AU13" t="s">
        <v>1065</v>
      </c>
      <c r="AV13" t="s">
        <v>1066</v>
      </c>
      <c r="AW13" t="s">
        <v>814</v>
      </c>
      <c r="AX13" t="s">
        <v>535</v>
      </c>
      <c r="AY13" t="s">
        <v>538</v>
      </c>
      <c r="AZ13" t="s">
        <v>194</v>
      </c>
      <c r="BA13" t="s">
        <v>196</v>
      </c>
      <c r="BB13" t="s">
        <v>197</v>
      </c>
      <c r="BC13" t="s">
        <v>536</v>
      </c>
      <c r="BD13" t="s">
        <v>539</v>
      </c>
      <c r="BE13" t="s">
        <v>195</v>
      </c>
      <c r="BF13" t="s">
        <v>198</v>
      </c>
      <c r="BG13" t="s">
        <v>173</v>
      </c>
      <c r="BH13" t="s">
        <v>1046</v>
      </c>
      <c r="BI13" t="s">
        <v>1067</v>
      </c>
      <c r="BJ13" t="s">
        <v>535</v>
      </c>
      <c r="BK13" t="s">
        <v>1047</v>
      </c>
      <c r="BL13" t="s">
        <v>1068</v>
      </c>
      <c r="BM13" t="s">
        <v>536</v>
      </c>
      <c r="BN13">
        <v>2.09</v>
      </c>
      <c r="BO13">
        <v>3.09</v>
      </c>
      <c r="BP13">
        <v>10.46</v>
      </c>
      <c r="BQ13">
        <v>1.94</v>
      </c>
      <c r="BR13">
        <v>2.42</v>
      </c>
      <c r="BS13">
        <v>19.07</v>
      </c>
      <c r="BT13" t="s">
        <v>514</v>
      </c>
      <c r="BU13" t="s">
        <v>464</v>
      </c>
      <c r="BV13">
        <v>4.67</v>
      </c>
      <c r="BW13">
        <v>5.99</v>
      </c>
      <c r="BX13">
        <v>11.53</v>
      </c>
      <c r="BY13">
        <v>0.66</v>
      </c>
      <c r="BZ13">
        <v>1.28</v>
      </c>
      <c r="CA13">
        <v>6.21</v>
      </c>
      <c r="CB13">
        <v>2.21</v>
      </c>
      <c r="CC13">
        <v>-12.3</v>
      </c>
      <c r="CD13" t="s">
        <v>502</v>
      </c>
      <c r="CE13" t="s">
        <v>1069</v>
      </c>
      <c r="CF13" s="7">
        <v>2.8730628591328577E-2</v>
      </c>
      <c r="CG13" s="8">
        <v>0.58446407622878216</v>
      </c>
      <c r="CH13" s="7">
        <v>-3.7082489579916E-2</v>
      </c>
      <c r="CI13" s="7">
        <v>-0.1116073802113533</v>
      </c>
      <c r="CJ13" s="7">
        <v>0.66331863403320313</v>
      </c>
      <c r="CK13" s="7">
        <v>0.16138648986816406</v>
      </c>
      <c r="CL13" s="7">
        <v>4.6581577509641647E-2</v>
      </c>
      <c r="CM13" s="8">
        <v>-0.40977773070335388</v>
      </c>
      <c r="CN13" s="8">
        <v>-0.841683030128479</v>
      </c>
      <c r="CO13" s="8">
        <v>2.9787232875823975</v>
      </c>
      <c r="CP13" s="8">
        <v>0.50590217113494873</v>
      </c>
      <c r="CQ13" s="8">
        <v>-0.50665557384490967</v>
      </c>
      <c r="CR13">
        <v>9.1103720832457427</v>
      </c>
      <c r="CS13">
        <v>0.63039108978822644</v>
      </c>
      <c r="CT13">
        <v>1.079136690647482</v>
      </c>
      <c r="CU13" s="7">
        <v>0.14451936632394791</v>
      </c>
      <c r="CV13" s="8">
        <v>0.34530182480812072</v>
      </c>
      <c r="CW13">
        <v>0.06</v>
      </c>
      <c r="CX13">
        <v>70.355572329782163</v>
      </c>
      <c r="CY13">
        <v>716944206.82934093</v>
      </c>
      <c r="CZ13">
        <v>0.14451936632394791</v>
      </c>
      <c r="DA13">
        <v>21.960609979820628</v>
      </c>
      <c r="DB13">
        <v>2296886108.6440549</v>
      </c>
      <c r="DC13">
        <v>0.13729339800775051</v>
      </c>
      <c r="DD13">
        <v>10.154861095622117</v>
      </c>
      <c r="DE13">
        <v>4967179710.7836103</v>
      </c>
      <c r="DF13">
        <v>0.12717704236507416</v>
      </c>
      <c r="DG13">
        <v>5.6727497155164288</v>
      </c>
      <c r="DH13">
        <v>8891811296.033535</v>
      </c>
      <c r="DI13">
        <v>0.11561549305915833</v>
      </c>
      <c r="DJ13">
        <v>2.4855558215117992</v>
      </c>
      <c r="DK13">
        <v>20293658087.83971</v>
      </c>
      <c r="DL13">
        <v>0.10116355642676353</v>
      </c>
      <c r="DM13">
        <v>664000000</v>
      </c>
      <c r="DN13">
        <v>0.14451936632394791</v>
      </c>
      <c r="DO13">
        <v>50441020000</v>
      </c>
      <c r="DP13">
        <v>-31569469000</v>
      </c>
      <c r="DQ13">
        <v>396</v>
      </c>
      <c r="DR13">
        <v>-0.11578873773261933</v>
      </c>
      <c r="DS13">
        <v>0.23916225142066144</v>
      </c>
      <c r="DT13" s="9">
        <v>-5.6666666666666719E-2</v>
      </c>
      <c r="DU13">
        <v>-0.33500000000000013</v>
      </c>
      <c r="DV13">
        <v>-0.39166666666666683</v>
      </c>
      <c r="DW13">
        <v>-2.1230000000000002</v>
      </c>
      <c r="DX13">
        <v>0.35728715728715771</v>
      </c>
      <c r="DY13">
        <v>-2.0193463203463202</v>
      </c>
      <c r="DZ13">
        <v>2664</v>
      </c>
      <c r="EA13">
        <v>-2.0092604891520742</v>
      </c>
      <c r="EB13">
        <v>2</v>
      </c>
      <c r="EC13">
        <v>1.3984019421827256E-2</v>
      </c>
      <c r="ED13">
        <v>8.8907573021342071E-2</v>
      </c>
      <c r="EE13" s="10">
        <v>1.0599099999999999</v>
      </c>
      <c r="EF13">
        <v>1.08131</v>
      </c>
      <c r="EG13">
        <v>20.157287157287158</v>
      </c>
      <c r="EH13" t="s">
        <v>595</v>
      </c>
      <c r="EI13">
        <v>0</v>
      </c>
      <c r="EJ13">
        <v>0</v>
      </c>
      <c r="EK13" s="12">
        <v>45470</v>
      </c>
      <c r="EL13" s="13">
        <v>0</v>
      </c>
      <c r="EM13" s="13">
        <v>-1.79</v>
      </c>
      <c r="EN13" s="13">
        <v>0.36</v>
      </c>
      <c r="EO13" s="13">
        <v>1.45</v>
      </c>
      <c r="EP13" s="13">
        <v>-2.14</v>
      </c>
    </row>
    <row r="14" spans="1:146" ht="96">
      <c r="A14" s="6"/>
      <c r="B14" s="6"/>
      <c r="C14" s="6" t="str">
        <f>""&amp;CHAR(10)&amp;Basic_Fundamental_Information_Constructure(F14)&amp;CHAR(10)&amp;Basic_Fundamental_Information_Concatenate("")</f>
        <v xml:space="preserve">
市值142.65884亿, 利润11.41亿; PE12.07; 平均PE16.83; 平均PEG.59, PB2.41; ROIC15.13%; ROE23.57%; 股利率0%; 毛利51.07%; 净利28.59%; 上一年度营收增-3.7%, 利润增4.39%; 当季营收增43.01%, 利润增20.21%; 过往5年营收增28.31%, 利润增57.76%
Income profile:
</v>
      </c>
      <c r="D14" t="s">
        <v>342</v>
      </c>
      <c r="E14" t="s">
        <v>343</v>
      </c>
      <c r="F14">
        <v>9.4600000000000009</v>
      </c>
      <c r="G14">
        <v>1.28</v>
      </c>
      <c r="H14" t="s">
        <v>1070</v>
      </c>
      <c r="I14">
        <v>14265884000</v>
      </c>
      <c r="J14">
        <v>12.07</v>
      </c>
      <c r="K14">
        <v>2.41</v>
      </c>
      <c r="L14" t="s">
        <v>37</v>
      </c>
      <c r="M14" t="s">
        <v>1071</v>
      </c>
      <c r="N14" t="s">
        <v>1072</v>
      </c>
      <c r="O14" t="s">
        <v>1073</v>
      </c>
      <c r="P14">
        <v>43.05</v>
      </c>
      <c r="Q14" t="s">
        <v>1074</v>
      </c>
      <c r="R14">
        <v>241627780</v>
      </c>
      <c r="S14" s="5">
        <v>0.20130000000000001</v>
      </c>
      <c r="T14" t="s">
        <v>1075</v>
      </c>
      <c r="U14">
        <v>1227187350</v>
      </c>
      <c r="V14">
        <v>1508021600</v>
      </c>
      <c r="W14">
        <v>2.48</v>
      </c>
      <c r="X14">
        <v>0.06</v>
      </c>
      <c r="Y14">
        <v>26.23</v>
      </c>
      <c r="Z14" t="s">
        <v>1076</v>
      </c>
      <c r="AA14" t="s">
        <v>1077</v>
      </c>
      <c r="AB14" t="s">
        <v>1078</v>
      </c>
      <c r="AC14" t="s">
        <v>502</v>
      </c>
      <c r="AD14" t="s">
        <v>73</v>
      </c>
      <c r="AE14">
        <v>72662950</v>
      </c>
      <c r="AF14" t="s">
        <v>1079</v>
      </c>
      <c r="AG14" t="s">
        <v>1080</v>
      </c>
      <c r="AH14" t="s">
        <v>1081</v>
      </c>
      <c r="AI14" t="s">
        <v>1082</v>
      </c>
      <c r="AJ14" t="s">
        <v>1083</v>
      </c>
      <c r="AK14" t="s">
        <v>1084</v>
      </c>
      <c r="AL14" t="s">
        <v>1085</v>
      </c>
      <c r="AM14" t="s">
        <v>73</v>
      </c>
      <c r="AN14" t="s">
        <v>135</v>
      </c>
      <c r="AO14" t="s">
        <v>1086</v>
      </c>
      <c r="AP14" t="s">
        <v>1087</v>
      </c>
      <c r="AQ14" t="s">
        <v>1088</v>
      </c>
      <c r="AR14" t="s">
        <v>73</v>
      </c>
      <c r="AS14" t="s">
        <v>1089</v>
      </c>
      <c r="AT14" t="s">
        <v>1090</v>
      </c>
      <c r="AU14" t="s">
        <v>1091</v>
      </c>
      <c r="AV14" t="s">
        <v>1092</v>
      </c>
      <c r="AW14" t="s">
        <v>465</v>
      </c>
      <c r="AX14" t="s">
        <v>1093</v>
      </c>
      <c r="AY14" t="s">
        <v>399</v>
      </c>
      <c r="AZ14" t="s">
        <v>401</v>
      </c>
      <c r="BA14" t="s">
        <v>344</v>
      </c>
      <c r="BB14" t="s">
        <v>345</v>
      </c>
      <c r="BC14" t="s">
        <v>253</v>
      </c>
      <c r="BD14" t="s">
        <v>400</v>
      </c>
      <c r="BE14" t="s">
        <v>402</v>
      </c>
      <c r="BF14" t="s">
        <v>335</v>
      </c>
      <c r="BG14" t="s">
        <v>346</v>
      </c>
      <c r="BH14" t="s">
        <v>1074</v>
      </c>
      <c r="BI14" t="s">
        <v>529</v>
      </c>
      <c r="BJ14" t="s">
        <v>1093</v>
      </c>
      <c r="BK14" t="s">
        <v>1075</v>
      </c>
      <c r="BL14" t="s">
        <v>1094</v>
      </c>
      <c r="BM14" t="s">
        <v>253</v>
      </c>
      <c r="BN14">
        <v>8.5399999999999991</v>
      </c>
      <c r="BO14">
        <v>11.85</v>
      </c>
      <c r="BP14">
        <v>25</v>
      </c>
      <c r="BQ14">
        <v>13.69</v>
      </c>
      <c r="BR14">
        <v>17.809999999999999</v>
      </c>
      <c r="BS14">
        <v>39.21</v>
      </c>
      <c r="BT14" t="s">
        <v>476</v>
      </c>
      <c r="BU14" t="s">
        <v>462</v>
      </c>
      <c r="BV14">
        <v>53.49</v>
      </c>
      <c r="BW14">
        <v>45.21</v>
      </c>
      <c r="BX14">
        <v>54.51</v>
      </c>
      <c r="BY14">
        <v>28.5</v>
      </c>
      <c r="BZ14">
        <v>24.07</v>
      </c>
      <c r="CA14">
        <v>33.200000000000003</v>
      </c>
      <c r="CB14">
        <v>-1.56</v>
      </c>
      <c r="CC14">
        <v>-10.75</v>
      </c>
      <c r="CD14" t="s">
        <v>1095</v>
      </c>
      <c r="CE14" t="s">
        <v>510</v>
      </c>
      <c r="CF14" s="7">
        <v>0.43012422360248465</v>
      </c>
      <c r="CG14" s="8">
        <v>0.20212825870646783</v>
      </c>
      <c r="CH14" s="7">
        <v>-3.7045914679765701E-2</v>
      </c>
      <c r="CI14" s="7">
        <v>-0.15076611936092377</v>
      </c>
      <c r="CJ14" s="7">
        <v>0.96035248041152954</v>
      </c>
      <c r="CK14" s="7">
        <v>-2.7269234880805016E-2</v>
      </c>
      <c r="CL14" s="7">
        <v>0.67013674974441528</v>
      </c>
      <c r="CM14" s="8">
        <v>4.3915830552577972E-2</v>
      </c>
      <c r="CN14" s="8">
        <v>-0.32738462090492249</v>
      </c>
      <c r="CO14" s="8">
        <v>1.7449322938919067</v>
      </c>
      <c r="CP14" s="8">
        <v>0.3929411768913269</v>
      </c>
      <c r="CQ14" s="8">
        <v>1.0334928035736084</v>
      </c>
      <c r="CR14">
        <v>16.832901474926253</v>
      </c>
      <c r="CS14">
        <v>0.59463073318612003</v>
      </c>
      <c r="CT14">
        <v>0</v>
      </c>
      <c r="CU14" s="7">
        <v>0.28308159224689006</v>
      </c>
      <c r="CV14" s="8">
        <v>0.57757949680089948</v>
      </c>
      <c r="CW14">
        <v>0.06</v>
      </c>
      <c r="CX14">
        <v>11.785931040568109</v>
      </c>
      <c r="CY14">
        <v>1381128393.1638691</v>
      </c>
      <c r="CZ14">
        <v>0.28308159224689006</v>
      </c>
      <c r="DA14">
        <v>3.2828904939589862</v>
      </c>
      <c r="DB14">
        <v>4958399931.3878307</v>
      </c>
      <c r="DC14">
        <v>0.26892751263454556</v>
      </c>
      <c r="DD14">
        <v>1.2873544807480242</v>
      </c>
      <c r="DE14">
        <v>12644445833.242176</v>
      </c>
      <c r="DF14">
        <v>0.24911180117726325</v>
      </c>
      <c r="DG14">
        <v>0.58672364835889146</v>
      </c>
      <c r="DH14">
        <v>27743698495.075867</v>
      </c>
      <c r="DI14">
        <v>0.22646527379751205</v>
      </c>
      <c r="DJ14">
        <v>0.15530809773747833</v>
      </c>
      <c r="DK14">
        <v>104810272208.18175</v>
      </c>
      <c r="DL14">
        <v>0.19815711457282303</v>
      </c>
      <c r="DM14">
        <v>1141000000</v>
      </c>
      <c r="DN14">
        <v>0.28308159224689006</v>
      </c>
      <c r="DO14">
        <v>16277884000</v>
      </c>
      <c r="DP14">
        <v>-2886565200</v>
      </c>
      <c r="DQ14">
        <v>430</v>
      </c>
      <c r="DR14">
        <v>0.14704263135559459</v>
      </c>
      <c r="DS14">
        <v>-0.37545123809443165</v>
      </c>
      <c r="DT14" s="9">
        <v>-0.12333333333333336</v>
      </c>
      <c r="DU14">
        <v>0.65333333333333332</v>
      </c>
      <c r="DV14">
        <v>0.52999999999999992</v>
      </c>
      <c r="DW14">
        <v>-2.1074999999999999</v>
      </c>
      <c r="DX14">
        <v>0.35815899280575691</v>
      </c>
      <c r="DY14">
        <v>-2.0127020917266187</v>
      </c>
      <c r="DZ14">
        <v>669</v>
      </c>
      <c r="EA14">
        <v>-2.0110391368606484</v>
      </c>
      <c r="EB14">
        <v>2</v>
      </c>
      <c r="EC14">
        <v>1.0891156996690233E-2</v>
      </c>
      <c r="ED14">
        <v>9.2173746052443814E-2</v>
      </c>
      <c r="EE14" s="10">
        <v>4.5100000000000001E-2</v>
      </c>
      <c r="EF14">
        <v>1.38E-2</v>
      </c>
      <c r="EG14">
        <v>24.118158992805757</v>
      </c>
      <c r="EH14" t="s">
        <v>453</v>
      </c>
      <c r="EI14">
        <v>0</v>
      </c>
      <c r="EJ14">
        <v>1</v>
      </c>
      <c r="EK14" s="12">
        <v>45470</v>
      </c>
      <c r="EL14" s="13">
        <v>1.32</v>
      </c>
      <c r="EM14" s="13">
        <v>-3.91</v>
      </c>
      <c r="EN14" s="13">
        <v>0.42</v>
      </c>
      <c r="EO14" s="13">
        <v>2.81</v>
      </c>
      <c r="EP14" s="13">
        <v>-3.13</v>
      </c>
    </row>
    <row r="15" spans="1:146" ht="96">
      <c r="A15" s="6"/>
      <c r="B15" s="6" t="s">
        <v>318</v>
      </c>
      <c r="C15" s="6" t="str">
        <f>""&amp;CHAR(10)&amp;Basic_Fundamental_Information_Constructure(F15)&amp;CHAR(10)&amp;Basic_Fundamental_Information_Concatenate("")</f>
        <v xml:space="preserve">
市值92.140669亿, 利润1.93亿; PE49.97; 平均PE13.44; 平均PEG6.99, PB1.41; ROIC10.51%; ROE9.7767%; 股利率1.1905%; 毛利10.7933%; 净利5.8667%; 上一年度营收增-15.48%, 利润增-57.4%; 当季营收增-4.58%, 利润增-17.53%; 过往5年营收增1.92%, 利润增-15.55%
Income profile:
</v>
      </c>
      <c r="D15" t="s">
        <v>43</v>
      </c>
      <c r="E15" t="s">
        <v>8</v>
      </c>
      <c r="F15">
        <v>4.2</v>
      </c>
      <c r="G15">
        <v>9.9499999999999993</v>
      </c>
      <c r="H15" t="s">
        <v>1096</v>
      </c>
      <c r="I15">
        <v>9214066900</v>
      </c>
      <c r="J15">
        <v>49.97</v>
      </c>
      <c r="K15">
        <v>1.41</v>
      </c>
      <c r="L15" t="s">
        <v>37</v>
      </c>
      <c r="M15" t="s">
        <v>1097</v>
      </c>
      <c r="N15" t="s">
        <v>1098</v>
      </c>
      <c r="O15" t="s">
        <v>1099</v>
      </c>
      <c r="P15">
        <v>-4.59</v>
      </c>
      <c r="Q15" t="s">
        <v>1100</v>
      </c>
      <c r="R15">
        <v>42465895</v>
      </c>
      <c r="S15" s="5">
        <v>-0.17530000000000001</v>
      </c>
      <c r="T15" t="s">
        <v>494</v>
      </c>
      <c r="U15">
        <v>2193821900</v>
      </c>
      <c r="V15">
        <v>2193825400</v>
      </c>
      <c r="W15">
        <v>2.19</v>
      </c>
      <c r="X15">
        <v>0.16</v>
      </c>
      <c r="Y15">
        <v>1.26</v>
      </c>
      <c r="Z15" t="s">
        <v>1101</v>
      </c>
      <c r="AA15" t="s">
        <v>750</v>
      </c>
      <c r="AB15" t="s">
        <v>1102</v>
      </c>
      <c r="AC15" t="s">
        <v>1103</v>
      </c>
      <c r="AD15" t="s">
        <v>73</v>
      </c>
      <c r="AE15">
        <v>620957</v>
      </c>
      <c r="AF15" t="s">
        <v>1104</v>
      </c>
      <c r="AG15" t="s">
        <v>1105</v>
      </c>
      <c r="AH15" t="s">
        <v>1106</v>
      </c>
      <c r="AI15" t="s">
        <v>1107</v>
      </c>
      <c r="AJ15" t="s">
        <v>1108</v>
      </c>
      <c r="AK15" t="s">
        <v>73</v>
      </c>
      <c r="AL15" t="s">
        <v>1109</v>
      </c>
      <c r="AM15" t="s">
        <v>73</v>
      </c>
      <c r="AN15" t="s">
        <v>1110</v>
      </c>
      <c r="AO15" t="s">
        <v>1111</v>
      </c>
      <c r="AP15" t="s">
        <v>232</v>
      </c>
      <c r="AQ15" t="s">
        <v>294</v>
      </c>
      <c r="AR15" t="s">
        <v>73</v>
      </c>
      <c r="AS15" t="s">
        <v>1112</v>
      </c>
      <c r="AT15" t="s">
        <v>1113</v>
      </c>
      <c r="AU15" t="s">
        <v>1114</v>
      </c>
      <c r="AV15" t="s">
        <v>1115</v>
      </c>
      <c r="AW15" t="s">
        <v>1116</v>
      </c>
      <c r="AX15" t="s">
        <v>543</v>
      </c>
      <c r="AY15" t="s">
        <v>403</v>
      </c>
      <c r="AZ15" t="s">
        <v>199</v>
      </c>
      <c r="BA15" t="s">
        <v>127</v>
      </c>
      <c r="BB15" t="s">
        <v>201</v>
      </c>
      <c r="BC15" t="s">
        <v>544</v>
      </c>
      <c r="BD15" t="s">
        <v>404</v>
      </c>
      <c r="BE15" t="s">
        <v>200</v>
      </c>
      <c r="BF15" t="s">
        <v>128</v>
      </c>
      <c r="BG15" t="s">
        <v>202</v>
      </c>
      <c r="BH15" t="s">
        <v>1100</v>
      </c>
      <c r="BI15" t="s">
        <v>545</v>
      </c>
      <c r="BJ15" t="s">
        <v>543</v>
      </c>
      <c r="BK15" t="s">
        <v>494</v>
      </c>
      <c r="BL15" t="s">
        <v>1117</v>
      </c>
      <c r="BM15" t="s">
        <v>544</v>
      </c>
      <c r="BN15">
        <v>2.2000000000000002</v>
      </c>
      <c r="BO15">
        <v>7.25</v>
      </c>
      <c r="BP15">
        <v>22.08</v>
      </c>
      <c r="BQ15">
        <v>2.57</v>
      </c>
      <c r="BR15">
        <v>7.23</v>
      </c>
      <c r="BS15">
        <v>19.53</v>
      </c>
      <c r="BT15" t="s">
        <v>477</v>
      </c>
      <c r="BU15" t="s">
        <v>463</v>
      </c>
      <c r="BV15">
        <v>5.93</v>
      </c>
      <c r="BW15">
        <v>8.59</v>
      </c>
      <c r="BX15">
        <v>17.86</v>
      </c>
      <c r="BY15">
        <v>1.77</v>
      </c>
      <c r="BZ15">
        <v>4.41</v>
      </c>
      <c r="CA15">
        <v>11.42</v>
      </c>
      <c r="CB15">
        <v>11.41</v>
      </c>
      <c r="CC15">
        <v>-3</v>
      </c>
      <c r="CD15" t="s">
        <v>424</v>
      </c>
      <c r="CE15" t="s">
        <v>1118</v>
      </c>
      <c r="CF15" s="7">
        <v>-4.5829042224510931E-2</v>
      </c>
      <c r="CG15" s="8">
        <v>-0.17525296370529195</v>
      </c>
      <c r="CH15" s="7">
        <v>-0.15484510362148285</v>
      </c>
      <c r="CI15" s="7">
        <v>-1.6984874382615089E-2</v>
      </c>
      <c r="CJ15" s="7">
        <v>0.28141674399375916</v>
      </c>
      <c r="CK15" s="7">
        <v>7.0649310946464539E-2</v>
      </c>
      <c r="CL15" s="7">
        <v>-8.4081031382083893E-2</v>
      </c>
      <c r="CM15" s="8">
        <v>-0.57395142316818237</v>
      </c>
      <c r="CN15" s="8">
        <v>-0.59262591600418091</v>
      </c>
      <c r="CO15" s="8">
        <v>0.71076923608779907</v>
      </c>
      <c r="CP15" s="8">
        <v>0.22873346507549286</v>
      </c>
      <c r="CQ15" s="8">
        <v>-0.55055224895477295</v>
      </c>
      <c r="CR15">
        <v>13.438114098201265</v>
      </c>
      <c r="CS15">
        <v>6.9877321677564304</v>
      </c>
      <c r="CT15">
        <v>1.1904761904761905</v>
      </c>
      <c r="CU15" s="7">
        <v>1.9231009110808373E-2</v>
      </c>
      <c r="CV15" s="8">
        <v>-0.15552537739276887</v>
      </c>
      <c r="CW15">
        <v>0.06</v>
      </c>
      <c r="CX15">
        <v>69.389359710387367</v>
      </c>
      <c r="CY15">
        <v>185576966.75319433</v>
      </c>
      <c r="CZ15">
        <v>1.9231009110808373E-2</v>
      </c>
      <c r="DA15">
        <v>24.087469812512452</v>
      </c>
      <c r="DB15">
        <v>534596078.38557172</v>
      </c>
      <c r="DC15">
        <v>1.8269458655267953E-2</v>
      </c>
      <c r="DD15">
        <v>12.825689289855324</v>
      </c>
      <c r="DE15">
        <v>1004005836.1764084</v>
      </c>
      <c r="DF15">
        <v>1.6923288017511369E-2</v>
      </c>
      <c r="DG15">
        <v>8.3881424381402319</v>
      </c>
      <c r="DH15">
        <v>1535151196.4614451</v>
      </c>
      <c r="DI15">
        <v>1.5384807288646699E-2</v>
      </c>
      <c r="DJ15">
        <v>5.1701956665367899</v>
      </c>
      <c r="DK15">
        <v>2490634345.4938507</v>
      </c>
      <c r="DL15">
        <v>1.3461706377565861E-2</v>
      </c>
      <c r="DM15">
        <v>193000000</v>
      </c>
      <c r="DN15">
        <v>1.9231009110808373E-2</v>
      </c>
      <c r="DO15">
        <v>12877066900</v>
      </c>
      <c r="DP15">
        <v>2604237000</v>
      </c>
      <c r="DQ15">
        <v>591</v>
      </c>
      <c r="DR15">
        <v>-6.5060051335319308E-2</v>
      </c>
      <c r="DS15">
        <v>-1.9727586312523082E-2</v>
      </c>
      <c r="DT15" s="9">
        <v>-0.47333333333333333</v>
      </c>
      <c r="DU15">
        <v>-0.2533333333333333</v>
      </c>
      <c r="DV15">
        <v>-0.72666666666666657</v>
      </c>
      <c r="DW15">
        <v>5.2629272567922873</v>
      </c>
      <c r="DX15">
        <v>1.1739185750636068</v>
      </c>
      <c r="DY15">
        <v>5.0588742966863141</v>
      </c>
      <c r="DZ15">
        <v>3238</v>
      </c>
      <c r="EA15">
        <v>5.0215680398036753</v>
      </c>
      <c r="EB15">
        <v>5</v>
      </c>
      <c r="EC15">
        <v>8.0225162859359725E-2</v>
      </c>
      <c r="ED15">
        <v>0.35827828413327695</v>
      </c>
      <c r="EE15" s="10">
        <v>-1.0444100000000001</v>
      </c>
      <c r="EF15">
        <v>-1.07511</v>
      </c>
      <c r="EG15">
        <v>95.223918575063607</v>
      </c>
      <c r="EH15" t="s">
        <v>935</v>
      </c>
      <c r="EI15">
        <v>1</v>
      </c>
      <c r="EJ15">
        <v>0</v>
      </c>
      <c r="EK15" s="12">
        <v>45470</v>
      </c>
      <c r="EL15" s="13">
        <v>-0.25</v>
      </c>
      <c r="EM15" s="13">
        <v>-5.45</v>
      </c>
      <c r="EN15" s="13">
        <v>0.26</v>
      </c>
      <c r="EO15" s="13">
        <v>3.44</v>
      </c>
      <c r="EP15" s="13">
        <v>-3.07</v>
      </c>
    </row>
    <row r="16" spans="1:146" ht="96">
      <c r="A16" s="6"/>
      <c r="B16" s="6"/>
      <c r="C16" s="6" t="str">
        <f>""&amp;CHAR(10)&amp;Basic_Fundamental_Information_Constructure(F16)&amp;CHAR(10)&amp;Basic_Fundamental_Information_Concatenate("")</f>
        <v xml:space="preserve">
市值73.792445亿, 利润-6.68亿; PE; 平均PE2.63; 平均PEG.33, PB.364; ROIC7.345%; ROE5.4167%; 股利率0%; 毛利7.7133%; 净利1.7633%; 上一年度营收增-7.2%, 利润增-580.58%; 当季营收增-6.42%, 利润增-58.61%; 过往5年营收增8.05%, 利润增-139.17%
Income profile:
</v>
      </c>
      <c r="D16" t="s">
        <v>67</v>
      </c>
      <c r="E16" t="s">
        <v>29</v>
      </c>
      <c r="F16">
        <v>3.01</v>
      </c>
      <c r="G16">
        <v>0.67</v>
      </c>
      <c r="H16" t="s">
        <v>1119</v>
      </c>
      <c r="I16">
        <v>7379244500</v>
      </c>
      <c r="K16">
        <v>0.36399999999999999</v>
      </c>
      <c r="L16" t="s">
        <v>37</v>
      </c>
      <c r="M16" t="s">
        <v>1120</v>
      </c>
      <c r="N16" t="s">
        <v>1121</v>
      </c>
      <c r="O16" t="s">
        <v>1122</v>
      </c>
      <c r="P16">
        <v>-6.42</v>
      </c>
      <c r="Q16" t="s">
        <v>1123</v>
      </c>
      <c r="R16">
        <v>-105354512</v>
      </c>
      <c r="S16" s="5">
        <v>-0.58609999999999995</v>
      </c>
      <c r="T16" t="s">
        <v>1124</v>
      </c>
      <c r="U16">
        <v>2429076200</v>
      </c>
      <c r="V16">
        <v>2451576200</v>
      </c>
      <c r="W16">
        <v>2.58</v>
      </c>
      <c r="X16">
        <v>0.22</v>
      </c>
      <c r="Y16">
        <v>-0.93</v>
      </c>
      <c r="Z16" t="s">
        <v>1125</v>
      </c>
      <c r="AA16" t="s">
        <v>1126</v>
      </c>
      <c r="AB16" t="s">
        <v>1127</v>
      </c>
      <c r="AC16" t="s">
        <v>524</v>
      </c>
      <c r="AD16" t="s">
        <v>73</v>
      </c>
      <c r="AE16">
        <v>74186194</v>
      </c>
      <c r="AF16" t="s">
        <v>1128</v>
      </c>
      <c r="AG16" t="s">
        <v>1129</v>
      </c>
      <c r="AH16" t="s">
        <v>1130</v>
      </c>
      <c r="AI16" t="s">
        <v>1131</v>
      </c>
      <c r="AJ16" t="s">
        <v>1132</v>
      </c>
      <c r="AK16" t="s">
        <v>1133</v>
      </c>
      <c r="AL16" t="s">
        <v>1134</v>
      </c>
      <c r="AM16" t="s">
        <v>73</v>
      </c>
      <c r="AN16" t="s">
        <v>1135</v>
      </c>
      <c r="AO16" t="s">
        <v>1136</v>
      </c>
      <c r="AP16" t="s">
        <v>1137</v>
      </c>
      <c r="AQ16" t="s">
        <v>1138</v>
      </c>
      <c r="AR16" t="s">
        <v>73</v>
      </c>
      <c r="AS16" t="s">
        <v>1139</v>
      </c>
      <c r="AT16" t="s">
        <v>1140</v>
      </c>
      <c r="AU16" t="s">
        <v>1141</v>
      </c>
      <c r="AV16" t="s">
        <v>1142</v>
      </c>
      <c r="AW16" t="s">
        <v>1143</v>
      </c>
      <c r="AX16" t="s">
        <v>546</v>
      </c>
      <c r="AY16" t="s">
        <v>405</v>
      </c>
      <c r="AZ16" t="s">
        <v>204</v>
      </c>
      <c r="BA16" t="s">
        <v>206</v>
      </c>
      <c r="BB16" t="s">
        <v>207</v>
      </c>
      <c r="BC16" t="s">
        <v>510</v>
      </c>
      <c r="BD16" t="s">
        <v>406</v>
      </c>
      <c r="BE16" t="s">
        <v>205</v>
      </c>
      <c r="BF16" t="s">
        <v>208</v>
      </c>
      <c r="BG16" t="s">
        <v>209</v>
      </c>
      <c r="BH16" t="s">
        <v>1123</v>
      </c>
      <c r="BI16" t="s">
        <v>1144</v>
      </c>
      <c r="BJ16" t="s">
        <v>546</v>
      </c>
      <c r="BK16" t="s">
        <v>1124</v>
      </c>
      <c r="BL16" t="s">
        <v>1145</v>
      </c>
      <c r="BM16" t="s">
        <v>510</v>
      </c>
      <c r="BN16" t="s">
        <v>73</v>
      </c>
      <c r="BO16">
        <v>0.86</v>
      </c>
      <c r="BP16">
        <v>13.83</v>
      </c>
      <c r="BQ16">
        <v>-2.82</v>
      </c>
      <c r="BR16">
        <v>0.63</v>
      </c>
      <c r="BS16">
        <v>18.440000000000001</v>
      </c>
      <c r="BT16" t="s">
        <v>476</v>
      </c>
      <c r="BU16" t="s">
        <v>464</v>
      </c>
      <c r="BV16">
        <v>5.31</v>
      </c>
      <c r="BW16">
        <v>5.53</v>
      </c>
      <c r="BX16">
        <v>12.3</v>
      </c>
      <c r="BY16">
        <v>-1.37</v>
      </c>
      <c r="BZ16">
        <v>0.28999999999999998</v>
      </c>
      <c r="CA16">
        <v>6.37</v>
      </c>
      <c r="CB16">
        <v>2.0299999999999998</v>
      </c>
      <c r="CC16">
        <v>-16.850000000000001</v>
      </c>
      <c r="CD16" t="s">
        <v>1146</v>
      </c>
      <c r="CE16" t="s">
        <v>1147</v>
      </c>
      <c r="CF16" s="7">
        <v>-6.4160401002506265E-2</v>
      </c>
      <c r="CG16" s="8">
        <v>-0.5861292575998458</v>
      </c>
      <c r="CH16" s="7">
        <v>-7.1953952312469482E-2</v>
      </c>
      <c r="CI16" s="7">
        <v>-0.17680434882640839</v>
      </c>
      <c r="CJ16" s="7">
        <v>0.29025831818580627</v>
      </c>
      <c r="CK16" s="7">
        <v>-4.7100387513637543E-2</v>
      </c>
      <c r="CL16" s="7">
        <v>0.40807780623435974</v>
      </c>
      <c r="CM16" s="8">
        <v>-5.805755615234375</v>
      </c>
      <c r="CN16" s="8">
        <v>-0.96506661176681519</v>
      </c>
      <c r="CO16" s="8">
        <v>0.55672931671142578</v>
      </c>
      <c r="CP16" s="8">
        <v>-0.40888062119483948</v>
      </c>
      <c r="CQ16" s="8">
        <v>-0.33548489212989807</v>
      </c>
      <c r="CR16">
        <v>2.6296529666805251</v>
      </c>
      <c r="CS16">
        <v>0.32668327873647784</v>
      </c>
      <c r="CT16">
        <v>0</v>
      </c>
      <c r="CU16" s="7">
        <v>8.0495487153530124E-2</v>
      </c>
      <c r="CV16" s="8">
        <v>-1.3916916847229004</v>
      </c>
      <c r="CW16">
        <v>0.06</v>
      </c>
      <c r="CX16" t="e">
        <v>#VALUE!</v>
      </c>
      <c r="CY16" t="s">
        <v>455</v>
      </c>
      <c r="CZ16">
        <v>8.0495487153530124E-2</v>
      </c>
      <c r="DA16" t="e">
        <v>#VALUE!</v>
      </c>
      <c r="DB16" t="s">
        <v>456</v>
      </c>
      <c r="DC16">
        <v>7.6470712795853615E-2</v>
      </c>
      <c r="DD16" t="e">
        <v>#VALUE!</v>
      </c>
      <c r="DE16" t="s">
        <v>456</v>
      </c>
      <c r="DF16">
        <v>7.0836028695106509E-2</v>
      </c>
      <c r="DG16" t="e">
        <v>#VALUE!</v>
      </c>
      <c r="DH16" t="s">
        <v>456</v>
      </c>
      <c r="DI16">
        <v>6.4396389722824104E-2</v>
      </c>
      <c r="DJ16" t="e">
        <v>#VALUE!</v>
      </c>
      <c r="DK16" t="s">
        <v>456</v>
      </c>
      <c r="DL16">
        <v>5.6346841007471081E-2</v>
      </c>
      <c r="DM16">
        <v>-668000000</v>
      </c>
      <c r="DN16">
        <v>8.0495487153530124E-2</v>
      </c>
      <c r="DO16">
        <v>14535244500</v>
      </c>
      <c r="DP16">
        <v>-7876688000</v>
      </c>
      <c r="DQ16">
        <v>624</v>
      </c>
      <c r="DR16">
        <v>-0.14465588815603639</v>
      </c>
      <c r="DS16">
        <v>0.80556242712305459</v>
      </c>
      <c r="DT16" s="9">
        <v>-0.35666666666666669</v>
      </c>
      <c r="DU16">
        <v>-2.0316666666666667</v>
      </c>
      <c r="DV16">
        <v>-2.3883333333333336</v>
      </c>
      <c r="DW16">
        <v>-3.0096130952380951</v>
      </c>
      <c r="DX16">
        <v>0.33353838709677586</v>
      </c>
      <c r="DY16">
        <v>-3.001187586280722</v>
      </c>
      <c r="DZ16">
        <v>4619</v>
      </c>
      <c r="EA16">
        <v>-3.000114110540868</v>
      </c>
      <c r="EB16">
        <v>3</v>
      </c>
      <c r="EC16">
        <v>1.5621337815239028E-2</v>
      </c>
      <c r="ED16">
        <v>0.12644926149960176</v>
      </c>
      <c r="EE16" s="10">
        <v>7.1400000000000005E-2</v>
      </c>
      <c r="EF16">
        <v>5.4900000000000004E-2</v>
      </c>
      <c r="EG16">
        <v>21.123538387096776</v>
      </c>
      <c r="EH16" t="s">
        <v>453</v>
      </c>
      <c r="EI16">
        <v>0</v>
      </c>
      <c r="EJ16">
        <v>0</v>
      </c>
      <c r="EK16" s="12">
        <v>45470</v>
      </c>
      <c r="EL16" s="13">
        <v>-0.33</v>
      </c>
      <c r="EM16" s="13">
        <v>-2.96</v>
      </c>
      <c r="EN16" s="13">
        <v>0.68</v>
      </c>
      <c r="EO16" s="13">
        <v>2.02</v>
      </c>
      <c r="EP16" s="13">
        <v>-1.65</v>
      </c>
    </row>
    <row r="17" spans="1:146" ht="96">
      <c r="A17" s="6"/>
      <c r="B17" s="6"/>
      <c r="C17" s="6" t="str">
        <f>""&amp;CHAR(10)&amp;Basic_Fundamental_Information_Constructure(F17)&amp;CHAR(10)&amp;Basic_Fundamental_Information_Concatenate("")</f>
        <v xml:space="preserve">
市值224.74927亿, 利润14.89亿; PE14.19; 平均PE26.2; 平均PEG1.6, PB3.06; ROIC16.51%; ROE18.7633%; 股利率2.087%; 毛利25.4633%; 净利16.8967%; 上一年度营收增31.07%, 利润增15.61%; 当季营收增42.29%, 利润增40.83%; 过往5年营收增16.39%, 利润增39.91%
Income profile:
</v>
      </c>
      <c r="D17" t="s">
        <v>48</v>
      </c>
      <c r="E17" t="s">
        <v>6</v>
      </c>
      <c r="F17">
        <v>23</v>
      </c>
      <c r="G17">
        <v>1.23</v>
      </c>
      <c r="H17" t="s">
        <v>1148</v>
      </c>
      <c r="I17">
        <v>22474927000</v>
      </c>
      <c r="J17">
        <v>14.19</v>
      </c>
      <c r="K17">
        <v>3.06</v>
      </c>
      <c r="L17" t="s">
        <v>37</v>
      </c>
      <c r="M17" t="s">
        <v>1149</v>
      </c>
      <c r="N17" t="s">
        <v>1150</v>
      </c>
      <c r="O17" t="s">
        <v>1151</v>
      </c>
      <c r="P17">
        <v>42.3</v>
      </c>
      <c r="Q17" t="s">
        <v>1152</v>
      </c>
      <c r="R17">
        <v>328132790</v>
      </c>
      <c r="S17" s="5">
        <v>0.40949999999999998</v>
      </c>
      <c r="T17" t="s">
        <v>1153</v>
      </c>
      <c r="U17">
        <v>954276730</v>
      </c>
      <c r="V17">
        <v>977170720</v>
      </c>
      <c r="W17">
        <v>1.71</v>
      </c>
      <c r="X17">
        <v>0.18</v>
      </c>
      <c r="Y17">
        <v>14.47</v>
      </c>
      <c r="Z17" t="s">
        <v>1154</v>
      </c>
      <c r="AA17" t="s">
        <v>1155</v>
      </c>
      <c r="AB17" t="s">
        <v>1156</v>
      </c>
      <c r="AC17" t="s">
        <v>1157</v>
      </c>
      <c r="AD17" t="s">
        <v>73</v>
      </c>
      <c r="AE17">
        <v>-30542893</v>
      </c>
      <c r="AF17" t="s">
        <v>1158</v>
      </c>
      <c r="AG17" t="s">
        <v>1159</v>
      </c>
      <c r="AH17" t="s">
        <v>1160</v>
      </c>
      <c r="AI17" t="s">
        <v>1161</v>
      </c>
      <c r="AJ17" t="s">
        <v>1162</v>
      </c>
      <c r="AK17" t="s">
        <v>304</v>
      </c>
      <c r="AL17" t="s">
        <v>1163</v>
      </c>
      <c r="AM17" t="s">
        <v>73</v>
      </c>
      <c r="AN17" t="s">
        <v>585</v>
      </c>
      <c r="AO17" t="s">
        <v>1164</v>
      </c>
      <c r="AP17" t="s">
        <v>1165</v>
      </c>
      <c r="AQ17" t="s">
        <v>559</v>
      </c>
      <c r="AR17" t="s">
        <v>73</v>
      </c>
      <c r="AS17" t="s">
        <v>1166</v>
      </c>
      <c r="AT17" t="s">
        <v>1167</v>
      </c>
      <c r="AU17" t="s">
        <v>1168</v>
      </c>
      <c r="AV17" t="s">
        <v>1169</v>
      </c>
      <c r="AW17" t="s">
        <v>1170</v>
      </c>
      <c r="AX17" t="s">
        <v>548</v>
      </c>
      <c r="AY17" t="s">
        <v>407</v>
      </c>
      <c r="AZ17" t="s">
        <v>211</v>
      </c>
      <c r="BA17" t="s">
        <v>129</v>
      </c>
      <c r="BB17" t="s">
        <v>213</v>
      </c>
      <c r="BC17" t="s">
        <v>549</v>
      </c>
      <c r="BD17" t="s">
        <v>408</v>
      </c>
      <c r="BE17" t="s">
        <v>212</v>
      </c>
      <c r="BF17" t="s">
        <v>130</v>
      </c>
      <c r="BG17" t="s">
        <v>214</v>
      </c>
      <c r="BH17" t="s">
        <v>1152</v>
      </c>
      <c r="BI17" t="s">
        <v>1171</v>
      </c>
      <c r="BJ17" t="s">
        <v>548</v>
      </c>
      <c r="BK17" t="s">
        <v>1153</v>
      </c>
      <c r="BL17" t="s">
        <v>566</v>
      </c>
      <c r="BM17" t="s">
        <v>549</v>
      </c>
      <c r="BN17">
        <v>14.15</v>
      </c>
      <c r="BO17">
        <v>20.48</v>
      </c>
      <c r="BP17">
        <v>14.9</v>
      </c>
      <c r="BQ17">
        <v>16.920000000000002</v>
      </c>
      <c r="BR17">
        <v>23.04</v>
      </c>
      <c r="BS17">
        <v>16.329999999999998</v>
      </c>
      <c r="BT17" t="s">
        <v>1172</v>
      </c>
      <c r="BU17" t="s">
        <v>463</v>
      </c>
      <c r="BV17">
        <v>26.18</v>
      </c>
      <c r="BW17">
        <v>25.28</v>
      </c>
      <c r="BX17">
        <v>24.93</v>
      </c>
      <c r="BY17">
        <v>17.41</v>
      </c>
      <c r="BZ17">
        <v>19.850000000000001</v>
      </c>
      <c r="CA17">
        <v>13.43</v>
      </c>
      <c r="CB17">
        <v>-1.41</v>
      </c>
      <c r="CC17">
        <v>-2.21</v>
      </c>
      <c r="CD17" t="s">
        <v>1173</v>
      </c>
      <c r="CE17" t="s">
        <v>630</v>
      </c>
      <c r="CF17" s="7">
        <v>0.42287075640262062</v>
      </c>
      <c r="CG17" s="8">
        <v>0.40829523605150214</v>
      </c>
      <c r="CH17" s="7">
        <v>0.31069299578666687</v>
      </c>
      <c r="CI17" s="7">
        <v>9.4241678714752197E-2</v>
      </c>
      <c r="CJ17" s="7">
        <v>0.2056509256362915</v>
      </c>
      <c r="CK17" s="7">
        <v>0.11674545705318451</v>
      </c>
      <c r="CL17" s="7">
        <v>9.2050239443778992E-2</v>
      </c>
      <c r="CM17" s="8">
        <v>0.15605585277080536</v>
      </c>
      <c r="CN17" s="8">
        <v>0.62216627597808838</v>
      </c>
      <c r="CO17" s="8">
        <v>2.8497409075498581E-2</v>
      </c>
      <c r="CP17" s="8">
        <v>0.54400002956390381</v>
      </c>
      <c r="CQ17" s="8">
        <v>0.64473682641983032</v>
      </c>
      <c r="CR17">
        <v>26.199642898775984</v>
      </c>
      <c r="CS17">
        <v>1.5987454806682784</v>
      </c>
      <c r="CT17">
        <v>2.0869565217391304</v>
      </c>
      <c r="CU17" s="7">
        <v>0.16387625932693481</v>
      </c>
      <c r="CV17" s="8">
        <v>0.39909127876162531</v>
      </c>
      <c r="CW17">
        <v>0.06</v>
      </c>
      <c r="CX17">
        <v>12.516800661204467</v>
      </c>
      <c r="CY17">
        <v>1634916745.4130244</v>
      </c>
      <c r="CZ17">
        <v>0.16387625932693481</v>
      </c>
      <c r="DA17">
        <v>3.8443876847904108</v>
      </c>
      <c r="DB17">
        <v>5323065382.0273218</v>
      </c>
      <c r="DC17">
        <v>0.15568244636058806</v>
      </c>
      <c r="DD17">
        <v>1.7379902229158568</v>
      </c>
      <c r="DE17">
        <v>11774477629.492823</v>
      </c>
      <c r="DF17">
        <v>0.14421110820770264</v>
      </c>
      <c r="DG17">
        <v>0.94513661047747455</v>
      </c>
      <c r="DH17">
        <v>21651819190.097618</v>
      </c>
      <c r="DI17">
        <v>0.13110100746154785</v>
      </c>
      <c r="DJ17">
        <v>0.38853147975328522</v>
      </c>
      <c r="DK17">
        <v>52669932981.992737</v>
      </c>
      <c r="DL17">
        <v>0.11471338152885435</v>
      </c>
      <c r="DM17">
        <v>1489000000</v>
      </c>
      <c r="DN17">
        <v>0.16387625932693481</v>
      </c>
      <c r="DO17">
        <v>20463927000</v>
      </c>
      <c r="DP17">
        <v>3525094000</v>
      </c>
      <c r="DQ17">
        <v>825</v>
      </c>
      <c r="DR17">
        <v>0.25899449707568578</v>
      </c>
      <c r="DS17">
        <v>9.2039572898768296E-3</v>
      </c>
      <c r="DT17" s="9">
        <v>-0.14000000000000001</v>
      </c>
      <c r="DU17">
        <v>1.0033333333333334</v>
      </c>
      <c r="DV17">
        <v>0.8633333333333334</v>
      </c>
      <c r="DW17">
        <v>-2.2099999999999998E-2</v>
      </c>
      <c r="DX17">
        <v>0.50645483870967589</v>
      </c>
      <c r="DY17">
        <v>-3.6786519354838707E-3</v>
      </c>
      <c r="DZ17">
        <v>295</v>
      </c>
      <c r="EA17">
        <v>-3.4662835752162107E-3</v>
      </c>
      <c r="EB17">
        <v>0</v>
      </c>
      <c r="EC17">
        <v>2.6403267588697297E-2</v>
      </c>
      <c r="ED17">
        <v>0.15862120797070137</v>
      </c>
      <c r="EE17" s="10">
        <v>4.0320099999999996</v>
      </c>
      <c r="EF17">
        <v>4.0571099999999998</v>
      </c>
      <c r="EG17">
        <v>34.166454838709676</v>
      </c>
      <c r="EH17" t="s">
        <v>1016</v>
      </c>
      <c r="EI17">
        <v>0</v>
      </c>
      <c r="EJ17">
        <v>1</v>
      </c>
      <c r="EK17" s="12">
        <v>45470</v>
      </c>
      <c r="EL17" s="13">
        <v>-0.97</v>
      </c>
      <c r="EM17" s="13">
        <v>0.76</v>
      </c>
      <c r="EN17" s="13">
        <v>0.04</v>
      </c>
      <c r="EO17" s="13">
        <v>-0.97</v>
      </c>
      <c r="EP17" s="13">
        <v>-2.5099999999999998</v>
      </c>
    </row>
    <row r="18" spans="1:146" ht="96">
      <c r="A18" s="6"/>
      <c r="B18" s="6"/>
      <c r="C18" s="6" t="str">
        <f>""&amp;CHAR(10)&amp;Basic_Fundamental_Information_Constructure(F18)&amp;CHAR(10)&amp;Basic_Fundamental_Information_Concatenate("")</f>
        <v xml:space="preserve">
市值28.265079亿, 利润2.84亿; PE10.47; 平均PE8.67; 平均PEG1.75, PB.83; ROIC8.62%; ROE9.29%; 股利率1.105%; 毛利11.77%; 净利5.2467%; 上一年度营收增-5.68%, 利润增20.85%; 当季营收增-16.57%, 利润增-21.86%; 过往5年营收增4.96%, 利润增20.83%
Income profile:
</v>
      </c>
      <c r="D18" t="s">
        <v>52</v>
      </c>
      <c r="E18" t="s">
        <v>7</v>
      </c>
      <c r="F18">
        <v>5.43</v>
      </c>
      <c r="G18">
        <v>0.74</v>
      </c>
      <c r="H18" t="s">
        <v>1174</v>
      </c>
      <c r="I18">
        <v>2826507900</v>
      </c>
      <c r="J18">
        <v>10.47</v>
      </c>
      <c r="K18">
        <v>0.83</v>
      </c>
      <c r="L18" t="s">
        <v>37</v>
      </c>
      <c r="M18" t="s">
        <v>1175</v>
      </c>
      <c r="N18" t="s">
        <v>1176</v>
      </c>
      <c r="O18" t="s">
        <v>1177</v>
      </c>
      <c r="P18">
        <v>-16.600000000000001</v>
      </c>
      <c r="Q18" t="s">
        <v>1178</v>
      </c>
      <c r="R18">
        <v>49141032</v>
      </c>
      <c r="S18" s="5">
        <v>-0.21859999999999999</v>
      </c>
      <c r="T18" t="s">
        <v>1179</v>
      </c>
      <c r="U18">
        <v>519426570</v>
      </c>
      <c r="V18">
        <v>520535520</v>
      </c>
      <c r="W18">
        <v>1.27</v>
      </c>
      <c r="X18">
        <v>0.22</v>
      </c>
      <c r="Y18">
        <v>5.46</v>
      </c>
      <c r="Z18" t="s">
        <v>1180</v>
      </c>
      <c r="AA18" t="s">
        <v>1181</v>
      </c>
      <c r="AB18" t="s">
        <v>1182</v>
      </c>
      <c r="AC18" t="s">
        <v>1183</v>
      </c>
      <c r="AD18" t="s">
        <v>73</v>
      </c>
      <c r="AE18">
        <v>-2862222</v>
      </c>
      <c r="AF18" t="s">
        <v>1184</v>
      </c>
      <c r="AG18" t="s">
        <v>1185</v>
      </c>
      <c r="AH18" t="s">
        <v>1186</v>
      </c>
      <c r="AI18" t="s">
        <v>1187</v>
      </c>
      <c r="AJ18" t="s">
        <v>1188</v>
      </c>
      <c r="AK18" t="s">
        <v>1189</v>
      </c>
      <c r="AL18" t="s">
        <v>1190</v>
      </c>
      <c r="AM18" t="s">
        <v>73</v>
      </c>
      <c r="AN18" t="s">
        <v>1191</v>
      </c>
      <c r="AO18" t="s">
        <v>1192</v>
      </c>
      <c r="AP18" t="s">
        <v>73</v>
      </c>
      <c r="AQ18" t="s">
        <v>614</v>
      </c>
      <c r="AR18" t="s">
        <v>73</v>
      </c>
      <c r="AS18" t="s">
        <v>1193</v>
      </c>
      <c r="AT18" t="s">
        <v>73</v>
      </c>
      <c r="AU18" t="s">
        <v>1194</v>
      </c>
      <c r="AV18" t="s">
        <v>1195</v>
      </c>
      <c r="AW18" t="s">
        <v>1196</v>
      </c>
      <c r="AX18" t="s">
        <v>553</v>
      </c>
      <c r="AY18" t="s">
        <v>409</v>
      </c>
      <c r="AZ18" t="s">
        <v>217</v>
      </c>
      <c r="BA18" t="s">
        <v>131</v>
      </c>
      <c r="BB18" t="s">
        <v>219</v>
      </c>
      <c r="BC18" t="s">
        <v>554</v>
      </c>
      <c r="BD18" t="s">
        <v>410</v>
      </c>
      <c r="BE18" t="s">
        <v>218</v>
      </c>
      <c r="BF18" t="s">
        <v>132</v>
      </c>
      <c r="BG18" t="s">
        <v>122</v>
      </c>
      <c r="BH18" t="s">
        <v>1178</v>
      </c>
      <c r="BI18" t="s">
        <v>1197</v>
      </c>
      <c r="BJ18" t="s">
        <v>553</v>
      </c>
      <c r="BK18" t="s">
        <v>1179</v>
      </c>
      <c r="BL18" t="s">
        <v>1198</v>
      </c>
      <c r="BM18" t="s">
        <v>554</v>
      </c>
      <c r="BN18">
        <v>6.43</v>
      </c>
      <c r="BO18">
        <v>7.11</v>
      </c>
      <c r="BP18">
        <v>12.32</v>
      </c>
      <c r="BQ18">
        <v>7.14</v>
      </c>
      <c r="BR18">
        <v>7.68</v>
      </c>
      <c r="BS18">
        <v>13.05</v>
      </c>
      <c r="BT18" t="s">
        <v>933</v>
      </c>
      <c r="BU18" t="s">
        <v>463</v>
      </c>
      <c r="BV18">
        <v>12.3</v>
      </c>
      <c r="BW18">
        <v>10.86</v>
      </c>
      <c r="BX18">
        <v>12.15</v>
      </c>
      <c r="BY18">
        <v>5.54</v>
      </c>
      <c r="BZ18">
        <v>4.34</v>
      </c>
      <c r="CA18">
        <v>5.86</v>
      </c>
      <c r="CB18">
        <v>1.69</v>
      </c>
      <c r="CC18">
        <v>-8.59</v>
      </c>
      <c r="CD18" t="s">
        <v>1199</v>
      </c>
      <c r="CE18" t="s">
        <v>424</v>
      </c>
      <c r="CF18" s="7">
        <v>-0.1657280772325021</v>
      </c>
      <c r="CG18" s="8">
        <v>-0.21861557615953009</v>
      </c>
      <c r="CH18" s="7">
        <v>-5.6823760271072388E-2</v>
      </c>
      <c r="CI18" s="7">
        <v>-0.13545362651348114</v>
      </c>
      <c r="CJ18" s="7">
        <v>0.37827780842781067</v>
      </c>
      <c r="CK18" s="7">
        <v>1.2081638909876347E-2</v>
      </c>
      <c r="CL18" s="7">
        <v>5.0124779343605042E-2</v>
      </c>
      <c r="CM18" s="8">
        <v>0.2085106372833252</v>
      </c>
      <c r="CN18" s="8">
        <v>-0.39119172096252441</v>
      </c>
      <c r="CO18" s="8">
        <v>-0.3390410840511322</v>
      </c>
      <c r="CP18" s="8">
        <v>1.1236363649368286</v>
      </c>
      <c r="CQ18" s="8">
        <v>0.43979057669639587</v>
      </c>
      <c r="CR18">
        <v>8.6747045524296684</v>
      </c>
      <c r="CS18">
        <v>1.7474749197158719</v>
      </c>
      <c r="CT18">
        <v>1.1049723756906078</v>
      </c>
      <c r="CU18" s="7">
        <v>4.9641367979347706E-2</v>
      </c>
      <c r="CV18" s="8">
        <v>0.20834095478057862</v>
      </c>
      <c r="CW18">
        <v>0.06</v>
      </c>
      <c r="CX18">
        <v>0.84099272422968685</v>
      </c>
      <c r="CY18">
        <v>281224668.4020139</v>
      </c>
      <c r="CZ18">
        <v>4.9641367979347706E-2</v>
      </c>
      <c r="DA18">
        <v>0.28442697092131747</v>
      </c>
      <c r="DB18">
        <v>831524166.76204181</v>
      </c>
      <c r="DC18">
        <v>4.7159299580380315E-2</v>
      </c>
      <c r="DD18">
        <v>0.1464879936989088</v>
      </c>
      <c r="DE18">
        <v>1614520712.7767615</v>
      </c>
      <c r="DF18">
        <v>4.3684403821825979E-2</v>
      </c>
      <c r="DG18">
        <v>9.2473327561973476E-2</v>
      </c>
      <c r="DH18">
        <v>2557579641.9945836</v>
      </c>
      <c r="DI18">
        <v>3.971309438347817E-2</v>
      </c>
      <c r="DJ18">
        <v>5.3119320867307272E-2</v>
      </c>
      <c r="DK18">
        <v>4452389378.072052</v>
      </c>
      <c r="DL18">
        <v>3.4748957585543389E-2</v>
      </c>
      <c r="DM18">
        <v>284000000</v>
      </c>
      <c r="DN18">
        <v>4.9641367979347706E-2</v>
      </c>
      <c r="DO18">
        <v>236507900</v>
      </c>
      <c r="DP18">
        <v>2760965100</v>
      </c>
      <c r="DQ18">
        <v>946</v>
      </c>
      <c r="DR18">
        <v>-0.21536944521184981</v>
      </c>
      <c r="DS18">
        <v>-0.42695653094010871</v>
      </c>
      <c r="DT18" s="9">
        <v>-0.3066666666666667</v>
      </c>
      <c r="DU18">
        <v>-3.3333333333333726E-3</v>
      </c>
      <c r="DV18">
        <v>-0.31000000000000005</v>
      </c>
      <c r="DW18">
        <v>-2.0859000000000001</v>
      </c>
      <c r="DX18">
        <v>0.22541249999999968</v>
      </c>
      <c r="DY18">
        <v>-2.00991393375</v>
      </c>
      <c r="DZ18">
        <v>2483</v>
      </c>
      <c r="EA18">
        <v>-2.005096654395548</v>
      </c>
      <c r="EB18">
        <v>2</v>
      </c>
      <c r="EC18">
        <v>3.9022505130869842E-2</v>
      </c>
      <c r="ED18">
        <v>0.33811333374521685</v>
      </c>
      <c r="EE18" s="10">
        <v>-1.0362</v>
      </c>
      <c r="EF18">
        <v>-1.038</v>
      </c>
      <c r="EG18">
        <v>11.1154125</v>
      </c>
      <c r="EH18" t="s">
        <v>534</v>
      </c>
      <c r="EI18">
        <v>0</v>
      </c>
      <c r="EJ18">
        <v>0</v>
      </c>
      <c r="EK18" s="12">
        <v>45470</v>
      </c>
      <c r="EL18" s="13">
        <v>2.0299999999999998</v>
      </c>
      <c r="EM18" s="13">
        <v>-4.33</v>
      </c>
      <c r="EN18" s="13">
        <v>0.38</v>
      </c>
      <c r="EO18" s="13">
        <v>2.0699999999999998</v>
      </c>
      <c r="EP18" s="13">
        <v>0.18</v>
      </c>
    </row>
    <row r="19" spans="1:146" ht="96">
      <c r="A19" s="6"/>
      <c r="B19" s="6"/>
      <c r="C19" s="6" t="str">
        <f>""&amp;CHAR(10)&amp;Basic_Fundamental_Information_Constructure(F19)&amp;CHAR(10)&amp;Basic_Fundamental_Information_Concatenate("")</f>
        <v xml:space="preserve">
市值45.879134亿, 利润7.83亿; PE6.11; 平均PE10.61; 平均PEG1.54, PB.848; ROIC7.77%; ROE8.96%; 股利率5.501%; 毛利14.1067%; 净利7.7767%; 上一年度营收增7.04%, 利润增66.24%; 当季营收增-28.49%, 利润增-16.58%; 过往5年营收增6.88%, 利润增53.62%
Income profile:
</v>
      </c>
      <c r="D19" t="s">
        <v>61</v>
      </c>
      <c r="E19" t="s">
        <v>11</v>
      </c>
      <c r="F19">
        <v>5.09</v>
      </c>
      <c r="G19">
        <v>0.79</v>
      </c>
      <c r="H19" t="s">
        <v>1200</v>
      </c>
      <c r="I19">
        <v>4587913400</v>
      </c>
      <c r="J19">
        <v>6.11</v>
      </c>
      <c r="K19">
        <v>0.84799999999999998</v>
      </c>
      <c r="L19" t="s">
        <v>37</v>
      </c>
      <c r="M19" t="s">
        <v>1201</v>
      </c>
      <c r="N19" t="s">
        <v>1202</v>
      </c>
      <c r="O19" t="s">
        <v>1203</v>
      </c>
      <c r="P19">
        <v>-28.48</v>
      </c>
      <c r="Q19" t="s">
        <v>1204</v>
      </c>
      <c r="R19">
        <v>166001320</v>
      </c>
      <c r="S19" s="5">
        <v>-0.1641</v>
      </c>
      <c r="T19" t="s">
        <v>426</v>
      </c>
      <c r="U19">
        <v>712116940</v>
      </c>
      <c r="V19">
        <v>901358230</v>
      </c>
      <c r="W19">
        <v>1.42</v>
      </c>
      <c r="X19">
        <v>0.17</v>
      </c>
      <c r="Y19">
        <v>13.31</v>
      </c>
      <c r="Z19" t="s">
        <v>1205</v>
      </c>
      <c r="AA19" t="s">
        <v>488</v>
      </c>
      <c r="AB19" t="s">
        <v>1206</v>
      </c>
      <c r="AC19" t="s">
        <v>1207</v>
      </c>
      <c r="AD19" t="s">
        <v>73</v>
      </c>
      <c r="AE19">
        <v>-30262842</v>
      </c>
      <c r="AF19" t="s">
        <v>1208</v>
      </c>
      <c r="AG19" t="s">
        <v>1209</v>
      </c>
      <c r="AH19" t="s">
        <v>1210</v>
      </c>
      <c r="AI19" t="s">
        <v>1211</v>
      </c>
      <c r="AJ19" t="s">
        <v>1212</v>
      </c>
      <c r="AK19" t="s">
        <v>151</v>
      </c>
      <c r="AL19" t="s">
        <v>1213</v>
      </c>
      <c r="AM19" t="s">
        <v>73</v>
      </c>
      <c r="AN19" t="s">
        <v>487</v>
      </c>
      <c r="AO19" t="s">
        <v>445</v>
      </c>
      <c r="AP19" t="s">
        <v>1214</v>
      </c>
      <c r="AQ19" t="s">
        <v>1215</v>
      </c>
      <c r="AR19" t="s">
        <v>73</v>
      </c>
      <c r="AS19" t="s">
        <v>1216</v>
      </c>
      <c r="AT19" t="s">
        <v>73</v>
      </c>
      <c r="AU19" t="s">
        <v>1217</v>
      </c>
      <c r="AV19" t="s">
        <v>1218</v>
      </c>
      <c r="AW19" t="s">
        <v>1219</v>
      </c>
      <c r="AX19" t="s">
        <v>556</v>
      </c>
      <c r="AY19" t="s">
        <v>411</v>
      </c>
      <c r="AZ19" t="s">
        <v>220</v>
      </c>
      <c r="BA19" t="s">
        <v>134</v>
      </c>
      <c r="BB19" t="s">
        <v>221</v>
      </c>
      <c r="BC19" t="s">
        <v>541</v>
      </c>
      <c r="BD19" t="s">
        <v>297</v>
      </c>
      <c r="BE19" t="s">
        <v>102</v>
      </c>
      <c r="BF19" t="s">
        <v>135</v>
      </c>
      <c r="BG19" t="s">
        <v>222</v>
      </c>
      <c r="BH19" t="s">
        <v>1204</v>
      </c>
      <c r="BI19" t="s">
        <v>594</v>
      </c>
      <c r="BJ19" t="s">
        <v>556</v>
      </c>
      <c r="BK19" t="s">
        <v>426</v>
      </c>
      <c r="BL19" t="s">
        <v>133</v>
      </c>
      <c r="BM19" t="s">
        <v>541</v>
      </c>
      <c r="BN19">
        <v>10.82</v>
      </c>
      <c r="BO19">
        <v>10.01</v>
      </c>
      <c r="BP19">
        <v>2.48</v>
      </c>
      <c r="BQ19">
        <v>12.94</v>
      </c>
      <c r="BR19">
        <v>10.79</v>
      </c>
      <c r="BS19">
        <v>3.15</v>
      </c>
      <c r="BT19" t="s">
        <v>1220</v>
      </c>
      <c r="BU19" t="s">
        <v>463</v>
      </c>
      <c r="BV19">
        <v>18.760000000000002</v>
      </c>
      <c r="BW19">
        <v>14.98</v>
      </c>
      <c r="BX19">
        <v>8.58</v>
      </c>
      <c r="BY19">
        <v>12.09</v>
      </c>
      <c r="BZ19">
        <v>7.78</v>
      </c>
      <c r="CA19">
        <v>3.46</v>
      </c>
      <c r="CB19">
        <v>2.21</v>
      </c>
      <c r="CC19">
        <v>-10.7</v>
      </c>
      <c r="CD19" t="s">
        <v>1221</v>
      </c>
      <c r="CE19" t="s">
        <v>768</v>
      </c>
      <c r="CF19" s="7">
        <v>-0.28485181119648739</v>
      </c>
      <c r="CG19" s="8">
        <v>-0.16582251256281408</v>
      </c>
      <c r="CH19" s="7">
        <v>7.0384077727794647E-2</v>
      </c>
      <c r="CI19" s="7">
        <v>0.47255092859268188</v>
      </c>
      <c r="CJ19" s="7">
        <v>7.2044581174850464E-2</v>
      </c>
      <c r="CK19" s="7">
        <v>-0.25411543250083923</v>
      </c>
      <c r="CL19" s="7">
        <v>-1.6927046701312065E-2</v>
      </c>
      <c r="CM19" s="8">
        <v>0.66242039203643799</v>
      </c>
      <c r="CN19" s="8">
        <v>2.4632353782653809</v>
      </c>
      <c r="CO19" s="8">
        <v>9.6774190664291382E-2</v>
      </c>
      <c r="CP19" s="8">
        <v>-0.79367721080780029</v>
      </c>
      <c r="CQ19" s="8">
        <v>0.25208333134651184</v>
      </c>
      <c r="CR19">
        <v>10.60789225433526</v>
      </c>
      <c r="CS19">
        <v>1.5421267433133414</v>
      </c>
      <c r="CT19">
        <v>5.5009823182711193</v>
      </c>
      <c r="CU19" s="7">
        <v>6.8787421658635134E-2</v>
      </c>
      <c r="CV19" s="8">
        <v>0.53616721630096431</v>
      </c>
      <c r="CW19">
        <v>0.06</v>
      </c>
      <c r="CX19">
        <v>1.7731845549959204</v>
      </c>
      <c r="CY19">
        <v>789491085.99878418</v>
      </c>
      <c r="CZ19">
        <v>6.8787421658635134E-2</v>
      </c>
      <c r="DA19">
        <v>0.58998801137004664</v>
      </c>
      <c r="DB19">
        <v>2372782790.5336194</v>
      </c>
      <c r="DC19">
        <v>6.5348050575703379E-2</v>
      </c>
      <c r="DD19">
        <v>0.29745684809531231</v>
      </c>
      <c r="DE19">
        <v>4706273898.0930576</v>
      </c>
      <c r="DF19">
        <v>6.0532931059598921E-2</v>
      </c>
      <c r="DG19">
        <v>0.18345341086601488</v>
      </c>
      <c r="DH19">
        <v>7630893279.0703259</v>
      </c>
      <c r="DI19">
        <v>5.5029937326908113E-2</v>
      </c>
      <c r="DJ19">
        <v>0.10038243565358949</v>
      </c>
      <c r="DK19">
        <v>13945800287.522129</v>
      </c>
      <c r="DL19">
        <v>4.8151195161044588E-2</v>
      </c>
      <c r="DM19">
        <v>783000000</v>
      </c>
      <c r="DN19">
        <v>6.8787421658635134E-2</v>
      </c>
      <c r="DO19">
        <v>1399913400</v>
      </c>
      <c r="DP19">
        <v>3124509100</v>
      </c>
      <c r="DQ19">
        <v>976</v>
      </c>
      <c r="DR19">
        <v>-0.35363923285512255</v>
      </c>
      <c r="DS19">
        <v>-0.70198972886377842</v>
      </c>
      <c r="DT19" s="9">
        <v>-0.40666666666666668</v>
      </c>
      <c r="DU19">
        <v>0.36333333333333334</v>
      </c>
      <c r="DV19">
        <v>-4.3333333333333335E-2</v>
      </c>
      <c r="DW19">
        <v>-2.1070000000000002</v>
      </c>
      <c r="DX19">
        <v>0.27744890829694391</v>
      </c>
      <c r="DY19">
        <v>-2.0168470331877728</v>
      </c>
      <c r="DZ19">
        <v>1818</v>
      </c>
      <c r="EA19">
        <v>-2.0108533137483655</v>
      </c>
      <c r="EB19">
        <v>2</v>
      </c>
      <c r="EC19">
        <v>4.0001631759661198E-2</v>
      </c>
      <c r="ED19">
        <v>0.25406102965299382</v>
      </c>
      <c r="EE19" s="10">
        <v>7.5309999999999988E-2</v>
      </c>
      <c r="EF19">
        <v>9.3109999999999998E-2</v>
      </c>
      <c r="EG19">
        <v>12.157448908296944</v>
      </c>
      <c r="EH19">
        <v>-1</v>
      </c>
      <c r="EI19">
        <v>0</v>
      </c>
      <c r="EJ19">
        <v>0</v>
      </c>
      <c r="EK19" s="12">
        <v>45470</v>
      </c>
      <c r="EL19" s="13">
        <v>0.79</v>
      </c>
      <c r="EM19" s="13">
        <v>-2.95</v>
      </c>
      <c r="EN19" s="13">
        <v>0.81</v>
      </c>
      <c r="EO19" s="13">
        <v>1.41</v>
      </c>
      <c r="EP19" s="13">
        <v>-1.78</v>
      </c>
    </row>
    <row r="20" spans="1:146" ht="96">
      <c r="A20" s="6"/>
      <c r="B20" s="6"/>
      <c r="C20" s="6" t="str">
        <f>""&amp;CHAR(10)&amp;Basic_Fundamental_Information_Constructure(F20)&amp;CHAR(10)&amp;Basic_Fundamental_Information_Concatenate("")</f>
        <v xml:space="preserve">
市值27.291亿, 利润2.50亿; PE18.17; 平均PE29.29; 平均PEG5.13, PB2.83; ROIC6.9167%; ROE8.1533%; 股利率2.2283%; 毛利12.65%; 净利5.71%; 上一年度营收增-7.29%, 利润增240.37%; 当季营收增185.58%, 利润增194.42%; 过往5年营收增5.71%, 利润增53.98%
Income profile:
</v>
      </c>
      <c r="D20" t="s">
        <v>136</v>
      </c>
      <c r="E20" t="s">
        <v>137</v>
      </c>
      <c r="F20">
        <v>24.81</v>
      </c>
      <c r="G20">
        <v>-0.2</v>
      </c>
      <c r="H20" t="s">
        <v>1222</v>
      </c>
      <c r="I20">
        <v>2729100000</v>
      </c>
      <c r="J20">
        <v>18.170000000000002</v>
      </c>
      <c r="K20">
        <v>2.83</v>
      </c>
      <c r="L20" t="s">
        <v>37</v>
      </c>
      <c r="M20" t="s">
        <v>1223</v>
      </c>
      <c r="N20" t="s">
        <v>639</v>
      </c>
      <c r="O20" t="s">
        <v>1224</v>
      </c>
      <c r="P20">
        <v>94.89</v>
      </c>
      <c r="Q20" t="s">
        <v>1225</v>
      </c>
      <c r="R20">
        <v>110000000</v>
      </c>
      <c r="S20" s="5">
        <v>1.4750000000000001</v>
      </c>
      <c r="T20" t="s">
        <v>1226</v>
      </c>
      <c r="U20">
        <v>57406250</v>
      </c>
      <c r="V20">
        <v>110000000</v>
      </c>
      <c r="W20">
        <v>2.6</v>
      </c>
      <c r="X20">
        <v>0.21</v>
      </c>
      <c r="Y20">
        <v>8.81</v>
      </c>
      <c r="Z20" t="s">
        <v>1227</v>
      </c>
      <c r="AA20" t="s">
        <v>1228</v>
      </c>
      <c r="AB20" t="s">
        <v>1229</v>
      </c>
      <c r="AC20" t="s">
        <v>1230</v>
      </c>
      <c r="AD20" t="s">
        <v>73</v>
      </c>
      <c r="AE20">
        <v>3794690</v>
      </c>
      <c r="AF20" t="s">
        <v>1231</v>
      </c>
      <c r="AG20" t="s">
        <v>1232</v>
      </c>
      <c r="AH20" t="s">
        <v>1233</v>
      </c>
      <c r="AI20" t="s">
        <v>599</v>
      </c>
      <c r="AJ20" t="s">
        <v>1234</v>
      </c>
      <c r="AK20" t="s">
        <v>575</v>
      </c>
      <c r="AL20" t="s">
        <v>1235</v>
      </c>
      <c r="AM20" t="s">
        <v>73</v>
      </c>
      <c r="AN20" t="s">
        <v>1236</v>
      </c>
      <c r="AO20" t="s">
        <v>1237</v>
      </c>
      <c r="AP20" t="s">
        <v>1238</v>
      </c>
      <c r="AQ20" t="s">
        <v>1239</v>
      </c>
      <c r="AR20" t="s">
        <v>73</v>
      </c>
      <c r="AS20" t="s">
        <v>1240</v>
      </c>
      <c r="AT20" t="s">
        <v>1241</v>
      </c>
      <c r="AU20" t="s">
        <v>813</v>
      </c>
      <c r="AV20" t="s">
        <v>1242</v>
      </c>
      <c r="AW20" t="s">
        <v>577</v>
      </c>
      <c r="AX20" t="s">
        <v>104</v>
      </c>
      <c r="AY20" t="s">
        <v>398</v>
      </c>
      <c r="AZ20" t="s">
        <v>224</v>
      </c>
      <c r="BA20" t="s">
        <v>139</v>
      </c>
      <c r="BB20" t="s">
        <v>226</v>
      </c>
      <c r="BC20" t="s">
        <v>560</v>
      </c>
      <c r="BD20" t="s">
        <v>412</v>
      </c>
      <c r="BE20" t="s">
        <v>225</v>
      </c>
      <c r="BF20" t="s">
        <v>140</v>
      </c>
      <c r="BG20" t="s">
        <v>228</v>
      </c>
      <c r="BH20" t="s">
        <v>1243</v>
      </c>
      <c r="BI20" t="s">
        <v>555</v>
      </c>
      <c r="BJ20" t="s">
        <v>104</v>
      </c>
      <c r="BK20" t="s">
        <v>182</v>
      </c>
      <c r="BL20" t="s">
        <v>1244</v>
      </c>
      <c r="BM20" t="s">
        <v>560</v>
      </c>
      <c r="BN20">
        <v>7.06</v>
      </c>
      <c r="BO20">
        <v>7.8</v>
      </c>
      <c r="BP20">
        <v>5.89</v>
      </c>
      <c r="BQ20">
        <v>8.43</v>
      </c>
      <c r="BR20">
        <v>9.11</v>
      </c>
      <c r="BS20">
        <v>6.92</v>
      </c>
      <c r="BT20" t="s">
        <v>1245</v>
      </c>
      <c r="BU20" t="s">
        <v>463</v>
      </c>
      <c r="BV20">
        <v>14.09</v>
      </c>
      <c r="BW20">
        <v>12.86</v>
      </c>
      <c r="BX20">
        <v>11</v>
      </c>
      <c r="BY20">
        <v>6.38</v>
      </c>
      <c r="BZ20">
        <v>6.09</v>
      </c>
      <c r="CA20">
        <v>4.66</v>
      </c>
      <c r="CB20">
        <v>-3.43</v>
      </c>
      <c r="CC20">
        <v>-10.52</v>
      </c>
      <c r="CD20" t="s">
        <v>1246</v>
      </c>
      <c r="CE20" t="s">
        <v>1247</v>
      </c>
      <c r="CF20" s="7">
        <v>1.8557692307692308</v>
      </c>
      <c r="CG20" s="8">
        <v>1.9441836314096217</v>
      </c>
      <c r="CH20" s="7">
        <v>-7.2908028960227966E-2</v>
      </c>
      <c r="CI20" s="7">
        <v>7.4799641966819763E-2</v>
      </c>
      <c r="CJ20" s="7">
        <v>0.27468791604042053</v>
      </c>
      <c r="CK20" s="7">
        <v>-2.6519337669014931E-2</v>
      </c>
      <c r="CL20" s="7">
        <v>3.5469107329845428E-2</v>
      </c>
      <c r="CM20" s="8">
        <v>2.4036529064178467</v>
      </c>
      <c r="CN20" s="8">
        <v>0.40321058034896851</v>
      </c>
      <c r="CO20" s="8">
        <v>4.5791273005306721E-3</v>
      </c>
      <c r="CP20" s="8">
        <v>-0.25436210632324219</v>
      </c>
      <c r="CQ20" s="8">
        <v>0.14170819520950317</v>
      </c>
      <c r="CR20">
        <v>29.293205223638289</v>
      </c>
      <c r="CS20">
        <v>5.1296321176502913</v>
      </c>
      <c r="CT20">
        <v>2.2282773075372835</v>
      </c>
      <c r="CU20" s="7">
        <v>5.7105859741568565E-2</v>
      </c>
      <c r="CV20" s="8">
        <v>0.53975774059072135</v>
      </c>
      <c r="CW20">
        <v>0.06</v>
      </c>
      <c r="CX20">
        <v>13.589503707331597</v>
      </c>
      <c r="CY20">
        <v>249317419.75036994</v>
      </c>
      <c r="CZ20">
        <v>5.7105859741568565E-2</v>
      </c>
      <c r="DA20">
        <v>4.5668286690999986</v>
      </c>
      <c r="DB20">
        <v>741893389.37203991</v>
      </c>
      <c r="DC20">
        <v>5.4250566754490137E-2</v>
      </c>
      <c r="DD20">
        <v>2.3326654682272663</v>
      </c>
      <c r="DE20">
        <v>1452458591.3190639</v>
      </c>
      <c r="DF20">
        <v>5.0253156572580338E-2</v>
      </c>
      <c r="DG20">
        <v>1.4593625587808883</v>
      </c>
      <c r="DH20">
        <v>2321630070.3440866</v>
      </c>
      <c r="DI20">
        <v>4.5684687793254852E-2</v>
      </c>
      <c r="DJ20">
        <v>0.82288266721926417</v>
      </c>
      <c r="DK20">
        <v>4117354921.8739486</v>
      </c>
      <c r="DL20">
        <v>3.9974101819097996E-2</v>
      </c>
      <c r="DM20">
        <v>250000000</v>
      </c>
      <c r="DN20">
        <v>5.7105859741568565E-2</v>
      </c>
      <c r="DO20">
        <v>3388100000</v>
      </c>
      <c r="DP20">
        <v>479464600</v>
      </c>
      <c r="DQ20">
        <v>2337</v>
      </c>
      <c r="DR20">
        <v>1.7986633710276623</v>
      </c>
      <c r="DS20">
        <v>1.4044258908189002</v>
      </c>
      <c r="DT20" s="9">
        <v>-0.3066666666666667</v>
      </c>
      <c r="DU20">
        <v>0.77333333333333332</v>
      </c>
      <c r="DV20">
        <v>0.46666666666666662</v>
      </c>
      <c r="DW20">
        <v>-8.3260456273764252</v>
      </c>
      <c r="DX20">
        <v>0.36932519092977656</v>
      </c>
      <c r="DY20">
        <v>-8.0421659130122745</v>
      </c>
      <c r="DZ20">
        <v>789</v>
      </c>
      <c r="EA20">
        <v>-8.0356553640168364</v>
      </c>
      <c r="EB20">
        <v>8</v>
      </c>
      <c r="EC20">
        <v>6.3762727272727276E-2</v>
      </c>
      <c r="ED20">
        <v>0.49304181818181819</v>
      </c>
      <c r="EE20" s="10">
        <v>2.0253100000000002</v>
      </c>
      <c r="EF20">
        <v>2.0076100000000001</v>
      </c>
      <c r="EG20">
        <v>24.129325190929777</v>
      </c>
      <c r="EH20" t="s">
        <v>820</v>
      </c>
      <c r="EI20">
        <v>0</v>
      </c>
      <c r="EJ20">
        <v>1</v>
      </c>
      <c r="EK20" s="12">
        <v>45470</v>
      </c>
      <c r="EL20" s="13">
        <v>-2.06</v>
      </c>
      <c r="EM20" s="13">
        <v>-3.46</v>
      </c>
      <c r="EN20" s="13">
        <v>-0.87</v>
      </c>
      <c r="EO20" s="13">
        <v>2.2999999999999998</v>
      </c>
      <c r="EP20" s="13">
        <v>1.77</v>
      </c>
    </row>
    <row r="21" spans="1:146" ht="96">
      <c r="A21" s="6"/>
      <c r="B21" s="6"/>
      <c r="C21" s="6" t="str">
        <f>""&amp;CHAR(10)&amp;Basic_Fundamental_Information_Constructure(F21)&amp;CHAR(10)&amp;Basic_Fundamental_Information_Concatenate("")</f>
        <v xml:space="preserve">
市值644.75018亿, 利润84.46亿; PE223.8; 平均PE16.7; 平均PEG.21, PB1.24; ROIC2.635%; ROE1.6167%; 股利率0%; 毛利9.5433%; 净利.5733%; 上一年度营收增252.49%, 利润增1263.36%; 当季营收增-72.81%, 利润增-97.17%; 过往5年营收增80.11%, 利润增1263.36%
Income profile:
</v>
      </c>
      <c r="D21" t="s">
        <v>42</v>
      </c>
      <c r="E21" t="s">
        <v>5</v>
      </c>
      <c r="F21">
        <v>1.42</v>
      </c>
      <c r="G21">
        <v>0.71</v>
      </c>
      <c r="H21" t="s">
        <v>1248</v>
      </c>
      <c r="I21">
        <v>64475018000</v>
      </c>
      <c r="J21">
        <v>223.8</v>
      </c>
      <c r="K21">
        <v>1.24</v>
      </c>
      <c r="L21" t="s">
        <v>37</v>
      </c>
      <c r="M21" t="s">
        <v>1249</v>
      </c>
      <c r="N21" t="s">
        <v>1250</v>
      </c>
      <c r="O21" t="s">
        <v>1251</v>
      </c>
      <c r="P21">
        <v>3.49</v>
      </c>
      <c r="Q21" t="s">
        <v>1252</v>
      </c>
      <c r="R21">
        <v>63626145</v>
      </c>
      <c r="S21" s="5">
        <v>-0.78120000000000001</v>
      </c>
      <c r="T21" t="s">
        <v>1253</v>
      </c>
      <c r="U21">
        <v>31497121000</v>
      </c>
      <c r="V21">
        <v>45404942000</v>
      </c>
      <c r="W21">
        <v>2.48</v>
      </c>
      <c r="X21" t="s">
        <v>73</v>
      </c>
      <c r="Y21">
        <v>0.04</v>
      </c>
      <c r="Z21" t="s">
        <v>73</v>
      </c>
      <c r="AA21" t="s">
        <v>73</v>
      </c>
      <c r="AB21" t="s">
        <v>73</v>
      </c>
      <c r="AC21" t="s">
        <v>73</v>
      </c>
      <c r="AD21" t="s">
        <v>73</v>
      </c>
      <c r="AE21">
        <v>534498870</v>
      </c>
      <c r="AF21" t="s">
        <v>1254</v>
      </c>
      <c r="AG21" t="s">
        <v>1255</v>
      </c>
      <c r="AH21" t="s">
        <v>1256</v>
      </c>
      <c r="AI21" t="s">
        <v>1257</v>
      </c>
      <c r="AJ21" t="s">
        <v>1258</v>
      </c>
      <c r="AK21" t="s">
        <v>73</v>
      </c>
      <c r="AL21" t="s">
        <v>1259</v>
      </c>
      <c r="AM21" t="s">
        <v>73</v>
      </c>
      <c r="AN21" t="s">
        <v>1260</v>
      </c>
      <c r="AO21" t="s">
        <v>73</v>
      </c>
      <c r="AP21" t="s">
        <v>1261</v>
      </c>
      <c r="AQ21" t="s">
        <v>1262</v>
      </c>
      <c r="AR21" t="s">
        <v>73</v>
      </c>
      <c r="AS21" t="s">
        <v>73</v>
      </c>
      <c r="AT21" t="s">
        <v>73</v>
      </c>
      <c r="AU21" t="s">
        <v>1263</v>
      </c>
      <c r="AV21" t="s">
        <v>1264</v>
      </c>
      <c r="AW21" t="s">
        <v>1265</v>
      </c>
      <c r="AX21" t="s">
        <v>654</v>
      </c>
      <c r="AY21" t="s">
        <v>73</v>
      </c>
      <c r="AZ21" t="s">
        <v>229</v>
      </c>
      <c r="BA21" t="s">
        <v>96</v>
      </c>
      <c r="BB21" t="s">
        <v>231</v>
      </c>
      <c r="BC21" t="s">
        <v>1266</v>
      </c>
      <c r="BD21" t="s">
        <v>73</v>
      </c>
      <c r="BE21" t="s">
        <v>73</v>
      </c>
      <c r="BF21" t="s">
        <v>73</v>
      </c>
      <c r="BG21" t="s">
        <v>73</v>
      </c>
      <c r="BH21" t="s">
        <v>1267</v>
      </c>
      <c r="BI21" t="s">
        <v>1268</v>
      </c>
      <c r="BJ21" t="s">
        <v>654</v>
      </c>
      <c r="BK21" t="s">
        <v>598</v>
      </c>
      <c r="BL21" t="s">
        <v>1269</v>
      </c>
      <c r="BM21" t="s">
        <v>1266</v>
      </c>
      <c r="BN21">
        <v>0.22</v>
      </c>
      <c r="BO21" t="s">
        <v>73</v>
      </c>
      <c r="BP21">
        <v>5.05</v>
      </c>
      <c r="BQ21">
        <v>0.9</v>
      </c>
      <c r="BR21">
        <v>-1.34</v>
      </c>
      <c r="BS21">
        <v>5.29</v>
      </c>
      <c r="BT21" t="s">
        <v>476</v>
      </c>
      <c r="BU21" t="s">
        <v>464</v>
      </c>
      <c r="BV21">
        <v>9.7200000000000006</v>
      </c>
      <c r="BW21">
        <v>7.73</v>
      </c>
      <c r="BX21">
        <v>11.18</v>
      </c>
      <c r="BY21">
        <v>0.04</v>
      </c>
      <c r="BZ21">
        <v>-2</v>
      </c>
      <c r="CA21">
        <v>3.68</v>
      </c>
      <c r="CB21">
        <v>1.43</v>
      </c>
      <c r="CC21">
        <v>-9.5500000000000007</v>
      </c>
      <c r="CD21" t="s">
        <v>1270</v>
      </c>
      <c r="CE21" t="s">
        <v>1271</v>
      </c>
      <c r="CF21" s="7">
        <v>-0.72807918000888638</v>
      </c>
      <c r="CG21" s="8">
        <v>-0.97172171333333335</v>
      </c>
      <c r="CH21" s="7">
        <v>2.5248711109161377</v>
      </c>
      <c r="CI21" s="7" t="s">
        <v>73</v>
      </c>
      <c r="CJ21" s="7" t="s">
        <v>73</v>
      </c>
      <c r="CK21" s="7">
        <v>-6.516081839799881E-2</v>
      </c>
      <c r="CL21" s="7">
        <v>-5.6423760950565338E-2</v>
      </c>
      <c r="CM21" s="8">
        <v>12.633608818054199</v>
      </c>
      <c r="CN21" s="8" t="s">
        <v>73</v>
      </c>
      <c r="CO21" s="8" t="s">
        <v>73</v>
      </c>
      <c r="CP21" s="8" t="s">
        <v>73</v>
      </c>
      <c r="CQ21" s="8" t="s">
        <v>73</v>
      </c>
      <c r="CR21">
        <v>16.703372538860105</v>
      </c>
      <c r="CS21">
        <v>0.20850663022646482</v>
      </c>
      <c r="CT21">
        <v>0</v>
      </c>
      <c r="CU21" s="7">
        <v>0.80109551052252448</v>
      </c>
      <c r="CV21" s="8">
        <v>12.633608818054199</v>
      </c>
      <c r="CW21">
        <v>0.06</v>
      </c>
      <c r="CX21">
        <v>6.4989939982133844</v>
      </c>
      <c r="CY21">
        <v>14350993096.106829</v>
      </c>
      <c r="CZ21">
        <v>0.80109551052252448</v>
      </c>
      <c r="DA21">
        <v>1.2260159964590804</v>
      </c>
      <c r="DB21">
        <v>76073247224.644089</v>
      </c>
      <c r="DC21">
        <v>0.76104073499639824</v>
      </c>
      <c r="DD21">
        <v>0.25602034948786861</v>
      </c>
      <c r="DE21">
        <v>364295331158.50781</v>
      </c>
      <c r="DF21">
        <v>0.70496404925982159</v>
      </c>
      <c r="DG21">
        <v>5.0109074030512846E-2</v>
      </c>
      <c r="DH21">
        <v>1861280013739.7681</v>
      </c>
      <c r="DI21">
        <v>0.64087640841801963</v>
      </c>
      <c r="DJ21">
        <v>1.5449716480625804E-3</v>
      </c>
      <c r="DK21">
        <v>60368109742957.648</v>
      </c>
      <c r="DL21">
        <v>0.56076685736576715</v>
      </c>
      <c r="DM21">
        <v>8445999999.999999</v>
      </c>
      <c r="DN21">
        <v>0.80109551052252448</v>
      </c>
      <c r="DO21">
        <v>93267018000</v>
      </c>
      <c r="DP21">
        <v>39623747000</v>
      </c>
      <c r="DQ21">
        <v>2852</v>
      </c>
      <c r="DR21">
        <v>-1.529174690531411</v>
      </c>
      <c r="DS21">
        <v>-13.605330531387533</v>
      </c>
      <c r="DT21" s="9">
        <v>-0.21000000000000008</v>
      </c>
      <c r="DU21">
        <v>-0.42000000000000015</v>
      </c>
      <c r="DV21">
        <v>-0.63000000000000023</v>
      </c>
      <c r="DW21">
        <v>-2.0954999999999999</v>
      </c>
      <c r="DX21">
        <v>0.32498192377655954</v>
      </c>
      <c r="DY21">
        <v>-2.0186207737206612</v>
      </c>
      <c r="DZ21">
        <v>4274</v>
      </c>
      <c r="EA21">
        <v>-2.0030463731566481</v>
      </c>
      <c r="EB21">
        <v>2</v>
      </c>
      <c r="EC21">
        <v>2.0196039453150277E-2</v>
      </c>
      <c r="ED21">
        <v>0.10357903331315785</v>
      </c>
      <c r="EE21" s="10">
        <v>-2.0317099999999999</v>
      </c>
      <c r="EF21">
        <v>-2.0416099999999999</v>
      </c>
      <c r="EG21">
        <v>13.19498192377656</v>
      </c>
      <c r="EH21" t="s">
        <v>1272</v>
      </c>
      <c r="EI21">
        <v>0</v>
      </c>
      <c r="EJ21">
        <v>0</v>
      </c>
      <c r="EK21" s="12">
        <v>45470</v>
      </c>
      <c r="EL21" s="13">
        <v>-1</v>
      </c>
      <c r="EM21" s="13">
        <v>-1.1299999999999999</v>
      </c>
      <c r="EN21" s="13">
        <v>-0.96</v>
      </c>
      <c r="EO21" s="13">
        <v>0.94</v>
      </c>
      <c r="EP21" s="13">
        <v>-0.99</v>
      </c>
    </row>
    <row r="22" spans="1:146" ht="180">
      <c r="A22" s="6"/>
      <c r="B22" s="6"/>
      <c r="C22" s="6" t="str">
        <f>"公司是一家专注于钢铁业，同时从事与钢铁主业相关的加工配送、化工、信息科技、金融以及电子商务等业务。主要钢铁产品分为碳钢、不锈钢和特殊钢三大类,是我国最大、最现代化的钢铁联合企业。"&amp;CHAR(10)&amp;Basic_Fundamental_Information_Constructure(F22)&amp;CHAR(10)&amp;Basic_Fundamental_Information_Concatenate("冷轧碳钢板卷 1218.53亿 33.02% 27.32% 5.10%
其他业务 1041.20亿 28.21% 55.71% 12.18%
热轧碳钢板卷 928.47亿 25.16% 9.55% 2.34%
其他钢铁产品 238.06亿 6.45% 8.53% 8.15%
钢管产品 158.48亿 4.29% 1.05% 1.50%")</f>
        <v>公司是一家专注于钢铁业，同时从事与钢铁主业相关的加工配送、化工、信息科技、金融以及电子商务等业务。主要钢铁产品分为碳钢、不锈钢和特殊钢三大类,是我国最大、最现代化的钢铁联合企业。
市值1548.3901亿, 利润8.28亿; PE12.88; 平均PE23.79; 平均PEG.67, PB.767; ROIC6.5067%; ROE7.64%; 股利率2.8571%; 毛利8.4333%; 净利5.02%; 上一年度营收增-98.45%, 利润增-93.21%; 当季营收增6612.13%, 利润增399.02%; 过往5年营收增-35.44%, 利润增-93.21%
Income profile:
冷轧碳钢板卷 1218.53亿 33.02% 27.32% 5.10%
其他业务 1041.20亿 28.21% 55.71% 12.18%
热轧碳钢板卷 928.47亿 25.16% 9.55% 2.34%
其他钢铁产品 238.06亿 6.45% 8.53% 8.15%
钢管产品 158.48亿 4.29% 1.05% 1.50%</v>
      </c>
      <c r="D22" t="s">
        <v>62</v>
      </c>
      <c r="E22" t="s">
        <v>20</v>
      </c>
      <c r="F22">
        <v>7</v>
      </c>
      <c r="G22">
        <v>0.14000000000000001</v>
      </c>
      <c r="H22" t="s">
        <v>1273</v>
      </c>
      <c r="I22">
        <v>154839010000</v>
      </c>
      <c r="J22">
        <v>12.88</v>
      </c>
      <c r="K22">
        <v>0.76700000000000002</v>
      </c>
      <c r="L22" t="s">
        <v>37</v>
      </c>
      <c r="M22" t="s">
        <v>1274</v>
      </c>
      <c r="N22" t="s">
        <v>1275</v>
      </c>
      <c r="O22" t="s">
        <v>1276</v>
      </c>
      <c r="P22">
        <v>2.81</v>
      </c>
      <c r="Q22" t="s">
        <v>1277</v>
      </c>
      <c r="R22">
        <v>1926223600</v>
      </c>
      <c r="S22" s="5">
        <v>4.41E-2</v>
      </c>
      <c r="T22" t="s">
        <v>1278</v>
      </c>
      <c r="U22">
        <v>21857919000</v>
      </c>
      <c r="V22">
        <v>22119858000</v>
      </c>
      <c r="W22">
        <v>1.69</v>
      </c>
      <c r="X22" t="s">
        <v>73</v>
      </c>
      <c r="Y22">
        <v>2.83</v>
      </c>
      <c r="Z22" t="s">
        <v>73</v>
      </c>
      <c r="AA22" t="s">
        <v>73</v>
      </c>
      <c r="AB22" t="s">
        <v>73</v>
      </c>
      <c r="AC22" t="s">
        <v>73</v>
      </c>
      <c r="AD22" t="s">
        <v>73</v>
      </c>
      <c r="AE22">
        <v>357903280</v>
      </c>
      <c r="AF22" t="s">
        <v>1279</v>
      </c>
      <c r="AG22" t="s">
        <v>1280</v>
      </c>
      <c r="AH22" t="s">
        <v>1281</v>
      </c>
      <c r="AI22" t="s">
        <v>1282</v>
      </c>
      <c r="AJ22" t="s">
        <v>1283</v>
      </c>
      <c r="AK22" t="s">
        <v>73</v>
      </c>
      <c r="AL22" t="s">
        <v>1284</v>
      </c>
      <c r="AM22" t="s">
        <v>73</v>
      </c>
      <c r="AN22" t="s">
        <v>1285</v>
      </c>
      <c r="AO22" t="s">
        <v>73</v>
      </c>
      <c r="AP22" t="s">
        <v>1286</v>
      </c>
      <c r="AQ22" t="s">
        <v>1287</v>
      </c>
      <c r="AR22" t="s">
        <v>73</v>
      </c>
      <c r="AS22" t="s">
        <v>73</v>
      </c>
      <c r="AT22" t="s">
        <v>73</v>
      </c>
      <c r="AU22" t="s">
        <v>1288</v>
      </c>
      <c r="AV22" t="s">
        <v>1289</v>
      </c>
      <c r="AW22" t="s">
        <v>1290</v>
      </c>
      <c r="AX22" t="s">
        <v>565</v>
      </c>
      <c r="AY22" t="s">
        <v>73</v>
      </c>
      <c r="AZ22" t="s">
        <v>564</v>
      </c>
      <c r="BA22" t="s">
        <v>233</v>
      </c>
      <c r="BB22" t="s">
        <v>234</v>
      </c>
      <c r="BC22" t="s">
        <v>562</v>
      </c>
      <c r="BD22" t="s">
        <v>73</v>
      </c>
      <c r="BE22" t="s">
        <v>73</v>
      </c>
      <c r="BF22" t="s">
        <v>73</v>
      </c>
      <c r="BG22" t="s">
        <v>73</v>
      </c>
      <c r="BH22" t="s">
        <v>1291</v>
      </c>
      <c r="BI22" t="s">
        <v>1292</v>
      </c>
      <c r="BJ22" t="s">
        <v>565</v>
      </c>
      <c r="BK22" t="s">
        <v>1293</v>
      </c>
      <c r="BL22" t="s">
        <v>410</v>
      </c>
      <c r="BM22" t="s">
        <v>562</v>
      </c>
      <c r="BN22">
        <v>3.64</v>
      </c>
      <c r="BO22">
        <v>5.35</v>
      </c>
      <c r="BP22">
        <v>10.53</v>
      </c>
      <c r="BQ22">
        <v>4.2300000000000004</v>
      </c>
      <c r="BR22">
        <v>6.33</v>
      </c>
      <c r="BS22">
        <v>12.36</v>
      </c>
      <c r="BT22" t="s">
        <v>1294</v>
      </c>
      <c r="BU22" t="s">
        <v>464</v>
      </c>
      <c r="BV22">
        <v>6.2</v>
      </c>
      <c r="BW22">
        <v>5.84</v>
      </c>
      <c r="BX22">
        <v>13.26</v>
      </c>
      <c r="BY22">
        <v>3.99</v>
      </c>
      <c r="BZ22">
        <v>3.81</v>
      </c>
      <c r="CA22">
        <v>7.26</v>
      </c>
      <c r="CB22">
        <v>5.26</v>
      </c>
      <c r="CC22">
        <v>3.55</v>
      </c>
      <c r="CD22" t="s">
        <v>1295</v>
      </c>
      <c r="CE22" t="s">
        <v>1296</v>
      </c>
      <c r="CF22" s="7">
        <v>66.121262458471762</v>
      </c>
      <c r="CG22" s="8">
        <v>3.9902165803108809</v>
      </c>
      <c r="CH22" s="7">
        <v>-0.98449331521987915</v>
      </c>
      <c r="CI22" s="7" t="s">
        <v>73</v>
      </c>
      <c r="CJ22" s="7" t="s">
        <v>73</v>
      </c>
      <c r="CK22" s="7">
        <v>-3.4571364521980286E-2</v>
      </c>
      <c r="CL22" s="7">
        <v>-4.4188216328620911E-2</v>
      </c>
      <c r="CM22" s="8">
        <v>-0.93205875158309937</v>
      </c>
      <c r="CN22" s="8" t="s">
        <v>73</v>
      </c>
      <c r="CO22" s="8" t="s">
        <v>73</v>
      </c>
      <c r="CP22" s="8" t="s">
        <v>73</v>
      </c>
      <c r="CQ22" s="8" t="s">
        <v>73</v>
      </c>
      <c r="CR22">
        <v>23.793931617364578</v>
      </c>
      <c r="CS22">
        <v>0.67135293132897333</v>
      </c>
      <c r="CT22">
        <v>2.8571428571428572</v>
      </c>
      <c r="CU22" s="7">
        <v>-0.35441763202349347</v>
      </c>
      <c r="CV22" s="8">
        <v>-0.93205875158309937</v>
      </c>
      <c r="CW22">
        <v>0.06</v>
      </c>
      <c r="CX22">
        <v>107.10146135265701</v>
      </c>
      <c r="CY22" t="s">
        <v>1297</v>
      </c>
      <c r="CZ22">
        <v>-0.35441763202349347</v>
      </c>
      <c r="DA22">
        <v>35.700487117552335</v>
      </c>
      <c r="DB22" t="s">
        <v>1298</v>
      </c>
      <c r="DC22">
        <v>-0.33669675042231878</v>
      </c>
      <c r="DD22">
        <v>17.850243558776167</v>
      </c>
      <c r="DE22" t="s">
        <v>1299</v>
      </c>
      <c r="DF22">
        <v>-0.31188751618067423</v>
      </c>
      <c r="DG22">
        <v>10.710146135265701</v>
      </c>
      <c r="DH22" t="s">
        <v>1300</v>
      </c>
      <c r="DI22">
        <v>-0.28353410561879477</v>
      </c>
      <c r="DJ22">
        <v>5.3550730676328504</v>
      </c>
      <c r="DK22" t="s">
        <v>1301</v>
      </c>
      <c r="DL22">
        <v>-0.2480923424164454</v>
      </c>
      <c r="DM22">
        <v>827999999.99999988</v>
      </c>
      <c r="DN22">
        <v>-0.35441763202349347</v>
      </c>
      <c r="DO22">
        <v>88680010000</v>
      </c>
      <c r="DP22">
        <v>137798510000</v>
      </c>
      <c r="DQ22">
        <v>2859</v>
      </c>
      <c r="DR22">
        <v>66.47568009049526</v>
      </c>
      <c r="DS22">
        <v>4.9222753318939798</v>
      </c>
      <c r="DT22" s="9">
        <v>-1.1599999999999999</v>
      </c>
      <c r="DU22">
        <v>-2.3199999999999998</v>
      </c>
      <c r="DV22">
        <v>-3.4799999999999995</v>
      </c>
      <c r="DW22">
        <v>4.6749049429657799</v>
      </c>
      <c r="DX22">
        <v>0.40160955347871408</v>
      </c>
      <c r="DY22">
        <v>4.102322037043618</v>
      </c>
      <c r="DZ22">
        <v>2131</v>
      </c>
      <c r="EA22">
        <v>4.0596511444917684</v>
      </c>
      <c r="EB22">
        <v>4</v>
      </c>
      <c r="EC22">
        <v>1.3200808070286889E-2</v>
      </c>
      <c r="ED22">
        <v>8.7071083367714214E-2</v>
      </c>
      <c r="EE22" s="10">
        <v>0.10500999999999999</v>
      </c>
      <c r="EF22">
        <v>0.10861</v>
      </c>
      <c r="EG22">
        <v>25.151609553478714</v>
      </c>
      <c r="EH22">
        <v>-1</v>
      </c>
      <c r="EI22">
        <v>0</v>
      </c>
      <c r="EJ22">
        <v>0</v>
      </c>
      <c r="EK22" s="12">
        <v>45470</v>
      </c>
      <c r="EL22" s="13">
        <v>0.35</v>
      </c>
      <c r="EM22" s="13">
        <v>-1.23</v>
      </c>
      <c r="EN22" s="13">
        <v>0.36</v>
      </c>
      <c r="EO22" s="13">
        <v>-0.18</v>
      </c>
      <c r="EP22" s="13">
        <v>-0.36</v>
      </c>
    </row>
    <row r="23" spans="1:146" ht="96">
      <c r="A23" s="6"/>
      <c r="B23" s="6"/>
      <c r="C23" s="6" t="str">
        <f>""&amp;CHAR(10)&amp;Basic_Fundamental_Information_Constructure(F23)&amp;CHAR(10)&amp;Basic_Fundamental_Information_Concatenate("")</f>
        <v xml:space="preserve">
市值131.59585亿, 利润65.20亿; PE; 平均PE3.72; 平均PEG.25, PB.642; ROIC5.65%; ROE2.7067%; 股利率0%; 毛利6.0233%; 净利1.3267%; 上一年度营收增-6.17%, 利润增1076.9%; 当季营收增29.36%, 利润增-163.06%; 过往5年营收增14.6%, 利润增1076.9%
Income profile:
</v>
      </c>
      <c r="D23" t="s">
        <v>36</v>
      </c>
      <c r="E23" t="s">
        <v>22</v>
      </c>
      <c r="F23">
        <v>1.23</v>
      </c>
      <c r="G23">
        <v>0.82</v>
      </c>
      <c r="H23" t="s">
        <v>1302</v>
      </c>
      <c r="I23">
        <v>13159585000</v>
      </c>
      <c r="K23">
        <v>0.64200000000000002</v>
      </c>
      <c r="L23" t="s">
        <v>37</v>
      </c>
      <c r="M23" t="s">
        <v>1303</v>
      </c>
      <c r="N23" t="s">
        <v>1304</v>
      </c>
      <c r="O23" t="s">
        <v>1305</v>
      </c>
      <c r="P23">
        <v>-7.76</v>
      </c>
      <c r="Q23" t="s">
        <v>1306</v>
      </c>
      <c r="R23">
        <v>-637556720</v>
      </c>
      <c r="S23" s="5">
        <v>-1.0609999999999999</v>
      </c>
      <c r="T23" t="s">
        <v>589</v>
      </c>
      <c r="U23">
        <v>10698849600</v>
      </c>
      <c r="V23">
        <v>10698849600</v>
      </c>
      <c r="W23">
        <v>2.27</v>
      </c>
      <c r="X23" t="s">
        <v>73</v>
      </c>
      <c r="Y23">
        <v>-3.45</v>
      </c>
      <c r="Z23" t="s">
        <v>73</v>
      </c>
      <c r="AA23" t="s">
        <v>73</v>
      </c>
      <c r="AB23" t="s">
        <v>73</v>
      </c>
      <c r="AC23" t="s">
        <v>73</v>
      </c>
      <c r="AD23" t="s">
        <v>73</v>
      </c>
      <c r="AE23">
        <v>84156275</v>
      </c>
      <c r="AF23" t="s">
        <v>1307</v>
      </c>
      <c r="AG23" t="s">
        <v>1308</v>
      </c>
      <c r="AH23" t="s">
        <v>1309</v>
      </c>
      <c r="AI23" t="s">
        <v>1310</v>
      </c>
      <c r="AJ23" t="s">
        <v>1311</v>
      </c>
      <c r="AK23" t="s">
        <v>73</v>
      </c>
      <c r="AL23" t="s">
        <v>1312</v>
      </c>
      <c r="AM23" t="s">
        <v>73</v>
      </c>
      <c r="AN23" t="s">
        <v>1313</v>
      </c>
      <c r="AO23" t="s">
        <v>73</v>
      </c>
      <c r="AP23" t="s">
        <v>1314</v>
      </c>
      <c r="AQ23" t="s">
        <v>1315</v>
      </c>
      <c r="AR23" t="s">
        <v>73</v>
      </c>
      <c r="AS23" t="s">
        <v>73</v>
      </c>
      <c r="AT23" t="s">
        <v>73</v>
      </c>
      <c r="AU23" t="s">
        <v>1316</v>
      </c>
      <c r="AV23" t="s">
        <v>1317</v>
      </c>
      <c r="AW23" t="s">
        <v>1318</v>
      </c>
      <c r="AX23" t="s">
        <v>567</v>
      </c>
      <c r="AY23" t="s">
        <v>73</v>
      </c>
      <c r="AZ23" t="s">
        <v>235</v>
      </c>
      <c r="BA23" t="s">
        <v>97</v>
      </c>
      <c r="BB23" t="s">
        <v>236</v>
      </c>
      <c r="BC23" t="s">
        <v>1319</v>
      </c>
      <c r="BD23" t="s">
        <v>73</v>
      </c>
      <c r="BE23" t="s">
        <v>73</v>
      </c>
      <c r="BF23" t="s">
        <v>73</v>
      </c>
      <c r="BG23" t="s">
        <v>73</v>
      </c>
      <c r="BH23" t="s">
        <v>1320</v>
      </c>
      <c r="BI23" t="s">
        <v>1321</v>
      </c>
      <c r="BJ23" t="s">
        <v>567</v>
      </c>
      <c r="BK23" t="s">
        <v>1322</v>
      </c>
      <c r="BL23" t="s">
        <v>1323</v>
      </c>
      <c r="BM23" t="s">
        <v>1319</v>
      </c>
      <c r="BN23" t="s">
        <v>73</v>
      </c>
      <c r="BO23">
        <v>3.98</v>
      </c>
      <c r="BP23">
        <v>7.32</v>
      </c>
      <c r="BQ23">
        <v>-0.02</v>
      </c>
      <c r="BR23">
        <v>2.4900000000000002</v>
      </c>
      <c r="BS23">
        <v>5.65</v>
      </c>
      <c r="BT23" t="s">
        <v>476</v>
      </c>
      <c r="BU23" t="s">
        <v>464</v>
      </c>
      <c r="BV23">
        <v>4</v>
      </c>
      <c r="BW23">
        <v>5.56</v>
      </c>
      <c r="BX23">
        <v>8.51</v>
      </c>
      <c r="BY23">
        <v>-0.08</v>
      </c>
      <c r="BZ23">
        <v>1.39</v>
      </c>
      <c r="CA23">
        <v>2.67</v>
      </c>
      <c r="CB23">
        <v>0.82</v>
      </c>
      <c r="CC23">
        <v>-1.6</v>
      </c>
      <c r="CD23" t="s">
        <v>457</v>
      </c>
      <c r="CE23" t="s">
        <v>602</v>
      </c>
      <c r="CF23" s="7">
        <v>0.29355770865204828</v>
      </c>
      <c r="CG23" s="8">
        <v>-1.6306199010880316</v>
      </c>
      <c r="CH23" s="7">
        <v>-6.1727073043584824E-2</v>
      </c>
      <c r="CI23" s="7" t="s">
        <v>73</v>
      </c>
      <c r="CJ23" s="7" t="s">
        <v>73</v>
      </c>
      <c r="CK23" s="7">
        <v>0.22822529077529907</v>
      </c>
      <c r="CL23" s="7">
        <v>0.27158910036087036</v>
      </c>
      <c r="CM23" s="8">
        <v>10.768953323364258</v>
      </c>
      <c r="CN23" s="8" t="s">
        <v>73</v>
      </c>
      <c r="CO23" s="8" t="s">
        <v>73</v>
      </c>
      <c r="CP23" s="8" t="s">
        <v>73</v>
      </c>
      <c r="CQ23" s="8" t="s">
        <v>73</v>
      </c>
      <c r="CR23">
        <v>3.7205499010460841</v>
      </c>
      <c r="CS23">
        <v>0.25478139270809408</v>
      </c>
      <c r="CT23">
        <v>0</v>
      </c>
      <c r="CU23" s="7">
        <v>0.14602910603086153</v>
      </c>
      <c r="CV23" s="8">
        <v>10.768953323364258</v>
      </c>
      <c r="CW23">
        <v>0.06</v>
      </c>
      <c r="CX23">
        <v>2.759560650345481</v>
      </c>
      <c r="CY23">
        <v>7049160161.6237898</v>
      </c>
      <c r="CZ23">
        <v>0.14602910603086153</v>
      </c>
      <c r="DA23">
        <v>0.86027590057177905</v>
      </c>
      <c r="DB23">
        <v>22612030613.749512</v>
      </c>
      <c r="DC23">
        <v>0.13872765072931845</v>
      </c>
      <c r="DD23">
        <v>0.3971046966977923</v>
      </c>
      <c r="DE23">
        <v>48986036080.061668</v>
      </c>
      <c r="DF23">
        <v>0.12850561330715815</v>
      </c>
      <c r="DG23">
        <v>0.22137243157903408</v>
      </c>
      <c r="DH23">
        <v>87872662649.301315</v>
      </c>
      <c r="DI23">
        <v>0.11682328482468923</v>
      </c>
      <c r="DJ23">
        <v>9.6523701802082154E-2</v>
      </c>
      <c r="DK23">
        <v>201531692598.01825</v>
      </c>
      <c r="DL23">
        <v>0.10222037422160306</v>
      </c>
      <c r="DM23">
        <v>6520000000</v>
      </c>
      <c r="DN23">
        <v>0.14602910603086153</v>
      </c>
      <c r="DO23">
        <v>19452585000</v>
      </c>
      <c r="DP23">
        <v>15909891000</v>
      </c>
      <c r="DQ23">
        <v>2862</v>
      </c>
      <c r="DR23">
        <v>0.14752860262118675</v>
      </c>
      <c r="DS23">
        <v>-12.39957322445229</v>
      </c>
      <c r="DT23" s="9">
        <v>-0.66</v>
      </c>
      <c r="DU23">
        <v>-1.7950000000000002</v>
      </c>
      <c r="DV23">
        <v>-2.4550000000000001</v>
      </c>
      <c r="DW23">
        <v>-1.6E-2</v>
      </c>
      <c r="DX23">
        <v>0.29820512820512779</v>
      </c>
      <c r="DY23">
        <v>-2.0512820512820513E-3</v>
      </c>
      <c r="DZ23">
        <v>2246</v>
      </c>
      <c r="EA23">
        <v>-1.1496813688594511E-3</v>
      </c>
      <c r="EB23">
        <v>0</v>
      </c>
      <c r="EC23">
        <v>1.8693598608956984E-2</v>
      </c>
      <c r="ED23">
        <v>0.1458100691498645</v>
      </c>
      <c r="EE23" s="10">
        <v>2.0052099999999999</v>
      </c>
      <c r="EF23">
        <v>2.0218099999999999</v>
      </c>
      <c r="EG23">
        <v>17.128205128205128</v>
      </c>
      <c r="EH23" t="s">
        <v>820</v>
      </c>
      <c r="EI23">
        <v>0</v>
      </c>
      <c r="EJ23">
        <v>0</v>
      </c>
      <c r="EK23" s="12">
        <v>45470</v>
      </c>
      <c r="EL23" s="13">
        <v>0.52</v>
      </c>
      <c r="EM23" s="13">
        <v>0</v>
      </c>
      <c r="EN23" s="13">
        <v>0.1</v>
      </c>
      <c r="EO23" s="13">
        <v>-0.62</v>
      </c>
      <c r="EP23" s="13">
        <v>-1.66</v>
      </c>
    </row>
    <row r="24" spans="1:146" ht="96">
      <c r="A24" s="6"/>
      <c r="B24" s="6"/>
      <c r="C24" s="6" t="str">
        <f>""&amp;CHAR(10)&amp;Basic_Fundamental_Information_Constructure(F24)&amp;CHAR(10)&amp;Basic_Fundamental_Information_Concatenate("")</f>
        <v xml:space="preserve">
市值68.031901亿, 利润1.58亿; PE3.91; 平均PE-10.13; 平均PEG-2.42, PB1.31; ROIC0%; ROE-139.29%; 股利率0%; 毛利.2767%; 净利-5.8033%; 上一年度营收增-11.29%, 利润增113.73%; 当季营收增-13.09%, 利润增-483.68%; 过往5年营收增4.19%, 利润增-371.94%
Income profile:
</v>
      </c>
      <c r="D24" t="s">
        <v>72</v>
      </c>
      <c r="E24" t="s">
        <v>1324</v>
      </c>
      <c r="F24">
        <v>2.09</v>
      </c>
      <c r="G24">
        <v>5.03</v>
      </c>
      <c r="H24" t="s">
        <v>1325</v>
      </c>
      <c r="I24">
        <v>6803190100</v>
      </c>
      <c r="J24">
        <v>3.91</v>
      </c>
      <c r="K24">
        <v>1.31</v>
      </c>
      <c r="L24" t="s">
        <v>37</v>
      </c>
      <c r="M24" t="s">
        <v>1326</v>
      </c>
      <c r="N24" t="s">
        <v>1327</v>
      </c>
      <c r="O24" t="s">
        <v>1328</v>
      </c>
      <c r="P24">
        <v>-11.84</v>
      </c>
      <c r="Q24" t="s">
        <v>1329</v>
      </c>
      <c r="R24">
        <v>-191214840</v>
      </c>
      <c r="S24" s="5">
        <v>0.22470000000000001</v>
      </c>
      <c r="T24" t="s">
        <v>1330</v>
      </c>
      <c r="U24">
        <v>3255114900</v>
      </c>
      <c r="V24">
        <v>3255114900</v>
      </c>
      <c r="W24">
        <v>1.8</v>
      </c>
      <c r="X24">
        <v>0.08</v>
      </c>
      <c r="Y24">
        <v>-21.09</v>
      </c>
      <c r="Z24" t="s">
        <v>379</v>
      </c>
      <c r="AA24" t="s">
        <v>542</v>
      </c>
      <c r="AB24" t="s">
        <v>1331</v>
      </c>
      <c r="AC24" t="s">
        <v>1332</v>
      </c>
      <c r="AD24" t="s">
        <v>73</v>
      </c>
      <c r="AE24">
        <v>37471177</v>
      </c>
      <c r="AF24" t="s">
        <v>1333</v>
      </c>
      <c r="AG24" t="s">
        <v>1334</v>
      </c>
      <c r="AH24" t="s">
        <v>1335</v>
      </c>
      <c r="AI24" t="s">
        <v>1336</v>
      </c>
      <c r="AJ24" t="s">
        <v>73</v>
      </c>
      <c r="AK24" t="s">
        <v>1337</v>
      </c>
      <c r="AL24" t="s">
        <v>1338</v>
      </c>
      <c r="AM24" t="s">
        <v>73</v>
      </c>
      <c r="AN24" t="s">
        <v>1339</v>
      </c>
      <c r="AO24" t="s">
        <v>1340</v>
      </c>
      <c r="AP24" t="s">
        <v>73</v>
      </c>
      <c r="AQ24" t="s">
        <v>1341</v>
      </c>
      <c r="AR24" t="s">
        <v>73</v>
      </c>
      <c r="AS24" t="s">
        <v>1342</v>
      </c>
      <c r="AT24" t="s">
        <v>541</v>
      </c>
      <c r="AU24" t="s">
        <v>1343</v>
      </c>
      <c r="AV24" t="s">
        <v>1344</v>
      </c>
      <c r="AW24" t="s">
        <v>1345</v>
      </c>
      <c r="AX24" t="s">
        <v>571</v>
      </c>
      <c r="AY24" t="s">
        <v>573</v>
      </c>
      <c r="AZ24" t="s">
        <v>237</v>
      </c>
      <c r="BA24" t="s">
        <v>141</v>
      </c>
      <c r="BB24" t="s">
        <v>239</v>
      </c>
      <c r="BC24" t="s">
        <v>572</v>
      </c>
      <c r="BD24" t="s">
        <v>574</v>
      </c>
      <c r="BE24" t="s">
        <v>238</v>
      </c>
      <c r="BF24" t="s">
        <v>142</v>
      </c>
      <c r="BG24" t="s">
        <v>241</v>
      </c>
      <c r="BH24" t="s">
        <v>1346</v>
      </c>
      <c r="BI24" t="s">
        <v>1347</v>
      </c>
      <c r="BJ24" t="s">
        <v>571</v>
      </c>
      <c r="BK24" t="s">
        <v>1348</v>
      </c>
      <c r="BL24" t="s">
        <v>1349</v>
      </c>
      <c r="BM24" t="s">
        <v>572</v>
      </c>
      <c r="BN24" t="s">
        <v>73</v>
      </c>
      <c r="BO24" t="s">
        <v>73</v>
      </c>
      <c r="BP24" t="s">
        <v>73</v>
      </c>
      <c r="BQ24" t="s">
        <v>73</v>
      </c>
      <c r="BR24" t="s">
        <v>73</v>
      </c>
      <c r="BS24">
        <v>-139.29</v>
      </c>
      <c r="BT24" t="s">
        <v>476</v>
      </c>
      <c r="BU24" t="s">
        <v>463</v>
      </c>
      <c r="BV24">
        <v>-6.66</v>
      </c>
      <c r="BW24">
        <v>-0.9</v>
      </c>
      <c r="BX24">
        <v>8.39</v>
      </c>
      <c r="BY24">
        <v>25.36</v>
      </c>
      <c r="BZ24">
        <v>-20.96</v>
      </c>
      <c r="CA24">
        <v>-21.81</v>
      </c>
      <c r="CB24">
        <v>6.09</v>
      </c>
      <c r="CC24">
        <v>-13.64</v>
      </c>
      <c r="CD24" t="s">
        <v>1350</v>
      </c>
      <c r="CE24" t="s">
        <v>1351</v>
      </c>
      <c r="CF24" s="7">
        <v>-0.13089005235602094</v>
      </c>
      <c r="CG24" s="8">
        <v>-4.8367816876114889</v>
      </c>
      <c r="CH24" s="7">
        <v>-0.1129302904009819</v>
      </c>
      <c r="CI24" s="7">
        <v>-0.36594736576080322</v>
      </c>
      <c r="CJ24" s="7">
        <v>0.21417230367660522</v>
      </c>
      <c r="CK24" s="7">
        <v>2.3359805345535278E-2</v>
      </c>
      <c r="CL24" s="7">
        <v>0.4507145881652832</v>
      </c>
      <c r="CM24" s="8">
        <v>1.1372718811035156</v>
      </c>
      <c r="CN24" s="8">
        <v>-3.4873581025749445E-3</v>
      </c>
      <c r="CO24" s="8">
        <v>-20.395608901977539</v>
      </c>
      <c r="CP24" s="8">
        <v>-0.3819618821144104</v>
      </c>
      <c r="CQ24" s="8">
        <v>1.046766996383667</v>
      </c>
      <c r="CR24">
        <v>-10.125859894491875</v>
      </c>
      <c r="CS24">
        <v>-2.4181846191032363</v>
      </c>
      <c r="CT24">
        <v>0</v>
      </c>
      <c r="CU24" s="7">
        <v>4.1873808205127719E-2</v>
      </c>
      <c r="CV24" s="8">
        <v>-3.7194038529414684</v>
      </c>
      <c r="CW24">
        <v>0.06</v>
      </c>
      <c r="CX24">
        <v>36.479438543942251</v>
      </c>
      <c r="CY24">
        <v>155298171.4117077</v>
      </c>
      <c r="CZ24">
        <v>4.1873808205127719E-2</v>
      </c>
      <c r="DA24">
        <v>12.419701624035373</v>
      </c>
      <c r="DB24">
        <v>456145426.95908046</v>
      </c>
      <c r="DC24">
        <v>3.9780117794871332E-2</v>
      </c>
      <c r="DD24">
        <v>6.4515438509965222</v>
      </c>
      <c r="DE24">
        <v>878113864.03658092</v>
      </c>
      <c r="DF24">
        <v>3.6848951220512391E-2</v>
      </c>
      <c r="DG24">
        <v>4.1104222673016606</v>
      </c>
      <c r="DH24">
        <v>1378250148.4255016</v>
      </c>
      <c r="DI24">
        <v>3.3499046564102179E-2</v>
      </c>
      <c r="DJ24">
        <v>2.4059286284081436</v>
      </c>
      <c r="DK24">
        <v>2354679200.8324499</v>
      </c>
      <c r="DL24">
        <v>2.9311665743589402E-2</v>
      </c>
      <c r="DM24">
        <v>158000000</v>
      </c>
      <c r="DN24">
        <v>4.1873808205127719E-2</v>
      </c>
      <c r="DO24">
        <v>5665190100</v>
      </c>
      <c r="DP24">
        <v>-284391900</v>
      </c>
      <c r="DQ24">
        <v>2934</v>
      </c>
      <c r="DR24">
        <v>-0.17276386056114867</v>
      </c>
      <c r="DS24">
        <v>-1.1173778346700205</v>
      </c>
      <c r="DT24" s="9">
        <v>-0.35666666666666669</v>
      </c>
      <c r="DU24">
        <v>-1.5816666666666668</v>
      </c>
      <c r="DV24">
        <v>-1.9383333333333335</v>
      </c>
      <c r="DW24">
        <v>7.3086670045615811</v>
      </c>
      <c r="DX24">
        <v>0.54544184228711234</v>
      </c>
      <c r="DY24">
        <v>7.0788464682984547</v>
      </c>
      <c r="DZ24">
        <v>230</v>
      </c>
      <c r="EA24">
        <v>7.0752976057331622</v>
      </c>
      <c r="EB24">
        <v>7</v>
      </c>
      <c r="EC24">
        <v>7.3151642051099332E-3</v>
      </c>
      <c r="ED24">
        <v>2.8637299408386475E-2</v>
      </c>
      <c r="EE24" s="10">
        <v>-1.0576000000000001</v>
      </c>
      <c r="EF24">
        <v>-1.0404</v>
      </c>
      <c r="EG24">
        <v>29.255441842287112</v>
      </c>
      <c r="EH24" t="s">
        <v>534</v>
      </c>
      <c r="EI24">
        <v>1</v>
      </c>
      <c r="EJ24">
        <v>1</v>
      </c>
      <c r="EK24" s="12">
        <v>45470</v>
      </c>
      <c r="EL24" s="13">
        <v>0.72</v>
      </c>
      <c r="EM24" s="13">
        <v>-2</v>
      </c>
      <c r="EN24" s="13">
        <v>0</v>
      </c>
      <c r="EO24" s="13">
        <v>2.04</v>
      </c>
      <c r="EP24" s="13">
        <v>-1.72</v>
      </c>
    </row>
    <row r="25" spans="1:146" ht="96">
      <c r="A25" s="6"/>
      <c r="B25" s="6"/>
      <c r="C25" s="6" t="str">
        <f>""&amp;CHAR(10)&amp;Basic_Fundamental_Information_Constructure(F25)&amp;CHAR(10)&amp;Basic_Fundamental_Information_Concatenate("")</f>
        <v xml:space="preserve">
市值139.14019亿, 利润2865.94万; PE75.41; 平均PE54.6; 平均PEG2.53, PB.688; ROIC2.2933%; ROE3.6433%; 股利率1.2136%; 毛利3.24%; 净利1.5733%; 上一年度营收增-88.76%, 利润增-94.04%; 当季营收增1273.54%, 利润增244.25%; 过往5年营收增-21.56%, 利润增-94.04%
Income profile:
</v>
      </c>
      <c r="D25" t="s">
        <v>50</v>
      </c>
      <c r="E25" t="s">
        <v>17</v>
      </c>
      <c r="F25">
        <v>4.12</v>
      </c>
      <c r="G25">
        <v>0.49</v>
      </c>
      <c r="H25" t="s">
        <v>1352</v>
      </c>
      <c r="I25">
        <v>13914019000</v>
      </c>
      <c r="J25">
        <v>75.41</v>
      </c>
      <c r="K25">
        <v>0.68799999999999994</v>
      </c>
      <c r="L25" t="s">
        <v>37</v>
      </c>
      <c r="M25" t="s">
        <v>1353</v>
      </c>
      <c r="N25" t="s">
        <v>1354</v>
      </c>
      <c r="O25" t="s">
        <v>1355</v>
      </c>
      <c r="P25">
        <v>28.47</v>
      </c>
      <c r="Q25" t="s">
        <v>1356</v>
      </c>
      <c r="R25">
        <v>34144600</v>
      </c>
      <c r="S25" s="5">
        <v>7.1400000000000005E-2</v>
      </c>
      <c r="T25" t="s">
        <v>1357</v>
      </c>
      <c r="U25">
        <v>3377189100</v>
      </c>
      <c r="V25">
        <v>3377189100</v>
      </c>
      <c r="W25">
        <v>1.63</v>
      </c>
      <c r="X25" t="s">
        <v>73</v>
      </c>
      <c r="Y25">
        <v>0.21</v>
      </c>
      <c r="Z25" t="s">
        <v>73</v>
      </c>
      <c r="AA25" t="s">
        <v>73</v>
      </c>
      <c r="AB25" t="s">
        <v>73</v>
      </c>
      <c r="AC25" t="s">
        <v>73</v>
      </c>
      <c r="AD25" t="s">
        <v>73</v>
      </c>
      <c r="AE25">
        <v>-86824499</v>
      </c>
      <c r="AF25" t="s">
        <v>1358</v>
      </c>
      <c r="AG25" t="s">
        <v>1359</v>
      </c>
      <c r="AH25" t="s">
        <v>1360</v>
      </c>
      <c r="AI25" t="s">
        <v>1361</v>
      </c>
      <c r="AJ25" t="s">
        <v>1362</v>
      </c>
      <c r="AK25" t="s">
        <v>73</v>
      </c>
      <c r="AL25" t="s">
        <v>1363</v>
      </c>
      <c r="AM25" t="s">
        <v>73</v>
      </c>
      <c r="AN25" t="s">
        <v>1364</v>
      </c>
      <c r="AO25" t="s">
        <v>73</v>
      </c>
      <c r="AP25" t="s">
        <v>1365</v>
      </c>
      <c r="AQ25" t="s">
        <v>1366</v>
      </c>
      <c r="AR25" t="s">
        <v>73</v>
      </c>
      <c r="AS25" t="s">
        <v>73</v>
      </c>
      <c r="AT25" t="s">
        <v>73</v>
      </c>
      <c r="AU25" t="s">
        <v>1367</v>
      </c>
      <c r="AV25" t="s">
        <v>1368</v>
      </c>
      <c r="AW25" t="s">
        <v>1369</v>
      </c>
      <c r="AX25" t="s">
        <v>576</v>
      </c>
      <c r="AY25" t="s">
        <v>73</v>
      </c>
      <c r="AZ25" t="s">
        <v>413</v>
      </c>
      <c r="BA25" t="s">
        <v>98</v>
      </c>
      <c r="BB25" t="s">
        <v>243</v>
      </c>
      <c r="BC25" t="s">
        <v>1370</v>
      </c>
      <c r="BD25" t="s">
        <v>73</v>
      </c>
      <c r="BE25" t="s">
        <v>73</v>
      </c>
      <c r="BF25" t="s">
        <v>73</v>
      </c>
      <c r="BG25" t="s">
        <v>73</v>
      </c>
      <c r="BH25" t="s">
        <v>1371</v>
      </c>
      <c r="BI25" t="s">
        <v>223</v>
      </c>
      <c r="BJ25" t="s">
        <v>576</v>
      </c>
      <c r="BK25" t="s">
        <v>435</v>
      </c>
      <c r="BL25" t="s">
        <v>1372</v>
      </c>
      <c r="BM25" t="s">
        <v>1370</v>
      </c>
      <c r="BN25">
        <v>-0.6</v>
      </c>
      <c r="BO25">
        <v>0.82</v>
      </c>
      <c r="BP25">
        <v>6.66</v>
      </c>
      <c r="BQ25">
        <v>0.42</v>
      </c>
      <c r="BR25">
        <v>2.37</v>
      </c>
      <c r="BS25">
        <v>8.14</v>
      </c>
      <c r="BT25" t="s">
        <v>477</v>
      </c>
      <c r="BU25" t="s">
        <v>464</v>
      </c>
      <c r="BV25">
        <v>1.51</v>
      </c>
      <c r="BW25">
        <v>2.74</v>
      </c>
      <c r="BX25">
        <v>5.47</v>
      </c>
      <c r="BY25">
        <v>0.33</v>
      </c>
      <c r="BZ25">
        <v>1.1100000000000001</v>
      </c>
      <c r="CA25">
        <v>3.28</v>
      </c>
      <c r="CB25">
        <v>0.24</v>
      </c>
      <c r="CC25">
        <v>-13.63</v>
      </c>
      <c r="CD25" t="s">
        <v>1373</v>
      </c>
      <c r="CE25" t="s">
        <v>130</v>
      </c>
      <c r="CF25" s="7">
        <v>12.735445205479452</v>
      </c>
      <c r="CG25" s="8">
        <v>2.4424818018671992</v>
      </c>
      <c r="CH25" s="7">
        <v>-0.88763988018035889</v>
      </c>
      <c r="CI25" s="7" t="s">
        <v>73</v>
      </c>
      <c r="CJ25" s="7" t="s">
        <v>73</v>
      </c>
      <c r="CK25" s="7">
        <v>0.22978833317756653</v>
      </c>
      <c r="CL25" s="7">
        <v>1.1039688251912594E-2</v>
      </c>
      <c r="CM25" s="8">
        <v>-0.94041705131530762</v>
      </c>
      <c r="CN25" s="8" t="s">
        <v>73</v>
      </c>
      <c r="CO25" s="8" t="s">
        <v>73</v>
      </c>
      <c r="CP25" s="8" t="s">
        <v>73</v>
      </c>
      <c r="CQ25" s="8" t="s">
        <v>73</v>
      </c>
      <c r="CR25">
        <v>54.601245459222383</v>
      </c>
      <c r="CS25">
        <v>2.5324788678736385</v>
      </c>
      <c r="CT25">
        <v>1.2135922330097086</v>
      </c>
      <c r="CU25" s="7">
        <v>-0.21560395291695991</v>
      </c>
      <c r="CV25" s="8">
        <v>-0.94041705131530762</v>
      </c>
      <c r="CW25">
        <v>0.06</v>
      </c>
      <c r="CX25">
        <v>161.90216822403818</v>
      </c>
      <c r="CY25" t="s">
        <v>1374</v>
      </c>
      <c r="CZ25">
        <v>-0.21560395291695991</v>
      </c>
      <c r="DA25">
        <v>53.967389408012728</v>
      </c>
      <c r="DB25" t="s">
        <v>1375</v>
      </c>
      <c r="DC25">
        <v>-0.20482375527111191</v>
      </c>
      <c r="DD25">
        <v>26.983694704006364</v>
      </c>
      <c r="DE25" t="s">
        <v>1376</v>
      </c>
      <c r="DF25">
        <v>-0.18973147856692471</v>
      </c>
      <c r="DG25">
        <v>16.190216822403819</v>
      </c>
      <c r="DH25" t="s">
        <v>1377</v>
      </c>
      <c r="DI25">
        <v>-0.17248316233356795</v>
      </c>
      <c r="DJ25">
        <v>8.0951084112019096</v>
      </c>
      <c r="DK25" t="s">
        <v>1378</v>
      </c>
      <c r="DL25">
        <v>-0.15092276704187194</v>
      </c>
      <c r="DM25">
        <v>28659400</v>
      </c>
      <c r="DN25">
        <v>-0.21560395291695991</v>
      </c>
      <c r="DO25">
        <v>4640019000</v>
      </c>
      <c r="DP25">
        <v>18259825000</v>
      </c>
      <c r="DQ25">
        <v>2941</v>
      </c>
      <c r="DR25">
        <v>12.951049158396412</v>
      </c>
      <c r="DS25">
        <v>3.3828988531825068</v>
      </c>
      <c r="DT25" s="9">
        <v>-1.1599999999999999</v>
      </c>
      <c r="DU25">
        <v>-2.3199999999999998</v>
      </c>
      <c r="DV25">
        <v>-3.4799999999999995</v>
      </c>
      <c r="DW25">
        <v>-2.1362999999999999</v>
      </c>
      <c r="DX25">
        <v>0.43435219199999947</v>
      </c>
      <c r="DY25">
        <v>-2.0196752037696002</v>
      </c>
      <c r="DZ25">
        <v>1291</v>
      </c>
      <c r="EA25">
        <v>-2.0147044233260476</v>
      </c>
      <c r="EB25">
        <v>2</v>
      </c>
      <c r="EC25">
        <v>2.1371648984654133E-2</v>
      </c>
      <c r="ED25">
        <v>0.14805211825420139</v>
      </c>
      <c r="EE25" s="10">
        <v>1.1010000000000001E-2</v>
      </c>
      <c r="EF25">
        <v>3.2610000000000007E-2</v>
      </c>
      <c r="EG25">
        <v>29.144352191999999</v>
      </c>
      <c r="EH25">
        <v>-1</v>
      </c>
      <c r="EI25">
        <v>0</v>
      </c>
      <c r="EJ25">
        <v>1</v>
      </c>
      <c r="EK25" s="12">
        <v>45470</v>
      </c>
      <c r="EL25" s="13">
        <v>0.5</v>
      </c>
      <c r="EM25" s="13">
        <v>-1.99</v>
      </c>
      <c r="EN25" s="13">
        <v>0.68</v>
      </c>
      <c r="EO25" s="13">
        <v>1.18</v>
      </c>
      <c r="EP25" s="13">
        <v>-2.16</v>
      </c>
    </row>
    <row r="26" spans="1:146" ht="96">
      <c r="A26" s="6"/>
      <c r="B26" s="6"/>
      <c r="C26" s="6" t="str">
        <f>""&amp;CHAR(10)&amp;Basic_Fundamental_Information_Constructure(F26)&amp;CHAR(10)&amp;Basic_Fundamental_Information_Concatenate("")</f>
        <v xml:space="preserve">
市值38.218997亿, 利润3533.31万; PE; 平均PE-9.57; 平均PEG-.3, PB.541; ROIC8.06%; ROE-.5833%; 股利率0%; 毛利1.65%; 净利-1.2367%; 上一年度营收增-93.65%, 利润增104.24%; 当季营收增1901.93%, 利润增-3913.94%; 过往5年营收增-31.96%, 利润增104.24%
Income profile:
</v>
      </c>
      <c r="D26" t="s">
        <v>44</v>
      </c>
      <c r="E26" t="s">
        <v>19</v>
      </c>
      <c r="F26">
        <v>1.34</v>
      </c>
      <c r="G26">
        <v>1.52</v>
      </c>
      <c r="H26" t="s">
        <v>1379</v>
      </c>
      <c r="I26">
        <v>3821899700</v>
      </c>
      <c r="K26">
        <v>0.54100000000000004</v>
      </c>
      <c r="L26" t="s">
        <v>37</v>
      </c>
      <c r="M26" t="s">
        <v>1380</v>
      </c>
      <c r="N26" t="s">
        <v>1131</v>
      </c>
      <c r="O26" t="s">
        <v>1381</v>
      </c>
      <c r="P26">
        <v>-6.27</v>
      </c>
      <c r="Q26" t="s">
        <v>1382</v>
      </c>
      <c r="R26">
        <v>-319584880</v>
      </c>
      <c r="S26" s="5">
        <v>-7.9489999999999998</v>
      </c>
      <c r="T26" t="s">
        <v>1383</v>
      </c>
      <c r="U26">
        <v>2852164000</v>
      </c>
      <c r="V26">
        <v>2852164000</v>
      </c>
      <c r="W26">
        <v>2.14</v>
      </c>
      <c r="X26" t="s">
        <v>73</v>
      </c>
      <c r="Y26">
        <v>-6.16</v>
      </c>
      <c r="Z26" t="s">
        <v>73</v>
      </c>
      <c r="AA26" t="s">
        <v>73</v>
      </c>
      <c r="AB26" t="s">
        <v>73</v>
      </c>
      <c r="AC26" t="s">
        <v>73</v>
      </c>
      <c r="AD26" t="s">
        <v>73</v>
      </c>
      <c r="AE26">
        <v>13752560</v>
      </c>
      <c r="AF26" t="s">
        <v>1384</v>
      </c>
      <c r="AG26" t="s">
        <v>1385</v>
      </c>
      <c r="AH26" t="s">
        <v>1386</v>
      </c>
      <c r="AI26" t="s">
        <v>1387</v>
      </c>
      <c r="AJ26" t="s">
        <v>1388</v>
      </c>
      <c r="AK26" t="s">
        <v>73</v>
      </c>
      <c r="AL26" t="s">
        <v>1389</v>
      </c>
      <c r="AM26" t="s">
        <v>73</v>
      </c>
      <c r="AN26" t="s">
        <v>1390</v>
      </c>
      <c r="AO26" t="s">
        <v>73</v>
      </c>
      <c r="AP26" t="s">
        <v>1391</v>
      </c>
      <c r="AQ26" t="s">
        <v>1392</v>
      </c>
      <c r="AR26" t="s">
        <v>73</v>
      </c>
      <c r="AS26" t="s">
        <v>73</v>
      </c>
      <c r="AT26" t="s">
        <v>73</v>
      </c>
      <c r="AU26" t="s">
        <v>1393</v>
      </c>
      <c r="AV26" t="s">
        <v>1394</v>
      </c>
      <c r="AW26" t="s">
        <v>1395</v>
      </c>
      <c r="AX26" t="s">
        <v>579</v>
      </c>
      <c r="AY26" t="s">
        <v>73</v>
      </c>
      <c r="AZ26" t="s">
        <v>244</v>
      </c>
      <c r="BA26" t="s">
        <v>100</v>
      </c>
      <c r="BB26" t="s">
        <v>245</v>
      </c>
      <c r="BC26" t="s">
        <v>580</v>
      </c>
      <c r="BD26" t="s">
        <v>73</v>
      </c>
      <c r="BE26" t="s">
        <v>73</v>
      </c>
      <c r="BF26" t="s">
        <v>73</v>
      </c>
      <c r="BG26" t="s">
        <v>73</v>
      </c>
      <c r="BH26" t="s">
        <v>1396</v>
      </c>
      <c r="BI26" t="s">
        <v>561</v>
      </c>
      <c r="BJ26" t="s">
        <v>579</v>
      </c>
      <c r="BK26" t="s">
        <v>1397</v>
      </c>
      <c r="BL26" t="s">
        <v>1398</v>
      </c>
      <c r="BM26" t="s">
        <v>580</v>
      </c>
      <c r="BN26" t="s">
        <v>73</v>
      </c>
      <c r="BO26" t="s">
        <v>73</v>
      </c>
      <c r="BP26">
        <v>8.06</v>
      </c>
      <c r="BQ26">
        <v>-2.5099999999999998</v>
      </c>
      <c r="BR26">
        <v>-9.6300000000000008</v>
      </c>
      <c r="BS26">
        <v>10.39</v>
      </c>
      <c r="BT26" t="s">
        <v>476</v>
      </c>
      <c r="BU26" t="s">
        <v>464</v>
      </c>
      <c r="BV26">
        <v>-0.8</v>
      </c>
      <c r="BW26">
        <v>-1.56</v>
      </c>
      <c r="BX26">
        <v>7.31</v>
      </c>
      <c r="BY26">
        <v>-3.35</v>
      </c>
      <c r="BZ26">
        <v>-3.87</v>
      </c>
      <c r="CA26">
        <v>3.51</v>
      </c>
      <c r="CB26">
        <v>0.75</v>
      </c>
      <c r="CC26">
        <v>-20.239999999999998</v>
      </c>
      <c r="CD26" t="s">
        <v>105</v>
      </c>
      <c r="CE26" t="s">
        <v>1399</v>
      </c>
      <c r="CF26" s="7">
        <v>19.019305019305019</v>
      </c>
      <c r="CG26" s="8">
        <v>-39.139351266200443</v>
      </c>
      <c r="CH26" s="7">
        <v>-0.9364505410194397</v>
      </c>
      <c r="CI26" s="7" t="s">
        <v>73</v>
      </c>
      <c r="CJ26" s="7" t="s">
        <v>73</v>
      </c>
      <c r="CK26" s="7">
        <v>-3.8831211626529694E-2</v>
      </c>
      <c r="CL26" s="7">
        <v>1.6364187002182007E-2</v>
      </c>
      <c r="CM26" s="8">
        <v>1.0423659086227417</v>
      </c>
      <c r="CN26" s="8" t="s">
        <v>73</v>
      </c>
      <c r="CO26" s="8" t="s">
        <v>73</v>
      </c>
      <c r="CP26" s="8" t="s">
        <v>73</v>
      </c>
      <c r="CQ26" s="8" t="s">
        <v>73</v>
      </c>
      <c r="CR26">
        <v>-9.570697621248609</v>
      </c>
      <c r="CS26">
        <v>-0.29942190958270143</v>
      </c>
      <c r="CT26">
        <v>0</v>
      </c>
      <c r="CU26" s="7">
        <v>-0.31963918854792911</v>
      </c>
      <c r="CV26" s="8">
        <v>1.0423659086227417</v>
      </c>
      <c r="CW26">
        <v>0.06</v>
      </c>
      <c r="CX26" t="e">
        <v>#VALUE!</v>
      </c>
      <c r="CY26" t="s">
        <v>1400</v>
      </c>
      <c r="CZ26">
        <v>-0.31963918854792911</v>
      </c>
      <c r="DA26">
        <v>54.235260987572566</v>
      </c>
      <c r="DB26" t="s">
        <v>1401</v>
      </c>
      <c r="DC26">
        <v>-0.30365722912053261</v>
      </c>
      <c r="DD26">
        <v>27.117630493786283</v>
      </c>
      <c r="DE26" t="s">
        <v>1402</v>
      </c>
      <c r="DF26">
        <v>-0.28128248592217764</v>
      </c>
      <c r="DG26">
        <v>16.270578296271772</v>
      </c>
      <c r="DH26" t="s">
        <v>1403</v>
      </c>
      <c r="DI26">
        <v>-0.25571135083834329</v>
      </c>
      <c r="DJ26">
        <v>8.135289148135886</v>
      </c>
      <c r="DK26" t="s">
        <v>1404</v>
      </c>
      <c r="DL26">
        <v>-0.22374743198355035</v>
      </c>
      <c r="DM26">
        <v>35333100</v>
      </c>
      <c r="DN26">
        <v>-0.31963918854792911</v>
      </c>
      <c r="DO26">
        <v>5748899700.000001</v>
      </c>
      <c r="DP26">
        <v>3815998900</v>
      </c>
      <c r="DQ26">
        <v>3027</v>
      </c>
      <c r="DR26">
        <v>19.338944207852947</v>
      </c>
      <c r="DS26">
        <v>-40.181717174823184</v>
      </c>
      <c r="DT26" s="9">
        <v>-1.1599999999999999</v>
      </c>
      <c r="DU26">
        <v>-1.6950000000000001</v>
      </c>
      <c r="DV26">
        <v>-2.855</v>
      </c>
      <c r="DW26">
        <v>-3.0479523809523807</v>
      </c>
      <c r="DX26">
        <v>0.4136842105263166</v>
      </c>
      <c r="DY26">
        <v>-3.0112057142857145</v>
      </c>
      <c r="DZ26">
        <v>3904</v>
      </c>
      <c r="EA26">
        <v>-3.0026446362873918</v>
      </c>
      <c r="EB26">
        <v>3</v>
      </c>
      <c r="EC26">
        <v>3.891781818997786E-2</v>
      </c>
      <c r="ED26">
        <v>0.16654021297513047</v>
      </c>
      <c r="EE26" s="10">
        <v>1.0081100000000001</v>
      </c>
      <c r="EF26">
        <v>1.03521</v>
      </c>
      <c r="EG26">
        <v>18.233684210526317</v>
      </c>
      <c r="EH26" t="s">
        <v>595</v>
      </c>
      <c r="EI26">
        <v>0</v>
      </c>
      <c r="EJ26">
        <v>0</v>
      </c>
      <c r="EK26" s="12">
        <v>45470</v>
      </c>
      <c r="EL26" s="13">
        <v>1.27</v>
      </c>
      <c r="EM26" s="13">
        <v>-2.13</v>
      </c>
      <c r="EN26" s="13">
        <v>0.89</v>
      </c>
      <c r="EO26" s="13">
        <v>2.68</v>
      </c>
      <c r="EP26" s="13">
        <v>-2.71</v>
      </c>
    </row>
    <row r="27" spans="1:146" ht="96">
      <c r="A27" s="6"/>
      <c r="B27" s="6"/>
      <c r="C27" s="6" t="str">
        <f>""&amp;CHAR(10)&amp;Basic_Fundamental_Information_Constructure(F27)&amp;CHAR(10)&amp;Basic_Fundamental_Information_Concatenate("")</f>
        <v xml:space="preserve">
市值316.26917亿, 利润2.06亿; PE13.73; 平均PE11.84; 平均PEG1.49, PB1.19; ROIC7.22%; ROE9.9433%; 股利率4.8733%; 毛利11.01%; 净利3.93%; 上一年度营收增-96.86%, 利润增-90.47%; 当季营收增4086.6%, 利润增824.81%; 过往5年营收增-7.96%, 利润增-23.42%
Income profile:
</v>
      </c>
      <c r="D27" t="s">
        <v>68</v>
      </c>
      <c r="E27" t="s">
        <v>28</v>
      </c>
      <c r="F27">
        <v>5.13</v>
      </c>
      <c r="G27">
        <v>0.98</v>
      </c>
      <c r="H27" t="s">
        <v>1405</v>
      </c>
      <c r="I27">
        <v>31626917000</v>
      </c>
      <c r="J27">
        <v>13.73</v>
      </c>
      <c r="K27">
        <v>1.19</v>
      </c>
      <c r="L27" t="s">
        <v>37</v>
      </c>
      <c r="M27" t="s">
        <v>1406</v>
      </c>
      <c r="N27" t="s">
        <v>1407</v>
      </c>
      <c r="O27" t="s">
        <v>1408</v>
      </c>
      <c r="P27">
        <v>-5.73</v>
      </c>
      <c r="Q27" t="s">
        <v>1409</v>
      </c>
      <c r="R27">
        <v>553932300</v>
      </c>
      <c r="S27" s="5">
        <v>0.47239999999999999</v>
      </c>
      <c r="T27" t="s">
        <v>606</v>
      </c>
      <c r="U27">
        <v>6165091000</v>
      </c>
      <c r="V27">
        <v>6165091000</v>
      </c>
      <c r="W27">
        <v>2.58</v>
      </c>
      <c r="X27">
        <v>0.23</v>
      </c>
      <c r="Y27">
        <v>3.29</v>
      </c>
      <c r="Z27" t="s">
        <v>1410</v>
      </c>
      <c r="AA27" t="s">
        <v>1411</v>
      </c>
      <c r="AB27" t="s">
        <v>507</v>
      </c>
      <c r="AC27" t="s">
        <v>1412</v>
      </c>
      <c r="AD27" t="s">
        <v>73</v>
      </c>
      <c r="AE27">
        <v>134286700</v>
      </c>
      <c r="AF27" t="s">
        <v>1413</v>
      </c>
      <c r="AG27" t="s">
        <v>1414</v>
      </c>
      <c r="AH27" t="s">
        <v>1415</v>
      </c>
      <c r="AI27" t="s">
        <v>521</v>
      </c>
      <c r="AJ27" t="s">
        <v>1416</v>
      </c>
      <c r="AK27" t="s">
        <v>980</v>
      </c>
      <c r="AL27" t="s">
        <v>1417</v>
      </c>
      <c r="AM27" t="s">
        <v>73</v>
      </c>
      <c r="AN27" t="s">
        <v>1418</v>
      </c>
      <c r="AO27" t="s">
        <v>1419</v>
      </c>
      <c r="AP27" t="s">
        <v>563</v>
      </c>
      <c r="AQ27" t="s">
        <v>1290</v>
      </c>
      <c r="AR27" t="s">
        <v>73</v>
      </c>
      <c r="AS27" t="s">
        <v>1420</v>
      </c>
      <c r="AT27" t="s">
        <v>1421</v>
      </c>
      <c r="AU27" t="s">
        <v>172</v>
      </c>
      <c r="AV27" t="s">
        <v>1422</v>
      </c>
      <c r="AW27" t="s">
        <v>1423</v>
      </c>
      <c r="AX27" t="s">
        <v>582</v>
      </c>
      <c r="AY27" t="s">
        <v>586</v>
      </c>
      <c r="AZ27" t="s">
        <v>246</v>
      </c>
      <c r="BA27" t="s">
        <v>106</v>
      </c>
      <c r="BB27" t="s">
        <v>248</v>
      </c>
      <c r="BC27" t="s">
        <v>583</v>
      </c>
      <c r="BD27" t="s">
        <v>587</v>
      </c>
      <c r="BE27" t="s">
        <v>247</v>
      </c>
      <c r="BF27" t="s">
        <v>107</v>
      </c>
      <c r="BG27" t="s">
        <v>249</v>
      </c>
      <c r="BH27" t="s">
        <v>1424</v>
      </c>
      <c r="BI27" t="s">
        <v>1425</v>
      </c>
      <c r="BJ27" t="s">
        <v>582</v>
      </c>
      <c r="BK27" t="s">
        <v>1426</v>
      </c>
      <c r="BL27" t="s">
        <v>1427</v>
      </c>
      <c r="BM27" t="s">
        <v>583</v>
      </c>
      <c r="BN27">
        <v>4.13</v>
      </c>
      <c r="BO27">
        <v>5.71</v>
      </c>
      <c r="BP27">
        <v>11.82</v>
      </c>
      <c r="BQ27">
        <v>5.4</v>
      </c>
      <c r="BR27">
        <v>7.94</v>
      </c>
      <c r="BS27">
        <v>16.489999999999998</v>
      </c>
      <c r="BT27" t="s">
        <v>485</v>
      </c>
      <c r="BU27" t="s">
        <v>464</v>
      </c>
      <c r="BV27">
        <v>10.6</v>
      </c>
      <c r="BW27">
        <v>10.75</v>
      </c>
      <c r="BX27">
        <v>11.68</v>
      </c>
      <c r="BY27">
        <v>3.09</v>
      </c>
      <c r="BZ27">
        <v>3.29</v>
      </c>
      <c r="CA27">
        <v>5.41</v>
      </c>
      <c r="CB27">
        <v>3.01</v>
      </c>
      <c r="CC27">
        <v>4.2699999999999996</v>
      </c>
      <c r="CD27" t="s">
        <v>507</v>
      </c>
      <c r="CE27" t="s">
        <v>1428</v>
      </c>
      <c r="CF27" s="7">
        <v>40.866004962779158</v>
      </c>
      <c r="CG27" s="8">
        <v>8.2480963121630673</v>
      </c>
      <c r="CH27" s="7">
        <v>-0.96855676174163818</v>
      </c>
      <c r="CI27" s="7">
        <v>-7.6899968087673187E-2</v>
      </c>
      <c r="CJ27" s="7">
        <v>0.44107082486152649</v>
      </c>
      <c r="CK27" s="7">
        <v>0.10742124915122986</v>
      </c>
      <c r="CL27" s="7">
        <v>9.9044613540172577E-2</v>
      </c>
      <c r="CM27" s="8">
        <v>-0.90467375516891479</v>
      </c>
      <c r="CN27" s="8">
        <v>-0.48596575856208801</v>
      </c>
      <c r="CO27" s="8">
        <v>0.47716087102890015</v>
      </c>
      <c r="CP27" s="8">
        <v>9.2095158994197845E-2</v>
      </c>
      <c r="CQ27" s="8">
        <v>-0.34980037808418274</v>
      </c>
      <c r="CR27">
        <v>11.837159378703761</v>
      </c>
      <c r="CS27">
        <v>1.4873791366460063</v>
      </c>
      <c r="CT27">
        <v>4.8732943469785575</v>
      </c>
      <c r="CU27" s="7">
        <v>-7.9584008455276495E-2</v>
      </c>
      <c r="CV27" s="8">
        <v>-0.2342367723584175</v>
      </c>
      <c r="CW27">
        <v>0.06</v>
      </c>
      <c r="CX27">
        <v>233.15008252427185</v>
      </c>
      <c r="CY27" t="s">
        <v>1429</v>
      </c>
      <c r="CZ27">
        <v>-7.9584008455276495E-2</v>
      </c>
      <c r="DA27">
        <v>77.716694174757279</v>
      </c>
      <c r="DB27" t="s">
        <v>1430</v>
      </c>
      <c r="DC27">
        <v>-7.5604808032512669E-2</v>
      </c>
      <c r="DD27">
        <v>38.85834708737864</v>
      </c>
      <c r="DE27" t="s">
        <v>1431</v>
      </c>
      <c r="DF27">
        <v>-7.0033927440643309E-2</v>
      </c>
      <c r="DG27">
        <v>23.315008252427184</v>
      </c>
      <c r="DH27" t="s">
        <v>1432</v>
      </c>
      <c r="DI27">
        <v>-6.3667206764221204E-2</v>
      </c>
      <c r="DJ27">
        <v>11.657504126213592</v>
      </c>
      <c r="DK27" t="s">
        <v>1433</v>
      </c>
      <c r="DL27">
        <v>-5.5708805918693545E-2</v>
      </c>
      <c r="DM27">
        <v>206000000</v>
      </c>
      <c r="DN27">
        <v>-7.9584008455276495E-2</v>
      </c>
      <c r="DO27">
        <v>48028917000</v>
      </c>
      <c r="DP27">
        <v>-3061794000</v>
      </c>
      <c r="DQ27">
        <v>3065</v>
      </c>
      <c r="DR27">
        <v>40.945588971234436</v>
      </c>
      <c r="DS27">
        <v>8.4823330845214855</v>
      </c>
      <c r="DT27" s="9">
        <v>-0.64</v>
      </c>
      <c r="DU27">
        <v>-0.67</v>
      </c>
      <c r="DV27">
        <v>-1.31</v>
      </c>
      <c r="DW27">
        <v>8.7049180327868854</v>
      </c>
      <c r="DX27">
        <v>0.32768115942028914</v>
      </c>
      <c r="DY27">
        <v>8.0970539320503683</v>
      </c>
      <c r="DZ27">
        <v>4964</v>
      </c>
      <c r="EA27">
        <v>8.0027729694871539</v>
      </c>
      <c r="EB27">
        <v>8</v>
      </c>
      <c r="EC27">
        <v>2.1573079780979713E-2</v>
      </c>
      <c r="ED27">
        <v>0.15668868472501055</v>
      </c>
      <c r="EE27" s="10">
        <v>-4.0209099999999998</v>
      </c>
      <c r="EF27">
        <v>-4.0286099999999996</v>
      </c>
      <c r="EG27">
        <v>19.137681159420289</v>
      </c>
      <c r="EH27" t="s">
        <v>1434</v>
      </c>
      <c r="EI27">
        <v>0</v>
      </c>
      <c r="EJ27">
        <v>0</v>
      </c>
      <c r="EK27" s="12">
        <v>45470</v>
      </c>
      <c r="EL27" s="13">
        <v>-2.2599999999999998</v>
      </c>
      <c r="EM27" s="13">
        <v>-5.0199999999999996</v>
      </c>
      <c r="EN27" s="13">
        <v>2.85</v>
      </c>
      <c r="EO27" s="13">
        <v>2.77</v>
      </c>
      <c r="EP27" s="13">
        <v>-0.77</v>
      </c>
    </row>
    <row r="28" spans="1:146" ht="96">
      <c r="A28" s="6"/>
      <c r="B28" s="6"/>
      <c r="C28" s="6" t="str">
        <f>""&amp;CHAR(10)&amp;Basic_Fundamental_Information_Constructure(F28)&amp;CHAR(10)&amp;Basic_Fundamental_Information_Concatenate("")</f>
        <v xml:space="preserve">
市值279.03799亿, 利润3.92亿; PE12.4; 平均PE11.14; 平均PEG.17, PB1.29; ROIC17.25%; ROE24.68%; 股利率8.0241%; 毛利29.2167%; 净利17.68%; 上一年度营收增279.19%, 利润增-91.71%; 当季营收增-78.66%, 利润增-34.61%; 过往5年营收增66.13%, 利润增47.81%
Income profile:
</v>
      </c>
      <c r="D28" t="s">
        <v>347</v>
      </c>
      <c r="E28" t="s">
        <v>348</v>
      </c>
      <c r="F28">
        <v>9.9700000000000006</v>
      </c>
      <c r="G28">
        <v>1.01</v>
      </c>
      <c r="H28" t="s">
        <v>1435</v>
      </c>
      <c r="I28">
        <v>27903799000</v>
      </c>
      <c r="J28">
        <v>12.4</v>
      </c>
      <c r="K28">
        <v>1.29</v>
      </c>
      <c r="L28" t="s">
        <v>37</v>
      </c>
      <c r="M28" t="s">
        <v>1436</v>
      </c>
      <c r="N28" t="s">
        <v>1437</v>
      </c>
      <c r="O28" t="s">
        <v>1438</v>
      </c>
      <c r="P28">
        <v>-11</v>
      </c>
      <c r="Q28" t="s">
        <v>1439</v>
      </c>
      <c r="R28">
        <v>346585130</v>
      </c>
      <c r="S28" s="5">
        <v>-0.65359999999999996</v>
      </c>
      <c r="T28" t="s">
        <v>1440</v>
      </c>
      <c r="U28">
        <v>1975576300</v>
      </c>
      <c r="V28">
        <v>2798776300</v>
      </c>
      <c r="W28">
        <v>1.81</v>
      </c>
      <c r="X28">
        <v>0.14000000000000001</v>
      </c>
      <c r="Y28">
        <v>5.93</v>
      </c>
      <c r="Z28" t="s">
        <v>1441</v>
      </c>
      <c r="AA28" t="s">
        <v>1442</v>
      </c>
      <c r="AB28" t="s">
        <v>1443</v>
      </c>
      <c r="AC28" t="s">
        <v>1444</v>
      </c>
      <c r="AD28" t="s">
        <v>73</v>
      </c>
      <c r="AE28">
        <v>14114286</v>
      </c>
      <c r="AF28" t="s">
        <v>1445</v>
      </c>
      <c r="AG28" t="s">
        <v>1446</v>
      </c>
      <c r="AH28" t="s">
        <v>1447</v>
      </c>
      <c r="AI28" t="s">
        <v>1448</v>
      </c>
      <c r="AJ28" t="s">
        <v>1449</v>
      </c>
      <c r="AK28" t="s">
        <v>492</v>
      </c>
      <c r="AL28" t="s">
        <v>1450</v>
      </c>
      <c r="AM28" t="s">
        <v>73</v>
      </c>
      <c r="AN28" t="s">
        <v>1451</v>
      </c>
      <c r="AO28" t="s">
        <v>1452</v>
      </c>
      <c r="AP28" t="s">
        <v>1453</v>
      </c>
      <c r="AQ28" t="s">
        <v>1454</v>
      </c>
      <c r="AR28" t="s">
        <v>73</v>
      </c>
      <c r="AS28" t="s">
        <v>1455</v>
      </c>
      <c r="AT28" t="s">
        <v>1456</v>
      </c>
      <c r="AU28" t="s">
        <v>651</v>
      </c>
      <c r="AV28" t="s">
        <v>1457</v>
      </c>
      <c r="AW28" t="s">
        <v>1458</v>
      </c>
      <c r="AX28" t="s">
        <v>588</v>
      </c>
      <c r="AY28" t="s">
        <v>414</v>
      </c>
      <c r="AZ28" t="s">
        <v>349</v>
      </c>
      <c r="BA28" t="s">
        <v>351</v>
      </c>
      <c r="BB28" t="s">
        <v>352</v>
      </c>
      <c r="BC28" t="s">
        <v>1459</v>
      </c>
      <c r="BD28" t="s">
        <v>415</v>
      </c>
      <c r="BE28" t="s">
        <v>350</v>
      </c>
      <c r="BF28" t="s">
        <v>353</v>
      </c>
      <c r="BG28" t="s">
        <v>354</v>
      </c>
      <c r="BH28" t="s">
        <v>1460</v>
      </c>
      <c r="BI28" t="s">
        <v>1461</v>
      </c>
      <c r="BJ28" t="s">
        <v>588</v>
      </c>
      <c r="BK28" t="s">
        <v>1462</v>
      </c>
      <c r="BL28" t="s">
        <v>1463</v>
      </c>
      <c r="BM28" t="s">
        <v>1459</v>
      </c>
      <c r="BN28">
        <v>9.2100000000000009</v>
      </c>
      <c r="BO28">
        <v>18.96</v>
      </c>
      <c r="BP28">
        <v>23.58</v>
      </c>
      <c r="BQ28">
        <v>11.7</v>
      </c>
      <c r="BR28">
        <v>24.28</v>
      </c>
      <c r="BS28">
        <v>38.06</v>
      </c>
      <c r="BT28" t="s">
        <v>1464</v>
      </c>
      <c r="BU28" t="s">
        <v>462</v>
      </c>
      <c r="BV28">
        <v>22.63</v>
      </c>
      <c r="BW28">
        <v>29.36</v>
      </c>
      <c r="BX28">
        <v>35.659999999999997</v>
      </c>
      <c r="BY28">
        <v>12.24</v>
      </c>
      <c r="BZ28">
        <v>18.34</v>
      </c>
      <c r="CA28">
        <v>22.46</v>
      </c>
      <c r="CB28">
        <v>0.5</v>
      </c>
      <c r="CC28">
        <v>-6.65</v>
      </c>
      <c r="CD28" t="s">
        <v>1465</v>
      </c>
      <c r="CE28" t="s">
        <v>151</v>
      </c>
      <c r="CF28" s="7">
        <v>-0.78658556004968316</v>
      </c>
      <c r="CG28" s="8">
        <v>-0.3460657924528302</v>
      </c>
      <c r="CH28" s="7">
        <v>2.7918827533721924</v>
      </c>
      <c r="CI28" s="7">
        <v>-2.1933752577751875E-3</v>
      </c>
      <c r="CJ28" s="7">
        <v>0.57612037658691406</v>
      </c>
      <c r="CK28" s="7">
        <v>1.3977675698697567E-2</v>
      </c>
      <c r="CL28" s="7">
        <v>-7.3142953217029572E-2</v>
      </c>
      <c r="CM28" s="8">
        <v>-0.91705459356307983</v>
      </c>
      <c r="CN28" s="8">
        <v>-0.22410108149051666</v>
      </c>
      <c r="CO28" s="8">
        <v>2.9862563610076904</v>
      </c>
      <c r="CP28" s="8">
        <v>0.14456923305988312</v>
      </c>
      <c r="CQ28" s="8">
        <v>0.40083950757980347</v>
      </c>
      <c r="CR28">
        <v>11.142948019966722</v>
      </c>
      <c r="CS28">
        <v>0.16849328823913415</v>
      </c>
      <c r="CT28">
        <v>8.0240722166499499</v>
      </c>
      <c r="CU28" s="7">
        <v>0.6613288954365999</v>
      </c>
      <c r="CV28" s="8">
        <v>0.47810188531875608</v>
      </c>
      <c r="CW28">
        <v>0.06</v>
      </c>
      <c r="CX28">
        <v>37.810257185477113</v>
      </c>
      <c r="CY28">
        <v>614378233.02938402</v>
      </c>
      <c r="CZ28">
        <v>0.6613288954365999</v>
      </c>
      <c r="DA28">
        <v>7.8800136577121425</v>
      </c>
      <c r="DB28">
        <v>2947938926.129281</v>
      </c>
      <c r="DC28">
        <v>0.62826245066476982</v>
      </c>
      <c r="DD28">
        <v>1.9455847155020107</v>
      </c>
      <c r="DE28">
        <v>11939752000.984505</v>
      </c>
      <c r="DF28">
        <v>0.58196942798420792</v>
      </c>
      <c r="DG28">
        <v>0.47824160129217169</v>
      </c>
      <c r="DH28">
        <v>48573354842.478958</v>
      </c>
      <c r="DI28">
        <v>0.52906311634927994</v>
      </c>
      <c r="DJ28">
        <v>2.600771105846798E-2</v>
      </c>
      <c r="DK28">
        <v>893188906466.12646</v>
      </c>
      <c r="DL28">
        <v>0.4629302268056199</v>
      </c>
      <c r="DM28">
        <v>392000000</v>
      </c>
      <c r="DN28">
        <v>0.6613288954365999</v>
      </c>
      <c r="DO28">
        <v>23229799000</v>
      </c>
      <c r="DP28">
        <v>-5529818200</v>
      </c>
      <c r="DQ28">
        <v>3074</v>
      </c>
      <c r="DR28">
        <v>-1.4479144554862831</v>
      </c>
      <c r="DS28">
        <v>-0.82416767777158628</v>
      </c>
      <c r="DT28" s="9">
        <v>-6.6666666666666714E-3</v>
      </c>
      <c r="DU28">
        <v>-0.25166666666666676</v>
      </c>
      <c r="DV28">
        <v>-0.25833333333333341</v>
      </c>
      <c r="DW28">
        <v>-2.0665</v>
      </c>
      <c r="DX28">
        <v>0.28689922480620322</v>
      </c>
      <c r="DY28">
        <v>-2.0044487984496122</v>
      </c>
      <c r="DZ28">
        <v>3695</v>
      </c>
      <c r="EA28">
        <v>-2.0012319079855581</v>
      </c>
      <c r="EB28">
        <v>2</v>
      </c>
      <c r="EC28">
        <v>9.2504713577859013E-3</v>
      </c>
      <c r="ED28">
        <v>0.13827471670386804</v>
      </c>
      <c r="EE28" s="10">
        <v>1.01481</v>
      </c>
      <c r="EF28">
        <v>1.0343100000000001</v>
      </c>
      <c r="EG28">
        <v>22.066899224806203</v>
      </c>
      <c r="EH28" t="s">
        <v>595</v>
      </c>
      <c r="EI28">
        <v>0</v>
      </c>
      <c r="EJ28">
        <v>0</v>
      </c>
      <c r="EK28" s="12">
        <v>45470</v>
      </c>
      <c r="EL28" s="13">
        <v>0</v>
      </c>
      <c r="EM28" s="13">
        <v>-3.1</v>
      </c>
      <c r="EN28" s="13">
        <v>0.4</v>
      </c>
      <c r="EO28" s="13">
        <v>1.99</v>
      </c>
      <c r="EP28" s="13">
        <v>-1.95</v>
      </c>
    </row>
    <row r="29" spans="1:146" ht="96">
      <c r="A29" s="6"/>
      <c r="B29" s="6"/>
      <c r="C29" s="6" t="str">
        <f>""&amp;CHAR(10)&amp;Basic_Fundamental_Information_Constructure(F29)&amp;CHAR(10)&amp;Basic_Fundamental_Information_Concatenate("")</f>
        <v xml:space="preserve">
市值76.412961亿, 利润2.37亿; PE; 平均PE21.86; 平均PEG1.68, PB.793; ROIC6.98%; ROE-3.8933%; 股利率0%; 毛利7.75%; 净利-1.7167%; 上一年度营收增-70.21%, 利润增109.57%; 当季营收增132.36%, 利润增-585.13%; 过往5年营收增-13%, 利润增-2.9%
Income profile:
</v>
      </c>
      <c r="D29" t="s">
        <v>60</v>
      </c>
      <c r="E29" t="s">
        <v>13</v>
      </c>
      <c r="F29">
        <v>1.22</v>
      </c>
      <c r="G29">
        <v>0.83</v>
      </c>
      <c r="H29" t="s">
        <v>1466</v>
      </c>
      <c r="I29">
        <v>7641296100</v>
      </c>
      <c r="K29">
        <v>0.79300000000000004</v>
      </c>
      <c r="L29" t="s">
        <v>37</v>
      </c>
      <c r="M29" t="s">
        <v>1467</v>
      </c>
      <c r="N29" t="s">
        <v>1468</v>
      </c>
      <c r="O29" t="s">
        <v>1469</v>
      </c>
      <c r="P29">
        <v>-21.26</v>
      </c>
      <c r="Q29" t="s">
        <v>1470</v>
      </c>
      <c r="R29">
        <v>-519092880</v>
      </c>
      <c r="S29" s="5">
        <v>-17.89</v>
      </c>
      <c r="T29" t="s">
        <v>467</v>
      </c>
      <c r="U29">
        <v>6263357400</v>
      </c>
      <c r="V29">
        <v>6263357400</v>
      </c>
      <c r="W29">
        <v>4.78</v>
      </c>
      <c r="X29">
        <v>0.18</v>
      </c>
      <c r="Y29">
        <v>-6.33</v>
      </c>
      <c r="Z29" t="s">
        <v>1471</v>
      </c>
      <c r="AA29" t="s">
        <v>1472</v>
      </c>
      <c r="AB29" t="s">
        <v>101</v>
      </c>
      <c r="AC29" t="s">
        <v>1473</v>
      </c>
      <c r="AD29" t="s">
        <v>73</v>
      </c>
      <c r="AE29">
        <v>135249490</v>
      </c>
      <c r="AF29" t="s">
        <v>1474</v>
      </c>
      <c r="AG29" t="s">
        <v>1475</v>
      </c>
      <c r="AH29" t="s">
        <v>1476</v>
      </c>
      <c r="AI29" t="s">
        <v>1477</v>
      </c>
      <c r="AJ29" t="s">
        <v>1478</v>
      </c>
      <c r="AK29" t="s">
        <v>599</v>
      </c>
      <c r="AL29" t="s">
        <v>1479</v>
      </c>
      <c r="AM29" t="s">
        <v>73</v>
      </c>
      <c r="AN29" t="s">
        <v>1480</v>
      </c>
      <c r="AO29" t="s">
        <v>1481</v>
      </c>
      <c r="AP29" t="s">
        <v>1482</v>
      </c>
      <c r="AQ29" t="s">
        <v>1483</v>
      </c>
      <c r="AR29" t="s">
        <v>73</v>
      </c>
      <c r="AS29" t="s">
        <v>1484</v>
      </c>
      <c r="AT29" t="s">
        <v>1485</v>
      </c>
      <c r="AU29" t="s">
        <v>1486</v>
      </c>
      <c r="AV29" t="s">
        <v>1487</v>
      </c>
      <c r="AW29" t="s">
        <v>1488</v>
      </c>
      <c r="AX29" t="s">
        <v>590</v>
      </c>
      <c r="AY29" t="s">
        <v>416</v>
      </c>
      <c r="AZ29" t="s">
        <v>250</v>
      </c>
      <c r="BA29" t="s">
        <v>108</v>
      </c>
      <c r="BB29" t="s">
        <v>252</v>
      </c>
      <c r="BC29" t="s">
        <v>591</v>
      </c>
      <c r="BD29" t="s">
        <v>368</v>
      </c>
      <c r="BE29" t="s">
        <v>251</v>
      </c>
      <c r="BF29" t="s">
        <v>109</v>
      </c>
      <c r="BG29" t="s">
        <v>253</v>
      </c>
      <c r="BH29" t="s">
        <v>1489</v>
      </c>
      <c r="BI29" t="s">
        <v>750</v>
      </c>
      <c r="BJ29" t="s">
        <v>590</v>
      </c>
      <c r="BK29" t="s">
        <v>1490</v>
      </c>
      <c r="BL29" t="s">
        <v>481</v>
      </c>
      <c r="BM29" t="s">
        <v>591</v>
      </c>
      <c r="BN29" t="s">
        <v>73</v>
      </c>
      <c r="BO29" t="s">
        <v>73</v>
      </c>
      <c r="BP29">
        <v>6.98</v>
      </c>
      <c r="BQ29">
        <v>-3.24</v>
      </c>
      <c r="BR29">
        <v>-19.829999999999998</v>
      </c>
      <c r="BS29">
        <v>11.39</v>
      </c>
      <c r="BT29" t="s">
        <v>476</v>
      </c>
      <c r="BU29" t="s">
        <v>464</v>
      </c>
      <c r="BV29">
        <v>7.1</v>
      </c>
      <c r="BW29">
        <v>3.04</v>
      </c>
      <c r="BX29">
        <v>13.11</v>
      </c>
      <c r="BY29">
        <v>-2.66</v>
      </c>
      <c r="BZ29">
        <v>-5.55</v>
      </c>
      <c r="CA29">
        <v>3.06</v>
      </c>
      <c r="CB29">
        <v>3.39</v>
      </c>
      <c r="CC29">
        <v>-6.15</v>
      </c>
      <c r="CD29" t="s">
        <v>1491</v>
      </c>
      <c r="CE29" t="s">
        <v>1492</v>
      </c>
      <c r="CF29" s="7">
        <v>1.3236126840317097</v>
      </c>
      <c r="CG29" s="8">
        <v>-5.8513353271028041</v>
      </c>
      <c r="CH29" s="7">
        <v>-0.7020689845085144</v>
      </c>
      <c r="CI29" s="7">
        <v>-8.3360768854618073E-2</v>
      </c>
      <c r="CJ29" s="7">
        <v>0.3146052360534668</v>
      </c>
      <c r="CK29" s="7">
        <v>-0.20786972343921661</v>
      </c>
      <c r="CL29" s="7">
        <v>2.8724832460284233E-2</v>
      </c>
      <c r="CM29" s="8">
        <v>1.0957188606262207</v>
      </c>
      <c r="CN29" s="8">
        <v>-2.6639785766601562</v>
      </c>
      <c r="CO29" s="8">
        <v>1.8725868463516235</v>
      </c>
      <c r="CP29" s="8">
        <v>-0.58124494552612305</v>
      </c>
      <c r="CQ29" s="8">
        <v>0.13174749910831451</v>
      </c>
      <c r="CR29">
        <v>21.863508154506437</v>
      </c>
      <c r="CS29">
        <v>1.6818874762178537</v>
      </c>
      <c r="CT29">
        <v>0</v>
      </c>
      <c r="CU29" s="7">
        <v>-0.12999388165771961</v>
      </c>
      <c r="CV29" s="8">
        <v>-2.9034063220024109E-2</v>
      </c>
      <c r="CW29">
        <v>0.06</v>
      </c>
      <c r="CX29" t="e">
        <v>#VALUE!</v>
      </c>
      <c r="CY29" t="s">
        <v>1400</v>
      </c>
      <c r="CZ29">
        <v>-0.12999388165771961</v>
      </c>
      <c r="DA29">
        <v>45.311246272855136</v>
      </c>
      <c r="DB29" t="s">
        <v>1493</v>
      </c>
      <c r="DC29">
        <v>-0.12349418757483362</v>
      </c>
      <c r="DD29">
        <v>22.655623136427568</v>
      </c>
      <c r="DE29" t="s">
        <v>1494</v>
      </c>
      <c r="DF29">
        <v>-0.11439461585879325</v>
      </c>
      <c r="DG29">
        <v>13.593373881856539</v>
      </c>
      <c r="DH29" t="s">
        <v>1495</v>
      </c>
      <c r="DI29">
        <v>-0.10399510532617569</v>
      </c>
      <c r="DJ29">
        <v>6.7966869409282697</v>
      </c>
      <c r="DK29" t="s">
        <v>1496</v>
      </c>
      <c r="DL29">
        <v>-9.0995717160403722E-2</v>
      </c>
      <c r="DM29">
        <v>237000000</v>
      </c>
      <c r="DN29">
        <v>-0.12999388165771961</v>
      </c>
      <c r="DO29">
        <v>32216296100</v>
      </c>
      <c r="DP29">
        <v>-15181115400</v>
      </c>
      <c r="DQ29">
        <v>3083</v>
      </c>
      <c r="DR29">
        <v>1.4536065656894293</v>
      </c>
      <c r="DS29">
        <v>-5.82230126388278</v>
      </c>
      <c r="DT29" s="9">
        <v>-0.75666666666666671</v>
      </c>
      <c r="DU29">
        <v>-1.0366666666666666</v>
      </c>
      <c r="DV29">
        <v>-1.7933333333333334</v>
      </c>
      <c r="DW29">
        <v>6.3553459119496853</v>
      </c>
      <c r="DX29">
        <v>0.26874823913043488</v>
      </c>
      <c r="DY29">
        <v>6.0386432422067271</v>
      </c>
      <c r="DZ29">
        <v>3504</v>
      </c>
      <c r="EA29">
        <v>6.0121450189792567</v>
      </c>
      <c r="EB29">
        <v>6</v>
      </c>
      <c r="EC29">
        <v>1.2778881179605047E-2</v>
      </c>
      <c r="ED29">
        <v>0.11750886194040276</v>
      </c>
      <c r="EE29" s="10">
        <v>-1.0064</v>
      </c>
      <c r="EF29">
        <v>-1.0112099999999999</v>
      </c>
      <c r="EG29">
        <v>16.108748239130435</v>
      </c>
      <c r="EH29" t="s">
        <v>935</v>
      </c>
      <c r="EI29">
        <v>0</v>
      </c>
      <c r="EJ29">
        <v>0</v>
      </c>
      <c r="EK29" s="12">
        <v>45470</v>
      </c>
      <c r="EL29" s="13">
        <v>-1.34</v>
      </c>
      <c r="EM29" s="13">
        <v>-1.63</v>
      </c>
      <c r="EN29" s="13">
        <v>0.28000000000000003</v>
      </c>
      <c r="EO29" s="13">
        <v>2.0699999999999998</v>
      </c>
      <c r="EP29" s="13">
        <v>-1.76</v>
      </c>
    </row>
    <row r="30" spans="1:146" ht="96">
      <c r="A30" s="6"/>
      <c r="B30" s="6"/>
      <c r="C30" s="6" t="str">
        <f>""&amp;CHAR(10)&amp;Basic_Fundamental_Information_Constructure(F30)&amp;CHAR(10)&amp;Basic_Fundamental_Information_Concatenate("")</f>
        <v xml:space="preserve">
市值30.075946亿, 利润8.88亿; PE27.11; 平均PE4.99; 平均PEG0, PB.971; ROIC10.1867%; ROE10.9867%; 股利率4.6752%; 毛利74.67%; 净利38.7067%; 上一年度营收增10382.14%, 利润增200%; 当季营收增-99.18%, 利润增-93.27%; 过往5年营收增2090.18%, 利润增61.72%
Income profile:
</v>
      </c>
      <c r="D30" t="s">
        <v>417</v>
      </c>
      <c r="E30" t="s">
        <v>1497</v>
      </c>
      <c r="F30">
        <v>3.91</v>
      </c>
      <c r="G30">
        <v>0.26</v>
      </c>
      <c r="H30" t="s">
        <v>1498</v>
      </c>
      <c r="I30">
        <v>3007594600</v>
      </c>
      <c r="J30">
        <v>27.11</v>
      </c>
      <c r="K30">
        <v>0.97099999999999997</v>
      </c>
      <c r="L30" t="s">
        <v>37</v>
      </c>
      <c r="M30" t="s">
        <v>402</v>
      </c>
      <c r="N30" t="s">
        <v>1499</v>
      </c>
      <c r="O30" t="s">
        <v>577</v>
      </c>
      <c r="P30">
        <v>-31</v>
      </c>
      <c r="Q30" t="s">
        <v>1500</v>
      </c>
      <c r="R30">
        <v>34182955</v>
      </c>
      <c r="S30" s="5">
        <v>-0.55910000000000004</v>
      </c>
      <c r="T30" t="s">
        <v>1501</v>
      </c>
      <c r="U30">
        <v>769205770</v>
      </c>
      <c r="V30">
        <v>769205770</v>
      </c>
      <c r="W30">
        <v>1.1399999999999999</v>
      </c>
      <c r="X30">
        <v>0.03</v>
      </c>
      <c r="Y30">
        <v>29.06</v>
      </c>
      <c r="Z30" t="s">
        <v>1502</v>
      </c>
      <c r="AA30" t="s">
        <v>1503</v>
      </c>
      <c r="AB30" t="s">
        <v>1504</v>
      </c>
      <c r="AC30" t="s">
        <v>1505</v>
      </c>
      <c r="AD30" t="s">
        <v>73</v>
      </c>
      <c r="AE30">
        <v>3697176</v>
      </c>
      <c r="AF30" t="s">
        <v>1506</v>
      </c>
      <c r="AG30" t="s">
        <v>1507</v>
      </c>
      <c r="AH30" t="s">
        <v>1508</v>
      </c>
      <c r="AI30" t="s">
        <v>551</v>
      </c>
      <c r="AJ30" t="s">
        <v>1509</v>
      </c>
      <c r="AK30" t="s">
        <v>1510</v>
      </c>
      <c r="AL30" t="s">
        <v>1511</v>
      </c>
      <c r="AM30" t="s">
        <v>73</v>
      </c>
      <c r="AN30" t="s">
        <v>1512</v>
      </c>
      <c r="AO30" t="s">
        <v>643</v>
      </c>
      <c r="AP30" t="s">
        <v>73</v>
      </c>
      <c r="AQ30" t="s">
        <v>1513</v>
      </c>
      <c r="AR30" t="s">
        <v>1514</v>
      </c>
      <c r="AS30" t="s">
        <v>138</v>
      </c>
      <c r="AT30" t="s">
        <v>73</v>
      </c>
      <c r="AU30" t="s">
        <v>1515</v>
      </c>
      <c r="AV30" t="s">
        <v>1516</v>
      </c>
      <c r="AW30" t="s">
        <v>1517</v>
      </c>
      <c r="AX30" t="s">
        <v>490</v>
      </c>
      <c r="AY30" t="s">
        <v>418</v>
      </c>
      <c r="AZ30" t="s">
        <v>419</v>
      </c>
      <c r="BA30" t="s">
        <v>420</v>
      </c>
      <c r="BB30" t="s">
        <v>334</v>
      </c>
      <c r="BC30" t="s">
        <v>480</v>
      </c>
      <c r="BD30" t="s">
        <v>210</v>
      </c>
      <c r="BE30" t="s">
        <v>421</v>
      </c>
      <c r="BF30" t="s">
        <v>422</v>
      </c>
      <c r="BG30" t="s">
        <v>423</v>
      </c>
      <c r="BH30" t="s">
        <v>466</v>
      </c>
      <c r="BI30" t="s">
        <v>1518</v>
      </c>
      <c r="BJ30" t="s">
        <v>490</v>
      </c>
      <c r="BK30" t="s">
        <v>519</v>
      </c>
      <c r="BL30" t="s">
        <v>1519</v>
      </c>
      <c r="BM30" t="s">
        <v>480</v>
      </c>
      <c r="BN30">
        <v>5.0599999999999996</v>
      </c>
      <c r="BO30">
        <v>7.15</v>
      </c>
      <c r="BP30">
        <v>18.350000000000001</v>
      </c>
      <c r="BQ30">
        <v>5.68</v>
      </c>
      <c r="BR30">
        <v>7.7</v>
      </c>
      <c r="BS30">
        <v>19.579999999999998</v>
      </c>
      <c r="BT30" t="s">
        <v>1520</v>
      </c>
      <c r="BU30" t="s">
        <v>462</v>
      </c>
      <c r="BV30">
        <v>68.53</v>
      </c>
      <c r="BW30">
        <v>71.44</v>
      </c>
      <c r="BX30">
        <v>84.04</v>
      </c>
      <c r="BY30">
        <v>22.48</v>
      </c>
      <c r="BZ30">
        <v>31.25</v>
      </c>
      <c r="CA30">
        <v>62.39</v>
      </c>
      <c r="CB30">
        <v>-2.0099999999999998</v>
      </c>
      <c r="CC30">
        <v>-5.33</v>
      </c>
      <c r="CD30" t="s">
        <v>1521</v>
      </c>
      <c r="CE30" t="s">
        <v>1522</v>
      </c>
      <c r="CF30" s="7">
        <v>-0.99176954732510292</v>
      </c>
      <c r="CG30" s="8">
        <v>-0.93271071850393705</v>
      </c>
      <c r="CH30" s="7">
        <v>103.82138824462891</v>
      </c>
      <c r="CI30" s="7">
        <v>-0.46356856822967529</v>
      </c>
      <c r="CJ30" s="7">
        <v>8.4629744291305542E-2</v>
      </c>
      <c r="CK30" s="7">
        <v>0.44125556945800781</v>
      </c>
      <c r="CL30" s="7">
        <v>0.62536454200744629</v>
      </c>
      <c r="CM30" s="8">
        <v>2</v>
      </c>
      <c r="CN30" s="8">
        <v>-0.68069040775299072</v>
      </c>
      <c r="CO30" s="8">
        <v>9.058823436498642E-2</v>
      </c>
      <c r="CP30" s="8">
        <v>1.8333333730697632</v>
      </c>
      <c r="CQ30" s="8">
        <v>-0.15730337798595428</v>
      </c>
      <c r="CR30">
        <v>4.9890980370472766</v>
      </c>
      <c r="CS30">
        <v>2.3869210870316859E-3</v>
      </c>
      <c r="CT30">
        <v>4.6751918158567776</v>
      </c>
      <c r="CU30" s="7">
        <v>20.901813906431197</v>
      </c>
      <c r="CV30" s="8">
        <v>0.61718556433916094</v>
      </c>
      <c r="CW30">
        <v>0.06</v>
      </c>
      <c r="CX30">
        <v>2.564836906688156E-2</v>
      </c>
      <c r="CY30">
        <v>18347934668.783871</v>
      </c>
      <c r="CZ30">
        <v>20.901813906431197</v>
      </c>
      <c r="DA30">
        <v>6.6041599804921388E-5</v>
      </c>
      <c r="DB30">
        <v>7125729864056.5566</v>
      </c>
      <c r="DC30">
        <v>19.856723211109635</v>
      </c>
      <c r="DD30">
        <v>1.3356983576662024E-8</v>
      </c>
      <c r="DE30">
        <v>3.5232101417137768E+16</v>
      </c>
      <c r="DF30">
        <v>18.393596237659455</v>
      </c>
      <c r="DG30">
        <v>2.920877581091287E-13</v>
      </c>
      <c r="DH30">
        <v>1.611141127743458E+21</v>
      </c>
      <c r="DI30">
        <v>16.721451125144959</v>
      </c>
      <c r="DJ30">
        <v>2.0891483092488815E-24</v>
      </c>
      <c r="DK30">
        <v>2.2525667417513045E+32</v>
      </c>
      <c r="DL30">
        <v>14.631269734501837</v>
      </c>
      <c r="DM30">
        <v>888000000.00000012</v>
      </c>
      <c r="DN30">
        <v>20.901813906431197</v>
      </c>
      <c r="DO30">
        <v>470594600</v>
      </c>
      <c r="DP30">
        <v>1939632100</v>
      </c>
      <c r="DQ30">
        <v>3145</v>
      </c>
      <c r="DR30">
        <v>-21.8935834537563</v>
      </c>
      <c r="DS30">
        <v>-1.549896282843098</v>
      </c>
      <c r="DT30" s="9">
        <v>2.6666666666666616E-2</v>
      </c>
      <c r="DU30">
        <v>-0.12000000000000004</v>
      </c>
      <c r="DV30">
        <v>-9.3333333333333421E-2</v>
      </c>
      <c r="DW30">
        <v>-1.0532999999999999</v>
      </c>
      <c r="DX30">
        <v>0.4413303342099168</v>
      </c>
      <c r="DY30">
        <v>-1.0069999068133886</v>
      </c>
      <c r="DZ30">
        <v>4791</v>
      </c>
      <c r="EA30">
        <v>-1.0004369804840452</v>
      </c>
      <c r="EB30">
        <v>1</v>
      </c>
      <c r="EC30">
        <v>1.3378604791277112E-2</v>
      </c>
      <c r="ED30">
        <v>0.10186988066925187</v>
      </c>
      <c r="EE30" s="10">
        <v>-3.0517099999999999</v>
      </c>
      <c r="EF30">
        <v>-3.0465100000000001</v>
      </c>
      <c r="EG30">
        <v>31.131330334209917</v>
      </c>
      <c r="EH30" t="s">
        <v>1523</v>
      </c>
      <c r="EI30">
        <v>0</v>
      </c>
      <c r="EJ30">
        <v>0</v>
      </c>
      <c r="EK30" s="12">
        <v>45470</v>
      </c>
      <c r="EL30" s="13">
        <v>-1.83</v>
      </c>
      <c r="EM30" s="13">
        <v>-5.12</v>
      </c>
      <c r="EN30" s="13">
        <v>-4.9000000000000004</v>
      </c>
      <c r="EO30" s="13">
        <v>0</v>
      </c>
      <c r="EP30" s="13">
        <v>0.52</v>
      </c>
    </row>
    <row r="31" spans="1:146" ht="96">
      <c r="A31" s="6"/>
      <c r="B31" s="6"/>
      <c r="C31" s="6" t="str">
        <f>""&amp;CHAR(10)&amp;Basic_Fundamental_Information_Constructure(F31)&amp;CHAR(10)&amp;Basic_Fundamental_Information_Concatenate("")</f>
        <v xml:space="preserve">
市值104.32409亿, 利润3000.56万; PE25.04; 平均PE14; 平均PEG1.79, PB1.6; ROIC5.54%; ROE7.4%; 股利率1.0586%; 毛利16.0967%; 净利5.77%; 上一年度营收增-70.19%, 利润增-84.69%; 当季营收增216.18%, 利润增264.13%; 过往5年营收增-7.83%, 利润增-24.69%
Income profile:
</v>
      </c>
      <c r="D31" t="s">
        <v>71</v>
      </c>
      <c r="E31" t="s">
        <v>254</v>
      </c>
      <c r="F31">
        <v>5.29</v>
      </c>
      <c r="G31">
        <v>0.38</v>
      </c>
      <c r="H31" t="s">
        <v>1524</v>
      </c>
      <c r="I31">
        <v>10432409000</v>
      </c>
      <c r="J31">
        <v>25.04</v>
      </c>
      <c r="K31">
        <v>1.6</v>
      </c>
      <c r="L31" t="s">
        <v>37</v>
      </c>
      <c r="M31" t="s">
        <v>1525</v>
      </c>
      <c r="N31" t="s">
        <v>1526</v>
      </c>
      <c r="O31" t="s">
        <v>1527</v>
      </c>
      <c r="P31">
        <v>3.13</v>
      </c>
      <c r="Q31" t="s">
        <v>1528</v>
      </c>
      <c r="R31">
        <v>114548291</v>
      </c>
      <c r="S31" s="5">
        <v>0.90210000000000001</v>
      </c>
      <c r="T31" t="s">
        <v>1529</v>
      </c>
      <c r="U31">
        <v>1972100000</v>
      </c>
      <c r="V31">
        <v>1972100000</v>
      </c>
      <c r="W31">
        <v>1.88</v>
      </c>
      <c r="X31">
        <v>0.17</v>
      </c>
      <c r="Y31">
        <v>5.53</v>
      </c>
      <c r="Z31" t="s">
        <v>1530</v>
      </c>
      <c r="AA31" t="s">
        <v>1531</v>
      </c>
      <c r="AB31" t="s">
        <v>1532</v>
      </c>
      <c r="AC31" t="s">
        <v>1533</v>
      </c>
      <c r="AD31" t="s">
        <v>73</v>
      </c>
      <c r="AE31">
        <v>9275040</v>
      </c>
      <c r="AF31" t="s">
        <v>1534</v>
      </c>
      <c r="AG31" t="s">
        <v>1535</v>
      </c>
      <c r="AH31" t="s">
        <v>1536</v>
      </c>
      <c r="AI31" t="s">
        <v>484</v>
      </c>
      <c r="AJ31" t="s">
        <v>1537</v>
      </c>
      <c r="AK31" t="s">
        <v>1538</v>
      </c>
      <c r="AL31" t="s">
        <v>1539</v>
      </c>
      <c r="AM31" t="s">
        <v>73</v>
      </c>
      <c r="AN31" t="s">
        <v>1540</v>
      </c>
      <c r="AO31" t="s">
        <v>73</v>
      </c>
      <c r="AP31" t="s">
        <v>1541</v>
      </c>
      <c r="AQ31" t="s">
        <v>1542</v>
      </c>
      <c r="AR31" t="s">
        <v>1543</v>
      </c>
      <c r="AS31" t="s">
        <v>1544</v>
      </c>
      <c r="AT31" t="s">
        <v>1545</v>
      </c>
      <c r="AU31" t="s">
        <v>1546</v>
      </c>
      <c r="AV31" t="s">
        <v>473</v>
      </c>
      <c r="AW31" t="s">
        <v>1547</v>
      </c>
      <c r="AX31" t="s">
        <v>593</v>
      </c>
      <c r="AY31" t="s">
        <v>425</v>
      </c>
      <c r="AZ31" t="s">
        <v>255</v>
      </c>
      <c r="BA31" t="s">
        <v>143</v>
      </c>
      <c r="BB31" t="s">
        <v>257</v>
      </c>
      <c r="BC31" t="s">
        <v>280</v>
      </c>
      <c r="BD31" t="s">
        <v>426</v>
      </c>
      <c r="BE31" t="s">
        <v>256</v>
      </c>
      <c r="BF31" t="s">
        <v>144</v>
      </c>
      <c r="BG31" t="s">
        <v>258</v>
      </c>
      <c r="BH31" t="s">
        <v>1548</v>
      </c>
      <c r="BI31" t="s">
        <v>1549</v>
      </c>
      <c r="BJ31" t="s">
        <v>593</v>
      </c>
      <c r="BK31" t="s">
        <v>471</v>
      </c>
      <c r="BL31" t="s">
        <v>1550</v>
      </c>
      <c r="BM31" t="s">
        <v>280</v>
      </c>
      <c r="BN31">
        <v>3.38</v>
      </c>
      <c r="BO31">
        <v>2.5</v>
      </c>
      <c r="BP31">
        <v>10.74</v>
      </c>
      <c r="BQ31">
        <v>4.5599999999999996</v>
      </c>
      <c r="BR31">
        <v>3.3</v>
      </c>
      <c r="BS31">
        <v>14.34</v>
      </c>
      <c r="BT31" t="s">
        <v>1551</v>
      </c>
      <c r="BU31" t="s">
        <v>463</v>
      </c>
      <c r="BV31">
        <v>13.51</v>
      </c>
      <c r="BW31">
        <v>14.68</v>
      </c>
      <c r="BX31">
        <v>20.100000000000001</v>
      </c>
      <c r="BY31">
        <v>4.2300000000000004</v>
      </c>
      <c r="BZ31">
        <v>2.5099999999999998</v>
      </c>
      <c r="CA31">
        <v>10.57</v>
      </c>
      <c r="CB31">
        <v>-6.04</v>
      </c>
      <c r="CC31">
        <v>-15.82</v>
      </c>
      <c r="CD31" t="s">
        <v>296</v>
      </c>
      <c r="CE31" t="s">
        <v>1552</v>
      </c>
      <c r="CF31" s="7">
        <v>2.1618320610687021</v>
      </c>
      <c r="CG31" s="8">
        <v>2.6413434866503271</v>
      </c>
      <c r="CH31" s="7">
        <v>-0.70185542106628418</v>
      </c>
      <c r="CI31" s="7">
        <v>5.4086852818727493E-2</v>
      </c>
      <c r="CJ31" s="7">
        <v>0.18207910656929016</v>
      </c>
      <c r="CK31" s="7">
        <v>9.2492558062076569E-2</v>
      </c>
      <c r="CL31" s="7">
        <v>-1.8296821042895317E-2</v>
      </c>
      <c r="CM31" s="8">
        <v>-0.84691017866134644</v>
      </c>
      <c r="CN31" s="8">
        <v>-0.74968069791793823</v>
      </c>
      <c r="CO31" s="8">
        <v>0.41847825050354004</v>
      </c>
      <c r="CP31" s="8">
        <v>0.82781457901000977</v>
      </c>
      <c r="CQ31" s="8">
        <v>-0.88415801525115967</v>
      </c>
      <c r="CR31">
        <v>14.00321601386808</v>
      </c>
      <c r="CS31">
        <v>1.7884342879393726</v>
      </c>
      <c r="CT31">
        <v>1.0586011342155011</v>
      </c>
      <c r="CU31" s="7">
        <v>-7.8298744931817058E-2</v>
      </c>
      <c r="CV31" s="8">
        <v>-0.24689121246337892</v>
      </c>
      <c r="CW31">
        <v>0.06</v>
      </c>
      <c r="CX31">
        <v>329.01888314181355</v>
      </c>
      <c r="CY31" t="s">
        <v>1553</v>
      </c>
      <c r="CZ31">
        <v>-7.8298744931817058E-2</v>
      </c>
      <c r="DA31">
        <v>109.67296104727117</v>
      </c>
      <c r="DB31" t="s">
        <v>1554</v>
      </c>
      <c r="DC31">
        <v>-7.4383807685226205E-2</v>
      </c>
      <c r="DD31">
        <v>54.836480523635586</v>
      </c>
      <c r="DE31" t="s">
        <v>1555</v>
      </c>
      <c r="DF31">
        <v>-6.890289553999901E-2</v>
      </c>
      <c r="DG31">
        <v>32.901888314181356</v>
      </c>
      <c r="DH31" t="s">
        <v>1556</v>
      </c>
      <c r="DI31">
        <v>-6.2638995945453649E-2</v>
      </c>
      <c r="DJ31">
        <v>16.450944157090678</v>
      </c>
      <c r="DK31" t="s">
        <v>1557</v>
      </c>
      <c r="DL31">
        <v>-5.4809121452271937E-2</v>
      </c>
      <c r="DM31">
        <v>30005600</v>
      </c>
      <c r="DN31">
        <v>-7.8298744931817058E-2</v>
      </c>
      <c r="DO31">
        <v>9872409000</v>
      </c>
      <c r="DP31">
        <v>2767170400</v>
      </c>
      <c r="DQ31">
        <v>3158</v>
      </c>
      <c r="DR31">
        <v>2.2401308060005189</v>
      </c>
      <c r="DS31">
        <v>2.8882346991137062</v>
      </c>
      <c r="DT31" s="9">
        <v>-0.64</v>
      </c>
      <c r="DU31">
        <v>-2.6666666666666616E-2</v>
      </c>
      <c r="DV31">
        <v>-0.66666666666666663</v>
      </c>
      <c r="DW31">
        <v>-9.3817951959544885</v>
      </c>
      <c r="DX31">
        <v>0.33055299539170463</v>
      </c>
      <c r="DY31">
        <v>-9.0536624584175662</v>
      </c>
      <c r="DZ31">
        <v>1447</v>
      </c>
      <c r="EA31">
        <v>-9.0384668464155666</v>
      </c>
      <c r="EB31">
        <v>9</v>
      </c>
      <c r="EC31">
        <v>6.1862988692256982E-2</v>
      </c>
      <c r="ED31">
        <v>0.4401399523350743</v>
      </c>
      <c r="EE31" s="10">
        <v>3.7110000000000004E-2</v>
      </c>
      <c r="EF31">
        <v>3.6010000000000007E-2</v>
      </c>
      <c r="EG31">
        <v>19.140552995391705</v>
      </c>
      <c r="EH31">
        <v>-1</v>
      </c>
      <c r="EI31">
        <v>0</v>
      </c>
      <c r="EJ31">
        <v>1</v>
      </c>
      <c r="EK31" s="12">
        <v>45470</v>
      </c>
      <c r="EL31" s="13">
        <v>-1.42</v>
      </c>
      <c r="EM31" s="13">
        <v>2.1</v>
      </c>
      <c r="EN31" s="13">
        <v>-2.06</v>
      </c>
      <c r="EO31" s="13">
        <v>0.66</v>
      </c>
      <c r="EP31" s="13">
        <v>0.11</v>
      </c>
    </row>
    <row r="32" spans="1:146" ht="96">
      <c r="A32" s="6"/>
      <c r="B32" s="6"/>
      <c r="C32" s="6" t="str">
        <f>""&amp;CHAR(10)&amp;Basic_Fundamental_Information_Constructure(F32)&amp;CHAR(10)&amp;Basic_Fundamental_Information_Concatenate("")</f>
        <v xml:space="preserve">
市值89.745819亿, 利润9.69亿; PE13.75; 平均PE4.67; 平均PEG3.11, PB.963; ROIC11.9467%; ROE15.7067%; 股利率2.5974%; 毛利11.5933%; 净利6.39%; 上一年度营收增-65.11%, 利润增-8.76%; 当季营收增86.95%, 利润增-88.81%; 过往5年营收增1.5%, 利润增-11.74%
Income profile:
</v>
      </c>
      <c r="D32" t="s">
        <v>64</v>
      </c>
      <c r="E32" t="s">
        <v>21</v>
      </c>
      <c r="F32">
        <v>3.85</v>
      </c>
      <c r="G32">
        <v>1.05</v>
      </c>
      <c r="H32" t="s">
        <v>1558</v>
      </c>
      <c r="I32">
        <v>8974581900</v>
      </c>
      <c r="J32">
        <v>13.75</v>
      </c>
      <c r="K32">
        <v>0.96299999999999997</v>
      </c>
      <c r="L32" t="s">
        <v>37</v>
      </c>
      <c r="M32" t="s">
        <v>1559</v>
      </c>
      <c r="N32" t="s">
        <v>1560</v>
      </c>
      <c r="O32" t="s">
        <v>1561</v>
      </c>
      <c r="P32">
        <v>-7.74</v>
      </c>
      <c r="Q32" t="s">
        <v>1562</v>
      </c>
      <c r="R32">
        <v>93414974</v>
      </c>
      <c r="S32" s="5">
        <v>-0.27950000000000003</v>
      </c>
      <c r="T32" t="s">
        <v>1563</v>
      </c>
      <c r="U32">
        <v>2313187900</v>
      </c>
      <c r="V32">
        <v>2331060200</v>
      </c>
      <c r="W32">
        <v>2.25</v>
      </c>
      <c r="X32">
        <v>0.28000000000000003</v>
      </c>
      <c r="Y32">
        <v>1.7</v>
      </c>
      <c r="Z32" t="s">
        <v>1564</v>
      </c>
      <c r="AA32" t="s">
        <v>1565</v>
      </c>
      <c r="AB32" t="s">
        <v>1566</v>
      </c>
      <c r="AC32" t="s">
        <v>1567</v>
      </c>
      <c r="AD32" t="s">
        <v>73</v>
      </c>
      <c r="AE32">
        <v>-26274908</v>
      </c>
      <c r="AF32" t="s">
        <v>1568</v>
      </c>
      <c r="AG32" t="s">
        <v>1569</v>
      </c>
      <c r="AH32" t="s">
        <v>1570</v>
      </c>
      <c r="AI32" t="s">
        <v>1571</v>
      </c>
      <c r="AJ32" t="s">
        <v>1572</v>
      </c>
      <c r="AK32" t="s">
        <v>1573</v>
      </c>
      <c r="AL32" t="s">
        <v>1574</v>
      </c>
      <c r="AM32" t="s">
        <v>73</v>
      </c>
      <c r="AN32" t="s">
        <v>481</v>
      </c>
      <c r="AO32" t="s">
        <v>1575</v>
      </c>
      <c r="AP32" t="s">
        <v>1576</v>
      </c>
      <c r="AQ32" t="s">
        <v>1577</v>
      </c>
      <c r="AR32" t="s">
        <v>73</v>
      </c>
      <c r="AS32" t="s">
        <v>1578</v>
      </c>
      <c r="AT32" t="s">
        <v>1579</v>
      </c>
      <c r="AU32" t="s">
        <v>1580</v>
      </c>
      <c r="AV32" t="s">
        <v>1581</v>
      </c>
      <c r="AW32" t="s">
        <v>1582</v>
      </c>
      <c r="AX32" t="s">
        <v>1583</v>
      </c>
      <c r="AY32" t="s">
        <v>427</v>
      </c>
      <c r="AZ32" t="s">
        <v>259</v>
      </c>
      <c r="BA32" t="s">
        <v>145</v>
      </c>
      <c r="BB32" t="s">
        <v>261</v>
      </c>
      <c r="BC32" t="s">
        <v>1584</v>
      </c>
      <c r="BD32" t="s">
        <v>428</v>
      </c>
      <c r="BE32" t="s">
        <v>260</v>
      </c>
      <c r="BF32" t="s">
        <v>146</v>
      </c>
      <c r="BG32" t="s">
        <v>262</v>
      </c>
      <c r="BH32" t="s">
        <v>1585</v>
      </c>
      <c r="BI32" t="s">
        <v>1586</v>
      </c>
      <c r="BJ32" t="s">
        <v>1583</v>
      </c>
      <c r="BK32" t="s">
        <v>1039</v>
      </c>
      <c r="BL32" t="s">
        <v>1540</v>
      </c>
      <c r="BM32" t="s">
        <v>1584</v>
      </c>
      <c r="BN32">
        <v>5.23</v>
      </c>
      <c r="BO32">
        <v>6.84</v>
      </c>
      <c r="BP32">
        <v>23.77</v>
      </c>
      <c r="BQ32">
        <v>6.63</v>
      </c>
      <c r="BR32">
        <v>11.05</v>
      </c>
      <c r="BS32">
        <v>29.44</v>
      </c>
      <c r="BT32" t="s">
        <v>478</v>
      </c>
      <c r="BU32" t="s">
        <v>463</v>
      </c>
      <c r="BV32">
        <v>6.35</v>
      </c>
      <c r="BW32">
        <v>8.44</v>
      </c>
      <c r="BX32">
        <v>19.989999999999998</v>
      </c>
      <c r="BY32">
        <v>2.58</v>
      </c>
      <c r="BZ32">
        <v>3.86</v>
      </c>
      <c r="CA32">
        <v>12.73</v>
      </c>
      <c r="CB32">
        <v>2.94</v>
      </c>
      <c r="CC32">
        <v>-7.67</v>
      </c>
      <c r="CD32" t="s">
        <v>1587</v>
      </c>
      <c r="CE32" t="s">
        <v>1588</v>
      </c>
      <c r="CF32" s="7">
        <v>0.86950986632718019</v>
      </c>
      <c r="CG32" s="8">
        <v>-0.88812577964071859</v>
      </c>
      <c r="CH32" s="7">
        <v>-0.65108227729797363</v>
      </c>
      <c r="CI32" s="7">
        <v>0.4513123631477356</v>
      </c>
      <c r="CJ32" s="7">
        <v>0.30588516592979431</v>
      </c>
      <c r="CK32" s="7">
        <v>7.8757569193840027E-2</v>
      </c>
      <c r="CL32" s="7">
        <v>-0.10974203795194626</v>
      </c>
      <c r="CM32" s="8">
        <v>-8.7570622563362122E-2</v>
      </c>
      <c r="CN32" s="8">
        <v>-0.61127376556396484</v>
      </c>
      <c r="CO32" s="8">
        <v>0.27663552761077881</v>
      </c>
      <c r="CP32" s="8">
        <v>0.25073051452636719</v>
      </c>
      <c r="CQ32" s="8">
        <v>-0.41544243693351746</v>
      </c>
      <c r="CR32">
        <v>4.6657561216532359</v>
      </c>
      <c r="CS32">
        <v>3.1050895079325542</v>
      </c>
      <c r="CT32">
        <v>2.5974025974025974</v>
      </c>
      <c r="CU32" s="7">
        <v>1.5026156604290009E-2</v>
      </c>
      <c r="CV32" s="8">
        <v>-0.11738415658473969</v>
      </c>
      <c r="CW32">
        <v>0.06</v>
      </c>
      <c r="CX32">
        <v>10.385511024456225</v>
      </c>
      <c r="CY32">
        <v>927887118.63165748</v>
      </c>
      <c r="CZ32">
        <v>1.5026156604290009E-2</v>
      </c>
      <c r="DA32">
        <v>3.6182366836903221</v>
      </c>
      <c r="DB32">
        <v>2663336520.6422677</v>
      </c>
      <c r="DC32">
        <v>1.4274848774075508E-2</v>
      </c>
      <c r="DD32">
        <v>1.9353591451798318</v>
      </c>
      <c r="DE32">
        <v>4979221517.6189318</v>
      </c>
      <c r="DF32">
        <v>1.3223017811775208E-2</v>
      </c>
      <c r="DG32">
        <v>1.2717525017289224</v>
      </c>
      <c r="DH32">
        <v>7577403533.234067</v>
      </c>
      <c r="DI32">
        <v>1.2020925283432009E-2</v>
      </c>
      <c r="DJ32">
        <v>0.79102532508409895</v>
      </c>
      <c r="DK32">
        <v>12182393653.42124</v>
      </c>
      <c r="DL32">
        <v>1.0518309623003005E-2</v>
      </c>
      <c r="DM32">
        <v>969000000</v>
      </c>
      <c r="DN32">
        <v>1.5026156604290009E-2</v>
      </c>
      <c r="DO32">
        <v>9636581900</v>
      </c>
      <c r="DP32">
        <v>1242603300</v>
      </c>
      <c r="DQ32">
        <v>3227</v>
      </c>
      <c r="DR32">
        <v>0.85448370972289023</v>
      </c>
      <c r="DS32">
        <v>-0.77074162305597893</v>
      </c>
      <c r="DT32" s="9">
        <v>-0.49</v>
      </c>
      <c r="DU32">
        <v>-0.59</v>
      </c>
      <c r="DV32">
        <v>-1.08</v>
      </c>
      <c r="DW32">
        <v>6.2770970782280866</v>
      </c>
      <c r="DX32">
        <v>0.37539889807162563</v>
      </c>
      <c r="DY32">
        <v>6.0458315513977929</v>
      </c>
      <c r="DZ32">
        <v>4263</v>
      </c>
      <c r="EA32">
        <v>6.0075967366015517</v>
      </c>
      <c r="EB32">
        <v>6</v>
      </c>
      <c r="EC32">
        <v>2.5756434775901536E-2</v>
      </c>
      <c r="ED32">
        <v>0.15572313404861873</v>
      </c>
      <c r="EE32" s="10">
        <v>-1.0871</v>
      </c>
      <c r="EF32">
        <v>-1.0798000000000001</v>
      </c>
      <c r="EG32">
        <v>21.165398898071626</v>
      </c>
      <c r="EH32" t="s">
        <v>534</v>
      </c>
      <c r="EI32">
        <v>0</v>
      </c>
      <c r="EJ32">
        <v>0</v>
      </c>
      <c r="EK32" s="12">
        <v>45470</v>
      </c>
      <c r="EL32" s="13">
        <v>0.89</v>
      </c>
      <c r="EM32" s="13">
        <v>-4.0199999999999996</v>
      </c>
      <c r="EN32" s="13">
        <v>0.34</v>
      </c>
      <c r="EO32" s="13">
        <v>2.76</v>
      </c>
      <c r="EP32" s="13">
        <v>-0.73</v>
      </c>
    </row>
    <row r="33" spans="1:146" ht="96">
      <c r="A33" s="6"/>
      <c r="B33" s="6"/>
      <c r="C33" s="6" t="str">
        <f>""&amp;CHAR(10)&amp;Basic_Fundamental_Information_Constructure(F33)&amp;CHAR(10)&amp;Basic_Fundamental_Information_Concatenate("")</f>
        <v xml:space="preserve">
市值173.11673亿, 利润13.64亿; PE47.29; 平均PE9.08; 平均PEG4.16, PB1; ROIC4.1133%; ROE5%; 股利率0%; 毛利26.14%; 净利16.58%; 上一年度营收增32.91%, 利润增62.38%; 当季营收增25.95%, 利润增-62.27%; 过往5年营收增-2.18%, 利润增.27%
Income profile:
</v>
      </c>
      <c r="D33" t="s">
        <v>356</v>
      </c>
      <c r="E33" t="s">
        <v>357</v>
      </c>
      <c r="F33">
        <v>4.3</v>
      </c>
      <c r="G33">
        <v>0.47</v>
      </c>
      <c r="H33" t="s">
        <v>1589</v>
      </c>
      <c r="I33">
        <v>17311673000</v>
      </c>
      <c r="J33">
        <v>47.29</v>
      </c>
      <c r="K33">
        <v>1</v>
      </c>
      <c r="L33" t="s">
        <v>37</v>
      </c>
      <c r="M33" t="s">
        <v>1590</v>
      </c>
      <c r="N33" t="s">
        <v>1591</v>
      </c>
      <c r="O33" t="s">
        <v>1592</v>
      </c>
      <c r="P33">
        <v>3.15</v>
      </c>
      <c r="Q33" t="s">
        <v>1593</v>
      </c>
      <c r="R33">
        <v>171285330</v>
      </c>
      <c r="S33" s="5">
        <v>-0.22650000000000001</v>
      </c>
      <c r="T33" t="s">
        <v>1594</v>
      </c>
      <c r="U33">
        <v>4025970400</v>
      </c>
      <c r="V33">
        <v>4025970400</v>
      </c>
      <c r="W33">
        <v>1.18</v>
      </c>
      <c r="X33">
        <v>0.06</v>
      </c>
      <c r="Y33">
        <v>12.59</v>
      </c>
      <c r="Z33" t="s">
        <v>1595</v>
      </c>
      <c r="AA33" t="s">
        <v>1596</v>
      </c>
      <c r="AB33" t="s">
        <v>1597</v>
      </c>
      <c r="AC33" t="s">
        <v>1598</v>
      </c>
      <c r="AD33" t="s">
        <v>73</v>
      </c>
      <c r="AE33">
        <v>-44555451</v>
      </c>
      <c r="AF33" t="s">
        <v>1599</v>
      </c>
      <c r="AG33" t="s">
        <v>1600</v>
      </c>
      <c r="AH33" t="s">
        <v>1601</v>
      </c>
      <c r="AI33" t="s">
        <v>1602</v>
      </c>
      <c r="AJ33" t="s">
        <v>1603</v>
      </c>
      <c r="AK33" t="s">
        <v>1604</v>
      </c>
      <c r="AL33" t="s">
        <v>1605</v>
      </c>
      <c r="AM33" t="s">
        <v>73</v>
      </c>
      <c r="AN33" t="s">
        <v>355</v>
      </c>
      <c r="AO33" t="s">
        <v>1606</v>
      </c>
      <c r="AP33" t="s">
        <v>1607</v>
      </c>
      <c r="AQ33" t="s">
        <v>172</v>
      </c>
      <c r="AR33" t="s">
        <v>73</v>
      </c>
      <c r="AS33" t="s">
        <v>1608</v>
      </c>
      <c r="AT33" t="s">
        <v>1609</v>
      </c>
      <c r="AU33" t="s">
        <v>1610</v>
      </c>
      <c r="AV33" t="s">
        <v>1611</v>
      </c>
      <c r="AW33" t="s">
        <v>1612</v>
      </c>
      <c r="AX33" t="s">
        <v>600</v>
      </c>
      <c r="AY33" t="s">
        <v>429</v>
      </c>
      <c r="AZ33" t="s">
        <v>358</v>
      </c>
      <c r="BA33" t="s">
        <v>360</v>
      </c>
      <c r="BB33" t="s">
        <v>361</v>
      </c>
      <c r="BC33" t="s">
        <v>601</v>
      </c>
      <c r="BD33" t="s">
        <v>430</v>
      </c>
      <c r="BE33" t="s">
        <v>359</v>
      </c>
      <c r="BF33" t="s">
        <v>362</v>
      </c>
      <c r="BG33" t="s">
        <v>363</v>
      </c>
      <c r="BH33" t="s">
        <v>1613</v>
      </c>
      <c r="BI33" t="s">
        <v>1614</v>
      </c>
      <c r="BJ33" t="s">
        <v>600</v>
      </c>
      <c r="BK33" t="s">
        <v>1615</v>
      </c>
      <c r="BL33" t="s">
        <v>771</v>
      </c>
      <c r="BM33" t="s">
        <v>601</v>
      </c>
      <c r="BN33">
        <v>1.69</v>
      </c>
      <c r="BO33">
        <v>4.8</v>
      </c>
      <c r="BP33">
        <v>5.85</v>
      </c>
      <c r="BQ33">
        <v>2.3199999999999998</v>
      </c>
      <c r="BR33">
        <v>5.53</v>
      </c>
      <c r="BS33">
        <v>7.15</v>
      </c>
      <c r="BT33" t="s">
        <v>476</v>
      </c>
      <c r="BU33" t="s">
        <v>462</v>
      </c>
      <c r="BV33">
        <v>19.03</v>
      </c>
      <c r="BW33">
        <v>25.88</v>
      </c>
      <c r="BX33">
        <v>33.51</v>
      </c>
      <c r="BY33">
        <v>8.2100000000000009</v>
      </c>
      <c r="BZ33">
        <v>17.55</v>
      </c>
      <c r="CA33">
        <v>23.98</v>
      </c>
      <c r="CB33">
        <v>-0.23</v>
      </c>
      <c r="CC33">
        <v>-12.42</v>
      </c>
      <c r="CD33" t="s">
        <v>1616</v>
      </c>
      <c r="CE33" t="s">
        <v>1617</v>
      </c>
      <c r="CF33" s="7">
        <v>0.25952813067150637</v>
      </c>
      <c r="CG33" s="8">
        <v>-0.62271953744493391</v>
      </c>
      <c r="CH33" s="7">
        <v>0.32913535833358765</v>
      </c>
      <c r="CI33" s="7">
        <v>0.14359408617019653</v>
      </c>
      <c r="CJ33" s="7">
        <v>0.31449568271636963</v>
      </c>
      <c r="CK33" s="7">
        <v>-0.47578135132789612</v>
      </c>
      <c r="CL33" s="7">
        <v>-0.42056477069854736</v>
      </c>
      <c r="CM33" s="8">
        <v>0.62380951642990112</v>
      </c>
      <c r="CN33" s="8">
        <v>-0.22580640017986298</v>
      </c>
      <c r="CO33" s="8">
        <v>0.98354649543762207</v>
      </c>
      <c r="CP33" s="8">
        <v>-0.72867059707641602</v>
      </c>
      <c r="CQ33" s="8">
        <v>-0.63954943418502808</v>
      </c>
      <c r="CR33">
        <v>9.075582175622543</v>
      </c>
      <c r="CS33">
        <v>4.1584949769443593</v>
      </c>
      <c r="CT33">
        <v>0</v>
      </c>
      <c r="CU33" s="7">
        <v>-2.1824198961257934E-2</v>
      </c>
      <c r="CV33" s="8">
        <v>2.6659160852432252E-3</v>
      </c>
      <c r="CW33">
        <v>0.06</v>
      </c>
      <c r="CX33">
        <v>1.4455080645161291</v>
      </c>
      <c r="CY33" t="s">
        <v>1618</v>
      </c>
      <c r="CZ33">
        <v>-2.1824198961257934E-2</v>
      </c>
      <c r="DA33">
        <v>0.48183602150537636</v>
      </c>
      <c r="DB33" t="s">
        <v>1619</v>
      </c>
      <c r="DC33">
        <v>-2.0732989013195036E-2</v>
      </c>
      <c r="DD33">
        <v>0.24091801075268818</v>
      </c>
      <c r="DE33" t="s">
        <v>1620</v>
      </c>
      <c r="DF33">
        <v>-1.9205295085906984E-2</v>
      </c>
      <c r="DG33">
        <v>0.14455080645161289</v>
      </c>
      <c r="DH33" t="s">
        <v>1621</v>
      </c>
      <c r="DI33">
        <v>-1.7459359169006348E-2</v>
      </c>
      <c r="DJ33">
        <v>7.2275403225806445E-2</v>
      </c>
      <c r="DK33" t="s">
        <v>1622</v>
      </c>
      <c r="DL33">
        <v>-1.5276939272880553E-2</v>
      </c>
      <c r="DM33">
        <v>1364000000</v>
      </c>
      <c r="DN33">
        <v>-2.1824198961257934E-2</v>
      </c>
      <c r="DO33">
        <v>1971673000</v>
      </c>
      <c r="DP33">
        <v>8682249900</v>
      </c>
      <c r="DQ33">
        <v>3235</v>
      </c>
      <c r="DR33">
        <v>0.2813523296327643</v>
      </c>
      <c r="DS33">
        <v>-0.62538545353017716</v>
      </c>
      <c r="DT33" s="9">
        <v>-0.35666666666666663</v>
      </c>
      <c r="DU33">
        <v>-0.42333333333333328</v>
      </c>
      <c r="DV33">
        <v>-0.77999999999999992</v>
      </c>
      <c r="DW33">
        <v>-2.1242000000000001</v>
      </c>
      <c r="DX33">
        <v>0.31423012820512725</v>
      </c>
      <c r="DY33">
        <v>-2.0154293819230769</v>
      </c>
      <c r="DZ33">
        <v>4078</v>
      </c>
      <c r="EA33">
        <v>-2.0031160708697877</v>
      </c>
      <c r="EB33">
        <v>2</v>
      </c>
      <c r="EC33">
        <v>1.9254885728916437E-2</v>
      </c>
      <c r="ED33">
        <v>0.15499368798141189</v>
      </c>
      <c r="EE33" s="10">
        <v>4.1110000000000001E-2</v>
      </c>
      <c r="EF33">
        <v>5.3710000000000001E-2</v>
      </c>
      <c r="EG33">
        <v>19.124230128205127</v>
      </c>
      <c r="EH33">
        <v>-1</v>
      </c>
      <c r="EI33">
        <v>0</v>
      </c>
      <c r="EJ33">
        <v>0</v>
      </c>
      <c r="EK33" s="12">
        <v>45470</v>
      </c>
      <c r="EL33" s="13">
        <v>0.92</v>
      </c>
      <c r="EM33" s="13">
        <v>-2.12</v>
      </c>
      <c r="EN33" s="13">
        <v>-0.31</v>
      </c>
      <c r="EO33" s="13">
        <v>-1.24</v>
      </c>
      <c r="EP33" s="13">
        <v>-1.26</v>
      </c>
    </row>
    <row r="34" spans="1:146" ht="96">
      <c r="A34" s="6"/>
      <c r="B34" s="6"/>
      <c r="C34" s="6" t="str">
        <f>""&amp;CHAR(10)&amp;Basic_Fundamental_Information_Constructure(F34)&amp;CHAR(10)&amp;Basic_Fundamental_Information_Concatenate("")</f>
        <v xml:space="preserve">
市值42.511837亿, 利润14.24亿; PE; 平均PE14.76; 平均PEG1.63, PB.783; ROIC7.57%; ROE-11.85%; 股利率0%; 毛利3.2333%; 净利-3.2433%; 上一年度营收增-81.44%, 利润增147.45%; 当季营收增652.92%, 利润增-318%; 过往5年营收增-9.03%, 利润增-7.64%
Income profile:
</v>
      </c>
      <c r="D34" t="s">
        <v>57</v>
      </c>
      <c r="E34" t="s">
        <v>27</v>
      </c>
      <c r="F34">
        <v>1.48</v>
      </c>
      <c r="G34">
        <v>1.37</v>
      </c>
      <c r="H34" t="s">
        <v>1623</v>
      </c>
      <c r="I34">
        <v>4251183700</v>
      </c>
      <c r="K34">
        <v>0.78300000000000003</v>
      </c>
      <c r="L34" t="s">
        <v>37</v>
      </c>
      <c r="M34" t="s">
        <v>1624</v>
      </c>
      <c r="N34" t="s">
        <v>1625</v>
      </c>
      <c r="O34" t="s">
        <v>1626</v>
      </c>
      <c r="P34">
        <v>-13.81</v>
      </c>
      <c r="Q34" t="s">
        <v>1627</v>
      </c>
      <c r="R34">
        <v>-483950770</v>
      </c>
      <c r="S34" s="5">
        <v>-0.30030000000000001</v>
      </c>
      <c r="T34" t="s">
        <v>1628</v>
      </c>
      <c r="U34">
        <v>2872421400</v>
      </c>
      <c r="V34">
        <v>2872421400</v>
      </c>
      <c r="W34">
        <v>6.24</v>
      </c>
      <c r="X34">
        <v>0.2</v>
      </c>
      <c r="Y34">
        <v>-6.41</v>
      </c>
      <c r="Z34" t="s">
        <v>1629</v>
      </c>
      <c r="AA34" t="s">
        <v>1630</v>
      </c>
      <c r="AB34" t="s">
        <v>1631</v>
      </c>
      <c r="AC34" t="s">
        <v>1632</v>
      </c>
      <c r="AD34" t="s">
        <v>73</v>
      </c>
      <c r="AE34">
        <v>170326860</v>
      </c>
      <c r="AF34" t="s">
        <v>1633</v>
      </c>
      <c r="AG34" t="s">
        <v>1634</v>
      </c>
      <c r="AH34" t="s">
        <v>1635</v>
      </c>
      <c r="AI34" t="s">
        <v>1636</v>
      </c>
      <c r="AJ34" t="s">
        <v>1637</v>
      </c>
      <c r="AK34" t="s">
        <v>1336</v>
      </c>
      <c r="AL34" t="s">
        <v>1638</v>
      </c>
      <c r="AM34" t="s">
        <v>73</v>
      </c>
      <c r="AN34" t="s">
        <v>1639</v>
      </c>
      <c r="AO34" t="s">
        <v>1640</v>
      </c>
      <c r="AP34" t="s">
        <v>1641</v>
      </c>
      <c r="AQ34" t="s">
        <v>1642</v>
      </c>
      <c r="AR34" t="s">
        <v>1643</v>
      </c>
      <c r="AS34" t="s">
        <v>1644</v>
      </c>
      <c r="AT34" t="s">
        <v>1645</v>
      </c>
      <c r="AU34" t="s">
        <v>1646</v>
      </c>
      <c r="AV34" t="s">
        <v>499</v>
      </c>
      <c r="AW34" t="s">
        <v>980</v>
      </c>
      <c r="AX34" t="s">
        <v>604</v>
      </c>
      <c r="AY34" t="s">
        <v>607</v>
      </c>
      <c r="AZ34" t="s">
        <v>264</v>
      </c>
      <c r="BA34" t="s">
        <v>110</v>
      </c>
      <c r="BB34" t="s">
        <v>265</v>
      </c>
      <c r="BC34" t="s">
        <v>605</v>
      </c>
      <c r="BD34" t="s">
        <v>469</v>
      </c>
      <c r="BE34" t="s">
        <v>166</v>
      </c>
      <c r="BF34" t="s">
        <v>111</v>
      </c>
      <c r="BG34" t="s">
        <v>266</v>
      </c>
      <c r="BH34" t="s">
        <v>1647</v>
      </c>
      <c r="BI34" t="s">
        <v>1648</v>
      </c>
      <c r="BJ34" t="s">
        <v>604</v>
      </c>
      <c r="BK34" t="s">
        <v>1649</v>
      </c>
      <c r="BL34" t="s">
        <v>1650</v>
      </c>
      <c r="BM34" t="s">
        <v>605</v>
      </c>
      <c r="BN34" t="s">
        <v>73</v>
      </c>
      <c r="BO34" t="s">
        <v>73</v>
      </c>
      <c r="BP34">
        <v>7.57</v>
      </c>
      <c r="BQ34">
        <v>-12.71</v>
      </c>
      <c r="BR34">
        <v>-32.71</v>
      </c>
      <c r="BS34">
        <v>9.8699999999999992</v>
      </c>
      <c r="BT34" t="s">
        <v>476</v>
      </c>
      <c r="BU34" t="s">
        <v>464</v>
      </c>
      <c r="BV34">
        <v>1.99</v>
      </c>
      <c r="BW34">
        <v>-0.75</v>
      </c>
      <c r="BX34">
        <v>8.4600000000000009</v>
      </c>
      <c r="BY34">
        <v>-3.74</v>
      </c>
      <c r="BZ34">
        <v>-7.98</v>
      </c>
      <c r="CA34">
        <v>1.99</v>
      </c>
      <c r="CB34">
        <v>3.5</v>
      </c>
      <c r="CC34">
        <v>-13.95</v>
      </c>
      <c r="CD34" t="s">
        <v>1651</v>
      </c>
      <c r="CE34" t="s">
        <v>1652</v>
      </c>
      <c r="CF34" s="7">
        <v>6.5292035398230093</v>
      </c>
      <c r="CG34" s="8">
        <v>-3.1799584234234231</v>
      </c>
      <c r="CH34" s="7">
        <v>-0.81442588567733765</v>
      </c>
      <c r="CI34" s="7">
        <v>-0.25361922383308411</v>
      </c>
      <c r="CJ34" s="7">
        <v>0.6480749249458313</v>
      </c>
      <c r="CK34" s="7">
        <v>6.9044150412082672E-2</v>
      </c>
      <c r="CL34" s="7">
        <v>-0.10070231556892395</v>
      </c>
      <c r="CM34" s="8">
        <v>1.47450852394104</v>
      </c>
      <c r="CN34" s="8">
        <v>-4.1130704879760742</v>
      </c>
      <c r="CO34" s="8">
        <v>3.2280702590942383</v>
      </c>
      <c r="CP34" s="8">
        <v>-0.109375</v>
      </c>
      <c r="CQ34" s="8">
        <v>-0.86214321851730347</v>
      </c>
      <c r="CR34">
        <v>14.761054513888888</v>
      </c>
      <c r="CS34">
        <v>1.6342037122994642</v>
      </c>
      <c r="CT34">
        <v>0</v>
      </c>
      <c r="CU34" s="7">
        <v>-9.0325669944286341E-2</v>
      </c>
      <c r="CV34" s="8">
        <v>-7.6401984691619879E-2</v>
      </c>
      <c r="CW34">
        <v>0.06</v>
      </c>
      <c r="CX34" t="e">
        <v>#VALUE!</v>
      </c>
      <c r="CY34" t="s">
        <v>1400</v>
      </c>
      <c r="CZ34">
        <v>-9.0325669944286341E-2</v>
      </c>
      <c r="DA34">
        <v>7.8375898174157301</v>
      </c>
      <c r="DB34" t="s">
        <v>1653</v>
      </c>
      <c r="DC34">
        <v>-8.580938644707202E-2</v>
      </c>
      <c r="DD34">
        <v>3.9187949087078651</v>
      </c>
      <c r="DE34" t="s">
        <v>1654</v>
      </c>
      <c r="DF34">
        <v>-7.9486589550971987E-2</v>
      </c>
      <c r="DG34">
        <v>2.3512769452247193</v>
      </c>
      <c r="DH34" t="s">
        <v>1655</v>
      </c>
      <c r="DI34">
        <v>-7.226053595542907E-2</v>
      </c>
      <c r="DJ34">
        <v>1.1756384726123597</v>
      </c>
      <c r="DK34" t="s">
        <v>1656</v>
      </c>
      <c r="DL34">
        <v>-6.3227968961000441E-2</v>
      </c>
      <c r="DM34">
        <v>1424000000</v>
      </c>
      <c r="DN34">
        <v>-9.0325669944286341E-2</v>
      </c>
      <c r="DO34">
        <v>33482183700</v>
      </c>
      <c r="DP34">
        <v>-13088170999.999996</v>
      </c>
      <c r="DQ34">
        <v>3278</v>
      </c>
      <c r="DR34">
        <v>6.619529209767296</v>
      </c>
      <c r="DS34">
        <v>-3.1035564387318031</v>
      </c>
      <c r="DT34" s="9">
        <v>-0.65666666666666662</v>
      </c>
      <c r="DU34">
        <v>-1.1199999999999999</v>
      </c>
      <c r="DV34">
        <v>-1.7766666666666664</v>
      </c>
      <c r="DW34">
        <v>6.2005730659025788</v>
      </c>
      <c r="DX34">
        <v>0.35331999999999919</v>
      </c>
      <c r="DY34">
        <v>6.0287461318051578</v>
      </c>
      <c r="DZ34">
        <v>4360</v>
      </c>
      <c r="EA34">
        <v>6.0042190995800135</v>
      </c>
      <c r="EB34">
        <v>6</v>
      </c>
      <c r="EC34">
        <v>1.5218031727517418E-2</v>
      </c>
      <c r="ED34">
        <v>0.10618219179121838</v>
      </c>
      <c r="EE34" s="10">
        <v>3.0154100000000001</v>
      </c>
      <c r="EF34">
        <v>3.0548099999999998</v>
      </c>
      <c r="EG34">
        <v>21.143319999999999</v>
      </c>
      <c r="EH34" t="s">
        <v>1657</v>
      </c>
      <c r="EI34">
        <v>0</v>
      </c>
      <c r="EJ34">
        <v>0</v>
      </c>
      <c r="EK34" s="12">
        <v>45470</v>
      </c>
      <c r="EL34" s="13">
        <v>4</v>
      </c>
      <c r="EM34" s="13">
        <v>-3.85</v>
      </c>
      <c r="EN34" s="13">
        <v>0.8</v>
      </c>
      <c r="EO34" s="13">
        <v>0.79</v>
      </c>
      <c r="EP34" s="13">
        <v>-3.94</v>
      </c>
    </row>
    <row r="35" spans="1:146" ht="96">
      <c r="A35" s="6"/>
      <c r="B35" s="6"/>
      <c r="C35" s="6" t="str">
        <f>""&amp;CHAR(10)&amp;Basic_Fundamental_Information_Constructure(F35)&amp;CHAR(10)&amp;Basic_Fundamental_Information_Concatenate("")</f>
        <v xml:space="preserve">
市值41.566486亿, 利润23.58亿; PE; 平均PE7.51; 平均PEG.71, PB3.02; ROIC11.67%; ROE-15.5033%; 股利率0%; 毛利4.8533%; 净利-2.41%; 上一年度营收增29.87%, 利润增273.13%; 当季营收增-47.53%, 利润增-165.89%; 过往5年营收增10.55%, 利润增85.76%
Income profile:
</v>
      </c>
      <c r="D35" t="s">
        <v>51</v>
      </c>
      <c r="E35" t="s">
        <v>12</v>
      </c>
      <c r="F35">
        <v>2.69</v>
      </c>
      <c r="G35">
        <v>1.1299999999999999</v>
      </c>
      <c r="H35" t="s">
        <v>1658</v>
      </c>
      <c r="I35">
        <v>4156648600</v>
      </c>
      <c r="K35">
        <v>3.02</v>
      </c>
      <c r="L35" t="s">
        <v>37</v>
      </c>
      <c r="M35" t="s">
        <v>1659</v>
      </c>
      <c r="N35" t="s">
        <v>1660</v>
      </c>
      <c r="O35" t="s">
        <v>1661</v>
      </c>
      <c r="P35">
        <v>-12.94</v>
      </c>
      <c r="Q35" t="s">
        <v>1662</v>
      </c>
      <c r="R35">
        <v>-411807940</v>
      </c>
      <c r="S35" s="5">
        <v>0.1187</v>
      </c>
      <c r="T35" t="s">
        <v>1663</v>
      </c>
      <c r="U35">
        <v>1532897900</v>
      </c>
      <c r="V35">
        <v>1545222500</v>
      </c>
      <c r="W35">
        <v>21.33</v>
      </c>
      <c r="X35">
        <v>0.12</v>
      </c>
      <c r="Y35">
        <v>-11.85</v>
      </c>
      <c r="Z35" t="s">
        <v>1664</v>
      </c>
      <c r="AA35" t="s">
        <v>1665</v>
      </c>
      <c r="AB35" t="s">
        <v>1666</v>
      </c>
      <c r="AC35" t="s">
        <v>1667</v>
      </c>
      <c r="AD35" t="s">
        <v>73</v>
      </c>
      <c r="AE35">
        <v>164904800</v>
      </c>
      <c r="AF35" t="s">
        <v>497</v>
      </c>
      <c r="AG35" t="s">
        <v>1668</v>
      </c>
      <c r="AH35" t="s">
        <v>1669</v>
      </c>
      <c r="AI35" t="s">
        <v>1670</v>
      </c>
      <c r="AJ35" t="s">
        <v>1671</v>
      </c>
      <c r="AK35" t="s">
        <v>1672</v>
      </c>
      <c r="AL35" t="s">
        <v>1673</v>
      </c>
      <c r="AM35" t="s">
        <v>73</v>
      </c>
      <c r="AN35" t="s">
        <v>1674</v>
      </c>
      <c r="AO35" t="s">
        <v>1675</v>
      </c>
      <c r="AP35" t="s">
        <v>1676</v>
      </c>
      <c r="AQ35" t="s">
        <v>240</v>
      </c>
      <c r="AR35" t="s">
        <v>73</v>
      </c>
      <c r="AS35" t="s">
        <v>1677</v>
      </c>
      <c r="AT35" t="s">
        <v>1678</v>
      </c>
      <c r="AU35" t="s">
        <v>596</v>
      </c>
      <c r="AV35" t="s">
        <v>1679</v>
      </c>
      <c r="AW35" t="s">
        <v>1680</v>
      </c>
      <c r="AX35" t="s">
        <v>608</v>
      </c>
      <c r="AY35" t="s">
        <v>431</v>
      </c>
      <c r="AZ35" t="s">
        <v>433</v>
      </c>
      <c r="BA35" t="s">
        <v>112</v>
      </c>
      <c r="BB35" t="s">
        <v>267</v>
      </c>
      <c r="BC35" t="s">
        <v>1681</v>
      </c>
      <c r="BD35" t="s">
        <v>432</v>
      </c>
      <c r="BE35" t="s">
        <v>434</v>
      </c>
      <c r="BF35" t="s">
        <v>105</v>
      </c>
      <c r="BG35" t="s">
        <v>103</v>
      </c>
      <c r="BH35" t="s">
        <v>1682</v>
      </c>
      <c r="BI35" t="s">
        <v>1683</v>
      </c>
      <c r="BJ35" t="s">
        <v>608</v>
      </c>
      <c r="BK35" t="s">
        <v>1684</v>
      </c>
      <c r="BL35" t="s">
        <v>1685</v>
      </c>
      <c r="BM35" t="s">
        <v>1681</v>
      </c>
      <c r="BN35" t="s">
        <v>73</v>
      </c>
      <c r="BO35" t="s">
        <v>73</v>
      </c>
      <c r="BP35">
        <v>11.67</v>
      </c>
      <c r="BQ35">
        <v>-28.66</v>
      </c>
      <c r="BR35">
        <v>-38.049999999999997</v>
      </c>
      <c r="BS35">
        <v>20.2</v>
      </c>
      <c r="BT35" t="s">
        <v>476</v>
      </c>
      <c r="BU35" t="s">
        <v>464</v>
      </c>
      <c r="BV35">
        <v>3.82</v>
      </c>
      <c r="BW35">
        <v>0.24</v>
      </c>
      <c r="BX35">
        <v>10.5</v>
      </c>
      <c r="BY35">
        <v>-5.09</v>
      </c>
      <c r="BZ35">
        <v>-6.1</v>
      </c>
      <c r="CA35">
        <v>3.96</v>
      </c>
      <c r="CB35">
        <v>1.51</v>
      </c>
      <c r="CC35">
        <v>-12.38</v>
      </c>
      <c r="CD35" t="s">
        <v>1686</v>
      </c>
      <c r="CE35" t="s">
        <v>1687</v>
      </c>
      <c r="CF35" s="7">
        <v>-0.4752668771613292</v>
      </c>
      <c r="CG35" s="8">
        <v>-1.6588927040000001</v>
      </c>
      <c r="CH35" s="7">
        <v>0.29873284697532654</v>
      </c>
      <c r="CI35" s="7">
        <v>-0.25373232364654541</v>
      </c>
      <c r="CJ35" s="7">
        <v>0.33617481589317322</v>
      </c>
      <c r="CK35" s="7">
        <v>0.12119158357381821</v>
      </c>
      <c r="CL35" s="7">
        <v>2.521754615008831E-2</v>
      </c>
      <c r="CM35" s="8">
        <v>2.7312774658203125</v>
      </c>
      <c r="CN35" s="8">
        <v>-2.1532602310180664</v>
      </c>
      <c r="CO35" s="8">
        <v>2.5787878036499023</v>
      </c>
      <c r="CP35" s="8">
        <v>1.9729729890823364</v>
      </c>
      <c r="CQ35" s="8">
        <v>-0.84165477752685547</v>
      </c>
      <c r="CR35">
        <v>7.5142788791804769</v>
      </c>
      <c r="CS35">
        <v>0.71213988673646589</v>
      </c>
      <c r="CT35">
        <v>0</v>
      </c>
      <c r="CU35" s="7">
        <v>0.10551689378917217</v>
      </c>
      <c r="CV35" s="8">
        <v>0.85762465000152588</v>
      </c>
      <c r="CW35">
        <v>0.06</v>
      </c>
      <c r="CX35">
        <v>12.251541839354713</v>
      </c>
      <c r="CY35">
        <v>2459253618.4479885</v>
      </c>
      <c r="CZ35">
        <v>0.10551689378917217</v>
      </c>
      <c r="DA35">
        <v>3.9515191814448944</v>
      </c>
      <c r="DB35">
        <v>7624826608.83426</v>
      </c>
      <c r="DC35">
        <v>0.10024104909971356</v>
      </c>
      <c r="DD35">
        <v>1.9112208691215933</v>
      </c>
      <c r="DE35">
        <v>15764608416.94751</v>
      </c>
      <c r="DF35">
        <v>9.2854866534471517E-2</v>
      </c>
      <c r="DG35">
        <v>1.1249468480945952</v>
      </c>
      <c r="DH35">
        <v>26783175268.26516</v>
      </c>
      <c r="DI35">
        <v>8.4413515031337746E-2</v>
      </c>
      <c r="DJ35">
        <v>0.55584732029973238</v>
      </c>
      <c r="DK35">
        <v>54204900338.015549</v>
      </c>
      <c r="DL35">
        <v>7.3861825652420512E-2</v>
      </c>
      <c r="DM35">
        <v>2358000000</v>
      </c>
      <c r="DN35">
        <v>0.10551689378917217</v>
      </c>
      <c r="DO35">
        <v>30129648600.000004</v>
      </c>
      <c r="DP35">
        <v>-16170960600</v>
      </c>
      <c r="DQ35">
        <v>3289</v>
      </c>
      <c r="DR35">
        <v>-0.58078377095050138</v>
      </c>
      <c r="DS35">
        <v>-2.5165173540015262</v>
      </c>
      <c r="DT35" s="9">
        <v>-0.28999999999999998</v>
      </c>
      <c r="DU35">
        <v>-0.81550000000000011</v>
      </c>
      <c r="DV35">
        <v>-1.1055000000000001</v>
      </c>
      <c r="DW35">
        <v>-2.1238000000000001</v>
      </c>
      <c r="DX35">
        <v>0.28015972696245772</v>
      </c>
      <c r="DY35">
        <v>-2.0136377741979521</v>
      </c>
      <c r="DZ35">
        <v>3128</v>
      </c>
      <c r="EA35">
        <v>-2.0052896415773662</v>
      </c>
      <c r="EB35">
        <v>2</v>
      </c>
      <c r="EC35">
        <v>2.0888124525755999E-2</v>
      </c>
      <c r="ED35">
        <v>0.18961670568478003</v>
      </c>
      <c r="EE35" s="10">
        <v>4.0446999999999997</v>
      </c>
      <c r="EF35">
        <v>4.0163000000000002</v>
      </c>
      <c r="EG35">
        <v>17.110159726962458</v>
      </c>
      <c r="EH35" t="s">
        <v>1688</v>
      </c>
      <c r="EI35">
        <v>0</v>
      </c>
      <c r="EJ35">
        <v>0</v>
      </c>
      <c r="EK35" s="12">
        <v>45470</v>
      </c>
      <c r="EL35" s="13">
        <v>-0.16</v>
      </c>
      <c r="EM35" s="13">
        <v>-3.74</v>
      </c>
      <c r="EN35" s="13">
        <v>-0.33</v>
      </c>
      <c r="EO35" s="13">
        <v>2.0699999999999998</v>
      </c>
      <c r="EP35" s="13">
        <v>-2.84</v>
      </c>
    </row>
    <row r="36" spans="1:146" ht="96">
      <c r="A36" s="6"/>
      <c r="B36" s="6"/>
      <c r="C36" s="6" t="str">
        <f>""&amp;CHAR(10)&amp;Basic_Fundamental_Information_Constructure(F36)&amp;CHAR(10)&amp;Basic_Fundamental_Information_Concatenate("")</f>
        <v xml:space="preserve">
市值106.637608亿, 利润2.54亿; PE43.36; 平均PE3.62; 平均PEG.53, PB.404; ROIC6.78%; ROE7.7167%; 股利率4.4248%; 毛利3.78%; 净利2.0167%; 上一年度营收增-99.92%, 利润增-75.72%; 当季营收增74376.57%, 利润增-270.95%; 过往5年营收增-6.79%, 利润增-30.73%
Income profile:
</v>
      </c>
      <c r="D36" t="s">
        <v>70</v>
      </c>
      <c r="E36" t="s">
        <v>30</v>
      </c>
      <c r="F36">
        <v>3.39</v>
      </c>
      <c r="G36">
        <v>-0.59</v>
      </c>
      <c r="H36" t="s">
        <v>1689</v>
      </c>
      <c r="I36">
        <v>10663760800</v>
      </c>
      <c r="J36">
        <v>43.36</v>
      </c>
      <c r="K36">
        <v>0.40400000000000003</v>
      </c>
      <c r="L36" t="s">
        <v>37</v>
      </c>
      <c r="M36" t="s">
        <v>1690</v>
      </c>
      <c r="N36" t="s">
        <v>1691</v>
      </c>
      <c r="O36" t="s">
        <v>1692</v>
      </c>
      <c r="P36">
        <v>-50.62</v>
      </c>
      <c r="Q36" t="s">
        <v>1693</v>
      </c>
      <c r="R36">
        <v>-156119150</v>
      </c>
      <c r="S36" s="5">
        <v>-2.6320000000000001</v>
      </c>
      <c r="T36" t="s">
        <v>597</v>
      </c>
      <c r="U36">
        <v>3145652100</v>
      </c>
      <c r="V36">
        <v>3145652100</v>
      </c>
      <c r="W36">
        <v>1.88</v>
      </c>
      <c r="X36">
        <v>0.22</v>
      </c>
      <c r="Y36">
        <v>-1.36</v>
      </c>
      <c r="Z36" t="s">
        <v>1694</v>
      </c>
      <c r="AA36" t="s">
        <v>1695</v>
      </c>
      <c r="AB36" t="s">
        <v>1696</v>
      </c>
      <c r="AC36" t="s">
        <v>215</v>
      </c>
      <c r="AD36" t="s">
        <v>73</v>
      </c>
      <c r="AE36">
        <v>54903843</v>
      </c>
      <c r="AF36" t="s">
        <v>1697</v>
      </c>
      <c r="AG36" t="s">
        <v>1698</v>
      </c>
      <c r="AH36" t="s">
        <v>1699</v>
      </c>
      <c r="AI36" t="s">
        <v>1700</v>
      </c>
      <c r="AJ36" t="s">
        <v>1701</v>
      </c>
      <c r="AK36" t="s">
        <v>1702</v>
      </c>
      <c r="AL36" t="s">
        <v>1703</v>
      </c>
      <c r="AM36" t="s">
        <v>73</v>
      </c>
      <c r="AN36" t="s">
        <v>533</v>
      </c>
      <c r="AO36" t="s">
        <v>1704</v>
      </c>
      <c r="AP36" t="s">
        <v>1705</v>
      </c>
      <c r="AQ36" t="s">
        <v>1706</v>
      </c>
      <c r="AR36" t="s">
        <v>73</v>
      </c>
      <c r="AS36" t="s">
        <v>1707</v>
      </c>
      <c r="AT36" t="s">
        <v>1708</v>
      </c>
      <c r="AU36" t="s">
        <v>1709</v>
      </c>
      <c r="AV36" t="s">
        <v>1710</v>
      </c>
      <c r="AW36" t="s">
        <v>1711</v>
      </c>
      <c r="AX36" t="s">
        <v>611</v>
      </c>
      <c r="AY36" t="s">
        <v>615</v>
      </c>
      <c r="AZ36" t="s">
        <v>268</v>
      </c>
      <c r="BA36" t="s">
        <v>113</v>
      </c>
      <c r="BB36" t="s">
        <v>270</v>
      </c>
      <c r="BC36" t="s">
        <v>612</v>
      </c>
      <c r="BD36" t="s">
        <v>616</v>
      </c>
      <c r="BE36" t="s">
        <v>269</v>
      </c>
      <c r="BF36" t="s">
        <v>114</v>
      </c>
      <c r="BG36" t="s">
        <v>271</v>
      </c>
      <c r="BH36" t="s">
        <v>1712</v>
      </c>
      <c r="BI36" t="s">
        <v>1713</v>
      </c>
      <c r="BJ36" t="s">
        <v>611</v>
      </c>
      <c r="BK36" t="s">
        <v>1714</v>
      </c>
      <c r="BL36" t="s">
        <v>1715</v>
      </c>
      <c r="BM36" t="s">
        <v>612</v>
      </c>
      <c r="BN36">
        <v>1.48</v>
      </c>
      <c r="BO36">
        <v>3.52</v>
      </c>
      <c r="BP36">
        <v>15.34</v>
      </c>
      <c r="BQ36">
        <v>1.8</v>
      </c>
      <c r="BR36">
        <v>3.93</v>
      </c>
      <c r="BS36">
        <v>17.420000000000002</v>
      </c>
      <c r="BT36" t="s">
        <v>1716</v>
      </c>
      <c r="BU36" t="s">
        <v>464</v>
      </c>
      <c r="BV36">
        <v>1.9</v>
      </c>
      <c r="BW36">
        <v>3.21</v>
      </c>
      <c r="BX36">
        <v>6.23</v>
      </c>
      <c r="BY36">
        <v>0.73</v>
      </c>
      <c r="BZ36">
        <v>1.06</v>
      </c>
      <c r="CA36">
        <v>4.26</v>
      </c>
      <c r="CB36">
        <v>6.94</v>
      </c>
      <c r="CC36">
        <v>-10.32</v>
      </c>
      <c r="CD36" t="s">
        <v>540</v>
      </c>
      <c r="CE36" t="s">
        <v>1717</v>
      </c>
      <c r="CF36" s="7">
        <v>743.76573576444991</v>
      </c>
      <c r="CG36" s="8">
        <v>-2.7094654004377712</v>
      </c>
      <c r="CH36" s="7">
        <v>-0.99918901920318604</v>
      </c>
      <c r="CI36" s="7">
        <v>-5.6333497166633606E-2</v>
      </c>
      <c r="CJ36" s="7">
        <v>0.44880694150924683</v>
      </c>
      <c r="CK36" s="7">
        <v>0.25055256485939026</v>
      </c>
      <c r="CL36" s="7">
        <v>1.6519544646143913E-2</v>
      </c>
      <c r="CM36" s="8">
        <v>-0.75717020034790039</v>
      </c>
      <c r="CN36" s="8">
        <v>-0.75959545373916626</v>
      </c>
      <c r="CO36" s="8">
        <v>0.61148148775100708</v>
      </c>
      <c r="CP36" s="8">
        <v>-0.20913887023925781</v>
      </c>
      <c r="CQ36" s="8">
        <v>-0.42184585332870483</v>
      </c>
      <c r="CR36">
        <v>3.6209714091680816</v>
      </c>
      <c r="CS36">
        <v>0.53305477339052887</v>
      </c>
      <c r="CT36">
        <v>4.4247787610619467</v>
      </c>
      <c r="CU36" s="7">
        <v>-6.7928693071007726E-2</v>
      </c>
      <c r="CV36" s="8">
        <v>-0.30725377798080444</v>
      </c>
      <c r="CW36">
        <v>0.06</v>
      </c>
      <c r="CX36" t="e">
        <v>#VALUE!</v>
      </c>
      <c r="CY36" t="s">
        <v>1400</v>
      </c>
      <c r="CZ36">
        <v>-6.7928693071007726E-2</v>
      </c>
      <c r="DA36">
        <v>12.004935433070866</v>
      </c>
      <c r="DB36" t="s">
        <v>1718</v>
      </c>
      <c r="DC36">
        <v>-6.4532258417457342E-2</v>
      </c>
      <c r="DD36">
        <v>6.002467716535433</v>
      </c>
      <c r="DE36" t="s">
        <v>1719</v>
      </c>
      <c r="DF36">
        <v>-5.9777249902486798E-2</v>
      </c>
      <c r="DG36">
        <v>3.6014806299212601</v>
      </c>
      <c r="DH36" t="s">
        <v>1720</v>
      </c>
      <c r="DI36">
        <v>-5.4342954456806182E-2</v>
      </c>
      <c r="DJ36">
        <v>1.80074031496063</v>
      </c>
      <c r="DK36" t="s">
        <v>1721</v>
      </c>
      <c r="DL36">
        <v>-4.7550085149705407E-2</v>
      </c>
      <c r="DM36">
        <v>254000000</v>
      </c>
      <c r="DN36">
        <v>-6.7928693071007726E-2</v>
      </c>
      <c r="DO36">
        <v>9147760800</v>
      </c>
      <c r="DP36">
        <v>939252000</v>
      </c>
      <c r="DQ36">
        <v>3459</v>
      </c>
      <c r="DR36">
        <v>743.83366445752097</v>
      </c>
      <c r="DS36">
        <v>-2.4022116224569667</v>
      </c>
      <c r="DT36" s="9">
        <v>-0.52333333333333332</v>
      </c>
      <c r="DU36">
        <v>-1.4816666666666667</v>
      </c>
      <c r="DV36">
        <v>-2.0049999999999999</v>
      </c>
      <c r="DW36">
        <v>7.4020857473928157</v>
      </c>
      <c r="DX36">
        <v>0.30961651917404198</v>
      </c>
      <c r="DY36">
        <v>7.0682003848822621</v>
      </c>
      <c r="DZ36">
        <v>2631</v>
      </c>
      <c r="EA36">
        <v>7.0330858618636256</v>
      </c>
      <c r="EB36">
        <v>7</v>
      </c>
      <c r="EC36">
        <v>3.6558397541800632E-2</v>
      </c>
      <c r="ED36">
        <v>0.21553559594209418</v>
      </c>
      <c r="EE36" s="10">
        <v>-4.0482100000000001</v>
      </c>
      <c r="EF36">
        <v>-4.0861099999999997</v>
      </c>
      <c r="EG36">
        <v>14.169616519174042</v>
      </c>
      <c r="EH36" t="s">
        <v>1434</v>
      </c>
      <c r="EI36">
        <v>1</v>
      </c>
      <c r="EJ36">
        <v>0</v>
      </c>
      <c r="EK36" s="12">
        <v>45470</v>
      </c>
      <c r="EL36" s="13">
        <v>-0.16</v>
      </c>
      <c r="EM36" s="13">
        <v>-3.6</v>
      </c>
      <c r="EN36" s="13">
        <v>0.51</v>
      </c>
      <c r="EO36" s="13">
        <v>2.5299999999999998</v>
      </c>
      <c r="EP36" s="13">
        <v>-3.79</v>
      </c>
    </row>
    <row r="37" spans="1:146" ht="96">
      <c r="A37" s="6"/>
      <c r="B37" s="6"/>
      <c r="C37" s="6" t="str">
        <f>""&amp;CHAR(10)&amp;Basic_Fundamental_Information_Constructure(F37)&amp;CHAR(10)&amp;Basic_Fundamental_Information_Concatenate("")</f>
        <v xml:space="preserve">
市值158.81223亿, 利润104.38亿; PE; 平均PE3.98; 平均PEG.5, PB.578; ROIC10.73%; ROE3.01%; 股利率0%; 毛利6%; 净利.9333%; 上一年度营收增-68.75%, 利润增1316.55%; 当季营收增60.79%, 利润增-106.45%; 过往5年营收增-7.95%, 利润增272.82%
Income profile:
</v>
      </c>
      <c r="D37" t="s">
        <v>54</v>
      </c>
      <c r="E37" t="s">
        <v>25</v>
      </c>
      <c r="F37">
        <v>2.0499999999999998</v>
      </c>
      <c r="G37">
        <v>0.49</v>
      </c>
      <c r="H37" t="s">
        <v>1722</v>
      </c>
      <c r="I37">
        <v>15881223000</v>
      </c>
      <c r="K37">
        <v>0.57799999999999996</v>
      </c>
      <c r="L37" t="s">
        <v>37</v>
      </c>
      <c r="M37" t="s">
        <v>1723</v>
      </c>
      <c r="N37" t="s">
        <v>1724</v>
      </c>
      <c r="O37" t="s">
        <v>1725</v>
      </c>
      <c r="P37">
        <v>-10.31</v>
      </c>
      <c r="Q37" t="s">
        <v>1726</v>
      </c>
      <c r="R37">
        <v>-310998960</v>
      </c>
      <c r="S37" s="5">
        <v>0.38929999999999998</v>
      </c>
      <c r="T37" t="s">
        <v>1727</v>
      </c>
      <c r="U37">
        <v>5967751200</v>
      </c>
      <c r="V37">
        <v>7746938000</v>
      </c>
      <c r="W37">
        <v>2.67</v>
      </c>
      <c r="X37">
        <v>0.24</v>
      </c>
      <c r="Y37">
        <v>-1.7</v>
      </c>
      <c r="Z37" t="s">
        <v>1728</v>
      </c>
      <c r="AA37" t="s">
        <v>1729</v>
      </c>
      <c r="AB37" t="s">
        <v>1730</v>
      </c>
      <c r="AC37" t="s">
        <v>493</v>
      </c>
      <c r="AD37" t="s">
        <v>73</v>
      </c>
      <c r="AE37">
        <v>155063090</v>
      </c>
      <c r="AF37" t="s">
        <v>1731</v>
      </c>
      <c r="AG37" t="s">
        <v>1732</v>
      </c>
      <c r="AH37" t="s">
        <v>1733</v>
      </c>
      <c r="AI37" t="s">
        <v>1734</v>
      </c>
      <c r="AJ37" t="s">
        <v>1735</v>
      </c>
      <c r="AK37" t="s">
        <v>1736</v>
      </c>
      <c r="AL37" t="s">
        <v>1737</v>
      </c>
      <c r="AM37" t="s">
        <v>73</v>
      </c>
      <c r="AN37" t="s">
        <v>1738</v>
      </c>
      <c r="AO37" t="s">
        <v>1739</v>
      </c>
      <c r="AP37" t="s">
        <v>1740</v>
      </c>
      <c r="AQ37" t="s">
        <v>1741</v>
      </c>
      <c r="AR37" t="s">
        <v>73</v>
      </c>
      <c r="AS37" t="s">
        <v>1742</v>
      </c>
      <c r="AT37" t="s">
        <v>1743</v>
      </c>
      <c r="AU37" t="s">
        <v>1744</v>
      </c>
      <c r="AV37" t="s">
        <v>1457</v>
      </c>
      <c r="AW37" t="s">
        <v>1745</v>
      </c>
      <c r="AX37" t="s">
        <v>617</v>
      </c>
      <c r="AY37" t="s">
        <v>436</v>
      </c>
      <c r="AZ37" t="s">
        <v>272</v>
      </c>
      <c r="BA37" t="s">
        <v>115</v>
      </c>
      <c r="BB37" t="s">
        <v>274</v>
      </c>
      <c r="BC37" t="s">
        <v>618</v>
      </c>
      <c r="BD37" t="s">
        <v>437</v>
      </c>
      <c r="BE37" t="s">
        <v>273</v>
      </c>
      <c r="BF37" t="s">
        <v>116</v>
      </c>
      <c r="BG37" t="s">
        <v>275</v>
      </c>
      <c r="BH37" t="s">
        <v>1746</v>
      </c>
      <c r="BI37" t="s">
        <v>1747</v>
      </c>
      <c r="BJ37" t="s">
        <v>617</v>
      </c>
      <c r="BK37" t="s">
        <v>1748</v>
      </c>
      <c r="BL37" t="s">
        <v>1749</v>
      </c>
      <c r="BM37" t="s">
        <v>618</v>
      </c>
      <c r="BN37" t="s">
        <v>73</v>
      </c>
      <c r="BO37" t="s">
        <v>73</v>
      </c>
      <c r="BP37">
        <v>10.73</v>
      </c>
      <c r="BQ37">
        <v>-5.64</v>
      </c>
      <c r="BR37">
        <v>-2.77</v>
      </c>
      <c r="BS37">
        <v>17.440000000000001</v>
      </c>
      <c r="BT37" t="s">
        <v>476</v>
      </c>
      <c r="BU37" t="s">
        <v>464</v>
      </c>
      <c r="BV37">
        <v>1.65</v>
      </c>
      <c r="BW37">
        <v>3.24</v>
      </c>
      <c r="BX37">
        <v>13.11</v>
      </c>
      <c r="BY37">
        <v>-1.66</v>
      </c>
      <c r="BZ37">
        <v>-0.8</v>
      </c>
      <c r="CA37">
        <v>5.26</v>
      </c>
      <c r="CB37">
        <v>1.49</v>
      </c>
      <c r="CC37">
        <v>-11.64</v>
      </c>
      <c r="CD37" t="s">
        <v>330</v>
      </c>
      <c r="CE37" t="s">
        <v>1750</v>
      </c>
      <c r="CF37" s="7">
        <v>0.60794827314303734</v>
      </c>
      <c r="CG37" s="8">
        <v>-1.0645359950197137</v>
      </c>
      <c r="CH37" s="7">
        <v>-0.68745225667953491</v>
      </c>
      <c r="CI37" s="7">
        <v>-0.10273951292037964</v>
      </c>
      <c r="CJ37" s="7">
        <v>0.39499357342720032</v>
      </c>
      <c r="CK37" s="7">
        <v>4.2817100882530212E-2</v>
      </c>
      <c r="CL37" s="7">
        <v>-4.5014116913080215E-2</v>
      </c>
      <c r="CM37" s="8">
        <v>13.165501594543457</v>
      </c>
      <c r="CN37" s="8">
        <v>-1.1609152555465698</v>
      </c>
      <c r="CO37" s="8">
        <v>1.6888551712036133</v>
      </c>
      <c r="CP37" s="8">
        <v>0.75797867774963379</v>
      </c>
      <c r="CQ37" s="8">
        <v>-0.81019687652587891</v>
      </c>
      <c r="CR37">
        <v>3.9759383292998414</v>
      </c>
      <c r="CS37">
        <v>0.50024990327087571</v>
      </c>
      <c r="CT37">
        <v>0</v>
      </c>
      <c r="CU37" s="7">
        <v>-7.9479042440652847E-2</v>
      </c>
      <c r="CV37" s="8">
        <v>2.7282446622848511</v>
      </c>
      <c r="CW37">
        <v>0.06</v>
      </c>
      <c r="CX37" t="e">
        <v>#VALUE!</v>
      </c>
      <c r="CY37" t="s">
        <v>1400</v>
      </c>
      <c r="CZ37">
        <v>-7.9479042440652847E-2</v>
      </c>
      <c r="DA37">
        <v>1.15658245513189</v>
      </c>
      <c r="DB37" t="s">
        <v>1751</v>
      </c>
      <c r="DC37">
        <v>-7.5505090318620197E-2</v>
      </c>
      <c r="DD37">
        <v>0.57829122756594498</v>
      </c>
      <c r="DE37" t="s">
        <v>1752</v>
      </c>
      <c r="DF37">
        <v>-6.9941557347774505E-2</v>
      </c>
      <c r="DG37">
        <v>0.34697473653956695</v>
      </c>
      <c r="DH37" t="s">
        <v>1753</v>
      </c>
      <c r="DI37">
        <v>-6.3583233952522286E-2</v>
      </c>
      <c r="DJ37">
        <v>0.17348736826978348</v>
      </c>
      <c r="DK37" t="s">
        <v>1754</v>
      </c>
      <c r="DL37">
        <v>-5.5635329708456992E-2</v>
      </c>
      <c r="DM37">
        <v>10438000000</v>
      </c>
      <c r="DN37">
        <v>-7.9479042440652847E-2</v>
      </c>
      <c r="DO37">
        <v>36217223000</v>
      </c>
      <c r="DP37">
        <v>-20734988000</v>
      </c>
      <c r="DQ37">
        <v>3481</v>
      </c>
      <c r="DR37">
        <v>0.68742731558369019</v>
      </c>
      <c r="DS37">
        <v>-3.792780657304565</v>
      </c>
      <c r="DT37" s="9">
        <v>-0.64</v>
      </c>
      <c r="DU37">
        <v>-1.0149999999999999</v>
      </c>
      <c r="DV37">
        <v>-1.6549999999999998</v>
      </c>
      <c r="DW37">
        <v>-2.1164000000000001</v>
      </c>
      <c r="DX37">
        <v>0.34011820330969172</v>
      </c>
      <c r="DY37">
        <v>-2.0174737588652483</v>
      </c>
      <c r="DZ37">
        <v>4478</v>
      </c>
      <c r="EA37">
        <v>-2.0021611380827471</v>
      </c>
      <c r="EB37">
        <v>2</v>
      </c>
      <c r="EC37">
        <v>1.6393573822328256E-2</v>
      </c>
      <c r="ED37">
        <v>0.10920443664322602</v>
      </c>
      <c r="EE37" s="10">
        <v>2.0707</v>
      </c>
      <c r="EF37">
        <v>2.0640000000000001</v>
      </c>
      <c r="EG37">
        <v>19.150118203309692</v>
      </c>
      <c r="EH37" t="s">
        <v>610</v>
      </c>
      <c r="EI37">
        <v>0</v>
      </c>
      <c r="EJ37">
        <v>0</v>
      </c>
      <c r="EK37" s="12">
        <v>45470</v>
      </c>
      <c r="EL37" s="13">
        <v>-1.35</v>
      </c>
      <c r="EM37" s="13">
        <v>-1.02</v>
      </c>
      <c r="EN37" s="13">
        <v>1.38</v>
      </c>
      <c r="EO37" s="13">
        <v>1.02</v>
      </c>
      <c r="EP37" s="13">
        <v>-0.67</v>
      </c>
    </row>
    <row r="38" spans="1:146" ht="96">
      <c r="C38" s="6" t="str">
        <f>""&amp;CHAR(10)&amp;Basic_Fundamental_Information_Constructure(F38)&amp;CHAR(10)&amp;Basic_Fundamental_Information_Concatenate("")</f>
        <v xml:space="preserve">
市值68.426578亿, 利润-14.94亿; PE; 平均PE6.54; 平均PEG1.6, PB.773; ROIC5.97%; ROE-4.79%; 股利率0%; 毛利2.8333%; 净利-1.17%; 上一年度营收增-51.29%, 利润增36.21%; 当季营收增90.91%, 利润增135.71%; 过往5年营收增4.09%, 利润增-63.45%
Income profile:
</v>
      </c>
      <c r="D38" t="s">
        <v>69</v>
      </c>
      <c r="E38" t="s">
        <v>26</v>
      </c>
      <c r="F38">
        <v>2.67</v>
      </c>
      <c r="G38">
        <v>1.52</v>
      </c>
      <c r="H38" t="s">
        <v>1755</v>
      </c>
      <c r="I38">
        <v>6842657800</v>
      </c>
      <c r="K38">
        <v>0.77300000000000002</v>
      </c>
      <c r="L38" t="s">
        <v>37</v>
      </c>
      <c r="M38" t="s">
        <v>1756</v>
      </c>
      <c r="N38" t="s">
        <v>1757</v>
      </c>
      <c r="O38" t="s">
        <v>1758</v>
      </c>
      <c r="P38">
        <v>16.45</v>
      </c>
      <c r="Q38" t="s">
        <v>1759</v>
      </c>
      <c r="R38">
        <v>37494962</v>
      </c>
      <c r="S38" s="5">
        <v>-0.86040000000000005</v>
      </c>
      <c r="T38" t="s">
        <v>1760</v>
      </c>
      <c r="U38">
        <v>2562793200</v>
      </c>
      <c r="V38">
        <v>2562793200</v>
      </c>
      <c r="W38">
        <v>3.15</v>
      </c>
      <c r="X38">
        <v>0.28999999999999998</v>
      </c>
      <c r="Y38">
        <v>0.19</v>
      </c>
      <c r="Z38" t="s">
        <v>1761</v>
      </c>
      <c r="AA38" t="s">
        <v>1762</v>
      </c>
      <c r="AB38" t="s">
        <v>1763</v>
      </c>
      <c r="AC38" t="s">
        <v>621</v>
      </c>
      <c r="AD38" t="s">
        <v>73</v>
      </c>
      <c r="AE38">
        <v>218512760</v>
      </c>
      <c r="AF38" t="s">
        <v>1764</v>
      </c>
      <c r="AG38" t="s">
        <v>1765</v>
      </c>
      <c r="AH38" t="s">
        <v>1766</v>
      </c>
      <c r="AI38" t="s">
        <v>1767</v>
      </c>
      <c r="AJ38" t="s">
        <v>1768</v>
      </c>
      <c r="AK38" t="s">
        <v>1769</v>
      </c>
      <c r="AL38" t="s">
        <v>1770</v>
      </c>
      <c r="AM38" t="s">
        <v>73</v>
      </c>
      <c r="AN38" t="s">
        <v>1771</v>
      </c>
      <c r="AO38" t="s">
        <v>1772</v>
      </c>
      <c r="AP38" t="s">
        <v>1773</v>
      </c>
      <c r="AQ38" t="s">
        <v>1774</v>
      </c>
      <c r="AR38" t="s">
        <v>102</v>
      </c>
      <c r="AS38" t="s">
        <v>1775</v>
      </c>
      <c r="AT38" t="s">
        <v>1776</v>
      </c>
      <c r="AU38" t="s">
        <v>1777</v>
      </c>
      <c r="AV38" t="s">
        <v>499</v>
      </c>
      <c r="AW38" t="s">
        <v>638</v>
      </c>
      <c r="AX38" t="s">
        <v>619</v>
      </c>
      <c r="AY38" t="s">
        <v>622</v>
      </c>
      <c r="AZ38" t="s">
        <v>276</v>
      </c>
      <c r="BA38" t="s">
        <v>117</v>
      </c>
      <c r="BB38" t="s">
        <v>278</v>
      </c>
      <c r="BC38" t="s">
        <v>620</v>
      </c>
      <c r="BD38" t="s">
        <v>623</v>
      </c>
      <c r="BE38" t="s">
        <v>277</v>
      </c>
      <c r="BF38" t="s">
        <v>279</v>
      </c>
      <c r="BG38" t="s">
        <v>190</v>
      </c>
      <c r="BH38" t="s">
        <v>1778</v>
      </c>
      <c r="BI38" t="s">
        <v>1779</v>
      </c>
      <c r="BJ38" t="s">
        <v>619</v>
      </c>
      <c r="BK38" t="s">
        <v>1780</v>
      </c>
      <c r="BL38" t="s">
        <v>1781</v>
      </c>
      <c r="BM38" t="s">
        <v>620</v>
      </c>
      <c r="BN38" t="s">
        <v>73</v>
      </c>
      <c r="BO38" t="s">
        <v>73</v>
      </c>
      <c r="BP38">
        <v>5.97</v>
      </c>
      <c r="BQ38">
        <v>-5.4</v>
      </c>
      <c r="BR38">
        <v>-20.93</v>
      </c>
      <c r="BS38">
        <v>11.96</v>
      </c>
      <c r="BT38" t="s">
        <v>476</v>
      </c>
      <c r="BU38" t="s">
        <v>464</v>
      </c>
      <c r="BV38">
        <v>2.06</v>
      </c>
      <c r="BW38">
        <v>-0.94</v>
      </c>
      <c r="BX38">
        <v>7.38</v>
      </c>
      <c r="BY38">
        <v>-1.64</v>
      </c>
      <c r="BZ38">
        <v>-4.38</v>
      </c>
      <c r="CA38">
        <v>2.5099999999999998</v>
      </c>
      <c r="CB38">
        <v>5.53</v>
      </c>
      <c r="CC38">
        <v>-10.1</v>
      </c>
      <c r="CD38" t="s">
        <v>1782</v>
      </c>
      <c r="CE38" t="s">
        <v>1192</v>
      </c>
      <c r="CF38" s="7">
        <v>0.90907354345749758</v>
      </c>
      <c r="CG38" s="8">
        <v>1.3570948761904762</v>
      </c>
      <c r="CH38" s="7">
        <v>-0.5129389762878418</v>
      </c>
      <c r="CI38" s="7">
        <v>-0.12938679754734039</v>
      </c>
      <c r="CJ38" s="7">
        <v>0.69528663158416748</v>
      </c>
      <c r="CK38" s="7">
        <v>0.12492800503969193</v>
      </c>
      <c r="CL38" s="7">
        <v>2.6799816638231277E-2</v>
      </c>
      <c r="CM38" s="8">
        <v>0.36208373308181763</v>
      </c>
      <c r="CN38" s="8">
        <v>-2.6185212135314941</v>
      </c>
      <c r="CO38" s="8">
        <v>-0.15823152661323547</v>
      </c>
      <c r="CP38" s="8">
        <v>-0.26601198315620422</v>
      </c>
      <c r="CQ38" s="8">
        <v>-0.49197393655776978</v>
      </c>
      <c r="CR38">
        <v>6.5354897803247374</v>
      </c>
      <c r="CS38">
        <v>1.5964463199975041</v>
      </c>
      <c r="CT38">
        <v>0</v>
      </c>
      <c r="CU38" s="7">
        <v>4.0937735885381701E-2</v>
      </c>
      <c r="CV38" s="8">
        <v>-0.63453098535537722</v>
      </c>
      <c r="CW38">
        <v>0.06</v>
      </c>
      <c r="CX38" t="e">
        <v>#VALUE!</v>
      </c>
      <c r="CY38" t="s">
        <v>456</v>
      </c>
      <c r="CZ38">
        <v>4.0937735885381701E-2</v>
      </c>
      <c r="DA38" t="e">
        <v>#VALUE!</v>
      </c>
      <c r="DB38" t="s">
        <v>456</v>
      </c>
      <c r="DC38">
        <v>3.8890849091112616E-2</v>
      </c>
      <c r="DD38" t="e">
        <v>#VALUE!</v>
      </c>
      <c r="DE38" t="s">
        <v>456</v>
      </c>
      <c r="DF38">
        <v>3.6025207579135896E-2</v>
      </c>
      <c r="DG38" t="e">
        <v>#VALUE!</v>
      </c>
      <c r="DH38" t="s">
        <v>456</v>
      </c>
      <c r="DI38">
        <v>3.2750188708305365E-2</v>
      </c>
      <c r="DJ38" t="e">
        <v>#VALUE!</v>
      </c>
      <c r="DK38" t="s">
        <v>456</v>
      </c>
      <c r="DL38">
        <v>2.865641511976719E-2</v>
      </c>
      <c r="DM38">
        <v>-1494000000</v>
      </c>
      <c r="DN38">
        <v>4.0937735885381701E-2</v>
      </c>
      <c r="DO38">
        <v>32837657800</v>
      </c>
      <c r="DP38">
        <v>-6391966000</v>
      </c>
      <c r="DQ38">
        <v>3622</v>
      </c>
      <c r="DR38">
        <v>0.86813580757211584</v>
      </c>
      <c r="DS38">
        <v>1.9916258615458533</v>
      </c>
      <c r="DT38" s="9">
        <v>-0.34</v>
      </c>
      <c r="DU38">
        <v>-0.87666666666666648</v>
      </c>
      <c r="DV38">
        <v>-1.2166666666666666</v>
      </c>
      <c r="DW38">
        <v>6.3538067818298147</v>
      </c>
      <c r="DX38">
        <v>0.29649043824701266</v>
      </c>
      <c r="DY38">
        <v>6.0412151070701201</v>
      </c>
      <c r="DZ38">
        <v>4545</v>
      </c>
      <c r="EA38">
        <v>6.004557051955894</v>
      </c>
      <c r="EB38">
        <v>6</v>
      </c>
      <c r="EC38">
        <v>1.1409075067001114E-2</v>
      </c>
      <c r="ED38">
        <v>9.7940013263653106E-2</v>
      </c>
      <c r="EE38" s="10">
        <v>8.2610000000000003E-2</v>
      </c>
      <c r="EF38">
        <v>0.10621</v>
      </c>
      <c r="EG38">
        <v>18.116490438247013</v>
      </c>
      <c r="EH38">
        <v>-1</v>
      </c>
      <c r="EI38">
        <v>0</v>
      </c>
      <c r="EJ38">
        <v>0</v>
      </c>
      <c r="EK38" s="12">
        <v>45470</v>
      </c>
      <c r="EL38" s="13">
        <v>-1.68</v>
      </c>
      <c r="EM38" s="13">
        <v>-3.77</v>
      </c>
      <c r="EN38" s="13">
        <v>1.42</v>
      </c>
      <c r="EO38" s="13">
        <v>4.21</v>
      </c>
      <c r="EP38" s="13">
        <v>-2.36</v>
      </c>
    </row>
    <row r="39" spans="1:146" ht="96">
      <c r="C39" s="6" t="str">
        <f>""&amp;CHAR(10)&amp;Basic_Fundamental_Information_Constructure(F39)&amp;CHAR(10)&amp;Basic_Fundamental_Information_Concatenate("")</f>
        <v xml:space="preserve">
市值93.645324亿, 利润119.30亿; PE; 平均PE3.4; 平均PEG.09, PB.48; ROIC9.02%; ROE1.0867%; 股利率0%; 毛利2.6533%; 净利-.2933%; 上一年度营收增121.6%, 利润增1270.76%; 当季营收增-61.01%, 利润增-109.13%; 过往5年营收增36.82%, 利润增260.61%
Income profile:
</v>
      </c>
      <c r="D39" t="s">
        <v>49</v>
      </c>
      <c r="E39" t="s">
        <v>14</v>
      </c>
      <c r="F39">
        <v>1.05</v>
      </c>
      <c r="G39">
        <v>0</v>
      </c>
      <c r="H39" t="s">
        <v>1783</v>
      </c>
      <c r="I39">
        <v>9364532400</v>
      </c>
      <c r="K39">
        <v>0.48</v>
      </c>
      <c r="L39" t="s">
        <v>37</v>
      </c>
      <c r="M39" t="s">
        <v>1784</v>
      </c>
      <c r="N39" t="s">
        <v>1785</v>
      </c>
      <c r="O39" t="s">
        <v>603</v>
      </c>
      <c r="P39">
        <v>-26.11</v>
      </c>
      <c r="Q39" t="s">
        <v>1786</v>
      </c>
      <c r="R39">
        <v>-333758310</v>
      </c>
      <c r="S39" s="5">
        <v>-2.165</v>
      </c>
      <c r="T39" t="s">
        <v>1787</v>
      </c>
      <c r="U39">
        <v>8380475100</v>
      </c>
      <c r="V39">
        <v>8918602300</v>
      </c>
      <c r="W39">
        <v>1.91</v>
      </c>
      <c r="X39">
        <v>0.21</v>
      </c>
      <c r="Y39">
        <v>-4.3099999999999996</v>
      </c>
      <c r="Z39" t="s">
        <v>1788</v>
      </c>
      <c r="AA39" t="s">
        <v>634</v>
      </c>
      <c r="AB39" t="s">
        <v>1789</v>
      </c>
      <c r="AC39" t="s">
        <v>1790</v>
      </c>
      <c r="AD39" t="s">
        <v>73</v>
      </c>
      <c r="AE39">
        <v>57613241</v>
      </c>
      <c r="AF39" t="s">
        <v>1791</v>
      </c>
      <c r="AG39" t="s">
        <v>1792</v>
      </c>
      <c r="AH39" t="s">
        <v>1793</v>
      </c>
      <c r="AI39" t="s">
        <v>1794</v>
      </c>
      <c r="AJ39" t="s">
        <v>1795</v>
      </c>
      <c r="AK39" t="s">
        <v>73</v>
      </c>
      <c r="AL39" t="s">
        <v>1796</v>
      </c>
      <c r="AM39" t="s">
        <v>73</v>
      </c>
      <c r="AN39" t="s">
        <v>1797</v>
      </c>
      <c r="AO39" t="s">
        <v>1187</v>
      </c>
      <c r="AP39" t="s">
        <v>1798</v>
      </c>
      <c r="AQ39" t="s">
        <v>1799</v>
      </c>
      <c r="AR39" t="s">
        <v>73</v>
      </c>
      <c r="AS39" t="s">
        <v>1800</v>
      </c>
      <c r="AT39" t="s">
        <v>1801</v>
      </c>
      <c r="AU39" t="s">
        <v>1802</v>
      </c>
      <c r="AV39" t="s">
        <v>1803</v>
      </c>
      <c r="AW39" t="s">
        <v>1804</v>
      </c>
      <c r="AX39" t="s">
        <v>624</v>
      </c>
      <c r="AY39" t="s">
        <v>438</v>
      </c>
      <c r="AZ39" t="s">
        <v>281</v>
      </c>
      <c r="BA39" t="s">
        <v>118</v>
      </c>
      <c r="BB39" t="s">
        <v>283</v>
      </c>
      <c r="BC39" t="s">
        <v>625</v>
      </c>
      <c r="BD39" t="s">
        <v>439</v>
      </c>
      <c r="BE39" t="s">
        <v>282</v>
      </c>
      <c r="BF39" t="s">
        <v>119</v>
      </c>
      <c r="BG39" t="s">
        <v>284</v>
      </c>
      <c r="BH39" t="s">
        <v>1759</v>
      </c>
      <c r="BI39" t="s">
        <v>1805</v>
      </c>
      <c r="BJ39" t="s">
        <v>624</v>
      </c>
      <c r="BK39" t="s">
        <v>1760</v>
      </c>
      <c r="BL39" t="s">
        <v>1806</v>
      </c>
      <c r="BM39" t="s">
        <v>625</v>
      </c>
      <c r="BN39" t="s">
        <v>73</v>
      </c>
      <c r="BO39" t="s">
        <v>73</v>
      </c>
      <c r="BP39">
        <v>9.02</v>
      </c>
      <c r="BQ39">
        <v>-2.81</v>
      </c>
      <c r="BR39">
        <v>-4.66</v>
      </c>
      <c r="BS39">
        <v>10.73</v>
      </c>
      <c r="BT39" t="s">
        <v>476</v>
      </c>
      <c r="BU39" t="s">
        <v>464</v>
      </c>
      <c r="BV39">
        <v>-1.74</v>
      </c>
      <c r="BW39">
        <v>-0.08</v>
      </c>
      <c r="BX39">
        <v>9.7799999999999994</v>
      </c>
      <c r="BY39">
        <v>-3.8</v>
      </c>
      <c r="BZ39">
        <v>-2.79</v>
      </c>
      <c r="CA39">
        <v>5.71</v>
      </c>
      <c r="CB39">
        <v>3.96</v>
      </c>
      <c r="CC39">
        <v>-15.32</v>
      </c>
      <c r="CD39" t="s">
        <v>355</v>
      </c>
      <c r="CE39" t="s">
        <v>1773</v>
      </c>
      <c r="CF39" s="7">
        <v>-0.61006099097736777</v>
      </c>
      <c r="CG39" s="8">
        <v>-1.0913155430916552</v>
      </c>
      <c r="CH39" s="7">
        <v>1.2159619331359863</v>
      </c>
      <c r="CI39" s="7">
        <v>-8.2486361265182495E-2</v>
      </c>
      <c r="CJ39" s="7">
        <v>0.62715393304824829</v>
      </c>
      <c r="CK39" s="7">
        <v>4.3104216456413269E-2</v>
      </c>
      <c r="CL39" s="7">
        <v>3.7059944123029709E-2</v>
      </c>
      <c r="CM39" s="8">
        <v>12.70755672454834</v>
      </c>
      <c r="CN39" s="8">
        <v>-1.4481091499328613</v>
      </c>
      <c r="CO39" s="8">
        <v>2.5642631053924561</v>
      </c>
      <c r="CP39" s="8">
        <v>-0.31101512908935547</v>
      </c>
      <c r="CQ39" s="8">
        <v>-0.4821029007434845</v>
      </c>
      <c r="CR39">
        <v>3.3976655016024675</v>
      </c>
      <c r="CS39">
        <v>9.2288059364936059E-2</v>
      </c>
      <c r="CT39">
        <v>0</v>
      </c>
      <c r="CU39" s="7">
        <v>0.36815873309969904</v>
      </c>
      <c r="CV39" s="8">
        <v>2.6061185300350189</v>
      </c>
      <c r="CW39">
        <v>0.06</v>
      </c>
      <c r="CX39">
        <v>0.47677739281919856</v>
      </c>
      <c r="CY39">
        <v>15398239326.301329</v>
      </c>
      <c r="CZ39">
        <v>0.36815873309969904</v>
      </c>
      <c r="DA39">
        <v>0.12408428540640101</v>
      </c>
      <c r="DB39">
        <v>59165690288.298828</v>
      </c>
      <c r="DC39">
        <v>0.34975079644471407</v>
      </c>
      <c r="DD39">
        <v>4.3865846517691202E-2</v>
      </c>
      <c r="DE39">
        <v>167363290186.11649</v>
      </c>
      <c r="DF39">
        <v>0.32397968512773517</v>
      </c>
      <c r="DG39">
        <v>1.7474785694078006E-2</v>
      </c>
      <c r="DH39">
        <v>420121455480.164</v>
      </c>
      <c r="DI39">
        <v>0.29452698647975922</v>
      </c>
      <c r="DJ39">
        <v>3.2698887157795666E-3</v>
      </c>
      <c r="DK39">
        <v>2245193350028.0366</v>
      </c>
      <c r="DL39">
        <v>0.25771111316978934</v>
      </c>
      <c r="DM39">
        <v>11930000000</v>
      </c>
      <c r="DN39">
        <v>0.36815873309969904</v>
      </c>
      <c r="DO39">
        <v>7341532400</v>
      </c>
      <c r="DP39">
        <v>-8302441300</v>
      </c>
      <c r="DQ39">
        <v>3623</v>
      </c>
      <c r="DR39">
        <v>-0.97821972407706681</v>
      </c>
      <c r="DS39">
        <v>-3.6974340731266739</v>
      </c>
      <c r="DT39" s="9">
        <v>0.16</v>
      </c>
      <c r="DU39">
        <v>-1.2033333333333334</v>
      </c>
      <c r="DV39">
        <v>-1.0433333333333334</v>
      </c>
      <c r="DW39">
        <v>6.2053941908713695</v>
      </c>
      <c r="DX39">
        <v>0.36208014851929116</v>
      </c>
      <c r="DY39">
        <v>6.0456139724137135</v>
      </c>
      <c r="DZ39">
        <v>4191</v>
      </c>
      <c r="EA39">
        <v>6.0082033739037577</v>
      </c>
      <c r="EB39">
        <v>6</v>
      </c>
      <c r="EC39">
        <v>5.8417225308947794E-2</v>
      </c>
      <c r="ED39">
        <v>0.26304570167906244</v>
      </c>
      <c r="EE39" s="10">
        <v>-1.0901000000000001</v>
      </c>
      <c r="EF39">
        <v>-1.0784</v>
      </c>
      <c r="EG39">
        <v>14.222080148519291</v>
      </c>
      <c r="EH39" t="s">
        <v>534</v>
      </c>
      <c r="EI39">
        <v>0</v>
      </c>
      <c r="EJ39">
        <v>0</v>
      </c>
      <c r="EK39" s="12">
        <v>45470</v>
      </c>
      <c r="EL39" s="13">
        <v>0.78</v>
      </c>
      <c r="EM39" s="13">
        <v>-4.6500000000000004</v>
      </c>
      <c r="EN39" s="13">
        <v>2.44</v>
      </c>
      <c r="EO39" s="13">
        <v>1.98</v>
      </c>
      <c r="EP39" s="13">
        <v>-1.17</v>
      </c>
    </row>
    <row r="40" spans="1:146" ht="96">
      <c r="C40" s="6" t="str">
        <f>""&amp;CHAR(10)&amp;Basic_Fundamental_Information_Constructure(F40)&amp;CHAR(10)&amp;Basic_Fundamental_Information_Concatenate("")</f>
        <v xml:space="preserve">
市值46.16亿, 利润6.27亿; PE23.59; 平均PE19.81; 平均PEG.15, PB1.5; ROIC8.0467%; ROE7.015%; 股利率2.0277%; 毛利42.1133%; 净利28.9233%; 上一年度营收增655.72%, 利润增213.5%; 当季营收增-79.27%, 利润增-71.61%; 过往5年营收增132.47%, 利润增83.03%
Income profile:
</v>
      </c>
      <c r="D40" t="s">
        <v>626</v>
      </c>
      <c r="E40" t="s">
        <v>627</v>
      </c>
      <c r="F40">
        <v>5.77</v>
      </c>
      <c r="G40">
        <v>1.05</v>
      </c>
      <c r="H40" t="s">
        <v>1807</v>
      </c>
      <c r="I40">
        <v>4616000000</v>
      </c>
      <c r="J40">
        <v>23.59</v>
      </c>
      <c r="K40">
        <v>1.5</v>
      </c>
      <c r="L40" t="s">
        <v>37</v>
      </c>
      <c r="M40" t="s">
        <v>1808</v>
      </c>
      <c r="N40" t="s">
        <v>1809</v>
      </c>
      <c r="O40" t="s">
        <v>1810</v>
      </c>
      <c r="P40" s="5">
        <v>66.400000000000006</v>
      </c>
      <c r="Q40" t="s">
        <v>1811</v>
      </c>
      <c r="R40">
        <v>40320781</v>
      </c>
      <c r="S40">
        <v>0.28889999999999999</v>
      </c>
      <c r="T40" t="s">
        <v>1812</v>
      </c>
      <c r="U40">
        <v>367326470</v>
      </c>
      <c r="V40">
        <v>800000000</v>
      </c>
      <c r="W40">
        <v>1.64</v>
      </c>
      <c r="X40">
        <v>0.04</v>
      </c>
      <c r="Y40">
        <v>28.3</v>
      </c>
      <c r="Z40" t="s">
        <v>1813</v>
      </c>
      <c r="AA40" t="s">
        <v>215</v>
      </c>
      <c r="AB40" t="s">
        <v>1814</v>
      </c>
      <c r="AC40" t="s">
        <v>1815</v>
      </c>
      <c r="AD40" t="s">
        <v>73</v>
      </c>
      <c r="AE40">
        <v>-708344</v>
      </c>
      <c r="AF40" t="s">
        <v>1816</v>
      </c>
      <c r="AG40" t="s">
        <v>1817</v>
      </c>
      <c r="AH40" t="s">
        <v>1818</v>
      </c>
      <c r="AI40" t="s">
        <v>558</v>
      </c>
      <c r="AJ40" t="s">
        <v>1819</v>
      </c>
      <c r="AK40" t="s">
        <v>1820</v>
      </c>
      <c r="AL40" t="s">
        <v>1821</v>
      </c>
      <c r="AM40" t="s">
        <v>73</v>
      </c>
      <c r="AN40" t="s">
        <v>1822</v>
      </c>
      <c r="AO40" t="s">
        <v>1823</v>
      </c>
      <c r="AP40" t="s">
        <v>1824</v>
      </c>
      <c r="AQ40" t="s">
        <v>507</v>
      </c>
      <c r="AR40" t="s">
        <v>1825</v>
      </c>
      <c r="AS40" t="s">
        <v>1826</v>
      </c>
      <c r="AT40" t="s">
        <v>1827</v>
      </c>
      <c r="AU40" t="s">
        <v>470</v>
      </c>
      <c r="AV40" t="s">
        <v>1828</v>
      </c>
      <c r="AW40" t="s">
        <v>1829</v>
      </c>
      <c r="AX40" t="s">
        <v>227</v>
      </c>
      <c r="AY40" t="s">
        <v>99</v>
      </c>
      <c r="AZ40" t="s">
        <v>628</v>
      </c>
      <c r="BA40" t="s">
        <v>402</v>
      </c>
      <c r="BB40" t="s">
        <v>629</v>
      </c>
      <c r="BC40" t="s">
        <v>457</v>
      </c>
      <c r="BD40" t="s">
        <v>501</v>
      </c>
      <c r="BE40" t="s">
        <v>630</v>
      </c>
      <c r="BF40" t="s">
        <v>483</v>
      </c>
      <c r="BG40" t="s">
        <v>631</v>
      </c>
      <c r="BH40" t="s">
        <v>1830</v>
      </c>
      <c r="BI40" t="s">
        <v>202</v>
      </c>
      <c r="BJ40" t="s">
        <v>227</v>
      </c>
      <c r="BK40" t="s">
        <v>473</v>
      </c>
      <c r="BL40" t="s">
        <v>150</v>
      </c>
      <c r="BM40" t="s">
        <v>457</v>
      </c>
      <c r="BN40">
        <v>4.42</v>
      </c>
      <c r="BO40">
        <v>7.37</v>
      </c>
      <c r="BP40">
        <v>12.35</v>
      </c>
      <c r="BQ40">
        <v>4.05</v>
      </c>
      <c r="BR40">
        <v>9.98</v>
      </c>
      <c r="BS40" t="s">
        <v>73</v>
      </c>
      <c r="BT40" t="s">
        <v>1831</v>
      </c>
      <c r="BU40" t="s">
        <v>462</v>
      </c>
      <c r="BV40">
        <v>37.090000000000003</v>
      </c>
      <c r="BW40">
        <v>37.97</v>
      </c>
      <c r="BX40">
        <v>51.28</v>
      </c>
      <c r="BY40">
        <v>26.98</v>
      </c>
      <c r="BZ40">
        <v>29.81</v>
      </c>
      <c r="CA40">
        <v>29.98</v>
      </c>
      <c r="CB40">
        <v>1.41</v>
      </c>
      <c r="CC40" s="7">
        <v>-9.18</v>
      </c>
      <c r="CD40" s="8" t="s">
        <v>1832</v>
      </c>
      <c r="CE40" s="7" t="s">
        <v>1833</v>
      </c>
      <c r="CF40" s="7">
        <v>-0.79269328802039085</v>
      </c>
      <c r="CG40" s="7">
        <v>-0.71605083802816905</v>
      </c>
      <c r="CH40" s="7">
        <v>6.557161808013916</v>
      </c>
      <c r="CI40" s="7">
        <v>-0.17102396488189697</v>
      </c>
      <c r="CJ40" s="8">
        <v>0.33430233597755432</v>
      </c>
      <c r="CK40" s="8">
        <v>0.16216215491294861</v>
      </c>
      <c r="CL40" s="8">
        <v>-0.25907385349273682</v>
      </c>
      <c r="CM40" s="8">
        <v>2.1349999904632568</v>
      </c>
      <c r="CN40" s="8">
        <v>-0.19678714871406555</v>
      </c>
      <c r="CO40">
        <v>0.60645163059234619</v>
      </c>
      <c r="CP40">
        <v>0.33620688319206238</v>
      </c>
      <c r="CQ40">
        <v>1.2707164287567139</v>
      </c>
      <c r="CR40" s="7">
        <v>19.809951496518238</v>
      </c>
      <c r="CS40" s="8">
        <v>0.14954228365402705</v>
      </c>
      <c r="CT40">
        <v>2.0277296360485271</v>
      </c>
      <c r="CU40">
        <v>1.3247056961059571</v>
      </c>
      <c r="CV40">
        <v>0.83031755685806274</v>
      </c>
      <c r="CW40">
        <v>0.06</v>
      </c>
      <c r="CX40">
        <v>2.3489451029233308</v>
      </c>
      <c r="CY40">
        <v>1375085350.4324861</v>
      </c>
      <c r="CZ40">
        <v>1.3247056961059571</v>
      </c>
      <c r="DA40">
        <v>0.31522323057747204</v>
      </c>
      <c r="DB40">
        <v>10246706735.676853</v>
      </c>
      <c r="DC40">
        <v>1.2584704113006593</v>
      </c>
      <c r="DD40">
        <v>3.6659745251732968E-2</v>
      </c>
      <c r="DE40">
        <v>88107540786.779282</v>
      </c>
      <c r="DF40">
        <v>1.1657410125732424</v>
      </c>
      <c r="DG40">
        <v>3.2618512790510024E-3</v>
      </c>
      <c r="DH40">
        <v>990235214200.11865</v>
      </c>
      <c r="DI40">
        <v>1.0597645568847658</v>
      </c>
      <c r="DJ40">
        <v>1.4870107614749158E-5</v>
      </c>
      <c r="DK40">
        <v>217214298892919.41</v>
      </c>
      <c r="DL40">
        <v>0.9272939872741699</v>
      </c>
      <c r="DM40">
        <v>627000000</v>
      </c>
      <c r="DN40">
        <v>1.3247056961059571</v>
      </c>
      <c r="DO40">
        <v>3230000000.0000005</v>
      </c>
      <c r="DP40">
        <v>1057930199.9999999</v>
      </c>
      <c r="DQ40" s="9">
        <v>3666</v>
      </c>
      <c r="DR40">
        <v>-2.1173989841263481</v>
      </c>
      <c r="DS40">
        <v>-1.5463683948862319</v>
      </c>
      <c r="DT40">
        <v>-0.14000000000000004</v>
      </c>
      <c r="DU40">
        <v>0.29333333333333339</v>
      </c>
      <c r="DV40">
        <v>0.15333333333333335</v>
      </c>
      <c r="DW40">
        <v>-2.0918000000000001</v>
      </c>
      <c r="DX40">
        <v>0.2839528985507252</v>
      </c>
      <c r="DY40">
        <v>-2.0086248760869565</v>
      </c>
      <c r="DZ40">
        <v>3350</v>
      </c>
      <c r="EA40">
        <v>-2.0029706031140986</v>
      </c>
      <c r="EB40" s="10">
        <v>2</v>
      </c>
      <c r="EC40" s="10">
        <v>1.6206874999999999E-2</v>
      </c>
      <c r="ED40">
        <v>0.17249999999999999</v>
      </c>
      <c r="EE40">
        <v>7.1209999999999996E-2</v>
      </c>
      <c r="EF40">
        <v>8.2110000000000002E-2</v>
      </c>
      <c r="EG40">
        <v>19.093952898550725</v>
      </c>
      <c r="EH40" s="12">
        <v>-1</v>
      </c>
      <c r="EI40">
        <v>0</v>
      </c>
      <c r="EJ40">
        <v>0</v>
      </c>
      <c r="EK40">
        <v>45470</v>
      </c>
      <c r="EL40">
        <v>-0.64</v>
      </c>
      <c r="EM40">
        <v>-3.21</v>
      </c>
      <c r="EN40" s="13">
        <v>2.65</v>
      </c>
      <c r="EO40" s="13">
        <v>-0.86</v>
      </c>
      <c r="EP40" s="13">
        <v>-1.0900000000000001</v>
      </c>
    </row>
    <row r="41" spans="1:146" ht="96">
      <c r="C41" s="6" t="str">
        <f>""&amp;CHAR(10)&amp;Basic_Fundamental_Information_Constructure(F41)&amp;CHAR(10)&amp;Basic_Fundamental_Information_Concatenate("")</f>
        <v xml:space="preserve">
市值73.174487亿, 利润127.51亿; PE20.51; 平均PE2.73; 平均PEG.68, PB1.21; ROIC4.57%; ROE7.28%; 股利率0%; 毛利2.4367%; 净利.71%; 上一年度营收增-45.7%, 利润增4193.27%; 当季营收增19.55%, 利润增-99.96%; 过往5年营收增4%, 利润增850.2%
Income profile:
</v>
      </c>
      <c r="D41" t="s">
        <v>285</v>
      </c>
      <c r="E41" t="s">
        <v>286</v>
      </c>
      <c r="F41">
        <v>5.12</v>
      </c>
      <c r="G41">
        <v>0.99</v>
      </c>
      <c r="H41" t="s">
        <v>1834</v>
      </c>
      <c r="I41">
        <v>7317448700</v>
      </c>
      <c r="J41">
        <v>20.51</v>
      </c>
      <c r="K41">
        <v>1.21</v>
      </c>
      <c r="L41" t="s">
        <v>37</v>
      </c>
      <c r="M41" t="s">
        <v>1835</v>
      </c>
      <c r="N41" t="s">
        <v>1836</v>
      </c>
      <c r="O41" t="s">
        <v>1837</v>
      </c>
      <c r="P41">
        <v>-25.2</v>
      </c>
      <c r="Q41" t="s">
        <v>1838</v>
      </c>
      <c r="R41">
        <v>1356189</v>
      </c>
      <c r="S41" s="5">
        <v>-0.99370000000000003</v>
      </c>
      <c r="T41" t="s">
        <v>1839</v>
      </c>
      <c r="U41">
        <v>1428989200</v>
      </c>
      <c r="V41">
        <v>1429189200</v>
      </c>
      <c r="W41">
        <v>2.44</v>
      </c>
      <c r="X41">
        <v>0.61</v>
      </c>
      <c r="Y41">
        <v>0.03</v>
      </c>
      <c r="Z41" t="s">
        <v>1840</v>
      </c>
      <c r="AA41" t="s">
        <v>1841</v>
      </c>
      <c r="AB41" t="s">
        <v>1842</v>
      </c>
      <c r="AC41" t="s">
        <v>1843</v>
      </c>
      <c r="AD41" t="s">
        <v>73</v>
      </c>
      <c r="AE41">
        <v>28193246</v>
      </c>
      <c r="AF41" t="s">
        <v>1844</v>
      </c>
      <c r="AG41" t="s">
        <v>1845</v>
      </c>
      <c r="AH41" t="s">
        <v>1846</v>
      </c>
      <c r="AI41" t="s">
        <v>1847</v>
      </c>
      <c r="AJ41" t="s">
        <v>1848</v>
      </c>
      <c r="AK41" t="s">
        <v>1849</v>
      </c>
      <c r="AL41" t="s">
        <v>1850</v>
      </c>
      <c r="AM41" t="s">
        <v>73</v>
      </c>
      <c r="AN41" t="s">
        <v>1156</v>
      </c>
      <c r="AO41" t="s">
        <v>1851</v>
      </c>
      <c r="AP41" t="s">
        <v>1852</v>
      </c>
      <c r="AQ41" t="s">
        <v>1853</v>
      </c>
      <c r="AR41" t="s">
        <v>1854</v>
      </c>
      <c r="AS41" t="s">
        <v>1855</v>
      </c>
      <c r="AT41" t="s">
        <v>1812</v>
      </c>
      <c r="AU41" t="s">
        <v>1856</v>
      </c>
      <c r="AV41" t="s">
        <v>148</v>
      </c>
      <c r="AW41" t="s">
        <v>1857</v>
      </c>
      <c r="AX41" t="s">
        <v>632</v>
      </c>
      <c r="AY41" t="s">
        <v>440</v>
      </c>
      <c r="AZ41" t="s">
        <v>287</v>
      </c>
      <c r="BA41" t="s">
        <v>289</v>
      </c>
      <c r="BB41" t="s">
        <v>290</v>
      </c>
      <c r="BC41" t="s">
        <v>633</v>
      </c>
      <c r="BD41" t="s">
        <v>441</v>
      </c>
      <c r="BE41" t="s">
        <v>288</v>
      </c>
      <c r="BF41" t="s">
        <v>291</v>
      </c>
      <c r="BG41" t="s">
        <v>151</v>
      </c>
      <c r="BH41" t="s">
        <v>1858</v>
      </c>
      <c r="BI41" t="s">
        <v>959</v>
      </c>
      <c r="BJ41" t="s">
        <v>632</v>
      </c>
      <c r="BK41" t="s">
        <v>1859</v>
      </c>
      <c r="BL41" t="s">
        <v>1860</v>
      </c>
      <c r="BM41" t="s">
        <v>633</v>
      </c>
      <c r="BN41">
        <v>4.22</v>
      </c>
      <c r="BO41">
        <v>2.65</v>
      </c>
      <c r="BP41">
        <v>6.84</v>
      </c>
      <c r="BQ41">
        <v>6.83</v>
      </c>
      <c r="BR41">
        <v>4.75</v>
      </c>
      <c r="BS41">
        <v>10.26</v>
      </c>
      <c r="BT41" t="s">
        <v>476</v>
      </c>
      <c r="BU41" t="s">
        <v>464</v>
      </c>
      <c r="BV41">
        <v>2.85</v>
      </c>
      <c r="BW41">
        <v>1.93</v>
      </c>
      <c r="BX41">
        <v>2.5299999999999998</v>
      </c>
      <c r="BY41">
        <v>0.94</v>
      </c>
      <c r="BZ41">
        <v>0.32</v>
      </c>
      <c r="CA41">
        <v>0.87</v>
      </c>
      <c r="CB41">
        <v>1.79</v>
      </c>
      <c r="CC41">
        <v>-8.73</v>
      </c>
      <c r="CD41" t="s">
        <v>1861</v>
      </c>
      <c r="CE41" t="s">
        <v>1862</v>
      </c>
      <c r="CF41" s="7">
        <v>0.19548537751584566</v>
      </c>
      <c r="CG41" s="8">
        <v>-0.99958206810477657</v>
      </c>
      <c r="CH41" s="7">
        <v>-0.45697739720344543</v>
      </c>
      <c r="CI41" s="7">
        <v>7.3878816328942776E-3</v>
      </c>
      <c r="CJ41" s="7">
        <v>0.3809867799282074</v>
      </c>
      <c r="CK41" s="7">
        <v>8.2012996077537537E-2</v>
      </c>
      <c r="CL41" s="7">
        <v>0.18681877851486206</v>
      </c>
      <c r="CM41" s="8">
        <v>41.932659149169922</v>
      </c>
      <c r="CN41" s="8">
        <v>-0.51628667116165161</v>
      </c>
      <c r="CO41" s="8">
        <v>-0.46281719207763672</v>
      </c>
      <c r="CP41" s="8">
        <v>0.32138735055923462</v>
      </c>
      <c r="CQ41" s="8">
        <v>1.2351421117782593</v>
      </c>
      <c r="CR41">
        <v>2.7343023105187769</v>
      </c>
      <c r="CS41">
        <v>0.68279364593085023</v>
      </c>
      <c r="CT41">
        <v>0</v>
      </c>
      <c r="CU41" s="7">
        <v>4.004580779001117E-2</v>
      </c>
      <c r="CV41" s="8">
        <v>8.5020169496536262</v>
      </c>
      <c r="CW41">
        <v>0.06</v>
      </c>
      <c r="CX41">
        <v>0.80325121158512447</v>
      </c>
      <c r="CY41">
        <v>12510966127.481541</v>
      </c>
      <c r="CZ41">
        <v>4.004580779001117E-2</v>
      </c>
      <c r="DA41">
        <v>0.27390119375160488</v>
      </c>
      <c r="DB41">
        <v>36690050752.804054</v>
      </c>
      <c r="DC41">
        <v>3.804351740051061E-2</v>
      </c>
      <c r="DD41">
        <v>0.14256713258543732</v>
      </c>
      <c r="DE41">
        <v>70489239123.734131</v>
      </c>
      <c r="DF41">
        <v>3.524031085520983E-2</v>
      </c>
      <c r="DG41">
        <v>9.1028508076917133E-2</v>
      </c>
      <c r="DH41">
        <v>110398916914.12137</v>
      </c>
      <c r="DI41">
        <v>3.2036646232008935E-2</v>
      </c>
      <c r="DJ41">
        <v>5.3513099809379079E-2</v>
      </c>
      <c r="DK41">
        <v>187794180038.11215</v>
      </c>
      <c r="DL41">
        <v>2.8032065453007817E-2</v>
      </c>
      <c r="DM41">
        <v>12751000000</v>
      </c>
      <c r="DN41">
        <v>4.004580779001117E-2</v>
      </c>
      <c r="DO41">
        <v>10049448700</v>
      </c>
      <c r="DP41">
        <v>3385280600</v>
      </c>
      <c r="DQ41">
        <v>3765</v>
      </c>
      <c r="DR41">
        <v>0.1554395697258345</v>
      </c>
      <c r="DS41">
        <v>-9.5015990177584033</v>
      </c>
      <c r="DT41" s="9">
        <v>-0.37333333333333335</v>
      </c>
      <c r="DU41">
        <v>-0.10666666666666673</v>
      </c>
      <c r="DV41">
        <v>-0.48000000000000009</v>
      </c>
      <c r="DW41">
        <v>-2.0872999999999999</v>
      </c>
      <c r="DX41">
        <v>0.36921565144324903</v>
      </c>
      <c r="DY41">
        <v>-2.0147725263709959</v>
      </c>
      <c r="DZ41">
        <v>3356</v>
      </c>
      <c r="EA41">
        <v>-2.005070647995054</v>
      </c>
      <c r="EB41">
        <v>2</v>
      </c>
      <c r="EC41">
        <v>8.3981183177146874E-3</v>
      </c>
      <c r="ED41">
        <v>4.9629678141984282E-2</v>
      </c>
      <c r="EE41" s="10">
        <v>-1.0125999999999999</v>
      </c>
      <c r="EF41">
        <v>-1.0155099999999999</v>
      </c>
      <c r="EG41">
        <v>20.169215651443249</v>
      </c>
      <c r="EH41" t="s">
        <v>935</v>
      </c>
      <c r="EI41">
        <v>0</v>
      </c>
      <c r="EJ41">
        <v>0</v>
      </c>
      <c r="EK41" s="12">
        <v>45470</v>
      </c>
      <c r="EL41" s="13">
        <v>-0.28999999999999998</v>
      </c>
      <c r="EM41" s="13">
        <v>-2.0099999999999998</v>
      </c>
      <c r="EN41" s="13">
        <v>1.17</v>
      </c>
      <c r="EO41" s="13">
        <v>2.89</v>
      </c>
      <c r="EP41" s="13">
        <v>-2.81</v>
      </c>
    </row>
    <row r="42" spans="1:146" ht="96">
      <c r="C42" s="6" t="str">
        <f>""&amp;CHAR(10)&amp;Basic_Fundamental_Information_Constructure(F42)&amp;CHAR(10)&amp;Basic_Fundamental_Information_Concatenate("")</f>
        <v xml:space="preserve">
市值126.733919亿, 利润15.57亿; PE17.82; 平均PE28.35; 平均PEG1.21, PB1.88; ROIC8.88%; ROE12.1567%; 股利率1.6077%; 毛利36.2067%; 净利17.0633%; 上一年度营收增28.3%, 利润增153.17%; 当季营收增-31.4%, 利润增-39.05%; 过往5年营收增23.35%, 利润增153.32%
Income profile:
</v>
      </c>
      <c r="D42" t="s">
        <v>364</v>
      </c>
      <c r="E42" t="s">
        <v>365</v>
      </c>
      <c r="F42">
        <v>6.22</v>
      </c>
      <c r="G42">
        <v>1.63</v>
      </c>
      <c r="H42" t="s">
        <v>1863</v>
      </c>
      <c r="I42">
        <v>12673391900</v>
      </c>
      <c r="J42">
        <v>17.82</v>
      </c>
      <c r="K42">
        <v>1.88</v>
      </c>
      <c r="L42" t="s">
        <v>37</v>
      </c>
      <c r="M42" t="s">
        <v>1864</v>
      </c>
      <c r="N42" t="s">
        <v>1865</v>
      </c>
      <c r="O42" t="s">
        <v>1866</v>
      </c>
      <c r="P42">
        <v>-9.25</v>
      </c>
      <c r="Q42" t="s">
        <v>1867</v>
      </c>
      <c r="R42">
        <v>247449960</v>
      </c>
      <c r="S42" s="5">
        <v>0.53210000000000002</v>
      </c>
      <c r="T42" t="s">
        <v>1868</v>
      </c>
      <c r="U42">
        <v>2026557200</v>
      </c>
      <c r="V42">
        <v>2037522800</v>
      </c>
      <c r="W42">
        <v>1.64</v>
      </c>
      <c r="X42">
        <v>0.09</v>
      </c>
      <c r="Y42">
        <v>22.27</v>
      </c>
      <c r="Z42" t="s">
        <v>1869</v>
      </c>
      <c r="AA42" t="s">
        <v>761</v>
      </c>
      <c r="AB42" t="s">
        <v>1870</v>
      </c>
      <c r="AC42" t="s">
        <v>1871</v>
      </c>
      <c r="AD42" t="s">
        <v>73</v>
      </c>
      <c r="AE42">
        <v>19225900</v>
      </c>
      <c r="AF42" t="s">
        <v>1872</v>
      </c>
      <c r="AG42" t="s">
        <v>1873</v>
      </c>
      <c r="AH42" t="s">
        <v>1874</v>
      </c>
      <c r="AI42" t="s">
        <v>1875</v>
      </c>
      <c r="AJ42" t="s">
        <v>1876</v>
      </c>
      <c r="AK42" t="s">
        <v>101</v>
      </c>
      <c r="AL42" t="s">
        <v>1877</v>
      </c>
      <c r="AM42" t="s">
        <v>73</v>
      </c>
      <c r="AN42" t="s">
        <v>568</v>
      </c>
      <c r="AO42" t="s">
        <v>1878</v>
      </c>
      <c r="AP42" t="s">
        <v>73</v>
      </c>
      <c r="AQ42" t="s">
        <v>105</v>
      </c>
      <c r="AR42" t="s">
        <v>1879</v>
      </c>
      <c r="AS42" t="s">
        <v>995</v>
      </c>
      <c r="AT42" t="s">
        <v>203</v>
      </c>
      <c r="AU42" t="s">
        <v>1880</v>
      </c>
      <c r="AV42" t="s">
        <v>1680</v>
      </c>
      <c r="AW42" t="s">
        <v>1881</v>
      </c>
      <c r="AX42" t="s">
        <v>635</v>
      </c>
      <c r="AY42" t="s">
        <v>442</v>
      </c>
      <c r="AZ42" t="s">
        <v>366</v>
      </c>
      <c r="BA42" t="s">
        <v>369</v>
      </c>
      <c r="BB42" t="s">
        <v>370</v>
      </c>
      <c r="BC42" t="s">
        <v>636</v>
      </c>
      <c r="BD42" t="s">
        <v>226</v>
      </c>
      <c r="BE42" t="s">
        <v>367</v>
      </c>
      <c r="BF42" t="s">
        <v>295</v>
      </c>
      <c r="BG42" t="s">
        <v>371</v>
      </c>
      <c r="BH42" t="s">
        <v>1882</v>
      </c>
      <c r="BI42" t="s">
        <v>1883</v>
      </c>
      <c r="BJ42" t="s">
        <v>635</v>
      </c>
      <c r="BK42" t="s">
        <v>1685</v>
      </c>
      <c r="BL42" t="s">
        <v>230</v>
      </c>
      <c r="BM42" t="s">
        <v>636</v>
      </c>
      <c r="BN42">
        <v>6.02</v>
      </c>
      <c r="BO42">
        <v>7.88</v>
      </c>
      <c r="BP42">
        <v>12.74</v>
      </c>
      <c r="BQ42">
        <v>7.42</v>
      </c>
      <c r="BR42">
        <v>10.32</v>
      </c>
      <c r="BS42">
        <v>18.73</v>
      </c>
      <c r="BT42" t="s">
        <v>478</v>
      </c>
      <c r="BU42" t="s">
        <v>462</v>
      </c>
      <c r="BV42">
        <v>31.47</v>
      </c>
      <c r="BW42">
        <v>28.62</v>
      </c>
      <c r="BX42">
        <v>48.53</v>
      </c>
      <c r="BY42">
        <v>13.37</v>
      </c>
      <c r="BZ42">
        <v>14.48</v>
      </c>
      <c r="CA42">
        <v>23.34</v>
      </c>
      <c r="CB42">
        <v>-1.89</v>
      </c>
      <c r="CC42">
        <v>-11.02</v>
      </c>
      <c r="CD42" t="s">
        <v>1884</v>
      </c>
      <c r="CE42" t="s">
        <v>1810</v>
      </c>
      <c r="CF42" s="7">
        <v>-0.31396786155747836</v>
      </c>
      <c r="CG42" s="8">
        <v>-0.39051733990147774</v>
      </c>
      <c r="CH42" s="7">
        <v>0.28302279114723206</v>
      </c>
      <c r="CI42" s="7">
        <v>0.17261472344398499</v>
      </c>
      <c r="CJ42" s="7">
        <v>0.49023157358169556</v>
      </c>
      <c r="CK42" s="7">
        <v>-0.25658959150314331</v>
      </c>
      <c r="CL42" s="7">
        <v>0.47833004593849182</v>
      </c>
      <c r="CM42" s="8">
        <v>1.5317071676254272</v>
      </c>
      <c r="CN42" s="8">
        <v>-0.29633867740631104</v>
      </c>
      <c r="CO42" s="8">
        <v>5.1118879318237305</v>
      </c>
      <c r="CP42" s="8">
        <v>0.1171875</v>
      </c>
      <c r="CQ42" s="8">
        <v>1.2015748023986816</v>
      </c>
      <c r="CR42">
        <v>28.352107158836688</v>
      </c>
      <c r="CS42">
        <v>1.2141090888783941</v>
      </c>
      <c r="CT42">
        <v>1.6077170418006432</v>
      </c>
      <c r="CU42" s="7">
        <v>0.23352190852165222</v>
      </c>
      <c r="CV42" s="8">
        <v>1.5332037448883056</v>
      </c>
      <c r="CW42">
        <v>0.06</v>
      </c>
      <c r="CX42">
        <v>5.5116164868197259</v>
      </c>
      <c r="CY42">
        <v>1811880765.630389</v>
      </c>
      <c r="CZ42">
        <v>0.23352190852165222</v>
      </c>
      <c r="DA42">
        <v>1.59830503580377</v>
      </c>
      <c r="DB42">
        <v>6248113893.3394861</v>
      </c>
      <c r="DC42">
        <v>0.22184581309556961</v>
      </c>
      <c r="DD42">
        <v>0.66531845133677192</v>
      </c>
      <c r="DE42">
        <v>15009942802.480721</v>
      </c>
      <c r="DF42">
        <v>0.20549927949905394</v>
      </c>
      <c r="DG42">
        <v>0.32700449303377405</v>
      </c>
      <c r="DH42">
        <v>30539005159.689274</v>
      </c>
      <c r="DI42">
        <v>0.18681752681732178</v>
      </c>
      <c r="DJ42">
        <v>0.10482976794888635</v>
      </c>
      <c r="DK42">
        <v>95262940054.10025</v>
      </c>
      <c r="DL42">
        <v>0.16346533596515656</v>
      </c>
      <c r="DM42">
        <v>1557000000</v>
      </c>
      <c r="DN42">
        <v>0.23352190852165222</v>
      </c>
      <c r="DO42">
        <v>9986391900</v>
      </c>
      <c r="DP42">
        <v>1325290500</v>
      </c>
      <c r="DQ42">
        <v>3831</v>
      </c>
      <c r="DR42">
        <v>-0.54748977007913058</v>
      </c>
      <c r="DS42">
        <v>-1.9237210847897832</v>
      </c>
      <c r="DT42" s="9">
        <v>-6.6666666666666714E-3</v>
      </c>
      <c r="DU42">
        <v>0.58166666666666678</v>
      </c>
      <c r="DV42">
        <v>0.57500000000000007</v>
      </c>
      <c r="DW42">
        <v>-2.1101999999999999</v>
      </c>
      <c r="DX42">
        <v>0.32722254098360765</v>
      </c>
      <c r="DY42">
        <v>-2.0151219240163933</v>
      </c>
      <c r="DZ42">
        <v>476</v>
      </c>
      <c r="EA42">
        <v>-2.013713306436784</v>
      </c>
      <c r="EB42">
        <v>2</v>
      </c>
      <c r="EC42">
        <v>1.6432846788266616E-2</v>
      </c>
      <c r="ED42">
        <v>0.11975326116596094</v>
      </c>
      <c r="EE42" s="10">
        <v>-1.0577099999999999</v>
      </c>
      <c r="EF42">
        <v>-1.0847100000000001</v>
      </c>
      <c r="EG42">
        <v>19.137222540983608</v>
      </c>
      <c r="EH42" t="s">
        <v>935</v>
      </c>
      <c r="EI42">
        <v>0</v>
      </c>
      <c r="EJ42">
        <v>1</v>
      </c>
      <c r="EK42" s="12">
        <v>45470</v>
      </c>
      <c r="EL42" s="13">
        <v>0.41</v>
      </c>
      <c r="EM42" s="13">
        <v>-3.43</v>
      </c>
      <c r="EN42" s="13">
        <v>-0.42</v>
      </c>
      <c r="EO42" s="13">
        <v>1.05</v>
      </c>
      <c r="EP42" s="13">
        <v>-2.7</v>
      </c>
    </row>
    <row r="43" spans="1:146" ht="96">
      <c r="C43" s="6" t="str">
        <f>""&amp;CHAR(10)&amp;Basic_Fundamental_Information_Constructure(F43)&amp;CHAR(10)&amp;Basic_Fundamental_Information_Concatenate("")</f>
        <v xml:space="preserve">
市值46.51017亿, 利润6387.58万; PE26.13; 平均PE33.01; 平均PEG1.29, PB1.92; ROIC12.4833%; ROE14.3133%; 股利率1.0745%; 毛利18.9867%; 净利9.79%; 上一年度营收增7.36%, 利润增-78.57%; 当季营收增-10.07%, 利润增88.15%; 过往5年营收增25.61%, 利润增29.71%
Income profile:
</v>
      </c>
      <c r="D43" t="s">
        <v>640</v>
      </c>
      <c r="E43" t="s">
        <v>641</v>
      </c>
      <c r="F43">
        <v>13.96</v>
      </c>
      <c r="G43">
        <v>1.1599999999999999</v>
      </c>
      <c r="H43" t="s">
        <v>1885</v>
      </c>
      <c r="I43">
        <v>4651017000</v>
      </c>
      <c r="J43">
        <v>26.13</v>
      </c>
      <c r="K43">
        <v>1.92</v>
      </c>
      <c r="L43" t="s">
        <v>37</v>
      </c>
      <c r="M43" t="s">
        <v>1366</v>
      </c>
      <c r="N43" t="s">
        <v>1886</v>
      </c>
      <c r="O43" t="s">
        <v>1887</v>
      </c>
      <c r="P43" s="5">
        <v>-7.76</v>
      </c>
      <c r="Q43" t="s">
        <v>1888</v>
      </c>
      <c r="R43">
        <v>23735100</v>
      </c>
      <c r="S43">
        <v>-0.7046</v>
      </c>
      <c r="T43" t="s">
        <v>1889</v>
      </c>
      <c r="U43">
        <v>186705870</v>
      </c>
      <c r="V43">
        <v>333167410</v>
      </c>
      <c r="W43">
        <v>2.19</v>
      </c>
      <c r="X43">
        <v>0.1</v>
      </c>
      <c r="Y43">
        <v>4.5</v>
      </c>
      <c r="Z43" t="s">
        <v>1890</v>
      </c>
      <c r="AA43" t="s">
        <v>1891</v>
      </c>
      <c r="AB43" t="s">
        <v>1892</v>
      </c>
      <c r="AC43" t="s">
        <v>1893</v>
      </c>
      <c r="AD43" t="s">
        <v>73</v>
      </c>
      <c r="AE43">
        <v>-5343302</v>
      </c>
      <c r="AF43" t="s">
        <v>1894</v>
      </c>
      <c r="AG43" t="s">
        <v>1895</v>
      </c>
      <c r="AH43" t="s">
        <v>1896</v>
      </c>
      <c r="AI43" t="s">
        <v>1897</v>
      </c>
      <c r="AJ43" t="s">
        <v>1898</v>
      </c>
      <c r="AK43" t="s">
        <v>1001</v>
      </c>
      <c r="AL43" t="s">
        <v>1899</v>
      </c>
      <c r="AM43" t="s">
        <v>73</v>
      </c>
      <c r="AN43" t="s">
        <v>1900</v>
      </c>
      <c r="AO43" t="s">
        <v>1901</v>
      </c>
      <c r="AP43" t="s">
        <v>1228</v>
      </c>
      <c r="AQ43" t="s">
        <v>1902</v>
      </c>
      <c r="AR43" t="s">
        <v>73</v>
      </c>
      <c r="AS43" t="s">
        <v>1903</v>
      </c>
      <c r="AT43" t="s">
        <v>1904</v>
      </c>
      <c r="AU43" t="s">
        <v>552</v>
      </c>
      <c r="AV43" t="s">
        <v>1393</v>
      </c>
      <c r="AW43" t="s">
        <v>1905</v>
      </c>
      <c r="AX43" t="s">
        <v>642</v>
      </c>
      <c r="AY43" t="s">
        <v>644</v>
      </c>
      <c r="AZ43" t="s">
        <v>645</v>
      </c>
      <c r="BA43" t="s">
        <v>639</v>
      </c>
      <c r="BB43" t="s">
        <v>465</v>
      </c>
      <c r="BC43" t="s">
        <v>482</v>
      </c>
      <c r="BD43" t="s">
        <v>486</v>
      </c>
      <c r="BE43" t="s">
        <v>367</v>
      </c>
      <c r="BF43" t="s">
        <v>502</v>
      </c>
      <c r="BG43" t="s">
        <v>646</v>
      </c>
      <c r="BH43" t="s">
        <v>1906</v>
      </c>
      <c r="BI43" t="s">
        <v>1907</v>
      </c>
      <c r="BJ43" t="s">
        <v>642</v>
      </c>
      <c r="BK43" t="s">
        <v>554</v>
      </c>
      <c r="BL43" t="s">
        <v>1908</v>
      </c>
      <c r="BM43" t="s">
        <v>482</v>
      </c>
      <c r="BN43">
        <v>7.16</v>
      </c>
      <c r="BO43">
        <v>15.12</v>
      </c>
      <c r="BP43">
        <v>15.17</v>
      </c>
      <c r="BQ43">
        <v>9.19</v>
      </c>
      <c r="BR43">
        <v>16.28</v>
      </c>
      <c r="BS43">
        <v>17.47</v>
      </c>
      <c r="BT43" t="s">
        <v>1716</v>
      </c>
      <c r="BU43" t="s">
        <v>463</v>
      </c>
      <c r="BV43">
        <v>17.36</v>
      </c>
      <c r="BW43">
        <v>20.3</v>
      </c>
      <c r="BX43">
        <v>19.3</v>
      </c>
      <c r="BY43">
        <v>8.5399999999999991</v>
      </c>
      <c r="BZ43">
        <v>11.62</v>
      </c>
      <c r="CA43">
        <v>9.2100000000000009</v>
      </c>
      <c r="CB43">
        <v>-4.71</v>
      </c>
      <c r="CC43" s="7">
        <v>-10.86</v>
      </c>
      <c r="CD43" s="8" t="s">
        <v>1909</v>
      </c>
      <c r="CE43" s="7" t="s">
        <v>457</v>
      </c>
      <c r="CF43" s="7">
        <v>-0.10068259385665539</v>
      </c>
      <c r="CG43" s="7">
        <v>0.88152804642166349</v>
      </c>
      <c r="CH43" s="7">
        <v>7.3634147644042969E-2</v>
      </c>
      <c r="CI43" s="7">
        <v>0.30677714943885803</v>
      </c>
      <c r="CJ43" s="8">
        <v>0.49036240577697754</v>
      </c>
      <c r="CK43" s="8">
        <v>0.17057755589485168</v>
      </c>
      <c r="CL43" s="8">
        <v>0.2393735945224762</v>
      </c>
      <c r="CM43" s="8">
        <v>-0.78565162420272827</v>
      </c>
      <c r="CN43" s="8">
        <v>0.67415732145309448</v>
      </c>
      <c r="CO43">
        <v>0.24475523829460144</v>
      </c>
      <c r="CP43">
        <v>0.31192660331726074</v>
      </c>
      <c r="CQ43">
        <v>1.040468692779541</v>
      </c>
      <c r="CR43" s="7">
        <v>33.013451281913561</v>
      </c>
      <c r="CS43" s="8">
        <v>1.2888580711710436</v>
      </c>
      <c r="CT43">
        <v>1.0744985673352434</v>
      </c>
      <c r="CU43">
        <v>0.25614497065544128</v>
      </c>
      <c r="CV43">
        <v>0.29713124632835386</v>
      </c>
      <c r="CW43">
        <v>0.06</v>
      </c>
      <c r="CX43">
        <v>62.328869574488536</v>
      </c>
      <c r="CY43">
        <v>75695532.940181926</v>
      </c>
      <c r="CZ43">
        <v>0.25614497065544128</v>
      </c>
      <c r="DA43">
        <v>17.744302174844453</v>
      </c>
      <c r="DB43">
        <v>265889126.18319738</v>
      </c>
      <c r="DC43">
        <v>0.24333772212266921</v>
      </c>
      <c r="DD43">
        <v>7.1883436584235962</v>
      </c>
      <c r="DE43">
        <v>656342715.95671892</v>
      </c>
      <c r="DF43">
        <v>0.22540757417678833</v>
      </c>
      <c r="DG43">
        <v>3.4144711086848347</v>
      </c>
      <c r="DH43">
        <v>1381770953.6330671</v>
      </c>
      <c r="DI43">
        <v>0.20491597652435303</v>
      </c>
      <c r="DJ43">
        <v>1.0042205296060456</v>
      </c>
      <c r="DK43">
        <v>4698188157.7852945</v>
      </c>
      <c r="DL43">
        <v>0.17930147945880889</v>
      </c>
      <c r="DM43">
        <v>63875800</v>
      </c>
      <c r="DN43">
        <v>0.25614497065544128</v>
      </c>
      <c r="DO43">
        <v>4718017000</v>
      </c>
      <c r="DP43">
        <v>1255973900</v>
      </c>
      <c r="DQ43" s="9">
        <v>3997</v>
      </c>
      <c r="DR43">
        <v>-0.35682756451209668</v>
      </c>
      <c r="DS43">
        <v>0.58439680009330963</v>
      </c>
      <c r="DT43">
        <v>5.9999999999999908E-2</v>
      </c>
      <c r="DU43">
        <v>0.6366666666666666</v>
      </c>
      <c r="DV43">
        <v>0.69666666666666655</v>
      </c>
      <c r="DW43">
        <v>-8.4337016574585633</v>
      </c>
      <c r="DX43">
        <v>0.35813099999999864</v>
      </c>
      <c r="DY43">
        <v>-8.0425595773480669</v>
      </c>
      <c r="DZ43">
        <v>1969</v>
      </c>
      <c r="EA43">
        <v>-8.0261603977397797</v>
      </c>
      <c r="EB43" s="10">
        <v>8</v>
      </c>
      <c r="EC43" s="10">
        <v>5.8907922596630927E-2</v>
      </c>
      <c r="ED43">
        <v>0.60029881073902158</v>
      </c>
      <c r="EE43">
        <v>1.0299</v>
      </c>
      <c r="EF43">
        <v>1.0066999999999999</v>
      </c>
      <c r="EG43">
        <v>26.098130999999999</v>
      </c>
      <c r="EH43" s="12" t="s">
        <v>500</v>
      </c>
      <c r="EI43">
        <v>0</v>
      </c>
      <c r="EJ43">
        <v>0</v>
      </c>
      <c r="EK43">
        <v>45470</v>
      </c>
      <c r="EL43">
        <v>0.52</v>
      </c>
      <c r="EM43">
        <v>-5.21</v>
      </c>
      <c r="EN43" s="13">
        <v>2.93</v>
      </c>
      <c r="EO43" s="13">
        <v>1.97</v>
      </c>
      <c r="EP43" s="13">
        <v>-2.3199999999999998</v>
      </c>
    </row>
    <row r="44" spans="1:146" ht="156">
      <c r="C44" s="6" t="str">
        <f>"公司主营业务为工业用不锈钢管及管件的研发、生产与销售。公司的主要产品包括工业用不锈钢无缝管、工业用不锈钢焊接管、钢制管件和法兰等。"&amp;CHAR(10)&amp;Basic_Fundamental_Information_Constructure(F44)&amp;CHAR(10)&amp;Basic_Fundamental_Information_Concatenate("无缝管 19.00亿 67.12% 67.90% 14.47%
焊管 7.96亿 28.13% 28.54% 14.52%
其他业务 9743.99万 3.44% 2.54% 10.55%
管件 3700.25万 1.31% 1.02% 11.17%")</f>
        <v>公司主营业务为工业用不锈钢管及管件的研发、生产与销售。公司的主要产品包括工业用不锈钢无缝管、工业用不锈钢焊接管、钢制管件和法兰等。
市值36.020504亿, 利润-7008.72万; PE10.38; 平均PE20.49; 平均PEG2, PB1.27; ROIC7.9033%; ROE8.7167%; 股利率8.2555%; 毛利15.0333%; 净利8.0433%; 上一年度营收增-88.06%, 利润增-132.6%; 当季营收增1116.33%, 利润增1233.66%; 过往5年营收增-10.26%, 利润增-20.46%
Income profile:
无缝管 19.00亿 67.12% 67.90% 14.47%
焊管 7.96亿 28.13% 28.54% 14.52%
其他业务 9743.99万 3.44% 2.54% 10.55%
管件 3700.25万 1.31% 1.02% 11.17%</v>
      </c>
      <c r="D44" t="s">
        <v>56</v>
      </c>
      <c r="E44" t="s">
        <v>10</v>
      </c>
      <c r="F44">
        <v>6.42</v>
      </c>
      <c r="G44">
        <v>2.72</v>
      </c>
      <c r="H44" t="s">
        <v>1910</v>
      </c>
      <c r="I44">
        <v>3602050400</v>
      </c>
      <c r="J44">
        <v>10.38</v>
      </c>
      <c r="K44">
        <v>1.27</v>
      </c>
      <c r="L44" t="s">
        <v>37</v>
      </c>
      <c r="M44" t="s">
        <v>1911</v>
      </c>
      <c r="N44" t="s">
        <v>1451</v>
      </c>
      <c r="O44" t="s">
        <v>1912</v>
      </c>
      <c r="P44">
        <v>-15.89</v>
      </c>
      <c r="Q44" t="s">
        <v>647</v>
      </c>
      <c r="R44">
        <v>68028559</v>
      </c>
      <c r="S44" s="5">
        <v>-6.3299999999999995E-2</v>
      </c>
      <c r="T44" t="s">
        <v>1913</v>
      </c>
      <c r="U44">
        <v>561067050</v>
      </c>
      <c r="V44">
        <v>561067050</v>
      </c>
      <c r="W44">
        <v>1.48</v>
      </c>
      <c r="X44">
        <v>0.17</v>
      </c>
      <c r="Y44">
        <v>9.32</v>
      </c>
      <c r="Z44" t="s">
        <v>512</v>
      </c>
      <c r="AA44" t="s">
        <v>570</v>
      </c>
      <c r="AB44" t="s">
        <v>1914</v>
      </c>
      <c r="AC44" t="s">
        <v>1915</v>
      </c>
      <c r="AD44" t="s">
        <v>73</v>
      </c>
      <c r="AE44">
        <v>3246721</v>
      </c>
      <c r="AF44" t="s">
        <v>1916</v>
      </c>
      <c r="AG44" t="s">
        <v>1917</v>
      </c>
      <c r="AH44" t="s">
        <v>1918</v>
      </c>
      <c r="AI44" t="s">
        <v>1919</v>
      </c>
      <c r="AJ44" t="s">
        <v>1920</v>
      </c>
      <c r="AK44" t="s">
        <v>1921</v>
      </c>
      <c r="AL44" t="s">
        <v>1922</v>
      </c>
      <c r="AM44" t="s">
        <v>73</v>
      </c>
      <c r="AN44" t="s">
        <v>1923</v>
      </c>
      <c r="AO44" t="s">
        <v>1924</v>
      </c>
      <c r="AP44" t="s">
        <v>581</v>
      </c>
      <c r="AQ44" t="s">
        <v>475</v>
      </c>
      <c r="AR44" t="s">
        <v>73</v>
      </c>
      <c r="AS44" t="s">
        <v>354</v>
      </c>
      <c r="AT44" t="s">
        <v>1925</v>
      </c>
      <c r="AU44" t="s">
        <v>1926</v>
      </c>
      <c r="AV44" t="s">
        <v>1927</v>
      </c>
      <c r="AW44" t="s">
        <v>1928</v>
      </c>
      <c r="AX44" t="s">
        <v>649</v>
      </c>
      <c r="AY44" t="s">
        <v>443</v>
      </c>
      <c r="AZ44" t="s">
        <v>292</v>
      </c>
      <c r="BA44" t="s">
        <v>120</v>
      </c>
      <c r="BB44" t="s">
        <v>293</v>
      </c>
      <c r="BC44" t="s">
        <v>551</v>
      </c>
      <c r="BD44" t="s">
        <v>424</v>
      </c>
      <c r="BE44" t="s">
        <v>203</v>
      </c>
      <c r="BF44" t="s">
        <v>121</v>
      </c>
      <c r="BG44" t="s">
        <v>133</v>
      </c>
      <c r="BH44" t="s">
        <v>1929</v>
      </c>
      <c r="BI44" t="s">
        <v>1930</v>
      </c>
      <c r="BJ44" t="s">
        <v>649</v>
      </c>
      <c r="BK44" t="s">
        <v>1931</v>
      </c>
      <c r="BL44" t="s">
        <v>1932</v>
      </c>
      <c r="BM44" t="s">
        <v>551</v>
      </c>
      <c r="BN44">
        <v>8.83</v>
      </c>
      <c r="BO44">
        <v>8.1</v>
      </c>
      <c r="BP44">
        <v>6.78</v>
      </c>
      <c r="BQ44">
        <v>10.37</v>
      </c>
      <c r="BR44">
        <v>8.5500000000000007</v>
      </c>
      <c r="BS44">
        <v>7.23</v>
      </c>
      <c r="BT44" t="s">
        <v>1933</v>
      </c>
      <c r="BU44" t="s">
        <v>464</v>
      </c>
      <c r="BV44">
        <v>16.66</v>
      </c>
      <c r="BW44">
        <v>14.3</v>
      </c>
      <c r="BX44">
        <v>14.14</v>
      </c>
      <c r="BY44">
        <v>10</v>
      </c>
      <c r="BZ44">
        <v>7.6</v>
      </c>
      <c r="CA44">
        <v>6.53</v>
      </c>
      <c r="CB44">
        <v>-1.83</v>
      </c>
      <c r="CC44">
        <v>-23.3</v>
      </c>
      <c r="CD44" t="s">
        <v>1934</v>
      </c>
      <c r="CE44" t="s">
        <v>596</v>
      </c>
      <c r="CF44" s="7">
        <v>11.163281220060416</v>
      </c>
      <c r="CG44" s="8">
        <v>12.336581622450339</v>
      </c>
      <c r="CH44" s="7">
        <v>-0.88056540489196777</v>
      </c>
      <c r="CI44" s="7">
        <v>4.8536516726016998E-2</v>
      </c>
      <c r="CJ44" s="7">
        <v>0.12411500513553619</v>
      </c>
      <c r="CK44" s="7">
        <v>3.3132500946521759E-2</v>
      </c>
      <c r="CL44" s="7">
        <v>0.16200000047683716</v>
      </c>
      <c r="CM44" s="8">
        <v>-1.3259869813919067</v>
      </c>
      <c r="CN44" s="8">
        <v>0.22159090638160706</v>
      </c>
      <c r="CO44" s="8">
        <v>-0.20000000298023224</v>
      </c>
      <c r="CP44" s="8">
        <v>-0.30158731341362</v>
      </c>
      <c r="CQ44" s="8">
        <v>0.58291459083557129</v>
      </c>
      <c r="CR44">
        <v>20.487288048832092</v>
      </c>
      <c r="CS44">
        <v>1.9976630181681887</v>
      </c>
      <c r="CT44">
        <v>8.2554517133956384</v>
      </c>
      <c r="CU44" s="7">
        <v>-0.10255627632141114</v>
      </c>
      <c r="CV44" s="8">
        <v>-0.20461376011371613</v>
      </c>
      <c r="CW44">
        <v>0.06</v>
      </c>
      <c r="CX44" t="e">
        <v>#VALUE!</v>
      </c>
      <c r="CY44" t="s">
        <v>456</v>
      </c>
      <c r="CZ44">
        <v>-0.10255627632141114</v>
      </c>
      <c r="DA44" t="e">
        <v>#VALUE!</v>
      </c>
      <c r="DB44" t="s">
        <v>456</v>
      </c>
      <c r="DC44">
        <v>-9.7428462505340568E-2</v>
      </c>
      <c r="DD44" t="e">
        <v>#VALUE!</v>
      </c>
      <c r="DE44" t="s">
        <v>456</v>
      </c>
      <c r="DF44">
        <v>-9.0249523162841794E-2</v>
      </c>
      <c r="DG44" t="e">
        <v>#VALUE!</v>
      </c>
      <c r="DH44" t="s">
        <v>456</v>
      </c>
      <c r="DI44">
        <v>-8.2045021057128908E-2</v>
      </c>
      <c r="DJ44" t="e">
        <v>#VALUE!</v>
      </c>
      <c r="DK44" t="s">
        <v>456</v>
      </c>
      <c r="DL44">
        <v>-7.1789393424987788E-2</v>
      </c>
      <c r="DM44">
        <v>-70087200</v>
      </c>
      <c r="DN44">
        <v>-0.10255627632141114</v>
      </c>
      <c r="DO44">
        <v>2194050400</v>
      </c>
      <c r="DP44">
        <v>2220246400</v>
      </c>
      <c r="DQ44">
        <v>4351</v>
      </c>
      <c r="DR44">
        <v>11.265837496381828</v>
      </c>
      <c r="DS44">
        <v>12.541195382564055</v>
      </c>
      <c r="DT44" s="9">
        <v>-0.67333333333333334</v>
      </c>
      <c r="DU44">
        <v>-0.97000000000000008</v>
      </c>
      <c r="DV44">
        <v>-1.6433333333333335</v>
      </c>
      <c r="DW44">
        <v>-3.082559523809524</v>
      </c>
      <c r="DX44">
        <v>0.40146137931034542</v>
      </c>
      <c r="DY44">
        <v>-3.0149813650656814</v>
      </c>
      <c r="DZ44">
        <v>4957</v>
      </c>
      <c r="EA44">
        <v>-3.0004485614197747</v>
      </c>
      <c r="EB44">
        <v>3</v>
      </c>
      <c r="EC44">
        <v>4.68961775602399E-2</v>
      </c>
      <c r="ED44">
        <v>0.25843613521770703</v>
      </c>
      <c r="EE44" s="10">
        <v>-1.1470100000000001</v>
      </c>
      <c r="EF44">
        <v>-2.0174099999999999</v>
      </c>
      <c r="EG44">
        <v>22.181461379310345</v>
      </c>
      <c r="EH44" t="s">
        <v>1272</v>
      </c>
      <c r="EI44">
        <v>0</v>
      </c>
      <c r="EJ44">
        <v>0</v>
      </c>
      <c r="EK44" s="12">
        <v>45470</v>
      </c>
      <c r="EL44" s="13">
        <v>-4.82</v>
      </c>
      <c r="EM44" s="13">
        <v>-5.07</v>
      </c>
      <c r="EN44" s="13">
        <v>-4.8499999999999996</v>
      </c>
      <c r="EO44" s="13">
        <v>0</v>
      </c>
      <c r="EP44" s="13">
        <v>-2.04</v>
      </c>
    </row>
    <row r="45" spans="1:146" ht="96">
      <c r="C45" s="6" t="str">
        <f>""&amp;CHAR(10)&amp;Basic_Fundamental_Information_Constructure(F45)&amp;CHAR(10)&amp;Basic_Fundamental_Information_Concatenate("")</f>
        <v xml:space="preserve">
市值64.829025亿, 利润2.04亿; PE13.46; 平均PE16.48; 平均PEG1.28, PB1.27; ROIC9.33%; ROE12.1833%; 股利率2.8281%; 毛利4.88%; 净利1.7767%; 上一年度营收增-45.47%, 利润增-58.11%; 当季营收增82.06%, 利润增1070.26%; 过往5年营收增12.87%, 利润增-1.61%
Income profile:
</v>
      </c>
      <c r="D45" t="s">
        <v>46</v>
      </c>
      <c r="E45" t="s">
        <v>47</v>
      </c>
      <c r="F45">
        <v>17.68</v>
      </c>
      <c r="G45">
        <v>0.45</v>
      </c>
      <c r="H45" t="s">
        <v>1935</v>
      </c>
      <c r="I45">
        <v>6482902500</v>
      </c>
      <c r="J45">
        <v>13.46</v>
      </c>
      <c r="K45">
        <v>1.27</v>
      </c>
      <c r="L45" t="s">
        <v>37</v>
      </c>
      <c r="M45" t="s">
        <v>1936</v>
      </c>
      <c r="N45" t="s">
        <v>1937</v>
      </c>
      <c r="O45" t="s">
        <v>1938</v>
      </c>
      <c r="P45">
        <v>24.29</v>
      </c>
      <c r="Q45" t="s">
        <v>1939</v>
      </c>
      <c r="R45">
        <v>702500000</v>
      </c>
      <c r="S45" s="5">
        <v>0.30459999999999998</v>
      </c>
      <c r="T45" t="s">
        <v>1940</v>
      </c>
      <c r="U45">
        <v>365617120</v>
      </c>
      <c r="V45">
        <v>366680000</v>
      </c>
      <c r="W45">
        <v>2.29</v>
      </c>
      <c r="X45">
        <v>0.69</v>
      </c>
      <c r="Y45">
        <v>1.78</v>
      </c>
      <c r="Z45" t="s">
        <v>1941</v>
      </c>
      <c r="AA45" t="s">
        <v>1942</v>
      </c>
      <c r="AB45" t="s">
        <v>1943</v>
      </c>
      <c r="AC45" t="s">
        <v>1944</v>
      </c>
      <c r="AD45" t="s">
        <v>73</v>
      </c>
      <c r="AE45">
        <v>29732302</v>
      </c>
      <c r="AF45" t="s">
        <v>1945</v>
      </c>
      <c r="AG45" t="s">
        <v>1946</v>
      </c>
      <c r="AH45" t="s">
        <v>1947</v>
      </c>
      <c r="AI45" t="s">
        <v>1948</v>
      </c>
      <c r="AJ45" t="s">
        <v>1949</v>
      </c>
      <c r="AK45" t="s">
        <v>1950</v>
      </c>
      <c r="AL45" t="s">
        <v>1951</v>
      </c>
      <c r="AM45" t="s">
        <v>73</v>
      </c>
      <c r="AN45" t="s">
        <v>1952</v>
      </c>
      <c r="AO45" t="s">
        <v>1953</v>
      </c>
      <c r="AP45" t="s">
        <v>488</v>
      </c>
      <c r="AQ45" t="s">
        <v>1954</v>
      </c>
      <c r="AR45" t="s">
        <v>606</v>
      </c>
      <c r="AS45" t="s">
        <v>1955</v>
      </c>
      <c r="AT45" t="s">
        <v>1956</v>
      </c>
      <c r="AU45" t="s">
        <v>1957</v>
      </c>
      <c r="AV45" t="s">
        <v>1958</v>
      </c>
      <c r="AW45" t="s">
        <v>1887</v>
      </c>
      <c r="AX45" t="s">
        <v>650</v>
      </c>
      <c r="AY45" t="s">
        <v>444</v>
      </c>
      <c r="AZ45" t="s">
        <v>298</v>
      </c>
      <c r="BA45" t="s">
        <v>147</v>
      </c>
      <c r="BB45" t="s">
        <v>300</v>
      </c>
      <c r="BC45" t="s">
        <v>651</v>
      </c>
      <c r="BD45" t="s">
        <v>372</v>
      </c>
      <c r="BE45" t="s">
        <v>299</v>
      </c>
      <c r="BF45" t="s">
        <v>148</v>
      </c>
      <c r="BG45" t="s">
        <v>301</v>
      </c>
      <c r="BH45" t="s">
        <v>1959</v>
      </c>
      <c r="BI45" t="s">
        <v>1960</v>
      </c>
      <c r="BJ45" t="s">
        <v>650</v>
      </c>
      <c r="BK45" t="s">
        <v>544</v>
      </c>
      <c r="BL45" t="s">
        <v>1961</v>
      </c>
      <c r="BM45" t="s">
        <v>651</v>
      </c>
      <c r="BN45">
        <v>5.74</v>
      </c>
      <c r="BO45">
        <v>9.08</v>
      </c>
      <c r="BP45">
        <v>13.17</v>
      </c>
      <c r="BQ45">
        <v>6.42</v>
      </c>
      <c r="BR45">
        <v>12.52</v>
      </c>
      <c r="BS45">
        <v>17.61</v>
      </c>
      <c r="BT45" t="s">
        <v>489</v>
      </c>
      <c r="BU45" t="s">
        <v>463</v>
      </c>
      <c r="BV45">
        <v>4.79</v>
      </c>
      <c r="BW45">
        <v>4.57</v>
      </c>
      <c r="BX45">
        <v>5.28</v>
      </c>
      <c r="BY45">
        <v>1.55</v>
      </c>
      <c r="BZ45">
        <v>1.52</v>
      </c>
      <c r="CA45">
        <v>2.2599999999999998</v>
      </c>
      <c r="CB45">
        <v>0.91</v>
      </c>
      <c r="CC45">
        <v>-4.38</v>
      </c>
      <c r="CD45" t="s">
        <v>1962</v>
      </c>
      <c r="CE45" t="s">
        <v>1963</v>
      </c>
      <c r="CF45" s="7">
        <v>0.82058305615339466</v>
      </c>
      <c r="CG45" s="8">
        <v>10.702560070365287</v>
      </c>
      <c r="CH45" s="7">
        <v>-0.45465803146362305</v>
      </c>
      <c r="CI45" s="7">
        <v>0.26107880473136902</v>
      </c>
      <c r="CJ45" s="7">
        <v>0.53431487083435059</v>
      </c>
      <c r="CK45" s="7">
        <v>0.2915719747543335</v>
      </c>
      <c r="CL45" s="7">
        <v>1.1373793706297874E-2</v>
      </c>
      <c r="CM45" s="8">
        <v>-0.58110880851745605</v>
      </c>
      <c r="CN45" s="8">
        <v>-0.17597292363643646</v>
      </c>
      <c r="CO45" s="8">
        <v>0.42753621935844421</v>
      </c>
      <c r="CP45" s="8">
        <v>0.24324324727058411</v>
      </c>
      <c r="CQ45" s="8">
        <v>6.0422960668802261E-3</v>
      </c>
      <c r="CR45">
        <v>16.481955508474577</v>
      </c>
      <c r="CS45">
        <v>1.2802882906664932</v>
      </c>
      <c r="CT45">
        <v>2.8280542986425341</v>
      </c>
      <c r="CU45" s="7">
        <v>0.1287362825125456</v>
      </c>
      <c r="CV45" s="8">
        <v>-1.6051993891596793E-2</v>
      </c>
      <c r="CW45">
        <v>0.06</v>
      </c>
      <c r="CX45">
        <v>30.39611625519316</v>
      </c>
      <c r="CY45">
        <v>217228492.106188</v>
      </c>
      <c r="CZ45">
        <v>0.1287362825125456</v>
      </c>
      <c r="DA45">
        <v>9.6140336073902386</v>
      </c>
      <c r="DB45">
        <v>686798358.48757553</v>
      </c>
      <c r="DC45">
        <v>0.12229946838691831</v>
      </c>
      <c r="DD45">
        <v>4.5276742931655054</v>
      </c>
      <c r="DE45">
        <v>1458343085.757524</v>
      </c>
      <c r="DF45">
        <v>0.11328792861104013</v>
      </c>
      <c r="DG45">
        <v>2.5841508240475242</v>
      </c>
      <c r="DH45">
        <v>2555153684.7442803</v>
      </c>
      <c r="DI45">
        <v>0.10298902601003648</v>
      </c>
      <c r="DJ45">
        <v>1.1903470404726717</v>
      </c>
      <c r="DK45">
        <v>5547039876.1844034</v>
      </c>
      <c r="DL45">
        <v>9.0115397758781912E-2</v>
      </c>
      <c r="DM45">
        <v>204000000</v>
      </c>
      <c r="DN45">
        <v>0.1287362825125456</v>
      </c>
      <c r="DO45">
        <v>6602902500</v>
      </c>
      <c r="DP45">
        <v>505967300</v>
      </c>
      <c r="DQ45">
        <v>4423</v>
      </c>
      <c r="DR45">
        <v>0.69184677364084912</v>
      </c>
      <c r="DS45">
        <v>10.718612064256885</v>
      </c>
      <c r="DT45" s="9">
        <v>-0.20666666666666669</v>
      </c>
      <c r="DU45">
        <v>0.53333333333333333</v>
      </c>
      <c r="DV45">
        <v>0.32666666666666666</v>
      </c>
      <c r="DW45">
        <v>-1.0438000000000001</v>
      </c>
      <c r="DX45">
        <v>0.36023244961860784</v>
      </c>
      <c r="DY45">
        <v>-1.007018181293295</v>
      </c>
      <c r="DZ45">
        <v>3641</v>
      </c>
      <c r="EA45">
        <v>-1.0020175554441977</v>
      </c>
      <c r="EB45">
        <v>1</v>
      </c>
      <c r="EC45">
        <v>3.2453365332169741E-2</v>
      </c>
      <c r="ED45">
        <v>0.20253927129922547</v>
      </c>
      <c r="EE45" s="10">
        <v>-3.10501</v>
      </c>
      <c r="EF45">
        <v>-3.13401</v>
      </c>
      <c r="EG45">
        <v>20.160232449618608</v>
      </c>
      <c r="EH45" t="s">
        <v>1523</v>
      </c>
      <c r="EI45">
        <v>0</v>
      </c>
      <c r="EJ45">
        <v>0</v>
      </c>
      <c r="EK45" s="12">
        <v>45470</v>
      </c>
      <c r="EL45" s="13">
        <v>2.58</v>
      </c>
      <c r="EM45" s="13">
        <v>-3.44</v>
      </c>
      <c r="EN45" s="13">
        <v>-0.87</v>
      </c>
      <c r="EO45" s="13">
        <v>0.49</v>
      </c>
      <c r="EP45" s="13">
        <v>-2.9</v>
      </c>
    </row>
    <row r="46" spans="1:146" ht="180">
      <c r="C46" s="6" t="str">
        <f>"公司主要从事高端装备特钢材料和新能源风电零部件的研发,生产,销售，核心产品包括齿轮钢,模具钢,高温合金,特种不锈钢,风电铸件,风电主轴,风电精密机械部件及其他类零部件等。"&amp;CHAR(10)&amp;Basic_Fundamental_Information_Constructure(F46)&amp;CHAR(10)&amp;Basic_Fundamental_Information_Concatenate("新能源风电 14.39亿 52.55% 59.41% 21.21%
能源装备 4.61亿 16.85% 6.21% 6.91%
机械装备 3.07亿 11.22% 12.22% 20.43%
精密模具 1.34亿 4.91% 3.68% 14.06%
军工核电 1.19亿 4.35% 4.89% 21.07%
海洋石化装备 8696.46万 3.18% 4.22% 24.93%")</f>
        <v>公司主要从事高端装备特钢材料和新能源风电零部件的研发,生产,销售，核心产品包括齿轮钢,模具钢,高温合金,特种不锈钢,风电铸件,风电主轴,风电精密机械部件及其他类零部件等。
市值20.524247亿, 利润31.06亿; PE49.6; 平均PE3.21; 平均PEG.03, PB.624; ROIC3.45%; ROE4.66%; 股利率.6263%; 毛利16.45%; 净利4.2667%; 上一年度营收增547.43%, 利润增2915.53%; 当季营收增-71.09%, 利润增-98.93%; 过往5年营收增128.2%, 利润增580.72%
Income profile:
新能源风电 14.39亿 52.55% 59.41% 21.21%
能源装备 4.61亿 16.85% 6.21% 6.91%
机械装备 3.07亿 11.22% 12.22% 20.43%
精密模具 1.34亿 4.91% 3.68% 14.06%
军工核电 1.19亿 4.35% 4.89% 21.07%
海洋石化装备 8696.46万 3.18% 4.22% 24.93%</v>
      </c>
      <c r="D46" t="s">
        <v>38</v>
      </c>
      <c r="E46" t="s">
        <v>39</v>
      </c>
      <c r="F46">
        <v>9.58</v>
      </c>
      <c r="G46">
        <v>1.27</v>
      </c>
      <c r="H46" t="s">
        <v>1964</v>
      </c>
      <c r="I46">
        <v>2052424700</v>
      </c>
      <c r="J46">
        <v>49.6</v>
      </c>
      <c r="K46">
        <v>0.624</v>
      </c>
      <c r="L46" t="s">
        <v>37</v>
      </c>
      <c r="M46" t="s">
        <v>1965</v>
      </c>
      <c r="N46" t="s">
        <v>1966</v>
      </c>
      <c r="O46" t="s">
        <v>1967</v>
      </c>
      <c r="P46">
        <v>3.41</v>
      </c>
      <c r="Q46" t="s">
        <v>1968</v>
      </c>
      <c r="R46">
        <v>4673480</v>
      </c>
      <c r="S46" s="5">
        <v>-0.9355</v>
      </c>
      <c r="T46" t="s">
        <v>1969</v>
      </c>
      <c r="U46">
        <v>214240570</v>
      </c>
      <c r="V46">
        <v>214240570</v>
      </c>
      <c r="W46">
        <v>2.78</v>
      </c>
      <c r="X46">
        <v>0.08</v>
      </c>
      <c r="Y46">
        <v>1.1499999999999999</v>
      </c>
      <c r="Z46" t="s">
        <v>1970</v>
      </c>
      <c r="AA46" t="s">
        <v>1971</v>
      </c>
      <c r="AB46" t="s">
        <v>1972</v>
      </c>
      <c r="AC46" t="s">
        <v>1973</v>
      </c>
      <c r="AD46" t="s">
        <v>73</v>
      </c>
      <c r="AE46">
        <v>31122639</v>
      </c>
      <c r="AF46" t="s">
        <v>497</v>
      </c>
      <c r="AG46" t="s">
        <v>1974</v>
      </c>
      <c r="AH46" t="s">
        <v>1975</v>
      </c>
      <c r="AI46" t="s">
        <v>547</v>
      </c>
      <c r="AJ46" t="s">
        <v>1976</v>
      </c>
      <c r="AK46" t="s">
        <v>1750</v>
      </c>
      <c r="AL46" t="s">
        <v>1977</v>
      </c>
      <c r="AM46" t="s">
        <v>73</v>
      </c>
      <c r="AN46" t="s">
        <v>1978</v>
      </c>
      <c r="AO46" t="s">
        <v>103</v>
      </c>
      <c r="AP46" t="s">
        <v>1979</v>
      </c>
      <c r="AQ46" t="s">
        <v>645</v>
      </c>
      <c r="AR46" t="s">
        <v>1980</v>
      </c>
      <c r="AS46" t="s">
        <v>1981</v>
      </c>
      <c r="AT46" t="s">
        <v>1982</v>
      </c>
      <c r="AU46" t="s">
        <v>1983</v>
      </c>
      <c r="AV46" t="s">
        <v>578</v>
      </c>
      <c r="AW46" t="s">
        <v>1984</v>
      </c>
      <c r="AX46" t="s">
        <v>656</v>
      </c>
      <c r="AY46" t="s">
        <v>446</v>
      </c>
      <c r="AZ46" t="s">
        <v>302</v>
      </c>
      <c r="BA46" t="s">
        <v>149</v>
      </c>
      <c r="BB46" t="s">
        <v>303</v>
      </c>
      <c r="BC46" t="s">
        <v>458</v>
      </c>
      <c r="BD46" t="s">
        <v>424</v>
      </c>
      <c r="BE46" t="s">
        <v>92</v>
      </c>
      <c r="BF46" t="s">
        <v>150</v>
      </c>
      <c r="BG46" t="s">
        <v>215</v>
      </c>
      <c r="BH46" t="s">
        <v>1985</v>
      </c>
      <c r="BI46" t="s">
        <v>1986</v>
      </c>
      <c r="BJ46" t="s">
        <v>656</v>
      </c>
      <c r="BK46" t="s">
        <v>502</v>
      </c>
      <c r="BL46" t="s">
        <v>1987</v>
      </c>
      <c r="BM46" t="s">
        <v>458</v>
      </c>
      <c r="BN46">
        <v>2.52</v>
      </c>
      <c r="BO46">
        <v>2.67</v>
      </c>
      <c r="BP46">
        <v>5.16</v>
      </c>
      <c r="BQ46">
        <v>3.15</v>
      </c>
      <c r="BR46">
        <v>3.23</v>
      </c>
      <c r="BS46">
        <v>7.6</v>
      </c>
      <c r="BT46" t="s">
        <v>933</v>
      </c>
      <c r="BU46" t="s">
        <v>463</v>
      </c>
      <c r="BV46">
        <v>14.66</v>
      </c>
      <c r="BW46">
        <v>15.93</v>
      </c>
      <c r="BX46">
        <v>18.760000000000002</v>
      </c>
      <c r="BY46">
        <v>3.29</v>
      </c>
      <c r="BZ46">
        <v>3.35</v>
      </c>
      <c r="CA46">
        <v>6.16</v>
      </c>
      <c r="CB46">
        <v>-1.54</v>
      </c>
      <c r="CC46">
        <v>-22.05</v>
      </c>
      <c r="CD46" t="s">
        <v>1988</v>
      </c>
      <c r="CE46" t="s">
        <v>1989</v>
      </c>
      <c r="CF46" s="7">
        <v>-0.71085899513776341</v>
      </c>
      <c r="CG46" s="8">
        <v>-0.98925636781609194</v>
      </c>
      <c r="CH46" s="7">
        <v>5.4743094444274902</v>
      </c>
      <c r="CI46" s="7">
        <v>0.2301790863275528</v>
      </c>
      <c r="CJ46" s="7">
        <v>0.51215463876724243</v>
      </c>
      <c r="CK46" s="7">
        <v>0.13979849219322205</v>
      </c>
      <c r="CL46" s="7">
        <v>5.3749125450849533E-2</v>
      </c>
      <c r="CM46" s="8">
        <v>29.155338287353516</v>
      </c>
      <c r="CN46" s="8">
        <v>-0.41477271914482117</v>
      </c>
      <c r="CO46" s="8">
        <v>1.7341040074825287E-2</v>
      </c>
      <c r="CP46" s="8">
        <v>0.21830986440181732</v>
      </c>
      <c r="CQ46" s="8">
        <v>5.9701491147279739E-2</v>
      </c>
      <c r="CR46">
        <v>3.2119322378716744</v>
      </c>
      <c r="CS46">
        <v>2.5053327931379075E-2</v>
      </c>
      <c r="CT46">
        <v>0.62630480167014613</v>
      </c>
      <c r="CU46" s="7">
        <v>1.2820381574332713</v>
      </c>
      <c r="CV46" s="8">
        <v>5.8071835927665232</v>
      </c>
      <c r="CW46">
        <v>0.06</v>
      </c>
      <c r="CX46">
        <v>0.73614029910009871</v>
      </c>
      <c r="CY46">
        <v>6686802374.516736</v>
      </c>
      <c r="CZ46">
        <v>1.2820381574332713</v>
      </c>
      <c r="DA46">
        <v>0.10138758413457596</v>
      </c>
      <c r="DB46">
        <v>48550567034.581482</v>
      </c>
      <c r="DC46">
        <v>1.2179362495616077</v>
      </c>
      <c r="DD46">
        <v>1.2332940075470752E-2</v>
      </c>
      <c r="DE46">
        <v>399128242728.61877</v>
      </c>
      <c r="DF46">
        <v>1.1281935785412787</v>
      </c>
      <c r="DG46">
        <v>1.1650751363320539E-3</v>
      </c>
      <c r="DH46">
        <v>4224984764070.252</v>
      </c>
      <c r="DI46">
        <v>1.0256305259466172</v>
      </c>
      <c r="DJ46">
        <v>6.1316921693849485E-6</v>
      </c>
      <c r="DK46">
        <v>802784054388326.12</v>
      </c>
      <c r="DL46">
        <v>0.8974267102032899</v>
      </c>
      <c r="DM46">
        <v>3106000000</v>
      </c>
      <c r="DN46">
        <v>1.2820381574332713</v>
      </c>
      <c r="DO46">
        <v>4922424700</v>
      </c>
      <c r="DP46">
        <v>1588996300</v>
      </c>
      <c r="DQ46">
        <v>4702</v>
      </c>
      <c r="DR46">
        <v>-1.9928971525710346</v>
      </c>
      <c r="DS46">
        <v>-6.7964399605826156</v>
      </c>
      <c r="DT46" s="9">
        <v>0.14333333333333331</v>
      </c>
      <c r="DU46">
        <v>-0.17333333333333337</v>
      </c>
      <c r="DV46">
        <v>-3.0000000000000054E-2</v>
      </c>
      <c r="DW46">
        <v>-3.0684226190476189</v>
      </c>
      <c r="DX46">
        <v>0.31079046053239395</v>
      </c>
      <c r="DY46">
        <v>-3.0082647996655942</v>
      </c>
      <c r="DZ46">
        <v>1568</v>
      </c>
      <c r="EA46">
        <v>-3.0057287515490283</v>
      </c>
      <c r="EB46">
        <v>3</v>
      </c>
      <c r="EC46">
        <v>4.8832954467960946E-2</v>
      </c>
      <c r="ED46">
        <v>0.40427823731051499</v>
      </c>
      <c r="EE46" s="10">
        <v>1.0384100000000001</v>
      </c>
      <c r="EF46">
        <v>1.05111</v>
      </c>
      <c r="EG46">
        <v>19.120790460532394</v>
      </c>
      <c r="EH46" t="s">
        <v>595</v>
      </c>
      <c r="EI46">
        <v>0</v>
      </c>
      <c r="EJ46">
        <v>0</v>
      </c>
      <c r="EK46" s="12">
        <v>45470</v>
      </c>
      <c r="EL46" s="13">
        <v>-0.18</v>
      </c>
      <c r="EM46" s="13">
        <v>-2.04</v>
      </c>
      <c r="EN46">
        <v>-2.35</v>
      </c>
      <c r="EO46">
        <v>-0.15</v>
      </c>
      <c r="EP46">
        <v>-1.27</v>
      </c>
    </row>
  </sheetData>
  <autoFilter ref="BU1:BU48"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'Basic_Fundamental_Tabel_Update_Buttom &quot;钢铁&quot;,&quot;&quot;'" altText="更新基本面按钮_x000a_">
                <anchor moveWithCells="1" sizeWithCells="1">
                  <from>
                    <xdr:col>147</xdr:col>
                    <xdr:colOff>603250</xdr:colOff>
                    <xdr:row>0</xdr:row>
                    <xdr:rowOff>63500</xdr:rowOff>
                  </from>
                  <to>
                    <xdr:col>147</xdr:col>
                    <xdr:colOff>1543050</xdr:colOff>
                    <xdr:row>0</xdr:row>
                    <xdr:rowOff>374650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6"/>
  <sheetViews>
    <sheetView workbookViewId="0">
      <selection activeCell="A3" sqref="A3"/>
    </sheetView>
  </sheetViews>
  <sheetFormatPr defaultRowHeight="14"/>
  <sheetData>
    <row r="1" spans="1:30">
      <c r="A1">
        <v>1</v>
      </c>
      <c r="B1">
        <f>A1+A1*$A$2</f>
        <v>1.1499999999999999</v>
      </c>
      <c r="C1">
        <f t="shared" ref="C1:AD1" si="0">B1+B1*$A$2</f>
        <v>1.3224999999999998</v>
      </c>
      <c r="D1">
        <f t="shared" si="0"/>
        <v>1.5208749999999998</v>
      </c>
      <c r="E1">
        <f t="shared" si="0"/>
        <v>1.7490062499999997</v>
      </c>
      <c r="F1">
        <f t="shared" si="0"/>
        <v>2.0113571874999998</v>
      </c>
      <c r="G1">
        <f t="shared" si="0"/>
        <v>2.313060765625</v>
      </c>
      <c r="H1">
        <f t="shared" si="0"/>
        <v>2.66001988046875</v>
      </c>
      <c r="I1">
        <f t="shared" si="0"/>
        <v>3.0590228625390625</v>
      </c>
      <c r="J1">
        <f t="shared" si="0"/>
        <v>3.5178762919199218</v>
      </c>
      <c r="K1">
        <f t="shared" si="0"/>
        <v>4.0455577357079102</v>
      </c>
      <c r="L1">
        <f t="shared" si="0"/>
        <v>4.6523913960640968</v>
      </c>
      <c r="M1">
        <f t="shared" si="0"/>
        <v>5.3502501054737115</v>
      </c>
      <c r="N1">
        <f t="shared" si="0"/>
        <v>6.1527876212947685</v>
      </c>
      <c r="O1">
        <f t="shared" si="0"/>
        <v>7.0757057644889834</v>
      </c>
      <c r="P1">
        <f t="shared" si="0"/>
        <v>8.1370616291623303</v>
      </c>
      <c r="Q1">
        <f t="shared" si="0"/>
        <v>9.3576208735366802</v>
      </c>
      <c r="R1">
        <f t="shared" si="0"/>
        <v>10.761264004567183</v>
      </c>
      <c r="S1">
        <f t="shared" si="0"/>
        <v>12.375453605252261</v>
      </c>
      <c r="T1">
        <f t="shared" si="0"/>
        <v>14.2317716460401</v>
      </c>
      <c r="U1">
        <f t="shared" si="0"/>
        <v>16.366537392946114</v>
      </c>
      <c r="V1">
        <f t="shared" si="0"/>
        <v>18.82151800188803</v>
      </c>
      <c r="W1">
        <f t="shared" si="0"/>
        <v>21.644745702171235</v>
      </c>
      <c r="X1">
        <f t="shared" si="0"/>
        <v>24.891457557496921</v>
      </c>
      <c r="Y1">
        <f t="shared" si="0"/>
        <v>28.625176191121458</v>
      </c>
      <c r="Z1">
        <f t="shared" si="0"/>
        <v>32.918952619789678</v>
      </c>
      <c r="AA1">
        <f t="shared" si="0"/>
        <v>37.856795512758133</v>
      </c>
      <c r="AB1">
        <f t="shared" si="0"/>
        <v>43.535314839671855</v>
      </c>
      <c r="AC1">
        <f t="shared" si="0"/>
        <v>50.065612065622631</v>
      </c>
      <c r="AD1">
        <f t="shared" si="0"/>
        <v>57.575453875466025</v>
      </c>
    </row>
    <row r="2" spans="1:30">
      <c r="A2">
        <v>0.15</v>
      </c>
      <c r="B2" t="s">
        <v>2</v>
      </c>
    </row>
    <row r="3" spans="1:30" s="2" customFormat="1">
      <c r="A3" s="2">
        <v>1</v>
      </c>
      <c r="B3" s="2">
        <v>2</v>
      </c>
      <c r="C3" s="2">
        <v>3</v>
      </c>
      <c r="D3" s="2">
        <v>4</v>
      </c>
      <c r="E3" s="2">
        <v>5</v>
      </c>
      <c r="F3" s="2">
        <v>6</v>
      </c>
      <c r="G3" s="2">
        <v>7</v>
      </c>
      <c r="H3" s="2">
        <v>8</v>
      </c>
      <c r="I3" s="2">
        <v>9</v>
      </c>
      <c r="J3" s="2">
        <v>10</v>
      </c>
      <c r="K3" s="2">
        <v>11</v>
      </c>
      <c r="L3" s="2">
        <v>12</v>
      </c>
      <c r="M3" s="2">
        <v>13</v>
      </c>
      <c r="N3" s="2">
        <v>14</v>
      </c>
      <c r="O3" s="2">
        <v>15</v>
      </c>
      <c r="P3" s="2">
        <v>16</v>
      </c>
      <c r="Q3" s="2">
        <v>17</v>
      </c>
      <c r="R3" s="2">
        <v>18</v>
      </c>
      <c r="S3" s="2">
        <v>19</v>
      </c>
      <c r="T3" s="2">
        <v>20</v>
      </c>
      <c r="U3" s="2">
        <v>21</v>
      </c>
      <c r="V3" s="2">
        <v>22</v>
      </c>
      <c r="W3" s="2">
        <v>23</v>
      </c>
      <c r="X3" s="2">
        <v>24</v>
      </c>
      <c r="Y3" s="2">
        <v>25</v>
      </c>
      <c r="Z3" s="2">
        <v>26</v>
      </c>
      <c r="AA3" s="2">
        <v>27</v>
      </c>
      <c r="AB3" s="2">
        <v>28</v>
      </c>
      <c r="AC3" s="2">
        <v>29</v>
      </c>
      <c r="AD3" s="2">
        <v>30</v>
      </c>
    </row>
    <row r="4" spans="1:30">
      <c r="A4">
        <v>0.5</v>
      </c>
      <c r="B4" t="s">
        <v>0</v>
      </c>
    </row>
    <row r="5" spans="1:30">
      <c r="A5" s="1">
        <v>1</v>
      </c>
      <c r="B5" s="1">
        <f>A5*$A$4+A5</f>
        <v>1.5</v>
      </c>
      <c r="C5" s="1">
        <f t="shared" ref="C5:AD5" si="1">B5*$A$4+B5</f>
        <v>2.25</v>
      </c>
      <c r="D5" s="1">
        <f t="shared" si="1"/>
        <v>3.375</v>
      </c>
      <c r="E5" s="1">
        <f t="shared" si="1"/>
        <v>5.0625</v>
      </c>
      <c r="F5" s="1">
        <f t="shared" si="1"/>
        <v>7.59375</v>
      </c>
      <c r="G5" s="1">
        <f t="shared" si="1"/>
        <v>11.390625</v>
      </c>
      <c r="H5" s="1">
        <f t="shared" si="1"/>
        <v>17.0859375</v>
      </c>
      <c r="I5" s="1">
        <f t="shared" si="1"/>
        <v>25.62890625</v>
      </c>
      <c r="J5" s="1">
        <f t="shared" si="1"/>
        <v>38.443359375</v>
      </c>
      <c r="K5" s="1">
        <f t="shared" si="1"/>
        <v>57.6650390625</v>
      </c>
      <c r="L5" s="1">
        <f t="shared" si="1"/>
        <v>86.49755859375</v>
      </c>
      <c r="M5" s="1">
        <f t="shared" si="1"/>
        <v>129.746337890625</v>
      </c>
      <c r="N5" s="1">
        <f t="shared" si="1"/>
        <v>194.6195068359375</v>
      </c>
      <c r="O5" s="1">
        <f t="shared" si="1"/>
        <v>291.92926025390625</v>
      </c>
      <c r="P5">
        <f t="shared" si="1"/>
        <v>437.89389038085937</v>
      </c>
      <c r="Q5">
        <f t="shared" si="1"/>
        <v>656.84083557128906</v>
      </c>
      <c r="R5">
        <f t="shared" si="1"/>
        <v>985.26125335693359</v>
      </c>
      <c r="S5" s="1">
        <f t="shared" si="1"/>
        <v>1477.8918800354004</v>
      </c>
      <c r="T5">
        <f t="shared" si="1"/>
        <v>2216.8378200531006</v>
      </c>
      <c r="U5">
        <f t="shared" si="1"/>
        <v>3325.2567300796509</v>
      </c>
      <c r="V5">
        <f t="shared" si="1"/>
        <v>4987.8850951194763</v>
      </c>
      <c r="W5">
        <f t="shared" si="1"/>
        <v>7481.8276426792145</v>
      </c>
      <c r="X5">
        <f t="shared" si="1"/>
        <v>11222.741464018822</v>
      </c>
      <c r="Y5">
        <f t="shared" si="1"/>
        <v>16834.112196028233</v>
      </c>
      <c r="Z5">
        <f t="shared" si="1"/>
        <v>25251.168294042349</v>
      </c>
      <c r="AA5">
        <f t="shared" si="1"/>
        <v>37876.752441063523</v>
      </c>
      <c r="AB5">
        <f t="shared" si="1"/>
        <v>56815.128661595285</v>
      </c>
      <c r="AC5">
        <f t="shared" si="1"/>
        <v>85222.692992392927</v>
      </c>
      <c r="AD5">
        <f t="shared" si="1"/>
        <v>127834.03948858939</v>
      </c>
    </row>
    <row r="6" spans="1:30">
      <c r="A6">
        <v>15</v>
      </c>
      <c r="B6" t="s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钢铁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2024-07-09T16:56:48Z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