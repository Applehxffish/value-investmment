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基础化工\"/>
    </mc:Choice>
  </mc:AlternateContent>
  <bookViews>
    <workbookView xWindow="0" yWindow="0" windowWidth="3800" windowHeight="2950"/>
  </bookViews>
  <sheets>
    <sheet name="化工合成材料" sheetId="15" r:id="rId1"/>
    <sheet name="估值-增速与年化收益" sheetId="14" r:id="rId2"/>
  </sheets>
  <functionGroups builtInGroupCount="18"/>
  <definedNames>
    <definedName name="_xlnm._FilterDatabase" localSheetId="0" hidden="1">化工合成材料!$BU$1:$BU$18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6" i="15"/>
  <c r="C17" i="15"/>
  <c r="C8" i="15"/>
  <c r="C11" i="15"/>
  <c r="C2" i="15"/>
  <c r="C10" i="15"/>
  <c r="C15" i="15"/>
  <c r="C6" i="15"/>
  <c r="C14" i="15"/>
  <c r="C12" i="15"/>
  <c r="C5" i="15"/>
  <c r="C9" i="15"/>
  <c r="C7" i="15"/>
  <c r="C18" i="15"/>
  <c r="C13" i="15"/>
  <c r="C4" i="15"/>
  <c r="C3" i="15"/>
</calcChain>
</file>

<file path=xl/sharedStrings.xml><?xml version="1.0" encoding="utf-8"?>
<sst xmlns="http://schemas.openxmlformats.org/spreadsheetml/2006/main" count="1075" uniqueCount="844">
  <si>
    <t>&lt;-增速</t>
    <phoneticPr fontId="1" type="noConversion"/>
  </si>
  <si>
    <t>&lt;-估值</t>
    <phoneticPr fontId="1" type="noConversion"/>
  </si>
  <si>
    <t>&lt;-折合年化收益</t>
    <phoneticPr fontId="1" type="noConversion"/>
  </si>
  <si>
    <t>现价</t>
  </si>
  <si>
    <t>市净率</t>
  </si>
  <si>
    <t>三维股份</t>
  </si>
  <si>
    <t>三 力 士</t>
  </si>
  <si>
    <t>天铁股份</t>
  </si>
  <si>
    <t>龙星化工</t>
  </si>
  <si>
    <t>双箭股份</t>
  </si>
  <si>
    <t>海达股份</t>
  </si>
  <si>
    <t>--</t>
  </si>
  <si>
    <t>永东股份</t>
  </si>
  <si>
    <t>黑猫股份</t>
  </si>
  <si>
    <t>阳谷华泰</t>
  </si>
  <si>
    <t>震安科技</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</si>
  <si>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</si>
  <si>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</si>
  <si>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</si>
  <si>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</si>
  <si>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</si>
  <si>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</si>
  <si>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</si>
  <si>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</si>
  <si>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</si>
  <si>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</si>
  <si>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</si>
  <si>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</si>
  <si>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</si>
  <si>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</si>
  <si>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</si>
  <si>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1.28亿</t>
  </si>
  <si>
    <t>1.63亿</t>
  </si>
  <si>
    <t>3.65亿</t>
  </si>
  <si>
    <t>6.03亿</t>
  </si>
  <si>
    <t>1.10亿</t>
  </si>
  <si>
    <t>3.27亿</t>
  </si>
  <si>
    <t>1.02亿</t>
  </si>
  <si>
    <t>2.23亿</t>
  </si>
  <si>
    <t>3.80亿</t>
  </si>
  <si>
    <t>1.61亿</t>
  </si>
  <si>
    <t>5.23亿</t>
  </si>
  <si>
    <t>23.91亿</t>
  </si>
  <si>
    <t>5.59亿</t>
  </si>
  <si>
    <t>3.07亿</t>
  </si>
  <si>
    <t>1.75亿</t>
  </si>
  <si>
    <t>1.36亿</t>
  </si>
  <si>
    <t>1.68亿</t>
  </si>
  <si>
    <t>1.22亿</t>
  </si>
  <si>
    <t>18.11亿</t>
  </si>
  <si>
    <t>1.24亿</t>
  </si>
  <si>
    <t>1.03亿</t>
  </si>
  <si>
    <t>1.35亿</t>
  </si>
  <si>
    <t>1.16亿</t>
  </si>
  <si>
    <t>1.67亿</t>
  </si>
  <si>
    <t>2.98亿</t>
  </si>
  <si>
    <t>1.00亿</t>
  </si>
  <si>
    <t>1.50亿</t>
  </si>
  <si>
    <t>4.05亿</t>
  </si>
  <si>
    <t>2.70亿</t>
  </si>
  <si>
    <t>1.71亿</t>
  </si>
  <si>
    <t>2.77亿</t>
  </si>
  <si>
    <t>1.11亿</t>
  </si>
  <si>
    <t>2.04亿</t>
  </si>
  <si>
    <t>4.29亿</t>
  </si>
  <si>
    <t>3.02亿</t>
  </si>
  <si>
    <t>2.17亿</t>
  </si>
  <si>
    <t>1.49亿</t>
  </si>
  <si>
    <t>9.46亿</t>
  </si>
  <si>
    <t>1.32亿</t>
  </si>
  <si>
    <t>1.09亿</t>
  </si>
  <si>
    <t>1.07亿</t>
  </si>
  <si>
    <t>2.71亿</t>
  </si>
  <si>
    <t>3.08亿</t>
  </si>
  <si>
    <t>1.92亿</t>
  </si>
  <si>
    <t>1.44亿</t>
  </si>
  <si>
    <t>2.40亿</t>
  </si>
  <si>
    <t>4.91亿</t>
  </si>
  <si>
    <t>2.49亿</t>
  </si>
  <si>
    <t>1.05亿</t>
  </si>
  <si>
    <t>2.66亿</t>
  </si>
  <si>
    <t>1.31亿</t>
  </si>
  <si>
    <t>2.11亿</t>
  </si>
  <si>
    <t>1.56亿</t>
  </si>
  <si>
    <t>2.47亿</t>
  </si>
  <si>
    <t>9.19亿</t>
  </si>
  <si>
    <t>1.48亿</t>
  </si>
  <si>
    <t>2.82亿</t>
  </si>
  <si>
    <t>1.43亿</t>
  </si>
  <si>
    <t>2.26亿</t>
  </si>
  <si>
    <t>1.58亿</t>
  </si>
  <si>
    <t>3.06亿</t>
  </si>
  <si>
    <t>4.56亿</t>
  </si>
  <si>
    <t>1.88亿</t>
  </si>
  <si>
    <t>2.79亿</t>
  </si>
  <si>
    <t>3.00亿</t>
  </si>
  <si>
    <t>27.35亿</t>
  </si>
  <si>
    <t>9.00亿</t>
  </si>
  <si>
    <t>1.27亿</t>
  </si>
  <si>
    <t>1.51亿</t>
  </si>
  <si>
    <t>1.64亿</t>
  </si>
  <si>
    <t>1.14亿</t>
  </si>
  <si>
    <t>4.59亿</t>
  </si>
  <si>
    <t>1.21亿</t>
  </si>
  <si>
    <t>2.84亿</t>
  </si>
  <si>
    <t>2.24亿</t>
  </si>
  <si>
    <t>1.04亿</t>
  </si>
  <si>
    <t>3.41亿</t>
  </si>
  <si>
    <t>SZ002224</t>
  </si>
  <si>
    <t>SZ002381</t>
  </si>
  <si>
    <t>15.25亿</t>
  </si>
  <si>
    <t>SZ300121</t>
  </si>
  <si>
    <t>1.84亿</t>
  </si>
  <si>
    <t>1.17亿</t>
  </si>
  <si>
    <t>SZ300320</t>
  </si>
  <si>
    <t>22.41亿</t>
  </si>
  <si>
    <t>SZ300587</t>
  </si>
  <si>
    <t>9.90亿</t>
  </si>
  <si>
    <t>1.96亿</t>
  </si>
  <si>
    <t>1.34亿</t>
  </si>
  <si>
    <t>SZ300731</t>
  </si>
  <si>
    <t>科创新源</t>
  </si>
  <si>
    <t>4940.86万</t>
  </si>
  <si>
    <t>1.25亿</t>
  </si>
  <si>
    <t>SZ300767</t>
  </si>
  <si>
    <t>3.89亿</t>
  </si>
  <si>
    <t>9072.87万</t>
  </si>
  <si>
    <t>1.90亿</t>
  </si>
  <si>
    <t>SH603033</t>
  </si>
  <si>
    <t>17.47亿</t>
  </si>
  <si>
    <t>1.13亿</t>
  </si>
  <si>
    <t>SZ002068</t>
  </si>
  <si>
    <t>65.44亿</t>
  </si>
  <si>
    <t>-2.76亿</t>
  </si>
  <si>
    <t>SZ002442</t>
  </si>
  <si>
    <t>28.06亿</t>
  </si>
  <si>
    <t>1922.12万</t>
  </si>
  <si>
    <t>SZ002753</t>
  </si>
  <si>
    <t>28.56亿</t>
  </si>
  <si>
    <t>9103.60万</t>
  </si>
  <si>
    <t>9.41亿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</si>
  <si>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</si>
  <si>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</si>
  <si>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</si>
  <si>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</si>
  <si>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</si>
  <si>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</si>
  <si>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</si>
  <si>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</si>
  <si>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</si>
  <si>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</si>
  <si>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</si>
  <si>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销售毛利率%[20201231]</t>
  </si>
  <si>
    <t>销售毛利率%[20191231]</t>
  </si>
  <si>
    <t>销售净利率%[20201231]</t>
  </si>
  <si>
    <t>销售净利率%[20191231]</t>
  </si>
  <si>
    <t>1.97亿</t>
  </si>
  <si>
    <t>25.00亿</t>
  </si>
  <si>
    <t>8.07亿</t>
  </si>
  <si>
    <t>6.80亿</t>
  </si>
  <si>
    <t>14.81亿</t>
  </si>
  <si>
    <t>1.93亿</t>
  </si>
  <si>
    <t>1.57亿</t>
  </si>
  <si>
    <t>3.21亿</t>
  </si>
  <si>
    <t>1.38亿</t>
  </si>
  <si>
    <t>1.26亿</t>
  </si>
  <si>
    <t>55.60亿</t>
  </si>
  <si>
    <t>9700.83万</t>
  </si>
  <si>
    <t>3.67亿</t>
  </si>
  <si>
    <t>78.93亿</t>
  </si>
  <si>
    <t>4.01亿</t>
  </si>
  <si>
    <t>4.30亿</t>
  </si>
  <si>
    <t>21.75亿</t>
  </si>
  <si>
    <t>5.45亿</t>
  </si>
  <si>
    <t>3.11亿</t>
  </si>
  <si>
    <t>1.69亿</t>
  </si>
  <si>
    <t>8315.34万</t>
  </si>
  <si>
    <t>1.72亿</t>
  </si>
  <si>
    <t>2.35亿</t>
  </si>
  <si>
    <t>1.01亿</t>
  </si>
  <si>
    <t>2.78亿</t>
  </si>
  <si>
    <t>3.15亿</t>
  </si>
  <si>
    <t>13.58亿</t>
  </si>
  <si>
    <t>2.32亿</t>
  </si>
  <si>
    <t>22.96亿</t>
  </si>
  <si>
    <t>7745.55万</t>
  </si>
  <si>
    <t>30.86亿</t>
  </si>
  <si>
    <t>1.33亿</t>
  </si>
  <si>
    <t>2.92亿</t>
  </si>
  <si>
    <t>25.87亿</t>
  </si>
  <si>
    <t>2.03亿</t>
  </si>
  <si>
    <t>6.43亿</t>
  </si>
  <si>
    <t>9.34亿</t>
  </si>
  <si>
    <t>19.43亿</t>
  </si>
  <si>
    <t>11.37亿</t>
  </si>
  <si>
    <t>3.61亿</t>
  </si>
  <si>
    <t>22.63亿</t>
  </si>
  <si>
    <t>7.47亿</t>
  </si>
  <si>
    <t>5.20亿</t>
  </si>
  <si>
    <t>21.30亿</t>
  </si>
  <si>
    <t>4.09亿</t>
  </si>
  <si>
    <t>1.29亿</t>
  </si>
  <si>
    <t>12.35亿</t>
  </si>
  <si>
    <t>7797.32万</t>
  </si>
  <si>
    <t>11.39亿</t>
  </si>
  <si>
    <t>3.31亿</t>
  </si>
  <si>
    <t>2663.47万</t>
  </si>
  <si>
    <t>2.86亿</t>
  </si>
  <si>
    <t>4430.53万</t>
  </si>
  <si>
    <t>5.68亿</t>
  </si>
  <si>
    <t>5.80亿</t>
  </si>
  <si>
    <t>3.70亿</t>
  </si>
  <si>
    <t>1.18亿</t>
  </si>
  <si>
    <t>3.17亿</t>
  </si>
  <si>
    <t>2.46亿</t>
  </si>
  <si>
    <t>9.96亿</t>
  </si>
  <si>
    <t>18.00亿</t>
  </si>
  <si>
    <t>17.33亿</t>
  </si>
  <si>
    <t>10.88亿</t>
  </si>
  <si>
    <t>8192.01万</t>
  </si>
  <si>
    <t>1.73亿</t>
  </si>
  <si>
    <t>SH605183</t>
  </si>
  <si>
    <t>确成股份</t>
  </si>
  <si>
    <t>10.55亿</t>
  </si>
  <si>
    <t>11.91亿</t>
  </si>
  <si>
    <t>11.77亿</t>
  </si>
  <si>
    <t>1.62亿</t>
  </si>
  <si>
    <t>SZ001207</t>
  </si>
  <si>
    <t>联科科技</t>
  </si>
  <si>
    <t>1.80亿</t>
  </si>
  <si>
    <t>9.72亿</t>
  </si>
  <si>
    <t>6615.33万</t>
  </si>
  <si>
    <t>8823.69万</t>
  </si>
  <si>
    <t>4.38亿</t>
  </si>
  <si>
    <t>4.10亿</t>
  </si>
  <si>
    <t>4.31亿</t>
  </si>
  <si>
    <t>37.59亿</t>
  </si>
  <si>
    <t>2.51亿</t>
  </si>
  <si>
    <t>1.41亿</t>
  </si>
  <si>
    <t>6.56亿</t>
  </si>
  <si>
    <t>6.08亿</t>
  </si>
  <si>
    <t>3.94亿</t>
  </si>
  <si>
    <t>25.23亿</t>
  </si>
  <si>
    <t>2.21亿</t>
  </si>
  <si>
    <t>SH603650</t>
  </si>
  <si>
    <t>彤程新材</t>
  </si>
  <si>
    <t>20.46亿</t>
  </si>
  <si>
    <t>22.08亿</t>
  </si>
  <si>
    <t>4.12亿</t>
  </si>
  <si>
    <t>4.06亿</t>
  </si>
  <si>
    <t>15.03亿</t>
  </si>
  <si>
    <t>1.预计到 2022 年，全国高速铁路将由 2015 年底的 1.9 万公里增加到 4 万公里</t>
    <phoneticPr fontId="1" type="noConversion"/>
  </si>
  <si>
    <t>1.2021H1营收翻倍，但是利润平，受制于全球疫情反复、通胀趋势明显，原材料价格普遍上涨，国际船运紧张、运输价格大涨，人民币升值波动等多重因素，及部分新增产能尚未充分释放的原因，对利润增长带来压力</t>
    <phoneticPr fontId="1" type="noConversion"/>
  </si>
  <si>
    <t>流通股本</t>
  </si>
  <si>
    <t>净利润[20201231]</t>
  </si>
  <si>
    <t>投入资本回报率roic%[20201231]</t>
  </si>
  <si>
    <t>净资产收益率%[20201231]</t>
  </si>
  <si>
    <t>14.47亿</t>
  </si>
  <si>
    <t>79.30亿</t>
  </si>
  <si>
    <t>10.01亿</t>
  </si>
  <si>
    <t>19.16亿</t>
  </si>
  <si>
    <t>34.39亿</t>
  </si>
  <si>
    <t>3.45亿</t>
  </si>
  <si>
    <t>27.05亿</t>
  </si>
  <si>
    <t>17.13亿</t>
  </si>
  <si>
    <t>-1274.78万</t>
  </si>
  <si>
    <t>6.70亿</t>
  </si>
  <si>
    <t>8746.49万</t>
  </si>
  <si>
    <t>5.02亿</t>
  </si>
  <si>
    <t>6.69亿</t>
  </si>
  <si>
    <t>33.64亿</t>
  </si>
  <si>
    <t>其他橡胶制品</t>
  </si>
  <si>
    <t xml:space="preserve">    名称</t>
  </si>
  <si>
    <t>净利润?</t>
  </si>
  <si>
    <t>研发费用总额[20220630]</t>
  </si>
  <si>
    <t>扣非净利润</t>
  </si>
  <si>
    <t>营业总收入[20201231]</t>
  </si>
  <si>
    <t>投入资本回报率roic%[20211231]</t>
  </si>
  <si>
    <t>净资产收益率%[20211231]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</si>
  <si>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</si>
  <si>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</si>
  <si>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</si>
  <si>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</si>
  <si>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</si>
  <si>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</si>
  <si>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</si>
  <si>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</si>
  <si>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</si>
  <si>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</si>
  <si>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</si>
  <si>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</si>
  <si>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</si>
  <si>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</si>
  <si>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</si>
  <si>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亏损</t>
  </si>
  <si>
    <t>扭亏</t>
  </si>
  <si>
    <t>-1-0</t>
  </si>
  <si>
    <t>SZ301300</t>
  </si>
  <si>
    <t>远翔新材</t>
  </si>
  <si>
    <t>7687.01万</t>
  </si>
  <si>
    <t>6561.88万</t>
  </si>
  <si>
    <t>4337.38万</t>
  </si>
  <si>
    <t>4576.69万</t>
  </si>
  <si>
    <t>LY营业总收入[20211231]</t>
  </si>
  <si>
    <t>权益乘数[20220630]</t>
  </si>
  <si>
    <t>总资产周转率[20220630]</t>
  </si>
  <si>
    <t>净利润／营业总收入%[20220630]</t>
  </si>
  <si>
    <t>营业总成本[20220630]</t>
  </si>
  <si>
    <t>营业成本[20220630]</t>
  </si>
  <si>
    <t>管理费用[20220630]</t>
  </si>
  <si>
    <t>细分行业</t>
  </si>
  <si>
    <t>市销率</t>
    <phoneticPr fontId="1" type="noConversion"/>
  </si>
  <si>
    <t>价格右侧初期策略</t>
    <phoneticPr fontId="1" type="noConversion"/>
  </si>
  <si>
    <t>N-2</t>
    <phoneticPr fontId="1" type="noConversion"/>
  </si>
  <si>
    <t>3.93亿</t>
  </si>
  <si>
    <t>11.76亿</t>
  </si>
  <si>
    <t>7.28亿</t>
  </si>
  <si>
    <t>6.16亿</t>
  </si>
  <si>
    <t>炭黑</t>
  </si>
  <si>
    <t>5.96亿</t>
  </si>
  <si>
    <t>5.44亿</t>
  </si>
  <si>
    <t>2.42亿</t>
  </si>
  <si>
    <t>4.52亿</t>
  </si>
  <si>
    <t>5.15亿</t>
  </si>
  <si>
    <t>20.14亿</t>
  </si>
  <si>
    <t>20.82亿</t>
  </si>
  <si>
    <t>5.13亿</t>
  </si>
  <si>
    <t>9.75亿</t>
  </si>
  <si>
    <t>5.46亿</t>
  </si>
  <si>
    <t>12.49亿</t>
  </si>
  <si>
    <t>8.02亿</t>
  </si>
  <si>
    <t>5.99亿</t>
  </si>
  <si>
    <t>4.93亿</t>
  </si>
  <si>
    <t>2.65亿</t>
  </si>
  <si>
    <t>3.04亿</t>
  </si>
  <si>
    <t>18.35亿</t>
  </si>
  <si>
    <t>4.63亿</t>
  </si>
  <si>
    <t>2.59亿</t>
  </si>
  <si>
    <t>6.62亿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</si>
  <si>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</si>
  <si>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</si>
  <si>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</si>
  <si>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</si>
  <si>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</si>
  <si>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</si>
  <si>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</si>
  <si>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</si>
  <si>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</si>
  <si>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</si>
  <si>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</si>
  <si>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</si>
  <si>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</si>
  <si>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</si>
  <si>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</si>
  <si>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</si>
  <si>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</si>
  <si>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</si>
  <si>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</si>
  <si>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</si>
  <si>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</si>
  <si>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</si>
  <si>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</si>
  <si>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</si>
  <si>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</si>
  <si>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</si>
  <si>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</si>
  <si>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</si>
  <si>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</si>
  <si>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</si>
  <si>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</si>
  <si>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</si>
  <si>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过往营收增速均值</t>
    <phoneticPr fontId="1" type="noConversion"/>
  </si>
  <si>
    <t>折现率</t>
    <phoneticPr fontId="1" type="noConversion"/>
  </si>
  <si>
    <t>1年自由现金流折现</t>
    <phoneticPr fontId="1" type="noConversion"/>
  </si>
  <si>
    <t>1增速</t>
    <phoneticPr fontId="1" type="noConversion"/>
  </si>
  <si>
    <t>6年自由现金流折现</t>
    <phoneticPr fontId="1" type="noConversion"/>
  </si>
  <si>
    <t>6增速</t>
    <phoneticPr fontId="1" type="noConversion"/>
  </si>
  <si>
    <t>清算价格</t>
    <phoneticPr fontId="1" type="noConversion"/>
  </si>
  <si>
    <t>原始顺序</t>
    <phoneticPr fontId="1" type="noConversion"/>
  </si>
  <si>
    <t>策略1营收单季最佳增速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</si>
  <si>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</si>
  <si>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</si>
  <si>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</si>
  <si>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</si>
  <si>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量价齐升策略</t>
    <phoneticPr fontId="1" type="noConversion"/>
  </si>
  <si>
    <t>综合策略</t>
    <phoneticPr fontId="1" type="noConversion"/>
  </si>
  <si>
    <t>机会区域号</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</si>
  <si>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</si>
  <si>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</si>
  <si>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</si>
  <si>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</si>
  <si>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N-1</t>
    <phoneticPr fontId="1" type="noConversion"/>
  </si>
  <si>
    <t>N</t>
    <phoneticPr fontId="1" type="noConversion"/>
  </si>
  <si>
    <t>扣非对比净利润</t>
    <phoneticPr fontId="1" type="noConversion"/>
  </si>
  <si>
    <t>股利率</t>
    <phoneticPr fontId="1" type="noConversion"/>
  </si>
  <si>
    <t>过往利润增速均值</t>
    <phoneticPr fontId="1" type="noConversion"/>
  </si>
  <si>
    <t>3年自由现金流折现</t>
    <phoneticPr fontId="1" type="noConversion"/>
  </si>
  <si>
    <t>3增速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</si>
  <si>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</si>
  <si>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</si>
  <si>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</si>
  <si>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</si>
  <si>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策略1利润单季最佳增速</t>
    <phoneticPr fontId="1" type="noConversion"/>
  </si>
  <si>
    <t>成交量综合策略</t>
    <phoneticPr fontId="1" type="noConversion"/>
  </si>
  <si>
    <t>基本面排序</t>
    <phoneticPr fontId="1" type="noConversion"/>
  </si>
  <si>
    <t>5日成交换手率</t>
    <phoneticPr fontId="1" type="noConversion"/>
  </si>
  <si>
    <t>30日成交换手率</t>
    <phoneticPr fontId="1" type="noConversion"/>
  </si>
  <si>
    <t>N日期</t>
    <phoneticPr fontId="1" type="noConversion"/>
  </si>
  <si>
    <t>N-4</t>
    <phoneticPr fontId="1" type="noConversion"/>
  </si>
  <si>
    <t>N-3</t>
    <phoneticPr fontId="1" type="noConversion"/>
  </si>
  <si>
    <t>不分配不转增</t>
  </si>
  <si>
    <t>10派0.5元(含税)</t>
  </si>
  <si>
    <t>10派1元(含税)</t>
  </si>
  <si>
    <t>10派5元(含税)</t>
  </si>
  <si>
    <t>9.78亿</t>
  </si>
  <si>
    <t>10派0.3元(含税)</t>
  </si>
  <si>
    <t>10派2.5元(含税)</t>
  </si>
  <si>
    <t>10派1.2元(含税)</t>
  </si>
  <si>
    <t>10派4元(含税)</t>
  </si>
  <si>
    <t>1-0</t>
  </si>
  <si>
    <r>
      <t>1.锂电领域需求近几年增长较快，</t>
    </r>
    <r>
      <rPr>
        <sz val="9"/>
        <color rgb="FFFF0000"/>
        <rFont val="宋体"/>
        <family val="3"/>
        <charset val="134"/>
        <scheme val="minor"/>
      </rPr>
      <t>导电炭黑</t>
    </r>
    <r>
      <rPr>
        <sz val="9"/>
        <color theme="1"/>
        <rFont val="宋体"/>
        <family val="2"/>
        <charset val="134"/>
        <scheme val="minor"/>
      </rPr>
      <t>在锂电池中作为一种辅材主要应用添加在电池正极和负极，提升导电性能；</t>
    </r>
    <phoneticPr fontId="1" type="noConversion"/>
  </si>
  <si>
    <t>1-1</t>
  </si>
  <si>
    <t>2-0</t>
  </si>
  <si>
    <t>7.71亿</t>
  </si>
  <si>
    <t>-3-0</t>
  </si>
  <si>
    <t>4.84亿</t>
  </si>
  <si>
    <t>18.10亿</t>
  </si>
  <si>
    <t>9.58亿</t>
  </si>
  <si>
    <t>98.93亿</t>
  </si>
  <si>
    <t>6.65亿</t>
  </si>
  <si>
    <t>-2-1</t>
  </si>
  <si>
    <t>4.33亿</t>
  </si>
  <si>
    <t>4.97亿</t>
  </si>
  <si>
    <t>23.35亿</t>
  </si>
  <si>
    <t>4.04亿</t>
  </si>
  <si>
    <t>11.02亿</t>
  </si>
  <si>
    <t>10.54亿</t>
  </si>
  <si>
    <t>6.91亿</t>
  </si>
  <si>
    <t>45.60亿</t>
  </si>
  <si>
    <t>45.04亿</t>
  </si>
  <si>
    <t>3938.37万</t>
  </si>
  <si>
    <t>6.63亿</t>
  </si>
  <si>
    <t>4.13亿</t>
  </si>
  <si>
    <t>6.92亿</t>
  </si>
  <si>
    <t>35.17亿</t>
  </si>
  <si>
    <t>7.82亿</t>
  </si>
  <si>
    <t>-1.32亿</t>
  </si>
  <si>
    <t>2.56亿</t>
  </si>
  <si>
    <t>26.30亿</t>
  </si>
  <si>
    <t>15.64亿</t>
  </si>
  <si>
    <t>5.42亿</t>
  </si>
  <si>
    <t>17.20亿</t>
  </si>
  <si>
    <t>12.70亿</t>
  </si>
  <si>
    <t>-1.84亿</t>
  </si>
  <si>
    <t>-4-1</t>
  </si>
  <si>
    <t>6.29亿</t>
  </si>
  <si>
    <t>-2671.19万</t>
  </si>
  <si>
    <t>8.97亿</t>
  </si>
  <si>
    <t>6.53亿</t>
  </si>
  <si>
    <t>15.07亿</t>
  </si>
  <si>
    <t>10派3.5元(含税)</t>
  </si>
  <si>
    <t>6.12亿</t>
  </si>
  <si>
    <t>9.30亿</t>
  </si>
  <si>
    <t>8.34亿</t>
  </si>
  <si>
    <t>5326.23万</t>
  </si>
  <si>
    <t>SZ301323</t>
  </si>
  <si>
    <t>新莱福</t>
  </si>
  <si>
    <t>7.15亿</t>
  </si>
  <si>
    <t>7.83亿</t>
  </si>
  <si>
    <t>9652.17万</t>
  </si>
  <si>
    <t>7582.92万</t>
  </si>
  <si>
    <t>5.55亿</t>
  </si>
  <si>
    <t>SZ301459</t>
  </si>
  <si>
    <t>丰茂股份</t>
  </si>
  <si>
    <t>4.19亿</t>
  </si>
  <si>
    <t>4.20亿</t>
  </si>
  <si>
    <t>7001.84万</t>
  </si>
  <si>
    <t>5557.28万</t>
  </si>
  <si>
    <t>4398.10万</t>
  </si>
  <si>
    <t>11.15万</t>
  </si>
  <si>
    <t>17.75亿</t>
  </si>
  <si>
    <t>38.73亿</t>
  </si>
  <si>
    <t>11.19亿</t>
  </si>
  <si>
    <t>7.52亿</t>
  </si>
  <si>
    <t>23.20亿</t>
  </si>
  <si>
    <t>9.48亿</t>
  </si>
  <si>
    <t>8.89亿</t>
  </si>
  <si>
    <t>17.46亿</t>
  </si>
  <si>
    <t>14.75亿</t>
  </si>
  <si>
    <t>5.19亿</t>
  </si>
  <si>
    <r>
      <t>0.按照曝光波长，</t>
    </r>
    <r>
      <rPr>
        <sz val="9"/>
        <color rgb="FFFF0000"/>
        <rFont val="宋体"/>
        <family val="3"/>
        <charset val="134"/>
        <scheme val="minor"/>
      </rPr>
      <t>半导体光刻胶可分为紫外宽谱 （300-450nm）、G  线（436nm）、I  线（365nm）、KrF（248nm）、ArF（193nm）、EUV（13.5nm）等  6 个主要品类</t>
    </r>
    <r>
      <rPr>
        <sz val="9"/>
        <color theme="1"/>
        <rFont val="宋体"/>
        <family val="2"/>
        <charset val="134"/>
        <scheme val="minor"/>
      </rPr>
      <t>。1.由于可比公司所属的橡胶 助剂、半导体光刻胶和显示面板光刻胶存在一定差异，公司 PE 估值低于半导 体光刻胶上市公司</t>
    </r>
    <r>
      <rPr>
        <sz val="9"/>
        <color rgb="FFFF0000"/>
        <rFont val="宋体"/>
        <family val="3"/>
        <charset val="134"/>
        <scheme val="minor"/>
      </rPr>
      <t>晶瑞电材、南大光电、上海新阳</t>
    </r>
    <r>
      <rPr>
        <sz val="9"/>
        <color theme="1"/>
        <rFont val="宋体"/>
        <family val="2"/>
        <charset val="134"/>
        <scheme val="minor"/>
      </rPr>
      <t>等；高于橡胶助剂上市公司阳谷华泰；略高于</t>
    </r>
    <r>
      <rPr>
        <sz val="9"/>
        <color rgb="FFFF0000"/>
        <rFont val="宋体"/>
        <family val="3"/>
        <charset val="134"/>
        <scheme val="minor"/>
      </rPr>
      <t>显示面板光刻胶上市公司雅克科技</t>
    </r>
    <r>
      <rPr>
        <sz val="9"/>
        <color theme="1"/>
        <rFont val="宋体"/>
        <family val="2"/>
        <charset val="134"/>
        <scheme val="minor"/>
      </rPr>
      <t>；</t>
    </r>
    <phoneticPr fontId="1" type="noConversion"/>
  </si>
  <si>
    <r>
      <t>1.问：公司的半导体光刻胶主要客户有哪些？答：公司下属北京科华是本土半导体光刻胶龙头企业，唯一被SEMI列入全球光刻胶八强的中国光刻胶公司，目前拥有KrF（248nm）、g线、i线、半导体负胶、封装胶等产品，</t>
    </r>
    <r>
      <rPr>
        <b/>
        <sz val="9"/>
        <color rgb="FFFF0000"/>
        <rFont val="宋体"/>
        <family val="3"/>
        <charset val="134"/>
        <scheme val="minor"/>
      </rPr>
      <t>是KrF光刻胶国家02专项的承担单位</t>
    </r>
    <r>
      <rPr>
        <sz val="9"/>
        <color theme="1"/>
        <rFont val="宋体"/>
        <family val="2"/>
        <charset val="134"/>
        <scheme val="minor"/>
      </rPr>
      <t>，国内首家批量供应KrF光刻胶给本土8寸和12寸的晶圆厂客户。国内所有的6寸客户全部处于合作或在开发中，G/I线光刻胶在6寸市场占有率在60%以上；8寸用户增至15家，12寸客户增至8家。目前已同国内大部分半导体客户建立了战略合作关系，成为中芯国际、上海华力微电子、长江存储、武汉新芯、上海华虹宏力、华虹半导体（无锡）、华润上华、杭州士兰、吉林华微电子、中芯集成（绍兴）、北京燕东微电子、三安光电、华灿光电等行业顶尖客户的稳定合作伙伴。2.公司是全球橡胶助剂 产品序列最齐全的供应商之一；</t>
    </r>
    <phoneticPr fontId="1" type="noConversion"/>
  </si>
  <si>
    <t>154.44万</t>
  </si>
  <si>
    <t>橡胶制品</t>
  </si>
  <si>
    <t>5.97亿</t>
  </si>
  <si>
    <t>17.86亿</t>
  </si>
  <si>
    <t>19.17亿</t>
  </si>
  <si>
    <t>259.88万</t>
  </si>
  <si>
    <t>796.52万</t>
  </si>
  <si>
    <t>-2084800亿</t>
  </si>
  <si>
    <t>54671757亿</t>
  </si>
  <si>
    <t>7.99亿</t>
  </si>
  <si>
    <t>430936640亿</t>
  </si>
  <si>
    <t>2186.04万</t>
  </si>
  <si>
    <t>1536796600亿</t>
  </si>
  <si>
    <t>2437.11万</t>
  </si>
  <si>
    <t>2852.70万</t>
  </si>
  <si>
    <t>-2465.84万</t>
  </si>
  <si>
    <t>-2715.01万</t>
  </si>
  <si>
    <t>1753.17万</t>
  </si>
  <si>
    <t>992.33万</t>
  </si>
  <si>
    <t>8212.29万</t>
  </si>
  <si>
    <t>910.67万</t>
  </si>
  <si>
    <t>47.71亿</t>
  </si>
  <si>
    <t>31.74亿</t>
  </si>
  <si>
    <t>23.85亿</t>
  </si>
  <si>
    <t>94.51亿</t>
  </si>
  <si>
    <t>-2.43亿</t>
  </si>
  <si>
    <t>23.75亿</t>
  </si>
  <si>
    <t>22.69亿</t>
  </si>
  <si>
    <t>1692.46万</t>
  </si>
  <si>
    <t>4866.86万</t>
  </si>
  <si>
    <t>-6019703亿</t>
  </si>
  <si>
    <t>73.01万</t>
  </si>
  <si>
    <t>-2504137亿</t>
  </si>
  <si>
    <t>8.41亿</t>
  </si>
  <si>
    <t>1916177500亿</t>
  </si>
  <si>
    <t>805.86万</t>
  </si>
  <si>
    <t>4687671600亿</t>
  </si>
  <si>
    <t>11.60亿</t>
  </si>
  <si>
    <t>13.51亿</t>
  </si>
  <si>
    <t>7.80亿</t>
  </si>
  <si>
    <t>43.35亿</t>
  </si>
  <si>
    <t>7597.67万</t>
  </si>
  <si>
    <t>4.02亿</t>
  </si>
  <si>
    <t>897.51万</t>
  </si>
  <si>
    <t>22.06亿</t>
  </si>
  <si>
    <t>-1.04亿</t>
  </si>
  <si>
    <t>5165.62万</t>
  </si>
  <si>
    <t>233.34万</t>
  </si>
  <si>
    <t>6.94亿</t>
  </si>
  <si>
    <t>32.78亿</t>
  </si>
  <si>
    <t>6908.97万</t>
  </si>
  <si>
    <t>9582.89万</t>
  </si>
  <si>
    <t>318.15万</t>
  </si>
  <si>
    <t>2273.86万</t>
  </si>
  <si>
    <t>-1046501亿</t>
  </si>
  <si>
    <t>8.59万</t>
  </si>
  <si>
    <t>9401188亿</t>
  </si>
  <si>
    <t>113487463亿</t>
  </si>
  <si>
    <t>1054.41万</t>
  </si>
  <si>
    <t>2042878400亿</t>
  </si>
  <si>
    <t>2420.91万</t>
  </si>
  <si>
    <t>1819.50万</t>
  </si>
  <si>
    <t>-2975.31万</t>
  </si>
  <si>
    <t>-1.57亿</t>
  </si>
  <si>
    <t>6479.99万</t>
  </si>
  <si>
    <t>576.03万</t>
  </si>
  <si>
    <t>1406.86万</t>
  </si>
  <si>
    <t>-5-1</t>
  </si>
  <si>
    <t>186.28万</t>
  </si>
  <si>
    <t>16.10亿</t>
  </si>
  <si>
    <t>21.85亿</t>
  </si>
  <si>
    <t>25.93亿</t>
  </si>
  <si>
    <t>1713.21万</t>
  </si>
  <si>
    <t>2551.74万</t>
  </si>
  <si>
    <t>-410355亿</t>
  </si>
  <si>
    <t>30.41万</t>
  </si>
  <si>
    <t>49339954亿</t>
  </si>
  <si>
    <t>693739890亿</t>
  </si>
  <si>
    <t>283.93万</t>
  </si>
  <si>
    <t>2274603600亿</t>
  </si>
  <si>
    <t>9.26亿</t>
  </si>
  <si>
    <t>7402.75万</t>
  </si>
  <si>
    <t>-270.33万</t>
  </si>
  <si>
    <t>-6717.77万</t>
  </si>
  <si>
    <t>5617.50万</t>
  </si>
  <si>
    <t>5434.26万</t>
  </si>
  <si>
    <t>1151.98万</t>
  </si>
  <si>
    <t>490.03万</t>
  </si>
  <si>
    <t>18.42亿</t>
  </si>
  <si>
    <t>42.72亿</t>
  </si>
  <si>
    <t>8.96亿</t>
  </si>
  <si>
    <t>712.67万</t>
  </si>
  <si>
    <t>4168.17万</t>
  </si>
  <si>
    <t>361779亿</t>
  </si>
  <si>
    <t>10.07万</t>
  </si>
  <si>
    <t>26972045亿</t>
  </si>
  <si>
    <t>895633740亿</t>
  </si>
  <si>
    <t>3143437800亿</t>
  </si>
  <si>
    <t>-3.75亿</t>
  </si>
  <si>
    <t>8.12亿</t>
  </si>
  <si>
    <t>1273.66万</t>
  </si>
  <si>
    <t>2902.43万</t>
  </si>
  <si>
    <t>3.22亿</t>
  </si>
  <si>
    <t>212.27万</t>
  </si>
  <si>
    <t>23.09亿</t>
  </si>
  <si>
    <t>9.60亿</t>
  </si>
  <si>
    <t>45.63亿</t>
  </si>
  <si>
    <t>463.80万</t>
  </si>
  <si>
    <t>1392.82万</t>
  </si>
  <si>
    <t>2927955亿</t>
  </si>
  <si>
    <t>45.49万</t>
  </si>
  <si>
    <t>31168742亿</t>
  </si>
  <si>
    <t>649332480亿</t>
  </si>
  <si>
    <t>1851368000亿</t>
  </si>
  <si>
    <t>7006.50万</t>
  </si>
  <si>
    <t>-6443.77万</t>
  </si>
  <si>
    <t>2454.64万</t>
  </si>
  <si>
    <t>-48.08万</t>
  </si>
  <si>
    <t>-454.05万</t>
  </si>
  <si>
    <t>10派1.37元(含税)</t>
  </si>
  <si>
    <t>1328.12万</t>
  </si>
  <si>
    <t>185.92万</t>
  </si>
  <si>
    <t>12.09亿</t>
  </si>
  <si>
    <t>32.54亿</t>
  </si>
  <si>
    <t>34.55亿</t>
  </si>
  <si>
    <t>6.61亿</t>
  </si>
  <si>
    <t>2107.45万</t>
  </si>
  <si>
    <t>3596.12万</t>
  </si>
  <si>
    <t>2729892亿</t>
  </si>
  <si>
    <t>90.05万</t>
  </si>
  <si>
    <t>70640602亿</t>
  </si>
  <si>
    <t>8.79亿</t>
  </si>
  <si>
    <t>966362780亿</t>
  </si>
  <si>
    <t>4354.42万</t>
  </si>
  <si>
    <t>2719240800亿</t>
  </si>
  <si>
    <t>4.98亿</t>
  </si>
  <si>
    <t>8386.00万</t>
  </si>
  <si>
    <t>4.08亿</t>
  </si>
  <si>
    <t>-1.67亿</t>
  </si>
  <si>
    <t>8.11亿</t>
  </si>
  <si>
    <t>8849.55万</t>
  </si>
  <si>
    <t>1110.05万</t>
  </si>
  <si>
    <t>488.92万</t>
  </si>
  <si>
    <t>13.75亿</t>
  </si>
  <si>
    <t>22.66亿</t>
  </si>
  <si>
    <t>6.19亿</t>
  </si>
  <si>
    <t>2042.97万</t>
  </si>
  <si>
    <t>1848.40万</t>
  </si>
  <si>
    <t>4102亿</t>
  </si>
  <si>
    <t>1.25万</t>
  </si>
  <si>
    <t>39817766亿</t>
  </si>
  <si>
    <t>1317202060亿</t>
  </si>
  <si>
    <t>2375005500亿</t>
  </si>
  <si>
    <t>2008.40万</t>
  </si>
  <si>
    <t>9832.37万</t>
  </si>
  <si>
    <t>4002.59万</t>
  </si>
  <si>
    <t>2144.17万</t>
  </si>
  <si>
    <t>-3331.87万</t>
  </si>
  <si>
    <t>743.64万</t>
  </si>
  <si>
    <t>5.53亿</t>
  </si>
  <si>
    <t>3273.67万</t>
  </si>
  <si>
    <t>10派0.25元(含税)</t>
  </si>
  <si>
    <t>2707.59万</t>
  </si>
  <si>
    <t>717.98万</t>
  </si>
  <si>
    <t>28.50亿</t>
  </si>
  <si>
    <t>24.62亿</t>
  </si>
  <si>
    <t>-6.54亿</t>
  </si>
  <si>
    <t>1593.67万</t>
  </si>
  <si>
    <t>5999.15万</t>
  </si>
  <si>
    <t>-1052569亿</t>
  </si>
  <si>
    <t>49.21万</t>
  </si>
  <si>
    <t>17014334亿</t>
  </si>
  <si>
    <t>1394476800亿</t>
  </si>
  <si>
    <t>2947323100亿</t>
  </si>
  <si>
    <t>6.18亿</t>
  </si>
  <si>
    <t>-2.54亿</t>
  </si>
  <si>
    <t>-882.81万</t>
  </si>
  <si>
    <t>5430.65万</t>
  </si>
  <si>
    <t>810.33万</t>
  </si>
  <si>
    <t>2545.71万</t>
  </si>
  <si>
    <t>1170.20万</t>
  </si>
  <si>
    <t>1391.75万</t>
  </si>
  <si>
    <t>38542亿</t>
  </si>
  <si>
    <t>11.40万</t>
  </si>
  <si>
    <t>517419亿</t>
  </si>
  <si>
    <t>123125928亿</t>
  </si>
  <si>
    <t>3844.44万</t>
  </si>
  <si>
    <t>542098770亿</t>
  </si>
  <si>
    <t>1089.39万</t>
  </si>
  <si>
    <t>6283.85万</t>
  </si>
  <si>
    <t>2468.68万</t>
  </si>
  <si>
    <t>2.67亿</t>
  </si>
  <si>
    <t>3390.00万</t>
  </si>
  <si>
    <t>-483.92万</t>
  </si>
  <si>
    <t>-1136.57万</t>
  </si>
  <si>
    <t>2394.29万</t>
  </si>
  <si>
    <t>8590.32万</t>
  </si>
  <si>
    <t>-560.07万</t>
  </si>
  <si>
    <t>1875.69万</t>
  </si>
  <si>
    <t>297.42万</t>
  </si>
  <si>
    <t>10.73亿</t>
  </si>
  <si>
    <t>-4113.42万</t>
  </si>
  <si>
    <t>7881.59万</t>
  </si>
  <si>
    <t>1953.66万</t>
  </si>
  <si>
    <t>1173.65万</t>
  </si>
  <si>
    <t>239256亿</t>
  </si>
  <si>
    <t>121.87万</t>
  </si>
  <si>
    <t>-11838392亿</t>
  </si>
  <si>
    <t>773376030亿</t>
  </si>
  <si>
    <t>2278.17万</t>
  </si>
  <si>
    <t>1878033400亿</t>
  </si>
  <si>
    <t>6700.94万</t>
  </si>
  <si>
    <t>5352.73万</t>
  </si>
  <si>
    <t>6677.22万</t>
  </si>
  <si>
    <t>-797.39万</t>
  </si>
  <si>
    <t>2566.08万</t>
  </si>
  <si>
    <t>406.78万</t>
  </si>
  <si>
    <t>1751.16万</t>
  </si>
  <si>
    <t>48.52万</t>
  </si>
  <si>
    <t>8.16亿</t>
  </si>
  <si>
    <t>48.23亿</t>
  </si>
  <si>
    <t>9453.97万</t>
  </si>
  <si>
    <t>8275.83万</t>
  </si>
  <si>
    <t>64.06万</t>
  </si>
  <si>
    <t>866.87万</t>
  </si>
  <si>
    <t>268600亿</t>
  </si>
  <si>
    <t>6335354亿</t>
  </si>
  <si>
    <t>124611076亿</t>
  </si>
  <si>
    <t>6277.63万</t>
  </si>
  <si>
    <t>798704530亿</t>
  </si>
  <si>
    <t>148.19万</t>
  </si>
  <si>
    <t>2001.24万</t>
  </si>
  <si>
    <t>376.61万</t>
  </si>
  <si>
    <t>5606.18万</t>
  </si>
  <si>
    <t>-3680.42万</t>
  </si>
  <si>
    <t>3440.67万</t>
  </si>
  <si>
    <t>234.40万</t>
  </si>
  <si>
    <t>2034.83万</t>
  </si>
  <si>
    <t>73.79万</t>
  </si>
  <si>
    <t>20.21亿</t>
  </si>
  <si>
    <t>7.95亿</t>
  </si>
  <si>
    <t>844.79万</t>
  </si>
  <si>
    <t>1673.65万</t>
  </si>
  <si>
    <t>1466175亿</t>
  </si>
  <si>
    <t>2.77万</t>
  </si>
  <si>
    <t>34191805亿</t>
  </si>
  <si>
    <t>134935300亿</t>
  </si>
  <si>
    <t>1206.86万</t>
  </si>
  <si>
    <t>791107590亿</t>
  </si>
  <si>
    <t>7592.83万</t>
  </si>
  <si>
    <t>4808.83万</t>
  </si>
  <si>
    <t>9310.57万</t>
  </si>
  <si>
    <t>1497.36万</t>
  </si>
  <si>
    <t>2330.94万</t>
  </si>
  <si>
    <t>-3429.33万</t>
  </si>
  <si>
    <t>6725.74万</t>
  </si>
  <si>
    <t>850.68万</t>
  </si>
  <si>
    <t>5124.50万</t>
  </si>
  <si>
    <t>45.11万</t>
  </si>
  <si>
    <t>6.04亿</t>
  </si>
  <si>
    <t>750.61万</t>
  </si>
  <si>
    <t>711.80万</t>
  </si>
  <si>
    <t>1632317亿</t>
  </si>
  <si>
    <t>204.17万</t>
  </si>
  <si>
    <t>29793366亿</t>
  </si>
  <si>
    <t>198347820亿</t>
  </si>
  <si>
    <t>4703.99万</t>
  </si>
  <si>
    <t>1159311230亿</t>
  </si>
  <si>
    <t>8171.54万</t>
  </si>
  <si>
    <t>268.87万</t>
  </si>
  <si>
    <t>1054.75万</t>
  </si>
  <si>
    <t>-907.01万</t>
  </si>
  <si>
    <t>3041.39万</t>
  </si>
  <si>
    <t>315.35万</t>
  </si>
  <si>
    <t>3048.12万</t>
  </si>
  <si>
    <t>206.67万</t>
  </si>
  <si>
    <t>69.49亿</t>
  </si>
  <si>
    <t>36.28亿</t>
  </si>
  <si>
    <t>45.99亿</t>
  </si>
  <si>
    <t>11.35亿</t>
  </si>
  <si>
    <t>662.03万</t>
  </si>
  <si>
    <t>2857.56万</t>
  </si>
  <si>
    <t>4627834亿</t>
  </si>
  <si>
    <t>6.47万</t>
  </si>
  <si>
    <t>26325359亿</t>
  </si>
  <si>
    <t>1166575510亿</t>
  </si>
  <si>
    <t>133.40万</t>
  </si>
  <si>
    <t>2402926900亿</t>
  </si>
  <si>
    <t>50.39亿</t>
  </si>
  <si>
    <t>18.57亿</t>
  </si>
  <si>
    <t>16.02亿</t>
  </si>
  <si>
    <t>44.05亿</t>
  </si>
  <si>
    <t>27.17亿</t>
  </si>
  <si>
    <t>-853.61万</t>
  </si>
  <si>
    <t>-1.41亿</t>
  </si>
  <si>
    <t>38.95亿</t>
  </si>
  <si>
    <t>8.45亿</t>
  </si>
  <si>
    <t>9202.20万</t>
  </si>
  <si>
    <t>1033.86万</t>
  </si>
  <si>
    <t>6915.05万</t>
  </si>
  <si>
    <t>651.19万</t>
  </si>
  <si>
    <t>38.29亿</t>
  </si>
  <si>
    <t>35.49亿</t>
  </si>
  <si>
    <t>2003.75万</t>
  </si>
  <si>
    <t>5.88亿</t>
  </si>
  <si>
    <t>2539.21万</t>
  </si>
  <si>
    <t>4580.59万</t>
  </si>
  <si>
    <t>41469093亿</t>
  </si>
  <si>
    <t>7427.00万</t>
  </si>
  <si>
    <t>84702481亿</t>
  </si>
  <si>
    <t>8.57亿</t>
  </si>
  <si>
    <t>768828090亿</t>
  </si>
  <si>
    <t>6671.11万</t>
  </si>
  <si>
    <t>2488633400亿</t>
  </si>
  <si>
    <t>7.29万</t>
  </si>
  <si>
    <t>14.72亿</t>
  </si>
  <si>
    <t>4530.44万</t>
  </si>
  <si>
    <t>-1.46亿</t>
  </si>
  <si>
    <t>29.44亿</t>
  </si>
  <si>
    <t>3923.66万</t>
  </si>
  <si>
    <t>4.07亿</t>
  </si>
  <si>
    <t>260.19万</t>
  </si>
  <si>
    <t>10派5.9元(含税)</t>
  </si>
  <si>
    <t>3712.98万</t>
  </si>
  <si>
    <t>020037500</t>
  </si>
  <si>
    <t>060112500</t>
  </si>
  <si>
    <t>0120225000</t>
  </si>
  <si>
    <t>0200375000</t>
  </si>
  <si>
    <t>0400750000</t>
  </si>
  <si>
    <t>163.74万</t>
  </si>
  <si>
    <t>30.30亿</t>
  </si>
  <si>
    <t>6000.00万</t>
  </si>
  <si>
    <t>373.46万</t>
  </si>
  <si>
    <t>1550.29万</t>
  </si>
  <si>
    <t>2253364亿</t>
  </si>
  <si>
    <t>391.73万</t>
  </si>
  <si>
    <t>115790373亿</t>
  </si>
  <si>
    <t>522478560亿</t>
  </si>
  <si>
    <t>2217777900亿</t>
  </si>
  <si>
    <t>6161.51万</t>
  </si>
  <si>
    <t>4692.00万</t>
  </si>
  <si>
    <t>-8132.34万</t>
  </si>
  <si>
    <t>-7344.32万</t>
  </si>
  <si>
    <t>6127.52万</t>
  </si>
  <si>
    <t>994.33万</t>
  </si>
  <si>
    <t>830.25万</t>
  </si>
  <si>
    <t>6301.64万</t>
  </si>
  <si>
    <t>060000000</t>
  </si>
  <si>
    <t>0180000000</t>
  </si>
  <si>
    <t>0360000000</t>
  </si>
  <si>
    <t>0600000000</t>
  </si>
  <si>
    <t>01200000000</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</si>
</sst>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2"/>
      <charset val="134"/>
      <scheme val="minor"/>
    </font>
    <font>
      <b/>
      <sz val="9"/>
      <color rgb="FFFF0000"/>
      <name val="宋体"/>
      <family val="3"/>
      <charset val="134"/>
      <scheme val="minor"/>
    </font>
    <font>
      <sz val="11"/>
      <color rgb="FFFF0000"/>
      <name val="宋体"/>
      <family val="2"/>
      <charset val="134"/>
      <scheme val="minor"/>
    </font>
    <font>
      <sz val="11"/>
      <name val="宋体"/>
      <family val="2"/>
      <charset val="134"/>
      <scheme val="minor"/>
    </font>
    <font>
      <sz val="9"/>
      <color rgb="FFFF0000"/>
      <name val="宋体"/>
      <family val="3"/>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3" fillId="0" borderId="0" xfId="0" applyFont="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4" fillId="0" borderId="0" xfId="0" applyFont="1" applyAlignment="1">
      <alignment vertical="center" wrapText="1"/>
    </xf>
    <xf numFmtId="0" fontId="0" fillId="4" borderId="0" xfId="0" applyFill="1">
      <alignment vertical="center"/>
    </xf>
    <xf numFmtId="0" fontId="0" fillId="5" borderId="0" xfId="0" applyFill="1">
      <alignment vertical="center"/>
    </xf>
    <xf numFmtId="0" fontId="7" fillId="0" borderId="0" xfId="0" applyFont="1">
      <alignment vertical="center"/>
    </xf>
    <xf numFmtId="0" fontId="6" fillId="0" borderId="0" xfId="0" applyFont="1">
      <alignment vertical="center"/>
    </xf>
    <xf numFmtId="0" fontId="7"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323850</xdr:colOff>
          <xdr:row>0</xdr:row>
          <xdr:rowOff>101600</xdr:rowOff>
        </xdr:from>
        <xdr:to>
          <xdr:col>147</xdr:col>
          <xdr:colOff>1511300</xdr:colOff>
          <xdr:row>0</xdr:row>
          <xdr:rowOff>412750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8"/>
  <sheetViews>
    <sheetView tabSelected="1" zoomScale="85" zoomScaleNormal="85" workbookViewId="0">
      <pane xSplit="5" ySplit="1" topLeftCell="F2" activePane="bottomRight" state="frozen"/>
      <selection pane="topRight" activeCell="F1" sqref="F1"/>
      <selection pane="bottomLeft" activeCell="A2" sqref="A2"/>
      <selection pane="bottomRight" activeCell="D18" sqref="D18:EP18"/>
    </sheetView>
  </sheetViews>
  <sheetFormatPr defaultRowHeight="14" x14ac:dyDescent="0.25"/>
  <cols>
    <col min="1" max="1" width="43.26953125" customWidth="1"/>
    <col min="2" max="2" width="53.1796875" customWidth="1"/>
    <col min="3" max="3" width="52.36328125" customWidth="1"/>
    <col min="148" max="148" width="26.36328125" customWidth="1"/>
  </cols>
  <sheetData>
    <row r="1" spans="1:146" s="3" customFormat="1" ht="43.5" customHeight="1" x14ac:dyDescent="0.25">
      <c r="A1" s="4" t="s">
        <v>16</v>
      </c>
      <c r="B1" s="5" t="s">
        <v>17</v>
      </c>
      <c r="C1" s="4" t="s">
        <v>18</v>
      </c>
      <c r="D1" t="s">
        <v>19</v>
      </c>
      <c r="E1" t="s">
        <v>272</v>
      </c>
      <c r="F1" t="s">
        <v>3</v>
      </c>
      <c r="G1" t="s">
        <v>339</v>
      </c>
      <c r="H1" t="s">
        <v>340</v>
      </c>
      <c r="I1" t="s">
        <v>20</v>
      </c>
      <c r="J1" t="s">
        <v>21</v>
      </c>
      <c r="K1" t="s">
        <v>4</v>
      </c>
      <c r="L1" t="s">
        <v>22</v>
      </c>
      <c r="M1" t="s">
        <v>23</v>
      </c>
      <c r="N1" t="s">
        <v>24</v>
      </c>
      <c r="O1" t="s">
        <v>25</v>
      </c>
      <c r="P1" t="s">
        <v>341</v>
      </c>
      <c r="Q1" t="s">
        <v>303</v>
      </c>
      <c r="R1" t="s">
        <v>273</v>
      </c>
      <c r="S1" t="s">
        <v>26</v>
      </c>
      <c r="T1" t="s">
        <v>342</v>
      </c>
      <c r="U1" t="s">
        <v>253</v>
      </c>
      <c r="V1" t="s">
        <v>27</v>
      </c>
      <c r="W1" t="s">
        <v>304</v>
      </c>
      <c r="X1" t="s">
        <v>305</v>
      </c>
      <c r="Y1" t="s">
        <v>306</v>
      </c>
      <c r="Z1" t="s">
        <v>307</v>
      </c>
      <c r="AA1" t="s">
        <v>308</v>
      </c>
      <c r="AB1" t="s">
        <v>343</v>
      </c>
      <c r="AC1" t="s">
        <v>309</v>
      </c>
      <c r="AD1" t="s">
        <v>274</v>
      </c>
      <c r="AE1" t="s">
        <v>28</v>
      </c>
      <c r="AF1" t="s">
        <v>29</v>
      </c>
      <c r="AG1" t="s">
        <v>344</v>
      </c>
      <c r="AH1" t="s">
        <v>275</v>
      </c>
      <c r="AI1" t="s">
        <v>345</v>
      </c>
      <c r="AJ1" t="s">
        <v>30</v>
      </c>
      <c r="AK1" t="s">
        <v>346</v>
      </c>
      <c r="AL1" t="s">
        <v>141</v>
      </c>
      <c r="AM1" t="s">
        <v>347</v>
      </c>
      <c r="AN1" t="s">
        <v>348</v>
      </c>
      <c r="AO1" t="s">
        <v>349</v>
      </c>
      <c r="AP1" t="s">
        <v>350</v>
      </c>
      <c r="AQ1" t="s">
        <v>351</v>
      </c>
      <c r="AR1" t="s">
        <v>352</v>
      </c>
      <c r="AS1" t="s">
        <v>353</v>
      </c>
      <c r="AT1" t="s">
        <v>354</v>
      </c>
      <c r="AU1" t="s">
        <v>355</v>
      </c>
      <c r="AV1" t="s">
        <v>356</v>
      </c>
      <c r="AW1" t="s">
        <v>357</v>
      </c>
      <c r="AX1" t="s">
        <v>276</v>
      </c>
      <c r="AY1" t="s">
        <v>142</v>
      </c>
      <c r="AZ1" t="s">
        <v>143</v>
      </c>
      <c r="BA1" t="s">
        <v>144</v>
      </c>
      <c r="BB1" t="s">
        <v>145</v>
      </c>
      <c r="BC1" t="s">
        <v>254</v>
      </c>
      <c r="BD1" t="s">
        <v>146</v>
      </c>
      <c r="BE1" t="s">
        <v>147</v>
      </c>
      <c r="BF1" t="s">
        <v>148</v>
      </c>
      <c r="BG1" t="s">
        <v>149</v>
      </c>
      <c r="BH1" t="s">
        <v>358</v>
      </c>
      <c r="BI1" t="s">
        <v>359</v>
      </c>
      <c r="BJ1" t="s">
        <v>360</v>
      </c>
      <c r="BK1" t="s">
        <v>361</v>
      </c>
      <c r="BL1" t="s">
        <v>362</v>
      </c>
      <c r="BM1" t="s">
        <v>363</v>
      </c>
      <c r="BN1" t="s">
        <v>277</v>
      </c>
      <c r="BO1" t="s">
        <v>255</v>
      </c>
      <c r="BP1" t="s">
        <v>150</v>
      </c>
      <c r="BQ1" t="s">
        <v>278</v>
      </c>
      <c r="BR1" t="s">
        <v>256</v>
      </c>
      <c r="BS1" t="s">
        <v>151</v>
      </c>
      <c r="BT1" t="s">
        <v>364</v>
      </c>
      <c r="BU1" t="s">
        <v>310</v>
      </c>
      <c r="BV1" t="s">
        <v>365</v>
      </c>
      <c r="BW1" t="s">
        <v>152</v>
      </c>
      <c r="BX1" t="s">
        <v>153</v>
      </c>
      <c r="BY1" t="s">
        <v>366</v>
      </c>
      <c r="BZ1" t="s">
        <v>154</v>
      </c>
      <c r="CA1" t="s">
        <v>155</v>
      </c>
      <c r="CB1" t="s">
        <v>367</v>
      </c>
      <c r="CC1" t="s">
        <v>368</v>
      </c>
      <c r="CD1" t="s">
        <v>369</v>
      </c>
      <c r="CE1" t="s">
        <v>370</v>
      </c>
      <c r="CF1" s="1" t="s">
        <v>279</v>
      </c>
      <c r="CG1" s="1" t="s">
        <v>280</v>
      </c>
      <c r="CH1" s="1" t="s">
        <v>281</v>
      </c>
      <c r="CI1" s="1" t="s">
        <v>282</v>
      </c>
      <c r="CJ1" s="1" t="s">
        <v>283</v>
      </c>
      <c r="CK1" s="1" t="s">
        <v>284</v>
      </c>
      <c r="CL1" s="1" t="s">
        <v>285</v>
      </c>
      <c r="CM1" s="1" t="s">
        <v>286</v>
      </c>
      <c r="CN1" s="1" t="s">
        <v>287</v>
      </c>
      <c r="CO1" s="1" t="s">
        <v>288</v>
      </c>
      <c r="CP1" s="1" t="s">
        <v>289</v>
      </c>
      <c r="CQ1" s="1" t="s">
        <v>290</v>
      </c>
      <c r="CR1" s="1" t="s">
        <v>311</v>
      </c>
      <c r="CS1" s="1" t="s">
        <v>393</v>
      </c>
      <c r="CT1" s="1" t="s">
        <v>394</v>
      </c>
      <c r="CU1" s="1" t="s">
        <v>371</v>
      </c>
      <c r="CV1" s="1" t="s">
        <v>395</v>
      </c>
      <c r="CW1" s="1" t="s">
        <v>372</v>
      </c>
      <c r="CX1">
        <v>1</v>
      </c>
      <c r="CY1" t="s">
        <v>373</v>
      </c>
      <c r="CZ1" t="s">
        <v>374</v>
      </c>
      <c r="DA1">
        <v>3</v>
      </c>
      <c r="DB1" t="s">
        <v>396</v>
      </c>
      <c r="DC1" t="s">
        <v>397</v>
      </c>
      <c r="DD1">
        <v>6</v>
      </c>
      <c r="DE1" t="s">
        <v>375</v>
      </c>
      <c r="DF1" t="s">
        <v>376</v>
      </c>
      <c r="DG1">
        <v>10</v>
      </c>
      <c r="DH1" t="s">
        <v>398</v>
      </c>
      <c r="DI1" t="s">
        <v>399</v>
      </c>
      <c r="DJ1">
        <v>20</v>
      </c>
      <c r="DK1" t="s">
        <v>400</v>
      </c>
      <c r="DL1" t="s">
        <v>291</v>
      </c>
      <c r="DM1" t="s">
        <v>292</v>
      </c>
      <c r="DN1" s="2" t="s">
        <v>293</v>
      </c>
      <c r="DO1" t="s">
        <v>401</v>
      </c>
      <c r="DP1" t="s">
        <v>377</v>
      </c>
      <c r="DQ1" s="12" t="s">
        <v>378</v>
      </c>
      <c r="DR1" s="1" t="s">
        <v>379</v>
      </c>
      <c r="DS1" s="1" t="s">
        <v>402</v>
      </c>
      <c r="DT1" t="s">
        <v>380</v>
      </c>
      <c r="DU1" t="s">
        <v>381</v>
      </c>
      <c r="DV1" t="s">
        <v>382</v>
      </c>
      <c r="DW1" t="s">
        <v>383</v>
      </c>
      <c r="DX1" t="s">
        <v>403</v>
      </c>
      <c r="DY1" t="s">
        <v>384</v>
      </c>
      <c r="DZ1" t="s">
        <v>404</v>
      </c>
      <c r="EA1" t="s">
        <v>385</v>
      </c>
      <c r="EB1" t="s">
        <v>386</v>
      </c>
      <c r="EC1" t="s">
        <v>405</v>
      </c>
      <c r="ED1" t="s">
        <v>406</v>
      </c>
      <c r="EE1" t="s">
        <v>387</v>
      </c>
      <c r="EF1" t="s">
        <v>388</v>
      </c>
      <c r="EG1" t="s">
        <v>389</v>
      </c>
      <c r="EH1" t="s">
        <v>390</v>
      </c>
      <c r="EI1" t="s">
        <v>312</v>
      </c>
      <c r="EJ1"/>
      <c r="EK1" s="13" t="s">
        <v>407</v>
      </c>
      <c r="EL1" t="s">
        <v>408</v>
      </c>
      <c r="EM1" t="s">
        <v>409</v>
      </c>
      <c r="EN1" t="s">
        <v>313</v>
      </c>
      <c r="EO1" t="s">
        <v>391</v>
      </c>
      <c r="EP1" t="s">
        <v>392</v>
      </c>
    </row>
    <row r="2" spans="1:146" ht="84" x14ac:dyDescent="0.25">
      <c r="A2" s="7"/>
      <c r="B2" s="7"/>
      <c r="C2" s="7" t="str">
        <f>""&amp;CHAR(10)&amp;Basic_Fundamental_Information_Constructure(F2)&amp;CHAR(10)&amp;Basic_Fundamental_Information_Concatenate("")</f>
        <v xml:space="preserve">
市值28.147715亿, 利润1.69亿; PE13.65; 平均PE23.57; 平均PEG1.43, PB1.59; ROIC10.0333%; ROE11.2067%; 股利率3.5945%; 毛利15.2367%; 净利8.8033%; 上一年度营收增4.47%, 利润增52.25%; 当季营收增12.31%, 利润增214.55%; 过往5年营收增16.47%, 利润增22.45%
Income profile:
</v>
      </c>
      <c r="D2" t="s">
        <v>227</v>
      </c>
      <c r="E2" t="s">
        <v>228</v>
      </c>
      <c r="F2">
        <v>13.91</v>
      </c>
      <c r="G2">
        <v>1.0900000000000001</v>
      </c>
      <c r="H2" t="s">
        <v>492</v>
      </c>
      <c r="I2">
        <v>2814771500</v>
      </c>
      <c r="J2">
        <v>13.65</v>
      </c>
      <c r="K2">
        <v>1.59</v>
      </c>
      <c r="L2" t="s">
        <v>493</v>
      </c>
      <c r="M2" t="s">
        <v>494</v>
      </c>
      <c r="N2" t="s">
        <v>495</v>
      </c>
      <c r="O2" t="s">
        <v>198</v>
      </c>
      <c r="P2">
        <v>12.33</v>
      </c>
      <c r="Q2" t="s">
        <v>496</v>
      </c>
      <c r="R2">
        <v>55145926</v>
      </c>
      <c r="S2" s="6">
        <v>2.1459999999999999</v>
      </c>
      <c r="T2" t="s">
        <v>175</v>
      </c>
      <c r="U2">
        <v>200934030</v>
      </c>
      <c r="V2">
        <v>202355960</v>
      </c>
      <c r="W2">
        <v>1.35</v>
      </c>
      <c r="X2">
        <v>0.22</v>
      </c>
      <c r="Y2">
        <v>10.69</v>
      </c>
      <c r="Z2" t="s">
        <v>92</v>
      </c>
      <c r="AA2" t="s">
        <v>171</v>
      </c>
      <c r="AB2" t="s">
        <v>497</v>
      </c>
      <c r="AC2" t="s">
        <v>498</v>
      </c>
      <c r="AD2" t="s">
        <v>11</v>
      </c>
      <c r="AE2">
        <v>-5220941</v>
      </c>
      <c r="AF2" t="s">
        <v>499</v>
      </c>
      <c r="AG2">
        <v>6852.82</v>
      </c>
      <c r="AH2" t="s">
        <v>500</v>
      </c>
      <c r="AI2" t="s">
        <v>501</v>
      </c>
      <c r="AJ2" t="s">
        <v>502</v>
      </c>
      <c r="AK2" t="s">
        <v>503</v>
      </c>
      <c r="AL2" t="s">
        <v>504</v>
      </c>
      <c r="AM2" t="s">
        <v>11</v>
      </c>
      <c r="AN2" t="s">
        <v>47</v>
      </c>
      <c r="AO2" t="s">
        <v>505</v>
      </c>
      <c r="AP2" t="s">
        <v>211</v>
      </c>
      <c r="AQ2" t="s">
        <v>226</v>
      </c>
      <c r="AR2" t="s">
        <v>11</v>
      </c>
      <c r="AS2" t="s">
        <v>34</v>
      </c>
      <c r="AT2" t="s">
        <v>11</v>
      </c>
      <c r="AU2" t="s">
        <v>506</v>
      </c>
      <c r="AV2" t="s">
        <v>507</v>
      </c>
      <c r="AW2" t="s">
        <v>508</v>
      </c>
      <c r="AX2" t="s">
        <v>335</v>
      </c>
      <c r="AY2" t="s">
        <v>257</v>
      </c>
      <c r="AZ2" t="s">
        <v>215</v>
      </c>
      <c r="BA2" t="s">
        <v>230</v>
      </c>
      <c r="BB2" t="s">
        <v>140</v>
      </c>
      <c r="BC2" t="s">
        <v>62</v>
      </c>
      <c r="BD2" t="s">
        <v>100</v>
      </c>
      <c r="BE2" t="s">
        <v>212</v>
      </c>
      <c r="BF2" t="s">
        <v>231</v>
      </c>
      <c r="BG2" t="s">
        <v>232</v>
      </c>
      <c r="BH2" t="s">
        <v>496</v>
      </c>
      <c r="BI2" t="s">
        <v>336</v>
      </c>
      <c r="BJ2" t="s">
        <v>335</v>
      </c>
      <c r="BK2" t="s">
        <v>175</v>
      </c>
      <c r="BL2" t="s">
        <v>509</v>
      </c>
      <c r="BM2" t="s">
        <v>62</v>
      </c>
      <c r="BN2">
        <v>6.86</v>
      </c>
      <c r="BO2">
        <v>7.51</v>
      </c>
      <c r="BP2">
        <v>15.73</v>
      </c>
      <c r="BQ2">
        <v>7.74</v>
      </c>
      <c r="BR2">
        <v>8.3800000000000008</v>
      </c>
      <c r="BS2">
        <v>17.5</v>
      </c>
      <c r="BT2" t="s">
        <v>413</v>
      </c>
      <c r="BU2" t="s">
        <v>318</v>
      </c>
      <c r="BV2">
        <v>14.99</v>
      </c>
      <c r="BW2">
        <v>11.38</v>
      </c>
      <c r="BX2">
        <v>19.34</v>
      </c>
      <c r="BY2">
        <v>8.89</v>
      </c>
      <c r="BZ2">
        <v>6.15</v>
      </c>
      <c r="CA2">
        <v>11.37</v>
      </c>
      <c r="CB2">
        <v>-4.2</v>
      </c>
      <c r="CC2">
        <v>-16.71</v>
      </c>
      <c r="CD2" t="s">
        <v>510</v>
      </c>
      <c r="CE2" t="s">
        <v>511</v>
      </c>
      <c r="CF2" s="8">
        <v>0.12311015118790497</v>
      </c>
      <c r="CG2" s="9">
        <v>2.1454979266129355</v>
      </c>
      <c r="CH2" s="8">
        <v>4.4686645269393921E-2</v>
      </c>
      <c r="CI2" s="8">
        <v>0.26814097166061401</v>
      </c>
      <c r="CJ2" s="8">
        <v>0.45281130075454712</v>
      </c>
      <c r="CK2" s="8">
        <v>2.4691358208656311E-2</v>
      </c>
      <c r="CL2" s="8">
        <v>3.294367715716362E-2</v>
      </c>
      <c r="CM2" s="9">
        <v>0.52252250909805298</v>
      </c>
      <c r="CN2" s="9">
        <v>-0.32317072153091431</v>
      </c>
      <c r="CO2" s="9">
        <v>0.38983049988746643</v>
      </c>
      <c r="CP2" s="9">
        <v>0.78373563289642334</v>
      </c>
      <c r="CQ2" s="9">
        <v>-0.25027620792388916</v>
      </c>
      <c r="CR2">
        <v>23.574623159278282</v>
      </c>
      <c r="CS2">
        <v>1.431760538028086</v>
      </c>
      <c r="CT2">
        <v>3.5945363048166787</v>
      </c>
      <c r="CU2" s="8">
        <v>0.16465479061007499</v>
      </c>
      <c r="CV2" s="9">
        <v>0.22452834248542786</v>
      </c>
      <c r="CW2">
        <v>0.06</v>
      </c>
      <c r="CX2">
        <v>8.7555100177358263</v>
      </c>
      <c r="CY2">
        <v>185685527.93688932</v>
      </c>
      <c r="CZ2">
        <v>0.16465479061007499</v>
      </c>
      <c r="DA2">
        <v>2.6874101699196506</v>
      </c>
      <c r="DB2">
        <v>604958453.38287461</v>
      </c>
      <c r="DC2">
        <v>0.15642205107957122</v>
      </c>
      <c r="DD2">
        <v>1.2138303992341566</v>
      </c>
      <c r="DE2">
        <v>1339372865.4561212</v>
      </c>
      <c r="DF2">
        <v>0.14489621573686598</v>
      </c>
      <c r="DG2">
        <v>0.65937204007667116</v>
      </c>
      <c r="DH2">
        <v>2465636091.8957934</v>
      </c>
      <c r="DI2">
        <v>0.13172383248805999</v>
      </c>
      <c r="DJ2">
        <v>0.2703490891432716</v>
      </c>
      <c r="DK2">
        <v>6013600804.61903</v>
      </c>
      <c r="DL2">
        <v>0.11525835342705248</v>
      </c>
      <c r="DM2">
        <v>169000000</v>
      </c>
      <c r="DN2">
        <v>0.16465479061007499</v>
      </c>
      <c r="DO2">
        <v>1625771500</v>
      </c>
      <c r="DP2">
        <v>933796600</v>
      </c>
      <c r="DQ2">
        <v>433</v>
      </c>
      <c r="DR2">
        <v>-4.1544639422170015E-2</v>
      </c>
      <c r="DS2">
        <v>1.9209695841275076</v>
      </c>
      <c r="DT2" s="10">
        <v>-0.15666666666666665</v>
      </c>
      <c r="DU2">
        <v>0.5033333333333333</v>
      </c>
      <c r="DV2">
        <v>0.34666666666666668</v>
      </c>
      <c r="DW2">
        <v>-8.2513464991023344</v>
      </c>
      <c r="DX2">
        <v>0.30083474300908747</v>
      </c>
      <c r="DY2">
        <v>-8.0303713896252642</v>
      </c>
      <c r="DZ2">
        <v>957</v>
      </c>
      <c r="EA2">
        <v>-8.0246834405310619</v>
      </c>
      <c r="EB2">
        <v>8</v>
      </c>
      <c r="EC2">
        <v>4.9038832362535797E-2</v>
      </c>
      <c r="ED2">
        <v>0.40583385831581148</v>
      </c>
      <c r="EE2" s="11">
        <v>1.1188</v>
      </c>
      <c r="EF2">
        <v>1.0919000000000001</v>
      </c>
      <c r="EG2">
        <v>18.120834743009087</v>
      </c>
      <c r="EH2" t="s">
        <v>419</v>
      </c>
      <c r="EI2">
        <v>0</v>
      </c>
      <c r="EJ2">
        <v>1</v>
      </c>
      <c r="EK2" s="13">
        <v>45470</v>
      </c>
      <c r="EL2" s="14">
        <v>-0.27</v>
      </c>
      <c r="EM2" s="14">
        <v>-4.75</v>
      </c>
      <c r="EN2" s="14">
        <v>2.38</v>
      </c>
      <c r="EO2" s="14">
        <v>4.9400000000000004</v>
      </c>
      <c r="EP2" s="14">
        <v>-2.69</v>
      </c>
    </row>
    <row r="3" spans="1:146" ht="125.65" customHeight="1" x14ac:dyDescent="0.25">
      <c r="A3" s="7" t="s">
        <v>420</v>
      </c>
      <c r="B3" s="7"/>
      <c r="C3" s="7" t="str">
        <f>"公司主营业务为炭黑、焦油精制和白炭黑等产品的生产与销售。公司的主要产品为软质湿法炭黑、硬质湿法炭黑等系列炭黑产品和焦油精制产品。"&amp;CHAR(10)&amp;Basic_Fundamental_Information_Constructure(F3)&amp;CHAR(10)&amp;Basic_Fundamental_Information_Concatenate("炭黑 40.06亿 86.06% 82.47% 6.19%
焦油精制产品 4.21亿 9.05% 3.39% 2.42%
白炭黑 1.22亿 2.62% 6.07% 14.98%")</f>
        <v>公司主营业务为炭黑、焦油精制和白炭黑等产品的生产与销售。公司的主要产品为软质湿法炭黑、硬质湿法炭黑等系列炭黑产品和焦油精制产品。
市值49.600489亿, 利润-2.43亿; PE; 平均PE71.03; 平均PEG11.54, PB1.64; ROIC5.35%; ROE1.8667%; 股利率0%; 毛利6.5433%; 净利1.0433%; 上一年度营收增-4.47%, 利润增-2807.49%; 当季营收增8.11%, 利润增103.61%; 过往5年营收增6.16%, 利润增-518.96%
Income profile:
炭黑 40.06亿 86.06% 82.47% 6.19%
焦油精制产品 4.21亿 9.05% 3.39% 2.42%
白炭黑 1.22亿 2.62% 6.07% 14.98%</v>
      </c>
      <c r="D3" t="s">
        <v>131</v>
      </c>
      <c r="E3" t="s">
        <v>13</v>
      </c>
      <c r="F3">
        <v>6.69</v>
      </c>
      <c r="G3">
        <v>-0.89</v>
      </c>
      <c r="H3" t="s">
        <v>512</v>
      </c>
      <c r="I3">
        <v>4960048900</v>
      </c>
      <c r="K3">
        <v>1.64</v>
      </c>
      <c r="L3" t="s">
        <v>493</v>
      </c>
      <c r="M3" t="s">
        <v>513</v>
      </c>
      <c r="N3" t="s">
        <v>514</v>
      </c>
      <c r="O3" t="s">
        <v>515</v>
      </c>
      <c r="P3">
        <v>8.1</v>
      </c>
      <c r="Q3" t="s">
        <v>516</v>
      </c>
      <c r="R3">
        <v>3753861</v>
      </c>
      <c r="S3" s="6">
        <v>1.036</v>
      </c>
      <c r="T3" t="s">
        <v>517</v>
      </c>
      <c r="U3">
        <v>734712950</v>
      </c>
      <c r="V3">
        <v>741412400</v>
      </c>
      <c r="W3">
        <v>2.7</v>
      </c>
      <c r="X3">
        <v>0.28999999999999998</v>
      </c>
      <c r="Y3">
        <v>0.12</v>
      </c>
      <c r="Z3" t="s">
        <v>518</v>
      </c>
      <c r="AA3" t="s">
        <v>519</v>
      </c>
      <c r="AB3" t="s">
        <v>520</v>
      </c>
      <c r="AC3" t="s">
        <v>521</v>
      </c>
      <c r="AD3" t="s">
        <v>11</v>
      </c>
      <c r="AE3">
        <v>18527885</v>
      </c>
      <c r="AF3" t="s">
        <v>522</v>
      </c>
      <c r="AG3" t="s">
        <v>523</v>
      </c>
      <c r="AH3" t="s">
        <v>524</v>
      </c>
      <c r="AI3" t="s">
        <v>525</v>
      </c>
      <c r="AJ3" t="s">
        <v>526</v>
      </c>
      <c r="AK3" t="s">
        <v>527</v>
      </c>
      <c r="AL3" t="s">
        <v>528</v>
      </c>
      <c r="AM3" t="s">
        <v>11</v>
      </c>
      <c r="AN3" t="s">
        <v>178</v>
      </c>
      <c r="AO3" t="s">
        <v>529</v>
      </c>
      <c r="AP3" t="s">
        <v>530</v>
      </c>
      <c r="AQ3" t="s">
        <v>531</v>
      </c>
      <c r="AR3" t="s">
        <v>11</v>
      </c>
      <c r="AS3" t="s">
        <v>532</v>
      </c>
      <c r="AT3" t="s">
        <v>427</v>
      </c>
      <c r="AU3" t="s">
        <v>533</v>
      </c>
      <c r="AV3" t="s">
        <v>453</v>
      </c>
      <c r="AW3" t="s">
        <v>534</v>
      </c>
      <c r="AX3" t="s">
        <v>428</v>
      </c>
      <c r="AY3" t="s">
        <v>258</v>
      </c>
      <c r="AZ3" t="s">
        <v>166</v>
      </c>
      <c r="BA3" t="s">
        <v>132</v>
      </c>
      <c r="BB3" t="s">
        <v>169</v>
      </c>
      <c r="BC3" t="s">
        <v>535</v>
      </c>
      <c r="BD3" t="s">
        <v>235</v>
      </c>
      <c r="BE3" t="s">
        <v>167</v>
      </c>
      <c r="BF3" t="s">
        <v>133</v>
      </c>
      <c r="BG3" t="s">
        <v>170</v>
      </c>
      <c r="BH3" t="s">
        <v>516</v>
      </c>
      <c r="BI3" t="s">
        <v>536</v>
      </c>
      <c r="BJ3" t="s">
        <v>428</v>
      </c>
      <c r="BK3" t="s">
        <v>517</v>
      </c>
      <c r="BL3" t="s">
        <v>537</v>
      </c>
      <c r="BM3" t="s">
        <v>535</v>
      </c>
      <c r="BN3" t="s">
        <v>11</v>
      </c>
      <c r="BO3">
        <v>0.54</v>
      </c>
      <c r="BP3">
        <v>10.16</v>
      </c>
      <c r="BQ3">
        <v>-8.36</v>
      </c>
      <c r="BR3">
        <v>0.27</v>
      </c>
      <c r="BS3">
        <v>13.69</v>
      </c>
      <c r="BT3" t="s">
        <v>410</v>
      </c>
      <c r="BU3" t="s">
        <v>318</v>
      </c>
      <c r="BV3">
        <v>2.62</v>
      </c>
      <c r="BW3">
        <v>4.22</v>
      </c>
      <c r="BX3">
        <v>12.79</v>
      </c>
      <c r="BY3">
        <v>-2.73</v>
      </c>
      <c r="BZ3">
        <v>0.12</v>
      </c>
      <c r="CA3">
        <v>5.74</v>
      </c>
      <c r="CB3">
        <v>-5.77</v>
      </c>
      <c r="CC3">
        <v>-27.68</v>
      </c>
      <c r="CD3" t="s">
        <v>538</v>
      </c>
      <c r="CE3" t="s">
        <v>76</v>
      </c>
      <c r="CF3" s="8">
        <v>8.1142339075249315E-2</v>
      </c>
      <c r="CG3" s="9">
        <v>1.0360948173076923</v>
      </c>
      <c r="CH3" s="8">
        <v>-4.4678092002868652E-2</v>
      </c>
      <c r="CI3" s="8">
        <v>0.24754102528095245</v>
      </c>
      <c r="CJ3" s="8">
        <v>0.42625898122787476</v>
      </c>
      <c r="CK3" s="8">
        <v>-0.15036675333976746</v>
      </c>
      <c r="CL3" s="8">
        <v>-0.17091095447540283</v>
      </c>
      <c r="CM3" s="9">
        <v>-28.074907302856445</v>
      </c>
      <c r="CN3" s="9">
        <v>-0.9791761040687561</v>
      </c>
      <c r="CO3" s="9">
        <v>3.4429185390472412</v>
      </c>
      <c r="CP3" s="9">
        <v>1.3514794111251831</v>
      </c>
      <c r="CQ3" s="9">
        <v>-1.6882792711257935</v>
      </c>
      <c r="CR3">
        <v>71.029767289109785</v>
      </c>
      <c r="CS3">
        <v>11.536641870356048</v>
      </c>
      <c r="CT3">
        <v>0</v>
      </c>
      <c r="CU3" s="8">
        <v>6.1568841338157654E-2</v>
      </c>
      <c r="CV3" s="9">
        <v>-5.1895929455757139</v>
      </c>
      <c r="CW3">
        <v>0.06</v>
      </c>
      <c r="CX3" t="e">
        <v>#VALUE!</v>
      </c>
      <c r="CY3" t="s">
        <v>295</v>
      </c>
      <c r="CZ3">
        <v>6.1568841338157654E-2</v>
      </c>
      <c r="DA3" t="e">
        <v>#VALUE!</v>
      </c>
      <c r="DB3" t="s">
        <v>295</v>
      </c>
      <c r="DC3">
        <v>5.8490399271249771E-2</v>
      </c>
      <c r="DD3" t="e">
        <v>#VALUE!</v>
      </c>
      <c r="DE3" t="s">
        <v>295</v>
      </c>
      <c r="DF3">
        <v>5.4180580377578738E-2</v>
      </c>
      <c r="DG3" t="e">
        <v>#VALUE!</v>
      </c>
      <c r="DH3" t="s">
        <v>295</v>
      </c>
      <c r="DI3">
        <v>4.9255073070526123E-2</v>
      </c>
      <c r="DJ3" t="e">
        <v>#VALUE!</v>
      </c>
      <c r="DK3" t="s">
        <v>295</v>
      </c>
      <c r="DL3">
        <v>4.3098188936710358E-2</v>
      </c>
      <c r="DM3">
        <v>-243000000.00000003</v>
      </c>
      <c r="DN3">
        <v>6.1568841338157654E-2</v>
      </c>
      <c r="DO3">
        <v>6557048900</v>
      </c>
      <c r="DP3">
        <v>352671600</v>
      </c>
      <c r="DQ3">
        <v>586</v>
      </c>
      <c r="DR3">
        <v>1.9573497737091661E-2</v>
      </c>
      <c r="DS3">
        <v>6.225687762883406</v>
      </c>
      <c r="DT3" s="10">
        <v>-0.37333333333333329</v>
      </c>
      <c r="DU3">
        <v>-0.69833333333333358</v>
      </c>
      <c r="DV3">
        <v>-1.0716666666666668</v>
      </c>
      <c r="DW3">
        <v>-8.208453757225433</v>
      </c>
      <c r="DX3">
        <v>0.42523416666666503</v>
      </c>
      <c r="DY3">
        <v>-8.0448663707249519</v>
      </c>
      <c r="DZ3">
        <v>3632</v>
      </c>
      <c r="EA3">
        <v>-8.0129770050746529</v>
      </c>
      <c r="EB3">
        <v>8</v>
      </c>
      <c r="EC3">
        <v>6.9672694980553326E-2</v>
      </c>
      <c r="ED3">
        <v>0.323706482384163</v>
      </c>
      <c r="EE3" s="11">
        <v>-4.0188100000000002</v>
      </c>
      <c r="EF3">
        <v>-4.0418099999999999</v>
      </c>
      <c r="EG3">
        <v>21.215234166666665</v>
      </c>
      <c r="EH3" t="s">
        <v>454</v>
      </c>
      <c r="EI3">
        <v>0</v>
      </c>
      <c r="EJ3">
        <v>0</v>
      </c>
      <c r="EK3" s="13">
        <v>45470</v>
      </c>
      <c r="EL3" s="14">
        <v>-0.13</v>
      </c>
      <c r="EM3" s="14">
        <v>-5.26</v>
      </c>
      <c r="EN3" s="14">
        <v>1.46</v>
      </c>
      <c r="EO3" s="14">
        <v>-3.52</v>
      </c>
      <c r="EP3" s="14">
        <v>-2.2999999999999998</v>
      </c>
    </row>
    <row r="4" spans="1:146" ht="84" x14ac:dyDescent="0.25">
      <c r="A4" s="7"/>
      <c r="B4" s="7"/>
      <c r="C4" s="7" t="str">
        <f>""&amp;CHAR(10)&amp;Basic_Fundamental_Information_Constructure(F4)&amp;CHAR(10)&amp;Basic_Fundamental_Information_Concatenate("")</f>
        <v xml:space="preserve">
市值35.092325亿, 利润6908.97万; PE50.98; 平均PE33.42; 平均PEG74.14, PB1.09; ROIC2.51%; ROE3.51%; 股利率.7712%; 毛利24.2%; 净利8.8767%; 上一年度营收增4.61%, 利润增6.62%; 当季营收增-29.17%, 利润增-4.5%; 过往5年营收增.45%, 利润增3.48%
Income profile:
</v>
      </c>
      <c r="D4" t="s">
        <v>108</v>
      </c>
      <c r="E4" t="s">
        <v>6</v>
      </c>
      <c r="F4">
        <v>3.89</v>
      </c>
      <c r="G4">
        <v>0.78</v>
      </c>
      <c r="H4" t="s">
        <v>539</v>
      </c>
      <c r="I4">
        <v>3509232500</v>
      </c>
      <c r="J4">
        <v>50.98</v>
      </c>
      <c r="K4">
        <v>1.0900000000000001</v>
      </c>
      <c r="L4" t="s">
        <v>493</v>
      </c>
      <c r="M4" t="s">
        <v>540</v>
      </c>
      <c r="N4" t="s">
        <v>541</v>
      </c>
      <c r="O4" t="s">
        <v>46</v>
      </c>
      <c r="P4">
        <v>-29.05</v>
      </c>
      <c r="Q4" t="s">
        <v>462</v>
      </c>
      <c r="R4">
        <v>5500937</v>
      </c>
      <c r="S4" s="6">
        <v>-4.4999999999999998E-2</v>
      </c>
      <c r="T4" t="s">
        <v>542</v>
      </c>
      <c r="U4">
        <v>634081720</v>
      </c>
      <c r="V4">
        <v>902116320</v>
      </c>
      <c r="W4">
        <v>1.18</v>
      </c>
      <c r="X4">
        <v>0.04</v>
      </c>
      <c r="Y4">
        <v>3.85</v>
      </c>
      <c r="Z4" t="s">
        <v>123</v>
      </c>
      <c r="AA4" t="s">
        <v>543</v>
      </c>
      <c r="AB4" t="s">
        <v>544</v>
      </c>
      <c r="AC4" t="s">
        <v>545</v>
      </c>
      <c r="AD4" t="s">
        <v>11</v>
      </c>
      <c r="AE4">
        <v>-5249720</v>
      </c>
      <c r="AF4" t="s">
        <v>546</v>
      </c>
      <c r="AG4" t="s">
        <v>547</v>
      </c>
      <c r="AH4" t="s">
        <v>548</v>
      </c>
      <c r="AI4" t="s">
        <v>160</v>
      </c>
      <c r="AJ4" t="s">
        <v>549</v>
      </c>
      <c r="AK4" t="s">
        <v>550</v>
      </c>
      <c r="AL4" t="s">
        <v>551</v>
      </c>
      <c r="AM4" t="s">
        <v>11</v>
      </c>
      <c r="AN4" t="s">
        <v>443</v>
      </c>
      <c r="AO4" t="s">
        <v>552</v>
      </c>
      <c r="AP4" t="s">
        <v>553</v>
      </c>
      <c r="AQ4" t="s">
        <v>93</v>
      </c>
      <c r="AR4" t="s">
        <v>11</v>
      </c>
      <c r="AS4" t="s">
        <v>332</v>
      </c>
      <c r="AT4" t="s">
        <v>11</v>
      </c>
      <c r="AU4" t="s">
        <v>554</v>
      </c>
      <c r="AV4" t="s">
        <v>555</v>
      </c>
      <c r="AW4" t="s">
        <v>483</v>
      </c>
      <c r="AX4" t="s">
        <v>486</v>
      </c>
      <c r="AY4" t="s">
        <v>414</v>
      </c>
      <c r="AZ4" t="s">
        <v>97</v>
      </c>
      <c r="BA4" t="s">
        <v>68</v>
      </c>
      <c r="BB4" t="s">
        <v>85</v>
      </c>
      <c r="BC4" t="s">
        <v>556</v>
      </c>
      <c r="BD4" t="s">
        <v>130</v>
      </c>
      <c r="BE4" t="s">
        <v>175</v>
      </c>
      <c r="BF4" t="s">
        <v>81</v>
      </c>
      <c r="BG4" t="s">
        <v>176</v>
      </c>
      <c r="BH4" t="s">
        <v>462</v>
      </c>
      <c r="BI4" t="s">
        <v>74</v>
      </c>
      <c r="BJ4" t="s">
        <v>486</v>
      </c>
      <c r="BK4" t="s">
        <v>542</v>
      </c>
      <c r="BL4" t="s">
        <v>557</v>
      </c>
      <c r="BM4" t="s">
        <v>556</v>
      </c>
      <c r="BN4">
        <v>1.62</v>
      </c>
      <c r="BO4">
        <v>2.0699999999999998</v>
      </c>
      <c r="BP4">
        <v>3.84</v>
      </c>
      <c r="BQ4">
        <v>3.12</v>
      </c>
      <c r="BR4">
        <v>2.71</v>
      </c>
      <c r="BS4">
        <v>4.7</v>
      </c>
      <c r="BT4" t="s">
        <v>415</v>
      </c>
      <c r="BU4" t="s">
        <v>271</v>
      </c>
      <c r="BV4">
        <v>21.1</v>
      </c>
      <c r="BW4">
        <v>22.02</v>
      </c>
      <c r="BX4">
        <v>29.48</v>
      </c>
      <c r="BY4">
        <v>7.38</v>
      </c>
      <c r="BZ4">
        <v>7.78</v>
      </c>
      <c r="CA4">
        <v>11.47</v>
      </c>
      <c r="CB4">
        <v>1.04</v>
      </c>
      <c r="CC4">
        <v>-11.19</v>
      </c>
      <c r="CD4" t="s">
        <v>558</v>
      </c>
      <c r="CE4" t="s">
        <v>101</v>
      </c>
      <c r="CF4" s="8">
        <v>-0.29166666666666669</v>
      </c>
      <c r="CG4" s="9">
        <v>-4.5025953509365835E-2</v>
      </c>
      <c r="CH4" s="8">
        <v>4.6119235455989838E-2</v>
      </c>
      <c r="CI4" s="8">
        <v>-9.1002047061920166E-2</v>
      </c>
      <c r="CJ4" s="8">
        <v>8.6666665971279144E-2</v>
      </c>
      <c r="CK4" s="8">
        <v>-4.8625793308019638E-2</v>
      </c>
      <c r="CL4" s="8">
        <v>2.9379760846495628E-2</v>
      </c>
      <c r="CM4" s="9">
        <v>6.6200658679008484E-2</v>
      </c>
      <c r="CN4" s="9">
        <v>-0.42654955387115479</v>
      </c>
      <c r="CO4" s="9">
        <v>-0.33136093616485596</v>
      </c>
      <c r="CP4" s="9">
        <v>0.29007634520530701</v>
      </c>
      <c r="CQ4" s="9">
        <v>0.57540160417556763</v>
      </c>
      <c r="CR4">
        <v>33.418980926698652</v>
      </c>
      <c r="CS4">
        <v>74.139775061908807</v>
      </c>
      <c r="CT4">
        <v>0.77120822622107965</v>
      </c>
      <c r="CU4" s="8">
        <v>4.5075643807649616E-3</v>
      </c>
      <c r="CV4" s="9">
        <v>3.4753623604774478E-2</v>
      </c>
      <c r="CW4">
        <v>0.06</v>
      </c>
      <c r="CX4">
        <v>14.131563890954801</v>
      </c>
      <c r="CY4">
        <v>65472760.632828057</v>
      </c>
      <c r="CZ4">
        <v>4.5075643807649616E-3</v>
      </c>
      <c r="DA4">
        <v>4.9681484332048598</v>
      </c>
      <c r="DB4">
        <v>186232861.68669277</v>
      </c>
      <c r="DC4">
        <v>4.2821861617267131E-3</v>
      </c>
      <c r="DD4">
        <v>2.6876513151242332</v>
      </c>
      <c r="DE4">
        <v>344253175.54901361</v>
      </c>
      <c r="DF4">
        <v>3.9666566550731665E-3</v>
      </c>
      <c r="DG4">
        <v>1.7868209148159262</v>
      </c>
      <c r="DH4">
        <v>517809307.20486623</v>
      </c>
      <c r="DI4">
        <v>3.6060515046119693E-3</v>
      </c>
      <c r="DJ4">
        <v>1.1361525503761378</v>
      </c>
      <c r="DK4">
        <v>814355871.21966147</v>
      </c>
      <c r="DL4">
        <v>3.1552950665354731E-3</v>
      </c>
      <c r="DM4">
        <v>69089700</v>
      </c>
      <c r="DN4">
        <v>4.5075643807649616E-3</v>
      </c>
      <c r="DO4">
        <v>925232500</v>
      </c>
      <c r="DP4">
        <v>1549878400</v>
      </c>
      <c r="DQ4">
        <v>733</v>
      </c>
      <c r="DR4">
        <v>-0.29617423104743162</v>
      </c>
      <c r="DS4">
        <v>-7.9779577114140313E-2</v>
      </c>
      <c r="DT4" s="10">
        <v>-0.44</v>
      </c>
      <c r="DU4">
        <v>-6.6666666666666707E-2</v>
      </c>
      <c r="DV4">
        <v>-0.50666666666666671</v>
      </c>
      <c r="DW4">
        <v>-2.1118999999999999</v>
      </c>
      <c r="DX4">
        <v>0.31340877192982447</v>
      </c>
      <c r="DY4">
        <v>-2.0138094415789474</v>
      </c>
      <c r="DZ4">
        <v>2885</v>
      </c>
      <c r="EA4">
        <v>-2.0060129173215575</v>
      </c>
      <c r="EB4">
        <v>2</v>
      </c>
      <c r="EC4">
        <v>1.5595106404903525E-2</v>
      </c>
      <c r="ED4">
        <v>0.1263695129692366</v>
      </c>
      <c r="EE4" s="11">
        <v>-5.0089100000000002</v>
      </c>
      <c r="EF4">
        <v>-5.02921</v>
      </c>
      <c r="EG4">
        <v>19.123408771929824</v>
      </c>
      <c r="EH4" t="s">
        <v>559</v>
      </c>
      <c r="EI4">
        <v>0</v>
      </c>
      <c r="EJ4">
        <v>0</v>
      </c>
      <c r="EK4" s="13">
        <v>45470</v>
      </c>
      <c r="EL4" s="14">
        <v>-0.25</v>
      </c>
      <c r="EM4" s="14">
        <v>-4.55</v>
      </c>
      <c r="EN4" s="14">
        <v>0.53</v>
      </c>
      <c r="EO4" s="14">
        <v>3.95</v>
      </c>
      <c r="EP4" s="14">
        <v>-2.0299999999999998</v>
      </c>
    </row>
    <row r="5" spans="1:146" ht="84" x14ac:dyDescent="0.25">
      <c r="A5" s="7"/>
      <c r="B5" s="7"/>
      <c r="C5" s="7" t="str">
        <f>""&amp;CHAR(10)&amp;Basic_Fundamental_Information_Constructure(F5)&amp;CHAR(10)&amp;Basic_Fundamental_Information_Concatenate("")</f>
        <v xml:space="preserve">
市值27.411016亿, 利润2.42亿; PE11.56; 平均PE13.43; 平均PEG.96, PB1.27; ROIC6.2233%; ROE7.2967%; 股利率3.7538%; 毛利18.86%; 净利7.3433%; 上一年度营收增11.05%, 利润增112.28%; 当季营收增4.82%, 利润增-8.83%; 过往5年营收增13.95%, 利润增24.44%
Income profile:
</v>
      </c>
      <c r="D5" t="s">
        <v>109</v>
      </c>
      <c r="E5" t="s">
        <v>9</v>
      </c>
      <c r="F5">
        <v>6.66</v>
      </c>
      <c r="G5">
        <v>1.68</v>
      </c>
      <c r="H5" t="s">
        <v>560</v>
      </c>
      <c r="I5">
        <v>2741101600</v>
      </c>
      <c r="J5">
        <v>11.56</v>
      </c>
      <c r="K5">
        <v>1.27</v>
      </c>
      <c r="L5" t="s">
        <v>493</v>
      </c>
      <c r="M5" t="s">
        <v>561</v>
      </c>
      <c r="N5" t="s">
        <v>562</v>
      </c>
      <c r="O5" t="s">
        <v>320</v>
      </c>
      <c r="P5">
        <v>4.93</v>
      </c>
      <c r="Q5" t="s">
        <v>563</v>
      </c>
      <c r="R5">
        <v>49545156</v>
      </c>
      <c r="S5" s="6">
        <v>-8.8300000000000003E-2</v>
      </c>
      <c r="T5" t="s">
        <v>321</v>
      </c>
      <c r="U5">
        <v>322025400</v>
      </c>
      <c r="V5">
        <v>411576820</v>
      </c>
      <c r="W5">
        <v>1.75</v>
      </c>
      <c r="X5">
        <v>0.14000000000000001</v>
      </c>
      <c r="Y5">
        <v>9.15</v>
      </c>
      <c r="Z5" t="s">
        <v>432</v>
      </c>
      <c r="AA5" t="s">
        <v>431</v>
      </c>
      <c r="AB5" t="s">
        <v>564</v>
      </c>
      <c r="AC5" t="s">
        <v>565</v>
      </c>
      <c r="AD5" t="s">
        <v>11</v>
      </c>
      <c r="AE5">
        <v>3191075</v>
      </c>
      <c r="AF5" t="s">
        <v>566</v>
      </c>
      <c r="AG5" t="s">
        <v>567</v>
      </c>
      <c r="AH5" t="s">
        <v>568</v>
      </c>
      <c r="AI5" t="s">
        <v>269</v>
      </c>
      <c r="AJ5" t="s">
        <v>569</v>
      </c>
      <c r="AK5" t="s">
        <v>570</v>
      </c>
      <c r="AL5" t="s">
        <v>571</v>
      </c>
      <c r="AM5" t="s">
        <v>11</v>
      </c>
      <c r="AN5" t="s">
        <v>534</v>
      </c>
      <c r="AO5" t="s">
        <v>11</v>
      </c>
      <c r="AP5" t="s">
        <v>87</v>
      </c>
      <c r="AQ5" t="s">
        <v>314</v>
      </c>
      <c r="AR5" t="s">
        <v>11</v>
      </c>
      <c r="AS5" t="s">
        <v>572</v>
      </c>
      <c r="AT5" t="s">
        <v>573</v>
      </c>
      <c r="AU5" t="s">
        <v>574</v>
      </c>
      <c r="AV5" t="s">
        <v>575</v>
      </c>
      <c r="AW5" t="s">
        <v>576</v>
      </c>
      <c r="AX5" t="s">
        <v>433</v>
      </c>
      <c r="AY5" t="s">
        <v>260</v>
      </c>
      <c r="AZ5" t="s">
        <v>49</v>
      </c>
      <c r="BA5" t="s">
        <v>110</v>
      </c>
      <c r="BB5" t="s">
        <v>182</v>
      </c>
      <c r="BC5" t="s">
        <v>101</v>
      </c>
      <c r="BD5" t="s">
        <v>67</v>
      </c>
      <c r="BE5" t="s">
        <v>181</v>
      </c>
      <c r="BF5" t="s">
        <v>78</v>
      </c>
      <c r="BG5" t="s">
        <v>83</v>
      </c>
      <c r="BH5" t="s">
        <v>563</v>
      </c>
      <c r="BI5" t="s">
        <v>489</v>
      </c>
      <c r="BJ5" t="s">
        <v>433</v>
      </c>
      <c r="BK5" t="s">
        <v>321</v>
      </c>
      <c r="BL5" t="s">
        <v>577</v>
      </c>
      <c r="BM5" t="s">
        <v>101</v>
      </c>
      <c r="BN5">
        <v>5.83</v>
      </c>
      <c r="BO5">
        <v>5.51</v>
      </c>
      <c r="BP5">
        <v>7.33</v>
      </c>
      <c r="BQ5">
        <v>8.06</v>
      </c>
      <c r="BR5">
        <v>5.87</v>
      </c>
      <c r="BS5">
        <v>7.96</v>
      </c>
      <c r="BT5" t="s">
        <v>416</v>
      </c>
      <c r="BU5" t="s">
        <v>271</v>
      </c>
      <c r="BV5">
        <v>20.75</v>
      </c>
      <c r="BW5">
        <v>16.97</v>
      </c>
      <c r="BX5">
        <v>18.86</v>
      </c>
      <c r="BY5">
        <v>9.4</v>
      </c>
      <c r="BZ5">
        <v>4.8499999999999996</v>
      </c>
      <c r="CA5">
        <v>7.78</v>
      </c>
      <c r="CB5">
        <v>-0.75</v>
      </c>
      <c r="CC5">
        <v>-9.8800000000000008</v>
      </c>
      <c r="CD5" t="s">
        <v>578</v>
      </c>
      <c r="CE5" t="s">
        <v>212</v>
      </c>
      <c r="CF5" s="8">
        <v>4.8169556840076948E-2</v>
      </c>
      <c r="CG5" s="9">
        <v>-8.8281458745072927E-2</v>
      </c>
      <c r="CH5" s="8">
        <v>0.11049244552850723</v>
      </c>
      <c r="CI5" s="8">
        <v>0.21868479251861572</v>
      </c>
      <c r="CJ5" s="8">
        <v>5.7978980243206024E-2</v>
      </c>
      <c r="CK5" s="8">
        <v>0.18754108250141144</v>
      </c>
      <c r="CL5" s="8">
        <v>0.12297491729259491</v>
      </c>
      <c r="CM5" s="9">
        <v>1.1228070259094238</v>
      </c>
      <c r="CN5" s="9">
        <v>-0.23489932715892792</v>
      </c>
      <c r="CO5" s="9">
        <v>-0.52698415517807007</v>
      </c>
      <c r="CP5" s="9">
        <v>0.26506024599075317</v>
      </c>
      <c r="CQ5" s="9">
        <v>0.5961538553237915</v>
      </c>
      <c r="CR5">
        <v>13.425803755102041</v>
      </c>
      <c r="CS5">
        <v>0.96218563725860706</v>
      </c>
      <c r="CT5">
        <v>3.7537537537537538</v>
      </c>
      <c r="CU5" s="8">
        <v>0.13953444361686707</v>
      </c>
      <c r="CV5" s="9">
        <v>0.24442752897739412</v>
      </c>
      <c r="CW5">
        <v>0.06</v>
      </c>
      <c r="CX5">
        <v>8.3261046600819721</v>
      </c>
      <c r="CY5">
        <v>260157863.54271868</v>
      </c>
      <c r="CZ5">
        <v>0.13953444361686707</v>
      </c>
      <c r="DA5">
        <v>2.6097497589631349</v>
      </c>
      <c r="DB5">
        <v>830003563.58327699</v>
      </c>
      <c r="DC5">
        <v>0.13255772143602371</v>
      </c>
      <c r="DD5">
        <v>1.213785867914507</v>
      </c>
      <c r="DE5">
        <v>1784582978.9744835</v>
      </c>
      <c r="DF5">
        <v>0.12279031038284302</v>
      </c>
      <c r="DG5">
        <v>0.68269331810641087</v>
      </c>
      <c r="DH5">
        <v>3172876520.9071102</v>
      </c>
      <c r="DI5">
        <v>0.11162755489349366</v>
      </c>
      <c r="DJ5">
        <v>0.30395069336593339</v>
      </c>
      <c r="DK5">
        <v>7126490076.4420347</v>
      </c>
      <c r="DL5">
        <v>9.767411053180694E-2</v>
      </c>
      <c r="DM5">
        <v>242000000</v>
      </c>
      <c r="DN5">
        <v>0.13953444361686707</v>
      </c>
      <c r="DO5">
        <v>2166101600</v>
      </c>
      <c r="DP5">
        <v>1348603600</v>
      </c>
      <c r="DQ5">
        <v>887</v>
      </c>
      <c r="DR5">
        <v>-9.1364886776790111E-2</v>
      </c>
      <c r="DS5">
        <v>-0.33270898772246704</v>
      </c>
      <c r="DT5" s="10">
        <v>-0.17333333333333334</v>
      </c>
      <c r="DU5">
        <v>0.26666666666666661</v>
      </c>
      <c r="DV5">
        <v>9.3333333333333268E-2</v>
      </c>
      <c r="DW5">
        <v>-2.0988000000000002</v>
      </c>
      <c r="DX5">
        <v>0.28762542372881456</v>
      </c>
      <c r="DY5">
        <v>-2.0096453918644066</v>
      </c>
      <c r="DZ5">
        <v>1497</v>
      </c>
      <c r="EA5">
        <v>-2.0068197261851468</v>
      </c>
      <c r="EB5">
        <v>2</v>
      </c>
      <c r="EC5">
        <v>2.79894285591691E-2</v>
      </c>
      <c r="ED5">
        <v>0.28670224916942599</v>
      </c>
      <c r="EE5" s="11">
        <v>1.0515099999999999</v>
      </c>
      <c r="EF5">
        <v>1.06351</v>
      </c>
      <c r="EG5">
        <v>19.097625423728815</v>
      </c>
      <c r="EH5" t="s">
        <v>421</v>
      </c>
      <c r="EI5">
        <v>0</v>
      </c>
      <c r="EJ5">
        <v>1</v>
      </c>
      <c r="EK5" s="13">
        <v>45470</v>
      </c>
      <c r="EL5" s="14">
        <v>-0.74</v>
      </c>
      <c r="EM5" s="14">
        <v>-3.89</v>
      </c>
      <c r="EN5" s="14">
        <v>1.4</v>
      </c>
      <c r="EO5" s="14">
        <v>2.15</v>
      </c>
      <c r="EP5" s="14">
        <v>-1.2</v>
      </c>
    </row>
    <row r="6" spans="1:146" ht="84" x14ac:dyDescent="0.25">
      <c r="A6" s="7"/>
      <c r="B6" s="7"/>
      <c r="C6" s="7" t="str">
        <f>""&amp;CHAR(10)&amp;Basic_Fundamental_Information_Constructure(F6)&amp;CHAR(10)&amp;Basic_Fundamental_Information_Concatenate("")</f>
        <v xml:space="preserve">
市值21.301588亿, 利润1.10亿; PE17.06; 平均PE20.76; 平均PEG2.13, PB1.21; ROIC6.7567%; ROE8.4133%; 股利率2.765%; 毛利11.01%; 净利3.28%; 上一年度营收增-6.32%, 利润增5.77%; 当季营收增-10.55%, 利润增113.52%; 过往5年营收增9.76%, 利润增61.14%
Income profile:
</v>
      </c>
      <c r="D6" t="s">
        <v>134</v>
      </c>
      <c r="E6" t="s">
        <v>8</v>
      </c>
      <c r="F6">
        <v>4.34</v>
      </c>
      <c r="G6">
        <v>1.64</v>
      </c>
      <c r="H6" t="s">
        <v>579</v>
      </c>
      <c r="I6">
        <v>2130158800</v>
      </c>
      <c r="J6">
        <v>17.059999999999999</v>
      </c>
      <c r="K6">
        <v>1.21</v>
      </c>
      <c r="L6" t="s">
        <v>493</v>
      </c>
      <c r="M6" t="s">
        <v>325</v>
      </c>
      <c r="N6" t="s">
        <v>580</v>
      </c>
      <c r="O6" t="s">
        <v>259</v>
      </c>
      <c r="P6">
        <v>-10.62</v>
      </c>
      <c r="Q6" t="s">
        <v>581</v>
      </c>
      <c r="R6">
        <v>27195143</v>
      </c>
      <c r="S6" s="6">
        <v>1.135</v>
      </c>
      <c r="T6" t="s">
        <v>35</v>
      </c>
      <c r="U6">
        <v>488466710</v>
      </c>
      <c r="V6">
        <v>490820000</v>
      </c>
      <c r="W6">
        <v>2.5299999999999998</v>
      </c>
      <c r="X6">
        <v>0.24</v>
      </c>
      <c r="Y6">
        <v>2.72</v>
      </c>
      <c r="Z6" t="s">
        <v>327</v>
      </c>
      <c r="AA6" t="s">
        <v>582</v>
      </c>
      <c r="AB6" t="s">
        <v>583</v>
      </c>
      <c r="AC6" t="s">
        <v>584</v>
      </c>
      <c r="AD6" t="s">
        <v>11</v>
      </c>
      <c r="AE6">
        <v>17608588</v>
      </c>
      <c r="AF6" t="s">
        <v>585</v>
      </c>
      <c r="AG6" t="s">
        <v>586</v>
      </c>
      <c r="AH6" t="s">
        <v>587</v>
      </c>
      <c r="AI6" t="s">
        <v>461</v>
      </c>
      <c r="AJ6" t="s">
        <v>588</v>
      </c>
      <c r="AK6" t="s">
        <v>11</v>
      </c>
      <c r="AL6" t="s">
        <v>589</v>
      </c>
      <c r="AM6" t="s">
        <v>11</v>
      </c>
      <c r="AN6" t="s">
        <v>233</v>
      </c>
      <c r="AO6" t="s">
        <v>158</v>
      </c>
      <c r="AP6" t="s">
        <v>70</v>
      </c>
      <c r="AQ6" t="s">
        <v>84</v>
      </c>
      <c r="AR6" t="s">
        <v>11</v>
      </c>
      <c r="AS6" t="s">
        <v>488</v>
      </c>
      <c r="AT6" t="s">
        <v>191</v>
      </c>
      <c r="AU6" t="s">
        <v>446</v>
      </c>
      <c r="AV6" t="s">
        <v>590</v>
      </c>
      <c r="AW6" t="s">
        <v>591</v>
      </c>
      <c r="AX6" t="s">
        <v>438</v>
      </c>
      <c r="AY6" t="s">
        <v>261</v>
      </c>
      <c r="AZ6" t="s">
        <v>184</v>
      </c>
      <c r="BA6" t="s">
        <v>135</v>
      </c>
      <c r="BB6" t="s">
        <v>186</v>
      </c>
      <c r="BC6" t="s">
        <v>106</v>
      </c>
      <c r="BD6" t="s">
        <v>177</v>
      </c>
      <c r="BE6" t="s">
        <v>185</v>
      </c>
      <c r="BF6" t="s">
        <v>136</v>
      </c>
      <c r="BG6" t="s">
        <v>187</v>
      </c>
      <c r="BH6" t="s">
        <v>581</v>
      </c>
      <c r="BI6" t="s">
        <v>482</v>
      </c>
      <c r="BJ6" t="s">
        <v>438</v>
      </c>
      <c r="BK6" t="s">
        <v>35</v>
      </c>
      <c r="BL6" t="s">
        <v>592</v>
      </c>
      <c r="BM6" t="s">
        <v>106</v>
      </c>
      <c r="BN6">
        <v>4.58</v>
      </c>
      <c r="BO6">
        <v>5.79</v>
      </c>
      <c r="BP6">
        <v>9.9</v>
      </c>
      <c r="BQ6">
        <v>6.32</v>
      </c>
      <c r="BR6">
        <v>6.72</v>
      </c>
      <c r="BS6">
        <v>12.2</v>
      </c>
      <c r="BT6" t="s">
        <v>417</v>
      </c>
      <c r="BU6" t="s">
        <v>318</v>
      </c>
      <c r="BV6">
        <v>9.58</v>
      </c>
      <c r="BW6">
        <v>8.7100000000000009</v>
      </c>
      <c r="BX6">
        <v>14.74</v>
      </c>
      <c r="BY6">
        <v>2.58</v>
      </c>
      <c r="BZ6">
        <v>2.27</v>
      </c>
      <c r="CA6">
        <v>4.99</v>
      </c>
      <c r="CB6">
        <v>0.93</v>
      </c>
      <c r="CC6">
        <v>-10.88</v>
      </c>
      <c r="CD6" t="s">
        <v>593</v>
      </c>
      <c r="CE6" t="s">
        <v>594</v>
      </c>
      <c r="CF6" s="8">
        <v>-0.10545129579982127</v>
      </c>
      <c r="CG6" s="9">
        <v>1.1351964417505456</v>
      </c>
      <c r="CH6" s="8">
        <v>-6.3157893717288971E-2</v>
      </c>
      <c r="CI6" s="8">
        <v>0.32596683502197266</v>
      </c>
      <c r="CJ6" s="8">
        <v>0.49782231450080872</v>
      </c>
      <c r="CK6" s="8">
        <v>-0.18175342679023743</v>
      </c>
      <c r="CL6" s="8">
        <v>-9.0732336044311523E-2</v>
      </c>
      <c r="CM6" s="9">
        <v>5.7692307978868484E-2</v>
      </c>
      <c r="CN6" s="9">
        <v>-0.39534884691238403</v>
      </c>
      <c r="CO6" s="9">
        <v>1.2206298112869263</v>
      </c>
      <c r="CP6" s="9">
        <v>3.0296914577484131</v>
      </c>
      <c r="CQ6" s="9">
        <v>-0.85547971725463867</v>
      </c>
      <c r="CR6">
        <v>20.759195207484709</v>
      </c>
      <c r="CS6">
        <v>2.1263327743886786</v>
      </c>
      <c r="CT6">
        <v>2.7649769585253456</v>
      </c>
      <c r="CU6" s="8">
        <v>9.7629098594188696E-2</v>
      </c>
      <c r="CV6" s="9">
        <v>0.611437002569437</v>
      </c>
      <c r="CW6">
        <v>0.06</v>
      </c>
      <c r="CX6">
        <v>20.808223927353698</v>
      </c>
      <c r="CY6">
        <v>113904906.45788753</v>
      </c>
      <c r="CZ6">
        <v>9.7629098594188696E-2</v>
      </c>
      <c r="DA6">
        <v>6.7561840190108722</v>
      </c>
      <c r="DB6">
        <v>350813239.14960492</v>
      </c>
      <c r="DC6">
        <v>9.2747643664479254E-2</v>
      </c>
      <c r="DD6">
        <v>3.2972446738482746</v>
      </c>
      <c r="DE6">
        <v>718830124.67914438</v>
      </c>
      <c r="DF6">
        <v>8.5913606762886049E-2</v>
      </c>
      <c r="DG6">
        <v>1.9607461966103379</v>
      </c>
      <c r="DH6">
        <v>1208804486.8313088</v>
      </c>
      <c r="DI6">
        <v>7.8103278875350957E-2</v>
      </c>
      <c r="DJ6">
        <v>0.99122380350799622</v>
      </c>
      <c r="DK6">
        <v>2391143949.1383038</v>
      </c>
      <c r="DL6">
        <v>6.8340369015932087E-2</v>
      </c>
      <c r="DM6">
        <v>110000000.00000001</v>
      </c>
      <c r="DN6">
        <v>9.7629098594188696E-2</v>
      </c>
      <c r="DO6">
        <v>2370158800</v>
      </c>
      <c r="DP6">
        <v>1668437800</v>
      </c>
      <c r="DQ6">
        <v>945</v>
      </c>
      <c r="DR6">
        <v>-0.20308039439400996</v>
      </c>
      <c r="DS6">
        <v>0.52375943918110857</v>
      </c>
      <c r="DT6" s="10">
        <v>-0.27333333333333337</v>
      </c>
      <c r="DU6">
        <v>0.81833333333333336</v>
      </c>
      <c r="DV6">
        <v>0.54499999999999993</v>
      </c>
      <c r="DW6">
        <v>-2.1088</v>
      </c>
      <c r="DX6">
        <v>0.29013757763975151</v>
      </c>
      <c r="DY6">
        <v>-2.0098069684472049</v>
      </c>
      <c r="DZ6">
        <v>650</v>
      </c>
      <c r="EA6">
        <v>-2.008559506707345</v>
      </c>
      <c r="EB6">
        <v>2</v>
      </c>
      <c r="EC6">
        <v>5.9134305855507108E-2</v>
      </c>
      <c r="ED6">
        <v>0.6560449859418932</v>
      </c>
      <c r="EE6" s="11">
        <v>-3.0251999999999999</v>
      </c>
      <c r="EF6">
        <v>-3.0045000000000002</v>
      </c>
      <c r="EG6">
        <v>20.090137577639751</v>
      </c>
      <c r="EH6" t="s">
        <v>424</v>
      </c>
      <c r="EI6">
        <v>0</v>
      </c>
      <c r="EJ6">
        <v>1</v>
      </c>
      <c r="EK6" s="13">
        <v>45470</v>
      </c>
      <c r="EL6" s="14">
        <v>-0.23</v>
      </c>
      <c r="EM6" s="14">
        <v>-4.1900000000000004</v>
      </c>
      <c r="EN6" s="14">
        <v>2.1800000000000002</v>
      </c>
      <c r="EO6" s="14">
        <v>3.09</v>
      </c>
      <c r="EP6" s="14">
        <v>-2.0699999999999998</v>
      </c>
    </row>
    <row r="7" spans="1:146" ht="150.75" customHeight="1" x14ac:dyDescent="0.25">
      <c r="A7" s="7"/>
      <c r="B7" s="7"/>
      <c r="C7" s="7" t="str">
        <f>"公司主营业务为炭黑产品、煤焦油精细加工产品的研发和生产。公司主要产品有:各种规格橡胶用炭黑(N200、N300、N500、N600、N700系列)、高分散性低电阻率导电炭黑、色素炭黑、酚油、工业萘、蒽油、洗油、轻油、改质沥青等。"&amp;CHAR(10)&amp;Basic_Fundamental_Information_Constructure(F7)&amp;CHAR(10)&amp;Basic_Fundamental_Information_Concatenate("炭黑产品 13.67亿 68.10% 88.30% 7.96%
煤焦油加工产品 6.33亿 31.52% 6.59% 1.28%
其他 759.44万 0.38% 5.11% 82.95%")</f>
        <v>公司主营业务为炭黑产品、煤焦油精细加工产品的研发和生产。公司主要产品有:各种规格橡胶用炭黑(N200、N300、N500、N600、N700系列)、高分散性低电阻率导电炭黑、色素炭黑、酚油、工业萘、蒽油、洗油、轻油、改质沥青等。
市值22.12811亿, 利润1.01亿; PE16.09; 平均PE13.49; 平均PEG.93, PB.968; ROIC6.6%; ROE6.57%; 股利率2.326%; 毛利7.5733%; 净利3.8433%; 上一年度营收增1.31%, 利润增156.45%; 当季营收增-15.72%, 利润增796.22%; 过往5年营收增14.49%, 利润增35.16%
Income profile:
炭黑产品 13.67亿 68.10% 88.30% 7.96%
煤焦油加工产品 6.33亿 31.52% 6.59% 1.28%
其他 759.44万 0.38% 5.11% 82.95%</v>
      </c>
      <c r="D7" t="s">
        <v>137</v>
      </c>
      <c r="E7" t="s">
        <v>12</v>
      </c>
      <c r="F7">
        <v>5.89</v>
      </c>
      <c r="G7">
        <v>1.55</v>
      </c>
      <c r="H7" t="s">
        <v>595</v>
      </c>
      <c r="I7">
        <v>2212811000</v>
      </c>
      <c r="J7">
        <v>16.09</v>
      </c>
      <c r="K7">
        <v>0.96799999999999997</v>
      </c>
      <c r="L7" t="s">
        <v>493</v>
      </c>
      <c r="M7" t="s">
        <v>485</v>
      </c>
      <c r="N7" t="s">
        <v>596</v>
      </c>
      <c r="O7" t="s">
        <v>597</v>
      </c>
      <c r="P7">
        <v>-15.69</v>
      </c>
      <c r="Q7" t="s">
        <v>598</v>
      </c>
      <c r="R7">
        <v>31612067</v>
      </c>
      <c r="S7" s="6">
        <v>7.9619999999999997</v>
      </c>
      <c r="T7" t="s">
        <v>179</v>
      </c>
      <c r="U7">
        <v>242798840</v>
      </c>
      <c r="V7">
        <v>375689470</v>
      </c>
      <c r="W7">
        <v>1.45</v>
      </c>
      <c r="X7">
        <v>0.28999999999999998</v>
      </c>
      <c r="Y7">
        <v>3.29</v>
      </c>
      <c r="Z7" t="s">
        <v>192</v>
      </c>
      <c r="AA7" t="s">
        <v>457</v>
      </c>
      <c r="AB7" t="s">
        <v>599</v>
      </c>
      <c r="AC7" t="s">
        <v>600</v>
      </c>
      <c r="AD7" t="s">
        <v>11</v>
      </c>
      <c r="AE7">
        <v>4491360</v>
      </c>
      <c r="AF7" t="s">
        <v>601</v>
      </c>
      <c r="AG7" t="s">
        <v>602</v>
      </c>
      <c r="AH7" t="s">
        <v>603</v>
      </c>
      <c r="AI7" t="s">
        <v>75</v>
      </c>
      <c r="AJ7" t="s">
        <v>604</v>
      </c>
      <c r="AK7" t="s">
        <v>11</v>
      </c>
      <c r="AL7" t="s">
        <v>605</v>
      </c>
      <c r="AM7" t="s">
        <v>11</v>
      </c>
      <c r="AN7" t="s">
        <v>337</v>
      </c>
      <c r="AO7" t="s">
        <v>606</v>
      </c>
      <c r="AP7" t="s">
        <v>11</v>
      </c>
      <c r="AQ7" t="s">
        <v>75</v>
      </c>
      <c r="AR7" t="s">
        <v>11</v>
      </c>
      <c r="AS7" t="s">
        <v>474</v>
      </c>
      <c r="AT7" t="s">
        <v>66</v>
      </c>
      <c r="AU7" t="s">
        <v>607</v>
      </c>
      <c r="AV7" t="s">
        <v>608</v>
      </c>
      <c r="AW7" t="s">
        <v>609</v>
      </c>
      <c r="AX7" t="s">
        <v>439</v>
      </c>
      <c r="AY7" t="s">
        <v>236</v>
      </c>
      <c r="AZ7" t="s">
        <v>42</v>
      </c>
      <c r="BA7" t="s">
        <v>138</v>
      </c>
      <c r="BB7" t="s">
        <v>189</v>
      </c>
      <c r="BC7" t="s">
        <v>440</v>
      </c>
      <c r="BD7" t="s">
        <v>213</v>
      </c>
      <c r="BE7" t="s">
        <v>90</v>
      </c>
      <c r="BF7" t="s">
        <v>139</v>
      </c>
      <c r="BG7" t="s">
        <v>180</v>
      </c>
      <c r="BH7" t="s">
        <v>598</v>
      </c>
      <c r="BI7" t="s">
        <v>204</v>
      </c>
      <c r="BJ7" t="s">
        <v>439</v>
      </c>
      <c r="BK7" t="s">
        <v>179</v>
      </c>
      <c r="BL7" t="s">
        <v>610</v>
      </c>
      <c r="BM7" t="s">
        <v>440</v>
      </c>
      <c r="BN7">
        <v>2.72</v>
      </c>
      <c r="BO7">
        <v>3.21</v>
      </c>
      <c r="BP7">
        <v>13.87</v>
      </c>
      <c r="BQ7">
        <v>2.66</v>
      </c>
      <c r="BR7">
        <v>1.78</v>
      </c>
      <c r="BS7">
        <v>15.27</v>
      </c>
      <c r="BT7" t="s">
        <v>611</v>
      </c>
      <c r="BU7" t="s">
        <v>318</v>
      </c>
      <c r="BV7">
        <v>5.56</v>
      </c>
      <c r="BW7">
        <v>4.42</v>
      </c>
      <c r="BX7">
        <v>12.74</v>
      </c>
      <c r="BY7">
        <v>2.2200000000000002</v>
      </c>
      <c r="BZ7">
        <v>0.87</v>
      </c>
      <c r="CA7">
        <v>8.44</v>
      </c>
      <c r="CB7">
        <v>1.38</v>
      </c>
      <c r="CC7">
        <v>-9.98</v>
      </c>
      <c r="CD7" t="s">
        <v>612</v>
      </c>
      <c r="CE7" t="s">
        <v>179</v>
      </c>
      <c r="CF7" s="8">
        <v>-0.15715539947322213</v>
      </c>
      <c r="CG7" s="9">
        <v>7.9622435855082037</v>
      </c>
      <c r="CH7" s="8">
        <v>1.3099424540996552E-2</v>
      </c>
      <c r="CI7" s="8">
        <v>0.19819098711013794</v>
      </c>
      <c r="CJ7" s="8">
        <v>0.57214552164077759</v>
      </c>
      <c r="CK7" s="8">
        <v>-0.16281510889530182</v>
      </c>
      <c r="CL7" s="8">
        <v>0.10398142039775848</v>
      </c>
      <c r="CM7" s="9">
        <v>1.5645127296447754</v>
      </c>
      <c r="CN7" s="9">
        <v>-0.87576115131378174</v>
      </c>
      <c r="CO7" s="9">
        <v>1.0063290596008301</v>
      </c>
      <c r="CP7" s="9">
        <v>0.73557710647583008</v>
      </c>
      <c r="CQ7" s="9">
        <v>-0.67253237962722778</v>
      </c>
      <c r="CR7">
        <v>13.486997466629324</v>
      </c>
      <c r="CS7">
        <v>0.93064833593337359</v>
      </c>
      <c r="CT7">
        <v>2.3259762308998306</v>
      </c>
      <c r="CU7" s="8">
        <v>0.14492044895887374</v>
      </c>
      <c r="CV7" s="9">
        <v>0.35162507295608519</v>
      </c>
      <c r="CW7">
        <v>0.06</v>
      </c>
      <c r="CX7">
        <v>7.8082268702517599</v>
      </c>
      <c r="CY7">
        <v>109091476.74042098</v>
      </c>
      <c r="CZ7">
        <v>0.14492044895887374</v>
      </c>
      <c r="DA7">
        <v>2.4364230325972995</v>
      </c>
      <c r="DB7">
        <v>349615394.61886638</v>
      </c>
      <c r="DC7">
        <v>0.13767442651093004</v>
      </c>
      <c r="DD7">
        <v>1.1261073956255936</v>
      </c>
      <c r="DE7">
        <v>756420749.307652</v>
      </c>
      <c r="DF7">
        <v>0.12752999508380888</v>
      </c>
      <c r="DG7">
        <v>0.62872424291363904</v>
      </c>
      <c r="DH7">
        <v>1354824487.2068722</v>
      </c>
      <c r="DI7">
        <v>0.11593635916709899</v>
      </c>
      <c r="DJ7">
        <v>0.27512352722042754</v>
      </c>
      <c r="DK7">
        <v>3096103806.9184589</v>
      </c>
      <c r="DL7">
        <v>0.10144431427121162</v>
      </c>
      <c r="DM7">
        <v>101000000</v>
      </c>
      <c r="DN7">
        <v>0.14492044895887374</v>
      </c>
      <c r="DO7">
        <v>851811000</v>
      </c>
      <c r="DP7">
        <v>1432368000</v>
      </c>
      <c r="DQ7">
        <v>1233</v>
      </c>
      <c r="DR7">
        <v>-0.30207584843209589</v>
      </c>
      <c r="DS7">
        <v>7.6106185125521186</v>
      </c>
      <c r="DT7" s="10">
        <v>-0.27333333333333337</v>
      </c>
      <c r="DU7">
        <v>0.55333333333333334</v>
      </c>
      <c r="DV7">
        <v>0.27999999999999997</v>
      </c>
      <c r="DW7">
        <v>-2.0998000000000001</v>
      </c>
      <c r="DX7">
        <v>0.32149702970297028</v>
      </c>
      <c r="DY7">
        <v>-2.0131234035643564</v>
      </c>
      <c r="DZ7">
        <v>1085</v>
      </c>
      <c r="EA7">
        <v>-2.0103369274650751</v>
      </c>
      <c r="EB7">
        <v>2</v>
      </c>
      <c r="EC7">
        <v>3.5351536469733894E-2</v>
      </c>
      <c r="ED7">
        <v>0.26883904944155074</v>
      </c>
      <c r="EE7" s="11">
        <v>9.8710000000000006E-2</v>
      </c>
      <c r="EF7">
        <v>0.11060999999999999</v>
      </c>
      <c r="EG7">
        <v>19.13149702970297</v>
      </c>
      <c r="EH7">
        <v>-1</v>
      </c>
      <c r="EI7">
        <v>0</v>
      </c>
      <c r="EJ7">
        <v>1</v>
      </c>
      <c r="EK7" s="13">
        <v>45470</v>
      </c>
      <c r="EL7" s="14">
        <v>0.51</v>
      </c>
      <c r="EM7" s="14">
        <v>-3.21</v>
      </c>
      <c r="EN7" s="14">
        <v>1.4</v>
      </c>
      <c r="EO7" s="14">
        <v>3.53</v>
      </c>
      <c r="EP7" s="14">
        <v>-1.19</v>
      </c>
    </row>
    <row r="8" spans="1:146" ht="84" x14ac:dyDescent="0.25">
      <c r="A8" s="7"/>
      <c r="B8" s="7"/>
      <c r="C8" s="7" t="str">
        <f>""&amp;CHAR(10)&amp;Basic_Fundamental_Information_Constructure(F8)&amp;CHAR(10)&amp;Basic_Fundamental_Information_Concatenate("")</f>
        <v xml:space="preserve">
市值32.228439亿, 利润3.04亿; PE10.85; 平均PE10.86; 平均PEG.9, PB1.04; ROIC14.2433%; ROE15.77%; 股利率3.1726%; 毛利24.2733%; 净利11.32%; 上一年度营收增-1.76%, 利润增-40.97%; 当季营收增2.84%, 利润增-8.22%; 过往5年营收增12.14%, 利润增16.88%
Income profile:
</v>
      </c>
      <c r="D8" t="s">
        <v>111</v>
      </c>
      <c r="E8" t="s">
        <v>14</v>
      </c>
      <c r="F8">
        <v>7.88</v>
      </c>
      <c r="G8">
        <v>0.64</v>
      </c>
      <c r="H8" t="s">
        <v>613</v>
      </c>
      <c r="I8">
        <v>3222843900</v>
      </c>
      <c r="J8">
        <v>10.85</v>
      </c>
      <c r="K8">
        <v>1.04</v>
      </c>
      <c r="L8" t="s">
        <v>493</v>
      </c>
      <c r="M8" t="s">
        <v>614</v>
      </c>
      <c r="N8" t="s">
        <v>615</v>
      </c>
      <c r="O8" t="s">
        <v>463</v>
      </c>
      <c r="P8">
        <v>2.88</v>
      </c>
      <c r="Q8" t="s">
        <v>616</v>
      </c>
      <c r="R8">
        <v>81224960</v>
      </c>
      <c r="S8" s="6">
        <v>-8.2199999999999995E-2</v>
      </c>
      <c r="T8" t="s">
        <v>334</v>
      </c>
      <c r="U8">
        <v>394453080</v>
      </c>
      <c r="V8">
        <v>408990350</v>
      </c>
      <c r="W8">
        <v>1.38</v>
      </c>
      <c r="X8">
        <v>0.19</v>
      </c>
      <c r="Y8">
        <v>9.73</v>
      </c>
      <c r="Z8" t="s">
        <v>197</v>
      </c>
      <c r="AA8" t="s">
        <v>617</v>
      </c>
      <c r="AB8" t="s">
        <v>618</v>
      </c>
      <c r="AC8" t="s">
        <v>619</v>
      </c>
      <c r="AD8" t="s">
        <v>11</v>
      </c>
      <c r="AE8">
        <v>6505432</v>
      </c>
      <c r="AF8" t="s">
        <v>620</v>
      </c>
      <c r="AG8" t="s">
        <v>621</v>
      </c>
      <c r="AH8" t="s">
        <v>622</v>
      </c>
      <c r="AI8" t="s">
        <v>623</v>
      </c>
      <c r="AJ8" t="s">
        <v>624</v>
      </c>
      <c r="AK8" t="s">
        <v>625</v>
      </c>
      <c r="AL8" t="s">
        <v>626</v>
      </c>
      <c r="AM8" t="s">
        <v>11</v>
      </c>
      <c r="AN8" t="s">
        <v>627</v>
      </c>
      <c r="AO8" t="s">
        <v>69</v>
      </c>
      <c r="AP8" t="s">
        <v>57</v>
      </c>
      <c r="AQ8" t="s">
        <v>80</v>
      </c>
      <c r="AR8" t="s">
        <v>11</v>
      </c>
      <c r="AS8" t="s">
        <v>429</v>
      </c>
      <c r="AT8" t="s">
        <v>11</v>
      </c>
      <c r="AU8" t="s">
        <v>628</v>
      </c>
      <c r="AV8" t="s">
        <v>629</v>
      </c>
      <c r="AW8" t="s">
        <v>630</v>
      </c>
      <c r="AX8" t="s">
        <v>444</v>
      </c>
      <c r="AY8" t="s">
        <v>263</v>
      </c>
      <c r="AZ8" t="s">
        <v>193</v>
      </c>
      <c r="BA8" t="s">
        <v>324</v>
      </c>
      <c r="BB8" t="s">
        <v>325</v>
      </c>
      <c r="BC8" t="s">
        <v>323</v>
      </c>
      <c r="BD8" t="s">
        <v>104</v>
      </c>
      <c r="BE8" t="s">
        <v>165</v>
      </c>
      <c r="BF8" t="s">
        <v>112</v>
      </c>
      <c r="BG8" t="s">
        <v>168</v>
      </c>
      <c r="BH8" t="s">
        <v>616</v>
      </c>
      <c r="BI8" t="s">
        <v>631</v>
      </c>
      <c r="BJ8" t="s">
        <v>444</v>
      </c>
      <c r="BK8" t="s">
        <v>334</v>
      </c>
      <c r="BL8" t="s">
        <v>632</v>
      </c>
      <c r="BM8" t="s">
        <v>323</v>
      </c>
      <c r="BN8">
        <v>7.65</v>
      </c>
      <c r="BO8">
        <v>20.43</v>
      </c>
      <c r="BP8">
        <v>14.65</v>
      </c>
      <c r="BQ8">
        <v>8.77</v>
      </c>
      <c r="BR8">
        <v>22.51</v>
      </c>
      <c r="BS8">
        <v>16.03</v>
      </c>
      <c r="BT8" t="s">
        <v>416</v>
      </c>
      <c r="BU8" t="s">
        <v>271</v>
      </c>
      <c r="BV8">
        <v>22.31</v>
      </c>
      <c r="BW8">
        <v>27.67</v>
      </c>
      <c r="BX8">
        <v>22.84</v>
      </c>
      <c r="BY8">
        <v>8.81</v>
      </c>
      <c r="BZ8">
        <v>14.65</v>
      </c>
      <c r="CA8">
        <v>10.5</v>
      </c>
      <c r="CB8">
        <v>1.03</v>
      </c>
      <c r="CC8">
        <v>-6.3</v>
      </c>
      <c r="CD8" t="s">
        <v>633</v>
      </c>
      <c r="CE8" t="s">
        <v>70</v>
      </c>
      <c r="CF8" s="8">
        <v>2.8360049321824909E-2</v>
      </c>
      <c r="CG8" s="9">
        <v>-8.2157171833596054E-2</v>
      </c>
      <c r="CH8" s="8">
        <v>-1.762862503528595E-2</v>
      </c>
      <c r="CI8" s="8">
        <v>0.30018484592437744</v>
      </c>
      <c r="CJ8" s="8">
        <v>0.39217695593833923</v>
      </c>
      <c r="CK8" s="8">
        <v>-3.5253196954727173E-2</v>
      </c>
      <c r="CL8" s="8">
        <v>-3.2660901546478271E-2</v>
      </c>
      <c r="CM8" s="9">
        <v>-0.40970873832702637</v>
      </c>
      <c r="CN8" s="9">
        <v>0.81338030099868774</v>
      </c>
      <c r="CO8" s="9">
        <v>1.2539682388305664</v>
      </c>
      <c r="CP8" s="9">
        <v>-0.31521740555763245</v>
      </c>
      <c r="CQ8" s="9">
        <v>-0.4986376166343689</v>
      </c>
      <c r="CR8">
        <v>10.863518764044944</v>
      </c>
      <c r="CS8">
        <v>0.89512007384552994</v>
      </c>
      <c r="CT8">
        <v>3.1725888324873095</v>
      </c>
      <c r="CU8" s="8">
        <v>0.12136381566524505</v>
      </c>
      <c r="CV8" s="9">
        <v>0.16875695586204528</v>
      </c>
      <c r="CW8">
        <v>0.06</v>
      </c>
      <c r="CX8">
        <v>3.6624649793171113</v>
      </c>
      <c r="CY8">
        <v>321598679.20965517</v>
      </c>
      <c r="CZ8">
        <v>0.12136381566524505</v>
      </c>
      <c r="DA8">
        <v>1.1656022642256088</v>
      </c>
      <c r="DB8">
        <v>1010502412.4867536</v>
      </c>
      <c r="DC8">
        <v>0.11529562488198279</v>
      </c>
      <c r="DD8">
        <v>0.5536173115209172</v>
      </c>
      <c r="DE8">
        <v>2127541670.9137678</v>
      </c>
      <c r="DF8">
        <v>0.10680015778541564</v>
      </c>
      <c r="DG8">
        <v>0.31911314757371967</v>
      </c>
      <c r="DH8">
        <v>3690991452.2650666</v>
      </c>
      <c r="DI8">
        <v>9.7091052532196048E-2</v>
      </c>
      <c r="DJ8">
        <v>0.15037361286999454</v>
      </c>
      <c r="DK8">
        <v>7832783142.7333241</v>
      </c>
      <c r="DL8">
        <v>8.4954670965671539E-2</v>
      </c>
      <c r="DM8">
        <v>304000000</v>
      </c>
      <c r="DN8">
        <v>0.12136381566524505</v>
      </c>
      <c r="DO8">
        <v>1177843900</v>
      </c>
      <c r="DP8">
        <v>2054240800</v>
      </c>
      <c r="DQ8">
        <v>1611</v>
      </c>
      <c r="DR8">
        <v>-9.3003766343420141E-2</v>
      </c>
      <c r="DS8">
        <v>-0.25091412769564136</v>
      </c>
      <c r="DT8" s="10">
        <v>-0.15666666666666665</v>
      </c>
      <c r="DU8">
        <v>0.18333333333333343</v>
      </c>
      <c r="DV8">
        <v>2.6666666666666783E-2</v>
      </c>
      <c r="DW8">
        <v>-2.0630000000000002</v>
      </c>
      <c r="DX8">
        <v>0.30183944954128422</v>
      </c>
      <c r="DY8">
        <v>-2.0064158853211009</v>
      </c>
      <c r="DZ8">
        <v>1645</v>
      </c>
      <c r="EA8">
        <v>-2.0043504975807465</v>
      </c>
      <c r="EB8">
        <v>2</v>
      </c>
      <c r="EC8">
        <v>2.7141227170763321E-2</v>
      </c>
      <c r="ED8">
        <v>0.2665099555527411</v>
      </c>
      <c r="EE8" s="11">
        <v>2.1219000000000001</v>
      </c>
      <c r="EF8">
        <v>2.1053999999999999</v>
      </c>
      <c r="EG8">
        <v>20.101839449541284</v>
      </c>
      <c r="EH8" t="s">
        <v>422</v>
      </c>
      <c r="EI8">
        <v>0</v>
      </c>
      <c r="EJ8">
        <v>0</v>
      </c>
      <c r="EK8" s="13">
        <v>45470</v>
      </c>
      <c r="EL8" s="14">
        <v>-0.13</v>
      </c>
      <c r="EM8" s="14">
        <v>-3.03</v>
      </c>
      <c r="EN8" s="14">
        <v>0.78</v>
      </c>
      <c r="EO8" s="14">
        <v>1.81</v>
      </c>
      <c r="EP8" s="14">
        <v>-1.65</v>
      </c>
    </row>
    <row r="9" spans="1:146" ht="84" x14ac:dyDescent="0.25">
      <c r="A9" s="7"/>
      <c r="B9" s="7"/>
      <c r="C9" s="7" t="str">
        <f>""&amp;CHAR(10)&amp;Basic_Fundamental_Information_Constructure(F9)&amp;CHAR(10)&amp;Basic_Fundamental_Information_Concatenate("")</f>
        <v xml:space="preserve">
市值44.371083亿, 利润1.35亿; PE31.03; 平均PE27.36; 平均PEG5.28, PB1.99; ROIC5.4433%; ROE5.81%; 股利率.3388%; 毛利18.5667%; 净利5.09%; 上一年度营收增3.99%, 利润增31.07%; 当季营收增19.71%, 利润增23.43%; 过往5年营收增5.18%, 利润增-.44%
Income profile:
</v>
      </c>
      <c r="D9" t="s">
        <v>114</v>
      </c>
      <c r="E9" t="s">
        <v>10</v>
      </c>
      <c r="F9">
        <v>7.38</v>
      </c>
      <c r="G9">
        <v>-0.4</v>
      </c>
      <c r="H9" t="s">
        <v>634</v>
      </c>
      <c r="I9">
        <v>4437108300</v>
      </c>
      <c r="J9">
        <v>31.03</v>
      </c>
      <c r="K9">
        <v>1.99</v>
      </c>
      <c r="L9" t="s">
        <v>493</v>
      </c>
      <c r="M9" t="s">
        <v>635</v>
      </c>
      <c r="N9" t="s">
        <v>636</v>
      </c>
      <c r="O9" t="s">
        <v>338</v>
      </c>
      <c r="P9">
        <v>19.690000000000001</v>
      </c>
      <c r="Q9" t="s">
        <v>96</v>
      </c>
      <c r="R9">
        <v>40405667</v>
      </c>
      <c r="S9" s="6">
        <v>0.23430000000000001</v>
      </c>
      <c r="T9" t="s">
        <v>52</v>
      </c>
      <c r="U9">
        <v>490090780</v>
      </c>
      <c r="V9">
        <v>601234190</v>
      </c>
      <c r="W9">
        <v>1.53</v>
      </c>
      <c r="X9">
        <v>0.19</v>
      </c>
      <c r="Y9">
        <v>6.38</v>
      </c>
      <c r="Z9" t="s">
        <v>637</v>
      </c>
      <c r="AA9" t="s">
        <v>173</v>
      </c>
      <c r="AB9" t="s">
        <v>638</v>
      </c>
      <c r="AC9" t="s">
        <v>639</v>
      </c>
      <c r="AD9" t="s">
        <v>11</v>
      </c>
      <c r="AE9">
        <v>2302926</v>
      </c>
      <c r="AF9" t="s">
        <v>640</v>
      </c>
      <c r="AG9" t="s">
        <v>641</v>
      </c>
      <c r="AH9" t="s">
        <v>642</v>
      </c>
      <c r="AI9" t="s">
        <v>53</v>
      </c>
      <c r="AJ9" t="s">
        <v>643</v>
      </c>
      <c r="AK9" t="s">
        <v>79</v>
      </c>
      <c r="AL9" t="s">
        <v>644</v>
      </c>
      <c r="AM9" t="s">
        <v>11</v>
      </c>
      <c r="AN9" t="s">
        <v>645</v>
      </c>
      <c r="AO9" t="s">
        <v>333</v>
      </c>
      <c r="AP9" t="s">
        <v>646</v>
      </c>
      <c r="AQ9" t="s">
        <v>455</v>
      </c>
      <c r="AR9" t="s">
        <v>11</v>
      </c>
      <c r="AS9" t="s">
        <v>194</v>
      </c>
      <c r="AT9" t="s">
        <v>647</v>
      </c>
      <c r="AU9" t="s">
        <v>648</v>
      </c>
      <c r="AV9" t="s">
        <v>649</v>
      </c>
      <c r="AW9" t="s">
        <v>650</v>
      </c>
      <c r="AX9" t="s">
        <v>448</v>
      </c>
      <c r="AY9" t="s">
        <v>242</v>
      </c>
      <c r="AZ9" t="s">
        <v>196</v>
      </c>
      <c r="BA9" t="s">
        <v>115</v>
      </c>
      <c r="BB9" t="s">
        <v>199</v>
      </c>
      <c r="BC9" t="s">
        <v>51</v>
      </c>
      <c r="BD9" t="s">
        <v>86</v>
      </c>
      <c r="BE9" t="s">
        <v>118</v>
      </c>
      <c r="BF9" t="s">
        <v>105</v>
      </c>
      <c r="BG9" t="s">
        <v>54</v>
      </c>
      <c r="BH9" t="s">
        <v>96</v>
      </c>
      <c r="BI9" t="s">
        <v>651</v>
      </c>
      <c r="BJ9" t="s">
        <v>448</v>
      </c>
      <c r="BK9" t="s">
        <v>52</v>
      </c>
      <c r="BL9" t="s">
        <v>652</v>
      </c>
      <c r="BM9" t="s">
        <v>51</v>
      </c>
      <c r="BN9">
        <v>4.2300000000000004</v>
      </c>
      <c r="BO9">
        <v>4.93</v>
      </c>
      <c r="BP9">
        <v>7.17</v>
      </c>
      <c r="BQ9">
        <v>4.57</v>
      </c>
      <c r="BR9">
        <v>5.0999999999999996</v>
      </c>
      <c r="BS9">
        <v>7.76</v>
      </c>
      <c r="BT9" t="s">
        <v>653</v>
      </c>
      <c r="BU9" t="s">
        <v>271</v>
      </c>
      <c r="BV9">
        <v>18.100000000000001</v>
      </c>
      <c r="BW9">
        <v>16.649999999999999</v>
      </c>
      <c r="BX9">
        <v>20.95</v>
      </c>
      <c r="BY9">
        <v>5.08</v>
      </c>
      <c r="BZ9">
        <v>4.08</v>
      </c>
      <c r="CA9">
        <v>6.11</v>
      </c>
      <c r="CB9">
        <v>-9.56</v>
      </c>
      <c r="CC9">
        <v>-13.89</v>
      </c>
      <c r="CD9" t="s">
        <v>654</v>
      </c>
      <c r="CE9" t="s">
        <v>174</v>
      </c>
      <c r="CF9" s="8">
        <v>0.19710669077757687</v>
      </c>
      <c r="CG9" s="9">
        <v>0.23426206673244401</v>
      </c>
      <c r="CH9" s="8">
        <v>3.9923928678035736E-2</v>
      </c>
      <c r="CI9" s="8">
        <v>4.2409852147102356E-2</v>
      </c>
      <c r="CJ9" s="8">
        <v>0.11489173024892807</v>
      </c>
      <c r="CK9" s="8">
        <v>9.817102923989296E-3</v>
      </c>
      <c r="CL9" s="8">
        <v>5.2112646400928497E-2</v>
      </c>
      <c r="CM9" s="9">
        <v>0.31067961454391479</v>
      </c>
      <c r="CN9" s="9">
        <v>-0.30405405163764954</v>
      </c>
      <c r="CO9" s="9">
        <v>-0.24489796161651611</v>
      </c>
      <c r="CP9" s="9">
        <v>-0.125</v>
      </c>
      <c r="CQ9" s="9">
        <v>0.34131735563278198</v>
      </c>
      <c r="CR9">
        <v>27.361407810894143</v>
      </c>
      <c r="CS9">
        <v>5.2789605290607904</v>
      </c>
      <c r="CT9">
        <v>0.33875338753387535</v>
      </c>
      <c r="CU9" s="8">
        <v>5.183105207979679E-2</v>
      </c>
      <c r="CV9" s="9">
        <v>-4.3910086154937741E-3</v>
      </c>
      <c r="CW9">
        <v>0.06</v>
      </c>
      <c r="CX9">
        <v>26.471472740006046</v>
      </c>
      <c r="CY9">
        <v>133959615.12337035</v>
      </c>
      <c r="CZ9">
        <v>5.183105207979679E-2</v>
      </c>
      <c r="DA9">
        <v>8.9360248585336652</v>
      </c>
      <c r="DB9">
        <v>396832859.81613642</v>
      </c>
      <c r="DC9">
        <v>4.9239499475806948E-2</v>
      </c>
      <c r="DD9">
        <v>4.5911684950638714</v>
      </c>
      <c r="DE9">
        <v>772375987.46649075</v>
      </c>
      <c r="DF9">
        <v>4.5611325830221178E-2</v>
      </c>
      <c r="DG9">
        <v>2.8906650077156915</v>
      </c>
      <c r="DH9">
        <v>1226744811.5000582</v>
      </c>
      <c r="DI9">
        <v>4.1464841663837432E-2</v>
      </c>
      <c r="DJ9">
        <v>1.6515481819270885</v>
      </c>
      <c r="DK9">
        <v>2147141899.2222605</v>
      </c>
      <c r="DL9">
        <v>3.6281736455857749E-2</v>
      </c>
      <c r="DM9">
        <v>135000000</v>
      </c>
      <c r="DN9">
        <v>5.183105207979679E-2</v>
      </c>
      <c r="DO9">
        <v>3546108300</v>
      </c>
      <c r="DP9">
        <v>1238005500</v>
      </c>
      <c r="DQ9">
        <v>1801</v>
      </c>
      <c r="DR9">
        <v>0.14527563869778007</v>
      </c>
      <c r="DS9">
        <v>0.23865307534793778</v>
      </c>
      <c r="DT9" s="10">
        <v>-0.44</v>
      </c>
      <c r="DU9">
        <v>0.20333333333333334</v>
      </c>
      <c r="DV9">
        <v>-0.23666666666666666</v>
      </c>
      <c r="DW9">
        <v>-9.6882649388048954</v>
      </c>
      <c r="DX9">
        <v>0.30706077170418067</v>
      </c>
      <c r="DY9">
        <v>-9.0599208767092847</v>
      </c>
      <c r="DZ9">
        <v>2280</v>
      </c>
      <c r="EA9">
        <v>-9.0331851430699164</v>
      </c>
      <c r="EB9">
        <v>9</v>
      </c>
      <c r="EC9">
        <v>4.5033866088021374E-2</v>
      </c>
      <c r="ED9">
        <v>0.51726931896537687</v>
      </c>
      <c r="EE9" s="11">
        <v>3.8910000000000007E-2</v>
      </c>
      <c r="EF9">
        <v>7.1809999999999999E-2</v>
      </c>
      <c r="EG9">
        <v>22.087060771704181</v>
      </c>
      <c r="EH9">
        <v>-1</v>
      </c>
      <c r="EI9">
        <v>0</v>
      </c>
      <c r="EJ9">
        <v>0</v>
      </c>
      <c r="EK9" s="13">
        <v>45470</v>
      </c>
      <c r="EL9" s="14">
        <v>-0.23</v>
      </c>
      <c r="EM9" s="14">
        <v>-3.1</v>
      </c>
      <c r="EN9" s="14">
        <v>0.12</v>
      </c>
      <c r="EO9" s="14">
        <v>0.47</v>
      </c>
      <c r="EP9" s="14">
        <v>-3.29</v>
      </c>
    </row>
    <row r="10" spans="1:146" ht="143.65" customHeight="1" x14ac:dyDescent="0.25">
      <c r="A10" s="7"/>
      <c r="B10" s="7"/>
      <c r="C10" s="7" t="str">
        <f>"公司的主营业务为轨道工程橡胶制品的研发、生产和销售。公司的主要产品主要包括隔离式橡胶减振垫、弹性支承式无砟轨道用橡胶套靴、锂化物系列产品。主要应用于轨道交通领域，涵盖城市轨道交通、高速铁路、重载铁路和普通铁路。"&amp;CHAR(10)&amp;Basic_Fundamental_Information_Constructure(F10)&amp;CHAR(10)&amp;Basic_Fundamental_Information_Concatenate("轨道工程橡胶制品 4.58亿 63.08% 64.09% 59.46%
锂化物系列产品 9551.42万 13.17% 16.45% 73.12%")</f>
        <v>公司的主营业务为轨道工程橡胶制品的研发、生产和销售。公司的主要产品主要包括隔离式橡胶减振垫、弹性支承式无砟轨道用橡胶套靴、锂化物系列产品。主要应用于轨道交通领域，涵盖城市轨道交通、高速铁路、重载铁路和普通铁路。
市值47.063753亿, 利润-6.54亿; PE; 平均PE61.52; 平均PEG2.01, PB1.83; ROIC11.73%; ROE10.37%; 股利率0%; 毛利40.7%; 净利-.9367%; 上一年度营收增-12.38%, 利润增-259.51%; 当季营收增167.26%, 利润增313.65%; 过往5年营收增30.62%, 利润增-10.49%
Income profile:
轨道工程橡胶制品 4.58亿 63.08% 64.09% 59.46%
锂化物系列产品 9551.42万 13.17% 16.45% 73.12%</v>
      </c>
      <c r="D10" t="s">
        <v>116</v>
      </c>
      <c r="E10" t="s">
        <v>7</v>
      </c>
      <c r="F10">
        <v>4.0199999999999996</v>
      </c>
      <c r="G10">
        <v>1.26</v>
      </c>
      <c r="H10" t="s">
        <v>655</v>
      </c>
      <c r="I10">
        <v>4706375300</v>
      </c>
      <c r="K10">
        <v>1.83</v>
      </c>
      <c r="L10" t="s">
        <v>493</v>
      </c>
      <c r="M10" t="s">
        <v>656</v>
      </c>
      <c r="N10" t="s">
        <v>657</v>
      </c>
      <c r="O10" t="s">
        <v>319</v>
      </c>
      <c r="P10">
        <v>167.11</v>
      </c>
      <c r="Q10" t="s">
        <v>459</v>
      </c>
      <c r="R10">
        <v>18860889</v>
      </c>
      <c r="S10" s="6">
        <v>3.1360000000000001</v>
      </c>
      <c r="T10" t="s">
        <v>658</v>
      </c>
      <c r="U10">
        <v>948624200</v>
      </c>
      <c r="V10">
        <v>1170740130</v>
      </c>
      <c r="W10">
        <v>2.23</v>
      </c>
      <c r="X10">
        <v>0.11</v>
      </c>
      <c r="Y10">
        <v>2.99</v>
      </c>
      <c r="Z10" t="s">
        <v>450</v>
      </c>
      <c r="AA10" t="s">
        <v>431</v>
      </c>
      <c r="AB10" t="s">
        <v>659</v>
      </c>
      <c r="AC10" t="s">
        <v>660</v>
      </c>
      <c r="AD10" t="s">
        <v>11</v>
      </c>
      <c r="AE10">
        <v>18127816</v>
      </c>
      <c r="AF10" t="s">
        <v>661</v>
      </c>
      <c r="AG10" t="s">
        <v>662</v>
      </c>
      <c r="AH10" t="s">
        <v>663</v>
      </c>
      <c r="AI10" t="s">
        <v>200</v>
      </c>
      <c r="AJ10" t="s">
        <v>664</v>
      </c>
      <c r="AK10" t="s">
        <v>32</v>
      </c>
      <c r="AL10" t="s">
        <v>665</v>
      </c>
      <c r="AM10" t="s">
        <v>11</v>
      </c>
      <c r="AN10" t="s">
        <v>317</v>
      </c>
      <c r="AO10" t="s">
        <v>666</v>
      </c>
      <c r="AP10" t="s">
        <v>447</v>
      </c>
      <c r="AQ10" t="s">
        <v>211</v>
      </c>
      <c r="AR10" t="s">
        <v>11</v>
      </c>
      <c r="AS10" t="s">
        <v>217</v>
      </c>
      <c r="AT10" t="s">
        <v>329</v>
      </c>
      <c r="AU10" t="s">
        <v>83</v>
      </c>
      <c r="AV10" t="s">
        <v>667</v>
      </c>
      <c r="AW10" t="s">
        <v>237</v>
      </c>
      <c r="AX10" t="s">
        <v>451</v>
      </c>
      <c r="AY10" t="s">
        <v>264</v>
      </c>
      <c r="AZ10" t="s">
        <v>202</v>
      </c>
      <c r="BA10" t="s">
        <v>117</v>
      </c>
      <c r="BB10" t="s">
        <v>77</v>
      </c>
      <c r="BC10" t="s">
        <v>234</v>
      </c>
      <c r="BD10" t="s">
        <v>65</v>
      </c>
      <c r="BE10" t="s">
        <v>118</v>
      </c>
      <c r="BF10" t="s">
        <v>98</v>
      </c>
      <c r="BG10" t="s">
        <v>203</v>
      </c>
      <c r="BH10" t="s">
        <v>459</v>
      </c>
      <c r="BI10" t="s">
        <v>38</v>
      </c>
      <c r="BJ10" t="s">
        <v>451</v>
      </c>
      <c r="BK10" t="s">
        <v>658</v>
      </c>
      <c r="BL10" t="s">
        <v>668</v>
      </c>
      <c r="BM10" t="s">
        <v>234</v>
      </c>
      <c r="BN10" t="s">
        <v>11</v>
      </c>
      <c r="BO10">
        <v>11.19</v>
      </c>
      <c r="BP10">
        <v>12.27</v>
      </c>
      <c r="BQ10">
        <v>-1.46</v>
      </c>
      <c r="BR10">
        <v>14.81</v>
      </c>
      <c r="BS10">
        <v>17.760000000000002</v>
      </c>
      <c r="BT10" t="s">
        <v>410</v>
      </c>
      <c r="BU10" t="s">
        <v>271</v>
      </c>
      <c r="BV10">
        <v>13.47</v>
      </c>
      <c r="BW10">
        <v>57.64</v>
      </c>
      <c r="BX10">
        <v>50.99</v>
      </c>
      <c r="BY10">
        <v>-44.66</v>
      </c>
      <c r="BZ10">
        <v>23.24</v>
      </c>
      <c r="CA10">
        <v>18.61</v>
      </c>
      <c r="CB10">
        <v>-0.5</v>
      </c>
      <c r="CC10">
        <v>-16.420000000000002</v>
      </c>
      <c r="CD10" t="s">
        <v>669</v>
      </c>
      <c r="CE10" t="s">
        <v>262</v>
      </c>
      <c r="CF10" s="8">
        <v>1.6726457399103138</v>
      </c>
      <c r="CG10" s="9">
        <v>3.13646073334013</v>
      </c>
      <c r="CH10" s="8">
        <v>-0.1238371729850769</v>
      </c>
      <c r="CI10" s="8">
        <v>4.0864357724785805E-3</v>
      </c>
      <c r="CJ10" s="8">
        <v>0.38704439997673035</v>
      </c>
      <c r="CK10" s="8">
        <v>0.24747481942176819</v>
      </c>
      <c r="CL10" s="8">
        <v>1.0162932872772217</v>
      </c>
      <c r="CM10" s="9">
        <v>-2.5951218605041504</v>
      </c>
      <c r="CN10" s="9">
        <v>0.3576158881187439</v>
      </c>
      <c r="CO10" s="9">
        <v>0.54081630706787109</v>
      </c>
      <c r="CP10" s="9">
        <v>0.54330706596374512</v>
      </c>
      <c r="CQ10" s="9">
        <v>0.62876474857330322</v>
      </c>
      <c r="CR10">
        <v>61.524838051546368</v>
      </c>
      <c r="CS10">
        <v>2.0092212893905814</v>
      </c>
      <c r="CT10">
        <v>0</v>
      </c>
      <c r="CU10" s="8">
        <v>0.30621235389262436</v>
      </c>
      <c r="CV10" s="9">
        <v>-0.10492357015609741</v>
      </c>
      <c r="CW10">
        <v>0.06</v>
      </c>
      <c r="CX10" t="e">
        <v>#VALUE!</v>
      </c>
      <c r="CY10" t="s">
        <v>295</v>
      </c>
      <c r="CZ10">
        <v>0.30621235389262436</v>
      </c>
      <c r="DA10" t="e">
        <v>#VALUE!</v>
      </c>
      <c r="DB10" t="s">
        <v>295</v>
      </c>
      <c r="DC10">
        <v>0.29090173619799314</v>
      </c>
      <c r="DD10" t="e">
        <v>#VALUE!</v>
      </c>
      <c r="DE10" t="s">
        <v>295</v>
      </c>
      <c r="DF10">
        <v>0.26946687142550946</v>
      </c>
      <c r="DG10" t="e">
        <v>#VALUE!</v>
      </c>
      <c r="DH10" t="s">
        <v>295</v>
      </c>
      <c r="DI10">
        <v>0.24496988311409951</v>
      </c>
      <c r="DJ10" t="e">
        <v>#VALUE!</v>
      </c>
      <c r="DK10" t="s">
        <v>295</v>
      </c>
      <c r="DL10">
        <v>0.21434864772483703</v>
      </c>
      <c r="DM10">
        <v>-654000000</v>
      </c>
      <c r="DN10">
        <v>0.30621235389262436</v>
      </c>
      <c r="DO10">
        <v>5094375300</v>
      </c>
      <c r="DP10">
        <v>1214323100.0000002</v>
      </c>
      <c r="DQ10">
        <v>2054</v>
      </c>
      <c r="DR10">
        <v>1.3664333860176896</v>
      </c>
      <c r="DS10">
        <v>3.2413843034962273</v>
      </c>
      <c r="DT10" s="10">
        <v>1.0000000000000011E-2</v>
      </c>
      <c r="DU10">
        <v>-0.15</v>
      </c>
      <c r="DV10">
        <v>-0.13999999999999999</v>
      </c>
      <c r="DW10">
        <v>-3.00475</v>
      </c>
      <c r="DX10">
        <v>0.30741014492753538</v>
      </c>
      <c r="DY10">
        <v>-3.0007476981884058</v>
      </c>
      <c r="DZ10">
        <v>2036</v>
      </c>
      <c r="EA10">
        <v>-3.000449789477722</v>
      </c>
      <c r="EB10">
        <v>3</v>
      </c>
      <c r="EC10">
        <v>4.6386468361685015E-2</v>
      </c>
      <c r="ED10">
        <v>0.29468537992286981</v>
      </c>
      <c r="EE10" s="11">
        <v>-1.0304</v>
      </c>
      <c r="EF10">
        <v>-1.0041</v>
      </c>
      <c r="EG10">
        <v>15.157410144927535</v>
      </c>
      <c r="EH10" t="s">
        <v>296</v>
      </c>
      <c r="EI10">
        <v>0</v>
      </c>
      <c r="EJ10">
        <v>0</v>
      </c>
      <c r="EK10" s="13">
        <v>45470</v>
      </c>
      <c r="EL10" s="14">
        <v>0.72</v>
      </c>
      <c r="EM10" s="14">
        <v>-3.83</v>
      </c>
      <c r="EN10" s="14">
        <v>0.5</v>
      </c>
      <c r="EO10" s="14">
        <v>3.71</v>
      </c>
      <c r="EP10" s="14">
        <v>-2.63</v>
      </c>
    </row>
    <row r="11" spans="1:146" ht="84" x14ac:dyDescent="0.25">
      <c r="A11" s="7"/>
      <c r="B11" s="7"/>
      <c r="C11" s="7" t="str">
        <f>""&amp;CHAR(10)&amp;Basic_Fundamental_Information_Constructure(F11)&amp;CHAR(10)&amp;Basic_Fundamental_Information_Concatenate("")</f>
        <v xml:space="preserve">
市值18.699264亿, 利润2545.71万; PE58.2; 平均PE105.5; 平均PEG5.77, PB3.13; ROIC.95%; ROE-1.6533%; 股利率.6761%; 毛利26.1433%; 净利-2.3067%; 上一年度营收增7.5%, 利润增195.3%; 当季营收增57.15%, 利润增119.15%; 过往5年营收增18.28%, 利润增-19.33%
Income profile:
</v>
      </c>
      <c r="D11" t="s">
        <v>120</v>
      </c>
      <c r="E11" t="s">
        <v>121</v>
      </c>
      <c r="F11">
        <v>14.79</v>
      </c>
      <c r="G11">
        <v>7.88</v>
      </c>
      <c r="H11" t="s">
        <v>670</v>
      </c>
      <c r="I11">
        <v>1869926400</v>
      </c>
      <c r="J11">
        <v>58.2</v>
      </c>
      <c r="K11">
        <v>3.13</v>
      </c>
      <c r="L11" t="s">
        <v>493</v>
      </c>
      <c r="M11" t="s">
        <v>33</v>
      </c>
      <c r="N11" t="s">
        <v>239</v>
      </c>
      <c r="O11" t="s">
        <v>52</v>
      </c>
      <c r="P11">
        <v>57.58</v>
      </c>
      <c r="Q11" t="s">
        <v>43</v>
      </c>
      <c r="R11">
        <v>1072404</v>
      </c>
      <c r="S11" s="6">
        <v>1.1910000000000001</v>
      </c>
      <c r="T11" t="s">
        <v>671</v>
      </c>
      <c r="U11">
        <v>120150989</v>
      </c>
      <c r="V11">
        <v>126431804</v>
      </c>
      <c r="W11">
        <v>1.55</v>
      </c>
      <c r="X11">
        <v>0.13</v>
      </c>
      <c r="Y11">
        <v>-0.26</v>
      </c>
      <c r="Z11" t="s">
        <v>164</v>
      </c>
      <c r="AA11" t="s">
        <v>179</v>
      </c>
      <c r="AB11" t="s">
        <v>672</v>
      </c>
      <c r="AC11" t="s">
        <v>673</v>
      </c>
      <c r="AD11" t="s">
        <v>11</v>
      </c>
      <c r="AE11">
        <v>1161026</v>
      </c>
      <c r="AF11" t="s">
        <v>674</v>
      </c>
      <c r="AG11" t="s">
        <v>675</v>
      </c>
      <c r="AH11" t="s">
        <v>676</v>
      </c>
      <c r="AI11" t="s">
        <v>60</v>
      </c>
      <c r="AJ11" t="s">
        <v>677</v>
      </c>
      <c r="AK11" t="s">
        <v>678</v>
      </c>
      <c r="AL11" t="s">
        <v>679</v>
      </c>
      <c r="AM11" t="s">
        <v>11</v>
      </c>
      <c r="AN11" t="s">
        <v>680</v>
      </c>
      <c r="AO11" t="s">
        <v>681</v>
      </c>
      <c r="AP11" t="s">
        <v>682</v>
      </c>
      <c r="AQ11" t="s">
        <v>70</v>
      </c>
      <c r="AR11" t="s">
        <v>11</v>
      </c>
      <c r="AS11" t="s">
        <v>683</v>
      </c>
      <c r="AT11" t="s">
        <v>684</v>
      </c>
      <c r="AU11" t="s">
        <v>685</v>
      </c>
      <c r="AV11" t="s">
        <v>686</v>
      </c>
      <c r="AW11" t="s">
        <v>687</v>
      </c>
      <c r="AX11" t="s">
        <v>198</v>
      </c>
      <c r="AY11" t="s">
        <v>209</v>
      </c>
      <c r="AZ11" t="s">
        <v>44</v>
      </c>
      <c r="BA11" t="s">
        <v>91</v>
      </c>
      <c r="BB11" t="s">
        <v>207</v>
      </c>
      <c r="BC11" t="s">
        <v>456</v>
      </c>
      <c r="BD11" t="s">
        <v>265</v>
      </c>
      <c r="BE11" t="s">
        <v>206</v>
      </c>
      <c r="BF11" t="s">
        <v>122</v>
      </c>
      <c r="BG11" t="s">
        <v>208</v>
      </c>
      <c r="BH11" t="s">
        <v>43</v>
      </c>
      <c r="BI11" t="s">
        <v>688</v>
      </c>
      <c r="BJ11" t="s">
        <v>198</v>
      </c>
      <c r="BK11" t="s">
        <v>671</v>
      </c>
      <c r="BL11" t="s">
        <v>689</v>
      </c>
      <c r="BM11" t="s">
        <v>456</v>
      </c>
      <c r="BN11">
        <v>0.95</v>
      </c>
      <c r="BO11" t="s">
        <v>11</v>
      </c>
      <c r="BP11" t="s">
        <v>11</v>
      </c>
      <c r="BQ11">
        <v>1.8</v>
      </c>
      <c r="BR11">
        <v>-4.5999999999999996</v>
      </c>
      <c r="BS11">
        <v>-2.16</v>
      </c>
      <c r="BT11" t="s">
        <v>412</v>
      </c>
      <c r="BU11" t="s">
        <v>271</v>
      </c>
      <c r="BV11">
        <v>25.44</v>
      </c>
      <c r="BW11">
        <v>23.69</v>
      </c>
      <c r="BX11">
        <v>29.3</v>
      </c>
      <c r="BY11">
        <v>4.53</v>
      </c>
      <c r="BZ11">
        <v>-7.39</v>
      </c>
      <c r="CA11">
        <v>-4.0599999999999996</v>
      </c>
      <c r="CB11">
        <v>1.02</v>
      </c>
      <c r="CC11">
        <v>-5.62</v>
      </c>
      <c r="CD11" t="s">
        <v>690</v>
      </c>
      <c r="CE11" t="s">
        <v>74</v>
      </c>
      <c r="CF11" s="8">
        <v>0.57153633392004022</v>
      </c>
      <c r="CG11" s="9">
        <v>1.1914767796882533</v>
      </c>
      <c r="CH11" s="8">
        <v>7.5000002980232239E-2</v>
      </c>
      <c r="CI11" s="8">
        <v>-8.4507040679454803E-2</v>
      </c>
      <c r="CJ11" s="8">
        <v>0.85016286373138428</v>
      </c>
      <c r="CK11" s="8">
        <v>3.2679738942533731E-3</v>
      </c>
      <c r="CL11" s="8">
        <v>6.9930069148540497E-2</v>
      </c>
      <c r="CM11" s="9">
        <v>1.9530246257781982</v>
      </c>
      <c r="CN11" s="9">
        <v>-1.0954124927520752</v>
      </c>
      <c r="CO11" s="9">
        <v>-1.4786162376403809</v>
      </c>
      <c r="CP11" s="9">
        <v>-0.46092987060546875</v>
      </c>
      <c r="CQ11" s="9">
        <v>0.11518486589193344</v>
      </c>
      <c r="CR11">
        <v>105.50052094107913</v>
      </c>
      <c r="CS11">
        <v>5.772286166926861</v>
      </c>
      <c r="CT11">
        <v>0.67613252197430695</v>
      </c>
      <c r="CU11" s="8">
        <v>0.18277077381499113</v>
      </c>
      <c r="CV11" s="9">
        <v>-0.19334982186555863</v>
      </c>
      <c r="CW11">
        <v>0.06</v>
      </c>
      <c r="CX11">
        <v>55.585080430440364</v>
      </c>
      <c r="CY11">
        <v>28405579.118948687</v>
      </c>
      <c r="CZ11">
        <v>0.18277077381499113</v>
      </c>
      <c r="DA11">
        <v>16.806582834912959</v>
      </c>
      <c r="DB11">
        <v>93946902.56249091</v>
      </c>
      <c r="DC11">
        <v>0.17363223512424156</v>
      </c>
      <c r="DD11">
        <v>7.4311204126635069</v>
      </c>
      <c r="DE11">
        <v>212474877.58499014</v>
      </c>
      <c r="DF11">
        <v>0.16083828095719219</v>
      </c>
      <c r="DG11">
        <v>3.9343193020203779</v>
      </c>
      <c r="DH11">
        <v>401321366.87258178</v>
      </c>
      <c r="DI11">
        <v>0.1462166190519929</v>
      </c>
      <c r="DJ11">
        <v>1.5160697251948554</v>
      </c>
      <c r="DK11">
        <v>1041460279.6695685</v>
      </c>
      <c r="DL11">
        <v>0.12793954167049379</v>
      </c>
      <c r="DM11">
        <v>25457100</v>
      </c>
      <c r="DN11">
        <v>0.18277077381499113</v>
      </c>
      <c r="DO11">
        <v>1578926400</v>
      </c>
      <c r="DP11">
        <v>275098770</v>
      </c>
      <c r="DQ11">
        <v>2194</v>
      </c>
      <c r="DR11">
        <v>0.38876556010504909</v>
      </c>
      <c r="DS11">
        <v>1.384826601553812</v>
      </c>
      <c r="DT11" s="10">
        <v>-0.17333333333333334</v>
      </c>
      <c r="DU11">
        <v>-1.4366666666666668</v>
      </c>
      <c r="DV11">
        <v>-1.61</v>
      </c>
      <c r="DW11">
        <v>-1.0562</v>
      </c>
      <c r="DX11">
        <v>0.85769218750000165</v>
      </c>
      <c r="DY11">
        <v>-1.0054903009375</v>
      </c>
      <c r="DZ11">
        <v>4102</v>
      </c>
      <c r="EA11">
        <v>-1.0010830182671233</v>
      </c>
      <c r="EB11">
        <v>1</v>
      </c>
      <c r="EC11">
        <v>0.14835586780047844</v>
      </c>
      <c r="ED11">
        <v>1.5186052395487453</v>
      </c>
      <c r="EE11" s="11">
        <v>-1.0787</v>
      </c>
      <c r="EF11">
        <v>-1.0808</v>
      </c>
      <c r="EG11">
        <v>76.097692187500002</v>
      </c>
      <c r="EH11" t="s">
        <v>296</v>
      </c>
      <c r="EI11">
        <v>0</v>
      </c>
      <c r="EJ11">
        <v>0</v>
      </c>
      <c r="EK11" s="13">
        <v>45470</v>
      </c>
      <c r="EL11" s="14">
        <v>-2.06</v>
      </c>
      <c r="EM11" s="14">
        <v>-5.03</v>
      </c>
      <c r="EN11" s="14">
        <v>-0.93</v>
      </c>
      <c r="EO11" s="14">
        <v>3.47</v>
      </c>
      <c r="EP11" s="14">
        <v>0.21</v>
      </c>
    </row>
    <row r="12" spans="1:146" ht="84" x14ac:dyDescent="0.25">
      <c r="A12" s="7"/>
      <c r="B12" s="7"/>
      <c r="C12" s="7" t="str">
        <f>""&amp;CHAR(10)&amp;Basic_Fundamental_Information_Constructure(F12)&amp;CHAR(10)&amp;Basic_Fundamental_Information_Concatenate("")</f>
        <v xml:space="preserve">
市值20.569465亿, 利润-4113.42万; PE; 平均PE24.1; 平均PEG1.99, PB1.4; ROIC4.7367%; ROE4.96%; 股利率0%; 毛利39.48%; 净利6.01%; 上一年度营收增-22.63%, 利润增-141.13%; 当季营收增-13.39%, 利润增-283.27%; 过往5年营收增12.12%, 利润增-23.09%
Income profile:
</v>
      </c>
      <c r="D12" t="s">
        <v>124</v>
      </c>
      <c r="E12" t="s">
        <v>15</v>
      </c>
      <c r="F12">
        <v>8.32</v>
      </c>
      <c r="G12">
        <v>1.22</v>
      </c>
      <c r="H12" t="s">
        <v>691</v>
      </c>
      <c r="I12">
        <v>2056946500</v>
      </c>
      <c r="K12">
        <v>1.4</v>
      </c>
      <c r="L12" t="s">
        <v>493</v>
      </c>
      <c r="M12" t="s">
        <v>692</v>
      </c>
      <c r="N12" t="s">
        <v>449</v>
      </c>
      <c r="O12" t="s">
        <v>35</v>
      </c>
      <c r="P12">
        <v>-13.75</v>
      </c>
      <c r="Q12" t="s">
        <v>540</v>
      </c>
      <c r="R12">
        <v>-7455260</v>
      </c>
      <c r="S12" s="6">
        <v>-2.8330000000000002</v>
      </c>
      <c r="T12" t="s">
        <v>693</v>
      </c>
      <c r="U12">
        <v>210830120</v>
      </c>
      <c r="V12">
        <v>247229150</v>
      </c>
      <c r="W12">
        <v>1.7</v>
      </c>
      <c r="X12">
        <v>0.04</v>
      </c>
      <c r="Y12">
        <v>-6.85</v>
      </c>
      <c r="Z12" t="s">
        <v>123</v>
      </c>
      <c r="AA12" t="s">
        <v>694</v>
      </c>
      <c r="AB12" t="s">
        <v>695</v>
      </c>
      <c r="AC12" t="s">
        <v>696</v>
      </c>
      <c r="AD12" t="s">
        <v>11</v>
      </c>
      <c r="AE12">
        <v>6165965</v>
      </c>
      <c r="AF12" t="s">
        <v>697</v>
      </c>
      <c r="AG12" t="s">
        <v>698</v>
      </c>
      <c r="AH12" t="s">
        <v>699</v>
      </c>
      <c r="AI12" t="s">
        <v>437</v>
      </c>
      <c r="AJ12" t="s">
        <v>700</v>
      </c>
      <c r="AK12" t="s">
        <v>701</v>
      </c>
      <c r="AL12" t="s">
        <v>702</v>
      </c>
      <c r="AM12" t="s">
        <v>11</v>
      </c>
      <c r="AN12" t="s">
        <v>703</v>
      </c>
      <c r="AO12" t="s">
        <v>89</v>
      </c>
      <c r="AP12" t="s">
        <v>704</v>
      </c>
      <c r="AQ12" t="s">
        <v>229</v>
      </c>
      <c r="AR12" t="s">
        <v>11</v>
      </c>
      <c r="AS12" t="s">
        <v>159</v>
      </c>
      <c r="AT12" t="s">
        <v>238</v>
      </c>
      <c r="AU12" t="s">
        <v>705</v>
      </c>
      <c r="AV12" t="s">
        <v>706</v>
      </c>
      <c r="AW12" t="s">
        <v>707</v>
      </c>
      <c r="AX12" t="s">
        <v>457</v>
      </c>
      <c r="AY12" t="s">
        <v>266</v>
      </c>
      <c r="AZ12" t="s">
        <v>210</v>
      </c>
      <c r="BA12" t="s">
        <v>125</v>
      </c>
      <c r="BB12" t="s">
        <v>102</v>
      </c>
      <c r="BC12" t="s">
        <v>56</v>
      </c>
      <c r="BD12" t="s">
        <v>267</v>
      </c>
      <c r="BE12" t="s">
        <v>40</v>
      </c>
      <c r="BF12" t="s">
        <v>126</v>
      </c>
      <c r="BG12" t="s">
        <v>101</v>
      </c>
      <c r="BH12" t="s">
        <v>540</v>
      </c>
      <c r="BI12" t="s">
        <v>98</v>
      </c>
      <c r="BJ12" t="s">
        <v>457</v>
      </c>
      <c r="BK12" t="s">
        <v>693</v>
      </c>
      <c r="BL12" t="s">
        <v>708</v>
      </c>
      <c r="BM12" t="s">
        <v>56</v>
      </c>
      <c r="BN12">
        <v>1.79</v>
      </c>
      <c r="BO12">
        <v>6.18</v>
      </c>
      <c r="BP12">
        <v>6.24</v>
      </c>
      <c r="BQ12">
        <v>0.97</v>
      </c>
      <c r="BR12">
        <v>6.99</v>
      </c>
      <c r="BS12">
        <v>6.92</v>
      </c>
      <c r="BT12" t="s">
        <v>410</v>
      </c>
      <c r="BU12" t="s">
        <v>271</v>
      </c>
      <c r="BV12">
        <v>34.549999999999997</v>
      </c>
      <c r="BW12">
        <v>42.21</v>
      </c>
      <c r="BX12">
        <v>41.68</v>
      </c>
      <c r="BY12">
        <v>-5.94</v>
      </c>
      <c r="BZ12">
        <v>11.27</v>
      </c>
      <c r="CA12">
        <v>12.7</v>
      </c>
      <c r="CB12">
        <v>-1.89</v>
      </c>
      <c r="CC12">
        <v>-24.43</v>
      </c>
      <c r="CD12" t="s">
        <v>709</v>
      </c>
      <c r="CE12" t="s">
        <v>88</v>
      </c>
      <c r="CF12" s="8">
        <v>-0.13385826771653531</v>
      </c>
      <c r="CG12" s="9">
        <v>-2.8327498893750924</v>
      </c>
      <c r="CH12" s="8">
        <v>-0.22630992531776428</v>
      </c>
      <c r="CI12" s="8">
        <v>0.33880597352981567</v>
      </c>
      <c r="CJ12" s="8">
        <v>0.15517240762710571</v>
      </c>
      <c r="CK12" s="8">
        <v>0.49100255966186523</v>
      </c>
      <c r="CL12" s="8">
        <v>-0.15250544250011444</v>
      </c>
      <c r="CM12" s="9">
        <v>-1.4113420248031616</v>
      </c>
      <c r="CN12" s="9">
        <v>0.14331582188606262</v>
      </c>
      <c r="CO12" s="9">
        <v>-0.45673978328704834</v>
      </c>
      <c r="CP12" s="9">
        <v>0.7745211124420166</v>
      </c>
      <c r="CQ12" s="9">
        <v>-0.20413418114185333</v>
      </c>
      <c r="CR12">
        <v>24.102045582992911</v>
      </c>
      <c r="CS12">
        <v>1.9880744351475081</v>
      </c>
      <c r="CT12">
        <v>0</v>
      </c>
      <c r="CU12" s="8">
        <v>0.12123311460018157</v>
      </c>
      <c r="CV12" s="9">
        <v>-0.23087581098079682</v>
      </c>
      <c r="CW12">
        <v>0.06</v>
      </c>
      <c r="CX12" t="e">
        <v>#VALUE!</v>
      </c>
      <c r="CY12" t="s">
        <v>294</v>
      </c>
      <c r="CZ12">
        <v>0.12123311460018157</v>
      </c>
      <c r="DA12" t="e">
        <v>#VALUE!</v>
      </c>
      <c r="DB12" t="s">
        <v>295</v>
      </c>
      <c r="DC12">
        <v>0.11517145887017249</v>
      </c>
      <c r="DD12" t="e">
        <v>#VALUE!</v>
      </c>
      <c r="DE12" t="s">
        <v>295</v>
      </c>
      <c r="DF12">
        <v>0.10668514084815979</v>
      </c>
      <c r="DG12" t="e">
        <v>#VALUE!</v>
      </c>
      <c r="DH12" t="s">
        <v>295</v>
      </c>
      <c r="DI12">
        <v>9.6986491680145268E-2</v>
      </c>
      <c r="DJ12" t="e">
        <v>#VALUE!</v>
      </c>
      <c r="DK12" t="s">
        <v>295</v>
      </c>
      <c r="DL12">
        <v>8.4863180220127094E-2</v>
      </c>
      <c r="DM12">
        <v>-41134200</v>
      </c>
      <c r="DN12">
        <v>0.12123311460018157</v>
      </c>
      <c r="DO12">
        <v>1565946500</v>
      </c>
      <c r="DP12">
        <v>1198033400</v>
      </c>
      <c r="DQ12">
        <v>2225</v>
      </c>
      <c r="DR12">
        <v>-0.25509138231671691</v>
      </c>
      <c r="DS12">
        <v>-2.6018740783942955</v>
      </c>
      <c r="DT12" s="10">
        <v>-0.3066666666666667</v>
      </c>
      <c r="DU12">
        <v>-1.6483333333333334</v>
      </c>
      <c r="DV12">
        <v>-1.9550000000000001</v>
      </c>
      <c r="DW12">
        <v>-3.0953392857142856</v>
      </c>
      <c r="DX12">
        <v>0.32245874125873969</v>
      </c>
      <c r="DY12">
        <v>-3.011675128921079</v>
      </c>
      <c r="DZ12">
        <v>4672</v>
      </c>
      <c r="EA12">
        <v>-3.0010007253360924</v>
      </c>
      <c r="EB12">
        <v>3</v>
      </c>
      <c r="EC12">
        <v>7.0831453329835897E-2</v>
      </c>
      <c r="ED12">
        <v>0.57841075779292206</v>
      </c>
      <c r="EE12" s="11">
        <v>-3.0344000000000002</v>
      </c>
      <c r="EF12">
        <v>-3.0206</v>
      </c>
      <c r="EG12">
        <v>20.12245874125874</v>
      </c>
      <c r="EH12" t="s">
        <v>424</v>
      </c>
      <c r="EI12">
        <v>0</v>
      </c>
      <c r="EJ12">
        <v>0</v>
      </c>
      <c r="EK12" s="13">
        <v>45470</v>
      </c>
      <c r="EL12" s="14">
        <v>-0.89</v>
      </c>
      <c r="EM12" s="14">
        <v>-5.18</v>
      </c>
      <c r="EN12" s="14">
        <v>-1.37</v>
      </c>
      <c r="EO12" s="14">
        <v>7.88</v>
      </c>
      <c r="EP12" s="14">
        <v>-1.38</v>
      </c>
    </row>
    <row r="13" spans="1:146" ht="84" x14ac:dyDescent="0.25">
      <c r="A13" s="7"/>
      <c r="B13" s="7"/>
      <c r="C13" s="7" t="str">
        <f>""&amp;CHAR(10)&amp;Basic_Fundamental_Information_Constructure(F13)&amp;CHAR(10)&amp;Basic_Fundamental_Information_Concatenate("")</f>
        <v xml:space="preserve">
市值13.74093亿, 利润9.41亿; PE41.68; 平均PE6.73; 平均PEG.03, PB1.68; ROIC12.4467%; ROE15.19%; 股利率1.8674%; 毛利25.4567%; 净利14.0767%; 上一年度营收增1214.17%, 利润增1666.73%; 当季营收增-92.13%, 利润增-96.1%; 过往5年营收增251.89%, 利润增339.84%
Income profile:
</v>
      </c>
      <c r="D13" t="s">
        <v>297</v>
      </c>
      <c r="E13" t="s">
        <v>298</v>
      </c>
      <c r="F13">
        <v>21.42</v>
      </c>
      <c r="G13">
        <v>2.59</v>
      </c>
      <c r="H13" t="s">
        <v>710</v>
      </c>
      <c r="I13">
        <v>1374093000</v>
      </c>
      <c r="J13">
        <v>41.68</v>
      </c>
      <c r="K13">
        <v>1.68</v>
      </c>
      <c r="L13" t="s">
        <v>493</v>
      </c>
      <c r="M13" t="s">
        <v>220</v>
      </c>
      <c r="N13" t="s">
        <v>711</v>
      </c>
      <c r="O13" t="s">
        <v>56</v>
      </c>
      <c r="P13">
        <v>22.51</v>
      </c>
      <c r="Q13" t="s">
        <v>712</v>
      </c>
      <c r="R13">
        <v>6822666</v>
      </c>
      <c r="S13" s="6">
        <v>-0.17380000000000001</v>
      </c>
      <c r="T13" t="s">
        <v>140</v>
      </c>
      <c r="U13">
        <v>30341667</v>
      </c>
      <c r="V13">
        <v>64150000</v>
      </c>
      <c r="W13">
        <v>1.17</v>
      </c>
      <c r="X13">
        <v>0.1</v>
      </c>
      <c r="Y13">
        <v>6.82</v>
      </c>
      <c r="Z13" t="s">
        <v>713</v>
      </c>
      <c r="AA13" t="s">
        <v>714</v>
      </c>
      <c r="AB13" t="s">
        <v>715</v>
      </c>
      <c r="AC13" t="s">
        <v>716</v>
      </c>
      <c r="AD13" t="s">
        <v>11</v>
      </c>
      <c r="AE13">
        <v>-1949704</v>
      </c>
      <c r="AF13" t="s">
        <v>717</v>
      </c>
      <c r="AG13">
        <v>150.44</v>
      </c>
      <c r="AH13" t="s">
        <v>718</v>
      </c>
      <c r="AI13" t="s">
        <v>320</v>
      </c>
      <c r="AJ13" t="s">
        <v>719</v>
      </c>
      <c r="AK13" t="s">
        <v>720</v>
      </c>
      <c r="AL13" t="s">
        <v>721</v>
      </c>
      <c r="AM13" t="s">
        <v>11</v>
      </c>
      <c r="AN13" t="s">
        <v>722</v>
      </c>
      <c r="AO13" t="s">
        <v>723</v>
      </c>
      <c r="AP13" t="s">
        <v>11</v>
      </c>
      <c r="AQ13" t="s">
        <v>37</v>
      </c>
      <c r="AR13" t="s">
        <v>11</v>
      </c>
      <c r="AS13" t="s">
        <v>201</v>
      </c>
      <c r="AT13" t="s">
        <v>11</v>
      </c>
      <c r="AU13" t="s">
        <v>724</v>
      </c>
      <c r="AV13" t="s">
        <v>725</v>
      </c>
      <c r="AW13" t="s">
        <v>726</v>
      </c>
      <c r="AX13" t="s">
        <v>168</v>
      </c>
      <c r="AY13" t="s">
        <v>58</v>
      </c>
      <c r="AZ13" t="s">
        <v>163</v>
      </c>
      <c r="BA13" t="s">
        <v>61</v>
      </c>
      <c r="BB13" t="s">
        <v>214</v>
      </c>
      <c r="BC13" t="s">
        <v>464</v>
      </c>
      <c r="BD13" t="s">
        <v>299</v>
      </c>
      <c r="BE13" t="s">
        <v>300</v>
      </c>
      <c r="BF13" t="s">
        <v>301</v>
      </c>
      <c r="BG13" t="s">
        <v>302</v>
      </c>
      <c r="BH13" t="s">
        <v>241</v>
      </c>
      <c r="BI13" t="s">
        <v>452</v>
      </c>
      <c r="BJ13" t="s">
        <v>168</v>
      </c>
      <c r="BK13" t="s">
        <v>727</v>
      </c>
      <c r="BL13" t="s">
        <v>45</v>
      </c>
      <c r="BM13" t="s">
        <v>464</v>
      </c>
      <c r="BN13">
        <v>2.63</v>
      </c>
      <c r="BO13">
        <v>8.57</v>
      </c>
      <c r="BP13">
        <v>26.14</v>
      </c>
      <c r="BQ13">
        <v>3.45</v>
      </c>
      <c r="BR13">
        <v>11.09</v>
      </c>
      <c r="BS13">
        <v>31.03</v>
      </c>
      <c r="BT13" t="s">
        <v>418</v>
      </c>
      <c r="BU13" t="s">
        <v>318</v>
      </c>
      <c r="BV13">
        <v>20.37</v>
      </c>
      <c r="BW13">
        <v>25.18</v>
      </c>
      <c r="BX13">
        <v>30.82</v>
      </c>
      <c r="BY13">
        <v>8.74</v>
      </c>
      <c r="BZ13">
        <v>14.51</v>
      </c>
      <c r="CA13">
        <v>18.98</v>
      </c>
      <c r="CB13">
        <v>-2.2400000000000002</v>
      </c>
      <c r="CC13">
        <v>-9.1999999999999993</v>
      </c>
      <c r="CD13" t="s">
        <v>728</v>
      </c>
      <c r="CE13" t="s">
        <v>729</v>
      </c>
      <c r="CF13" s="8">
        <v>-0.92125984251968507</v>
      </c>
      <c r="CG13" s="9">
        <v>-0.96101333714285719</v>
      </c>
      <c r="CH13" s="8">
        <v>12.141689300537109</v>
      </c>
      <c r="CI13" s="8">
        <v>-9.3827158212661743E-2</v>
      </c>
      <c r="CJ13" s="8">
        <v>0.26168224215507507</v>
      </c>
      <c r="CK13" s="8">
        <v>0.15884476900100708</v>
      </c>
      <c r="CL13" s="8">
        <v>0.12601625919342041</v>
      </c>
      <c r="CM13" s="9">
        <v>16.667280197143555</v>
      </c>
      <c r="CN13" s="9">
        <v>-0.30711287260055542</v>
      </c>
      <c r="CO13" s="9">
        <v>0.17146451771259308</v>
      </c>
      <c r="CP13" s="9">
        <v>0.51286721229553223</v>
      </c>
      <c r="CQ13" s="9">
        <v>-5.2288882434368134E-2</v>
      </c>
      <c r="CR13">
        <v>6.7253548212530001</v>
      </c>
      <c r="CS13">
        <v>2.6699771052649968E-2</v>
      </c>
      <c r="CT13">
        <v>1.8674136321195143</v>
      </c>
      <c r="CU13" s="8">
        <v>2.51888108253479</v>
      </c>
      <c r="CV13" s="9">
        <v>3.3984420344233515</v>
      </c>
      <c r="CW13">
        <v>0.06</v>
      </c>
      <c r="CX13">
        <v>0.23403686773331686</v>
      </c>
      <c r="CY13">
        <v>3123836885.5332427</v>
      </c>
      <c r="CZ13">
        <v>2.51888108253479</v>
      </c>
      <c r="DA13">
        <v>1.6801542489312708E-2</v>
      </c>
      <c r="DB13">
        <v>43513445296.170929</v>
      </c>
      <c r="DC13">
        <v>2.3929370284080504</v>
      </c>
      <c r="DD13">
        <v>6.6796471494042474E-4</v>
      </c>
      <c r="DE13">
        <v>1094508412866.0981</v>
      </c>
      <c r="DF13">
        <v>2.2166153526306154</v>
      </c>
      <c r="DG13">
        <v>1.4531070181144737E-5</v>
      </c>
      <c r="DH13">
        <v>50312398941452.609</v>
      </c>
      <c r="DI13">
        <v>2.0151048660278321</v>
      </c>
      <c r="DJ13">
        <v>2.2806371585065373E-9</v>
      </c>
      <c r="DK13">
        <v>3.2056524084644499E+17</v>
      </c>
      <c r="DL13">
        <v>1.7632167577743529</v>
      </c>
      <c r="DM13">
        <v>941000000</v>
      </c>
      <c r="DN13">
        <v>2.51888108253479</v>
      </c>
      <c r="DO13">
        <v>731093000</v>
      </c>
      <c r="DP13">
        <v>669704530</v>
      </c>
      <c r="DQ13">
        <v>2705</v>
      </c>
      <c r="DR13">
        <v>-3.4401409250544752</v>
      </c>
      <c r="DS13">
        <v>-4.3594553715662085</v>
      </c>
      <c r="DT13" s="10">
        <v>0.10999999999999995</v>
      </c>
      <c r="DU13">
        <v>-4.0000000000000036E-2</v>
      </c>
      <c r="DV13">
        <v>6.999999999999991E-2</v>
      </c>
      <c r="DW13">
        <v>-2.0920000000000001</v>
      </c>
      <c r="DX13">
        <v>0.37519389826177219</v>
      </c>
      <c r="DY13">
        <v>-2.0105978386400829</v>
      </c>
      <c r="DZ13">
        <v>897</v>
      </c>
      <c r="EA13">
        <v>-2.0087375135402485</v>
      </c>
      <c r="EB13">
        <v>2</v>
      </c>
      <c r="EC13">
        <v>3.6539360872954015E-2</v>
      </c>
      <c r="ED13">
        <v>0.31719875292283711</v>
      </c>
      <c r="EE13" s="11">
        <v>-2.0464099999999998</v>
      </c>
      <c r="EF13">
        <v>-2.05871</v>
      </c>
      <c r="EG13">
        <v>26.115193898261772</v>
      </c>
      <c r="EH13" t="s">
        <v>430</v>
      </c>
      <c r="EI13">
        <v>0</v>
      </c>
      <c r="EJ13">
        <v>1</v>
      </c>
      <c r="EK13" s="13">
        <v>45470</v>
      </c>
      <c r="EL13" s="14">
        <v>-1.78</v>
      </c>
      <c r="EM13" s="14">
        <v>-5.05</v>
      </c>
      <c r="EN13" s="14">
        <v>-0.94</v>
      </c>
      <c r="EO13" s="14">
        <v>8</v>
      </c>
      <c r="EP13" s="14">
        <v>-1.23</v>
      </c>
    </row>
    <row r="14" spans="1:146" ht="84" x14ac:dyDescent="0.25">
      <c r="C14" s="7" t="str">
        <f>""&amp;CHAR(10)&amp;Basic_Fundamental_Information_Constructure(F14)&amp;CHAR(10)&amp;Basic_Fundamental_Information_Concatenate("")</f>
        <v xml:space="preserve">
市值32.31625亿, 利润3.41亿; PE22.12; 平均PE21.95; 平均PEG2.09, PB1.61; ROIC13.2%; ROE11.275%; 股利率1.2987%; 毛利36.02%; 净利17.6967%; 上一年度营收增11.19%, 利润增166.41%; 当季营收增25.83%, 利润增-46.04%; 过往5年营收增10.49%, 利润增46.55%
Income profile:
</v>
      </c>
      <c r="D14" s="6" t="s">
        <v>465</v>
      </c>
      <c r="E14" t="s">
        <v>466</v>
      </c>
      <c r="F14">
        <v>30.8</v>
      </c>
      <c r="G14">
        <v>2.2599999999999998</v>
      </c>
      <c r="H14" t="s">
        <v>730</v>
      </c>
      <c r="I14">
        <v>3231625000</v>
      </c>
      <c r="J14">
        <v>22.12</v>
      </c>
      <c r="K14">
        <v>1.61</v>
      </c>
      <c r="L14" t="s">
        <v>493</v>
      </c>
      <c r="M14" t="s">
        <v>100</v>
      </c>
      <c r="N14" t="s">
        <v>731</v>
      </c>
      <c r="O14" t="s">
        <v>127</v>
      </c>
      <c r="P14" s="6">
        <v>15.75</v>
      </c>
      <c r="Q14" t="s">
        <v>732</v>
      </c>
      <c r="R14">
        <v>36289201</v>
      </c>
      <c r="S14">
        <v>0.2838</v>
      </c>
      <c r="T14" t="s">
        <v>107</v>
      </c>
      <c r="U14">
        <v>53395609</v>
      </c>
      <c r="V14">
        <v>104922890</v>
      </c>
      <c r="W14">
        <v>1.06</v>
      </c>
      <c r="X14">
        <v>0.09</v>
      </c>
      <c r="Y14">
        <v>19.079999999999998</v>
      </c>
      <c r="Z14" t="s">
        <v>57</v>
      </c>
      <c r="AA14" t="s">
        <v>113</v>
      </c>
      <c r="AB14" t="s">
        <v>733</v>
      </c>
      <c r="AC14" t="s">
        <v>734</v>
      </c>
      <c r="AD14" t="s">
        <v>11</v>
      </c>
      <c r="AE14">
        <v>-9615265</v>
      </c>
      <c r="AF14" t="s">
        <v>735</v>
      </c>
      <c r="AG14" t="s">
        <v>736</v>
      </c>
      <c r="AH14" t="s">
        <v>737</v>
      </c>
      <c r="AI14" t="s">
        <v>188</v>
      </c>
      <c r="AJ14" t="s">
        <v>738</v>
      </c>
      <c r="AK14" t="s">
        <v>739</v>
      </c>
      <c r="AL14" t="s">
        <v>740</v>
      </c>
      <c r="AM14" t="s">
        <v>11</v>
      </c>
      <c r="AN14" t="s">
        <v>741</v>
      </c>
      <c r="AO14" t="s">
        <v>11</v>
      </c>
      <c r="AP14" t="s">
        <v>11</v>
      </c>
      <c r="AQ14" t="s">
        <v>742</v>
      </c>
      <c r="AR14" t="s">
        <v>11</v>
      </c>
      <c r="AS14" t="s">
        <v>743</v>
      </c>
      <c r="AT14" t="s">
        <v>11</v>
      </c>
      <c r="AU14" t="s">
        <v>744</v>
      </c>
      <c r="AV14" t="s">
        <v>745</v>
      </c>
      <c r="AW14" t="s">
        <v>746</v>
      </c>
      <c r="AX14" t="s">
        <v>467</v>
      </c>
      <c r="AY14" t="s">
        <v>468</v>
      </c>
      <c r="AZ14" t="s">
        <v>331</v>
      </c>
      <c r="BA14" t="s">
        <v>319</v>
      </c>
      <c r="BB14" t="s">
        <v>268</v>
      </c>
      <c r="BC14" t="s">
        <v>31</v>
      </c>
      <c r="BD14" t="s">
        <v>187</v>
      </c>
      <c r="BE14" t="s">
        <v>469</v>
      </c>
      <c r="BF14" t="s">
        <v>70</v>
      </c>
      <c r="BG14" t="s">
        <v>470</v>
      </c>
      <c r="BH14" t="s">
        <v>423</v>
      </c>
      <c r="BI14" t="s">
        <v>99</v>
      </c>
      <c r="BJ14" t="s">
        <v>467</v>
      </c>
      <c r="BK14" t="s">
        <v>164</v>
      </c>
      <c r="BL14" t="s">
        <v>747</v>
      </c>
      <c r="BM14" t="s">
        <v>31</v>
      </c>
      <c r="BN14">
        <v>6.72</v>
      </c>
      <c r="BO14">
        <v>14.88</v>
      </c>
      <c r="BP14">
        <v>18</v>
      </c>
      <c r="BQ14">
        <v>7.57</v>
      </c>
      <c r="BR14">
        <v>14.98</v>
      </c>
      <c r="BS14" t="s">
        <v>11</v>
      </c>
      <c r="BT14" t="s">
        <v>418</v>
      </c>
      <c r="BU14" t="s">
        <v>271</v>
      </c>
      <c r="BV14">
        <v>36.450000000000003</v>
      </c>
      <c r="BW14">
        <v>34.979999999999997</v>
      </c>
      <c r="BX14">
        <v>36.630000000000003</v>
      </c>
      <c r="BY14">
        <v>18.16</v>
      </c>
      <c r="BZ14">
        <v>17.89</v>
      </c>
      <c r="CA14">
        <v>17.04</v>
      </c>
      <c r="CB14">
        <v>-2.4700000000000002</v>
      </c>
      <c r="CC14" s="8">
        <v>-14.18</v>
      </c>
      <c r="CD14" s="9" t="s">
        <v>748</v>
      </c>
      <c r="CE14" s="8" t="s">
        <v>749</v>
      </c>
      <c r="CF14" s="8">
        <v>0.25827814569536423</v>
      </c>
      <c r="CG14" s="8">
        <v>-0.46044299958071527</v>
      </c>
      <c r="CH14" s="8">
        <v>0.11188811063766479</v>
      </c>
      <c r="CI14" s="8">
        <v>-8.6845465004444122E-2</v>
      </c>
      <c r="CJ14" s="9">
        <v>0.30717861652374268</v>
      </c>
      <c r="CK14" s="9">
        <v>5.0335568375885487E-3</v>
      </c>
      <c r="CL14" s="9">
        <v>0.18725100159645081</v>
      </c>
      <c r="CM14" s="9">
        <v>1.6640625</v>
      </c>
      <c r="CN14" s="9">
        <v>-3.7593983113765717E-2</v>
      </c>
      <c r="CO14">
        <v>0.37792855501174927</v>
      </c>
      <c r="CP14">
        <v>-0.11447985470294952</v>
      </c>
      <c r="CQ14">
        <v>0.43744099140167236</v>
      </c>
      <c r="CR14" s="8">
        <v>21.950223857812336</v>
      </c>
      <c r="CS14" s="9">
        <v>2.0924671372644883</v>
      </c>
      <c r="CT14">
        <v>1.2987012987012987</v>
      </c>
      <c r="CU14">
        <v>0.10490116411820054</v>
      </c>
      <c r="CV14">
        <v>0.4654716417193413</v>
      </c>
      <c r="CW14">
        <v>0.06</v>
      </c>
      <c r="CX14">
        <v>3.8673394489974631</v>
      </c>
      <c r="CY14">
        <v>355444619.7776475</v>
      </c>
      <c r="CZ14">
        <v>0.10490116411820054</v>
      </c>
      <c r="DA14">
        <v>1.2479905320775766</v>
      </c>
      <c r="DB14">
        <v>1101470696.0249212</v>
      </c>
      <c r="DC14">
        <v>9.9656105912290502E-2</v>
      </c>
      <c r="DD14">
        <v>0.60403667101826353</v>
      </c>
      <c r="DE14">
        <v>2275731037.4595404</v>
      </c>
      <c r="DF14">
        <v>9.2313024424016468E-2</v>
      </c>
      <c r="DG14">
        <v>0.35582258897596802</v>
      </c>
      <c r="DH14">
        <v>3863231404.043438</v>
      </c>
      <c r="DI14">
        <v>8.3920931294560436E-2</v>
      </c>
      <c r="DJ14">
        <v>0.1761326266277739</v>
      </c>
      <c r="DK14">
        <v>7804488165.0748005</v>
      </c>
      <c r="DL14">
        <v>7.3430814882740378E-2</v>
      </c>
      <c r="DM14">
        <v>341000000</v>
      </c>
      <c r="DN14">
        <v>0.10490116411820054</v>
      </c>
      <c r="DO14">
        <v>1374625000</v>
      </c>
      <c r="DP14">
        <v>698001890</v>
      </c>
      <c r="DQ14" s="10">
        <v>2727</v>
      </c>
      <c r="DR14">
        <v>0.15337698157716367</v>
      </c>
      <c r="DS14">
        <v>-0.92591464130005652</v>
      </c>
      <c r="DT14">
        <v>-0.20666666666666669</v>
      </c>
      <c r="DU14">
        <v>0.34666666666666668</v>
      </c>
      <c r="DV14">
        <v>0.13999999999999999</v>
      </c>
      <c r="DW14">
        <v>-2.1417999999999999</v>
      </c>
      <c r="DX14">
        <v>0.25600253683286145</v>
      </c>
      <c r="DY14">
        <v>-2.0235391597228998</v>
      </c>
      <c r="DZ14">
        <v>866</v>
      </c>
      <c r="EA14">
        <v>-2.0195499400907999</v>
      </c>
      <c r="EB14" s="11">
        <v>2</v>
      </c>
      <c r="EC14" s="11">
        <v>8.1076684029576393E-2</v>
      </c>
      <c r="ED14">
        <v>0.48840629532793084</v>
      </c>
      <c r="EE14">
        <v>1.0497000000000001</v>
      </c>
      <c r="EF14">
        <v>1.0341</v>
      </c>
      <c r="EG14">
        <v>9.1660025368328615</v>
      </c>
      <c r="EH14" s="13" t="s">
        <v>419</v>
      </c>
      <c r="EI14">
        <v>0</v>
      </c>
      <c r="EJ14">
        <v>1</v>
      </c>
      <c r="EK14">
        <v>45470</v>
      </c>
      <c r="EL14">
        <v>0</v>
      </c>
      <c r="EM14">
        <v>-6.42</v>
      </c>
      <c r="EN14" s="14">
        <v>1.1499999999999999</v>
      </c>
      <c r="EO14" s="14">
        <v>4.34</v>
      </c>
      <c r="EP14" s="14">
        <v>-1.56</v>
      </c>
    </row>
    <row r="15" spans="1:146" ht="84" x14ac:dyDescent="0.25">
      <c r="C15" s="7" t="str">
        <f>""&amp;CHAR(10)&amp;Basic_Fundamental_Information_Constructure(F15)&amp;CHAR(10)&amp;Basic_Fundamental_Information_Concatenate("")</f>
        <v xml:space="preserve">
市值28.864亿, 利润1.31亿; PE20.35; 平均PE43.01; 平均PEG2.73, PB2.62; ROIC28.9267%; ROE30.08%; 股利率1.1086%; 毛利28.77%; 净利15.56%; 上一年度营收增-.66%, 利润增28.43%; 当季营收增54.33%, 利润增19.6%; 过往5年营收增15.78%, 利润增7894.26%
Income profile:
</v>
      </c>
      <c r="D15" s="6" t="s">
        <v>472</v>
      </c>
      <c r="E15" t="s">
        <v>473</v>
      </c>
      <c r="F15">
        <v>36.08</v>
      </c>
      <c r="G15">
        <v>-0.11</v>
      </c>
      <c r="H15" t="s">
        <v>750</v>
      </c>
      <c r="I15">
        <v>2886400000</v>
      </c>
      <c r="J15">
        <v>20.350000000000001</v>
      </c>
      <c r="K15">
        <v>2.62</v>
      </c>
      <c r="L15" t="s">
        <v>493</v>
      </c>
      <c r="M15" t="s">
        <v>322</v>
      </c>
      <c r="N15" t="s">
        <v>435</v>
      </c>
      <c r="O15" t="s">
        <v>118</v>
      </c>
      <c r="P15" s="6">
        <v>10.79</v>
      </c>
      <c r="Q15" t="s">
        <v>751</v>
      </c>
      <c r="R15">
        <v>36376054</v>
      </c>
      <c r="S15">
        <v>0.11260000000000001</v>
      </c>
      <c r="T15" t="s">
        <v>81</v>
      </c>
      <c r="U15">
        <v>20000000</v>
      </c>
      <c r="V15">
        <v>80000000</v>
      </c>
      <c r="W15">
        <v>1.39</v>
      </c>
      <c r="X15">
        <v>0.13</v>
      </c>
      <c r="Y15">
        <v>18.59</v>
      </c>
      <c r="Z15" t="s">
        <v>83</v>
      </c>
      <c r="AA15" t="s">
        <v>119</v>
      </c>
      <c r="AB15" t="s">
        <v>752</v>
      </c>
      <c r="AC15" t="s">
        <v>753</v>
      </c>
      <c r="AD15" t="s">
        <v>11</v>
      </c>
      <c r="AE15">
        <v>-2521358</v>
      </c>
      <c r="AF15" t="s">
        <v>754</v>
      </c>
      <c r="AG15" t="s">
        <v>755</v>
      </c>
      <c r="AH15" t="s">
        <v>756</v>
      </c>
      <c r="AI15" t="s">
        <v>458</v>
      </c>
      <c r="AJ15" t="s">
        <v>757</v>
      </c>
      <c r="AK15" t="s">
        <v>758</v>
      </c>
      <c r="AL15" t="s">
        <v>759</v>
      </c>
      <c r="AM15" t="s">
        <v>11</v>
      </c>
      <c r="AN15" t="s">
        <v>760</v>
      </c>
      <c r="AO15" t="s">
        <v>11</v>
      </c>
      <c r="AP15" t="s">
        <v>63</v>
      </c>
      <c r="AQ15" t="s">
        <v>162</v>
      </c>
      <c r="AR15" t="s">
        <v>11</v>
      </c>
      <c r="AS15" t="s">
        <v>234</v>
      </c>
      <c r="AT15" t="s">
        <v>11</v>
      </c>
      <c r="AU15" t="s">
        <v>761</v>
      </c>
      <c r="AV15" t="s">
        <v>762</v>
      </c>
      <c r="AW15" t="s">
        <v>763</v>
      </c>
      <c r="AX15" t="s">
        <v>240</v>
      </c>
      <c r="AY15" t="s">
        <v>471</v>
      </c>
      <c r="AZ15" t="s">
        <v>475</v>
      </c>
      <c r="BA15" t="s">
        <v>314</v>
      </c>
      <c r="BB15" t="s">
        <v>95</v>
      </c>
      <c r="BC15" t="s">
        <v>37</v>
      </c>
      <c r="BD15" t="s">
        <v>476</v>
      </c>
      <c r="BE15" t="s">
        <v>477</v>
      </c>
      <c r="BF15" t="s">
        <v>478</v>
      </c>
      <c r="BG15" t="s">
        <v>479</v>
      </c>
      <c r="BH15" t="s">
        <v>330</v>
      </c>
      <c r="BI15" t="s">
        <v>98</v>
      </c>
      <c r="BJ15" t="s">
        <v>240</v>
      </c>
      <c r="BK15" t="s">
        <v>164</v>
      </c>
      <c r="BL15" t="s">
        <v>764</v>
      </c>
      <c r="BM15" t="s">
        <v>37</v>
      </c>
      <c r="BN15">
        <v>26.54</v>
      </c>
      <c r="BO15">
        <v>32.28</v>
      </c>
      <c r="BP15">
        <v>27.96</v>
      </c>
      <c r="BQ15">
        <v>27.44</v>
      </c>
      <c r="BR15">
        <v>32.72</v>
      </c>
      <c r="BS15" t="s">
        <v>11</v>
      </c>
      <c r="BT15" t="s">
        <v>418</v>
      </c>
      <c r="BU15" t="s">
        <v>271</v>
      </c>
      <c r="BV15">
        <v>30.16</v>
      </c>
      <c r="BW15">
        <v>29.05</v>
      </c>
      <c r="BX15">
        <v>27.1</v>
      </c>
      <c r="BY15">
        <v>17.239999999999998</v>
      </c>
      <c r="BZ15">
        <v>16.82</v>
      </c>
      <c r="CA15">
        <v>12.62</v>
      </c>
      <c r="CB15">
        <v>-9.14</v>
      </c>
      <c r="CC15" s="8">
        <v>-20.440000000000001</v>
      </c>
      <c r="CD15" s="9" t="s">
        <v>765</v>
      </c>
      <c r="CE15" s="8" t="s">
        <v>766</v>
      </c>
      <c r="CF15" s="8">
        <v>0.54330708661417326</v>
      </c>
      <c r="CG15" s="8">
        <v>0.19603385294224024</v>
      </c>
      <c r="CH15" s="8">
        <v>-6.5789474174380302E-3</v>
      </c>
      <c r="CI15" s="8">
        <v>9.5495492219924927E-2</v>
      </c>
      <c r="CJ15" s="9">
        <v>0.3214285671710968</v>
      </c>
      <c r="CK15" s="9">
        <v>6.8702287971973419E-2</v>
      </c>
      <c r="CL15" s="9">
        <v>0.31000000238418579</v>
      </c>
      <c r="CM15" s="9">
        <v>0.28431373834609985</v>
      </c>
      <c r="CN15" s="9">
        <v>0.45675992965698242</v>
      </c>
      <c r="CO15">
        <v>0.25994011759757996</v>
      </c>
      <c r="CP15">
        <v>0.26356381177902222</v>
      </c>
      <c r="CQ15">
        <v>393.44842529296875</v>
      </c>
      <c r="CR15" s="8">
        <v>43.007452250985075</v>
      </c>
      <c r="CS15" s="9">
        <v>2.72527684167017</v>
      </c>
      <c r="CT15">
        <v>1.1086474501108647</v>
      </c>
      <c r="CU15">
        <v>0.15780948046594859</v>
      </c>
      <c r="CV15">
        <v>78.942600578069687</v>
      </c>
      <c r="CW15">
        <v>0.06</v>
      </c>
      <c r="CX15">
        <v>15.629567190467048</v>
      </c>
      <c r="CY15">
        <v>143087775.41607478</v>
      </c>
      <c r="CZ15">
        <v>0.15780948046594859</v>
      </c>
      <c r="DA15">
        <v>4.8247515042543148</v>
      </c>
      <c r="DB15">
        <v>463526463.07856739</v>
      </c>
      <c r="DC15">
        <v>0.14991900644265116</v>
      </c>
      <c r="DD15">
        <v>2.196735023885819</v>
      </c>
      <c r="DE15">
        <v>1018056331.6389509</v>
      </c>
      <c r="DF15">
        <v>0.13887234281003477</v>
      </c>
      <c r="DG15">
        <v>1.2047879368798087</v>
      </c>
      <c r="DH15">
        <v>1856260285.7660472</v>
      </c>
      <c r="DI15">
        <v>0.12624758437275888</v>
      </c>
      <c r="DJ15">
        <v>0.5054100059251958</v>
      </c>
      <c r="DK15">
        <v>4424922288.4024239</v>
      </c>
      <c r="DL15">
        <v>0.11046663632616401</v>
      </c>
      <c r="DM15">
        <v>131000000</v>
      </c>
      <c r="DN15">
        <v>0.15780948046594859</v>
      </c>
      <c r="DO15">
        <v>2236400000</v>
      </c>
      <c r="DP15">
        <v>749311230</v>
      </c>
      <c r="DQ15" s="10">
        <v>2796</v>
      </c>
      <c r="DR15">
        <v>0.3854976061482247</v>
      </c>
      <c r="DS15">
        <v>-78.746566725127451</v>
      </c>
      <c r="DT15">
        <v>-0.20666666666666669</v>
      </c>
      <c r="DU15">
        <v>1.3433333333333335</v>
      </c>
      <c r="DV15">
        <v>1.1366666666666667</v>
      </c>
      <c r="DW15">
        <v>-9.4471624266144811</v>
      </c>
      <c r="DX15">
        <v>0.26345721297061775</v>
      </c>
      <c r="DY15">
        <v>-9.0462621784027135</v>
      </c>
      <c r="DZ15">
        <v>458</v>
      </c>
      <c r="EA15">
        <v>-9.0421157835478319</v>
      </c>
      <c r="EB15" s="11">
        <v>9</v>
      </c>
      <c r="EC15" s="11">
        <v>3.9418750000000002E-2</v>
      </c>
      <c r="ED15">
        <v>0.38101499999999999</v>
      </c>
      <c r="EE15">
        <v>1.1326000000000001</v>
      </c>
      <c r="EF15">
        <v>1.0864</v>
      </c>
      <c r="EG15">
        <v>16.103457212970618</v>
      </c>
      <c r="EH15" s="13" t="s">
        <v>419</v>
      </c>
      <c r="EI15">
        <v>0</v>
      </c>
      <c r="EJ15">
        <v>1</v>
      </c>
      <c r="EK15">
        <v>45470</v>
      </c>
      <c r="EL15">
        <v>-1.88</v>
      </c>
      <c r="EM15">
        <v>-6.4</v>
      </c>
      <c r="EN15" s="14">
        <v>20.02</v>
      </c>
      <c r="EO15" s="14">
        <v>8.11</v>
      </c>
      <c r="EP15" s="14">
        <v>-4.62</v>
      </c>
    </row>
    <row r="16" spans="1:146" ht="132" x14ac:dyDescent="0.25">
      <c r="A16" s="7" t="s">
        <v>251</v>
      </c>
      <c r="B16" s="7" t="s">
        <v>252</v>
      </c>
      <c r="C16" s="7" t="str">
        <f>"公司所从事的主要业务为轨道交通产业和橡胶制品产业，其中轨道交通产业为发行股份的方式购买广西三维铁路轨道制造有限公司 100%的股权"&amp;CHAR(10)&amp;Basic_Fundamental_Information_Constructure(F16)&amp;CHAR(10)&amp;Basic_Fundamental_Information_Concatenate("聚酯纤维 9.74亿 51.32% 0.28% 0.06%
橡胶类 6.34亿 33.39% 52.28% 18.05%
轨枕类 1.81亿 9.55% 28.39% 34.26%
其他 1.02亿 5.38% 17.79% 38.12%")</f>
        <v>公司所从事的主要业务为轨道交通产业和橡胶制品产业，其中轨道交通产业为发行股份的方式购买广西三维铁路轨道制造有限公司 100%的股权
市值119.511856亿, 利润5.46亿; PE89.03; 平均PE50.57; 平均PEG1.37, PB3.41; ROIC4.44%; ROE5.3567%; 股利率.4314%; 毛利13.36%; 净利4.9633%; 上一年度营收增18.75%, 利润增135.34%; 当季营收增39.17%, 利润增-71.54%; 过往5年营收增36.87%, 利润增69.61%
Income profile:
聚酯纤维 9.74亿 51.32% 0.28% 0.06%
橡胶类 6.34亿 33.39% 52.28% 18.05%
轨枕类 1.81亿 9.55% 28.39% 34.26%
其他 1.02亿 5.38% 17.79% 38.12%</v>
      </c>
      <c r="D16" t="s">
        <v>128</v>
      </c>
      <c r="E16" t="s">
        <v>5</v>
      </c>
      <c r="F16">
        <v>11.59</v>
      </c>
      <c r="G16">
        <v>1.49</v>
      </c>
      <c r="H16" t="s">
        <v>767</v>
      </c>
      <c r="I16">
        <v>11951185600</v>
      </c>
      <c r="J16">
        <v>89.03</v>
      </c>
      <c r="K16">
        <v>3.41</v>
      </c>
      <c r="L16" t="s">
        <v>493</v>
      </c>
      <c r="M16" t="s">
        <v>768</v>
      </c>
      <c r="N16" t="s">
        <v>769</v>
      </c>
      <c r="O16" t="s">
        <v>315</v>
      </c>
      <c r="P16">
        <v>41.77</v>
      </c>
      <c r="Q16" t="s">
        <v>770</v>
      </c>
      <c r="R16">
        <v>26187442</v>
      </c>
      <c r="S16" s="6">
        <v>-0.34200000000000003</v>
      </c>
      <c r="T16" t="s">
        <v>328</v>
      </c>
      <c r="U16">
        <v>1012531020</v>
      </c>
      <c r="V16">
        <v>1031163550</v>
      </c>
      <c r="W16">
        <v>3</v>
      </c>
      <c r="X16">
        <v>0.11</v>
      </c>
      <c r="Y16">
        <v>2.54</v>
      </c>
      <c r="Z16" t="s">
        <v>771</v>
      </c>
      <c r="AA16" t="s">
        <v>436</v>
      </c>
      <c r="AB16" t="s">
        <v>772</v>
      </c>
      <c r="AC16" t="s">
        <v>773</v>
      </c>
      <c r="AD16" t="s">
        <v>11</v>
      </c>
      <c r="AE16">
        <v>30674117</v>
      </c>
      <c r="AF16" t="s">
        <v>774</v>
      </c>
      <c r="AG16" t="s">
        <v>775</v>
      </c>
      <c r="AH16" t="s">
        <v>776</v>
      </c>
      <c r="AI16" t="s">
        <v>94</v>
      </c>
      <c r="AJ16" t="s">
        <v>777</v>
      </c>
      <c r="AK16" t="s">
        <v>778</v>
      </c>
      <c r="AL16" t="s">
        <v>779</v>
      </c>
      <c r="AM16" t="s">
        <v>11</v>
      </c>
      <c r="AN16" t="s">
        <v>780</v>
      </c>
      <c r="AO16" t="s">
        <v>781</v>
      </c>
      <c r="AP16" t="s">
        <v>48</v>
      </c>
      <c r="AQ16" t="s">
        <v>782</v>
      </c>
      <c r="AR16" t="s">
        <v>11</v>
      </c>
      <c r="AS16" t="s">
        <v>783</v>
      </c>
      <c r="AT16" t="s">
        <v>784</v>
      </c>
      <c r="AU16" t="s">
        <v>785</v>
      </c>
      <c r="AV16" t="s">
        <v>786</v>
      </c>
      <c r="AW16" t="s">
        <v>103</v>
      </c>
      <c r="AX16" t="s">
        <v>481</v>
      </c>
      <c r="AY16" t="s">
        <v>270</v>
      </c>
      <c r="AZ16" t="s">
        <v>216</v>
      </c>
      <c r="BA16" t="s">
        <v>129</v>
      </c>
      <c r="BB16" t="s">
        <v>218</v>
      </c>
      <c r="BC16" t="s">
        <v>183</v>
      </c>
      <c r="BD16" t="s">
        <v>50</v>
      </c>
      <c r="BE16" t="s">
        <v>82</v>
      </c>
      <c r="BF16" t="s">
        <v>38</v>
      </c>
      <c r="BG16" t="s">
        <v>219</v>
      </c>
      <c r="BH16" t="s">
        <v>787</v>
      </c>
      <c r="BI16" t="s">
        <v>788</v>
      </c>
      <c r="BJ16" t="s">
        <v>481</v>
      </c>
      <c r="BK16" t="s">
        <v>86</v>
      </c>
      <c r="BL16" t="s">
        <v>789</v>
      </c>
      <c r="BM16" t="s">
        <v>183</v>
      </c>
      <c r="BN16">
        <v>3.17</v>
      </c>
      <c r="BO16">
        <v>5.88</v>
      </c>
      <c r="BP16">
        <v>4.2699999999999996</v>
      </c>
      <c r="BQ16">
        <v>4.63</v>
      </c>
      <c r="BR16">
        <v>7.33</v>
      </c>
      <c r="BS16">
        <v>4.1100000000000003</v>
      </c>
      <c r="BT16" t="s">
        <v>411</v>
      </c>
      <c r="BU16" t="s">
        <v>271</v>
      </c>
      <c r="BV16">
        <v>13.47</v>
      </c>
      <c r="BW16">
        <v>11.86</v>
      </c>
      <c r="BX16">
        <v>14.75</v>
      </c>
      <c r="BY16">
        <v>4.08</v>
      </c>
      <c r="BZ16">
        <v>6.56</v>
      </c>
      <c r="CA16">
        <v>4.25</v>
      </c>
      <c r="CB16">
        <v>-0.94</v>
      </c>
      <c r="CC16">
        <v>-11.8</v>
      </c>
      <c r="CD16" t="s">
        <v>790</v>
      </c>
      <c r="CE16" t="s">
        <v>791</v>
      </c>
      <c r="CF16" s="8">
        <v>0.39171597633136113</v>
      </c>
      <c r="CG16" s="9">
        <v>-0.71542194257894853</v>
      </c>
      <c r="CH16" s="8">
        <v>0.18745163083076477</v>
      </c>
      <c r="CI16" s="8">
        <v>0.15130794048309326</v>
      </c>
      <c r="CJ16" s="8">
        <v>0.86888891458511353</v>
      </c>
      <c r="CK16" s="8">
        <v>3.0337683856487274E-2</v>
      </c>
      <c r="CL16" s="8">
        <v>0.60569858551025391</v>
      </c>
      <c r="CM16" s="9">
        <v>1.3534482717514038</v>
      </c>
      <c r="CN16" s="9">
        <v>0.87096774578094482</v>
      </c>
      <c r="CO16" s="9">
        <v>-0.4123222827911377</v>
      </c>
      <c r="CP16" s="9">
        <v>-5.3811658173799515E-2</v>
      </c>
      <c r="CQ16" s="9">
        <v>1.7221647500991821</v>
      </c>
      <c r="CR16">
        <v>50.572041118536937</v>
      </c>
      <c r="CS16">
        <v>1.3714937158887683</v>
      </c>
      <c r="CT16">
        <v>0.43140638481449528</v>
      </c>
      <c r="CU16" s="8">
        <v>0.36873695105314253</v>
      </c>
      <c r="CV16" s="9">
        <v>0.69608936533331867</v>
      </c>
      <c r="CW16">
        <v>0.06</v>
      </c>
      <c r="CX16">
        <v>21.661794129594508</v>
      </c>
      <c r="CY16">
        <v>705028655.91982627</v>
      </c>
      <c r="CZ16">
        <v>0.36873695105314253</v>
      </c>
      <c r="DA16">
        <v>5.6350454578206577</v>
      </c>
      <c r="DB16">
        <v>2710215155.195303</v>
      </c>
      <c r="DC16">
        <v>0.3503001035004854</v>
      </c>
      <c r="DD16">
        <v>1.9906713701057233</v>
      </c>
      <c r="DE16">
        <v>7671876849.8634224</v>
      </c>
      <c r="DF16">
        <v>0.32448851692676545</v>
      </c>
      <c r="DG16">
        <v>0.79228317383610081</v>
      </c>
      <c r="DH16">
        <v>19276170571.759926</v>
      </c>
      <c r="DI16">
        <v>0.29498956084251404</v>
      </c>
      <c r="DJ16">
        <v>0.14789541503553841</v>
      </c>
      <c r="DK16">
        <v>103263414868.7448</v>
      </c>
      <c r="DL16">
        <v>0.25811586573719975</v>
      </c>
      <c r="DM16">
        <v>546000000</v>
      </c>
      <c r="DN16">
        <v>0.36873695105314253</v>
      </c>
      <c r="DO16">
        <v>15272185600</v>
      </c>
      <c r="DP16">
        <v>-2002073100</v>
      </c>
      <c r="DQ16">
        <v>3875</v>
      </c>
      <c r="DR16">
        <v>2.2979025278218601E-2</v>
      </c>
      <c r="DS16">
        <v>-1.4115113079122672</v>
      </c>
      <c r="DT16" s="10">
        <v>0.34333333333333321</v>
      </c>
      <c r="DU16">
        <v>0.26</v>
      </c>
      <c r="DV16">
        <v>0.60333333333333328</v>
      </c>
      <c r="DW16">
        <v>-2.1179999999999999</v>
      </c>
      <c r="DX16">
        <v>0.38950868899045843</v>
      </c>
      <c r="DY16">
        <v>-2.0176420253008742</v>
      </c>
      <c r="DZ16">
        <v>3687</v>
      </c>
      <c r="EA16">
        <v>-2.0049128379653904</v>
      </c>
      <c r="EB16">
        <v>2</v>
      </c>
      <c r="EC16">
        <v>1.0026149586067117E-2</v>
      </c>
      <c r="ED16">
        <v>6.7060652017810363E-2</v>
      </c>
      <c r="EE16" s="11">
        <v>2.8110000000000007E-2</v>
      </c>
      <c r="EF16">
        <v>4.1110000000000001E-2</v>
      </c>
      <c r="EG16">
        <v>24.149508688990458</v>
      </c>
      <c r="EH16">
        <v>-1</v>
      </c>
      <c r="EI16">
        <v>0</v>
      </c>
      <c r="EJ16">
        <v>0</v>
      </c>
      <c r="EK16" s="13">
        <v>45470</v>
      </c>
      <c r="EL16" s="14">
        <v>-2.16</v>
      </c>
      <c r="EM16" s="14">
        <v>-3.98</v>
      </c>
      <c r="EN16" s="14">
        <v>0.46</v>
      </c>
      <c r="EO16" s="14">
        <v>6.06</v>
      </c>
      <c r="EP16" s="14">
        <v>-1.3</v>
      </c>
    </row>
    <row r="17" spans="1:146" ht="162" customHeight="1" x14ac:dyDescent="0.25">
      <c r="A17" s="7" t="s">
        <v>491</v>
      </c>
      <c r="B17" s="7" t="s">
        <v>490</v>
      </c>
      <c r="C17" s="7" t="str">
        <f>"公司主要从事事新材料的研发、生产、销售和相关贸易业务。主要业务包括汽车/轮胎用特种材料业务、电子材料业务和可降解材料业务，公司是全球最大的轮胎橡胶用特种酚醛树脂供应商。"&amp;CHAR(10)&amp;Basic_Fundamental_Information_Constructure(F17)&amp;CHAR(10)&amp;Basic_Fundamental_Information_Concatenate("自产酚醛树脂 15.69亿 62.75% 4.06亿 67.70% 25.89%
自产电子材料产品 3.77亿 15.08% 9452.04万 15.76% 25.07%
自产其他产品 2.77亿 11.08% 3213.03万 5.36% 11.59%
贸易类其他产品 2.44亿 9.77% 6058.75万 10.10% 24.80%
自产可降解产品 1064.36万 0.43% -16.26万 -0.03% -1.53%")</f>
        <v>公司主要从事事新材料的研发、生产、销售和相关贸易业务。主要业务包括汽车/轮胎用特种材料业务、电子材料业务和可降解材料业务，公司是全球最大的轮胎橡胶用特种酚醛树脂供应商。
市值169.87255亿, 利润2003.75万; PE36.29; 平均PE56.69; 平均PEG3.69, PB4.99; ROIC7.11%; ROE11.3467%; 股利率2.0833%; 毛利24.1967%; 净利12.7933%; 上一年度营收增-92.12%, 利润增-93.28%; 当季营收增1893.04%, 利润增5449.17%; 过往5年营收增-15.36%, 利润增-23.64%
Income profile:
自产酚醛树脂 15.69亿 62.75% 4.06亿 67.70% 25.89%
自产电子材料产品 3.77亿 15.08% 9452.04万 15.76% 25.07%
自产其他产品 2.77亿 11.08% 3213.03万 5.36% 11.59%
贸易类其他产品 2.44亿 9.77% 6058.75万 10.10% 24.80%
自产可降解产品 1064.36万 0.43% -16.26万 -0.03% -1.53%</v>
      </c>
      <c r="D17" t="s">
        <v>244</v>
      </c>
      <c r="E17" t="s">
        <v>245</v>
      </c>
      <c r="F17">
        <v>28.32</v>
      </c>
      <c r="G17">
        <v>-0.28000000000000003</v>
      </c>
      <c r="H17" t="s">
        <v>792</v>
      </c>
      <c r="I17">
        <v>16987255000</v>
      </c>
      <c r="J17">
        <v>36.29</v>
      </c>
      <c r="K17">
        <v>4.99</v>
      </c>
      <c r="L17" t="s">
        <v>493</v>
      </c>
      <c r="M17" t="s">
        <v>793</v>
      </c>
      <c r="N17" t="s">
        <v>794</v>
      </c>
      <c r="O17" t="s">
        <v>445</v>
      </c>
      <c r="P17">
        <v>17.57</v>
      </c>
      <c r="Q17" t="s">
        <v>156</v>
      </c>
      <c r="R17">
        <v>144383760</v>
      </c>
      <c r="S17" s="6">
        <v>0.7429</v>
      </c>
      <c r="T17" t="s">
        <v>795</v>
      </c>
      <c r="U17">
        <v>594071260</v>
      </c>
      <c r="V17">
        <v>599832440</v>
      </c>
      <c r="W17">
        <v>2.14</v>
      </c>
      <c r="X17">
        <v>0.1</v>
      </c>
      <c r="Y17">
        <v>18.88</v>
      </c>
      <c r="Z17" t="s">
        <v>316</v>
      </c>
      <c r="AA17" t="s">
        <v>796</v>
      </c>
      <c r="AB17" t="s">
        <v>797</v>
      </c>
      <c r="AC17" t="s">
        <v>798</v>
      </c>
      <c r="AD17" t="s">
        <v>11</v>
      </c>
      <c r="AE17">
        <v>19108638</v>
      </c>
      <c r="AF17" t="s">
        <v>799</v>
      </c>
      <c r="AG17" t="s">
        <v>800</v>
      </c>
      <c r="AH17" t="s">
        <v>801</v>
      </c>
      <c r="AI17" t="s">
        <v>802</v>
      </c>
      <c r="AJ17" t="s">
        <v>803</v>
      </c>
      <c r="AK17" t="s">
        <v>804</v>
      </c>
      <c r="AL17" t="s">
        <v>805</v>
      </c>
      <c r="AM17" t="s">
        <v>11</v>
      </c>
      <c r="AN17" t="s">
        <v>441</v>
      </c>
      <c r="AO17" t="s">
        <v>326</v>
      </c>
      <c r="AP17" t="s">
        <v>101</v>
      </c>
      <c r="AQ17" t="s">
        <v>434</v>
      </c>
      <c r="AR17" t="s">
        <v>806</v>
      </c>
      <c r="AS17" t="s">
        <v>480</v>
      </c>
      <c r="AT17" t="s">
        <v>807</v>
      </c>
      <c r="AU17" t="s">
        <v>808</v>
      </c>
      <c r="AV17" t="s">
        <v>809</v>
      </c>
      <c r="AW17" t="s">
        <v>105</v>
      </c>
      <c r="AX17" t="s">
        <v>157</v>
      </c>
      <c r="AY17" t="s">
        <v>484</v>
      </c>
      <c r="AZ17" t="s">
        <v>246</v>
      </c>
      <c r="BA17" t="s">
        <v>247</v>
      </c>
      <c r="BB17" t="s">
        <v>172</v>
      </c>
      <c r="BC17" t="s">
        <v>55</v>
      </c>
      <c r="BD17" t="s">
        <v>36</v>
      </c>
      <c r="BE17" t="s">
        <v>234</v>
      </c>
      <c r="BF17" t="s">
        <v>205</v>
      </c>
      <c r="BG17" t="s">
        <v>248</v>
      </c>
      <c r="BH17" t="s">
        <v>810</v>
      </c>
      <c r="BI17" t="s">
        <v>811</v>
      </c>
      <c r="BJ17" t="s">
        <v>157</v>
      </c>
      <c r="BK17" t="s">
        <v>812</v>
      </c>
      <c r="BL17" t="s">
        <v>813</v>
      </c>
      <c r="BM17" t="s">
        <v>55</v>
      </c>
      <c r="BN17">
        <v>6.43</v>
      </c>
      <c r="BO17">
        <v>6.46</v>
      </c>
      <c r="BP17">
        <v>8.44</v>
      </c>
      <c r="BQ17">
        <v>10.94</v>
      </c>
      <c r="BR17">
        <v>10.26</v>
      </c>
      <c r="BS17">
        <v>12.84</v>
      </c>
      <c r="BT17" t="s">
        <v>814</v>
      </c>
      <c r="BU17" t="s">
        <v>271</v>
      </c>
      <c r="BV17">
        <v>23.68</v>
      </c>
      <c r="BW17">
        <v>23.99</v>
      </c>
      <c r="BX17">
        <v>24.92</v>
      </c>
      <c r="BY17">
        <v>13.73</v>
      </c>
      <c r="BZ17">
        <v>11.23</v>
      </c>
      <c r="CA17">
        <v>13.42</v>
      </c>
      <c r="CB17">
        <v>-4.16</v>
      </c>
      <c r="CC17">
        <v>5.55</v>
      </c>
      <c r="CD17" t="s">
        <v>815</v>
      </c>
      <c r="CE17" t="s">
        <v>425</v>
      </c>
      <c r="CF17" s="8">
        <v>18.930371133074733</v>
      </c>
      <c r="CG17" s="9">
        <v>54.49166378415773</v>
      </c>
      <c r="CH17" s="8">
        <v>-0.92120003700256348</v>
      </c>
      <c r="CI17" s="8">
        <v>7.7586203813552856E-2</v>
      </c>
      <c r="CJ17" s="8">
        <v>0.1339198499917984</v>
      </c>
      <c r="CK17" s="8">
        <v>-7.336956262588501E-2</v>
      </c>
      <c r="CL17" s="8">
        <v>1.51723837479949E-2</v>
      </c>
      <c r="CM17" s="9">
        <v>-0.93276005983352661</v>
      </c>
      <c r="CN17" s="9">
        <v>-8.8685013353824615E-2</v>
      </c>
      <c r="CO17" s="9">
        <v>-0.20243902504444122</v>
      </c>
      <c r="CP17" s="9">
        <v>0.23867069184780121</v>
      </c>
      <c r="CQ17" s="9">
        <v>-0.19660194218158722</v>
      </c>
      <c r="CR17">
        <v>56.685986805058292</v>
      </c>
      <c r="CS17">
        <v>3.6910170089647556</v>
      </c>
      <c r="CT17">
        <v>2.0833333333333335</v>
      </c>
      <c r="CU17" s="8">
        <v>-0.15357823241502047</v>
      </c>
      <c r="CV17" s="9">
        <v>-0.23636306971311569</v>
      </c>
      <c r="CW17">
        <v>0.06</v>
      </c>
      <c r="CX17">
        <v>861.74697442295701</v>
      </c>
      <c r="CY17" t="s">
        <v>816</v>
      </c>
      <c r="CZ17">
        <v>-0.15357823241502047</v>
      </c>
      <c r="DA17">
        <v>287.24899147431898</v>
      </c>
      <c r="DB17" t="s">
        <v>817</v>
      </c>
      <c r="DC17">
        <v>-0.14589932079426945</v>
      </c>
      <c r="DD17">
        <v>143.62449573715949</v>
      </c>
      <c r="DE17" t="s">
        <v>818</v>
      </c>
      <c r="DF17">
        <v>-0.13514884452521803</v>
      </c>
      <c r="DG17">
        <v>86.174697442295695</v>
      </c>
      <c r="DH17" t="s">
        <v>819</v>
      </c>
      <c r="DI17">
        <v>-0.12286258593201638</v>
      </c>
      <c r="DJ17">
        <v>43.087348721147848</v>
      </c>
      <c r="DK17" t="s">
        <v>820</v>
      </c>
      <c r="DL17">
        <v>-0.10750476269051433</v>
      </c>
      <c r="DM17">
        <v>20037500</v>
      </c>
      <c r="DN17">
        <v>-0.15357823241502047</v>
      </c>
      <c r="DO17">
        <v>17267255000</v>
      </c>
      <c r="DP17">
        <v>713633400</v>
      </c>
      <c r="DQ17">
        <v>4231</v>
      </c>
      <c r="DR17">
        <v>19.083949365489755</v>
      </c>
      <c r="DS17">
        <v>54.728026853870844</v>
      </c>
      <c r="DT17" s="10">
        <v>-0.77333333333333332</v>
      </c>
      <c r="DU17">
        <v>-0.67</v>
      </c>
      <c r="DV17">
        <v>-1.4433333333333334</v>
      </c>
      <c r="DW17">
        <v>-6.4284243048403704</v>
      </c>
      <c r="DX17">
        <v>0.28671446280991741</v>
      </c>
      <c r="DY17">
        <v>-6.0328663404005409</v>
      </c>
      <c r="DZ17">
        <v>2913</v>
      </c>
      <c r="EA17">
        <v>-6.0141305968414853</v>
      </c>
      <c r="EB17">
        <v>6</v>
      </c>
      <c r="EC17">
        <v>6.1900286686728714E-2</v>
      </c>
      <c r="ED17">
        <v>0.80689200470718125</v>
      </c>
      <c r="EE17" s="11">
        <v>-1.1198999999999999</v>
      </c>
      <c r="EF17">
        <v>-1.0969</v>
      </c>
      <c r="EG17">
        <v>21.076714462809917</v>
      </c>
      <c r="EH17" t="s">
        <v>296</v>
      </c>
      <c r="EI17">
        <v>0</v>
      </c>
      <c r="EJ17">
        <v>0</v>
      </c>
      <c r="EK17" s="13">
        <v>45470</v>
      </c>
      <c r="EL17" s="14">
        <v>-0.46</v>
      </c>
      <c r="EM17" s="14">
        <v>-4.37</v>
      </c>
      <c r="EN17" s="14">
        <v>0.97</v>
      </c>
      <c r="EO17" s="14">
        <v>4.26</v>
      </c>
      <c r="EP17" s="14">
        <v>-2.2999999999999998</v>
      </c>
    </row>
    <row r="18" spans="1:146" ht="144" x14ac:dyDescent="0.25">
      <c r="A18" s="7"/>
      <c r="B18" s="7"/>
      <c r="C18" s="7" t="str">
        <f>"公司主要从事沉淀法二氧化硅产品的研发、制造和销售。公司主要产品为沉淀法白炭黑，包括橡胶工业用白炭黑、饲料添加剂二氧化硅、口腔护理用二氧化硅。公司产品主要市场聚焦于橡胶工业领域中的高性能子午线绿色轮胎配套专用材料以及大健康领域的动物饲料用载体和口腔护理。"&amp;CHAR(10)&amp;Basic_Fundamental_Information_Constructure(F18)&amp;CHAR(10)&amp;Basic_Fundamental_Information_Concatenate("二氧化硅 14.07亿 93.64% 93.33% 32.83%
其他业务 9555.13万 6.36% 6.67% 34.54%")</f>
        <v>公司主要从事沉淀法二氧化硅产品的研发、制造和销售。公司主要产品为沉淀法白炭黑，包括橡胶工业用白炭黑、饲料添加剂二氧化硅、口腔护理用二氧化硅。公司产品主要市场聚焦于橡胶工业领域中的高性能子午线绿色轮胎配套专用材料以及大健康领域的动物饲料用载体和口腔护理。
市值62.359097亿, 利润6000.00万; PE13.83; 平均PE25.38; 平均PEG3.74, PB2.06; ROIC11.6967%; ROE12.72%; 股利率2.3427%; 毛利30.3167%; 净利21.51%; 上一年度营收增-82.36%, 利润增-84.21%; 当季营收增753.53%, 利润增1130.35%; 过往5年营收增-6.79%, 利润增-6.2%
Income profile:
二氧化硅 14.07亿 93.64% 93.33% 32.83%
其他业务 9555.13万 6.36% 6.67% 34.54%</v>
      </c>
      <c r="D18" t="s">
        <v>221</v>
      </c>
      <c r="E18" t="s">
        <v>222</v>
      </c>
      <c r="F18">
        <v>14.94</v>
      </c>
      <c r="G18">
        <v>0.61</v>
      </c>
      <c r="H18" t="s">
        <v>821</v>
      </c>
      <c r="I18">
        <v>6235909700</v>
      </c>
      <c r="J18">
        <v>13.83</v>
      </c>
      <c r="K18">
        <v>2.06</v>
      </c>
      <c r="L18" t="s">
        <v>493</v>
      </c>
      <c r="M18" t="s">
        <v>233</v>
      </c>
      <c r="N18" t="s">
        <v>822</v>
      </c>
      <c r="O18" t="s">
        <v>41</v>
      </c>
      <c r="P18">
        <v>25.9</v>
      </c>
      <c r="Q18" t="s">
        <v>73</v>
      </c>
      <c r="R18">
        <v>122337625</v>
      </c>
      <c r="S18" s="6">
        <v>0.45639999999999997</v>
      </c>
      <c r="T18" t="s">
        <v>823</v>
      </c>
      <c r="U18">
        <v>415883150</v>
      </c>
      <c r="V18">
        <v>417396900</v>
      </c>
      <c r="W18">
        <v>1.1299999999999999</v>
      </c>
      <c r="X18">
        <v>0.15</v>
      </c>
      <c r="Y18">
        <v>23.39</v>
      </c>
      <c r="Z18" t="s">
        <v>125</v>
      </c>
      <c r="AA18" t="s">
        <v>195</v>
      </c>
      <c r="AB18" t="s">
        <v>824</v>
      </c>
      <c r="AC18" t="s">
        <v>825</v>
      </c>
      <c r="AD18" t="s">
        <v>11</v>
      </c>
      <c r="AE18">
        <v>-13797479</v>
      </c>
      <c r="AF18" t="s">
        <v>826</v>
      </c>
      <c r="AG18" t="s">
        <v>827</v>
      </c>
      <c r="AH18" t="s">
        <v>828</v>
      </c>
      <c r="AI18" t="s">
        <v>64</v>
      </c>
      <c r="AJ18" t="s">
        <v>829</v>
      </c>
      <c r="AK18" t="s">
        <v>11</v>
      </c>
      <c r="AL18" t="s">
        <v>830</v>
      </c>
      <c r="AM18" t="s">
        <v>11</v>
      </c>
      <c r="AN18" t="s">
        <v>190</v>
      </c>
      <c r="AO18" t="s">
        <v>831</v>
      </c>
      <c r="AP18" t="s">
        <v>832</v>
      </c>
      <c r="AQ18" t="s">
        <v>243</v>
      </c>
      <c r="AR18" t="s">
        <v>11</v>
      </c>
      <c r="AS18" t="s">
        <v>249</v>
      </c>
      <c r="AT18" t="s">
        <v>11</v>
      </c>
      <c r="AU18" t="s">
        <v>71</v>
      </c>
      <c r="AV18" t="s">
        <v>833</v>
      </c>
      <c r="AW18" t="s">
        <v>834</v>
      </c>
      <c r="AX18" t="s">
        <v>487</v>
      </c>
      <c r="AY18" t="s">
        <v>250</v>
      </c>
      <c r="AZ18" t="s">
        <v>223</v>
      </c>
      <c r="BA18" t="s">
        <v>224</v>
      </c>
      <c r="BB18" t="s">
        <v>225</v>
      </c>
      <c r="BC18" t="s">
        <v>39</v>
      </c>
      <c r="BD18" t="s">
        <v>95</v>
      </c>
      <c r="BE18" t="s">
        <v>161</v>
      </c>
      <c r="BF18" t="s">
        <v>59</v>
      </c>
      <c r="BG18" t="s">
        <v>72</v>
      </c>
      <c r="BH18" t="s">
        <v>426</v>
      </c>
      <c r="BI18" t="s">
        <v>835</v>
      </c>
      <c r="BJ18" t="s">
        <v>487</v>
      </c>
      <c r="BK18" t="s">
        <v>442</v>
      </c>
      <c r="BL18" t="s">
        <v>836</v>
      </c>
      <c r="BM18" t="s">
        <v>39</v>
      </c>
      <c r="BN18">
        <v>9.07</v>
      </c>
      <c r="BO18">
        <v>14.23</v>
      </c>
      <c r="BP18">
        <v>11.79</v>
      </c>
      <c r="BQ18">
        <v>10.99</v>
      </c>
      <c r="BR18">
        <v>14.84</v>
      </c>
      <c r="BS18">
        <v>12.33</v>
      </c>
      <c r="BT18" t="s">
        <v>460</v>
      </c>
      <c r="BU18" t="s">
        <v>318</v>
      </c>
      <c r="BV18">
        <v>29.44</v>
      </c>
      <c r="BW18">
        <v>28.57</v>
      </c>
      <c r="BX18">
        <v>32.94</v>
      </c>
      <c r="BY18">
        <v>22.78</v>
      </c>
      <c r="BZ18">
        <v>21.78</v>
      </c>
      <c r="CA18">
        <v>19.97</v>
      </c>
      <c r="CB18">
        <v>-3.36</v>
      </c>
      <c r="CC18">
        <v>-10.54</v>
      </c>
      <c r="CD18" t="s">
        <v>837</v>
      </c>
      <c r="CE18" t="s">
        <v>838</v>
      </c>
      <c r="CF18" s="8">
        <v>7.5352638587878946</v>
      </c>
      <c r="CG18" s="9">
        <v>11.303523478120946</v>
      </c>
      <c r="CH18" s="8">
        <v>-0.8235967755317688</v>
      </c>
      <c r="CI18" s="8">
        <v>0.16167660057544708</v>
      </c>
      <c r="CJ18" s="8">
        <v>0.42464461922645569</v>
      </c>
      <c r="CK18" s="8">
        <v>-0.11418980360031128</v>
      </c>
      <c r="CL18" s="8">
        <v>1.1894756928086281E-2</v>
      </c>
      <c r="CM18" s="9">
        <v>-0.84210526943206787</v>
      </c>
      <c r="CN18" s="9">
        <v>0.26666668057441711</v>
      </c>
      <c r="CO18" s="9">
        <v>0.55440413951873779</v>
      </c>
      <c r="CP18" s="9">
        <v>-0.28518518805503845</v>
      </c>
      <c r="CQ18" s="9">
        <v>-3.6900369450449944E-3</v>
      </c>
      <c r="CR18">
        <v>25.383621573948442</v>
      </c>
      <c r="CS18">
        <v>3.7376058755361998</v>
      </c>
      <c r="CT18">
        <v>2.3427041499330659</v>
      </c>
      <c r="CU18" s="8">
        <v>-6.79141204804182E-2</v>
      </c>
      <c r="CV18" s="9">
        <v>-6.1981934867799279E-2</v>
      </c>
      <c r="CW18">
        <v>0.06</v>
      </c>
      <c r="CX18">
        <v>60.731828333333333</v>
      </c>
      <c r="CY18" t="s">
        <v>839</v>
      </c>
      <c r="CZ18">
        <v>-6.79141204804182E-2</v>
      </c>
      <c r="DA18">
        <v>20.243942777777779</v>
      </c>
      <c r="DB18" t="s">
        <v>840</v>
      </c>
      <c r="DC18">
        <v>-6.4518414456397291E-2</v>
      </c>
      <c r="DD18">
        <v>10.121971388888889</v>
      </c>
      <c r="DE18" t="s">
        <v>841</v>
      </c>
      <c r="DF18">
        <v>-5.9764426022768019E-2</v>
      </c>
      <c r="DG18">
        <v>6.0731828333333331</v>
      </c>
      <c r="DH18" t="s">
        <v>842</v>
      </c>
      <c r="DI18">
        <v>-5.4331296384334565E-2</v>
      </c>
      <c r="DJ18">
        <v>3.0365914166666665</v>
      </c>
      <c r="DK18" t="s">
        <v>843</v>
      </c>
      <c r="DL18">
        <v>-4.7539884336292734E-2</v>
      </c>
      <c r="DM18">
        <v>60000000</v>
      </c>
      <c r="DN18">
        <v>-6.79141204804182E-2</v>
      </c>
      <c r="DO18">
        <v>3643909700</v>
      </c>
      <c r="DP18">
        <v>1811777900</v>
      </c>
      <c r="DQ18">
        <v>4481</v>
      </c>
      <c r="DR18">
        <v>7.6031779792683132</v>
      </c>
      <c r="DS18">
        <v>11.365505412988744</v>
      </c>
      <c r="DT18" s="10">
        <v>-0.49</v>
      </c>
      <c r="DU18">
        <v>-0.16666666666666666</v>
      </c>
      <c r="DV18">
        <v>-0.65666666666666662</v>
      </c>
      <c r="DW18">
        <v>-8.3187855787476277</v>
      </c>
      <c r="DX18">
        <v>0.37175141709142223</v>
      </c>
      <c r="DY18">
        <v>-8.0420004517483097</v>
      </c>
      <c r="DZ18">
        <v>2629</v>
      </c>
      <c r="EA18">
        <v>-8.0203920001541213</v>
      </c>
      <c r="EB18">
        <v>8</v>
      </c>
      <c r="EC18">
        <v>1.9891139584409946E-2</v>
      </c>
      <c r="ED18">
        <v>0.1509747676611877</v>
      </c>
      <c r="EE18" s="11">
        <v>-1.0486</v>
      </c>
      <c r="EF18">
        <v>-1.0367</v>
      </c>
      <c r="EG18">
        <v>24.131751417091422</v>
      </c>
      <c r="EH18" t="s">
        <v>296</v>
      </c>
      <c r="EI18">
        <v>0</v>
      </c>
      <c r="EJ18">
        <v>0</v>
      </c>
      <c r="EK18" s="13">
        <v>45470</v>
      </c>
      <c r="EL18" s="14">
        <v>-2.81</v>
      </c>
      <c r="EM18" s="14">
        <v>-6.33</v>
      </c>
      <c r="EN18" s="14">
        <v>-1.27</v>
      </c>
      <c r="EO18" s="14">
        <v>4.2699999999999996</v>
      </c>
      <c r="EP18" s="14">
        <v>-1.19</v>
      </c>
    </row>
  </sheetData>
  <autoFilter ref="BU1:BU18"/>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橡胶制品&quot;,&quot;&quot;'" altText="更新基本面按钮_x000a_">
                <anchor moveWithCells="1" sizeWithCells="1">
                  <from>
                    <xdr:col>147</xdr:col>
                    <xdr:colOff>323850</xdr:colOff>
                    <xdr:row>0</xdr:row>
                    <xdr:rowOff>101600</xdr:rowOff>
                  </from>
                  <to>
                    <xdr:col>147</xdr:col>
                    <xdr:colOff>1511300</xdr:colOff>
                    <xdr:row>0</xdr:row>
                    <xdr:rowOff>412750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化工合成材料</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2024-07-09T16:35:56Z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