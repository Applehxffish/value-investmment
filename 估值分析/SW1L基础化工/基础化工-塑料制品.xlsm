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基础化工\"/>
    </mc:Choice>
  </mc:AlternateContent>
  <bookViews>
    <workbookView xWindow="0" yWindow="0" windowWidth="3800" windowHeight="2950"/>
  </bookViews>
  <sheets>
    <sheet name="化工合成材料" sheetId="15" r:id="rId1"/>
    <sheet name="估值-增速与年化收益" sheetId="14" r:id="rId2"/>
  </sheets>
  <functionGroups builtInGroupCount="18"/>
  <definedNames>
    <definedName name="_xlnm._FilterDatabase" localSheetId="0" hidden="1">化工合成材料!$BU$1:$BU$72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2" i="15"/>
  <c r="C49" i="15"/>
  <c r="C51" i="15"/>
  <c r="C71" i="15"/>
  <c r="C48" i="15"/>
  <c r="C64" i="15"/>
  <c r="C53" i="15"/>
  <c r="C23" i="15"/>
  <c r="C4" i="15"/>
  <c r="C15" i="15"/>
  <c r="C62" i="15"/>
  <c r="C38" i="15"/>
  <c r="C26" i="15"/>
  <c r="C5" i="15"/>
  <c r="C55" i="15"/>
  <c r="C27" i="15"/>
  <c r="C47" i="15"/>
  <c r="C35" i="15"/>
  <c r="C21" i="15"/>
  <c r="C11" i="15"/>
  <c r="C66" i="15"/>
  <c r="C39" i="15"/>
  <c r="C6" i="15"/>
  <c r="C50" i="15"/>
  <c r="C61" i="15"/>
  <c r="C45" i="15"/>
  <c r="C9" i="15"/>
  <c r="C60" i="15"/>
  <c r="C36" i="15"/>
  <c r="C22" i="15"/>
  <c r="C12" i="15"/>
  <c r="C3" i="15"/>
  <c r="C69" i="15"/>
  <c r="C46" i="15"/>
  <c r="C63" i="15"/>
  <c r="C59" i="15"/>
  <c r="C32" i="15"/>
  <c r="C19" i="15"/>
  <c r="C8" i="15"/>
  <c r="C52" i="15"/>
  <c r="C42" i="15"/>
  <c r="C30" i="15"/>
  <c r="C17" i="15"/>
  <c r="C43" i="15"/>
  <c r="C72" i="15"/>
  <c r="C57" i="15"/>
  <c r="C44" i="15"/>
  <c r="C33" i="15"/>
  <c r="C20" i="15"/>
  <c r="C65" i="15"/>
  <c r="C10" i="15"/>
  <c r="C70" i="15"/>
  <c r="C40" i="15"/>
  <c r="C28" i="15"/>
  <c r="C16" i="15"/>
  <c r="C7" i="15"/>
  <c r="C56" i="15"/>
  <c r="C18" i="15"/>
  <c r="C68" i="15"/>
  <c r="C14" i="15"/>
  <c r="C31" i="15"/>
  <c r="C67" i="15"/>
  <c r="C41" i="15"/>
  <c r="C29" i="15"/>
  <c r="C34" i="15"/>
  <c r="C37" i="15"/>
  <c r="C25" i="15"/>
  <c r="C54" i="15"/>
  <c r="C13" i="15"/>
  <c r="C58" i="15"/>
  <c r="C24" i="15"/>
</calcChain>
</file>

<file path=xl/sharedStrings.xml><?xml version="1.0" encoding="utf-8"?>
<sst xmlns="http://schemas.openxmlformats.org/spreadsheetml/2006/main" count="4070" uniqueCount="2757">
  <si>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</si>
  <si>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</si>
  <si>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</si>
  <si>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</si>
  <si>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</si>
  <si>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双象股份</t>
  </si>
  <si>
    <t>同益股份</t>
  </si>
  <si>
    <t>南京聚隆</t>
  </si>
  <si>
    <t>东材科技</t>
  </si>
  <si>
    <t>杭州高新</t>
  </si>
  <si>
    <t>安利股份</t>
  </si>
  <si>
    <t>沃特股份</t>
  </si>
  <si>
    <t>美联新材</t>
  </si>
  <si>
    <t>华峰超纤</t>
  </si>
  <si>
    <t>同大股份</t>
  </si>
  <si>
    <t>至正股份</t>
  </si>
  <si>
    <t>道恩股份</t>
  </si>
  <si>
    <t>艾艾精工</t>
  </si>
  <si>
    <t>佛塑科技</t>
  </si>
  <si>
    <t>华信新材</t>
  </si>
  <si>
    <t>纳尔股份</t>
  </si>
  <si>
    <t>裕兴股份</t>
  </si>
  <si>
    <t>东方盛虹</t>
  </si>
  <si>
    <t>沧州明珠</t>
  </si>
  <si>
    <t>国恩股份</t>
  </si>
  <si>
    <t>--</t>
  </si>
  <si>
    <t>金发科技</t>
  </si>
  <si>
    <t>永利股份</t>
  </si>
  <si>
    <t>银禧科技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</si>
  <si>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</si>
  <si>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</si>
  <si>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</si>
  <si>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</si>
  <si>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</si>
  <si>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</si>
  <si>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</si>
  <si>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</si>
  <si>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</si>
  <si>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</si>
  <si>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</si>
  <si>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</si>
  <si>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</si>
  <si>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</si>
  <si>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</si>
  <si>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SZ000301</t>
  </si>
  <si>
    <t>248.88亿</t>
  </si>
  <si>
    <t>16.14亿</t>
  </si>
  <si>
    <t>1.28亿</t>
  </si>
  <si>
    <t>1.19亿</t>
  </si>
  <si>
    <t>2.90亿</t>
  </si>
  <si>
    <t>1.63亿</t>
  </si>
  <si>
    <t>3.25亿</t>
  </si>
  <si>
    <t>0亿</t>
  </si>
  <si>
    <t>3.65亿</t>
  </si>
  <si>
    <t>1.10亿</t>
  </si>
  <si>
    <t>3.14亿</t>
  </si>
  <si>
    <t>3.27亿</t>
  </si>
  <si>
    <t>1.02亿</t>
  </si>
  <si>
    <t>2.54亿</t>
  </si>
  <si>
    <t>3.80亿</t>
  </si>
  <si>
    <t>5.16亿</t>
  </si>
  <si>
    <t>1.61亿</t>
  </si>
  <si>
    <t>5.23亿</t>
  </si>
  <si>
    <t>1.15亿</t>
  </si>
  <si>
    <t>3.79亿</t>
  </si>
  <si>
    <t>1.99亿</t>
  </si>
  <si>
    <t>23.91亿</t>
  </si>
  <si>
    <t>11.53亿</t>
  </si>
  <si>
    <t>6.97亿</t>
  </si>
  <si>
    <t>5.59亿</t>
  </si>
  <si>
    <t>3.07亿</t>
  </si>
  <si>
    <t>1.75亿</t>
  </si>
  <si>
    <t>1.36亿</t>
  </si>
  <si>
    <t>1.68亿</t>
  </si>
  <si>
    <t>1.85亿</t>
  </si>
  <si>
    <t>3.85亿</t>
  </si>
  <si>
    <t>1.22亿</t>
  </si>
  <si>
    <t>1.77亿</t>
  </si>
  <si>
    <t>10.96亿</t>
  </si>
  <si>
    <t>1.30亿</t>
  </si>
  <si>
    <t>15.09亿</t>
  </si>
  <si>
    <t>1.24亿</t>
  </si>
  <si>
    <t>3.18亿</t>
  </si>
  <si>
    <t>1.03亿</t>
  </si>
  <si>
    <t>-1.31亿</t>
  </si>
  <si>
    <t>1.35亿</t>
  </si>
  <si>
    <t>1.16亿</t>
  </si>
  <si>
    <t>16.07亿</t>
  </si>
  <si>
    <t>4.62亿</t>
  </si>
  <si>
    <t>1.06亿</t>
  </si>
  <si>
    <t>2.39亿</t>
  </si>
  <si>
    <t>1.67亿</t>
  </si>
  <si>
    <t>1.37亿</t>
  </si>
  <si>
    <t>2.83亿</t>
  </si>
  <si>
    <t>1.39亿</t>
  </si>
  <si>
    <t>2.98亿</t>
  </si>
  <si>
    <t>1.00亿</t>
  </si>
  <si>
    <t>4.11亿</t>
  </si>
  <si>
    <t>2.16亿</t>
  </si>
  <si>
    <t>1.59亿</t>
  </si>
  <si>
    <t>4.05亿</t>
  </si>
  <si>
    <t>1.66亿</t>
  </si>
  <si>
    <t>SZ000859</t>
  </si>
  <si>
    <t>13.61亿</t>
  </si>
  <si>
    <t>8392.69万</t>
  </si>
  <si>
    <t>2.70亿</t>
  </si>
  <si>
    <t>1.71亿</t>
  </si>
  <si>
    <t>SZ000973</t>
  </si>
  <si>
    <t>28.48亿</t>
  </si>
  <si>
    <t>4338.04万</t>
  </si>
  <si>
    <t>SZ002108</t>
  </si>
  <si>
    <t>29.96亿</t>
  </si>
  <si>
    <t>1.11亿</t>
  </si>
  <si>
    <t>SZ002263</t>
  </si>
  <si>
    <t>大东南</t>
  </si>
  <si>
    <t>3.01亿</t>
  </si>
  <si>
    <t>16.46亿</t>
  </si>
  <si>
    <t>6019.88万</t>
  </si>
  <si>
    <t>4.29亿</t>
  </si>
  <si>
    <t>SZ002395</t>
  </si>
  <si>
    <t>14.17亿</t>
  </si>
  <si>
    <t>3028.29万</t>
  </si>
  <si>
    <t>2.89亿</t>
  </si>
  <si>
    <t>3.02亿</t>
  </si>
  <si>
    <t>2.17亿</t>
  </si>
  <si>
    <t>1.49亿</t>
  </si>
  <si>
    <t>1.32亿</t>
  </si>
  <si>
    <t>SZ002825</t>
  </si>
  <si>
    <t>10.17亿</t>
  </si>
  <si>
    <t>4242.05万</t>
  </si>
  <si>
    <t>2.91亿</t>
  </si>
  <si>
    <t>1.09亿</t>
  </si>
  <si>
    <t>SZ300230</t>
  </si>
  <si>
    <t>32.63亿</t>
  </si>
  <si>
    <t>2.64亿</t>
  </si>
  <si>
    <t>1.07亿</t>
  </si>
  <si>
    <t>10.66亿</t>
  </si>
  <si>
    <t>1.45亿</t>
  </si>
  <si>
    <t>SZ300305</t>
  </si>
  <si>
    <t>2.71亿</t>
  </si>
  <si>
    <t>8.75亿</t>
  </si>
  <si>
    <t>9436.83万</t>
  </si>
  <si>
    <t>3.08亿</t>
  </si>
  <si>
    <t>4.69亿</t>
  </si>
  <si>
    <t>1.92亿</t>
  </si>
  <si>
    <t>SZ300478</t>
  </si>
  <si>
    <t>2.40亿</t>
  </si>
  <si>
    <t>-2.93亿</t>
  </si>
  <si>
    <t>2.19亿</t>
  </si>
  <si>
    <t>1.70亿</t>
  </si>
  <si>
    <t>SZ300539</t>
  </si>
  <si>
    <t>4.91亿</t>
  </si>
  <si>
    <t>5.57亿</t>
  </si>
  <si>
    <t>976.12万</t>
  </si>
  <si>
    <t>2.49亿</t>
  </si>
  <si>
    <t>2.20亿</t>
  </si>
  <si>
    <t>1.05亿</t>
  </si>
  <si>
    <t>SZ300586</t>
  </si>
  <si>
    <t>12.60亿</t>
  </si>
  <si>
    <t>9011.18万</t>
  </si>
  <si>
    <t>1.54亿</t>
  </si>
  <si>
    <t>1.31亿</t>
  </si>
  <si>
    <t>1.20亿</t>
  </si>
  <si>
    <t>SZ300717</t>
  </si>
  <si>
    <t>3.16亿</t>
  </si>
  <si>
    <t>5170.43万</t>
  </si>
  <si>
    <t>SH601208</t>
  </si>
  <si>
    <t>17.35亿</t>
  </si>
  <si>
    <t>7287.15万</t>
  </si>
  <si>
    <t>1.56亿</t>
  </si>
  <si>
    <t>2.47亿</t>
  </si>
  <si>
    <t>2.15亿</t>
  </si>
  <si>
    <t>1.65亿</t>
  </si>
  <si>
    <t>SH603580</t>
  </si>
  <si>
    <t>1.94亿</t>
  </si>
  <si>
    <t>3555.25万</t>
  </si>
  <si>
    <t>SH603991</t>
  </si>
  <si>
    <t>2.82亿</t>
  </si>
  <si>
    <t>-5705.42万</t>
  </si>
  <si>
    <t>1.43亿</t>
  </si>
  <si>
    <t>2.26亿</t>
  </si>
  <si>
    <t>SZ300180</t>
  </si>
  <si>
    <t>32.40亿</t>
  </si>
  <si>
    <t>1.58亿</t>
  </si>
  <si>
    <t>2.05亿</t>
  </si>
  <si>
    <t>3.06亿</t>
  </si>
  <si>
    <t>3.77亿</t>
  </si>
  <si>
    <t>SZ300218</t>
  </si>
  <si>
    <t>16.95亿</t>
  </si>
  <si>
    <t>7111.27万</t>
  </si>
  <si>
    <t>SZ300321</t>
  </si>
  <si>
    <t>4.56亿</t>
  </si>
  <si>
    <t>3946.31万</t>
  </si>
  <si>
    <t>1.88亿</t>
  </si>
  <si>
    <t>1.55亿</t>
  </si>
  <si>
    <t>SZ002768</t>
  </si>
  <si>
    <t>50.69亿</t>
  </si>
  <si>
    <t>3.96亿</t>
  </si>
  <si>
    <t>9.65亿</t>
  </si>
  <si>
    <t>3.00亿</t>
  </si>
  <si>
    <t>SZ002838</t>
  </si>
  <si>
    <t>27.35亿</t>
  </si>
  <si>
    <t>4.92亿</t>
  </si>
  <si>
    <t>SZ002886</t>
  </si>
  <si>
    <t>9.00亿</t>
  </si>
  <si>
    <t>4733.07万</t>
  </si>
  <si>
    <t>1.27亿</t>
  </si>
  <si>
    <t>SZ300221</t>
  </si>
  <si>
    <t>15.11亿</t>
  </si>
  <si>
    <t>1008.36万</t>
  </si>
  <si>
    <t>5.41亿</t>
  </si>
  <si>
    <t>1.51亿</t>
  </si>
  <si>
    <t>SZ300538</t>
  </si>
  <si>
    <t>17.87亿</t>
  </si>
  <si>
    <t>3941.66万</t>
  </si>
  <si>
    <t>1.64亿</t>
  </si>
  <si>
    <t>SZ300644</t>
  </si>
  <si>
    <t>9.53亿</t>
  </si>
  <si>
    <t>2927.30万</t>
  </si>
  <si>
    <t>1.95亿</t>
  </si>
  <si>
    <t>1.14亿</t>
  </si>
  <si>
    <t>SZ300716</t>
  </si>
  <si>
    <t>2595.74万</t>
  </si>
  <si>
    <t>SH600143</t>
  </si>
  <si>
    <t>292.86亿</t>
  </si>
  <si>
    <t>SH605008</t>
  </si>
  <si>
    <t>长鸿高科</t>
  </si>
  <si>
    <t>11.57亿</t>
  </si>
  <si>
    <t>1.76亿</t>
  </si>
  <si>
    <t>41.24亿</t>
  </si>
  <si>
    <t>1.21亿</t>
  </si>
  <si>
    <t>2.84亿</t>
  </si>
  <si>
    <t>2.43亿</t>
  </si>
  <si>
    <t>4.27亿</t>
  </si>
  <si>
    <t>1.40亿</t>
  </si>
  <si>
    <t>2.24亿</t>
  </si>
  <si>
    <t>1.04亿</t>
  </si>
  <si>
    <t>3.41亿</t>
  </si>
  <si>
    <t>3.24亿</t>
  </si>
  <si>
    <t>5.10亿</t>
  </si>
  <si>
    <t>1.52亿</t>
  </si>
  <si>
    <t>1.84亿</t>
  </si>
  <si>
    <t>1.17亿</t>
  </si>
  <si>
    <t>12.96亿</t>
  </si>
  <si>
    <t>1.96亿</t>
  </si>
  <si>
    <t>3.88亿</t>
  </si>
  <si>
    <t>2.14亿</t>
  </si>
  <si>
    <t>1.34亿</t>
  </si>
  <si>
    <t>1.25亿</t>
  </si>
  <si>
    <t>3.89亿</t>
  </si>
  <si>
    <t>1.90亿</t>
  </si>
  <si>
    <t>5.70亿</t>
  </si>
  <si>
    <t>2.69亿</t>
  </si>
  <si>
    <t>1.13亿</t>
  </si>
  <si>
    <t>5.04亿</t>
  </si>
  <si>
    <t>9.41亿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</si>
  <si>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</si>
  <si>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</si>
  <si>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</si>
  <si>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</si>
  <si>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</si>
  <si>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</si>
  <si>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</si>
  <si>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</si>
  <si>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</si>
  <si>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</si>
  <si>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</si>
  <si>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销售毛利率%[20201231]</t>
  </si>
  <si>
    <t>销售毛利率%[20191231]</t>
  </si>
  <si>
    <t>销售净利率%[20201231]</t>
  </si>
  <si>
    <t>销售净利率%[20191231]</t>
  </si>
  <si>
    <t>232.64亿</t>
  </si>
  <si>
    <t>1.47亿</t>
  </si>
  <si>
    <t>2.02亿</t>
  </si>
  <si>
    <t>13.02亿</t>
  </si>
  <si>
    <t>12.46亿</t>
  </si>
  <si>
    <t>6.80亿</t>
  </si>
  <si>
    <t>1.78亿</t>
  </si>
  <si>
    <t>1.53亿</t>
  </si>
  <si>
    <t>5.54亿</t>
  </si>
  <si>
    <t>4.86亿</t>
  </si>
  <si>
    <t>14.61亿</t>
  </si>
  <si>
    <t>4.64亿</t>
  </si>
  <si>
    <t>2.37亿</t>
  </si>
  <si>
    <t>14.81亿</t>
  </si>
  <si>
    <t>12.34亿</t>
  </si>
  <si>
    <t>11.73亿</t>
  </si>
  <si>
    <t>1.93亿</t>
  </si>
  <si>
    <t>1.57亿</t>
  </si>
  <si>
    <t>2.93亿</t>
  </si>
  <si>
    <t>3.21亿</t>
  </si>
  <si>
    <t>2.08亿</t>
  </si>
  <si>
    <t>1.38亿</t>
  </si>
  <si>
    <t>22.99亿</t>
  </si>
  <si>
    <t>7065.83万</t>
  </si>
  <si>
    <t>3.19亿</t>
  </si>
  <si>
    <t>1.46亿</t>
  </si>
  <si>
    <t>28.23亿</t>
  </si>
  <si>
    <t>3.67亿</t>
  </si>
  <si>
    <t>4.01亿</t>
  </si>
  <si>
    <t>27.62亿</t>
  </si>
  <si>
    <t>4.30亿</t>
  </si>
  <si>
    <t>33.25亿</t>
  </si>
  <si>
    <t>5.45亿</t>
  </si>
  <si>
    <t>3.11亿</t>
  </si>
  <si>
    <t>2.52亿</t>
  </si>
  <si>
    <t>5.67亿</t>
  </si>
  <si>
    <t>1.69亿</t>
  </si>
  <si>
    <t>1.08亿</t>
  </si>
  <si>
    <t>24.41亿</t>
  </si>
  <si>
    <t>1.72亿</t>
  </si>
  <si>
    <t>1.01亿</t>
  </si>
  <si>
    <t>14.68亿</t>
  </si>
  <si>
    <t>10.49亿</t>
  </si>
  <si>
    <t>4232.09万</t>
  </si>
  <si>
    <t>8.53亿</t>
  </si>
  <si>
    <t>2.78亿</t>
  </si>
  <si>
    <t>3.20亿</t>
  </si>
  <si>
    <t>13.58亿</t>
  </si>
  <si>
    <t>13.42亿</t>
  </si>
  <si>
    <t>4219.05万</t>
  </si>
  <si>
    <t>2.80亿</t>
  </si>
  <si>
    <t>13.96亿</t>
  </si>
  <si>
    <t>12.73亿</t>
  </si>
  <si>
    <t>2223.92万</t>
  </si>
  <si>
    <t>2.32亿</t>
  </si>
  <si>
    <t>24.60亿</t>
  </si>
  <si>
    <t>12.38亿</t>
  </si>
  <si>
    <t>1.33亿</t>
  </si>
  <si>
    <t>4.71亿</t>
  </si>
  <si>
    <t>2.92亿</t>
  </si>
  <si>
    <t>71.81亿</t>
  </si>
  <si>
    <t>7.31亿</t>
  </si>
  <si>
    <t>2.30亿</t>
  </si>
  <si>
    <t>37.24亿</t>
  </si>
  <si>
    <t>2.03亿</t>
  </si>
  <si>
    <t>12.54亿</t>
  </si>
  <si>
    <t>9579.87万</t>
  </si>
  <si>
    <t>3.32亿</t>
  </si>
  <si>
    <t>7.89亿</t>
  </si>
  <si>
    <t>6.43亿</t>
  </si>
  <si>
    <t>6198.67万</t>
  </si>
  <si>
    <t>44.22亿</t>
  </si>
  <si>
    <t>8.55亿</t>
  </si>
  <si>
    <t>1.82亿</t>
  </si>
  <si>
    <t>13.63亿</t>
  </si>
  <si>
    <t>9.34亿</t>
  </si>
  <si>
    <t>11.75亿</t>
  </si>
  <si>
    <t>6474.30万</t>
  </si>
  <si>
    <t>1.12亿</t>
  </si>
  <si>
    <t>8.08亿</t>
  </si>
  <si>
    <t>7.65亿</t>
  </si>
  <si>
    <t>6.31亿</t>
  </si>
  <si>
    <t>5.85亿</t>
  </si>
  <si>
    <t>3504.77万</t>
  </si>
  <si>
    <t>2.95亿</t>
  </si>
  <si>
    <t>13.64亿</t>
  </si>
  <si>
    <t>2.63亿</t>
  </si>
  <si>
    <t>7.32亿</t>
  </si>
  <si>
    <t>2.45亿</t>
  </si>
  <si>
    <t>32.19亿</t>
  </si>
  <si>
    <t>-4.84亿</t>
  </si>
  <si>
    <t>4.35亿</t>
  </si>
  <si>
    <t>30.65亿</t>
  </si>
  <si>
    <t>11.37亿</t>
  </si>
  <si>
    <t>15.47亿</t>
  </si>
  <si>
    <t>5045.52万</t>
  </si>
  <si>
    <t>16.79亿</t>
  </si>
  <si>
    <t>2304.16万</t>
  </si>
  <si>
    <t>16.41亿</t>
  </si>
  <si>
    <t>3.61亿</t>
  </si>
  <si>
    <t>1.60亿</t>
  </si>
  <si>
    <t>22.63亿</t>
  </si>
  <si>
    <t>-8.05亿</t>
  </si>
  <si>
    <t>32.09亿</t>
  </si>
  <si>
    <t>-5.45亿</t>
  </si>
  <si>
    <t>34.50亿</t>
  </si>
  <si>
    <t>2.41亿</t>
  </si>
  <si>
    <t>10.00亿</t>
  </si>
  <si>
    <t>7.38亿</t>
  </si>
  <si>
    <t>5.20亿</t>
  </si>
  <si>
    <t>7621.19万</t>
  </si>
  <si>
    <t>4.34亿</t>
  </si>
  <si>
    <t>8.77亿</t>
  </si>
  <si>
    <t>4.09亿</t>
  </si>
  <si>
    <t>2028.04万</t>
  </si>
  <si>
    <t>4.32亿</t>
  </si>
  <si>
    <t>2879.82万</t>
  </si>
  <si>
    <t>-1.89亿</t>
  </si>
  <si>
    <t>2117.95万</t>
  </si>
  <si>
    <t>22.17亿</t>
  </si>
  <si>
    <t>2234.93万</t>
  </si>
  <si>
    <t>10.10亿</t>
  </si>
  <si>
    <t>3042.68万</t>
  </si>
  <si>
    <t>5.78亿</t>
  </si>
  <si>
    <t>1451.22万</t>
  </si>
  <si>
    <t>1.29亿</t>
  </si>
  <si>
    <t>3.99亿</t>
  </si>
  <si>
    <t>1011.51万</t>
  </si>
  <si>
    <t>15.17亿</t>
  </si>
  <si>
    <t>4191.60万</t>
  </si>
  <si>
    <t>6.11亿</t>
  </si>
  <si>
    <t>5.84亿</t>
  </si>
  <si>
    <t>6329.59万</t>
  </si>
  <si>
    <t>6.86亿</t>
  </si>
  <si>
    <t>11.39亿</t>
  </si>
  <si>
    <t>6116.86万</t>
  </si>
  <si>
    <t>10.18亿</t>
  </si>
  <si>
    <t>2302.56万</t>
  </si>
  <si>
    <t>6.33亿</t>
  </si>
  <si>
    <t>19.27亿</t>
  </si>
  <si>
    <t>-3.17亿</t>
  </si>
  <si>
    <t>10.92亿</t>
  </si>
  <si>
    <t>5550.38万</t>
  </si>
  <si>
    <t>3627.02万</t>
  </si>
  <si>
    <t>2.28亿</t>
  </si>
  <si>
    <t>4668.38万</t>
  </si>
  <si>
    <t>1.98亿</t>
  </si>
  <si>
    <t>5.80亿</t>
  </si>
  <si>
    <t>3.70亿</t>
  </si>
  <si>
    <t>3.05亿</t>
  </si>
  <si>
    <t>1.18亿</t>
  </si>
  <si>
    <t>SZ300920</t>
  </si>
  <si>
    <t>润阳科技</t>
  </si>
  <si>
    <t>8723.54万</t>
  </si>
  <si>
    <t>SZ300980</t>
  </si>
  <si>
    <t>祥源新材</t>
  </si>
  <si>
    <t>3.28亿</t>
  </si>
  <si>
    <t>3.17亿</t>
  </si>
  <si>
    <t>7493.29万</t>
  </si>
  <si>
    <t>5544.33万</t>
  </si>
  <si>
    <t>3485.49万</t>
  </si>
  <si>
    <t>SZ300995</t>
  </si>
  <si>
    <t>奇德新材</t>
  </si>
  <si>
    <t>8404.71万</t>
  </si>
  <si>
    <t>2.46亿</t>
  </si>
  <si>
    <t>5122.68万</t>
  </si>
  <si>
    <t>3693.53万</t>
  </si>
  <si>
    <t>47.06亿</t>
  </si>
  <si>
    <t>350.61亿</t>
  </si>
  <si>
    <t>2.48亿</t>
  </si>
  <si>
    <t>253.17亿</t>
  </si>
  <si>
    <t>5.03亿</t>
  </si>
  <si>
    <t>2.01亿</t>
  </si>
  <si>
    <t>3.50亿</t>
  </si>
  <si>
    <t>3.66亿</t>
  </si>
  <si>
    <t>18.81亿</t>
  </si>
  <si>
    <t>16.45亿</t>
  </si>
  <si>
    <t>16.74亿</t>
  </si>
  <si>
    <t>3215.43万</t>
  </si>
  <si>
    <t>17.33亿</t>
  </si>
  <si>
    <t>3.72亿</t>
  </si>
  <si>
    <t>13.53亿</t>
  </si>
  <si>
    <t>1.91亿</t>
  </si>
  <si>
    <t>13.49亿</t>
  </si>
  <si>
    <t>12.07亿</t>
  </si>
  <si>
    <t>3056.51万</t>
  </si>
  <si>
    <t>3579.93万</t>
  </si>
  <si>
    <t>12.90亿</t>
  </si>
  <si>
    <t>-4807.96万</t>
  </si>
  <si>
    <t>3420.90万</t>
  </si>
  <si>
    <t>12.97亿</t>
  </si>
  <si>
    <t>1.73亿</t>
  </si>
  <si>
    <t>10.21亿</t>
  </si>
  <si>
    <t>1.81亿</t>
  </si>
  <si>
    <t>3.82亿</t>
  </si>
  <si>
    <t>SH605488</t>
  </si>
  <si>
    <t>12.69亿</t>
  </si>
  <si>
    <t>12.12亿</t>
  </si>
  <si>
    <t>7385.07万</t>
  </si>
  <si>
    <t>SH688219</t>
  </si>
  <si>
    <t>会通股份</t>
  </si>
  <si>
    <t>40.31亿</t>
  </si>
  <si>
    <t>18.86亿</t>
  </si>
  <si>
    <t>4060.67万</t>
  </si>
  <si>
    <t>SH688323</t>
  </si>
  <si>
    <t>瑞华泰</t>
  </si>
  <si>
    <t>5853.67万</t>
  </si>
  <si>
    <t>3.13亿</t>
  </si>
  <si>
    <t>3427.18万</t>
  </si>
  <si>
    <t>3661.86万</t>
  </si>
  <si>
    <t>SH688669</t>
  </si>
  <si>
    <t>聚石化学</t>
  </si>
  <si>
    <t>19.24亿</t>
  </si>
  <si>
    <t>14.74亿</t>
  </si>
  <si>
    <t>10.69亿</t>
  </si>
  <si>
    <t>9902.02万</t>
  </si>
  <si>
    <t>4386.41万</t>
  </si>
  <si>
    <t>2.76亿</t>
  </si>
  <si>
    <t>1.80亿</t>
  </si>
  <si>
    <t>横河精密</t>
  </si>
  <si>
    <t>SZ301003</t>
  </si>
  <si>
    <t>江苏博云</t>
  </si>
  <si>
    <t>4.55亿</t>
  </si>
  <si>
    <t>3.86亿</t>
  </si>
  <si>
    <t>7719.45万</t>
  </si>
  <si>
    <t>4424.72万</t>
  </si>
  <si>
    <t>SZ301019</t>
  </si>
  <si>
    <t>宁波色母</t>
  </si>
  <si>
    <t>3.87亿</t>
  </si>
  <si>
    <t>7931.39万</t>
  </si>
  <si>
    <t>5109.87万</t>
  </si>
  <si>
    <t>SH688087</t>
  </si>
  <si>
    <t>英科再生</t>
  </si>
  <si>
    <t>16.99亿</t>
  </si>
  <si>
    <t>2.75亿</t>
  </si>
  <si>
    <t>9520.05万</t>
  </si>
  <si>
    <t>8754.42万</t>
  </si>
  <si>
    <t>12.13亿</t>
  </si>
  <si>
    <t>4.38亿</t>
  </si>
  <si>
    <t>6.41亿</t>
  </si>
  <si>
    <t>6.64亿</t>
  </si>
  <si>
    <t>18.58亿</t>
  </si>
  <si>
    <t>6.88亿</t>
  </si>
  <si>
    <t>4.94亿</t>
  </si>
  <si>
    <t>2.09亿</t>
  </si>
  <si>
    <t>6.59亿</t>
  </si>
  <si>
    <t>改性塑料</t>
  </si>
  <si>
    <t>SZ002341</t>
  </si>
  <si>
    <t>22.47亿</t>
  </si>
  <si>
    <t>-12.90亿</t>
  </si>
  <si>
    <t>33.22亿</t>
  </si>
  <si>
    <t>31.51亿</t>
  </si>
  <si>
    <t>988.08万</t>
  </si>
  <si>
    <t>SZ002361</t>
  </si>
  <si>
    <t>神剑股份</t>
  </si>
  <si>
    <t>18.69亿</t>
  </si>
  <si>
    <t>8372.32万</t>
  </si>
  <si>
    <t>20.79亿</t>
  </si>
  <si>
    <t>19.38亿</t>
  </si>
  <si>
    <t>7732.76万</t>
  </si>
  <si>
    <t>2.87亿</t>
  </si>
  <si>
    <t>6.40亿</t>
  </si>
  <si>
    <t>4.31亿</t>
  </si>
  <si>
    <t>14.45亿</t>
  </si>
  <si>
    <t>SZ002522</t>
  </si>
  <si>
    <t>浙江众成</t>
  </si>
  <si>
    <t>14.49亿</t>
  </si>
  <si>
    <t>6416.17万</t>
  </si>
  <si>
    <t>3591.60万</t>
  </si>
  <si>
    <t>SZ002585</t>
  </si>
  <si>
    <t>双星新材</t>
  </si>
  <si>
    <t>50.61亿</t>
  </si>
  <si>
    <t>7.21亿</t>
  </si>
  <si>
    <t>14.02亿</t>
  </si>
  <si>
    <t>44.72亿</t>
  </si>
  <si>
    <t>38.58亿</t>
  </si>
  <si>
    <t>SZ002632</t>
  </si>
  <si>
    <t>道明光学</t>
  </si>
  <si>
    <t>12.66亿</t>
  </si>
  <si>
    <t>13.92亿</t>
  </si>
  <si>
    <t>11.97亿</t>
  </si>
  <si>
    <t>3.23亿</t>
  </si>
  <si>
    <t>2.51亿</t>
  </si>
  <si>
    <t>4.73亿</t>
  </si>
  <si>
    <t>SZ300243</t>
  </si>
  <si>
    <t>瑞丰高材</t>
  </si>
  <si>
    <t>8535.40万</t>
  </si>
  <si>
    <t>7452.54万</t>
  </si>
  <si>
    <t>9018.83万</t>
  </si>
  <si>
    <t>3.98亿</t>
  </si>
  <si>
    <t>9.99亿</t>
  </si>
  <si>
    <t>19.72亿</t>
  </si>
  <si>
    <t>SZ300334</t>
  </si>
  <si>
    <t>津膜科技</t>
  </si>
  <si>
    <t>-8747.22万</t>
  </si>
  <si>
    <t>-8.33亿</t>
  </si>
  <si>
    <t>1185.74万</t>
  </si>
  <si>
    <t>SZ300487</t>
  </si>
  <si>
    <t>蓝晓科技</t>
  </si>
  <si>
    <t>9.23亿</t>
  </si>
  <si>
    <t>1.41亿</t>
  </si>
  <si>
    <t>6.56亿</t>
  </si>
  <si>
    <t>10.12亿</t>
  </si>
  <si>
    <t>6.32亿</t>
  </si>
  <si>
    <t>6.08亿</t>
  </si>
  <si>
    <t>3.94亿</t>
  </si>
  <si>
    <t>SZ300806</t>
  </si>
  <si>
    <t>斯迪克</t>
  </si>
  <si>
    <t>15.39亿</t>
  </si>
  <si>
    <t>14.33亿</t>
  </si>
  <si>
    <t>13.46亿</t>
  </si>
  <si>
    <t>12.89亿</t>
  </si>
  <si>
    <t>9.79亿</t>
  </si>
  <si>
    <t>7655.01万</t>
  </si>
  <si>
    <t>SZ301092</t>
  </si>
  <si>
    <t>争光股份</t>
  </si>
  <si>
    <t>7048.66万</t>
  </si>
  <si>
    <t>5190.73万</t>
  </si>
  <si>
    <t>SH600135</t>
  </si>
  <si>
    <t>乐凯胶片</t>
  </si>
  <si>
    <t>20.54亿</t>
  </si>
  <si>
    <t>21.36亿</t>
  </si>
  <si>
    <t>22.61亿</t>
  </si>
  <si>
    <t>2.21亿</t>
  </si>
  <si>
    <t>SH603330</t>
  </si>
  <si>
    <t>6.99亿</t>
  </si>
  <si>
    <t>5178.84万</t>
  </si>
  <si>
    <t>5.61亿</t>
  </si>
  <si>
    <t>1431.30万</t>
  </si>
  <si>
    <t>3517.49万</t>
  </si>
  <si>
    <t>20.46亿</t>
  </si>
  <si>
    <t>19.01亿</t>
  </si>
  <si>
    <t>3.58亿</t>
  </si>
  <si>
    <t>SH603879</t>
  </si>
  <si>
    <t>4.06亿</t>
  </si>
  <si>
    <t>625.14万</t>
  </si>
  <si>
    <t>5.36亿</t>
  </si>
  <si>
    <t>2439.04万</t>
  </si>
  <si>
    <t>3741.52万</t>
  </si>
  <si>
    <t>SH603928</t>
  </si>
  <si>
    <t>兴业股份</t>
  </si>
  <si>
    <t>15.03亿</t>
  </si>
  <si>
    <t>4.15亿</t>
  </si>
  <si>
    <t>13.32亿</t>
  </si>
  <si>
    <t>SH605589</t>
  </si>
  <si>
    <t>圣泉集团</t>
  </si>
  <si>
    <t>83.19亿</t>
  </si>
  <si>
    <t>58.82亿</t>
  </si>
  <si>
    <t>61.89亿</t>
  </si>
  <si>
    <t>SH688386</t>
  </si>
  <si>
    <t>泛亚微透</t>
  </si>
  <si>
    <t>5527.13万</t>
  </si>
  <si>
    <t>4373.73万</t>
  </si>
  <si>
    <t>3058.89万</t>
  </si>
  <si>
    <t>SH688585</t>
  </si>
  <si>
    <t>上纬新材</t>
  </si>
  <si>
    <t>19.46亿</t>
  </si>
  <si>
    <t>7826.80万</t>
  </si>
  <si>
    <t>2437.59万</t>
  </si>
  <si>
    <t>13.65亿</t>
  </si>
  <si>
    <t>SH688718</t>
  </si>
  <si>
    <t>唯赛勃</t>
  </si>
  <si>
    <t>4675.85万</t>
  </si>
  <si>
    <t>6630.44万</t>
  </si>
  <si>
    <t>5440.48万</t>
  </si>
  <si>
    <t>1.客户集中度较高风险（top5, 71%);2.现有产能1亿方，需观察ipo新增的1亿方的销售情况，如果能满销，才能营收翻倍</t>
    <phoneticPr fontId="1" type="noConversion"/>
  </si>
  <si>
    <t>1.公司拟投资11.05亿元建设30万吨高性能复合材料项目，投资0.85亿元建设研发中心项目，其中30万吨高性能复合材料项目建设周期为3年。2.公司公告拟以货币出资不超过1.22亿元与芜湖润安兴、朗润资产及其他非关联投资方共同投资设立合资公司；3.截至 2020 年末，公司在国内拥有 46 项发明专利和 38 项实用新型专利，对核心技术进行了有效的保护</t>
    <phoneticPr fontId="1" type="noConversion"/>
  </si>
  <si>
    <t>流通股本</t>
  </si>
  <si>
    <t>净利润[20201231]</t>
  </si>
  <si>
    <t>投入资本回报率roic%[20201231]</t>
  </si>
  <si>
    <t>净资产收益率%[20201231]</t>
  </si>
  <si>
    <t>336.99亿</t>
  </si>
  <si>
    <t>7.67亿</t>
  </si>
  <si>
    <t>10.68亿</t>
  </si>
  <si>
    <t>2.10亿</t>
  </si>
  <si>
    <t>国风新材</t>
  </si>
  <si>
    <t>19.10亿</t>
  </si>
  <si>
    <t>24.57亿</t>
  </si>
  <si>
    <t>14.47亿</t>
  </si>
  <si>
    <t>28.89亿</t>
  </si>
  <si>
    <t>13.11亿</t>
  </si>
  <si>
    <t>-12.68亿</t>
  </si>
  <si>
    <t>25.91亿</t>
  </si>
  <si>
    <t>8431.19万</t>
  </si>
  <si>
    <t>14.70亿</t>
  </si>
  <si>
    <t>5048.43万</t>
  </si>
  <si>
    <t>17.96亿</t>
  </si>
  <si>
    <t>59.31亿</t>
  </si>
  <si>
    <t>13.85亿</t>
  </si>
  <si>
    <t>12.84亿</t>
  </si>
  <si>
    <t>5494.34万</t>
  </si>
  <si>
    <t>97.66亿</t>
  </si>
  <si>
    <t>17.59亿</t>
  </si>
  <si>
    <t>6165.71万</t>
  </si>
  <si>
    <t>42.61亿</t>
  </si>
  <si>
    <t>15.40亿</t>
  </si>
  <si>
    <t>6321.53万</t>
  </si>
  <si>
    <t>41.42亿</t>
  </si>
  <si>
    <t>6269.69万</t>
  </si>
  <si>
    <t>4.51亿</t>
  </si>
  <si>
    <t>3.74亿</t>
  </si>
  <si>
    <t>22.53亿</t>
  </si>
  <si>
    <t>7345.51万</t>
  </si>
  <si>
    <t>32.13亿</t>
  </si>
  <si>
    <t>9286.85万</t>
  </si>
  <si>
    <t>4.00亿</t>
  </si>
  <si>
    <t>317.27万</t>
  </si>
  <si>
    <t>2829.57万</t>
  </si>
  <si>
    <t>6.20亿</t>
  </si>
  <si>
    <t>1481.28万</t>
  </si>
  <si>
    <t>11.95亿</t>
  </si>
  <si>
    <t>29.18亿</t>
  </si>
  <si>
    <t>-2638.04万</t>
  </si>
  <si>
    <t>6.96亿</t>
  </si>
  <si>
    <t>2205.50万</t>
  </si>
  <si>
    <t>6328.25万</t>
  </si>
  <si>
    <t>16.59亿</t>
  </si>
  <si>
    <t>3178.37万</t>
  </si>
  <si>
    <t>19.02亿</t>
  </si>
  <si>
    <t>-2.42亿</t>
  </si>
  <si>
    <t>2096.54万</t>
  </si>
  <si>
    <t>6.70亿</t>
  </si>
  <si>
    <t>19.84亿</t>
  </si>
  <si>
    <t>2.88亿</t>
  </si>
  <si>
    <t>SZ300834</t>
  </si>
  <si>
    <t>星辉环材</t>
  </si>
  <si>
    <t>19.76亿</t>
  </si>
  <si>
    <t>12.15亿</t>
  </si>
  <si>
    <t>4904.99万</t>
  </si>
  <si>
    <t>5.02亿</t>
  </si>
  <si>
    <t>9006.99万</t>
  </si>
  <si>
    <t>8773.63万</t>
  </si>
  <si>
    <t>3233.05万</t>
  </si>
  <si>
    <t>7.02亿</t>
  </si>
  <si>
    <t>7367.33万</t>
  </si>
  <si>
    <t>11.08亿</t>
  </si>
  <si>
    <t>SZ301131</t>
  </si>
  <si>
    <t>聚赛龙</t>
  </si>
  <si>
    <t>13.03亿</t>
  </si>
  <si>
    <t>6416.92万</t>
  </si>
  <si>
    <t>8.68亿</t>
  </si>
  <si>
    <t>7697.58万</t>
  </si>
  <si>
    <t>4752.61万</t>
  </si>
  <si>
    <t>2784.15万</t>
  </si>
  <si>
    <t>SZ301196</t>
  </si>
  <si>
    <t>唯科科技</t>
  </si>
  <si>
    <t>11.59亿</t>
  </si>
  <si>
    <t>9.11亿</t>
  </si>
  <si>
    <t>9522.56万</t>
  </si>
  <si>
    <t>3477.70万</t>
  </si>
  <si>
    <t>SZ301237</t>
  </si>
  <si>
    <t>和顺科技</t>
  </si>
  <si>
    <t>7417.44万</t>
  </si>
  <si>
    <t>3585.84万</t>
  </si>
  <si>
    <t>2231.91万</t>
  </si>
  <si>
    <t>9.82亿</t>
  </si>
  <si>
    <t>22.35亿</t>
  </si>
  <si>
    <t>4.47亿</t>
  </si>
  <si>
    <t>3407.30万</t>
  </si>
  <si>
    <t>642.81万</t>
  </si>
  <si>
    <t>-5342.93万</t>
  </si>
  <si>
    <t>福莱新材</t>
  </si>
  <si>
    <t>17.15亿</t>
  </si>
  <si>
    <t>88.25亿</t>
  </si>
  <si>
    <t>19.90亿</t>
  </si>
  <si>
    <t>49.01亿</t>
  </si>
  <si>
    <t>5405.06万</t>
  </si>
  <si>
    <t>2.31亿</t>
  </si>
  <si>
    <t>5605.04万</t>
  </si>
  <si>
    <t>6639.82万</t>
  </si>
  <si>
    <t>20.73亿</t>
  </si>
  <si>
    <t>1257.71万</t>
  </si>
  <si>
    <t>25.42亿</t>
  </si>
  <si>
    <t>8307.58万</t>
  </si>
  <si>
    <t>5047.90万</t>
  </si>
  <si>
    <t xml:space="preserve">    名称</t>
  </si>
  <si>
    <t>净利润?</t>
  </si>
  <si>
    <t>研发费用总额[20220630]</t>
  </si>
  <si>
    <t>扣非净利润</t>
  </si>
  <si>
    <t>营业总收入[20201231]</t>
  </si>
  <si>
    <t>投入资本回报率roic%[20211231]</t>
  </si>
  <si>
    <t>净资产收益率%[20211231]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</si>
  <si>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</si>
  <si>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</si>
  <si>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</si>
  <si>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</si>
  <si>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</si>
  <si>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</si>
  <si>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</si>
  <si>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</si>
  <si>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</si>
  <si>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</si>
  <si>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</si>
  <si>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</si>
  <si>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</si>
  <si>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</si>
  <si>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</si>
  <si>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8.37亿</t>
  </si>
  <si>
    <t>亏损</t>
  </si>
  <si>
    <t>扭亏</t>
  </si>
  <si>
    <t>-1-1</t>
  </si>
  <si>
    <t>2.53亿</t>
  </si>
  <si>
    <t>-1-0</t>
  </si>
  <si>
    <t>SZ000920</t>
  </si>
  <si>
    <t>沃顿科技</t>
  </si>
  <si>
    <t>13.81亿</t>
  </si>
  <si>
    <t>11.05亿</t>
  </si>
  <si>
    <t>9232.00万</t>
  </si>
  <si>
    <t>8803.07万</t>
  </si>
  <si>
    <t>13.93亿</t>
  </si>
  <si>
    <t>4.40亿</t>
  </si>
  <si>
    <t/>
  </si>
  <si>
    <t>3.78亿</t>
  </si>
  <si>
    <t>5.07亿</t>
  </si>
  <si>
    <t>6.78亿</t>
  </si>
  <si>
    <t>3.43亿</t>
  </si>
  <si>
    <t>1.79亿</t>
  </si>
  <si>
    <t>3.64亿</t>
  </si>
  <si>
    <t>SH688203</t>
  </si>
  <si>
    <t>海正生材</t>
  </si>
  <si>
    <t>3527.48万</t>
  </si>
  <si>
    <t>3037.77万</t>
  </si>
  <si>
    <t>1005.98万</t>
  </si>
  <si>
    <t>870.72万</t>
  </si>
  <si>
    <t>开始亏损</t>
  </si>
  <si>
    <t>LY营业总收入[20211231]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</si>
  <si>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</si>
  <si>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</si>
  <si>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</si>
  <si>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</si>
  <si>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</si>
  <si>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</si>
  <si>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细分行业</t>
  </si>
  <si>
    <t>市销率</t>
    <phoneticPr fontId="1" type="noConversion"/>
  </si>
  <si>
    <t>价格右侧初期策略</t>
    <phoneticPr fontId="1" type="noConversion"/>
  </si>
  <si>
    <t>N-2</t>
    <phoneticPr fontId="1" type="noConversion"/>
  </si>
  <si>
    <t>6.25亿</t>
  </si>
  <si>
    <t>膜材料</t>
  </si>
  <si>
    <t>5.26亿</t>
  </si>
  <si>
    <t>3.93亿</t>
  </si>
  <si>
    <t>6.76亿</t>
  </si>
  <si>
    <t>其他塑料制品</t>
  </si>
  <si>
    <t>7.53亿</t>
  </si>
  <si>
    <t>1.83亿</t>
  </si>
  <si>
    <t>合成树脂</t>
  </si>
  <si>
    <t>3.30亿</t>
  </si>
  <si>
    <t>16.18亿</t>
  </si>
  <si>
    <t>5.17亿</t>
  </si>
  <si>
    <t>2.42亿</t>
  </si>
  <si>
    <t>3.52亿</t>
  </si>
  <si>
    <t>16.38亿</t>
  </si>
  <si>
    <t>12.87亿</t>
  </si>
  <si>
    <t>1.42亿</t>
  </si>
  <si>
    <t>2.36亿</t>
  </si>
  <si>
    <t>2.73亿</t>
  </si>
  <si>
    <t>3.54亿</t>
  </si>
  <si>
    <t>2.97亿</t>
  </si>
  <si>
    <t>20.33亿</t>
  </si>
  <si>
    <t>3.12亿</t>
  </si>
  <si>
    <t>5.09亿</t>
  </si>
  <si>
    <t>3.03亿</t>
  </si>
  <si>
    <t>2.74亿</t>
  </si>
  <si>
    <t>7.90亿</t>
  </si>
  <si>
    <r>
      <t>1.公司子公司营创三征有30万吨</t>
    </r>
    <r>
      <rPr>
        <sz val="9"/>
        <color rgb="FFFF0000"/>
        <rFont val="宋体"/>
        <family val="3"/>
        <charset val="134"/>
        <scheme val="minor"/>
      </rPr>
      <t>氰化钠</t>
    </r>
    <r>
      <rPr>
        <sz val="9"/>
        <color theme="1"/>
        <rFont val="宋体"/>
        <family val="2"/>
        <charset val="134"/>
        <scheme val="minor"/>
      </rPr>
      <t>产能。同时公司与七彩化学共同投资25亿元人民币，建设年产18万吨电池级普鲁士蓝（白）产业化项目，致力于钠离子电池正极材料普鲁士蓝（白）系列产品的研究开发及产业化，助推</t>
    </r>
    <r>
      <rPr>
        <sz val="9"/>
        <color rgb="FFFF0000"/>
        <rFont val="宋体"/>
        <family val="3"/>
        <charset val="134"/>
        <scheme val="minor"/>
      </rPr>
      <t>钠离子电池</t>
    </r>
    <r>
      <rPr>
        <sz val="9"/>
        <color theme="1"/>
        <rFont val="宋体"/>
        <family val="2"/>
        <charset val="134"/>
        <scheme val="minor"/>
      </rPr>
      <t>产业发展</t>
    </r>
    <phoneticPr fontId="1" type="noConversion"/>
  </si>
  <si>
    <t>18.63亿</t>
  </si>
  <si>
    <t>14.48亿</t>
  </si>
  <si>
    <t>14.77亿</t>
  </si>
  <si>
    <t>2.44亿</t>
  </si>
  <si>
    <t>11.52亿</t>
  </si>
  <si>
    <t>SZ001255</t>
  </si>
  <si>
    <t>博菲电气</t>
  </si>
  <si>
    <t>7601.01万</t>
  </si>
  <si>
    <t>2.27亿</t>
  </si>
  <si>
    <t>3.26亿</t>
  </si>
  <si>
    <t>8724.73万</t>
  </si>
  <si>
    <t>3665.60万</t>
  </si>
  <si>
    <t>1866.13万</t>
  </si>
  <si>
    <t>6.00亿</t>
  </si>
  <si>
    <t>-1.85亿</t>
  </si>
  <si>
    <t>2.12亿</t>
  </si>
  <si>
    <t>9.27亿</t>
  </si>
  <si>
    <t>12.56亿</t>
  </si>
  <si>
    <t>10.67亿</t>
  </si>
  <si>
    <t>2.06亿</t>
  </si>
  <si>
    <t>11.13亿</t>
  </si>
  <si>
    <t>2.96亿</t>
  </si>
  <si>
    <t>12.94亿</t>
  </si>
  <si>
    <t>3.47亿</t>
  </si>
  <si>
    <t>2.99亿</t>
  </si>
  <si>
    <t>5.51亿</t>
  </si>
  <si>
    <t>-1.16亿</t>
  </si>
  <si>
    <t>3.62亿</t>
  </si>
  <si>
    <t>11.82亿</t>
  </si>
  <si>
    <t>16.64亿</t>
  </si>
  <si>
    <t>4.82亿</t>
  </si>
  <si>
    <t>4.65亿</t>
  </si>
  <si>
    <t>3.92亿</t>
  </si>
  <si>
    <t>5.99亿</t>
  </si>
  <si>
    <t>12.51亿</t>
  </si>
  <si>
    <t>3.29亿</t>
  </si>
  <si>
    <t>4.39亿</t>
  </si>
  <si>
    <t>10.34亿</t>
  </si>
  <si>
    <t>2.65亿</t>
  </si>
  <si>
    <t>3.04亿</t>
  </si>
  <si>
    <t>3.37亿</t>
  </si>
  <si>
    <t>9.62亿</t>
  </si>
  <si>
    <t>-1.53亿</t>
  </si>
  <si>
    <t>4.79亿</t>
  </si>
  <si>
    <t>天洋新材</t>
  </si>
  <si>
    <t>10.07亿</t>
  </si>
  <si>
    <t>7.86亿</t>
  </si>
  <si>
    <t>2.18亿</t>
  </si>
  <si>
    <t>2.59亿</t>
  </si>
  <si>
    <t>9.83亿</t>
  </si>
  <si>
    <t>13.33亿</t>
  </si>
  <si>
    <t>5.64亿</t>
  </si>
  <si>
    <t>6.62亿</t>
  </si>
  <si>
    <t>-1.98亿</t>
  </si>
  <si>
    <t>6.68亿</t>
  </si>
  <si>
    <t>13.59亿</t>
  </si>
  <si>
    <t xml:space="preserve">1. IPO募资&amp;越南项目突破产能瓶颈，预计未来三年业绩高增长；2.拟使用5,565.94 万元募集资金元在浙江省湖州市长兴县吕山乡新建研发中心、购置研发设备和软件以及招聘和培训研发人员等；3.有研报预计2021年营收增38.7%达到6.02亿;4.IXPE是泡沫塑料中的一种新型高分子泡沫塑料材料，无毒环保，综合性能优异，有望在多个应用领域对传统泡沫塑料实现逐步替代：建材地板，汽车内饰，母婴（爬行垫）。PE交联技术主要分为物理交联（辐照交联）以及化学交联两种，其中润阳科技使用的是辐照交联中的电子辐照交联法。相较于化学交联，电子辐照交联更加绿色环保。
润阳科技生产的静音垫是PVC塑料地板中的一层，业绩方面受益下游PVC塑料地板市场的快速发展
</t>
    <phoneticPr fontId="1" type="noConversion"/>
  </si>
  <si>
    <r>
      <t xml:space="preserve">1.批量生产 0.06mm厚度的 IXPE 及 IXPP；2. 本次扩产项目新增电子辐照交联聚烯烃发泡材料 </t>
    </r>
    <r>
      <rPr>
        <b/>
        <sz val="9"/>
        <color rgb="FFFF0000"/>
        <rFont val="宋体"/>
        <family val="3"/>
        <charset val="134"/>
        <scheme val="minor"/>
      </rPr>
      <t>1.1 亿平方米</t>
    </r>
    <r>
      <rPr>
        <sz val="9"/>
        <color theme="1"/>
        <rFont val="宋体"/>
        <family val="3"/>
        <charset val="134"/>
        <scheme val="minor"/>
      </rPr>
      <t xml:space="preserve">，显著扩大了IXPE 和 IXPP 的生产规模，有助于扩大公司产品的市场份额，提升综合竞争力，进而增加营收规模;2.下游领域结构：建筑装饰材料、消费电子产品、汽车内饰材料、电器产品及医疗器械等产品;
</t>
    </r>
    <phoneticPr fontId="1" type="noConversion"/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</si>
  <si>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</si>
  <si>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</si>
  <si>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</si>
  <si>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</si>
  <si>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</si>
  <si>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</si>
  <si>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</si>
  <si>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</si>
  <si>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</si>
  <si>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</si>
  <si>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</si>
  <si>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</si>
  <si>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</si>
  <si>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</si>
  <si>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</si>
  <si>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</si>
  <si>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</si>
  <si>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</si>
  <si>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</si>
  <si>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</si>
  <si>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</si>
  <si>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</si>
  <si>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</si>
  <si>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</si>
  <si>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</si>
  <si>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</si>
  <si>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</si>
  <si>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</si>
  <si>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</si>
  <si>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</si>
  <si>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</si>
  <si>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</si>
  <si>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过往营收增速均值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</si>
  <si>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</si>
  <si>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</si>
  <si>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</si>
  <si>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6年自由现金流折现</t>
    <phoneticPr fontId="1" type="noConversion"/>
  </si>
  <si>
    <t>6增速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</si>
  <si>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</si>
  <si>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</si>
  <si>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</si>
  <si>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</si>
  <si>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</si>
  <si>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</si>
  <si>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</si>
  <si>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量价齐升策略</t>
    <phoneticPr fontId="1" type="noConversion"/>
  </si>
  <si>
    <t>综合策略</t>
    <phoneticPr fontId="1" type="noConversion"/>
  </si>
  <si>
    <t>机会区域号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</si>
  <si>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</si>
  <si>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</si>
  <si>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</si>
  <si>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</si>
  <si>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N-1</t>
    <phoneticPr fontId="1" type="noConversion"/>
  </si>
  <si>
    <t>N</t>
    <phoneticPr fontId="1" type="noConversion"/>
  </si>
  <si>
    <t>扣非对比净利润</t>
    <phoneticPr fontId="1" type="noConversion"/>
  </si>
  <si>
    <t>股利率</t>
    <phoneticPr fontId="1" type="noConversion"/>
  </si>
  <si>
    <t>过往利润增速均值</t>
    <phoneticPr fontId="1" type="noConversion"/>
  </si>
  <si>
    <t>3年自由现金流折现</t>
    <phoneticPr fontId="1" type="noConversion"/>
  </si>
  <si>
    <t>3增速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</si>
  <si>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</si>
  <si>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</si>
  <si>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</si>
  <si>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</si>
  <si>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策略1利润单季最佳增速</t>
    <phoneticPr fontId="1" type="noConversion"/>
  </si>
  <si>
    <t>成交量综合策略</t>
    <phoneticPr fontId="1" type="noConversion"/>
  </si>
  <si>
    <t>基本面排序</t>
    <phoneticPr fontId="1" type="noConversion"/>
  </si>
  <si>
    <t>5日成交换手率</t>
    <phoneticPr fontId="1" type="noConversion"/>
  </si>
  <si>
    <t>30日成交换手率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</si>
  <si>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</si>
  <si>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</si>
  <si>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</si>
  <si>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10派1.5元(含税)</t>
  </si>
  <si>
    <t>不分配不转增</t>
  </si>
  <si>
    <t>10派2元(含税)</t>
  </si>
  <si>
    <t>10派0.2元(含税)</t>
  </si>
  <si>
    <t>10派0.5元(含税)</t>
  </si>
  <si>
    <t>10派1元(含税)</t>
  </si>
  <si>
    <t>10派5元(含税)</t>
  </si>
  <si>
    <t>SZ001333</t>
  </si>
  <si>
    <t>光华股份</t>
  </si>
  <si>
    <t>13.14亿</t>
  </si>
  <si>
    <t>8.39亿</t>
  </si>
  <si>
    <t>6.84亿</t>
  </si>
  <si>
    <t>9170.99万</t>
  </si>
  <si>
    <t>4155.92万</t>
  </si>
  <si>
    <t>10派3元(含税)</t>
  </si>
  <si>
    <t>10派0.3元(含税)</t>
  </si>
  <si>
    <t>10派2.5元(含税)</t>
  </si>
  <si>
    <t>10派0.8元(含税)</t>
  </si>
  <si>
    <t>10派1.2元(含税)</t>
  </si>
  <si>
    <t>10派6元(含税)</t>
  </si>
  <si>
    <t>10派4元(含税)</t>
  </si>
  <si>
    <t>1-0</t>
  </si>
  <si>
    <t>1-1</t>
  </si>
  <si>
    <t>-2-0</t>
  </si>
  <si>
    <t>6.22亿</t>
  </si>
  <si>
    <t>2.13亿</t>
  </si>
  <si>
    <t>4.16亿</t>
  </si>
  <si>
    <t>526.90亿</t>
  </si>
  <si>
    <t>45.75亿</t>
  </si>
  <si>
    <t>7.71亿</t>
  </si>
  <si>
    <t>7.42亿</t>
  </si>
  <si>
    <t>-3-0</t>
  </si>
  <si>
    <t>4.88亿</t>
  </si>
  <si>
    <t>18.19亿</t>
  </si>
  <si>
    <t>10.33亿</t>
  </si>
  <si>
    <t>5.43亿</t>
  </si>
  <si>
    <t>4.84亿</t>
  </si>
  <si>
    <t>14.26亿</t>
  </si>
  <si>
    <t>5.52亿</t>
  </si>
  <si>
    <t>26.35亿</t>
  </si>
  <si>
    <t>17.08亿</t>
  </si>
  <si>
    <t>13.00亿</t>
  </si>
  <si>
    <t>6930.27万</t>
  </si>
  <si>
    <t>10派2.6元(含税)</t>
  </si>
  <si>
    <t>7.10亿</t>
  </si>
  <si>
    <t>9.58亿</t>
  </si>
  <si>
    <t>7.03亿</t>
  </si>
  <si>
    <t>SZ001378</t>
  </si>
  <si>
    <t>德冠新材</t>
  </si>
  <si>
    <t>5.50亿</t>
  </si>
  <si>
    <t>10.58亿</t>
  </si>
  <si>
    <t>9019.43万</t>
  </si>
  <si>
    <t>5564.53万</t>
  </si>
  <si>
    <t>3040.32万</t>
  </si>
  <si>
    <t>6.39亿</t>
  </si>
  <si>
    <t>9-0</t>
  </si>
  <si>
    <t>1.86亿</t>
  </si>
  <si>
    <t>-4-0</t>
  </si>
  <si>
    <t>18.77亿</t>
  </si>
  <si>
    <t>28.35亿</t>
  </si>
  <si>
    <t>2.81亿</t>
  </si>
  <si>
    <t>6.65亿</t>
  </si>
  <si>
    <t>-2-1</t>
  </si>
  <si>
    <t>4.97亿</t>
  </si>
  <si>
    <t>6.05亿</t>
  </si>
  <si>
    <t>4.36亿</t>
  </si>
  <si>
    <t>3.44亿</t>
  </si>
  <si>
    <t>15.84亿</t>
  </si>
  <si>
    <t>6772.15万</t>
  </si>
  <si>
    <t>-12.33亿</t>
  </si>
  <si>
    <t>502.65万</t>
  </si>
  <si>
    <t>3.46亿</t>
  </si>
  <si>
    <t>7.45亿</t>
  </si>
  <si>
    <t>-3-1</t>
  </si>
  <si>
    <t>25.16亿</t>
  </si>
  <si>
    <t>18.66亿</t>
  </si>
  <si>
    <t>3.59亿</t>
  </si>
  <si>
    <t>4.04亿</t>
  </si>
  <si>
    <t>11.02亿</t>
  </si>
  <si>
    <t>-4545.30万</t>
  </si>
  <si>
    <t>6.91亿</t>
  </si>
  <si>
    <t>3.76亿</t>
  </si>
  <si>
    <t>20.43亿</t>
  </si>
  <si>
    <t>18.84亿</t>
  </si>
  <si>
    <t>5.40亿</t>
  </si>
  <si>
    <t>60.62亿</t>
  </si>
  <si>
    <t>7.68亿</t>
  </si>
  <si>
    <t>10派4.5元(含税)</t>
  </si>
  <si>
    <t>134.06亿</t>
  </si>
  <si>
    <t>6.63亿</t>
  </si>
  <si>
    <t>15.02亿</t>
  </si>
  <si>
    <t>5.35亿</t>
  </si>
  <si>
    <t>6.83亿</t>
  </si>
  <si>
    <t>45.26亿</t>
  </si>
  <si>
    <t>22.39亿</t>
  </si>
  <si>
    <t>14.90亿</t>
  </si>
  <si>
    <t>-5-0</t>
  </si>
  <si>
    <t>6.92亿</t>
  </si>
  <si>
    <t>31.35亿</t>
  </si>
  <si>
    <t>5.69亿</t>
  </si>
  <si>
    <t>42.33亿</t>
  </si>
  <si>
    <t>-3.54亿</t>
  </si>
  <si>
    <t>19.53亿</t>
  </si>
  <si>
    <t>7.12亿</t>
  </si>
  <si>
    <t>-1.32亿</t>
  </si>
  <si>
    <t>18.46亿</t>
  </si>
  <si>
    <t>11.78亿</t>
  </si>
  <si>
    <t>2.56亿</t>
  </si>
  <si>
    <t>13.98亿</t>
  </si>
  <si>
    <t>21.01亿</t>
  </si>
  <si>
    <t>9.71亿</t>
  </si>
  <si>
    <t>18.32亿</t>
  </si>
  <si>
    <t>6113.87万</t>
  </si>
  <si>
    <t>1.89亿</t>
  </si>
  <si>
    <t>3.09亿</t>
  </si>
  <si>
    <t>11.93亿</t>
  </si>
  <si>
    <t>1138.64万</t>
  </si>
  <si>
    <t>3.68亿</t>
  </si>
  <si>
    <t>10派0.35元(含税)</t>
  </si>
  <si>
    <t>-2165.33万</t>
  </si>
  <si>
    <t>19.20亿</t>
  </si>
  <si>
    <t>5.38亿</t>
  </si>
  <si>
    <t>27.15亿</t>
  </si>
  <si>
    <t>1527.39万</t>
  </si>
  <si>
    <t>2795.30万</t>
  </si>
  <si>
    <t>10.03亿</t>
  </si>
  <si>
    <t>23.99亿</t>
  </si>
  <si>
    <t>17.78亿</t>
  </si>
  <si>
    <t>5540.40万</t>
  </si>
  <si>
    <t>泉为科技</t>
  </si>
  <si>
    <t>12.77亿</t>
  </si>
  <si>
    <t>4.22亿</t>
  </si>
  <si>
    <t>4006.56万</t>
  </si>
  <si>
    <t>-4-1</t>
  </si>
  <si>
    <t>6.29亿</t>
  </si>
  <si>
    <t>3.39亿</t>
  </si>
  <si>
    <t>10.85亿</t>
  </si>
  <si>
    <t>10.52亿</t>
  </si>
  <si>
    <t>-6-1</t>
  </si>
  <si>
    <t>18.70亿</t>
  </si>
  <si>
    <t>5.12亿</t>
  </si>
  <si>
    <t>3.90亿</t>
  </si>
  <si>
    <t>3346.62万</t>
  </si>
  <si>
    <t>5666.50万</t>
  </si>
  <si>
    <t>4.72亿</t>
  </si>
  <si>
    <t>1400.00万</t>
  </si>
  <si>
    <t>13.04亿</t>
  </si>
  <si>
    <t>3449.45万</t>
  </si>
  <si>
    <t>9.21亿</t>
  </si>
  <si>
    <t>1.74亿</t>
  </si>
  <si>
    <t>7.61亿</t>
  </si>
  <si>
    <t>6534.94万</t>
  </si>
  <si>
    <t>2.22亿</t>
  </si>
  <si>
    <t>SZ301395</t>
  </si>
  <si>
    <t>仁信新材</t>
  </si>
  <si>
    <t>9406.13万</t>
  </si>
  <si>
    <t>16.98亿</t>
  </si>
  <si>
    <t>12.41亿</t>
  </si>
  <si>
    <t>6745.23万</t>
  </si>
  <si>
    <t>4.19亿</t>
  </si>
  <si>
    <t>4.20亿</t>
  </si>
  <si>
    <t>SZ301555</t>
  </si>
  <si>
    <t>惠柏新材</t>
  </si>
  <si>
    <t>17.75亿</t>
  </si>
  <si>
    <t>6429.06万</t>
  </si>
  <si>
    <t>8.81亿</t>
  </si>
  <si>
    <t>16.89亿</t>
  </si>
  <si>
    <t>14.32亿</t>
  </si>
  <si>
    <t>4.45亿</t>
  </si>
  <si>
    <t>6735.17万</t>
  </si>
  <si>
    <t>5649.83万</t>
  </si>
  <si>
    <t>2274.30万</t>
  </si>
  <si>
    <t>1098.96万</t>
  </si>
  <si>
    <t>14.00亿</t>
  </si>
  <si>
    <t>SZ301591</t>
  </si>
  <si>
    <t>肯特股份</t>
  </si>
  <si>
    <t>7330.71万</t>
  </si>
  <si>
    <t>n/a</t>
  </si>
  <si>
    <t>8.46亿</t>
  </si>
  <si>
    <t>15.05亿</t>
  </si>
  <si>
    <t>10派0.21元(含税)</t>
  </si>
  <si>
    <t>404.12亿</t>
  </si>
  <si>
    <t>19.92亿</t>
  </si>
  <si>
    <t>18.60亿</t>
  </si>
  <si>
    <t>24.55亿</t>
  </si>
  <si>
    <t>36.40亿</t>
  </si>
  <si>
    <t>32.48亿</t>
  </si>
  <si>
    <t>3.34亿</t>
  </si>
  <si>
    <t>18.29亿</t>
  </si>
  <si>
    <t>18.44亿</t>
  </si>
  <si>
    <t>28.55亿</t>
  </si>
  <si>
    <t>5.06亿</t>
  </si>
  <si>
    <t>-5658.87万</t>
  </si>
  <si>
    <t>8.05亿</t>
  </si>
  <si>
    <t>-280.22万</t>
  </si>
  <si>
    <t>34.62亿</t>
  </si>
  <si>
    <t>-1682.06万</t>
  </si>
  <si>
    <t>22.97亿</t>
  </si>
  <si>
    <t>23.72亿</t>
  </si>
  <si>
    <t>13.23亿</t>
  </si>
  <si>
    <t>95.98亿</t>
  </si>
  <si>
    <t>3.83亿</t>
  </si>
  <si>
    <t>4.78亿</t>
  </si>
  <si>
    <t>20.56亿</t>
  </si>
  <si>
    <t>4.95亿</t>
  </si>
  <si>
    <t>51.79亿</t>
  </si>
  <si>
    <t>5.60亿</t>
  </si>
  <si>
    <t>10.50亿</t>
  </si>
  <si>
    <t>3887.41万</t>
  </si>
  <si>
    <t>8.04亿</t>
  </si>
  <si>
    <t>3134.49万</t>
  </si>
  <si>
    <t>2.29亿</t>
  </si>
  <si>
    <t>8414.59万</t>
  </si>
  <si>
    <t>SH688716</t>
  </si>
  <si>
    <t>中研股份</t>
  </si>
  <si>
    <t>5591.42万</t>
  </si>
  <si>
    <t>8559.85万</t>
  </si>
  <si>
    <t>5012.95万</t>
  </si>
  <si>
    <t>2466.53万</t>
  </si>
  <si>
    <t>1367.21万</t>
  </si>
  <si>
    <t>1172.16万</t>
  </si>
  <si>
    <t>3137.84万</t>
  </si>
  <si>
    <t>653.92万</t>
  </si>
  <si>
    <t>塑料制品</t>
  </si>
  <si>
    <t>1547.23亿</t>
  </si>
  <si>
    <t>358.30亿</t>
  </si>
  <si>
    <t>367.39亿</t>
  </si>
  <si>
    <t>1404.40亿</t>
  </si>
  <si>
    <t>7.17亿</t>
  </si>
  <si>
    <t>364.20亿</t>
  </si>
  <si>
    <t>327.40亿</t>
  </si>
  <si>
    <t>8167.44万</t>
  </si>
  <si>
    <t>139705250亿</t>
  </si>
  <si>
    <t>2613.07万</t>
  </si>
  <si>
    <t>86270488亿</t>
  </si>
  <si>
    <t>119.88亿</t>
  </si>
  <si>
    <t>2185022300亿</t>
  </si>
  <si>
    <t>41355620000亿</t>
  </si>
  <si>
    <t>180.60亿</t>
  </si>
  <si>
    <t>468.91亿</t>
  </si>
  <si>
    <t>196.37亿</t>
  </si>
  <si>
    <t>3159.97万</t>
  </si>
  <si>
    <t>845.45亿</t>
  </si>
  <si>
    <t>698.13亿</t>
  </si>
  <si>
    <t>9.81亿</t>
  </si>
  <si>
    <t>-36.84亿</t>
  </si>
  <si>
    <t>50.21亿</t>
  </si>
  <si>
    <t>638.73亿</t>
  </si>
  <si>
    <t>295.47亿</t>
  </si>
  <si>
    <t>4126.35万</t>
  </si>
  <si>
    <t>1108.87万</t>
  </si>
  <si>
    <t>12.09亿</t>
  </si>
  <si>
    <t>28.36亿</t>
  </si>
  <si>
    <t>-2863.42万</t>
  </si>
  <si>
    <t>983.48万</t>
  </si>
  <si>
    <t>1756.31万</t>
  </si>
  <si>
    <t>2822799亿</t>
  </si>
  <si>
    <t>22.98万</t>
  </si>
  <si>
    <t>-27104412亿</t>
  </si>
  <si>
    <t>346232250亿</t>
  </si>
  <si>
    <t>1212298710亿</t>
  </si>
  <si>
    <t>5.89亿</t>
  </si>
  <si>
    <t>6178.40万</t>
  </si>
  <si>
    <t>-1.25亿</t>
  </si>
  <si>
    <t>-1.43亿</t>
  </si>
  <si>
    <t>4478.71万</t>
  </si>
  <si>
    <t>5.22亿</t>
  </si>
  <si>
    <t>964.35万</t>
  </si>
  <si>
    <t>7345.48万</t>
  </si>
  <si>
    <t>177.55万</t>
  </si>
  <si>
    <t>20.00亿</t>
  </si>
  <si>
    <t>3.35亿</t>
  </si>
  <si>
    <t>17.05亿</t>
  </si>
  <si>
    <t>3522.92万</t>
  </si>
  <si>
    <t>2650.43万</t>
  </si>
  <si>
    <t>36980亿</t>
  </si>
  <si>
    <t>21.71万</t>
  </si>
  <si>
    <t>33435031亿</t>
  </si>
  <si>
    <t>6.74亿</t>
  </si>
  <si>
    <t>211711670亿</t>
  </si>
  <si>
    <t>8032.89万</t>
  </si>
  <si>
    <t>1248883870亿</t>
  </si>
  <si>
    <t>3387.00万</t>
  </si>
  <si>
    <t>6722.94万</t>
  </si>
  <si>
    <t>341.98万</t>
  </si>
  <si>
    <t>6907.61万</t>
  </si>
  <si>
    <t>-646.78万</t>
  </si>
  <si>
    <t>3600.00万</t>
  </si>
  <si>
    <t>2849.91万</t>
  </si>
  <si>
    <t>10派1.23元(含税)</t>
  </si>
  <si>
    <t>1147.44万</t>
  </si>
  <si>
    <t>9605.14万</t>
  </si>
  <si>
    <t>395.53万</t>
  </si>
  <si>
    <t>5.01亿</t>
  </si>
  <si>
    <t>22.15亿</t>
  </si>
  <si>
    <t>4.67亿</t>
  </si>
  <si>
    <t>684.37万</t>
  </si>
  <si>
    <t>3980.19万</t>
  </si>
  <si>
    <t>-3329784亿</t>
  </si>
  <si>
    <t>1.38万</t>
  </si>
  <si>
    <t>16537634亿</t>
  </si>
  <si>
    <t>297225150亿</t>
  </si>
  <si>
    <t>1993379100亿</t>
  </si>
  <si>
    <t>1627.34万</t>
  </si>
  <si>
    <t>-3391.36万</t>
  </si>
  <si>
    <t>-1.24亿</t>
  </si>
  <si>
    <t>5347.06万</t>
  </si>
  <si>
    <t>6.09亿</t>
  </si>
  <si>
    <t>1784.21万</t>
  </si>
  <si>
    <t>10派0.67元(含税)</t>
  </si>
  <si>
    <t>2417.26万</t>
  </si>
  <si>
    <t>0214000000</t>
  </si>
  <si>
    <t>0642000000</t>
  </si>
  <si>
    <t>01284000000</t>
  </si>
  <si>
    <t>02140000000</t>
  </si>
  <si>
    <t>04280000000</t>
  </si>
  <si>
    <t>59.64万</t>
  </si>
  <si>
    <t>7.63亿</t>
  </si>
  <si>
    <t>7028.49万</t>
  </si>
  <si>
    <t>3299.02万</t>
  </si>
  <si>
    <t>7216.38万</t>
  </si>
  <si>
    <t>5499.52万</t>
  </si>
  <si>
    <t>147.49万</t>
  </si>
  <si>
    <t>809.17万</t>
  </si>
  <si>
    <t>-126693亿</t>
  </si>
  <si>
    <t>9.65万</t>
  </si>
  <si>
    <t>-1809613亿</t>
  </si>
  <si>
    <t>182149920亿</t>
  </si>
  <si>
    <t>3207.94万</t>
  </si>
  <si>
    <t>521803230亿</t>
  </si>
  <si>
    <t>2081.69万</t>
  </si>
  <si>
    <t>530.61万</t>
  </si>
  <si>
    <t>8266.08万</t>
  </si>
  <si>
    <t>3359.12万</t>
  </si>
  <si>
    <t>-4097.45万</t>
  </si>
  <si>
    <t>897.89万</t>
  </si>
  <si>
    <t>9493.68万</t>
  </si>
  <si>
    <t>1876.07万</t>
  </si>
  <si>
    <t>10派0.86元(含税)</t>
  </si>
  <si>
    <t>501.13万</t>
  </si>
  <si>
    <t>4649.66万</t>
  </si>
  <si>
    <t>27.25万</t>
  </si>
  <si>
    <t>3.56亿</t>
  </si>
  <si>
    <t>14.80亿</t>
  </si>
  <si>
    <t>304.41万</t>
  </si>
  <si>
    <t>796.89万</t>
  </si>
  <si>
    <t>-571813亿</t>
  </si>
  <si>
    <t>26146060亿</t>
  </si>
  <si>
    <t>7.09亿</t>
  </si>
  <si>
    <t>585922650亿</t>
  </si>
  <si>
    <t>1881910300亿</t>
  </si>
  <si>
    <t>3345.05万</t>
  </si>
  <si>
    <t>4.68亿</t>
  </si>
  <si>
    <t>8546.71万</t>
  </si>
  <si>
    <t>293.09万</t>
  </si>
  <si>
    <t>7.73亿</t>
  </si>
  <si>
    <t>-6581.22万</t>
  </si>
  <si>
    <t>-3060.42万</t>
  </si>
  <si>
    <t>2451.25万</t>
  </si>
  <si>
    <t>10派3.6元(含税)</t>
  </si>
  <si>
    <t>215.32万</t>
  </si>
  <si>
    <t>2908.13万</t>
  </si>
  <si>
    <t>43.46万</t>
  </si>
  <si>
    <t>12.19亿</t>
  </si>
  <si>
    <t>241.45万</t>
  </si>
  <si>
    <t>1654.76万</t>
  </si>
  <si>
    <t>1793975亿</t>
  </si>
  <si>
    <t>1.12万</t>
  </si>
  <si>
    <t>26306110亿</t>
  </si>
  <si>
    <t>11.18亿</t>
  </si>
  <si>
    <t>53329442亿</t>
  </si>
  <si>
    <t>9540.88万</t>
  </si>
  <si>
    <t>1496177000亿</t>
  </si>
  <si>
    <t>4680.21万</t>
  </si>
  <si>
    <t>5000.00万</t>
  </si>
  <si>
    <t>6778.49万</t>
  </si>
  <si>
    <t>-3152.60万</t>
  </si>
  <si>
    <t>-1.08亿</t>
  </si>
  <si>
    <t>5078.68万</t>
  </si>
  <si>
    <t>3331.04万</t>
  </si>
  <si>
    <t>286.01万</t>
  </si>
  <si>
    <t>2990.66万</t>
  </si>
  <si>
    <t>820.75万</t>
  </si>
  <si>
    <t>19.87亿</t>
  </si>
  <si>
    <t>52.00亿</t>
  </si>
  <si>
    <t>26.19亿</t>
  </si>
  <si>
    <t>4.89亿</t>
  </si>
  <si>
    <t>1380.80万</t>
  </si>
  <si>
    <t>1834.17万</t>
  </si>
  <si>
    <t>36867152亿</t>
  </si>
  <si>
    <t>7.01万</t>
  </si>
  <si>
    <t>56259580亿</t>
  </si>
  <si>
    <t>843817870亿</t>
  </si>
  <si>
    <t>5312.04万</t>
  </si>
  <si>
    <t>2399365300亿</t>
  </si>
  <si>
    <t>8.60万</t>
  </si>
  <si>
    <t>264.29万</t>
  </si>
  <si>
    <t>-1.03亿</t>
  </si>
  <si>
    <t>-6220.24万</t>
  </si>
  <si>
    <t>6614.93万</t>
  </si>
  <si>
    <t>8276.34万</t>
  </si>
  <si>
    <t>4103.50万</t>
  </si>
  <si>
    <t>0273000000</t>
  </si>
  <si>
    <t>0819000000</t>
  </si>
  <si>
    <t>01638000000</t>
  </si>
  <si>
    <t>02730000000</t>
  </si>
  <si>
    <t>05460000000</t>
  </si>
  <si>
    <t>609.81万</t>
  </si>
  <si>
    <t>27.28亿</t>
  </si>
  <si>
    <t>2068.15万</t>
  </si>
  <si>
    <t>128.38万</t>
  </si>
  <si>
    <t>1672.17万</t>
  </si>
  <si>
    <t>20.06万</t>
  </si>
  <si>
    <t>-11106154亿</t>
  </si>
  <si>
    <t>126673131亿</t>
  </si>
  <si>
    <t>997.11万</t>
  </si>
  <si>
    <t>1797428000亿</t>
  </si>
  <si>
    <t>2011.54万</t>
  </si>
  <si>
    <t>8075.57万</t>
  </si>
  <si>
    <t>52.31万</t>
  </si>
  <si>
    <t>-410.94万</t>
  </si>
  <si>
    <t>3800.07万</t>
  </si>
  <si>
    <t>703.08万</t>
  </si>
  <si>
    <t>3766.79万</t>
  </si>
  <si>
    <t>062044500</t>
  </si>
  <si>
    <t>0124089000</t>
  </si>
  <si>
    <t>0206815000</t>
  </si>
  <si>
    <t>0413630000</t>
  </si>
  <si>
    <t>ST新纶</t>
  </si>
  <si>
    <t>36.75亿</t>
  </si>
  <si>
    <t>-9.47亿</t>
  </si>
  <si>
    <t>7991.73万</t>
  </si>
  <si>
    <t>859.47万</t>
  </si>
  <si>
    <t>2893.81万</t>
  </si>
  <si>
    <t>551827亿</t>
  </si>
  <si>
    <t>6.98万</t>
  </si>
  <si>
    <t>-84607564亿</t>
  </si>
  <si>
    <t>1714.31万</t>
  </si>
  <si>
    <t>129094972亿</t>
  </si>
  <si>
    <t>784.54万</t>
  </si>
  <si>
    <t>632574060亿</t>
  </si>
  <si>
    <t>8912.20万</t>
  </si>
  <si>
    <t>14.19亿</t>
  </si>
  <si>
    <t>3.91亿</t>
  </si>
  <si>
    <t>1529.90万</t>
  </si>
  <si>
    <t>29.91亿</t>
  </si>
  <si>
    <t>1546.61万</t>
  </si>
  <si>
    <t>-207.85万</t>
  </si>
  <si>
    <t>-1320.52万</t>
  </si>
  <si>
    <t>-9442.11万</t>
  </si>
  <si>
    <t>156.86万</t>
  </si>
  <si>
    <t>-9-1</t>
  </si>
  <si>
    <t>872.14万</t>
  </si>
  <si>
    <t>24.43亿</t>
  </si>
  <si>
    <t>23.43亿</t>
  </si>
  <si>
    <t>25.71亿</t>
  </si>
  <si>
    <t>2543.80万</t>
  </si>
  <si>
    <t>4.43亿</t>
  </si>
  <si>
    <t>548.48万</t>
  </si>
  <si>
    <t>2472.81万</t>
  </si>
  <si>
    <t>993064亿</t>
  </si>
  <si>
    <t>10.59万</t>
  </si>
  <si>
    <t>1467818亿</t>
  </si>
  <si>
    <t>1227695170亿</t>
  </si>
  <si>
    <t>2767196400亿</t>
  </si>
  <si>
    <t>12.80亿</t>
  </si>
  <si>
    <t>21.39亿</t>
  </si>
  <si>
    <t>-9479.93万</t>
  </si>
  <si>
    <t>-1608.17万</t>
  </si>
  <si>
    <t>-3983.08万</t>
  </si>
  <si>
    <t>2692.79万</t>
  </si>
  <si>
    <t>651.96万</t>
  </si>
  <si>
    <t>5329.13万</t>
  </si>
  <si>
    <t>6.28亿</t>
  </si>
  <si>
    <t>597.79万</t>
  </si>
  <si>
    <t>5521.68万</t>
  </si>
  <si>
    <t>154.78万</t>
  </si>
  <si>
    <t>1231.66万</t>
  </si>
  <si>
    <t>316400亿</t>
  </si>
  <si>
    <t>15877422亿</t>
  </si>
  <si>
    <t>87072682亿</t>
  </si>
  <si>
    <t>964346350亿</t>
  </si>
  <si>
    <t>9680.00万</t>
  </si>
  <si>
    <t>-405.16万</t>
  </si>
  <si>
    <t>44.87万</t>
  </si>
  <si>
    <t>659.28万</t>
  </si>
  <si>
    <t>3852.42万</t>
  </si>
  <si>
    <t>5.97亿</t>
  </si>
  <si>
    <t>6-1</t>
  </si>
  <si>
    <t>534.44万</t>
  </si>
  <si>
    <t>13.62亿</t>
  </si>
  <si>
    <t>23.11亿</t>
  </si>
  <si>
    <t>17.28亿</t>
  </si>
  <si>
    <t>749.64万</t>
  </si>
  <si>
    <t>2187.03万</t>
  </si>
  <si>
    <t>-492117亿</t>
  </si>
  <si>
    <t>8.98万</t>
  </si>
  <si>
    <t>15630624亿</t>
  </si>
  <si>
    <t>7.99亿</t>
  </si>
  <si>
    <t>122293020亿</t>
  </si>
  <si>
    <t>320.14万</t>
  </si>
  <si>
    <t>1521416500亿</t>
  </si>
  <si>
    <t>10.44亿</t>
  </si>
  <si>
    <t>2725.21万</t>
  </si>
  <si>
    <t>1300.36万</t>
  </si>
  <si>
    <t>780.03万</t>
  </si>
  <si>
    <t>2345.35万</t>
  </si>
  <si>
    <t>3028.08万</t>
  </si>
  <si>
    <t>658.74万</t>
  </si>
  <si>
    <t>40.86亿</t>
  </si>
  <si>
    <t>92.27亿</t>
  </si>
  <si>
    <t>52.89亿</t>
  </si>
  <si>
    <t>-1.68亿</t>
  </si>
  <si>
    <t>14.76亿</t>
  </si>
  <si>
    <t>598.33万</t>
  </si>
  <si>
    <t>3800.67万</t>
  </si>
  <si>
    <t>-98970063亿</t>
  </si>
  <si>
    <t>5.30亿</t>
  </si>
  <si>
    <t>998035720亿</t>
  </si>
  <si>
    <t>5270788300亿</t>
  </si>
  <si>
    <t>37.55亿</t>
  </si>
  <si>
    <t>-3.63亿</t>
  </si>
  <si>
    <t>247.43万</t>
  </si>
  <si>
    <t>3593.24万</t>
  </si>
  <si>
    <t>3722.26万</t>
  </si>
  <si>
    <t>22.67亿</t>
  </si>
  <si>
    <t>1268.66万</t>
  </si>
  <si>
    <t>2860.27万</t>
  </si>
  <si>
    <t>-131842亿</t>
  </si>
  <si>
    <t>1.88万</t>
  </si>
  <si>
    <t>41563924亿</t>
  </si>
  <si>
    <t>8.79亿</t>
  </si>
  <si>
    <t>303272600亿</t>
  </si>
  <si>
    <t>405.88万</t>
  </si>
  <si>
    <t>1853249300亿</t>
  </si>
  <si>
    <t>4520.97万</t>
  </si>
  <si>
    <t>3.75亿</t>
  </si>
  <si>
    <t>159.02万</t>
  </si>
  <si>
    <t>7.64亿</t>
  </si>
  <si>
    <t>808.91万</t>
  </si>
  <si>
    <t>-2524.02万</t>
  </si>
  <si>
    <t>3591.23万</t>
  </si>
  <si>
    <t>11.21亿</t>
  </si>
  <si>
    <t>135.98万</t>
  </si>
  <si>
    <t>86.73亿</t>
  </si>
  <si>
    <t>65.21亿</t>
  </si>
  <si>
    <t>174.39亿</t>
  </si>
  <si>
    <t>4.66亿</t>
  </si>
  <si>
    <t>43.04亿</t>
  </si>
  <si>
    <t>40.53亿</t>
  </si>
  <si>
    <t>3236.33万</t>
  </si>
  <si>
    <t>5033.11万</t>
  </si>
  <si>
    <t>-1158672亿</t>
  </si>
  <si>
    <t>3.42万</t>
  </si>
  <si>
    <t>123092035亿</t>
  </si>
  <si>
    <t>33.27亿</t>
  </si>
  <si>
    <t>2287724600亿</t>
  </si>
  <si>
    <t>10557990400亿</t>
  </si>
  <si>
    <t>17.58亿</t>
  </si>
  <si>
    <t>33.66亿</t>
  </si>
  <si>
    <t>64.40亿</t>
  </si>
  <si>
    <t>18.64亿</t>
  </si>
  <si>
    <t>-3558.19万</t>
  </si>
  <si>
    <t>36.15亿</t>
  </si>
  <si>
    <t>10派1.8元(含税)</t>
  </si>
  <si>
    <t>903.45万</t>
  </si>
  <si>
    <t>6089.91万</t>
  </si>
  <si>
    <t>373.20万</t>
  </si>
  <si>
    <t>14.87亿</t>
  </si>
  <si>
    <t>1622.88万</t>
  </si>
  <si>
    <t>2466.59万</t>
  </si>
  <si>
    <t>10532599亿</t>
  </si>
  <si>
    <t>6.05万</t>
  </si>
  <si>
    <t>22188549亿</t>
  </si>
  <si>
    <t>5.82亿</t>
  </si>
  <si>
    <t>216596950亿</t>
  </si>
  <si>
    <t>1170317680亿</t>
  </si>
  <si>
    <t>3426.76万</t>
  </si>
  <si>
    <t>72.42万</t>
  </si>
  <si>
    <t>3118.20万</t>
  </si>
  <si>
    <t>1666.15万</t>
  </si>
  <si>
    <t>2034.55万</t>
  </si>
  <si>
    <t>1649.28万</t>
  </si>
  <si>
    <t>183.19万</t>
  </si>
  <si>
    <t>32.31亿</t>
  </si>
  <si>
    <t>45.44亿</t>
  </si>
  <si>
    <t>10.73亿</t>
  </si>
  <si>
    <t>1276.03万</t>
  </si>
  <si>
    <t>2429.05万</t>
  </si>
  <si>
    <t>2357025亿</t>
  </si>
  <si>
    <t>8.37万</t>
  </si>
  <si>
    <t>28788274亿</t>
  </si>
  <si>
    <t>931476690亿</t>
  </si>
  <si>
    <t>3206134900亿</t>
  </si>
  <si>
    <t>6.38亿</t>
  </si>
  <si>
    <t>498.26万</t>
  </si>
  <si>
    <t>3003.21万</t>
  </si>
  <si>
    <t>-1752.37万</t>
  </si>
  <si>
    <t>-9258.13万</t>
  </si>
  <si>
    <t>-995.17万</t>
  </si>
  <si>
    <t>3462.16万</t>
  </si>
  <si>
    <t>10派0.65元(含税)</t>
  </si>
  <si>
    <t>1049.60万</t>
  </si>
  <si>
    <t>8760.52万</t>
  </si>
  <si>
    <t>750.71万</t>
  </si>
  <si>
    <t>18.73亿</t>
  </si>
  <si>
    <t>15.37亿</t>
  </si>
  <si>
    <t>589.61万</t>
  </si>
  <si>
    <t>1023.38万</t>
  </si>
  <si>
    <t>1919.12万</t>
  </si>
  <si>
    <t>226526亿</t>
  </si>
  <si>
    <t>2.64万</t>
  </si>
  <si>
    <t>3628785亿</t>
  </si>
  <si>
    <t>2.38亿</t>
  </si>
  <si>
    <t>349569550亿</t>
  </si>
  <si>
    <t>5273.78万</t>
  </si>
  <si>
    <t>1619510500亿</t>
  </si>
  <si>
    <t>8727.05万</t>
  </si>
  <si>
    <t>8163.24万</t>
  </si>
  <si>
    <t>240.55万</t>
  </si>
  <si>
    <t>-7025.18万</t>
  </si>
  <si>
    <t>1460.58万</t>
  </si>
  <si>
    <t>513.84万</t>
  </si>
  <si>
    <t>10派0.07元(含税)</t>
  </si>
  <si>
    <t>5752.61万</t>
  </si>
  <si>
    <t>2140.78万</t>
  </si>
  <si>
    <t>30.21亿</t>
  </si>
  <si>
    <t>45.76亿</t>
  </si>
  <si>
    <t>11.92亿</t>
  </si>
  <si>
    <t>45.87亿</t>
  </si>
  <si>
    <t>-2.31亿</t>
  </si>
  <si>
    <t>11.66亿</t>
  </si>
  <si>
    <t>2219.58万</t>
  </si>
  <si>
    <t>5949.43万</t>
  </si>
  <si>
    <t>1731744亿</t>
  </si>
  <si>
    <t>19.20万</t>
  </si>
  <si>
    <t>12016299亿</t>
  </si>
  <si>
    <t>759665550亿</t>
  </si>
  <si>
    <t>2235045000亿</t>
  </si>
  <si>
    <t>7912.50万</t>
  </si>
  <si>
    <t>8.66亿</t>
  </si>
  <si>
    <t>-4971.08万</t>
  </si>
  <si>
    <t>-2.02亿</t>
  </si>
  <si>
    <t>9.87亿</t>
  </si>
  <si>
    <t>-2622.24万</t>
  </si>
  <si>
    <t>15.58亿</t>
  </si>
  <si>
    <t>3-0</t>
  </si>
  <si>
    <t>234.30万</t>
  </si>
  <si>
    <t>14.44亿</t>
  </si>
  <si>
    <t>7082.38万</t>
  </si>
  <si>
    <t>2231.34万</t>
  </si>
  <si>
    <t>2505.76万</t>
  </si>
  <si>
    <t>37818530亿</t>
  </si>
  <si>
    <t>315914000亿</t>
  </si>
  <si>
    <t>1201835060亿</t>
  </si>
  <si>
    <t>480.29万</t>
  </si>
  <si>
    <t>-6008.68万</t>
  </si>
  <si>
    <t>-1318.34万</t>
  </si>
  <si>
    <t>1353.29万</t>
  </si>
  <si>
    <t>-1403.28万</t>
  </si>
  <si>
    <t>10派1.3元(含税)</t>
  </si>
  <si>
    <t>1491.36万</t>
  </si>
  <si>
    <t>7975.96万</t>
  </si>
  <si>
    <t>661.45万</t>
  </si>
  <si>
    <t>16.65亿</t>
  </si>
  <si>
    <t>2703.00万</t>
  </si>
  <si>
    <t>1175.96万</t>
  </si>
  <si>
    <t>2717.44万</t>
  </si>
  <si>
    <t>16154亿</t>
  </si>
  <si>
    <t>1877317亿</t>
  </si>
  <si>
    <t>6073.62万</t>
  </si>
  <si>
    <t>432591640亿</t>
  </si>
  <si>
    <t>1088460850亿</t>
  </si>
  <si>
    <t>3045.38万</t>
  </si>
  <si>
    <t>6718.75万</t>
  </si>
  <si>
    <t>397.19万</t>
  </si>
  <si>
    <t>-5930.43万</t>
  </si>
  <si>
    <t>6322.24万</t>
  </si>
  <si>
    <t>-546.48万</t>
  </si>
  <si>
    <t>175.95万</t>
  </si>
  <si>
    <t>4344.04万</t>
  </si>
  <si>
    <t>027030000</t>
  </si>
  <si>
    <t>081090000</t>
  </si>
  <si>
    <t>0162180000</t>
  </si>
  <si>
    <t>0270300000</t>
  </si>
  <si>
    <t>0540600000</t>
  </si>
  <si>
    <t>655.71万</t>
  </si>
  <si>
    <t>31.59亿</t>
  </si>
  <si>
    <t>4.25亿</t>
  </si>
  <si>
    <t>20.22亿</t>
  </si>
  <si>
    <t>4476.82万</t>
  </si>
  <si>
    <t>4625.09万</t>
  </si>
  <si>
    <t>4654813亿</t>
  </si>
  <si>
    <t>4.09万</t>
  </si>
  <si>
    <t>34035269亿</t>
  </si>
  <si>
    <t>459364050亿</t>
  </si>
  <si>
    <t>3602.24万</t>
  </si>
  <si>
    <t>2217000900亿</t>
  </si>
  <si>
    <t>7686.05万</t>
  </si>
  <si>
    <t>1946.00万</t>
  </si>
  <si>
    <t>3203.26万</t>
  </si>
  <si>
    <t>7454.76万</t>
  </si>
  <si>
    <t>-2.00亿</t>
  </si>
  <si>
    <t>2012.10万</t>
  </si>
  <si>
    <t>2098.46万</t>
  </si>
  <si>
    <t>10派1.25元(含税)</t>
  </si>
  <si>
    <t>3332.29万</t>
  </si>
  <si>
    <t>0376000000</t>
  </si>
  <si>
    <t>01128000000</t>
  </si>
  <si>
    <t>02256000000</t>
  </si>
  <si>
    <t>03760000000</t>
  </si>
  <si>
    <t>07520000000</t>
  </si>
  <si>
    <t>559.77万</t>
  </si>
  <si>
    <t>11.51亿</t>
  </si>
  <si>
    <t>17.76亿</t>
  </si>
  <si>
    <t>8529.48万</t>
  </si>
  <si>
    <t>4.74亿</t>
  </si>
  <si>
    <t>4.18亿</t>
  </si>
  <si>
    <t>2107.29万</t>
  </si>
  <si>
    <t>2328.49万</t>
  </si>
  <si>
    <t>-77689亿</t>
  </si>
  <si>
    <t>22.30万</t>
  </si>
  <si>
    <t>9175719亿</t>
  </si>
  <si>
    <t>396980820亿</t>
  </si>
  <si>
    <t>9833.35万</t>
  </si>
  <si>
    <t>1111184680亿</t>
  </si>
  <si>
    <t>4655.32万</t>
  </si>
  <si>
    <t>1681.00万</t>
  </si>
  <si>
    <t>-6668.45万</t>
  </si>
  <si>
    <t>-246.08万</t>
  </si>
  <si>
    <t>-625.68万</t>
  </si>
  <si>
    <t>1768.38万</t>
  </si>
  <si>
    <t>10派0.999985元(含税)</t>
  </si>
  <si>
    <t>2994.91万</t>
  </si>
  <si>
    <t>3.49亿</t>
  </si>
  <si>
    <t>311.60万</t>
  </si>
  <si>
    <t>25.83亿</t>
  </si>
  <si>
    <t>16.86亿</t>
  </si>
  <si>
    <t>870.58万</t>
  </si>
  <si>
    <t>43.23万</t>
  </si>
  <si>
    <t>1121.11万</t>
  </si>
  <si>
    <t>869382亿</t>
  </si>
  <si>
    <t>-59806290亿</t>
  </si>
  <si>
    <t>191763230亿</t>
  </si>
  <si>
    <t>1954996400亿</t>
  </si>
  <si>
    <t>3.38亿</t>
  </si>
  <si>
    <t>5881.90万</t>
  </si>
  <si>
    <t>2404.55万</t>
  </si>
  <si>
    <t>-1.94亿</t>
  </si>
  <si>
    <t>6.89亿</t>
  </si>
  <si>
    <t>2052.82万</t>
  </si>
  <si>
    <t>10派0.141727元(含税)</t>
  </si>
  <si>
    <t>2412.36万</t>
  </si>
  <si>
    <t>183.58万</t>
  </si>
  <si>
    <t>5036.75万</t>
  </si>
  <si>
    <t>8524.87万</t>
  </si>
  <si>
    <t>-792.51万</t>
  </si>
  <si>
    <t>8490.55万</t>
  </si>
  <si>
    <t>7691.77万</t>
  </si>
  <si>
    <t>91.32万</t>
  </si>
  <si>
    <t>452.04万</t>
  </si>
  <si>
    <t>-642668亿</t>
  </si>
  <si>
    <t>78418365亿</t>
  </si>
  <si>
    <t>304.00万</t>
  </si>
  <si>
    <t>443191600亿</t>
  </si>
  <si>
    <t>95.89万</t>
  </si>
  <si>
    <t>500.00万</t>
  </si>
  <si>
    <t>2804.34万</t>
  </si>
  <si>
    <t>4711.01万</t>
  </si>
  <si>
    <t>-2802.34万</t>
  </si>
  <si>
    <t>-102.88万</t>
  </si>
  <si>
    <t>7369.80万</t>
  </si>
  <si>
    <t>-1066.86万</t>
  </si>
  <si>
    <t>935.17万</t>
  </si>
  <si>
    <t>4675.61万</t>
  </si>
  <si>
    <t>321.05万</t>
  </si>
  <si>
    <t>6.17亿</t>
  </si>
  <si>
    <t>5012.49万</t>
  </si>
  <si>
    <t>-1090.57万</t>
  </si>
  <si>
    <t>5773.38万</t>
  </si>
  <si>
    <t>3530.38万</t>
  </si>
  <si>
    <t>381.15万</t>
  </si>
  <si>
    <t>1030.56万</t>
  </si>
  <si>
    <t>-379860亿</t>
  </si>
  <si>
    <t>49.85万</t>
  </si>
  <si>
    <t>-1915381亿</t>
  </si>
  <si>
    <t>160744160亿</t>
  </si>
  <si>
    <t>429829260亿</t>
  </si>
  <si>
    <t>155.55万</t>
  </si>
  <si>
    <t>4503.88万</t>
  </si>
  <si>
    <t>9219.91万</t>
  </si>
  <si>
    <t>7820.00万</t>
  </si>
  <si>
    <t>1063.33万</t>
  </si>
  <si>
    <t>61.73万</t>
  </si>
  <si>
    <t>292.55万</t>
  </si>
  <si>
    <t>5212.82万</t>
  </si>
  <si>
    <t>-177.08万</t>
  </si>
  <si>
    <t>1754.00万</t>
  </si>
  <si>
    <t>119.22万</t>
  </si>
  <si>
    <t>8819.51万</t>
  </si>
  <si>
    <t>6891.66万</t>
  </si>
  <si>
    <t>2364.70万</t>
  </si>
  <si>
    <t>7471.45万</t>
  </si>
  <si>
    <t>6592.90万</t>
  </si>
  <si>
    <t>105.45万</t>
  </si>
  <si>
    <t>201.92万</t>
  </si>
  <si>
    <t>-505438亿</t>
  </si>
  <si>
    <t>-4129179亿</t>
  </si>
  <si>
    <t>347.98万</t>
  </si>
  <si>
    <t>83682753亿</t>
  </si>
  <si>
    <t>20.58万</t>
  </si>
  <si>
    <t>168096950亿</t>
  </si>
  <si>
    <t>46.57万</t>
  </si>
  <si>
    <t>662.83万</t>
  </si>
  <si>
    <t>1046.48万</t>
  </si>
  <si>
    <t>-71.16万</t>
  </si>
  <si>
    <t>194.79万</t>
  </si>
  <si>
    <t>-219.72万</t>
  </si>
  <si>
    <t>7154.23万</t>
  </si>
  <si>
    <t>-711.23万</t>
  </si>
  <si>
    <t>695.20万</t>
  </si>
  <si>
    <t>5123.11万</t>
  </si>
  <si>
    <t>070941000</t>
  </si>
  <si>
    <t>0141882000</t>
  </si>
  <si>
    <t>0236470000</t>
  </si>
  <si>
    <t>0472940000</t>
  </si>
  <si>
    <t>317.82万</t>
  </si>
  <si>
    <t>36.24亿</t>
  </si>
  <si>
    <t>24.89亿</t>
  </si>
  <si>
    <t>1821.23万</t>
  </si>
  <si>
    <t>2072.60万</t>
  </si>
  <si>
    <t>-368544亿</t>
  </si>
  <si>
    <t>165406750亿</t>
  </si>
  <si>
    <t>715988230亿</t>
  </si>
  <si>
    <t>260.71万</t>
  </si>
  <si>
    <t>4418002600亿</t>
  </si>
  <si>
    <t>4715.38万</t>
  </si>
  <si>
    <t>14.01万</t>
  </si>
  <si>
    <t>7259.93万</t>
  </si>
  <si>
    <t>-4.32亿</t>
  </si>
  <si>
    <t>-2495.49万</t>
  </si>
  <si>
    <t>10派5.68元(含税)</t>
  </si>
  <si>
    <t>1479.06万</t>
  </si>
  <si>
    <t>6979.92万</t>
  </si>
  <si>
    <t>2007.38万</t>
  </si>
  <si>
    <t>12.48亿</t>
  </si>
  <si>
    <t>10.90亿</t>
  </si>
  <si>
    <t>32.56亿</t>
  </si>
  <si>
    <t>2604.55万</t>
  </si>
  <si>
    <t>5.56亿</t>
  </si>
  <si>
    <t>872.92万</t>
  </si>
  <si>
    <t>1458.41万</t>
  </si>
  <si>
    <t>-336802亿</t>
  </si>
  <si>
    <t>6.28万</t>
  </si>
  <si>
    <t>2510667亿</t>
  </si>
  <si>
    <t>481095590亿</t>
  </si>
  <si>
    <t>1428122600亿</t>
  </si>
  <si>
    <t>542.00万</t>
  </si>
  <si>
    <t>-7212.85万</t>
  </si>
  <si>
    <t>-3772.94万</t>
  </si>
  <si>
    <t>207.36万</t>
  </si>
  <si>
    <t>520.14万</t>
  </si>
  <si>
    <t>10派0.4元(含税)</t>
  </si>
  <si>
    <t>566.50万</t>
  </si>
  <si>
    <t>3387.36万</t>
  </si>
  <si>
    <t>208.57万</t>
  </si>
  <si>
    <t>1196.46万</t>
  </si>
  <si>
    <t>-94569亿</t>
  </si>
  <si>
    <t>5830528亿</t>
  </si>
  <si>
    <t>6261.52万</t>
  </si>
  <si>
    <t>248115670亿</t>
  </si>
  <si>
    <t>2254.11万</t>
  </si>
  <si>
    <t>587338290亿</t>
  </si>
  <si>
    <t>163.60万</t>
  </si>
  <si>
    <t>4143.91万</t>
  </si>
  <si>
    <t>4302.45万</t>
  </si>
  <si>
    <t>-1408.14万</t>
  </si>
  <si>
    <t>-1530.50万</t>
  </si>
  <si>
    <t>-80.81万</t>
  </si>
  <si>
    <t>915.29万</t>
  </si>
  <si>
    <t>2321.00万</t>
  </si>
  <si>
    <t>295.03万</t>
  </si>
  <si>
    <t>23.93亿</t>
  </si>
  <si>
    <t>18.71亿</t>
  </si>
  <si>
    <t>490.91万</t>
  </si>
  <si>
    <t>1958.64万</t>
  </si>
  <si>
    <t>1574453亿</t>
  </si>
  <si>
    <t>4.40万</t>
  </si>
  <si>
    <t>25948293亿</t>
  </si>
  <si>
    <t>225590940亿</t>
  </si>
  <si>
    <t>1042140740亿</t>
  </si>
  <si>
    <t>4.41亿</t>
  </si>
  <si>
    <t>-2014.83万</t>
  </si>
  <si>
    <t>-1.26亿</t>
  </si>
  <si>
    <t>8700.23万</t>
  </si>
  <si>
    <t>5.24亿</t>
  </si>
  <si>
    <t>5367.24万</t>
  </si>
  <si>
    <t>1700.82万</t>
  </si>
  <si>
    <t>523.76万</t>
  </si>
  <si>
    <t>11.81亿</t>
  </si>
  <si>
    <t>8.96亿</t>
  </si>
  <si>
    <t>4.49亿</t>
  </si>
  <si>
    <t>7254.81万</t>
  </si>
  <si>
    <t>708.27万</t>
  </si>
  <si>
    <t>1953.08万</t>
  </si>
  <si>
    <t>1584907亿</t>
  </si>
  <si>
    <t>22934614亿</t>
  </si>
  <si>
    <t>9147.70万</t>
  </si>
  <si>
    <t>540167380亿</t>
  </si>
  <si>
    <t>1746.35万</t>
  </si>
  <si>
    <t>1388971000亿</t>
  </si>
  <si>
    <t>1294.08万</t>
  </si>
  <si>
    <t>9.10亿</t>
  </si>
  <si>
    <t>2177.88万</t>
  </si>
  <si>
    <t>3467.71万</t>
  </si>
  <si>
    <t>-1533.25万</t>
  </si>
  <si>
    <t>-1852.46万</t>
  </si>
  <si>
    <t>1218.98万</t>
  </si>
  <si>
    <t>2952.46万</t>
  </si>
  <si>
    <t>3-1</t>
  </si>
  <si>
    <t>1849.32万</t>
  </si>
  <si>
    <t>8.31亿</t>
  </si>
  <si>
    <t>6012.12万</t>
  </si>
  <si>
    <t>11.65亿</t>
  </si>
  <si>
    <t>-1.39亿</t>
  </si>
  <si>
    <t>9403.08万</t>
  </si>
  <si>
    <t>6206.11万</t>
  </si>
  <si>
    <t>322.00万</t>
  </si>
  <si>
    <t>1813.61万</t>
  </si>
  <si>
    <t>-20182599亿</t>
  </si>
  <si>
    <t>652.15万</t>
  </si>
  <si>
    <t>50887328亿</t>
  </si>
  <si>
    <t>817.09万</t>
  </si>
  <si>
    <t>259090320亿</t>
  </si>
  <si>
    <t>6.81亿</t>
  </si>
  <si>
    <t>7994.67万</t>
  </si>
  <si>
    <t>-637.24万</t>
  </si>
  <si>
    <t>-74.00万</t>
  </si>
  <si>
    <t>366.35万</t>
  </si>
  <si>
    <t>797.20万</t>
  </si>
  <si>
    <t>-2693.47万</t>
  </si>
  <si>
    <t>283.15万</t>
  </si>
  <si>
    <t>9504.48万</t>
  </si>
  <si>
    <t>7921.55万</t>
  </si>
  <si>
    <t>4098.12万</t>
  </si>
  <si>
    <t>6466.91万</t>
  </si>
  <si>
    <t>5317.42万</t>
  </si>
  <si>
    <t>118.65万</t>
  </si>
  <si>
    <t>654.97万</t>
  </si>
  <si>
    <t>10268135亿</t>
  </si>
  <si>
    <t>110068201亿</t>
  </si>
  <si>
    <t>910.12万</t>
  </si>
  <si>
    <t>359395040亿</t>
  </si>
  <si>
    <t>6681.36万</t>
  </si>
  <si>
    <t>2258.86万</t>
  </si>
  <si>
    <t>2238.70万</t>
  </si>
  <si>
    <t>6576.82万</t>
  </si>
  <si>
    <t>-1673.97万</t>
  </si>
  <si>
    <t>-1456.99万</t>
  </si>
  <si>
    <t>7511.63万</t>
  </si>
  <si>
    <t>719.83万</t>
  </si>
  <si>
    <t>3541.86万</t>
  </si>
  <si>
    <t>-5-1</t>
  </si>
  <si>
    <t>1309.50万</t>
  </si>
  <si>
    <t>50.42亿</t>
  </si>
  <si>
    <t>21.95亿</t>
  </si>
  <si>
    <t>-5007.37万</t>
  </si>
  <si>
    <t>1719.88万</t>
  </si>
  <si>
    <t>3884.29万</t>
  </si>
  <si>
    <t>-1544158亿</t>
  </si>
  <si>
    <t>8.35万</t>
  </si>
  <si>
    <t>4963339亿</t>
  </si>
  <si>
    <t>984636460亿</t>
  </si>
  <si>
    <t>2203926400亿</t>
  </si>
  <si>
    <t>8.92亿</t>
  </si>
  <si>
    <t>20.18亿</t>
  </si>
  <si>
    <t>3298.19万</t>
  </si>
  <si>
    <t>-1.46亿</t>
  </si>
  <si>
    <t>-695.66万</t>
  </si>
  <si>
    <t>19.69亿</t>
  </si>
  <si>
    <t>1925.91万</t>
  </si>
  <si>
    <t>5606.77万</t>
  </si>
  <si>
    <t>-1573.53万</t>
  </si>
  <si>
    <t>7441.12万</t>
  </si>
  <si>
    <t>257.65万</t>
  </si>
  <si>
    <t>29.40亿</t>
  </si>
  <si>
    <t>3.63亿</t>
  </si>
  <si>
    <t>10.70亿</t>
  </si>
  <si>
    <t>7388.62万</t>
  </si>
  <si>
    <t>51.94万</t>
  </si>
  <si>
    <t>491.69万</t>
  </si>
  <si>
    <t>3706334亿</t>
  </si>
  <si>
    <t>19611752亿</t>
  </si>
  <si>
    <t>313037亿</t>
  </si>
  <si>
    <t>920652630亿</t>
  </si>
  <si>
    <t>239.65万</t>
  </si>
  <si>
    <t>1516.63万</t>
  </si>
  <si>
    <t>4473.82万</t>
  </si>
  <si>
    <t>-7646.40万</t>
  </si>
  <si>
    <t>-1.47亿</t>
  </si>
  <si>
    <t>15.96亿</t>
  </si>
  <si>
    <t>8012.10万</t>
  </si>
  <si>
    <t>1530.35万</t>
  </si>
  <si>
    <t>2129.80万</t>
  </si>
  <si>
    <t>7706.81万</t>
  </si>
  <si>
    <t>073886200</t>
  </si>
  <si>
    <t>0221658600</t>
  </si>
  <si>
    <t>0443317200</t>
  </si>
  <si>
    <t>0738862000</t>
  </si>
  <si>
    <t>01477724000</t>
  </si>
  <si>
    <t>4-1</t>
  </si>
  <si>
    <t>124.04万</t>
  </si>
  <si>
    <t>9571.27万</t>
  </si>
  <si>
    <t>6.04亿</t>
  </si>
  <si>
    <t>3752.50万</t>
  </si>
  <si>
    <t>8148.13万</t>
  </si>
  <si>
    <t>6987.37万</t>
  </si>
  <si>
    <t>192.06万</t>
  </si>
  <si>
    <t>880.95万</t>
  </si>
  <si>
    <t>13148346亿</t>
  </si>
  <si>
    <t>125743145亿</t>
  </si>
  <si>
    <t>2878.25万</t>
  </si>
  <si>
    <t>730552660亿</t>
  </si>
  <si>
    <t>7262.80万</t>
  </si>
  <si>
    <t>4417.59万</t>
  </si>
  <si>
    <t>4874.30万</t>
  </si>
  <si>
    <t>524.86万</t>
  </si>
  <si>
    <t>-2654.11万</t>
  </si>
  <si>
    <t>2986.68万</t>
  </si>
  <si>
    <t>4205.37万</t>
  </si>
  <si>
    <t>900.21万</t>
  </si>
  <si>
    <t>936.94万</t>
  </si>
  <si>
    <t>6618.58万</t>
  </si>
  <si>
    <t>62.68万</t>
  </si>
  <si>
    <t>9.77亿</t>
  </si>
  <si>
    <t>9337.09万</t>
  </si>
  <si>
    <t>21.05亿</t>
  </si>
  <si>
    <t>9020.08万</t>
  </si>
  <si>
    <t>6182.80万</t>
  </si>
  <si>
    <t>423.48万</t>
  </si>
  <si>
    <t>1601.59万</t>
  </si>
  <si>
    <t>1421210亿</t>
  </si>
  <si>
    <t>3893831亿</t>
  </si>
  <si>
    <t>79607881亿</t>
  </si>
  <si>
    <t>630304990亿</t>
  </si>
  <si>
    <t>2001.83万</t>
  </si>
  <si>
    <t>1688.88万</t>
  </si>
  <si>
    <t>4596.67万</t>
  </si>
  <si>
    <t>15.75万</t>
  </si>
  <si>
    <t>5915.29万</t>
  </si>
  <si>
    <t>-8713.75万</t>
  </si>
  <si>
    <t>3.84亿</t>
  </si>
  <si>
    <t>4102.06万</t>
  </si>
  <si>
    <t>-617.47万</t>
  </si>
  <si>
    <t>10派3.102534元(含税)</t>
  </si>
  <si>
    <t>559.23万</t>
  </si>
  <si>
    <t>3172.23万</t>
  </si>
  <si>
    <t>119.05万</t>
  </si>
  <si>
    <t>6.36亿</t>
  </si>
  <si>
    <t>7049.92万</t>
  </si>
  <si>
    <t>7.49亿</t>
  </si>
  <si>
    <t>6216.02万</t>
  </si>
  <si>
    <t>6852.50万</t>
  </si>
  <si>
    <t>5291.82万</t>
  </si>
  <si>
    <t>448.96万</t>
  </si>
  <si>
    <t>888.30万</t>
  </si>
  <si>
    <t>675665亿</t>
  </si>
  <si>
    <t>3243874亿</t>
  </si>
  <si>
    <t>88445842亿</t>
  </si>
  <si>
    <t>2266.29万</t>
  </si>
  <si>
    <t>369806980亿</t>
  </si>
  <si>
    <t>982.00万</t>
  </si>
  <si>
    <t>2484.70万</t>
  </si>
  <si>
    <t>5934.21万</t>
  </si>
  <si>
    <t>4350.00万</t>
  </si>
  <si>
    <t>-141.36万</t>
  </si>
  <si>
    <t>1695.63万</t>
  </si>
  <si>
    <t>1591.37万</t>
  </si>
  <si>
    <t>1473.46万</t>
  </si>
  <si>
    <t>5417.56万</t>
  </si>
  <si>
    <t>803.38万</t>
  </si>
  <si>
    <t>-1865.11万</t>
  </si>
  <si>
    <t>653.65万</t>
  </si>
  <si>
    <t>5356.93万</t>
  </si>
  <si>
    <t>60.43万</t>
  </si>
  <si>
    <t>4367.26万</t>
  </si>
  <si>
    <t>9470.73万</t>
  </si>
  <si>
    <t>282.06万</t>
  </si>
  <si>
    <t>438.55万</t>
  </si>
  <si>
    <t>4059059亿</t>
  </si>
  <si>
    <t>1.35万</t>
  </si>
  <si>
    <t>30025592亿</t>
  </si>
  <si>
    <t>129390006亿</t>
  </si>
  <si>
    <t>914547930亿</t>
  </si>
  <si>
    <t>853.84万</t>
  </si>
  <si>
    <t>2100.07万</t>
  </si>
  <si>
    <t>4837.04万</t>
  </si>
  <si>
    <t>1090.59万</t>
  </si>
  <si>
    <t>-3996.05万</t>
  </si>
  <si>
    <t>5314.96万</t>
  </si>
  <si>
    <t>320.90万</t>
  </si>
  <si>
    <t>2451.16万</t>
  </si>
  <si>
    <t>51.28万</t>
  </si>
  <si>
    <t>8235.24万</t>
  </si>
  <si>
    <t>7236.08万</t>
  </si>
  <si>
    <t>9164.92万</t>
  </si>
  <si>
    <t>7739.47万</t>
  </si>
  <si>
    <t>740.28万</t>
  </si>
  <si>
    <t>345.73万</t>
  </si>
  <si>
    <t>131342亿</t>
  </si>
  <si>
    <t>19044445亿</t>
  </si>
  <si>
    <t>137143130亿</t>
  </si>
  <si>
    <t>4561.68万</t>
  </si>
  <si>
    <t>1022310610亿</t>
  </si>
  <si>
    <t>1170.72万</t>
  </si>
  <si>
    <t>392.70万</t>
  </si>
  <si>
    <t>2636.84万</t>
  </si>
  <si>
    <t>1748.75万</t>
  </si>
  <si>
    <t>7054.89万</t>
  </si>
  <si>
    <t>1048.01万</t>
  </si>
  <si>
    <t>-4087.75万</t>
  </si>
  <si>
    <t>-5475.09万</t>
  </si>
  <si>
    <t>1857.88万</t>
  </si>
  <si>
    <t>10转4.015392股</t>
  </si>
  <si>
    <t>230.54万</t>
  </si>
  <si>
    <t>3132.20万</t>
  </si>
  <si>
    <t>84.82万</t>
  </si>
  <si>
    <t>18.42亿</t>
  </si>
  <si>
    <t>6.23亿</t>
  </si>
  <si>
    <t>9559.22万</t>
  </si>
  <si>
    <t>7997.29万</t>
  </si>
  <si>
    <t>633.49万</t>
  </si>
  <si>
    <t>533.81万</t>
  </si>
  <si>
    <t>693991亿</t>
  </si>
  <si>
    <t>19269296亿</t>
  </si>
  <si>
    <t>102666981亿</t>
  </si>
  <si>
    <t>1488424200亿</t>
  </si>
  <si>
    <t>200.00万</t>
  </si>
  <si>
    <t>1060.00万</t>
  </si>
  <si>
    <t>2700.00万</t>
  </si>
  <si>
    <t>1729.67万</t>
  </si>
  <si>
    <t>-2655.33万</t>
  </si>
  <si>
    <t>-698.81万</t>
  </si>
  <si>
    <t>3325.29万</t>
  </si>
  <si>
    <t>702.30万</t>
  </si>
  <si>
    <t>4885.25万</t>
  </si>
  <si>
    <t>10-1</t>
  </si>
  <si>
    <t>491.26万</t>
  </si>
  <si>
    <t>8.09亿</t>
  </si>
  <si>
    <t>12.17亿</t>
  </si>
  <si>
    <t>972.72万</t>
  </si>
  <si>
    <t>544.45万</t>
  </si>
  <si>
    <t>115661亿</t>
  </si>
  <si>
    <t>13705676亿</t>
  </si>
  <si>
    <t>310298200亿</t>
  </si>
  <si>
    <t>5158.45万</t>
  </si>
  <si>
    <t>1239572390亿</t>
  </si>
  <si>
    <t>3426.00万</t>
  </si>
  <si>
    <t>7507.60万</t>
  </si>
  <si>
    <t>16.05万</t>
  </si>
  <si>
    <t>8.14亿</t>
  </si>
  <si>
    <t>9626.19万</t>
  </si>
  <si>
    <t>-7294.98万</t>
  </si>
  <si>
    <t>-8839.38万</t>
  </si>
  <si>
    <t>6624.68万</t>
  </si>
  <si>
    <t>3715.20万</t>
  </si>
  <si>
    <t>2429.28万</t>
  </si>
  <si>
    <t>10派3.7元(含税)</t>
  </si>
  <si>
    <t>1438.34万</t>
  </si>
  <si>
    <t>6914.32万</t>
  </si>
  <si>
    <t>87.45万</t>
  </si>
  <si>
    <t>5666.42万</t>
  </si>
  <si>
    <t>940.81万</t>
  </si>
  <si>
    <t>3786.26万</t>
  </si>
  <si>
    <t>10164360亿</t>
  </si>
  <si>
    <t>1.25万</t>
  </si>
  <si>
    <t>27752147亿</t>
  </si>
  <si>
    <t>345982370亿</t>
  </si>
  <si>
    <t>1161.78万</t>
  </si>
  <si>
    <t>2077010300亿</t>
  </si>
  <si>
    <t>1636.87万</t>
  </si>
  <si>
    <t>16.65万</t>
  </si>
  <si>
    <t>3854.73万</t>
  </si>
  <si>
    <t>1598.32万</t>
  </si>
  <si>
    <t>7010.60万</t>
  </si>
  <si>
    <t>-4161.69万</t>
  </si>
  <si>
    <t>13.41亿</t>
  </si>
  <si>
    <t>4390.66万</t>
  </si>
  <si>
    <t>117.93万</t>
  </si>
  <si>
    <t>10派9元(含税)</t>
  </si>
  <si>
    <t>664.69万</t>
  </si>
  <si>
    <t>3060.96万</t>
  </si>
  <si>
    <t>056664200</t>
  </si>
  <si>
    <t>0169992600</t>
  </si>
  <si>
    <t>0339985200</t>
  </si>
  <si>
    <t>0566642000</t>
  </si>
  <si>
    <t>01133284000</t>
  </si>
  <si>
    <t>2-1</t>
  </si>
  <si>
    <t>132.44万</t>
  </si>
  <si>
    <t>37.18亿</t>
  </si>
  <si>
    <t>9086.91万</t>
  </si>
  <si>
    <t>84.38万</t>
  </si>
  <si>
    <t>667.14万</t>
  </si>
  <si>
    <t>157591亿</t>
  </si>
  <si>
    <t>-3749071亿</t>
  </si>
  <si>
    <t>73803179亿</t>
  </si>
  <si>
    <t>764420380亿</t>
  </si>
  <si>
    <t>7777.25万</t>
  </si>
  <si>
    <t>3255.16万</t>
  </si>
  <si>
    <t>6130.56万</t>
  </si>
  <si>
    <t>1466.00万</t>
  </si>
  <si>
    <t>1138.87万</t>
  </si>
  <si>
    <t>-2685.63万</t>
  </si>
  <si>
    <t>2898.23万</t>
  </si>
  <si>
    <t>11.22亿</t>
  </si>
  <si>
    <t>1463.94万</t>
  </si>
  <si>
    <t>720.84万</t>
  </si>
  <si>
    <t>4028.37万</t>
  </si>
  <si>
    <t>190.14万</t>
  </si>
  <si>
    <t>16.66亿</t>
  </si>
  <si>
    <t>4221.76万</t>
  </si>
  <si>
    <t>29.50万</t>
  </si>
  <si>
    <t>391.96万</t>
  </si>
  <si>
    <t>4971620亿</t>
  </si>
  <si>
    <t>3316771亿</t>
  </si>
  <si>
    <t>6.19亿</t>
  </si>
  <si>
    <t>52630231亿</t>
  </si>
  <si>
    <t>1467572900亿</t>
  </si>
  <si>
    <t>5736.00万</t>
  </si>
  <si>
    <t>2835.26万</t>
  </si>
  <si>
    <t>-2002.53万</t>
  </si>
  <si>
    <t>-80.53万</t>
  </si>
  <si>
    <t>19.79亿</t>
  </si>
  <si>
    <t>6405.12万</t>
  </si>
  <si>
    <t>5579.22万</t>
  </si>
  <si>
    <t>236.20万</t>
  </si>
  <si>
    <t>10转4股派10元(含税)</t>
  </si>
  <si>
    <t>1229.38万</t>
  </si>
  <si>
    <t>9634.90万</t>
  </si>
  <si>
    <t>SZ301538</t>
  </si>
  <si>
    <t>骏鼎达</t>
  </si>
  <si>
    <t>174.84万</t>
  </si>
  <si>
    <t>7294.31万</t>
  </si>
  <si>
    <t>8351.91万</t>
  </si>
  <si>
    <t>977.14万</t>
  </si>
  <si>
    <t>1086.66万</t>
  </si>
  <si>
    <t>43630065亿</t>
  </si>
  <si>
    <t>229201170亿</t>
  </si>
  <si>
    <t>452.68万</t>
  </si>
  <si>
    <t>1026413390亿</t>
  </si>
  <si>
    <t>9981.31万</t>
  </si>
  <si>
    <t>2250.00万</t>
  </si>
  <si>
    <t>536.74万</t>
  </si>
  <si>
    <t>6385.75万</t>
  </si>
  <si>
    <t>1483.13万</t>
  </si>
  <si>
    <t>3275.77万</t>
  </si>
  <si>
    <t>-2853.95万</t>
  </si>
  <si>
    <t>9854.81万</t>
  </si>
  <si>
    <t>7062.51万</t>
  </si>
  <si>
    <t>5668.73万</t>
  </si>
  <si>
    <t>6.44亿</t>
  </si>
  <si>
    <t>1255.90万</t>
  </si>
  <si>
    <t>10转4股派7元(含税)</t>
  </si>
  <si>
    <t>641.89万</t>
  </si>
  <si>
    <t>7910.17万</t>
  </si>
  <si>
    <t>20-1</t>
  </si>
  <si>
    <t>74.49万</t>
  </si>
  <si>
    <t>17.01亿</t>
  </si>
  <si>
    <t>676.27万</t>
  </si>
  <si>
    <t>1074.19万</t>
  </si>
  <si>
    <t>937238亿</t>
  </si>
  <si>
    <t>3.36万</t>
  </si>
  <si>
    <t>-5975569亿</t>
  </si>
  <si>
    <t>790635280亿</t>
  </si>
  <si>
    <t>1488701900亿</t>
  </si>
  <si>
    <t>6.82亿</t>
  </si>
  <si>
    <t>-3206.72万</t>
  </si>
  <si>
    <t>-2887.00万</t>
  </si>
  <si>
    <t>654.75万</t>
  </si>
  <si>
    <t>13.78亿</t>
  </si>
  <si>
    <t>5739.85万</t>
  </si>
  <si>
    <t>3717.37万</t>
  </si>
  <si>
    <t>10派2.2元(含税)</t>
  </si>
  <si>
    <t>443.99万</t>
  </si>
  <si>
    <t>5532.19万</t>
  </si>
  <si>
    <t>9-1</t>
  </si>
  <si>
    <t>SZ301565</t>
  </si>
  <si>
    <t>中仑新材</t>
  </si>
  <si>
    <t>1338.51万</t>
  </si>
  <si>
    <t>16.55亿</t>
  </si>
  <si>
    <t>442.05万</t>
  </si>
  <si>
    <t>1318.14万</t>
  </si>
  <si>
    <t>-645130亿</t>
  </si>
  <si>
    <t>8.07万</t>
  </si>
  <si>
    <t>52908600亿</t>
  </si>
  <si>
    <t>234056110亿</t>
  </si>
  <si>
    <t>9230.97万</t>
  </si>
  <si>
    <t>1205580660亿</t>
  </si>
  <si>
    <t>1384.78万</t>
  </si>
  <si>
    <t>6.47亿</t>
  </si>
  <si>
    <t>6570.08万</t>
  </si>
  <si>
    <t>10.39亿</t>
  </si>
  <si>
    <t>2466.44万</t>
  </si>
  <si>
    <t>-4447.73万</t>
  </si>
  <si>
    <t>-6852.43万</t>
  </si>
  <si>
    <t>19.94亿</t>
  </si>
  <si>
    <t>16.02亿</t>
  </si>
  <si>
    <t>12.64亿</t>
  </si>
  <si>
    <t>2.85亿</t>
  </si>
  <si>
    <t>-5645.64万</t>
  </si>
  <si>
    <t>23.52亿</t>
  </si>
  <si>
    <t>5594.96万</t>
  </si>
  <si>
    <t>6327.64万</t>
  </si>
  <si>
    <t>0125000000</t>
  </si>
  <si>
    <t>0375000000</t>
  </si>
  <si>
    <t>0750000000</t>
  </si>
  <si>
    <t>01250000000</t>
  </si>
  <si>
    <t>02500000000</t>
  </si>
  <si>
    <t>19-1</t>
  </si>
  <si>
    <t>172.76万</t>
  </si>
  <si>
    <t>6346.06万</t>
  </si>
  <si>
    <t>9784.81万</t>
  </si>
  <si>
    <t>9658.41万</t>
  </si>
  <si>
    <t>7730.70万</t>
  </si>
  <si>
    <t>5839.66万</t>
  </si>
  <si>
    <t>482.28万</t>
  </si>
  <si>
    <t>898.71万</t>
  </si>
  <si>
    <t>9.16万</t>
  </si>
  <si>
    <t>16713885亿</t>
  </si>
  <si>
    <t>146855120亿</t>
  </si>
  <si>
    <t>1809.18万</t>
  </si>
  <si>
    <t>761906210亿</t>
  </si>
  <si>
    <t>2489.77万</t>
  </si>
  <si>
    <t>108.37万</t>
  </si>
  <si>
    <t>5065.02万</t>
  </si>
  <si>
    <t>7695.88万</t>
  </si>
  <si>
    <t>1157.78万</t>
  </si>
  <si>
    <t>-3189.30万</t>
  </si>
  <si>
    <t>5332.58万</t>
  </si>
  <si>
    <t>4262.42万</t>
  </si>
  <si>
    <t>4551.19万</t>
  </si>
  <si>
    <t>7529.95万</t>
  </si>
  <si>
    <t>2321.53万</t>
  </si>
  <si>
    <t>10派3.13元(含税)</t>
  </si>
  <si>
    <t>984.36万</t>
  </si>
  <si>
    <t>28-1</t>
  </si>
  <si>
    <t>433.21万</t>
  </si>
  <si>
    <t>24.96亿</t>
  </si>
  <si>
    <t>-124615亿</t>
  </si>
  <si>
    <t>21.65万</t>
  </si>
  <si>
    <t>-24431277亿</t>
  </si>
  <si>
    <t>260122480亿</t>
  </si>
  <si>
    <t>1952939700亿</t>
  </si>
  <si>
    <t>5183.92万</t>
  </si>
  <si>
    <t>7081.66万</t>
  </si>
  <si>
    <t>-6.74亿</t>
  </si>
  <si>
    <t>-6300.80万</t>
  </si>
  <si>
    <t>21.81亿</t>
  </si>
  <si>
    <t>6034.14万</t>
  </si>
  <si>
    <t>21.18亿</t>
  </si>
  <si>
    <t>-4666.13万</t>
  </si>
  <si>
    <t>2013.44万</t>
  </si>
  <si>
    <t>08565000000</t>
  </si>
  <si>
    <t>017130000000</t>
  </si>
  <si>
    <t>028550000000</t>
  </si>
  <si>
    <t>057100000000</t>
  </si>
  <si>
    <t>1036.96万</t>
  </si>
  <si>
    <t>436.60亿</t>
  </si>
  <si>
    <t>181.04亿</t>
  </si>
  <si>
    <t>105.10亿</t>
  </si>
  <si>
    <t>66.08万</t>
  </si>
  <si>
    <t>5609918亿</t>
  </si>
  <si>
    <t>365.12万</t>
  </si>
  <si>
    <t>80234038亿</t>
  </si>
  <si>
    <t>48.17亿</t>
  </si>
  <si>
    <t>5479149600亿</t>
  </si>
  <si>
    <t>24317885000亿</t>
  </si>
  <si>
    <t>101.09亿</t>
  </si>
  <si>
    <t>27.32亿</t>
  </si>
  <si>
    <t>51.45亿</t>
  </si>
  <si>
    <t>-6.76亿</t>
  </si>
  <si>
    <t>479.41亿</t>
  </si>
  <si>
    <t>-1014.58万</t>
  </si>
  <si>
    <t>10派1.0元(含税)</t>
  </si>
  <si>
    <t>5347.00万</t>
  </si>
  <si>
    <t>0660800</t>
  </si>
  <si>
    <t>01982400</t>
  </si>
  <si>
    <t>03964800</t>
  </si>
  <si>
    <t>06608000</t>
  </si>
  <si>
    <t>013216000</t>
  </si>
  <si>
    <t>1512.75万</t>
  </si>
  <si>
    <t>52.15亿</t>
  </si>
  <si>
    <t>361.41亿</t>
  </si>
  <si>
    <t>93.74亿</t>
  </si>
  <si>
    <t>929.36万</t>
  </si>
  <si>
    <t>2080.83万</t>
  </si>
  <si>
    <t>6512213亿</t>
  </si>
  <si>
    <t>38.65万</t>
  </si>
  <si>
    <t>37116110亿</t>
  </si>
  <si>
    <t>8.26亿</t>
  </si>
  <si>
    <t>832270520亿</t>
  </si>
  <si>
    <t>3570646200亿</t>
  </si>
  <si>
    <t>20.74亿</t>
  </si>
  <si>
    <t>12.32亿</t>
  </si>
  <si>
    <t>3.33亿</t>
  </si>
  <si>
    <t>28.39亿</t>
  </si>
  <si>
    <t>-1.93亿</t>
  </si>
  <si>
    <t>-4.04亿</t>
  </si>
  <si>
    <t>37.37亿</t>
  </si>
  <si>
    <t>92.88亿</t>
  </si>
  <si>
    <t>30.41亿</t>
  </si>
  <si>
    <t>275.25万</t>
  </si>
  <si>
    <t>18.07亿</t>
  </si>
  <si>
    <t>14.39亿</t>
  </si>
  <si>
    <t>1182.33万</t>
  </si>
  <si>
    <t>1899.67万</t>
  </si>
  <si>
    <t>1238376亿</t>
  </si>
  <si>
    <t>100.72万</t>
  </si>
  <si>
    <t>685548亿</t>
  </si>
  <si>
    <t>411089150亿</t>
  </si>
  <si>
    <t>1514551100亿</t>
  </si>
  <si>
    <t>4.03亿</t>
  </si>
  <si>
    <t>4.80亿</t>
  </si>
  <si>
    <t>1737.24万</t>
  </si>
  <si>
    <t>5.44万</t>
  </si>
  <si>
    <t>-7292.31万</t>
  </si>
  <si>
    <t>-2379.28万</t>
  </si>
  <si>
    <t>6239.80万</t>
  </si>
  <si>
    <t>13.25亿</t>
  </si>
  <si>
    <t>-9420.87万</t>
  </si>
  <si>
    <t>3511.11万</t>
  </si>
  <si>
    <t>10派0.802元(含税)</t>
  </si>
  <si>
    <t>1634.71万</t>
  </si>
  <si>
    <t>-6-0</t>
  </si>
  <si>
    <t>403.43万</t>
  </si>
  <si>
    <t>7265.02万</t>
  </si>
  <si>
    <t>4.57亿</t>
  </si>
  <si>
    <t>3659.66万</t>
  </si>
  <si>
    <t>30.34亿</t>
  </si>
  <si>
    <t>3800.49万</t>
  </si>
  <si>
    <t>2216.16万</t>
  </si>
  <si>
    <t>391.59万</t>
  </si>
  <si>
    <t>822.41万</t>
  </si>
  <si>
    <t>681577亿</t>
  </si>
  <si>
    <t>3925.79万</t>
  </si>
  <si>
    <t>45225597亿</t>
  </si>
  <si>
    <t>190579640亿</t>
  </si>
  <si>
    <t>5395.73万</t>
  </si>
  <si>
    <t>1470.29万</t>
  </si>
  <si>
    <t>2812.93万</t>
  </si>
  <si>
    <t>5748.17万</t>
  </si>
  <si>
    <t>1123.53万</t>
  </si>
  <si>
    <t>-511.54万</t>
  </si>
  <si>
    <t>-70.73万</t>
  </si>
  <si>
    <t>233.63万</t>
  </si>
  <si>
    <t>1332.06万</t>
  </si>
  <si>
    <t>10派0.82元(含税)</t>
  </si>
  <si>
    <t>2705.38万</t>
  </si>
  <si>
    <t>ST永悦</t>
  </si>
  <si>
    <t>938.21万</t>
  </si>
  <si>
    <t>9925.61万</t>
  </si>
  <si>
    <t>6475.82万</t>
  </si>
  <si>
    <t>8030.88万</t>
  </si>
  <si>
    <t>6100.07万</t>
  </si>
  <si>
    <t>366.55万</t>
  </si>
  <si>
    <t>1356.71万</t>
  </si>
  <si>
    <t>-12695029亿</t>
  </si>
  <si>
    <t>6142.36万</t>
  </si>
  <si>
    <t>866.31万</t>
  </si>
  <si>
    <t>297188640亿</t>
  </si>
  <si>
    <t>58.00万</t>
  </si>
  <si>
    <t>850.69万</t>
  </si>
  <si>
    <t>1328.39万</t>
  </si>
  <si>
    <t>9876.32万</t>
  </si>
  <si>
    <t>-57.15万</t>
  </si>
  <si>
    <t>-631.71万</t>
  </si>
  <si>
    <t>-3910.60万</t>
  </si>
  <si>
    <t>-7008.72万</t>
  </si>
  <si>
    <t>693.07万</t>
  </si>
  <si>
    <t>5351.08万</t>
  </si>
  <si>
    <t>4.48亿</t>
  </si>
  <si>
    <t>160.97万</t>
  </si>
  <si>
    <t>3.10亿</t>
  </si>
  <si>
    <t>15.45亿</t>
  </si>
  <si>
    <t>32.01亿</t>
  </si>
  <si>
    <t>342.41万</t>
  </si>
  <si>
    <t>1356.47万</t>
  </si>
  <si>
    <t>419639亿</t>
  </si>
  <si>
    <t>15068253亿</t>
  </si>
  <si>
    <t>583025600亿</t>
  </si>
  <si>
    <t>8060.42万</t>
  </si>
  <si>
    <t>1091991040亿</t>
  </si>
  <si>
    <t>4352.34万</t>
  </si>
  <si>
    <t>9761.90万</t>
  </si>
  <si>
    <t>4000.00万</t>
  </si>
  <si>
    <t>3805.43万</t>
  </si>
  <si>
    <t>-2246.38万</t>
  </si>
  <si>
    <t>15.00亿</t>
  </si>
  <si>
    <t>7594.20万</t>
  </si>
  <si>
    <t>3262.33万</t>
  </si>
  <si>
    <t>10转3股派1.15元(含税)</t>
  </si>
  <si>
    <t>853.48万</t>
  </si>
  <si>
    <t>7519.64万</t>
  </si>
  <si>
    <t>6-0</t>
  </si>
  <si>
    <t>188.18万</t>
  </si>
  <si>
    <t>3691.61万</t>
  </si>
  <si>
    <t>29.83亿</t>
  </si>
  <si>
    <t>4479.41万</t>
  </si>
  <si>
    <t>2961.22万</t>
  </si>
  <si>
    <t>370.19万</t>
  </si>
  <si>
    <t>450.60万</t>
  </si>
  <si>
    <t>4.60万</t>
  </si>
  <si>
    <t>-6048917亿</t>
  </si>
  <si>
    <t>5103.40万</t>
  </si>
  <si>
    <t>84829783亿</t>
  </si>
  <si>
    <t>3469.46万</t>
  </si>
  <si>
    <t>303606380亿</t>
  </si>
  <si>
    <t>5141.27万</t>
  </si>
  <si>
    <t>3739.92万</t>
  </si>
  <si>
    <t>9607.76万</t>
  </si>
  <si>
    <t>-3348.43万</t>
  </si>
  <si>
    <t>-3.58万</t>
  </si>
  <si>
    <t>5096.47万</t>
  </si>
  <si>
    <t>-4442.35万</t>
  </si>
  <si>
    <t>4370.74万</t>
  </si>
  <si>
    <t>373.00万</t>
  </si>
  <si>
    <t>4134.20万</t>
  </si>
  <si>
    <t>127.78万</t>
  </si>
  <si>
    <t>26.41亿</t>
  </si>
  <si>
    <t>21.65亿</t>
  </si>
  <si>
    <t>27.57亿</t>
  </si>
  <si>
    <t>7.33亿</t>
  </si>
  <si>
    <t>290.86万</t>
  </si>
  <si>
    <t>834.52万</t>
  </si>
  <si>
    <t>104.91万</t>
  </si>
  <si>
    <t>41639685亿</t>
  </si>
  <si>
    <t>392552230亿</t>
  </si>
  <si>
    <t>1553248200亿</t>
  </si>
  <si>
    <t>7.92亿</t>
  </si>
  <si>
    <t>6398.68万</t>
  </si>
  <si>
    <t>32.00万</t>
  </si>
  <si>
    <t>16.83亿</t>
  </si>
  <si>
    <t>8.48亿</t>
  </si>
  <si>
    <t>-6249.49万</t>
  </si>
  <si>
    <t>-1.66亿</t>
  </si>
  <si>
    <t>14.16亿</t>
  </si>
  <si>
    <t>9500.95万</t>
  </si>
  <si>
    <t>7940.69万</t>
  </si>
  <si>
    <t>10派3.1元(含税)</t>
  </si>
  <si>
    <t>451.34万</t>
  </si>
  <si>
    <t>3697.36万</t>
  </si>
  <si>
    <t>468.72万</t>
  </si>
  <si>
    <t>15.56亿</t>
  </si>
  <si>
    <t>112.63亿</t>
  </si>
  <si>
    <t>20.40亿</t>
  </si>
  <si>
    <t>1340.34万</t>
  </si>
  <si>
    <t>2561.47万</t>
  </si>
  <si>
    <t>531378亿</t>
  </si>
  <si>
    <t>68.75万</t>
  </si>
  <si>
    <t>25904418亿</t>
  </si>
  <si>
    <t>370465900亿</t>
  </si>
  <si>
    <t>1403740200亿</t>
  </si>
  <si>
    <t>11.48亿</t>
  </si>
  <si>
    <t>-7412.96万</t>
  </si>
  <si>
    <t>7547.47万</t>
  </si>
  <si>
    <t>21.31亿</t>
  </si>
  <si>
    <t>24.91亿</t>
  </si>
  <si>
    <t>7014.62万</t>
  </si>
  <si>
    <t>2515.23万</t>
  </si>
  <si>
    <t>659.43万</t>
  </si>
  <si>
    <t>38.79亿</t>
  </si>
  <si>
    <t>106.06亿</t>
  </si>
  <si>
    <t>21.35亿</t>
  </si>
  <si>
    <t>16.47亿</t>
  </si>
  <si>
    <t>7616.58万</t>
  </si>
  <si>
    <t>-14344657亿</t>
  </si>
  <si>
    <t>92.47万</t>
  </si>
  <si>
    <t>126186313亿</t>
  </si>
  <si>
    <t>2158433500亿</t>
  </si>
  <si>
    <t>7375487400亿</t>
  </si>
  <si>
    <t>12.85亿</t>
  </si>
  <si>
    <t>35.44亿</t>
  </si>
  <si>
    <t>-1.58亿</t>
  </si>
  <si>
    <t>91.20亿</t>
  </si>
  <si>
    <t>2852.80万</t>
  </si>
  <si>
    <t>4435.31万</t>
  </si>
  <si>
    <t>0174000000</t>
  </si>
  <si>
    <t>0522000000</t>
  </si>
  <si>
    <t>01044000000</t>
  </si>
  <si>
    <t>01740000000</t>
  </si>
  <si>
    <t>03480000000</t>
  </si>
  <si>
    <t>82.78万</t>
  </si>
  <si>
    <t>23.09亿</t>
  </si>
  <si>
    <t>8848.77万</t>
  </si>
  <si>
    <t>3166.41万</t>
  </si>
  <si>
    <t>4898.15万</t>
  </si>
  <si>
    <t>791162亿</t>
  </si>
  <si>
    <t>17.88万</t>
  </si>
  <si>
    <t>70163708亿</t>
  </si>
  <si>
    <t>335016270亿</t>
  </si>
  <si>
    <t>4.75万</t>
  </si>
  <si>
    <t>2783954600亿</t>
  </si>
  <si>
    <t>16.63亿</t>
  </si>
  <si>
    <t>6618.73万</t>
  </si>
  <si>
    <t>-2.98亿</t>
  </si>
  <si>
    <t>1790.57万</t>
  </si>
  <si>
    <t>2818.62万</t>
  </si>
  <si>
    <t>366.95万</t>
  </si>
  <si>
    <t>2622.65万</t>
  </si>
  <si>
    <t>088487700</t>
  </si>
  <si>
    <t>0265463100</t>
  </si>
  <si>
    <t>0530926200</t>
  </si>
  <si>
    <t>0884877000</t>
  </si>
  <si>
    <t>01769754000</t>
  </si>
  <si>
    <t>14.88亿</t>
  </si>
  <si>
    <t>8.19亿</t>
  </si>
  <si>
    <t>9210.45万</t>
  </si>
  <si>
    <t>115.99万</t>
  </si>
  <si>
    <t>674.62万</t>
  </si>
  <si>
    <t>5.34万</t>
  </si>
  <si>
    <t>6461665亿</t>
  </si>
  <si>
    <t>7.46亿</t>
  </si>
  <si>
    <t>50877699亿</t>
  </si>
  <si>
    <t>265.10万</t>
  </si>
  <si>
    <t>988937070亿</t>
  </si>
  <si>
    <t>8175.92万</t>
  </si>
  <si>
    <t>5248.49万</t>
  </si>
  <si>
    <t>9002.16万</t>
  </si>
  <si>
    <t>-2225.17万</t>
  </si>
  <si>
    <t>-9800.33万</t>
  </si>
  <si>
    <t>1395.05万</t>
  </si>
  <si>
    <t>4703.54万</t>
  </si>
  <si>
    <t>4354.90万</t>
  </si>
  <si>
    <t>2184.12万</t>
  </si>
  <si>
    <t>505.27万</t>
  </si>
  <si>
    <t>3352.49万</t>
  </si>
  <si>
    <t>190.88万</t>
  </si>
  <si>
    <t>46.37亿</t>
  </si>
  <si>
    <t>19.55亿</t>
  </si>
  <si>
    <t>12.75亿</t>
  </si>
  <si>
    <t>26.00亿</t>
  </si>
  <si>
    <t>-5.06亿</t>
  </si>
  <si>
    <t>3480.23万</t>
  </si>
  <si>
    <t>3593.53万</t>
  </si>
  <si>
    <t>-3415990亿</t>
  </si>
  <si>
    <t>5.04万</t>
  </si>
  <si>
    <t>32962867亿</t>
  </si>
  <si>
    <t>1524927900亿</t>
  </si>
  <si>
    <t>3750797900亿</t>
  </si>
  <si>
    <t>31.12亿</t>
  </si>
  <si>
    <t>-6521.62万</t>
  </si>
  <si>
    <t>-9037.13万</t>
  </si>
  <si>
    <t>5915.93万</t>
  </si>
  <si>
    <t>53.49亿</t>
  </si>
  <si>
    <t>4.08亿</t>
  </si>
  <si>
    <t>-1.96亿</t>
  </si>
  <si>
    <t>996.20万</t>
  </si>
  <si>
    <t>5654.53万</t>
  </si>
  <si>
    <t>102.99万</t>
  </si>
  <si>
    <t>5470.35万</t>
  </si>
  <si>
    <t>5977.37万</t>
  </si>
  <si>
    <t>7185.16万</t>
  </si>
  <si>
    <t>4259.45万</t>
  </si>
  <si>
    <t>144.82万</t>
  </si>
  <si>
    <t>1070.43万</t>
  </si>
  <si>
    <t>-177383亿</t>
  </si>
  <si>
    <t>-16465466亿</t>
  </si>
  <si>
    <t>9846.84万</t>
  </si>
  <si>
    <t>62790973亿</t>
  </si>
  <si>
    <t>2947.89万</t>
  </si>
  <si>
    <t>315004820亿</t>
  </si>
  <si>
    <t>3000.00万</t>
  </si>
  <si>
    <t>2784.34万</t>
  </si>
  <si>
    <t>3290.28万</t>
  </si>
  <si>
    <t>-2046.68万</t>
  </si>
  <si>
    <t>636.67万</t>
  </si>
  <si>
    <t>2884.06万</t>
  </si>
  <si>
    <t>-1960.30万</t>
  </si>
  <si>
    <t>-159.28万</t>
  </si>
  <si>
    <t>448.87万</t>
  </si>
  <si>
    <t>4567.06万</t>
  </si>
  <si>
    <t>30.86万</t>
  </si>
  <si>
    <t>78.48亿</t>
  </si>
  <si>
    <t>-3.57亿</t>
  </si>
  <si>
    <t>7570.83万</t>
  </si>
  <si>
    <t>5164.93万</t>
  </si>
  <si>
    <t>406.57万</t>
  </si>
  <si>
    <t>1255.75万</t>
  </si>
  <si>
    <t>-2779938亿</t>
  </si>
  <si>
    <t>16511791亿</t>
  </si>
  <si>
    <t>5294.11万</t>
  </si>
  <si>
    <t>149287940亿</t>
  </si>
  <si>
    <t>4276.33万</t>
  </si>
  <si>
    <t>420396450亿</t>
  </si>
  <si>
    <t>3562.19万</t>
  </si>
  <si>
    <t>4303.77万</t>
  </si>
  <si>
    <t>5422.96万</t>
  </si>
  <si>
    <t>6007.33万</t>
  </si>
  <si>
    <t>1519.26万</t>
  </si>
  <si>
    <t>-2460.24万</t>
  </si>
  <si>
    <t>389.45万</t>
  </si>
  <si>
    <t>8653.62万</t>
  </si>
  <si>
    <t>3737.44万</t>
  </si>
  <si>
    <t>184.12万</t>
  </si>
  <si>
    <t>1217.83万</t>
  </si>
  <si>
    <t>197.39万</t>
  </si>
  <si>
    <t>12.25亿</t>
  </si>
  <si>
    <t>12.14亿</t>
  </si>
  <si>
    <t>738.97万</t>
  </si>
  <si>
    <t>1482.51万</t>
  </si>
  <si>
    <t>68223亿</t>
  </si>
  <si>
    <t>19.17万</t>
  </si>
  <si>
    <t>16936472亿</t>
  </si>
  <si>
    <t>460315120亿</t>
  </si>
  <si>
    <t>1315520520亿</t>
  </si>
  <si>
    <t>755.04万</t>
  </si>
  <si>
    <t>9313.93万</t>
  </si>
  <si>
    <t>1047.12万</t>
  </si>
  <si>
    <t>-110.61万</t>
  </si>
  <si>
    <t>7094.21万</t>
  </si>
  <si>
    <t>6020.67万</t>
  </si>
  <si>
    <t>1019.09万</t>
  </si>
  <si>
    <t>7005.32万</t>
  </si>
  <si>
    <t>86.02万</t>
  </si>
  <si>
    <t>31.39亿</t>
  </si>
  <si>
    <t>17.53亿</t>
  </si>
  <si>
    <t>-7099.03万</t>
  </si>
  <si>
    <t>1425.38万</t>
  </si>
  <si>
    <t>5283.19万</t>
  </si>
  <si>
    <t>-79547亿</t>
  </si>
  <si>
    <t>205.12万</t>
  </si>
  <si>
    <t>-12168180亿</t>
  </si>
  <si>
    <t>975609660亿</t>
  </si>
  <si>
    <t>2577798200亿</t>
  </si>
  <si>
    <t>7.72亿</t>
  </si>
  <si>
    <t>6.49亿</t>
  </si>
  <si>
    <t>8.52亿</t>
  </si>
  <si>
    <t>6079.59万</t>
  </si>
  <si>
    <t>-9344.82万</t>
  </si>
  <si>
    <t>2321.66万</t>
  </si>
  <si>
    <t>39.06亿</t>
  </si>
  <si>
    <t>4461.92万</t>
  </si>
  <si>
    <t>36.85亿</t>
  </si>
  <si>
    <t>2857.85万</t>
  </si>
  <si>
    <t>3634.62万</t>
  </si>
  <si>
    <t>510.81万</t>
  </si>
  <si>
    <t>3832.94万</t>
  </si>
  <si>
    <t>76.55万</t>
  </si>
  <si>
    <t>8774.80万</t>
  </si>
  <si>
    <t>3917.58万</t>
  </si>
  <si>
    <t>44.73亿</t>
  </si>
  <si>
    <t>10.65亿</t>
  </si>
  <si>
    <t>3959.05万</t>
  </si>
  <si>
    <t>2244.15万</t>
  </si>
  <si>
    <t>252.35万</t>
  </si>
  <si>
    <t>1092.56万</t>
  </si>
  <si>
    <t>195632亿</t>
  </si>
  <si>
    <t>6.34亿</t>
  </si>
  <si>
    <t>55164754亿</t>
  </si>
  <si>
    <t>2176.29万</t>
  </si>
  <si>
    <t>978442100亿</t>
  </si>
  <si>
    <t>3127.49万</t>
  </si>
  <si>
    <t>528.62万</t>
  </si>
  <si>
    <t>4163.76万</t>
  </si>
  <si>
    <t>-992.41万</t>
  </si>
  <si>
    <t>2782.44万</t>
  </si>
  <si>
    <t>5455.38万</t>
  </si>
  <si>
    <t>343.82万</t>
  </si>
  <si>
    <t>3651.88万</t>
  </si>
  <si>
    <t>61.61万</t>
  </si>
  <si>
    <t>7606.49万</t>
  </si>
  <si>
    <t>7297.98万</t>
  </si>
  <si>
    <t>4968.47万</t>
  </si>
  <si>
    <t>194.59万</t>
  </si>
  <si>
    <t>1319.89万</t>
  </si>
  <si>
    <t>-126156亿</t>
  </si>
  <si>
    <t>2866424亿</t>
  </si>
  <si>
    <t>6290.17万</t>
  </si>
  <si>
    <t>67879987亿</t>
  </si>
  <si>
    <t>615.89万</t>
  </si>
  <si>
    <t>283790650亿</t>
  </si>
  <si>
    <t>7670.64万</t>
  </si>
  <si>
    <t>3697.50万</t>
  </si>
  <si>
    <t>7969.79万</t>
  </si>
  <si>
    <t>-271.46万</t>
  </si>
  <si>
    <t>-591.03万</t>
  </si>
  <si>
    <t>-810.83万</t>
  </si>
  <si>
    <t>9386.21万</t>
  </si>
  <si>
    <t>4594.01万</t>
  </si>
  <si>
    <t>1435.75万</t>
  </si>
  <si>
    <t>10派1.1514元(含税)</t>
  </si>
  <si>
    <t>270.80万</t>
  </si>
  <si>
    <t>2094.90万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</si>
</sst>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b/>
      <sz val="11"/>
      <color theme="1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7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8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323850</xdr:colOff>
          <xdr:row>0</xdr:row>
          <xdr:rowOff>101600</xdr:rowOff>
        </xdr:from>
        <xdr:to>
          <xdr:col>147</xdr:col>
          <xdr:colOff>1511300</xdr:colOff>
          <xdr:row>0</xdr:row>
          <xdr:rowOff>412750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72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3" sqref="C2:C3"/>
    </sheetView>
  </sheetViews>
  <sheetFormatPr defaultRowHeight="14" x14ac:dyDescent="0.25"/>
  <cols>
    <col min="1" max="1" width="43.26953125" customWidth="1"/>
    <col min="2" max="2" width="53.1796875" customWidth="1"/>
    <col min="3" max="3" width="52.36328125" customWidth="1"/>
    <col min="148" max="148" width="26.36328125" customWidth="1"/>
  </cols>
  <sheetData>
    <row r="1" spans="1:146" s="3" customFormat="1" ht="43.5" customHeight="1" x14ac:dyDescent="0.25">
      <c r="A1" s="4" t="s">
        <v>29</v>
      </c>
      <c r="B1" s="5" t="s">
        <v>30</v>
      </c>
      <c r="C1" s="4" t="s">
        <v>31</v>
      </c>
      <c r="D1" t="s">
        <v>32</v>
      </c>
      <c r="E1" t="s">
        <v>746</v>
      </c>
      <c r="F1" t="s">
        <v>3</v>
      </c>
      <c r="G1" t="s">
        <v>893</v>
      </c>
      <c r="H1" t="s">
        <v>894</v>
      </c>
      <c r="I1" t="s">
        <v>33</v>
      </c>
      <c r="J1" t="s">
        <v>34</v>
      </c>
      <c r="K1" t="s">
        <v>4</v>
      </c>
      <c r="L1" t="s">
        <v>35</v>
      </c>
      <c r="M1" t="s">
        <v>36</v>
      </c>
      <c r="N1" t="s">
        <v>37</v>
      </c>
      <c r="O1" t="s">
        <v>38</v>
      </c>
      <c r="P1" t="s">
        <v>895</v>
      </c>
      <c r="Q1" t="s">
        <v>796</v>
      </c>
      <c r="R1" t="s">
        <v>747</v>
      </c>
      <c r="S1" t="s">
        <v>39</v>
      </c>
      <c r="T1" t="s">
        <v>896</v>
      </c>
      <c r="U1" t="s">
        <v>638</v>
      </c>
      <c r="V1" t="s">
        <v>40</v>
      </c>
      <c r="W1" t="s">
        <v>797</v>
      </c>
      <c r="X1" t="s">
        <v>798</v>
      </c>
      <c r="Y1" t="s">
        <v>799</v>
      </c>
      <c r="Z1" t="s">
        <v>800</v>
      </c>
      <c r="AA1" t="s">
        <v>801</v>
      </c>
      <c r="AB1" t="s">
        <v>897</v>
      </c>
      <c r="AC1" t="s">
        <v>802</v>
      </c>
      <c r="AD1" t="s">
        <v>748</v>
      </c>
      <c r="AE1" t="s">
        <v>41</v>
      </c>
      <c r="AF1" t="s">
        <v>42</v>
      </c>
      <c r="AG1" t="s">
        <v>898</v>
      </c>
      <c r="AH1" t="s">
        <v>749</v>
      </c>
      <c r="AI1" t="s">
        <v>899</v>
      </c>
      <c r="AJ1" t="s">
        <v>43</v>
      </c>
      <c r="AK1" t="s">
        <v>900</v>
      </c>
      <c r="AL1" t="s">
        <v>256</v>
      </c>
      <c r="AM1" t="s">
        <v>901</v>
      </c>
      <c r="AN1" t="s">
        <v>902</v>
      </c>
      <c r="AO1" t="s">
        <v>903</v>
      </c>
      <c r="AP1" t="s">
        <v>904</v>
      </c>
      <c r="AQ1" t="s">
        <v>905</v>
      </c>
      <c r="AR1" t="s">
        <v>906</v>
      </c>
      <c r="AS1" t="s">
        <v>907</v>
      </c>
      <c r="AT1" t="s">
        <v>908</v>
      </c>
      <c r="AU1" t="s">
        <v>909</v>
      </c>
      <c r="AV1" t="s">
        <v>910</v>
      </c>
      <c r="AW1" t="s">
        <v>911</v>
      </c>
      <c r="AX1" t="s">
        <v>750</v>
      </c>
      <c r="AY1" t="s">
        <v>257</v>
      </c>
      <c r="AZ1" t="s">
        <v>258</v>
      </c>
      <c r="BA1" t="s">
        <v>259</v>
      </c>
      <c r="BB1" t="s">
        <v>260</v>
      </c>
      <c r="BC1" t="s">
        <v>639</v>
      </c>
      <c r="BD1" t="s">
        <v>261</v>
      </c>
      <c r="BE1" t="s">
        <v>262</v>
      </c>
      <c r="BF1" t="s">
        <v>263</v>
      </c>
      <c r="BG1" t="s">
        <v>264</v>
      </c>
      <c r="BH1" t="s">
        <v>912</v>
      </c>
      <c r="BI1" t="s">
        <v>913</v>
      </c>
      <c r="BJ1" t="s">
        <v>914</v>
      </c>
      <c r="BK1" t="s">
        <v>915</v>
      </c>
      <c r="BL1" t="s">
        <v>916</v>
      </c>
      <c r="BM1" t="s">
        <v>917</v>
      </c>
      <c r="BN1" t="s">
        <v>751</v>
      </c>
      <c r="BO1" t="s">
        <v>640</v>
      </c>
      <c r="BP1" t="s">
        <v>265</v>
      </c>
      <c r="BQ1" t="s">
        <v>752</v>
      </c>
      <c r="BR1" t="s">
        <v>641</v>
      </c>
      <c r="BS1" t="s">
        <v>266</v>
      </c>
      <c r="BT1" t="s">
        <v>918</v>
      </c>
      <c r="BU1" t="s">
        <v>803</v>
      </c>
      <c r="BV1" t="s">
        <v>919</v>
      </c>
      <c r="BW1" t="s">
        <v>267</v>
      </c>
      <c r="BX1" t="s">
        <v>268</v>
      </c>
      <c r="BY1" t="s">
        <v>920</v>
      </c>
      <c r="BZ1" t="s">
        <v>269</v>
      </c>
      <c r="CA1" t="s">
        <v>270</v>
      </c>
      <c r="CB1" t="s">
        <v>921</v>
      </c>
      <c r="CC1" t="s">
        <v>922</v>
      </c>
      <c r="CD1" t="s">
        <v>923</v>
      </c>
      <c r="CE1" t="s">
        <v>924</v>
      </c>
      <c r="CF1" s="1" t="s">
        <v>753</v>
      </c>
      <c r="CG1" s="1" t="s">
        <v>754</v>
      </c>
      <c r="CH1" s="1" t="s">
        <v>755</v>
      </c>
      <c r="CI1" s="1" t="s">
        <v>756</v>
      </c>
      <c r="CJ1" s="1" t="s">
        <v>757</v>
      </c>
      <c r="CK1" s="1" t="s">
        <v>758</v>
      </c>
      <c r="CL1" s="1" t="s">
        <v>759</v>
      </c>
      <c r="CM1" s="1" t="s">
        <v>760</v>
      </c>
      <c r="CN1" s="1" t="s">
        <v>761</v>
      </c>
      <c r="CO1" s="1" t="s">
        <v>762</v>
      </c>
      <c r="CP1" s="1" t="s">
        <v>763</v>
      </c>
      <c r="CQ1" s="1" t="s">
        <v>764</v>
      </c>
      <c r="CR1" s="1" t="s">
        <v>804</v>
      </c>
      <c r="CS1" s="1" t="s">
        <v>947</v>
      </c>
      <c r="CT1" s="1" t="s">
        <v>948</v>
      </c>
      <c r="CU1" s="1" t="s">
        <v>925</v>
      </c>
      <c r="CV1" s="1" t="s">
        <v>949</v>
      </c>
      <c r="CW1" s="1" t="s">
        <v>926</v>
      </c>
      <c r="CX1">
        <v>1</v>
      </c>
      <c r="CY1" t="s">
        <v>927</v>
      </c>
      <c r="CZ1" t="s">
        <v>928</v>
      </c>
      <c r="DA1">
        <v>3</v>
      </c>
      <c r="DB1" t="s">
        <v>950</v>
      </c>
      <c r="DC1" t="s">
        <v>951</v>
      </c>
      <c r="DD1">
        <v>6</v>
      </c>
      <c r="DE1" t="s">
        <v>929</v>
      </c>
      <c r="DF1" t="s">
        <v>930</v>
      </c>
      <c r="DG1">
        <v>10</v>
      </c>
      <c r="DH1" t="s">
        <v>952</v>
      </c>
      <c r="DI1" t="s">
        <v>953</v>
      </c>
      <c r="DJ1">
        <v>20</v>
      </c>
      <c r="DK1" t="s">
        <v>954</v>
      </c>
      <c r="DL1" t="s">
        <v>765</v>
      </c>
      <c r="DM1" t="s">
        <v>766</v>
      </c>
      <c r="DN1" s="2" t="s">
        <v>767</v>
      </c>
      <c r="DO1" t="s">
        <v>955</v>
      </c>
      <c r="DP1" t="s">
        <v>931</v>
      </c>
      <c r="DQ1" s="14" t="s">
        <v>932</v>
      </c>
      <c r="DR1" s="1" t="s">
        <v>933</v>
      </c>
      <c r="DS1" s="1" t="s">
        <v>956</v>
      </c>
      <c r="DT1" t="s">
        <v>934</v>
      </c>
      <c r="DU1" t="s">
        <v>935</v>
      </c>
      <c r="DV1" t="s">
        <v>936</v>
      </c>
      <c r="DW1" t="s">
        <v>937</v>
      </c>
      <c r="DX1" t="s">
        <v>957</v>
      </c>
      <c r="DY1" t="s">
        <v>938</v>
      </c>
      <c r="DZ1" t="s">
        <v>958</v>
      </c>
      <c r="EA1" t="s">
        <v>939</v>
      </c>
      <c r="EB1" t="s">
        <v>940</v>
      </c>
      <c r="EC1" t="s">
        <v>959</v>
      </c>
      <c r="ED1" t="s">
        <v>960</v>
      </c>
      <c r="EE1" t="s">
        <v>941</v>
      </c>
      <c r="EF1" t="s">
        <v>942</v>
      </c>
      <c r="EG1" t="s">
        <v>943</v>
      </c>
      <c r="EH1" t="s">
        <v>944</v>
      </c>
      <c r="EI1" t="s">
        <v>805</v>
      </c>
      <c r="EJ1"/>
      <c r="EK1" s="15" t="s">
        <v>961</v>
      </c>
      <c r="EL1" t="s">
        <v>962</v>
      </c>
      <c r="EM1" t="s">
        <v>963</v>
      </c>
      <c r="EN1" t="s">
        <v>806</v>
      </c>
      <c r="EO1" t="s">
        <v>945</v>
      </c>
      <c r="EP1" t="s">
        <v>946</v>
      </c>
    </row>
    <row r="2" spans="1:146" ht="84" x14ac:dyDescent="0.25">
      <c r="C2" s="8" t="str">
        <f>""&amp;CHAR(10)&amp;Basic_Fundamental_Information_Constructure(F2)&amp;CHAR(10)&amp;Basic_Fundamental_Information_Concatenate("")</f>
        <v xml:space="preserve">
市值518.98035亿, 利润7.17亿; PE229.4; 平均PE33.67; 平均PEG.7, PB1.49; ROIC3.9833%; ROE8.58%; 股利率1.2739%; 毛利11.8867%; 净利3.73%; 上一年度营收增119.87%, 利润增17.35%; 当季营收增24.34%, 利润增-66.55%; 过往5年营收增47.97%, 利润增88.39%
Income profile:
</v>
      </c>
      <c r="D2" t="s">
        <v>44</v>
      </c>
      <c r="E2" t="s">
        <v>22</v>
      </c>
      <c r="F2">
        <v>7.85</v>
      </c>
      <c r="G2">
        <v>0.38</v>
      </c>
      <c r="H2" t="s">
        <v>1186</v>
      </c>
      <c r="I2">
        <v>51898035000</v>
      </c>
      <c r="J2">
        <v>229.4</v>
      </c>
      <c r="K2">
        <v>1.49</v>
      </c>
      <c r="L2" t="s">
        <v>1187</v>
      </c>
      <c r="M2" t="s">
        <v>1188</v>
      </c>
      <c r="N2" t="s">
        <v>1189</v>
      </c>
      <c r="O2" t="s">
        <v>1190</v>
      </c>
      <c r="P2" s="6">
        <v>24.34</v>
      </c>
      <c r="Q2" t="s">
        <v>1191</v>
      </c>
      <c r="R2">
        <v>246888250</v>
      </c>
      <c r="S2">
        <v>-0.6653</v>
      </c>
      <c r="T2" t="s">
        <v>1192</v>
      </c>
      <c r="U2">
        <v>5497011800</v>
      </c>
      <c r="V2">
        <v>6611214700</v>
      </c>
      <c r="W2">
        <v>5.63</v>
      </c>
      <c r="X2">
        <v>0.19</v>
      </c>
      <c r="Y2">
        <v>0.66</v>
      </c>
      <c r="Z2" t="s">
        <v>1193</v>
      </c>
      <c r="AA2" t="s">
        <v>1194</v>
      </c>
      <c r="AB2" t="s">
        <v>1195</v>
      </c>
      <c r="AC2" t="s">
        <v>1116</v>
      </c>
      <c r="AD2" t="s">
        <v>25</v>
      </c>
      <c r="AE2">
        <v>1169591090</v>
      </c>
      <c r="AF2" t="s">
        <v>1196</v>
      </c>
      <c r="AG2" t="s">
        <v>1197</v>
      </c>
      <c r="AH2" t="s">
        <v>1198</v>
      </c>
      <c r="AI2" t="s">
        <v>1199</v>
      </c>
      <c r="AJ2" t="s">
        <v>1200</v>
      </c>
      <c r="AK2" t="s">
        <v>81</v>
      </c>
      <c r="AL2" t="s">
        <v>1201</v>
      </c>
      <c r="AM2" t="s">
        <v>25</v>
      </c>
      <c r="AN2" t="s">
        <v>1202</v>
      </c>
      <c r="AO2" t="s">
        <v>1203</v>
      </c>
      <c r="AP2" t="s">
        <v>25</v>
      </c>
      <c r="AQ2" t="s">
        <v>1204</v>
      </c>
      <c r="AR2" t="s">
        <v>1205</v>
      </c>
      <c r="AS2" t="s">
        <v>1206</v>
      </c>
      <c r="AT2" t="s">
        <v>1207</v>
      </c>
      <c r="AU2" t="s">
        <v>1208</v>
      </c>
      <c r="AV2" t="s">
        <v>1209</v>
      </c>
      <c r="AW2" t="s">
        <v>1210</v>
      </c>
      <c r="AX2" t="s">
        <v>1211</v>
      </c>
      <c r="AY2" t="s">
        <v>991</v>
      </c>
      <c r="AZ2" t="s">
        <v>642</v>
      </c>
      <c r="BA2" t="s">
        <v>45</v>
      </c>
      <c r="BB2" t="s">
        <v>271</v>
      </c>
      <c r="BC2" t="s">
        <v>401</v>
      </c>
      <c r="BD2" t="s">
        <v>992</v>
      </c>
      <c r="BE2" t="s">
        <v>643</v>
      </c>
      <c r="BF2" t="s">
        <v>46</v>
      </c>
      <c r="BG2" t="s">
        <v>198</v>
      </c>
      <c r="BH2" t="s">
        <v>1191</v>
      </c>
      <c r="BI2" t="s">
        <v>1212</v>
      </c>
      <c r="BJ2" t="s">
        <v>1211</v>
      </c>
      <c r="BK2" t="s">
        <v>1192</v>
      </c>
      <c r="BL2" t="s">
        <v>379</v>
      </c>
      <c r="BM2" t="s">
        <v>401</v>
      </c>
      <c r="BN2">
        <v>2.87</v>
      </c>
      <c r="BO2">
        <v>2.25</v>
      </c>
      <c r="BP2">
        <v>6.83</v>
      </c>
      <c r="BQ2">
        <v>6.75</v>
      </c>
      <c r="BR2">
        <v>1.88</v>
      </c>
      <c r="BS2">
        <v>17.11</v>
      </c>
      <c r="BT2" t="s">
        <v>969</v>
      </c>
      <c r="BU2" t="s">
        <v>815</v>
      </c>
      <c r="BV2">
        <v>11.27</v>
      </c>
      <c r="BW2">
        <v>7.67</v>
      </c>
      <c r="BX2">
        <v>16.72</v>
      </c>
      <c r="BY2">
        <v>0.51</v>
      </c>
      <c r="BZ2">
        <v>0.85</v>
      </c>
      <c r="CA2">
        <v>9.83</v>
      </c>
      <c r="CB2">
        <v>-1.51</v>
      </c>
      <c r="CC2" s="10">
        <v>-15.41</v>
      </c>
      <c r="CD2" s="11" t="s">
        <v>1213</v>
      </c>
      <c r="CE2" s="10" t="s">
        <v>420</v>
      </c>
      <c r="CF2" s="10">
        <v>0.24340880630859293</v>
      </c>
      <c r="CG2" s="10">
        <v>-0.66546307588075881</v>
      </c>
      <c r="CH2" s="10">
        <v>1.1987380981445312</v>
      </c>
      <c r="CI2" s="10">
        <v>0.21224135160446167</v>
      </c>
      <c r="CJ2" s="11">
        <v>0.56354790925979614</v>
      </c>
      <c r="CK2" s="11">
        <v>0.35402601957321167</v>
      </c>
      <c r="CL2" s="11">
        <v>6.9807447493076324E-2</v>
      </c>
      <c r="CM2" s="11">
        <v>0.17348608374595642</v>
      </c>
      <c r="CN2" s="11">
        <v>-0.86644810438156128</v>
      </c>
      <c r="CO2">
        <v>4.9647979736328125</v>
      </c>
      <c r="CP2">
        <v>-0.52478313446044922</v>
      </c>
      <c r="CQ2">
        <v>0.6725388765335083</v>
      </c>
      <c r="CR2" s="10">
        <v>33.667229970807654</v>
      </c>
      <c r="CS2" s="11">
        <v>0.70188000080672086</v>
      </c>
      <c r="CT2">
        <v>1.2738853503184715</v>
      </c>
      <c r="CU2">
        <v>0.47967216521501543</v>
      </c>
      <c r="CV2">
        <v>0.88391833901405337</v>
      </c>
      <c r="CW2">
        <v>0.06</v>
      </c>
      <c r="CX2">
        <v>170.64213485297336</v>
      </c>
      <c r="CY2">
        <v>1000872587.2256283</v>
      </c>
      <c r="CZ2">
        <v>0.47967216521501543</v>
      </c>
      <c r="DA2">
        <v>40.724268151064791</v>
      </c>
      <c r="DB2">
        <v>4193839269.6575551</v>
      </c>
      <c r="DC2">
        <v>0.45568855695426463</v>
      </c>
      <c r="DD2">
        <v>12.55419832188989</v>
      </c>
      <c r="DE2">
        <v>13604296397.182404</v>
      </c>
      <c r="DF2">
        <v>0.4221115053892136</v>
      </c>
      <c r="DG2">
        <v>4.1680215196815489</v>
      </c>
      <c r="DH2">
        <v>40976524279.809624</v>
      </c>
      <c r="DI2">
        <v>0.38373773217201235</v>
      </c>
      <c r="DJ2">
        <v>0.48699189191213976</v>
      </c>
      <c r="DK2">
        <v>350706116131.42242</v>
      </c>
      <c r="DL2">
        <v>0.3357705156505108</v>
      </c>
      <c r="DM2">
        <v>717000000</v>
      </c>
      <c r="DN2">
        <v>0.47967216521501543</v>
      </c>
      <c r="DO2">
        <v>170791035000</v>
      </c>
      <c r="DP2">
        <v>-43189380000</v>
      </c>
      <c r="DQ2" s="12">
        <v>65</v>
      </c>
      <c r="DR2">
        <v>-0.2362633589064225</v>
      </c>
      <c r="DS2">
        <v>-1.5493814148948122</v>
      </c>
      <c r="DT2">
        <v>0.29333333333333339</v>
      </c>
      <c r="DU2">
        <v>-0.10333333333333328</v>
      </c>
      <c r="DV2">
        <v>0.19000000000000011</v>
      </c>
      <c r="DW2">
        <v>-2.1541000000000001</v>
      </c>
      <c r="DX2">
        <v>0.31529016393442461</v>
      </c>
      <c r="DY2">
        <v>-2.020848214262295</v>
      </c>
      <c r="DZ2">
        <v>1286</v>
      </c>
      <c r="EA2">
        <v>-2.0156014816710401</v>
      </c>
      <c r="EB2" s="13">
        <v>2</v>
      </c>
      <c r="EC2" s="13">
        <v>6.2414400185793395E-3</v>
      </c>
      <c r="ED2">
        <v>4.6133730916347336E-2</v>
      </c>
      <c r="EE2">
        <v>7.7909999999999993E-2</v>
      </c>
      <c r="EF2">
        <v>9.8809999999999995E-2</v>
      </c>
      <c r="EG2">
        <v>18.135290163934425</v>
      </c>
      <c r="EH2" s="15">
        <v>-1</v>
      </c>
      <c r="EI2">
        <v>0</v>
      </c>
      <c r="EJ2">
        <v>1</v>
      </c>
      <c r="EK2">
        <v>45470</v>
      </c>
      <c r="EL2">
        <v>0.25</v>
      </c>
      <c r="EM2">
        <v>-1.75</v>
      </c>
      <c r="EN2" s="16">
        <v>0.63</v>
      </c>
      <c r="EO2" s="16">
        <v>2.4</v>
      </c>
      <c r="EP2" s="16">
        <v>-2.09</v>
      </c>
    </row>
    <row r="3" spans="1:146" ht="84" x14ac:dyDescent="0.25">
      <c r="A3" s="8"/>
      <c r="B3" s="8"/>
      <c r="C3" s="8" t="str">
        <f>""&amp;CHAR(10)&amp;Basic_Fundamental_Information_Constructure(F3)&amp;CHAR(10)&amp;Basic_Fundamental_Information_Concatenate("")</f>
        <v xml:space="preserve">
市值29.477619亿, 利润-2863.42万; PE; 平均PE22.55; 平均PEG1.66, PB1.04; ROIC9.215%; ROE6.29%; 股利率0%; 毛利11.8733%; 净利7.5333%; 上一年度营收增-9.15%, 利润增-112.45%; 当季营收增-5.17%, 利润增-553.67%; 过往5年营收增13.55%, 利润增6.73%
Income profile:
</v>
      </c>
      <c r="D3" t="s">
        <v>102</v>
      </c>
      <c r="E3" t="s">
        <v>646</v>
      </c>
      <c r="F3">
        <v>3.29</v>
      </c>
      <c r="G3">
        <v>0.3</v>
      </c>
      <c r="H3" t="s">
        <v>1214</v>
      </c>
      <c r="I3">
        <v>2947761900</v>
      </c>
      <c r="K3">
        <v>1.04</v>
      </c>
      <c r="L3" t="s">
        <v>1187</v>
      </c>
      <c r="M3" t="s">
        <v>1215</v>
      </c>
      <c r="N3" t="s">
        <v>1216</v>
      </c>
      <c r="O3" t="s">
        <v>1168</v>
      </c>
      <c r="P3">
        <v>-5.19</v>
      </c>
      <c r="Q3" t="s">
        <v>727</v>
      </c>
      <c r="R3">
        <v>-43750000</v>
      </c>
      <c r="S3" s="6">
        <v>-3.5609999999999999</v>
      </c>
      <c r="T3" t="s">
        <v>1217</v>
      </c>
      <c r="U3">
        <v>895854020</v>
      </c>
      <c r="V3">
        <v>895976270</v>
      </c>
      <c r="W3">
        <v>1.39</v>
      </c>
      <c r="X3">
        <v>0.12</v>
      </c>
      <c r="Y3">
        <v>-4.99</v>
      </c>
      <c r="Z3" t="s">
        <v>809</v>
      </c>
      <c r="AA3" t="s">
        <v>878</v>
      </c>
      <c r="AB3" t="s">
        <v>1218</v>
      </c>
      <c r="AC3" t="s">
        <v>1219</v>
      </c>
      <c r="AD3" t="s">
        <v>25</v>
      </c>
      <c r="AE3">
        <v>-472566</v>
      </c>
      <c r="AF3" t="s">
        <v>1220</v>
      </c>
      <c r="AG3" t="s">
        <v>1221</v>
      </c>
      <c r="AH3" t="s">
        <v>1222</v>
      </c>
      <c r="AI3" t="s">
        <v>816</v>
      </c>
      <c r="AJ3" t="s">
        <v>1223</v>
      </c>
      <c r="AK3" t="s">
        <v>236</v>
      </c>
      <c r="AL3" t="s">
        <v>1224</v>
      </c>
      <c r="AM3" t="s">
        <v>25</v>
      </c>
      <c r="AN3" t="s">
        <v>1225</v>
      </c>
      <c r="AO3" t="s">
        <v>1226</v>
      </c>
      <c r="AP3" t="s">
        <v>242</v>
      </c>
      <c r="AQ3" t="s">
        <v>1132</v>
      </c>
      <c r="AR3" t="s">
        <v>25</v>
      </c>
      <c r="AS3" t="s">
        <v>813</v>
      </c>
      <c r="AT3" t="s">
        <v>98</v>
      </c>
      <c r="AU3" t="s">
        <v>1227</v>
      </c>
      <c r="AV3" t="s">
        <v>1228</v>
      </c>
      <c r="AW3" t="s">
        <v>1229</v>
      </c>
      <c r="AX3" t="s">
        <v>326</v>
      </c>
      <c r="AY3" t="s">
        <v>647</v>
      </c>
      <c r="AZ3" t="s">
        <v>284</v>
      </c>
      <c r="BA3" t="s">
        <v>103</v>
      </c>
      <c r="BB3" t="s">
        <v>285</v>
      </c>
      <c r="BC3" t="s">
        <v>333</v>
      </c>
      <c r="BD3" t="s">
        <v>177</v>
      </c>
      <c r="BE3" t="s">
        <v>63</v>
      </c>
      <c r="BF3" t="s">
        <v>104</v>
      </c>
      <c r="BG3" t="s">
        <v>57</v>
      </c>
      <c r="BH3" t="s">
        <v>727</v>
      </c>
      <c r="BI3" t="s">
        <v>1230</v>
      </c>
      <c r="BJ3" t="s">
        <v>326</v>
      </c>
      <c r="BK3" t="s">
        <v>1217</v>
      </c>
      <c r="BL3" t="s">
        <v>1231</v>
      </c>
      <c r="BM3" t="s">
        <v>333</v>
      </c>
      <c r="BN3" t="s">
        <v>25</v>
      </c>
      <c r="BO3">
        <v>7.35</v>
      </c>
      <c r="BP3">
        <v>11.08</v>
      </c>
      <c r="BQ3">
        <v>-0.56999999999999995</v>
      </c>
      <c r="BR3">
        <v>8.1999999999999993</v>
      </c>
      <c r="BS3">
        <v>11.24</v>
      </c>
      <c r="BT3" t="s">
        <v>965</v>
      </c>
      <c r="BU3" t="s">
        <v>808</v>
      </c>
      <c r="BV3">
        <v>5.52</v>
      </c>
      <c r="BW3">
        <v>11.71</v>
      </c>
      <c r="BX3">
        <v>18.39</v>
      </c>
      <c r="BY3">
        <v>-1.28</v>
      </c>
      <c r="BZ3">
        <v>9.34</v>
      </c>
      <c r="CA3">
        <v>14.54</v>
      </c>
      <c r="CB3">
        <v>-3.8</v>
      </c>
      <c r="CC3">
        <v>-12.27</v>
      </c>
      <c r="CD3" t="s">
        <v>1232</v>
      </c>
      <c r="CE3" t="s">
        <v>833</v>
      </c>
      <c r="CF3" s="10">
        <v>-5.1724137931034482E-2</v>
      </c>
      <c r="CG3" s="11">
        <v>-5.5367345880644994</v>
      </c>
      <c r="CH3" s="10">
        <v>-9.1463387012481689E-2</v>
      </c>
      <c r="CI3" s="10">
        <v>0.28795811533927917</v>
      </c>
      <c r="CJ3" s="10">
        <v>0.28966918587684631</v>
      </c>
      <c r="CK3" s="10">
        <v>8.8170468807220459E-2</v>
      </c>
      <c r="CL3" s="10">
        <v>0.10291729122400284</v>
      </c>
      <c r="CM3" s="11">
        <v>-1.1244965791702271</v>
      </c>
      <c r="CN3" s="11">
        <v>-0.18439716100692749</v>
      </c>
      <c r="CO3" s="11">
        <v>1.4521739482879639</v>
      </c>
      <c r="CP3" s="11">
        <v>0.37024012207984924</v>
      </c>
      <c r="CQ3" s="11">
        <v>-0.17718729376792908</v>
      </c>
      <c r="CR3">
        <v>22.550983070478662</v>
      </c>
      <c r="CS3">
        <v>1.6648894294691774</v>
      </c>
      <c r="CT3">
        <v>0</v>
      </c>
      <c r="CU3" s="10">
        <v>0.13545033484697341</v>
      </c>
      <c r="CV3" s="11">
        <v>6.7266607284545893E-2</v>
      </c>
      <c r="CW3">
        <v>0.06</v>
      </c>
      <c r="CX3" t="e">
        <v>#VALUE!</v>
      </c>
      <c r="CY3" t="s">
        <v>769</v>
      </c>
      <c r="CZ3">
        <v>0.13545033484697341</v>
      </c>
      <c r="DA3" t="e">
        <v>#VALUE!</v>
      </c>
      <c r="DB3" t="s">
        <v>770</v>
      </c>
      <c r="DC3">
        <v>0.12867781810462472</v>
      </c>
      <c r="DD3" t="e">
        <v>#VALUE!</v>
      </c>
      <c r="DE3" t="s">
        <v>770</v>
      </c>
      <c r="DF3">
        <v>0.1191962946653366</v>
      </c>
      <c r="DG3" t="e">
        <v>#VALUE!</v>
      </c>
      <c r="DH3" t="s">
        <v>770</v>
      </c>
      <c r="DI3">
        <v>0.10836026787757874</v>
      </c>
      <c r="DJ3" t="e">
        <v>#VALUE!</v>
      </c>
      <c r="DK3" t="s">
        <v>770</v>
      </c>
      <c r="DL3">
        <v>9.4815234392881378E-2</v>
      </c>
      <c r="DM3">
        <v>-28634200</v>
      </c>
      <c r="DN3">
        <v>0.13545033484697341</v>
      </c>
      <c r="DO3">
        <v>1320761900</v>
      </c>
      <c r="DP3">
        <v>459298710</v>
      </c>
      <c r="DQ3">
        <v>328</v>
      </c>
      <c r="DR3">
        <v>-0.18717447277800789</v>
      </c>
      <c r="DS3">
        <v>-5.6040011953490456</v>
      </c>
      <c r="DT3" s="12">
        <v>-0.15666666666666665</v>
      </c>
      <c r="DU3">
        <v>-1.5149999999999999</v>
      </c>
      <c r="DV3">
        <v>-1.6716666666666666</v>
      </c>
      <c r="DW3">
        <v>-8.3096984515077423</v>
      </c>
      <c r="DX3">
        <v>0.2629807594936705</v>
      </c>
      <c r="DY3">
        <v>-8.0287959972352034</v>
      </c>
      <c r="DZ3">
        <v>4153</v>
      </c>
      <c r="EA3">
        <v>-8.0053929098540291</v>
      </c>
      <c r="EB3">
        <v>8</v>
      </c>
      <c r="EC3">
        <v>8.1982974839277828E-2</v>
      </c>
      <c r="ED3">
        <v>0.88171978036873677</v>
      </c>
      <c r="EE3" s="13">
        <v>-4.0622100000000003</v>
      </c>
      <c r="EF3">
        <v>-4.1047099999999999</v>
      </c>
      <c r="EG3">
        <v>17.09298075949367</v>
      </c>
      <c r="EH3" t="s">
        <v>1097</v>
      </c>
      <c r="EI3">
        <v>0</v>
      </c>
      <c r="EJ3">
        <v>0</v>
      </c>
      <c r="EK3" s="15">
        <v>45470</v>
      </c>
      <c r="EL3" s="16">
        <v>-1.42</v>
      </c>
      <c r="EM3" s="16">
        <v>-0.56999999999999995</v>
      </c>
      <c r="EN3" s="16">
        <v>-2.6</v>
      </c>
      <c r="EO3" s="16">
        <v>4.75</v>
      </c>
      <c r="EP3" s="16">
        <v>-4.25</v>
      </c>
    </row>
    <row r="4" spans="1:146" ht="84" x14ac:dyDescent="0.25">
      <c r="A4" s="8"/>
      <c r="B4" s="8"/>
      <c r="C4" s="8" t="str">
        <f>""&amp;CHAR(10)&amp;Basic_Fundamental_Information_Constructure(F4)&amp;CHAR(10)&amp;Basic_Fundamental_Information_Concatenate("")</f>
        <v xml:space="preserve">
市值35.021225亿, 利润1.65亿; PE20.56; 平均PE29.29; 平均PEG3.2, PB1.91; ROIC7.42%; ROE9.3267%; 股利率1.6599%; 毛利35.92%; 净利10.24%; 上一年度营收增16.7%, 利润增13.79%; 当季营收增2.76%, 利润增19.65%; 过往5年营收增9.16%, 利润增13.49%
Income profile:
</v>
      </c>
      <c r="D4" t="s">
        <v>774</v>
      </c>
      <c r="E4" t="s">
        <v>775</v>
      </c>
      <c r="F4">
        <v>7.41</v>
      </c>
      <c r="G4">
        <v>1.51</v>
      </c>
      <c r="H4" t="s">
        <v>1233</v>
      </c>
      <c r="I4">
        <v>3502122500</v>
      </c>
      <c r="J4">
        <v>20.56</v>
      </c>
      <c r="K4">
        <v>1.91</v>
      </c>
      <c r="L4" t="s">
        <v>1187</v>
      </c>
      <c r="M4" t="s">
        <v>303</v>
      </c>
      <c r="N4" t="s">
        <v>1234</v>
      </c>
      <c r="O4" t="s">
        <v>1235</v>
      </c>
      <c r="P4">
        <v>2.82</v>
      </c>
      <c r="Q4" t="s">
        <v>1236</v>
      </c>
      <c r="R4">
        <v>34098070</v>
      </c>
      <c r="S4" s="6">
        <v>0.19650000000000001</v>
      </c>
      <c r="T4" t="s">
        <v>172</v>
      </c>
      <c r="U4">
        <v>421977500</v>
      </c>
      <c r="V4">
        <v>472621120</v>
      </c>
      <c r="W4">
        <v>1.28</v>
      </c>
      <c r="X4">
        <v>0.13</v>
      </c>
      <c r="Y4">
        <v>10.64</v>
      </c>
      <c r="Z4" t="s">
        <v>199</v>
      </c>
      <c r="AA4" t="s">
        <v>171</v>
      </c>
      <c r="AB4" t="s">
        <v>1237</v>
      </c>
      <c r="AC4" t="s">
        <v>1238</v>
      </c>
      <c r="AD4" t="s">
        <v>25</v>
      </c>
      <c r="AE4">
        <v>-3176278</v>
      </c>
      <c r="AF4" t="s">
        <v>1239</v>
      </c>
      <c r="AG4" t="s">
        <v>1240</v>
      </c>
      <c r="AH4" t="s">
        <v>1241</v>
      </c>
      <c r="AI4" t="s">
        <v>1242</v>
      </c>
      <c r="AJ4" t="s">
        <v>1243</v>
      </c>
      <c r="AK4" t="s">
        <v>1244</v>
      </c>
      <c r="AL4" t="s">
        <v>1245</v>
      </c>
      <c r="AM4" t="s">
        <v>25</v>
      </c>
      <c r="AN4" t="s">
        <v>1246</v>
      </c>
      <c r="AO4" t="s">
        <v>25</v>
      </c>
      <c r="AP4" t="s">
        <v>1247</v>
      </c>
      <c r="AQ4" t="s">
        <v>787</v>
      </c>
      <c r="AR4" t="s">
        <v>1248</v>
      </c>
      <c r="AS4" t="s">
        <v>866</v>
      </c>
      <c r="AT4" t="s">
        <v>25</v>
      </c>
      <c r="AU4" t="s">
        <v>1249</v>
      </c>
      <c r="AV4" t="s">
        <v>1250</v>
      </c>
      <c r="AW4" t="s">
        <v>1251</v>
      </c>
      <c r="AX4" t="s">
        <v>281</v>
      </c>
      <c r="AY4" t="s">
        <v>776</v>
      </c>
      <c r="AZ4" t="s">
        <v>336</v>
      </c>
      <c r="BA4" t="s">
        <v>364</v>
      </c>
      <c r="BB4" t="s">
        <v>777</v>
      </c>
      <c r="BC4" t="s">
        <v>137</v>
      </c>
      <c r="BD4" t="s">
        <v>230</v>
      </c>
      <c r="BE4" t="s">
        <v>89</v>
      </c>
      <c r="BF4" t="s">
        <v>778</v>
      </c>
      <c r="BG4" t="s">
        <v>779</v>
      </c>
      <c r="BH4" t="s">
        <v>1236</v>
      </c>
      <c r="BI4" t="s">
        <v>844</v>
      </c>
      <c r="BJ4" t="s">
        <v>281</v>
      </c>
      <c r="BK4" t="s">
        <v>172</v>
      </c>
      <c r="BL4" t="s">
        <v>1252</v>
      </c>
      <c r="BM4" t="s">
        <v>137</v>
      </c>
      <c r="BN4">
        <v>6.91</v>
      </c>
      <c r="BO4">
        <v>7.8</v>
      </c>
      <c r="BP4">
        <v>7.55</v>
      </c>
      <c r="BQ4">
        <v>7.38</v>
      </c>
      <c r="BR4">
        <v>10.86</v>
      </c>
      <c r="BS4">
        <v>9.74</v>
      </c>
      <c r="BT4" t="s">
        <v>1253</v>
      </c>
      <c r="BU4" t="s">
        <v>808</v>
      </c>
      <c r="BV4">
        <v>35.85</v>
      </c>
      <c r="BW4">
        <v>35.72</v>
      </c>
      <c r="BX4">
        <v>36.19</v>
      </c>
      <c r="BY4">
        <v>10.3</v>
      </c>
      <c r="BZ4">
        <v>10.61</v>
      </c>
      <c r="CA4">
        <v>9.81</v>
      </c>
      <c r="CB4">
        <v>1.0900000000000001</v>
      </c>
      <c r="CC4">
        <v>-8.7100000000000009</v>
      </c>
      <c r="CD4" t="s">
        <v>1254</v>
      </c>
      <c r="CE4" t="s">
        <v>1255</v>
      </c>
      <c r="CF4" s="10">
        <v>2.7607361963190184E-2</v>
      </c>
      <c r="CG4" s="11">
        <v>0.19646129176009067</v>
      </c>
      <c r="CH4" s="10">
        <v>0.1670089066028595</v>
      </c>
      <c r="CI4" s="10">
        <v>5.7929039001464844E-2</v>
      </c>
      <c r="CJ4" s="10">
        <v>0.10127586871385574</v>
      </c>
      <c r="CK4" s="10">
        <v>0.10290243476629257</v>
      </c>
      <c r="CL4" s="10">
        <v>2.8959278017282486E-2</v>
      </c>
      <c r="CM4" s="11">
        <v>0.13793103396892548</v>
      </c>
      <c r="CN4" s="11">
        <v>0.19834710657596588</v>
      </c>
      <c r="CO4" s="11">
        <v>0.14150942862033844</v>
      </c>
      <c r="CP4" s="11">
        <v>0.14818024635314941</v>
      </c>
      <c r="CQ4" s="11">
        <v>4.8724997788667679E-2</v>
      </c>
      <c r="CR4">
        <v>29.292137025864754</v>
      </c>
      <c r="CS4">
        <v>3.1973042973061854</v>
      </c>
      <c r="CT4">
        <v>1.6599190283400809</v>
      </c>
      <c r="CU4" s="10">
        <v>9.1615105420351034E-2</v>
      </c>
      <c r="CV4" s="11">
        <v>0.13493856266140938</v>
      </c>
      <c r="CW4">
        <v>0.06</v>
      </c>
      <c r="CX4">
        <v>12.047480056678991</v>
      </c>
      <c r="CY4">
        <v>169921219.23996028</v>
      </c>
      <c r="CZ4">
        <v>9.1615105420351034E-2</v>
      </c>
      <c r="DA4">
        <v>3.931624341914524</v>
      </c>
      <c r="DB4">
        <v>520681103.27222759</v>
      </c>
      <c r="DC4">
        <v>8.7034350149333473E-2</v>
      </c>
      <c r="DD4">
        <v>1.9319093975111457</v>
      </c>
      <c r="DE4">
        <v>1059636907.7335002</v>
      </c>
      <c r="DF4">
        <v>8.0621292769908912E-2</v>
      </c>
      <c r="DG4">
        <v>1.1577515804372289</v>
      </c>
      <c r="DH4">
        <v>1768188041.882782</v>
      </c>
      <c r="DI4">
        <v>7.329208433628083E-2</v>
      </c>
      <c r="DJ4">
        <v>0.59536815211631677</v>
      </c>
      <c r="DK4">
        <v>3438414521.709342</v>
      </c>
      <c r="DL4">
        <v>6.4130573794245721E-2</v>
      </c>
      <c r="DM4">
        <v>165000000</v>
      </c>
      <c r="DN4">
        <v>9.1615105420351034E-2</v>
      </c>
      <c r="DO4">
        <v>2047122500</v>
      </c>
      <c r="DP4">
        <v>783883870</v>
      </c>
      <c r="DQ4">
        <v>370</v>
      </c>
      <c r="DR4">
        <v>-6.4007743457160843E-2</v>
      </c>
      <c r="DS4">
        <v>6.1522729098681284E-2</v>
      </c>
      <c r="DT4" s="12">
        <v>-0.27333333333333337</v>
      </c>
      <c r="DU4">
        <v>0.37000000000000005</v>
      </c>
      <c r="DV4">
        <v>9.6666666666666679E-2</v>
      </c>
      <c r="DW4">
        <v>-2.0871</v>
      </c>
      <c r="DX4">
        <v>0.2994610385689323</v>
      </c>
      <c r="DY4">
        <v>-2.0104050564593541</v>
      </c>
      <c r="DZ4">
        <v>1479</v>
      </c>
      <c r="EA4">
        <v>-2.0073934951083983</v>
      </c>
      <c r="EB4">
        <v>2</v>
      </c>
      <c r="EC4">
        <v>2.4278220998672256E-2</v>
      </c>
      <c r="ED4">
        <v>0.20323129021403022</v>
      </c>
      <c r="EE4" s="13">
        <v>1.3600000000000001E-2</v>
      </c>
      <c r="EF4">
        <v>7.8100000000000027E-3</v>
      </c>
      <c r="EG4">
        <v>18.119461038568932</v>
      </c>
      <c r="EH4">
        <v>-1</v>
      </c>
      <c r="EI4">
        <v>0</v>
      </c>
      <c r="EJ4">
        <v>1</v>
      </c>
      <c r="EK4" s="15">
        <v>45470</v>
      </c>
      <c r="EL4" s="16">
        <v>0.13</v>
      </c>
      <c r="EM4" s="16">
        <v>-3.48</v>
      </c>
      <c r="EN4" s="16">
        <v>1.1100000000000001</v>
      </c>
      <c r="EO4" s="16">
        <v>2.33</v>
      </c>
      <c r="EP4" s="16">
        <v>-2.14</v>
      </c>
    </row>
    <row r="5" spans="1:146" ht="84" x14ac:dyDescent="0.25">
      <c r="A5" s="8"/>
      <c r="B5" s="8"/>
      <c r="C5" s="8" t="str">
        <f>""&amp;CHAR(10)&amp;Basic_Fundamental_Information_Constructure(F5)&amp;CHAR(10)&amp;Basic_Fundamental_Information_Concatenate("")</f>
        <v xml:space="preserve">
市值35.50443亿, 利润2.14亿; PE16.57; 平均PE30.34; 平均PEG7.51, PB1.25; ROIC5.5767%; ROE5.86%; 股利率1.8256%; 毛利22.7733%; 净利8.1%; 上一年度营收增-15.94%, 利润增57.35%; 当季营收增-17.73%, 利润增1.48%; 过往5年营收增-4.04%, 利润增28.35%
Income profile:
</v>
      </c>
      <c r="D5" t="s">
        <v>107</v>
      </c>
      <c r="E5" t="s">
        <v>18</v>
      </c>
      <c r="F5">
        <v>3.67</v>
      </c>
      <c r="G5">
        <v>0.82</v>
      </c>
      <c r="H5" t="s">
        <v>1256</v>
      </c>
      <c r="I5">
        <v>3550443000</v>
      </c>
      <c r="J5">
        <v>16.57</v>
      </c>
      <c r="K5">
        <v>1.25</v>
      </c>
      <c r="L5" t="s">
        <v>1187</v>
      </c>
      <c r="M5" t="s">
        <v>839</v>
      </c>
      <c r="N5" t="s">
        <v>1159</v>
      </c>
      <c r="O5" t="s">
        <v>1257</v>
      </c>
      <c r="P5">
        <v>-17.8</v>
      </c>
      <c r="Q5" t="s">
        <v>1258</v>
      </c>
      <c r="R5">
        <v>18105701</v>
      </c>
      <c r="S5" s="6">
        <v>1.4800000000000001E-2</v>
      </c>
      <c r="T5" t="s">
        <v>246</v>
      </c>
      <c r="U5">
        <v>967423170</v>
      </c>
      <c r="V5">
        <v>967423170</v>
      </c>
      <c r="W5">
        <v>1.32</v>
      </c>
      <c r="X5">
        <v>0.11</v>
      </c>
      <c r="Y5">
        <v>4.8899999999999997</v>
      </c>
      <c r="Z5" t="s">
        <v>1259</v>
      </c>
      <c r="AA5" t="s">
        <v>245</v>
      </c>
      <c r="AB5" t="s">
        <v>1260</v>
      </c>
      <c r="AC5" t="s">
        <v>1261</v>
      </c>
      <c r="AD5" t="s">
        <v>25</v>
      </c>
      <c r="AE5">
        <v>2006810</v>
      </c>
      <c r="AF5" t="s">
        <v>1262</v>
      </c>
      <c r="AG5" t="s">
        <v>1263</v>
      </c>
      <c r="AH5" t="s">
        <v>1264</v>
      </c>
      <c r="AI5" t="s">
        <v>358</v>
      </c>
      <c r="AJ5" t="s">
        <v>1265</v>
      </c>
      <c r="AK5" t="s">
        <v>25</v>
      </c>
      <c r="AL5" t="s">
        <v>1266</v>
      </c>
      <c r="AM5" t="s">
        <v>25</v>
      </c>
      <c r="AN5" t="s">
        <v>235</v>
      </c>
      <c r="AO5" t="s">
        <v>148</v>
      </c>
      <c r="AP5" t="s">
        <v>1267</v>
      </c>
      <c r="AQ5" t="s">
        <v>183</v>
      </c>
      <c r="AR5" t="s">
        <v>25</v>
      </c>
      <c r="AS5" t="s">
        <v>1008</v>
      </c>
      <c r="AT5" t="s">
        <v>859</v>
      </c>
      <c r="AU5" t="s">
        <v>1268</v>
      </c>
      <c r="AV5" t="s">
        <v>1269</v>
      </c>
      <c r="AW5" t="s">
        <v>1270</v>
      </c>
      <c r="AX5" t="s">
        <v>1003</v>
      </c>
      <c r="AY5" t="s">
        <v>648</v>
      </c>
      <c r="AZ5" t="s">
        <v>293</v>
      </c>
      <c r="BA5" t="s">
        <v>108</v>
      </c>
      <c r="BB5" t="s">
        <v>297</v>
      </c>
      <c r="BC5" t="s">
        <v>72</v>
      </c>
      <c r="BD5" t="s">
        <v>76</v>
      </c>
      <c r="BE5" t="s">
        <v>294</v>
      </c>
      <c r="BF5" t="s">
        <v>109</v>
      </c>
      <c r="BG5" t="s">
        <v>86</v>
      </c>
      <c r="BH5" t="s">
        <v>1258</v>
      </c>
      <c r="BI5" t="s">
        <v>1271</v>
      </c>
      <c r="BJ5" t="s">
        <v>1003</v>
      </c>
      <c r="BK5" t="s">
        <v>246</v>
      </c>
      <c r="BL5" t="s">
        <v>1272</v>
      </c>
      <c r="BM5" t="s">
        <v>72</v>
      </c>
      <c r="BN5">
        <v>5.71</v>
      </c>
      <c r="BO5">
        <v>5.56</v>
      </c>
      <c r="BP5">
        <v>5.46</v>
      </c>
      <c r="BQ5">
        <v>7.16</v>
      </c>
      <c r="BR5">
        <v>5.4</v>
      </c>
      <c r="BS5">
        <v>5.0199999999999996</v>
      </c>
      <c r="BT5" t="s">
        <v>1273</v>
      </c>
      <c r="BU5" t="s">
        <v>808</v>
      </c>
      <c r="BV5">
        <v>22.99</v>
      </c>
      <c r="BW5">
        <v>21.68</v>
      </c>
      <c r="BX5">
        <v>23.65</v>
      </c>
      <c r="BY5">
        <v>10.88</v>
      </c>
      <c r="BZ5">
        <v>6.86</v>
      </c>
      <c r="CA5">
        <v>6.56</v>
      </c>
      <c r="CB5">
        <v>-0.54</v>
      </c>
      <c r="CC5">
        <v>-6.92</v>
      </c>
      <c r="CD5" t="s">
        <v>1274</v>
      </c>
      <c r="CE5" t="s">
        <v>515</v>
      </c>
      <c r="CF5" s="10">
        <v>-0.17733990147783252</v>
      </c>
      <c r="CG5" s="11">
        <v>1.4774101703274839E-2</v>
      </c>
      <c r="CH5" s="10">
        <v>-0.15939278900623322</v>
      </c>
      <c r="CI5" s="10">
        <v>7.2446122765541077E-2</v>
      </c>
      <c r="CJ5" s="10">
        <v>6.8725474178791046E-2</v>
      </c>
      <c r="CK5" s="10">
        <v>-0.19276683032512665</v>
      </c>
      <c r="CL5" s="10">
        <v>8.855803869664669E-3</v>
      </c>
      <c r="CM5" s="11">
        <v>0.57352942228317261</v>
      </c>
      <c r="CN5" s="11">
        <v>0.1147540956735611</v>
      </c>
      <c r="CO5" s="11">
        <v>0.7266194224357605</v>
      </c>
      <c r="CP5" s="11">
        <v>0.62880712747573853</v>
      </c>
      <c r="CQ5" s="11">
        <v>-0.62603104114532471</v>
      </c>
      <c r="CR5">
        <v>30.343993856748924</v>
      </c>
      <c r="CS5">
        <v>7.5059765531991101</v>
      </c>
      <c r="CT5">
        <v>1.8256130790190737</v>
      </c>
      <c r="CU5" s="10">
        <v>-4.0426443703472613E-2</v>
      </c>
      <c r="CV5" s="11">
        <v>0.28353580534458162</v>
      </c>
      <c r="CW5">
        <v>0.06</v>
      </c>
      <c r="CX5">
        <v>5.7964626168224322</v>
      </c>
      <c r="CY5" t="s">
        <v>1275</v>
      </c>
      <c r="CZ5">
        <v>-4.0426443703472613E-2</v>
      </c>
      <c r="DA5">
        <v>1.9321542056074774</v>
      </c>
      <c r="DB5" t="s">
        <v>1276</v>
      </c>
      <c r="DC5">
        <v>-3.8405121518298981E-2</v>
      </c>
      <c r="DD5">
        <v>0.96607710280373871</v>
      </c>
      <c r="DE5" t="s">
        <v>1277</v>
      </c>
      <c r="DF5">
        <v>-3.5575270459055897E-2</v>
      </c>
      <c r="DG5">
        <v>0.5796462616822432</v>
      </c>
      <c r="DH5" t="s">
        <v>1278</v>
      </c>
      <c r="DI5">
        <v>-3.234115496277809E-2</v>
      </c>
      <c r="DJ5">
        <v>0.2898231308411216</v>
      </c>
      <c r="DK5" t="s">
        <v>1279</v>
      </c>
      <c r="DL5">
        <v>-2.8298510592430826E-2</v>
      </c>
      <c r="DM5">
        <v>214000000</v>
      </c>
      <c r="DN5">
        <v>-4.0426443703472613E-2</v>
      </c>
      <c r="DO5">
        <v>1240443000.0000005</v>
      </c>
      <c r="DP5">
        <v>1283379100</v>
      </c>
      <c r="DQ5">
        <v>409</v>
      </c>
      <c r="DR5">
        <v>-0.1369134577743599</v>
      </c>
      <c r="DS5">
        <v>-0.2687617036413068</v>
      </c>
      <c r="DT5" s="12">
        <v>-0.72333333333333327</v>
      </c>
      <c r="DU5">
        <v>0.46666666666666662</v>
      </c>
      <c r="DV5">
        <v>-0.25666666666666665</v>
      </c>
      <c r="DW5">
        <v>-2.0691999999999999</v>
      </c>
      <c r="DX5">
        <v>0.30565837320573991</v>
      </c>
      <c r="DY5">
        <v>-2.0080035594258372</v>
      </c>
      <c r="DZ5">
        <v>2333</v>
      </c>
      <c r="EA5">
        <v>-2.0043494881654698</v>
      </c>
      <c r="EB5">
        <v>2</v>
      </c>
      <c r="EC5">
        <v>2.4986583689121281E-2</v>
      </c>
      <c r="ED5">
        <v>0.21603782758273196</v>
      </c>
      <c r="EE5" s="13">
        <v>-3.0531999999999999</v>
      </c>
      <c r="EF5">
        <v>-3.0398000000000001</v>
      </c>
      <c r="EG5">
        <v>19.11565837320574</v>
      </c>
      <c r="EH5" t="s">
        <v>995</v>
      </c>
      <c r="EI5">
        <v>0</v>
      </c>
      <c r="EJ5">
        <v>0</v>
      </c>
      <c r="EK5" s="15">
        <v>45470</v>
      </c>
      <c r="EL5" s="16">
        <v>0</v>
      </c>
      <c r="EM5" s="16">
        <v>-4.24</v>
      </c>
      <c r="EN5" s="16">
        <v>0.55000000000000004</v>
      </c>
      <c r="EO5" s="16">
        <v>2.48</v>
      </c>
      <c r="EP5" s="16">
        <v>-1.34</v>
      </c>
    </row>
    <row r="6" spans="1:146" ht="84" x14ac:dyDescent="0.25">
      <c r="C6" s="8" t="str">
        <f>""&amp;CHAR(10)&amp;Basic_Fundamental_Information_Constructure(F6)&amp;CHAR(10)&amp;Basic_Fundamental_Information_Concatenate("")</f>
        <v xml:space="preserve">
市值16.792亿, 利润3299.02万; PE125.1; 平均PE31.4; 平均PEG1.34, PB2.25; ROIC12.3467%; ROE15.7367%; 股利率.4097%; 毛利34.7633%; 净利17.4433%; 上一年度营收增-11.86%, 利润增-52.4%; 当季营收增-25.97%, 利润增-104.31%; 过往5年营收增23.5%, 利润增32.07%
Income profile:
</v>
      </c>
      <c r="D6" t="s">
        <v>840</v>
      </c>
      <c r="E6" t="s">
        <v>841</v>
      </c>
      <c r="F6">
        <v>20.99</v>
      </c>
      <c r="G6">
        <v>1.3</v>
      </c>
      <c r="H6" t="s">
        <v>1280</v>
      </c>
      <c r="I6">
        <v>1679200000</v>
      </c>
      <c r="J6">
        <v>125.1</v>
      </c>
      <c r="K6">
        <v>2.25</v>
      </c>
      <c r="L6" t="s">
        <v>1187</v>
      </c>
      <c r="M6" t="s">
        <v>73</v>
      </c>
      <c r="N6" t="s">
        <v>1281</v>
      </c>
      <c r="O6" t="s">
        <v>1282</v>
      </c>
      <c r="P6" s="6">
        <v>-25.97</v>
      </c>
      <c r="Q6" t="s">
        <v>829</v>
      </c>
      <c r="R6">
        <v>-809493</v>
      </c>
      <c r="S6">
        <v>-1.0429999999999999</v>
      </c>
      <c r="T6" t="s">
        <v>1283</v>
      </c>
      <c r="U6">
        <v>20000000</v>
      </c>
      <c r="V6">
        <v>80000000</v>
      </c>
      <c r="W6">
        <v>1.31</v>
      </c>
      <c r="X6">
        <v>7.0000000000000007E-2</v>
      </c>
      <c r="Y6">
        <v>-0.73</v>
      </c>
      <c r="Z6" t="s">
        <v>1284</v>
      </c>
      <c r="AA6" t="s">
        <v>1285</v>
      </c>
      <c r="AB6" t="s">
        <v>1286</v>
      </c>
      <c r="AC6" t="s">
        <v>1287</v>
      </c>
      <c r="AD6" t="s">
        <v>25</v>
      </c>
      <c r="AE6">
        <v>544008</v>
      </c>
      <c r="AF6" t="s">
        <v>1288</v>
      </c>
      <c r="AG6" t="s">
        <v>1289</v>
      </c>
      <c r="AH6" t="s">
        <v>1290</v>
      </c>
      <c r="AI6" t="s">
        <v>81</v>
      </c>
      <c r="AJ6" t="s">
        <v>1291</v>
      </c>
      <c r="AK6" t="s">
        <v>1292</v>
      </c>
      <c r="AL6" t="s">
        <v>1293</v>
      </c>
      <c r="AM6" t="s">
        <v>25</v>
      </c>
      <c r="AN6" t="s">
        <v>230</v>
      </c>
      <c r="AO6" t="s">
        <v>1294</v>
      </c>
      <c r="AP6" t="s">
        <v>1295</v>
      </c>
      <c r="AQ6" t="s">
        <v>1296</v>
      </c>
      <c r="AR6" t="s">
        <v>25</v>
      </c>
      <c r="AS6" t="s">
        <v>174</v>
      </c>
      <c r="AT6" t="s">
        <v>25</v>
      </c>
      <c r="AU6" t="s">
        <v>1297</v>
      </c>
      <c r="AV6" t="s">
        <v>1298</v>
      </c>
      <c r="AW6" t="s">
        <v>1299</v>
      </c>
      <c r="AX6" t="s">
        <v>826</v>
      </c>
      <c r="AY6" t="s">
        <v>465</v>
      </c>
      <c r="AZ6" t="s">
        <v>844</v>
      </c>
      <c r="BA6" t="s">
        <v>219</v>
      </c>
      <c r="BB6" t="s">
        <v>47</v>
      </c>
      <c r="BC6" t="s">
        <v>1006</v>
      </c>
      <c r="BD6" t="s">
        <v>842</v>
      </c>
      <c r="BE6" t="s">
        <v>845</v>
      </c>
      <c r="BF6" t="s">
        <v>846</v>
      </c>
      <c r="BG6" t="s">
        <v>847</v>
      </c>
      <c r="BH6" t="s">
        <v>829</v>
      </c>
      <c r="BI6" t="s">
        <v>1300</v>
      </c>
      <c r="BJ6" t="s">
        <v>826</v>
      </c>
      <c r="BK6" t="s">
        <v>1283</v>
      </c>
      <c r="BL6" t="s">
        <v>1301</v>
      </c>
      <c r="BM6" t="s">
        <v>1006</v>
      </c>
      <c r="BN6">
        <v>5.57</v>
      </c>
      <c r="BO6">
        <v>11.61</v>
      </c>
      <c r="BP6">
        <v>19.86</v>
      </c>
      <c r="BQ6">
        <v>5.92</v>
      </c>
      <c r="BR6">
        <v>15.4</v>
      </c>
      <c r="BS6">
        <v>25.89</v>
      </c>
      <c r="BT6" t="s">
        <v>1302</v>
      </c>
      <c r="BU6" t="s">
        <v>815</v>
      </c>
      <c r="BV6">
        <v>30.83</v>
      </c>
      <c r="BW6">
        <v>36.42</v>
      </c>
      <c r="BX6">
        <v>37.04</v>
      </c>
      <c r="BY6">
        <v>10.71</v>
      </c>
      <c r="BZ6">
        <v>20.27</v>
      </c>
      <c r="CA6">
        <v>21.35</v>
      </c>
      <c r="CB6">
        <v>-3.89</v>
      </c>
      <c r="CC6" s="10">
        <v>-21.63</v>
      </c>
      <c r="CD6" s="11" t="s">
        <v>1303</v>
      </c>
      <c r="CE6" s="10" t="s">
        <v>1304</v>
      </c>
      <c r="CF6" s="10">
        <v>-0.25966643072022649</v>
      </c>
      <c r="CG6" s="10">
        <v>-1.0431483366825332</v>
      </c>
      <c r="CH6" s="10">
        <v>-0.11864406615495682</v>
      </c>
      <c r="CI6" s="10">
        <v>-7.3298431932926178E-2</v>
      </c>
      <c r="CJ6" s="11">
        <v>0.17177914083003998</v>
      </c>
      <c r="CK6" s="11">
        <v>0.67179489135742188</v>
      </c>
      <c r="CL6" s="11">
        <v>0.5234375</v>
      </c>
      <c r="CM6" s="11">
        <v>-0.52396953105926514</v>
      </c>
      <c r="CN6" s="11">
        <v>-8.8243432343006134E-2</v>
      </c>
      <c r="CO6">
        <v>-0.12879711389541626</v>
      </c>
      <c r="CP6">
        <v>1.3801641464233398</v>
      </c>
      <c r="CQ6">
        <v>0.96427899599075317</v>
      </c>
      <c r="CR6" s="10">
        <v>31.399867110297205</v>
      </c>
      <c r="CS6" s="11">
        <v>1.336086059588746</v>
      </c>
      <c r="CT6">
        <v>0.4097189137684612</v>
      </c>
      <c r="CU6">
        <v>0.23501380681991577</v>
      </c>
      <c r="CV6">
        <v>0.32068661302328111</v>
      </c>
      <c r="CW6">
        <v>0.06</v>
      </c>
      <c r="CX6">
        <v>28.207104466651636</v>
      </c>
      <c r="CY6">
        <v>38437124.990330547</v>
      </c>
      <c r="CZ6">
        <v>0.23501380681991577</v>
      </c>
      <c r="DA6">
        <v>8.1697628571653098</v>
      </c>
      <c r="DB6">
        <v>132708870.37426059</v>
      </c>
      <c r="DC6">
        <v>0.22326311647891997</v>
      </c>
      <c r="DD6">
        <v>3.3947142773975552</v>
      </c>
      <c r="DE6">
        <v>319378867.08720767</v>
      </c>
      <c r="DF6">
        <v>0.20681215000152586</v>
      </c>
      <c r="DG6">
        <v>1.6647809560829254</v>
      </c>
      <c r="DH6">
        <v>651256849.15991688</v>
      </c>
      <c r="DI6">
        <v>0.18801104545593261</v>
      </c>
      <c r="DJ6">
        <v>0.5307021638777415</v>
      </c>
      <c r="DK6">
        <v>2042953795.5488129</v>
      </c>
      <c r="DL6">
        <v>0.16450966477394102</v>
      </c>
      <c r="DM6">
        <v>32990200</v>
      </c>
      <c r="DN6">
        <v>0.23501380681991577</v>
      </c>
      <c r="DO6">
        <v>1084200000</v>
      </c>
      <c r="DP6">
        <v>327803230</v>
      </c>
      <c r="DQ6" s="12">
        <v>458</v>
      </c>
      <c r="DR6">
        <v>-0.49468023754014223</v>
      </c>
      <c r="DS6">
        <v>-1.3638349497058142</v>
      </c>
      <c r="DT6">
        <v>2.6666666666666616E-2</v>
      </c>
      <c r="DU6">
        <v>-0.63166666666666671</v>
      </c>
      <c r="DV6">
        <v>-0.60500000000000009</v>
      </c>
      <c r="DW6">
        <v>-8.1798428109107721</v>
      </c>
      <c r="DX6">
        <v>0.23777777299845504</v>
      </c>
      <c r="DY6">
        <v>-8.0193830576497458</v>
      </c>
      <c r="DZ6">
        <v>3041</v>
      </c>
      <c r="EA6">
        <v>-8.0078480521090647</v>
      </c>
      <c r="EB6" s="13">
        <v>8</v>
      </c>
      <c r="EC6">
        <v>6.2641249999999996E-2</v>
      </c>
      <c r="ED6">
        <v>0.58120749999999999</v>
      </c>
      <c r="EE6">
        <v>4.6210000000000008E-2</v>
      </c>
      <c r="EF6">
        <v>6.3710000000000003E-2</v>
      </c>
      <c r="EG6">
        <v>13.107777772998455</v>
      </c>
      <c r="EH6" s="15">
        <v>-1</v>
      </c>
      <c r="EI6" s="16">
        <v>0</v>
      </c>
      <c r="EJ6" s="16">
        <v>0</v>
      </c>
      <c r="EK6" s="16">
        <v>45470</v>
      </c>
      <c r="EL6" s="16">
        <v>-0.59</v>
      </c>
      <c r="EM6" s="16">
        <v>-4.4400000000000004</v>
      </c>
      <c r="EN6" s="16">
        <v>1.1000000000000001</v>
      </c>
      <c r="EO6" s="16">
        <v>3.03</v>
      </c>
      <c r="EP6" s="16">
        <v>-1.75</v>
      </c>
    </row>
    <row r="7" spans="1:146" ht="84" x14ac:dyDescent="0.25">
      <c r="C7" s="8" t="str">
        <f>""&amp;CHAR(10)&amp;Basic_Fundamental_Information_Constructure(F7)&amp;CHAR(10)&amp;Basic_Fundamental_Information_Concatenate("")</f>
        <v xml:space="preserve">
市值20.5184亿, 利润1.05亿; PE19.13; 平均PE19.23; 平均PEG1.06, PB1.28; ROIC11.6433%; ROE18.05%; 股利率2.2458%; 毛利17.0133%; 净利9.7433%; 上一年度营收增8.98%, 利润增-20.45%; 当季营收增18.27%, 利润增8.1%; 过往5年营收增18.11%, 利润增30.04%
Income profile:
</v>
      </c>
      <c r="D7" s="6" t="s">
        <v>971</v>
      </c>
      <c r="E7" t="s">
        <v>972</v>
      </c>
      <c r="F7">
        <v>16.03</v>
      </c>
      <c r="G7">
        <v>1.39</v>
      </c>
      <c r="H7" t="s">
        <v>1305</v>
      </c>
      <c r="I7">
        <v>2051840000</v>
      </c>
      <c r="J7">
        <v>19.13</v>
      </c>
      <c r="K7">
        <v>1.28</v>
      </c>
      <c r="L7" t="s">
        <v>1187</v>
      </c>
      <c r="M7" t="s">
        <v>692</v>
      </c>
      <c r="N7" t="s">
        <v>87</v>
      </c>
      <c r="O7" t="s">
        <v>1306</v>
      </c>
      <c r="P7" s="6">
        <v>18.440000000000001</v>
      </c>
      <c r="Q7" t="s">
        <v>1307</v>
      </c>
      <c r="R7">
        <v>26498838</v>
      </c>
      <c r="S7">
        <v>8.1000000000000003E-2</v>
      </c>
      <c r="T7" t="s">
        <v>156</v>
      </c>
      <c r="U7">
        <v>44000000</v>
      </c>
      <c r="V7">
        <v>128000000</v>
      </c>
      <c r="W7">
        <v>1.49</v>
      </c>
      <c r="X7">
        <v>0.15</v>
      </c>
      <c r="Y7">
        <v>7.44</v>
      </c>
      <c r="Z7" t="s">
        <v>816</v>
      </c>
      <c r="AA7" t="s">
        <v>831</v>
      </c>
      <c r="AB7" t="s">
        <v>1308</v>
      </c>
      <c r="AC7" t="s">
        <v>1309</v>
      </c>
      <c r="AD7" t="s">
        <v>25</v>
      </c>
      <c r="AE7">
        <v>1160168</v>
      </c>
      <c r="AF7" t="s">
        <v>1310</v>
      </c>
      <c r="AG7" t="s">
        <v>25</v>
      </c>
      <c r="AH7" t="s">
        <v>1311</v>
      </c>
      <c r="AI7" t="s">
        <v>1312</v>
      </c>
      <c r="AJ7" t="s">
        <v>1313</v>
      </c>
      <c r="AK7" t="s">
        <v>488</v>
      </c>
      <c r="AL7" t="s">
        <v>1314</v>
      </c>
      <c r="AM7" t="s">
        <v>25</v>
      </c>
      <c r="AN7" t="s">
        <v>1315</v>
      </c>
      <c r="AO7" t="s">
        <v>1316</v>
      </c>
      <c r="AP7" t="s">
        <v>184</v>
      </c>
      <c r="AQ7" t="s">
        <v>1317</v>
      </c>
      <c r="AR7" t="s">
        <v>1318</v>
      </c>
      <c r="AS7" t="s">
        <v>1319</v>
      </c>
      <c r="AT7" t="s">
        <v>25</v>
      </c>
      <c r="AU7" t="s">
        <v>1320</v>
      </c>
      <c r="AV7" t="s">
        <v>1321</v>
      </c>
      <c r="AW7" t="s">
        <v>61</v>
      </c>
      <c r="AX7" t="s">
        <v>318</v>
      </c>
      <c r="AY7" t="s">
        <v>973</v>
      </c>
      <c r="AZ7" t="s">
        <v>974</v>
      </c>
      <c r="BA7" t="s">
        <v>379</v>
      </c>
      <c r="BB7" t="s">
        <v>975</v>
      </c>
      <c r="BC7" t="s">
        <v>126</v>
      </c>
      <c r="BD7" t="s">
        <v>50</v>
      </c>
      <c r="BE7" t="s">
        <v>135</v>
      </c>
      <c r="BF7" t="s">
        <v>976</v>
      </c>
      <c r="BG7" t="s">
        <v>977</v>
      </c>
      <c r="BH7" t="s">
        <v>1307</v>
      </c>
      <c r="BI7" t="s">
        <v>115</v>
      </c>
      <c r="BJ7" t="s">
        <v>318</v>
      </c>
      <c r="BK7" t="s">
        <v>156</v>
      </c>
      <c r="BL7" t="s">
        <v>1322</v>
      </c>
      <c r="BM7" t="s">
        <v>126</v>
      </c>
      <c r="BN7">
        <v>4.46</v>
      </c>
      <c r="BO7">
        <v>10.02</v>
      </c>
      <c r="BP7">
        <v>20.45</v>
      </c>
      <c r="BQ7">
        <v>5.81</v>
      </c>
      <c r="BR7">
        <v>18.899999999999999</v>
      </c>
      <c r="BS7">
        <v>29.44</v>
      </c>
      <c r="BT7" t="s">
        <v>1323</v>
      </c>
      <c r="BU7" t="s">
        <v>815</v>
      </c>
      <c r="BV7">
        <v>13.57</v>
      </c>
      <c r="BW7">
        <v>16.53</v>
      </c>
      <c r="BX7">
        <v>20.94</v>
      </c>
      <c r="BY7">
        <v>7.11</v>
      </c>
      <c r="BZ7">
        <v>9.74</v>
      </c>
      <c r="CA7">
        <v>12.38</v>
      </c>
      <c r="CB7">
        <v>-2.85</v>
      </c>
      <c r="CC7" s="10">
        <v>-10.199999999999999</v>
      </c>
      <c r="CD7" s="11" t="s">
        <v>1324</v>
      </c>
      <c r="CE7" s="10" t="s">
        <v>1325</v>
      </c>
      <c r="CF7" s="10">
        <v>0.18272425249169436</v>
      </c>
      <c r="CG7" s="10">
        <v>8.1033676695563495E-2</v>
      </c>
      <c r="CH7" s="10">
        <v>8.9837998151779175E-2</v>
      </c>
      <c r="CI7" s="10">
        <v>3.3485539257526398E-2</v>
      </c>
      <c r="CJ7" s="11">
        <v>0.56615018844604492</v>
      </c>
      <c r="CK7" s="11">
        <v>0.13685636222362518</v>
      </c>
      <c r="CL7" s="11">
        <v>7.8947365283966064E-2</v>
      </c>
      <c r="CM7" s="11">
        <v>-0.20454545319080353</v>
      </c>
      <c r="CN7" s="11">
        <v>-0.19018404185771942</v>
      </c>
      <c r="CO7">
        <v>0.52336448431015015</v>
      </c>
      <c r="CP7">
        <v>0.16672240197658539</v>
      </c>
      <c r="CQ7">
        <v>1.2067292928695679</v>
      </c>
      <c r="CR7" s="10">
        <v>19.227915262504467</v>
      </c>
      <c r="CS7" s="11">
        <v>1.0619901772145239</v>
      </c>
      <c r="CT7">
        <v>2.2457891453524641</v>
      </c>
      <c r="CU7">
        <v>0.18105549067258836</v>
      </c>
      <c r="CV7">
        <v>0.30041733682155608</v>
      </c>
      <c r="CW7">
        <v>0.06</v>
      </c>
      <c r="CX7">
        <v>9.5292518657916538</v>
      </c>
      <c r="CY7">
        <v>116991345.77417147</v>
      </c>
      <c r="CZ7">
        <v>0.18105549067258836</v>
      </c>
      <c r="DA7">
        <v>2.8853409886561749</v>
      </c>
      <c r="DB7">
        <v>386380675.41515362</v>
      </c>
      <c r="DC7">
        <v>0.17200271613895893</v>
      </c>
      <c r="DD7">
        <v>1.2783516663778003</v>
      </c>
      <c r="DE7">
        <v>872091795.49074364</v>
      </c>
      <c r="DF7">
        <v>0.15932883179187776</v>
      </c>
      <c r="DG7">
        <v>0.67847044121714994</v>
      </c>
      <c r="DH7">
        <v>1643166647.0244744</v>
      </c>
      <c r="DI7">
        <v>0.14484439253807069</v>
      </c>
      <c r="DJ7">
        <v>0.26300885967089405</v>
      </c>
      <c r="DK7">
        <v>4238792569.1743312</v>
      </c>
      <c r="DL7">
        <v>0.12673884347081185</v>
      </c>
      <c r="DM7">
        <v>105000000</v>
      </c>
      <c r="DN7">
        <v>0.18105549067258836</v>
      </c>
      <c r="DO7">
        <v>1114840000</v>
      </c>
      <c r="DP7">
        <v>1108910300</v>
      </c>
      <c r="DQ7" s="12">
        <v>498</v>
      </c>
      <c r="DR7">
        <v>1.6687618191059961E-3</v>
      </c>
      <c r="DS7">
        <v>-0.21938366012599259</v>
      </c>
      <c r="DT7">
        <v>-0.3066666666666667</v>
      </c>
      <c r="DU7">
        <v>0.13333333333333339</v>
      </c>
      <c r="DV7">
        <v>-0.17333333333333331</v>
      </c>
      <c r="DW7">
        <v>-8.2794117647058822</v>
      </c>
      <c r="DX7">
        <v>0.21404070657088903</v>
      </c>
      <c r="DY7">
        <v>-8.0206878444830423</v>
      </c>
      <c r="DZ7">
        <v>2126</v>
      </c>
      <c r="EA7">
        <v>-8.0120807295376508</v>
      </c>
      <c r="EB7" s="13">
        <v>8</v>
      </c>
      <c r="EC7">
        <v>1.6821875E-2</v>
      </c>
      <c r="ED7">
        <v>0.22719765624999999</v>
      </c>
      <c r="EE7">
        <v>3.6799999999999999E-2</v>
      </c>
      <c r="EF7">
        <v>2.1299999999999999E-2</v>
      </c>
      <c r="EG7">
        <v>14.074040706570889</v>
      </c>
      <c r="EH7" s="15" t="s">
        <v>782</v>
      </c>
      <c r="EI7" s="16">
        <v>0</v>
      </c>
      <c r="EJ7" s="16">
        <v>0</v>
      </c>
      <c r="EK7" s="16">
        <v>45470</v>
      </c>
      <c r="EL7" s="16">
        <v>-0.24</v>
      </c>
      <c r="EM7" s="16">
        <v>-3.51</v>
      </c>
      <c r="EN7" s="16">
        <v>0.99</v>
      </c>
      <c r="EO7" s="16">
        <v>2.3199999999999998</v>
      </c>
      <c r="EP7" s="16">
        <v>-1.55</v>
      </c>
    </row>
    <row r="8" spans="1:146" ht="84" x14ac:dyDescent="0.25">
      <c r="C8" s="8" t="str">
        <f>""&amp;CHAR(10)&amp;Basic_Fundamental_Information_Constructure(F8)&amp;CHAR(10)&amp;Basic_Fundamental_Information_Concatenate("")</f>
        <v xml:space="preserve">
市值30.960062亿, 利润1.21亿; PE27.12; 平均PE28.48; 平均PEG6.21, PB1.62; ROIC20.8867%; ROE17.115%; 股利率1.938%; 毛利22.6233%; 净利12.41%; 上一年度营收增-5.43%, 利润增-26.22%; 当季营收增33.58%, 利润增-21.56%; 过往5年营收增4.59%, 利润增43.3%
Income profile:
</v>
      </c>
      <c r="D8" s="6" t="s">
        <v>1011</v>
      </c>
      <c r="E8" t="s">
        <v>1012</v>
      </c>
      <c r="F8">
        <v>23.22</v>
      </c>
      <c r="G8">
        <v>1.22</v>
      </c>
      <c r="H8" t="s">
        <v>1326</v>
      </c>
      <c r="I8">
        <v>3096006200</v>
      </c>
      <c r="J8">
        <v>27.12</v>
      </c>
      <c r="K8">
        <v>1.62</v>
      </c>
      <c r="L8" t="s">
        <v>1187</v>
      </c>
      <c r="M8" t="s">
        <v>353</v>
      </c>
      <c r="N8" t="s">
        <v>647</v>
      </c>
      <c r="O8" t="s">
        <v>445</v>
      </c>
      <c r="P8" s="6">
        <v>33.83</v>
      </c>
      <c r="Q8" t="s">
        <v>1327</v>
      </c>
      <c r="R8">
        <v>26129920</v>
      </c>
      <c r="S8">
        <v>-0.21560000000000001</v>
      </c>
      <c r="T8" t="s">
        <v>230</v>
      </c>
      <c r="U8">
        <v>32221724</v>
      </c>
      <c r="V8">
        <v>133333600</v>
      </c>
      <c r="W8">
        <v>1.32</v>
      </c>
      <c r="X8">
        <v>0.15</v>
      </c>
      <c r="Y8">
        <v>7.14</v>
      </c>
      <c r="Z8" t="s">
        <v>1099</v>
      </c>
      <c r="AA8" t="s">
        <v>55</v>
      </c>
      <c r="AB8" t="s">
        <v>1328</v>
      </c>
      <c r="AC8" t="s">
        <v>1329</v>
      </c>
      <c r="AD8" t="s">
        <v>25</v>
      </c>
      <c r="AE8">
        <v>-5858708</v>
      </c>
      <c r="AF8" t="s">
        <v>1330</v>
      </c>
      <c r="AG8" t="s">
        <v>1331</v>
      </c>
      <c r="AH8" t="s">
        <v>1332</v>
      </c>
      <c r="AI8" t="s">
        <v>1333</v>
      </c>
      <c r="AJ8" t="s">
        <v>1334</v>
      </c>
      <c r="AK8" t="s">
        <v>1335</v>
      </c>
      <c r="AL8" t="s">
        <v>1336</v>
      </c>
      <c r="AM8" t="s">
        <v>25</v>
      </c>
      <c r="AN8" t="s">
        <v>1337</v>
      </c>
      <c r="AO8" t="s">
        <v>1338</v>
      </c>
      <c r="AP8" t="s">
        <v>161</v>
      </c>
      <c r="AQ8" t="s">
        <v>1339</v>
      </c>
      <c r="AR8" t="s">
        <v>25</v>
      </c>
      <c r="AS8" t="s">
        <v>321</v>
      </c>
      <c r="AT8" t="s">
        <v>164</v>
      </c>
      <c r="AU8" t="s">
        <v>1340</v>
      </c>
      <c r="AV8" t="s">
        <v>1341</v>
      </c>
      <c r="AW8" t="s">
        <v>1342</v>
      </c>
      <c r="AX8" t="s">
        <v>582</v>
      </c>
      <c r="AY8" t="s">
        <v>973</v>
      </c>
      <c r="AZ8" t="s">
        <v>463</v>
      </c>
      <c r="BA8" t="s">
        <v>1014</v>
      </c>
      <c r="BB8" t="s">
        <v>880</v>
      </c>
      <c r="BC8" t="s">
        <v>215</v>
      </c>
      <c r="BD8" t="s">
        <v>453</v>
      </c>
      <c r="BE8" t="s">
        <v>1015</v>
      </c>
      <c r="BF8" t="s">
        <v>1016</v>
      </c>
      <c r="BG8" t="s">
        <v>1017</v>
      </c>
      <c r="BH8" t="s">
        <v>1327</v>
      </c>
      <c r="BI8" t="s">
        <v>832</v>
      </c>
      <c r="BJ8" t="s">
        <v>582</v>
      </c>
      <c r="BK8" t="s">
        <v>230</v>
      </c>
      <c r="BL8" t="s">
        <v>1343</v>
      </c>
      <c r="BM8" t="s">
        <v>215</v>
      </c>
      <c r="BN8">
        <v>9.2799999999999994</v>
      </c>
      <c r="BO8">
        <v>20.57</v>
      </c>
      <c r="BP8">
        <v>32.81</v>
      </c>
      <c r="BQ8">
        <v>11.76</v>
      </c>
      <c r="BR8">
        <v>22.47</v>
      </c>
      <c r="BS8" t="s">
        <v>25</v>
      </c>
      <c r="BT8" t="s">
        <v>1051</v>
      </c>
      <c r="BU8" t="s">
        <v>808</v>
      </c>
      <c r="BV8">
        <v>18.8</v>
      </c>
      <c r="BW8">
        <v>22.28</v>
      </c>
      <c r="BX8">
        <v>26.79</v>
      </c>
      <c r="BY8">
        <v>9.9600000000000009</v>
      </c>
      <c r="BZ8">
        <v>12.72</v>
      </c>
      <c r="CA8">
        <v>14.55</v>
      </c>
      <c r="CB8">
        <v>-2.68</v>
      </c>
      <c r="CC8" s="10">
        <v>-19.71</v>
      </c>
      <c r="CD8" s="11" t="s">
        <v>1344</v>
      </c>
      <c r="CE8" s="10" t="s">
        <v>1345</v>
      </c>
      <c r="CF8" s="10">
        <v>0.33576642335766421</v>
      </c>
      <c r="CG8" s="10">
        <v>-0.21556270714251405</v>
      </c>
      <c r="CH8" s="10">
        <v>-5.4305568337440491E-2</v>
      </c>
      <c r="CI8" s="10">
        <v>-1.9025923684239388E-2</v>
      </c>
      <c r="CJ8" s="11">
        <v>0.28697356581687927</v>
      </c>
      <c r="CK8" s="11">
        <v>-3.497164323925972E-2</v>
      </c>
      <c r="CL8" s="11">
        <v>5.0645481795072556E-2</v>
      </c>
      <c r="CM8" s="11">
        <v>-0.26219511032104492</v>
      </c>
      <c r="CN8" s="11">
        <v>-0.14136125147342682</v>
      </c>
      <c r="CO8">
        <v>1.1176503896713257</v>
      </c>
      <c r="CP8">
        <v>0.62087911367416382</v>
      </c>
      <c r="CQ8">
        <v>0.83024483919143677</v>
      </c>
      <c r="CR8" s="10">
        <v>28.480248766256985</v>
      </c>
      <c r="CS8" s="11">
        <v>6.2098282832336711</v>
      </c>
      <c r="CT8">
        <v>1.9379844961240311</v>
      </c>
      <c r="CU8">
        <v>4.5863182470202449E-2</v>
      </c>
      <c r="CV8">
        <v>0.43304359614849092</v>
      </c>
      <c r="CW8">
        <v>0.06</v>
      </c>
      <c r="CX8">
        <v>14.834253685029269</v>
      </c>
      <c r="CY8">
        <v>119386268.94235329</v>
      </c>
      <c r="CZ8">
        <v>4.5863182470202449E-2</v>
      </c>
      <c r="DA8">
        <v>5.0332287701477574</v>
      </c>
      <c r="DB8">
        <v>351862846.07286179</v>
      </c>
      <c r="DC8">
        <v>4.3570023346692327E-2</v>
      </c>
      <c r="DD8">
        <v>2.6030967032427532</v>
      </c>
      <c r="DE8">
        <v>680345911.77262294</v>
      </c>
      <c r="DF8">
        <v>4.0359600573778152E-2</v>
      </c>
      <c r="DG8">
        <v>1.6506741605775044</v>
      </c>
      <c r="DH8">
        <v>1072898723.6223508</v>
      </c>
      <c r="DI8">
        <v>3.6690545976161962E-2</v>
      </c>
      <c r="DJ8">
        <v>0.9569644000462052</v>
      </c>
      <c r="DK8">
        <v>1850650034.540982</v>
      </c>
      <c r="DL8">
        <v>3.2104227729141711E-2</v>
      </c>
      <c r="DM8">
        <v>121000000</v>
      </c>
      <c r="DN8">
        <v>4.5863182470202449E-2</v>
      </c>
      <c r="DO8">
        <v>1771006199.9999998</v>
      </c>
      <c r="DP8">
        <v>1216177000</v>
      </c>
      <c r="DQ8" s="12">
        <v>511</v>
      </c>
      <c r="DR8">
        <v>0.28990324088746178</v>
      </c>
      <c r="DS8">
        <v>-0.64860630329100499</v>
      </c>
      <c r="DT8">
        <v>-0.3066666666666667</v>
      </c>
      <c r="DU8">
        <v>0.31333333333333319</v>
      </c>
      <c r="DV8">
        <v>6.6666666666664876E-3</v>
      </c>
      <c r="DW8">
        <v>-8.1359715880263828</v>
      </c>
      <c r="DX8">
        <v>0.2656344084583343</v>
      </c>
      <c r="DY8">
        <v>-8.0130035623880431</v>
      </c>
      <c r="DZ8">
        <v>1705</v>
      </c>
      <c r="EA8">
        <v>-8.008664800377943</v>
      </c>
      <c r="EB8" s="13">
        <v>8</v>
      </c>
      <c r="EC8" s="13">
        <v>2.1450707098585802E-2</v>
      </c>
      <c r="ED8">
        <v>0.22429905140189721</v>
      </c>
      <c r="EE8">
        <v>9.0503999999999998</v>
      </c>
      <c r="EF8">
        <v>9.0327999999999999</v>
      </c>
      <c r="EG8">
        <v>17.095634408458334</v>
      </c>
      <c r="EH8" s="15" t="s">
        <v>1019</v>
      </c>
      <c r="EI8">
        <v>0</v>
      </c>
      <c r="EJ8">
        <v>0</v>
      </c>
      <c r="EK8">
        <v>45470</v>
      </c>
      <c r="EL8">
        <v>-0.12</v>
      </c>
      <c r="EM8">
        <v>-4.7300000000000004</v>
      </c>
      <c r="EN8" s="16">
        <v>0.42</v>
      </c>
      <c r="EO8" s="16">
        <v>3.17</v>
      </c>
      <c r="EP8" s="16">
        <v>-1.76</v>
      </c>
    </row>
    <row r="9" spans="1:146" ht="144" x14ac:dyDescent="0.25">
      <c r="A9" s="8"/>
      <c r="B9" s="8"/>
      <c r="C9" s="8" t="str">
        <f>"公司主营业务是PE管道、BOPA薄膜以及锂离子电池隔膜产品。主要产品是多类别管材管件、薄膜、锂离子电池隔膜等。公司是我国最大的BOPA薄膜制造企业之一，是国内第一家通过自主研发全面掌握BOPA薄膜同步双向拉伸工艺的企业。"&amp;CHAR(10)&amp;Basic_Fundamental_Information_Constructure(F9)&amp;CHAR(10)&amp;Basic_Fundamental_Information_Concatenate("PE管道塑料制品 6.40亿 48.36% 51.97% 19.35%
BOPA薄膜塑料制品 3.22亿 24.29% 19.21% 14.24%
锂离子电池隔膜新能源材料 2.41亿 18.18% 26.40% 26.13%")</f>
        <v>公司主营业务是PE管道、BOPA薄膜以及锂离子电池隔膜产品。主要产品是多类别管材管件、薄膜、锂离子电池隔膜等。公司是我国最大的BOPA薄膜制造企业之一，是国内第一家通过自主研发全面掌握BOPA薄膜同步双向拉伸工艺的企业。
市值51.184552亿, 利润2.73亿; PE20.5; 平均PE18.23; 平均PEG4.03, PB.984; ROIC6.13%; ROE7.1667%; 股利率3.268%; 毛利17.3567%; 净利11.16%; 上一年度营收增-7.62%, 利润增-2.85%; 当季营收增-18.4%, 利润增-27.67%; 过往5年营收增-4.52%, 利润增6.51%
Income profile:
PE管道塑料制品 6.40亿 48.36% 51.97% 19.35%
BOPA薄膜塑料制品 3.22亿 24.29% 19.21% 14.24%
锂离子电池隔膜新能源材料 2.41亿 18.18% 26.40% 26.13%</v>
      </c>
      <c r="D9" t="s">
        <v>110</v>
      </c>
      <c r="E9" t="s">
        <v>23</v>
      </c>
      <c r="F9">
        <v>3.06</v>
      </c>
      <c r="G9">
        <v>1.32</v>
      </c>
      <c r="H9" t="s">
        <v>1346</v>
      </c>
      <c r="I9">
        <v>5118455200</v>
      </c>
      <c r="J9">
        <v>20.5</v>
      </c>
      <c r="K9">
        <v>0.98399999999999999</v>
      </c>
      <c r="L9" t="s">
        <v>1187</v>
      </c>
      <c r="M9" t="s">
        <v>1347</v>
      </c>
      <c r="N9" t="s">
        <v>1348</v>
      </c>
      <c r="O9" t="s">
        <v>239</v>
      </c>
      <c r="P9">
        <v>-18.53</v>
      </c>
      <c r="Q9" t="s">
        <v>1349</v>
      </c>
      <c r="R9">
        <v>59866363</v>
      </c>
      <c r="S9" s="6">
        <v>-0.2767</v>
      </c>
      <c r="T9" t="s">
        <v>825</v>
      </c>
      <c r="U9">
        <v>1648363700</v>
      </c>
      <c r="V9">
        <v>1672697800</v>
      </c>
      <c r="W9">
        <v>1.37</v>
      </c>
      <c r="X9">
        <v>7.0000000000000007E-2</v>
      </c>
      <c r="Y9">
        <v>11.75</v>
      </c>
      <c r="Z9" t="s">
        <v>1350</v>
      </c>
      <c r="AA9" t="s">
        <v>1029</v>
      </c>
      <c r="AB9" t="s">
        <v>1351</v>
      </c>
      <c r="AC9" t="s">
        <v>1352</v>
      </c>
      <c r="AD9" t="s">
        <v>25</v>
      </c>
      <c r="AE9">
        <v>5424658</v>
      </c>
      <c r="AF9" t="s">
        <v>1353</v>
      </c>
      <c r="AG9" t="s">
        <v>1354</v>
      </c>
      <c r="AH9" t="s">
        <v>1355</v>
      </c>
      <c r="AI9" t="s">
        <v>1010</v>
      </c>
      <c r="AJ9" t="s">
        <v>1356</v>
      </c>
      <c r="AK9" t="s">
        <v>1357</v>
      </c>
      <c r="AL9" t="s">
        <v>1358</v>
      </c>
      <c r="AM9" t="s">
        <v>25</v>
      </c>
      <c r="AN9" t="s">
        <v>1036</v>
      </c>
      <c r="AO9" t="s">
        <v>191</v>
      </c>
      <c r="AP9" t="s">
        <v>1359</v>
      </c>
      <c r="AQ9" t="s">
        <v>295</v>
      </c>
      <c r="AR9" t="s">
        <v>1360</v>
      </c>
      <c r="AS9" t="s">
        <v>872</v>
      </c>
      <c r="AT9" t="s">
        <v>572</v>
      </c>
      <c r="AU9" t="s">
        <v>1361</v>
      </c>
      <c r="AV9" t="s">
        <v>1362</v>
      </c>
      <c r="AW9" t="s">
        <v>1363</v>
      </c>
      <c r="AX9" t="s">
        <v>1023</v>
      </c>
      <c r="AY9" t="s">
        <v>650</v>
      </c>
      <c r="AZ9" t="s">
        <v>300</v>
      </c>
      <c r="BA9" t="s">
        <v>111</v>
      </c>
      <c r="BB9" t="s">
        <v>302</v>
      </c>
      <c r="BC9" t="s">
        <v>1024</v>
      </c>
      <c r="BD9" t="s">
        <v>445</v>
      </c>
      <c r="BE9" t="s">
        <v>115</v>
      </c>
      <c r="BF9" t="s">
        <v>101</v>
      </c>
      <c r="BG9" t="s">
        <v>95</v>
      </c>
      <c r="BH9" t="s">
        <v>1349</v>
      </c>
      <c r="BI9" t="s">
        <v>807</v>
      </c>
      <c r="BJ9" t="s">
        <v>1023</v>
      </c>
      <c r="BK9" t="s">
        <v>825</v>
      </c>
      <c r="BL9" t="s">
        <v>1364</v>
      </c>
      <c r="BM9" t="s">
        <v>1024</v>
      </c>
      <c r="BN9">
        <v>4.05</v>
      </c>
      <c r="BO9">
        <v>5.72</v>
      </c>
      <c r="BP9">
        <v>8.6199999999999992</v>
      </c>
      <c r="BQ9">
        <v>4.7300000000000004</v>
      </c>
      <c r="BR9">
        <v>6.53</v>
      </c>
      <c r="BS9">
        <v>10.24</v>
      </c>
      <c r="BT9" t="s">
        <v>969</v>
      </c>
      <c r="BU9" t="s">
        <v>812</v>
      </c>
      <c r="BV9">
        <v>14.52</v>
      </c>
      <c r="BW9">
        <v>16.690000000000001</v>
      </c>
      <c r="BX9">
        <v>20.86</v>
      </c>
      <c r="BY9">
        <v>10.59</v>
      </c>
      <c r="BZ9">
        <v>10.4</v>
      </c>
      <c r="CA9">
        <v>12.49</v>
      </c>
      <c r="CB9">
        <v>0</v>
      </c>
      <c r="CC9">
        <v>-13.07</v>
      </c>
      <c r="CD9" t="s">
        <v>1365</v>
      </c>
      <c r="CE9" t="s">
        <v>122</v>
      </c>
      <c r="CF9" s="10">
        <v>-0.18400000000000011</v>
      </c>
      <c r="CG9" s="11">
        <v>-0.27665655350070201</v>
      </c>
      <c r="CH9" s="10">
        <v>-7.6190471649169922E-2</v>
      </c>
      <c r="CI9" s="10">
        <v>-1.8691545352339745E-2</v>
      </c>
      <c r="CJ9" s="10">
        <v>4.598119854927063E-2</v>
      </c>
      <c r="CK9" s="10">
        <v>-7.8104183077812195E-2</v>
      </c>
      <c r="CL9" s="10">
        <v>-9.8947353661060333E-2</v>
      </c>
      <c r="CM9" s="11">
        <v>-2.846975065767765E-2</v>
      </c>
      <c r="CN9" s="11">
        <v>-0.23224043846130371</v>
      </c>
      <c r="CO9" s="11">
        <v>0.21594683825969696</v>
      </c>
      <c r="CP9" s="11">
        <v>0.81325298547744751</v>
      </c>
      <c r="CQ9" s="11">
        <v>-0.44295302033424377</v>
      </c>
      <c r="CR9">
        <v>18.225953234421365</v>
      </c>
      <c r="CS9">
        <v>4.0331407962102821</v>
      </c>
      <c r="CT9">
        <v>3.2679738562091503</v>
      </c>
      <c r="CU9" s="10">
        <v>-4.519047103822231E-2</v>
      </c>
      <c r="CV9" s="11">
        <v>6.5107322856783861E-2</v>
      </c>
      <c r="CW9">
        <v>0.06</v>
      </c>
      <c r="CX9">
        <v>6.9796893772893771</v>
      </c>
      <c r="CY9" t="s">
        <v>1366</v>
      </c>
      <c r="CZ9">
        <v>-4.519047103822231E-2</v>
      </c>
      <c r="DA9">
        <v>2.3265631257631258</v>
      </c>
      <c r="DB9" t="s">
        <v>1367</v>
      </c>
      <c r="DC9">
        <v>-4.293094748631119E-2</v>
      </c>
      <c r="DD9">
        <v>1.1632815628815629</v>
      </c>
      <c r="DE9" t="s">
        <v>1368</v>
      </c>
      <c r="DF9">
        <v>-3.9767614513635634E-2</v>
      </c>
      <c r="DG9">
        <v>0.69796893772893775</v>
      </c>
      <c r="DH9" t="s">
        <v>1369</v>
      </c>
      <c r="DI9">
        <v>-3.615237683057785E-2</v>
      </c>
      <c r="DJ9">
        <v>0.34898446886446888</v>
      </c>
      <c r="DK9" t="s">
        <v>1370</v>
      </c>
      <c r="DL9">
        <v>-3.1633329726755616E-2</v>
      </c>
      <c r="DM9">
        <v>273000000</v>
      </c>
      <c r="DN9">
        <v>-4.519047103822231E-2</v>
      </c>
      <c r="DO9">
        <v>1905455200</v>
      </c>
      <c r="DP9">
        <v>1365365300</v>
      </c>
      <c r="DQ9">
        <v>622</v>
      </c>
      <c r="DR9">
        <v>-0.13880952896177778</v>
      </c>
      <c r="DS9">
        <v>-0.34176387635748584</v>
      </c>
      <c r="DT9" s="12">
        <v>-0.44</v>
      </c>
      <c r="DU9">
        <v>-0.10333333333333333</v>
      </c>
      <c r="DV9">
        <v>-0.54333333333333333</v>
      </c>
      <c r="DW9">
        <v>-2.1307</v>
      </c>
      <c r="DX9">
        <v>0.39198961937716348</v>
      </c>
      <c r="DY9">
        <v>-2.0185580432525954</v>
      </c>
      <c r="DZ9">
        <v>2944</v>
      </c>
      <c r="EA9">
        <v>-2.007866286044055</v>
      </c>
      <c r="EB9">
        <v>2</v>
      </c>
      <c r="EC9">
        <v>2.4532225725411968E-2</v>
      </c>
      <c r="ED9">
        <v>0.17277478334699789</v>
      </c>
      <c r="EE9" s="13">
        <v>-1.03691</v>
      </c>
      <c r="EF9">
        <v>-1.0656099999999999</v>
      </c>
      <c r="EG9">
        <v>25.141989619377163</v>
      </c>
      <c r="EH9" t="s">
        <v>771</v>
      </c>
      <c r="EI9">
        <v>0</v>
      </c>
      <c r="EJ9">
        <v>0</v>
      </c>
      <c r="EK9" s="15">
        <v>45470</v>
      </c>
      <c r="EL9" s="16">
        <v>-0.32</v>
      </c>
      <c r="EM9" s="16">
        <v>-2.89</v>
      </c>
      <c r="EN9" s="16">
        <v>0.33</v>
      </c>
      <c r="EO9" s="16">
        <v>3.63</v>
      </c>
      <c r="EP9" s="16">
        <v>-2.87</v>
      </c>
    </row>
    <row r="10" spans="1:146" ht="84" x14ac:dyDescent="0.25">
      <c r="A10" s="8"/>
      <c r="B10" s="8"/>
      <c r="C10" s="8" t="str">
        <f>""&amp;CHAR(10)&amp;Basic_Fundamental_Information_Constructure(F10)&amp;CHAR(10)&amp;Basic_Fundamental_Information_Concatenate("")</f>
        <v xml:space="preserve">
市值38.506382亿, 利润2068.15万; PE813.5; 平均PE37.82; 平均PEG29.15, PB1.41; ROIC192.2367%; ROE3.9967%; 股利率0%; 毛利14.0667%; 净利6.7833%; 上一年度营收增-15.85%, 利润增-69.46%; 当季营收增-3.72%, 利润增-334.68%; 过往5年营收增-1.3%, 利润增26.39%
Income profile:
</v>
      </c>
      <c r="D10" t="s">
        <v>113</v>
      </c>
      <c r="E10" t="s">
        <v>114</v>
      </c>
      <c r="F10">
        <v>2.0499999999999998</v>
      </c>
      <c r="G10">
        <v>0.99</v>
      </c>
      <c r="H10" t="s">
        <v>1371</v>
      </c>
      <c r="I10">
        <v>3850638200</v>
      </c>
      <c r="J10">
        <v>813.5</v>
      </c>
      <c r="K10">
        <v>1.41</v>
      </c>
      <c r="L10" t="s">
        <v>1187</v>
      </c>
      <c r="M10" t="s">
        <v>1040</v>
      </c>
      <c r="N10" t="s">
        <v>1372</v>
      </c>
      <c r="O10" t="s">
        <v>304</v>
      </c>
      <c r="P10">
        <v>-3.65</v>
      </c>
      <c r="Q10" t="s">
        <v>885</v>
      </c>
      <c r="R10">
        <v>-16500000</v>
      </c>
      <c r="S10" s="6">
        <v>-2.2679999999999998</v>
      </c>
      <c r="T10" t="s">
        <v>1373</v>
      </c>
      <c r="U10">
        <v>1878345100</v>
      </c>
      <c r="V10">
        <v>1878360100</v>
      </c>
      <c r="W10">
        <v>1.1499999999999999</v>
      </c>
      <c r="X10">
        <v>0.1</v>
      </c>
      <c r="Y10">
        <v>-2.86</v>
      </c>
      <c r="Z10" t="s">
        <v>317</v>
      </c>
      <c r="AA10" t="s">
        <v>130</v>
      </c>
      <c r="AB10" t="s">
        <v>1374</v>
      </c>
      <c r="AC10" t="s">
        <v>1375</v>
      </c>
      <c r="AD10" t="s">
        <v>25</v>
      </c>
      <c r="AE10">
        <v>-6892658</v>
      </c>
      <c r="AF10" t="s">
        <v>52</v>
      </c>
      <c r="AG10" t="s">
        <v>1376</v>
      </c>
      <c r="AH10" t="s">
        <v>1377</v>
      </c>
      <c r="AI10" t="s">
        <v>347</v>
      </c>
      <c r="AJ10" t="s">
        <v>1378</v>
      </c>
      <c r="AK10" t="s">
        <v>1379</v>
      </c>
      <c r="AL10" t="s">
        <v>1380</v>
      </c>
      <c r="AM10" t="s">
        <v>25</v>
      </c>
      <c r="AN10" t="s">
        <v>1381</v>
      </c>
      <c r="AO10" t="s">
        <v>1116</v>
      </c>
      <c r="AP10" t="s">
        <v>25</v>
      </c>
      <c r="AQ10" t="s">
        <v>1382</v>
      </c>
      <c r="AR10" t="s">
        <v>25</v>
      </c>
      <c r="AS10" t="s">
        <v>788</v>
      </c>
      <c r="AT10" t="s">
        <v>25</v>
      </c>
      <c r="AU10" t="s">
        <v>1383</v>
      </c>
      <c r="AV10" t="s">
        <v>1384</v>
      </c>
      <c r="AW10" t="s">
        <v>1385</v>
      </c>
      <c r="AX10" t="s">
        <v>1031</v>
      </c>
      <c r="AY10" t="s">
        <v>448</v>
      </c>
      <c r="AZ10" t="s">
        <v>80</v>
      </c>
      <c r="BA10" t="s">
        <v>116</v>
      </c>
      <c r="BB10" t="s">
        <v>312</v>
      </c>
      <c r="BC10" t="s">
        <v>1032</v>
      </c>
      <c r="BD10" t="s">
        <v>232</v>
      </c>
      <c r="BE10" t="s">
        <v>77</v>
      </c>
      <c r="BF10" t="s">
        <v>117</v>
      </c>
      <c r="BG10" t="s">
        <v>314</v>
      </c>
      <c r="BH10" t="s">
        <v>885</v>
      </c>
      <c r="BI10" t="s">
        <v>552</v>
      </c>
      <c r="BJ10" t="s">
        <v>1031</v>
      </c>
      <c r="BK10" t="s">
        <v>1373</v>
      </c>
      <c r="BL10" t="s">
        <v>1386</v>
      </c>
      <c r="BM10" t="s">
        <v>1032</v>
      </c>
      <c r="BN10">
        <v>566.99</v>
      </c>
      <c r="BO10">
        <v>1.21</v>
      </c>
      <c r="BP10">
        <v>8.51</v>
      </c>
      <c r="BQ10">
        <v>-0.16</v>
      </c>
      <c r="BR10">
        <v>2.52</v>
      </c>
      <c r="BS10">
        <v>9.6300000000000008</v>
      </c>
      <c r="BT10" t="s">
        <v>965</v>
      </c>
      <c r="BU10" t="s">
        <v>808</v>
      </c>
      <c r="BV10">
        <v>8.5500000000000007</v>
      </c>
      <c r="BW10">
        <v>11.95</v>
      </c>
      <c r="BX10">
        <v>21.7</v>
      </c>
      <c r="BY10">
        <v>1.55</v>
      </c>
      <c r="BZ10">
        <v>4.2699999999999996</v>
      </c>
      <c r="CA10">
        <v>14.53</v>
      </c>
      <c r="CB10">
        <v>-0.97</v>
      </c>
      <c r="CC10">
        <v>-14.58</v>
      </c>
      <c r="CD10" t="s">
        <v>1387</v>
      </c>
      <c r="CE10" t="s">
        <v>509</v>
      </c>
      <c r="CF10" s="10">
        <v>-3.7151702786377708E-2</v>
      </c>
      <c r="CG10" s="11">
        <v>-3.3468168629458952</v>
      </c>
      <c r="CH10" s="10">
        <v>-0.15845963358879089</v>
      </c>
      <c r="CI10" s="10">
        <v>-5.3763441741466522E-2</v>
      </c>
      <c r="CJ10" s="10">
        <v>0.10934398323297501</v>
      </c>
      <c r="CK10" s="10">
        <v>-8.3232119679450989E-2</v>
      </c>
      <c r="CL10" s="10">
        <v>0.12125340849161148</v>
      </c>
      <c r="CM10" s="11">
        <v>-0.69460958242416382</v>
      </c>
      <c r="CN10" s="11">
        <v>-0.72131067514419556</v>
      </c>
      <c r="CO10" s="11">
        <v>0.37288135290145874</v>
      </c>
      <c r="CP10" s="11">
        <v>1.9402579069137573</v>
      </c>
      <c r="CQ10" s="11">
        <v>0.42243665456771851</v>
      </c>
      <c r="CR10">
        <v>37.817925573890115</v>
      </c>
      <c r="CS10">
        <v>29.154491563365493</v>
      </c>
      <c r="CT10">
        <v>0</v>
      </c>
      <c r="CU10" s="10">
        <v>-1.2971560657024383E-2</v>
      </c>
      <c r="CV10" s="11">
        <v>0.26393113136291502</v>
      </c>
      <c r="CW10">
        <v>0.06</v>
      </c>
      <c r="CX10" t="e">
        <v>#VALUE!</v>
      </c>
      <c r="CY10" t="s">
        <v>795</v>
      </c>
      <c r="CZ10">
        <v>-1.2971560657024383E-2</v>
      </c>
      <c r="DA10">
        <v>23.880250465391775</v>
      </c>
      <c r="DB10" t="s">
        <v>1388</v>
      </c>
      <c r="DC10">
        <v>-1.2322982624173162E-2</v>
      </c>
      <c r="DD10">
        <v>11.940125232695888</v>
      </c>
      <c r="DE10" t="s">
        <v>1389</v>
      </c>
      <c r="DF10">
        <v>-1.1414973378181457E-2</v>
      </c>
      <c r="DG10">
        <v>7.1640751396175322</v>
      </c>
      <c r="DH10" t="s">
        <v>1390</v>
      </c>
      <c r="DI10">
        <v>-1.0377248525619507E-2</v>
      </c>
      <c r="DJ10">
        <v>3.5820375698087661</v>
      </c>
      <c r="DK10" t="s">
        <v>1391</v>
      </c>
      <c r="DL10">
        <v>-9.0800924599170676E-3</v>
      </c>
      <c r="DM10">
        <v>20681500</v>
      </c>
      <c r="DN10">
        <v>-1.2971560657024383E-2</v>
      </c>
      <c r="DO10">
        <v>1481638200</v>
      </c>
      <c r="DP10">
        <v>1433428000</v>
      </c>
      <c r="DQ10">
        <v>770</v>
      </c>
      <c r="DR10">
        <v>-2.4180142129353325E-2</v>
      </c>
      <c r="DS10">
        <v>-3.6107479943088103</v>
      </c>
      <c r="DT10" s="12">
        <v>-0.60666666666666669</v>
      </c>
      <c r="DU10">
        <v>-0.89833333333333343</v>
      </c>
      <c r="DV10">
        <v>-1.5050000000000001</v>
      </c>
      <c r="DW10">
        <v>-2.1457999999999999</v>
      </c>
      <c r="DX10">
        <v>0.27599977168949735</v>
      </c>
      <c r="DY10">
        <v>-2.0125387667123289</v>
      </c>
      <c r="DZ10">
        <v>4024</v>
      </c>
      <c r="EA10">
        <v>-2.0026647946476692</v>
      </c>
      <c r="EB10">
        <v>2</v>
      </c>
      <c r="EC10">
        <v>2.0053609528865098E-2</v>
      </c>
      <c r="ED10">
        <v>0.23318212519527007</v>
      </c>
      <c r="EE10" s="13">
        <v>1.4010000000000005E-2</v>
      </c>
      <c r="EF10">
        <v>4.7210000000000002E-2</v>
      </c>
      <c r="EG10">
        <v>19.085999771689497</v>
      </c>
      <c r="EH10">
        <v>-1</v>
      </c>
      <c r="EI10">
        <v>0</v>
      </c>
      <c r="EJ10">
        <v>0</v>
      </c>
      <c r="EK10" s="15">
        <v>45470</v>
      </c>
      <c r="EL10" s="16">
        <v>2.36</v>
      </c>
      <c r="EM10" s="16">
        <v>-5.53</v>
      </c>
      <c r="EN10" s="16">
        <v>0.98</v>
      </c>
      <c r="EO10" s="16">
        <v>1.93</v>
      </c>
      <c r="EP10" s="16">
        <v>-3.32</v>
      </c>
    </row>
    <row r="11" spans="1:146" ht="84" x14ac:dyDescent="0.25">
      <c r="A11" s="8"/>
      <c r="B11" s="8"/>
      <c r="C11" s="8" t="str">
        <f>""&amp;CHAR(10)&amp;Basic_Fundamental_Information_Constructure(F11)&amp;CHAR(10)&amp;Basic_Fundamental_Information_Concatenate("")</f>
        <v xml:space="preserve">
市值7.028509亿, 利润-9.47亿; PE; 平均PE-.95; 平均PEG-.04, PB5.21; ROIC0%; ROE-48.0867%; 股利率0%; 毛利15.36%; 净利-121.8867%; 上一年度营收增-32.28%, 利润增23.2%; 当季营收增-32.68%, 利润增14.68%; 过往5年营收增-25.29%, 利润增-2644.91%
Income profile:
</v>
      </c>
      <c r="D11" t="s">
        <v>518</v>
      </c>
      <c r="E11" t="s">
        <v>1392</v>
      </c>
      <c r="F11" t="s">
        <v>25</v>
      </c>
      <c r="G11" t="s">
        <v>25</v>
      </c>
      <c r="H11" t="s">
        <v>25</v>
      </c>
      <c r="I11">
        <v>702850900</v>
      </c>
      <c r="K11">
        <v>5.21</v>
      </c>
      <c r="L11" t="s">
        <v>1187</v>
      </c>
      <c r="M11" t="s">
        <v>1393</v>
      </c>
      <c r="N11" t="s">
        <v>328</v>
      </c>
      <c r="O11" t="s">
        <v>83</v>
      </c>
      <c r="P11">
        <v>-32.57</v>
      </c>
      <c r="Q11" t="s">
        <v>1053</v>
      </c>
      <c r="R11">
        <v>-80559177</v>
      </c>
      <c r="S11" s="6">
        <v>0.14680000000000001</v>
      </c>
      <c r="T11" t="s">
        <v>1394</v>
      </c>
      <c r="U11">
        <v>1150971470</v>
      </c>
      <c r="V11">
        <v>1152214590</v>
      </c>
      <c r="W11">
        <v>28.48</v>
      </c>
      <c r="X11">
        <v>0.03</v>
      </c>
      <c r="Y11">
        <v>-78.63</v>
      </c>
      <c r="Z11" t="s">
        <v>1077</v>
      </c>
      <c r="AA11" t="s">
        <v>1395</v>
      </c>
      <c r="AB11" t="s">
        <v>1396</v>
      </c>
      <c r="AC11" t="s">
        <v>1397</v>
      </c>
      <c r="AD11" t="s">
        <v>25</v>
      </c>
      <c r="AE11">
        <v>59788958</v>
      </c>
      <c r="AF11" t="s">
        <v>1398</v>
      </c>
      <c r="AG11" t="s">
        <v>1399</v>
      </c>
      <c r="AH11" t="s">
        <v>1400</v>
      </c>
      <c r="AI11" t="s">
        <v>1401</v>
      </c>
      <c r="AJ11" t="s">
        <v>1402</v>
      </c>
      <c r="AK11" t="s">
        <v>1403</v>
      </c>
      <c r="AL11" t="s">
        <v>1404</v>
      </c>
      <c r="AM11" t="s">
        <v>25</v>
      </c>
      <c r="AN11" t="s">
        <v>1405</v>
      </c>
      <c r="AO11" t="s">
        <v>1406</v>
      </c>
      <c r="AP11" t="s">
        <v>1034</v>
      </c>
      <c r="AQ11" t="s">
        <v>1407</v>
      </c>
      <c r="AR11" t="s">
        <v>1408</v>
      </c>
      <c r="AS11" t="s">
        <v>1409</v>
      </c>
      <c r="AT11" t="s">
        <v>786</v>
      </c>
      <c r="AU11" t="s">
        <v>1410</v>
      </c>
      <c r="AV11" t="s">
        <v>1411</v>
      </c>
      <c r="AW11" t="s">
        <v>1412</v>
      </c>
      <c r="AX11" t="s">
        <v>583</v>
      </c>
      <c r="AY11" t="s">
        <v>614</v>
      </c>
      <c r="AZ11" t="s">
        <v>519</v>
      </c>
      <c r="BA11" t="s">
        <v>521</v>
      </c>
      <c r="BB11" t="s">
        <v>522</v>
      </c>
      <c r="BC11" t="s">
        <v>1033</v>
      </c>
      <c r="BD11" t="s">
        <v>652</v>
      </c>
      <c r="BE11" t="s">
        <v>520</v>
      </c>
      <c r="BF11" t="s">
        <v>523</v>
      </c>
      <c r="BG11" t="s">
        <v>122</v>
      </c>
      <c r="BH11" t="s">
        <v>1053</v>
      </c>
      <c r="BI11" t="s">
        <v>278</v>
      </c>
      <c r="BJ11" t="s">
        <v>583</v>
      </c>
      <c r="BK11" t="s">
        <v>1394</v>
      </c>
      <c r="BL11" t="s">
        <v>1413</v>
      </c>
      <c r="BM11" t="s">
        <v>1033</v>
      </c>
      <c r="BN11" t="s">
        <v>25</v>
      </c>
      <c r="BO11" t="s">
        <v>25</v>
      </c>
      <c r="BP11" t="s">
        <v>25</v>
      </c>
      <c r="BQ11">
        <v>-32.6</v>
      </c>
      <c r="BR11">
        <v>-69.58</v>
      </c>
      <c r="BS11">
        <v>-42.08</v>
      </c>
      <c r="BT11" t="s">
        <v>965</v>
      </c>
      <c r="BU11" t="s">
        <v>808</v>
      </c>
      <c r="BV11">
        <v>11.67</v>
      </c>
      <c r="BW11">
        <v>14.35</v>
      </c>
      <c r="BX11">
        <v>20.059999999999999</v>
      </c>
      <c r="BY11">
        <v>-143.26</v>
      </c>
      <c r="BZ11">
        <v>-126.56</v>
      </c>
      <c r="CA11">
        <v>-95.84</v>
      </c>
      <c r="CB11">
        <v>-8.9600000000000009</v>
      </c>
      <c r="CC11">
        <v>-56.43</v>
      </c>
      <c r="CD11" t="s">
        <v>1414</v>
      </c>
      <c r="CE11" t="s">
        <v>509</v>
      </c>
      <c r="CF11" s="10">
        <v>-0.32679738562091504</v>
      </c>
      <c r="CG11" s="11">
        <v>0.14680959022930257</v>
      </c>
      <c r="CH11" s="10">
        <v>-0.32277834415435791</v>
      </c>
      <c r="CI11" s="10">
        <v>-0.26501500606536865</v>
      </c>
      <c r="CJ11" s="10">
        <v>-0.40720963478088379</v>
      </c>
      <c r="CK11" s="10">
        <v>-0.32360020279884338</v>
      </c>
      <c r="CL11" s="10">
        <v>5.4268423467874527E-2</v>
      </c>
      <c r="CM11" s="11">
        <v>0.23195454478263855</v>
      </c>
      <c r="CN11" s="11">
        <v>2.7602573856711388E-2</v>
      </c>
      <c r="CO11" s="11">
        <v>1.705426350235939E-2</v>
      </c>
      <c r="CP11" s="11">
        <v>-131.55622863769531</v>
      </c>
      <c r="CQ11" s="11">
        <v>-0.96581035852432251</v>
      </c>
      <c r="CR11">
        <v>-0.9499869703881797</v>
      </c>
      <c r="CS11">
        <v>-3.7568648635965214E-2</v>
      </c>
      <c r="CT11">
        <v>0</v>
      </c>
      <c r="CU11" s="10">
        <v>-0.25286695286631583</v>
      </c>
      <c r="CV11" s="11">
        <v>-26.449085522815587</v>
      </c>
      <c r="CW11">
        <v>0.06</v>
      </c>
      <c r="CX11" t="e">
        <v>#VALUE!</v>
      </c>
      <c r="CY11" t="s">
        <v>769</v>
      </c>
      <c r="CZ11">
        <v>-0.25286695286631583</v>
      </c>
      <c r="DA11" t="e">
        <v>#VALUE!</v>
      </c>
      <c r="DB11" t="s">
        <v>770</v>
      </c>
      <c r="DC11">
        <v>-0.24022360522300001</v>
      </c>
      <c r="DD11" t="e">
        <v>#VALUE!</v>
      </c>
      <c r="DE11" t="s">
        <v>770</v>
      </c>
      <c r="DF11">
        <v>-0.22252291852235792</v>
      </c>
      <c r="DG11" t="e">
        <v>#VALUE!</v>
      </c>
      <c r="DH11" t="s">
        <v>770</v>
      </c>
      <c r="DI11">
        <v>-0.20229356229305268</v>
      </c>
      <c r="DJ11" t="e">
        <v>#VALUE!</v>
      </c>
      <c r="DK11" t="s">
        <v>770</v>
      </c>
      <c r="DL11">
        <v>-0.17700686700642107</v>
      </c>
      <c r="DM11">
        <v>-947000000.00000012</v>
      </c>
      <c r="DN11">
        <v>-0.25286695286631583</v>
      </c>
      <c r="DO11">
        <v>4244850900</v>
      </c>
      <c r="DP11">
        <v>-2358425940</v>
      </c>
      <c r="DQ11">
        <v>848</v>
      </c>
      <c r="DR11">
        <v>-7.3930432754599207E-2</v>
      </c>
      <c r="DS11">
        <v>26.59589511304489</v>
      </c>
      <c r="DT11" s="12">
        <v>-1.0066666666666666</v>
      </c>
      <c r="DU11">
        <v>-1.9516666666666664</v>
      </c>
      <c r="DV11">
        <v>-2.958333333333333</v>
      </c>
      <c r="DW11">
        <v>-9.1587807903597369</v>
      </c>
      <c r="DX11">
        <v>3.5812785388127854E-3</v>
      </c>
      <c r="DY11">
        <v>-9.0005686382368904</v>
      </c>
      <c r="DZ11">
        <v>4895</v>
      </c>
      <c r="EA11">
        <v>-9.0000239250921581</v>
      </c>
      <c r="EB11">
        <v>9</v>
      </c>
      <c r="EC11">
        <v>1.3613783522737723E-3</v>
      </c>
      <c r="ED11">
        <v>0.38013752282029339</v>
      </c>
      <c r="EE11" s="13">
        <v>-8.1386099999999999</v>
      </c>
      <c r="EF11">
        <v>-9.0427099999999996</v>
      </c>
      <c r="EG11">
        <v>3.5812785388127854E-3</v>
      </c>
      <c r="EH11" t="s">
        <v>1415</v>
      </c>
      <c r="EI11">
        <v>0</v>
      </c>
      <c r="EJ11">
        <v>0</v>
      </c>
      <c r="EK11" s="15">
        <v>45470</v>
      </c>
      <c r="EL11" s="16">
        <v>-4.4400000000000004</v>
      </c>
      <c r="EM11" s="16">
        <v>-4.6500000000000004</v>
      </c>
      <c r="EN11" s="16">
        <v>-4.88</v>
      </c>
      <c r="EO11" s="16">
        <v>-5.13</v>
      </c>
      <c r="EP11" s="16">
        <v>-5.41</v>
      </c>
    </row>
    <row r="12" spans="1:146" ht="84" x14ac:dyDescent="0.25">
      <c r="A12" s="8"/>
      <c r="B12" s="8"/>
      <c r="C12" s="8" t="str">
        <f>""&amp;CHAR(10)&amp;Basic_Fundamental_Information_Constructure(F12)&amp;CHAR(10)&amp;Basic_Fundamental_Information_Concatenate("")</f>
        <v xml:space="preserve">
市值29.577188亿, 利润2543.80万; PE113.4; 平均PE41.98; 平均PEG5.98, PB1.29; ROIC2.2133%; ROE2.2333%; 股利率3.2154%; 毛利13.2267%; 净利1.5633%; 上一年度营收增2.19%, 利润增-5.53%; 当季营收增-7.55%, 利润增9.9%; 过往5年营收增7.02%, 利润增-8.85%
Income profile:
</v>
      </c>
      <c r="D12" t="s">
        <v>524</v>
      </c>
      <c r="E12" t="s">
        <v>525</v>
      </c>
      <c r="F12">
        <v>3.11</v>
      </c>
      <c r="G12">
        <v>1.97</v>
      </c>
      <c r="H12" t="s">
        <v>1416</v>
      </c>
      <c r="I12">
        <v>2957718800</v>
      </c>
      <c r="J12">
        <v>113.4</v>
      </c>
      <c r="K12">
        <v>1.29</v>
      </c>
      <c r="L12" t="s">
        <v>1187</v>
      </c>
      <c r="M12" t="s">
        <v>1417</v>
      </c>
      <c r="N12" t="s">
        <v>1418</v>
      </c>
      <c r="O12" t="s">
        <v>700</v>
      </c>
      <c r="P12">
        <v>-7.62</v>
      </c>
      <c r="Q12" t="s">
        <v>1419</v>
      </c>
      <c r="R12">
        <v>7164873</v>
      </c>
      <c r="S12" s="6">
        <v>9.9000000000000005E-2</v>
      </c>
      <c r="T12" t="s">
        <v>1420</v>
      </c>
      <c r="U12">
        <v>795427980</v>
      </c>
      <c r="V12">
        <v>951034970</v>
      </c>
      <c r="W12">
        <v>2</v>
      </c>
      <c r="X12">
        <v>0.11</v>
      </c>
      <c r="Y12">
        <v>0.97</v>
      </c>
      <c r="Z12" t="s">
        <v>830</v>
      </c>
      <c r="AA12" t="s">
        <v>1421</v>
      </c>
      <c r="AB12" t="s">
        <v>1422</v>
      </c>
      <c r="AC12" t="s">
        <v>1423</v>
      </c>
      <c r="AD12" t="s">
        <v>25</v>
      </c>
      <c r="AE12">
        <v>9500925</v>
      </c>
      <c r="AF12" t="s">
        <v>1424</v>
      </c>
      <c r="AG12" t="s">
        <v>1425</v>
      </c>
      <c r="AH12" t="s">
        <v>1426</v>
      </c>
      <c r="AI12" t="s">
        <v>988</v>
      </c>
      <c r="AJ12" t="s">
        <v>1427</v>
      </c>
      <c r="AK12" t="s">
        <v>242</v>
      </c>
      <c r="AL12" t="s">
        <v>1428</v>
      </c>
      <c r="AM12" t="s">
        <v>25</v>
      </c>
      <c r="AN12" t="s">
        <v>478</v>
      </c>
      <c r="AO12" t="s">
        <v>1429</v>
      </c>
      <c r="AP12" t="s">
        <v>143</v>
      </c>
      <c r="AQ12" t="s">
        <v>856</v>
      </c>
      <c r="AR12" t="s">
        <v>25</v>
      </c>
      <c r="AS12" t="s">
        <v>1430</v>
      </c>
      <c r="AT12" t="s">
        <v>50</v>
      </c>
      <c r="AU12" t="s">
        <v>1431</v>
      </c>
      <c r="AV12" t="s">
        <v>1432</v>
      </c>
      <c r="AW12" t="s">
        <v>1433</v>
      </c>
      <c r="AX12" t="s">
        <v>1038</v>
      </c>
      <c r="AY12" t="s">
        <v>653</v>
      </c>
      <c r="AZ12" t="s">
        <v>526</v>
      </c>
      <c r="BA12" t="s">
        <v>528</v>
      </c>
      <c r="BB12" t="s">
        <v>529</v>
      </c>
      <c r="BC12" t="s">
        <v>1434</v>
      </c>
      <c r="BD12" t="s">
        <v>654</v>
      </c>
      <c r="BE12" t="s">
        <v>527</v>
      </c>
      <c r="BF12" t="s">
        <v>248</v>
      </c>
      <c r="BG12" t="s">
        <v>530</v>
      </c>
      <c r="BH12" t="s">
        <v>1419</v>
      </c>
      <c r="BI12" t="s">
        <v>999</v>
      </c>
      <c r="BJ12" t="s">
        <v>1038</v>
      </c>
      <c r="BK12" t="s">
        <v>1420</v>
      </c>
      <c r="BL12" t="s">
        <v>1435</v>
      </c>
      <c r="BM12" t="s">
        <v>1434</v>
      </c>
      <c r="BN12">
        <v>1.25</v>
      </c>
      <c r="BO12">
        <v>1.61</v>
      </c>
      <c r="BP12">
        <v>3.78</v>
      </c>
      <c r="BQ12">
        <v>1.1200000000000001</v>
      </c>
      <c r="BR12">
        <v>1.1299999999999999</v>
      </c>
      <c r="BS12">
        <v>4.45</v>
      </c>
      <c r="BT12" t="s">
        <v>969</v>
      </c>
      <c r="BU12" t="s">
        <v>815</v>
      </c>
      <c r="BV12">
        <v>12.53</v>
      </c>
      <c r="BW12">
        <v>12.11</v>
      </c>
      <c r="BX12">
        <v>15.04</v>
      </c>
      <c r="BY12">
        <v>0.73</v>
      </c>
      <c r="BZ12">
        <v>0.88</v>
      </c>
      <c r="CA12">
        <v>3.08</v>
      </c>
      <c r="CB12">
        <v>-4.01</v>
      </c>
      <c r="CC12">
        <v>-14.09</v>
      </c>
      <c r="CD12" t="s">
        <v>1436</v>
      </c>
      <c r="CE12" t="s">
        <v>1437</v>
      </c>
      <c r="CF12" s="10">
        <v>-7.5506445672191641E-2</v>
      </c>
      <c r="CG12" s="11">
        <v>9.8974323578133627E-2</v>
      </c>
      <c r="CH12" s="10">
        <v>2.1860120818018913E-2</v>
      </c>
      <c r="CI12" s="10">
        <v>-2.8946377336978912E-2</v>
      </c>
      <c r="CJ12" s="10">
        <v>0.38630282878875732</v>
      </c>
      <c r="CK12" s="10">
        <v>-0.10101009905338287</v>
      </c>
      <c r="CL12" s="10">
        <v>7.2755448520183563E-2</v>
      </c>
      <c r="CM12" s="11">
        <v>-5.5329229682683945E-2</v>
      </c>
      <c r="CN12" s="11">
        <v>-0.68061566352844238</v>
      </c>
      <c r="CO12" s="11">
        <v>7.0315515622496605E-3</v>
      </c>
      <c r="CP12" s="11">
        <v>-0.33021441102027893</v>
      </c>
      <c r="CQ12" s="11">
        <v>0.61649912595748901</v>
      </c>
      <c r="CR12">
        <v>41.980393093819529</v>
      </c>
      <c r="CS12">
        <v>5.9807617997553617</v>
      </c>
      <c r="CT12">
        <v>3.2154340836012865</v>
      </c>
      <c r="CU12" s="10">
        <v>7.01923843473196E-2</v>
      </c>
      <c r="CV12" s="11">
        <v>-8.8525725342333314E-2</v>
      </c>
      <c r="CW12">
        <v>0.06</v>
      </c>
      <c r="CX12">
        <v>119.05800187283182</v>
      </c>
      <c r="CY12">
        <v>25682597.993421804</v>
      </c>
      <c r="CZ12">
        <v>7.01923843473196E-2</v>
      </c>
      <c r="DA12">
        <v>39.566604542096513</v>
      </c>
      <c r="DB12">
        <v>77280293.20147422</v>
      </c>
      <c r="DC12">
        <v>6.6682765129953622E-2</v>
      </c>
      <c r="DD12">
        <v>19.917119334767762</v>
      </c>
      <c r="DE12">
        <v>153522140.85810989</v>
      </c>
      <c r="DF12">
        <v>6.1769298225641249E-2</v>
      </c>
      <c r="DG12">
        <v>12.26234449803791</v>
      </c>
      <c r="DH12">
        <v>249358415.9610965</v>
      </c>
      <c r="DI12">
        <v>5.6153907477855682E-2</v>
      </c>
      <c r="DJ12">
        <v>6.6850086420569106</v>
      </c>
      <c r="DK12">
        <v>457399378.77764213</v>
      </c>
      <c r="DL12">
        <v>4.9134669043123719E-2</v>
      </c>
      <c r="DM12">
        <v>25438000</v>
      </c>
      <c r="DN12">
        <v>7.01923843473196E-2</v>
      </c>
      <c r="DO12">
        <v>3057718800</v>
      </c>
      <c r="DP12">
        <v>628196400</v>
      </c>
      <c r="DQ12">
        <v>867</v>
      </c>
      <c r="DR12">
        <v>-0.14569883001951123</v>
      </c>
      <c r="DS12">
        <v>0.18750004892046696</v>
      </c>
      <c r="DT12" s="12">
        <v>-0.3066666666666667</v>
      </c>
      <c r="DU12">
        <v>-0.21666666666666667</v>
      </c>
      <c r="DV12">
        <v>-0.52333333333333343</v>
      </c>
      <c r="DW12">
        <v>-8.2845990063875092</v>
      </c>
      <c r="DX12">
        <v>0.27485875796178277</v>
      </c>
      <c r="DY12">
        <v>-8.024150718199202</v>
      </c>
      <c r="DZ12">
        <v>2914</v>
      </c>
      <c r="EA12">
        <v>-8.0103786648073285</v>
      </c>
      <c r="EB12">
        <v>8</v>
      </c>
      <c r="EC12">
        <v>5.603505831126273E-2</v>
      </c>
      <c r="ED12">
        <v>0.66033323674733013</v>
      </c>
      <c r="EE12" s="13">
        <v>-1.0229999999999999</v>
      </c>
      <c r="EF12">
        <v>-1.0387999999999999</v>
      </c>
      <c r="EG12">
        <v>19.084858757961783</v>
      </c>
      <c r="EH12" t="s">
        <v>773</v>
      </c>
      <c r="EI12">
        <v>0</v>
      </c>
      <c r="EJ12">
        <v>0</v>
      </c>
      <c r="EK12" s="15">
        <v>45470</v>
      </c>
      <c r="EL12" s="16">
        <v>-1.83</v>
      </c>
      <c r="EM12" s="16">
        <v>-4.3600000000000003</v>
      </c>
      <c r="EN12" s="16">
        <v>0.98</v>
      </c>
      <c r="EO12" s="16">
        <v>2.2599999999999998</v>
      </c>
      <c r="EP12" s="16">
        <v>1.58</v>
      </c>
    </row>
    <row r="13" spans="1:146" ht="84" x14ac:dyDescent="0.25">
      <c r="A13" s="8"/>
      <c r="B13" s="8"/>
      <c r="C13" s="8" t="str">
        <f>""&amp;CHAR(10)&amp;Basic_Fundamental_Information_Constructure(F13)&amp;CHAR(10)&amp;Basic_Fundamental_Information_Concatenate("")</f>
        <v xml:space="preserve">
市值38.166141亿, 利润5521.68万; PE56.71; 平均PE147.78; 平均PEG82.26, PB4.09; ROIC3.45%; ROE1.9333%; 股利率.7027%; 毛利8.82%; 净利1.2733%; 上一年度营收增8.47%, 利润增221.48%; 当季营收增48.26%, 利润增183.22%; 过往5年营收增1.8%, 利润增25.32%
Income profile:
</v>
      </c>
      <c r="D13" t="s">
        <v>119</v>
      </c>
      <c r="E13" t="s">
        <v>5</v>
      </c>
      <c r="F13">
        <v>14.23</v>
      </c>
      <c r="G13">
        <v>-1.04</v>
      </c>
      <c r="H13" t="s">
        <v>1438</v>
      </c>
      <c r="I13">
        <v>3816614100</v>
      </c>
      <c r="J13">
        <v>56.71</v>
      </c>
      <c r="K13">
        <v>4.09</v>
      </c>
      <c r="L13" t="s">
        <v>1187</v>
      </c>
      <c r="M13" t="s">
        <v>318</v>
      </c>
      <c r="N13" t="s">
        <v>346</v>
      </c>
      <c r="O13" t="s">
        <v>233</v>
      </c>
      <c r="P13">
        <v>47.94</v>
      </c>
      <c r="Q13" t="s">
        <v>208</v>
      </c>
      <c r="R13">
        <v>18671839</v>
      </c>
      <c r="S13" s="6">
        <v>1.8320000000000001</v>
      </c>
      <c r="T13" t="s">
        <v>1439</v>
      </c>
      <c r="U13">
        <v>268209000</v>
      </c>
      <c r="V13">
        <v>268209000</v>
      </c>
      <c r="W13">
        <v>2.41</v>
      </c>
      <c r="X13">
        <v>0.19</v>
      </c>
      <c r="Y13">
        <v>4.38</v>
      </c>
      <c r="Z13" t="s">
        <v>605</v>
      </c>
      <c r="AA13" t="s">
        <v>671</v>
      </c>
      <c r="AB13" t="s">
        <v>1440</v>
      </c>
      <c r="AC13" t="s">
        <v>1441</v>
      </c>
      <c r="AD13" t="s">
        <v>25</v>
      </c>
      <c r="AE13">
        <v>-809992</v>
      </c>
      <c r="AF13" t="s">
        <v>1442</v>
      </c>
      <c r="AG13" t="s">
        <v>25</v>
      </c>
      <c r="AH13" t="s">
        <v>1443</v>
      </c>
      <c r="AI13" t="s">
        <v>106</v>
      </c>
      <c r="AJ13" t="s">
        <v>1444</v>
      </c>
      <c r="AK13" t="s">
        <v>874</v>
      </c>
      <c r="AL13" t="s">
        <v>1445</v>
      </c>
      <c r="AM13" t="s">
        <v>25</v>
      </c>
      <c r="AN13" t="s">
        <v>179</v>
      </c>
      <c r="AO13" t="s">
        <v>156</v>
      </c>
      <c r="AP13" t="s">
        <v>1446</v>
      </c>
      <c r="AQ13" t="s">
        <v>1020</v>
      </c>
      <c r="AR13" t="s">
        <v>25</v>
      </c>
      <c r="AS13" t="s">
        <v>276</v>
      </c>
      <c r="AT13" t="s">
        <v>25</v>
      </c>
      <c r="AU13" t="s">
        <v>1068</v>
      </c>
      <c r="AV13" t="s">
        <v>1447</v>
      </c>
      <c r="AW13" t="s">
        <v>1448</v>
      </c>
      <c r="AX13" t="s">
        <v>780</v>
      </c>
      <c r="AY13" t="s">
        <v>655</v>
      </c>
      <c r="AZ13" t="s">
        <v>319</v>
      </c>
      <c r="BA13" t="s">
        <v>120</v>
      </c>
      <c r="BB13" t="s">
        <v>322</v>
      </c>
      <c r="BC13" t="s">
        <v>1043</v>
      </c>
      <c r="BD13" t="s">
        <v>656</v>
      </c>
      <c r="BE13" t="s">
        <v>320</v>
      </c>
      <c r="BF13" t="s">
        <v>121</v>
      </c>
      <c r="BG13" t="s">
        <v>324</v>
      </c>
      <c r="BH13" t="s">
        <v>208</v>
      </c>
      <c r="BI13" t="s">
        <v>694</v>
      </c>
      <c r="BJ13" t="s">
        <v>780</v>
      </c>
      <c r="BK13" t="s">
        <v>1439</v>
      </c>
      <c r="BL13" t="s">
        <v>1449</v>
      </c>
      <c r="BM13" t="s">
        <v>1043</v>
      </c>
      <c r="BN13">
        <v>2.7</v>
      </c>
      <c r="BO13" t="s">
        <v>25</v>
      </c>
      <c r="BP13">
        <v>4.2</v>
      </c>
      <c r="BQ13">
        <v>5.32</v>
      </c>
      <c r="BR13">
        <v>-5.15</v>
      </c>
      <c r="BS13">
        <v>5.63</v>
      </c>
      <c r="BT13" t="s">
        <v>969</v>
      </c>
      <c r="BU13" t="s">
        <v>815</v>
      </c>
      <c r="BV13">
        <v>11.29</v>
      </c>
      <c r="BW13">
        <v>3.54</v>
      </c>
      <c r="BX13">
        <v>11.63</v>
      </c>
      <c r="BY13">
        <v>3.65</v>
      </c>
      <c r="BZ13">
        <v>-3.26</v>
      </c>
      <c r="CA13">
        <v>3.43</v>
      </c>
      <c r="CB13">
        <v>-4.6900000000000004</v>
      </c>
      <c r="CC13">
        <v>-1.18</v>
      </c>
      <c r="CD13" t="s">
        <v>1450</v>
      </c>
      <c r="CE13" t="s">
        <v>1451</v>
      </c>
      <c r="CF13" s="10">
        <v>0.48263888888888867</v>
      </c>
      <c r="CG13" s="11">
        <v>1.8321561400315496</v>
      </c>
      <c r="CH13" s="10">
        <v>8.4709353744983673E-2</v>
      </c>
      <c r="CI13" s="10">
        <v>-5.2380997687578201E-2</v>
      </c>
      <c r="CJ13" s="10">
        <v>9.5380030572414398E-2</v>
      </c>
      <c r="CK13" s="10">
        <v>-5.2928678691387177E-2</v>
      </c>
      <c r="CL13" s="10">
        <v>1.5042933635413647E-2</v>
      </c>
      <c r="CM13" s="11">
        <v>2.214810848236084</v>
      </c>
      <c r="CN13" s="11">
        <v>-1.9003392457962036</v>
      </c>
      <c r="CO13" s="11">
        <v>0.19657979905605316</v>
      </c>
      <c r="CP13" s="11">
        <v>0.39321202039718628</v>
      </c>
      <c r="CQ13" s="11">
        <v>0.36169016361236572</v>
      </c>
      <c r="CR13">
        <v>147.77736935881163</v>
      </c>
      <c r="CS13">
        <v>82.260645406046478</v>
      </c>
      <c r="CT13">
        <v>0.70274068868587491</v>
      </c>
      <c r="CU13" s="10">
        <v>1.7964528314769267E-2</v>
      </c>
      <c r="CV13" s="11">
        <v>0.25319071710109708</v>
      </c>
      <c r="CW13">
        <v>0.06</v>
      </c>
      <c r="CX13">
        <v>79.970670837780901</v>
      </c>
      <c r="CY13">
        <v>53027116.761368819</v>
      </c>
      <c r="CZ13">
        <v>1.7964528314769267E-2</v>
      </c>
      <c r="DA13">
        <v>27.790862021073707</v>
      </c>
      <c r="DB13">
        <v>152590232.601794</v>
      </c>
      <c r="DC13">
        <v>1.7066301899030804E-2</v>
      </c>
      <c r="DD13">
        <v>14.817913897941164</v>
      </c>
      <c r="DE13">
        <v>286181585.96462089</v>
      </c>
      <c r="DF13">
        <v>1.5808784916996953E-2</v>
      </c>
      <c r="DG13">
        <v>9.7049477355987985</v>
      </c>
      <c r="DH13">
        <v>436953831.74965167</v>
      </c>
      <c r="DI13">
        <v>1.4371622651815415E-2</v>
      </c>
      <c r="DJ13">
        <v>5.9983306463845851</v>
      </c>
      <c r="DK13">
        <v>706965712.62805831</v>
      </c>
      <c r="DL13">
        <v>1.2575169820338485E-2</v>
      </c>
      <c r="DM13">
        <v>55216800</v>
      </c>
      <c r="DN13">
        <v>1.7964528314769267E-2</v>
      </c>
      <c r="DO13">
        <v>4240614100</v>
      </c>
      <c r="DP13">
        <v>284346350</v>
      </c>
      <c r="DQ13">
        <v>901</v>
      </c>
      <c r="DR13">
        <v>0.46467436057411943</v>
      </c>
      <c r="DS13">
        <v>1.5789654229304526</v>
      </c>
      <c r="DT13" s="12">
        <v>-0.44</v>
      </c>
      <c r="DU13">
        <v>0.15333333333333329</v>
      </c>
      <c r="DV13">
        <v>-0.28666666666666674</v>
      </c>
      <c r="DW13">
        <v>-4.2515991471215351</v>
      </c>
      <c r="DX13">
        <v>0.24452964824120499</v>
      </c>
      <c r="DY13">
        <v>-4.0162356044615404</v>
      </c>
      <c r="DZ13">
        <v>2401</v>
      </c>
      <c r="EA13">
        <v>-4.0086070944200225</v>
      </c>
      <c r="EB13">
        <v>4</v>
      </c>
      <c r="EC13">
        <v>0.14363500106260416</v>
      </c>
      <c r="ED13">
        <v>2.225876089169267</v>
      </c>
      <c r="EE13" s="13">
        <v>6.0347999999999997</v>
      </c>
      <c r="EF13">
        <v>6.0088100000000004</v>
      </c>
      <c r="EG13">
        <v>18.064529648241205</v>
      </c>
      <c r="EH13" t="s">
        <v>1452</v>
      </c>
      <c r="EI13">
        <v>0</v>
      </c>
      <c r="EJ13">
        <v>0</v>
      </c>
      <c r="EK13" s="15">
        <v>45470</v>
      </c>
      <c r="EL13" s="16">
        <v>0.13</v>
      </c>
      <c r="EM13" s="16">
        <v>-6.53</v>
      </c>
      <c r="EN13" s="16">
        <v>-1.08</v>
      </c>
      <c r="EO13" s="16">
        <v>2.79</v>
      </c>
      <c r="EP13" s="16">
        <v>-4.3600000000000003</v>
      </c>
    </row>
    <row r="14" spans="1:146" ht="84" x14ac:dyDescent="0.25">
      <c r="A14" s="8"/>
      <c r="B14" s="8"/>
      <c r="C14" s="8" t="str">
        <f>""&amp;CHAR(10)&amp;Basic_Fundamental_Information_Constructure(F14)&amp;CHAR(10)&amp;Basic_Fundamental_Information_Concatenate("")</f>
        <v xml:space="preserve">
市值28.803785亿, 利润1.04亿; PE29.62; 平均PE24.51; 平均PEG2.2, PB1.28; ROIC3.97%; ROE6.7967%; 股利率1.1006%; 毛利21.12%; 净利6.1267%; 上一年度营收增-8.28%, 利润增-32.03%; 当季营收增-5.26%, 利润增-28.92%; 过往5年营收增11.13%, 利润增40.45%
Income profile:
</v>
      </c>
      <c r="D14" t="s">
        <v>535</v>
      </c>
      <c r="E14" t="s">
        <v>536</v>
      </c>
      <c r="F14">
        <v>3.18</v>
      </c>
      <c r="G14">
        <v>1.6</v>
      </c>
      <c r="H14" t="s">
        <v>1453</v>
      </c>
      <c r="I14">
        <v>2880378500</v>
      </c>
      <c r="J14">
        <v>29.62</v>
      </c>
      <c r="K14">
        <v>1.28</v>
      </c>
      <c r="L14" t="s">
        <v>1187</v>
      </c>
      <c r="M14" t="s">
        <v>1454</v>
      </c>
      <c r="N14" t="s">
        <v>1455</v>
      </c>
      <c r="O14" t="s">
        <v>783</v>
      </c>
      <c r="P14">
        <v>-5.25</v>
      </c>
      <c r="Q14" t="s">
        <v>1456</v>
      </c>
      <c r="R14">
        <v>16671506</v>
      </c>
      <c r="S14" s="6">
        <v>-0.28920000000000001</v>
      </c>
      <c r="T14" t="s">
        <v>236</v>
      </c>
      <c r="U14">
        <v>868838180</v>
      </c>
      <c r="V14">
        <v>905779390</v>
      </c>
      <c r="W14">
        <v>1.57</v>
      </c>
      <c r="X14">
        <v>0.1</v>
      </c>
      <c r="Y14">
        <v>0.8</v>
      </c>
      <c r="Z14" t="s">
        <v>862</v>
      </c>
      <c r="AA14" t="s">
        <v>304</v>
      </c>
      <c r="AB14" t="s">
        <v>1457</v>
      </c>
      <c r="AC14" t="s">
        <v>1458</v>
      </c>
      <c r="AD14" t="s">
        <v>25</v>
      </c>
      <c r="AE14">
        <v>1742082</v>
      </c>
      <c r="AF14" t="s">
        <v>1459</v>
      </c>
      <c r="AG14" t="s">
        <v>1460</v>
      </c>
      <c r="AH14" t="s">
        <v>1461</v>
      </c>
      <c r="AI14" t="s">
        <v>1462</v>
      </c>
      <c r="AJ14" t="s">
        <v>1463</v>
      </c>
      <c r="AK14" t="s">
        <v>1464</v>
      </c>
      <c r="AL14" t="s">
        <v>1465</v>
      </c>
      <c r="AM14" t="s">
        <v>25</v>
      </c>
      <c r="AN14" t="s">
        <v>126</v>
      </c>
      <c r="AO14" t="s">
        <v>75</v>
      </c>
      <c r="AP14" t="s">
        <v>25</v>
      </c>
      <c r="AQ14" t="s">
        <v>94</v>
      </c>
      <c r="AR14" t="s">
        <v>25</v>
      </c>
      <c r="AS14" t="s">
        <v>1466</v>
      </c>
      <c r="AT14" t="s">
        <v>154</v>
      </c>
      <c r="AU14" t="s">
        <v>1467</v>
      </c>
      <c r="AV14" t="s">
        <v>1468</v>
      </c>
      <c r="AW14" t="s">
        <v>1469</v>
      </c>
      <c r="AX14" t="s">
        <v>1047</v>
      </c>
      <c r="AY14" t="s">
        <v>657</v>
      </c>
      <c r="AZ14" t="s">
        <v>537</v>
      </c>
      <c r="BA14" t="s">
        <v>275</v>
      </c>
      <c r="BB14" t="s">
        <v>313</v>
      </c>
      <c r="BC14" t="s">
        <v>278</v>
      </c>
      <c r="BD14" t="s">
        <v>277</v>
      </c>
      <c r="BE14" t="s">
        <v>149</v>
      </c>
      <c r="BF14" t="s">
        <v>538</v>
      </c>
      <c r="BG14" t="s">
        <v>539</v>
      </c>
      <c r="BH14" t="s">
        <v>1456</v>
      </c>
      <c r="BI14" t="s">
        <v>397</v>
      </c>
      <c r="BJ14" t="s">
        <v>1047</v>
      </c>
      <c r="BK14" t="s">
        <v>236</v>
      </c>
      <c r="BL14" t="s">
        <v>1470</v>
      </c>
      <c r="BM14" t="s">
        <v>278</v>
      </c>
      <c r="BN14">
        <v>2.2400000000000002</v>
      </c>
      <c r="BO14">
        <v>4.29</v>
      </c>
      <c r="BP14">
        <v>5.38</v>
      </c>
      <c r="BQ14">
        <v>4.01</v>
      </c>
      <c r="BR14">
        <v>7.33</v>
      </c>
      <c r="BS14">
        <v>9.0500000000000007</v>
      </c>
      <c r="BT14" t="s">
        <v>1082</v>
      </c>
      <c r="BU14" t="s">
        <v>808</v>
      </c>
      <c r="BV14">
        <v>18.510000000000002</v>
      </c>
      <c r="BW14">
        <v>20.94</v>
      </c>
      <c r="BX14">
        <v>23.91</v>
      </c>
      <c r="BY14">
        <v>3.96</v>
      </c>
      <c r="BZ14">
        <v>6.56</v>
      </c>
      <c r="CA14">
        <v>7.86</v>
      </c>
      <c r="CB14">
        <v>0.63</v>
      </c>
      <c r="CC14">
        <v>-18.149999999999999</v>
      </c>
      <c r="CD14" t="s">
        <v>1471</v>
      </c>
      <c r="CE14" t="s">
        <v>989</v>
      </c>
      <c r="CF14" s="10">
        <v>-5.2631578947368418E-2</v>
      </c>
      <c r="CG14" s="11">
        <v>-0.2891676722024431</v>
      </c>
      <c r="CH14" s="10">
        <v>-8.2802549004554749E-2</v>
      </c>
      <c r="CI14" s="10">
        <v>4.8997770994901657E-2</v>
      </c>
      <c r="CJ14" s="10">
        <v>0.2394755482673645</v>
      </c>
      <c r="CK14" s="10">
        <v>0.16292129456996918</v>
      </c>
      <c r="CL14" s="10">
        <v>0.1877979040145874</v>
      </c>
      <c r="CM14" s="11">
        <v>-0.32026144862174988</v>
      </c>
      <c r="CN14" s="11">
        <v>-0.14044943451881409</v>
      </c>
      <c r="CO14" s="11">
        <v>4.7058824449777603E-2</v>
      </c>
      <c r="CP14" s="11">
        <v>1.6495558023452759</v>
      </c>
      <c r="CQ14" s="11">
        <v>0.78643780946731567</v>
      </c>
      <c r="CR14">
        <v>24.511158131933545</v>
      </c>
      <c r="CS14">
        <v>2.2026959061587843</v>
      </c>
      <c r="CT14">
        <v>1.10062893081761</v>
      </c>
      <c r="CU14" s="10">
        <v>0.1112779937684536</v>
      </c>
      <c r="CV14" s="11">
        <v>0.40446831062436106</v>
      </c>
      <c r="CW14">
        <v>0.06</v>
      </c>
      <c r="CX14">
        <v>17.714023001169327</v>
      </c>
      <c r="CY14">
        <v>109031048.44520678</v>
      </c>
      <c r="CZ14">
        <v>0.1112779937684536</v>
      </c>
      <c r="DA14">
        <v>5.6856588693159109</v>
      </c>
      <c r="DB14">
        <v>339692996.78233778</v>
      </c>
      <c r="DC14">
        <v>0.10571409408003091</v>
      </c>
      <c r="DD14">
        <v>2.7319147180349672</v>
      </c>
      <c r="DE14">
        <v>706968811.01369703</v>
      </c>
      <c r="DF14">
        <v>9.7924634516239173E-2</v>
      </c>
      <c r="DG14">
        <v>1.5959069420576693</v>
      </c>
      <c r="DH14">
        <v>1210207468.3062618</v>
      </c>
      <c r="DI14">
        <v>8.902239501476289E-2</v>
      </c>
      <c r="DJ14">
        <v>0.77525213258102588</v>
      </c>
      <c r="DK14">
        <v>2491290792.8029995</v>
      </c>
      <c r="DL14">
        <v>7.7894595637917508E-2</v>
      </c>
      <c r="DM14">
        <v>104000000</v>
      </c>
      <c r="DN14">
        <v>0.1112779937684536</v>
      </c>
      <c r="DO14">
        <v>1931378500</v>
      </c>
      <c r="DP14">
        <v>477416500</v>
      </c>
      <c r="DQ14">
        <v>1016</v>
      </c>
      <c r="DR14">
        <v>-0.16390957271582202</v>
      </c>
      <c r="DS14">
        <v>-0.69363598282680416</v>
      </c>
      <c r="DT14" s="12">
        <v>-9.000000000000008E-2</v>
      </c>
      <c r="DU14">
        <v>4.6666666666666599E-2</v>
      </c>
      <c r="DV14">
        <v>-4.3333333333333481E-2</v>
      </c>
      <c r="DW14">
        <v>-3.024315476190476</v>
      </c>
      <c r="DX14">
        <v>0.35216338028169059</v>
      </c>
      <c r="DY14">
        <v>-3.003456770288397</v>
      </c>
      <c r="DZ14">
        <v>1825</v>
      </c>
      <c r="EA14">
        <v>-3.0022222094711122</v>
      </c>
      <c r="EB14">
        <v>3</v>
      </c>
      <c r="EC14">
        <v>3.3430656884343546E-2</v>
      </c>
      <c r="ED14">
        <v>0.23515659812043196</v>
      </c>
      <c r="EE14" s="13">
        <v>-1.08</v>
      </c>
      <c r="EF14">
        <v>-1.0613999999999999</v>
      </c>
      <c r="EG14">
        <v>21.142163380281691</v>
      </c>
      <c r="EH14" t="s">
        <v>773</v>
      </c>
      <c r="EI14">
        <v>0</v>
      </c>
      <c r="EJ14">
        <v>0</v>
      </c>
      <c r="EK14" s="15">
        <v>45470</v>
      </c>
      <c r="EL14" s="16">
        <v>0.31</v>
      </c>
      <c r="EM14" s="16">
        <v>-4.91</v>
      </c>
      <c r="EN14" s="16">
        <v>1.61</v>
      </c>
      <c r="EO14" s="16">
        <v>2.2200000000000002</v>
      </c>
      <c r="EP14" s="16">
        <v>-1.86</v>
      </c>
    </row>
    <row r="15" spans="1:146" ht="180" x14ac:dyDescent="0.25">
      <c r="A15" s="8"/>
      <c r="B15" s="8"/>
      <c r="C15" s="8" t="str">
        <f>"公司的主要业务为先进高分子材料研发、制造和销售,主要产品为光学材料、新能源材料、可变信息材料、热收缩材料、聚酯功能膜。公司拥有国家火炬计划薄膜特色产业基地，系国家高新技术企业、中国双向拉伸薄膜产业基地、中国轻工业塑料行业十强企业。"&amp;CHAR(10)&amp;Basic_Fundamental_Information_Constructure(F15)&amp;CHAR(10)&amp;Basic_Fundamental_Information_Concatenate("光学材料膜 10.69亿 30.68% 32.78% 30.05%
聚酯功能膜 8.15亿 23.38% 15.22% 18.30%
新能源材料膜 7.45亿 21.39% 23.54% 30.95%
其他业务 4.57亿 13.13% 11.31% 24.22%
可变信息材料膜 2.25亿 6.45% 11.19% 48.80%
热缩材料膜 1.73亿 4.96% 5.96% 33.77%")</f>
        <v>公司的主要业务为先进高分子材料研发、制造和销售,主要产品为光学材料、新能源材料、可变信息材料、热收缩材料、聚酯功能膜。公司拥有国家火炬计划薄膜特色产业基地，系国家高新技术企业、中国双向拉伸薄膜产业基地、中国轻工业塑料行业十强企业。
市值56.471789亿, 利润-1.68亿; PE; 平均PE10.82; 平均PEG1.51, PB.612; ROIC7.7433%; ROE7.8533%; 股利率.6122%; 毛利18.6967%; 净利10.57%; 上一年度营收增-12.75%, 利润增-124.03%; 当季营收增8.14%, 利润增-6970.63%; 过往5年营收增7.15%, 利润增37.84%
Income profile:
光学材料膜 10.69亿 30.68% 32.78% 30.05%
聚酯功能膜 8.15亿 23.38% 15.22% 18.30%
新能源材料膜 7.45亿 21.39% 23.54% 30.95%
其他业务 4.57亿 13.13% 11.31% 24.22%
可变信息材料膜 2.25亿 6.45% 11.19% 48.80%
热缩材料膜 1.73亿 4.96% 5.96% 33.77%</v>
      </c>
      <c r="D15" t="s">
        <v>540</v>
      </c>
      <c r="E15" t="s">
        <v>541</v>
      </c>
      <c r="F15">
        <v>4.9000000000000004</v>
      </c>
      <c r="G15">
        <v>1.03</v>
      </c>
      <c r="H15" t="s">
        <v>1472</v>
      </c>
      <c r="I15">
        <v>5647178900</v>
      </c>
      <c r="K15">
        <v>0.61199999999999999</v>
      </c>
      <c r="L15" t="s">
        <v>1187</v>
      </c>
      <c r="M15" t="s">
        <v>1473</v>
      </c>
      <c r="N15" t="s">
        <v>1474</v>
      </c>
      <c r="O15" t="s">
        <v>776</v>
      </c>
      <c r="P15">
        <v>8.18</v>
      </c>
      <c r="Q15" t="s">
        <v>1475</v>
      </c>
      <c r="R15">
        <v>-170000000</v>
      </c>
      <c r="S15" s="6">
        <v>-36.340000000000003</v>
      </c>
      <c r="T15" t="s">
        <v>1476</v>
      </c>
      <c r="U15">
        <v>892933460</v>
      </c>
      <c r="V15">
        <v>1152485500</v>
      </c>
      <c r="W15">
        <v>1.44</v>
      </c>
      <c r="X15">
        <v>0.1</v>
      </c>
      <c r="Y15">
        <v>-6.33</v>
      </c>
      <c r="Z15" t="s">
        <v>1477</v>
      </c>
      <c r="AA15" t="s">
        <v>356</v>
      </c>
      <c r="AB15" t="s">
        <v>1478</v>
      </c>
      <c r="AC15" t="s">
        <v>1479</v>
      </c>
      <c r="AD15" t="s">
        <v>25</v>
      </c>
      <c r="AE15">
        <v>3848567</v>
      </c>
      <c r="AF15" t="s">
        <v>52</v>
      </c>
      <c r="AG15">
        <v>1502.35</v>
      </c>
      <c r="AH15" t="s">
        <v>1480</v>
      </c>
      <c r="AI15" t="s">
        <v>1481</v>
      </c>
      <c r="AJ15" t="s">
        <v>1482</v>
      </c>
      <c r="AK15" t="s">
        <v>151</v>
      </c>
      <c r="AL15" t="s">
        <v>1483</v>
      </c>
      <c r="AM15" t="s">
        <v>25</v>
      </c>
      <c r="AN15" t="s">
        <v>821</v>
      </c>
      <c r="AO15" t="s">
        <v>179</v>
      </c>
      <c r="AP15" t="s">
        <v>1054</v>
      </c>
      <c r="AQ15" t="s">
        <v>870</v>
      </c>
      <c r="AR15" t="s">
        <v>25</v>
      </c>
      <c r="AS15" t="s">
        <v>1484</v>
      </c>
      <c r="AT15" t="s">
        <v>333</v>
      </c>
      <c r="AU15" t="s">
        <v>1485</v>
      </c>
      <c r="AV15" t="s">
        <v>849</v>
      </c>
      <c r="AW15" t="s">
        <v>310</v>
      </c>
      <c r="AX15" t="s">
        <v>1049</v>
      </c>
      <c r="AY15" t="s">
        <v>658</v>
      </c>
      <c r="AZ15" t="s">
        <v>542</v>
      </c>
      <c r="BA15" t="s">
        <v>545</v>
      </c>
      <c r="BB15" t="s">
        <v>546</v>
      </c>
      <c r="BC15" t="s">
        <v>596</v>
      </c>
      <c r="BD15" t="s">
        <v>659</v>
      </c>
      <c r="BE15" t="s">
        <v>543</v>
      </c>
      <c r="BF15" t="s">
        <v>462</v>
      </c>
      <c r="BG15" t="s">
        <v>290</v>
      </c>
      <c r="BH15" t="s">
        <v>1475</v>
      </c>
      <c r="BI15" t="s">
        <v>1094</v>
      </c>
      <c r="BJ15" t="s">
        <v>1049</v>
      </c>
      <c r="BK15" t="s">
        <v>1476</v>
      </c>
      <c r="BL15" t="s">
        <v>1486</v>
      </c>
      <c r="BM15" t="s">
        <v>596</v>
      </c>
      <c r="BN15">
        <v>0.46</v>
      </c>
      <c r="BO15">
        <v>7.18</v>
      </c>
      <c r="BP15">
        <v>15.59</v>
      </c>
      <c r="BQ15">
        <v>0.47</v>
      </c>
      <c r="BR15">
        <v>7.34</v>
      </c>
      <c r="BS15">
        <v>15.75</v>
      </c>
      <c r="BT15" t="s">
        <v>979</v>
      </c>
      <c r="BU15" t="s">
        <v>808</v>
      </c>
      <c r="BV15">
        <v>4.38</v>
      </c>
      <c r="BW15">
        <v>18.850000000000001</v>
      </c>
      <c r="BX15">
        <v>32.86</v>
      </c>
      <c r="BY15">
        <v>-3.17</v>
      </c>
      <c r="BZ15">
        <v>11.52</v>
      </c>
      <c r="CA15">
        <v>23.36</v>
      </c>
      <c r="CB15">
        <v>-1.21</v>
      </c>
      <c r="CC15">
        <v>-21.97</v>
      </c>
      <c r="CD15" t="s">
        <v>1487</v>
      </c>
      <c r="CE15" t="s">
        <v>883</v>
      </c>
      <c r="CF15" s="10">
        <v>8.1440877055599062E-2</v>
      </c>
      <c r="CG15" s="11">
        <v>-69.706300771935503</v>
      </c>
      <c r="CH15" s="10">
        <v>-0.12751570343971252</v>
      </c>
      <c r="CI15" s="10">
        <v>2.2087391465902328E-2</v>
      </c>
      <c r="CJ15" s="10">
        <v>0.17190270125865936</v>
      </c>
      <c r="CK15" s="10">
        <v>0.13170845806598663</v>
      </c>
      <c r="CL15" s="10">
        <v>0.15914985537528992</v>
      </c>
      <c r="CM15" s="11">
        <v>-1.2403433322906494</v>
      </c>
      <c r="CN15" s="11">
        <v>-0.49530684947967529</v>
      </c>
      <c r="CO15" s="11">
        <v>0.92094302177429199</v>
      </c>
      <c r="CP15" s="11">
        <v>3.1676299571990967</v>
      </c>
      <c r="CQ15" s="11">
        <v>-0.46105918288230896</v>
      </c>
      <c r="CR15">
        <v>10.821805621207282</v>
      </c>
      <c r="CS15">
        <v>1.514247861817108</v>
      </c>
      <c r="CT15">
        <v>0.61224489795918358</v>
      </c>
      <c r="CU15" s="10">
        <v>7.1466540545225138E-2</v>
      </c>
      <c r="CV15" s="11">
        <v>0.37837272286415102</v>
      </c>
      <c r="CW15">
        <v>0.06</v>
      </c>
      <c r="CX15" t="e">
        <v>#VALUE!</v>
      </c>
      <c r="CY15" t="s">
        <v>769</v>
      </c>
      <c r="CZ15">
        <v>7.1466540545225138E-2</v>
      </c>
      <c r="DA15" t="e">
        <v>#VALUE!</v>
      </c>
      <c r="DB15" t="s">
        <v>770</v>
      </c>
      <c r="DC15">
        <v>6.7893213517963874E-2</v>
      </c>
      <c r="DD15" t="e">
        <v>#VALUE!</v>
      </c>
      <c r="DE15" t="s">
        <v>770</v>
      </c>
      <c r="DF15">
        <v>6.2890555679798121E-2</v>
      </c>
      <c r="DG15" t="e">
        <v>#VALUE!</v>
      </c>
      <c r="DH15" t="s">
        <v>770</v>
      </c>
      <c r="DI15">
        <v>5.717323243618011E-2</v>
      </c>
      <c r="DJ15" t="e">
        <v>#VALUE!</v>
      </c>
      <c r="DK15" t="s">
        <v>770</v>
      </c>
      <c r="DL15">
        <v>5.0026578381657597E-2</v>
      </c>
      <c r="DM15">
        <v>-168000000</v>
      </c>
      <c r="DN15">
        <v>7.1466540545225138E-2</v>
      </c>
      <c r="DO15">
        <v>506178900</v>
      </c>
      <c r="DP15">
        <v>1515788300.0000005</v>
      </c>
      <c r="DQ15">
        <v>1078</v>
      </c>
      <c r="DR15">
        <v>9.974336510373924E-3</v>
      </c>
      <c r="DS15">
        <v>-70.084673494799659</v>
      </c>
      <c r="DT15" s="12">
        <v>-0.20666666666666669</v>
      </c>
      <c r="DU15">
        <v>-1.2449999999999999</v>
      </c>
      <c r="DV15">
        <v>-1.4516666666666667</v>
      </c>
      <c r="DW15">
        <v>-3.0675178571428572</v>
      </c>
      <c r="DX15">
        <v>0.35873513513513555</v>
      </c>
      <c r="DY15">
        <v>-3.009367099034749</v>
      </c>
      <c r="DZ15">
        <v>3983</v>
      </c>
      <c r="EA15">
        <v>-3.0020658944446503</v>
      </c>
      <c r="EB15">
        <v>3</v>
      </c>
      <c r="EC15">
        <v>3.1178179682087106E-2</v>
      </c>
      <c r="ED15">
        <v>0.22473167775212791</v>
      </c>
      <c r="EE15" s="13">
        <v>-3.0344000000000002</v>
      </c>
      <c r="EF15">
        <v>-3.0049999999999999</v>
      </c>
      <c r="EG15">
        <v>22.138735135135136</v>
      </c>
      <c r="EH15" t="s">
        <v>995</v>
      </c>
      <c r="EI15">
        <v>0</v>
      </c>
      <c r="EJ15">
        <v>0</v>
      </c>
      <c r="EK15" s="15">
        <v>45470</v>
      </c>
      <c r="EL15" s="16">
        <v>-3.18</v>
      </c>
      <c r="EM15" s="16">
        <v>-4.83</v>
      </c>
      <c r="EN15" s="16">
        <v>0</v>
      </c>
      <c r="EO15" s="16">
        <v>4.29</v>
      </c>
      <c r="EP15" s="16">
        <v>-2.94</v>
      </c>
    </row>
    <row r="16" spans="1:146" ht="84" x14ac:dyDescent="0.25">
      <c r="A16" s="8"/>
      <c r="B16" s="8"/>
      <c r="C16" s="8" t="str">
        <f>""&amp;CHAR(10)&amp;Basic_Fundamental_Information_Constructure(F16)&amp;CHAR(10)&amp;Basic_Fundamental_Information_Concatenate("")</f>
        <v xml:space="preserve">
市值44.846215亿, 利润1.57亿; PE26.98; 平均PE24.51; 平均PEG10.48, PB1.98; ROIC7.17%; ROE7.56%; 股利率4.1783%; 毛利33.8733%; 净利13.5%; 上一年度营收增2.8%, 利润增-50%; 当季营收增6.76%, 利润增26.47%; 过往5年营收增2.34%, 利润增67.19%
Income profile:
</v>
      </c>
      <c r="D16" t="s">
        <v>547</v>
      </c>
      <c r="E16" t="s">
        <v>548</v>
      </c>
      <c r="F16">
        <v>7.18</v>
      </c>
      <c r="G16">
        <v>-8.18</v>
      </c>
      <c r="H16" t="s">
        <v>1488</v>
      </c>
      <c r="I16">
        <v>4484621500</v>
      </c>
      <c r="J16">
        <v>26.98</v>
      </c>
      <c r="K16">
        <v>1.98</v>
      </c>
      <c r="L16" t="s">
        <v>1187</v>
      </c>
      <c r="M16" t="s">
        <v>810</v>
      </c>
      <c r="N16" t="s">
        <v>1489</v>
      </c>
      <c r="O16" t="s">
        <v>164</v>
      </c>
      <c r="P16">
        <v>6.85</v>
      </c>
      <c r="Q16" t="s">
        <v>1163</v>
      </c>
      <c r="R16">
        <v>45418232</v>
      </c>
      <c r="S16" s="6">
        <v>0.26469999999999999</v>
      </c>
      <c r="T16" t="s">
        <v>288</v>
      </c>
      <c r="U16">
        <v>580800010</v>
      </c>
      <c r="V16">
        <v>624599090</v>
      </c>
      <c r="W16">
        <v>1.35</v>
      </c>
      <c r="X16">
        <v>0.11</v>
      </c>
      <c r="Y16">
        <v>14.3</v>
      </c>
      <c r="Z16" t="s">
        <v>139</v>
      </c>
      <c r="AA16" t="s">
        <v>515</v>
      </c>
      <c r="AB16" t="s">
        <v>1490</v>
      </c>
      <c r="AC16" t="s">
        <v>1491</v>
      </c>
      <c r="AD16" t="s">
        <v>25</v>
      </c>
      <c r="AE16">
        <v>366825</v>
      </c>
      <c r="AF16" t="s">
        <v>1492</v>
      </c>
      <c r="AG16" t="s">
        <v>1493</v>
      </c>
      <c r="AH16" t="s">
        <v>1494</v>
      </c>
      <c r="AI16" t="s">
        <v>1495</v>
      </c>
      <c r="AJ16" t="s">
        <v>1496</v>
      </c>
      <c r="AK16" t="s">
        <v>1497</v>
      </c>
      <c r="AL16" t="s">
        <v>1498</v>
      </c>
      <c r="AM16" t="s">
        <v>25</v>
      </c>
      <c r="AN16" t="s">
        <v>1499</v>
      </c>
      <c r="AO16" t="s">
        <v>1500</v>
      </c>
      <c r="AP16" t="s">
        <v>328</v>
      </c>
      <c r="AQ16" t="s">
        <v>240</v>
      </c>
      <c r="AR16" t="s">
        <v>1501</v>
      </c>
      <c r="AS16" t="s">
        <v>1502</v>
      </c>
      <c r="AT16" t="s">
        <v>25</v>
      </c>
      <c r="AU16" t="s">
        <v>1503</v>
      </c>
      <c r="AV16" t="s">
        <v>1504</v>
      </c>
      <c r="AW16" t="s">
        <v>451</v>
      </c>
      <c r="AX16" t="s">
        <v>822</v>
      </c>
      <c r="AY16" t="s">
        <v>660</v>
      </c>
      <c r="AZ16" t="s">
        <v>549</v>
      </c>
      <c r="BA16" t="s">
        <v>550</v>
      </c>
      <c r="BB16" t="s">
        <v>551</v>
      </c>
      <c r="BC16" t="s">
        <v>55</v>
      </c>
      <c r="BD16" t="s">
        <v>661</v>
      </c>
      <c r="BE16" t="s">
        <v>307</v>
      </c>
      <c r="BF16" t="s">
        <v>417</v>
      </c>
      <c r="BG16" t="s">
        <v>184</v>
      </c>
      <c r="BH16" t="s">
        <v>1163</v>
      </c>
      <c r="BI16" t="s">
        <v>856</v>
      </c>
      <c r="BJ16" t="s">
        <v>822</v>
      </c>
      <c r="BK16" t="s">
        <v>288</v>
      </c>
      <c r="BL16" t="s">
        <v>1505</v>
      </c>
      <c r="BM16" t="s">
        <v>55</v>
      </c>
      <c r="BN16">
        <v>4.99</v>
      </c>
      <c r="BO16">
        <v>13.99</v>
      </c>
      <c r="BP16">
        <v>2.5299999999999998</v>
      </c>
      <c r="BQ16">
        <v>5.86</v>
      </c>
      <c r="BR16">
        <v>14.13</v>
      </c>
      <c r="BS16">
        <v>2.69</v>
      </c>
      <c r="BT16" t="s">
        <v>978</v>
      </c>
      <c r="BU16" t="s">
        <v>808</v>
      </c>
      <c r="BV16">
        <v>33.659999999999997</v>
      </c>
      <c r="BW16">
        <v>30.54</v>
      </c>
      <c r="BX16">
        <v>37.42</v>
      </c>
      <c r="BY16">
        <v>11.81</v>
      </c>
      <c r="BZ16">
        <v>24.4</v>
      </c>
      <c r="CA16">
        <v>4.29</v>
      </c>
      <c r="CB16">
        <v>-10.92</v>
      </c>
      <c r="CC16">
        <v>-5.53</v>
      </c>
      <c r="CD16" t="s">
        <v>71</v>
      </c>
      <c r="CE16" t="s">
        <v>1506</v>
      </c>
      <c r="CF16" s="10">
        <v>6.7567567567567571E-2</v>
      </c>
      <c r="CG16" s="11">
        <v>0.26469850162757608</v>
      </c>
      <c r="CH16" s="10">
        <v>2.7972025796771049E-2</v>
      </c>
      <c r="CI16" s="10">
        <v>2.336498349905014E-3</v>
      </c>
      <c r="CJ16" s="10">
        <v>1.4218009077012539E-2</v>
      </c>
      <c r="CK16" s="10">
        <v>-9.0517237782478333E-2</v>
      </c>
      <c r="CL16" s="10">
        <v>0.16290733218193054</v>
      </c>
      <c r="CM16" s="11">
        <v>-0.5</v>
      </c>
      <c r="CN16" s="11">
        <v>4.7149724960327148</v>
      </c>
      <c r="CO16" s="11">
        <v>-0.67489111423492432</v>
      </c>
      <c r="CP16" s="11">
        <v>-0.14646464586257935</v>
      </c>
      <c r="CQ16" s="11">
        <v>-3.4146342426538467E-2</v>
      </c>
      <c r="CR16">
        <v>24.507391728936121</v>
      </c>
      <c r="CS16">
        <v>10.48071272117563</v>
      </c>
      <c r="CT16">
        <v>4.1782729805013927</v>
      </c>
      <c r="CU16" s="10">
        <v>2.3383325524628164E-2</v>
      </c>
      <c r="CV16" s="11">
        <v>0.67189407870173457</v>
      </c>
      <c r="CW16">
        <v>0.06</v>
      </c>
      <c r="CX16">
        <v>17.223118381931194</v>
      </c>
      <c r="CY16">
        <v>151576586.89374208</v>
      </c>
      <c r="CZ16">
        <v>2.3383325524628164E-2</v>
      </c>
      <c r="DA16">
        <v>5.9574476821581612</v>
      </c>
      <c r="DB16">
        <v>438211401.80861294</v>
      </c>
      <c r="DC16">
        <v>2.2214159248396755E-2</v>
      </c>
      <c r="DD16">
        <v>3.1578643343685804</v>
      </c>
      <c r="DE16">
        <v>826704767.39210451</v>
      </c>
      <c r="DF16">
        <v>2.0577326461672783E-2</v>
      </c>
      <c r="DG16">
        <v>2.0555661893146708</v>
      </c>
      <c r="DH16">
        <v>1270025511.0103681</v>
      </c>
      <c r="DI16">
        <v>1.8706660419702533E-2</v>
      </c>
      <c r="DJ16">
        <v>1.2554722475895357</v>
      </c>
      <c r="DK16">
        <v>2079394032.8129954</v>
      </c>
      <c r="DL16">
        <v>1.6368327867239713E-2</v>
      </c>
      <c r="DM16">
        <v>157000000</v>
      </c>
      <c r="DN16">
        <v>2.3383325524628164E-2</v>
      </c>
      <c r="DO16">
        <v>2610621500</v>
      </c>
      <c r="DP16">
        <v>1089249300</v>
      </c>
      <c r="DQ16">
        <v>1122</v>
      </c>
      <c r="DR16">
        <v>4.4184242042939408E-2</v>
      </c>
      <c r="DS16">
        <v>-0.40719557707415849</v>
      </c>
      <c r="DT16" s="12">
        <v>-0.34</v>
      </c>
      <c r="DU16">
        <v>0.11999999999999995</v>
      </c>
      <c r="DV16">
        <v>-0.22000000000000008</v>
      </c>
      <c r="DW16">
        <v>-5.5064102564102564</v>
      </c>
      <c r="DX16">
        <v>0.42611062443450409</v>
      </c>
      <c r="DY16">
        <v>-5.0790560213482427</v>
      </c>
      <c r="DZ16">
        <v>2245</v>
      </c>
      <c r="EA16">
        <v>-5.0443239728302771</v>
      </c>
      <c r="EB16">
        <v>5</v>
      </c>
      <c r="EC16">
        <v>0.28017972296437382</v>
      </c>
      <c r="ED16">
        <v>1.7947512539603605</v>
      </c>
      <c r="EE16" s="13">
        <v>6.3500000000000001E-2</v>
      </c>
      <c r="EF16">
        <v>1.3499999999999998E-2</v>
      </c>
      <c r="EG16">
        <v>27.156110624434504</v>
      </c>
      <c r="EH16" t="s">
        <v>782</v>
      </c>
      <c r="EI16">
        <v>0</v>
      </c>
      <c r="EJ16">
        <v>0</v>
      </c>
      <c r="EK16" s="15">
        <v>45470</v>
      </c>
      <c r="EL16" s="16">
        <v>1.1599999999999999</v>
      </c>
      <c r="EM16" s="16">
        <v>3.69</v>
      </c>
      <c r="EN16" s="16">
        <v>-1.84</v>
      </c>
      <c r="EO16" s="16">
        <v>5</v>
      </c>
      <c r="EP16" s="16">
        <v>-5</v>
      </c>
    </row>
    <row r="17" spans="1:146" ht="84" x14ac:dyDescent="0.25">
      <c r="A17" s="8"/>
      <c r="B17" s="8"/>
      <c r="C17" s="8" t="str">
        <f>""&amp;CHAR(10)&amp;Basic_Fundamental_Information_Constructure(F17)&amp;CHAR(10)&amp;Basic_Fundamental_Information_Concatenate("")</f>
        <v xml:space="preserve">
市值50.18125亿, 利润4.66亿; PE10.32; 平均PE9.39; 平均PEG.26, PB1.09; ROIC9.1067%; ROE15.2133%; 股利率.973%; 毛利12.6133%; 净利5.0433%; 上一年度营收增30.08%, 利润增-29.61%; 当季营收增22.32%, 利润增19.52%; 过往5年营收增36.23%, 利润增14.9%
Income profile:
</v>
      </c>
      <c r="D17" t="s">
        <v>195</v>
      </c>
      <c r="E17" t="s">
        <v>24</v>
      </c>
      <c r="F17">
        <v>18.5</v>
      </c>
      <c r="G17">
        <v>1.43</v>
      </c>
      <c r="H17" t="s">
        <v>1507</v>
      </c>
      <c r="I17">
        <v>5018125000</v>
      </c>
      <c r="J17">
        <v>10.32</v>
      </c>
      <c r="K17">
        <v>1.0900000000000001</v>
      </c>
      <c r="L17" t="s">
        <v>1187</v>
      </c>
      <c r="M17" t="s">
        <v>1508</v>
      </c>
      <c r="N17" t="s">
        <v>1509</v>
      </c>
      <c r="O17" t="s">
        <v>342</v>
      </c>
      <c r="P17">
        <v>22.35</v>
      </c>
      <c r="Q17" t="s">
        <v>1510</v>
      </c>
      <c r="R17">
        <v>123108552</v>
      </c>
      <c r="S17" s="6">
        <v>0.19700000000000001</v>
      </c>
      <c r="T17" t="s">
        <v>1511</v>
      </c>
      <c r="U17">
        <v>176748130</v>
      </c>
      <c r="V17">
        <v>271250000</v>
      </c>
      <c r="W17">
        <v>2.35</v>
      </c>
      <c r="X17">
        <v>0.28999999999999998</v>
      </c>
      <c r="Y17">
        <v>3.1</v>
      </c>
      <c r="Z17" t="s">
        <v>1512</v>
      </c>
      <c r="AA17" t="s">
        <v>1513</v>
      </c>
      <c r="AB17" t="s">
        <v>1514</v>
      </c>
      <c r="AC17" t="s">
        <v>1515</v>
      </c>
      <c r="AD17" t="s">
        <v>25</v>
      </c>
      <c r="AE17">
        <v>26462696</v>
      </c>
      <c r="AF17" t="s">
        <v>1516</v>
      </c>
      <c r="AG17" t="s">
        <v>1517</v>
      </c>
      <c r="AH17" t="s">
        <v>1518</v>
      </c>
      <c r="AI17" t="s">
        <v>1519</v>
      </c>
      <c r="AJ17" t="s">
        <v>1520</v>
      </c>
      <c r="AK17" t="s">
        <v>999</v>
      </c>
      <c r="AL17" t="s">
        <v>1521</v>
      </c>
      <c r="AM17" t="s">
        <v>25</v>
      </c>
      <c r="AN17" t="s">
        <v>1192</v>
      </c>
      <c r="AO17" t="s">
        <v>1522</v>
      </c>
      <c r="AP17" t="s">
        <v>1523</v>
      </c>
      <c r="AQ17" t="s">
        <v>69</v>
      </c>
      <c r="AR17" t="s">
        <v>25</v>
      </c>
      <c r="AS17" t="s">
        <v>1524</v>
      </c>
      <c r="AT17" t="s">
        <v>1525</v>
      </c>
      <c r="AU17" t="s">
        <v>91</v>
      </c>
      <c r="AV17" t="s">
        <v>1526</v>
      </c>
      <c r="AW17" t="s">
        <v>494</v>
      </c>
      <c r="AX17" t="s">
        <v>1052</v>
      </c>
      <c r="AY17" t="s">
        <v>662</v>
      </c>
      <c r="AZ17" t="s">
        <v>331</v>
      </c>
      <c r="BA17" t="s">
        <v>196</v>
      </c>
      <c r="BB17" t="s">
        <v>334</v>
      </c>
      <c r="BC17" t="s">
        <v>887</v>
      </c>
      <c r="BD17" t="s">
        <v>340</v>
      </c>
      <c r="BE17" t="s">
        <v>332</v>
      </c>
      <c r="BF17" t="s">
        <v>197</v>
      </c>
      <c r="BG17" t="s">
        <v>142</v>
      </c>
      <c r="BH17" t="s">
        <v>1510</v>
      </c>
      <c r="BI17" t="s">
        <v>1527</v>
      </c>
      <c r="BJ17" t="s">
        <v>1052</v>
      </c>
      <c r="BK17" t="s">
        <v>1511</v>
      </c>
      <c r="BL17" t="s">
        <v>83</v>
      </c>
      <c r="BM17" t="s">
        <v>887</v>
      </c>
      <c r="BN17">
        <v>5.26</v>
      </c>
      <c r="BO17">
        <v>9.84</v>
      </c>
      <c r="BP17">
        <v>12.22</v>
      </c>
      <c r="BQ17">
        <v>8.93</v>
      </c>
      <c r="BR17">
        <v>17.59</v>
      </c>
      <c r="BS17">
        <v>19.12</v>
      </c>
      <c r="BT17" t="s">
        <v>1528</v>
      </c>
      <c r="BU17" t="s">
        <v>517</v>
      </c>
      <c r="BV17">
        <v>9.9600000000000009</v>
      </c>
      <c r="BW17">
        <v>13.13</v>
      </c>
      <c r="BX17">
        <v>14.75</v>
      </c>
      <c r="BY17">
        <v>3.05</v>
      </c>
      <c r="BZ17">
        <v>5.4</v>
      </c>
      <c r="CA17">
        <v>6.68</v>
      </c>
      <c r="CB17">
        <v>-1.07</v>
      </c>
      <c r="CC17">
        <v>-16.52</v>
      </c>
      <c r="CD17" t="s">
        <v>1529</v>
      </c>
      <c r="CE17" t="s">
        <v>1530</v>
      </c>
      <c r="CF17" s="10">
        <v>0.22323651452282159</v>
      </c>
      <c r="CG17" s="11">
        <v>0.19522866019417476</v>
      </c>
      <c r="CH17" s="10">
        <v>0.30083549022674561</v>
      </c>
      <c r="CI17" s="10">
        <v>0.37272176146507263</v>
      </c>
      <c r="CJ17" s="10">
        <v>0.35997763276100159</v>
      </c>
      <c r="CK17" s="10">
        <v>0.4166502058506012</v>
      </c>
      <c r="CL17" s="10">
        <v>0.36117082834243774</v>
      </c>
      <c r="CM17" s="11">
        <v>-0.29607251286506653</v>
      </c>
      <c r="CN17" s="11">
        <v>2.9548989608883858E-2</v>
      </c>
      <c r="CO17" s="11">
        <v>-0.12038303911685944</v>
      </c>
      <c r="CP17" s="11">
        <v>0.84595960378646851</v>
      </c>
      <c r="CQ17" s="11">
        <v>0.28571429848670959</v>
      </c>
      <c r="CR17">
        <v>9.3913755458515293</v>
      </c>
      <c r="CS17">
        <v>0.25923606313861203</v>
      </c>
      <c r="CT17">
        <v>0.97297297297297303</v>
      </c>
      <c r="CU17" s="10">
        <v>0.36227118372917178</v>
      </c>
      <c r="CV17" s="11">
        <v>0.1489534679800272</v>
      </c>
      <c r="CW17">
        <v>0.06</v>
      </c>
      <c r="CX17">
        <v>11.972452026917621</v>
      </c>
      <c r="CY17">
        <v>598885256.24320185</v>
      </c>
      <c r="CZ17">
        <v>0.36227118372917178</v>
      </c>
      <c r="DA17">
        <v>3.1304257926816268</v>
      </c>
      <c r="DB17">
        <v>2290463174.9337311</v>
      </c>
      <c r="DC17">
        <v>0.34415762454271315</v>
      </c>
      <c r="DD17">
        <v>1.1146644890127648</v>
      </c>
      <c r="DE17">
        <v>6432540975.9401522</v>
      </c>
      <c r="DF17">
        <v>0.31879864168167116</v>
      </c>
      <c r="DG17">
        <v>0.44827380972712816</v>
      </c>
      <c r="DH17">
        <v>15994967460.545101</v>
      </c>
      <c r="DI17">
        <v>0.28981694698333743</v>
      </c>
      <c r="DJ17">
        <v>8.59627478378511E-2</v>
      </c>
      <c r="DK17">
        <v>83409676637.196243</v>
      </c>
      <c r="DL17">
        <v>0.25358982861042023</v>
      </c>
      <c r="DM17">
        <v>466000000</v>
      </c>
      <c r="DN17">
        <v>0.36227118372917178</v>
      </c>
      <c r="DO17">
        <v>7170125000.000001</v>
      </c>
      <c r="DP17">
        <v>4117990399.999999</v>
      </c>
      <c r="DQ17">
        <v>1246</v>
      </c>
      <c r="DR17">
        <v>-0.13903466920635019</v>
      </c>
      <c r="DS17">
        <v>4.6275192214147554E-2</v>
      </c>
      <c r="DT17" s="12">
        <v>0.22666666666666657</v>
      </c>
      <c r="DU17">
        <v>0.38666666666666666</v>
      </c>
      <c r="DV17">
        <v>0.61333333333333329</v>
      </c>
      <c r="DW17">
        <v>-3.0058809523809522</v>
      </c>
      <c r="DX17">
        <v>0.31835194608787465</v>
      </c>
      <c r="DY17">
        <v>-3.0008724507305642</v>
      </c>
      <c r="DZ17">
        <v>555</v>
      </c>
      <c r="EA17">
        <v>-3.0007776933615888</v>
      </c>
      <c r="EB17">
        <v>3</v>
      </c>
      <c r="EC17">
        <v>3.3306912442396315E-2</v>
      </c>
      <c r="ED17">
        <v>0.22451281105990784</v>
      </c>
      <c r="EE17" s="13">
        <v>1.0362</v>
      </c>
      <c r="EF17">
        <v>1.0084</v>
      </c>
      <c r="EG17">
        <v>17.148351946087875</v>
      </c>
      <c r="EH17" t="s">
        <v>985</v>
      </c>
      <c r="EI17">
        <v>0</v>
      </c>
      <c r="EJ17">
        <v>1</v>
      </c>
      <c r="EK17" s="15">
        <v>45470</v>
      </c>
      <c r="EL17" s="16">
        <v>0.05</v>
      </c>
      <c r="EM17" s="16">
        <v>-2.74</v>
      </c>
      <c r="EN17" s="16">
        <v>1.28</v>
      </c>
      <c r="EO17" s="16">
        <v>2</v>
      </c>
      <c r="EP17" s="16">
        <v>-2.78</v>
      </c>
    </row>
    <row r="18" spans="1:146" ht="84" x14ac:dyDescent="0.25">
      <c r="A18" s="8"/>
      <c r="B18" s="8"/>
      <c r="C18" s="8" t="str">
        <f>""&amp;CHAR(10)&amp;Basic_Fundamental_Information_Constructure(F18)&amp;CHAR(10)&amp;Basic_Fundamental_Information_Concatenate("")</f>
        <v xml:space="preserve">
市值20.521721亿, 利润1.00亿; PE19.99; 平均PE17.25; 平均PEG1.13, PB1.42; ROIC12.8567%; ROE13.1033%; 股利率2%; 毛利17.8367%; 净利11.35%; 上一年度营收增-8.1%, 利润增-71.59%; 当季营收增22.8%, 利润增12.16%; 过往5年营收增15.27%, 利润增91.59%
Income profile:
</v>
      </c>
      <c r="D18" t="s">
        <v>127</v>
      </c>
      <c r="E18" t="s">
        <v>20</v>
      </c>
      <c r="F18">
        <v>6</v>
      </c>
      <c r="G18">
        <v>1.18</v>
      </c>
      <c r="H18" t="s">
        <v>1531</v>
      </c>
      <c r="I18">
        <v>2052172100</v>
      </c>
      <c r="J18">
        <v>19.989999999999998</v>
      </c>
      <c r="K18">
        <v>1.42</v>
      </c>
      <c r="L18" t="s">
        <v>1187</v>
      </c>
      <c r="M18" t="s">
        <v>255</v>
      </c>
      <c r="N18" t="s">
        <v>836</v>
      </c>
      <c r="O18" t="s">
        <v>1041</v>
      </c>
      <c r="P18">
        <v>22.96</v>
      </c>
      <c r="Q18" t="s">
        <v>1532</v>
      </c>
      <c r="R18">
        <v>22820217</v>
      </c>
      <c r="S18" s="6">
        <v>0.1216</v>
      </c>
      <c r="T18" t="s">
        <v>96</v>
      </c>
      <c r="U18">
        <v>258146500</v>
      </c>
      <c r="V18">
        <v>342028680</v>
      </c>
      <c r="W18">
        <v>1.64</v>
      </c>
      <c r="X18">
        <v>0.17</v>
      </c>
      <c r="Y18">
        <v>5.78</v>
      </c>
      <c r="Z18" t="s">
        <v>197</v>
      </c>
      <c r="AA18" t="s">
        <v>875</v>
      </c>
      <c r="AB18" t="s">
        <v>1533</v>
      </c>
      <c r="AC18" t="s">
        <v>1534</v>
      </c>
      <c r="AD18" t="s">
        <v>25</v>
      </c>
      <c r="AE18">
        <v>-2792482</v>
      </c>
      <c r="AF18" t="s">
        <v>1535</v>
      </c>
      <c r="AG18" t="s">
        <v>1536</v>
      </c>
      <c r="AH18" t="s">
        <v>1537</v>
      </c>
      <c r="AI18" t="s">
        <v>1538</v>
      </c>
      <c r="AJ18" t="s">
        <v>1539</v>
      </c>
      <c r="AK18" t="s">
        <v>25</v>
      </c>
      <c r="AL18" t="s">
        <v>1540</v>
      </c>
      <c r="AM18" t="s">
        <v>25</v>
      </c>
      <c r="AN18" t="s">
        <v>1541</v>
      </c>
      <c r="AO18" t="s">
        <v>234</v>
      </c>
      <c r="AP18" t="s">
        <v>185</v>
      </c>
      <c r="AQ18" t="s">
        <v>101</v>
      </c>
      <c r="AR18" t="s">
        <v>25</v>
      </c>
      <c r="AS18" t="s">
        <v>1067</v>
      </c>
      <c r="AT18" t="s">
        <v>308</v>
      </c>
      <c r="AU18" t="s">
        <v>1542</v>
      </c>
      <c r="AV18" t="s">
        <v>1543</v>
      </c>
      <c r="AW18" t="s">
        <v>1544</v>
      </c>
      <c r="AX18" t="s">
        <v>817</v>
      </c>
      <c r="AY18" t="s">
        <v>663</v>
      </c>
      <c r="AZ18" t="s">
        <v>336</v>
      </c>
      <c r="BA18" t="s">
        <v>128</v>
      </c>
      <c r="BB18" t="s">
        <v>339</v>
      </c>
      <c r="BC18" t="s">
        <v>820</v>
      </c>
      <c r="BD18" t="s">
        <v>664</v>
      </c>
      <c r="BE18" t="s">
        <v>337</v>
      </c>
      <c r="BF18" t="s">
        <v>129</v>
      </c>
      <c r="BG18" t="s">
        <v>341</v>
      </c>
      <c r="BH18" t="s">
        <v>1532</v>
      </c>
      <c r="BI18" t="s">
        <v>870</v>
      </c>
      <c r="BJ18" t="s">
        <v>817</v>
      </c>
      <c r="BK18" t="s">
        <v>96</v>
      </c>
      <c r="BL18" t="s">
        <v>1545</v>
      </c>
      <c r="BM18" t="s">
        <v>820</v>
      </c>
      <c r="BN18">
        <v>3.61</v>
      </c>
      <c r="BO18">
        <v>26.39</v>
      </c>
      <c r="BP18">
        <v>8.57</v>
      </c>
      <c r="BQ18">
        <v>4.25</v>
      </c>
      <c r="BR18">
        <v>29.02</v>
      </c>
      <c r="BS18">
        <v>6.04</v>
      </c>
      <c r="BT18" t="s">
        <v>982</v>
      </c>
      <c r="BU18" t="s">
        <v>812</v>
      </c>
      <c r="BV18">
        <v>17.329999999999998</v>
      </c>
      <c r="BW18">
        <v>18.47</v>
      </c>
      <c r="BX18">
        <v>17.71</v>
      </c>
      <c r="BY18">
        <v>6.58</v>
      </c>
      <c r="BZ18">
        <v>22.46</v>
      </c>
      <c r="CA18">
        <v>5.01</v>
      </c>
      <c r="CB18">
        <v>-3.69</v>
      </c>
      <c r="CC18">
        <v>-17.47</v>
      </c>
      <c r="CD18" t="s">
        <v>1546</v>
      </c>
      <c r="CE18" t="s">
        <v>311</v>
      </c>
      <c r="CF18" s="10">
        <v>0.22796352583586627</v>
      </c>
      <c r="CG18" s="11">
        <v>0.12163461207638053</v>
      </c>
      <c r="CH18" s="10">
        <v>-8.0964110791683197E-2</v>
      </c>
      <c r="CI18" s="10">
        <v>-8.0159217119216919E-2</v>
      </c>
      <c r="CJ18" s="10">
        <v>0.40271136164665222</v>
      </c>
      <c r="CK18" s="10">
        <v>0.23303835093975067</v>
      </c>
      <c r="CL18" s="10">
        <v>0.28897339105606079</v>
      </c>
      <c r="CM18" s="11">
        <v>-0.71590906381607056</v>
      </c>
      <c r="CN18" s="11">
        <v>4.7089939117431641</v>
      </c>
      <c r="CO18" s="11">
        <v>-0.35638898611068726</v>
      </c>
      <c r="CP18" s="11">
        <v>1.2583115100860596</v>
      </c>
      <c r="CQ18" s="11">
        <v>-0.31565159559249878</v>
      </c>
      <c r="CR18">
        <v>17.248453274647936</v>
      </c>
      <c r="CS18">
        <v>1.1294171254911076</v>
      </c>
      <c r="CT18">
        <v>2</v>
      </c>
      <c r="CU18" s="10">
        <v>0.1527199551463127</v>
      </c>
      <c r="CV18" s="11">
        <v>0.91587115526199336</v>
      </c>
      <c r="CW18">
        <v>0.06</v>
      </c>
      <c r="CX18">
        <v>14.208849414705471</v>
      </c>
      <c r="CY18">
        <v>108747165.57984081</v>
      </c>
      <c r="CZ18">
        <v>0.1527199551463127</v>
      </c>
      <c r="DA18">
        <v>4.4048398586291881</v>
      </c>
      <c r="DB18">
        <v>350789619.96154535</v>
      </c>
      <c r="DC18">
        <v>0.14508395738899707</v>
      </c>
      <c r="DD18">
        <v>2.0174984873379911</v>
      </c>
      <c r="DE18">
        <v>765885134.33722234</v>
      </c>
      <c r="DF18">
        <v>0.13439356052875517</v>
      </c>
      <c r="DG18">
        <v>1.1143433977132502</v>
      </c>
      <c r="DH18">
        <v>1386621128.7928438</v>
      </c>
      <c r="DI18">
        <v>0.12217596411705017</v>
      </c>
      <c r="DJ18">
        <v>0.47539226095463005</v>
      </c>
      <c r="DK18">
        <v>3250309748.2006893</v>
      </c>
      <c r="DL18">
        <v>0.10690396860241888</v>
      </c>
      <c r="DM18">
        <v>100000000</v>
      </c>
      <c r="DN18">
        <v>0.1527199551463127</v>
      </c>
      <c r="DO18">
        <v>1545172100</v>
      </c>
      <c r="DP18">
        <v>458317680</v>
      </c>
      <c r="DQ18">
        <v>1296</v>
      </c>
      <c r="DR18">
        <v>7.5243570689553563E-2</v>
      </c>
      <c r="DS18">
        <v>-0.79423654318561288</v>
      </c>
      <c r="DT18" s="12">
        <v>-9.000000000000008E-2</v>
      </c>
      <c r="DU18">
        <v>-1.6666666666666757E-2</v>
      </c>
      <c r="DV18">
        <v>-0.10666666666666684</v>
      </c>
      <c r="DW18">
        <v>-8.2112192329708069</v>
      </c>
      <c r="DX18">
        <v>0.4532950495049492</v>
      </c>
      <c r="DY18">
        <v>-8.0344910551043665</v>
      </c>
      <c r="DZ18">
        <v>1970</v>
      </c>
      <c r="EA18">
        <v>-8.0211941121384953</v>
      </c>
      <c r="EB18">
        <v>8</v>
      </c>
      <c r="EC18">
        <v>4.8220517647818303E-2</v>
      </c>
      <c r="ED18">
        <v>0.29529687393466536</v>
      </c>
      <c r="EE18" s="13">
        <v>-1.1236999999999999</v>
      </c>
      <c r="EF18">
        <v>-1.1112</v>
      </c>
      <c r="EG18">
        <v>29.163295049504949</v>
      </c>
      <c r="EH18" t="s">
        <v>773</v>
      </c>
      <c r="EI18">
        <v>0</v>
      </c>
      <c r="EJ18">
        <v>0</v>
      </c>
      <c r="EK18" s="15">
        <v>45470</v>
      </c>
      <c r="EL18" s="16">
        <v>-0.16</v>
      </c>
      <c r="EM18" s="16">
        <v>-4.9000000000000004</v>
      </c>
      <c r="EN18" s="16">
        <v>1.99</v>
      </c>
      <c r="EO18" s="16">
        <v>4.4000000000000004</v>
      </c>
      <c r="EP18" s="16">
        <v>-1.25</v>
      </c>
    </row>
    <row r="19" spans="1:146" ht="84" x14ac:dyDescent="0.25">
      <c r="A19" s="8"/>
      <c r="B19" s="8"/>
      <c r="C19" s="8" t="str">
        <f>""&amp;CHAR(10)&amp;Basic_Fundamental_Information_Constructure(F19)&amp;CHAR(10)&amp;Basic_Fundamental_Information_Concatenate("")</f>
        <v xml:space="preserve">
市值40.098796亿, 利润1.40亿; PE28.5; 平均PE14.48; 平均PEG.44, PB1.35; ROIC6.7767%; ROE6.8967%; 股利率.7263%; 毛利11.2933%; 净利4.2933%; 上一年度营收增.4%, 利润增-7.89%; 当季营收增14.73%, 利润增1.97%; 过往5年营收增33.06%, 利润增67.38%
Income profile:
</v>
      </c>
      <c r="D19" t="s">
        <v>200</v>
      </c>
      <c r="E19" t="s">
        <v>16</v>
      </c>
      <c r="F19">
        <v>8.9499999999999993</v>
      </c>
      <c r="G19">
        <v>-0.11</v>
      </c>
      <c r="H19" t="s">
        <v>1547</v>
      </c>
      <c r="I19">
        <v>4009879600</v>
      </c>
      <c r="J19">
        <v>28.5</v>
      </c>
      <c r="K19">
        <v>1.35</v>
      </c>
      <c r="L19" t="s">
        <v>1187</v>
      </c>
      <c r="M19" t="s">
        <v>1153</v>
      </c>
      <c r="N19" t="s">
        <v>1548</v>
      </c>
      <c r="O19" t="s">
        <v>455</v>
      </c>
      <c r="P19">
        <v>14.71</v>
      </c>
      <c r="Q19" t="s">
        <v>1549</v>
      </c>
      <c r="R19">
        <v>35303734</v>
      </c>
      <c r="S19" s="6">
        <v>1.9699999999999999E-2</v>
      </c>
      <c r="T19" t="s">
        <v>234</v>
      </c>
      <c r="U19">
        <v>390240770</v>
      </c>
      <c r="V19">
        <v>448031240</v>
      </c>
      <c r="W19">
        <v>1.66</v>
      </c>
      <c r="X19">
        <v>0.23</v>
      </c>
      <c r="Y19">
        <v>3.24</v>
      </c>
      <c r="Z19" t="s">
        <v>286</v>
      </c>
      <c r="AA19" t="s">
        <v>1550</v>
      </c>
      <c r="AB19" t="s">
        <v>1551</v>
      </c>
      <c r="AC19" t="s">
        <v>1552</v>
      </c>
      <c r="AD19" t="s">
        <v>25</v>
      </c>
      <c r="AE19">
        <v>10071839</v>
      </c>
      <c r="AF19" t="s">
        <v>1553</v>
      </c>
      <c r="AG19" t="s">
        <v>1554</v>
      </c>
      <c r="AH19" t="s">
        <v>1555</v>
      </c>
      <c r="AI19" t="s">
        <v>1105</v>
      </c>
      <c r="AJ19" t="s">
        <v>1556</v>
      </c>
      <c r="AK19" t="s">
        <v>704</v>
      </c>
      <c r="AL19" t="s">
        <v>1557</v>
      </c>
      <c r="AM19" t="s">
        <v>25</v>
      </c>
      <c r="AN19" t="s">
        <v>98</v>
      </c>
      <c r="AO19" t="s">
        <v>1558</v>
      </c>
      <c r="AP19" t="s">
        <v>1559</v>
      </c>
      <c r="AQ19" t="s">
        <v>1029</v>
      </c>
      <c r="AR19" t="s">
        <v>25</v>
      </c>
      <c r="AS19" t="s">
        <v>864</v>
      </c>
      <c r="AT19" t="s">
        <v>1560</v>
      </c>
      <c r="AU19" t="s">
        <v>1561</v>
      </c>
      <c r="AV19" t="s">
        <v>1562</v>
      </c>
      <c r="AW19" t="s">
        <v>1563</v>
      </c>
      <c r="AX19" t="s">
        <v>1057</v>
      </c>
      <c r="AY19" t="s">
        <v>665</v>
      </c>
      <c r="AZ19" t="s">
        <v>342</v>
      </c>
      <c r="BA19" t="s">
        <v>201</v>
      </c>
      <c r="BB19" t="s">
        <v>345</v>
      </c>
      <c r="BC19" t="s">
        <v>240</v>
      </c>
      <c r="BD19" t="s">
        <v>180</v>
      </c>
      <c r="BE19" t="s">
        <v>343</v>
      </c>
      <c r="BF19" t="s">
        <v>101</v>
      </c>
      <c r="BG19" t="s">
        <v>76</v>
      </c>
      <c r="BH19" t="s">
        <v>1549</v>
      </c>
      <c r="BI19" t="s">
        <v>1101</v>
      </c>
      <c r="BJ19" t="s">
        <v>1057</v>
      </c>
      <c r="BK19" t="s">
        <v>234</v>
      </c>
      <c r="BL19" t="s">
        <v>1564</v>
      </c>
      <c r="BM19" t="s">
        <v>240</v>
      </c>
      <c r="BN19">
        <v>3.51</v>
      </c>
      <c r="BO19">
        <v>5.64</v>
      </c>
      <c r="BP19">
        <v>11.18</v>
      </c>
      <c r="BQ19">
        <v>3.22</v>
      </c>
      <c r="BR19">
        <v>6.14</v>
      </c>
      <c r="BS19">
        <v>11.33</v>
      </c>
      <c r="BT19" t="s">
        <v>1565</v>
      </c>
      <c r="BU19" t="s">
        <v>517</v>
      </c>
      <c r="BV19">
        <v>11.88</v>
      </c>
      <c r="BW19">
        <v>9.76</v>
      </c>
      <c r="BX19">
        <v>12.24</v>
      </c>
      <c r="BY19">
        <v>3.41</v>
      </c>
      <c r="BZ19">
        <v>3.67</v>
      </c>
      <c r="CA19">
        <v>5.8</v>
      </c>
      <c r="CB19">
        <v>-1.21</v>
      </c>
      <c r="CC19">
        <v>-21.66</v>
      </c>
      <c r="CD19" t="s">
        <v>1566</v>
      </c>
      <c r="CE19" t="s">
        <v>1567</v>
      </c>
      <c r="CF19" s="10">
        <v>0.14733840304182511</v>
      </c>
      <c r="CG19" s="11">
        <v>1.9702555630011321E-2</v>
      </c>
      <c r="CH19" s="10">
        <v>3.9769932627677917E-3</v>
      </c>
      <c r="CI19" s="10">
        <v>6.2192019075155258E-2</v>
      </c>
      <c r="CJ19" s="10">
        <v>-3.6408908665180206E-2</v>
      </c>
      <c r="CK19" s="10">
        <v>0.61681902408599854</v>
      </c>
      <c r="CL19" s="10">
        <v>1.0066030025482178</v>
      </c>
      <c r="CM19" s="11">
        <v>-7.8947365283966064E-2</v>
      </c>
      <c r="CN19" s="11">
        <v>-0.32743361592292786</v>
      </c>
      <c r="CO19" s="11">
        <v>-0.73567253351211548</v>
      </c>
      <c r="CP19" s="11">
        <v>4.1506023406982422</v>
      </c>
      <c r="CQ19" s="11">
        <v>0.36065572500228882</v>
      </c>
      <c r="CR19">
        <v>14.484814930764601</v>
      </c>
      <c r="CS19">
        <v>0.4380889033707101</v>
      </c>
      <c r="CT19">
        <v>0.72625698324022359</v>
      </c>
      <c r="CU19" s="10">
        <v>0.33063642606139182</v>
      </c>
      <c r="CV19" s="11">
        <v>0.67384091019630432</v>
      </c>
      <c r="CW19">
        <v>0.06</v>
      </c>
      <c r="CX19">
        <v>14.924396442113414</v>
      </c>
      <c r="CY19">
        <v>175744433.63074985</v>
      </c>
      <c r="CZ19">
        <v>0.33063642606139182</v>
      </c>
      <c r="DA19">
        <v>4.0014903677701001</v>
      </c>
      <c r="DB19">
        <v>655475675.04495716</v>
      </c>
      <c r="DC19">
        <v>0.31410460475832219</v>
      </c>
      <c r="DD19">
        <v>1.4809978254412102</v>
      </c>
      <c r="DE19">
        <v>1771021911.6753983</v>
      </c>
      <c r="DF19">
        <v>0.29096005493402483</v>
      </c>
      <c r="DG19">
        <v>0.62646889750069035</v>
      </c>
      <c r="DH19">
        <v>4186767468.367589</v>
      </c>
      <c r="DI19">
        <v>0.26450914084911348</v>
      </c>
      <c r="DJ19">
        <v>0.13689582790620411</v>
      </c>
      <c r="DK19">
        <v>19159675207.904064</v>
      </c>
      <c r="DL19">
        <v>0.23144549824297425</v>
      </c>
      <c r="DM19">
        <v>140000000</v>
      </c>
      <c r="DN19">
        <v>0.33063642606139182</v>
      </c>
      <c r="DO19">
        <v>2622879600</v>
      </c>
      <c r="DP19">
        <v>1542134900</v>
      </c>
      <c r="DQ19">
        <v>1308</v>
      </c>
      <c r="DR19">
        <v>-0.18329802301956671</v>
      </c>
      <c r="DS19">
        <v>-0.65413835456629299</v>
      </c>
      <c r="DT19" s="12">
        <v>-6.6666666666667452E-3</v>
      </c>
      <c r="DU19">
        <v>9.1666666666666577E-2</v>
      </c>
      <c r="DV19">
        <v>8.4999999999999826E-2</v>
      </c>
      <c r="DW19">
        <v>-3.0640119047619048</v>
      </c>
      <c r="DX19">
        <v>0.32981023957482147</v>
      </c>
      <c r="DY19">
        <v>-3.0076692816451644</v>
      </c>
      <c r="DZ19">
        <v>1513</v>
      </c>
      <c r="EA19">
        <v>-3.0053985139095216</v>
      </c>
      <c r="EB19">
        <v>3</v>
      </c>
      <c r="EC19">
        <v>2.3426937817996797E-2</v>
      </c>
      <c r="ED19">
        <v>0.19553368644561481</v>
      </c>
      <c r="EE19" s="13">
        <v>-4.0237100000000003</v>
      </c>
      <c r="EF19">
        <v>-4.0493100000000002</v>
      </c>
      <c r="EG19">
        <v>21.119810239574822</v>
      </c>
      <c r="EH19" t="s">
        <v>1097</v>
      </c>
      <c r="EI19">
        <v>0</v>
      </c>
      <c r="EJ19">
        <v>0</v>
      </c>
      <c r="EK19" s="15">
        <v>45470</v>
      </c>
      <c r="EL19" s="16">
        <v>-0.42</v>
      </c>
      <c r="EM19" s="16">
        <v>-4.8</v>
      </c>
      <c r="EN19" s="16">
        <v>-0.88</v>
      </c>
      <c r="EO19" s="16">
        <v>3.43</v>
      </c>
      <c r="EP19" s="16">
        <v>-2.56</v>
      </c>
    </row>
    <row r="20" spans="1:146" ht="84" x14ac:dyDescent="0.25">
      <c r="A20" s="8"/>
      <c r="B20" s="8"/>
      <c r="C20" s="8" t="str">
        <f>""&amp;CHAR(10)&amp;Basic_Fundamental_Information_Constructure(F20)&amp;CHAR(10)&amp;Basic_Fundamental_Information_Concatenate("")</f>
        <v xml:space="preserve">
市值36.690577亿, 利润589.61万; PE591.6; 平均PE95.37; 平均PEG6.53, PB2.12; ROIC3.9567%; ROE2.6833%; 股利率.0502%; 毛利16.17%; 净利2.6033%; 上一年度营收增3.15%, 利润增-59.63%; 当季营收增5.81%, 利润增5.96%; 过往5年营收增14.59%, 利润增-13.41%
Income profile:
</v>
      </c>
      <c r="D20" t="s">
        <v>203</v>
      </c>
      <c r="E20" t="s">
        <v>11</v>
      </c>
      <c r="F20">
        <v>13.94</v>
      </c>
      <c r="G20">
        <v>-1.1299999999999999</v>
      </c>
      <c r="H20" t="s">
        <v>1568</v>
      </c>
      <c r="I20">
        <v>3669057700</v>
      </c>
      <c r="J20">
        <v>591.6</v>
      </c>
      <c r="K20">
        <v>2.12</v>
      </c>
      <c r="L20" t="s">
        <v>1187</v>
      </c>
      <c r="M20" t="s">
        <v>1005</v>
      </c>
      <c r="N20" t="s">
        <v>1569</v>
      </c>
      <c r="O20" t="s">
        <v>788</v>
      </c>
      <c r="P20">
        <v>5.91</v>
      </c>
      <c r="Q20" t="s">
        <v>1570</v>
      </c>
      <c r="R20">
        <v>5444696</v>
      </c>
      <c r="S20" s="6">
        <v>5.96E-2</v>
      </c>
      <c r="T20" t="s">
        <v>1571</v>
      </c>
      <c r="U20">
        <v>208395660</v>
      </c>
      <c r="V20">
        <v>263203570</v>
      </c>
      <c r="W20">
        <v>1.78</v>
      </c>
      <c r="X20">
        <v>0.11</v>
      </c>
      <c r="Y20">
        <v>2.0699999999999998</v>
      </c>
      <c r="Z20" t="s">
        <v>370</v>
      </c>
      <c r="AA20" t="s">
        <v>355</v>
      </c>
      <c r="AB20" t="s">
        <v>1572</v>
      </c>
      <c r="AC20" t="s">
        <v>1573</v>
      </c>
      <c r="AD20" t="s">
        <v>25</v>
      </c>
      <c r="AE20">
        <v>9777574</v>
      </c>
      <c r="AF20" t="s">
        <v>1574</v>
      </c>
      <c r="AG20" t="s">
        <v>1575</v>
      </c>
      <c r="AH20" t="s">
        <v>1576</v>
      </c>
      <c r="AI20" t="s">
        <v>1577</v>
      </c>
      <c r="AJ20" t="s">
        <v>1578</v>
      </c>
      <c r="AK20" t="s">
        <v>1579</v>
      </c>
      <c r="AL20" t="s">
        <v>1580</v>
      </c>
      <c r="AM20" t="s">
        <v>25</v>
      </c>
      <c r="AN20" t="s">
        <v>1170</v>
      </c>
      <c r="AO20" t="s">
        <v>1108</v>
      </c>
      <c r="AP20" t="s">
        <v>1581</v>
      </c>
      <c r="AQ20" t="s">
        <v>1582</v>
      </c>
      <c r="AR20" t="s">
        <v>25</v>
      </c>
      <c r="AS20" t="s">
        <v>768</v>
      </c>
      <c r="AT20" t="s">
        <v>818</v>
      </c>
      <c r="AU20" t="s">
        <v>1583</v>
      </c>
      <c r="AV20" t="s">
        <v>1584</v>
      </c>
      <c r="AW20" t="s">
        <v>292</v>
      </c>
      <c r="AX20" t="s">
        <v>1059</v>
      </c>
      <c r="AY20" t="s">
        <v>666</v>
      </c>
      <c r="AZ20" t="s">
        <v>67</v>
      </c>
      <c r="BA20" t="s">
        <v>204</v>
      </c>
      <c r="BB20" t="s">
        <v>350</v>
      </c>
      <c r="BC20" t="s">
        <v>1585</v>
      </c>
      <c r="BD20" t="s">
        <v>667</v>
      </c>
      <c r="BE20" t="s">
        <v>348</v>
      </c>
      <c r="BF20" t="s">
        <v>205</v>
      </c>
      <c r="BG20" t="s">
        <v>354</v>
      </c>
      <c r="BH20" t="s">
        <v>1570</v>
      </c>
      <c r="BI20" t="s">
        <v>1030</v>
      </c>
      <c r="BJ20" t="s">
        <v>1059</v>
      </c>
      <c r="BK20" t="s">
        <v>1571</v>
      </c>
      <c r="BL20" t="s">
        <v>1586</v>
      </c>
      <c r="BM20" t="s">
        <v>1585</v>
      </c>
      <c r="BN20">
        <v>2.59</v>
      </c>
      <c r="BO20">
        <v>3.8</v>
      </c>
      <c r="BP20">
        <v>5.48</v>
      </c>
      <c r="BQ20">
        <v>1.23</v>
      </c>
      <c r="BR20">
        <v>1.25</v>
      </c>
      <c r="BS20">
        <v>5.57</v>
      </c>
      <c r="BT20" t="s">
        <v>1587</v>
      </c>
      <c r="BU20" t="s">
        <v>517</v>
      </c>
      <c r="BV20">
        <v>18.309999999999999</v>
      </c>
      <c r="BW20">
        <v>15.05</v>
      </c>
      <c r="BX20">
        <v>15.15</v>
      </c>
      <c r="BY20">
        <v>1.37</v>
      </c>
      <c r="BZ20">
        <v>1.74</v>
      </c>
      <c r="CA20">
        <v>4.7</v>
      </c>
      <c r="CB20">
        <v>2.35</v>
      </c>
      <c r="CC20">
        <v>-15.02</v>
      </c>
      <c r="CD20" t="s">
        <v>1588</v>
      </c>
      <c r="CE20" t="s">
        <v>865</v>
      </c>
      <c r="CF20" s="10">
        <v>5.8139534883720929E-2</v>
      </c>
      <c r="CG20" s="11">
        <v>5.9609216876848822E-2</v>
      </c>
      <c r="CH20" s="10">
        <v>3.1543582677841187E-2</v>
      </c>
      <c r="CI20" s="10">
        <v>-3.2467532902956009E-2</v>
      </c>
      <c r="CJ20" s="10">
        <v>0.33564621210098267</v>
      </c>
      <c r="CK20" s="10">
        <v>0.28111103177070618</v>
      </c>
      <c r="CL20" s="10">
        <v>0.11386138945817947</v>
      </c>
      <c r="CM20" s="11">
        <v>-0.59631788730621338</v>
      </c>
      <c r="CN20" s="11">
        <v>-0.76895147562026978</v>
      </c>
      <c r="CO20" s="11">
        <v>-2.3596372455358505E-2</v>
      </c>
      <c r="CP20" s="11">
        <v>0.36788594722747803</v>
      </c>
      <c r="CQ20" s="11">
        <v>0.35046520829200745</v>
      </c>
      <c r="CR20">
        <v>95.366832930021232</v>
      </c>
      <c r="CS20">
        <v>6.5347079496487552</v>
      </c>
      <c r="CT20">
        <v>5.0215208034433294E-2</v>
      </c>
      <c r="CU20" s="10">
        <v>0.1459389366209507</v>
      </c>
      <c r="CV20" s="11">
        <v>-0.13410291597247123</v>
      </c>
      <c r="CW20">
        <v>0.06</v>
      </c>
      <c r="CX20">
        <v>485.72291679800412</v>
      </c>
      <c r="CY20">
        <v>6374123.1737837614</v>
      </c>
      <c r="CZ20">
        <v>0.1459389366209507</v>
      </c>
      <c r="DA20">
        <v>151.4325154809782</v>
      </c>
      <c r="DB20">
        <v>20445131.550290488</v>
      </c>
      <c r="DC20">
        <v>0.13864198978990316</v>
      </c>
      <c r="DD20">
        <v>69.908815955655243</v>
      </c>
      <c r="DE20">
        <v>44287085.365083285</v>
      </c>
      <c r="DF20">
        <v>0.1284262642264366</v>
      </c>
      <c r="DG20">
        <v>38.976633279032519</v>
      </c>
      <c r="DH20">
        <v>79433687.302733868</v>
      </c>
      <c r="DI20">
        <v>0.11675114929676056</v>
      </c>
      <c r="DJ20">
        <v>16.999711084816298</v>
      </c>
      <c r="DK20">
        <v>182124136.37813637</v>
      </c>
      <c r="DL20">
        <v>0.10215725563466549</v>
      </c>
      <c r="DM20">
        <v>5896100</v>
      </c>
      <c r="DN20">
        <v>0.1459389366209507</v>
      </c>
      <c r="DO20">
        <v>3096057700</v>
      </c>
      <c r="DP20">
        <v>782510500.00000012</v>
      </c>
      <c r="DQ20">
        <v>1353</v>
      </c>
      <c r="DR20">
        <v>-8.7799401737229776E-2</v>
      </c>
      <c r="DS20">
        <v>0.19371213284932004</v>
      </c>
      <c r="DT20" s="12">
        <v>-0.19000000000000003</v>
      </c>
      <c r="DU20">
        <v>-3.0000000000000027E-2</v>
      </c>
      <c r="DV20">
        <v>-0.22000000000000006</v>
      </c>
      <c r="DW20">
        <v>-2.1501999999999999</v>
      </c>
      <c r="DX20">
        <v>0.26934875518672252</v>
      </c>
      <c r="DY20">
        <v>-2.0179261830290458</v>
      </c>
      <c r="DZ20">
        <v>2243</v>
      </c>
      <c r="EA20">
        <v>-2.0100576060164919</v>
      </c>
      <c r="EB20">
        <v>2</v>
      </c>
      <c r="EC20">
        <v>0.21856124519891582</v>
      </c>
      <c r="ED20">
        <v>1.8312821516820612</v>
      </c>
      <c r="EE20" s="13">
        <v>-3.1040100000000002</v>
      </c>
      <c r="EF20">
        <v>-3.1365099999999999</v>
      </c>
      <c r="EG20">
        <v>15.119348755186722</v>
      </c>
      <c r="EH20" t="s">
        <v>1037</v>
      </c>
      <c r="EI20">
        <v>0</v>
      </c>
      <c r="EJ20">
        <v>0</v>
      </c>
      <c r="EK20" s="15">
        <v>45470</v>
      </c>
      <c r="EL20" s="16">
        <v>1.27</v>
      </c>
      <c r="EM20" s="16">
        <v>-5.93</v>
      </c>
      <c r="EN20" s="16">
        <v>0.59</v>
      </c>
      <c r="EO20" s="16">
        <v>2.14</v>
      </c>
      <c r="EP20" s="16">
        <v>-3.25</v>
      </c>
    </row>
    <row r="21" spans="1:146" ht="84" x14ac:dyDescent="0.25">
      <c r="A21" s="8"/>
      <c r="B21" s="8"/>
      <c r="C21" s="8" t="str">
        <f>""&amp;CHAR(10)&amp;Basic_Fundamental_Information_Constructure(F21)&amp;CHAR(10)&amp;Basic_Fundamental_Information_Concatenate("")</f>
        <v xml:space="preserve">
市值61.813211亿, 利润-2.31亿; PE; 平均PE-67.03; 平均PEG-7.57, PB1.35; ROIC2.02%; ROE-2.1533%; 股利率0%; 毛利15.0567%; 净利-3.98%; 上一年度营收增8.36%, 利润增34.75%; 当季营收增20.77%, 利润增187.9%; 过往5年营收增8.86%, 利润增-193.94%
Income profile:
</v>
      </c>
      <c r="D21" t="s">
        <v>181</v>
      </c>
      <c r="E21" t="s">
        <v>13</v>
      </c>
      <c r="F21">
        <v>3.51</v>
      </c>
      <c r="G21">
        <v>1.74</v>
      </c>
      <c r="H21" t="s">
        <v>1589</v>
      </c>
      <c r="I21">
        <v>6181321100</v>
      </c>
      <c r="K21">
        <v>1.35</v>
      </c>
      <c r="L21" t="s">
        <v>1187</v>
      </c>
      <c r="M21" t="s">
        <v>1590</v>
      </c>
      <c r="N21" t="s">
        <v>1591</v>
      </c>
      <c r="O21" t="s">
        <v>1592</v>
      </c>
      <c r="P21">
        <v>20.76</v>
      </c>
      <c r="Q21" t="s">
        <v>1593</v>
      </c>
      <c r="R21">
        <v>23049805</v>
      </c>
      <c r="S21" s="6">
        <v>1.879</v>
      </c>
      <c r="T21" t="s">
        <v>1594</v>
      </c>
      <c r="U21">
        <v>1474686200</v>
      </c>
      <c r="V21">
        <v>1761060200</v>
      </c>
      <c r="W21">
        <v>1.6</v>
      </c>
      <c r="X21">
        <v>0.16</v>
      </c>
      <c r="Y21">
        <v>1.89</v>
      </c>
      <c r="Z21" t="s">
        <v>1595</v>
      </c>
      <c r="AA21" t="s">
        <v>1089</v>
      </c>
      <c r="AB21" t="s">
        <v>1596</v>
      </c>
      <c r="AC21" t="s">
        <v>1597</v>
      </c>
      <c r="AD21" t="s">
        <v>25</v>
      </c>
      <c r="AE21">
        <v>15345309</v>
      </c>
      <c r="AF21" t="s">
        <v>1598</v>
      </c>
      <c r="AG21" t="s">
        <v>1599</v>
      </c>
      <c r="AH21" t="s">
        <v>1600</v>
      </c>
      <c r="AI21" t="s">
        <v>58</v>
      </c>
      <c r="AJ21" t="s">
        <v>1601</v>
      </c>
      <c r="AK21" t="s">
        <v>25</v>
      </c>
      <c r="AL21" t="s">
        <v>1602</v>
      </c>
      <c r="AM21" t="s">
        <v>25</v>
      </c>
      <c r="AN21" t="s">
        <v>1603</v>
      </c>
      <c r="AO21" t="s">
        <v>1604</v>
      </c>
      <c r="AP21" t="s">
        <v>242</v>
      </c>
      <c r="AQ21" t="s">
        <v>362</v>
      </c>
      <c r="AR21" t="s">
        <v>25</v>
      </c>
      <c r="AS21" t="s">
        <v>1046</v>
      </c>
      <c r="AT21" t="s">
        <v>396</v>
      </c>
      <c r="AU21" t="s">
        <v>247</v>
      </c>
      <c r="AV21" t="s">
        <v>1605</v>
      </c>
      <c r="AW21" t="s">
        <v>1606</v>
      </c>
      <c r="AX21" t="s">
        <v>1064</v>
      </c>
      <c r="AY21" t="s">
        <v>668</v>
      </c>
      <c r="AZ21" t="s">
        <v>360</v>
      </c>
      <c r="BA21" t="s">
        <v>182</v>
      </c>
      <c r="BB21" t="s">
        <v>363</v>
      </c>
      <c r="BC21" t="s">
        <v>1065</v>
      </c>
      <c r="BD21" t="s">
        <v>669</v>
      </c>
      <c r="BE21" t="s">
        <v>361</v>
      </c>
      <c r="BF21" t="s">
        <v>183</v>
      </c>
      <c r="BG21" t="s">
        <v>355</v>
      </c>
      <c r="BH21" t="s">
        <v>1593</v>
      </c>
      <c r="BI21" t="s">
        <v>1607</v>
      </c>
      <c r="BJ21" t="s">
        <v>1064</v>
      </c>
      <c r="BK21" t="s">
        <v>1594</v>
      </c>
      <c r="BL21" t="s">
        <v>1608</v>
      </c>
      <c r="BM21" t="s">
        <v>1065</v>
      </c>
      <c r="BN21" t="s">
        <v>25</v>
      </c>
      <c r="BO21" t="s">
        <v>25</v>
      </c>
      <c r="BP21">
        <v>2.02</v>
      </c>
      <c r="BQ21">
        <v>-0.53</v>
      </c>
      <c r="BR21">
        <v>-7.16</v>
      </c>
      <c r="BS21">
        <v>1.23</v>
      </c>
      <c r="BT21" t="s">
        <v>965</v>
      </c>
      <c r="BU21" t="s">
        <v>812</v>
      </c>
      <c r="BV21">
        <v>11.87</v>
      </c>
      <c r="BW21">
        <v>14.34</v>
      </c>
      <c r="BX21">
        <v>18.96</v>
      </c>
      <c r="BY21">
        <v>-5.03</v>
      </c>
      <c r="BZ21">
        <v>-8.41</v>
      </c>
      <c r="CA21">
        <v>1.5</v>
      </c>
      <c r="CB21">
        <v>-0.56999999999999995</v>
      </c>
      <c r="CC21">
        <v>-15.83</v>
      </c>
      <c r="CD21" t="s">
        <v>179</v>
      </c>
      <c r="CE21" t="s">
        <v>1609</v>
      </c>
      <c r="CF21" s="10">
        <v>0.20770010131712274</v>
      </c>
      <c r="CG21" s="11">
        <v>1.879012027884557</v>
      </c>
      <c r="CH21" s="10">
        <v>8.362860232591629E-2</v>
      </c>
      <c r="CI21" s="10">
        <v>2.1970015019178391E-2</v>
      </c>
      <c r="CJ21" s="10">
        <v>0.28673502802848816</v>
      </c>
      <c r="CK21" s="10">
        <v>-6.4814616926014423E-3</v>
      </c>
      <c r="CL21" s="10">
        <v>5.7096268981695175E-2</v>
      </c>
      <c r="CM21" s="11">
        <v>0.34745761752128601</v>
      </c>
      <c r="CN21" s="11">
        <v>-6.646212100982666</v>
      </c>
      <c r="CO21" s="11">
        <v>1.1295390129089355</v>
      </c>
      <c r="CP21" s="11">
        <v>-4.063291072845459</v>
      </c>
      <c r="CQ21" s="11">
        <v>-0.46440678834915161</v>
      </c>
      <c r="CR21">
        <v>-67.030035797739075</v>
      </c>
      <c r="CS21">
        <v>-7.5663472120519177</v>
      </c>
      <c r="CT21">
        <v>0</v>
      </c>
      <c r="CU21" s="10">
        <v>8.858969053253532E-2</v>
      </c>
      <c r="CV21" s="11">
        <v>-1.9393826663494109</v>
      </c>
      <c r="CW21">
        <v>0.06</v>
      </c>
      <c r="CX21" t="e">
        <v>#VALUE!</v>
      </c>
      <c r="CY21" t="s">
        <v>770</v>
      </c>
      <c r="CZ21">
        <v>8.858969053253532E-2</v>
      </c>
      <c r="DA21" t="e">
        <v>#VALUE!</v>
      </c>
      <c r="DB21" t="s">
        <v>770</v>
      </c>
      <c r="DC21">
        <v>8.4160206005908553E-2</v>
      </c>
      <c r="DD21" t="e">
        <v>#VALUE!</v>
      </c>
      <c r="DE21" t="s">
        <v>770</v>
      </c>
      <c r="DF21">
        <v>7.7958927668631078E-2</v>
      </c>
      <c r="DG21" t="e">
        <v>#VALUE!</v>
      </c>
      <c r="DH21" t="s">
        <v>770</v>
      </c>
      <c r="DI21">
        <v>7.0871752426028264E-2</v>
      </c>
      <c r="DJ21" t="e">
        <v>#VALUE!</v>
      </c>
      <c r="DK21" t="s">
        <v>770</v>
      </c>
      <c r="DL21">
        <v>6.2012783372774723E-2</v>
      </c>
      <c r="DM21">
        <v>-231000000</v>
      </c>
      <c r="DN21">
        <v>8.858969053253532E-2</v>
      </c>
      <c r="DO21">
        <v>4626321100</v>
      </c>
      <c r="DP21">
        <v>192045000</v>
      </c>
      <c r="DQ21">
        <v>1668</v>
      </c>
      <c r="DR21">
        <v>0.11911041078458742</v>
      </c>
      <c r="DS21">
        <v>3.8183946942339677</v>
      </c>
      <c r="DT21" s="12">
        <v>-0.3066666666666667</v>
      </c>
      <c r="DU21">
        <v>-1.01</v>
      </c>
      <c r="DV21">
        <v>-1.3166666666666667</v>
      </c>
      <c r="DW21">
        <v>-2.1583000000000001</v>
      </c>
      <c r="DX21">
        <v>0.26178433889601938</v>
      </c>
      <c r="DY21">
        <v>-2.0145294608472399</v>
      </c>
      <c r="DZ21">
        <v>3867</v>
      </c>
      <c r="EA21">
        <v>-2.0035342700260506</v>
      </c>
      <c r="EB21">
        <v>2</v>
      </c>
      <c r="EC21">
        <v>8.1201085573338147E-2</v>
      </c>
      <c r="ED21">
        <v>0.88469434491790799</v>
      </c>
      <c r="EE21" s="13">
        <v>3.0421</v>
      </c>
      <c r="EF21">
        <v>3.0097999999999998</v>
      </c>
      <c r="EG21">
        <v>17.091784338896019</v>
      </c>
      <c r="EH21" t="s">
        <v>1610</v>
      </c>
      <c r="EI21">
        <v>0</v>
      </c>
      <c r="EJ21">
        <v>0</v>
      </c>
      <c r="EK21" s="15">
        <v>45470</v>
      </c>
      <c r="EL21" s="16">
        <v>0.82</v>
      </c>
      <c r="EM21" s="16">
        <v>-4.07</v>
      </c>
      <c r="EN21" s="16">
        <v>0.85</v>
      </c>
      <c r="EO21" s="16">
        <v>4.2</v>
      </c>
      <c r="EP21" s="16">
        <v>-3.23</v>
      </c>
    </row>
    <row r="22" spans="1:146" ht="84" x14ac:dyDescent="0.25">
      <c r="A22" s="8"/>
      <c r="B22" s="8"/>
      <c r="C22" s="8" t="str">
        <f>""&amp;CHAR(10)&amp;Basic_Fundamental_Information_Constructure(F22)&amp;CHAR(10)&amp;Basic_Fundamental_Information_Concatenate("")</f>
        <v xml:space="preserve">
市值29.336642亿, 利润7082.38万; PE23.26; 平均PE35.74; 平均PEG8, PB2.25; ROIC7.55%; ROE8.6833%; 股利率.9615%; 毛利19.8667%; 净利5.9733%; 上一年度营收增2.41%, 利润增-51.16%; 当季营收增24.65%, 利润增394.11%; 过往5年营收增4.47%, 利润增59.98%
Income profile:
</v>
      </c>
      <c r="D22" t="s">
        <v>187</v>
      </c>
      <c r="E22" t="s">
        <v>10</v>
      </c>
      <c r="F22">
        <v>13.52</v>
      </c>
      <c r="G22">
        <v>0.75</v>
      </c>
      <c r="H22" t="s">
        <v>1611</v>
      </c>
      <c r="I22">
        <v>2933664200</v>
      </c>
      <c r="J22">
        <v>23.26</v>
      </c>
      <c r="K22">
        <v>2.25</v>
      </c>
      <c r="L22" t="s">
        <v>1187</v>
      </c>
      <c r="M22" t="s">
        <v>881</v>
      </c>
      <c r="N22" t="s">
        <v>1612</v>
      </c>
      <c r="O22" t="s">
        <v>210</v>
      </c>
      <c r="P22">
        <v>24.61</v>
      </c>
      <c r="Q22" t="s">
        <v>1234</v>
      </c>
      <c r="R22">
        <v>41271564</v>
      </c>
      <c r="S22" s="6">
        <v>3.9409999999999998</v>
      </c>
      <c r="T22" t="s">
        <v>1613</v>
      </c>
      <c r="U22">
        <v>216276390</v>
      </c>
      <c r="V22">
        <v>216987000</v>
      </c>
      <c r="W22">
        <v>1.49</v>
      </c>
      <c r="X22">
        <v>0.25</v>
      </c>
      <c r="Y22">
        <v>7.69</v>
      </c>
      <c r="Z22" t="s">
        <v>151</v>
      </c>
      <c r="AA22" t="s">
        <v>867</v>
      </c>
      <c r="AB22" t="s">
        <v>1614</v>
      </c>
      <c r="AC22" t="s">
        <v>1615</v>
      </c>
      <c r="AD22" t="s">
        <v>25</v>
      </c>
      <c r="AE22">
        <v>2737188</v>
      </c>
      <c r="AF22" t="s">
        <v>52</v>
      </c>
      <c r="AG22" t="s">
        <v>25</v>
      </c>
      <c r="AH22" t="s">
        <v>1616</v>
      </c>
      <c r="AI22" t="s">
        <v>1105</v>
      </c>
      <c r="AJ22" t="s">
        <v>1617</v>
      </c>
      <c r="AK22" t="s">
        <v>25</v>
      </c>
      <c r="AL22" t="s">
        <v>1618</v>
      </c>
      <c r="AM22" t="s">
        <v>25</v>
      </c>
      <c r="AN22" t="s">
        <v>1619</v>
      </c>
      <c r="AO22" t="s">
        <v>211</v>
      </c>
      <c r="AP22" t="s">
        <v>25</v>
      </c>
      <c r="AQ22" t="s">
        <v>533</v>
      </c>
      <c r="AR22" t="s">
        <v>25</v>
      </c>
      <c r="AS22" t="s">
        <v>1018</v>
      </c>
      <c r="AT22" t="s">
        <v>25</v>
      </c>
      <c r="AU22" t="s">
        <v>1620</v>
      </c>
      <c r="AV22" t="s">
        <v>1621</v>
      </c>
      <c r="AW22" t="s">
        <v>1622</v>
      </c>
      <c r="AX22" t="s">
        <v>1066</v>
      </c>
      <c r="AY22" t="s">
        <v>601</v>
      </c>
      <c r="AZ22" t="s">
        <v>365</v>
      </c>
      <c r="BA22" t="s">
        <v>188</v>
      </c>
      <c r="BB22" t="s">
        <v>367</v>
      </c>
      <c r="BC22" t="s">
        <v>137</v>
      </c>
      <c r="BD22" t="s">
        <v>126</v>
      </c>
      <c r="BE22" t="s">
        <v>366</v>
      </c>
      <c r="BF22" t="s">
        <v>189</v>
      </c>
      <c r="BG22" t="s">
        <v>368</v>
      </c>
      <c r="BH22" t="s">
        <v>1234</v>
      </c>
      <c r="BI22" t="s">
        <v>382</v>
      </c>
      <c r="BJ22" t="s">
        <v>1066</v>
      </c>
      <c r="BK22" t="s">
        <v>1613</v>
      </c>
      <c r="BL22" t="s">
        <v>1623</v>
      </c>
      <c r="BM22" t="s">
        <v>137</v>
      </c>
      <c r="BN22">
        <v>3.12</v>
      </c>
      <c r="BO22">
        <v>10.14</v>
      </c>
      <c r="BP22">
        <v>9.39</v>
      </c>
      <c r="BQ22">
        <v>3.28</v>
      </c>
      <c r="BR22">
        <v>12.11</v>
      </c>
      <c r="BS22">
        <v>10.66</v>
      </c>
      <c r="BT22" t="s">
        <v>1624</v>
      </c>
      <c r="BU22" t="s">
        <v>812</v>
      </c>
      <c r="BV22">
        <v>20.86</v>
      </c>
      <c r="BW22">
        <v>15.87</v>
      </c>
      <c r="BX22">
        <v>22.87</v>
      </c>
      <c r="BY22">
        <v>3.37</v>
      </c>
      <c r="BZ22">
        <v>7.97</v>
      </c>
      <c r="CA22">
        <v>6.58</v>
      </c>
      <c r="CB22">
        <v>-10.34</v>
      </c>
      <c r="CC22">
        <v>-15.18</v>
      </c>
      <c r="CD22" t="s">
        <v>1625</v>
      </c>
      <c r="CE22" t="s">
        <v>1626</v>
      </c>
      <c r="CF22" s="10">
        <v>0.24654377880184331</v>
      </c>
      <c r="CG22" s="11">
        <v>3.9410783307679154</v>
      </c>
      <c r="CH22" s="10">
        <v>2.4065574631094933E-2</v>
      </c>
      <c r="CI22" s="10">
        <v>-4.545457661151886E-2</v>
      </c>
      <c r="CJ22" s="10">
        <v>0.32255974411964417</v>
      </c>
      <c r="CK22" s="10">
        <v>-8.7315633893013E-2</v>
      </c>
      <c r="CL22" s="10">
        <v>9.5294816419482231E-3</v>
      </c>
      <c r="CM22" s="11">
        <v>-0.51156002283096313</v>
      </c>
      <c r="CN22" s="11">
        <v>9.848485141992569E-2</v>
      </c>
      <c r="CO22" s="11">
        <v>1.6161823272705078</v>
      </c>
      <c r="CP22" s="11">
        <v>-0.29048964381217957</v>
      </c>
      <c r="CQ22" s="11">
        <v>2.0862746238708496</v>
      </c>
      <c r="CR22">
        <v>35.744912458194847</v>
      </c>
      <c r="CS22">
        <v>8.0007561121587809</v>
      </c>
      <c r="CT22">
        <v>0.96153846153846156</v>
      </c>
      <c r="CU22" s="10">
        <v>4.4676917977631091E-2</v>
      </c>
      <c r="CV22" s="11">
        <v>0.59977842718362806</v>
      </c>
      <c r="CW22">
        <v>0.06</v>
      </c>
      <c r="CX22">
        <v>32.602643770015092</v>
      </c>
      <c r="CY22">
        <v>69799989.720249206</v>
      </c>
      <c r="CZ22">
        <v>4.4676917977631091E-2</v>
      </c>
      <c r="DA22">
        <v>11.073230801765908</v>
      </c>
      <c r="DB22">
        <v>205510409.81075618</v>
      </c>
      <c r="DC22">
        <v>4.2443072078749533E-2</v>
      </c>
      <c r="DD22">
        <v>5.7343753312320391</v>
      </c>
      <c r="DE22">
        <v>396846050.1016891</v>
      </c>
      <c r="DF22">
        <v>3.9315687820315359E-2</v>
      </c>
      <c r="DG22">
        <v>3.6414034082332578</v>
      </c>
      <c r="DH22">
        <v>624941525.25224078</v>
      </c>
      <c r="DI22">
        <v>3.5741534382104874E-2</v>
      </c>
      <c r="DJ22">
        <v>2.1171285658276942</v>
      </c>
      <c r="DK22">
        <v>1074882383.9662879</v>
      </c>
      <c r="DL22">
        <v>3.1273842584341759E-2</v>
      </c>
      <c r="DM22">
        <v>70823800</v>
      </c>
      <c r="DN22">
        <v>4.4676917977631091E-2</v>
      </c>
      <c r="DO22">
        <v>2275664200</v>
      </c>
      <c r="DP22">
        <v>562835060</v>
      </c>
      <c r="DQ22">
        <v>1703</v>
      </c>
      <c r="DR22">
        <v>0.20186686082421221</v>
      </c>
      <c r="DS22">
        <v>3.3412999035842872</v>
      </c>
      <c r="DT22" s="12">
        <v>-0.3066666666666667</v>
      </c>
      <c r="DU22">
        <v>0.70166666666666666</v>
      </c>
      <c r="DV22">
        <v>0.39499999999999996</v>
      </c>
      <c r="DW22">
        <v>-9.6811594202898554</v>
      </c>
      <c r="DX22">
        <v>0.36698188055105546</v>
      </c>
      <c r="DY22">
        <v>-9.1273644693608649</v>
      </c>
      <c r="DZ22">
        <v>880</v>
      </c>
      <c r="EA22">
        <v>-9.1054308621128097</v>
      </c>
      <c r="EB22">
        <v>9</v>
      </c>
      <c r="EC22">
        <v>6.8730384769594477E-2</v>
      </c>
      <c r="ED22">
        <v>0.36757778115739653</v>
      </c>
      <c r="EE22" s="13">
        <v>3.599999999999999E-3</v>
      </c>
      <c r="EF22">
        <v>6.2099999999999994E-3</v>
      </c>
      <c r="EG22">
        <v>18.186981880551055</v>
      </c>
      <c r="EH22">
        <v>-1</v>
      </c>
      <c r="EI22">
        <v>0</v>
      </c>
      <c r="EJ22">
        <v>1</v>
      </c>
      <c r="EK22" s="15">
        <v>45470</v>
      </c>
      <c r="EL22" s="16">
        <v>0.45</v>
      </c>
      <c r="EM22" s="16">
        <v>-3.23</v>
      </c>
      <c r="EN22" s="16">
        <v>1</v>
      </c>
      <c r="EO22" s="16">
        <v>0.99</v>
      </c>
      <c r="EP22" s="16">
        <v>-0.98</v>
      </c>
    </row>
    <row r="23" spans="1:146" ht="84" x14ac:dyDescent="0.25">
      <c r="A23" s="8"/>
      <c r="B23" s="8"/>
      <c r="C23" s="8" t="str">
        <f>""&amp;CHAR(10)&amp;Basic_Fundamental_Information_Constructure(F23)&amp;CHAR(10)&amp;Basic_Fundamental_Information_Concatenate("")</f>
        <v xml:space="preserve">
市值23.443162亿, 利润2703.00万; PE85.11; 平均PE-23.49; 平均PEG-7.72, PB1.79; ROIC2.4067%; ROE2.7967%; 股利率0%; 毛利16.3267%; 净利1.62%; 上一年度营收增-9.8%, 利润增594.62%; 当季营收增4.76%, 利润增29.27%; 过往5年营收增-3.04%, 利润增292.56%
Income profile:
</v>
      </c>
      <c r="D23" t="s">
        <v>207</v>
      </c>
      <c r="E23" t="s">
        <v>28</v>
      </c>
      <c r="F23">
        <v>4.9400000000000004</v>
      </c>
      <c r="G23">
        <v>1.23</v>
      </c>
      <c r="H23" t="s">
        <v>1627</v>
      </c>
      <c r="I23">
        <v>2344316200</v>
      </c>
      <c r="J23">
        <v>85.11</v>
      </c>
      <c r="K23">
        <v>1.79</v>
      </c>
      <c r="L23" t="s">
        <v>1187</v>
      </c>
      <c r="M23" t="s">
        <v>60</v>
      </c>
      <c r="N23" t="s">
        <v>614</v>
      </c>
      <c r="O23" t="s">
        <v>197</v>
      </c>
      <c r="P23">
        <v>4.74</v>
      </c>
      <c r="Q23" t="s">
        <v>1628</v>
      </c>
      <c r="R23">
        <v>2274576</v>
      </c>
      <c r="S23" s="6">
        <v>0.2928</v>
      </c>
      <c r="T23" t="s">
        <v>1629</v>
      </c>
      <c r="U23">
        <v>452579070</v>
      </c>
      <c r="V23">
        <v>474557940</v>
      </c>
      <c r="W23">
        <v>1.49</v>
      </c>
      <c r="X23">
        <v>0.21</v>
      </c>
      <c r="Y23">
        <v>0.48</v>
      </c>
      <c r="Z23" t="s">
        <v>560</v>
      </c>
      <c r="AA23" t="s">
        <v>1151</v>
      </c>
      <c r="AB23" t="s">
        <v>1630</v>
      </c>
      <c r="AC23" t="s">
        <v>1631</v>
      </c>
      <c r="AD23" t="s">
        <v>25</v>
      </c>
      <c r="AE23">
        <v>2186597</v>
      </c>
      <c r="AF23" t="s">
        <v>1632</v>
      </c>
      <c r="AG23">
        <v>3089.88</v>
      </c>
      <c r="AH23" t="s">
        <v>1633</v>
      </c>
      <c r="AI23" t="s">
        <v>1634</v>
      </c>
      <c r="AJ23" t="s">
        <v>1635</v>
      </c>
      <c r="AK23" t="s">
        <v>106</v>
      </c>
      <c r="AL23" t="s">
        <v>1636</v>
      </c>
      <c r="AM23" t="s">
        <v>25</v>
      </c>
      <c r="AN23" t="s">
        <v>338</v>
      </c>
      <c r="AO23" t="s">
        <v>253</v>
      </c>
      <c r="AP23" t="s">
        <v>1637</v>
      </c>
      <c r="AQ23" t="s">
        <v>873</v>
      </c>
      <c r="AR23" t="s">
        <v>25</v>
      </c>
      <c r="AS23" t="s">
        <v>1155</v>
      </c>
      <c r="AT23" t="s">
        <v>1638</v>
      </c>
      <c r="AU23" t="s">
        <v>1639</v>
      </c>
      <c r="AV23" t="s">
        <v>1640</v>
      </c>
      <c r="AW23" t="s">
        <v>1641</v>
      </c>
      <c r="AX23" t="s">
        <v>1069</v>
      </c>
      <c r="AY23" t="s">
        <v>672</v>
      </c>
      <c r="AZ23" t="s">
        <v>369</v>
      </c>
      <c r="BA23" t="s">
        <v>208</v>
      </c>
      <c r="BB23" t="s">
        <v>372</v>
      </c>
      <c r="BC23" t="s">
        <v>1642</v>
      </c>
      <c r="BD23" t="s">
        <v>673</v>
      </c>
      <c r="BE23" t="s">
        <v>311</v>
      </c>
      <c r="BF23" t="s">
        <v>209</v>
      </c>
      <c r="BG23" t="s">
        <v>373</v>
      </c>
      <c r="BH23" t="s">
        <v>1628</v>
      </c>
      <c r="BI23" t="s">
        <v>783</v>
      </c>
      <c r="BJ23" t="s">
        <v>1069</v>
      </c>
      <c r="BK23" t="s">
        <v>1629</v>
      </c>
      <c r="BL23" t="s">
        <v>1643</v>
      </c>
      <c r="BM23" t="s">
        <v>1642</v>
      </c>
      <c r="BN23">
        <v>1.98</v>
      </c>
      <c r="BO23">
        <v>-1.1399999999999999</v>
      </c>
      <c r="BP23">
        <v>6.38</v>
      </c>
      <c r="BQ23">
        <v>2.1</v>
      </c>
      <c r="BR23">
        <v>-0.47</v>
      </c>
      <c r="BS23">
        <v>6.76</v>
      </c>
      <c r="BT23" t="s">
        <v>965</v>
      </c>
      <c r="BU23" t="s">
        <v>517</v>
      </c>
      <c r="BV23">
        <v>17.059999999999999</v>
      </c>
      <c r="BW23">
        <v>15.87</v>
      </c>
      <c r="BX23">
        <v>16.05</v>
      </c>
      <c r="BY23">
        <v>1.65</v>
      </c>
      <c r="BZ23">
        <v>-0.17</v>
      </c>
      <c r="CA23">
        <v>3.38</v>
      </c>
      <c r="CB23">
        <v>-6.08</v>
      </c>
      <c r="CC23">
        <v>-10.51</v>
      </c>
      <c r="CD23" t="s">
        <v>1644</v>
      </c>
      <c r="CE23" t="s">
        <v>1259</v>
      </c>
      <c r="CF23" s="10">
        <v>4.7619047619047616E-2</v>
      </c>
      <c r="CG23" s="11">
        <v>0.2927399829497016</v>
      </c>
      <c r="CH23" s="10">
        <v>-9.8049871623516083E-2</v>
      </c>
      <c r="CI23" s="10">
        <v>-0.18064799904823303</v>
      </c>
      <c r="CJ23" s="10">
        <v>0.37294334173202515</v>
      </c>
      <c r="CK23" s="10">
        <v>8.6035646498203278E-2</v>
      </c>
      <c r="CL23" s="10">
        <v>-0.33230224251747131</v>
      </c>
      <c r="CM23" s="11">
        <v>5.9462013244628906</v>
      </c>
      <c r="CN23" s="11">
        <v>-1.0743964910507202</v>
      </c>
      <c r="CO23" s="11">
        <v>-0.27272173762321472</v>
      </c>
      <c r="CP23" s="11">
        <v>9.0162639617919922</v>
      </c>
      <c r="CQ23" s="11">
        <v>1.0125261545181274</v>
      </c>
      <c r="CR23">
        <v>-23.486373011946476</v>
      </c>
      <c r="CS23">
        <v>-7.7247070163051257</v>
      </c>
      <c r="CT23">
        <v>0</v>
      </c>
      <c r="CU23" s="10">
        <v>-3.0404224991798401E-2</v>
      </c>
      <c r="CV23" s="11">
        <v>2.9255746424198152</v>
      </c>
      <c r="CW23">
        <v>0.06</v>
      </c>
      <c r="CX23">
        <v>56.541479837217906</v>
      </c>
      <c r="CY23" t="s">
        <v>1645</v>
      </c>
      <c r="CZ23">
        <v>-3.0404224991798401E-2</v>
      </c>
      <c r="DA23">
        <v>18.847159945739303</v>
      </c>
      <c r="DB23" t="s">
        <v>1646</v>
      </c>
      <c r="DC23">
        <v>-2.8884013742208479E-2</v>
      </c>
      <c r="DD23">
        <v>9.4235799728696517</v>
      </c>
      <c r="DE23" t="s">
        <v>1647</v>
      </c>
      <c r="DF23">
        <v>-2.6755717992782594E-2</v>
      </c>
      <c r="DG23">
        <v>5.6541479837217903</v>
      </c>
      <c r="DH23" t="s">
        <v>1648</v>
      </c>
      <c r="DI23">
        <v>-2.4323379993438723E-2</v>
      </c>
      <c r="DJ23">
        <v>2.8270739918608951</v>
      </c>
      <c r="DK23" t="s">
        <v>1649</v>
      </c>
      <c r="DL23">
        <v>-2.1282957494258879E-2</v>
      </c>
      <c r="DM23">
        <v>27030000</v>
      </c>
      <c r="DN23">
        <v>-3.0404224991798401E-2</v>
      </c>
      <c r="DO23">
        <v>1528316200</v>
      </c>
      <c r="DP23">
        <v>582460850</v>
      </c>
      <c r="DQ23">
        <v>1706</v>
      </c>
      <c r="DR23">
        <v>7.8023272610846017E-2</v>
      </c>
      <c r="DS23">
        <v>-2.6328346594701135</v>
      </c>
      <c r="DT23" s="12">
        <v>-0.55666666666666664</v>
      </c>
      <c r="DU23">
        <v>0.23499999999999985</v>
      </c>
      <c r="DV23">
        <v>-0.32166666666666677</v>
      </c>
      <c r="DW23">
        <v>-9.5784966698382501</v>
      </c>
      <c r="DX23">
        <v>0.26302012847965817</v>
      </c>
      <c r="DY23">
        <v>-9.0538118345534073</v>
      </c>
      <c r="DZ23">
        <v>2499</v>
      </c>
      <c r="EA23">
        <v>-9.027495636011535</v>
      </c>
      <c r="EB23">
        <v>9</v>
      </c>
      <c r="EC23">
        <v>9.1538664383109883E-2</v>
      </c>
      <c r="ED23">
        <v>0.98407372553918282</v>
      </c>
      <c r="EE23" s="13">
        <v>3.0926</v>
      </c>
      <c r="EF23">
        <v>3.0619000000000001</v>
      </c>
      <c r="EG23">
        <v>17.093020128479658</v>
      </c>
      <c r="EH23" t="s">
        <v>1610</v>
      </c>
      <c r="EI23">
        <v>0</v>
      </c>
      <c r="EJ23">
        <v>0</v>
      </c>
      <c r="EK23" s="15">
        <v>45470</v>
      </c>
      <c r="EL23" s="16">
        <v>0.19</v>
      </c>
      <c r="EM23" s="16">
        <v>4.1100000000000003</v>
      </c>
      <c r="EN23" s="16">
        <v>-0.9</v>
      </c>
      <c r="EO23" s="16">
        <v>0.18</v>
      </c>
      <c r="EP23" s="16">
        <v>-3.07</v>
      </c>
    </row>
    <row r="24" spans="1:146" ht="84" x14ac:dyDescent="0.25">
      <c r="A24" s="8"/>
      <c r="B24" s="8"/>
      <c r="C24" s="8" t="str">
        <f>""&amp;CHAR(10)&amp;Basic_Fundamental_Information_Constructure(F24)&amp;CHAR(10)&amp;Basic_Fundamental_Information_Concatenate("")</f>
        <v xml:space="preserve">
市值27.098041亿, 利润3.76亿; PE6.94; 平均PE17.5; 平均PEG1.93, PB.887; ROIC7.02%; ROE8.4%; 股利率3.7651%; 毛利29.68%; 净利12.49%; 上一年度营收增-3.76%, 利润增53.47%; 当季营收增22.48%, 利润增67.13%; 过往5年营收增-9.06%, 利润增-25.23%
Income profile:
</v>
      </c>
      <c r="D24" t="s">
        <v>132</v>
      </c>
      <c r="E24" t="s">
        <v>27</v>
      </c>
      <c r="F24">
        <v>3.32</v>
      </c>
      <c r="G24">
        <v>1.53</v>
      </c>
      <c r="H24" t="s">
        <v>1650</v>
      </c>
      <c r="I24">
        <v>2709804100</v>
      </c>
      <c r="J24">
        <v>6.94</v>
      </c>
      <c r="K24">
        <v>0.88700000000000001</v>
      </c>
      <c r="L24" t="s">
        <v>1187</v>
      </c>
      <c r="M24" t="s">
        <v>1100</v>
      </c>
      <c r="N24" t="s">
        <v>1651</v>
      </c>
      <c r="O24" t="s">
        <v>1652</v>
      </c>
      <c r="P24">
        <v>22.31</v>
      </c>
      <c r="Q24" t="s">
        <v>1653</v>
      </c>
      <c r="R24">
        <v>35071628</v>
      </c>
      <c r="S24" s="6">
        <v>0.67130000000000001</v>
      </c>
      <c r="T24" t="s">
        <v>1045</v>
      </c>
      <c r="U24">
        <v>632815100</v>
      </c>
      <c r="V24">
        <v>816206040</v>
      </c>
      <c r="W24">
        <v>1.32</v>
      </c>
      <c r="X24">
        <v>0.1</v>
      </c>
      <c r="Y24">
        <v>8.6300000000000008</v>
      </c>
      <c r="Z24" t="s">
        <v>810</v>
      </c>
      <c r="AA24" t="s">
        <v>330</v>
      </c>
      <c r="AB24" t="s">
        <v>1654</v>
      </c>
      <c r="AC24" t="s">
        <v>1655</v>
      </c>
      <c r="AD24" t="s">
        <v>25</v>
      </c>
      <c r="AE24">
        <v>-6983296</v>
      </c>
      <c r="AF24" t="s">
        <v>1656</v>
      </c>
      <c r="AG24" t="s">
        <v>1657</v>
      </c>
      <c r="AH24" t="s">
        <v>1658</v>
      </c>
      <c r="AI24" t="s">
        <v>726</v>
      </c>
      <c r="AJ24" t="s">
        <v>1659</v>
      </c>
      <c r="AK24" t="s">
        <v>1660</v>
      </c>
      <c r="AL24" t="s">
        <v>1661</v>
      </c>
      <c r="AM24" t="s">
        <v>25</v>
      </c>
      <c r="AN24" t="s">
        <v>1662</v>
      </c>
      <c r="AO24" t="s">
        <v>826</v>
      </c>
      <c r="AP24" t="s">
        <v>1663</v>
      </c>
      <c r="AQ24" t="s">
        <v>571</v>
      </c>
      <c r="AR24" t="s">
        <v>25</v>
      </c>
      <c r="AS24" t="s">
        <v>351</v>
      </c>
      <c r="AT24" t="s">
        <v>1664</v>
      </c>
      <c r="AU24" t="s">
        <v>1665</v>
      </c>
      <c r="AV24" t="s">
        <v>1666</v>
      </c>
      <c r="AW24" t="s">
        <v>1667</v>
      </c>
      <c r="AX24" t="s">
        <v>1073</v>
      </c>
      <c r="AY24" t="s">
        <v>674</v>
      </c>
      <c r="AZ24" t="s">
        <v>374</v>
      </c>
      <c r="BA24" t="s">
        <v>133</v>
      </c>
      <c r="BB24" t="s">
        <v>376</v>
      </c>
      <c r="BC24" t="s">
        <v>359</v>
      </c>
      <c r="BD24" t="s">
        <v>443</v>
      </c>
      <c r="BE24" t="s">
        <v>375</v>
      </c>
      <c r="BF24" t="s">
        <v>134</v>
      </c>
      <c r="BG24" t="s">
        <v>245</v>
      </c>
      <c r="BH24" t="s">
        <v>1653</v>
      </c>
      <c r="BI24" t="s">
        <v>858</v>
      </c>
      <c r="BJ24" t="s">
        <v>1073</v>
      </c>
      <c r="BK24" t="s">
        <v>1045</v>
      </c>
      <c r="BL24" t="s">
        <v>1668</v>
      </c>
      <c r="BM24" t="s">
        <v>359</v>
      </c>
      <c r="BN24">
        <v>5.27</v>
      </c>
      <c r="BO24">
        <v>7.95</v>
      </c>
      <c r="BP24">
        <v>7.84</v>
      </c>
      <c r="BQ24">
        <v>6.53</v>
      </c>
      <c r="BR24">
        <v>9.8000000000000007</v>
      </c>
      <c r="BS24">
        <v>8.8699999999999992</v>
      </c>
      <c r="BT24" t="s">
        <v>1669</v>
      </c>
      <c r="BU24" t="s">
        <v>812</v>
      </c>
      <c r="BV24">
        <v>33.11</v>
      </c>
      <c r="BW24">
        <v>30.55</v>
      </c>
      <c r="BX24">
        <v>25.38</v>
      </c>
      <c r="BY24">
        <v>19</v>
      </c>
      <c r="BZ24">
        <v>11.7</v>
      </c>
      <c r="CA24">
        <v>6.77</v>
      </c>
      <c r="CB24">
        <v>-1.19</v>
      </c>
      <c r="CC24">
        <v>-13.65</v>
      </c>
      <c r="CD24" t="s">
        <v>1670</v>
      </c>
      <c r="CE24" t="s">
        <v>231</v>
      </c>
      <c r="CF24" s="10">
        <v>0.22478386167146974</v>
      </c>
      <c r="CG24" s="11">
        <v>0.67130314611667607</v>
      </c>
      <c r="CH24" s="10">
        <v>-3.7601172924041748E-2</v>
      </c>
      <c r="CI24" s="10">
        <v>-0.34609395265579224</v>
      </c>
      <c r="CJ24" s="10">
        <v>1.2464942410588264E-3</v>
      </c>
      <c r="CK24" s="10">
        <v>-1.6549225896596909E-2</v>
      </c>
      <c r="CL24" s="10">
        <v>-5.4202843457460403E-2</v>
      </c>
      <c r="CM24" s="11">
        <v>0.53469389677047729</v>
      </c>
      <c r="CN24" s="11">
        <v>0.21890547871589661</v>
      </c>
      <c r="CO24" s="11">
        <v>1.368807315826416</v>
      </c>
      <c r="CP24" s="11">
        <v>-3.0643939971923828</v>
      </c>
      <c r="CQ24" s="11">
        <v>-0.31958761811256409</v>
      </c>
      <c r="CR24">
        <v>17.501425834230353</v>
      </c>
      <c r="CS24">
        <v>1.9308692382287775</v>
      </c>
      <c r="CT24">
        <v>3.7650602409638556</v>
      </c>
      <c r="CU24" s="10">
        <v>-9.06401401385665E-2</v>
      </c>
      <c r="CV24" s="11">
        <v>-0.2523149847984314</v>
      </c>
      <c r="CW24">
        <v>0.06</v>
      </c>
      <c r="CX24">
        <v>1.6909683510638298</v>
      </c>
      <c r="CY24" t="s">
        <v>1671</v>
      </c>
      <c r="CZ24">
        <v>-9.06401401385665E-2</v>
      </c>
      <c r="DA24">
        <v>0.5636561170212766</v>
      </c>
      <c r="DB24" t="s">
        <v>1672</v>
      </c>
      <c r="DC24">
        <v>-8.6108133131638176E-2</v>
      </c>
      <c r="DD24">
        <v>0.2818280585106383</v>
      </c>
      <c r="DE24" t="s">
        <v>1673</v>
      </c>
      <c r="DF24">
        <v>-7.9763323321938515E-2</v>
      </c>
      <c r="DG24">
        <v>0.16909683510638299</v>
      </c>
      <c r="DH24" t="s">
        <v>1674</v>
      </c>
      <c r="DI24">
        <v>-7.2512112110853205E-2</v>
      </c>
      <c r="DJ24">
        <v>8.4548417553191493E-2</v>
      </c>
      <c r="DK24" t="s">
        <v>1675</v>
      </c>
      <c r="DL24">
        <v>-6.3448098096996544E-2</v>
      </c>
      <c r="DM24">
        <v>376000000</v>
      </c>
      <c r="DN24">
        <v>-9.06401401385665E-2</v>
      </c>
      <c r="DO24">
        <v>635804100</v>
      </c>
      <c r="DP24">
        <v>1452000900</v>
      </c>
      <c r="DQ24">
        <v>1715</v>
      </c>
      <c r="DR24">
        <v>0.31542400181003627</v>
      </c>
      <c r="DS24">
        <v>0.92361813091510747</v>
      </c>
      <c r="DT24" s="12">
        <v>-0.59</v>
      </c>
      <c r="DU24">
        <v>-0.38666666666666666</v>
      </c>
      <c r="DV24">
        <v>-0.97666666666666657</v>
      </c>
      <c r="DW24">
        <v>-2.1364999999999998</v>
      </c>
      <c r="DX24">
        <v>0.35733415492957632</v>
      </c>
      <c r="DY24">
        <v>-2.0160161121478875</v>
      </c>
      <c r="DZ24">
        <v>3541</v>
      </c>
      <c r="EA24">
        <v>-2.0049176673111617</v>
      </c>
      <c r="EB24">
        <v>2</v>
      </c>
      <c r="EC24">
        <v>4.0826578543819644E-2</v>
      </c>
      <c r="ED24">
        <v>0.3479513579683875</v>
      </c>
      <c r="EE24" s="13">
        <v>5.7910000000000003E-2</v>
      </c>
      <c r="EF24">
        <v>6.9809999999999997E-2</v>
      </c>
      <c r="EG24">
        <v>24.117334154929576</v>
      </c>
      <c r="EH24">
        <v>-1</v>
      </c>
      <c r="EI24">
        <v>0</v>
      </c>
      <c r="EJ24">
        <v>0</v>
      </c>
      <c r="EK24" s="15">
        <v>45470</v>
      </c>
      <c r="EL24" s="16">
        <v>0.3</v>
      </c>
      <c r="EM24" s="16">
        <v>-4.4400000000000004</v>
      </c>
      <c r="EN24" s="16">
        <v>0.93</v>
      </c>
      <c r="EO24" s="16">
        <v>3.37</v>
      </c>
      <c r="EP24" s="16">
        <v>-1.19</v>
      </c>
    </row>
    <row r="25" spans="1:146" ht="84" x14ac:dyDescent="0.25">
      <c r="A25" s="8"/>
      <c r="B25" s="8"/>
      <c r="C25" s="8" t="str">
        <f>""&amp;CHAR(10)&amp;Basic_Fundamental_Information_Constructure(F25)&amp;CHAR(10)&amp;Basic_Fundamental_Information_Concatenate("")</f>
        <v xml:space="preserve">
市值22.037324亿, 利润8529.48万; PE28.48; 平均PE27.02; 平均PEG4.57, PB2.05; ROIC5.8733%; ROE8.3667%; 股利率1.1363%; 毛利17.8333%; 净利4.3467%; 上一年度营收增-3.06%, 利润增39.51%; 当季营收增18.73%, 利润增-44.71%; 过往5年营收增5.91%, 利润增2.26%
Income profile:
</v>
      </c>
      <c r="D25" t="s">
        <v>555</v>
      </c>
      <c r="E25" t="s">
        <v>556</v>
      </c>
      <c r="F25">
        <v>8.8000000000000007</v>
      </c>
      <c r="G25">
        <v>1.1499999999999999</v>
      </c>
      <c r="H25" t="s">
        <v>1676</v>
      </c>
      <c r="I25">
        <v>2203732400</v>
      </c>
      <c r="J25">
        <v>28.48</v>
      </c>
      <c r="K25">
        <v>2.0499999999999998</v>
      </c>
      <c r="L25" t="s">
        <v>1187</v>
      </c>
      <c r="M25" t="s">
        <v>998</v>
      </c>
      <c r="N25" t="s">
        <v>1677</v>
      </c>
      <c r="O25" t="s">
        <v>996</v>
      </c>
      <c r="P25">
        <v>18.809999999999999</v>
      </c>
      <c r="Q25" t="s">
        <v>1678</v>
      </c>
      <c r="R25">
        <v>9777527</v>
      </c>
      <c r="S25" s="6">
        <v>-0.4471</v>
      </c>
      <c r="T25" t="s">
        <v>1679</v>
      </c>
      <c r="U25">
        <v>190692850</v>
      </c>
      <c r="V25">
        <v>250424140</v>
      </c>
      <c r="W25">
        <v>1.9</v>
      </c>
      <c r="X25">
        <v>0.22</v>
      </c>
      <c r="Y25">
        <v>2</v>
      </c>
      <c r="Z25" t="s">
        <v>1680</v>
      </c>
      <c r="AA25" t="s">
        <v>1681</v>
      </c>
      <c r="AB25" t="s">
        <v>1682</v>
      </c>
      <c r="AC25" t="s">
        <v>1683</v>
      </c>
      <c r="AD25" t="s">
        <v>25</v>
      </c>
      <c r="AE25">
        <v>7449603</v>
      </c>
      <c r="AF25" t="s">
        <v>1684</v>
      </c>
      <c r="AG25" t="s">
        <v>1685</v>
      </c>
      <c r="AH25" t="s">
        <v>1686</v>
      </c>
      <c r="AI25" t="s">
        <v>838</v>
      </c>
      <c r="AJ25" t="s">
        <v>1687</v>
      </c>
      <c r="AK25" t="s">
        <v>1688</v>
      </c>
      <c r="AL25" t="s">
        <v>1689</v>
      </c>
      <c r="AM25" t="s">
        <v>25</v>
      </c>
      <c r="AN25" t="s">
        <v>1690</v>
      </c>
      <c r="AO25" t="s">
        <v>505</v>
      </c>
      <c r="AP25" t="s">
        <v>1691</v>
      </c>
      <c r="AQ25" t="s">
        <v>79</v>
      </c>
      <c r="AR25" t="s">
        <v>25</v>
      </c>
      <c r="AS25" t="s">
        <v>830</v>
      </c>
      <c r="AT25" t="s">
        <v>443</v>
      </c>
      <c r="AU25" t="s">
        <v>1692</v>
      </c>
      <c r="AV25" t="s">
        <v>1693</v>
      </c>
      <c r="AW25" t="s">
        <v>1694</v>
      </c>
      <c r="AX25" t="s">
        <v>1075</v>
      </c>
      <c r="AY25" t="s">
        <v>512</v>
      </c>
      <c r="AZ25" t="s">
        <v>274</v>
      </c>
      <c r="BA25" t="s">
        <v>508</v>
      </c>
      <c r="BB25" t="s">
        <v>534</v>
      </c>
      <c r="BC25" t="s">
        <v>1076</v>
      </c>
      <c r="BD25" t="s">
        <v>675</v>
      </c>
      <c r="BE25" t="s">
        <v>557</v>
      </c>
      <c r="BF25" t="s">
        <v>558</v>
      </c>
      <c r="BG25" t="s">
        <v>559</v>
      </c>
      <c r="BH25" t="s">
        <v>1678</v>
      </c>
      <c r="BI25" t="s">
        <v>97</v>
      </c>
      <c r="BJ25" t="s">
        <v>1075</v>
      </c>
      <c r="BK25" t="s">
        <v>1679</v>
      </c>
      <c r="BL25" t="s">
        <v>1695</v>
      </c>
      <c r="BM25" t="s">
        <v>1076</v>
      </c>
      <c r="BN25">
        <v>4.3600000000000003</v>
      </c>
      <c r="BO25">
        <v>4.96</v>
      </c>
      <c r="BP25">
        <v>8.3000000000000007</v>
      </c>
      <c r="BQ25">
        <v>6.75</v>
      </c>
      <c r="BR25">
        <v>6.7</v>
      </c>
      <c r="BS25">
        <v>11.65</v>
      </c>
      <c r="BT25" t="s">
        <v>1696</v>
      </c>
      <c r="BU25" t="s">
        <v>812</v>
      </c>
      <c r="BV25">
        <v>18.260000000000002</v>
      </c>
      <c r="BW25">
        <v>16.82</v>
      </c>
      <c r="BX25">
        <v>18.420000000000002</v>
      </c>
      <c r="BY25">
        <v>4.8</v>
      </c>
      <c r="BZ25">
        <v>3.34</v>
      </c>
      <c r="CA25">
        <v>4.9000000000000004</v>
      </c>
      <c r="CB25">
        <v>-4.1399999999999997</v>
      </c>
      <c r="CC25">
        <v>-27.27</v>
      </c>
      <c r="CD25" t="s">
        <v>1697</v>
      </c>
      <c r="CE25" t="s">
        <v>1698</v>
      </c>
      <c r="CF25" s="10">
        <v>0.18734793187347915</v>
      </c>
      <c r="CG25" s="11">
        <v>-0.44709129259548286</v>
      </c>
      <c r="CH25" s="10">
        <v>-3.0567685142159462E-2</v>
      </c>
      <c r="CI25" s="10">
        <v>-1.3993541710078716E-2</v>
      </c>
      <c r="CJ25" s="10">
        <v>0.42703533172607422</v>
      </c>
      <c r="CK25" s="10">
        <v>7.3371864855289459E-2</v>
      </c>
      <c r="CL25" s="10">
        <v>-0.16055363416671753</v>
      </c>
      <c r="CM25" s="11">
        <v>0.39510327577590942</v>
      </c>
      <c r="CN25" s="11">
        <v>-0.34166371822357178</v>
      </c>
      <c r="CO25" s="11">
        <v>8.8039174675941467E-2</v>
      </c>
      <c r="CP25" s="11">
        <v>0.14530079066753387</v>
      </c>
      <c r="CQ25" s="11">
        <v>-0.17366890609264374</v>
      </c>
      <c r="CR25">
        <v>27.019233924781201</v>
      </c>
      <c r="CS25">
        <v>4.5749974975342482</v>
      </c>
      <c r="CT25">
        <v>1.1363465909090908</v>
      </c>
      <c r="CU25" s="10">
        <v>5.9058467112481597E-2</v>
      </c>
      <c r="CV25" s="11">
        <v>2.262212336063385E-2</v>
      </c>
      <c r="CW25">
        <v>0.06</v>
      </c>
      <c r="CX25">
        <v>24.47495832113443</v>
      </c>
      <c r="CY25">
        <v>85219037.868552536</v>
      </c>
      <c r="CZ25">
        <v>5.9058467112481597E-2</v>
      </c>
      <c r="DA25">
        <v>8.2112618608366894</v>
      </c>
      <c r="DB25">
        <v>254008754.72597259</v>
      </c>
      <c r="DC25">
        <v>5.6105543756857515E-2</v>
      </c>
      <c r="DD25">
        <v>4.1850905812899812</v>
      </c>
      <c r="DE25">
        <v>498372104.37560213</v>
      </c>
      <c r="DF25">
        <v>5.1971451058983806E-2</v>
      </c>
      <c r="DG25">
        <v>2.6120782177544366</v>
      </c>
      <c r="DH25">
        <v>798495384.18228233</v>
      </c>
      <c r="DI25">
        <v>4.7246773689985283E-2</v>
      </c>
      <c r="DJ25">
        <v>1.4656048620977706</v>
      </c>
      <c r="DK25">
        <v>1423120551.752687</v>
      </c>
      <c r="DL25">
        <v>4.1340926978737112E-2</v>
      </c>
      <c r="DM25">
        <v>85294800</v>
      </c>
      <c r="DN25">
        <v>5.9058467112481597E-2</v>
      </c>
      <c r="DO25">
        <v>2085732400</v>
      </c>
      <c r="DP25">
        <v>602184680</v>
      </c>
      <c r="DQ25">
        <v>1728</v>
      </c>
      <c r="DR25">
        <v>0.12828946476099756</v>
      </c>
      <c r="DS25">
        <v>-0.46971341595611671</v>
      </c>
      <c r="DT25" s="12">
        <v>-0.40666666666666668</v>
      </c>
      <c r="DU25">
        <v>-0.30333333333333334</v>
      </c>
      <c r="DV25">
        <v>-0.71</v>
      </c>
      <c r="DW25">
        <v>-8.1518151815181525</v>
      </c>
      <c r="DX25">
        <v>0.30581404011461299</v>
      </c>
      <c r="DY25">
        <v>-8.0130278740768066</v>
      </c>
      <c r="DZ25">
        <v>3213</v>
      </c>
      <c r="EA25">
        <v>-8.0048363751709797</v>
      </c>
      <c r="EB25">
        <v>8</v>
      </c>
      <c r="EC25">
        <v>0.11959350244748769</v>
      </c>
      <c r="ED25">
        <v>1.3936356135634529</v>
      </c>
      <c r="EE25" s="13">
        <v>1.034</v>
      </c>
      <c r="EF25">
        <v>1.0011099999999999</v>
      </c>
      <c r="EG25">
        <v>22.085814040114613</v>
      </c>
      <c r="EH25" t="s">
        <v>986</v>
      </c>
      <c r="EI25">
        <v>0</v>
      </c>
      <c r="EJ25">
        <v>0</v>
      </c>
      <c r="EK25" s="15">
        <v>45470</v>
      </c>
      <c r="EL25" s="16">
        <v>-0.21</v>
      </c>
      <c r="EM25" s="16">
        <v>-5.15</v>
      </c>
      <c r="EN25" s="16">
        <v>0.54</v>
      </c>
      <c r="EO25" s="16">
        <v>1.62</v>
      </c>
      <c r="EP25" s="16">
        <v>-3.51</v>
      </c>
    </row>
    <row r="26" spans="1:146" ht="84" x14ac:dyDescent="0.25">
      <c r="A26" s="8"/>
      <c r="B26" s="8"/>
      <c r="C26" s="8" t="str">
        <f>""&amp;CHAR(10)&amp;Basic_Fundamental_Information_Constructure(F26)&amp;CHAR(10)&amp;Basic_Fundamental_Information_Concatenate("")</f>
        <v xml:space="preserve">
市值21.28516亿, 利润870.58万; PE; 平均PE17.85; 平均PEG.93, PB.849; ROIC7.06%; ROE7.88%; 股利率.25%; 毛利16.8433%; 净利8.54%; 上一年度营收增-9.65%, 利润增-93.74%; 当季营收增-45.51%, 利润增-379.71%; 过往5年营收增19.28%, 利润增1.51%
Income profile:
</v>
      </c>
      <c r="D26" t="s">
        <v>138</v>
      </c>
      <c r="E26" t="s">
        <v>21</v>
      </c>
      <c r="F26">
        <v>5.67</v>
      </c>
      <c r="G26">
        <v>0.53</v>
      </c>
      <c r="H26" t="s">
        <v>1699</v>
      </c>
      <c r="I26">
        <v>2128516000</v>
      </c>
      <c r="K26">
        <v>0.84899999999999998</v>
      </c>
      <c r="L26" t="s">
        <v>1187</v>
      </c>
      <c r="M26" t="s">
        <v>1143</v>
      </c>
      <c r="N26" t="s">
        <v>1700</v>
      </c>
      <c r="O26" t="s">
        <v>825</v>
      </c>
      <c r="P26">
        <v>-45.57</v>
      </c>
      <c r="Q26" t="s">
        <v>1701</v>
      </c>
      <c r="R26">
        <v>-57419578</v>
      </c>
      <c r="S26" s="6">
        <v>-3.7970000000000002</v>
      </c>
      <c r="T26" t="s">
        <v>1702</v>
      </c>
      <c r="U26">
        <v>231870830</v>
      </c>
      <c r="V26">
        <v>375399650</v>
      </c>
      <c r="W26">
        <v>1.55</v>
      </c>
      <c r="X26">
        <v>7.0000000000000007E-2</v>
      </c>
      <c r="Y26">
        <v>-21.04</v>
      </c>
      <c r="Z26" t="s">
        <v>1151</v>
      </c>
      <c r="AA26" t="s">
        <v>115</v>
      </c>
      <c r="AB26" t="s">
        <v>1703</v>
      </c>
      <c r="AC26" t="s">
        <v>1704</v>
      </c>
      <c r="AD26" t="s">
        <v>25</v>
      </c>
      <c r="AE26">
        <v>5903569</v>
      </c>
      <c r="AF26" t="s">
        <v>1705</v>
      </c>
      <c r="AG26">
        <v>500.21</v>
      </c>
      <c r="AH26" t="s">
        <v>1706</v>
      </c>
      <c r="AI26" t="s">
        <v>851</v>
      </c>
      <c r="AJ26" t="s">
        <v>1707</v>
      </c>
      <c r="AK26" t="s">
        <v>772</v>
      </c>
      <c r="AL26" t="s">
        <v>1708</v>
      </c>
      <c r="AM26" t="s">
        <v>25</v>
      </c>
      <c r="AN26" t="s">
        <v>1709</v>
      </c>
      <c r="AO26" t="s">
        <v>82</v>
      </c>
      <c r="AP26" t="s">
        <v>1710</v>
      </c>
      <c r="AQ26" t="s">
        <v>135</v>
      </c>
      <c r="AR26" t="s">
        <v>25</v>
      </c>
      <c r="AS26" t="s">
        <v>1061</v>
      </c>
      <c r="AT26" t="s">
        <v>83</v>
      </c>
      <c r="AU26" t="s">
        <v>1711</v>
      </c>
      <c r="AV26" t="s">
        <v>1712</v>
      </c>
      <c r="AW26" t="s">
        <v>1713</v>
      </c>
      <c r="AX26" t="s">
        <v>1039</v>
      </c>
      <c r="AY26" t="s">
        <v>630</v>
      </c>
      <c r="AZ26" t="s">
        <v>378</v>
      </c>
      <c r="BA26" t="s">
        <v>140</v>
      </c>
      <c r="BB26" t="s">
        <v>379</v>
      </c>
      <c r="BC26" t="s">
        <v>94</v>
      </c>
      <c r="BD26" t="s">
        <v>377</v>
      </c>
      <c r="BE26" t="s">
        <v>169</v>
      </c>
      <c r="BF26" t="s">
        <v>141</v>
      </c>
      <c r="BG26" t="s">
        <v>381</v>
      </c>
      <c r="BH26" t="s">
        <v>1701</v>
      </c>
      <c r="BI26" t="s">
        <v>1257</v>
      </c>
      <c r="BJ26" t="s">
        <v>1039</v>
      </c>
      <c r="BK26" t="s">
        <v>1702</v>
      </c>
      <c r="BL26" t="s">
        <v>1714</v>
      </c>
      <c r="BM26" t="s">
        <v>94</v>
      </c>
      <c r="BN26">
        <v>2</v>
      </c>
      <c r="BO26">
        <v>6.36</v>
      </c>
      <c r="BP26">
        <v>12.82</v>
      </c>
      <c r="BQ26">
        <v>2.2999999999999998</v>
      </c>
      <c r="BR26">
        <v>7.47</v>
      </c>
      <c r="BS26">
        <v>13.87</v>
      </c>
      <c r="BT26" t="s">
        <v>1715</v>
      </c>
      <c r="BU26" t="s">
        <v>808</v>
      </c>
      <c r="BV26">
        <v>7.9</v>
      </c>
      <c r="BW26">
        <v>15.48</v>
      </c>
      <c r="BX26">
        <v>27.15</v>
      </c>
      <c r="BY26">
        <v>0.52</v>
      </c>
      <c r="BZ26">
        <v>7.43</v>
      </c>
      <c r="CA26">
        <v>17.670000000000002</v>
      </c>
      <c r="CB26">
        <v>-3.83</v>
      </c>
      <c r="CC26">
        <v>-17.18</v>
      </c>
      <c r="CD26" t="s">
        <v>1716</v>
      </c>
      <c r="CE26" t="s">
        <v>53</v>
      </c>
      <c r="CF26" s="10">
        <v>-0.45508982035928142</v>
      </c>
      <c r="CG26" s="11">
        <v>-3.7971072963045955</v>
      </c>
      <c r="CH26" s="10">
        <v>-9.6463024616241455E-2</v>
      </c>
      <c r="CI26" s="10">
        <v>0.36703303456306458</v>
      </c>
      <c r="CJ26" s="10">
        <v>0.36499994993209839</v>
      </c>
      <c r="CK26" s="10">
        <v>0.1428571492433548</v>
      </c>
      <c r="CL26" s="10">
        <v>0.18563686311244965</v>
      </c>
      <c r="CM26" s="11">
        <v>-0.93736833333969116</v>
      </c>
      <c r="CN26" s="11">
        <v>-0.42323651909828186</v>
      </c>
      <c r="CO26" s="11">
        <v>0.54487180709838867</v>
      </c>
      <c r="CP26" s="11">
        <v>0.65309745073318481</v>
      </c>
      <c r="CQ26" s="11">
        <v>0.23823574185371399</v>
      </c>
      <c r="CR26">
        <v>17.854530914906764</v>
      </c>
      <c r="CS26">
        <v>0.9260034307432673</v>
      </c>
      <c r="CT26">
        <v>0.24995943562610229</v>
      </c>
      <c r="CU26" s="10">
        <v>0.19281279444694518</v>
      </c>
      <c r="CV26" s="11">
        <v>1.5120029449462891E-2</v>
      </c>
      <c r="CW26">
        <v>0.06</v>
      </c>
      <c r="CX26">
        <v>107.23277921150773</v>
      </c>
      <c r="CY26">
        <v>9796593.9866945408</v>
      </c>
      <c r="CZ26">
        <v>0.19281279444694518</v>
      </c>
      <c r="DA26">
        <v>32.154436850675971</v>
      </c>
      <c r="DB26">
        <v>32670950.042712856</v>
      </c>
      <c r="DC26">
        <v>0.18317215472459791</v>
      </c>
      <c r="DD26">
        <v>14.049581910618299</v>
      </c>
      <c r="DE26">
        <v>74772047.074656934</v>
      </c>
      <c r="DF26">
        <v>0.16967525911331177</v>
      </c>
      <c r="DG26">
        <v>7.3317228359199582</v>
      </c>
      <c r="DH26">
        <v>143283648.81078938</v>
      </c>
      <c r="DI26">
        <v>0.15425023555755615</v>
      </c>
      <c r="DJ26">
        <v>2.727330406354163</v>
      </c>
      <c r="DK26">
        <v>385181053.80723101</v>
      </c>
      <c r="DL26">
        <v>0.13496895611286161</v>
      </c>
      <c r="DM26">
        <v>8705800</v>
      </c>
      <c r="DN26">
        <v>0.19281279444694518</v>
      </c>
      <c r="DO26">
        <v>1050516000</v>
      </c>
      <c r="DP26">
        <v>1262996400</v>
      </c>
      <c r="DQ26">
        <v>1788</v>
      </c>
      <c r="DR26">
        <v>-0.64790261480622657</v>
      </c>
      <c r="DS26">
        <v>-3.8122273257540584</v>
      </c>
      <c r="DT26" s="12">
        <v>-5.6666666666666719E-2</v>
      </c>
      <c r="DU26">
        <v>-0.91500000000000004</v>
      </c>
      <c r="DV26">
        <v>-0.97166666666666679</v>
      </c>
      <c r="DW26">
        <v>-8.2229336437718281</v>
      </c>
      <c r="DX26">
        <v>0.20609205479452031</v>
      </c>
      <c r="DY26">
        <v>-8.0147341425997105</v>
      </c>
      <c r="DZ26">
        <v>3533</v>
      </c>
      <c r="EA26">
        <v>-8.0045471121095382</v>
      </c>
      <c r="EB26">
        <v>8</v>
      </c>
      <c r="EC26">
        <v>6.4261114787933338E-2</v>
      </c>
      <c r="ED26">
        <v>0.97229712387851186</v>
      </c>
      <c r="EE26" s="13">
        <v>-5.0277000000000003</v>
      </c>
      <c r="EF26">
        <v>-5.0010000000000003</v>
      </c>
      <c r="EG26">
        <v>14.06609205479452</v>
      </c>
      <c r="EH26" t="s">
        <v>1060</v>
      </c>
      <c r="EI26">
        <v>0</v>
      </c>
      <c r="EJ26">
        <v>0</v>
      </c>
      <c r="EK26" s="15">
        <v>45470</v>
      </c>
      <c r="EL26" s="16">
        <v>1.31</v>
      </c>
      <c r="EM26" s="16">
        <v>-7.61</v>
      </c>
      <c r="EN26" s="16">
        <v>1.23</v>
      </c>
      <c r="EO26" s="16">
        <v>3.63</v>
      </c>
      <c r="EP26" s="16">
        <v>-2.67</v>
      </c>
    </row>
    <row r="27" spans="1:146" ht="84" x14ac:dyDescent="0.25">
      <c r="A27" s="8"/>
      <c r="B27" s="8"/>
      <c r="C27" s="8" t="str">
        <f>""&amp;CHAR(10)&amp;Basic_Fundamental_Information_Constructure(F27)&amp;CHAR(10)&amp;Basic_Fundamental_Information_Concatenate("")</f>
        <v xml:space="preserve">
市值14.27904亿, 利润-792.51万; PE347.1; 平均PE90.02; 平均PEG17.44, PB2.3; ROIC.47%; ROE.67%; 股利率0%; 毛利9.5833%; 净利.2167%; 上一年度营收增-29.09%, 利润增-169.6%; 当季营收增15.67%, 利润增112.85%; 过往5年营收增-5.16%, 利润增-1.33%
Income profile:
</v>
      </c>
      <c r="D27" t="s">
        <v>190</v>
      </c>
      <c r="E27" t="s">
        <v>14</v>
      </c>
      <c r="F27">
        <v>16.079999999999998</v>
      </c>
      <c r="G27">
        <v>-1.35</v>
      </c>
      <c r="H27" t="s">
        <v>1717</v>
      </c>
      <c r="I27">
        <v>1427904000</v>
      </c>
      <c r="J27">
        <v>347.1</v>
      </c>
      <c r="K27">
        <v>2.2999999999999998</v>
      </c>
      <c r="L27" t="s">
        <v>1187</v>
      </c>
      <c r="M27" t="s">
        <v>1718</v>
      </c>
      <c r="N27" t="s">
        <v>679</v>
      </c>
      <c r="O27" t="s">
        <v>1719</v>
      </c>
      <c r="P27">
        <v>15.67</v>
      </c>
      <c r="Q27" t="s">
        <v>870</v>
      </c>
      <c r="R27">
        <v>1370384</v>
      </c>
      <c r="S27" s="6">
        <v>1.1279999999999999</v>
      </c>
      <c r="T27" t="s">
        <v>1720</v>
      </c>
      <c r="U27">
        <v>88800000</v>
      </c>
      <c r="V27">
        <v>88800000</v>
      </c>
      <c r="W27">
        <v>1.08</v>
      </c>
      <c r="X27">
        <v>0.13</v>
      </c>
      <c r="Y27">
        <v>1.61</v>
      </c>
      <c r="Z27" t="s">
        <v>1721</v>
      </c>
      <c r="AA27" t="s">
        <v>1722</v>
      </c>
      <c r="AB27" t="s">
        <v>1723</v>
      </c>
      <c r="AC27" t="s">
        <v>1724</v>
      </c>
      <c r="AD27" t="s">
        <v>25</v>
      </c>
      <c r="AE27">
        <v>-1399207</v>
      </c>
      <c r="AF27" t="s">
        <v>52</v>
      </c>
      <c r="AG27" t="s">
        <v>25</v>
      </c>
      <c r="AH27" t="s">
        <v>1725</v>
      </c>
      <c r="AI27" t="s">
        <v>291</v>
      </c>
      <c r="AJ27" t="s">
        <v>1726</v>
      </c>
      <c r="AK27" t="s">
        <v>1727</v>
      </c>
      <c r="AL27" t="s">
        <v>1728</v>
      </c>
      <c r="AM27" t="s">
        <v>25</v>
      </c>
      <c r="AN27" t="s">
        <v>1729</v>
      </c>
      <c r="AO27" t="s">
        <v>25</v>
      </c>
      <c r="AP27" t="s">
        <v>1730</v>
      </c>
      <c r="AQ27" t="s">
        <v>1731</v>
      </c>
      <c r="AR27" t="s">
        <v>25</v>
      </c>
      <c r="AS27" t="s">
        <v>1732</v>
      </c>
      <c r="AT27" t="s">
        <v>25</v>
      </c>
      <c r="AU27" t="s">
        <v>1733</v>
      </c>
      <c r="AV27" t="s">
        <v>1734</v>
      </c>
      <c r="AW27" t="s">
        <v>25</v>
      </c>
      <c r="AX27" t="s">
        <v>282</v>
      </c>
      <c r="AY27" t="s">
        <v>380</v>
      </c>
      <c r="AZ27" t="s">
        <v>384</v>
      </c>
      <c r="BA27" t="s">
        <v>191</v>
      </c>
      <c r="BB27" t="s">
        <v>143</v>
      </c>
      <c r="BC27" t="s">
        <v>1080</v>
      </c>
      <c r="BD27" t="s">
        <v>677</v>
      </c>
      <c r="BE27" t="s">
        <v>385</v>
      </c>
      <c r="BF27" t="s">
        <v>192</v>
      </c>
      <c r="BG27" t="s">
        <v>387</v>
      </c>
      <c r="BH27" t="s">
        <v>870</v>
      </c>
      <c r="BI27" t="s">
        <v>1735</v>
      </c>
      <c r="BJ27" t="s">
        <v>282</v>
      </c>
      <c r="BK27" t="s">
        <v>1720</v>
      </c>
      <c r="BL27" t="s">
        <v>1736</v>
      </c>
      <c r="BM27" t="s">
        <v>1080</v>
      </c>
      <c r="BN27" t="s">
        <v>25</v>
      </c>
      <c r="BO27">
        <v>1.28</v>
      </c>
      <c r="BP27">
        <v>-0.34</v>
      </c>
      <c r="BQ27">
        <v>-0.32</v>
      </c>
      <c r="BR27">
        <v>1.82</v>
      </c>
      <c r="BS27">
        <v>0.51</v>
      </c>
      <c r="BT27" t="s">
        <v>965</v>
      </c>
      <c r="BU27" t="s">
        <v>812</v>
      </c>
      <c r="BV27">
        <v>7.52</v>
      </c>
      <c r="BW27">
        <v>9.74</v>
      </c>
      <c r="BX27">
        <v>11.49</v>
      </c>
      <c r="BY27">
        <v>-2.41</v>
      </c>
      <c r="BZ27">
        <v>2.4500000000000002</v>
      </c>
      <c r="CA27">
        <v>0.61</v>
      </c>
      <c r="CB27">
        <v>-13.69</v>
      </c>
      <c r="CC27">
        <v>-25.28</v>
      </c>
      <c r="CD27" t="s">
        <v>1737</v>
      </c>
      <c r="CE27" t="s">
        <v>1738</v>
      </c>
      <c r="CF27" s="10">
        <v>0.15673016906836026</v>
      </c>
      <c r="CG27" s="11">
        <v>1.1284502183979155</v>
      </c>
      <c r="CH27" s="10">
        <v>-0.29094827175140381</v>
      </c>
      <c r="CI27" s="10">
        <v>-0.10769230872392654</v>
      </c>
      <c r="CJ27" s="10">
        <v>0.27139365673065186</v>
      </c>
      <c r="CK27" s="10">
        <v>-0.10307017713785172</v>
      </c>
      <c r="CL27" s="10">
        <v>-2.7718549594283104E-2</v>
      </c>
      <c r="CM27" s="11">
        <v>-1.6960145235061646</v>
      </c>
      <c r="CN27" s="11">
        <v>2.5888674259185791</v>
      </c>
      <c r="CO27" s="11">
        <v>-0.84355831146240234</v>
      </c>
      <c r="CP27" s="11">
        <v>-0.48609206080436707</v>
      </c>
      <c r="CQ27" s="11">
        <v>0.37033218145370483</v>
      </c>
      <c r="CR27">
        <v>90.016926589455082</v>
      </c>
      <c r="CS27">
        <v>17.442730572910481</v>
      </c>
      <c r="CT27">
        <v>0</v>
      </c>
      <c r="CU27" s="10">
        <v>-5.1607130095362663E-2</v>
      </c>
      <c r="CV27" s="11">
        <v>-1.3293057680130005E-2</v>
      </c>
      <c r="CW27">
        <v>0.06</v>
      </c>
      <c r="CX27" t="e">
        <v>#VALUE!</v>
      </c>
      <c r="CY27" t="s">
        <v>770</v>
      </c>
      <c r="CZ27">
        <v>-5.1607130095362663E-2</v>
      </c>
      <c r="DA27" t="e">
        <v>#VALUE!</v>
      </c>
      <c r="DB27" t="s">
        <v>770</v>
      </c>
      <c r="DC27">
        <v>-4.9026773590594527E-2</v>
      </c>
      <c r="DD27" t="e">
        <v>#VALUE!</v>
      </c>
      <c r="DE27" t="s">
        <v>770</v>
      </c>
      <c r="DF27">
        <v>-4.5414274483919145E-2</v>
      </c>
      <c r="DG27" t="e">
        <v>#VALUE!</v>
      </c>
      <c r="DH27" t="s">
        <v>770</v>
      </c>
      <c r="DI27">
        <v>-4.1285704076290133E-2</v>
      </c>
      <c r="DJ27" t="e">
        <v>#VALUE!</v>
      </c>
      <c r="DK27" t="s">
        <v>770</v>
      </c>
      <c r="DL27">
        <v>-3.6124991066753862E-2</v>
      </c>
      <c r="DM27">
        <v>-7925100</v>
      </c>
      <c r="DN27">
        <v>-5.1607130095362663E-2</v>
      </c>
      <c r="DO27">
        <v>858271500</v>
      </c>
      <c r="DP27">
        <v>396081500</v>
      </c>
      <c r="DQ27">
        <v>1802</v>
      </c>
      <c r="DR27">
        <v>0.20833729916372293</v>
      </c>
      <c r="DS27">
        <v>1.1417432760780455</v>
      </c>
      <c r="DT27" s="12">
        <v>-0.47333333333333333</v>
      </c>
      <c r="DU27">
        <v>-0.75833333333333341</v>
      </c>
      <c r="DV27">
        <v>-1.2316666666666667</v>
      </c>
      <c r="DW27">
        <v>-9.5415348101265813</v>
      </c>
      <c r="DX27">
        <v>0.44001026604015236</v>
      </c>
      <c r="DY27">
        <v>-9.1083125214434215</v>
      </c>
      <c r="DZ27">
        <v>3801</v>
      </c>
      <c r="EA27">
        <v>-9.027745810287561</v>
      </c>
      <c r="EB27">
        <v>9</v>
      </c>
      <c r="EC27">
        <v>0.10531193693693694</v>
      </c>
      <c r="ED27">
        <v>0.52653265765765767</v>
      </c>
      <c r="EE27" s="13">
        <v>-1.0185999999999999</v>
      </c>
      <c r="EF27">
        <v>-1.0074099999999999</v>
      </c>
      <c r="EG27">
        <v>24.200010266040152</v>
      </c>
      <c r="EH27" t="s">
        <v>771</v>
      </c>
      <c r="EI27">
        <v>0</v>
      </c>
      <c r="EJ27">
        <v>0</v>
      </c>
      <c r="EK27" s="15">
        <v>45470</v>
      </c>
      <c r="EL27" s="16">
        <v>0.15</v>
      </c>
      <c r="EM27" s="16">
        <v>-2.44</v>
      </c>
      <c r="EN27" s="16">
        <v>-1.9</v>
      </c>
      <c r="EO27" s="16">
        <v>0.05</v>
      </c>
      <c r="EP27" s="16">
        <v>-2.6</v>
      </c>
    </row>
    <row r="28" spans="1:146" ht="84" x14ac:dyDescent="0.25">
      <c r="A28" s="8"/>
      <c r="B28" s="8"/>
      <c r="C28" s="8" t="str">
        <f>""&amp;CHAR(10)&amp;Basic_Fundamental_Information_Constructure(F28)&amp;CHAR(10)&amp;Basic_Fundamental_Information_Concatenate("")</f>
        <v xml:space="preserve">
市值13.955419亿, 利润-1090.57万; PE; 平均PE-7.78; 平均PEG-.39, PB2.45; ROIC5.44%; ROE-8.6467%; 股利率0%; 毛利23.1333%; 净利-25.2%; 上一年度营收增-17.55%, 利润增94.11%; 当季营收增-3.84%, 利润增181.8%; 过往5年营收增-19.8%, 利润增-1512.6%
Income profile:
</v>
      </c>
      <c r="D28" t="s">
        <v>563</v>
      </c>
      <c r="E28" t="s">
        <v>564</v>
      </c>
      <c r="F28">
        <v>4.62</v>
      </c>
      <c r="G28">
        <v>1.0900000000000001</v>
      </c>
      <c r="H28" t="s">
        <v>1739</v>
      </c>
      <c r="I28">
        <v>1395541900</v>
      </c>
      <c r="K28">
        <v>2.4500000000000002</v>
      </c>
      <c r="L28" t="s">
        <v>1187</v>
      </c>
      <c r="M28" t="s">
        <v>1698</v>
      </c>
      <c r="N28" t="s">
        <v>1740</v>
      </c>
      <c r="O28" t="s">
        <v>1741</v>
      </c>
      <c r="P28">
        <v>-3.84</v>
      </c>
      <c r="Q28" t="s">
        <v>273</v>
      </c>
      <c r="R28">
        <v>1448496</v>
      </c>
      <c r="S28" s="6">
        <v>1.8180000000000001</v>
      </c>
      <c r="T28" t="s">
        <v>1742</v>
      </c>
      <c r="U28">
        <v>302029760</v>
      </c>
      <c r="V28">
        <v>302065360</v>
      </c>
      <c r="W28">
        <v>1.54</v>
      </c>
      <c r="X28">
        <v>0.05</v>
      </c>
      <c r="Y28">
        <v>3.19</v>
      </c>
      <c r="Z28" t="s">
        <v>1743</v>
      </c>
      <c r="AA28" t="s">
        <v>1744</v>
      </c>
      <c r="AB28" t="s">
        <v>1745</v>
      </c>
      <c r="AC28" t="s">
        <v>1746</v>
      </c>
      <c r="AD28" t="s">
        <v>25</v>
      </c>
      <c r="AE28">
        <v>2094887</v>
      </c>
      <c r="AF28" t="s">
        <v>1747</v>
      </c>
      <c r="AG28" t="s">
        <v>1748</v>
      </c>
      <c r="AH28" t="s">
        <v>1749</v>
      </c>
      <c r="AI28" t="s">
        <v>57</v>
      </c>
      <c r="AJ28" t="s">
        <v>1750</v>
      </c>
      <c r="AK28" t="s">
        <v>25</v>
      </c>
      <c r="AL28" t="s">
        <v>1751</v>
      </c>
      <c r="AM28" t="s">
        <v>25</v>
      </c>
      <c r="AN28" t="s">
        <v>1752</v>
      </c>
      <c r="AO28" t="s">
        <v>1753</v>
      </c>
      <c r="AP28" t="s">
        <v>25</v>
      </c>
      <c r="AQ28" t="s">
        <v>1754</v>
      </c>
      <c r="AR28" t="s">
        <v>25</v>
      </c>
      <c r="AS28" t="s">
        <v>325</v>
      </c>
      <c r="AT28" t="s">
        <v>1755</v>
      </c>
      <c r="AU28" t="s">
        <v>1756</v>
      </c>
      <c r="AV28" t="s">
        <v>1757</v>
      </c>
      <c r="AW28" t="s">
        <v>1758</v>
      </c>
      <c r="AX28" t="s">
        <v>359</v>
      </c>
      <c r="AY28" t="s">
        <v>554</v>
      </c>
      <c r="AZ28" t="s">
        <v>442</v>
      </c>
      <c r="BA28" t="s">
        <v>60</v>
      </c>
      <c r="BB28" t="s">
        <v>404</v>
      </c>
      <c r="BC28" t="s">
        <v>849</v>
      </c>
      <c r="BD28" t="s">
        <v>678</v>
      </c>
      <c r="BE28" t="s">
        <v>565</v>
      </c>
      <c r="BF28" t="s">
        <v>566</v>
      </c>
      <c r="BG28" t="s">
        <v>567</v>
      </c>
      <c r="BH28" t="s">
        <v>273</v>
      </c>
      <c r="BI28" t="s">
        <v>1759</v>
      </c>
      <c r="BJ28" t="s">
        <v>359</v>
      </c>
      <c r="BK28" t="s">
        <v>1742</v>
      </c>
      <c r="BL28" t="s">
        <v>1760</v>
      </c>
      <c r="BM28" t="s">
        <v>849</v>
      </c>
      <c r="BN28" t="s">
        <v>25</v>
      </c>
      <c r="BO28" t="s">
        <v>25</v>
      </c>
      <c r="BP28">
        <v>5.44</v>
      </c>
      <c r="BQ28">
        <v>-2.4900000000000002</v>
      </c>
      <c r="BR28">
        <v>-27.19</v>
      </c>
      <c r="BS28">
        <v>3.74</v>
      </c>
      <c r="BT28" t="s">
        <v>965</v>
      </c>
      <c r="BU28" t="s">
        <v>808</v>
      </c>
      <c r="BV28">
        <v>28.6</v>
      </c>
      <c r="BW28">
        <v>10.029999999999999</v>
      </c>
      <c r="BX28">
        <v>30.77</v>
      </c>
      <c r="BY28">
        <v>-5.47</v>
      </c>
      <c r="BZ28">
        <v>-77.150000000000006</v>
      </c>
      <c r="CA28">
        <v>7.02</v>
      </c>
      <c r="CB28">
        <v>-1.28</v>
      </c>
      <c r="CC28">
        <v>-16.46</v>
      </c>
      <c r="CD28" t="s">
        <v>1761</v>
      </c>
      <c r="CE28" t="s">
        <v>135</v>
      </c>
      <c r="CF28" s="10">
        <v>-3.8430254641441675E-2</v>
      </c>
      <c r="CG28" s="11">
        <v>1.8179896092161731</v>
      </c>
      <c r="CH28" s="10">
        <v>-0.17551019787788391</v>
      </c>
      <c r="CI28" s="10">
        <v>-0.48202958703041077</v>
      </c>
      <c r="CJ28" s="10">
        <v>-5.9642147272825241E-2</v>
      </c>
      <c r="CK28" s="10">
        <v>-2.5193799287080765E-2</v>
      </c>
      <c r="CL28" s="10">
        <v>-0.24781341850757599</v>
      </c>
      <c r="CM28" s="11">
        <v>0.94105029106140137</v>
      </c>
      <c r="CN28" s="11">
        <v>-7.5380959510803223</v>
      </c>
      <c r="CO28" s="11">
        <v>1.3234822750091553</v>
      </c>
      <c r="CP28" s="11">
        <v>0.89499133825302124</v>
      </c>
      <c r="CQ28" s="11">
        <v>-71.251487731933594</v>
      </c>
      <c r="CR28">
        <v>-7.7802067003101953</v>
      </c>
      <c r="CS28">
        <v>-0.39286467138629649</v>
      </c>
      <c r="CT28">
        <v>0</v>
      </c>
      <c r="CU28" s="10">
        <v>-0.19803782999515535</v>
      </c>
      <c r="CV28" s="11">
        <v>-15.126011955738068</v>
      </c>
      <c r="CW28">
        <v>0.06</v>
      </c>
      <c r="CX28" t="e">
        <v>#VALUE!</v>
      </c>
      <c r="CY28" t="s">
        <v>770</v>
      </c>
      <c r="CZ28">
        <v>-0.19803782999515535</v>
      </c>
      <c r="DA28" t="e">
        <v>#VALUE!</v>
      </c>
      <c r="DB28" t="s">
        <v>770</v>
      </c>
      <c r="DC28">
        <v>-0.18813593849539756</v>
      </c>
      <c r="DD28" t="e">
        <v>#VALUE!</v>
      </c>
      <c r="DE28" t="s">
        <v>770</v>
      </c>
      <c r="DF28">
        <v>-0.17427329039573672</v>
      </c>
      <c r="DG28" t="e">
        <v>#VALUE!</v>
      </c>
      <c r="DH28" t="s">
        <v>770</v>
      </c>
      <c r="DI28">
        <v>-0.15843026399612428</v>
      </c>
      <c r="DJ28" t="e">
        <v>#VALUE!</v>
      </c>
      <c r="DK28" t="s">
        <v>770</v>
      </c>
      <c r="DL28">
        <v>-0.13862648099660874</v>
      </c>
      <c r="DM28">
        <v>-10905700</v>
      </c>
      <c r="DN28">
        <v>-0.19803782999515535</v>
      </c>
      <c r="DO28">
        <v>1127541900</v>
      </c>
      <c r="DP28">
        <v>197829260.00000003</v>
      </c>
      <c r="DQ28">
        <v>1813</v>
      </c>
      <c r="DR28">
        <v>0.15960757535371367</v>
      </c>
      <c r="DS28">
        <v>16.944001564954242</v>
      </c>
      <c r="DT28" s="12">
        <v>-0.85666666666666658</v>
      </c>
      <c r="DU28">
        <v>-0.89333333333333342</v>
      </c>
      <c r="DV28">
        <v>-1.75</v>
      </c>
      <c r="DW28">
        <v>-3.0052023809523809</v>
      </c>
      <c r="DX28">
        <v>0.38392523364486064</v>
      </c>
      <c r="DY28">
        <v>-3.0008528015131288</v>
      </c>
      <c r="DZ28">
        <v>4217</v>
      </c>
      <c r="EA28">
        <v>-3.0001490316538599</v>
      </c>
      <c r="EB28">
        <v>3</v>
      </c>
      <c r="EC28">
        <v>5.806690313646027E-2</v>
      </c>
      <c r="ED28">
        <v>0.35422797238319548</v>
      </c>
      <c r="EE28" s="13">
        <v>1.01871</v>
      </c>
      <c r="EF28">
        <v>1.0293099999999999</v>
      </c>
      <c r="EG28">
        <v>22.163925233644861</v>
      </c>
      <c r="EH28" t="s">
        <v>986</v>
      </c>
      <c r="EI28">
        <v>0</v>
      </c>
      <c r="EJ28">
        <v>0</v>
      </c>
      <c r="EK28" s="15">
        <v>45470</v>
      </c>
      <c r="EL28" s="16">
        <v>0.65</v>
      </c>
      <c r="EM28" s="16">
        <v>-5.14</v>
      </c>
      <c r="EN28" s="16">
        <v>1.81</v>
      </c>
      <c r="EO28" s="16">
        <v>4.43</v>
      </c>
      <c r="EP28" s="16">
        <v>-1.06</v>
      </c>
    </row>
    <row r="29" spans="1:146" ht="96" x14ac:dyDescent="0.25">
      <c r="A29" s="8"/>
      <c r="B29" s="8"/>
      <c r="C29" s="8" t="str">
        <f>""&amp;CHAR(10)&amp;Basic_Fundamental_Information_Constructure(F29)&amp;CHAR(10)&amp;Basic_Fundamental_Information_Concatenate("")</f>
        <v xml:space="preserve">
市值9.5511442亿, 利润2364.70万; PE35.79; 平均PE-12.91; 平均PEG-1, PB10.83; ROIC14.095%; ROE12.6867%; 股利率0%; 毛利7.56%; 净利1.3367%; 上一年度营收增5.71%, 利润增209.21%; 当季营收增-3.67%, 利润增42.69%; 过往5年营收增-12.87%, 利润增-275.41%
Income profile:
</v>
      </c>
      <c r="D29" t="s">
        <v>145</v>
      </c>
      <c r="E29" t="s">
        <v>9</v>
      </c>
      <c r="F29">
        <v>7.54</v>
      </c>
      <c r="G29">
        <v>0.53</v>
      </c>
      <c r="H29" t="s">
        <v>1762</v>
      </c>
      <c r="I29">
        <v>955114420</v>
      </c>
      <c r="J29">
        <v>35.79</v>
      </c>
      <c r="K29">
        <v>10.83</v>
      </c>
      <c r="L29" t="s">
        <v>1187</v>
      </c>
      <c r="M29" t="s">
        <v>154</v>
      </c>
      <c r="N29" t="s">
        <v>1763</v>
      </c>
      <c r="O29" t="s">
        <v>1764</v>
      </c>
      <c r="P29">
        <v>-3.67</v>
      </c>
      <c r="Q29" t="s">
        <v>249</v>
      </c>
      <c r="R29">
        <v>-4075795</v>
      </c>
      <c r="S29" s="6">
        <v>0.4269</v>
      </c>
      <c r="T29" t="s">
        <v>1765</v>
      </c>
      <c r="U29">
        <v>124034650</v>
      </c>
      <c r="V29">
        <v>126673000</v>
      </c>
      <c r="W29">
        <v>3.68</v>
      </c>
      <c r="X29">
        <v>0.21</v>
      </c>
      <c r="Y29">
        <v>-5.91</v>
      </c>
      <c r="Z29" t="s">
        <v>1766</v>
      </c>
      <c r="AA29" t="s">
        <v>1767</v>
      </c>
      <c r="AB29" t="s">
        <v>1768</v>
      </c>
      <c r="AC29" t="s">
        <v>1769</v>
      </c>
      <c r="AD29" t="s">
        <v>25</v>
      </c>
      <c r="AE29">
        <v>1939254</v>
      </c>
      <c r="AF29" t="s">
        <v>1770</v>
      </c>
      <c r="AG29">
        <v>2525.58</v>
      </c>
      <c r="AH29" t="s">
        <v>1771</v>
      </c>
      <c r="AI29" t="s">
        <v>1772</v>
      </c>
      <c r="AJ29" t="s">
        <v>1773</v>
      </c>
      <c r="AK29" t="s">
        <v>1774</v>
      </c>
      <c r="AL29" t="s">
        <v>1775</v>
      </c>
      <c r="AM29" t="s">
        <v>25</v>
      </c>
      <c r="AN29" t="s">
        <v>1776</v>
      </c>
      <c r="AO29" t="s">
        <v>171</v>
      </c>
      <c r="AP29" t="s">
        <v>1777</v>
      </c>
      <c r="AQ29" t="s">
        <v>1778</v>
      </c>
      <c r="AR29" t="s">
        <v>25</v>
      </c>
      <c r="AS29" t="s">
        <v>824</v>
      </c>
      <c r="AT29" t="s">
        <v>25</v>
      </c>
      <c r="AU29" t="s">
        <v>1779</v>
      </c>
      <c r="AV29" t="s">
        <v>1780</v>
      </c>
      <c r="AW29" t="s">
        <v>1781</v>
      </c>
      <c r="AX29" t="s">
        <v>1081</v>
      </c>
      <c r="AY29" t="s">
        <v>499</v>
      </c>
      <c r="AZ29" t="s">
        <v>97</v>
      </c>
      <c r="BA29" t="s">
        <v>68</v>
      </c>
      <c r="BB29" t="s">
        <v>315</v>
      </c>
      <c r="BC29" t="s">
        <v>1083</v>
      </c>
      <c r="BD29" t="s">
        <v>680</v>
      </c>
      <c r="BE29" t="s">
        <v>388</v>
      </c>
      <c r="BF29" t="s">
        <v>147</v>
      </c>
      <c r="BG29" t="s">
        <v>389</v>
      </c>
      <c r="BH29" t="s">
        <v>249</v>
      </c>
      <c r="BI29" t="s">
        <v>1782</v>
      </c>
      <c r="BJ29" t="s">
        <v>1081</v>
      </c>
      <c r="BK29" t="s">
        <v>1765</v>
      </c>
      <c r="BL29" t="s">
        <v>1783</v>
      </c>
      <c r="BM29" t="s">
        <v>1083</v>
      </c>
      <c r="BN29">
        <v>17.78</v>
      </c>
      <c r="BO29" t="s">
        <v>25</v>
      </c>
      <c r="BP29">
        <v>10.41</v>
      </c>
      <c r="BQ29">
        <v>46.83</v>
      </c>
      <c r="BR29">
        <v>-28.55</v>
      </c>
      <c r="BS29">
        <v>19.78</v>
      </c>
      <c r="BT29" t="s">
        <v>965</v>
      </c>
      <c r="BU29" t="s">
        <v>517</v>
      </c>
      <c r="BV29">
        <v>5.97</v>
      </c>
      <c r="BW29">
        <v>7.51</v>
      </c>
      <c r="BX29">
        <v>9.1999999999999993</v>
      </c>
      <c r="BY29">
        <v>6.09</v>
      </c>
      <c r="BZ29">
        <v>-5.89</v>
      </c>
      <c r="CA29">
        <v>3.81</v>
      </c>
      <c r="CB29">
        <v>-3.33</v>
      </c>
      <c r="CC29">
        <v>-16.32</v>
      </c>
      <c r="CD29" t="s">
        <v>1784</v>
      </c>
      <c r="CE29" t="s">
        <v>1785</v>
      </c>
      <c r="CF29" s="10">
        <v>-3.6701364088098931E-2</v>
      </c>
      <c r="CG29" s="11">
        <v>0.42693713707239572</v>
      </c>
      <c r="CH29" s="10">
        <v>5.7065218687057495E-2</v>
      </c>
      <c r="CI29" s="10">
        <v>-4.9095608294010162E-2</v>
      </c>
      <c r="CJ29" s="10">
        <v>-5.8394160121679306E-2</v>
      </c>
      <c r="CK29" s="10">
        <v>-0.41032999753952026</v>
      </c>
      <c r="CL29" s="10">
        <v>-0.18288393318653107</v>
      </c>
      <c r="CM29" s="11">
        <v>2.0920736789703369</v>
      </c>
      <c r="CN29" s="11">
        <v>-2.4617965221405029</v>
      </c>
      <c r="CO29" s="11">
        <v>1.0783746242523193</v>
      </c>
      <c r="CP29" s="11">
        <v>0.35494881868362427</v>
      </c>
      <c r="CQ29" s="11">
        <v>-14.834131240844727</v>
      </c>
      <c r="CR29">
        <v>-12.90654465850176</v>
      </c>
      <c r="CS29">
        <v>-1.0026237593333633</v>
      </c>
      <c r="CT29">
        <v>0</v>
      </c>
      <c r="CU29" s="10">
        <v>-0.12872769609093665</v>
      </c>
      <c r="CV29" s="11">
        <v>-2.7541061282157897</v>
      </c>
      <c r="CW29">
        <v>0.06</v>
      </c>
      <c r="CX29" t="e">
        <v>#VALUE!</v>
      </c>
      <c r="CY29" t="s">
        <v>795</v>
      </c>
      <c r="CZ29">
        <v>-0.12872769609093665</v>
      </c>
      <c r="DA29">
        <v>15.730245133279768</v>
      </c>
      <c r="DB29" t="s">
        <v>1786</v>
      </c>
      <c r="DC29">
        <v>-0.12229131128638981</v>
      </c>
      <c r="DD29">
        <v>7.8651225666398838</v>
      </c>
      <c r="DE29" t="s">
        <v>1787</v>
      </c>
      <c r="DF29">
        <v>-0.11328037256002425</v>
      </c>
      <c r="DG29">
        <v>4.7190735399839303</v>
      </c>
      <c r="DH29" t="s">
        <v>1788</v>
      </c>
      <c r="DI29">
        <v>-0.10298215687274932</v>
      </c>
      <c r="DJ29">
        <v>2.3595367699919652</v>
      </c>
      <c r="DK29" t="s">
        <v>1789</v>
      </c>
      <c r="DL29">
        <v>-9.0109387263655652E-2</v>
      </c>
      <c r="DM29">
        <v>23647000</v>
      </c>
      <c r="DN29">
        <v>-0.12872769609093665</v>
      </c>
      <c r="DO29">
        <v>1115919320</v>
      </c>
      <c r="DP29">
        <v>-67903050</v>
      </c>
      <c r="DQ29">
        <v>1949</v>
      </c>
      <c r="DR29">
        <v>9.2026332002837719E-2</v>
      </c>
      <c r="DS29">
        <v>3.1810432652881855</v>
      </c>
      <c r="DT29" s="12">
        <v>-0.65666666666666662</v>
      </c>
      <c r="DU29">
        <v>-1.9650000000000005</v>
      </c>
      <c r="DV29">
        <v>-2.621666666666667</v>
      </c>
      <c r="DW29">
        <v>-8.204044117647058</v>
      </c>
      <c r="DX29">
        <v>0.33569882356615538</v>
      </c>
      <c r="DY29">
        <v>-8.0276885467203005</v>
      </c>
      <c r="DZ29">
        <v>4750</v>
      </c>
      <c r="EA29">
        <v>-8.0019506608256972</v>
      </c>
      <c r="EB29">
        <v>8</v>
      </c>
      <c r="EC29">
        <v>5.488146645299314E-2</v>
      </c>
      <c r="ED29">
        <v>0.40443583084003693</v>
      </c>
      <c r="EE29" s="13">
        <v>-1.02441</v>
      </c>
      <c r="EF29">
        <v>-1.03461</v>
      </c>
      <c r="EG29">
        <v>20.135698823566155</v>
      </c>
      <c r="EH29" t="s">
        <v>771</v>
      </c>
      <c r="EI29">
        <v>0</v>
      </c>
      <c r="EJ29">
        <v>0</v>
      </c>
      <c r="EK29" s="15">
        <v>45470</v>
      </c>
      <c r="EL29" s="16">
        <v>1.17</v>
      </c>
      <c r="EM29" s="16">
        <v>-4.3600000000000003</v>
      </c>
      <c r="EN29" s="16">
        <v>1.21</v>
      </c>
      <c r="EO29" s="16">
        <v>3.44</v>
      </c>
      <c r="EP29" s="16">
        <v>-1.02</v>
      </c>
    </row>
    <row r="30" spans="1:146" ht="144" x14ac:dyDescent="0.25">
      <c r="A30" s="8"/>
      <c r="B30" s="8"/>
      <c r="C30" s="8" t="str">
        <f>"司的主营业务是研发、生产和销售吸附分离树脂并提供应用解决方案。公司主要产品为吸附及离子交换树脂和吸附、交换分离系统装置。公司“吸附分离聚合材料结构调控与产业化应用关键技术”项目获得国家科技进步二等奖。"&amp;CHAR(10)&amp;Basic_Fundamental_Information_Constructure(F30)&amp;CHAR(10)&amp;Basic_Fundamental_Information_Concatenate("吸附材料 9.01亿 75.42% 72.43% 42.80%
系统装置 2.45亿 20.53% 22.65% 49.17%
技术服务 4461.97万 3.73% 4.55% 54.25%")</f>
        <v>司的主营业务是研发、生产和销售吸附分离树脂并提供应用解决方案。公司主要产品为吸附及离子交换树脂和吸附、交换分离系统装置。公司“吸附分离聚合材料结构调控与产业化应用关键技术”项目获得国家科技进步二等奖。
市值204.52972亿, 利润7.17亿; PE27.19; 平均PE56.76; 平均PEG1.66, PB5.97; ROIC17.0367%; ROE18.73%; 股利率1.4025%; 毛利45.7433%; 净利27.4633%; 上一年度营收增29.64%, 利润增33.27%; 当季营收增25.95%, 利润增26.23%; 过往5年营收增34.22%, 利润增43.24%
Income profile:
吸附材料 9.01亿 75.42% 72.43% 42.80%
系统装置 2.45亿 20.53% 22.65% 49.17%
技术服务 4461.97万 3.73% 4.55% 54.25%</v>
      </c>
      <c r="D30" t="s">
        <v>568</v>
      </c>
      <c r="E30" t="s">
        <v>569</v>
      </c>
      <c r="F30">
        <v>40.5</v>
      </c>
      <c r="G30">
        <v>-4.93</v>
      </c>
      <c r="H30" t="s">
        <v>1790</v>
      </c>
      <c r="I30">
        <v>20452972000</v>
      </c>
      <c r="J30">
        <v>27.19</v>
      </c>
      <c r="K30">
        <v>5.97</v>
      </c>
      <c r="L30" t="s">
        <v>1187</v>
      </c>
      <c r="M30" t="s">
        <v>1058</v>
      </c>
      <c r="N30" t="s">
        <v>1791</v>
      </c>
      <c r="O30" t="s">
        <v>352</v>
      </c>
      <c r="P30">
        <v>25.99</v>
      </c>
      <c r="Q30" t="s">
        <v>1792</v>
      </c>
      <c r="R30">
        <v>169143950</v>
      </c>
      <c r="S30" s="6">
        <v>0.26350000000000001</v>
      </c>
      <c r="T30" t="s">
        <v>1192</v>
      </c>
      <c r="U30">
        <v>304128220</v>
      </c>
      <c r="V30">
        <v>505011640</v>
      </c>
      <c r="W30">
        <v>1.61</v>
      </c>
      <c r="X30">
        <v>0.11</v>
      </c>
      <c r="Y30">
        <v>27.11</v>
      </c>
      <c r="Z30" t="s">
        <v>533</v>
      </c>
      <c r="AA30" t="s">
        <v>1030</v>
      </c>
      <c r="AB30" t="s">
        <v>1793</v>
      </c>
      <c r="AC30" t="s">
        <v>1794</v>
      </c>
      <c r="AD30" t="s">
        <v>25</v>
      </c>
      <c r="AE30">
        <v>3099309</v>
      </c>
      <c r="AF30" t="s">
        <v>1795</v>
      </c>
      <c r="AG30">
        <v>0</v>
      </c>
      <c r="AH30" t="s">
        <v>1796</v>
      </c>
      <c r="AI30" t="s">
        <v>835</v>
      </c>
      <c r="AJ30" t="s">
        <v>1797</v>
      </c>
      <c r="AK30" t="s">
        <v>1798</v>
      </c>
      <c r="AL30" t="s">
        <v>1799</v>
      </c>
      <c r="AM30" t="s">
        <v>25</v>
      </c>
      <c r="AN30" t="s">
        <v>174</v>
      </c>
      <c r="AO30" t="s">
        <v>1800</v>
      </c>
      <c r="AP30" t="s">
        <v>850</v>
      </c>
      <c r="AQ30" t="s">
        <v>420</v>
      </c>
      <c r="AR30" t="s">
        <v>25</v>
      </c>
      <c r="AS30" t="s">
        <v>687</v>
      </c>
      <c r="AT30" t="s">
        <v>1801</v>
      </c>
      <c r="AU30" t="s">
        <v>1802</v>
      </c>
      <c r="AV30" t="s">
        <v>1803</v>
      </c>
      <c r="AW30" t="s">
        <v>1804</v>
      </c>
      <c r="AX30" t="s">
        <v>1084</v>
      </c>
      <c r="AY30" t="s">
        <v>681</v>
      </c>
      <c r="AZ30" t="s">
        <v>570</v>
      </c>
      <c r="BA30" t="s">
        <v>573</v>
      </c>
      <c r="BB30" t="s">
        <v>574</v>
      </c>
      <c r="BC30" t="s">
        <v>1085</v>
      </c>
      <c r="BD30" t="s">
        <v>304</v>
      </c>
      <c r="BE30" t="s">
        <v>273</v>
      </c>
      <c r="BF30" t="s">
        <v>553</v>
      </c>
      <c r="BG30" t="s">
        <v>179</v>
      </c>
      <c r="BH30" t="s">
        <v>1792</v>
      </c>
      <c r="BI30" t="s">
        <v>1257</v>
      </c>
      <c r="BJ30" t="s">
        <v>1084</v>
      </c>
      <c r="BK30" t="s">
        <v>1192</v>
      </c>
      <c r="BL30" t="s">
        <v>247</v>
      </c>
      <c r="BM30" t="s">
        <v>1085</v>
      </c>
      <c r="BN30">
        <v>15.47</v>
      </c>
      <c r="BO30">
        <v>21.34</v>
      </c>
      <c r="BP30">
        <v>14.3</v>
      </c>
      <c r="BQ30">
        <v>17.13</v>
      </c>
      <c r="BR30">
        <v>22.63</v>
      </c>
      <c r="BS30">
        <v>16.43</v>
      </c>
      <c r="BT30" t="s">
        <v>1805</v>
      </c>
      <c r="BU30" t="s">
        <v>815</v>
      </c>
      <c r="BV30">
        <v>48.67</v>
      </c>
      <c r="BW30">
        <v>43.99</v>
      </c>
      <c r="BX30">
        <v>44.57</v>
      </c>
      <c r="BY30">
        <v>28.99</v>
      </c>
      <c r="BZ30">
        <v>27.84</v>
      </c>
      <c r="CA30">
        <v>25.56</v>
      </c>
      <c r="CB30">
        <v>-3.02</v>
      </c>
      <c r="CC30">
        <v>-16.059999999999999</v>
      </c>
      <c r="CD30" t="s">
        <v>1806</v>
      </c>
      <c r="CE30" t="s">
        <v>1807</v>
      </c>
      <c r="CF30" s="10">
        <v>0.25948103792415167</v>
      </c>
      <c r="CG30" s="11">
        <v>0.26226828358208942</v>
      </c>
      <c r="CH30" s="10">
        <v>0.29635414481163025</v>
      </c>
      <c r="CI30" s="10">
        <v>0.60669445991516113</v>
      </c>
      <c r="CJ30" s="10">
        <v>0.2946912944316864</v>
      </c>
      <c r="CK30" s="10">
        <v>-8.7944664061069489E-2</v>
      </c>
      <c r="CL30" s="10">
        <v>0.60126584768295288</v>
      </c>
      <c r="CM30" s="11">
        <v>0.33271375298500061</v>
      </c>
      <c r="CN30" s="11">
        <v>0.72990351915359497</v>
      </c>
      <c r="CO30" s="11">
        <v>0.53960394859313965</v>
      </c>
      <c r="CP30" s="11">
        <v>-0.19521912932395935</v>
      </c>
      <c r="CQ30" s="11">
        <v>0.75524473190307617</v>
      </c>
      <c r="CR30">
        <v>56.761254394079558</v>
      </c>
      <c r="CS30">
        <v>1.6586565776438054</v>
      </c>
      <c r="CT30">
        <v>1.402469135802469</v>
      </c>
      <c r="CU30" s="10">
        <v>0.34221221655607226</v>
      </c>
      <c r="CV30" s="11">
        <v>0.43244936466217043</v>
      </c>
      <c r="CW30">
        <v>0.06</v>
      </c>
      <c r="CX30">
        <v>21.002453302511189</v>
      </c>
      <c r="CY30">
        <v>907892603.08556962</v>
      </c>
      <c r="CZ30">
        <v>0.34221221655607226</v>
      </c>
      <c r="DA30">
        <v>5.5794830980437986</v>
      </c>
      <c r="DB30">
        <v>3417515863.9131551</v>
      </c>
      <c r="DC30">
        <v>0.32510160572826863</v>
      </c>
      <c r="DD30">
        <v>2.0360521645061973</v>
      </c>
      <c r="DE30">
        <v>9365168698.722681</v>
      </c>
      <c r="DF30">
        <v>0.30114675056934359</v>
      </c>
      <c r="DG30">
        <v>0.84554421623188158</v>
      </c>
      <c r="DH30">
        <v>22551123446.832035</v>
      </c>
      <c r="DI30">
        <v>0.27376977324485779</v>
      </c>
      <c r="DJ30">
        <v>0.17618653181857982</v>
      </c>
      <c r="DK30">
        <v>108226047718.75746</v>
      </c>
      <c r="DL30">
        <v>0.23954855158925056</v>
      </c>
      <c r="DM30">
        <v>717000000</v>
      </c>
      <c r="DN30">
        <v>0.34221221655607226</v>
      </c>
      <c r="DO30">
        <v>19067972000</v>
      </c>
      <c r="DP30">
        <v>2759002600</v>
      </c>
      <c r="DQ30">
        <v>1958</v>
      </c>
      <c r="DR30">
        <v>-8.2731178631920588E-2</v>
      </c>
      <c r="DS30">
        <v>-0.17018108108008101</v>
      </c>
      <c r="DT30" s="12">
        <v>0.35999999999999993</v>
      </c>
      <c r="DU30">
        <v>0.90333333333333332</v>
      </c>
      <c r="DV30">
        <v>1.2633333333333332</v>
      </c>
      <c r="DW30">
        <v>-8.1880448318804486</v>
      </c>
      <c r="DX30">
        <v>0.48190214214489702</v>
      </c>
      <c r="DY30">
        <v>-8.0398471026947433</v>
      </c>
      <c r="DZ30">
        <v>101</v>
      </c>
      <c r="EA30">
        <v>-8.0390595180817943</v>
      </c>
      <c r="EB30">
        <v>8</v>
      </c>
      <c r="EC30">
        <v>2.9287641766039294E-2</v>
      </c>
      <c r="ED30">
        <v>0.13821305188133881</v>
      </c>
      <c r="EE30" s="13">
        <v>-1.0382100000000001</v>
      </c>
      <c r="EF30">
        <v>-1.06741</v>
      </c>
      <c r="EG30">
        <v>27.211902142144897</v>
      </c>
      <c r="EH30" t="s">
        <v>771</v>
      </c>
      <c r="EI30">
        <v>0</v>
      </c>
      <c r="EJ30">
        <v>1</v>
      </c>
      <c r="EK30" s="15">
        <v>45470</v>
      </c>
      <c r="EL30" s="16">
        <v>0.61</v>
      </c>
      <c r="EM30" s="16">
        <v>-3.39</v>
      </c>
      <c r="EN30" s="16">
        <v>-1.1100000000000001</v>
      </c>
      <c r="EO30" s="16">
        <v>2.31</v>
      </c>
      <c r="EP30" s="16">
        <v>-2.92</v>
      </c>
    </row>
    <row r="31" spans="1:146" ht="74.650000000000006" customHeight="1" x14ac:dyDescent="0.25">
      <c r="A31" s="8"/>
      <c r="B31" s="8"/>
      <c r="C31" s="8" t="str">
        <f>""&amp;CHAR(10)&amp;Basic_Fundamental_Information_Constructure(F31)&amp;CHAR(10)&amp;Basic_Fundamental_Information_Concatenate("")</f>
        <v xml:space="preserve">
市值31.326378亿, 利润2604.55万; PE129; 平均PE175.45; 平均PEG8.23, PB2.92; ROIC2.315%; ROE-.4467%; 股利率.2323%; 毛利6.7867%; 净利.2467%; 上一年度营收增19.93%, 利润增70.52%; 当季营收增3.15%, 利润增-33.72%; 过往5年营收增21.31%, 利润增-.67%
Income profile:
</v>
      </c>
      <c r="D31" t="s">
        <v>212</v>
      </c>
      <c r="E31" t="s">
        <v>6</v>
      </c>
      <c r="F31">
        <v>17.22</v>
      </c>
      <c r="G31">
        <v>-3.2</v>
      </c>
      <c r="H31" t="s">
        <v>1808</v>
      </c>
      <c r="I31">
        <v>3132637800</v>
      </c>
      <c r="J31">
        <v>129</v>
      </c>
      <c r="K31">
        <v>2.92</v>
      </c>
      <c r="L31" t="s">
        <v>1187</v>
      </c>
      <c r="M31" t="s">
        <v>1809</v>
      </c>
      <c r="N31" t="s">
        <v>1810</v>
      </c>
      <c r="O31" t="s">
        <v>152</v>
      </c>
      <c r="P31">
        <v>2.98</v>
      </c>
      <c r="Q31" t="s">
        <v>1811</v>
      </c>
      <c r="R31">
        <v>3447354</v>
      </c>
      <c r="S31" s="6">
        <v>-0.3372</v>
      </c>
      <c r="T31" t="s">
        <v>1812</v>
      </c>
      <c r="U31">
        <v>114891442</v>
      </c>
      <c r="V31">
        <v>181918570</v>
      </c>
      <c r="W31">
        <v>2.0299999999999998</v>
      </c>
      <c r="X31">
        <v>0.25</v>
      </c>
      <c r="Y31">
        <v>0.71</v>
      </c>
      <c r="Z31" t="s">
        <v>1813</v>
      </c>
      <c r="AA31" t="s">
        <v>1230</v>
      </c>
      <c r="AB31" t="s">
        <v>1814</v>
      </c>
      <c r="AC31" t="s">
        <v>1815</v>
      </c>
      <c r="AD31" t="s">
        <v>25</v>
      </c>
      <c r="AE31">
        <v>6194219</v>
      </c>
      <c r="AF31" t="s">
        <v>1816</v>
      </c>
      <c r="AG31" t="s">
        <v>1817</v>
      </c>
      <c r="AH31" t="s">
        <v>1818</v>
      </c>
      <c r="AI31" t="s">
        <v>197</v>
      </c>
      <c r="AJ31" t="s">
        <v>1819</v>
      </c>
      <c r="AK31" t="s">
        <v>421</v>
      </c>
      <c r="AL31" t="s">
        <v>1820</v>
      </c>
      <c r="AM31" t="s">
        <v>25</v>
      </c>
      <c r="AN31" t="s">
        <v>239</v>
      </c>
      <c r="AO31" t="s">
        <v>282</v>
      </c>
      <c r="AP31" t="s">
        <v>1821</v>
      </c>
      <c r="AQ31" t="s">
        <v>160</v>
      </c>
      <c r="AR31" t="s">
        <v>25</v>
      </c>
      <c r="AS31" t="s">
        <v>1050</v>
      </c>
      <c r="AT31" t="s">
        <v>1099</v>
      </c>
      <c r="AU31" t="s">
        <v>1822</v>
      </c>
      <c r="AV31" t="s">
        <v>1823</v>
      </c>
      <c r="AW31" t="s">
        <v>1824</v>
      </c>
      <c r="AX31" t="s">
        <v>1086</v>
      </c>
      <c r="AY31" t="s">
        <v>682</v>
      </c>
      <c r="AZ31" t="s">
        <v>390</v>
      </c>
      <c r="BA31" t="s">
        <v>213</v>
      </c>
      <c r="BB31" t="s">
        <v>243</v>
      </c>
      <c r="BC31" t="s">
        <v>1087</v>
      </c>
      <c r="BD31" t="s">
        <v>683</v>
      </c>
      <c r="BE31" t="s">
        <v>391</v>
      </c>
      <c r="BF31" t="s">
        <v>214</v>
      </c>
      <c r="BG31" t="s">
        <v>393</v>
      </c>
      <c r="BH31" t="s">
        <v>1811</v>
      </c>
      <c r="BI31" t="s">
        <v>1048</v>
      </c>
      <c r="BJ31" t="s">
        <v>1086</v>
      </c>
      <c r="BK31" t="s">
        <v>1812</v>
      </c>
      <c r="BL31" t="s">
        <v>1825</v>
      </c>
      <c r="BM31" t="s">
        <v>1087</v>
      </c>
      <c r="BN31">
        <v>2.21</v>
      </c>
      <c r="BO31">
        <v>2.42</v>
      </c>
      <c r="BP31" t="s">
        <v>25</v>
      </c>
      <c r="BQ31">
        <v>2.09</v>
      </c>
      <c r="BR31">
        <v>1.46</v>
      </c>
      <c r="BS31">
        <v>-4.8899999999999997</v>
      </c>
      <c r="BT31" t="s">
        <v>1826</v>
      </c>
      <c r="BU31" t="s">
        <v>517</v>
      </c>
      <c r="BV31">
        <v>6.83</v>
      </c>
      <c r="BW31">
        <v>7.69</v>
      </c>
      <c r="BX31">
        <v>5.84</v>
      </c>
      <c r="BY31">
        <v>0.86</v>
      </c>
      <c r="BZ31">
        <v>0.8</v>
      </c>
      <c r="CA31">
        <v>-0.92</v>
      </c>
      <c r="CB31">
        <v>5.9</v>
      </c>
      <c r="CC31">
        <v>19.25</v>
      </c>
      <c r="CD31" t="s">
        <v>396</v>
      </c>
      <c r="CE31" t="s">
        <v>1044</v>
      </c>
      <c r="CF31" s="10">
        <v>3.1481481481481478E-2</v>
      </c>
      <c r="CG31" s="11">
        <v>-0.3372257469142923</v>
      </c>
      <c r="CH31" s="10">
        <v>0.1992633193731308</v>
      </c>
      <c r="CI31" s="10">
        <v>-6.9568216800689697E-2</v>
      </c>
      <c r="CJ31" s="10">
        <v>0.31619316339492798</v>
      </c>
      <c r="CK31" s="10">
        <v>0.24062666296958923</v>
      </c>
      <c r="CL31" s="10">
        <v>0.3788580596446991</v>
      </c>
      <c r="CM31" s="11">
        <v>0.70522916316986084</v>
      </c>
      <c r="CN31" s="11">
        <v>1.578986644744873</v>
      </c>
      <c r="CO31" s="11">
        <v>-2.1803679466247559</v>
      </c>
      <c r="CP31" s="11">
        <v>-0.43299776315689087</v>
      </c>
      <c r="CQ31" s="11">
        <v>0.2954566478729248</v>
      </c>
      <c r="CR31">
        <v>175.44598657540206</v>
      </c>
      <c r="CS31">
        <v>8.2340170276409577</v>
      </c>
      <c r="CT31">
        <v>0.23228803716608598</v>
      </c>
      <c r="CU31" s="10">
        <v>0.21307459771633147</v>
      </c>
      <c r="CV31" s="11">
        <v>-6.7386507987976076E-3</v>
      </c>
      <c r="CW31">
        <v>0.06</v>
      </c>
      <c r="CX31">
        <v>110.39915260356744</v>
      </c>
      <c r="CY31">
        <v>29806730.598887462</v>
      </c>
      <c r="CZ31">
        <v>0.21307459771633147</v>
      </c>
      <c r="DA31">
        <v>32.555706284662833</v>
      </c>
      <c r="DB31">
        <v>101077143.62659173</v>
      </c>
      <c r="DC31">
        <v>0.20242086783051488</v>
      </c>
      <c r="DD31">
        <v>13.886817610245169</v>
      </c>
      <c r="DE31">
        <v>236961260.12141845</v>
      </c>
      <c r="DF31">
        <v>0.1875056459903717</v>
      </c>
      <c r="DG31">
        <v>7.0357278641167857</v>
      </c>
      <c r="DH31">
        <v>467703962.34094292</v>
      </c>
      <c r="DI31">
        <v>0.17045967817306518</v>
      </c>
      <c r="DJ31">
        <v>2.433124358854478</v>
      </c>
      <c r="DK31">
        <v>1352433050.9556205</v>
      </c>
      <c r="DL31">
        <v>0.14915221840143203</v>
      </c>
      <c r="DM31">
        <v>26045500</v>
      </c>
      <c r="DN31">
        <v>0.21307459771633147</v>
      </c>
      <c r="DO31">
        <v>3290637800</v>
      </c>
      <c r="DP31">
        <v>660122600</v>
      </c>
      <c r="DQ31">
        <v>2007</v>
      </c>
      <c r="DR31">
        <v>-0.18159311623485</v>
      </c>
      <c r="DS31">
        <v>-0.33048709611549471</v>
      </c>
      <c r="DT31" s="12">
        <v>7.6666666666666591E-2</v>
      </c>
      <c r="DU31">
        <v>-0.28666666666666674</v>
      </c>
      <c r="DV31">
        <v>-0.21000000000000013</v>
      </c>
      <c r="DW31">
        <v>8.3064935064935064</v>
      </c>
      <c r="DX31">
        <v>0.36668596237337098</v>
      </c>
      <c r="DY31">
        <v>8.0572180352209291</v>
      </c>
      <c r="DZ31">
        <v>2235</v>
      </c>
      <c r="EA31">
        <v>8.0321921431037513</v>
      </c>
      <c r="EB31">
        <v>8</v>
      </c>
      <c r="EC31">
        <v>0.70910847639138763</v>
      </c>
      <c r="ED31">
        <v>3.7984027688872004</v>
      </c>
      <c r="EE31" s="13">
        <v>-1.0967</v>
      </c>
      <c r="EF31">
        <v>-1.0195000000000001</v>
      </c>
      <c r="EG31">
        <v>18.186685962373371</v>
      </c>
      <c r="EH31" t="s">
        <v>773</v>
      </c>
      <c r="EI31">
        <v>0</v>
      </c>
      <c r="EJ31">
        <v>0</v>
      </c>
      <c r="EK31" s="15">
        <v>45470</v>
      </c>
      <c r="EL31" s="16">
        <v>-2.63</v>
      </c>
      <c r="EM31" s="16">
        <v>-8.1</v>
      </c>
      <c r="EN31" s="16">
        <v>6.89</v>
      </c>
      <c r="EO31" s="16">
        <v>0.22</v>
      </c>
      <c r="EP31" s="16">
        <v>-7.72</v>
      </c>
    </row>
    <row r="32" spans="1:146" ht="84" x14ac:dyDescent="0.25">
      <c r="A32" s="8"/>
      <c r="B32" s="8"/>
      <c r="C32" s="8" t="str">
        <f>""&amp;CHAR(10)&amp;Basic_Fundamental_Information_Constructure(F32)&amp;CHAR(10)&amp;Basic_Fundamental_Information_Concatenate("")</f>
        <v xml:space="preserve">
市值17.145029亿, 利润3387.36万; PE52.21; 平均PE86.98; 平均PEG19.59, PB3.15; ROIC4.3633%; ROE5.02%; 股利率1.0363%; 毛利19.84%; 净利4.0533%; 上一年度营收增1.5%, 利润增21.18%; 当季营收增-9.29%, 利润增-11.3%; 过往5年营收增4.44%, 利润增29.01%
Income profile:
</v>
      </c>
      <c r="D32" t="s">
        <v>150</v>
      </c>
      <c r="E32" t="s">
        <v>490</v>
      </c>
      <c r="F32">
        <v>7.72</v>
      </c>
      <c r="G32">
        <v>0.65</v>
      </c>
      <c r="H32" t="s">
        <v>1827</v>
      </c>
      <c r="I32">
        <v>1714502900</v>
      </c>
      <c r="J32">
        <v>52.21</v>
      </c>
      <c r="K32">
        <v>3.15</v>
      </c>
      <c r="L32" t="s">
        <v>1187</v>
      </c>
      <c r="M32" t="s">
        <v>418</v>
      </c>
      <c r="N32" t="s">
        <v>1013</v>
      </c>
      <c r="O32" t="s">
        <v>101</v>
      </c>
      <c r="P32">
        <v>-9.2100000000000009</v>
      </c>
      <c r="Q32" t="s">
        <v>785</v>
      </c>
      <c r="R32">
        <v>8118339</v>
      </c>
      <c r="S32" s="6">
        <v>-0.113</v>
      </c>
      <c r="T32" t="s">
        <v>1828</v>
      </c>
      <c r="U32">
        <v>171130680</v>
      </c>
      <c r="V32">
        <v>222085870</v>
      </c>
      <c r="W32">
        <v>1.97</v>
      </c>
      <c r="X32">
        <v>0.15</v>
      </c>
      <c r="Y32">
        <v>4.8600000000000003</v>
      </c>
      <c r="Z32" t="s">
        <v>371</v>
      </c>
      <c r="AA32" t="s">
        <v>328</v>
      </c>
      <c r="AB32" t="s">
        <v>1829</v>
      </c>
      <c r="AC32" t="s">
        <v>1830</v>
      </c>
      <c r="AD32" t="s">
        <v>25</v>
      </c>
      <c r="AE32">
        <v>1756374</v>
      </c>
      <c r="AF32" t="s">
        <v>1831</v>
      </c>
      <c r="AG32">
        <v>7299.89</v>
      </c>
      <c r="AH32" t="s">
        <v>1832</v>
      </c>
      <c r="AI32" t="s">
        <v>1833</v>
      </c>
      <c r="AJ32" t="s">
        <v>1834</v>
      </c>
      <c r="AK32" t="s">
        <v>1835</v>
      </c>
      <c r="AL32" t="s">
        <v>1836</v>
      </c>
      <c r="AM32" t="s">
        <v>25</v>
      </c>
      <c r="AN32" t="s">
        <v>1837</v>
      </c>
      <c r="AO32" t="s">
        <v>106</v>
      </c>
      <c r="AP32" t="s">
        <v>1838</v>
      </c>
      <c r="AQ32" t="s">
        <v>126</v>
      </c>
      <c r="AR32" t="s">
        <v>25</v>
      </c>
      <c r="AS32" t="s">
        <v>1166</v>
      </c>
      <c r="AT32" t="s">
        <v>1839</v>
      </c>
      <c r="AU32" t="s">
        <v>1840</v>
      </c>
      <c r="AV32" t="s">
        <v>1841</v>
      </c>
      <c r="AW32" t="s">
        <v>1842</v>
      </c>
      <c r="AX32" t="s">
        <v>889</v>
      </c>
      <c r="AY32" t="s">
        <v>684</v>
      </c>
      <c r="AZ32" t="s">
        <v>394</v>
      </c>
      <c r="BA32" t="s">
        <v>152</v>
      </c>
      <c r="BB32" t="s">
        <v>279</v>
      </c>
      <c r="BC32" t="s">
        <v>1088</v>
      </c>
      <c r="BD32" t="s">
        <v>685</v>
      </c>
      <c r="BE32" t="s">
        <v>395</v>
      </c>
      <c r="BF32" t="s">
        <v>153</v>
      </c>
      <c r="BG32" t="s">
        <v>398</v>
      </c>
      <c r="BH32" t="s">
        <v>785</v>
      </c>
      <c r="BI32" t="s">
        <v>814</v>
      </c>
      <c r="BJ32" t="s">
        <v>889</v>
      </c>
      <c r="BK32" t="s">
        <v>1828</v>
      </c>
      <c r="BL32" t="s">
        <v>1843</v>
      </c>
      <c r="BM32" t="s">
        <v>1088</v>
      </c>
      <c r="BN32">
        <v>4.1500000000000004</v>
      </c>
      <c r="BO32">
        <v>4.93</v>
      </c>
      <c r="BP32">
        <v>4.01</v>
      </c>
      <c r="BQ32">
        <v>5.25</v>
      </c>
      <c r="BR32">
        <v>5.43</v>
      </c>
      <c r="BS32">
        <v>4.38</v>
      </c>
      <c r="BT32" t="s">
        <v>981</v>
      </c>
      <c r="BU32" t="s">
        <v>812</v>
      </c>
      <c r="BV32">
        <v>20.88</v>
      </c>
      <c r="BW32">
        <v>20.61</v>
      </c>
      <c r="BX32">
        <v>18.03</v>
      </c>
      <c r="BY32">
        <v>4.84</v>
      </c>
      <c r="BZ32">
        <v>4.22</v>
      </c>
      <c r="CA32">
        <v>3.1</v>
      </c>
      <c r="CB32">
        <v>-4.0999999999999996</v>
      </c>
      <c r="CC32">
        <v>-11.57</v>
      </c>
      <c r="CD32" t="s">
        <v>1844</v>
      </c>
      <c r="CE32" t="s">
        <v>814</v>
      </c>
      <c r="CF32" s="10">
        <v>-9.2896174863387984E-2</v>
      </c>
      <c r="CG32" s="11">
        <v>-0.11303095193872981</v>
      </c>
      <c r="CH32" s="10">
        <v>1.4970059506595135E-2</v>
      </c>
      <c r="CI32" s="10">
        <v>-4.0229886770248413E-2</v>
      </c>
      <c r="CJ32" s="10">
        <v>0.20415225625038147</v>
      </c>
      <c r="CK32" s="10">
        <v>3.7701975554227829E-2</v>
      </c>
      <c r="CL32" s="10">
        <v>5.4151625372469425E-3</v>
      </c>
      <c r="CM32" s="11">
        <v>0.21180553734302521</v>
      </c>
      <c r="CN32" s="11">
        <v>0.26742234826087952</v>
      </c>
      <c r="CO32" s="11">
        <v>0.5197557806968689</v>
      </c>
      <c r="CP32" s="11">
        <v>0.48672294616699219</v>
      </c>
      <c r="CQ32" s="11">
        <v>-3.4987296909093857E-2</v>
      </c>
      <c r="CR32">
        <v>86.97902005663309</v>
      </c>
      <c r="CS32">
        <v>19.589025194124787</v>
      </c>
      <c r="CT32">
        <v>1.0362694300518136</v>
      </c>
      <c r="CU32" s="10">
        <v>4.4401913415640593E-2</v>
      </c>
      <c r="CV32" s="11">
        <v>0.2901438631117344</v>
      </c>
      <c r="CW32">
        <v>0.06</v>
      </c>
      <c r="CX32">
        <v>52.269524269199735</v>
      </c>
      <c r="CY32">
        <v>33375144.013467964</v>
      </c>
      <c r="CZ32">
        <v>4.4401913415640593E-2</v>
      </c>
      <c r="DA32">
        <v>17.757107755003283</v>
      </c>
      <c r="DB32">
        <v>98242513.593378678</v>
      </c>
      <c r="DC32">
        <v>4.218181774485856E-2</v>
      </c>
      <c r="DD32">
        <v>9.1984708654471738</v>
      </c>
      <c r="DE32">
        <v>189651402.44700801</v>
      </c>
      <c r="DF32">
        <v>3.9073683805763725E-2</v>
      </c>
      <c r="DG32">
        <v>5.8430542881788661</v>
      </c>
      <c r="DH32">
        <v>298560104.6920476</v>
      </c>
      <c r="DI32">
        <v>3.5521530732512477E-2</v>
      </c>
      <c r="DJ32">
        <v>3.3994289690389188</v>
      </c>
      <c r="DK32">
        <v>513175276.16798627</v>
      </c>
      <c r="DL32">
        <v>3.1081339390948412E-2</v>
      </c>
      <c r="DM32">
        <v>33873600</v>
      </c>
      <c r="DN32">
        <v>4.4401913415640593E-2</v>
      </c>
      <c r="DO32">
        <v>1744502900</v>
      </c>
      <c r="DP32">
        <v>109338290</v>
      </c>
      <c r="DQ32">
        <v>2008</v>
      </c>
      <c r="DR32">
        <v>-0.13729808827902856</v>
      </c>
      <c r="DS32">
        <v>-0.40317481505046421</v>
      </c>
      <c r="DT32" s="12">
        <v>-0.3066666666666667</v>
      </c>
      <c r="DU32">
        <v>0.56666666666666665</v>
      </c>
      <c r="DV32">
        <v>0.25999999999999995</v>
      </c>
      <c r="DW32">
        <v>-8.3543647363872076</v>
      </c>
      <c r="DX32">
        <v>0.44683060109289813</v>
      </c>
      <c r="DY32">
        <v>-8.044944292522116</v>
      </c>
      <c r="DZ32">
        <v>1131</v>
      </c>
      <c r="EA32">
        <v>-8.0349967397153623</v>
      </c>
      <c r="EB32">
        <v>8</v>
      </c>
      <c r="EC32">
        <v>0.10450912523160523</v>
      </c>
      <c r="ED32">
        <v>0.8240055974745264</v>
      </c>
      <c r="EE32" s="13">
        <v>-2.0784099999999999</v>
      </c>
      <c r="EF32">
        <v>-2.08961</v>
      </c>
      <c r="EG32">
        <v>32.126830601092898</v>
      </c>
      <c r="EH32" t="s">
        <v>1026</v>
      </c>
      <c r="EI32">
        <v>0</v>
      </c>
      <c r="EJ32">
        <v>1</v>
      </c>
      <c r="EK32" s="15">
        <v>45470</v>
      </c>
      <c r="EL32" s="16">
        <v>-1.7</v>
      </c>
      <c r="EM32" s="16">
        <v>-6.06</v>
      </c>
      <c r="EN32" s="16">
        <v>0.92</v>
      </c>
      <c r="EO32" s="16">
        <v>5.22</v>
      </c>
      <c r="EP32" s="16">
        <v>-1.1200000000000001</v>
      </c>
    </row>
    <row r="33" spans="1:146" ht="120" x14ac:dyDescent="0.25">
      <c r="A33" s="8" t="s">
        <v>834</v>
      </c>
      <c r="B33" s="8"/>
      <c r="C33" s="8" t="str">
        <f>"公司主要从事高分子复合着色材料的研发、生产、销售和技术服务，为客户提供塑料着色一体化解决方案。"&amp;CHAR(10)&amp;Basic_Fundamental_Information_Constructure(F33)&amp;CHAR(10)&amp;Basic_Fundamental_Information_Concatenate("三聚氯氰 7.33亿 58.58% 79.92% 50.52%
色母粒 3.49亿 27.90% 8.97% 11.91%
其他业务 1.69亿 13.52% 11.11% 30.43%")</f>
        <v>公司主要从事高分子复合着色材料的研发、生产、销售和技术服务，为客户提供塑料着色一体化解决方案。
市值44.02431亿, 利润1.15亿; PE50.14; 平均PE38.25; 平均PEG1.15, PB2.26; ROIC11.4133%; ROE11.2933%; 股利率.8078%; 毛利24.2133%; 净利11.7733%; 上一年度营收增-22.01%, 利润增-63.72%; 当季营收增-19.85%, 利润增-50.6%; 过往5年营收增33.13%, 利润增75.41%
Income profile:
三聚氯氰 7.33亿 58.58% 79.92% 50.52%
色母粒 3.49亿 27.90% 8.97% 11.91%
其他业务 1.69亿 13.52% 11.11% 30.43%</v>
      </c>
      <c r="D33" t="s">
        <v>157</v>
      </c>
      <c r="E33" t="s">
        <v>12</v>
      </c>
      <c r="F33">
        <v>6.19</v>
      </c>
      <c r="G33">
        <v>0.81</v>
      </c>
      <c r="H33" t="s">
        <v>1845</v>
      </c>
      <c r="I33">
        <v>4402431000</v>
      </c>
      <c r="J33">
        <v>50.14</v>
      </c>
      <c r="K33">
        <v>2.2599999999999998</v>
      </c>
      <c r="L33" t="s">
        <v>1187</v>
      </c>
      <c r="M33" t="s">
        <v>853</v>
      </c>
      <c r="N33" t="s">
        <v>1846</v>
      </c>
      <c r="O33" t="s">
        <v>1124</v>
      </c>
      <c r="P33">
        <v>-19.8</v>
      </c>
      <c r="Q33" t="s">
        <v>1847</v>
      </c>
      <c r="R33">
        <v>26512351</v>
      </c>
      <c r="S33" s="6">
        <v>-0.50600000000000001</v>
      </c>
      <c r="T33" t="s">
        <v>63</v>
      </c>
      <c r="U33">
        <v>534530660</v>
      </c>
      <c r="V33">
        <v>711216650</v>
      </c>
      <c r="W33">
        <v>1.47</v>
      </c>
      <c r="X33">
        <v>0.12</v>
      </c>
      <c r="Y33">
        <v>8.93</v>
      </c>
      <c r="Z33" t="s">
        <v>75</v>
      </c>
      <c r="AA33" t="s">
        <v>1709</v>
      </c>
      <c r="AB33" t="s">
        <v>1848</v>
      </c>
      <c r="AC33" t="s">
        <v>1849</v>
      </c>
      <c r="AD33" t="s">
        <v>25</v>
      </c>
      <c r="AE33">
        <v>2984298</v>
      </c>
      <c r="AF33" t="s">
        <v>1850</v>
      </c>
      <c r="AG33" t="s">
        <v>1851</v>
      </c>
      <c r="AH33" t="s">
        <v>1852</v>
      </c>
      <c r="AI33" t="s">
        <v>427</v>
      </c>
      <c r="AJ33" t="s">
        <v>1853</v>
      </c>
      <c r="AK33" t="s">
        <v>25</v>
      </c>
      <c r="AL33" t="s">
        <v>1854</v>
      </c>
      <c r="AM33" t="s">
        <v>25</v>
      </c>
      <c r="AN33" t="s">
        <v>1855</v>
      </c>
      <c r="AO33" t="s">
        <v>694</v>
      </c>
      <c r="AP33" t="s">
        <v>25</v>
      </c>
      <c r="AQ33" t="s">
        <v>180</v>
      </c>
      <c r="AR33" t="s">
        <v>25</v>
      </c>
      <c r="AS33" t="s">
        <v>679</v>
      </c>
      <c r="AT33" t="s">
        <v>384</v>
      </c>
      <c r="AU33" t="s">
        <v>1856</v>
      </c>
      <c r="AV33" t="s">
        <v>1857</v>
      </c>
      <c r="AW33" t="s">
        <v>1858</v>
      </c>
      <c r="AX33" t="s">
        <v>1090</v>
      </c>
      <c r="AY33" t="s">
        <v>446</v>
      </c>
      <c r="AZ33" t="s">
        <v>399</v>
      </c>
      <c r="BA33" t="s">
        <v>158</v>
      </c>
      <c r="BB33" t="s">
        <v>402</v>
      </c>
      <c r="BC33" t="s">
        <v>428</v>
      </c>
      <c r="BD33" t="s">
        <v>686</v>
      </c>
      <c r="BE33" t="s">
        <v>400</v>
      </c>
      <c r="BF33" t="s">
        <v>159</v>
      </c>
      <c r="BG33" t="s">
        <v>403</v>
      </c>
      <c r="BH33" t="s">
        <v>1847</v>
      </c>
      <c r="BI33" t="s">
        <v>1859</v>
      </c>
      <c r="BJ33" t="s">
        <v>1090</v>
      </c>
      <c r="BK33" t="s">
        <v>63</v>
      </c>
      <c r="BL33" t="s">
        <v>1860</v>
      </c>
      <c r="BM33" t="s">
        <v>428</v>
      </c>
      <c r="BN33">
        <v>5.84</v>
      </c>
      <c r="BO33">
        <v>22.69</v>
      </c>
      <c r="BP33">
        <v>5.71</v>
      </c>
      <c r="BQ33">
        <v>5.61</v>
      </c>
      <c r="BR33">
        <v>22.03</v>
      </c>
      <c r="BS33">
        <v>6.24</v>
      </c>
      <c r="BT33" t="s">
        <v>968</v>
      </c>
      <c r="BU33" t="s">
        <v>517</v>
      </c>
      <c r="BV33">
        <v>21.48</v>
      </c>
      <c r="BW33">
        <v>33.659999999999997</v>
      </c>
      <c r="BX33">
        <v>17.5</v>
      </c>
      <c r="BY33">
        <v>8.86</v>
      </c>
      <c r="BZ33">
        <v>20.87</v>
      </c>
      <c r="CA33">
        <v>5.59</v>
      </c>
      <c r="CB33">
        <v>-1.59</v>
      </c>
      <c r="CC33">
        <v>-16.010000000000002</v>
      </c>
      <c r="CD33" t="s">
        <v>1861</v>
      </c>
      <c r="CE33" t="s">
        <v>1116</v>
      </c>
      <c r="CF33" s="10">
        <v>-0.19847328244274809</v>
      </c>
      <c r="CG33" s="11">
        <v>-0.50603380881048732</v>
      </c>
      <c r="CH33" s="10">
        <v>-0.22009170055389404</v>
      </c>
      <c r="CI33" s="10">
        <v>0.27538549900054932</v>
      </c>
      <c r="CJ33" s="10">
        <v>0.23994727432727814</v>
      </c>
      <c r="CK33" s="10">
        <v>0.20396819710731506</v>
      </c>
      <c r="CL33" s="10">
        <v>1.1575342416763306</v>
      </c>
      <c r="CM33" s="11">
        <v>-0.63722395896911621</v>
      </c>
      <c r="CN33" s="11">
        <v>4.0092840194702148</v>
      </c>
      <c r="CO33" s="11">
        <v>0.50974565744400024</v>
      </c>
      <c r="CP33" s="11">
        <v>-0.53484451770782471</v>
      </c>
      <c r="CQ33" s="11">
        <v>0.42365935444831848</v>
      </c>
      <c r="CR33">
        <v>38.248405531256452</v>
      </c>
      <c r="CS33">
        <v>1.1543248929128869</v>
      </c>
      <c r="CT33">
        <v>0.80775444264943452</v>
      </c>
      <c r="CU33" s="10">
        <v>0.33134870231151581</v>
      </c>
      <c r="CV33" s="11">
        <v>0.75412411093711851</v>
      </c>
      <c r="CW33">
        <v>0.06</v>
      </c>
      <c r="CX33">
        <v>21.299204557448128</v>
      </c>
      <c r="CY33">
        <v>144438774.30738142</v>
      </c>
      <c r="CZ33">
        <v>0.33134870231151581</v>
      </c>
      <c r="DA33">
        <v>5.7074462728021205</v>
      </c>
      <c r="DB33">
        <v>539020579.95012879</v>
      </c>
      <c r="DC33">
        <v>0.31478126719594002</v>
      </c>
      <c r="DD33">
        <v>2.1105568963872079</v>
      </c>
      <c r="DE33">
        <v>1457639453.0117376</v>
      </c>
      <c r="DF33">
        <v>0.29158685803413392</v>
      </c>
      <c r="DG33">
        <v>0.89176662028795062</v>
      </c>
      <c r="DH33">
        <v>3449816274.8081145</v>
      </c>
      <c r="DI33">
        <v>0.26507896184921265</v>
      </c>
      <c r="DJ33">
        <v>0.19430088239515741</v>
      </c>
      <c r="DK33">
        <v>15833335196.817791</v>
      </c>
      <c r="DL33">
        <v>0.23194409161806104</v>
      </c>
      <c r="DM33">
        <v>114999999.99999999</v>
      </c>
      <c r="DN33">
        <v>0.33134870231151581</v>
      </c>
      <c r="DO33">
        <v>3076431000</v>
      </c>
      <c r="DP33">
        <v>422140740</v>
      </c>
      <c r="DQ33">
        <v>2053</v>
      </c>
      <c r="DR33">
        <v>-0.5298219847542639</v>
      </c>
      <c r="DS33">
        <v>-1.2601579197476058</v>
      </c>
      <c r="DT33" s="12">
        <v>-6.6666666666666714E-3</v>
      </c>
      <c r="DU33">
        <v>-0.12000000000000006</v>
      </c>
      <c r="DV33">
        <v>-0.12666666666666673</v>
      </c>
      <c r="DW33">
        <v>-3.0001130952380954</v>
      </c>
      <c r="DX33">
        <v>0.27661351351351443</v>
      </c>
      <c r="DY33">
        <v>-3.000008664623552</v>
      </c>
      <c r="DZ33">
        <v>2016</v>
      </c>
      <c r="EA33">
        <v>-3.0000052462515203</v>
      </c>
      <c r="EB33">
        <v>3</v>
      </c>
      <c r="EC33">
        <v>2.3914232041671129E-2</v>
      </c>
      <c r="ED33">
        <v>0.31214117386031393</v>
      </c>
      <c r="EE33" s="13">
        <v>-1.03061</v>
      </c>
      <c r="EF33">
        <v>-1.0584100000000001</v>
      </c>
      <c r="EG33">
        <v>20.076613513513514</v>
      </c>
      <c r="EH33" t="s">
        <v>771</v>
      </c>
      <c r="EI33">
        <v>0</v>
      </c>
      <c r="EJ33">
        <v>0</v>
      </c>
      <c r="EK33" s="15">
        <v>45470</v>
      </c>
      <c r="EL33" s="16">
        <v>-1.91</v>
      </c>
      <c r="EM33" s="16">
        <v>-6.31</v>
      </c>
      <c r="EN33" s="16">
        <v>-0.64</v>
      </c>
      <c r="EO33" s="16">
        <v>4.3499999999999996</v>
      </c>
      <c r="EP33" s="16">
        <v>-2.78</v>
      </c>
    </row>
    <row r="34" spans="1:146" ht="84" x14ac:dyDescent="0.25">
      <c r="A34" s="8"/>
      <c r="B34" s="8"/>
      <c r="C34" s="8" t="str">
        <f>""&amp;CHAR(10)&amp;Basic_Fundamental_Information_Constructure(F34)&amp;CHAR(10)&amp;Basic_Fundamental_Information_Concatenate("")</f>
        <v xml:space="preserve">
市值20.43171亿, 利润7254.81万; PE24.55; 平均PE44.87; 平均PEG3.26, PB2.3; ROIC5.1867%; ROE6.0067%; 股利率1.3214%; 毛利13.59%; 净利2.9%; 上一年度营收增7.08%, 利润增30.94%; 当季营收增39.88%, 利润增87.52%; 过往5年营收增13.76%, 利润增38.66%
Income profile:
</v>
      </c>
      <c r="D34" t="s">
        <v>216</v>
      </c>
      <c r="E34" t="s">
        <v>7</v>
      </c>
      <c r="F34">
        <v>18.920000000000002</v>
      </c>
      <c r="G34">
        <v>0.16</v>
      </c>
      <c r="H34" t="s">
        <v>1862</v>
      </c>
      <c r="I34">
        <v>2043171000</v>
      </c>
      <c r="J34">
        <v>24.55</v>
      </c>
      <c r="K34">
        <v>2.2999999999999998</v>
      </c>
      <c r="L34" t="s">
        <v>1187</v>
      </c>
      <c r="M34" t="s">
        <v>1863</v>
      </c>
      <c r="N34" t="s">
        <v>1864</v>
      </c>
      <c r="O34" t="s">
        <v>1865</v>
      </c>
      <c r="P34">
        <v>39.64</v>
      </c>
      <c r="Q34" t="s">
        <v>1152</v>
      </c>
      <c r="R34">
        <v>22857761</v>
      </c>
      <c r="S34" s="6">
        <v>0.87519999999999998</v>
      </c>
      <c r="T34" t="s">
        <v>1866</v>
      </c>
      <c r="U34">
        <v>85741624</v>
      </c>
      <c r="V34">
        <v>107990008</v>
      </c>
      <c r="W34">
        <v>2.2799999999999998</v>
      </c>
      <c r="X34">
        <v>0.22</v>
      </c>
      <c r="Y34">
        <v>5.16</v>
      </c>
      <c r="Z34" t="s">
        <v>509</v>
      </c>
      <c r="AA34" t="s">
        <v>75</v>
      </c>
      <c r="AB34" t="s">
        <v>1867</v>
      </c>
      <c r="AC34" t="s">
        <v>1868</v>
      </c>
      <c r="AD34" t="s">
        <v>25</v>
      </c>
      <c r="AE34">
        <v>8021676</v>
      </c>
      <c r="AF34" t="s">
        <v>1869</v>
      </c>
      <c r="AG34">
        <v>2564.06</v>
      </c>
      <c r="AH34" t="s">
        <v>1870</v>
      </c>
      <c r="AI34" t="s">
        <v>1871</v>
      </c>
      <c r="AJ34" t="s">
        <v>1872</v>
      </c>
      <c r="AK34" t="s">
        <v>1873</v>
      </c>
      <c r="AL34" t="s">
        <v>1874</v>
      </c>
      <c r="AM34" t="s">
        <v>25</v>
      </c>
      <c r="AN34" t="s">
        <v>1875</v>
      </c>
      <c r="AO34" t="s">
        <v>552</v>
      </c>
      <c r="AP34" t="s">
        <v>171</v>
      </c>
      <c r="AQ34" t="s">
        <v>440</v>
      </c>
      <c r="AR34" t="s">
        <v>25</v>
      </c>
      <c r="AS34" t="s">
        <v>1876</v>
      </c>
      <c r="AT34" t="s">
        <v>1877</v>
      </c>
      <c r="AU34" t="s">
        <v>1878</v>
      </c>
      <c r="AV34" t="s">
        <v>1879</v>
      </c>
      <c r="AW34" t="s">
        <v>1880</v>
      </c>
      <c r="AX34" t="s">
        <v>1004</v>
      </c>
      <c r="AY34" t="s">
        <v>687</v>
      </c>
      <c r="AZ34" t="s">
        <v>405</v>
      </c>
      <c r="BA34" t="s">
        <v>217</v>
      </c>
      <c r="BB34" t="s">
        <v>407</v>
      </c>
      <c r="BC34" t="s">
        <v>1092</v>
      </c>
      <c r="BD34" t="s">
        <v>688</v>
      </c>
      <c r="BE34" t="s">
        <v>406</v>
      </c>
      <c r="BF34" t="s">
        <v>218</v>
      </c>
      <c r="BG34" t="s">
        <v>408</v>
      </c>
      <c r="BH34" t="s">
        <v>1152</v>
      </c>
      <c r="BI34" t="s">
        <v>290</v>
      </c>
      <c r="BJ34" t="s">
        <v>1004</v>
      </c>
      <c r="BK34" t="s">
        <v>1866</v>
      </c>
      <c r="BL34" t="s">
        <v>1881</v>
      </c>
      <c r="BM34" t="s">
        <v>1092</v>
      </c>
      <c r="BN34">
        <v>5.04</v>
      </c>
      <c r="BO34">
        <v>6.31</v>
      </c>
      <c r="BP34">
        <v>4.21</v>
      </c>
      <c r="BQ34">
        <v>6.71</v>
      </c>
      <c r="BR34">
        <v>6.9</v>
      </c>
      <c r="BS34">
        <v>4.41</v>
      </c>
      <c r="BT34" t="s">
        <v>980</v>
      </c>
      <c r="BU34" t="s">
        <v>517</v>
      </c>
      <c r="BV34">
        <v>16.12</v>
      </c>
      <c r="BW34">
        <v>13.1</v>
      </c>
      <c r="BX34">
        <v>11.55</v>
      </c>
      <c r="BY34">
        <v>3.72</v>
      </c>
      <c r="BZ34">
        <v>3.15</v>
      </c>
      <c r="CA34">
        <v>1.83</v>
      </c>
      <c r="CB34">
        <v>-7.16</v>
      </c>
      <c r="CC34">
        <v>-32.96</v>
      </c>
      <c r="CD34" t="s">
        <v>1882</v>
      </c>
      <c r="CE34" t="s">
        <v>419</v>
      </c>
      <c r="CF34" s="10">
        <v>0.39875389408099687</v>
      </c>
      <c r="CG34" s="11">
        <v>0.87515471951959833</v>
      </c>
      <c r="CH34" s="10">
        <v>7.0843055844306946E-2</v>
      </c>
      <c r="CI34" s="10">
        <v>2.9535824432969093E-2</v>
      </c>
      <c r="CJ34" s="10">
        <v>0.4565407931804657</v>
      </c>
      <c r="CK34" s="10">
        <v>0.19517320394515991</v>
      </c>
      <c r="CL34" s="10">
        <v>-6.3850685954093933E-2</v>
      </c>
      <c r="CM34" s="11">
        <v>0.30943787097930908</v>
      </c>
      <c r="CN34" s="11">
        <v>0.74315768480300903</v>
      </c>
      <c r="CO34" s="11">
        <v>-0.48039188981056213</v>
      </c>
      <c r="CP34" s="11">
        <v>1.0895911455154419</v>
      </c>
      <c r="CQ34" s="11">
        <v>0.27132409811019897</v>
      </c>
      <c r="CR34">
        <v>44.871491162249313</v>
      </c>
      <c r="CS34">
        <v>3.2598619875215045</v>
      </c>
      <c r="CT34">
        <v>1.3213530655391119</v>
      </c>
      <c r="CU34" s="10">
        <v>0.13764843828976153</v>
      </c>
      <c r="CV34" s="11">
        <v>0.38662378191947938</v>
      </c>
      <c r="CW34">
        <v>0.06</v>
      </c>
      <c r="CX34">
        <v>29.901062629251797</v>
      </c>
      <c r="CY34">
        <v>77862483.64706552</v>
      </c>
      <c r="CZ34">
        <v>0.13764843828976153</v>
      </c>
      <c r="DA34">
        <v>9.3870558610119961</v>
      </c>
      <c r="DB34">
        <v>248019297.47427812</v>
      </c>
      <c r="DC34">
        <v>0.13076601637527344</v>
      </c>
      <c r="DD34">
        <v>4.3754449730137948</v>
      </c>
      <c r="DE34">
        <v>532099252.61529738</v>
      </c>
      <c r="DF34">
        <v>0.12113062569499015</v>
      </c>
      <c r="DG34">
        <v>2.4673034682007029</v>
      </c>
      <c r="DH34">
        <v>943609503.25167501</v>
      </c>
      <c r="DI34">
        <v>0.11011875063180923</v>
      </c>
      <c r="DJ34">
        <v>1.105116823416858</v>
      </c>
      <c r="DK34">
        <v>2106719353.7074561</v>
      </c>
      <c r="DL34">
        <v>9.6353906802833067E-2</v>
      </c>
      <c r="DM34">
        <v>72548100</v>
      </c>
      <c r="DN34">
        <v>0.13764843828976153</v>
      </c>
      <c r="DO34">
        <v>2328171000</v>
      </c>
      <c r="DP34">
        <v>478971000</v>
      </c>
      <c r="DQ34">
        <v>2111</v>
      </c>
      <c r="DR34">
        <v>0.26110545579123534</v>
      </c>
      <c r="DS34">
        <v>0.48853093760011895</v>
      </c>
      <c r="DT34" s="12">
        <v>-0.19000000000000003</v>
      </c>
      <c r="DU34">
        <v>0.88666666666666671</v>
      </c>
      <c r="DV34">
        <v>0.69666666666666666</v>
      </c>
      <c r="DW34">
        <v>-9.2172330097087372</v>
      </c>
      <c r="DX34">
        <v>0.28979621621621643</v>
      </c>
      <c r="DY34">
        <v>-9.0173343722120176</v>
      </c>
      <c r="DZ34">
        <v>464</v>
      </c>
      <c r="EA34">
        <v>-9.0157603705082252</v>
      </c>
      <c r="EB34">
        <v>9</v>
      </c>
      <c r="EC34">
        <v>0.27340122060181715</v>
      </c>
      <c r="ED34">
        <v>3.4262429168446769</v>
      </c>
      <c r="EE34" s="13">
        <v>3.0238</v>
      </c>
      <c r="EF34">
        <v>3.0278100000000001</v>
      </c>
      <c r="EG34">
        <v>21.079796216216216</v>
      </c>
      <c r="EH34" t="s">
        <v>1883</v>
      </c>
      <c r="EI34">
        <v>0</v>
      </c>
      <c r="EJ34">
        <v>1</v>
      </c>
      <c r="EK34" s="15">
        <v>45470</v>
      </c>
      <c r="EL34" s="16">
        <v>-2.67</v>
      </c>
      <c r="EM34" s="16">
        <v>-5.1100000000000003</v>
      </c>
      <c r="EN34" s="16">
        <v>1.67</v>
      </c>
      <c r="EO34" s="16">
        <v>0.77</v>
      </c>
      <c r="EP34" s="16">
        <v>-5.16</v>
      </c>
    </row>
    <row r="35" spans="1:146" ht="84" x14ac:dyDescent="0.25">
      <c r="A35" s="8"/>
      <c r="B35" s="8"/>
      <c r="C35" s="8" t="str">
        <f>""&amp;CHAR(10)&amp;Basic_Fundamental_Information_Constructure(F35)&amp;CHAR(10)&amp;Basic_Fundamental_Information_Concatenate("")</f>
        <v xml:space="preserve">
市值12.40155亿, 利润-1.39亿; PE; 平均PE-12.23; 平均PEG-1.61, PB9.73; ROIC7.89%; ROE-34.8967%; 股利率0%; 毛利8.3733%; 净利-9.2567%; 上一年度营收增-8.77%, 利润增-1843.6%; 当季营收增-83.62%, 利润增28.59%; 过往5年营收增7.61%, 利润增-618.22%
Income profile:
</v>
      </c>
      <c r="D35" t="s">
        <v>221</v>
      </c>
      <c r="E35" t="s">
        <v>1093</v>
      </c>
      <c r="F35">
        <v>7.75</v>
      </c>
      <c r="G35">
        <v>-6.63</v>
      </c>
      <c r="H35" t="s">
        <v>1884</v>
      </c>
      <c r="I35">
        <v>1240155000</v>
      </c>
      <c r="K35">
        <v>9.73</v>
      </c>
      <c r="L35" t="s">
        <v>1187</v>
      </c>
      <c r="M35" t="s">
        <v>1885</v>
      </c>
      <c r="N35" t="s">
        <v>333</v>
      </c>
      <c r="O35" t="s">
        <v>1886</v>
      </c>
      <c r="P35">
        <v>-83.62</v>
      </c>
      <c r="Q35" t="s">
        <v>1887</v>
      </c>
      <c r="R35">
        <v>-19233770</v>
      </c>
      <c r="S35" s="6">
        <v>0.28589999999999999</v>
      </c>
      <c r="T35" t="s">
        <v>1888</v>
      </c>
      <c r="U35">
        <v>160020000</v>
      </c>
      <c r="V35">
        <v>160020000</v>
      </c>
      <c r="W35">
        <v>4.7</v>
      </c>
      <c r="X35">
        <v>0.06</v>
      </c>
      <c r="Y35">
        <v>-65.81</v>
      </c>
      <c r="Z35" t="s">
        <v>1889</v>
      </c>
      <c r="AA35" t="s">
        <v>1890</v>
      </c>
      <c r="AB35" t="s">
        <v>1891</v>
      </c>
      <c r="AC35" t="s">
        <v>1892</v>
      </c>
      <c r="AD35" t="s">
        <v>25</v>
      </c>
      <c r="AE35">
        <v>6107584</v>
      </c>
      <c r="AF35" t="s">
        <v>52</v>
      </c>
      <c r="AG35">
        <v>1342.19</v>
      </c>
      <c r="AH35" t="s">
        <v>1893</v>
      </c>
      <c r="AI35" t="s">
        <v>1894</v>
      </c>
      <c r="AJ35" t="s">
        <v>1895</v>
      </c>
      <c r="AK35" t="s">
        <v>1896</v>
      </c>
      <c r="AL35" t="s">
        <v>1897</v>
      </c>
      <c r="AM35" t="s">
        <v>25</v>
      </c>
      <c r="AN35" t="s">
        <v>146</v>
      </c>
      <c r="AO35" t="s">
        <v>344</v>
      </c>
      <c r="AP35" t="s">
        <v>25</v>
      </c>
      <c r="AQ35" t="s">
        <v>371</v>
      </c>
      <c r="AR35" t="s">
        <v>25</v>
      </c>
      <c r="AS35" t="s">
        <v>1898</v>
      </c>
      <c r="AT35" t="s">
        <v>1899</v>
      </c>
      <c r="AU35" t="s">
        <v>1900</v>
      </c>
      <c r="AV35" t="s">
        <v>1901</v>
      </c>
      <c r="AW35" t="s">
        <v>1902</v>
      </c>
      <c r="AX35" t="s">
        <v>1094</v>
      </c>
      <c r="AY35" t="s">
        <v>689</v>
      </c>
      <c r="AZ35" t="s">
        <v>410</v>
      </c>
      <c r="BA35" t="s">
        <v>828</v>
      </c>
      <c r="BB35" t="s">
        <v>412</v>
      </c>
      <c r="BC35" t="s">
        <v>1903</v>
      </c>
      <c r="BD35" t="s">
        <v>690</v>
      </c>
      <c r="BE35" t="s">
        <v>411</v>
      </c>
      <c r="BF35" t="s">
        <v>222</v>
      </c>
      <c r="BG35" t="s">
        <v>413</v>
      </c>
      <c r="BH35" t="s">
        <v>1887</v>
      </c>
      <c r="BI35" t="s">
        <v>298</v>
      </c>
      <c r="BJ35" t="s">
        <v>1094</v>
      </c>
      <c r="BK35" t="s">
        <v>1888</v>
      </c>
      <c r="BL35" t="s">
        <v>1904</v>
      </c>
      <c r="BM35" t="s">
        <v>1903</v>
      </c>
      <c r="BN35" t="s">
        <v>25</v>
      </c>
      <c r="BO35">
        <v>7.89</v>
      </c>
      <c r="BP35" t="s">
        <v>25</v>
      </c>
      <c r="BQ35">
        <v>-45.81</v>
      </c>
      <c r="BR35">
        <v>2.58</v>
      </c>
      <c r="BS35">
        <v>-61.46</v>
      </c>
      <c r="BT35" t="s">
        <v>965</v>
      </c>
      <c r="BU35" t="s">
        <v>517</v>
      </c>
      <c r="BV35">
        <v>5.77</v>
      </c>
      <c r="BW35">
        <v>12.27</v>
      </c>
      <c r="BX35">
        <v>7.08</v>
      </c>
      <c r="BY35">
        <v>-14.38</v>
      </c>
      <c r="BZ35">
        <v>0.94</v>
      </c>
      <c r="CA35">
        <v>-14.33</v>
      </c>
      <c r="CB35">
        <v>7.94</v>
      </c>
      <c r="CC35">
        <v>8.6999999999999993</v>
      </c>
      <c r="CD35" t="s">
        <v>85</v>
      </c>
      <c r="CE35" t="s">
        <v>1165</v>
      </c>
      <c r="CF35" s="10">
        <v>-0.83618201634877387</v>
      </c>
      <c r="CG35" s="11">
        <v>0.28591111094610289</v>
      </c>
      <c r="CH35" s="10">
        <v>-8.7705567479133606E-2</v>
      </c>
      <c r="CI35" s="10">
        <v>-0.32860150933265686</v>
      </c>
      <c r="CJ35" s="10">
        <v>-1.297356653958559E-2</v>
      </c>
      <c r="CK35" s="10">
        <v>-5.2139632403850555E-2</v>
      </c>
      <c r="CL35" s="10">
        <v>0.86172157526016235</v>
      </c>
      <c r="CM35" s="11">
        <v>-18.436025619506836</v>
      </c>
      <c r="CN35" s="11">
        <v>1.0329421758651733</v>
      </c>
      <c r="CO35" s="11">
        <v>0.23659305274486542</v>
      </c>
      <c r="CP35" s="11">
        <v>-13.21231746673584</v>
      </c>
      <c r="CQ35" s="11">
        <v>-0.53233110904693604</v>
      </c>
      <c r="CR35">
        <v>-12.226973275571392</v>
      </c>
      <c r="CS35">
        <v>-1.6075376670403285</v>
      </c>
      <c r="CT35">
        <v>0</v>
      </c>
      <c r="CU35" s="10">
        <v>7.6060259900987151E-2</v>
      </c>
      <c r="CV35" s="11">
        <v>-6.1822277933359144</v>
      </c>
      <c r="CW35">
        <v>0.06</v>
      </c>
      <c r="CX35" t="e">
        <v>#VALUE!</v>
      </c>
      <c r="CY35" t="s">
        <v>769</v>
      </c>
      <c r="CZ35">
        <v>7.6060259900987151E-2</v>
      </c>
      <c r="DA35" t="e">
        <v>#VALUE!</v>
      </c>
      <c r="DB35" t="s">
        <v>770</v>
      </c>
      <c r="DC35">
        <v>7.2257246905937794E-2</v>
      </c>
      <c r="DD35" t="e">
        <v>#VALUE!</v>
      </c>
      <c r="DE35" t="s">
        <v>770</v>
      </c>
      <c r="DF35">
        <v>6.69330287128687E-2</v>
      </c>
      <c r="DG35" t="e">
        <v>#VALUE!</v>
      </c>
      <c r="DH35" t="s">
        <v>770</v>
      </c>
      <c r="DI35">
        <v>6.0848207920789724E-2</v>
      </c>
      <c r="DJ35" t="e">
        <v>#VALUE!</v>
      </c>
      <c r="DK35" t="s">
        <v>770</v>
      </c>
      <c r="DL35">
        <v>5.3242181930691003E-2</v>
      </c>
      <c r="DM35">
        <v>-139000000</v>
      </c>
      <c r="DN35">
        <v>7.6060259900987151E-2</v>
      </c>
      <c r="DO35">
        <v>1841155000</v>
      </c>
      <c r="DP35">
        <v>-421909680</v>
      </c>
      <c r="DQ35">
        <v>2180</v>
      </c>
      <c r="DR35">
        <v>-0.91224227624976106</v>
      </c>
      <c r="DS35">
        <v>6.468138904282017</v>
      </c>
      <c r="DT35" s="12">
        <v>-0.39000000000000007</v>
      </c>
      <c r="DU35">
        <v>-2.3816666666666668</v>
      </c>
      <c r="DV35">
        <v>-2.7716666666666669</v>
      </c>
      <c r="DW35">
        <v>9.9126436781609204</v>
      </c>
      <c r="DX35">
        <v>0.50248041775456864</v>
      </c>
      <c r="DY35">
        <v>9.3216890249392268</v>
      </c>
      <c r="DZ35">
        <v>4821</v>
      </c>
      <c r="EA35">
        <v>9.0181933714691649</v>
      </c>
      <c r="EB35">
        <v>9</v>
      </c>
      <c r="EC35">
        <v>0.84364454443194603</v>
      </c>
      <c r="ED35">
        <v>2.3934508186476688</v>
      </c>
      <c r="EE35" s="13">
        <v>-2.0135999999999998</v>
      </c>
      <c r="EF35">
        <v>-2.0317099999999999</v>
      </c>
      <c r="EG35">
        <v>15.352480417754569</v>
      </c>
      <c r="EH35" t="s">
        <v>1026</v>
      </c>
      <c r="EI35">
        <v>1</v>
      </c>
      <c r="EJ35">
        <v>0</v>
      </c>
      <c r="EK35" s="15">
        <v>45470</v>
      </c>
      <c r="EL35" s="16">
        <v>20.07</v>
      </c>
      <c r="EM35" s="16">
        <v>15.44</v>
      </c>
      <c r="EN35" s="16">
        <v>-3.93</v>
      </c>
      <c r="EO35" s="16">
        <v>-4.21</v>
      </c>
      <c r="EP35" s="16">
        <v>-4.53</v>
      </c>
    </row>
    <row r="36" spans="1:146" ht="84" x14ac:dyDescent="0.25">
      <c r="A36" s="8"/>
      <c r="B36" s="8"/>
      <c r="C36" s="8" t="str">
        <f>""&amp;CHAR(10)&amp;Basic_Fundamental_Information_Constructure(F36)&amp;CHAR(10)&amp;Basic_Fundamental_Information_Concatenate("")</f>
        <v xml:space="preserve">
市值15.16959亿, 利润4098.12万; PE34.12; 平均PE38.46; 平均PEG18.17, PB2.22; ROIC4.3467%; ROE4.78%; 股利率1.355%; 毛利22.7767%; 净利10.2167%; 上一年度营收增-4.94%, 利润增2.29%; 当季营收增5.46%, 利润增48.3%; 过往5年营收增2.12%, 利润增6.42%
Income profile:
</v>
      </c>
      <c r="D36" t="s">
        <v>163</v>
      </c>
      <c r="E36" t="s">
        <v>19</v>
      </c>
      <c r="F36">
        <v>14.76</v>
      </c>
      <c r="G36">
        <v>-0.94</v>
      </c>
      <c r="H36" t="s">
        <v>1905</v>
      </c>
      <c r="I36">
        <v>1516959000</v>
      </c>
      <c r="J36">
        <v>34.119999999999997</v>
      </c>
      <c r="K36">
        <v>2.2200000000000002</v>
      </c>
      <c r="L36" t="s">
        <v>1187</v>
      </c>
      <c r="M36" t="s">
        <v>1906</v>
      </c>
      <c r="N36" t="s">
        <v>975</v>
      </c>
      <c r="O36" t="s">
        <v>1907</v>
      </c>
      <c r="P36">
        <v>5.46</v>
      </c>
      <c r="Q36" t="s">
        <v>56</v>
      </c>
      <c r="R36">
        <v>10675428</v>
      </c>
      <c r="S36" s="6">
        <v>0.48299999999999998</v>
      </c>
      <c r="T36" t="s">
        <v>1908</v>
      </c>
      <c r="U36">
        <v>101853400</v>
      </c>
      <c r="V36">
        <v>102775000</v>
      </c>
      <c r="W36">
        <v>1.1299999999999999</v>
      </c>
      <c r="X36">
        <v>0.1</v>
      </c>
      <c r="Y36">
        <v>13.48</v>
      </c>
      <c r="Z36" t="s">
        <v>1909</v>
      </c>
      <c r="AA36" t="s">
        <v>1910</v>
      </c>
      <c r="AB36" t="s">
        <v>1911</v>
      </c>
      <c r="AC36" t="s">
        <v>1912</v>
      </c>
      <c r="AD36" t="s">
        <v>25</v>
      </c>
      <c r="AE36">
        <v>-1564454</v>
      </c>
      <c r="AF36" t="s">
        <v>52</v>
      </c>
      <c r="AG36">
        <v>2000</v>
      </c>
      <c r="AH36" t="s">
        <v>1913</v>
      </c>
      <c r="AI36" t="s">
        <v>215</v>
      </c>
      <c r="AJ36" t="s">
        <v>1914</v>
      </c>
      <c r="AK36" t="s">
        <v>1915</v>
      </c>
      <c r="AL36" t="s">
        <v>1916</v>
      </c>
      <c r="AM36" t="s">
        <v>25</v>
      </c>
      <c r="AN36" t="s">
        <v>1917</v>
      </c>
      <c r="AO36" t="s">
        <v>25</v>
      </c>
      <c r="AP36" t="s">
        <v>1918</v>
      </c>
      <c r="AQ36" t="s">
        <v>1919</v>
      </c>
      <c r="AR36" t="s">
        <v>25</v>
      </c>
      <c r="AS36" t="s">
        <v>1920</v>
      </c>
      <c r="AT36" t="s">
        <v>25</v>
      </c>
      <c r="AU36" t="s">
        <v>1921</v>
      </c>
      <c r="AV36" t="s">
        <v>1922</v>
      </c>
      <c r="AW36" t="s">
        <v>25</v>
      </c>
      <c r="AX36" t="s">
        <v>1030</v>
      </c>
      <c r="AY36" t="s">
        <v>238</v>
      </c>
      <c r="AZ36" t="s">
        <v>357</v>
      </c>
      <c r="BA36" t="s">
        <v>164</v>
      </c>
      <c r="BB36" t="s">
        <v>70</v>
      </c>
      <c r="BC36" t="s">
        <v>1096</v>
      </c>
      <c r="BD36" t="s">
        <v>691</v>
      </c>
      <c r="BE36" t="s">
        <v>414</v>
      </c>
      <c r="BF36" t="s">
        <v>165</v>
      </c>
      <c r="BG36" t="s">
        <v>416</v>
      </c>
      <c r="BH36" t="s">
        <v>56</v>
      </c>
      <c r="BI36" t="s">
        <v>1923</v>
      </c>
      <c r="BJ36" t="s">
        <v>1030</v>
      </c>
      <c r="BK36" t="s">
        <v>1908</v>
      </c>
      <c r="BL36" t="s">
        <v>1924</v>
      </c>
      <c r="BM36" t="s">
        <v>1096</v>
      </c>
      <c r="BN36">
        <v>3.52</v>
      </c>
      <c r="BO36">
        <v>6.14</v>
      </c>
      <c r="BP36">
        <v>3.38</v>
      </c>
      <c r="BQ36">
        <v>4.54</v>
      </c>
      <c r="BR36">
        <v>6.34</v>
      </c>
      <c r="BS36">
        <v>3.46</v>
      </c>
      <c r="BT36" t="s">
        <v>966</v>
      </c>
      <c r="BU36" t="s">
        <v>812</v>
      </c>
      <c r="BV36">
        <v>26.9</v>
      </c>
      <c r="BW36">
        <v>21.92</v>
      </c>
      <c r="BX36">
        <v>19.510000000000002</v>
      </c>
      <c r="BY36">
        <v>12.53</v>
      </c>
      <c r="BZ36">
        <v>11.64</v>
      </c>
      <c r="CA36">
        <v>6.48</v>
      </c>
      <c r="CB36">
        <v>-14.14</v>
      </c>
      <c r="CC36">
        <v>-0.47</v>
      </c>
      <c r="CD36" t="s">
        <v>1925</v>
      </c>
      <c r="CE36" t="s">
        <v>47</v>
      </c>
      <c r="CF36" s="10">
        <v>5.4571377983207374E-2</v>
      </c>
      <c r="CG36" s="11">
        <v>0.48304849756192436</v>
      </c>
      <c r="CH36" s="10">
        <v>-4.9418605864048004E-2</v>
      </c>
      <c r="CI36" s="10">
        <v>6.1728395521640778E-2</v>
      </c>
      <c r="CJ36" s="10">
        <v>0.2319391667842865</v>
      </c>
      <c r="CK36" s="10">
        <v>-0.16772152483463287</v>
      </c>
      <c r="CL36" s="10">
        <v>2.931596152484417E-2</v>
      </c>
      <c r="CM36" s="11">
        <v>2.2852521389722824E-2</v>
      </c>
      <c r="CN36" s="11">
        <v>0.91103434562683105</v>
      </c>
      <c r="CO36" s="11">
        <v>-0.42196625471115112</v>
      </c>
      <c r="CP36" s="11">
        <v>-0.29850709438323975</v>
      </c>
      <c r="CQ36" s="11">
        <v>0.10754265636205673</v>
      </c>
      <c r="CR36">
        <v>38.457492589908753</v>
      </c>
      <c r="CS36">
        <v>18.167167289277341</v>
      </c>
      <c r="CT36">
        <v>1.3550135501355014</v>
      </c>
      <c r="CU36" s="10">
        <v>2.1168678626418115E-2</v>
      </c>
      <c r="CV36" s="11">
        <v>6.4191234856843943E-2</v>
      </c>
      <c r="CW36">
        <v>0.06</v>
      </c>
      <c r="CX36">
        <v>23.505714833761601</v>
      </c>
      <c r="CY36">
        <v>39479922.50238204</v>
      </c>
      <c r="CZ36">
        <v>2.1168678626418115E-2</v>
      </c>
      <c r="DA36">
        <v>8.1460743044638573</v>
      </c>
      <c r="DB36">
        <v>113920370.14583525</v>
      </c>
      <c r="DC36">
        <v>2.0110244695097208E-2</v>
      </c>
      <c r="DD36">
        <v>4.3283833855155702</v>
      </c>
      <c r="DE36">
        <v>214399630.8426505</v>
      </c>
      <c r="DF36">
        <v>1.8628437191247942E-2</v>
      </c>
      <c r="DG36">
        <v>2.8246042470791051</v>
      </c>
      <c r="DH36">
        <v>328542945.78068393</v>
      </c>
      <c r="DI36">
        <v>1.6934942901134491E-2</v>
      </c>
      <c r="DJ36">
        <v>1.7336312156222151</v>
      </c>
      <c r="DK36">
        <v>535294814.51274598</v>
      </c>
      <c r="DL36">
        <v>1.481807503849268E-2</v>
      </c>
      <c r="DM36">
        <v>40981200</v>
      </c>
      <c r="DN36">
        <v>2.1168678626418115E-2</v>
      </c>
      <c r="DO36">
        <v>928003800</v>
      </c>
      <c r="DP36">
        <v>293626840</v>
      </c>
      <c r="DQ36">
        <v>2181</v>
      </c>
      <c r="DR36">
        <v>3.3402699356789259E-2</v>
      </c>
      <c r="DS36">
        <v>0.41885726270508039</v>
      </c>
      <c r="DT36" s="12">
        <v>-0.42333333333333334</v>
      </c>
      <c r="DU36">
        <v>5.000000000000001E-2</v>
      </c>
      <c r="DV36">
        <v>-0.37333333333333335</v>
      </c>
      <c r="DW36">
        <v>-5.0332390381895333</v>
      </c>
      <c r="DX36">
        <v>0.35670781249999978</v>
      </c>
      <c r="DY36">
        <v>-5.00919750154703</v>
      </c>
      <c r="DZ36">
        <v>2616</v>
      </c>
      <c r="EA36">
        <v>-5.0044889567237361</v>
      </c>
      <c r="EB36">
        <v>5</v>
      </c>
      <c r="EC36">
        <v>0.34462271953296036</v>
      </c>
      <c r="ED36">
        <v>1.2454390659207006</v>
      </c>
      <c r="EE36" s="13">
        <v>-5.0211100000000002</v>
      </c>
      <c r="EF36">
        <v>-5.0173100000000002</v>
      </c>
      <c r="EG36">
        <v>8.2767078124999998</v>
      </c>
      <c r="EH36" t="s">
        <v>1926</v>
      </c>
      <c r="EI36">
        <v>0</v>
      </c>
      <c r="EJ36">
        <v>0</v>
      </c>
      <c r="EK36" s="15">
        <v>45470</v>
      </c>
      <c r="EL36" s="16">
        <v>3.21</v>
      </c>
      <c r="EM36" s="16">
        <v>-3.29</v>
      </c>
      <c r="EN36" s="16">
        <v>1.35</v>
      </c>
      <c r="EO36" s="16">
        <v>1.39</v>
      </c>
      <c r="EP36" s="16">
        <v>0.38</v>
      </c>
    </row>
    <row r="37" spans="1:146" ht="168" x14ac:dyDescent="0.25">
      <c r="A37" s="8"/>
      <c r="B37" s="8"/>
      <c r="C37" s="8" t="str">
        <f>"公司是一家专业从事全品类功能性涂层复合材料研发、生产、销售的国家级高新技术企业。公司的主要产品是功能性涂层复合材料，作为国内领先的多功能涂层复合材料综合解决方案供应商，凭借强大的研发、生产及快速市场响应能力，公司能够根据市场和客户的不同需求，利用自身的技术优势为客户提供高质量、高性能的精密涂层材料产品和技术解决方案。"&amp;CHAR(10)&amp;Basic_Fundamental_Information_Constructure(F37)&amp;CHAR(10)&amp;Basic_Fundamental_Information_Concatenate("电子级胶粘材料 4.44亿 43.12% 65.81% 41.51%
功能性薄膜材料 2.58亿 25.07% 21.17% 22.97%
薄膜包装材料 2.55亿 24.77% 8.79% 9.65%")</f>
        <v>公司是一家专业从事全品类功能性涂层复合材料研发、生产、销售的国家级高新技术企业。公司的主要产品是功能性涂层复合材料，作为国内领先的多功能涂层复合材料综合解决方案供应商，凭借强大的研发、生产及快速市场响应能力，公司能够根据市场和客户的不同需求，利用自身的技术优势为客户提供高质量、高性能的精密涂层材料产品和技术解决方案。
市值46.417972亿, 利润-5007.37万; PE85.16; 平均PE39.93; 平均PEG3.92, PB2.12; ROIC4.89%; ROE9.95%; 股利率.1953%; 毛利27.9667%; 净利7.4167%; 上一年度营收增-88.28%, 利润增-129.81%; 当季营收增3347.72%, 利润增218.45%; 过往5年营收增-10.18%, 利润增-5.09%
Income profile:
电子级胶粘材料 4.44亿 43.12% 65.81% 41.51%
功能性薄膜材料 2.58亿 25.07% 21.17% 22.97%
薄膜包装材料 2.55亿 24.77% 8.79% 9.65%</v>
      </c>
      <c r="D37" t="s">
        <v>577</v>
      </c>
      <c r="E37" t="s">
        <v>578</v>
      </c>
      <c r="F37">
        <v>10.24</v>
      </c>
      <c r="G37">
        <v>2.4</v>
      </c>
      <c r="H37" t="s">
        <v>1927</v>
      </c>
      <c r="I37">
        <v>4641797200</v>
      </c>
      <c r="J37">
        <v>85.16</v>
      </c>
      <c r="K37">
        <v>2.12</v>
      </c>
      <c r="L37" t="s">
        <v>1187</v>
      </c>
      <c r="M37" t="s">
        <v>1928</v>
      </c>
      <c r="N37" t="s">
        <v>1929</v>
      </c>
      <c r="O37" t="s">
        <v>511</v>
      </c>
      <c r="P37">
        <v>37.4</v>
      </c>
      <c r="Q37" t="s">
        <v>155</v>
      </c>
      <c r="R37">
        <v>18638110</v>
      </c>
      <c r="S37" s="6">
        <v>-7.7399999999999997E-2</v>
      </c>
      <c r="T37" t="s">
        <v>1930</v>
      </c>
      <c r="U37">
        <v>275630950</v>
      </c>
      <c r="V37">
        <v>453300500</v>
      </c>
      <c r="W37">
        <v>3.32</v>
      </c>
      <c r="X37">
        <v>0.09</v>
      </c>
      <c r="Y37">
        <v>2.81</v>
      </c>
      <c r="Z37" t="s">
        <v>1025</v>
      </c>
      <c r="AA37" t="s">
        <v>1859</v>
      </c>
      <c r="AB37" t="s">
        <v>1931</v>
      </c>
      <c r="AC37" t="s">
        <v>1932</v>
      </c>
      <c r="AD37" t="s">
        <v>25</v>
      </c>
      <c r="AE37">
        <v>24290948</v>
      </c>
      <c r="AF37" t="s">
        <v>1933</v>
      </c>
      <c r="AG37" t="s">
        <v>1934</v>
      </c>
      <c r="AH37" t="s">
        <v>1935</v>
      </c>
      <c r="AI37" t="s">
        <v>105</v>
      </c>
      <c r="AJ37" t="s">
        <v>1936</v>
      </c>
      <c r="AK37" t="s">
        <v>81</v>
      </c>
      <c r="AL37" t="s">
        <v>1937</v>
      </c>
      <c r="AM37" t="s">
        <v>25</v>
      </c>
      <c r="AN37" t="s">
        <v>1074</v>
      </c>
      <c r="AO37" t="s">
        <v>1938</v>
      </c>
      <c r="AP37" t="s">
        <v>278</v>
      </c>
      <c r="AQ37" t="s">
        <v>1123</v>
      </c>
      <c r="AR37" t="s">
        <v>25</v>
      </c>
      <c r="AS37" t="s">
        <v>66</v>
      </c>
      <c r="AT37" t="s">
        <v>1939</v>
      </c>
      <c r="AU37" t="s">
        <v>1940</v>
      </c>
      <c r="AV37" t="s">
        <v>1941</v>
      </c>
      <c r="AW37" t="s">
        <v>1942</v>
      </c>
      <c r="AX37" t="s">
        <v>1022</v>
      </c>
      <c r="AY37" t="s">
        <v>693</v>
      </c>
      <c r="AZ37" t="s">
        <v>579</v>
      </c>
      <c r="BA37" t="s">
        <v>580</v>
      </c>
      <c r="BB37" t="s">
        <v>581</v>
      </c>
      <c r="BC37" t="s">
        <v>73</v>
      </c>
      <c r="BD37" t="s">
        <v>645</v>
      </c>
      <c r="BE37" t="s">
        <v>344</v>
      </c>
      <c r="BF37" t="s">
        <v>112</v>
      </c>
      <c r="BG37" t="s">
        <v>584</v>
      </c>
      <c r="BH37" t="s">
        <v>1943</v>
      </c>
      <c r="BI37" t="s">
        <v>1944</v>
      </c>
      <c r="BJ37" t="s">
        <v>1022</v>
      </c>
      <c r="BK37" t="s">
        <v>1945</v>
      </c>
      <c r="BL37" t="s">
        <v>1946</v>
      </c>
      <c r="BM37" t="s">
        <v>73</v>
      </c>
      <c r="BN37">
        <v>2.08</v>
      </c>
      <c r="BO37">
        <v>4.7699999999999996</v>
      </c>
      <c r="BP37">
        <v>7.82</v>
      </c>
      <c r="BQ37">
        <v>3.85</v>
      </c>
      <c r="BR37">
        <v>10.7</v>
      </c>
      <c r="BS37">
        <v>15.3</v>
      </c>
      <c r="BT37" t="s">
        <v>967</v>
      </c>
      <c r="BU37" t="s">
        <v>808</v>
      </c>
      <c r="BV37">
        <v>27.25</v>
      </c>
      <c r="BW37">
        <v>29.69</v>
      </c>
      <c r="BX37">
        <v>26.96</v>
      </c>
      <c r="BY37">
        <v>2.85</v>
      </c>
      <c r="BZ37">
        <v>8.9</v>
      </c>
      <c r="CA37">
        <v>10.5</v>
      </c>
      <c r="CB37">
        <v>-8.57</v>
      </c>
      <c r="CC37">
        <v>7.9</v>
      </c>
      <c r="CD37" t="s">
        <v>1947</v>
      </c>
      <c r="CE37" t="s">
        <v>350</v>
      </c>
      <c r="CF37" s="10">
        <v>33.47720817691377</v>
      </c>
      <c r="CG37" s="11">
        <v>2.1844775758962331</v>
      </c>
      <c r="CH37" s="10">
        <v>-0.88279169797897339</v>
      </c>
      <c r="CI37" s="10">
        <v>-5.3931482136249542E-2</v>
      </c>
      <c r="CJ37" s="10">
        <v>0.28914874792098999</v>
      </c>
      <c r="CK37" s="10">
        <v>7.3970779776573181E-2</v>
      </c>
      <c r="CL37" s="10">
        <v>6.4635910093784332E-2</v>
      </c>
      <c r="CM37" s="11">
        <v>-1.2980576753616333</v>
      </c>
      <c r="CN37" s="11">
        <v>-0.20000000298023224</v>
      </c>
      <c r="CO37" s="11">
        <v>0.15384615957736969</v>
      </c>
      <c r="CP37" s="11">
        <v>0.63963961601257324</v>
      </c>
      <c r="CQ37" s="11">
        <v>0.45003083348274231</v>
      </c>
      <c r="CR37">
        <v>39.930789342836547</v>
      </c>
      <c r="CS37">
        <v>3.9227229962077907</v>
      </c>
      <c r="CT37">
        <v>0.1953125</v>
      </c>
      <c r="CU37" s="10">
        <v>-0.10179354846477509</v>
      </c>
      <c r="CV37" s="11">
        <v>-5.0908213853836058E-2</v>
      </c>
      <c r="CW37">
        <v>0.06</v>
      </c>
      <c r="CX37" t="e">
        <v>#VALUE!</v>
      </c>
      <c r="CY37" t="s">
        <v>770</v>
      </c>
      <c r="CZ37">
        <v>-0.10179354846477509</v>
      </c>
      <c r="DA37" t="e">
        <v>#VALUE!</v>
      </c>
      <c r="DB37" t="s">
        <v>770</v>
      </c>
      <c r="DC37">
        <v>-9.6703871041536327E-2</v>
      </c>
      <c r="DD37" t="e">
        <v>#VALUE!</v>
      </c>
      <c r="DE37" t="s">
        <v>770</v>
      </c>
      <c r="DF37">
        <v>-8.9578322649002076E-2</v>
      </c>
      <c r="DG37" t="e">
        <v>#VALUE!</v>
      </c>
      <c r="DH37" t="s">
        <v>770</v>
      </c>
      <c r="DI37">
        <v>-8.1434838771820076E-2</v>
      </c>
      <c r="DJ37" t="e">
        <v>#VALUE!</v>
      </c>
      <c r="DK37" t="s">
        <v>770</v>
      </c>
      <c r="DL37">
        <v>-7.1255483925342561E-2</v>
      </c>
      <c r="DM37">
        <v>-50073700</v>
      </c>
      <c r="DN37">
        <v>-0.10179354846477509</v>
      </c>
      <c r="DO37">
        <v>7488797200</v>
      </c>
      <c r="DP37">
        <v>-187073600</v>
      </c>
      <c r="DQ37">
        <v>2263</v>
      </c>
      <c r="DR37">
        <v>33.579001725378546</v>
      </c>
      <c r="DS37">
        <v>2.2353857897500693</v>
      </c>
      <c r="DT37" s="12">
        <v>-0.64</v>
      </c>
      <c r="DU37">
        <v>-0.43333333333333335</v>
      </c>
      <c r="DV37">
        <v>-1.0733333333333333</v>
      </c>
      <c r="DW37">
        <v>-5.921820303383897</v>
      </c>
      <c r="DX37">
        <v>0.30209306930693014</v>
      </c>
      <c r="DY37">
        <v>-5.0848932610880695</v>
      </c>
      <c r="DZ37">
        <v>4474</v>
      </c>
      <c r="EA37">
        <v>-5.0105659714387496</v>
      </c>
      <c r="EB37">
        <v>5</v>
      </c>
      <c r="EC37">
        <v>0.1641542420535605</v>
      </c>
      <c r="ED37">
        <v>1.7824820400595189</v>
      </c>
      <c r="EE37" s="13">
        <v>-4.032</v>
      </c>
      <c r="EF37">
        <v>-4.0179</v>
      </c>
      <c r="EG37">
        <v>21.09209306930693</v>
      </c>
      <c r="EH37" t="s">
        <v>1021</v>
      </c>
      <c r="EI37">
        <v>0</v>
      </c>
      <c r="EJ37">
        <v>0</v>
      </c>
      <c r="EK37" s="15">
        <v>45470</v>
      </c>
      <c r="EL37" s="16">
        <v>-1.27</v>
      </c>
      <c r="EM37" s="16">
        <v>-5.13</v>
      </c>
      <c r="EN37" s="16">
        <v>0.17</v>
      </c>
      <c r="EO37" s="16">
        <v>7.76</v>
      </c>
      <c r="EP37" s="16">
        <v>-1.41</v>
      </c>
    </row>
    <row r="38" spans="1:146" ht="84" x14ac:dyDescent="0.25">
      <c r="A38" s="8"/>
      <c r="B38" s="8"/>
      <c r="C38" s="8" t="str">
        <f>""&amp;CHAR(10)&amp;Basic_Fundamental_Information_Constructure(F38)&amp;CHAR(10)&amp;Basic_Fundamental_Information_Concatenate("")</f>
        <v xml:space="preserve">
市值36.301695亿, 利润7388.62万; PE44.28; 平均PE24.81; 平均PEG43.41, PB1.23; ROIC17.4867%; ROE17.89%; 股利率1.0672%; 毛利10.7067%; 净利9.0967%; 上一年度营收增-42.78%, 利润增-47.22%; 当季营收增40.15%, 利润增43.96%; 过往5年营收增-.57%, 利润增31.49%
Income profile:
</v>
      </c>
      <c r="D38" t="s">
        <v>695</v>
      </c>
      <c r="E38" t="s">
        <v>696</v>
      </c>
      <c r="F38">
        <v>18.739999999999998</v>
      </c>
      <c r="G38">
        <v>-3.2</v>
      </c>
      <c r="H38" t="s">
        <v>1948</v>
      </c>
      <c r="I38">
        <v>3630169500</v>
      </c>
      <c r="J38">
        <v>44.28</v>
      </c>
      <c r="K38">
        <v>1.23</v>
      </c>
      <c r="L38" t="s">
        <v>1187</v>
      </c>
      <c r="M38" t="s">
        <v>143</v>
      </c>
      <c r="N38" t="s">
        <v>1949</v>
      </c>
      <c r="O38" t="s">
        <v>1950</v>
      </c>
      <c r="P38">
        <v>11.05</v>
      </c>
      <c r="Q38" t="s">
        <v>1951</v>
      </c>
      <c r="R38">
        <v>22031141</v>
      </c>
      <c r="S38" s="6">
        <v>9.2299999999999993E-2</v>
      </c>
      <c r="T38" t="s">
        <v>1952</v>
      </c>
      <c r="U38">
        <v>61406907</v>
      </c>
      <c r="V38">
        <v>193712350</v>
      </c>
      <c r="W38">
        <v>1.1499999999999999</v>
      </c>
      <c r="X38">
        <v>0.11</v>
      </c>
      <c r="Y38">
        <v>6.06</v>
      </c>
      <c r="Z38" t="s">
        <v>786</v>
      </c>
      <c r="AA38" t="s">
        <v>858</v>
      </c>
      <c r="AB38" t="s">
        <v>1953</v>
      </c>
      <c r="AC38" t="s">
        <v>1954</v>
      </c>
      <c r="AD38" t="s">
        <v>25</v>
      </c>
      <c r="AE38">
        <v>-14830987</v>
      </c>
      <c r="AF38" t="s">
        <v>1955</v>
      </c>
      <c r="AG38">
        <v>5693.81</v>
      </c>
      <c r="AH38" t="s">
        <v>1956</v>
      </c>
      <c r="AI38" t="s">
        <v>825</v>
      </c>
      <c r="AJ38" t="s">
        <v>1957</v>
      </c>
      <c r="AK38" t="s">
        <v>25</v>
      </c>
      <c r="AL38" t="s">
        <v>1958</v>
      </c>
      <c r="AM38" t="s">
        <v>25</v>
      </c>
      <c r="AN38" t="s">
        <v>1959</v>
      </c>
      <c r="AO38" t="s">
        <v>76</v>
      </c>
      <c r="AP38" t="s">
        <v>1024</v>
      </c>
      <c r="AQ38" t="s">
        <v>1960</v>
      </c>
      <c r="AR38" t="s">
        <v>25</v>
      </c>
      <c r="AS38" t="s">
        <v>386</v>
      </c>
      <c r="AT38" t="s">
        <v>25</v>
      </c>
      <c r="AU38" t="s">
        <v>1961</v>
      </c>
      <c r="AV38" t="s">
        <v>1962</v>
      </c>
      <c r="AW38" t="s">
        <v>1963</v>
      </c>
      <c r="AX38" t="s">
        <v>1103</v>
      </c>
      <c r="AY38" t="s">
        <v>697</v>
      </c>
      <c r="AZ38" t="s">
        <v>651</v>
      </c>
      <c r="BA38" t="s">
        <v>698</v>
      </c>
      <c r="BB38" t="s">
        <v>544</v>
      </c>
      <c r="BC38" t="s">
        <v>234</v>
      </c>
      <c r="BD38" t="s">
        <v>330</v>
      </c>
      <c r="BE38" t="s">
        <v>594</v>
      </c>
      <c r="BF38" t="s">
        <v>57</v>
      </c>
      <c r="BG38" t="s">
        <v>699</v>
      </c>
      <c r="BH38" t="s">
        <v>1964</v>
      </c>
      <c r="BI38" t="s">
        <v>883</v>
      </c>
      <c r="BJ38" t="s">
        <v>1103</v>
      </c>
      <c r="BK38" t="s">
        <v>1965</v>
      </c>
      <c r="BL38" t="s">
        <v>1966</v>
      </c>
      <c r="BM38" t="s">
        <v>234</v>
      </c>
      <c r="BN38">
        <v>0.65</v>
      </c>
      <c r="BO38">
        <v>5.32</v>
      </c>
      <c r="BP38">
        <v>46.49</v>
      </c>
      <c r="BQ38">
        <v>1.8</v>
      </c>
      <c r="BR38">
        <v>4.97</v>
      </c>
      <c r="BS38">
        <v>46.9</v>
      </c>
      <c r="BT38" t="s">
        <v>966</v>
      </c>
      <c r="BU38" t="s">
        <v>517</v>
      </c>
      <c r="BV38">
        <v>3.89</v>
      </c>
      <c r="BW38">
        <v>6.79</v>
      </c>
      <c r="BX38">
        <v>21.44</v>
      </c>
      <c r="BY38">
        <v>5.0199999999999996</v>
      </c>
      <c r="BZ38">
        <v>7.49</v>
      </c>
      <c r="CA38">
        <v>14.78</v>
      </c>
      <c r="CB38">
        <v>-6.3</v>
      </c>
      <c r="CC38">
        <v>0</v>
      </c>
      <c r="CD38" t="s">
        <v>1967</v>
      </c>
      <c r="CE38" t="s">
        <v>1968</v>
      </c>
      <c r="CF38" s="10">
        <v>0.40154440154440152</v>
      </c>
      <c r="CG38" s="11">
        <v>0.43961453262325612</v>
      </c>
      <c r="CH38" s="10">
        <v>-0.42780748009681702</v>
      </c>
      <c r="CI38" s="10">
        <v>-5.364372581243515E-2</v>
      </c>
      <c r="CJ38" s="10">
        <v>0.50724631547927856</v>
      </c>
      <c r="CK38" s="10">
        <v>7.9012341797351837E-2</v>
      </c>
      <c r="CL38" s="10">
        <v>-0.13338084518909454</v>
      </c>
      <c r="CM38" s="11">
        <v>-0.47224143147468567</v>
      </c>
      <c r="CN38" s="11">
        <v>-0.52054792642593384</v>
      </c>
      <c r="CO38" s="11">
        <v>0.32126697897911072</v>
      </c>
      <c r="CP38" s="11">
        <v>1.1666666269302368</v>
      </c>
      <c r="CQ38" s="11">
        <v>1.0795149803161621</v>
      </c>
      <c r="CR38">
        <v>24.809342046647814</v>
      </c>
      <c r="CS38">
        <v>43.413362447327231</v>
      </c>
      <c r="CT38">
        <v>1.0672358591248667</v>
      </c>
      <c r="CU38" s="10">
        <v>-5.7146787643432614E-3</v>
      </c>
      <c r="CV38" s="11">
        <v>0.31493184566497801</v>
      </c>
      <c r="CW38">
        <v>0.06</v>
      </c>
      <c r="CX38">
        <v>15.688579193408241</v>
      </c>
      <c r="CY38" t="s">
        <v>1969</v>
      </c>
      <c r="CZ38">
        <v>-5.7146787643432614E-3</v>
      </c>
      <c r="DA38">
        <v>5.2295263978027471</v>
      </c>
      <c r="DB38" t="s">
        <v>1970</v>
      </c>
      <c r="DC38">
        <v>-5.4289448261260979E-3</v>
      </c>
      <c r="DD38">
        <v>2.6147631989013735</v>
      </c>
      <c r="DE38" t="s">
        <v>1971</v>
      </c>
      <c r="DF38">
        <v>-5.0289173126220697E-3</v>
      </c>
      <c r="DG38">
        <v>1.5688579193408241</v>
      </c>
      <c r="DH38" t="s">
        <v>1972</v>
      </c>
      <c r="DI38">
        <v>-4.5717430114746091E-3</v>
      </c>
      <c r="DJ38">
        <v>0.78442895967041204</v>
      </c>
      <c r="DK38" t="s">
        <v>1973</v>
      </c>
      <c r="DL38">
        <v>-4.000275135040283E-3</v>
      </c>
      <c r="DM38">
        <v>73886200</v>
      </c>
      <c r="DN38">
        <v>-5.7146787643432614E-3</v>
      </c>
      <c r="DO38">
        <v>1159169500</v>
      </c>
      <c r="DP38">
        <v>488652630</v>
      </c>
      <c r="DQ38">
        <v>2291</v>
      </c>
      <c r="DR38">
        <v>0.4072590803087448</v>
      </c>
      <c r="DS38">
        <v>0.12468268695827811</v>
      </c>
      <c r="DT38" s="12">
        <v>-0.47333333333333333</v>
      </c>
      <c r="DU38">
        <v>0.46999999999999992</v>
      </c>
      <c r="DV38">
        <v>-3.3333333333334103E-3</v>
      </c>
      <c r="DW38">
        <v>-5</v>
      </c>
      <c r="DX38">
        <v>0.4063530060480548</v>
      </c>
      <c r="DY38">
        <v>-5</v>
      </c>
      <c r="DZ38">
        <v>721</v>
      </c>
      <c r="EA38">
        <v>-5</v>
      </c>
      <c r="EB38">
        <v>5</v>
      </c>
      <c r="EC38">
        <v>0.10994652638306231</v>
      </c>
      <c r="ED38">
        <v>0.39784814958881043</v>
      </c>
      <c r="EE38" s="13">
        <v>4.0379100000000001</v>
      </c>
      <c r="EF38">
        <v>4.0586099999999998</v>
      </c>
      <c r="EG38">
        <v>13.276353006048055</v>
      </c>
      <c r="EH38" t="s">
        <v>1974</v>
      </c>
      <c r="EI38">
        <v>0</v>
      </c>
      <c r="EJ38">
        <v>1</v>
      </c>
      <c r="EK38" s="15">
        <v>45470</v>
      </c>
      <c r="EL38" s="16">
        <v>-0.51</v>
      </c>
      <c r="EM38" s="16">
        <v>-5.1100000000000003</v>
      </c>
      <c r="EN38" s="16">
        <v>-1.45</v>
      </c>
      <c r="EO38" s="16">
        <v>0.27</v>
      </c>
      <c r="EP38" s="16">
        <v>-2.0699999999999998</v>
      </c>
    </row>
    <row r="39" spans="1:146" ht="156" x14ac:dyDescent="0.25">
      <c r="A39" s="8" t="s">
        <v>891</v>
      </c>
      <c r="B39" s="8" t="s">
        <v>636</v>
      </c>
      <c r="C39" s="8" t="str">
        <f>"公司从事无毒环保高分子泡沫塑料的研发、生产和销售，主要产品为抗菌增强系列、普及系列、特种系列。"&amp;CHAR(10)&amp;Basic_Fundamental_Information_Constructure(F39)&amp;CHAR(10)&amp;Basic_Fundamental_Information_Concatenate("IXPE 2.34亿 95.90% 98.69% 27.56%
其他业务 1002.24万 4.10% 1.31% 8.58%")</f>
        <v>公司从事无毒环保高分子泡沫塑料的研发、生产和销售，主要产品为抗菌增强系列、普及系列、特种系列。
市值14.21亿, 利润3752.50万; PE24.28; 平均PE17.35; 平均PEG1.09, PB1.21; ROIC3.2367%; ROE4.16%; 股利率1.4075%; 毛利26.5467%; 净利12.4867%; 上一年度营收增54.87%, 利润增12.13%; 当季营收增-31.63%, 利润增48.65%; 过往5年营收增15.89%, 利润增-7.47%
Income profile:
IXPE 2.34亿 95.90% 98.69% 27.56%
其他业务 1002.24万 4.10% 1.31% 8.58%</v>
      </c>
      <c r="D39" t="s">
        <v>422</v>
      </c>
      <c r="E39" t="s">
        <v>423</v>
      </c>
      <c r="F39">
        <v>14.21</v>
      </c>
      <c r="G39">
        <v>1.65</v>
      </c>
      <c r="H39" t="s">
        <v>1975</v>
      </c>
      <c r="I39">
        <v>1421000000</v>
      </c>
      <c r="J39">
        <v>24.28</v>
      </c>
      <c r="K39">
        <v>1.21</v>
      </c>
      <c r="L39" t="s">
        <v>1187</v>
      </c>
      <c r="M39" t="s">
        <v>72</v>
      </c>
      <c r="N39" t="s">
        <v>1079</v>
      </c>
      <c r="O39" t="s">
        <v>1976</v>
      </c>
      <c r="P39">
        <v>45.84</v>
      </c>
      <c r="Q39" t="s">
        <v>1977</v>
      </c>
      <c r="R39">
        <v>13381191</v>
      </c>
      <c r="S39" s="6">
        <v>5.3330000000000002</v>
      </c>
      <c r="T39" t="s">
        <v>1978</v>
      </c>
      <c r="U39">
        <v>64572170</v>
      </c>
      <c r="V39">
        <v>100000000</v>
      </c>
      <c r="W39">
        <v>1.1200000000000001</v>
      </c>
      <c r="X39">
        <v>7.0000000000000007E-2</v>
      </c>
      <c r="Y39">
        <v>12.87</v>
      </c>
      <c r="Z39" t="s">
        <v>1979</v>
      </c>
      <c r="AA39" t="s">
        <v>1980</v>
      </c>
      <c r="AB39" t="s">
        <v>1981</v>
      </c>
      <c r="AC39" t="s">
        <v>1982</v>
      </c>
      <c r="AD39" t="s">
        <v>25</v>
      </c>
      <c r="AE39">
        <v>-2544241</v>
      </c>
      <c r="AF39" t="s">
        <v>52</v>
      </c>
      <c r="AG39">
        <v>4140.55</v>
      </c>
      <c r="AH39" t="s">
        <v>1983</v>
      </c>
      <c r="AI39" t="s">
        <v>280</v>
      </c>
      <c r="AJ39" t="s">
        <v>1984</v>
      </c>
      <c r="AK39" t="s">
        <v>1985</v>
      </c>
      <c r="AL39" t="s">
        <v>1986</v>
      </c>
      <c r="AM39" t="s">
        <v>25</v>
      </c>
      <c r="AN39" t="s">
        <v>1987</v>
      </c>
      <c r="AO39" t="s">
        <v>1988</v>
      </c>
      <c r="AP39" t="s">
        <v>25</v>
      </c>
      <c r="AQ39" t="s">
        <v>1989</v>
      </c>
      <c r="AR39" t="s">
        <v>25</v>
      </c>
      <c r="AS39" t="s">
        <v>230</v>
      </c>
      <c r="AT39" t="s">
        <v>25</v>
      </c>
      <c r="AU39" t="s">
        <v>1990</v>
      </c>
      <c r="AV39" t="s">
        <v>1991</v>
      </c>
      <c r="AW39" t="s">
        <v>1992</v>
      </c>
      <c r="AX39" t="s">
        <v>1105</v>
      </c>
      <c r="AY39" t="s">
        <v>700</v>
      </c>
      <c r="AZ39" t="s">
        <v>382</v>
      </c>
      <c r="BA39" t="s">
        <v>53</v>
      </c>
      <c r="BB39" t="s">
        <v>51</v>
      </c>
      <c r="BC39" t="s">
        <v>1106</v>
      </c>
      <c r="BD39" t="s">
        <v>701</v>
      </c>
      <c r="BE39" t="s">
        <v>206</v>
      </c>
      <c r="BF39" t="s">
        <v>86</v>
      </c>
      <c r="BG39" t="s">
        <v>424</v>
      </c>
      <c r="BH39" t="s">
        <v>1040</v>
      </c>
      <c r="BI39" t="s">
        <v>234</v>
      </c>
      <c r="BJ39" t="s">
        <v>1105</v>
      </c>
      <c r="BK39" t="s">
        <v>1993</v>
      </c>
      <c r="BL39" t="s">
        <v>1994</v>
      </c>
      <c r="BM39" t="s">
        <v>1106</v>
      </c>
      <c r="BN39">
        <v>0.63</v>
      </c>
      <c r="BO39">
        <v>2.11</v>
      </c>
      <c r="BP39">
        <v>6.97</v>
      </c>
      <c r="BQ39">
        <v>1.7</v>
      </c>
      <c r="BR39">
        <v>2.92</v>
      </c>
      <c r="BS39">
        <v>7.86</v>
      </c>
      <c r="BT39" t="s">
        <v>966</v>
      </c>
      <c r="BU39" t="s">
        <v>812</v>
      </c>
      <c r="BV39">
        <v>24.08</v>
      </c>
      <c r="BW39">
        <v>20.94</v>
      </c>
      <c r="BX39">
        <v>34.619999999999997</v>
      </c>
      <c r="BY39">
        <v>10.91</v>
      </c>
      <c r="BZ39">
        <v>8.59</v>
      </c>
      <c r="CA39">
        <v>17.96</v>
      </c>
      <c r="CB39">
        <v>-5.52</v>
      </c>
      <c r="CC39">
        <v>-10.119999999999999</v>
      </c>
      <c r="CD39" t="s">
        <v>1995</v>
      </c>
      <c r="CE39" t="s">
        <v>1996</v>
      </c>
      <c r="CF39" s="10">
        <v>-0.31633785714285717</v>
      </c>
      <c r="CG39" s="11">
        <v>0.48645216116239542</v>
      </c>
      <c r="CH39" s="10">
        <v>0.54871797561645508</v>
      </c>
      <c r="CI39" s="10">
        <v>-0.22310757637023926</v>
      </c>
      <c r="CJ39" s="10">
        <v>0.15668202936649323</v>
      </c>
      <c r="CK39" s="10">
        <v>0.18904109299182892</v>
      </c>
      <c r="CL39" s="10">
        <v>0.12307692319154739</v>
      </c>
      <c r="CM39" s="11">
        <v>0.12128057330846786</v>
      </c>
      <c r="CN39" s="11">
        <v>-0.62844192981719971</v>
      </c>
      <c r="CO39" s="11">
        <v>-0.29078814387321472</v>
      </c>
      <c r="CP39" s="11">
        <v>9.482758492231369E-2</v>
      </c>
      <c r="CQ39" s="11">
        <v>0.3297353982925415</v>
      </c>
      <c r="CR39">
        <v>17.354082514326887</v>
      </c>
      <c r="CS39">
        <v>1.0922617286824226</v>
      </c>
      <c r="CT39">
        <v>1.4074595355383532</v>
      </c>
      <c r="CU39" s="10">
        <v>0.15888208895921707</v>
      </c>
      <c r="CV39" s="11">
        <v>-7.4677303433418274E-2</v>
      </c>
      <c r="CW39">
        <v>0.06</v>
      </c>
      <c r="CX39">
        <v>8.8725263395823131</v>
      </c>
      <c r="CY39">
        <v>41025519.234145865</v>
      </c>
      <c r="CZ39">
        <v>0.15888208895921707</v>
      </c>
      <c r="DA39">
        <v>2.7364475732975331</v>
      </c>
      <c r="DB39">
        <v>133019175.50036044</v>
      </c>
      <c r="DC39">
        <v>0.1509379845112562</v>
      </c>
      <c r="DD39">
        <v>1.2443581159777373</v>
      </c>
      <c r="DE39">
        <v>292520292.45133507</v>
      </c>
      <c r="DF39">
        <v>0.13981623828411102</v>
      </c>
      <c r="DG39">
        <v>0.68144134510995424</v>
      </c>
      <c r="DH39">
        <v>534161894.65472871</v>
      </c>
      <c r="DI39">
        <v>0.12710567116737367</v>
      </c>
      <c r="DJ39">
        <v>0.28484817361775921</v>
      </c>
      <c r="DK39">
        <v>1277873736.6540234</v>
      </c>
      <c r="DL39">
        <v>0.11121746227145195</v>
      </c>
      <c r="DM39">
        <v>37525000</v>
      </c>
      <c r="DN39">
        <v>0.15888208895921707</v>
      </c>
      <c r="DO39">
        <v>364000000</v>
      </c>
      <c r="DP39">
        <v>609552660</v>
      </c>
      <c r="DQ39">
        <v>2375</v>
      </c>
      <c r="DR39">
        <v>-0.47521994610207424</v>
      </c>
      <c r="DS39">
        <v>0.5611294645958137</v>
      </c>
      <c r="DT39" s="12">
        <v>-0.17333333333333334</v>
      </c>
      <c r="DU39">
        <v>-0.11333333333333333</v>
      </c>
      <c r="DV39">
        <v>-0.28666666666666668</v>
      </c>
      <c r="DW39">
        <v>-8.545454545454545</v>
      </c>
      <c r="DX39">
        <v>0.29156208733595401</v>
      </c>
      <c r="DY39">
        <v>-8.0772156840014304</v>
      </c>
      <c r="DZ39">
        <v>19</v>
      </c>
      <c r="EA39">
        <v>-8.0769285806753981</v>
      </c>
      <c r="EB39">
        <v>8</v>
      </c>
      <c r="EC39">
        <v>9.3694E-2</v>
      </c>
      <c r="ED39">
        <v>0.66185799999999995</v>
      </c>
      <c r="EE39" s="13">
        <v>4.0350099999999998</v>
      </c>
      <c r="EF39">
        <v>4.0598099999999997</v>
      </c>
      <c r="EG39">
        <v>15.141562087335954</v>
      </c>
      <c r="EH39" t="s">
        <v>1974</v>
      </c>
      <c r="EI39">
        <v>0</v>
      </c>
      <c r="EJ39">
        <v>1</v>
      </c>
      <c r="EK39" s="15">
        <v>45470</v>
      </c>
      <c r="EL39" s="16">
        <v>-0.55000000000000004</v>
      </c>
      <c r="EM39" s="16">
        <v>-2.39</v>
      </c>
      <c r="EN39" s="16">
        <v>-1.33</v>
      </c>
      <c r="EO39" s="16">
        <v>3.89</v>
      </c>
      <c r="EP39" s="16">
        <v>-2.48</v>
      </c>
    </row>
    <row r="40" spans="1:146" ht="132" x14ac:dyDescent="0.25">
      <c r="A40" s="8" t="s">
        <v>892</v>
      </c>
      <c r="B40" s="8"/>
      <c r="C40" s="8" t="str">
        <f>"公司主营业务是聚烯烃发泡材料的研发、生产和销售。聚烯烃发泡材料是制造建筑装饰材料、消费电子产品、汽车内饰材料、电器产品及医疗器械等产品的重要功能性材料。"&amp;CHAR(10)&amp;Basic_Fundamental_Information_Constructure(F40)&amp;CHAR(10)&amp;Basic_Fundamental_Information_Concatenate("IXPE 4.35亿 95.19% 96.65% 38.03%
IXPP 1664.60万 3.64% 1.98% 20.39%")</f>
        <v>公司主营业务是聚烯烃发泡材料的研发、生产和销售。聚烯烃发泡材料是制造建筑装饰材料、消费电子产品、汽车内饰材料、电器产品及医疗器械等产品的重要功能性材料。
市值15.734883亿, 利润-1.31亿; PE35.72; 平均PE52.85; 平均PEG.5, PB1.71; ROIC7.2933%; ROE7.33%; 股利率2.1323%; 毛利35.2033%; 净利15.0133%; 上一年度营收增462.83%, 利润增-331.18%; 当季营收增-78.39%, 利润增188.94%; 过往5年营收增106.53%, 利润增-51.06%
Income profile:
IXPE 4.35亿 95.19% 96.65% 38.03%
IXPP 1664.60万 3.64% 1.98% 20.39%</v>
      </c>
      <c r="D40" t="s">
        <v>425</v>
      </c>
      <c r="E40" t="s">
        <v>426</v>
      </c>
      <c r="F40">
        <v>14.55</v>
      </c>
      <c r="G40">
        <v>0.48</v>
      </c>
      <c r="H40" t="s">
        <v>1997</v>
      </c>
      <c r="I40">
        <v>1573488300</v>
      </c>
      <c r="J40">
        <v>35.72</v>
      </c>
      <c r="K40">
        <v>1.71</v>
      </c>
      <c r="L40" t="s">
        <v>1187</v>
      </c>
      <c r="M40" t="s">
        <v>1740</v>
      </c>
      <c r="N40" t="s">
        <v>1998</v>
      </c>
      <c r="O40" t="s">
        <v>1999</v>
      </c>
      <c r="P40">
        <v>40.090000000000003</v>
      </c>
      <c r="Q40" t="s">
        <v>2000</v>
      </c>
      <c r="R40">
        <v>5491592</v>
      </c>
      <c r="S40" s="6">
        <v>1.2310000000000001</v>
      </c>
      <c r="T40" t="s">
        <v>84</v>
      </c>
      <c r="U40">
        <v>68128085</v>
      </c>
      <c r="V40">
        <v>108143525</v>
      </c>
      <c r="W40">
        <v>1.57</v>
      </c>
      <c r="X40">
        <v>0.06</v>
      </c>
      <c r="Y40">
        <v>5.88</v>
      </c>
      <c r="Z40" t="s">
        <v>2001</v>
      </c>
      <c r="AA40" t="s">
        <v>2002</v>
      </c>
      <c r="AB40" t="s">
        <v>2003</v>
      </c>
      <c r="AC40" t="s">
        <v>2004</v>
      </c>
      <c r="AD40" t="s">
        <v>25</v>
      </c>
      <c r="AE40">
        <v>369185</v>
      </c>
      <c r="AF40" t="s">
        <v>2005</v>
      </c>
      <c r="AG40">
        <v>22.69</v>
      </c>
      <c r="AH40" t="s">
        <v>2006</v>
      </c>
      <c r="AI40" t="s">
        <v>185</v>
      </c>
      <c r="AJ40" t="s">
        <v>2007</v>
      </c>
      <c r="AK40" t="s">
        <v>25</v>
      </c>
      <c r="AL40" t="s">
        <v>2008</v>
      </c>
      <c r="AM40" t="s">
        <v>25</v>
      </c>
      <c r="AN40" t="s">
        <v>248</v>
      </c>
      <c r="AO40" t="s">
        <v>2009</v>
      </c>
      <c r="AP40" t="s">
        <v>2010</v>
      </c>
      <c r="AQ40" t="s">
        <v>2011</v>
      </c>
      <c r="AR40" t="s">
        <v>25</v>
      </c>
      <c r="AS40" t="s">
        <v>89</v>
      </c>
      <c r="AT40" t="s">
        <v>25</v>
      </c>
      <c r="AU40" t="s">
        <v>2012</v>
      </c>
      <c r="AV40" t="s">
        <v>2013</v>
      </c>
      <c r="AW40" t="s">
        <v>2014</v>
      </c>
      <c r="AX40" t="s">
        <v>671</v>
      </c>
      <c r="AY40" t="s">
        <v>88</v>
      </c>
      <c r="AZ40" t="s">
        <v>428</v>
      </c>
      <c r="BA40" t="s">
        <v>231</v>
      </c>
      <c r="BB40" t="s">
        <v>98</v>
      </c>
      <c r="BC40" t="s">
        <v>1107</v>
      </c>
      <c r="BD40" t="s">
        <v>702</v>
      </c>
      <c r="BE40" t="s">
        <v>429</v>
      </c>
      <c r="BF40" t="s">
        <v>430</v>
      </c>
      <c r="BG40" t="s">
        <v>431</v>
      </c>
      <c r="BH40" t="s">
        <v>2015</v>
      </c>
      <c r="BI40" t="s">
        <v>386</v>
      </c>
      <c r="BJ40" t="s">
        <v>671</v>
      </c>
      <c r="BK40" t="s">
        <v>2016</v>
      </c>
      <c r="BL40" t="s">
        <v>2017</v>
      </c>
      <c r="BM40" t="s">
        <v>1107</v>
      </c>
      <c r="BN40">
        <v>2.7</v>
      </c>
      <c r="BO40">
        <v>5.76</v>
      </c>
      <c r="BP40">
        <v>13.42</v>
      </c>
      <c r="BQ40">
        <v>3.34</v>
      </c>
      <c r="BR40">
        <v>6.08</v>
      </c>
      <c r="BS40">
        <v>12.57</v>
      </c>
      <c r="BT40" t="s">
        <v>2018</v>
      </c>
      <c r="BU40" t="s">
        <v>812</v>
      </c>
      <c r="BV40">
        <v>37.049999999999997</v>
      </c>
      <c r="BW40">
        <v>31.1</v>
      </c>
      <c r="BX40">
        <v>37.46</v>
      </c>
      <c r="BY40">
        <v>10.69</v>
      </c>
      <c r="BZ40">
        <v>15.17</v>
      </c>
      <c r="CA40">
        <v>19.18</v>
      </c>
      <c r="CB40">
        <v>-7.68</v>
      </c>
      <c r="CC40">
        <v>-20.71</v>
      </c>
      <c r="CD40" t="s">
        <v>2019</v>
      </c>
      <c r="CE40" t="s">
        <v>2020</v>
      </c>
      <c r="CF40" s="10">
        <v>-0.78386365740740738</v>
      </c>
      <c r="CG40" s="11">
        <v>1.8893698479278345</v>
      </c>
      <c r="CH40" s="10">
        <v>4.6283421516418457</v>
      </c>
      <c r="CI40" s="10">
        <v>-0.190476194024086</v>
      </c>
      <c r="CJ40" s="10">
        <v>0.45741325616836548</v>
      </c>
      <c r="CK40" s="10">
        <v>0.11619718372821808</v>
      </c>
      <c r="CL40" s="10">
        <v>0.31481480598449707</v>
      </c>
      <c r="CM40" s="11">
        <v>-3.3118326663970947</v>
      </c>
      <c r="CN40" s="11">
        <v>-0.35414415597915649</v>
      </c>
      <c r="CO40" s="11">
        <v>0.17086488008499146</v>
      </c>
      <c r="CP40" s="11">
        <v>0.3515230119228363</v>
      </c>
      <c r="CQ40" s="11">
        <v>0.59068882465362549</v>
      </c>
      <c r="CR40">
        <v>52.851161379458595</v>
      </c>
      <c r="CS40">
        <v>0.49613473390959795</v>
      </c>
      <c r="CT40">
        <v>2.132325773195876</v>
      </c>
      <c r="CU40" s="10">
        <v>1.0652582406997682</v>
      </c>
      <c r="CV40" s="11">
        <v>-0.51058002114295964</v>
      </c>
      <c r="CW40">
        <v>0.06</v>
      </c>
      <c r="CX40" t="e">
        <v>#VALUE!</v>
      </c>
      <c r="CY40" t="s">
        <v>770</v>
      </c>
      <c r="CZ40">
        <v>1.0652582406997682</v>
      </c>
      <c r="DA40" t="e">
        <v>#VALUE!</v>
      </c>
      <c r="DB40" t="s">
        <v>770</v>
      </c>
      <c r="DC40">
        <v>1.0119953286647796</v>
      </c>
      <c r="DD40" t="e">
        <v>#VALUE!</v>
      </c>
      <c r="DE40" t="s">
        <v>770</v>
      </c>
      <c r="DF40">
        <v>0.937427251815796</v>
      </c>
      <c r="DG40" t="e">
        <v>#VALUE!</v>
      </c>
      <c r="DH40" t="s">
        <v>770</v>
      </c>
      <c r="DI40">
        <v>0.85220659255981457</v>
      </c>
      <c r="DJ40" t="e">
        <v>#VALUE!</v>
      </c>
      <c r="DK40" t="s">
        <v>770</v>
      </c>
      <c r="DL40">
        <v>0.74568076848983766</v>
      </c>
      <c r="DM40">
        <v>-131000000</v>
      </c>
      <c r="DN40">
        <v>1.0652582406997682</v>
      </c>
      <c r="DO40">
        <v>1213488300</v>
      </c>
      <c r="DP40">
        <v>524304990</v>
      </c>
      <c r="DQ40">
        <v>2430</v>
      </c>
      <c r="DR40">
        <v>-1.8491218981071755</v>
      </c>
      <c r="DS40">
        <v>2.3999498690707943</v>
      </c>
      <c r="DT40" s="12">
        <v>-5.6666666666666719E-2</v>
      </c>
      <c r="DU40">
        <v>-0.77</v>
      </c>
      <c r="DV40">
        <v>-0.82666666666666677</v>
      </c>
      <c r="DW40">
        <v>-9.3708353452438438</v>
      </c>
      <c r="DX40">
        <v>0.29628923501763793</v>
      </c>
      <c r="DY40">
        <v>-9.0653742793305394</v>
      </c>
      <c r="DZ40">
        <v>648</v>
      </c>
      <c r="EA40">
        <v>-9.0570841554545733</v>
      </c>
      <c r="EB40">
        <v>9</v>
      </c>
      <c r="EC40">
        <v>5.1711833880021943E-2</v>
      </c>
      <c r="ED40">
        <v>0.29333517656281316</v>
      </c>
      <c r="EE40" s="13">
        <v>2.13761</v>
      </c>
      <c r="EF40">
        <v>1.01301</v>
      </c>
      <c r="EG40">
        <v>12.176289235017638</v>
      </c>
      <c r="EH40" t="s">
        <v>986</v>
      </c>
      <c r="EI40">
        <v>0</v>
      </c>
      <c r="EJ40">
        <v>1</v>
      </c>
      <c r="EK40" s="15">
        <v>45470</v>
      </c>
      <c r="EL40" s="16">
        <v>-3.11</v>
      </c>
      <c r="EM40" s="16">
        <v>-2.5499999999999998</v>
      </c>
      <c r="EN40" s="16">
        <v>-0.79</v>
      </c>
      <c r="EO40" s="16">
        <v>-0.43</v>
      </c>
      <c r="EP40" s="16">
        <v>-2.54</v>
      </c>
    </row>
    <row r="41" spans="1:146" ht="84" x14ac:dyDescent="0.25">
      <c r="A41" s="8"/>
      <c r="B41" s="8"/>
      <c r="C41" s="8" t="str">
        <f>""&amp;CHAR(10)&amp;Basic_Fundamental_Information_Constructure(F41)&amp;CHAR(10)&amp;Basic_Fundamental_Information_Concatenate("")</f>
        <v xml:space="preserve">
市值12.565088亿, 利润6216.02万; PE150.7; 平均PE26.79; 平均PEG.65, PB1.98; ROIC2.6167%; ROE3.15%; 股利率.8038%; 毛利25.18%; 净利6.04%; 上一年度营收增192.58%, 利润增321.87%; 当季营收增30.13%, 利润增118.57%; 过往5年营收增40.95%, 利润增61.73%
Income profile:
</v>
      </c>
      <c r="D41" t="s">
        <v>432</v>
      </c>
      <c r="E41" t="s">
        <v>433</v>
      </c>
      <c r="F41">
        <v>14.93</v>
      </c>
      <c r="G41">
        <v>1.77</v>
      </c>
      <c r="H41" t="s">
        <v>2021</v>
      </c>
      <c r="I41">
        <v>1256508800</v>
      </c>
      <c r="J41">
        <v>150.69999999999999</v>
      </c>
      <c r="K41">
        <v>1.98</v>
      </c>
      <c r="L41" t="s">
        <v>1187</v>
      </c>
      <c r="M41" t="s">
        <v>73</v>
      </c>
      <c r="N41" t="s">
        <v>2022</v>
      </c>
      <c r="O41" t="s">
        <v>2023</v>
      </c>
      <c r="P41">
        <v>17.16</v>
      </c>
      <c r="Q41" t="s">
        <v>2024</v>
      </c>
      <c r="R41">
        <v>3464004</v>
      </c>
      <c r="S41" s="6">
        <v>9.6299999999999997E-2</v>
      </c>
      <c r="T41" t="s">
        <v>2025</v>
      </c>
      <c r="U41">
        <v>60395681</v>
      </c>
      <c r="V41">
        <v>84160000</v>
      </c>
      <c r="W41">
        <v>1.26</v>
      </c>
      <c r="X41">
        <v>0.09</v>
      </c>
      <c r="Y41">
        <v>4.91</v>
      </c>
      <c r="Z41" t="s">
        <v>2026</v>
      </c>
      <c r="AA41" t="s">
        <v>2027</v>
      </c>
      <c r="AB41" t="s">
        <v>2028</v>
      </c>
      <c r="AC41" t="s">
        <v>2029</v>
      </c>
      <c r="AD41" t="s">
        <v>25</v>
      </c>
      <c r="AE41">
        <v>-1521586</v>
      </c>
      <c r="AF41" t="s">
        <v>2030</v>
      </c>
      <c r="AG41">
        <v>6080.48</v>
      </c>
      <c r="AH41" t="s">
        <v>2031</v>
      </c>
      <c r="AI41" t="s">
        <v>253</v>
      </c>
      <c r="AJ41" t="s">
        <v>2032</v>
      </c>
      <c r="AK41" t="s">
        <v>2033</v>
      </c>
      <c r="AL41" t="s">
        <v>2034</v>
      </c>
      <c r="AM41" t="s">
        <v>25</v>
      </c>
      <c r="AN41" t="s">
        <v>156</v>
      </c>
      <c r="AO41" t="s">
        <v>2035</v>
      </c>
      <c r="AP41" t="s">
        <v>2036</v>
      </c>
      <c r="AQ41" t="s">
        <v>2037</v>
      </c>
      <c r="AR41" t="s">
        <v>25</v>
      </c>
      <c r="AS41" t="s">
        <v>242</v>
      </c>
      <c r="AT41" t="s">
        <v>2038</v>
      </c>
      <c r="AU41" t="s">
        <v>2039</v>
      </c>
      <c r="AV41" t="s">
        <v>2040</v>
      </c>
      <c r="AW41" t="s">
        <v>2041</v>
      </c>
      <c r="AX41" t="s">
        <v>1071</v>
      </c>
      <c r="AY41" t="s">
        <v>317</v>
      </c>
      <c r="AZ41" t="s">
        <v>370</v>
      </c>
      <c r="BA41" t="s">
        <v>252</v>
      </c>
      <c r="BB41" t="s">
        <v>435</v>
      </c>
      <c r="BC41" t="s">
        <v>2042</v>
      </c>
      <c r="BD41" t="s">
        <v>703</v>
      </c>
      <c r="BE41" t="s">
        <v>434</v>
      </c>
      <c r="BF41" t="s">
        <v>436</v>
      </c>
      <c r="BG41" t="s">
        <v>437</v>
      </c>
      <c r="BH41" t="s">
        <v>93</v>
      </c>
      <c r="BI41" t="s">
        <v>2043</v>
      </c>
      <c r="BJ41" t="s">
        <v>1071</v>
      </c>
      <c r="BK41" t="s">
        <v>2044</v>
      </c>
      <c r="BL41" t="s">
        <v>2045</v>
      </c>
      <c r="BM41" t="s">
        <v>2042</v>
      </c>
      <c r="BN41">
        <v>0.8</v>
      </c>
      <c r="BO41">
        <v>2.0699999999999998</v>
      </c>
      <c r="BP41">
        <v>4.9800000000000004</v>
      </c>
      <c r="BQ41">
        <v>0.8</v>
      </c>
      <c r="BR41">
        <v>2.56</v>
      </c>
      <c r="BS41">
        <v>6.09</v>
      </c>
      <c r="BT41" t="s">
        <v>982</v>
      </c>
      <c r="BU41" t="s">
        <v>517</v>
      </c>
      <c r="BV41">
        <v>26.65</v>
      </c>
      <c r="BW41">
        <v>23.37</v>
      </c>
      <c r="BX41">
        <v>25.52</v>
      </c>
      <c r="BY41">
        <v>2.83</v>
      </c>
      <c r="BZ41">
        <v>5.51</v>
      </c>
      <c r="CA41">
        <v>9.7799999999999994</v>
      </c>
      <c r="CB41">
        <v>-3.18</v>
      </c>
      <c r="CC41">
        <v>-22.88</v>
      </c>
      <c r="CD41" t="s">
        <v>2046</v>
      </c>
      <c r="CE41" t="s">
        <v>2047</v>
      </c>
      <c r="CF41" s="10">
        <v>0.30130907641078253</v>
      </c>
      <c r="CG41" s="11">
        <v>1.1857265255132405</v>
      </c>
      <c r="CH41" s="10">
        <v>1.92578125</v>
      </c>
      <c r="CI41" s="10">
        <v>-0.20000000298023224</v>
      </c>
      <c r="CJ41" s="10">
        <v>-0.11357340961694717</v>
      </c>
      <c r="CK41" s="10">
        <v>0.34200742840766907</v>
      </c>
      <c r="CL41" s="10">
        <v>9.3495935201644897E-2</v>
      </c>
      <c r="CM41" s="11">
        <v>3.2186553478240967</v>
      </c>
      <c r="CN41" s="11">
        <v>-0.54425078630447388</v>
      </c>
      <c r="CO41" s="11">
        <v>-0.61532878875732422</v>
      </c>
      <c r="CP41" s="11">
        <v>0.64068603515625</v>
      </c>
      <c r="CQ41" s="11">
        <v>0.38693335652351379</v>
      </c>
      <c r="CR41">
        <v>26.787948172665399</v>
      </c>
      <c r="CS41">
        <v>0.65409487820901591</v>
      </c>
      <c r="CT41">
        <v>0.80375083724045548</v>
      </c>
      <c r="CU41" s="10">
        <v>0.40954224020242691</v>
      </c>
      <c r="CV41" s="11">
        <v>0.61733903288841252</v>
      </c>
      <c r="CW41">
        <v>0.06</v>
      </c>
      <c r="CX41">
        <v>9.5394187124823286</v>
      </c>
      <c r="CY41">
        <v>82657950.527764991</v>
      </c>
      <c r="CZ41">
        <v>0.40954224020242691</v>
      </c>
      <c r="DA41">
        <v>2.4033748206171901</v>
      </c>
      <c r="DB41">
        <v>328083989.74468321</v>
      </c>
      <c r="DC41">
        <v>0.38906512819230554</v>
      </c>
      <c r="DD41">
        <v>0.80758073933629382</v>
      </c>
      <c r="DE41">
        <v>976383860.5760113</v>
      </c>
      <c r="DF41">
        <v>0.36039717137813571</v>
      </c>
      <c r="DG41">
        <v>0.30084102461753476</v>
      </c>
      <c r="DH41">
        <v>2621014873.2289658</v>
      </c>
      <c r="DI41">
        <v>0.32763379216194155</v>
      </c>
      <c r="DJ41">
        <v>4.7320050898465367E-2</v>
      </c>
      <c r="DK41">
        <v>16663312592.201208</v>
      </c>
      <c r="DL41">
        <v>0.28667956814169882</v>
      </c>
      <c r="DM41">
        <v>62160200.000000007</v>
      </c>
      <c r="DN41">
        <v>0.40954224020242691</v>
      </c>
      <c r="DO41">
        <v>788508800</v>
      </c>
      <c r="DP41">
        <v>252806980</v>
      </c>
      <c r="DQ41">
        <v>2445</v>
      </c>
      <c r="DR41">
        <v>-0.10823316379164438</v>
      </c>
      <c r="DS41">
        <v>0.56838749262482802</v>
      </c>
      <c r="DT41" s="12">
        <v>-0.17333333333333337</v>
      </c>
      <c r="DU41">
        <v>0.65666666666666662</v>
      </c>
      <c r="DV41">
        <v>0.48333333333333328</v>
      </c>
      <c r="DW41">
        <v>-8.1389860139860133</v>
      </c>
      <c r="DX41">
        <v>0.34201951490872529</v>
      </c>
      <c r="DY41">
        <v>-8.0169590060056706</v>
      </c>
      <c r="DZ41">
        <v>1748</v>
      </c>
      <c r="EA41">
        <v>-8.0111577648123422</v>
      </c>
      <c r="EB41">
        <v>8</v>
      </c>
      <c r="EC41">
        <v>7.766753802281369E-2</v>
      </c>
      <c r="ED41">
        <v>0.63651734790874526</v>
      </c>
      <c r="EE41" s="13">
        <v>-1.1091</v>
      </c>
      <c r="EF41">
        <v>-1.0541</v>
      </c>
      <c r="EG41">
        <v>22.122019514908725</v>
      </c>
      <c r="EH41" t="s">
        <v>773</v>
      </c>
      <c r="EI41">
        <v>0</v>
      </c>
      <c r="EJ41">
        <v>0</v>
      </c>
      <c r="EK41" s="15">
        <v>45470</v>
      </c>
      <c r="EL41" s="16">
        <v>12.96</v>
      </c>
      <c r="EM41" s="16">
        <v>-2.04</v>
      </c>
      <c r="EN41" s="16">
        <v>2.95</v>
      </c>
      <c r="EO41" s="16">
        <v>-0.42</v>
      </c>
      <c r="EP41" s="16">
        <v>-5.5</v>
      </c>
    </row>
    <row r="42" spans="1:146" ht="84" x14ac:dyDescent="0.25">
      <c r="A42" s="8"/>
      <c r="B42" s="8"/>
      <c r="C42" s="8" t="str">
        <f>""&amp;CHAR(10)&amp;Basic_Fundamental_Information_Constructure(F42)&amp;CHAR(10)&amp;Basic_Fundamental_Information_Concatenate("")</f>
        <v xml:space="preserve">
市值21.019117亿, 利润4.72亿; PE16.72; 平均PE13.24; 平均PEG.23, PB1.78; ROIC11.7567%; ROE11.9733%; 股利率2.8275%; 毛利30.6733%; 净利21.3367%; 上一年度营收增243.99%, 利润增317.7%; 当季营收增-41.32%, 利润增-37.92%; 过往5年营收增57.97%, 利润增88.26%
Income profile:
</v>
      </c>
      <c r="D42" t="s">
        <v>491</v>
      </c>
      <c r="E42" t="s">
        <v>492</v>
      </c>
      <c r="F42">
        <v>21.22</v>
      </c>
      <c r="G42">
        <v>1.82</v>
      </c>
      <c r="H42" t="s">
        <v>2048</v>
      </c>
      <c r="I42">
        <v>2101911700</v>
      </c>
      <c r="J42">
        <v>16.72</v>
      </c>
      <c r="K42">
        <v>1.78</v>
      </c>
      <c r="L42" t="s">
        <v>1187</v>
      </c>
      <c r="M42" t="s">
        <v>2049</v>
      </c>
      <c r="N42" t="s">
        <v>863</v>
      </c>
      <c r="O42" t="s">
        <v>823</v>
      </c>
      <c r="P42">
        <v>34.5</v>
      </c>
      <c r="Q42" t="s">
        <v>1127</v>
      </c>
      <c r="R42">
        <v>32994806</v>
      </c>
      <c r="S42" s="6">
        <v>0.45400000000000001</v>
      </c>
      <c r="T42" t="s">
        <v>1108</v>
      </c>
      <c r="U42">
        <v>67556887</v>
      </c>
      <c r="V42">
        <v>99053333</v>
      </c>
      <c r="W42">
        <v>1.04</v>
      </c>
      <c r="X42">
        <v>0.11</v>
      </c>
      <c r="Y42">
        <v>23.31</v>
      </c>
      <c r="Z42" t="s">
        <v>135</v>
      </c>
      <c r="AA42" t="s">
        <v>2050</v>
      </c>
      <c r="AB42" t="s">
        <v>2051</v>
      </c>
      <c r="AC42" t="s">
        <v>2052</v>
      </c>
      <c r="AD42" t="s">
        <v>25</v>
      </c>
      <c r="AE42">
        <v>-982605</v>
      </c>
      <c r="AF42" t="s">
        <v>2053</v>
      </c>
      <c r="AG42" t="s">
        <v>2054</v>
      </c>
      <c r="AH42" t="s">
        <v>2055</v>
      </c>
      <c r="AI42" t="s">
        <v>130</v>
      </c>
      <c r="AJ42" t="s">
        <v>2056</v>
      </c>
      <c r="AK42" t="s">
        <v>25</v>
      </c>
      <c r="AL42" t="s">
        <v>2057</v>
      </c>
      <c r="AM42" t="s">
        <v>25</v>
      </c>
      <c r="AN42" t="s">
        <v>148</v>
      </c>
      <c r="AO42" t="s">
        <v>25</v>
      </c>
      <c r="AP42" t="s">
        <v>2058</v>
      </c>
      <c r="AQ42" t="s">
        <v>2059</v>
      </c>
      <c r="AR42" t="s">
        <v>25</v>
      </c>
      <c r="AS42" t="s">
        <v>2060</v>
      </c>
      <c r="AT42" t="s">
        <v>25</v>
      </c>
      <c r="AU42" t="s">
        <v>2061</v>
      </c>
      <c r="AV42" t="s">
        <v>125</v>
      </c>
      <c r="AW42" t="s">
        <v>2062</v>
      </c>
      <c r="AX42" t="s">
        <v>60</v>
      </c>
      <c r="AY42" t="s">
        <v>704</v>
      </c>
      <c r="AZ42" t="s">
        <v>493</v>
      </c>
      <c r="BA42" t="s">
        <v>465</v>
      </c>
      <c r="BB42" t="s">
        <v>494</v>
      </c>
      <c r="BC42" t="s">
        <v>253</v>
      </c>
      <c r="BD42" t="s">
        <v>85</v>
      </c>
      <c r="BE42" t="s">
        <v>112</v>
      </c>
      <c r="BF42" t="s">
        <v>495</v>
      </c>
      <c r="BG42" t="s">
        <v>496</v>
      </c>
      <c r="BH42" t="s">
        <v>1155</v>
      </c>
      <c r="BI42" t="s">
        <v>819</v>
      </c>
      <c r="BJ42" t="s">
        <v>60</v>
      </c>
      <c r="BK42" t="s">
        <v>63</v>
      </c>
      <c r="BL42" t="s">
        <v>2063</v>
      </c>
      <c r="BM42" t="s">
        <v>253</v>
      </c>
      <c r="BN42">
        <v>6.86</v>
      </c>
      <c r="BO42">
        <v>9.9499999999999993</v>
      </c>
      <c r="BP42">
        <v>18.46</v>
      </c>
      <c r="BQ42">
        <v>7.38</v>
      </c>
      <c r="BR42">
        <v>10.49</v>
      </c>
      <c r="BS42">
        <v>18.05</v>
      </c>
      <c r="BT42" t="s">
        <v>983</v>
      </c>
      <c r="BU42" t="s">
        <v>517</v>
      </c>
      <c r="BV42">
        <v>33.78</v>
      </c>
      <c r="BW42">
        <v>27.97</v>
      </c>
      <c r="BX42">
        <v>30.27</v>
      </c>
      <c r="BY42">
        <v>22.8</v>
      </c>
      <c r="BZ42">
        <v>21.97</v>
      </c>
      <c r="CA42">
        <v>19.239999999999998</v>
      </c>
      <c r="CB42">
        <v>-1.35</v>
      </c>
      <c r="CC42">
        <v>-11.66</v>
      </c>
      <c r="CD42" t="s">
        <v>2064</v>
      </c>
      <c r="CE42" t="s">
        <v>2065</v>
      </c>
      <c r="CF42" s="10">
        <v>-0.41322314049586778</v>
      </c>
      <c r="CG42" s="11">
        <v>-0.37920876168400136</v>
      </c>
      <c r="CH42" s="10">
        <v>2.439922571182251</v>
      </c>
      <c r="CI42" s="10">
        <v>-0.26495727896690369</v>
      </c>
      <c r="CJ42" s="10">
        <v>0.54285717010498047</v>
      </c>
      <c r="CK42" s="10">
        <v>0.19109947979450226</v>
      </c>
      <c r="CL42" s="10">
        <v>-1.0362694039940834E-2</v>
      </c>
      <c r="CM42" s="11">
        <v>3.1769912242889404</v>
      </c>
      <c r="CN42" s="11">
        <v>-0.16296295821666718</v>
      </c>
      <c r="CO42" s="11">
        <v>0.21621622145175934</v>
      </c>
      <c r="CP42" s="11">
        <v>0.43792635202407837</v>
      </c>
      <c r="CQ42" s="11">
        <v>0.74461877346038818</v>
      </c>
      <c r="CR42">
        <v>13.241199120114123</v>
      </c>
      <c r="CS42">
        <v>0.22841001316271897</v>
      </c>
      <c r="CT42">
        <v>2.827521206409048</v>
      </c>
      <c r="CU42" s="10">
        <v>0.57971184961497779</v>
      </c>
      <c r="CV42" s="11">
        <v>0.88255792260169985</v>
      </c>
      <c r="CW42">
        <v>0.06</v>
      </c>
      <c r="CX42">
        <v>1.369858491094684</v>
      </c>
      <c r="CY42">
        <v>703418861.33799016</v>
      </c>
      <c r="CZ42">
        <v>0.57971184961497779</v>
      </c>
      <c r="DA42">
        <v>0.3031526939179352</v>
      </c>
      <c r="DB42">
        <v>3178544407.9241686</v>
      </c>
      <c r="DC42">
        <v>0.55072625713422885</v>
      </c>
      <c r="DD42">
        <v>8.2665036034039338E-2</v>
      </c>
      <c r="DE42">
        <v>11656491622.446287</v>
      </c>
      <c r="DF42">
        <v>0.51014642766118046</v>
      </c>
      <c r="DG42">
        <v>2.3254896462322636E-2</v>
      </c>
      <c r="DH42">
        <v>41435759628.566406</v>
      </c>
      <c r="DI42">
        <v>0.46376947969198223</v>
      </c>
      <c r="DJ42">
        <v>1.7784430749230922E-3</v>
      </c>
      <c r="DK42">
        <v>541813406111.78668</v>
      </c>
      <c r="DL42">
        <v>0.40579829473048445</v>
      </c>
      <c r="DM42">
        <v>472000000</v>
      </c>
      <c r="DN42">
        <v>0.57971184961497779</v>
      </c>
      <c r="DO42">
        <v>963584300</v>
      </c>
      <c r="DP42">
        <v>866177530</v>
      </c>
      <c r="DQ42">
        <v>2453</v>
      </c>
      <c r="DR42">
        <v>-0.99293499011084552</v>
      </c>
      <c r="DS42">
        <v>-1.2617666842857012</v>
      </c>
      <c r="DT42" s="12">
        <v>-4.0000000000000036E-2</v>
      </c>
      <c r="DU42">
        <v>0.38000000000000006</v>
      </c>
      <c r="DV42">
        <v>0.34</v>
      </c>
      <c r="DW42">
        <v>-2.1166</v>
      </c>
      <c r="DX42">
        <v>0.36091760635780501</v>
      </c>
      <c r="DY42">
        <v>-2.01526499290132</v>
      </c>
      <c r="DZ42">
        <v>2037</v>
      </c>
      <c r="EA42">
        <v>-2.009179906689972</v>
      </c>
      <c r="EB42">
        <v>2</v>
      </c>
      <c r="EC42">
        <v>3.2396688761598763E-2</v>
      </c>
      <c r="ED42">
        <v>0.24745860898996705</v>
      </c>
      <c r="EE42" s="13">
        <v>-4.0102000000000002</v>
      </c>
      <c r="EF42">
        <v>-4.0438999999999998</v>
      </c>
      <c r="EG42">
        <v>23.130917606357805</v>
      </c>
      <c r="EH42" t="s">
        <v>1021</v>
      </c>
      <c r="EI42">
        <v>0</v>
      </c>
      <c r="EJ42">
        <v>0</v>
      </c>
      <c r="EK42" s="15">
        <v>45470</v>
      </c>
      <c r="EL42" s="16">
        <v>-6.05</v>
      </c>
      <c r="EM42" s="16">
        <v>-0.44</v>
      </c>
      <c r="EN42" s="16">
        <v>4.5199999999999996</v>
      </c>
      <c r="EO42" s="16">
        <v>-2.1</v>
      </c>
      <c r="EP42" s="16">
        <v>3.37</v>
      </c>
    </row>
    <row r="43" spans="1:146" ht="84" x14ac:dyDescent="0.25">
      <c r="A43" s="8"/>
      <c r="B43" s="8"/>
      <c r="C43" s="8" t="str">
        <f>""&amp;CHAR(10)&amp;Basic_Fundamental_Information_Constructure(F43)&amp;CHAR(10)&amp;Basic_Fundamental_Information_Concatenate("")</f>
        <v xml:space="preserve">
市值21.912亿, 利润7236.08万; PE21.44; 平均PE25.49; 平均PEG2.6, PB2.05; ROIC10.4567%; ROE11.0567%; 股利率0%; 毛利33.2833%; 净利22.1167%; 上一年度营收增10.34%, 利润增-27.64%; 当季营收增-6.56%, 利润增6.65%; 过往5年营收增9.82%, 利润增11.05%
Income profile:
</v>
      </c>
      <c r="D43" t="s">
        <v>497</v>
      </c>
      <c r="E43" t="s">
        <v>498</v>
      </c>
      <c r="F43">
        <v>18.260000000000002</v>
      </c>
      <c r="G43">
        <v>1.73</v>
      </c>
      <c r="H43" t="s">
        <v>2066</v>
      </c>
      <c r="I43">
        <v>2191200000</v>
      </c>
      <c r="J43">
        <v>21.44</v>
      </c>
      <c r="K43">
        <v>2.0499999999999998</v>
      </c>
      <c r="L43" t="s">
        <v>1187</v>
      </c>
      <c r="M43" t="s">
        <v>2067</v>
      </c>
      <c r="N43" t="s">
        <v>485</v>
      </c>
      <c r="O43" t="s">
        <v>220</v>
      </c>
      <c r="P43">
        <v>15.88</v>
      </c>
      <c r="Q43" t="s">
        <v>1104</v>
      </c>
      <c r="R43">
        <v>19814503</v>
      </c>
      <c r="S43" s="6">
        <v>1.26E-2</v>
      </c>
      <c r="T43" t="s">
        <v>2068</v>
      </c>
      <c r="U43">
        <v>79379014</v>
      </c>
      <c r="V43">
        <v>120000000</v>
      </c>
      <c r="W43">
        <v>1.08</v>
      </c>
      <c r="X43">
        <v>0.1</v>
      </c>
      <c r="Y43">
        <v>17.329999999999998</v>
      </c>
      <c r="Z43" t="s">
        <v>2069</v>
      </c>
      <c r="AA43" t="s">
        <v>2070</v>
      </c>
      <c r="AB43" t="s">
        <v>2071</v>
      </c>
      <c r="AC43" t="s">
        <v>2072</v>
      </c>
      <c r="AD43" t="s">
        <v>25</v>
      </c>
      <c r="AE43">
        <v>-1500222</v>
      </c>
      <c r="AF43" t="s">
        <v>2073</v>
      </c>
      <c r="AG43">
        <v>3005.01</v>
      </c>
      <c r="AH43" t="s">
        <v>2074</v>
      </c>
      <c r="AI43" t="s">
        <v>816</v>
      </c>
      <c r="AJ43" t="s">
        <v>2075</v>
      </c>
      <c r="AK43" t="s">
        <v>2076</v>
      </c>
      <c r="AL43" t="s">
        <v>2077</v>
      </c>
      <c r="AM43" t="s">
        <v>25</v>
      </c>
      <c r="AN43" t="s">
        <v>2078</v>
      </c>
      <c r="AO43" t="s">
        <v>2079</v>
      </c>
      <c r="AP43" t="s">
        <v>2080</v>
      </c>
      <c r="AQ43" t="s">
        <v>2081</v>
      </c>
      <c r="AR43" t="s">
        <v>25</v>
      </c>
      <c r="AS43" t="s">
        <v>2082</v>
      </c>
      <c r="AT43" t="s">
        <v>25</v>
      </c>
      <c r="AU43" t="s">
        <v>2083</v>
      </c>
      <c r="AV43" t="s">
        <v>2084</v>
      </c>
      <c r="AW43" t="s">
        <v>2085</v>
      </c>
      <c r="AX43" t="s">
        <v>282</v>
      </c>
      <c r="AY43" t="s">
        <v>202</v>
      </c>
      <c r="AZ43" t="s">
        <v>301</v>
      </c>
      <c r="BA43" t="s">
        <v>100</v>
      </c>
      <c r="BB43" t="s">
        <v>56</v>
      </c>
      <c r="BC43" t="s">
        <v>96</v>
      </c>
      <c r="BD43" t="s">
        <v>131</v>
      </c>
      <c r="BE43" t="s">
        <v>236</v>
      </c>
      <c r="BF43" t="s">
        <v>500</v>
      </c>
      <c r="BG43" t="s">
        <v>501</v>
      </c>
      <c r="BH43" t="s">
        <v>670</v>
      </c>
      <c r="BI43" t="s">
        <v>76</v>
      </c>
      <c r="BJ43" t="s">
        <v>282</v>
      </c>
      <c r="BK43" t="s">
        <v>57</v>
      </c>
      <c r="BL43" t="s">
        <v>2086</v>
      </c>
      <c r="BM43" t="s">
        <v>96</v>
      </c>
      <c r="BN43">
        <v>6.63</v>
      </c>
      <c r="BO43">
        <v>9.2100000000000009</v>
      </c>
      <c r="BP43">
        <v>15.53</v>
      </c>
      <c r="BQ43">
        <v>7.06</v>
      </c>
      <c r="BR43">
        <v>9.9499999999999993</v>
      </c>
      <c r="BS43">
        <v>16.16</v>
      </c>
      <c r="BT43" t="s">
        <v>2087</v>
      </c>
      <c r="BU43" t="s">
        <v>812</v>
      </c>
      <c r="BV43">
        <v>35.22</v>
      </c>
      <c r="BW43">
        <v>30.1</v>
      </c>
      <c r="BX43">
        <v>34.53</v>
      </c>
      <c r="BY43">
        <v>22.59</v>
      </c>
      <c r="BZ43">
        <v>21.65</v>
      </c>
      <c r="CA43">
        <v>22.11</v>
      </c>
      <c r="CB43">
        <v>-2.35</v>
      </c>
      <c r="CC43">
        <v>-23.21</v>
      </c>
      <c r="CD43" t="s">
        <v>2088</v>
      </c>
      <c r="CE43" t="s">
        <v>2089</v>
      </c>
      <c r="CF43" s="10">
        <v>-6.5573770491803407E-2</v>
      </c>
      <c r="CG43" s="11">
        <v>6.6511453915215193E-2</v>
      </c>
      <c r="CH43" s="10">
        <v>0.10344827920198441</v>
      </c>
      <c r="CI43" s="10">
        <v>-5.6910570710897446E-2</v>
      </c>
      <c r="CJ43" s="10">
        <v>0.14418604969978333</v>
      </c>
      <c r="CK43" s="10">
        <v>6.1728395521640778E-2</v>
      </c>
      <c r="CL43" s="10">
        <v>0.23853211104869843</v>
      </c>
      <c r="CM43" s="11">
        <v>-0.27639201283454895</v>
      </c>
      <c r="CN43" s="11">
        <v>-8.2568809390068054E-2</v>
      </c>
      <c r="CO43" s="11">
        <v>4.8076923936605453E-2</v>
      </c>
      <c r="CP43" s="11">
        <v>0.31124550104141235</v>
      </c>
      <c r="CQ43" s="11">
        <v>0.55217069387435913</v>
      </c>
      <c r="CR43">
        <v>25.490263747606992</v>
      </c>
      <c r="CS43">
        <v>2.5958330619825665</v>
      </c>
      <c r="CT43">
        <v>0</v>
      </c>
      <c r="CU43" s="10">
        <v>9.8196852952241898E-2</v>
      </c>
      <c r="CV43" s="11">
        <v>0.11050645932555199</v>
      </c>
      <c r="CW43">
        <v>0.06</v>
      </c>
      <c r="CX43">
        <v>16.067488881021685</v>
      </c>
      <c r="CY43">
        <v>74968304.56330809</v>
      </c>
      <c r="CZ43">
        <v>9.8196852952241898E-2</v>
      </c>
      <c r="DA43">
        <v>5.2144204645976169</v>
      </c>
      <c r="DB43">
        <v>231004079.58623493</v>
      </c>
      <c r="DC43">
        <v>9.3287010304629797E-2</v>
      </c>
      <c r="DD43">
        <v>2.5431697755496105</v>
      </c>
      <c r="DE43">
        <v>473642149.87954599</v>
      </c>
      <c r="DF43">
        <v>8.6413230597972873E-2</v>
      </c>
      <c r="DG43">
        <v>1.5112175457421544</v>
      </c>
      <c r="DH43">
        <v>797074123.04324985</v>
      </c>
      <c r="DI43">
        <v>7.8557482361793524E-2</v>
      </c>
      <c r="DJ43">
        <v>0.76272883399540436</v>
      </c>
      <c r="DK43">
        <v>1579266898.4207535</v>
      </c>
      <c r="DL43">
        <v>6.8737797066569323E-2</v>
      </c>
      <c r="DM43">
        <v>72360800</v>
      </c>
      <c r="DN43">
        <v>9.8196852952241898E-2</v>
      </c>
      <c r="DO43">
        <v>1204552400</v>
      </c>
      <c r="DP43">
        <v>951761710</v>
      </c>
      <c r="DQ43">
        <v>2468</v>
      </c>
      <c r="DR43">
        <v>-0.1637706234440453</v>
      </c>
      <c r="DS43">
        <v>-4.3995005410336796E-2</v>
      </c>
      <c r="DT43" s="12">
        <v>-0.34</v>
      </c>
      <c r="DU43">
        <v>4.9999999999999968E-2</v>
      </c>
      <c r="DV43">
        <v>-0.29000000000000004</v>
      </c>
      <c r="DW43">
        <v>-3.0815416666666668</v>
      </c>
      <c r="DX43">
        <v>0.35360321818530127</v>
      </c>
      <c r="DY43">
        <v>-3.0060017290828598</v>
      </c>
      <c r="DZ43">
        <v>1118</v>
      </c>
      <c r="EA43">
        <v>-3.0046886306259837</v>
      </c>
      <c r="EB43">
        <v>3</v>
      </c>
      <c r="EC43">
        <v>1.9211666666666665E-2</v>
      </c>
      <c r="ED43">
        <v>0.26101666666666667</v>
      </c>
      <c r="EE43" s="13">
        <v>-4.0213000000000001</v>
      </c>
      <c r="EF43">
        <v>-4.02921</v>
      </c>
      <c r="EG43">
        <v>28.073603218185301</v>
      </c>
      <c r="EH43" t="s">
        <v>1097</v>
      </c>
      <c r="EI43">
        <v>0</v>
      </c>
      <c r="EJ43">
        <v>1</v>
      </c>
      <c r="EK43" s="15">
        <v>45470</v>
      </c>
      <c r="EL43" s="16">
        <v>-2.48</v>
      </c>
      <c r="EM43" s="16">
        <v>-4.99</v>
      </c>
      <c r="EN43" s="16">
        <v>-1.58</v>
      </c>
      <c r="EO43" s="16">
        <v>2.67</v>
      </c>
      <c r="EP43" s="16">
        <v>-5.05</v>
      </c>
    </row>
    <row r="44" spans="1:146" ht="84" x14ac:dyDescent="0.25">
      <c r="A44" s="8"/>
      <c r="B44" s="8"/>
      <c r="C44" s="8" t="str">
        <f>""&amp;CHAR(10)&amp;Basic_Fundamental_Information_Constructure(F44)&amp;CHAR(10)&amp;Basic_Fundamental_Information_Concatenate("")</f>
        <v xml:space="preserve">
市值29.412566亿, 利润1.18亿; PE25.73; 平均PE28.51; 平均PEG2.49, PB1.6; ROIC7.3467%; ROE9.4033%; 股利率1.1818%; 毛利35.0033%; 净利21.0967%; 上一年度营收增-7.84%, 利润增-33.71%; 当季营收增-24.36%, 利润增-21.28%; 过往5年营收增11.46%, 利润增36.38%
Income profile:
</v>
      </c>
      <c r="D44" t="s">
        <v>585</v>
      </c>
      <c r="E44" t="s">
        <v>586</v>
      </c>
      <c r="F44">
        <v>22</v>
      </c>
      <c r="G44">
        <v>0.64</v>
      </c>
      <c r="H44" t="s">
        <v>2090</v>
      </c>
      <c r="I44">
        <v>2941256600</v>
      </c>
      <c r="J44">
        <v>25.73</v>
      </c>
      <c r="K44">
        <v>1.6</v>
      </c>
      <c r="L44" t="s">
        <v>1187</v>
      </c>
      <c r="M44" t="s">
        <v>155</v>
      </c>
      <c r="N44" t="s">
        <v>2091</v>
      </c>
      <c r="O44" t="s">
        <v>421</v>
      </c>
      <c r="P44">
        <v>0.23</v>
      </c>
      <c r="Q44" t="s">
        <v>2092</v>
      </c>
      <c r="R44">
        <v>26177483</v>
      </c>
      <c r="S44" s="6">
        <v>0.2681</v>
      </c>
      <c r="T44" t="s">
        <v>421</v>
      </c>
      <c r="U44">
        <v>42855884</v>
      </c>
      <c r="V44">
        <v>133693484</v>
      </c>
      <c r="W44">
        <v>1.1100000000000001</v>
      </c>
      <c r="X44">
        <v>0.06</v>
      </c>
      <c r="Y44">
        <v>22.16</v>
      </c>
      <c r="Z44" t="s">
        <v>2093</v>
      </c>
      <c r="AA44" t="s">
        <v>2094</v>
      </c>
      <c r="AB44" t="s">
        <v>2095</v>
      </c>
      <c r="AC44" t="s">
        <v>2096</v>
      </c>
      <c r="AD44" t="s">
        <v>25</v>
      </c>
      <c r="AE44">
        <v>-4220237</v>
      </c>
      <c r="AF44" t="s">
        <v>2097</v>
      </c>
      <c r="AG44">
        <v>752.34</v>
      </c>
      <c r="AH44" t="s">
        <v>2098</v>
      </c>
      <c r="AI44" t="s">
        <v>679</v>
      </c>
      <c r="AJ44" t="s">
        <v>2099</v>
      </c>
      <c r="AK44" t="s">
        <v>25</v>
      </c>
      <c r="AL44" t="s">
        <v>2100</v>
      </c>
      <c r="AM44" t="s">
        <v>25</v>
      </c>
      <c r="AN44" t="s">
        <v>838</v>
      </c>
      <c r="AO44" t="s">
        <v>2101</v>
      </c>
      <c r="AP44" t="s">
        <v>2102</v>
      </c>
      <c r="AQ44" t="s">
        <v>253</v>
      </c>
      <c r="AR44" t="s">
        <v>25</v>
      </c>
      <c r="AS44" t="s">
        <v>91</v>
      </c>
      <c r="AT44" t="s">
        <v>2103</v>
      </c>
      <c r="AU44" t="s">
        <v>2104</v>
      </c>
      <c r="AV44" t="s">
        <v>2105</v>
      </c>
      <c r="AW44" t="s">
        <v>2106</v>
      </c>
      <c r="AX44" t="s">
        <v>811</v>
      </c>
      <c r="AY44" t="s">
        <v>670</v>
      </c>
      <c r="AZ44" t="s">
        <v>514</v>
      </c>
      <c r="BA44" t="s">
        <v>362</v>
      </c>
      <c r="BB44" t="s">
        <v>576</v>
      </c>
      <c r="BC44" t="s">
        <v>277</v>
      </c>
      <c r="BD44" t="s">
        <v>705</v>
      </c>
      <c r="BE44" t="s">
        <v>206</v>
      </c>
      <c r="BF44" t="s">
        <v>587</v>
      </c>
      <c r="BG44" t="s">
        <v>588</v>
      </c>
      <c r="BH44" t="s">
        <v>809</v>
      </c>
      <c r="BI44" t="s">
        <v>169</v>
      </c>
      <c r="BJ44" t="s">
        <v>811</v>
      </c>
      <c r="BK44" t="s">
        <v>131</v>
      </c>
      <c r="BL44" t="s">
        <v>2107</v>
      </c>
      <c r="BM44" t="s">
        <v>277</v>
      </c>
      <c r="BN44">
        <v>4.16</v>
      </c>
      <c r="BO44">
        <v>10.57</v>
      </c>
      <c r="BP44">
        <v>7.31</v>
      </c>
      <c r="BQ44">
        <v>4.8099999999999996</v>
      </c>
      <c r="BR44">
        <v>10.93</v>
      </c>
      <c r="BS44">
        <v>12.47</v>
      </c>
      <c r="BT44" t="s">
        <v>1007</v>
      </c>
      <c r="BU44" t="s">
        <v>815</v>
      </c>
      <c r="BV44">
        <v>33.76</v>
      </c>
      <c r="BW44">
        <v>38.549999999999997</v>
      </c>
      <c r="BX44">
        <v>32.700000000000003</v>
      </c>
      <c r="BY44">
        <v>20.67</v>
      </c>
      <c r="BZ44">
        <v>26.3</v>
      </c>
      <c r="CA44">
        <v>16.32</v>
      </c>
      <c r="CB44">
        <v>-2.83</v>
      </c>
      <c r="CC44">
        <v>-14.7</v>
      </c>
      <c r="CD44" t="s">
        <v>2108</v>
      </c>
      <c r="CE44" t="s">
        <v>2109</v>
      </c>
      <c r="CF44" s="10">
        <v>-0.24358974358974358</v>
      </c>
      <c r="CG44" s="11">
        <v>-0.21277593833921252</v>
      </c>
      <c r="CH44" s="10">
        <v>-7.840237021446228E-2</v>
      </c>
      <c r="CI44" s="10">
        <v>0.49889135360717773</v>
      </c>
      <c r="CJ44" s="10">
        <v>-8.704453706741333E-2</v>
      </c>
      <c r="CK44" s="10">
        <v>0.13563218712806702</v>
      </c>
      <c r="CL44" s="10">
        <v>0.10406091064214706</v>
      </c>
      <c r="CM44" s="11">
        <v>-0.33707866072654724</v>
      </c>
      <c r="CN44" s="11">
        <v>1.4160721302032471</v>
      </c>
      <c r="CO44" s="11">
        <v>-0.41989532113075256</v>
      </c>
      <c r="CP44" s="11">
        <v>0.80176091194152832</v>
      </c>
      <c r="CQ44" s="11">
        <v>0.35793229937553406</v>
      </c>
      <c r="CR44">
        <v>28.506662281574599</v>
      </c>
      <c r="CS44">
        <v>2.4868953862167351</v>
      </c>
      <c r="CT44">
        <v>1.1818181818181819</v>
      </c>
      <c r="CU44" s="10">
        <v>0.11462750881910325</v>
      </c>
      <c r="CV44" s="11">
        <v>0.36375827193260191</v>
      </c>
      <c r="CW44">
        <v>0.06</v>
      </c>
      <c r="CX44">
        <v>10.632205848929392</v>
      </c>
      <c r="CY44">
        <v>124081175.51005112</v>
      </c>
      <c r="CZ44">
        <v>0.11462750881910325</v>
      </c>
      <c r="DA44">
        <v>3.4029976798225485</v>
      </c>
      <c r="DB44">
        <v>387674845.56991917</v>
      </c>
      <c r="DC44">
        <v>0.10889613337814807</v>
      </c>
      <c r="DD44">
        <v>1.6288503887347625</v>
      </c>
      <c r="DE44">
        <v>809931107.92990327</v>
      </c>
      <c r="DF44">
        <v>0.10087220776081086</v>
      </c>
      <c r="DG44">
        <v>0.94733222912371629</v>
      </c>
      <c r="DH44">
        <v>1392601834.3325171</v>
      </c>
      <c r="DI44">
        <v>9.17020070552826E-2</v>
      </c>
      <c r="DJ44">
        <v>0.45560614366256685</v>
      </c>
      <c r="DK44">
        <v>2895607573.2312198</v>
      </c>
      <c r="DL44">
        <v>8.023925617337227E-2</v>
      </c>
      <c r="DM44">
        <v>118000000</v>
      </c>
      <c r="DN44">
        <v>0.11462750881910325</v>
      </c>
      <c r="DO44">
        <v>1319256599.9999998</v>
      </c>
      <c r="DP44">
        <v>1321424200</v>
      </c>
      <c r="DQ44">
        <v>2535</v>
      </c>
      <c r="DR44">
        <v>-0.35821725240884683</v>
      </c>
      <c r="DS44">
        <v>-0.5765342102718144</v>
      </c>
      <c r="DT44" s="12">
        <v>-0.28999999999999998</v>
      </c>
      <c r="DU44">
        <v>0.11333333333333333</v>
      </c>
      <c r="DV44">
        <v>-0.17666666666666664</v>
      </c>
      <c r="DW44">
        <v>-8.1925170068027207</v>
      </c>
      <c r="DX44">
        <v>0.27375927536973521</v>
      </c>
      <c r="DY44">
        <v>-8.0276761053943098</v>
      </c>
      <c r="DZ44">
        <v>2199</v>
      </c>
      <c r="EA44">
        <v>-8.0157661727598501</v>
      </c>
      <c r="EB44">
        <v>8</v>
      </c>
      <c r="EC44">
        <v>5.2530607998816155E-2</v>
      </c>
      <c r="ED44">
        <v>0.36540673889536757</v>
      </c>
      <c r="EE44" s="13">
        <v>10.033200000000001</v>
      </c>
      <c r="EF44">
        <v>10.014110000000001</v>
      </c>
      <c r="EG44">
        <v>13.143759275369735</v>
      </c>
      <c r="EH44" t="s">
        <v>2110</v>
      </c>
      <c r="EI44">
        <v>0</v>
      </c>
      <c r="EJ44">
        <v>0</v>
      </c>
      <c r="EK44" s="15">
        <v>45470</v>
      </c>
      <c r="EL44" s="16">
        <v>4.91</v>
      </c>
      <c r="EM44" s="16">
        <v>-6.82</v>
      </c>
      <c r="EN44" s="16">
        <v>-4.16</v>
      </c>
      <c r="EO44" s="16">
        <v>3.82</v>
      </c>
      <c r="EP44" s="16">
        <v>-4.7300000000000004</v>
      </c>
    </row>
    <row r="45" spans="1:146" ht="84" x14ac:dyDescent="0.25">
      <c r="A45" s="8"/>
      <c r="B45" s="8"/>
      <c r="C45" s="8" t="str">
        <f>""&amp;CHAR(10)&amp;Basic_Fundamental_Information_Constructure(F45)&amp;CHAR(10)&amp;Basic_Fundamental_Information_Concatenate("")</f>
        <v xml:space="preserve">
市值19.04033亿, 利润1.10亿; PE42.33; 平均PE31.65; 平均PEG4.28, PB2.32; ROIC5.8233%; ROE8.1%; 股利率.9285%; 毛利11.1533%; 净利3.1533%; 上一年度营收增-6.67%, 利润增218.89%; 当季营收增21.79%, 利润增-40.5%; 过往5年营收增7.4%, 利润增57.74%
Income profile:
</v>
      </c>
      <c r="D45" t="s">
        <v>707</v>
      </c>
      <c r="E45" t="s">
        <v>708</v>
      </c>
      <c r="F45">
        <v>39.85</v>
      </c>
      <c r="G45">
        <v>-0.2</v>
      </c>
      <c r="H45" t="s">
        <v>2111</v>
      </c>
      <c r="I45">
        <v>1904033000</v>
      </c>
      <c r="J45">
        <v>42.33</v>
      </c>
      <c r="K45">
        <v>2.3199999999999998</v>
      </c>
      <c r="L45" t="s">
        <v>1187</v>
      </c>
      <c r="M45" t="s">
        <v>1129</v>
      </c>
      <c r="N45" t="s">
        <v>2112</v>
      </c>
      <c r="O45" t="s">
        <v>237</v>
      </c>
      <c r="P45">
        <v>17.66</v>
      </c>
      <c r="Q45" t="s">
        <v>2113</v>
      </c>
      <c r="R45">
        <v>14454519</v>
      </c>
      <c r="S45" s="6">
        <v>1.181</v>
      </c>
      <c r="T45" t="s">
        <v>54</v>
      </c>
      <c r="U45">
        <v>23074208</v>
      </c>
      <c r="V45">
        <v>47780000</v>
      </c>
      <c r="W45">
        <v>2.14</v>
      </c>
      <c r="X45">
        <v>0.2</v>
      </c>
      <c r="Y45">
        <v>3.75</v>
      </c>
      <c r="Z45" t="s">
        <v>875</v>
      </c>
      <c r="AA45" t="s">
        <v>874</v>
      </c>
      <c r="AB45" t="s">
        <v>2114</v>
      </c>
      <c r="AC45" t="s">
        <v>2115</v>
      </c>
      <c r="AD45" t="s">
        <v>25</v>
      </c>
      <c r="AE45">
        <v>4521110</v>
      </c>
      <c r="AF45" t="s">
        <v>2116</v>
      </c>
      <c r="AG45">
        <v>7827.24</v>
      </c>
      <c r="AH45" t="s">
        <v>2117</v>
      </c>
      <c r="AI45" t="s">
        <v>156</v>
      </c>
      <c r="AJ45" t="s">
        <v>2118</v>
      </c>
      <c r="AK45" t="s">
        <v>2119</v>
      </c>
      <c r="AL45" t="s">
        <v>2120</v>
      </c>
      <c r="AM45" t="s">
        <v>25</v>
      </c>
      <c r="AN45" t="s">
        <v>2121</v>
      </c>
      <c r="AO45" t="s">
        <v>576</v>
      </c>
      <c r="AP45" t="s">
        <v>2122</v>
      </c>
      <c r="AQ45" t="s">
        <v>106</v>
      </c>
      <c r="AR45" t="s">
        <v>2123</v>
      </c>
      <c r="AS45" t="s">
        <v>2124</v>
      </c>
      <c r="AT45" t="s">
        <v>2125</v>
      </c>
      <c r="AU45" t="s">
        <v>2126</v>
      </c>
      <c r="AV45" t="s">
        <v>2127</v>
      </c>
      <c r="AW45" t="s">
        <v>2128</v>
      </c>
      <c r="AX45" t="s">
        <v>1110</v>
      </c>
      <c r="AY45" t="s">
        <v>709</v>
      </c>
      <c r="AZ45" t="s">
        <v>706</v>
      </c>
      <c r="BA45" t="s">
        <v>561</v>
      </c>
      <c r="BB45" t="s">
        <v>711</v>
      </c>
      <c r="BC45" t="s">
        <v>1111</v>
      </c>
      <c r="BD45" t="s">
        <v>710</v>
      </c>
      <c r="BE45" t="s">
        <v>712</v>
      </c>
      <c r="BF45" t="s">
        <v>713</v>
      </c>
      <c r="BG45" t="s">
        <v>714</v>
      </c>
      <c r="BH45" t="s">
        <v>837</v>
      </c>
      <c r="BI45" t="s">
        <v>321</v>
      </c>
      <c r="BJ45" t="s">
        <v>1110</v>
      </c>
      <c r="BK45" t="s">
        <v>2129</v>
      </c>
      <c r="BL45" t="s">
        <v>2130</v>
      </c>
      <c r="BM45" t="s">
        <v>1111</v>
      </c>
      <c r="BN45">
        <v>3.11</v>
      </c>
      <c r="BO45">
        <v>4.5</v>
      </c>
      <c r="BP45">
        <v>9.86</v>
      </c>
      <c r="BQ45">
        <v>4.1900000000000004</v>
      </c>
      <c r="BR45">
        <v>4.9800000000000004</v>
      </c>
      <c r="BS45">
        <v>15.13</v>
      </c>
      <c r="BT45" t="s">
        <v>2131</v>
      </c>
      <c r="BU45" t="s">
        <v>517</v>
      </c>
      <c r="BV45">
        <v>10.84</v>
      </c>
      <c r="BW45">
        <v>10.23</v>
      </c>
      <c r="BX45">
        <v>12.39</v>
      </c>
      <c r="BY45">
        <v>2.02</v>
      </c>
      <c r="BZ45">
        <v>2.52</v>
      </c>
      <c r="CA45">
        <v>4.92</v>
      </c>
      <c r="CB45">
        <v>10.3</v>
      </c>
      <c r="CC45">
        <v>-2.97</v>
      </c>
      <c r="CD45" t="s">
        <v>2132</v>
      </c>
      <c r="CE45" t="s">
        <v>2133</v>
      </c>
      <c r="CF45" s="10">
        <v>0.21785714285714286</v>
      </c>
      <c r="CG45" s="11">
        <v>-0.40498752716854386</v>
      </c>
      <c r="CH45" s="10">
        <v>-6.6717840731143951E-2</v>
      </c>
      <c r="CI45" s="10">
        <v>7.6741055818274617E-4</v>
      </c>
      <c r="CJ45" s="10">
        <v>0.17599283158779144</v>
      </c>
      <c r="CK45" s="10">
        <v>0.10910911113023758</v>
      </c>
      <c r="CL45" s="10">
        <v>0.15092165768146515</v>
      </c>
      <c r="CM45" s="11">
        <v>2.1889142990112305</v>
      </c>
      <c r="CN45" s="11">
        <v>-0.46244460344314575</v>
      </c>
      <c r="CO45" s="11">
        <v>-0.16637176275253296</v>
      </c>
      <c r="CP45" s="11">
        <v>0.61965322494506836</v>
      </c>
      <c r="CQ45" s="11">
        <v>0.70702368021011353</v>
      </c>
      <c r="CR45">
        <v>31.645355451457881</v>
      </c>
      <c r="CS45">
        <v>4.2755538630491383</v>
      </c>
      <c r="CT45">
        <v>0.92848180677540781</v>
      </c>
      <c r="CU45" s="10">
        <v>7.4014634045306588E-2</v>
      </c>
      <c r="CV45" s="11">
        <v>0.57735496759414673</v>
      </c>
      <c r="CW45">
        <v>0.06</v>
      </c>
      <c r="CX45">
        <v>17.729528017447183</v>
      </c>
      <c r="CY45">
        <v>111454348.81602238</v>
      </c>
      <c r="CZ45">
        <v>7.4014634045306588E-2</v>
      </c>
      <c r="DA45">
        <v>5.8729469429882357</v>
      </c>
      <c r="DB45">
        <v>336463621.95715111</v>
      </c>
      <c r="DC45">
        <v>7.031390234304126E-2</v>
      </c>
      <c r="DD45">
        <v>2.943694525568485</v>
      </c>
      <c r="DE45">
        <v>671276514.20229805</v>
      </c>
      <c r="DF45">
        <v>6.51328779598698E-2</v>
      </c>
      <c r="DG45">
        <v>1.8037549163062481</v>
      </c>
      <c r="DH45">
        <v>1095510804.7863538</v>
      </c>
      <c r="DI45">
        <v>5.9211707236245276E-2</v>
      </c>
      <c r="DJ45">
        <v>0.97343324007240306</v>
      </c>
      <c r="DK45">
        <v>2029962527.1200154</v>
      </c>
      <c r="DL45">
        <v>5.1810243831714606E-2</v>
      </c>
      <c r="DM45">
        <v>110000000.00000001</v>
      </c>
      <c r="DN45">
        <v>7.4014634045306588E-2</v>
      </c>
      <c r="DO45">
        <v>1976033000</v>
      </c>
      <c r="DP45">
        <v>425572390</v>
      </c>
      <c r="DQ45">
        <v>2570</v>
      </c>
      <c r="DR45">
        <v>0.14384250881183627</v>
      </c>
      <c r="DS45">
        <v>-0.98234249476269064</v>
      </c>
      <c r="DT45" s="12">
        <v>-0.20666666666666669</v>
      </c>
      <c r="DU45">
        <v>0.22999999999999987</v>
      </c>
      <c r="DV45">
        <v>2.3333333333333178E-2</v>
      </c>
      <c r="DW45">
        <v>5.288349514563107</v>
      </c>
      <c r="DX45">
        <v>0.7180233486445522</v>
      </c>
      <c r="DY45">
        <v>5.0599834315994485</v>
      </c>
      <c r="DZ45">
        <v>2262</v>
      </c>
      <c r="EA45">
        <v>5.0334310789031758</v>
      </c>
      <c r="EB45">
        <v>5</v>
      </c>
      <c r="EC45">
        <v>0.30103390539974884</v>
      </c>
      <c r="ED45">
        <v>1.4471159480954374</v>
      </c>
      <c r="EE45" s="13">
        <v>4.6999999999999993E-2</v>
      </c>
      <c r="EF45">
        <v>1.6100000000000003E-2</v>
      </c>
      <c r="EG45">
        <v>51.208023348644552</v>
      </c>
      <c r="EH45" t="s">
        <v>782</v>
      </c>
      <c r="EI45">
        <v>1</v>
      </c>
      <c r="EJ45">
        <v>0</v>
      </c>
      <c r="EK45" s="15">
        <v>45470</v>
      </c>
      <c r="EL45" s="16">
        <v>0.65</v>
      </c>
      <c r="EM45" s="16">
        <v>-4.9000000000000004</v>
      </c>
      <c r="EN45" s="16">
        <v>2.8</v>
      </c>
      <c r="EO45" s="16">
        <v>8.27</v>
      </c>
      <c r="EP45" s="16">
        <v>-3.09</v>
      </c>
    </row>
    <row r="46" spans="1:146" ht="84" x14ac:dyDescent="0.25">
      <c r="A46" s="8"/>
      <c r="B46" s="8"/>
      <c r="C46" s="8" t="str">
        <f>""&amp;CHAR(10)&amp;Basic_Fundamental_Information_Constructure(F46)&amp;CHAR(10)&amp;Basic_Fundamental_Information_Concatenate("")</f>
        <v xml:space="preserve">
市值35.26848亿, 利润5666.42万; PE20.34; 平均PE30.12; 平均PEG11.26, PB1.14; ROIC9.9467%; ROE9.3067%; 股利率3.1847%; 毛利32.8333%; 净利15.75%; 上一年度营收增-62.63%, 利润增-65.24%; 当季营收增647.04%, 利润增3099.35%; 过往5年营收增-2.67%, 利润增36.36%
Income profile:
</v>
      </c>
      <c r="D46" t="s">
        <v>715</v>
      </c>
      <c r="E46" t="s">
        <v>716</v>
      </c>
      <c r="F46">
        <v>28.26</v>
      </c>
      <c r="G46">
        <v>0.11</v>
      </c>
      <c r="H46" t="s">
        <v>2134</v>
      </c>
      <c r="I46">
        <v>3526848000</v>
      </c>
      <c r="J46">
        <v>20.34</v>
      </c>
      <c r="K46">
        <v>1.1399999999999999</v>
      </c>
      <c r="L46" t="s">
        <v>1187</v>
      </c>
      <c r="M46" t="s">
        <v>306</v>
      </c>
      <c r="N46" t="s">
        <v>1062</v>
      </c>
      <c r="O46" t="s">
        <v>427</v>
      </c>
      <c r="P46">
        <v>36.979999999999997</v>
      </c>
      <c r="Q46" t="s">
        <v>603</v>
      </c>
      <c r="R46">
        <v>37729916</v>
      </c>
      <c r="S46" s="6">
        <v>0.16370000000000001</v>
      </c>
      <c r="T46" t="s">
        <v>2135</v>
      </c>
      <c r="U46">
        <v>37368750</v>
      </c>
      <c r="V46">
        <v>124800000</v>
      </c>
      <c r="W46">
        <v>1.17</v>
      </c>
      <c r="X46">
        <v>0.09</v>
      </c>
      <c r="Y46">
        <v>11.91</v>
      </c>
      <c r="Z46" t="s">
        <v>856</v>
      </c>
      <c r="AA46" t="s">
        <v>738</v>
      </c>
      <c r="AB46" t="s">
        <v>2136</v>
      </c>
      <c r="AC46" t="s">
        <v>2137</v>
      </c>
      <c r="AD46" t="s">
        <v>25</v>
      </c>
      <c r="AE46">
        <v>-2228692</v>
      </c>
      <c r="AF46" t="s">
        <v>2138</v>
      </c>
      <c r="AG46" t="s">
        <v>2139</v>
      </c>
      <c r="AH46" t="s">
        <v>2140</v>
      </c>
      <c r="AI46" t="s">
        <v>444</v>
      </c>
      <c r="AJ46" t="s">
        <v>2141</v>
      </c>
      <c r="AK46" t="s">
        <v>2142</v>
      </c>
      <c r="AL46" t="s">
        <v>2143</v>
      </c>
      <c r="AM46" t="s">
        <v>25</v>
      </c>
      <c r="AN46" t="s">
        <v>135</v>
      </c>
      <c r="AO46" t="s">
        <v>25</v>
      </c>
      <c r="AP46" t="s">
        <v>2144</v>
      </c>
      <c r="AQ46" t="s">
        <v>1077</v>
      </c>
      <c r="AR46" t="s">
        <v>2145</v>
      </c>
      <c r="AS46" t="s">
        <v>576</v>
      </c>
      <c r="AT46" t="s">
        <v>2146</v>
      </c>
      <c r="AU46" t="s">
        <v>2147</v>
      </c>
      <c r="AV46" t="s">
        <v>2148</v>
      </c>
      <c r="AW46" t="s">
        <v>2149</v>
      </c>
      <c r="AX46" t="s">
        <v>1009</v>
      </c>
      <c r="AY46" t="s">
        <v>717</v>
      </c>
      <c r="AZ46" t="s">
        <v>718</v>
      </c>
      <c r="BA46" t="s">
        <v>596</v>
      </c>
      <c r="BB46" t="s">
        <v>510</v>
      </c>
      <c r="BC46" t="s">
        <v>50</v>
      </c>
      <c r="BD46" t="s">
        <v>144</v>
      </c>
      <c r="BE46" t="s">
        <v>61</v>
      </c>
      <c r="BF46" t="s">
        <v>719</v>
      </c>
      <c r="BG46" t="s">
        <v>720</v>
      </c>
      <c r="BH46" t="s">
        <v>2150</v>
      </c>
      <c r="BI46" t="s">
        <v>2151</v>
      </c>
      <c r="BJ46" t="s">
        <v>1009</v>
      </c>
      <c r="BK46" t="s">
        <v>73</v>
      </c>
      <c r="BL46" t="s">
        <v>2152</v>
      </c>
      <c r="BM46" t="s">
        <v>50</v>
      </c>
      <c r="BN46">
        <v>3.49</v>
      </c>
      <c r="BO46">
        <v>7.56</v>
      </c>
      <c r="BP46">
        <v>18.79</v>
      </c>
      <c r="BQ46">
        <v>3.66</v>
      </c>
      <c r="BR46">
        <v>5.6</v>
      </c>
      <c r="BS46">
        <v>18.66</v>
      </c>
      <c r="BT46" t="s">
        <v>2153</v>
      </c>
      <c r="BU46" t="s">
        <v>812</v>
      </c>
      <c r="BV46">
        <v>31.62</v>
      </c>
      <c r="BW46">
        <v>33.01</v>
      </c>
      <c r="BX46">
        <v>33.869999999999997</v>
      </c>
      <c r="BY46">
        <v>13.12</v>
      </c>
      <c r="BZ46">
        <v>17.21</v>
      </c>
      <c r="CA46">
        <v>16.920000000000002</v>
      </c>
      <c r="CB46">
        <v>-4.3</v>
      </c>
      <c r="CC46">
        <v>-1.91</v>
      </c>
      <c r="CD46" t="s">
        <v>2154</v>
      </c>
      <c r="CE46" t="s">
        <v>2155</v>
      </c>
      <c r="CF46" s="10">
        <v>6.4704030829078087</v>
      </c>
      <c r="CG46" s="11">
        <v>30.993484270329855</v>
      </c>
      <c r="CH46" s="10">
        <v>-0.62630480527877808</v>
      </c>
      <c r="CI46" s="10">
        <v>-0.17342540621757507</v>
      </c>
      <c r="CJ46" s="10">
        <v>0.27222838997840881</v>
      </c>
      <c r="CK46" s="10">
        <v>0.30329042673110962</v>
      </c>
      <c r="CL46" s="10">
        <v>9.0483620762825012E-2</v>
      </c>
      <c r="CM46" s="11">
        <v>-0.65236687660217285</v>
      </c>
      <c r="CN46" s="11">
        <v>-0.1510416716337204</v>
      </c>
      <c r="CO46" s="11">
        <v>0.19254659116268158</v>
      </c>
      <c r="CP46" s="11">
        <v>0.69072180986404419</v>
      </c>
      <c r="CQ46" s="11">
        <v>1.7381775379180908</v>
      </c>
      <c r="CR46">
        <v>30.115394665010502</v>
      </c>
      <c r="CS46">
        <v>11.259962593710538</v>
      </c>
      <c r="CT46">
        <v>3.1847133757961781</v>
      </c>
      <c r="CU46" s="10">
        <v>-2.6745554804801942E-2</v>
      </c>
      <c r="CV46" s="11">
        <v>0.36360747814178468</v>
      </c>
      <c r="CW46">
        <v>0.06</v>
      </c>
      <c r="CX46">
        <v>16.92158364540574</v>
      </c>
      <c r="CY46" t="s">
        <v>2156</v>
      </c>
      <c r="CZ46">
        <v>-2.6745554804801942E-2</v>
      </c>
      <c r="DA46">
        <v>5.6405278818019138</v>
      </c>
      <c r="DB46" t="s">
        <v>2157</v>
      </c>
      <c r="DC46">
        <v>-2.5408277064561842E-2</v>
      </c>
      <c r="DD46">
        <v>2.8202639409009569</v>
      </c>
      <c r="DE46" t="s">
        <v>2158</v>
      </c>
      <c r="DF46">
        <v>-2.3536088228225709E-2</v>
      </c>
      <c r="DG46">
        <v>1.6921583645405742</v>
      </c>
      <c r="DH46" t="s">
        <v>2159</v>
      </c>
      <c r="DI46">
        <v>-2.1396443843841553E-2</v>
      </c>
      <c r="DJ46">
        <v>0.84607918227028711</v>
      </c>
      <c r="DK46" t="s">
        <v>2160</v>
      </c>
      <c r="DL46">
        <v>-1.8721888363361357E-2</v>
      </c>
      <c r="DM46">
        <v>56664200</v>
      </c>
      <c r="DN46">
        <v>-2.6745554804801942E-2</v>
      </c>
      <c r="DO46">
        <v>958848000</v>
      </c>
      <c r="DP46">
        <v>1683010300</v>
      </c>
      <c r="DQ46">
        <v>2621</v>
      </c>
      <c r="DR46">
        <v>6.4971486377126109</v>
      </c>
      <c r="DS46">
        <v>30.629876792188071</v>
      </c>
      <c r="DT46" s="12">
        <v>-0.67333333333333334</v>
      </c>
      <c r="DU46">
        <v>0.30333333333333329</v>
      </c>
      <c r="DV46">
        <v>-0.37000000000000005</v>
      </c>
      <c r="DW46">
        <v>-4.4441860465116276</v>
      </c>
      <c r="DX46">
        <v>0.36715082849824976</v>
      </c>
      <c r="DY46">
        <v>-4.0964553680073621</v>
      </c>
      <c r="DZ46">
        <v>240</v>
      </c>
      <c r="EA46">
        <v>-4.0919251745980141</v>
      </c>
      <c r="EB46">
        <v>4</v>
      </c>
      <c r="EC46">
        <v>5.3260416666666671E-2</v>
      </c>
      <c r="ED46">
        <v>0.24526923076923077</v>
      </c>
      <c r="EE46" s="13">
        <v>2.0318100000000001</v>
      </c>
      <c r="EF46">
        <v>2.0545100000000001</v>
      </c>
      <c r="EG46">
        <v>15.21715082849825</v>
      </c>
      <c r="EH46" t="s">
        <v>2161</v>
      </c>
      <c r="EI46">
        <v>0</v>
      </c>
      <c r="EJ46">
        <v>1</v>
      </c>
      <c r="EK46" s="15">
        <v>45470</v>
      </c>
      <c r="EL46" s="16">
        <v>-1.36</v>
      </c>
      <c r="EM46" s="16">
        <v>-5.45</v>
      </c>
      <c r="EN46" s="16">
        <v>-0.81</v>
      </c>
      <c r="EO46" s="16">
        <v>5.16</v>
      </c>
      <c r="EP46" s="16">
        <v>-2.27</v>
      </c>
    </row>
    <row r="47" spans="1:146" ht="84" x14ac:dyDescent="0.25">
      <c r="A47" s="8"/>
      <c r="B47" s="8"/>
      <c r="C47" s="8" t="str">
        <f>""&amp;CHAR(10)&amp;Basic_Fundamental_Information_Constructure(F47)&amp;CHAR(10)&amp;Basic_Fundamental_Information_Concatenate("")</f>
        <v xml:space="preserve">
市值18.776亿, 利润4.66亿; PE167.1; 平均PE14.3; 平均PEG.09, PB1.31; ROIC10.2567%; ROE12.2133%; 股利率.4261%; 毛利21.98%; 净利11.93%; 上一年度营收增637.7%, 利润增613.09%; 当季营收增-91.09%, 利润增-100.76%; 过往5年营收增154.82%, 利润增160.1%
Income profile:
</v>
      </c>
      <c r="D47" t="s">
        <v>721</v>
      </c>
      <c r="E47" t="s">
        <v>722</v>
      </c>
      <c r="F47">
        <v>23.47</v>
      </c>
      <c r="G47">
        <v>2.67</v>
      </c>
      <c r="H47" t="s">
        <v>2162</v>
      </c>
      <c r="I47">
        <v>1877600000</v>
      </c>
      <c r="J47">
        <v>167.1</v>
      </c>
      <c r="K47">
        <v>1.31</v>
      </c>
      <c r="L47" t="s">
        <v>1187</v>
      </c>
      <c r="M47" t="s">
        <v>489</v>
      </c>
      <c r="N47" t="s">
        <v>649</v>
      </c>
      <c r="O47" t="s">
        <v>96</v>
      </c>
      <c r="P47">
        <v>52.38</v>
      </c>
      <c r="Q47" t="s">
        <v>2163</v>
      </c>
      <c r="R47">
        <v>-984998</v>
      </c>
      <c r="S47" s="6">
        <v>-1.407</v>
      </c>
      <c r="T47" t="s">
        <v>1511</v>
      </c>
      <c r="U47">
        <v>37940625</v>
      </c>
      <c r="V47">
        <v>80000000</v>
      </c>
      <c r="W47">
        <v>1.1499999999999999</v>
      </c>
      <c r="X47">
        <v>0.06</v>
      </c>
      <c r="Y47">
        <v>-1.08</v>
      </c>
      <c r="Z47" t="s">
        <v>236</v>
      </c>
      <c r="AA47" t="s">
        <v>2164</v>
      </c>
      <c r="AB47" t="s">
        <v>2165</v>
      </c>
      <c r="AC47" t="s">
        <v>2166</v>
      </c>
      <c r="AD47" t="s">
        <v>25</v>
      </c>
      <c r="AE47">
        <v>6306</v>
      </c>
      <c r="AF47" t="s">
        <v>2167</v>
      </c>
      <c r="AG47" t="s">
        <v>25</v>
      </c>
      <c r="AH47" t="s">
        <v>2168</v>
      </c>
      <c r="AI47" t="s">
        <v>170</v>
      </c>
      <c r="AJ47" t="s">
        <v>2169</v>
      </c>
      <c r="AK47" t="s">
        <v>25</v>
      </c>
      <c r="AL47" t="s">
        <v>2170</v>
      </c>
      <c r="AM47" t="s">
        <v>25</v>
      </c>
      <c r="AN47" t="s">
        <v>59</v>
      </c>
      <c r="AO47" t="s">
        <v>2171</v>
      </c>
      <c r="AP47" t="s">
        <v>2172</v>
      </c>
      <c r="AQ47" t="s">
        <v>2173</v>
      </c>
      <c r="AR47" t="s">
        <v>25</v>
      </c>
      <c r="AS47" t="s">
        <v>74</v>
      </c>
      <c r="AT47" t="s">
        <v>2174</v>
      </c>
      <c r="AU47" t="s">
        <v>2175</v>
      </c>
      <c r="AV47" t="s">
        <v>2176</v>
      </c>
      <c r="AW47" t="s">
        <v>2177</v>
      </c>
      <c r="AX47" t="s">
        <v>254</v>
      </c>
      <c r="AY47" t="s">
        <v>532</v>
      </c>
      <c r="AZ47" t="s">
        <v>186</v>
      </c>
      <c r="BA47" t="s">
        <v>283</v>
      </c>
      <c r="BB47" t="s">
        <v>241</v>
      </c>
      <c r="BC47" t="s">
        <v>1115</v>
      </c>
      <c r="BD47" t="s">
        <v>81</v>
      </c>
      <c r="BE47" t="s">
        <v>723</v>
      </c>
      <c r="BF47" t="s">
        <v>724</v>
      </c>
      <c r="BG47" t="s">
        <v>725</v>
      </c>
      <c r="BH47" t="s">
        <v>1095</v>
      </c>
      <c r="BI47" t="s">
        <v>2178</v>
      </c>
      <c r="BJ47" t="s">
        <v>254</v>
      </c>
      <c r="BK47" t="s">
        <v>2179</v>
      </c>
      <c r="BL47" t="s">
        <v>79</v>
      </c>
      <c r="BM47" t="s">
        <v>1115</v>
      </c>
      <c r="BN47">
        <v>0.92</v>
      </c>
      <c r="BO47">
        <v>5.3</v>
      </c>
      <c r="BP47">
        <v>24.55</v>
      </c>
      <c r="BQ47">
        <v>1.36</v>
      </c>
      <c r="BR47">
        <v>5.15</v>
      </c>
      <c r="BS47">
        <v>30.13</v>
      </c>
      <c r="BT47" t="s">
        <v>969</v>
      </c>
      <c r="BU47" t="s">
        <v>808</v>
      </c>
      <c r="BV47">
        <v>14.01</v>
      </c>
      <c r="BW47">
        <v>19.88</v>
      </c>
      <c r="BX47">
        <v>32.049999999999997</v>
      </c>
      <c r="BY47">
        <v>3.47</v>
      </c>
      <c r="BZ47">
        <v>12.98</v>
      </c>
      <c r="CA47">
        <v>19.34</v>
      </c>
      <c r="CB47">
        <v>2.67</v>
      </c>
      <c r="CC47">
        <v>2.04</v>
      </c>
      <c r="CD47" t="s">
        <v>2180</v>
      </c>
      <c r="CE47" t="s">
        <v>2181</v>
      </c>
      <c r="CF47" s="10">
        <v>-0.910873440285205</v>
      </c>
      <c r="CG47" s="11">
        <v>-1.0075769076923078</v>
      </c>
      <c r="CH47" s="10">
        <v>6.3769845962524414</v>
      </c>
      <c r="CI47" s="10">
        <v>-0.21250000596046448</v>
      </c>
      <c r="CJ47" s="10">
        <v>0.6976127028465271</v>
      </c>
      <c r="CK47" s="10">
        <v>0.59071731567382813</v>
      </c>
      <c r="CL47" s="10">
        <v>0.28804346919059753</v>
      </c>
      <c r="CM47" s="11">
        <v>6.1308994293212891</v>
      </c>
      <c r="CN47" s="11">
        <v>-0.47298869490623474</v>
      </c>
      <c r="CO47" s="11">
        <v>0.67173582315444946</v>
      </c>
      <c r="CP47" s="11">
        <v>1.0685362815856934</v>
      </c>
      <c r="CQ47" s="11">
        <v>0.60662394762039185</v>
      </c>
      <c r="CR47">
        <v>14.301867979651677</v>
      </c>
      <c r="CS47">
        <v>9.237908663054463E-2</v>
      </c>
      <c r="CT47">
        <v>0.426075841499787</v>
      </c>
      <c r="CU47" s="10">
        <v>1.548171615600586</v>
      </c>
      <c r="CV47" s="11">
        <v>1.6009613573551178</v>
      </c>
      <c r="CW47">
        <v>0.06</v>
      </c>
      <c r="CX47">
        <v>0.54506472265537109</v>
      </c>
      <c r="CY47">
        <v>1120233936.6696916</v>
      </c>
      <c r="CZ47">
        <v>1.548171615600586</v>
      </c>
      <c r="DA47">
        <v>6.4141801024729411E-2</v>
      </c>
      <c r="DB47">
        <v>9519533131.9834251</v>
      </c>
      <c r="DC47">
        <v>1.4707630348205567</v>
      </c>
      <c r="DD47">
        <v>5.9435188993660253E-3</v>
      </c>
      <c r="DE47">
        <v>102733752569.56458</v>
      </c>
      <c r="DF47">
        <v>1.3623910217285158</v>
      </c>
      <c r="DG47">
        <v>3.9121132002975869E-4</v>
      </c>
      <c r="DH47">
        <v>1560793281629.8691</v>
      </c>
      <c r="DI47">
        <v>1.238537292480469</v>
      </c>
      <c r="DJ47">
        <v>8.6704747895897225E-7</v>
      </c>
      <c r="DK47">
        <v>704229024151159.5</v>
      </c>
      <c r="DL47">
        <v>1.0837201309204101</v>
      </c>
      <c r="DM47">
        <v>466000000</v>
      </c>
      <c r="DN47">
        <v>1.548171615600586</v>
      </c>
      <c r="DO47">
        <v>610600000</v>
      </c>
      <c r="DP47">
        <v>579420380</v>
      </c>
      <c r="DQ47">
        <v>2659</v>
      </c>
      <c r="DR47">
        <v>-2.4590450558857908</v>
      </c>
      <c r="DS47">
        <v>-2.6085382650474256</v>
      </c>
      <c r="DT47" s="12">
        <v>0.19333333333333327</v>
      </c>
      <c r="DU47">
        <v>-4.8333333333333416E-2</v>
      </c>
      <c r="DV47">
        <v>0.14499999999999985</v>
      </c>
      <c r="DW47">
        <v>4.7640449438202248</v>
      </c>
      <c r="DX47">
        <v>0.39894086193671296</v>
      </c>
      <c r="DY47">
        <v>4.1367188608055789</v>
      </c>
      <c r="DZ47">
        <v>3413</v>
      </c>
      <c r="EA47">
        <v>4.0454035042636143</v>
      </c>
      <c r="EB47">
        <v>4</v>
      </c>
      <c r="EC47">
        <v>9.0105000000000005E-2</v>
      </c>
      <c r="ED47">
        <v>0.50354624999999997</v>
      </c>
      <c r="EE47" s="13">
        <v>3.0695100000000002</v>
      </c>
      <c r="EF47">
        <v>3.1140099999999999</v>
      </c>
      <c r="EG47">
        <v>22.178940861936713</v>
      </c>
      <c r="EH47" t="s">
        <v>1883</v>
      </c>
      <c r="EI47">
        <v>0</v>
      </c>
      <c r="EJ47">
        <v>0</v>
      </c>
      <c r="EK47" s="15">
        <v>45470</v>
      </c>
      <c r="EL47" s="16">
        <v>-0.81</v>
      </c>
      <c r="EM47" s="16">
        <v>-7.08</v>
      </c>
      <c r="EN47" s="16">
        <v>-6.46</v>
      </c>
      <c r="EO47" s="16">
        <v>4.71</v>
      </c>
      <c r="EP47" s="16">
        <v>-4.45</v>
      </c>
    </row>
    <row r="48" spans="1:146" ht="84" x14ac:dyDescent="0.25">
      <c r="C48" s="8" t="str">
        <f>""&amp;CHAR(10)&amp;Basic_Fundamental_Information_Constructure(F48)&amp;CHAR(10)&amp;Basic_Fundamental_Information_Concatenate("")</f>
        <v xml:space="preserve">
市值20.025046亿, 利润4221.76万; PE41.81; 平均PE19.48; 平均PEG10.46, PB1.2; ROIC13.4367%; ROE8.33%; 股利率10.1317%; 毛利6.2367%; 净利4.8567%; 上一年度营收增-68.41%, 利润增-55.12%; 当季营收增597.88%, 利润增219.38%; 过往5年营收增1.86%, 利润增2.29%
Income profile:
</v>
      </c>
      <c r="D48" s="6" t="s">
        <v>1117</v>
      </c>
      <c r="E48" t="s">
        <v>1118</v>
      </c>
      <c r="F48">
        <v>9.8699999999999992</v>
      </c>
      <c r="G48">
        <v>0.3</v>
      </c>
      <c r="H48" t="s">
        <v>2182</v>
      </c>
      <c r="I48">
        <v>2002504600</v>
      </c>
      <c r="J48">
        <v>41.81</v>
      </c>
      <c r="K48">
        <v>1.2</v>
      </c>
      <c r="L48" t="s">
        <v>1187</v>
      </c>
      <c r="M48" t="s">
        <v>199</v>
      </c>
      <c r="N48" t="s">
        <v>2183</v>
      </c>
      <c r="O48" t="s">
        <v>728</v>
      </c>
      <c r="P48" s="6">
        <v>-5.34</v>
      </c>
      <c r="Q48" t="s">
        <v>993</v>
      </c>
      <c r="R48">
        <v>7543827</v>
      </c>
      <c r="S48">
        <v>-0.51129999999999998</v>
      </c>
      <c r="T48" t="s">
        <v>2184</v>
      </c>
      <c r="U48">
        <v>50722000</v>
      </c>
      <c r="V48">
        <v>202888000</v>
      </c>
      <c r="W48">
        <v>1.18</v>
      </c>
      <c r="X48">
        <v>0.23</v>
      </c>
      <c r="Y48">
        <v>1.69</v>
      </c>
      <c r="Z48" t="s">
        <v>1132</v>
      </c>
      <c r="AA48" t="s">
        <v>781</v>
      </c>
      <c r="AB48" t="s">
        <v>2185</v>
      </c>
      <c r="AC48" t="s">
        <v>2186</v>
      </c>
      <c r="AD48" t="s">
        <v>25</v>
      </c>
      <c r="AE48">
        <v>-796108</v>
      </c>
      <c r="AF48" t="s">
        <v>2187</v>
      </c>
      <c r="AG48" t="s">
        <v>25</v>
      </c>
      <c r="AH48" t="s">
        <v>2188</v>
      </c>
      <c r="AI48" t="s">
        <v>2189</v>
      </c>
      <c r="AJ48" t="s">
        <v>2190</v>
      </c>
      <c r="AK48" t="s">
        <v>25</v>
      </c>
      <c r="AL48" t="s">
        <v>2191</v>
      </c>
      <c r="AM48" t="s">
        <v>25</v>
      </c>
      <c r="AN48" t="s">
        <v>2192</v>
      </c>
      <c r="AO48" t="s">
        <v>25</v>
      </c>
      <c r="AP48" t="s">
        <v>357</v>
      </c>
      <c r="AQ48" t="s">
        <v>2193</v>
      </c>
      <c r="AR48" t="s">
        <v>25</v>
      </c>
      <c r="AS48" t="s">
        <v>185</v>
      </c>
      <c r="AT48" t="s">
        <v>25</v>
      </c>
      <c r="AU48" t="s">
        <v>2194</v>
      </c>
      <c r="AV48" t="s">
        <v>990</v>
      </c>
      <c r="AW48" t="s">
        <v>2195</v>
      </c>
      <c r="AX48" t="s">
        <v>309</v>
      </c>
      <c r="AY48" t="s">
        <v>1120</v>
      </c>
      <c r="AZ48" t="s">
        <v>855</v>
      </c>
      <c r="BA48" t="s">
        <v>1121</v>
      </c>
      <c r="BB48" t="s">
        <v>452</v>
      </c>
      <c r="BC48" t="s">
        <v>1119</v>
      </c>
      <c r="BD48" t="s">
        <v>247</v>
      </c>
      <c r="BE48" t="s">
        <v>149</v>
      </c>
      <c r="BF48" t="s">
        <v>131</v>
      </c>
      <c r="BG48" t="s">
        <v>1122</v>
      </c>
      <c r="BH48" t="s">
        <v>2196</v>
      </c>
      <c r="BI48" t="s">
        <v>2197</v>
      </c>
      <c r="BJ48" t="s">
        <v>309</v>
      </c>
      <c r="BK48" t="s">
        <v>2198</v>
      </c>
      <c r="BL48" t="s">
        <v>2199</v>
      </c>
      <c r="BM48" t="s">
        <v>1119</v>
      </c>
      <c r="BN48">
        <v>2.14</v>
      </c>
      <c r="BO48">
        <v>14.03</v>
      </c>
      <c r="BP48">
        <v>24.14</v>
      </c>
      <c r="BQ48">
        <v>2.57</v>
      </c>
      <c r="BR48">
        <v>14.09</v>
      </c>
      <c r="BS48" t="s">
        <v>25</v>
      </c>
      <c r="BT48" t="s">
        <v>2200</v>
      </c>
      <c r="BU48" t="s">
        <v>815</v>
      </c>
      <c r="BV48">
        <v>3.02</v>
      </c>
      <c r="BW48">
        <v>5.25</v>
      </c>
      <c r="BX48">
        <v>10.44</v>
      </c>
      <c r="BY48">
        <v>2.82</v>
      </c>
      <c r="BZ48">
        <v>3.85</v>
      </c>
      <c r="CA48">
        <v>7.9</v>
      </c>
      <c r="CB48">
        <v>-7.58</v>
      </c>
      <c r="CC48" s="10">
        <v>-19.329999999999998</v>
      </c>
      <c r="CD48" s="11" t="s">
        <v>2201</v>
      </c>
      <c r="CE48" s="10" t="s">
        <v>2202</v>
      </c>
      <c r="CF48" s="10">
        <v>5.9787919664268587</v>
      </c>
      <c r="CG48" s="10">
        <v>2.1938302286198139</v>
      </c>
      <c r="CH48" s="10">
        <v>-0.68414580821990967</v>
      </c>
      <c r="CI48" s="10">
        <v>0.43757358193397522</v>
      </c>
      <c r="CJ48" s="11">
        <v>0.52560657262802124</v>
      </c>
      <c r="CK48" s="11">
        <v>-0.1031426340341568</v>
      </c>
      <c r="CL48" s="11">
        <v>-8.2779012620449066E-2</v>
      </c>
      <c r="CM48" s="11">
        <v>-0.55116927623748779</v>
      </c>
      <c r="CN48" s="11">
        <v>-0.29805001616477966</v>
      </c>
      <c r="CO48">
        <v>-0.21176470816135406</v>
      </c>
      <c r="CP48">
        <v>0.55963301658630371</v>
      </c>
      <c r="CQ48">
        <v>0.61595666408538818</v>
      </c>
      <c r="CR48" s="10">
        <v>19.481789797564968</v>
      </c>
      <c r="CS48" s="11">
        <v>10.461403150672641</v>
      </c>
      <c r="CT48">
        <v>10.131712259371835</v>
      </c>
      <c r="CU48">
        <v>1.8622539937496185E-2</v>
      </c>
      <c r="CV48">
        <v>2.2921136021614073E-2</v>
      </c>
      <c r="CW48">
        <v>0.06</v>
      </c>
      <c r="CX48">
        <v>15.689192410860018</v>
      </c>
      <c r="CY48">
        <v>40569621.64345777</v>
      </c>
      <c r="CZ48">
        <v>1.8622539937496185E-2</v>
      </c>
      <c r="DA48">
        <v>5.4491167640922367</v>
      </c>
      <c r="DB48">
        <v>116808765.08177279</v>
      </c>
      <c r="DC48">
        <v>1.7691412940621376E-2</v>
      </c>
      <c r="DD48">
        <v>2.903366254373231</v>
      </c>
      <c r="DE48">
        <v>219229867.75824687</v>
      </c>
      <c r="DF48">
        <v>1.6387835144996643E-2</v>
      </c>
      <c r="DG48">
        <v>1.9001394722338139</v>
      </c>
      <c r="DH48">
        <v>334977831.52292597</v>
      </c>
      <c r="DI48">
        <v>1.4898031949996948E-2</v>
      </c>
      <c r="DJ48">
        <v>1.1727408845701894</v>
      </c>
      <c r="DK48">
        <v>542749560.77213895</v>
      </c>
      <c r="DL48">
        <v>1.303577795624733E-2</v>
      </c>
      <c r="DM48">
        <v>42217600</v>
      </c>
      <c r="DN48">
        <v>1.8622539937496185E-2</v>
      </c>
      <c r="DO48">
        <v>636504600</v>
      </c>
      <c r="DP48">
        <v>1161572900</v>
      </c>
      <c r="DQ48" s="12">
        <v>2780</v>
      </c>
      <c r="DR48">
        <v>5.9601694264893625</v>
      </c>
      <c r="DS48">
        <v>2.1709090925981998</v>
      </c>
      <c r="DT48">
        <v>-0.49</v>
      </c>
      <c r="DU48">
        <v>-0.13333333333333336</v>
      </c>
      <c r="DV48">
        <v>-0.62333333333333329</v>
      </c>
      <c r="DW48">
        <v>-9.3921365752715982</v>
      </c>
      <c r="DX48">
        <v>0.30759655004203551</v>
      </c>
      <c r="DY48">
        <v>-9.0500352741499555</v>
      </c>
      <c r="DZ48">
        <v>1547</v>
      </c>
      <c r="EA48">
        <v>-9.0348876089620926</v>
      </c>
      <c r="EB48" s="13">
        <v>9</v>
      </c>
      <c r="EC48" s="13">
        <v>6.0594022317731963E-2</v>
      </c>
      <c r="ED48">
        <v>0.47488762272781043</v>
      </c>
      <c r="EE48">
        <v>4.0251000000000001</v>
      </c>
      <c r="EF48">
        <v>4.0450100000000004</v>
      </c>
      <c r="EG48">
        <v>18.127596550042036</v>
      </c>
      <c r="EH48" s="15" t="s">
        <v>1974</v>
      </c>
      <c r="EI48">
        <v>0</v>
      </c>
      <c r="EJ48">
        <v>0</v>
      </c>
      <c r="EK48">
        <v>45470</v>
      </c>
      <c r="EL48">
        <v>2.73</v>
      </c>
      <c r="EM48">
        <v>5.52</v>
      </c>
      <c r="EN48" s="16">
        <v>-1</v>
      </c>
      <c r="EO48" s="16">
        <v>-0.06</v>
      </c>
      <c r="EP48" s="16">
        <v>-7.01</v>
      </c>
    </row>
    <row r="49" spans="1:146" ht="84" x14ac:dyDescent="0.25">
      <c r="C49" s="8" t="str">
        <f>""&amp;CHAR(10)&amp;Basic_Fundamental_Information_Constructure(F49)&amp;CHAR(10)&amp;Basic_Fundamental_Information_Concatenate("")</f>
        <v xml:space="preserve">
市值51.352亿, 利润7294.31万; PE31.39; 平均PE62.2; 平均PEG1.61, PB4.36; ROIC26.995%; ROE0%; 股利率.7634%; 毛利44.21%; 净利21.5633%; 上一年度营收增84.29%, 利润增-36.01%; 当季营收增-15.38%, 利润增263.07%; 过往5年营收增38.73%, 利润增10.95%
Income profile:
</v>
      </c>
      <c r="D49" t="s">
        <v>2203</v>
      </c>
      <c r="E49" t="s">
        <v>2204</v>
      </c>
      <c r="F49">
        <v>91.7</v>
      </c>
      <c r="G49">
        <v>-5.96</v>
      </c>
      <c r="H49" t="s">
        <v>2205</v>
      </c>
      <c r="I49">
        <v>5135200000</v>
      </c>
      <c r="J49">
        <v>31.39</v>
      </c>
      <c r="K49">
        <v>4.3600000000000003</v>
      </c>
      <c r="L49" t="s">
        <v>1187</v>
      </c>
      <c r="M49" t="s">
        <v>77</v>
      </c>
      <c r="N49" t="s">
        <v>1070</v>
      </c>
      <c r="O49" t="s">
        <v>172</v>
      </c>
      <c r="P49" s="6">
        <v>38.46</v>
      </c>
      <c r="Q49" t="s">
        <v>876</v>
      </c>
      <c r="R49">
        <v>45598160</v>
      </c>
      <c r="S49">
        <v>1.107</v>
      </c>
      <c r="T49" t="s">
        <v>2206</v>
      </c>
      <c r="U49">
        <v>13276350</v>
      </c>
      <c r="V49">
        <v>56000000</v>
      </c>
      <c r="W49">
        <v>1.1599999999999999</v>
      </c>
      <c r="X49">
        <v>0.15</v>
      </c>
      <c r="Y49">
        <v>27.65</v>
      </c>
      <c r="Z49" t="s">
        <v>253</v>
      </c>
      <c r="AA49" t="s">
        <v>2207</v>
      </c>
      <c r="AB49" t="s">
        <v>2208</v>
      </c>
      <c r="AC49" t="s">
        <v>2209</v>
      </c>
      <c r="AD49" t="s">
        <v>25</v>
      </c>
      <c r="AE49">
        <v>-771966</v>
      </c>
      <c r="AF49" t="s">
        <v>52</v>
      </c>
      <c r="AG49">
        <v>1018.72</v>
      </c>
      <c r="AH49" t="s">
        <v>2210</v>
      </c>
      <c r="AI49" t="s">
        <v>1098</v>
      </c>
      <c r="AJ49" t="s">
        <v>2211</v>
      </c>
      <c r="AK49" t="s">
        <v>2212</v>
      </c>
      <c r="AL49" t="s">
        <v>2213</v>
      </c>
      <c r="AM49" t="s">
        <v>25</v>
      </c>
      <c r="AN49" t="s">
        <v>2214</v>
      </c>
      <c r="AO49" t="s">
        <v>2215</v>
      </c>
      <c r="AP49" t="s">
        <v>2216</v>
      </c>
      <c r="AQ49" t="s">
        <v>2217</v>
      </c>
      <c r="AR49" t="s">
        <v>25</v>
      </c>
      <c r="AS49" t="s">
        <v>172</v>
      </c>
      <c r="AT49" t="s">
        <v>2218</v>
      </c>
      <c r="AU49" t="s">
        <v>2219</v>
      </c>
      <c r="AV49" t="s">
        <v>2220</v>
      </c>
      <c r="AW49" t="s">
        <v>830</v>
      </c>
      <c r="AX49" t="s">
        <v>1230</v>
      </c>
      <c r="AY49" t="s">
        <v>1259</v>
      </c>
      <c r="AZ49" t="s">
        <v>844</v>
      </c>
      <c r="BA49" t="s">
        <v>177</v>
      </c>
      <c r="BB49" t="s">
        <v>25</v>
      </c>
      <c r="BC49" t="s">
        <v>220</v>
      </c>
      <c r="BD49" t="s">
        <v>2221</v>
      </c>
      <c r="BE49" t="s">
        <v>2222</v>
      </c>
      <c r="BF49" t="s">
        <v>2223</v>
      </c>
      <c r="BG49" t="s">
        <v>25</v>
      </c>
      <c r="BH49" t="s">
        <v>2224</v>
      </c>
      <c r="BI49" t="s">
        <v>219</v>
      </c>
      <c r="BJ49" t="s">
        <v>1230</v>
      </c>
      <c r="BK49" t="s">
        <v>234</v>
      </c>
      <c r="BL49" t="s">
        <v>2225</v>
      </c>
      <c r="BM49" t="s">
        <v>220</v>
      </c>
      <c r="BN49" t="s">
        <v>25</v>
      </c>
      <c r="BO49">
        <v>24.84</v>
      </c>
      <c r="BP49">
        <v>29.15</v>
      </c>
      <c r="BQ49" t="s">
        <v>25</v>
      </c>
      <c r="BR49" t="s">
        <v>25</v>
      </c>
      <c r="BS49" t="s">
        <v>25</v>
      </c>
      <c r="BT49" t="s">
        <v>2226</v>
      </c>
      <c r="BU49" t="s">
        <v>517</v>
      </c>
      <c r="BV49">
        <v>43.37</v>
      </c>
      <c r="BW49">
        <v>43.3</v>
      </c>
      <c r="BX49">
        <v>45.96</v>
      </c>
      <c r="BY49">
        <v>21.7</v>
      </c>
      <c r="BZ49">
        <v>21.87</v>
      </c>
      <c r="CA49">
        <v>21.12</v>
      </c>
      <c r="CB49">
        <v>-10.34</v>
      </c>
      <c r="CC49" s="10">
        <v>-27.31</v>
      </c>
      <c r="CD49" s="11" t="s">
        <v>2227</v>
      </c>
      <c r="CE49" s="10" t="s">
        <v>2228</v>
      </c>
      <c r="CF49" s="10">
        <v>-0.15384615384615385</v>
      </c>
      <c r="CG49" s="10">
        <v>2.6307158213233537</v>
      </c>
      <c r="CH49" s="10">
        <v>0.84291189908981323</v>
      </c>
      <c r="CI49" s="10">
        <v>0.11777301877737045</v>
      </c>
      <c r="CJ49" s="11">
        <v>0.43251532316207886</v>
      </c>
      <c r="CK49" s="11">
        <v>0.1560283750295639</v>
      </c>
      <c r="CL49" s="11" t="s">
        <v>25</v>
      </c>
      <c r="CM49" s="11">
        <v>-0.36014822125434875</v>
      </c>
      <c r="CN49" s="11">
        <v>0.15679556131362915</v>
      </c>
      <c r="CO49">
        <v>0.39536920189857483</v>
      </c>
      <c r="CP49">
        <v>0.24587172269821167</v>
      </c>
      <c r="CQ49" t="s">
        <v>25</v>
      </c>
      <c r="CR49" s="10">
        <v>62.199069969351044</v>
      </c>
      <c r="CS49" s="11">
        <v>1.6059365112318389</v>
      </c>
      <c r="CT49">
        <v>0.76335877862595414</v>
      </c>
      <c r="CU49">
        <v>0.38730715401470661</v>
      </c>
      <c r="CV49">
        <v>0.10947206616401672</v>
      </c>
      <c r="CW49">
        <v>0.06</v>
      </c>
      <c r="CX49">
        <v>43.305245568714163</v>
      </c>
      <c r="CY49">
        <v>95466494.779254854</v>
      </c>
      <c r="CZ49">
        <v>0.38730715401470661</v>
      </c>
      <c r="DA49">
        <v>11.101889565211808</v>
      </c>
      <c r="DB49">
        <v>372387058.59177995</v>
      </c>
      <c r="DC49">
        <v>0.36794179631397128</v>
      </c>
      <c r="DD49">
        <v>3.8336573349506082</v>
      </c>
      <c r="DE49">
        <v>1078395808.1775882</v>
      </c>
      <c r="DF49">
        <v>0.34083029553294181</v>
      </c>
      <c r="DG49">
        <v>1.4806847224170225</v>
      </c>
      <c r="DH49">
        <v>2792086618.7174969</v>
      </c>
      <c r="DI49">
        <v>0.30984572321176529</v>
      </c>
      <c r="DJ49">
        <v>0.25574284968310557</v>
      </c>
      <c r="DK49">
        <v>16165456845.119005</v>
      </c>
      <c r="DL49">
        <v>0.27111500781029463</v>
      </c>
      <c r="DM49">
        <v>72943100</v>
      </c>
      <c r="DN49">
        <v>0.38730715401470661</v>
      </c>
      <c r="DO49">
        <v>4134200000</v>
      </c>
      <c r="DP49">
        <v>861413390</v>
      </c>
      <c r="DQ49" s="12">
        <v>2827</v>
      </c>
      <c r="DR49">
        <v>-0.54115330786086047</v>
      </c>
      <c r="DS49">
        <v>2.521243755159337</v>
      </c>
      <c r="DT49">
        <v>0.17199999999999999</v>
      </c>
      <c r="DU49">
        <v>0.27999999999999997</v>
      </c>
      <c r="DV49">
        <v>0.45199999999999996</v>
      </c>
      <c r="DW49">
        <v>-9.3786158916147926</v>
      </c>
      <c r="DX49">
        <v>0.4511474383558064</v>
      </c>
      <c r="DY49">
        <v>-9.0307237097253417</v>
      </c>
      <c r="DZ49">
        <v>888</v>
      </c>
      <c r="EA49">
        <v>-9.0253846384462602</v>
      </c>
      <c r="EB49" s="13">
        <v>9</v>
      </c>
      <c r="EC49" s="13">
        <v>0.11462321428571429</v>
      </c>
      <c r="ED49">
        <v>1.4125303571428571</v>
      </c>
      <c r="EE49">
        <v>20.077310000000001</v>
      </c>
      <c r="EF49">
        <v>20.10491</v>
      </c>
      <c r="EG49">
        <v>37.081147438355806</v>
      </c>
      <c r="EH49" s="15" t="s">
        <v>2229</v>
      </c>
      <c r="EI49">
        <v>0</v>
      </c>
      <c r="EJ49">
        <v>1</v>
      </c>
      <c r="EK49">
        <v>45470</v>
      </c>
      <c r="EL49">
        <v>-1.88</v>
      </c>
      <c r="EM49">
        <v>-8.01</v>
      </c>
      <c r="EN49" s="16">
        <v>-2.54</v>
      </c>
      <c r="EO49" s="16">
        <v>4.0999999999999996</v>
      </c>
      <c r="EP49" s="16">
        <v>-2.76</v>
      </c>
    </row>
    <row r="50" spans="1:146" ht="84" x14ac:dyDescent="0.25">
      <c r="C50" s="8" t="str">
        <f>""&amp;CHAR(10)&amp;Basic_Fundamental_Information_Constructure(F50)&amp;CHAR(10)&amp;Basic_Fundamental_Information_Concatenate("")</f>
        <v xml:space="preserve">
市值24.810516亿, 利润1.24亿; PE60.7; 平均PE43.04; 平均PEG1.06, PB2.32; ROIC9.48%; ROE9.97%; 股利率.8181%; 毛利12.7367%; 净利3.9233%; 上一年度营收增-4.17%, 利润增92.87%; 当季营收增-49.1%, 利润增-112.95%; 过往5年营收增40.52%, 利润增72.58%
Income profile:
</v>
      </c>
      <c r="D50" s="6" t="s">
        <v>1125</v>
      </c>
      <c r="E50" t="s">
        <v>1126</v>
      </c>
      <c r="F50">
        <v>26.89</v>
      </c>
      <c r="G50">
        <v>1.74</v>
      </c>
      <c r="H50" t="s">
        <v>2230</v>
      </c>
      <c r="I50">
        <v>2481051600</v>
      </c>
      <c r="J50">
        <v>60.7</v>
      </c>
      <c r="K50">
        <v>2.3199999999999998</v>
      </c>
      <c r="L50" t="s">
        <v>1187</v>
      </c>
      <c r="M50" t="s">
        <v>378</v>
      </c>
      <c r="N50" t="s">
        <v>1951</v>
      </c>
      <c r="O50" t="s">
        <v>65</v>
      </c>
      <c r="P50" s="6">
        <v>-25.23</v>
      </c>
      <c r="Q50" t="s">
        <v>2231</v>
      </c>
      <c r="R50">
        <v>-4815011</v>
      </c>
      <c r="S50">
        <v>-1.411</v>
      </c>
      <c r="T50" t="s">
        <v>81</v>
      </c>
      <c r="U50">
        <v>23066700</v>
      </c>
      <c r="V50">
        <v>92266700</v>
      </c>
      <c r="W50">
        <v>1.66</v>
      </c>
      <c r="X50">
        <v>0.1</v>
      </c>
      <c r="Y50">
        <v>-2.42</v>
      </c>
      <c r="Z50" t="s">
        <v>854</v>
      </c>
      <c r="AA50" t="s">
        <v>787</v>
      </c>
      <c r="AB50" t="s">
        <v>2232</v>
      </c>
      <c r="AC50" t="s">
        <v>2233</v>
      </c>
      <c r="AD50" t="s">
        <v>25</v>
      </c>
      <c r="AE50">
        <v>1547953</v>
      </c>
      <c r="AF50" t="s">
        <v>2234</v>
      </c>
      <c r="AG50" t="s">
        <v>2235</v>
      </c>
      <c r="AH50" t="s">
        <v>2236</v>
      </c>
      <c r="AI50" t="s">
        <v>333</v>
      </c>
      <c r="AJ50" t="s">
        <v>2237</v>
      </c>
      <c r="AK50" t="s">
        <v>277</v>
      </c>
      <c r="AL50" t="s">
        <v>2238</v>
      </c>
      <c r="AM50" t="s">
        <v>25</v>
      </c>
      <c r="AN50" t="s">
        <v>421</v>
      </c>
      <c r="AO50" t="s">
        <v>135</v>
      </c>
      <c r="AP50" t="s">
        <v>829</v>
      </c>
      <c r="AQ50" t="s">
        <v>194</v>
      </c>
      <c r="AR50" t="s">
        <v>25</v>
      </c>
      <c r="AS50" t="s">
        <v>2239</v>
      </c>
      <c r="AT50" t="s">
        <v>25</v>
      </c>
      <c r="AU50" t="s">
        <v>2240</v>
      </c>
      <c r="AV50" t="s">
        <v>2241</v>
      </c>
      <c r="AW50" t="s">
        <v>2242</v>
      </c>
      <c r="AX50" t="s">
        <v>1127</v>
      </c>
      <c r="AY50" t="s">
        <v>1130</v>
      </c>
      <c r="AZ50" t="s">
        <v>1131</v>
      </c>
      <c r="BA50" t="s">
        <v>860</v>
      </c>
      <c r="BB50" t="s">
        <v>1132</v>
      </c>
      <c r="BC50" t="s">
        <v>1128</v>
      </c>
      <c r="BD50" t="s">
        <v>1133</v>
      </c>
      <c r="BE50" t="s">
        <v>1134</v>
      </c>
      <c r="BF50" t="s">
        <v>1135</v>
      </c>
      <c r="BG50" t="s">
        <v>1136</v>
      </c>
      <c r="BH50" t="s">
        <v>2243</v>
      </c>
      <c r="BI50" t="s">
        <v>1407</v>
      </c>
      <c r="BJ50" t="s">
        <v>1127</v>
      </c>
      <c r="BK50" t="s">
        <v>2244</v>
      </c>
      <c r="BL50" t="s">
        <v>2245</v>
      </c>
      <c r="BM50" t="s">
        <v>1128</v>
      </c>
      <c r="BN50">
        <v>6.31</v>
      </c>
      <c r="BO50">
        <v>9.64</v>
      </c>
      <c r="BP50">
        <v>12.49</v>
      </c>
      <c r="BQ50">
        <v>7.97</v>
      </c>
      <c r="BR50">
        <v>11.97</v>
      </c>
      <c r="BS50" t="s">
        <v>25</v>
      </c>
      <c r="BT50" t="s">
        <v>2246</v>
      </c>
      <c r="BU50" t="s">
        <v>815</v>
      </c>
      <c r="BV50">
        <v>15.49</v>
      </c>
      <c r="BW50">
        <v>11.69</v>
      </c>
      <c r="BX50">
        <v>11.03</v>
      </c>
      <c r="BY50">
        <v>4.16</v>
      </c>
      <c r="BZ50">
        <v>3.62</v>
      </c>
      <c r="CA50">
        <v>3.99</v>
      </c>
      <c r="CB50">
        <v>-5.08</v>
      </c>
      <c r="CC50" s="10">
        <v>-30.25</v>
      </c>
      <c r="CD50" s="11" t="s">
        <v>2247</v>
      </c>
      <c r="CE50" s="10" t="s">
        <v>2248</v>
      </c>
      <c r="CF50" s="10">
        <v>-0.49104859335038364</v>
      </c>
      <c r="CG50" s="10">
        <v>-1.1295273540164148</v>
      </c>
      <c r="CH50" s="10">
        <v>-4.1690140962600708E-2</v>
      </c>
      <c r="CI50" s="10">
        <v>5.0917781889438629E-2</v>
      </c>
      <c r="CJ50" s="11">
        <v>0.17946922779083252</v>
      </c>
      <c r="CK50" s="11">
        <v>1.5989110469818115</v>
      </c>
      <c r="CL50" s="11">
        <v>0.23820224404335022</v>
      </c>
      <c r="CM50" s="11">
        <v>0.92874228954315186</v>
      </c>
      <c r="CN50" s="11">
        <v>-4.5449428260326385E-2</v>
      </c>
      <c r="CO50">
        <v>0.19210128486156464</v>
      </c>
      <c r="CP50">
        <v>1.4842060804367065</v>
      </c>
      <c r="CQ50">
        <v>1.0695021152496338</v>
      </c>
      <c r="CR50" s="10">
        <v>43.039789148161809</v>
      </c>
      <c r="CS50" s="11">
        <v>1.0622858450276882</v>
      </c>
      <c r="CT50">
        <v>0.81814801041279295</v>
      </c>
      <c r="CU50">
        <v>0.40516203194856643</v>
      </c>
      <c r="CV50">
        <v>0.72582046836614611</v>
      </c>
      <c r="CW50">
        <v>0.06</v>
      </c>
      <c r="CX50">
        <v>14.667776326489292</v>
      </c>
      <c r="CY50">
        <v>164377445.24681345</v>
      </c>
      <c r="CZ50">
        <v>0.40516203194856643</v>
      </c>
      <c r="DA50">
        <v>3.7080781716843143</v>
      </c>
      <c r="DB50">
        <v>650215957.80027258</v>
      </c>
      <c r="DC50">
        <v>0.38490393035113807</v>
      </c>
      <c r="DD50">
        <v>1.2527060086157107</v>
      </c>
      <c r="DE50">
        <v>1924674730.8766456</v>
      </c>
      <c r="DF50">
        <v>0.35654258811473843</v>
      </c>
      <c r="DG50">
        <v>0.47000249581077508</v>
      </c>
      <c r="DH50">
        <v>5129869780.4589939</v>
      </c>
      <c r="DI50">
        <v>0.32412962555885316</v>
      </c>
      <c r="DJ50">
        <v>7.5306123708297174E-2</v>
      </c>
      <c r="DK50">
        <v>32016673827.740147</v>
      </c>
      <c r="DL50">
        <v>0.2836134223639965</v>
      </c>
      <c r="DM50">
        <v>124000000</v>
      </c>
      <c r="DN50">
        <v>0.40516203194856643</v>
      </c>
      <c r="DO50">
        <v>2411051600</v>
      </c>
      <c r="DP50">
        <v>806701900</v>
      </c>
      <c r="DQ50" s="12">
        <v>2831</v>
      </c>
      <c r="DR50">
        <v>-0.89621062529895013</v>
      </c>
      <c r="DS50">
        <v>-1.8553478223825608</v>
      </c>
      <c r="DT50">
        <v>2.6666666666666616E-2</v>
      </c>
      <c r="DU50">
        <v>1.6666666666665586E-3</v>
      </c>
      <c r="DV50">
        <v>2.8333333333333176E-2</v>
      </c>
      <c r="DW50">
        <v>-8.1679338842975202</v>
      </c>
      <c r="DX50">
        <v>0.28025573958956757</v>
      </c>
      <c r="DY50">
        <v>-8.0134776580864457</v>
      </c>
      <c r="DZ50">
        <v>226</v>
      </c>
      <c r="EA50">
        <v>-8.012881581623132</v>
      </c>
      <c r="EB50" s="13">
        <v>8</v>
      </c>
      <c r="EC50" s="13">
        <v>4.8120286083711675E-2</v>
      </c>
      <c r="ED50">
        <v>0.59958684986024202</v>
      </c>
      <c r="EE50">
        <v>9.0055099999999992</v>
      </c>
      <c r="EF50">
        <v>9.0267099999999996</v>
      </c>
      <c r="EG50">
        <v>20.080255739589568</v>
      </c>
      <c r="EH50" s="15" t="s">
        <v>2249</v>
      </c>
      <c r="EI50">
        <v>0</v>
      </c>
      <c r="EJ50">
        <v>1</v>
      </c>
      <c r="EK50">
        <v>45470</v>
      </c>
      <c r="EL50">
        <v>1.6</v>
      </c>
      <c r="EM50">
        <v>-3.19</v>
      </c>
      <c r="EN50" s="16">
        <v>6.22</v>
      </c>
      <c r="EO50" s="16">
        <v>-1.33</v>
      </c>
      <c r="EP50" s="16">
        <v>-2.12</v>
      </c>
    </row>
    <row r="51" spans="1:146" ht="84" x14ac:dyDescent="0.25">
      <c r="C51" s="8" t="str">
        <f>""&amp;CHAR(10)&amp;Basic_Fundamental_Information_Constructure(F51)&amp;CHAR(10)&amp;Basic_Fundamental_Information_Concatenate("")</f>
        <v xml:space="preserve">
市值90.162254亿, 利润1.25亿; PE46.22; 平均PE52.39; 平均PEG11.31, PB3.94; ROIC18.89%; ROE0%; 股利率0%; 毛利21.47%; 净利12.05%; 上一年度营收增-84.94%, 利润增-56.14%; 当季营收增317.78%, 利润增105.54%; 过往5年营收增-4.63%, 利润增113.07%
Income profile:
</v>
      </c>
      <c r="D51" t="s">
        <v>2250</v>
      </c>
      <c r="E51" t="s">
        <v>2251</v>
      </c>
      <c r="F51">
        <v>22.54</v>
      </c>
      <c r="G51">
        <v>-5.29</v>
      </c>
      <c r="H51" t="s">
        <v>2252</v>
      </c>
      <c r="I51">
        <v>9016225400</v>
      </c>
      <c r="J51">
        <v>46.22</v>
      </c>
      <c r="K51">
        <v>3.94</v>
      </c>
      <c r="L51" t="s">
        <v>1187</v>
      </c>
      <c r="M51" t="s">
        <v>852</v>
      </c>
      <c r="N51" t="s">
        <v>2253</v>
      </c>
      <c r="O51" t="s">
        <v>886</v>
      </c>
      <c r="P51" s="6">
        <v>18.66</v>
      </c>
      <c r="Q51" t="s">
        <v>1035</v>
      </c>
      <c r="R51">
        <v>115000000</v>
      </c>
      <c r="S51">
        <v>-0.1681</v>
      </c>
      <c r="T51" t="s">
        <v>248</v>
      </c>
      <c r="U51">
        <v>56345425</v>
      </c>
      <c r="V51">
        <v>400010000</v>
      </c>
      <c r="W51">
        <v>1.77</v>
      </c>
      <c r="X51">
        <v>0.2</v>
      </c>
      <c r="Y51">
        <v>9.77</v>
      </c>
      <c r="Z51" t="s">
        <v>784</v>
      </c>
      <c r="AA51" t="s">
        <v>1259</v>
      </c>
      <c r="AB51" t="s">
        <v>2254</v>
      </c>
      <c r="AC51" t="s">
        <v>2255</v>
      </c>
      <c r="AD51" t="s">
        <v>25</v>
      </c>
      <c r="AE51">
        <v>-176289</v>
      </c>
      <c r="AF51" t="s">
        <v>2256</v>
      </c>
      <c r="AG51" t="s">
        <v>2257</v>
      </c>
      <c r="AH51" t="s">
        <v>2258</v>
      </c>
      <c r="AI51" t="s">
        <v>1306</v>
      </c>
      <c r="AJ51" t="s">
        <v>2259</v>
      </c>
      <c r="AK51" t="s">
        <v>2260</v>
      </c>
      <c r="AL51" t="s">
        <v>2261</v>
      </c>
      <c r="AM51" t="s">
        <v>458</v>
      </c>
      <c r="AN51" t="s">
        <v>2262</v>
      </c>
      <c r="AO51" t="s">
        <v>250</v>
      </c>
      <c r="AP51" t="s">
        <v>2263</v>
      </c>
      <c r="AQ51" t="s">
        <v>2264</v>
      </c>
      <c r="AR51" t="s">
        <v>25</v>
      </c>
      <c r="AS51" t="s">
        <v>2265</v>
      </c>
      <c r="AT51" t="s">
        <v>1077</v>
      </c>
      <c r="AU51" t="s">
        <v>2266</v>
      </c>
      <c r="AV51" t="s">
        <v>2267</v>
      </c>
      <c r="AW51" t="s">
        <v>2268</v>
      </c>
      <c r="AX51" t="s">
        <v>1161</v>
      </c>
      <c r="AY51" t="s">
        <v>2269</v>
      </c>
      <c r="AZ51" t="s">
        <v>2270</v>
      </c>
      <c r="BA51" t="s">
        <v>2271</v>
      </c>
      <c r="BB51" t="s">
        <v>25</v>
      </c>
      <c r="BC51" t="s">
        <v>2272</v>
      </c>
      <c r="BD51" t="s">
        <v>95</v>
      </c>
      <c r="BE51" t="s">
        <v>515</v>
      </c>
      <c r="BF51" t="s">
        <v>2273</v>
      </c>
      <c r="BG51" t="s">
        <v>25</v>
      </c>
      <c r="BH51" t="s">
        <v>2274</v>
      </c>
      <c r="BI51" t="s">
        <v>85</v>
      </c>
      <c r="BJ51" t="s">
        <v>1161</v>
      </c>
      <c r="BK51" t="s">
        <v>854</v>
      </c>
      <c r="BL51" t="s">
        <v>2275</v>
      </c>
      <c r="BM51" t="s">
        <v>2272</v>
      </c>
      <c r="BN51" t="s">
        <v>25</v>
      </c>
      <c r="BO51">
        <v>17.46</v>
      </c>
      <c r="BP51">
        <v>20.32</v>
      </c>
      <c r="BQ51" t="s">
        <v>25</v>
      </c>
      <c r="BR51" t="s">
        <v>25</v>
      </c>
      <c r="BS51" t="s">
        <v>25</v>
      </c>
      <c r="BT51" t="s">
        <v>25</v>
      </c>
      <c r="BU51" t="s">
        <v>808</v>
      </c>
      <c r="BV51">
        <v>17.559999999999999</v>
      </c>
      <c r="BW51">
        <v>21.37</v>
      </c>
      <c r="BX51">
        <v>25.48</v>
      </c>
      <c r="BY51">
        <v>8.77</v>
      </c>
      <c r="BZ51">
        <v>12.42</v>
      </c>
      <c r="CA51">
        <v>14.96</v>
      </c>
      <c r="CB51">
        <v>-10.45</v>
      </c>
      <c r="CC51" s="10">
        <v>-54.92</v>
      </c>
      <c r="CD51" s="11" t="s">
        <v>2276</v>
      </c>
      <c r="CE51" s="10" t="s">
        <v>440</v>
      </c>
      <c r="CF51" s="10">
        <v>3.1777777777777776</v>
      </c>
      <c r="CG51" s="10">
        <v>1.055421307748402</v>
      </c>
      <c r="CH51" s="10">
        <v>-0.84936875104904175</v>
      </c>
      <c r="CI51" s="10">
        <v>0.15195582807064056</v>
      </c>
      <c r="CJ51" s="11">
        <v>0.24469412863254547</v>
      </c>
      <c r="CK51" s="11">
        <v>0.26740506291389465</v>
      </c>
      <c r="CL51" s="11" t="s">
        <v>25</v>
      </c>
      <c r="CM51" s="11">
        <v>-0.56140351295471191</v>
      </c>
      <c r="CN51" s="11">
        <v>-4.3624162673950195E-2</v>
      </c>
      <c r="CO51">
        <v>0.42583730816841125</v>
      </c>
      <c r="CP51">
        <v>4.7019720077514648</v>
      </c>
      <c r="CQ51" t="s">
        <v>25</v>
      </c>
      <c r="CR51" s="10">
        <v>52.386801784360493</v>
      </c>
      <c r="CS51" s="11">
        <v>11.307699948526393</v>
      </c>
      <c r="CT51">
        <v>0</v>
      </c>
      <c r="CU51">
        <v>-4.6328432857990265E-2</v>
      </c>
      <c r="CV51">
        <v>1.1306954100728035</v>
      </c>
      <c r="CW51">
        <v>0.06</v>
      </c>
      <c r="CX51">
        <v>68.937803200000005</v>
      </c>
      <c r="CY51" t="s">
        <v>2277</v>
      </c>
      <c r="CZ51">
        <v>-4.6328432857990265E-2</v>
      </c>
      <c r="DA51">
        <v>22.979267733333334</v>
      </c>
      <c r="DB51" t="s">
        <v>2278</v>
      </c>
      <c r="DC51">
        <v>-4.4012011215090747E-2</v>
      </c>
      <c r="DD51">
        <v>11.489633866666667</v>
      </c>
      <c r="DE51" t="s">
        <v>2279</v>
      </c>
      <c r="DF51">
        <v>-4.0769020915031436E-2</v>
      </c>
      <c r="DG51">
        <v>6.8937803200000003</v>
      </c>
      <c r="DH51" t="s">
        <v>2280</v>
      </c>
      <c r="DI51">
        <v>-3.7062746286392216E-2</v>
      </c>
      <c r="DJ51">
        <v>3.4468901600000001</v>
      </c>
      <c r="DK51" t="s">
        <v>2281</v>
      </c>
      <c r="DL51">
        <v>-3.2429903000593181E-2</v>
      </c>
      <c r="DM51">
        <v>125000000</v>
      </c>
      <c r="DN51">
        <v>-4.6328432857990265E-2</v>
      </c>
      <c r="DO51">
        <v>8617225400</v>
      </c>
      <c r="DP51">
        <v>166580660</v>
      </c>
      <c r="DQ51" s="12">
        <v>2834</v>
      </c>
      <c r="DR51">
        <v>3.2241062106357679</v>
      </c>
      <c r="DS51">
        <v>-7.527410232440146E-2</v>
      </c>
      <c r="DT51">
        <v>-0.44800000000000006</v>
      </c>
      <c r="DU51">
        <v>1.024</v>
      </c>
      <c r="DV51">
        <v>0.57599999999999996</v>
      </c>
      <c r="DW51">
        <v>-9.1902767662053897</v>
      </c>
      <c r="DX51">
        <v>0.51514677419354826</v>
      </c>
      <c r="DY51">
        <v>-9.0485485031012853</v>
      </c>
      <c r="DZ51" t="s">
        <v>1141</v>
      </c>
      <c r="EA51" t="e">
        <v>#VALUE!</v>
      </c>
      <c r="EB51" s="13" t="e">
        <v>#VALUE!</v>
      </c>
      <c r="EC51" s="13">
        <v>0.1581870453238669</v>
      </c>
      <c r="ED51">
        <v>0.61998450038749031</v>
      </c>
      <c r="EE51">
        <v>19.063510000000001</v>
      </c>
      <c r="EF51">
        <v>19.07901</v>
      </c>
      <c r="EG51">
        <v>26.255146774193548</v>
      </c>
      <c r="EH51" s="15" t="s">
        <v>2282</v>
      </c>
      <c r="EI51" t="e">
        <v>#VALUE!</v>
      </c>
      <c r="EJ51">
        <v>0</v>
      </c>
      <c r="EK51">
        <v>45470</v>
      </c>
      <c r="EL51">
        <v>0.13</v>
      </c>
      <c r="EM51">
        <v>-3.32</v>
      </c>
      <c r="EN51" s="16">
        <v>-7.0000000000000007E-2</v>
      </c>
      <c r="EO51" s="16">
        <v>1.93</v>
      </c>
      <c r="EP51" s="16">
        <v>-1.55</v>
      </c>
    </row>
    <row r="52" spans="1:146" ht="84" x14ac:dyDescent="0.25">
      <c r="C52" s="8" t="str">
        <f>""&amp;CHAR(10)&amp;Basic_Fundamental_Information_Constructure(F52)&amp;CHAR(10)&amp;Basic_Fundamental_Information_Concatenate("")</f>
        <v xml:space="preserve">
市值31.132812亿, 利润9658.41万; PE42.55; 平均PE50; 平均PEG1.92, PB3.68; ROIC16.81%; ROE13.95%; 股利率.8457%; 毛利36.93%; 净利18.6167%; 上一年度营收增57.26%, 利润增31.75%; 当季营收增-26.98%, 利润增-26.56%; 过往5年营收增26%, 利润增22%
Income profile:
</v>
      </c>
      <c r="D52" t="s">
        <v>1138</v>
      </c>
      <c r="E52" t="s">
        <v>1139</v>
      </c>
      <c r="F52">
        <v>37.01</v>
      </c>
      <c r="G52">
        <v>-0.48</v>
      </c>
      <c r="H52" t="s">
        <v>2283</v>
      </c>
      <c r="I52">
        <v>3113281200</v>
      </c>
      <c r="J52">
        <v>42.55</v>
      </c>
      <c r="K52">
        <v>3.68</v>
      </c>
      <c r="L52" t="s">
        <v>1187</v>
      </c>
      <c r="M52" t="s">
        <v>2284</v>
      </c>
      <c r="N52" t="s">
        <v>1142</v>
      </c>
      <c r="O52" t="s">
        <v>2285</v>
      </c>
      <c r="P52" s="6">
        <v>-0.19</v>
      </c>
      <c r="Q52" t="s">
        <v>353</v>
      </c>
      <c r="R52">
        <v>17049029</v>
      </c>
      <c r="S52">
        <v>-0.1111</v>
      </c>
      <c r="T52" t="s">
        <v>2286</v>
      </c>
      <c r="U52">
        <v>19943633</v>
      </c>
      <c r="V52">
        <v>84120000</v>
      </c>
      <c r="W52">
        <v>1.1000000000000001</v>
      </c>
      <c r="X52">
        <v>0.13</v>
      </c>
      <c r="Y52">
        <v>17.420000000000002</v>
      </c>
      <c r="Z52" t="s">
        <v>2287</v>
      </c>
      <c r="AA52" t="s">
        <v>2288</v>
      </c>
      <c r="AB52" t="s">
        <v>2289</v>
      </c>
      <c r="AC52" t="s">
        <v>2290</v>
      </c>
      <c r="AD52" t="s">
        <v>25</v>
      </c>
      <c r="AE52">
        <v>-1060962</v>
      </c>
      <c r="AF52" t="s">
        <v>52</v>
      </c>
      <c r="AG52" t="s">
        <v>2291</v>
      </c>
      <c r="AH52" t="s">
        <v>2292</v>
      </c>
      <c r="AI52" t="s">
        <v>1000</v>
      </c>
      <c r="AJ52" t="s">
        <v>2293</v>
      </c>
      <c r="AK52" t="s">
        <v>2294</v>
      </c>
      <c r="AL52" t="s">
        <v>2295</v>
      </c>
      <c r="AM52" t="s">
        <v>25</v>
      </c>
      <c r="AN52" t="s">
        <v>2296</v>
      </c>
      <c r="AO52" t="s">
        <v>25</v>
      </c>
      <c r="AP52" t="s">
        <v>2297</v>
      </c>
      <c r="AQ52" t="s">
        <v>2298</v>
      </c>
      <c r="AR52" t="s">
        <v>25</v>
      </c>
      <c r="AS52" t="s">
        <v>2299</v>
      </c>
      <c r="AT52" t="s">
        <v>25</v>
      </c>
      <c r="AU52" t="s">
        <v>2300</v>
      </c>
      <c r="AV52" t="s">
        <v>2301</v>
      </c>
      <c r="AW52" t="s">
        <v>1500</v>
      </c>
      <c r="AX52" t="s">
        <v>451</v>
      </c>
      <c r="AY52" t="s">
        <v>428</v>
      </c>
      <c r="AZ52" t="s">
        <v>359</v>
      </c>
      <c r="BA52" t="s">
        <v>359</v>
      </c>
      <c r="BB52" t="s">
        <v>25</v>
      </c>
      <c r="BC52" t="s">
        <v>1140</v>
      </c>
      <c r="BD52" t="s">
        <v>2302</v>
      </c>
      <c r="BE52" t="s">
        <v>2303</v>
      </c>
      <c r="BF52" t="s">
        <v>2304</v>
      </c>
      <c r="BG52" t="s">
        <v>25</v>
      </c>
      <c r="BH52" t="s">
        <v>1105</v>
      </c>
      <c r="BI52" t="s">
        <v>247</v>
      </c>
      <c r="BJ52" t="s">
        <v>451</v>
      </c>
      <c r="BK52" t="s">
        <v>2305</v>
      </c>
      <c r="BL52" t="s">
        <v>2306</v>
      </c>
      <c r="BM52" t="s">
        <v>1140</v>
      </c>
      <c r="BN52">
        <v>13.7</v>
      </c>
      <c r="BO52">
        <v>20.22</v>
      </c>
      <c r="BP52">
        <v>16.510000000000002</v>
      </c>
      <c r="BQ52">
        <v>13.95</v>
      </c>
      <c r="BR52" t="s">
        <v>25</v>
      </c>
      <c r="BS52" t="s">
        <v>25</v>
      </c>
      <c r="BT52" t="s">
        <v>2307</v>
      </c>
      <c r="BU52" t="s">
        <v>812</v>
      </c>
      <c r="BV52">
        <v>38.130000000000003</v>
      </c>
      <c r="BW52">
        <v>36.950000000000003</v>
      </c>
      <c r="BX52">
        <v>35.71</v>
      </c>
      <c r="BY52">
        <v>19.32</v>
      </c>
      <c r="BZ52">
        <v>19.690000000000001</v>
      </c>
      <c r="CA52">
        <v>16.84</v>
      </c>
      <c r="CB52">
        <v>-9.11</v>
      </c>
      <c r="CC52" s="10">
        <v>-34.29</v>
      </c>
      <c r="CD52" s="11" t="s">
        <v>2308</v>
      </c>
      <c r="CE52" s="10" t="s">
        <v>571</v>
      </c>
      <c r="CF52" s="10">
        <v>-0.26979029850746278</v>
      </c>
      <c r="CG52" s="10">
        <v>-0.26561237632078855</v>
      </c>
      <c r="CH52" s="10">
        <v>0.57258063554763794</v>
      </c>
      <c r="CI52" s="10">
        <v>0.17350158095359802</v>
      </c>
      <c r="CJ52" s="11">
        <v>0.29387754201889038</v>
      </c>
      <c r="CK52" s="11">
        <v>0</v>
      </c>
      <c r="CL52" s="11" t="s">
        <v>25</v>
      </c>
      <c r="CM52" s="11">
        <v>0.31752708554267883</v>
      </c>
      <c r="CN52" s="11">
        <v>0.37470236420631409</v>
      </c>
      <c r="CO52">
        <v>0.25106865167617798</v>
      </c>
      <c r="CP52">
        <v>-6.344933807849884E-2</v>
      </c>
      <c r="CQ52" t="s">
        <v>25</v>
      </c>
      <c r="CR52" s="10">
        <v>49.995988477391101</v>
      </c>
      <c r="CS52" s="11">
        <v>1.9229970416753785</v>
      </c>
      <c r="CT52">
        <v>0.84571737368278843</v>
      </c>
      <c r="CU52">
        <v>0.25998993963003159</v>
      </c>
      <c r="CV52">
        <v>0.21996219083666801</v>
      </c>
      <c r="CW52">
        <v>0.06</v>
      </c>
      <c r="CX52">
        <v>20.301462041541619</v>
      </c>
      <c r="CY52">
        <v>114806598.42284994</v>
      </c>
      <c r="CZ52">
        <v>0.25998993963003159</v>
      </c>
      <c r="DA52">
        <v>5.7615604012281905</v>
      </c>
      <c r="DB52">
        <v>404533084.38858962</v>
      </c>
      <c r="DC52">
        <v>0.24699044264852998</v>
      </c>
      <c r="DD52">
        <v>2.3232624248478864</v>
      </c>
      <c r="DE52">
        <v>1003219341.5053416</v>
      </c>
      <c r="DF52">
        <v>0.22879114687442781</v>
      </c>
      <c r="DG52">
        <v>1.0971061057831788</v>
      </c>
      <c r="DH52">
        <v>2124445199.7067137</v>
      </c>
      <c r="DI52">
        <v>0.20799195170402529</v>
      </c>
      <c r="DJ52">
        <v>0.31790605922482412</v>
      </c>
      <c r="DK52">
        <v>7331542549.6551867</v>
      </c>
      <c r="DL52">
        <v>0.18199295774102209</v>
      </c>
      <c r="DM52">
        <v>96584100</v>
      </c>
      <c r="DN52">
        <v>0.25998993963003159</v>
      </c>
      <c r="DO52">
        <v>2330741800</v>
      </c>
      <c r="DP52">
        <v>684947410</v>
      </c>
      <c r="DQ52" s="12">
        <v>2844</v>
      </c>
      <c r="DR52">
        <v>-0.52978023813749431</v>
      </c>
      <c r="DS52">
        <v>-0.48557456715745656</v>
      </c>
      <c r="DT52">
        <v>1.2000000000000012E-2</v>
      </c>
      <c r="DU52">
        <v>0.27600000000000002</v>
      </c>
      <c r="DV52">
        <v>0.28800000000000003</v>
      </c>
      <c r="DW52">
        <v>-9.2656751239428399</v>
      </c>
      <c r="DX52">
        <v>0.27981276595744742</v>
      </c>
      <c r="DY52">
        <v>-9.018547515248537</v>
      </c>
      <c r="DZ52">
        <v>168</v>
      </c>
      <c r="EA52">
        <v>-9.0179377339252973</v>
      </c>
      <c r="EB52" s="13">
        <v>9</v>
      </c>
      <c r="EC52" s="13">
        <v>0.11701854493580599</v>
      </c>
      <c r="ED52">
        <v>1.6761768901569187</v>
      </c>
      <c r="EE52">
        <v>28.040710000000001</v>
      </c>
      <c r="EF52">
        <v>28.081410000000002</v>
      </c>
      <c r="EG52">
        <v>21.069812765957447</v>
      </c>
      <c r="EH52" s="15" t="s">
        <v>2309</v>
      </c>
      <c r="EI52">
        <v>0</v>
      </c>
      <c r="EJ52">
        <v>1</v>
      </c>
      <c r="EK52">
        <v>45470</v>
      </c>
      <c r="EL52">
        <v>-3.75</v>
      </c>
      <c r="EM52">
        <v>-3.22</v>
      </c>
      <c r="EN52" s="16">
        <v>-2.15</v>
      </c>
      <c r="EO52" s="16">
        <v>1.26</v>
      </c>
      <c r="EP52" s="16">
        <v>-4.07</v>
      </c>
    </row>
    <row r="53" spans="1:146" ht="84" x14ac:dyDescent="0.25">
      <c r="A53" s="8"/>
      <c r="B53" s="8"/>
      <c r="C53" s="8" t="str">
        <f>""&amp;CHAR(10)&amp;Basic_Fundamental_Information_Constructure(F53)&amp;CHAR(10)&amp;Basic_Fundamental_Information_Concatenate("")</f>
        <v xml:space="preserve">
市值26.946056亿, 利润28.55亿; PE; 平均PE1.85; 平均PEG.06, PB1.09; ROIC1.1667%; ROE1.2333%; 股利率0%; 毛利15.08%; 净利.8067%; 上一年度营收增-81.66%, 利润增4631.41%; 当季营收增176.56%, 利润增90.07%; 过往5年营收增-30.34%, 利润增4631.41%
Income profile:
</v>
      </c>
      <c r="D53" t="s">
        <v>589</v>
      </c>
      <c r="E53" t="s">
        <v>590</v>
      </c>
      <c r="F53">
        <v>4.87</v>
      </c>
      <c r="G53">
        <v>1.04</v>
      </c>
      <c r="H53" t="s">
        <v>2310</v>
      </c>
      <c r="I53">
        <v>2694605600</v>
      </c>
      <c r="K53">
        <v>1.0900000000000001</v>
      </c>
      <c r="L53" t="s">
        <v>1187</v>
      </c>
      <c r="M53" t="s">
        <v>485</v>
      </c>
      <c r="N53" t="s">
        <v>2311</v>
      </c>
      <c r="O53" t="s">
        <v>826</v>
      </c>
      <c r="P53">
        <v>-35.840000000000003</v>
      </c>
      <c r="Q53" t="s">
        <v>676</v>
      </c>
      <c r="R53">
        <v>-19664836</v>
      </c>
      <c r="S53" s="6">
        <v>-4.5369999999999999</v>
      </c>
      <c r="T53" t="s">
        <v>1154</v>
      </c>
      <c r="U53">
        <v>553307100</v>
      </c>
      <c r="V53">
        <v>553307100</v>
      </c>
      <c r="W53">
        <v>1.23</v>
      </c>
      <c r="X53" t="s">
        <v>25</v>
      </c>
      <c r="Y53">
        <v>-5.43</v>
      </c>
      <c r="Z53" t="s">
        <v>25</v>
      </c>
      <c r="AA53" t="s">
        <v>25</v>
      </c>
      <c r="AB53" t="s">
        <v>25</v>
      </c>
      <c r="AC53" t="s">
        <v>25</v>
      </c>
      <c r="AD53" t="s">
        <v>25</v>
      </c>
      <c r="AE53">
        <v>-724416</v>
      </c>
      <c r="AF53" t="s">
        <v>2312</v>
      </c>
      <c r="AG53" t="s">
        <v>2313</v>
      </c>
      <c r="AH53" t="s">
        <v>2314</v>
      </c>
      <c r="AI53" t="s">
        <v>1259</v>
      </c>
      <c r="AJ53" t="s">
        <v>2315</v>
      </c>
      <c r="AK53" t="s">
        <v>25</v>
      </c>
      <c r="AL53" t="s">
        <v>2316</v>
      </c>
      <c r="AM53" t="s">
        <v>25</v>
      </c>
      <c r="AN53" t="s">
        <v>183</v>
      </c>
      <c r="AO53" t="s">
        <v>25</v>
      </c>
      <c r="AP53" t="s">
        <v>2317</v>
      </c>
      <c r="AQ53" t="s">
        <v>2318</v>
      </c>
      <c r="AR53" t="s">
        <v>25</v>
      </c>
      <c r="AS53" t="s">
        <v>25</v>
      </c>
      <c r="AT53" t="s">
        <v>25</v>
      </c>
      <c r="AU53" t="s">
        <v>1963</v>
      </c>
      <c r="AV53" t="s">
        <v>2319</v>
      </c>
      <c r="AW53" t="s">
        <v>2320</v>
      </c>
      <c r="AX53" t="s">
        <v>2321</v>
      </c>
      <c r="AY53" t="s">
        <v>25</v>
      </c>
      <c r="AZ53" t="s">
        <v>591</v>
      </c>
      <c r="BA53" t="s">
        <v>592</v>
      </c>
      <c r="BB53" t="s">
        <v>593</v>
      </c>
      <c r="BC53" t="s">
        <v>2322</v>
      </c>
      <c r="BD53" t="s">
        <v>25</v>
      </c>
      <c r="BE53" t="s">
        <v>25</v>
      </c>
      <c r="BF53" t="s">
        <v>25</v>
      </c>
      <c r="BG53" t="s">
        <v>25</v>
      </c>
      <c r="BH53" t="s">
        <v>2323</v>
      </c>
      <c r="BI53" t="s">
        <v>47</v>
      </c>
      <c r="BJ53" t="s">
        <v>2321</v>
      </c>
      <c r="BK53" t="s">
        <v>2324</v>
      </c>
      <c r="BL53" t="s">
        <v>888</v>
      </c>
      <c r="BM53" t="s">
        <v>2322</v>
      </c>
      <c r="BN53">
        <v>0.09</v>
      </c>
      <c r="BO53">
        <v>1.38</v>
      </c>
      <c r="BP53">
        <v>2.0299999999999998</v>
      </c>
      <c r="BQ53">
        <v>0.13</v>
      </c>
      <c r="BR53">
        <v>1.47</v>
      </c>
      <c r="BS53">
        <v>2.1</v>
      </c>
      <c r="BT53" t="s">
        <v>965</v>
      </c>
      <c r="BU53" t="s">
        <v>808</v>
      </c>
      <c r="BV53">
        <v>14.92</v>
      </c>
      <c r="BW53">
        <v>14.79</v>
      </c>
      <c r="BX53">
        <v>15.53</v>
      </c>
      <c r="BY53">
        <v>-2.11</v>
      </c>
      <c r="BZ53">
        <v>1.98</v>
      </c>
      <c r="CA53">
        <v>2.5499999999999998</v>
      </c>
      <c r="CB53">
        <v>-0.2</v>
      </c>
      <c r="CC53">
        <v>-16.18</v>
      </c>
      <c r="CD53" t="s">
        <v>2325</v>
      </c>
      <c r="CE53" t="s">
        <v>85</v>
      </c>
      <c r="CF53" s="10">
        <v>1.765625</v>
      </c>
      <c r="CG53" s="11">
        <v>0.90068264646464646</v>
      </c>
      <c r="CH53" s="10">
        <v>-0.81659787893295288</v>
      </c>
      <c r="CI53" s="10" t="s">
        <v>25</v>
      </c>
      <c r="CJ53" s="10" t="s">
        <v>25</v>
      </c>
      <c r="CK53" s="10">
        <v>-3.8389511406421661E-2</v>
      </c>
      <c r="CL53" s="10">
        <v>-5.5285245180130005E-2</v>
      </c>
      <c r="CM53" s="11">
        <v>46.314113616943359</v>
      </c>
      <c r="CN53" s="11" t="s">
        <v>25</v>
      </c>
      <c r="CO53" s="11" t="s">
        <v>25</v>
      </c>
      <c r="CP53" s="11" t="s">
        <v>25</v>
      </c>
      <c r="CQ53" s="11" t="s">
        <v>25</v>
      </c>
      <c r="CR53">
        <v>1.8485695020144124</v>
      </c>
      <c r="CS53">
        <v>6.0923599036658158E-2</v>
      </c>
      <c r="CT53">
        <v>0</v>
      </c>
      <c r="CU53" s="10">
        <v>-0.30342421183983487</v>
      </c>
      <c r="CV53" s="11">
        <v>46.314113616943359</v>
      </c>
      <c r="CW53">
        <v>0.06</v>
      </c>
      <c r="CX53" t="e">
        <v>#VALUE!</v>
      </c>
      <c r="CY53" t="s">
        <v>795</v>
      </c>
      <c r="CZ53">
        <v>-0.30342421183983487</v>
      </c>
      <c r="DA53">
        <v>0.14799831873905428</v>
      </c>
      <c r="DB53" t="s">
        <v>2326</v>
      </c>
      <c r="DC53">
        <v>-0.28825300124784309</v>
      </c>
      <c r="DD53">
        <v>7.399915936952714E-2</v>
      </c>
      <c r="DE53" t="s">
        <v>2327</v>
      </c>
      <c r="DF53">
        <v>-0.26701330641905469</v>
      </c>
      <c r="DG53">
        <v>4.4399495621716287E-2</v>
      </c>
      <c r="DH53" t="s">
        <v>2328</v>
      </c>
      <c r="DI53">
        <v>-0.24273936947186792</v>
      </c>
      <c r="DJ53">
        <v>2.2199747810858143E-2</v>
      </c>
      <c r="DK53" t="s">
        <v>2329</v>
      </c>
      <c r="DL53">
        <v>-0.21239694828788439</v>
      </c>
      <c r="DM53">
        <v>2855000000</v>
      </c>
      <c r="DN53">
        <v>-0.30342421183983487</v>
      </c>
      <c r="DO53">
        <v>1267605600</v>
      </c>
      <c r="DP53">
        <v>1952939700</v>
      </c>
      <c r="DQ53">
        <v>2949</v>
      </c>
      <c r="DR53">
        <v>2.0690492118398347</v>
      </c>
      <c r="DS53">
        <v>-45.413430970478714</v>
      </c>
      <c r="DT53" s="12">
        <v>-1.1599999999999999</v>
      </c>
      <c r="DU53">
        <v>0.84499999999999986</v>
      </c>
      <c r="DV53">
        <v>-0.31500000000000006</v>
      </c>
      <c r="DW53">
        <v>-3.0020357142857144</v>
      </c>
      <c r="DX53">
        <v>0.4191437037037038</v>
      </c>
      <c r="DY53">
        <v>-3.0003036139682542</v>
      </c>
      <c r="DZ53">
        <v>1560</v>
      </c>
      <c r="EA53">
        <v>-3.0002109255552449</v>
      </c>
      <c r="EB53">
        <v>3</v>
      </c>
      <c r="EC53">
        <v>3.6389195078104002E-2</v>
      </c>
      <c r="ED53">
        <v>0.24398747097226839</v>
      </c>
      <c r="EE53" s="13">
        <v>1.1062099999999999</v>
      </c>
      <c r="EF53">
        <v>1.14161</v>
      </c>
      <c r="EG53">
        <v>27.149143703703704</v>
      </c>
      <c r="EH53" t="s">
        <v>986</v>
      </c>
      <c r="EI53">
        <v>0</v>
      </c>
      <c r="EJ53">
        <v>0</v>
      </c>
      <c r="EK53" s="15">
        <v>45470</v>
      </c>
      <c r="EL53" s="16">
        <v>2.29</v>
      </c>
      <c r="EM53" s="16">
        <v>-6.9</v>
      </c>
      <c r="EN53" s="16">
        <v>-2.98</v>
      </c>
      <c r="EO53" s="16">
        <v>3.77</v>
      </c>
      <c r="EP53" s="16">
        <v>-3.54</v>
      </c>
    </row>
    <row r="54" spans="1:146" ht="156" x14ac:dyDescent="0.25">
      <c r="A54" s="8"/>
      <c r="B54" s="8"/>
      <c r="C54" s="8" t="str">
        <f>"公司的主营业务为化工新材料的研发、生产和销售。其主要产品包括改性塑料、完全生物降解塑料、特种工程塑料、碳纤维及复合材料、轻烃及氢能源和医疗健康高分子材料产品等6大类。"&amp;CHAR(10)&amp;Basic_Fundamental_Information_Constructure(F54)&amp;CHAR(10)&amp;Basic_Fundamental_Information_Concatenate("改性塑料产品 121.71亿 62.52% 77.48% 20.00%
贸易品 28.50亿 14.64% 2.14% 2.36%
新材料产品 16.21亿 8.33% 10.29% 19.95%
绿色石化产品 15.25亿 7.83% -4.56% -9.40%
医疗健康产品 10.09亿 5.18% 11.73% 36.54%")</f>
        <v>公司的主营业务为化工新材料的研发、生产和销售。其主要产品包括改性塑料、完全生物降解塑料、特种工程塑料、碳纤维及复合材料、轻烃及氢能源和医疗健康高分子材料产品等6大类。
市值166.64853亿, 利润66.08万; PE137; 平均PE16.73; 平均PEG.8, PB1; ROIC5.6867%; ROE8.73%; 股利率1.6026%; 毛利14.6067%; 净利3.07%; 上一年度营收增-98.28%, 利润增-99.97%; 当季营收增7571.53%, 利润增1120.55%; 过往5年营收增-20.96%, 利润增-99.97%
Income profile:
改性塑料产品 121.71亿 62.52% 77.48% 20.00%
贸易品 28.50亿 14.64% 2.14% 2.36%
新材料产品 16.21亿 8.33% 10.29% 19.95%
绿色石化产品 15.25亿 7.83% -4.56% -9.40%
医疗健康产品 10.09亿 5.18% 11.73% 36.54%</v>
      </c>
      <c r="D54" t="s">
        <v>223</v>
      </c>
      <c r="E54" t="s">
        <v>26</v>
      </c>
      <c r="F54">
        <v>6.24</v>
      </c>
      <c r="G54">
        <v>-0.95</v>
      </c>
      <c r="H54" t="s">
        <v>2330</v>
      </c>
      <c r="I54">
        <v>16664853000</v>
      </c>
      <c r="J54">
        <v>137</v>
      </c>
      <c r="K54">
        <v>1</v>
      </c>
      <c r="L54" t="s">
        <v>1187</v>
      </c>
      <c r="M54" t="s">
        <v>2331</v>
      </c>
      <c r="N54" t="s">
        <v>2332</v>
      </c>
      <c r="O54" t="s">
        <v>2333</v>
      </c>
      <c r="P54">
        <v>8.5399999999999991</v>
      </c>
      <c r="Q54" t="s">
        <v>684</v>
      </c>
      <c r="R54">
        <v>103542822</v>
      </c>
      <c r="S54" s="6">
        <v>-0.65329999999999999</v>
      </c>
      <c r="T54" t="s">
        <v>2334</v>
      </c>
      <c r="U54">
        <v>2573622300</v>
      </c>
      <c r="V54">
        <v>2670649500</v>
      </c>
      <c r="W54">
        <v>3.46</v>
      </c>
      <c r="X54" t="s">
        <v>25</v>
      </c>
      <c r="Y54">
        <v>0.33</v>
      </c>
      <c r="Z54" t="s">
        <v>25</v>
      </c>
      <c r="AA54" t="s">
        <v>25</v>
      </c>
      <c r="AB54" t="s">
        <v>25</v>
      </c>
      <c r="AC54" t="s">
        <v>25</v>
      </c>
      <c r="AD54" t="s">
        <v>25</v>
      </c>
      <c r="AE54">
        <v>311269110</v>
      </c>
      <c r="AF54" t="s">
        <v>2335</v>
      </c>
      <c r="AG54" t="s">
        <v>2336</v>
      </c>
      <c r="AH54" t="s">
        <v>2337</v>
      </c>
      <c r="AI54" t="s">
        <v>2338</v>
      </c>
      <c r="AJ54" t="s">
        <v>2339</v>
      </c>
      <c r="AK54" t="s">
        <v>25</v>
      </c>
      <c r="AL54" t="s">
        <v>2340</v>
      </c>
      <c r="AM54" t="s">
        <v>25</v>
      </c>
      <c r="AN54" t="s">
        <v>2341</v>
      </c>
      <c r="AO54" t="s">
        <v>25</v>
      </c>
      <c r="AP54" t="s">
        <v>2342</v>
      </c>
      <c r="AQ54" t="s">
        <v>2343</v>
      </c>
      <c r="AR54" t="s">
        <v>25</v>
      </c>
      <c r="AS54" t="s">
        <v>25</v>
      </c>
      <c r="AT54" t="s">
        <v>25</v>
      </c>
      <c r="AU54" t="s">
        <v>58</v>
      </c>
      <c r="AV54" t="s">
        <v>2344</v>
      </c>
      <c r="AW54" t="s">
        <v>997</v>
      </c>
      <c r="AX54" t="s">
        <v>1145</v>
      </c>
      <c r="AY54" t="s">
        <v>25</v>
      </c>
      <c r="AZ54" t="s">
        <v>439</v>
      </c>
      <c r="BA54" t="s">
        <v>224</v>
      </c>
      <c r="BB54" t="s">
        <v>441</v>
      </c>
      <c r="BC54" t="s">
        <v>1146</v>
      </c>
      <c r="BD54" t="s">
        <v>25</v>
      </c>
      <c r="BE54" t="s">
        <v>25</v>
      </c>
      <c r="BF54" t="s">
        <v>25</v>
      </c>
      <c r="BG54" t="s">
        <v>25</v>
      </c>
      <c r="BH54" t="s">
        <v>2345</v>
      </c>
      <c r="BI54" t="s">
        <v>92</v>
      </c>
      <c r="BJ54" t="s">
        <v>1145</v>
      </c>
      <c r="BK54" t="s">
        <v>428</v>
      </c>
      <c r="BL54" t="s">
        <v>2346</v>
      </c>
      <c r="BM54" t="s">
        <v>1146</v>
      </c>
      <c r="BN54">
        <v>1.89</v>
      </c>
      <c r="BO54">
        <v>7.81</v>
      </c>
      <c r="BP54">
        <v>7.36</v>
      </c>
      <c r="BQ54">
        <v>2.92</v>
      </c>
      <c r="BR54">
        <v>12.67</v>
      </c>
      <c r="BS54">
        <v>10.6</v>
      </c>
      <c r="BT54" t="s">
        <v>2347</v>
      </c>
      <c r="BU54" t="s">
        <v>517</v>
      </c>
      <c r="BV54">
        <v>12</v>
      </c>
      <c r="BW54">
        <v>15.2</v>
      </c>
      <c r="BX54">
        <v>16.62</v>
      </c>
      <c r="BY54">
        <v>0.14000000000000001</v>
      </c>
      <c r="BZ54">
        <v>4.95</v>
      </c>
      <c r="CA54">
        <v>4.12</v>
      </c>
      <c r="CB54">
        <v>-5.6</v>
      </c>
      <c r="CC54">
        <v>-15.56</v>
      </c>
      <c r="CD54" t="s">
        <v>2348</v>
      </c>
      <c r="CE54" t="s">
        <v>55</v>
      </c>
      <c r="CF54" s="10">
        <v>75.715328467153284</v>
      </c>
      <c r="CG54" s="11">
        <v>11.205486211042993</v>
      </c>
      <c r="CH54" s="10">
        <v>-0.98277735710144043</v>
      </c>
      <c r="CI54" s="10" t="s">
        <v>25</v>
      </c>
      <c r="CJ54" s="10" t="s">
        <v>25</v>
      </c>
      <c r="CK54" s="10">
        <v>0.19719311594963074</v>
      </c>
      <c r="CL54" s="10">
        <v>0.1567721962928772</v>
      </c>
      <c r="CM54" s="11">
        <v>-0.99966830015182495</v>
      </c>
      <c r="CN54" s="11" t="s">
        <v>25</v>
      </c>
      <c r="CO54" s="11" t="s">
        <v>25</v>
      </c>
      <c r="CP54" s="11" t="s">
        <v>25</v>
      </c>
      <c r="CQ54" s="11" t="s">
        <v>25</v>
      </c>
      <c r="CR54">
        <v>16.726231579403777</v>
      </c>
      <c r="CS54">
        <v>0.79799194605867318</v>
      </c>
      <c r="CT54">
        <v>1.6025641025641024</v>
      </c>
      <c r="CU54" s="10">
        <v>-0.20960401495297751</v>
      </c>
      <c r="CV54" s="11">
        <v>-0.99966830015182495</v>
      </c>
      <c r="CW54">
        <v>0.06</v>
      </c>
      <c r="CX54">
        <v>63893.542675544792</v>
      </c>
      <c r="CY54" t="s">
        <v>2349</v>
      </c>
      <c r="CZ54">
        <v>-0.20960401495297751</v>
      </c>
      <c r="DA54">
        <v>21297.847558514932</v>
      </c>
      <c r="DB54" t="s">
        <v>2350</v>
      </c>
      <c r="DC54">
        <v>-0.19912381420532863</v>
      </c>
      <c r="DD54">
        <v>10648.923779257466</v>
      </c>
      <c r="DE54" t="s">
        <v>2351</v>
      </c>
      <c r="DF54">
        <v>-0.1844515331586202</v>
      </c>
      <c r="DG54">
        <v>6389.3542675544795</v>
      </c>
      <c r="DH54" t="s">
        <v>2352</v>
      </c>
      <c r="DI54">
        <v>-0.16768321196238201</v>
      </c>
      <c r="DJ54">
        <v>3194.6771337772398</v>
      </c>
      <c r="DK54" t="s">
        <v>2353</v>
      </c>
      <c r="DL54">
        <v>-0.14672281046708424</v>
      </c>
      <c r="DM54">
        <v>660800</v>
      </c>
      <c r="DN54">
        <v>-0.20960401495297751</v>
      </c>
      <c r="DO54">
        <v>42220853000</v>
      </c>
      <c r="DP54">
        <v>24317885000</v>
      </c>
      <c r="DQ54">
        <v>2954</v>
      </c>
      <c r="DR54">
        <v>75.924932482106257</v>
      </c>
      <c r="DS54">
        <v>12.205154511194818</v>
      </c>
      <c r="DT54" s="12">
        <v>-1.1599999999999999</v>
      </c>
      <c r="DU54">
        <v>-2.3199999999999998</v>
      </c>
      <c r="DV54">
        <v>-3.4799999999999995</v>
      </c>
      <c r="DW54">
        <v>-8.3598971722365043</v>
      </c>
      <c r="DX54">
        <v>0.41028662420382189</v>
      </c>
      <c r="DY54">
        <v>-8.061285674520656</v>
      </c>
      <c r="DZ54">
        <v>1826</v>
      </c>
      <c r="EA54">
        <v>-8.0393859403377359</v>
      </c>
      <c r="EB54">
        <v>8</v>
      </c>
      <c r="EC54">
        <v>2.0021346867119778E-2</v>
      </c>
      <c r="ED54">
        <v>0.11757439529223135</v>
      </c>
      <c r="EE54" s="13">
        <v>1.0626100000000001</v>
      </c>
      <c r="EF54">
        <v>1.09941</v>
      </c>
      <c r="EG54">
        <v>24.170286624203822</v>
      </c>
      <c r="EH54" t="s">
        <v>986</v>
      </c>
      <c r="EI54">
        <v>0</v>
      </c>
      <c r="EJ54">
        <v>0</v>
      </c>
      <c r="EK54" s="15">
        <v>45470</v>
      </c>
      <c r="EL54" s="16">
        <v>0.2</v>
      </c>
      <c r="EM54" s="16">
        <v>-1.66</v>
      </c>
      <c r="EN54" s="16">
        <v>0.36</v>
      </c>
      <c r="EO54" s="16">
        <v>0.76</v>
      </c>
      <c r="EP54" s="16">
        <v>-3.68</v>
      </c>
    </row>
    <row r="55" spans="1:146" ht="156" x14ac:dyDescent="0.25">
      <c r="A55" s="8"/>
      <c r="B55" s="8"/>
      <c r="C55" s="8" t="str">
        <f>"公司主营业务是化工新材料的研发,制造和销售。公司的主要产品包括绝缘材料、光伏、光学膜材料、环保阻燃材料、电子材料。公司“长效环保阻燃聚酯纤维及制品关键技术”获中国纺织工业联合会科学技术奖一等奖。"&amp;CHAR(10)&amp;Basic_Fundamental_Information_Constructure(F55)&amp;CHAR(10)&amp;Basic_Fundamental_Information_Concatenate("绝缘材料 12.68亿 46.84%
光学膜材料 7.26亿 26.81%
电子材料 5.92亿 21.85%
环保阻燃材料 8270.43万 3.05% ")</f>
        <v xml:space="preserve">公司主营业务是化工新材料的研发,制造和销售。公司的主要产品包括绝缘材料、光伏、光学膜材料、环保阻燃材料、电子材料。公司“长效环保阻燃聚酯纤维及制品关键技术”获中国纺织工业联合会科学技术奖一等奖。
市值62.037646亿, 利润93.74亿; PE20.09; 平均PE3.58; 平均PEG.02, PB1.43; ROIC6.96%; ROE9.32%; 股利率2.2189%; 毛利21.1333%; 净利10.1633%; 上一年度营收增892.88%, 利润增2158.8%; 当季营收增-90.08%, 利润增-98.33%; 过往5年营收增198.3%, 利润增508.14%
Income profile:
绝缘材料 12.68亿 46.84%
光学膜材料 7.26亿 26.81%
电子材料 5.92亿 21.85%
环保阻燃材料 8270.43万 3.05% </v>
      </c>
      <c r="D55" t="s">
        <v>166</v>
      </c>
      <c r="E55" t="s">
        <v>8</v>
      </c>
      <c r="F55">
        <v>6.76</v>
      </c>
      <c r="G55">
        <v>1.81</v>
      </c>
      <c r="H55" t="s">
        <v>2354</v>
      </c>
      <c r="I55">
        <v>6203764600</v>
      </c>
      <c r="J55">
        <v>20.09</v>
      </c>
      <c r="K55">
        <v>1.43</v>
      </c>
      <c r="L55" t="s">
        <v>1187</v>
      </c>
      <c r="M55" t="s">
        <v>2355</v>
      </c>
      <c r="N55" t="s">
        <v>438</v>
      </c>
      <c r="O55" t="s">
        <v>1112</v>
      </c>
      <c r="P55">
        <v>7.26</v>
      </c>
      <c r="Q55" t="s">
        <v>2356</v>
      </c>
      <c r="R55">
        <v>50716354</v>
      </c>
      <c r="S55" s="6">
        <v>-0.2823</v>
      </c>
      <c r="T55" t="s">
        <v>2357</v>
      </c>
      <c r="U55">
        <v>896783160</v>
      </c>
      <c r="V55">
        <v>917716660</v>
      </c>
      <c r="W55">
        <v>2.15</v>
      </c>
      <c r="X55">
        <v>0.09</v>
      </c>
      <c r="Y55">
        <v>4.8099999999999996</v>
      </c>
      <c r="Z55" t="s">
        <v>1938</v>
      </c>
      <c r="AA55" t="s">
        <v>1173</v>
      </c>
      <c r="AB55" t="s">
        <v>2358</v>
      </c>
      <c r="AC55" t="s">
        <v>2359</v>
      </c>
      <c r="AD55" t="s">
        <v>25</v>
      </c>
      <c r="AE55">
        <v>17257810</v>
      </c>
      <c r="AF55" t="s">
        <v>2360</v>
      </c>
      <c r="AG55" t="s">
        <v>2361</v>
      </c>
      <c r="AH55" t="s">
        <v>2362</v>
      </c>
      <c r="AI55" t="s">
        <v>2363</v>
      </c>
      <c r="AJ55" t="s">
        <v>2364</v>
      </c>
      <c r="AK55" t="s">
        <v>1306</v>
      </c>
      <c r="AL55" t="s">
        <v>2365</v>
      </c>
      <c r="AM55" t="s">
        <v>25</v>
      </c>
      <c r="AN55" t="s">
        <v>2366</v>
      </c>
      <c r="AO55" t="s">
        <v>2367</v>
      </c>
      <c r="AP55" t="s">
        <v>2368</v>
      </c>
      <c r="AQ55" t="s">
        <v>1859</v>
      </c>
      <c r="AR55" t="s">
        <v>25</v>
      </c>
      <c r="AS55" t="s">
        <v>2369</v>
      </c>
      <c r="AT55" t="s">
        <v>1129</v>
      </c>
      <c r="AU55" t="s">
        <v>2370</v>
      </c>
      <c r="AV55" t="s">
        <v>2371</v>
      </c>
      <c r="AW55" t="s">
        <v>164</v>
      </c>
      <c r="AX55" t="s">
        <v>1149</v>
      </c>
      <c r="AY55" t="s">
        <v>1150</v>
      </c>
      <c r="AZ55" t="s">
        <v>446</v>
      </c>
      <c r="BA55" t="s">
        <v>167</v>
      </c>
      <c r="BB55" t="s">
        <v>447</v>
      </c>
      <c r="BC55" t="s">
        <v>613</v>
      </c>
      <c r="BD55" t="s">
        <v>1151</v>
      </c>
      <c r="BE55" t="s">
        <v>71</v>
      </c>
      <c r="BF55" t="s">
        <v>168</v>
      </c>
      <c r="BG55" t="s">
        <v>449</v>
      </c>
      <c r="BH55" t="s">
        <v>2372</v>
      </c>
      <c r="BI55" t="s">
        <v>2373</v>
      </c>
      <c r="BJ55" t="s">
        <v>1149</v>
      </c>
      <c r="BK55" t="s">
        <v>870</v>
      </c>
      <c r="BL55" t="s">
        <v>2374</v>
      </c>
      <c r="BM55" t="s">
        <v>613</v>
      </c>
      <c r="BN55">
        <v>4.26</v>
      </c>
      <c r="BO55">
        <v>7.68</v>
      </c>
      <c r="BP55">
        <v>8.94</v>
      </c>
      <c r="BQ55">
        <v>7.02</v>
      </c>
      <c r="BR55">
        <v>10.220000000000001</v>
      </c>
      <c r="BS55">
        <v>10.72</v>
      </c>
      <c r="BT55" t="s">
        <v>964</v>
      </c>
      <c r="BU55" t="s">
        <v>808</v>
      </c>
      <c r="BV55">
        <v>19.010000000000002</v>
      </c>
      <c r="BW55">
        <v>20.67</v>
      </c>
      <c r="BX55">
        <v>23.72</v>
      </c>
      <c r="BY55">
        <v>8.1999999999999993</v>
      </c>
      <c r="BZ55">
        <v>11.66</v>
      </c>
      <c r="CA55">
        <v>10.63</v>
      </c>
      <c r="CB55">
        <v>-6.89</v>
      </c>
      <c r="CC55">
        <v>-14.86</v>
      </c>
      <c r="CD55" t="s">
        <v>156</v>
      </c>
      <c r="CE55" t="s">
        <v>380</v>
      </c>
      <c r="CF55" s="10">
        <v>-0.90083979328165376</v>
      </c>
      <c r="CG55" s="11">
        <v>-0.98332247484380142</v>
      </c>
      <c r="CH55" s="10">
        <v>8.9288454055786133</v>
      </c>
      <c r="CI55" s="10">
        <v>0.12068965286016464</v>
      </c>
      <c r="CJ55" s="10">
        <v>0.72674113512039185</v>
      </c>
      <c r="CK55" s="10">
        <v>8.4149777889251709E-2</v>
      </c>
      <c r="CL55" s="10">
        <v>5.4711326956748962E-2</v>
      </c>
      <c r="CM55" s="11">
        <v>21.587953567504883</v>
      </c>
      <c r="CN55" s="11">
        <v>0.242514967918396</v>
      </c>
      <c r="CO55" s="11">
        <v>0.90857142210006714</v>
      </c>
      <c r="CP55" s="11">
        <v>1.4014874696731567</v>
      </c>
      <c r="CQ55" s="11">
        <v>1.2663066387176514</v>
      </c>
      <c r="CR55">
        <v>3.5780539542639604</v>
      </c>
      <c r="CS55">
        <v>1.8043390860757336E-2</v>
      </c>
      <c r="CT55">
        <v>2.2189349112426036</v>
      </c>
      <c r="CU55" s="10">
        <v>1.983027459681034</v>
      </c>
      <c r="CV55" s="11">
        <v>5.0813668131828305</v>
      </c>
      <c r="CW55">
        <v>0.06</v>
      </c>
      <c r="CX55">
        <v>0.2544632576336498</v>
      </c>
      <c r="CY55">
        <v>26380093780.235859</v>
      </c>
      <c r="CZ55">
        <v>1.983027459681034</v>
      </c>
      <c r="DA55">
        <v>2.3664809518735553E-2</v>
      </c>
      <c r="DB55">
        <v>283660199955.78113</v>
      </c>
      <c r="DC55">
        <v>1.8838760866969821</v>
      </c>
      <c r="DD55">
        <v>1.4621866028886943E-3</v>
      </c>
      <c r="DE55">
        <v>4590908292237.3037</v>
      </c>
      <c r="DF55">
        <v>1.7450641645193099</v>
      </c>
      <c r="DG55">
        <v>5.6503403156088196E-5</v>
      </c>
      <c r="DH55">
        <v>118802837086755.28</v>
      </c>
      <c r="DI55">
        <v>1.5864219677448272</v>
      </c>
      <c r="DJ55">
        <v>3.5087690672191235E-8</v>
      </c>
      <c r="DK55">
        <v>1.9131394718205846E+17</v>
      </c>
      <c r="DL55">
        <v>1.3881192217767238</v>
      </c>
      <c r="DM55">
        <v>9374000000</v>
      </c>
      <c r="DN55">
        <v>1.983027459681034</v>
      </c>
      <c r="DO55">
        <v>6712764600</v>
      </c>
      <c r="DP55">
        <v>731646200</v>
      </c>
      <c r="DQ55">
        <v>3691</v>
      </c>
      <c r="DR55">
        <v>-2.8838672529626876</v>
      </c>
      <c r="DS55">
        <v>-6.0646892880266314</v>
      </c>
      <c r="DT55" s="12">
        <v>0.12666666666666662</v>
      </c>
      <c r="DU55">
        <v>0.71</v>
      </c>
      <c r="DV55">
        <v>0.83666666666666656</v>
      </c>
      <c r="DW55">
        <v>-9.4636608344549131</v>
      </c>
      <c r="DX55">
        <v>0.36192307692307668</v>
      </c>
      <c r="DY55">
        <v>-9.0936238223418577</v>
      </c>
      <c r="DZ55">
        <v>2306</v>
      </c>
      <c r="EA55">
        <v>-9.0513740113202683</v>
      </c>
      <c r="EB55">
        <v>9</v>
      </c>
      <c r="EC55">
        <v>0.11441439888429181</v>
      </c>
      <c r="ED55">
        <v>0.56662368971268318</v>
      </c>
      <c r="EE55" s="13">
        <v>-1.0586100000000001</v>
      </c>
      <c r="EF55">
        <v>-1.07951</v>
      </c>
      <c r="EG55">
        <v>16.201923076923077</v>
      </c>
      <c r="EH55" t="s">
        <v>771</v>
      </c>
      <c r="EI55">
        <v>0</v>
      </c>
      <c r="EJ55">
        <v>0</v>
      </c>
      <c r="EK55" s="15">
        <v>45470</v>
      </c>
      <c r="EL55" s="16">
        <v>0.7</v>
      </c>
      <c r="EM55" s="16">
        <v>-2.56</v>
      </c>
      <c r="EN55" s="16">
        <v>0.84</v>
      </c>
      <c r="EO55" s="16">
        <v>2.14</v>
      </c>
      <c r="EP55" s="16">
        <v>-2.09</v>
      </c>
    </row>
    <row r="56" spans="1:146" ht="84" x14ac:dyDescent="0.25">
      <c r="A56" s="8"/>
      <c r="B56" s="8"/>
      <c r="C56" s="8" t="str">
        <f>""&amp;CHAR(10)&amp;Basic_Fundamental_Information_Constructure(F56)&amp;CHAR(10)&amp;Basic_Fundamental_Information_Concatenate("")</f>
        <v xml:space="preserve">
市值20.638533亿, 利润1.19亿; PE; 平均PE45.25; 平均PEG2.04, PB1.15; ROIC8.64%; ROE3.0233%; 股利率1.6813%; 毛利17.4667%; 净利-.3867%; 上一年度营收增.91%, 利润增310.29%; 当季营收增-16.18%, 利润增-84.46%; 过往5年营收增22.15%, 利润增94.75%
Income profile:
</v>
      </c>
      <c r="D56" t="s">
        <v>595</v>
      </c>
      <c r="E56" t="s">
        <v>879</v>
      </c>
      <c r="F56">
        <v>4.7699999999999996</v>
      </c>
      <c r="G56">
        <v>1.06</v>
      </c>
      <c r="H56" t="s">
        <v>2375</v>
      </c>
      <c r="I56">
        <v>2063853300</v>
      </c>
      <c r="K56">
        <v>1.1499999999999999</v>
      </c>
      <c r="L56" t="s">
        <v>1187</v>
      </c>
      <c r="M56" t="s">
        <v>1550</v>
      </c>
      <c r="N56" t="s">
        <v>2376</v>
      </c>
      <c r="O56" t="s">
        <v>49</v>
      </c>
      <c r="P56">
        <v>-14.06</v>
      </c>
      <c r="Q56" t="s">
        <v>2377</v>
      </c>
      <c r="R56">
        <v>5455355</v>
      </c>
      <c r="S56" s="6">
        <v>0.58420000000000005</v>
      </c>
      <c r="T56" t="s">
        <v>48</v>
      </c>
      <c r="U56">
        <v>426600770</v>
      </c>
      <c r="V56">
        <v>432673650</v>
      </c>
      <c r="W56">
        <v>1.64</v>
      </c>
      <c r="X56">
        <v>0.1</v>
      </c>
      <c r="Y56">
        <v>2.13</v>
      </c>
      <c r="Z56" t="s">
        <v>321</v>
      </c>
      <c r="AA56" t="s">
        <v>377</v>
      </c>
      <c r="AB56" t="s">
        <v>2378</v>
      </c>
      <c r="AC56" t="s">
        <v>2379</v>
      </c>
      <c r="AD56" t="s">
        <v>25</v>
      </c>
      <c r="AE56">
        <v>-2405729</v>
      </c>
      <c r="AF56" t="s">
        <v>2380</v>
      </c>
      <c r="AG56" t="s">
        <v>2381</v>
      </c>
      <c r="AH56" t="s">
        <v>2382</v>
      </c>
      <c r="AI56" t="s">
        <v>1041</v>
      </c>
      <c r="AJ56" t="s">
        <v>2383</v>
      </c>
      <c r="AK56" t="s">
        <v>645</v>
      </c>
      <c r="AL56" t="s">
        <v>2384</v>
      </c>
      <c r="AM56" t="s">
        <v>25</v>
      </c>
      <c r="AN56" t="s">
        <v>2385</v>
      </c>
      <c r="AO56" t="s">
        <v>2386</v>
      </c>
      <c r="AP56" t="s">
        <v>2387</v>
      </c>
      <c r="AQ56" t="s">
        <v>228</v>
      </c>
      <c r="AR56" t="s">
        <v>2388</v>
      </c>
      <c r="AS56" t="s">
        <v>204</v>
      </c>
      <c r="AT56" t="s">
        <v>359</v>
      </c>
      <c r="AU56" t="s">
        <v>2389</v>
      </c>
      <c r="AV56" t="s">
        <v>2390</v>
      </c>
      <c r="AW56" t="s">
        <v>2391</v>
      </c>
      <c r="AX56" t="s">
        <v>1001</v>
      </c>
      <c r="AY56" t="s">
        <v>644</v>
      </c>
      <c r="AZ56" t="s">
        <v>596</v>
      </c>
      <c r="BA56" t="s">
        <v>516</v>
      </c>
      <c r="BB56" t="s">
        <v>598</v>
      </c>
      <c r="BC56" t="s">
        <v>1156</v>
      </c>
      <c r="BD56" t="s">
        <v>54</v>
      </c>
      <c r="BE56" t="s">
        <v>597</v>
      </c>
      <c r="BF56" t="s">
        <v>599</v>
      </c>
      <c r="BG56" t="s">
        <v>600</v>
      </c>
      <c r="BH56" t="s">
        <v>2392</v>
      </c>
      <c r="BI56" t="s">
        <v>1035</v>
      </c>
      <c r="BJ56" t="s">
        <v>1001</v>
      </c>
      <c r="BK56" t="s">
        <v>2393</v>
      </c>
      <c r="BL56" t="s">
        <v>2394</v>
      </c>
      <c r="BM56" t="s">
        <v>1156</v>
      </c>
      <c r="BN56" t="s">
        <v>25</v>
      </c>
      <c r="BO56" t="s">
        <v>25</v>
      </c>
      <c r="BP56">
        <v>8.64</v>
      </c>
      <c r="BQ56">
        <v>-1.25</v>
      </c>
      <c r="BR56">
        <v>-5.41</v>
      </c>
      <c r="BS56">
        <v>15.73</v>
      </c>
      <c r="BT56" t="s">
        <v>2395</v>
      </c>
      <c r="BU56" t="s">
        <v>812</v>
      </c>
      <c r="BV56">
        <v>11.86</v>
      </c>
      <c r="BW56">
        <v>14.9</v>
      </c>
      <c r="BX56">
        <v>25.64</v>
      </c>
      <c r="BY56">
        <v>-7.11</v>
      </c>
      <c r="BZ56">
        <v>-3.94</v>
      </c>
      <c r="CA56">
        <v>9.89</v>
      </c>
      <c r="CB56">
        <v>-0.42</v>
      </c>
      <c r="CC56">
        <v>-18.04</v>
      </c>
      <c r="CD56" t="s">
        <v>2396</v>
      </c>
      <c r="CE56" t="s">
        <v>823</v>
      </c>
      <c r="CF56" s="10">
        <v>-0.16184971098265896</v>
      </c>
      <c r="CG56" s="11">
        <v>-0.84462591602085946</v>
      </c>
      <c r="CH56" s="10">
        <v>9.1164540499448776E-3</v>
      </c>
      <c r="CI56" s="10">
        <v>0.33520600199699402</v>
      </c>
      <c r="CJ56" s="10">
        <v>0.52789700031280518</v>
      </c>
      <c r="CK56" s="10">
        <v>6.0698028653860092E-2</v>
      </c>
      <c r="CL56" s="10">
        <v>0.17468805611133575</v>
      </c>
      <c r="CM56" s="11">
        <v>3.1028933525085449</v>
      </c>
      <c r="CN56" s="11">
        <v>-1.5144428014755249</v>
      </c>
      <c r="CO56" s="11">
        <v>1.1240277290344238</v>
      </c>
      <c r="CP56" s="11">
        <v>2.6182770729064941</v>
      </c>
      <c r="CQ56" s="11">
        <v>-0.59309053421020508</v>
      </c>
      <c r="CR56">
        <v>45.245454306296665</v>
      </c>
      <c r="CS56">
        <v>2.0424895247609136</v>
      </c>
      <c r="CT56">
        <v>1.6813417190775684</v>
      </c>
      <c r="CU56" s="10">
        <v>0.22152110822498799</v>
      </c>
      <c r="CV56" s="11">
        <v>0.94753296375274654</v>
      </c>
      <c r="CW56">
        <v>0.06</v>
      </c>
      <c r="CX56">
        <v>9.6975418633959318</v>
      </c>
      <c r="CY56">
        <v>137133030.07431468</v>
      </c>
      <c r="CZ56">
        <v>0.22152110822498799</v>
      </c>
      <c r="DA56">
        <v>2.8399512183258913</v>
      </c>
      <c r="DB56">
        <v>468266247.46883106</v>
      </c>
      <c r="DC56">
        <v>0.2104450528137386</v>
      </c>
      <c r="DD56">
        <v>1.1992582459351651</v>
      </c>
      <c r="DE56">
        <v>1108896523.7533128</v>
      </c>
      <c r="DF56">
        <v>0.19493857523798944</v>
      </c>
      <c r="DG56">
        <v>0.60006787009298046</v>
      </c>
      <c r="DH56">
        <v>2216171480.3926086</v>
      </c>
      <c r="DI56">
        <v>0.17721688657999041</v>
      </c>
      <c r="DJ56">
        <v>0.20117119933889116</v>
      </c>
      <c r="DK56">
        <v>6610555111.120759</v>
      </c>
      <c r="DL56">
        <v>0.15506477575749159</v>
      </c>
      <c r="DM56">
        <v>119000000</v>
      </c>
      <c r="DN56">
        <v>0.22152110822498799</v>
      </c>
      <c r="DO56">
        <v>1329853300</v>
      </c>
      <c r="DP56">
        <v>614551100</v>
      </c>
      <c r="DQ56">
        <v>4096</v>
      </c>
      <c r="DR56">
        <v>-0.38337081920764693</v>
      </c>
      <c r="DS56">
        <v>-1.7921588797736061</v>
      </c>
      <c r="DT56" s="12">
        <v>-5.6666666666666719E-2</v>
      </c>
      <c r="DU56">
        <v>-0.28500000000000003</v>
      </c>
      <c r="DV56">
        <v>-0.34166666666666673</v>
      </c>
      <c r="DW56">
        <v>-3.0230714285714284</v>
      </c>
      <c r="DX56">
        <v>0.31512042253520961</v>
      </c>
      <c r="DY56">
        <v>-3.002655992605634</v>
      </c>
      <c r="DZ56">
        <v>3012</v>
      </c>
      <c r="EA56">
        <v>-3.001090464283096</v>
      </c>
      <c r="EB56">
        <v>3</v>
      </c>
      <c r="EC56">
        <v>3.7781593586759907E-2</v>
      </c>
      <c r="ED56">
        <v>0.32819192941377412</v>
      </c>
      <c r="EE56" s="13">
        <v>-6.0305</v>
      </c>
      <c r="EF56">
        <v>-6.0082000000000004</v>
      </c>
      <c r="EG56">
        <v>20.11512042253521</v>
      </c>
      <c r="EH56" t="s">
        <v>2397</v>
      </c>
      <c r="EI56">
        <v>0</v>
      </c>
      <c r="EJ56">
        <v>0</v>
      </c>
      <c r="EK56" s="15">
        <v>45470</v>
      </c>
      <c r="EL56" s="16">
        <v>-0.2</v>
      </c>
      <c r="EM56" s="16">
        <v>-5.81</v>
      </c>
      <c r="EN56" s="16">
        <v>0.85</v>
      </c>
      <c r="EO56" s="16">
        <v>4.22</v>
      </c>
      <c r="EP56" s="16">
        <v>-2.23</v>
      </c>
    </row>
    <row r="57" spans="1:146" ht="84" x14ac:dyDescent="0.25">
      <c r="A57" s="8"/>
      <c r="B57" s="8"/>
      <c r="C57" s="8" t="str">
        <f>""&amp;CHAR(10)&amp;Basic_Fundamental_Information_Constructure(F57)&amp;CHAR(10)&amp;Basic_Fundamental_Information_Concatenate("")</f>
        <v xml:space="preserve">
市值22.841675亿, 利润2.06亿; PE738.6; 平均PE40.41; 平均PEG.12, PB5.19; ROIC3.64%; ROE2.5967%; 股利率.4691%; 毛利33.3967%; 净利4.04%; 上一年度营收增1614.12%, 利润增7451.37%; 当季营收增-93.16%, 利润增-90.75%; 过往5年营收增323.49%, 利润增1467.98%
Income profile:
</v>
      </c>
      <c r="D57" t="s">
        <v>173</v>
      </c>
      <c r="E57" t="s">
        <v>17</v>
      </c>
      <c r="F57">
        <v>17.48</v>
      </c>
      <c r="G57">
        <v>0.4</v>
      </c>
      <c r="H57" t="s">
        <v>2398</v>
      </c>
      <c r="I57">
        <v>2284167500</v>
      </c>
      <c r="J57">
        <v>738.6</v>
      </c>
      <c r="K57">
        <v>5.19</v>
      </c>
      <c r="L57" t="s">
        <v>1187</v>
      </c>
      <c r="M57" t="s">
        <v>2399</v>
      </c>
      <c r="N57" t="s">
        <v>2400</v>
      </c>
      <c r="O57" t="s">
        <v>2401</v>
      </c>
      <c r="P57">
        <v>14.64</v>
      </c>
      <c r="Q57" t="s">
        <v>2402</v>
      </c>
      <c r="R57">
        <v>1232477</v>
      </c>
      <c r="S57" s="6">
        <v>1.587</v>
      </c>
      <c r="T57" t="s">
        <v>854</v>
      </c>
      <c r="U57">
        <v>130673200</v>
      </c>
      <c r="V57">
        <v>130673200</v>
      </c>
      <c r="W57">
        <v>1.1499999999999999</v>
      </c>
      <c r="X57">
        <v>7.0000000000000007E-2</v>
      </c>
      <c r="Y57">
        <v>1.91</v>
      </c>
      <c r="Z57" t="s">
        <v>2403</v>
      </c>
      <c r="AA57" t="s">
        <v>2404</v>
      </c>
      <c r="AB57" t="s">
        <v>2405</v>
      </c>
      <c r="AC57" t="s">
        <v>2406</v>
      </c>
      <c r="AD57" t="s">
        <v>25</v>
      </c>
      <c r="AE57">
        <v>988150</v>
      </c>
      <c r="AF57" t="s">
        <v>52</v>
      </c>
      <c r="AG57">
        <v>200</v>
      </c>
      <c r="AH57" t="s">
        <v>2407</v>
      </c>
      <c r="AI57" t="s">
        <v>2408</v>
      </c>
      <c r="AJ57" t="s">
        <v>2409</v>
      </c>
      <c r="AK57" t="s">
        <v>25</v>
      </c>
      <c r="AL57" t="s">
        <v>2410</v>
      </c>
      <c r="AM57" t="s">
        <v>25</v>
      </c>
      <c r="AN57" t="s">
        <v>2411</v>
      </c>
      <c r="AO57" t="s">
        <v>2412</v>
      </c>
      <c r="AP57" t="s">
        <v>25</v>
      </c>
      <c r="AQ57" t="s">
        <v>2413</v>
      </c>
      <c r="AR57" t="s">
        <v>25</v>
      </c>
      <c r="AS57" t="s">
        <v>2414</v>
      </c>
      <c r="AT57" t="s">
        <v>25</v>
      </c>
      <c r="AU57" t="s">
        <v>2415</v>
      </c>
      <c r="AV57" t="s">
        <v>2416</v>
      </c>
      <c r="AW57" t="s">
        <v>2417</v>
      </c>
      <c r="AX57" t="s">
        <v>77</v>
      </c>
      <c r="AY57" t="s">
        <v>305</v>
      </c>
      <c r="AZ57" t="s">
        <v>174</v>
      </c>
      <c r="BA57" t="s">
        <v>174</v>
      </c>
      <c r="BB57" t="s">
        <v>193</v>
      </c>
      <c r="BC57" t="s">
        <v>1158</v>
      </c>
      <c r="BD57" t="s">
        <v>729</v>
      </c>
      <c r="BE57" t="s">
        <v>456</v>
      </c>
      <c r="BF57" t="s">
        <v>175</v>
      </c>
      <c r="BG57" t="s">
        <v>457</v>
      </c>
      <c r="BH57" t="s">
        <v>194</v>
      </c>
      <c r="BI57" t="s">
        <v>1055</v>
      </c>
      <c r="BJ57" t="s">
        <v>77</v>
      </c>
      <c r="BK57" t="s">
        <v>2418</v>
      </c>
      <c r="BL57" t="s">
        <v>2419</v>
      </c>
      <c r="BM57" t="s">
        <v>1158</v>
      </c>
      <c r="BN57">
        <v>0.48</v>
      </c>
      <c r="BO57" t="s">
        <v>25</v>
      </c>
      <c r="BP57">
        <v>6.8</v>
      </c>
      <c r="BQ57">
        <v>0.86</v>
      </c>
      <c r="BR57">
        <v>-0.62</v>
      </c>
      <c r="BS57">
        <v>7.55</v>
      </c>
      <c r="BT57" t="s">
        <v>2420</v>
      </c>
      <c r="BU57" t="s">
        <v>812</v>
      </c>
      <c r="BV57">
        <v>33.96</v>
      </c>
      <c r="BW57">
        <v>29.69</v>
      </c>
      <c r="BX57">
        <v>36.54</v>
      </c>
      <c r="BY57">
        <v>0.85</v>
      </c>
      <c r="BZ57">
        <v>-1.99</v>
      </c>
      <c r="CA57">
        <v>13.26</v>
      </c>
      <c r="CB57">
        <v>-8.15</v>
      </c>
      <c r="CC57">
        <v>-24.82</v>
      </c>
      <c r="CD57" t="s">
        <v>2421</v>
      </c>
      <c r="CE57" t="s">
        <v>594</v>
      </c>
      <c r="CF57" s="10">
        <v>-0.93159514018691592</v>
      </c>
      <c r="CG57" s="11">
        <v>-0.90747586445055028</v>
      </c>
      <c r="CH57" s="10">
        <v>16.141242980957031</v>
      </c>
      <c r="CI57" s="10">
        <v>-0.2976190447807312</v>
      </c>
      <c r="CJ57" s="10">
        <v>0.29896906018257141</v>
      </c>
      <c r="CK57" s="10">
        <v>0</v>
      </c>
      <c r="CL57" s="10">
        <v>3.1914893537759781E-2</v>
      </c>
      <c r="CM57" s="11">
        <v>74.513671875</v>
      </c>
      <c r="CN57" s="11">
        <v>-1.0822410583496094</v>
      </c>
      <c r="CO57" s="11">
        <v>0.11476814746856689</v>
      </c>
      <c r="CP57" s="11">
        <v>-0.14028267562389374</v>
      </c>
      <c r="CQ57" s="11">
        <v>-6.8939896300435066E-3</v>
      </c>
      <c r="CR57">
        <v>40.405371421192456</v>
      </c>
      <c r="CS57">
        <v>0.12490448456373618</v>
      </c>
      <c r="CT57">
        <v>0.46910755148741412</v>
      </c>
      <c r="CU57" s="10">
        <v>3.2349015779793264</v>
      </c>
      <c r="CV57" s="11">
        <v>14.679804459773004</v>
      </c>
      <c r="CW57">
        <v>0.06</v>
      </c>
      <c r="CX57">
        <v>2.3083797345880721</v>
      </c>
      <c r="CY57">
        <v>823009174.58843505</v>
      </c>
      <c r="CZ57">
        <v>3.2349015779793264</v>
      </c>
      <c r="DA57">
        <v>0.12240022552578309</v>
      </c>
      <c r="DB57">
        <v>15521357839.32695</v>
      </c>
      <c r="DC57">
        <v>3.0731564990803601</v>
      </c>
      <c r="DD57">
        <v>2.9263993137978424E-3</v>
      </c>
      <c r="DE57">
        <v>649199749002.96216</v>
      </c>
      <c r="DF57">
        <v>2.8467133886218075</v>
      </c>
      <c r="DG57">
        <v>3.291525035749429E-5</v>
      </c>
      <c r="DH57">
        <v>57718464218439.133</v>
      </c>
      <c r="DI57">
        <v>2.5879212623834613</v>
      </c>
      <c r="DJ57">
        <v>1.0575499557819866E-9</v>
      </c>
      <c r="DK57">
        <v>1.7964330570041142E+18</v>
      </c>
      <c r="DL57">
        <v>2.2644311045855283</v>
      </c>
      <c r="DM57">
        <v>206000000</v>
      </c>
      <c r="DN57">
        <v>3.2349015779793264</v>
      </c>
      <c r="DO57">
        <v>1899817700</v>
      </c>
      <c r="DP57">
        <v>133097940</v>
      </c>
      <c r="DQ57">
        <v>4192</v>
      </c>
      <c r="DR57">
        <v>-4.1664967181662425</v>
      </c>
      <c r="DS57">
        <v>-15.587280324223554</v>
      </c>
      <c r="DT57" s="12">
        <v>-0.1566666666666667</v>
      </c>
      <c r="DU57">
        <v>-0.85666666666666658</v>
      </c>
      <c r="DV57">
        <v>-1.0133333333333332</v>
      </c>
      <c r="DW57">
        <v>-9.328364222401289</v>
      </c>
      <c r="DX57">
        <v>0.2924153846153833</v>
      </c>
      <c r="DY57">
        <v>-9.0401968325791859</v>
      </c>
      <c r="DZ57">
        <v>2011</v>
      </c>
      <c r="EA57">
        <v>-9.0243776877031117</v>
      </c>
      <c r="EB57">
        <v>9</v>
      </c>
      <c r="EC57">
        <v>0.20703403605329937</v>
      </c>
      <c r="ED57">
        <v>1.6912419685138191</v>
      </c>
      <c r="EE57" s="13">
        <v>4.6309999999999997E-2</v>
      </c>
      <c r="EF57">
        <v>5.0810000000000001E-2</v>
      </c>
      <c r="EG57">
        <v>17.122415384615383</v>
      </c>
      <c r="EH57">
        <v>-1</v>
      </c>
      <c r="EI57">
        <v>0</v>
      </c>
      <c r="EJ57">
        <v>0</v>
      </c>
      <c r="EK57" s="15">
        <v>45470</v>
      </c>
      <c r="EL57" s="16">
        <v>1.62</v>
      </c>
      <c r="EM57" s="16">
        <v>-3.14</v>
      </c>
      <c r="EN57" s="16">
        <v>0.31</v>
      </c>
      <c r="EO57" s="16">
        <v>2</v>
      </c>
      <c r="EP57" s="16">
        <v>-0.45</v>
      </c>
    </row>
    <row r="58" spans="1:146" ht="84" x14ac:dyDescent="0.25">
      <c r="A58" s="8"/>
      <c r="B58" s="8"/>
      <c r="C58" s="8" t="str">
        <f>""&amp;CHAR(10)&amp;Basic_Fundamental_Information_Constructure(F58)&amp;CHAR(10)&amp;Basic_Fundamental_Information_Concatenate("")</f>
        <v xml:space="preserve">
市值8.4048212亿, 利润-1.47亿; PE; 平均PE-45.18; 平均PEG-5.62, PB2.01; ROIC.69%; ROE-4.31%; 股利率0%; 毛利8.1833%; 净利-11.2133%; 上一年度营收增102.7%, 利润增-275.9%; 当季营收增-71.35%, 利润增-275.77%; 过往5年营收增8.04%, 利润增-218.12%
Income profile:
</v>
      </c>
      <c r="D58" t="s">
        <v>604</v>
      </c>
      <c r="E58" t="s">
        <v>2422</v>
      </c>
      <c r="F58">
        <v>2.33</v>
      </c>
      <c r="G58">
        <v>4.95</v>
      </c>
      <c r="H58" t="s">
        <v>2423</v>
      </c>
      <c r="I58">
        <v>840482120</v>
      </c>
      <c r="K58">
        <v>2.0099999999999998</v>
      </c>
      <c r="L58" t="s">
        <v>1187</v>
      </c>
      <c r="M58" t="s">
        <v>2424</v>
      </c>
      <c r="N58" t="s">
        <v>1123</v>
      </c>
      <c r="O58" t="s">
        <v>2425</v>
      </c>
      <c r="P58">
        <v>7.9</v>
      </c>
      <c r="Q58" t="s">
        <v>848</v>
      </c>
      <c r="R58">
        <v>-12182097</v>
      </c>
      <c r="S58" s="6">
        <v>-1.03</v>
      </c>
      <c r="T58" t="s">
        <v>1963</v>
      </c>
      <c r="U58">
        <v>359344440</v>
      </c>
      <c r="V58">
        <v>360721940</v>
      </c>
      <c r="W58">
        <v>1.24</v>
      </c>
      <c r="X58">
        <v>0.12</v>
      </c>
      <c r="Y58">
        <v>-18.82</v>
      </c>
      <c r="Z58" t="s">
        <v>2426</v>
      </c>
      <c r="AA58" t="s">
        <v>2427</v>
      </c>
      <c r="AB58" t="s">
        <v>2428</v>
      </c>
      <c r="AC58" t="s">
        <v>2429</v>
      </c>
      <c r="AD58" t="s">
        <v>25</v>
      </c>
      <c r="AE58">
        <v>-167942</v>
      </c>
      <c r="AF58" t="s">
        <v>52</v>
      </c>
      <c r="AG58">
        <v>4554.3599999999997</v>
      </c>
      <c r="AH58" t="s">
        <v>2430</v>
      </c>
      <c r="AI58" t="s">
        <v>2431</v>
      </c>
      <c r="AJ58" t="s">
        <v>25</v>
      </c>
      <c r="AK58" t="s">
        <v>2432</v>
      </c>
      <c r="AL58" t="s">
        <v>2433</v>
      </c>
      <c r="AM58" t="s">
        <v>25</v>
      </c>
      <c r="AN58" t="s">
        <v>2434</v>
      </c>
      <c r="AO58" t="s">
        <v>2435</v>
      </c>
      <c r="AP58" t="s">
        <v>1109</v>
      </c>
      <c r="AQ58" t="s">
        <v>2436</v>
      </c>
      <c r="AR58" t="s">
        <v>25</v>
      </c>
      <c r="AS58" t="s">
        <v>2437</v>
      </c>
      <c r="AT58" t="s">
        <v>25</v>
      </c>
      <c r="AU58" t="s">
        <v>2438</v>
      </c>
      <c r="AV58">
        <v>-2543.2199999999998</v>
      </c>
      <c r="AW58" t="s">
        <v>2439</v>
      </c>
      <c r="AX58" t="s">
        <v>856</v>
      </c>
      <c r="AY58" t="s">
        <v>197</v>
      </c>
      <c r="AZ58" t="s">
        <v>605</v>
      </c>
      <c r="BA58" t="s">
        <v>118</v>
      </c>
      <c r="BB58" t="s">
        <v>575</v>
      </c>
      <c r="BC58" t="s">
        <v>2440</v>
      </c>
      <c r="BD58" t="s">
        <v>730</v>
      </c>
      <c r="BE58" t="s">
        <v>606</v>
      </c>
      <c r="BF58" t="s">
        <v>608</v>
      </c>
      <c r="BG58" t="s">
        <v>609</v>
      </c>
      <c r="BH58" t="s">
        <v>1709</v>
      </c>
      <c r="BI58" t="s">
        <v>180</v>
      </c>
      <c r="BJ58" t="s">
        <v>856</v>
      </c>
      <c r="BK58" t="s">
        <v>2441</v>
      </c>
      <c r="BL58" t="s">
        <v>2442</v>
      </c>
      <c r="BM58" t="s">
        <v>2440</v>
      </c>
      <c r="BN58" t="s">
        <v>25</v>
      </c>
      <c r="BO58" t="s">
        <v>25</v>
      </c>
      <c r="BP58">
        <v>0.69</v>
      </c>
      <c r="BQ58">
        <v>-6.32</v>
      </c>
      <c r="BR58">
        <v>-7.83</v>
      </c>
      <c r="BS58">
        <v>1.22</v>
      </c>
      <c r="BT58" t="s">
        <v>965</v>
      </c>
      <c r="BU58" t="s">
        <v>815</v>
      </c>
      <c r="BV58">
        <v>7.39</v>
      </c>
      <c r="BW58">
        <v>6.18</v>
      </c>
      <c r="BX58">
        <v>10.98</v>
      </c>
      <c r="BY58">
        <v>-21.2</v>
      </c>
      <c r="BZ58">
        <v>-13.78</v>
      </c>
      <c r="CA58">
        <v>1.34</v>
      </c>
      <c r="CB58">
        <v>18.27</v>
      </c>
      <c r="CC58">
        <v>-28.96</v>
      </c>
      <c r="CD58" t="s">
        <v>2443</v>
      </c>
      <c r="CE58" t="s">
        <v>2444</v>
      </c>
      <c r="CF58" s="10">
        <v>-0.71345929203539815</v>
      </c>
      <c r="CG58" s="11">
        <v>-2.7577008094420474</v>
      </c>
      <c r="CH58" s="10">
        <v>1.0270270109176636</v>
      </c>
      <c r="CI58" s="10">
        <v>-0.25252524018287659</v>
      </c>
      <c r="CJ58" s="10">
        <v>-2.4630540981888771E-2</v>
      </c>
      <c r="CK58" s="10">
        <v>-5.3613051772117615E-2</v>
      </c>
      <c r="CL58" s="10">
        <v>-0.29440790414810181</v>
      </c>
      <c r="CM58" s="11">
        <v>-2.7590138912200928</v>
      </c>
      <c r="CN58" s="11">
        <v>-7.0836014747619629</v>
      </c>
      <c r="CO58" s="11">
        <v>2.8265668079257011E-2</v>
      </c>
      <c r="CP58" s="11">
        <v>-0.7436942458152771</v>
      </c>
      <c r="CQ58" s="11">
        <v>-0.34811520576477051</v>
      </c>
      <c r="CR58">
        <v>-45.178749857777532</v>
      </c>
      <c r="CS58">
        <v>-5.6213411809928147</v>
      </c>
      <c r="CT58">
        <v>0</v>
      </c>
      <c r="CU58" s="10">
        <v>8.0370054766535762E-2</v>
      </c>
      <c r="CV58" s="11">
        <v>-2.1812318298965692</v>
      </c>
      <c r="CW58">
        <v>0.06</v>
      </c>
      <c r="CX58" t="e">
        <v>#VALUE!</v>
      </c>
      <c r="CY58" t="s">
        <v>769</v>
      </c>
      <c r="CZ58">
        <v>8.0370054766535762E-2</v>
      </c>
      <c r="DA58" t="e">
        <v>#VALUE!</v>
      </c>
      <c r="DB58" t="s">
        <v>770</v>
      </c>
      <c r="DC58">
        <v>7.6351552028208966E-2</v>
      </c>
      <c r="DD58" t="e">
        <v>#VALUE!</v>
      </c>
      <c r="DE58" t="s">
        <v>770</v>
      </c>
      <c r="DF58">
        <v>7.0725648194551474E-2</v>
      </c>
      <c r="DG58" t="e">
        <v>#VALUE!</v>
      </c>
      <c r="DH58" t="s">
        <v>770</v>
      </c>
      <c r="DI58">
        <v>6.4296043813228607E-2</v>
      </c>
      <c r="DJ58" t="e">
        <v>#VALUE!</v>
      </c>
      <c r="DK58" t="s">
        <v>770</v>
      </c>
      <c r="DL58">
        <v>5.6259038336575029E-2</v>
      </c>
      <c r="DM58">
        <v>-147000000</v>
      </c>
      <c r="DN58">
        <v>8.0370054766535762E-2</v>
      </c>
      <c r="DO58">
        <v>520738219.99999994</v>
      </c>
      <c r="DP58">
        <v>198425440</v>
      </c>
      <c r="DQ58">
        <v>4352</v>
      </c>
      <c r="DR58">
        <v>-0.79382934680193395</v>
      </c>
      <c r="DS58">
        <v>-0.57646897954547827</v>
      </c>
      <c r="DT58" s="12">
        <v>-0.35666666666666669</v>
      </c>
      <c r="DU58">
        <v>-2.4783333333333335</v>
      </c>
      <c r="DV58">
        <v>-2.835</v>
      </c>
      <c r="DW58">
        <v>7.3868304044039803</v>
      </c>
      <c r="DX58">
        <v>0.32944374999999848</v>
      </c>
      <c r="DY58">
        <v>7.0462044741160277</v>
      </c>
      <c r="DZ58">
        <v>4577</v>
      </c>
      <c r="EA58">
        <v>7.0048193707835305</v>
      </c>
      <c r="EB58">
        <v>7</v>
      </c>
      <c r="EC58">
        <v>0.14834362445489177</v>
      </c>
      <c r="ED58">
        <v>1.2419538440051638</v>
      </c>
      <c r="EE58" s="13">
        <v>-5.0380000000000003</v>
      </c>
      <c r="EF58">
        <v>-5.0705999999999998</v>
      </c>
      <c r="EG58">
        <v>21.119443749999999</v>
      </c>
      <c r="EH58" t="s">
        <v>1060</v>
      </c>
      <c r="EI58">
        <v>1</v>
      </c>
      <c r="EJ58">
        <v>0</v>
      </c>
      <c r="EK58" s="15">
        <v>45470</v>
      </c>
      <c r="EL58" s="16">
        <v>4.96</v>
      </c>
      <c r="EM58" s="16">
        <v>0.26</v>
      </c>
      <c r="EN58" s="16">
        <v>0</v>
      </c>
      <c r="EO58" s="16">
        <v>-3.66</v>
      </c>
      <c r="EP58" s="16">
        <v>3.26</v>
      </c>
    </row>
    <row r="59" spans="1:146" ht="84" x14ac:dyDescent="0.25">
      <c r="A59" s="8"/>
      <c r="B59" s="8"/>
      <c r="C59" s="8" t="str">
        <f>""&amp;CHAR(10)&amp;Basic_Fundamental_Information_Constructure(F59)&amp;CHAR(10)&amp;Basic_Fundamental_Information_Concatenate("")</f>
        <v xml:space="preserve">
市值19.944288亿, 利润2.87亿; PE27.8; 平均PE12.84; 平均PEG.62, PB1.29; ROIC6.93%; ROE6.9967%; 股利率1.5112%; 毛利14.6733%; 净利6.0433%; 上一年度营收增79.13%, 利润增147.41%; 当季营收增3.72%, 利润增-51.66%; 过往5年营收增20.76%, 利润增25.26%
Income profile:
</v>
      </c>
      <c r="D59" t="s">
        <v>610</v>
      </c>
      <c r="E59" t="s">
        <v>611</v>
      </c>
      <c r="F59">
        <v>7.61</v>
      </c>
      <c r="G59">
        <v>0.53</v>
      </c>
      <c r="H59" t="s">
        <v>2445</v>
      </c>
      <c r="I59">
        <v>1994428800</v>
      </c>
      <c r="J59">
        <v>27.8</v>
      </c>
      <c r="K59">
        <v>1.29</v>
      </c>
      <c r="L59" t="s">
        <v>1187</v>
      </c>
      <c r="M59" t="s">
        <v>2446</v>
      </c>
      <c r="N59" t="s">
        <v>2447</v>
      </c>
      <c r="O59" t="s">
        <v>1235</v>
      </c>
      <c r="P59">
        <v>-8.0500000000000007</v>
      </c>
      <c r="Q59" t="s">
        <v>2448</v>
      </c>
      <c r="R59">
        <v>15770767</v>
      </c>
      <c r="S59" s="6">
        <v>-0.20979999999999999</v>
      </c>
      <c r="T59" t="s">
        <v>531</v>
      </c>
      <c r="U59">
        <v>262080000</v>
      </c>
      <c r="V59">
        <v>262080000</v>
      </c>
      <c r="W59">
        <v>1.2</v>
      </c>
      <c r="X59">
        <v>0.18</v>
      </c>
      <c r="Y59">
        <v>4.7</v>
      </c>
      <c r="Z59" t="s">
        <v>295</v>
      </c>
      <c r="AA59" t="s">
        <v>330</v>
      </c>
      <c r="AB59" t="s">
        <v>2449</v>
      </c>
      <c r="AC59" t="s">
        <v>2450</v>
      </c>
      <c r="AD59" t="s">
        <v>25</v>
      </c>
      <c r="AE59">
        <v>-1811341</v>
      </c>
      <c r="AF59" t="s">
        <v>2451</v>
      </c>
      <c r="AG59" t="s">
        <v>25</v>
      </c>
      <c r="AH59" t="s">
        <v>2452</v>
      </c>
      <c r="AI59" t="s">
        <v>48</v>
      </c>
      <c r="AJ59" t="s">
        <v>2453</v>
      </c>
      <c r="AK59" t="s">
        <v>2454</v>
      </c>
      <c r="AL59" t="s">
        <v>2455</v>
      </c>
      <c r="AM59" t="s">
        <v>25</v>
      </c>
      <c r="AN59" t="s">
        <v>2456</v>
      </c>
      <c r="AO59" t="s">
        <v>2457</v>
      </c>
      <c r="AP59" t="s">
        <v>2458</v>
      </c>
      <c r="AQ59" t="s">
        <v>48</v>
      </c>
      <c r="AR59" t="s">
        <v>25</v>
      </c>
      <c r="AS59" t="s">
        <v>122</v>
      </c>
      <c r="AT59" t="s">
        <v>25</v>
      </c>
      <c r="AU59" t="s">
        <v>2459</v>
      </c>
      <c r="AV59" t="s">
        <v>2460</v>
      </c>
      <c r="AW59" t="s">
        <v>25</v>
      </c>
      <c r="AX59" t="s">
        <v>213</v>
      </c>
      <c r="AY59" t="s">
        <v>562</v>
      </c>
      <c r="AZ59" t="s">
        <v>281</v>
      </c>
      <c r="BA59" t="s">
        <v>458</v>
      </c>
      <c r="BB59" t="s">
        <v>612</v>
      </c>
      <c r="BC59" t="s">
        <v>86</v>
      </c>
      <c r="BD59" t="s">
        <v>79</v>
      </c>
      <c r="BE59" t="s">
        <v>162</v>
      </c>
      <c r="BF59" t="s">
        <v>328</v>
      </c>
      <c r="BG59" t="s">
        <v>296</v>
      </c>
      <c r="BH59" t="s">
        <v>2461</v>
      </c>
      <c r="BI59" t="s">
        <v>552</v>
      </c>
      <c r="BJ59" t="s">
        <v>213</v>
      </c>
      <c r="BK59" t="s">
        <v>2462</v>
      </c>
      <c r="BL59" t="s">
        <v>2463</v>
      </c>
      <c r="BM59" t="s">
        <v>86</v>
      </c>
      <c r="BN59">
        <v>4.16</v>
      </c>
      <c r="BO59">
        <v>7.75</v>
      </c>
      <c r="BP59">
        <v>8.8800000000000008</v>
      </c>
      <c r="BQ59">
        <v>4.3</v>
      </c>
      <c r="BR59">
        <v>7.8</v>
      </c>
      <c r="BS59">
        <v>8.89</v>
      </c>
      <c r="BT59" t="s">
        <v>2464</v>
      </c>
      <c r="BU59" t="s">
        <v>815</v>
      </c>
      <c r="BV59">
        <v>15</v>
      </c>
      <c r="BW59">
        <v>14.81</v>
      </c>
      <c r="BX59">
        <v>14.21</v>
      </c>
      <c r="BY59">
        <v>5.0599999999999996</v>
      </c>
      <c r="BZ59">
        <v>6.5</v>
      </c>
      <c r="CA59">
        <v>6.57</v>
      </c>
      <c r="CB59">
        <v>-2.81</v>
      </c>
      <c r="CC59">
        <v>-10.51</v>
      </c>
      <c r="CD59" t="s">
        <v>2465</v>
      </c>
      <c r="CE59" t="s">
        <v>2466</v>
      </c>
      <c r="CF59" s="10">
        <v>3.7151702786377708E-2</v>
      </c>
      <c r="CG59" s="11">
        <v>-0.51657965319265675</v>
      </c>
      <c r="CH59" s="10">
        <v>0.79127019643783569</v>
      </c>
      <c r="CI59" s="10">
        <v>-9.3813352286815643E-2</v>
      </c>
      <c r="CJ59" s="10">
        <v>0.349760502576828</v>
      </c>
      <c r="CK59" s="10">
        <v>0.13255809247493744</v>
      </c>
      <c r="CL59" s="10">
        <v>-0.1417165994644165</v>
      </c>
      <c r="CM59" s="11">
        <v>1.4741379022598267</v>
      </c>
      <c r="CN59" s="11">
        <v>-0.10769230872392654</v>
      </c>
      <c r="CO59" s="11">
        <v>8.3333335816860199E-2</v>
      </c>
      <c r="CP59" s="11">
        <v>-9.7744360566139221E-2</v>
      </c>
      <c r="CQ59" s="11">
        <v>-8.9041098952293396E-2</v>
      </c>
      <c r="CR59">
        <v>12.839670386266093</v>
      </c>
      <c r="CS59">
        <v>0.6184461754355941</v>
      </c>
      <c r="CT59">
        <v>1.5111695137976344</v>
      </c>
      <c r="CU59" s="10">
        <v>0.2076117679476738</v>
      </c>
      <c r="CV59" s="11">
        <v>0.25259869396686552</v>
      </c>
      <c r="CW59">
        <v>0.06</v>
      </c>
      <c r="CX59">
        <v>2.3226495940373555</v>
      </c>
      <c r="CY59">
        <v>326966582.45375693</v>
      </c>
      <c r="CZ59">
        <v>0.2076117679476738</v>
      </c>
      <c r="DA59">
        <v>0.68801301015693339</v>
      </c>
      <c r="DB59">
        <v>1103800057.2500467</v>
      </c>
      <c r="DC59">
        <v>0.1972311795502901</v>
      </c>
      <c r="DD59">
        <v>0.29538966045811738</v>
      </c>
      <c r="DE59">
        <v>2570939005.8616409</v>
      </c>
      <c r="DF59">
        <v>0.18269835579395294</v>
      </c>
      <c r="DG59">
        <v>0.15086391379040942</v>
      </c>
      <c r="DH59">
        <v>5033866488.8082581</v>
      </c>
      <c r="DI59">
        <v>0.16608941435813906</v>
      </c>
      <c r="DJ59">
        <v>5.3220416525130716E-2</v>
      </c>
      <c r="DK59">
        <v>14269501247.540916</v>
      </c>
      <c r="DL59">
        <v>0.14532823756337165</v>
      </c>
      <c r="DM59">
        <v>287000000</v>
      </c>
      <c r="DN59">
        <v>0.2076117679476738</v>
      </c>
      <c r="DO59">
        <v>759428800</v>
      </c>
      <c r="DP59">
        <v>802991040</v>
      </c>
      <c r="DQ59">
        <v>4385</v>
      </c>
      <c r="DR59">
        <v>-0.17046006516129608</v>
      </c>
      <c r="DS59">
        <v>-0.76917834715952227</v>
      </c>
      <c r="DT59" s="12">
        <v>2.6666666666666616E-2</v>
      </c>
      <c r="DU59">
        <v>0.11333333333333333</v>
      </c>
      <c r="DV59">
        <v>0.13999999999999996</v>
      </c>
      <c r="DW59">
        <v>-8.2673644148430068</v>
      </c>
      <c r="DX59">
        <v>0.3435001143671772</v>
      </c>
      <c r="DY59">
        <v>-8.0303458916623942</v>
      </c>
      <c r="DZ59">
        <v>811</v>
      </c>
      <c r="EA59">
        <v>-8.0255297432987547</v>
      </c>
      <c r="EB59">
        <v>8</v>
      </c>
      <c r="EC59">
        <v>3.2565628815628814E-2</v>
      </c>
      <c r="ED59">
        <v>0.28692155067155067</v>
      </c>
      <c r="EE59" s="13">
        <v>6.0284000000000004</v>
      </c>
      <c r="EF59">
        <v>6.0065</v>
      </c>
      <c r="EG59">
        <v>23.113500114367177</v>
      </c>
      <c r="EH59" t="s">
        <v>2467</v>
      </c>
      <c r="EI59">
        <v>0</v>
      </c>
      <c r="EJ59">
        <v>1</v>
      </c>
      <c r="EK59" s="15">
        <v>45470</v>
      </c>
      <c r="EL59" s="16">
        <v>1.1299999999999999</v>
      </c>
      <c r="EM59" s="16">
        <v>-3.02</v>
      </c>
      <c r="EN59" s="16">
        <v>-4.47</v>
      </c>
      <c r="EO59" s="16">
        <v>3.6</v>
      </c>
      <c r="EP59" s="16">
        <v>-2.19</v>
      </c>
    </row>
    <row r="60" spans="1:146" ht="84" x14ac:dyDescent="0.25">
      <c r="A60" s="8"/>
      <c r="B60" s="8"/>
      <c r="C60" s="8" t="str">
        <f>""&amp;CHAR(10)&amp;Basic_Fundamental_Information_Constructure(F60)&amp;CHAR(10)&amp;Basic_Fundamental_Information_Concatenate("")</f>
        <v xml:space="preserve">
市值23.992816亿, 利润3.52亿; PE; 平均PE68.28; 平均PEG.16, PB9.57; ROIC0%; ROE-8.5867%; 股利率0%; 毛利10.4333%; 净利-23.5833%; 上一年度营收增2194.62%, 利润增2192.67%; 当季营收增-93.9%, 利润增-112.63%; 过往5年营收增417.14%, 利润增399.8%
Income profile:
</v>
      </c>
      <c r="D60" t="s">
        <v>176</v>
      </c>
      <c r="E60" t="s">
        <v>15</v>
      </c>
      <c r="F60">
        <v>32.19</v>
      </c>
      <c r="G60">
        <v>10.01</v>
      </c>
      <c r="H60" t="s">
        <v>2468</v>
      </c>
      <c r="I60">
        <v>2399281600</v>
      </c>
      <c r="K60">
        <v>9.57</v>
      </c>
      <c r="L60" t="s">
        <v>1187</v>
      </c>
      <c r="M60" t="s">
        <v>2446</v>
      </c>
      <c r="N60" t="s">
        <v>231</v>
      </c>
      <c r="O60" t="s">
        <v>2469</v>
      </c>
      <c r="P60">
        <v>33.28</v>
      </c>
      <c r="Q60" t="s">
        <v>2470</v>
      </c>
      <c r="R60">
        <v>-5521775</v>
      </c>
      <c r="S60" s="6">
        <v>-0.2422</v>
      </c>
      <c r="T60" t="s">
        <v>820</v>
      </c>
      <c r="U60">
        <v>74534998</v>
      </c>
      <c r="V60">
        <v>74534998</v>
      </c>
      <c r="W60">
        <v>2.1800000000000002</v>
      </c>
      <c r="X60">
        <v>0.06</v>
      </c>
      <c r="Y60">
        <v>-19.48</v>
      </c>
      <c r="Z60" t="s">
        <v>2471</v>
      </c>
      <c r="AA60" t="s">
        <v>2472</v>
      </c>
      <c r="AB60" t="s">
        <v>2473</v>
      </c>
      <c r="AC60" t="s">
        <v>2474</v>
      </c>
      <c r="AD60" t="s">
        <v>25</v>
      </c>
      <c r="AE60">
        <v>2617020</v>
      </c>
      <c r="AF60" t="s">
        <v>52</v>
      </c>
      <c r="AG60" t="s">
        <v>2475</v>
      </c>
      <c r="AH60" t="s">
        <v>2476</v>
      </c>
      <c r="AI60" t="s">
        <v>2477</v>
      </c>
      <c r="AJ60" t="s">
        <v>2478</v>
      </c>
      <c r="AK60" t="s">
        <v>2479</v>
      </c>
      <c r="AL60" t="s">
        <v>2480</v>
      </c>
      <c r="AM60" t="s">
        <v>25</v>
      </c>
      <c r="AN60">
        <v>0</v>
      </c>
      <c r="AO60" t="s">
        <v>2481</v>
      </c>
      <c r="AP60" t="s">
        <v>25</v>
      </c>
      <c r="AQ60" t="s">
        <v>2482</v>
      </c>
      <c r="AR60" t="s">
        <v>25</v>
      </c>
      <c r="AS60" t="s">
        <v>230</v>
      </c>
      <c r="AT60" t="s">
        <v>2483</v>
      </c>
      <c r="AU60" t="s">
        <v>2484</v>
      </c>
      <c r="AV60" t="s">
        <v>2485</v>
      </c>
      <c r="AW60" t="s">
        <v>2486</v>
      </c>
      <c r="AX60" t="s">
        <v>79</v>
      </c>
      <c r="AY60" t="s">
        <v>47</v>
      </c>
      <c r="AZ60" t="s">
        <v>304</v>
      </c>
      <c r="BA60" t="s">
        <v>88</v>
      </c>
      <c r="BB60" t="s">
        <v>251</v>
      </c>
      <c r="BC60" t="s">
        <v>1160</v>
      </c>
      <c r="BD60" t="s">
        <v>731</v>
      </c>
      <c r="BE60" t="s">
        <v>459</v>
      </c>
      <c r="BF60" t="s">
        <v>178</v>
      </c>
      <c r="BG60" t="s">
        <v>460</v>
      </c>
      <c r="BH60" t="s">
        <v>90</v>
      </c>
      <c r="BI60" t="s">
        <v>1028</v>
      </c>
      <c r="BJ60" t="s">
        <v>79</v>
      </c>
      <c r="BK60" t="s">
        <v>2487</v>
      </c>
      <c r="BL60" t="s">
        <v>2488</v>
      </c>
      <c r="BM60" t="s">
        <v>1160</v>
      </c>
      <c r="BN60" t="s">
        <v>25</v>
      </c>
      <c r="BO60" t="s">
        <v>25</v>
      </c>
      <c r="BP60" t="s">
        <v>25</v>
      </c>
      <c r="BQ60">
        <v>-4.8</v>
      </c>
      <c r="BR60">
        <v>-5.44</v>
      </c>
      <c r="BS60">
        <v>-15.52</v>
      </c>
      <c r="BT60" t="s">
        <v>965</v>
      </c>
      <c r="BU60" t="s">
        <v>812</v>
      </c>
      <c r="BV60">
        <v>16.8</v>
      </c>
      <c r="BW60">
        <v>7.98</v>
      </c>
      <c r="BX60">
        <v>6.52</v>
      </c>
      <c r="BY60">
        <v>-16.059999999999999</v>
      </c>
      <c r="BZ60">
        <v>-12.99</v>
      </c>
      <c r="CA60">
        <v>-41.7</v>
      </c>
      <c r="CB60">
        <v>7.44</v>
      </c>
      <c r="CC60">
        <v>-7.69</v>
      </c>
      <c r="CD60" t="s">
        <v>2489</v>
      </c>
      <c r="CE60" t="s">
        <v>2490</v>
      </c>
      <c r="CF60" s="10">
        <v>-0.93898165289256197</v>
      </c>
      <c r="CG60" s="11">
        <v>-1.1263350142081203</v>
      </c>
      <c r="CH60" s="10">
        <v>21.946155548095703</v>
      </c>
      <c r="CI60" s="10">
        <v>1.5625E-2</v>
      </c>
      <c r="CJ60" s="10">
        <v>-0.5884244441986084</v>
      </c>
      <c r="CK60" s="10">
        <v>-0.32683983445167542</v>
      </c>
      <c r="CL60" s="10">
        <v>-0.18947368860244751</v>
      </c>
      <c r="CM60" s="11">
        <v>21.926721572875977</v>
      </c>
      <c r="CN60" s="11">
        <v>0.68518024682998657</v>
      </c>
      <c r="CO60" s="11">
        <v>-0.1112675666809082</v>
      </c>
      <c r="CP60" s="11">
        <v>0.15729954838752747</v>
      </c>
      <c r="CQ60" s="11">
        <v>-2.6678125858306885</v>
      </c>
      <c r="CR60">
        <v>68.282552426108253</v>
      </c>
      <c r="CS60">
        <v>0.16369183732890596</v>
      </c>
      <c r="CT60">
        <v>0</v>
      </c>
      <c r="CU60" s="10">
        <v>4.1714085161685945</v>
      </c>
      <c r="CV60" s="11">
        <v>3.9980242431163786</v>
      </c>
      <c r="CW60">
        <v>0.06</v>
      </c>
      <c r="CX60">
        <v>1.412266077094366</v>
      </c>
      <c r="CY60">
        <v>1717297922.3503258</v>
      </c>
      <c r="CZ60">
        <v>4.1714085161685945</v>
      </c>
      <c r="DA60">
        <v>5.3315026684537761E-2</v>
      </c>
      <c r="DB60">
        <v>45489644305.16494</v>
      </c>
      <c r="DC60">
        <v>3.9628380903601648</v>
      </c>
      <c r="DD60">
        <v>7.2770876962211428E-4</v>
      </c>
      <c r="DE60">
        <v>3332764013905.4585</v>
      </c>
      <c r="DF60">
        <v>3.6708394942283631</v>
      </c>
      <c r="DG60">
        <v>3.9586619030556936E-6</v>
      </c>
      <c r="DH60">
        <v>612651865552833.25</v>
      </c>
      <c r="DI60">
        <v>3.3371268129348759</v>
      </c>
      <c r="DJ60">
        <v>2.1964735091114204E-11</v>
      </c>
      <c r="DK60">
        <v>1.1041706580750631E+20</v>
      </c>
      <c r="DL60">
        <v>2.9199859613180159</v>
      </c>
      <c r="DM60">
        <v>352000000</v>
      </c>
      <c r="DN60">
        <v>4.1714085161685945</v>
      </c>
      <c r="DO60">
        <v>2425281600</v>
      </c>
      <c r="DP60">
        <v>182606380</v>
      </c>
      <c r="DQ60">
        <v>4420</v>
      </c>
      <c r="DR60">
        <v>-5.1103901690611568</v>
      </c>
      <c r="DS60">
        <v>-5.1243592573244987</v>
      </c>
      <c r="DT60" s="12">
        <v>-0.49</v>
      </c>
      <c r="DU60">
        <v>-2.0483333333333333</v>
      </c>
      <c r="DV60">
        <v>-2.5383333333333331</v>
      </c>
      <c r="DW60">
        <v>7.4917382683410443</v>
      </c>
      <c r="DX60">
        <v>1.1002230177543402</v>
      </c>
      <c r="DY60">
        <v>7.044366110515023</v>
      </c>
      <c r="DZ60">
        <v>1496</v>
      </c>
      <c r="EA60">
        <v>7.0313775192566128</v>
      </c>
      <c r="EB60">
        <v>7</v>
      </c>
      <c r="EC60">
        <v>5.0043605018946939E-2</v>
      </c>
      <c r="ED60">
        <v>0.55466560822876787</v>
      </c>
      <c r="EE60" s="13">
        <v>-2.0581</v>
      </c>
      <c r="EF60">
        <v>-2.0558999999999998</v>
      </c>
      <c r="EG60">
        <v>101.09022301775434</v>
      </c>
      <c r="EH60" t="s">
        <v>987</v>
      </c>
      <c r="EI60">
        <v>1</v>
      </c>
      <c r="EJ60">
        <v>1</v>
      </c>
      <c r="EK60" s="15">
        <v>45470</v>
      </c>
      <c r="EL60" s="16">
        <v>0.17</v>
      </c>
      <c r="EM60" s="16">
        <v>-2.1800000000000002</v>
      </c>
      <c r="EN60" s="16">
        <v>1.32</v>
      </c>
      <c r="EO60" s="16">
        <v>3.5</v>
      </c>
      <c r="EP60" s="16">
        <v>-0.22</v>
      </c>
    </row>
    <row r="61" spans="1:146" ht="156" x14ac:dyDescent="0.25">
      <c r="A61" s="8"/>
      <c r="B61" s="8"/>
      <c r="C61" s="8" t="str">
        <f>"公司的主营业务是苯乙烯类热塑性弹性体（TPES）的研发、生产和销售。公司的主要产品系列包括SBS、SEBS、SIS、SEPS。公司坚持自主研发，不断提高TPES全系列产品的研发能力，在氢化TPES，即SEBS和SEPS技术上取得了丰硕成果。"&amp;CHAR(10)&amp;Basic_Fundamental_Information_Constructure(F61)&amp;CHAR(10)&amp;Basic_Fundamental_Information_Concatenate("SBS 5.37亿 37.74% 32.41% 15.86%
PBT 5.00亿 35.13% 41.56% 21.85%
SEBS 2.04亿 14.36% 18.33% 23.58%
其他业务 1.82亿 12.76% 7.66% 11.08%")</f>
        <v>公司的主营业务是苯乙烯类热塑性弹性体（TPES）的研发、生产和销售。公司的主要产品系列包括SBS、SEBS、SIS、SEPS。公司坚持自主研发，不断提高TPES全系列产品的研发能力，在氢化TPES，即SEBS和SEPS技术上取得了丰硕成果。
市值81.520457亿, 利润4.39亿; PE98.24; 平均PE32.56; 平均PEG1.45, PB3.77; ROIC6.36%; ROE8.2667%; 股利率2.4564%; 毛利16.4167%; 净利8.3267%; 上一年度营收增16.23%, 利润增143.89%; 当季营收增21.99%, 利润增-18.75%; 过往5年营收增22.43%, 利润增32.34%
Income profile:
SBS 5.37亿 37.74% 32.41% 15.86%
PBT 5.00亿 35.13% 41.56% 21.85%
SEBS 2.04亿 14.36% 18.33% 23.58%
其他业务 1.82亿 12.76% 7.66% 11.08%</v>
      </c>
      <c r="D61" t="s">
        <v>225</v>
      </c>
      <c r="E61" t="s">
        <v>226</v>
      </c>
      <c r="F61">
        <v>12.62</v>
      </c>
      <c r="G61">
        <v>-0.16</v>
      </c>
      <c r="H61" t="s">
        <v>2491</v>
      </c>
      <c r="I61">
        <v>8152045700</v>
      </c>
      <c r="J61">
        <v>98.24</v>
      </c>
      <c r="K61">
        <v>3.77</v>
      </c>
      <c r="L61" t="s">
        <v>1187</v>
      </c>
      <c r="M61" t="s">
        <v>2492</v>
      </c>
      <c r="N61" t="s">
        <v>2493</v>
      </c>
      <c r="O61" t="s">
        <v>993</v>
      </c>
      <c r="P61">
        <v>105.36</v>
      </c>
      <c r="Q61" t="s">
        <v>2494</v>
      </c>
      <c r="R61">
        <v>64520523</v>
      </c>
      <c r="S61" s="6">
        <v>-0.15709999999999999</v>
      </c>
      <c r="T61" t="s">
        <v>871</v>
      </c>
      <c r="U61">
        <v>642380410</v>
      </c>
      <c r="V61">
        <v>645962410</v>
      </c>
      <c r="W61">
        <v>2.23</v>
      </c>
      <c r="X61">
        <v>0.16</v>
      </c>
      <c r="Y61">
        <v>8.3699999999999992</v>
      </c>
      <c r="Z61" t="s">
        <v>2495</v>
      </c>
      <c r="AA61" t="s">
        <v>404</v>
      </c>
      <c r="AB61" t="s">
        <v>2496</v>
      </c>
      <c r="AC61" t="s">
        <v>2497</v>
      </c>
      <c r="AD61" t="s">
        <v>25</v>
      </c>
      <c r="AE61">
        <v>17795344</v>
      </c>
      <c r="AF61" t="s">
        <v>52</v>
      </c>
      <c r="AG61" t="s">
        <v>2498</v>
      </c>
      <c r="AH61" t="s">
        <v>2499</v>
      </c>
      <c r="AI61" t="s">
        <v>1078</v>
      </c>
      <c r="AJ61" t="s">
        <v>2500</v>
      </c>
      <c r="AK61" t="s">
        <v>25</v>
      </c>
      <c r="AL61" t="s">
        <v>2501</v>
      </c>
      <c r="AM61" t="s">
        <v>25</v>
      </c>
      <c r="AN61" t="s">
        <v>2502</v>
      </c>
      <c r="AO61" t="s">
        <v>698</v>
      </c>
      <c r="AP61" t="s">
        <v>2503</v>
      </c>
      <c r="AQ61" t="s">
        <v>199</v>
      </c>
      <c r="AR61" t="s">
        <v>2504</v>
      </c>
      <c r="AS61" t="s">
        <v>2505</v>
      </c>
      <c r="AT61" t="s">
        <v>2506</v>
      </c>
      <c r="AU61" t="s">
        <v>2507</v>
      </c>
      <c r="AV61" t="s">
        <v>2508</v>
      </c>
      <c r="AW61" t="s">
        <v>54</v>
      </c>
      <c r="AX61" t="s">
        <v>1162</v>
      </c>
      <c r="AY61" t="s">
        <v>450</v>
      </c>
      <c r="AZ61" t="s">
        <v>461</v>
      </c>
      <c r="BA61" t="s">
        <v>227</v>
      </c>
      <c r="BB61" t="s">
        <v>463</v>
      </c>
      <c r="BC61" t="s">
        <v>489</v>
      </c>
      <c r="BD61" t="s">
        <v>74</v>
      </c>
      <c r="BE61" t="s">
        <v>123</v>
      </c>
      <c r="BF61" t="s">
        <v>171</v>
      </c>
      <c r="BG61" t="s">
        <v>464</v>
      </c>
      <c r="BH61" t="s">
        <v>2509</v>
      </c>
      <c r="BI61" t="s">
        <v>574</v>
      </c>
      <c r="BJ61" t="s">
        <v>1162</v>
      </c>
      <c r="BK61" t="s">
        <v>2510</v>
      </c>
      <c r="BL61" t="s">
        <v>2511</v>
      </c>
      <c r="BM61" t="s">
        <v>489</v>
      </c>
      <c r="BN61">
        <v>3.79</v>
      </c>
      <c r="BO61">
        <v>7.29</v>
      </c>
      <c r="BP61">
        <v>8</v>
      </c>
      <c r="BQ61">
        <v>4.97</v>
      </c>
      <c r="BR61">
        <v>9.43</v>
      </c>
      <c r="BS61">
        <v>10.4</v>
      </c>
      <c r="BT61" t="s">
        <v>2512</v>
      </c>
      <c r="BU61" t="s">
        <v>812</v>
      </c>
      <c r="BV61">
        <v>11.17</v>
      </c>
      <c r="BW61">
        <v>16.48</v>
      </c>
      <c r="BX61">
        <v>21.6</v>
      </c>
      <c r="BY61">
        <v>6.7</v>
      </c>
      <c r="BZ61">
        <v>7.61</v>
      </c>
      <c r="CA61">
        <v>10.67</v>
      </c>
      <c r="CB61">
        <v>-3.66</v>
      </c>
      <c r="CC61">
        <v>-16.260000000000002</v>
      </c>
      <c r="CD61" t="s">
        <v>2513</v>
      </c>
      <c r="CE61" t="s">
        <v>2514</v>
      </c>
      <c r="CF61" s="10">
        <v>0.2199367088607595</v>
      </c>
      <c r="CG61" s="11">
        <v>-0.18746956498742554</v>
      </c>
      <c r="CH61" s="10">
        <v>0.16231025755405426</v>
      </c>
      <c r="CI61" s="10">
        <v>0.36872479319572449</v>
      </c>
      <c r="CJ61" s="10">
        <v>0.33616039156913757</v>
      </c>
      <c r="CK61" s="10">
        <v>0.12100259959697723</v>
      </c>
      <c r="CL61" s="10">
        <v>0.1332026869058609</v>
      </c>
      <c r="CM61" s="11">
        <v>1.4388889074325562</v>
      </c>
      <c r="CN61" s="11">
        <v>-2.7027027681469917E-2</v>
      </c>
      <c r="CO61" s="11">
        <v>-0.38741722702980042</v>
      </c>
      <c r="CP61" s="11">
        <v>0.40465116500854492</v>
      </c>
      <c r="CQ61" s="11">
        <v>0.18784530460834503</v>
      </c>
      <c r="CR61">
        <v>32.564763115845537</v>
      </c>
      <c r="CS61">
        <v>1.4519681626237677</v>
      </c>
      <c r="CT61">
        <v>2.4564183835182254</v>
      </c>
      <c r="CU61" s="10">
        <v>0.2242801457643509</v>
      </c>
      <c r="CV61" s="11">
        <v>0.32338822446763515</v>
      </c>
      <c r="CW61">
        <v>0.06</v>
      </c>
      <c r="CX61">
        <v>17.016607247113775</v>
      </c>
      <c r="CY61">
        <v>507036777.34957546</v>
      </c>
      <c r="CZ61">
        <v>0.2242801457643509</v>
      </c>
      <c r="DA61">
        <v>4.9720979601813466</v>
      </c>
      <c r="DB61">
        <v>1735292781.6581697</v>
      </c>
      <c r="DC61">
        <v>0.21306613847613334</v>
      </c>
      <c r="DD61">
        <v>2.0927172715818365</v>
      </c>
      <c r="DE61">
        <v>4122891236.7499413</v>
      </c>
      <c r="DF61">
        <v>0.19736652827262879</v>
      </c>
      <c r="DG61">
        <v>1.0428455033866024</v>
      </c>
      <c r="DH61">
        <v>8273560821.7907057</v>
      </c>
      <c r="DI61">
        <v>0.17942411661148072</v>
      </c>
      <c r="DJ61">
        <v>0.34605458702471664</v>
      </c>
      <c r="DK61">
        <v>24932614747.810726</v>
      </c>
      <c r="DL61">
        <v>0.15699610203504563</v>
      </c>
      <c r="DM61">
        <v>438999999.99999994</v>
      </c>
      <c r="DN61">
        <v>0.2242801457643509</v>
      </c>
      <c r="DO61">
        <v>8628045700</v>
      </c>
      <c r="DP61">
        <v>-129751799.99999976</v>
      </c>
      <c r="DQ61">
        <v>4432</v>
      </c>
      <c r="DR61">
        <v>-4.3434369035914022E-3</v>
      </c>
      <c r="DS61">
        <v>-0.51085778945506066</v>
      </c>
      <c r="DT61" s="12">
        <v>1.0000000000000011E-2</v>
      </c>
      <c r="DU61">
        <v>0.19666666666666666</v>
      </c>
      <c r="DV61">
        <v>0.20666666666666667</v>
      </c>
      <c r="DW61">
        <v>-8.2250922509225095</v>
      </c>
      <c r="DX61">
        <v>0.51207088300841919</v>
      </c>
      <c r="DY61">
        <v>-8.0274772098284632</v>
      </c>
      <c r="DZ61">
        <v>1213</v>
      </c>
      <c r="EA61">
        <v>-8.0209547332096918</v>
      </c>
      <c r="EB61">
        <v>8</v>
      </c>
      <c r="EC61">
        <v>6.9870938774904872E-3</v>
      </c>
      <c r="ED61">
        <v>5.7238005536576035E-2</v>
      </c>
      <c r="EE61" s="13">
        <v>1.0038100000000001</v>
      </c>
      <c r="EF61">
        <v>1.0274099999999999</v>
      </c>
      <c r="EG61">
        <v>39.122070883008419</v>
      </c>
      <c r="EH61" t="s">
        <v>986</v>
      </c>
      <c r="EI61">
        <v>0</v>
      </c>
      <c r="EJ61">
        <v>1</v>
      </c>
      <c r="EK61" s="15">
        <v>45470</v>
      </c>
      <c r="EL61" s="16">
        <v>-1.1599999999999999</v>
      </c>
      <c r="EM61" s="16">
        <v>-2.84</v>
      </c>
      <c r="EN61" s="16">
        <v>1.2</v>
      </c>
      <c r="EO61" s="16">
        <v>2.08</v>
      </c>
      <c r="EP61" s="16">
        <v>-2.36</v>
      </c>
    </row>
    <row r="62" spans="1:146" ht="84" x14ac:dyDescent="0.25">
      <c r="C62" s="8" t="str">
        <f>""&amp;CHAR(10)&amp;Basic_Fundamental_Information_Constructure(F62)&amp;CHAR(10)&amp;Basic_Fundamental_Information_Concatenate("")</f>
        <v xml:space="preserve">
市值23.993648亿, 利润20.40亿; PE28.16; 平均PE5.67; 平均PEG.05, PB1.9; ROIC8.2133%; ROE9.6533%; 股利率1.5924%; 毛利14.51%; 净利4.8767%; 上一年度营收增492.48%, 利润增2602.89%; 当季营收增-77.56%, 利润增-87.42%; 过往5年营收增108.63%, 利润增524.83%
Income profile:
</v>
      </c>
      <c r="D62" t="s">
        <v>466</v>
      </c>
      <c r="E62" t="s">
        <v>732</v>
      </c>
      <c r="F62">
        <v>12.56</v>
      </c>
      <c r="G62">
        <v>-2.71</v>
      </c>
      <c r="H62" t="s">
        <v>2515</v>
      </c>
      <c r="I62">
        <v>2399364800</v>
      </c>
      <c r="J62">
        <v>28.16</v>
      </c>
      <c r="K62">
        <v>1.9</v>
      </c>
      <c r="L62" t="s">
        <v>1187</v>
      </c>
      <c r="M62" t="s">
        <v>2516</v>
      </c>
      <c r="N62" t="s">
        <v>1072</v>
      </c>
      <c r="O62" t="s">
        <v>69</v>
      </c>
      <c r="P62">
        <v>22.44</v>
      </c>
      <c r="Q62" t="s">
        <v>2517</v>
      </c>
      <c r="R62">
        <v>62500000</v>
      </c>
      <c r="S62" s="6">
        <v>1.04</v>
      </c>
      <c r="T62" t="s">
        <v>2518</v>
      </c>
      <c r="U62">
        <v>185688790</v>
      </c>
      <c r="V62">
        <v>191032230</v>
      </c>
      <c r="W62">
        <v>2.21</v>
      </c>
      <c r="X62">
        <v>0.19</v>
      </c>
      <c r="Y62">
        <v>5.42</v>
      </c>
      <c r="Z62" t="s">
        <v>607</v>
      </c>
      <c r="AA62" t="s">
        <v>1316</v>
      </c>
      <c r="AB62" t="s">
        <v>2519</v>
      </c>
      <c r="AC62" t="s">
        <v>2520</v>
      </c>
      <c r="AD62" t="s">
        <v>25</v>
      </c>
      <c r="AE62">
        <v>2834887</v>
      </c>
      <c r="AF62" t="s">
        <v>2521</v>
      </c>
      <c r="AG62" t="s">
        <v>2522</v>
      </c>
      <c r="AH62" t="s">
        <v>2523</v>
      </c>
      <c r="AI62" t="s">
        <v>280</v>
      </c>
      <c r="AJ62" t="s">
        <v>2524</v>
      </c>
      <c r="AK62" t="s">
        <v>25</v>
      </c>
      <c r="AL62" t="s">
        <v>2525</v>
      </c>
      <c r="AM62" t="s">
        <v>25</v>
      </c>
      <c r="AN62" t="s">
        <v>848</v>
      </c>
      <c r="AO62" t="s">
        <v>164</v>
      </c>
      <c r="AP62" t="s">
        <v>826</v>
      </c>
      <c r="AQ62" t="s">
        <v>854</v>
      </c>
      <c r="AR62" t="s">
        <v>25</v>
      </c>
      <c r="AS62" t="s">
        <v>2526</v>
      </c>
      <c r="AT62" t="s">
        <v>827</v>
      </c>
      <c r="AU62" t="s">
        <v>2527</v>
      </c>
      <c r="AV62" t="s">
        <v>861</v>
      </c>
      <c r="AW62" t="s">
        <v>72</v>
      </c>
      <c r="AX62" t="s">
        <v>602</v>
      </c>
      <c r="AY62" t="s">
        <v>733</v>
      </c>
      <c r="AZ62" t="s">
        <v>467</v>
      </c>
      <c r="BA62" t="s">
        <v>467</v>
      </c>
      <c r="BB62" t="s">
        <v>468</v>
      </c>
      <c r="BC62" t="s">
        <v>2528</v>
      </c>
      <c r="BD62" t="s">
        <v>206</v>
      </c>
      <c r="BE62" t="s">
        <v>162</v>
      </c>
      <c r="BF62" t="s">
        <v>83</v>
      </c>
      <c r="BG62" t="s">
        <v>469</v>
      </c>
      <c r="BH62" t="s">
        <v>2529</v>
      </c>
      <c r="BI62" t="s">
        <v>2530</v>
      </c>
      <c r="BJ62" t="s">
        <v>602</v>
      </c>
      <c r="BK62" t="s">
        <v>2531</v>
      </c>
      <c r="BL62" t="s">
        <v>1027</v>
      </c>
      <c r="BM62" t="s">
        <v>2528</v>
      </c>
      <c r="BN62">
        <v>3.1</v>
      </c>
      <c r="BO62">
        <v>5.57</v>
      </c>
      <c r="BP62">
        <v>15.97</v>
      </c>
      <c r="BQ62">
        <v>5.41</v>
      </c>
      <c r="BR62">
        <v>7.33</v>
      </c>
      <c r="BS62">
        <v>16.22</v>
      </c>
      <c r="BT62" t="s">
        <v>966</v>
      </c>
      <c r="BU62" t="s">
        <v>808</v>
      </c>
      <c r="BV62">
        <v>13.44</v>
      </c>
      <c r="BW62">
        <v>12.84</v>
      </c>
      <c r="BX62">
        <v>17.25</v>
      </c>
      <c r="BY62">
        <v>3.22</v>
      </c>
      <c r="BZ62">
        <v>3.96</v>
      </c>
      <c r="CA62">
        <v>7.45</v>
      </c>
      <c r="CB62">
        <v>-3.38</v>
      </c>
      <c r="CC62">
        <v>-8.25</v>
      </c>
      <c r="CD62" t="s">
        <v>2532</v>
      </c>
      <c r="CE62" t="s">
        <v>183</v>
      </c>
      <c r="CF62" s="10">
        <v>-0.77559213167402652</v>
      </c>
      <c r="CG62" s="11">
        <v>-0.87424547283702214</v>
      </c>
      <c r="CH62" s="10">
        <v>4.9247760772705078</v>
      </c>
      <c r="CI62" s="10">
        <v>0.10845489054918289</v>
      </c>
      <c r="CJ62" s="10">
        <v>0.3514578640460968</v>
      </c>
      <c r="CK62" s="10">
        <v>0</v>
      </c>
      <c r="CL62" s="10">
        <v>4.7029651701450348E-2</v>
      </c>
      <c r="CM62" s="11">
        <v>26.028923034667969</v>
      </c>
      <c r="CN62" s="11">
        <v>-0.40571099519729614</v>
      </c>
      <c r="CO62" s="11">
        <v>5.833333358168602E-2</v>
      </c>
      <c r="CP62" s="11">
        <v>0.16504853963851929</v>
      </c>
      <c r="CQ62" s="11">
        <v>0.39470574259757996</v>
      </c>
      <c r="CR62">
        <v>5.6692965777446247</v>
      </c>
      <c r="CS62">
        <v>5.2186951467534069E-2</v>
      </c>
      <c r="CT62">
        <v>1.592356687898089</v>
      </c>
      <c r="CU62" s="10">
        <v>1.0863436967134477</v>
      </c>
      <c r="CV62" s="11">
        <v>5.2482599310576914</v>
      </c>
      <c r="CW62">
        <v>0.06</v>
      </c>
      <c r="CX62">
        <v>0.63691653965566508</v>
      </c>
      <c r="CY62">
        <v>4015227491.7881441</v>
      </c>
      <c r="CZ62">
        <v>1.0863436967134477</v>
      </c>
      <c r="DA62">
        <v>9.9203539774319976E-2</v>
      </c>
      <c r="DB62">
        <v>25778967220.502392</v>
      </c>
      <c r="DC62">
        <v>1.0320265118777752</v>
      </c>
      <c r="DD62">
        <v>1.4923998572496346E-2</v>
      </c>
      <c r="DE62">
        <v>171359223037.78592</v>
      </c>
      <c r="DF62">
        <v>0.95598245310783392</v>
      </c>
      <c r="DG62">
        <v>1.8741889594124177E-3</v>
      </c>
      <c r="DH62">
        <v>1364518122442.5559</v>
      </c>
      <c r="DI62">
        <v>0.86907495737075813</v>
      </c>
      <c r="DJ62">
        <v>1.9571284740620855E-5</v>
      </c>
      <c r="DK62">
        <v>130669234743292.23</v>
      </c>
      <c r="DL62">
        <v>0.76044058769941336</v>
      </c>
      <c r="DM62">
        <v>2039999999.9999998</v>
      </c>
      <c r="DN62">
        <v>1.0863436967134477</v>
      </c>
      <c r="DO62">
        <v>2557364800</v>
      </c>
      <c r="DP62">
        <v>255740200</v>
      </c>
      <c r="DQ62">
        <v>4527</v>
      </c>
      <c r="DR62">
        <v>-1.8619358283874741</v>
      </c>
      <c r="DS62">
        <v>-6.1225054038947135</v>
      </c>
      <c r="DT62" s="12">
        <v>-6.6666666666666714E-3</v>
      </c>
      <c r="DU62">
        <v>-7.3333333333333403E-2</v>
      </c>
      <c r="DV62">
        <v>-8.0000000000000071E-2</v>
      </c>
      <c r="DW62">
        <v>-8.4096969696969701</v>
      </c>
      <c r="DX62">
        <v>0.37919177215189959</v>
      </c>
      <c r="DY62">
        <v>-8.0652203866513226</v>
      </c>
      <c r="DZ62">
        <v>118</v>
      </c>
      <c r="EA62">
        <v>-8.0637143190143643</v>
      </c>
      <c r="EB62">
        <v>8</v>
      </c>
      <c r="EC62">
        <v>0.1316652169113034</v>
      </c>
      <c r="ED62">
        <v>0.82708556561371871</v>
      </c>
      <c r="EE62" s="13">
        <v>-2.0589</v>
      </c>
      <c r="EF62">
        <v>-2.0512999999999999</v>
      </c>
      <c r="EG62">
        <v>22.1591917721519</v>
      </c>
      <c r="EH62" t="s">
        <v>987</v>
      </c>
      <c r="EI62">
        <v>0</v>
      </c>
      <c r="EJ62">
        <v>1</v>
      </c>
      <c r="EK62" s="15">
        <v>45470</v>
      </c>
      <c r="EL62" s="16">
        <v>-1.0900000000000001</v>
      </c>
      <c r="EM62" s="16">
        <v>0.54</v>
      </c>
      <c r="EN62" s="16">
        <v>0.16</v>
      </c>
      <c r="EO62" s="16">
        <v>-0.12</v>
      </c>
      <c r="EP62" s="16">
        <v>-0.76</v>
      </c>
    </row>
    <row r="63" spans="1:146" ht="156" x14ac:dyDescent="0.25">
      <c r="C63" s="8" t="str">
        <f>"公司的主营业务为酚醛树脂和呋喃树脂等合成树脂及复合材料、生物质化工产品的研发、生产、销售；公司的主要产品为酚醛树脂、呋喃树脂、冷芯盒树脂、环氧树脂、过滤器、涂料、固化剂、木糖、纤维素、木质素。"&amp;CHAR(10)&amp;Basic_Fundamental_Information_Constructure(C63)&amp;CHAR(10)&amp;Basic_Fundamental_Information_Concatenate("化学原料和化学制品制造业 77.85亿 88.22% 92.58% 25.24%
其他行业 4.93亿 5.59% 5.12% 22.04%
生物质化工 4.08亿 4.63% 0.02% 0.09%
其他业务 1.38亿 1.56% 2.29% 35.25%")</f>
        <v>公司的主营业务为酚醛树脂和呋喃树脂等合成树脂及复合材料、生物质化工产品的研发、生产、销售；公司的主要产品为酚醛树脂、呋喃树脂、冷芯盒树脂、环氧树脂、过滤器、涂料、固化剂、木糖、纤维素、木质素。
市值155.29077亿, 利润7.03亿; PE21.95; 平均PE24.92; 平均PEG1.68, PB1.68; ROIC7.44%; ROE9.6367%; 股利率1.0101%; 毛利27.78%; 净利8.68%; 上一年度营收增8.76%, 利润增2.18%; 当季营收增1.26%, 利润增15.58%; 过往5年营收增14.85%, 利润增13.31%
Income profile:
化学原料和化学制品制造业 77.85亿 88.22% 92.58% 25.24%
其他行业 4.93亿 5.59% 5.12% 22.04%
生物质化工 4.08亿 4.63% 0.02% 0.09%
其他业务 1.38亿 1.56% 2.29% 35.25%</v>
      </c>
      <c r="D63" t="s">
        <v>615</v>
      </c>
      <c r="E63" t="s">
        <v>616</v>
      </c>
      <c r="F63">
        <v>20.47</v>
      </c>
      <c r="G63">
        <v>-0.44</v>
      </c>
      <c r="H63" t="s">
        <v>2533</v>
      </c>
      <c r="I63">
        <v>17328039000</v>
      </c>
      <c r="J63">
        <v>21.69</v>
      </c>
      <c r="K63">
        <v>1.58</v>
      </c>
      <c r="L63" t="s">
        <v>1187</v>
      </c>
      <c r="M63" t="s">
        <v>2534</v>
      </c>
      <c r="N63" t="s">
        <v>2535</v>
      </c>
      <c r="O63" t="s">
        <v>2536</v>
      </c>
      <c r="P63">
        <v>5.1100000000000003</v>
      </c>
      <c r="Q63" t="s">
        <v>1094</v>
      </c>
      <c r="R63">
        <v>137384660</v>
      </c>
      <c r="S63" s="6">
        <v>7.2999999999999995E-2</v>
      </c>
      <c r="T63" t="s">
        <v>1113</v>
      </c>
      <c r="U63">
        <v>618365810</v>
      </c>
      <c r="V63">
        <v>846509000</v>
      </c>
      <c r="W63">
        <v>1.39</v>
      </c>
      <c r="X63">
        <v>0.15</v>
      </c>
      <c r="Y63">
        <v>6.59</v>
      </c>
      <c r="Z63" t="s">
        <v>1943</v>
      </c>
      <c r="AA63" t="s">
        <v>2537</v>
      </c>
      <c r="AB63" t="s">
        <v>2538</v>
      </c>
      <c r="AC63" t="s">
        <v>135</v>
      </c>
      <c r="AD63" t="s">
        <v>25</v>
      </c>
      <c r="AE63">
        <v>9245420</v>
      </c>
      <c r="AF63" t="s">
        <v>2539</v>
      </c>
      <c r="AG63" t="s">
        <v>2540</v>
      </c>
      <c r="AH63" t="s">
        <v>2541</v>
      </c>
      <c r="AI63" t="s">
        <v>1147</v>
      </c>
      <c r="AJ63" t="s">
        <v>2542</v>
      </c>
      <c r="AK63" t="s">
        <v>873</v>
      </c>
      <c r="AL63" t="s">
        <v>2543</v>
      </c>
      <c r="AM63" t="s">
        <v>25</v>
      </c>
      <c r="AN63" t="s">
        <v>857</v>
      </c>
      <c r="AO63" t="s">
        <v>1056</v>
      </c>
      <c r="AP63" t="s">
        <v>2544</v>
      </c>
      <c r="AQ63" t="s">
        <v>598</v>
      </c>
      <c r="AR63" t="s">
        <v>25</v>
      </c>
      <c r="AS63" t="s">
        <v>2545</v>
      </c>
      <c r="AT63" t="s">
        <v>515</v>
      </c>
      <c r="AU63" t="s">
        <v>2546</v>
      </c>
      <c r="AV63" t="s">
        <v>877</v>
      </c>
      <c r="AW63" t="s">
        <v>136</v>
      </c>
      <c r="AX63" t="s">
        <v>1164</v>
      </c>
      <c r="AY63" t="s">
        <v>734</v>
      </c>
      <c r="AZ63" t="s">
        <v>617</v>
      </c>
      <c r="BA63" t="s">
        <v>618</v>
      </c>
      <c r="BB63" t="s">
        <v>619</v>
      </c>
      <c r="BC63" t="s">
        <v>1010</v>
      </c>
      <c r="BD63" t="s">
        <v>513</v>
      </c>
      <c r="BE63" t="s">
        <v>383</v>
      </c>
      <c r="BF63" t="s">
        <v>329</v>
      </c>
      <c r="BG63" t="s">
        <v>62</v>
      </c>
      <c r="BH63" t="s">
        <v>2547</v>
      </c>
      <c r="BI63" t="s">
        <v>273</v>
      </c>
      <c r="BJ63" t="s">
        <v>1164</v>
      </c>
      <c r="BK63" t="s">
        <v>339</v>
      </c>
      <c r="BL63" t="s">
        <v>2548</v>
      </c>
      <c r="BM63" t="s">
        <v>1010</v>
      </c>
      <c r="BN63">
        <v>4.95</v>
      </c>
      <c r="BO63">
        <v>7.05</v>
      </c>
      <c r="BP63">
        <v>8.1300000000000008</v>
      </c>
      <c r="BQ63">
        <v>5.56</v>
      </c>
      <c r="BR63">
        <v>8.5399999999999991</v>
      </c>
      <c r="BS63">
        <v>10.55</v>
      </c>
      <c r="BT63" t="s">
        <v>984</v>
      </c>
      <c r="BU63" t="s">
        <v>815</v>
      </c>
      <c r="BV63">
        <v>23.02</v>
      </c>
      <c r="BW63">
        <v>21.06</v>
      </c>
      <c r="BX63">
        <v>24.05</v>
      </c>
      <c r="BY63">
        <v>8.8000000000000007</v>
      </c>
      <c r="BZ63">
        <v>7.41</v>
      </c>
      <c r="CA63">
        <v>8.07</v>
      </c>
      <c r="CB63">
        <v>0.89</v>
      </c>
      <c r="CC63">
        <v>9.1199999999999992</v>
      </c>
      <c r="CD63" t="s">
        <v>2549</v>
      </c>
      <c r="CE63" t="s">
        <v>249</v>
      </c>
      <c r="CF63" s="10">
        <v>9.5693069306930703</v>
      </c>
      <c r="CG63" s="11">
        <v>3.8157830902972516</v>
      </c>
      <c r="CH63" s="10">
        <v>-0.86695146560668945</v>
      </c>
      <c r="CI63" s="10">
        <v>8.7592087686061859E-2</v>
      </c>
      <c r="CJ63" s="10">
        <v>6.0824602842330933E-2</v>
      </c>
      <c r="CK63" s="10">
        <v>0.41431489586830139</v>
      </c>
      <c r="CL63" s="10">
        <v>-4.9604184925556183E-2</v>
      </c>
      <c r="CM63" s="11">
        <v>-0.75248932838439941</v>
      </c>
      <c r="CN63" s="11">
        <v>2.1802324801683426E-2</v>
      </c>
      <c r="CO63" s="11">
        <v>-0.21550741791725159</v>
      </c>
      <c r="CP63" s="11">
        <v>0.86199575662612915</v>
      </c>
      <c r="CQ63" s="11">
        <v>-9.9426388740539551E-2</v>
      </c>
      <c r="CR63">
        <v>30.258508149010478</v>
      </c>
      <c r="CS63">
        <v>4.2759256952939069</v>
      </c>
      <c r="CT63">
        <v>1.9540791402051785</v>
      </c>
      <c r="CU63" s="10">
        <v>-7.0764812827110293E-2</v>
      </c>
      <c r="CV63" s="11">
        <v>-3.6725010722875595E-2</v>
      </c>
      <c r="CW63">
        <v>0.06</v>
      </c>
      <c r="CX63">
        <v>60.925511494252873</v>
      </c>
      <c r="CY63" t="s">
        <v>2550</v>
      </c>
      <c r="CZ63">
        <v>-7.0764812827110293E-2</v>
      </c>
      <c r="DA63">
        <v>20.308503831417624</v>
      </c>
      <c r="DB63" t="s">
        <v>2551</v>
      </c>
      <c r="DC63">
        <v>-6.7226572185754771E-2</v>
      </c>
      <c r="DD63">
        <v>10.154251915708812</v>
      </c>
      <c r="DE63" t="s">
        <v>2552</v>
      </c>
      <c r="DF63">
        <v>-6.2273035287857055E-2</v>
      </c>
      <c r="DG63">
        <v>6.0925511494252875</v>
      </c>
      <c r="DH63" t="s">
        <v>2553</v>
      </c>
      <c r="DI63">
        <v>-5.6611850261688239E-2</v>
      </c>
      <c r="DJ63">
        <v>3.0462755747126438</v>
      </c>
      <c r="DK63" t="s">
        <v>2554</v>
      </c>
      <c r="DL63">
        <v>-4.9535368978977201E-2</v>
      </c>
      <c r="DM63">
        <v>174000000</v>
      </c>
      <c r="DN63">
        <v>-7.0764812827110293E-2</v>
      </c>
      <c r="DO63">
        <v>10601039000</v>
      </c>
      <c r="DP63">
        <v>3831487400</v>
      </c>
      <c r="DQ63">
        <v>4537</v>
      </c>
      <c r="DR63">
        <v>9.6400717435201813</v>
      </c>
      <c r="DS63">
        <v>3.8525081010201272</v>
      </c>
      <c r="DT63" s="12">
        <v>-0.65666666666666662</v>
      </c>
      <c r="DU63">
        <v>-0.23333333333333336</v>
      </c>
      <c r="DV63">
        <v>-0.89</v>
      </c>
      <c r="DW63">
        <v>2.0912000000000002</v>
      </c>
      <c r="DX63">
        <v>0.28401825192801955</v>
      </c>
      <c r="DY63">
        <v>2.0103984645758355</v>
      </c>
      <c r="DZ63">
        <v>1912</v>
      </c>
      <c r="EA63">
        <v>2.0065076887893389</v>
      </c>
      <c r="EB63">
        <v>2</v>
      </c>
      <c r="EC63">
        <v>5.239530826016027E-2</v>
      </c>
      <c r="ED63">
        <v>0.45953439360951864</v>
      </c>
      <c r="EE63" s="13">
        <v>3.0472000000000001</v>
      </c>
      <c r="EF63">
        <v>3.0284</v>
      </c>
      <c r="EG63">
        <v>17.11401825192802</v>
      </c>
      <c r="EH63" t="s">
        <v>1610</v>
      </c>
      <c r="EI63">
        <v>1</v>
      </c>
      <c r="EJ63">
        <v>0</v>
      </c>
      <c r="EK63" s="15">
        <v>45470</v>
      </c>
      <c r="EL63" s="16">
        <v>2.4700000000000002</v>
      </c>
      <c r="EM63" s="16">
        <v>-3.44</v>
      </c>
      <c r="EN63" s="16">
        <v>-0.85</v>
      </c>
      <c r="EO63" s="16">
        <v>2.74</v>
      </c>
      <c r="EP63" s="16">
        <v>-1.88</v>
      </c>
    </row>
    <row r="64" spans="1:146" ht="84" x14ac:dyDescent="0.25">
      <c r="C64" s="8" t="str">
        <f>""&amp;CHAR(10)&amp;Basic_Fundamental_Information_Constructure(F64)&amp;CHAR(10)&amp;Basic_Fundamental_Information_Concatenate("")</f>
        <v xml:space="preserve">
市值48.895113亿, 利润8848.77万; PE19.08; 平均PE30.58; 平均PEG29.62, PB2.12; ROIC9.9833%; ROE12.2367%; 股利率.576%; 毛利27.45%; 净利10.4133%; 上一年度营收增-67.41%, 利润增-61.69%; 当季营收增293.17%, 利润增325.74%; 过往5年营收增-1.03%, 利润增16.37%
Income profile:
</v>
      </c>
      <c r="D64" t="s">
        <v>502</v>
      </c>
      <c r="E64" t="s">
        <v>503</v>
      </c>
      <c r="F64">
        <v>26.04</v>
      </c>
      <c r="G64">
        <v>4.16</v>
      </c>
      <c r="H64" t="s">
        <v>2555</v>
      </c>
      <c r="I64">
        <v>4889511300</v>
      </c>
      <c r="J64">
        <v>19.079999999999998</v>
      </c>
      <c r="K64">
        <v>2.12</v>
      </c>
      <c r="L64" t="s">
        <v>1187</v>
      </c>
      <c r="M64" t="s">
        <v>1091</v>
      </c>
      <c r="N64" t="s">
        <v>2556</v>
      </c>
      <c r="O64" t="s">
        <v>409</v>
      </c>
      <c r="P64">
        <v>22.54</v>
      </c>
      <c r="Q64" t="s">
        <v>692</v>
      </c>
      <c r="R64">
        <v>120000000</v>
      </c>
      <c r="S64" s="6">
        <v>5.1929999999999996</v>
      </c>
      <c r="T64" t="s">
        <v>2557</v>
      </c>
      <c r="U64">
        <v>102372028</v>
      </c>
      <c r="V64">
        <v>187769250</v>
      </c>
      <c r="W64">
        <v>1.95</v>
      </c>
      <c r="X64">
        <v>0.15</v>
      </c>
      <c r="Y64">
        <v>11.42</v>
      </c>
      <c r="Z64" t="s">
        <v>1002</v>
      </c>
      <c r="AA64" t="s">
        <v>866</v>
      </c>
      <c r="AB64" t="s">
        <v>2558</v>
      </c>
      <c r="AC64" t="s">
        <v>2559</v>
      </c>
      <c r="AD64" t="s">
        <v>25</v>
      </c>
      <c r="AE64">
        <v>-26277802</v>
      </c>
      <c r="AF64" t="s">
        <v>2560</v>
      </c>
      <c r="AG64" t="s">
        <v>2561</v>
      </c>
      <c r="AH64" t="s">
        <v>2562</v>
      </c>
      <c r="AI64" t="s">
        <v>1042</v>
      </c>
      <c r="AJ64" t="s">
        <v>2563</v>
      </c>
      <c r="AK64" t="s">
        <v>2564</v>
      </c>
      <c r="AL64" t="s">
        <v>2565</v>
      </c>
      <c r="AM64" t="s">
        <v>25</v>
      </c>
      <c r="AN64" t="s">
        <v>74</v>
      </c>
      <c r="AO64" t="s">
        <v>2566</v>
      </c>
      <c r="AP64" t="s">
        <v>25</v>
      </c>
      <c r="AQ64" t="s">
        <v>93</v>
      </c>
      <c r="AR64" t="s">
        <v>25</v>
      </c>
      <c r="AS64" t="s">
        <v>2536</v>
      </c>
      <c r="AT64" t="s">
        <v>25</v>
      </c>
      <c r="AU64" t="s">
        <v>2567</v>
      </c>
      <c r="AV64" t="s">
        <v>2568</v>
      </c>
      <c r="AW64" t="s">
        <v>2569</v>
      </c>
      <c r="AX64" t="s">
        <v>1167</v>
      </c>
      <c r="AY64" t="s">
        <v>735</v>
      </c>
      <c r="AZ64" t="s">
        <v>504</v>
      </c>
      <c r="BA64" t="s">
        <v>323</v>
      </c>
      <c r="BB64" t="s">
        <v>347</v>
      </c>
      <c r="BC64" t="s">
        <v>738</v>
      </c>
      <c r="BD64" t="s">
        <v>146</v>
      </c>
      <c r="BE64" t="s">
        <v>124</v>
      </c>
      <c r="BF64" t="s">
        <v>506</v>
      </c>
      <c r="BG64" t="s">
        <v>507</v>
      </c>
      <c r="BH64" t="s">
        <v>1148</v>
      </c>
      <c r="BI64" t="s">
        <v>61</v>
      </c>
      <c r="BJ64" t="s">
        <v>1167</v>
      </c>
      <c r="BK64" t="s">
        <v>244</v>
      </c>
      <c r="BL64" t="s">
        <v>2570</v>
      </c>
      <c r="BM64" t="s">
        <v>738</v>
      </c>
      <c r="BN64">
        <v>4.03</v>
      </c>
      <c r="BO64">
        <v>10.199999999999999</v>
      </c>
      <c r="BP64">
        <v>15.72</v>
      </c>
      <c r="BQ64">
        <v>7.24</v>
      </c>
      <c r="BR64">
        <v>11.76</v>
      </c>
      <c r="BS64">
        <v>17.71</v>
      </c>
      <c r="BT64" t="s">
        <v>964</v>
      </c>
      <c r="BU64" t="s">
        <v>812</v>
      </c>
      <c r="BV64">
        <v>25.69</v>
      </c>
      <c r="BW64">
        <v>26.7</v>
      </c>
      <c r="BX64">
        <v>29.96</v>
      </c>
      <c r="BY64">
        <v>7.97</v>
      </c>
      <c r="BZ64">
        <v>11.22</v>
      </c>
      <c r="CA64">
        <v>12.05</v>
      </c>
      <c r="CB64">
        <v>0.62</v>
      </c>
      <c r="CC64">
        <v>-11.76</v>
      </c>
      <c r="CD64" t="s">
        <v>2571</v>
      </c>
      <c r="CE64" t="s">
        <v>2572</v>
      </c>
      <c r="CF64" s="10">
        <v>2.9316770186335406</v>
      </c>
      <c r="CG64" s="11">
        <v>3.2574025586989377</v>
      </c>
      <c r="CH64" s="10">
        <v>-0.67412453889846802</v>
      </c>
      <c r="CI64" s="10">
        <v>3.3165827393531799E-2</v>
      </c>
      <c r="CJ64" s="10">
        <v>0.17127726972103119</v>
      </c>
      <c r="CK64" s="10">
        <v>0.33464258909225464</v>
      </c>
      <c r="CL64" s="10">
        <v>8.3404138684272766E-2</v>
      </c>
      <c r="CM64" s="11">
        <v>-0.61693638563156128</v>
      </c>
      <c r="CN64" s="11">
        <v>-3.7500001490116119E-2</v>
      </c>
      <c r="CO64" s="11">
        <v>0.10599078238010406</v>
      </c>
      <c r="CP64" s="11">
        <v>1.2793998718261719</v>
      </c>
      <c r="CQ64" s="11">
        <v>8.7456345558166504E-2</v>
      </c>
      <c r="CR64">
        <v>30.583900001709701</v>
      </c>
      <c r="CS64">
        <v>29.615638035043478</v>
      </c>
      <c r="CT64">
        <v>0.57603686635944706</v>
      </c>
      <c r="CU64" s="10">
        <v>-1.0326942801475525E-2</v>
      </c>
      <c r="CV64" s="11">
        <v>0.16368212252855302</v>
      </c>
      <c r="CW64">
        <v>0.06</v>
      </c>
      <c r="CX64">
        <v>49.255560942368263</v>
      </c>
      <c r="CY64" t="s">
        <v>2573</v>
      </c>
      <c r="CZ64">
        <v>-1.0326942801475525E-2</v>
      </c>
      <c r="DA64">
        <v>16.418520314122755</v>
      </c>
      <c r="DB64" t="s">
        <v>2574</v>
      </c>
      <c r="DC64">
        <v>-9.8105956614017477E-3</v>
      </c>
      <c r="DD64">
        <v>8.2092601570613777</v>
      </c>
      <c r="DE64" t="s">
        <v>2575</v>
      </c>
      <c r="DF64">
        <v>-9.0877096652984615E-3</v>
      </c>
      <c r="DG64">
        <v>4.9255560942368257</v>
      </c>
      <c r="DH64" t="s">
        <v>2576</v>
      </c>
      <c r="DI64">
        <v>-8.2615542411804202E-3</v>
      </c>
      <c r="DJ64">
        <v>2.4627780471184129</v>
      </c>
      <c r="DK64" t="s">
        <v>2577</v>
      </c>
      <c r="DL64">
        <v>-7.2288599610328668E-3</v>
      </c>
      <c r="DM64">
        <v>88487700</v>
      </c>
      <c r="DN64">
        <v>-1.0326942801475525E-2</v>
      </c>
      <c r="DO64">
        <v>4358511300</v>
      </c>
      <c r="DP64">
        <v>648954599.99999976</v>
      </c>
      <c r="DQ64">
        <v>4615</v>
      </c>
      <c r="DR64">
        <v>2.9420039614350162</v>
      </c>
      <c r="DS64">
        <v>3.0937204361703845</v>
      </c>
      <c r="DT64" s="12">
        <v>-0.52333333333333332</v>
      </c>
      <c r="DU64">
        <v>0.34</v>
      </c>
      <c r="DV64">
        <v>-0.18333333333333329</v>
      </c>
      <c r="DW64">
        <v>-2.1175999999999999</v>
      </c>
      <c r="DX64">
        <v>0.42991573408575418</v>
      </c>
      <c r="DY64">
        <v>-2.0164540903284847</v>
      </c>
      <c r="DZ64">
        <v>1407</v>
      </c>
      <c r="EA64">
        <v>-2.0119235805257101</v>
      </c>
      <c r="EB64">
        <v>2</v>
      </c>
      <c r="EC64">
        <v>1.9542603488057815E-2</v>
      </c>
      <c r="ED64">
        <v>0.13967409466672526</v>
      </c>
      <c r="EE64" s="13">
        <v>-4.0656999999999996</v>
      </c>
      <c r="EF64">
        <v>-4.0622999999999996</v>
      </c>
      <c r="EG64">
        <v>29.139915734085754</v>
      </c>
      <c r="EH64" t="s">
        <v>1021</v>
      </c>
      <c r="EI64">
        <v>0</v>
      </c>
      <c r="EJ64">
        <v>1</v>
      </c>
      <c r="EK64" s="15">
        <v>45470</v>
      </c>
      <c r="EL64" s="16">
        <v>-0.82</v>
      </c>
      <c r="EM64" s="16">
        <v>-5.21</v>
      </c>
      <c r="EN64" s="16">
        <v>-4.58</v>
      </c>
      <c r="EO64" s="16">
        <v>7.37</v>
      </c>
      <c r="EP64" s="16">
        <v>-0.34</v>
      </c>
    </row>
    <row r="65" spans="1:146" ht="84" x14ac:dyDescent="0.25">
      <c r="C65" s="8" t="str">
        <f>""&amp;CHAR(10)&amp;Basic_Fundamental_Information_Constructure(F65)&amp;CHAR(10)&amp;Basic_Fundamental_Information_Concatenate("")</f>
        <v xml:space="preserve">
市值16.883083亿, 利润9210.45万; PE36.47; 平均PE45.31; 平均PEG1.28, PB1.13; ROIC3.0833%; ROE4.3867%; 股利率.9604%; 毛利13.8533%; 净利6.5233%; 上一年度营收增35.37%, 利润增95.82%; 当季营收增15.66%, 利润增-68.37%; 过往5年营收增35.27%, 利润增72.56%
Income profile:
</v>
      </c>
      <c r="D65" t="s">
        <v>789</v>
      </c>
      <c r="E65" t="s">
        <v>790</v>
      </c>
      <c r="F65">
        <v>8.33</v>
      </c>
      <c r="G65">
        <v>-0.48</v>
      </c>
      <c r="H65" t="s">
        <v>2090</v>
      </c>
      <c r="I65">
        <v>1688308300</v>
      </c>
      <c r="J65">
        <v>36.47</v>
      </c>
      <c r="K65">
        <v>1.1299999999999999</v>
      </c>
      <c r="L65" t="s">
        <v>1187</v>
      </c>
      <c r="M65" t="s">
        <v>1063</v>
      </c>
      <c r="N65" t="s">
        <v>2578</v>
      </c>
      <c r="O65" t="s">
        <v>144</v>
      </c>
      <c r="P65">
        <v>34.42</v>
      </c>
      <c r="Q65" t="s">
        <v>2579</v>
      </c>
      <c r="R65">
        <v>6908454</v>
      </c>
      <c r="S65" s="6">
        <v>0.66059999999999997</v>
      </c>
      <c r="T65" t="s">
        <v>2580</v>
      </c>
      <c r="U65">
        <v>115329826</v>
      </c>
      <c r="V65">
        <v>202678070</v>
      </c>
      <c r="W65">
        <v>1.37</v>
      </c>
      <c r="X65">
        <v>0.09</v>
      </c>
      <c r="Y65">
        <v>3.6</v>
      </c>
      <c r="Z65" t="s">
        <v>814</v>
      </c>
      <c r="AA65" t="s">
        <v>149</v>
      </c>
      <c r="AB65" t="s">
        <v>2581</v>
      </c>
      <c r="AC65" t="s">
        <v>2582</v>
      </c>
      <c r="AD65" t="s">
        <v>25</v>
      </c>
      <c r="AE65">
        <v>-2945592</v>
      </c>
      <c r="AF65" t="s">
        <v>52</v>
      </c>
      <c r="AG65" t="s">
        <v>2583</v>
      </c>
      <c r="AH65" t="s">
        <v>2584</v>
      </c>
      <c r="AI65" t="s">
        <v>2585</v>
      </c>
      <c r="AJ65" t="s">
        <v>2586</v>
      </c>
      <c r="AK65" t="s">
        <v>2587</v>
      </c>
      <c r="AL65" t="s">
        <v>2588</v>
      </c>
      <c r="AM65" t="s">
        <v>25</v>
      </c>
      <c r="AN65" t="s">
        <v>1175</v>
      </c>
      <c r="AO65" t="s">
        <v>2589</v>
      </c>
      <c r="AP65" t="s">
        <v>292</v>
      </c>
      <c r="AQ65" t="s">
        <v>2590</v>
      </c>
      <c r="AR65" t="s">
        <v>25</v>
      </c>
      <c r="AS65" t="s">
        <v>299</v>
      </c>
      <c r="AT65" t="s">
        <v>2591</v>
      </c>
      <c r="AU65" t="s">
        <v>2592</v>
      </c>
      <c r="AV65" t="s">
        <v>2593</v>
      </c>
      <c r="AW65" t="s">
        <v>2594</v>
      </c>
      <c r="AX65" t="s">
        <v>1028</v>
      </c>
      <c r="AY65" t="s">
        <v>353</v>
      </c>
      <c r="AZ65" t="s">
        <v>357</v>
      </c>
      <c r="BA65" t="s">
        <v>325</v>
      </c>
      <c r="BB65" t="s">
        <v>415</v>
      </c>
      <c r="BC65" t="s">
        <v>2595</v>
      </c>
      <c r="BD65" t="s">
        <v>791</v>
      </c>
      <c r="BE65" t="s">
        <v>792</v>
      </c>
      <c r="BF65" t="s">
        <v>793</v>
      </c>
      <c r="BG65" t="s">
        <v>794</v>
      </c>
      <c r="BH65" t="s">
        <v>813</v>
      </c>
      <c r="BI65" t="s">
        <v>101</v>
      </c>
      <c r="BJ65" t="s">
        <v>1028</v>
      </c>
      <c r="BK65" t="s">
        <v>2596</v>
      </c>
      <c r="BL65" t="s">
        <v>2597</v>
      </c>
      <c r="BM65" t="s">
        <v>2595</v>
      </c>
      <c r="BN65">
        <v>1.57</v>
      </c>
      <c r="BO65">
        <v>3.35</v>
      </c>
      <c r="BP65">
        <v>4.33</v>
      </c>
      <c r="BQ65">
        <v>2.5499999999999998</v>
      </c>
      <c r="BR65">
        <v>5.07</v>
      </c>
      <c r="BS65">
        <v>5.54</v>
      </c>
      <c r="BT65" t="s">
        <v>981</v>
      </c>
      <c r="BU65" t="s">
        <v>517</v>
      </c>
      <c r="BV65">
        <v>13.11</v>
      </c>
      <c r="BW65">
        <v>13.38</v>
      </c>
      <c r="BX65">
        <v>15.07</v>
      </c>
      <c r="BY65">
        <v>5.78</v>
      </c>
      <c r="BZ65">
        <v>7.77</v>
      </c>
      <c r="CA65">
        <v>6.02</v>
      </c>
      <c r="CB65">
        <v>-2</v>
      </c>
      <c r="CC65">
        <v>-14.74</v>
      </c>
      <c r="CD65" t="s">
        <v>2598</v>
      </c>
      <c r="CE65" t="s">
        <v>2599</v>
      </c>
      <c r="CF65" s="10">
        <v>0.15662650602409639</v>
      </c>
      <c r="CG65" s="11">
        <v>-0.68369622548211639</v>
      </c>
      <c r="CH65" s="10">
        <v>0.35371899604797363</v>
      </c>
      <c r="CI65" s="10">
        <v>3.4188035875558853E-2</v>
      </c>
      <c r="CJ65" s="10">
        <v>1.2243345975875854</v>
      </c>
      <c r="CK65" s="10">
        <v>0.13362069427967072</v>
      </c>
      <c r="CL65" s="10">
        <v>1.7543859779834747E-2</v>
      </c>
      <c r="CM65" s="11">
        <v>0.95819520950317383</v>
      </c>
      <c r="CN65" s="11">
        <v>0.33339947462081909</v>
      </c>
      <c r="CO65" s="11">
        <v>0.16120706498622894</v>
      </c>
      <c r="CP65" s="11">
        <v>2.0197122097015381</v>
      </c>
      <c r="CQ65" s="11">
        <v>0.155342698097229</v>
      </c>
      <c r="CR65">
        <v>45.311670186983861</v>
      </c>
      <c r="CS65">
        <v>1.284776888307003</v>
      </c>
      <c r="CT65">
        <v>0.96038415366146468</v>
      </c>
      <c r="CU65" s="10">
        <v>0.35268123671412466</v>
      </c>
      <c r="CV65" s="11">
        <v>0.72557133138179775</v>
      </c>
      <c r="CW65">
        <v>0.06</v>
      </c>
      <c r="CX65">
        <v>6.5453061964437476</v>
      </c>
      <c r="CY65">
        <v>117535876.38390198</v>
      </c>
      <c r="CZ65">
        <v>0.35268123671412466</v>
      </c>
      <c r="DA65">
        <v>1.7244322586760832</v>
      </c>
      <c r="DB65">
        <v>446122656.38699502</v>
      </c>
      <c r="DC65">
        <v>0.3350471748784184</v>
      </c>
      <c r="DD65">
        <v>0.62127407881309971</v>
      </c>
      <c r="DE65">
        <v>1238275225.4362667</v>
      </c>
      <c r="DF65">
        <v>0.31035948830842969</v>
      </c>
      <c r="DG65">
        <v>0.25372568037653109</v>
      </c>
      <c r="DH65">
        <v>3032047441.3876429</v>
      </c>
      <c r="DI65">
        <v>0.28214498937129973</v>
      </c>
      <c r="DJ65">
        <v>5.0631015943497233E-2</v>
      </c>
      <c r="DK65">
        <v>15194407729.414833</v>
      </c>
      <c r="DL65">
        <v>0.24687686569988723</v>
      </c>
      <c r="DM65">
        <v>92104500</v>
      </c>
      <c r="DN65">
        <v>0.35268123671412466</v>
      </c>
      <c r="DO65">
        <v>769308300</v>
      </c>
      <c r="DP65">
        <v>587937070</v>
      </c>
      <c r="DQ65">
        <v>4718</v>
      </c>
      <c r="DR65">
        <v>-0.19605473069002827</v>
      </c>
      <c r="DS65">
        <v>-1.4092675568639141</v>
      </c>
      <c r="DT65" s="12">
        <v>-6.6666666666666714E-3</v>
      </c>
      <c r="DU65">
        <v>0.78833333333333344</v>
      </c>
      <c r="DV65">
        <v>0.78166666666666673</v>
      </c>
      <c r="DW65">
        <v>-2.1474000000000002</v>
      </c>
      <c r="DX65">
        <v>0.35071484180415241</v>
      </c>
      <c r="DY65">
        <v>-2.0222153676819321</v>
      </c>
      <c r="DZ65">
        <v>505</v>
      </c>
      <c r="EA65">
        <v>-2.0200199154941871</v>
      </c>
      <c r="EB65">
        <v>2</v>
      </c>
      <c r="EC65">
        <v>2.4929682821629395E-2</v>
      </c>
      <c r="ED65">
        <v>0.16540960746271166</v>
      </c>
      <c r="EE65" s="13">
        <v>-3.0846100000000001</v>
      </c>
      <c r="EF65">
        <v>-3.11321</v>
      </c>
      <c r="EG65">
        <v>20.150714841804152</v>
      </c>
      <c r="EH65" t="s">
        <v>1037</v>
      </c>
      <c r="EI65">
        <v>0</v>
      </c>
      <c r="EJ65">
        <v>1</v>
      </c>
      <c r="EK65" s="15">
        <v>45470</v>
      </c>
      <c r="EL65" s="16">
        <v>-1.53</v>
      </c>
      <c r="EM65" s="16">
        <v>-7.12</v>
      </c>
      <c r="EN65" s="16">
        <v>-4.12</v>
      </c>
      <c r="EO65" s="16">
        <v>4.3</v>
      </c>
      <c r="EP65" s="16">
        <v>-2.86</v>
      </c>
    </row>
    <row r="66" spans="1:146" ht="168" x14ac:dyDescent="0.25">
      <c r="A66" s="8" t="s">
        <v>637</v>
      </c>
      <c r="B66" s="8"/>
      <c r="C66" s="8" t="str">
        <f>"公司主要从事改性塑料的研发、生产和销售，致力于为客户提供高性能化、功能化的材料整体解决方案，由于改性塑料具有轻量化、耐腐蚀、阻燃性、高强度、良外观等性能，应用领域也在持续扩展，在通讯、电子电气、轨道交通、家居建材、安防等细分市场领域，公司产品目前已经通过了华为、富士康、威特万、理士集团、南都集团、汉宇集团等国内外知名企业的测试或认证，公司对上述客户体系已实现不同规模的供货。"&amp;CHAR(10)&amp;Basic_Fundamental_Information_Constructure(C66)&amp;CHAR(10)&amp;Basic_Fundamental_Information_Concatenate("改性塑料 40.17亿 97.41%（毛利17.10%）
其他业务 1.07亿 2.59%（毛利6.37%）")</f>
        <v>公司主要从事改性塑料的研发、生产和销售，致力于为客户提供高性能化、功能化的材料整体解决方案，由于改性塑料具有轻量化、耐腐蚀、阻燃性、高强度、良外观等性能，应用领域也在持续扩展，在通讯、电子电气、轨道交通、家居建材、安防等细分市场领域，公司产品目前已经通过了华为、富士康、威特万、理士集团、南都集团、汉宇集团等国内外知名企业的测试或认证，公司对上述客户体系已实现不同规模的供货。
市值36.513134亿, 利润5918.80万; PE28.26; 平均PE46.27; 平均PEG1.53, PB2.08; ROIC4.7867%; ROE6.0767%; 股利率.2516%; 毛利13.17%; 净利2.6933%; 上一年度营收增5.67%, 利润增9.5%; 当季营收增10.05%, 利润增296.7%; 过往5年营收增30.27%, 利润增43.26%
Income profile:
改性塑料 40.17亿 97.41%（毛利17.10%）
其他业务 1.07亿 2.59%（毛利6.37%）</v>
      </c>
      <c r="D66" t="s">
        <v>470</v>
      </c>
      <c r="E66" t="s">
        <v>471</v>
      </c>
      <c r="F66">
        <v>7.39</v>
      </c>
      <c r="G66">
        <v>1.23</v>
      </c>
      <c r="H66" t="s">
        <v>2600</v>
      </c>
      <c r="I66">
        <v>3394114000</v>
      </c>
      <c r="J66">
        <v>19.68</v>
      </c>
      <c r="K66">
        <v>1.85</v>
      </c>
      <c r="L66" t="s">
        <v>1187</v>
      </c>
      <c r="M66" t="s">
        <v>2601</v>
      </c>
      <c r="N66" t="s">
        <v>2602</v>
      </c>
      <c r="O66" t="s">
        <v>2603</v>
      </c>
      <c r="P66">
        <v>14.22</v>
      </c>
      <c r="Q66" t="s">
        <v>2604</v>
      </c>
      <c r="R66">
        <v>43243336</v>
      </c>
      <c r="S66" s="6">
        <v>1.431</v>
      </c>
      <c r="T66" t="s">
        <v>2605</v>
      </c>
      <c r="U66">
        <v>459284700</v>
      </c>
      <c r="V66">
        <v>459284700</v>
      </c>
      <c r="W66">
        <v>3.18</v>
      </c>
      <c r="X66">
        <v>0.2</v>
      </c>
      <c r="Y66">
        <v>3.64</v>
      </c>
      <c r="Z66" t="s">
        <v>869</v>
      </c>
      <c r="AA66" t="s">
        <v>78</v>
      </c>
      <c r="AB66" t="s">
        <v>2606</v>
      </c>
      <c r="AC66" t="s">
        <v>2607</v>
      </c>
      <c r="AD66" t="s">
        <v>25</v>
      </c>
      <c r="AE66">
        <v>17567665</v>
      </c>
      <c r="AF66" t="s">
        <v>2608</v>
      </c>
      <c r="AG66" t="s">
        <v>2609</v>
      </c>
      <c r="AH66" t="s">
        <v>2610</v>
      </c>
      <c r="AI66" t="s">
        <v>1171</v>
      </c>
      <c r="AJ66" t="s">
        <v>2611</v>
      </c>
      <c r="AK66" t="s">
        <v>499</v>
      </c>
      <c r="AL66" t="s">
        <v>2612</v>
      </c>
      <c r="AM66" t="s">
        <v>25</v>
      </c>
      <c r="AN66" t="s">
        <v>234</v>
      </c>
      <c r="AO66" t="s">
        <v>643</v>
      </c>
      <c r="AP66" t="s">
        <v>2024</v>
      </c>
      <c r="AQ66" t="s">
        <v>384</v>
      </c>
      <c r="AR66" t="s">
        <v>25</v>
      </c>
      <c r="AS66" t="s">
        <v>2613</v>
      </c>
      <c r="AT66" t="s">
        <v>252</v>
      </c>
      <c r="AU66" t="s">
        <v>873</v>
      </c>
      <c r="AV66" t="s">
        <v>2614</v>
      </c>
      <c r="AW66" t="s">
        <v>2615</v>
      </c>
      <c r="AX66" t="s">
        <v>1169</v>
      </c>
      <c r="AY66" t="s">
        <v>736</v>
      </c>
      <c r="AZ66" t="s">
        <v>229</v>
      </c>
      <c r="BA66" t="s">
        <v>472</v>
      </c>
      <c r="BB66" t="s">
        <v>473</v>
      </c>
      <c r="BC66" t="s">
        <v>2616</v>
      </c>
      <c r="BD66" t="s">
        <v>737</v>
      </c>
      <c r="BE66" t="s">
        <v>344</v>
      </c>
      <c r="BF66" t="s">
        <v>131</v>
      </c>
      <c r="BG66" t="s">
        <v>474</v>
      </c>
      <c r="BH66" t="s">
        <v>2617</v>
      </c>
      <c r="BI66" t="s">
        <v>2618</v>
      </c>
      <c r="BJ66" t="s">
        <v>1169</v>
      </c>
      <c r="BK66" t="s">
        <v>272</v>
      </c>
      <c r="BL66" t="s">
        <v>2619</v>
      </c>
      <c r="BM66" t="s">
        <v>2616</v>
      </c>
      <c r="BN66">
        <v>3.78</v>
      </c>
      <c r="BO66">
        <v>3.61</v>
      </c>
      <c r="BP66">
        <v>4.51</v>
      </c>
      <c r="BQ66">
        <v>6.23</v>
      </c>
      <c r="BR66">
        <v>3.48</v>
      </c>
      <c r="BS66">
        <v>3.19</v>
      </c>
      <c r="BT66" t="s">
        <v>969</v>
      </c>
      <c r="BU66" t="s">
        <v>517</v>
      </c>
      <c r="BV66">
        <v>13.94</v>
      </c>
      <c r="BW66">
        <v>10.47</v>
      </c>
      <c r="BX66">
        <v>9.44</v>
      </c>
      <c r="BY66">
        <v>2.65</v>
      </c>
      <c r="BZ66">
        <v>1.1100000000000001</v>
      </c>
      <c r="CA66">
        <v>1.1000000000000001</v>
      </c>
      <c r="CB66">
        <v>-4.8899999999999997</v>
      </c>
      <c r="CC66">
        <v>-15.93</v>
      </c>
      <c r="CD66" t="s">
        <v>2620</v>
      </c>
      <c r="CE66" t="s">
        <v>2621</v>
      </c>
      <c r="CF66" s="10">
        <v>2.125</v>
      </c>
      <c r="CG66" s="11">
        <v>1.2206292653061224</v>
      </c>
      <c r="CH66" s="10">
        <v>-0.49797257781028748</v>
      </c>
      <c r="CI66" s="10">
        <v>5.6723035871982574E-2</v>
      </c>
      <c r="CJ66" s="10">
        <v>0.18840935826301575</v>
      </c>
      <c r="CK66" s="10">
        <v>2.3071182891726494E-2</v>
      </c>
      <c r="CL66" s="10">
        <v>1.1373276710510254</v>
      </c>
      <c r="CM66" s="11">
        <v>-9.5531778335571289</v>
      </c>
      <c r="CN66" s="11">
        <v>9.4516992568969727E-2</v>
      </c>
      <c r="CO66" s="11">
        <v>-0.7030186653137207</v>
      </c>
      <c r="CP66" s="11">
        <v>0.66972476243972778</v>
      </c>
      <c r="CQ66" s="11">
        <v>1.6842859983444214</v>
      </c>
      <c r="CR66">
        <v>-332.84655641889827</v>
      </c>
      <c r="CS66">
        <v>-18.337467721001801</v>
      </c>
      <c r="CT66">
        <v>1.3531799729364007</v>
      </c>
      <c r="CU66" s="10">
        <v>0.18151173405349255</v>
      </c>
      <c r="CV66" s="11">
        <v>-1.5615337491035461</v>
      </c>
      <c r="CW66">
        <v>0.06</v>
      </c>
      <c r="CX66" t="e">
        <v>#VALUE!</v>
      </c>
      <c r="CY66" t="s">
        <v>770</v>
      </c>
      <c r="CZ66">
        <v>0.18151173405349255</v>
      </c>
      <c r="DA66" t="e">
        <v>#VALUE!</v>
      </c>
      <c r="DB66" t="s">
        <v>770</v>
      </c>
      <c r="DC66">
        <v>0.17243614735081791</v>
      </c>
      <c r="DD66" t="e">
        <v>#VALUE!</v>
      </c>
      <c r="DE66" t="s">
        <v>770</v>
      </c>
      <c r="DF66">
        <v>0.15973032596707346</v>
      </c>
      <c r="DG66" t="e">
        <v>#VALUE!</v>
      </c>
      <c r="DH66" t="s">
        <v>770</v>
      </c>
      <c r="DI66">
        <v>0.14520938724279406</v>
      </c>
      <c r="DJ66" t="e">
        <v>#VALUE!</v>
      </c>
      <c r="DK66" t="s">
        <v>770</v>
      </c>
      <c r="DL66">
        <v>0.12705821383744478</v>
      </c>
      <c r="DM66">
        <v>-505999999.99999994</v>
      </c>
      <c r="DN66">
        <v>0.18151173405349255</v>
      </c>
      <c r="DO66">
        <v>6076114000</v>
      </c>
      <c r="DP66">
        <v>638797900</v>
      </c>
      <c r="DQ66">
        <v>4732</v>
      </c>
      <c r="DR66">
        <v>1.9434882659465074</v>
      </c>
      <c r="DS66">
        <v>2.7821630144096687</v>
      </c>
      <c r="DT66" s="12">
        <v>-0.27333333333333337</v>
      </c>
      <c r="DU66">
        <v>1.6666666666666569E-2</v>
      </c>
      <c r="DV66">
        <v>-0.25666666666666682</v>
      </c>
      <c r="DW66">
        <v>-8.3069679849340865</v>
      </c>
      <c r="DX66">
        <v>0.40617733038820303</v>
      </c>
      <c r="DY66">
        <v>-8.0540808001003334</v>
      </c>
      <c r="DZ66">
        <v>4475</v>
      </c>
      <c r="EA66">
        <v>-8.0067204125369305</v>
      </c>
      <c r="EB66">
        <v>8</v>
      </c>
      <c r="EC66">
        <v>2.1690250078001728E-2</v>
      </c>
      <c r="ED66">
        <v>0.12311601061389592</v>
      </c>
      <c r="EE66" s="13">
        <v>-6.0130100000000004</v>
      </c>
      <c r="EF66">
        <v>-6.0506099999999998</v>
      </c>
      <c r="EG66">
        <v>23.176177330388203</v>
      </c>
      <c r="EH66" t="s">
        <v>1102</v>
      </c>
      <c r="EI66">
        <v>0</v>
      </c>
      <c r="EJ66">
        <v>0</v>
      </c>
      <c r="EK66" s="15">
        <v>45470</v>
      </c>
      <c r="EL66" s="16">
        <v>-0.17</v>
      </c>
      <c r="EM66" s="16">
        <v>-3.84</v>
      </c>
      <c r="EN66" s="16">
        <v>-5.3</v>
      </c>
      <c r="EO66" s="16">
        <v>2.93</v>
      </c>
      <c r="EP66" s="16">
        <v>-3.76</v>
      </c>
    </row>
    <row r="67" spans="1:146" ht="84" x14ac:dyDescent="0.25">
      <c r="C67" s="9" t="str">
        <f>""&amp;CHAR(10)&amp;Basic_Fundamental_Information_Constructure(F67)&amp;CHAR(10)&amp;Basic_Fundamental_Information_Concatenate("")</f>
        <v xml:space="preserve">
市值17.208021亿, 利润5977.37万; PE; 平均PE36.34; 平均PEG7.39, PB2; ROIC3.94%; ROE3.53%; 股利率0%; 毛利36.59%; 净利7.7867%; 上一年度营收增-17.55%, 利润增53.76%; 当季营收增89.68%, 利润增-940.61%; 过往5年营收增4.92%, 利润增16.65%
Income profile:
</v>
      </c>
      <c r="D67" t="s">
        <v>475</v>
      </c>
      <c r="E67" t="s">
        <v>476</v>
      </c>
      <c r="F67">
        <v>9.56</v>
      </c>
      <c r="G67">
        <v>0.74</v>
      </c>
      <c r="H67" t="s">
        <v>2622</v>
      </c>
      <c r="I67">
        <v>1720802100</v>
      </c>
      <c r="K67">
        <v>2</v>
      </c>
      <c r="L67" t="s">
        <v>1187</v>
      </c>
      <c r="M67" t="s">
        <v>836</v>
      </c>
      <c r="N67" t="s">
        <v>884</v>
      </c>
      <c r="O67" t="s">
        <v>2623</v>
      </c>
      <c r="P67">
        <v>22.36</v>
      </c>
      <c r="Q67" t="s">
        <v>154</v>
      </c>
      <c r="R67">
        <v>-16574891</v>
      </c>
      <c r="S67" s="6">
        <v>-1.18</v>
      </c>
      <c r="T67" t="s">
        <v>2624</v>
      </c>
      <c r="U67">
        <v>180000220</v>
      </c>
      <c r="V67">
        <v>180000220</v>
      </c>
      <c r="W67">
        <v>2.4900000000000002</v>
      </c>
      <c r="X67">
        <v>0.02</v>
      </c>
      <c r="Y67">
        <v>-30.3</v>
      </c>
      <c r="Z67" t="s">
        <v>2625</v>
      </c>
      <c r="AA67" t="s">
        <v>2626</v>
      </c>
      <c r="AB67" t="s">
        <v>2627</v>
      </c>
      <c r="AC67" t="s">
        <v>2628</v>
      </c>
      <c r="AD67" t="s">
        <v>25</v>
      </c>
      <c r="AE67">
        <v>8008964</v>
      </c>
      <c r="AF67" t="s">
        <v>2629</v>
      </c>
      <c r="AG67" t="s">
        <v>25</v>
      </c>
      <c r="AH67" t="s">
        <v>2630</v>
      </c>
      <c r="AI67" t="s">
        <v>2631</v>
      </c>
      <c r="AJ67" t="s">
        <v>2632</v>
      </c>
      <c r="AK67" t="s">
        <v>2633</v>
      </c>
      <c r="AL67" t="s">
        <v>2634</v>
      </c>
      <c r="AM67" t="s">
        <v>25</v>
      </c>
      <c r="AN67" t="s">
        <v>392</v>
      </c>
      <c r="AO67" t="s">
        <v>2635</v>
      </c>
      <c r="AP67" t="s">
        <v>2636</v>
      </c>
      <c r="AQ67" t="s">
        <v>244</v>
      </c>
      <c r="AR67" t="s">
        <v>25</v>
      </c>
      <c r="AS67" t="s">
        <v>289</v>
      </c>
      <c r="AT67" t="s">
        <v>1157</v>
      </c>
      <c r="AU67" t="s">
        <v>2637</v>
      </c>
      <c r="AV67" t="s">
        <v>2638</v>
      </c>
      <c r="AW67" t="s">
        <v>2639</v>
      </c>
      <c r="AX67" t="s">
        <v>123</v>
      </c>
      <c r="AY67" t="s">
        <v>295</v>
      </c>
      <c r="AZ67" t="s">
        <v>444</v>
      </c>
      <c r="BA67" t="s">
        <v>325</v>
      </c>
      <c r="BB67" t="s">
        <v>155</v>
      </c>
      <c r="BC67" t="s">
        <v>1172</v>
      </c>
      <c r="BD67" t="s">
        <v>739</v>
      </c>
      <c r="BE67" t="s">
        <v>477</v>
      </c>
      <c r="BF67" t="s">
        <v>479</v>
      </c>
      <c r="BG67" t="s">
        <v>480</v>
      </c>
      <c r="BH67" t="s">
        <v>488</v>
      </c>
      <c r="BI67" t="s">
        <v>2640</v>
      </c>
      <c r="BJ67" t="s">
        <v>123</v>
      </c>
      <c r="BK67" t="s">
        <v>2641</v>
      </c>
      <c r="BL67" t="s">
        <v>2642</v>
      </c>
      <c r="BM67" t="s">
        <v>1172</v>
      </c>
      <c r="BN67" t="s">
        <v>25</v>
      </c>
      <c r="BO67">
        <v>2.76</v>
      </c>
      <c r="BP67">
        <v>5.12</v>
      </c>
      <c r="BQ67">
        <v>-0.75</v>
      </c>
      <c r="BR67">
        <v>4.16</v>
      </c>
      <c r="BS67">
        <v>7.18</v>
      </c>
      <c r="BT67" t="s">
        <v>965</v>
      </c>
      <c r="BU67" t="s">
        <v>808</v>
      </c>
      <c r="BV67">
        <v>26.56</v>
      </c>
      <c r="BW67">
        <v>38.33</v>
      </c>
      <c r="BX67">
        <v>44.88</v>
      </c>
      <c r="BY67">
        <v>-7.1</v>
      </c>
      <c r="BZ67">
        <v>12.88</v>
      </c>
      <c r="CA67">
        <v>17.579999999999998</v>
      </c>
      <c r="CB67">
        <v>-5.0599999999999996</v>
      </c>
      <c r="CC67">
        <v>-23.4</v>
      </c>
      <c r="CD67" t="s">
        <v>2643</v>
      </c>
      <c r="CE67" t="s">
        <v>2644</v>
      </c>
      <c r="CF67" s="10">
        <v>0.89675318821383743</v>
      </c>
      <c r="CG67" s="11">
        <v>-9.4061344801607234</v>
      </c>
      <c r="CH67" s="10">
        <v>-0.17549668252468109</v>
      </c>
      <c r="CI67" s="10">
        <v>-5.3291536867618561E-2</v>
      </c>
      <c r="CJ67" s="10">
        <v>-8.8571429252624512E-2</v>
      </c>
      <c r="CK67" s="10">
        <v>0.50862067937850952</v>
      </c>
      <c r="CL67" s="10">
        <v>5.4545454680919647E-2</v>
      </c>
      <c r="CM67" s="11">
        <v>0.53762274980545044</v>
      </c>
      <c r="CN67" s="11">
        <v>-0.30644384026527405</v>
      </c>
      <c r="CO67" s="11">
        <v>-4.2474210262298584E-2</v>
      </c>
      <c r="CP67" s="11">
        <v>0.70801359415054321</v>
      </c>
      <c r="CQ67" s="11">
        <v>-6.4087651669979095E-2</v>
      </c>
      <c r="CR67">
        <v>36.338941305121367</v>
      </c>
      <c r="CS67">
        <v>7.3917783828695134</v>
      </c>
      <c r="CT67">
        <v>0</v>
      </c>
      <c r="CU67" s="10">
        <v>4.9161297082900998E-2</v>
      </c>
      <c r="CV67" s="11">
        <v>0.1665261283516884</v>
      </c>
      <c r="CW67">
        <v>0.06</v>
      </c>
      <c r="CX67">
        <v>36.945734351341692</v>
      </c>
      <c r="CY67">
        <v>59162502.474947348</v>
      </c>
      <c r="CZ67">
        <v>4.9161297082900998E-2</v>
      </c>
      <c r="DA67">
        <v>12.500315554352682</v>
      </c>
      <c r="DB67">
        <v>174859753.77948689</v>
      </c>
      <c r="DC67">
        <v>4.6703232228755949E-2</v>
      </c>
      <c r="DD67">
        <v>6.4414369937020366</v>
      </c>
      <c r="DE67">
        <v>339334546.33447731</v>
      </c>
      <c r="DF67">
        <v>4.326194143295288E-2</v>
      </c>
      <c r="DG67">
        <v>4.068614603819019</v>
      </c>
      <c r="DH67">
        <v>537234983.61046278</v>
      </c>
      <c r="DI67">
        <v>3.9329037666320801E-2</v>
      </c>
      <c r="DJ67">
        <v>2.3398805874153097</v>
      </c>
      <c r="DK67">
        <v>934151132.22273088</v>
      </c>
      <c r="DL67">
        <v>3.4412907958030696E-2</v>
      </c>
      <c r="DM67">
        <v>59773700</v>
      </c>
      <c r="DN67">
        <v>4.9161297082900998E-2</v>
      </c>
      <c r="DO67">
        <v>2185802100</v>
      </c>
      <c r="DP67">
        <v>22004820</v>
      </c>
      <c r="DQ67">
        <v>4822</v>
      </c>
      <c r="DR67">
        <v>0.84759189113093647</v>
      </c>
      <c r="DS67">
        <v>-9.5726606085124111</v>
      </c>
      <c r="DT67" s="12">
        <v>-0.49</v>
      </c>
      <c r="DU67">
        <v>-0.64833333333333332</v>
      </c>
      <c r="DV67">
        <v>-1.1383333333333332</v>
      </c>
      <c r="DW67">
        <v>-8.2162393162393155</v>
      </c>
      <c r="DX67">
        <v>0.38828423537242868</v>
      </c>
      <c r="DY67">
        <v>-8.0212529158540384</v>
      </c>
      <c r="DZ67">
        <v>46</v>
      </c>
      <c r="EA67">
        <v>-8.021061598020518</v>
      </c>
      <c r="EB67">
        <v>8</v>
      </c>
      <c r="EC67">
        <v>2.4937191743432313E-2</v>
      </c>
      <c r="ED67">
        <v>0.25372524544692227</v>
      </c>
      <c r="EE67" s="13">
        <v>-3.07741</v>
      </c>
      <c r="EF67">
        <v>-3.11381</v>
      </c>
      <c r="EG67">
        <v>29.098284235372429</v>
      </c>
      <c r="EH67" t="s">
        <v>1037</v>
      </c>
      <c r="EI67">
        <v>0</v>
      </c>
      <c r="EJ67">
        <v>1</v>
      </c>
      <c r="EK67" s="15">
        <v>45470</v>
      </c>
      <c r="EL67" s="16">
        <v>-2.58</v>
      </c>
      <c r="EM67" s="16">
        <v>-5.52</v>
      </c>
      <c r="EN67" s="16">
        <v>-2.65</v>
      </c>
      <c r="EO67" s="16">
        <v>2.31</v>
      </c>
      <c r="EP67" s="16">
        <v>-3.64</v>
      </c>
    </row>
    <row r="68" spans="1:146" ht="84" x14ac:dyDescent="0.25">
      <c r="C68" s="9" t="str">
        <f>""&amp;CHAR(10)&amp;Basic_Fundamental_Information_Constructure(F68)&amp;CHAR(10)&amp;Basic_Fundamental_Information_Concatenate("")</f>
        <v xml:space="preserve">
市值18.396亿, 利润-3.57亿; PE20.04; 平均PE-85.13; 平均PEG-.2, PB2.62; ROIC7.9033%; ROE8.7633%; 股利率1.9026%; 毛利45.39%; 净利17.3667%; 上一年度营收增2056.04%, 利润增-1238.94%; 当季营收增-92.35%, 利润增-55.01%; 过往5年营收增423.12%, 利润增-240.45%
Income profile:
</v>
      </c>
      <c r="D68" t="s">
        <v>620</v>
      </c>
      <c r="E68" t="s">
        <v>621</v>
      </c>
      <c r="F68">
        <v>26.28</v>
      </c>
      <c r="G68">
        <v>-0.42</v>
      </c>
      <c r="H68" t="s">
        <v>2645</v>
      </c>
      <c r="I68">
        <v>1839600000</v>
      </c>
      <c r="J68">
        <v>20.04</v>
      </c>
      <c r="K68">
        <v>2.62</v>
      </c>
      <c r="L68" t="s">
        <v>1187</v>
      </c>
      <c r="M68" t="s">
        <v>1175</v>
      </c>
      <c r="N68" t="s">
        <v>994</v>
      </c>
      <c r="O68" t="s">
        <v>236</v>
      </c>
      <c r="P68">
        <v>33.92</v>
      </c>
      <c r="Q68" t="s">
        <v>2646</v>
      </c>
      <c r="R68">
        <v>16814242</v>
      </c>
      <c r="S68" s="6">
        <v>0.45710000000000001</v>
      </c>
      <c r="T68" t="s">
        <v>2647</v>
      </c>
      <c r="U68">
        <v>70000000</v>
      </c>
      <c r="V68">
        <v>70000000</v>
      </c>
      <c r="W68">
        <v>1.35</v>
      </c>
      <c r="X68">
        <v>0.11</v>
      </c>
      <c r="Y68">
        <v>17.36</v>
      </c>
      <c r="Z68" t="s">
        <v>2648</v>
      </c>
      <c r="AA68" t="s">
        <v>2649</v>
      </c>
      <c r="AB68" t="s">
        <v>2650</v>
      </c>
      <c r="AC68" t="s">
        <v>2651</v>
      </c>
      <c r="AD68" t="s">
        <v>25</v>
      </c>
      <c r="AE68">
        <v>1359644</v>
      </c>
      <c r="AF68" t="s">
        <v>2652</v>
      </c>
      <c r="AG68" t="s">
        <v>25</v>
      </c>
      <c r="AH68" t="s">
        <v>2653</v>
      </c>
      <c r="AI68" t="s">
        <v>2654</v>
      </c>
      <c r="AJ68" t="s">
        <v>2655</v>
      </c>
      <c r="AK68" t="s">
        <v>2656</v>
      </c>
      <c r="AL68" t="s">
        <v>2657</v>
      </c>
      <c r="AM68" t="s">
        <v>25</v>
      </c>
      <c r="AN68" t="s">
        <v>2658</v>
      </c>
      <c r="AO68" t="s">
        <v>2659</v>
      </c>
      <c r="AP68" t="s">
        <v>25</v>
      </c>
      <c r="AQ68" t="s">
        <v>2660</v>
      </c>
      <c r="AR68" t="s">
        <v>25</v>
      </c>
      <c r="AS68" t="s">
        <v>77</v>
      </c>
      <c r="AT68" t="s">
        <v>2661</v>
      </c>
      <c r="AU68" t="s">
        <v>2662</v>
      </c>
      <c r="AV68" t="s">
        <v>2663</v>
      </c>
      <c r="AW68" t="s">
        <v>2664</v>
      </c>
      <c r="AX68" t="s">
        <v>788</v>
      </c>
      <c r="AY68" t="s">
        <v>428</v>
      </c>
      <c r="AZ68" t="s">
        <v>316</v>
      </c>
      <c r="BA68" t="s">
        <v>359</v>
      </c>
      <c r="BB68" t="s">
        <v>515</v>
      </c>
      <c r="BC68" t="s">
        <v>1174</v>
      </c>
      <c r="BD68" t="s">
        <v>740</v>
      </c>
      <c r="BE68" t="s">
        <v>622</v>
      </c>
      <c r="BF68" t="s">
        <v>623</v>
      </c>
      <c r="BG68" t="s">
        <v>624</v>
      </c>
      <c r="BH68" t="s">
        <v>97</v>
      </c>
      <c r="BI68" t="s">
        <v>890</v>
      </c>
      <c r="BJ68" t="s">
        <v>788</v>
      </c>
      <c r="BK68" t="s">
        <v>2665</v>
      </c>
      <c r="BL68" t="s">
        <v>2666</v>
      </c>
      <c r="BM68" t="s">
        <v>1174</v>
      </c>
      <c r="BN68">
        <v>8.4499999999999993</v>
      </c>
      <c r="BO68">
        <v>4.59</v>
      </c>
      <c r="BP68">
        <v>10.67</v>
      </c>
      <c r="BQ68">
        <v>9.32</v>
      </c>
      <c r="BR68">
        <v>5.21</v>
      </c>
      <c r="BS68">
        <v>11.76</v>
      </c>
      <c r="BT68" t="s">
        <v>970</v>
      </c>
      <c r="BU68" t="s">
        <v>808</v>
      </c>
      <c r="BV68">
        <v>45.97</v>
      </c>
      <c r="BW68">
        <v>45.45</v>
      </c>
      <c r="BX68">
        <v>44.75</v>
      </c>
      <c r="BY68">
        <v>22.2</v>
      </c>
      <c r="BZ68">
        <v>8.61</v>
      </c>
      <c r="CA68">
        <v>21.29</v>
      </c>
      <c r="CB68">
        <v>-6.34</v>
      </c>
      <c r="CC68">
        <v>-14.7</v>
      </c>
      <c r="CD68" t="s">
        <v>2667</v>
      </c>
      <c r="CE68" t="s">
        <v>2668</v>
      </c>
      <c r="CF68" s="10">
        <v>-0.92347314201618835</v>
      </c>
      <c r="CG68" s="11">
        <v>-0.55011339312470564</v>
      </c>
      <c r="CH68" s="10">
        <v>20.560440063476562</v>
      </c>
      <c r="CI68" s="10">
        <v>0.14826498925685883</v>
      </c>
      <c r="CJ68" s="10">
        <v>0.14028777182102203</v>
      </c>
      <c r="CK68" s="10">
        <v>0.13469387590885162</v>
      </c>
      <c r="CL68" s="10">
        <v>0.17224881052970886</v>
      </c>
      <c r="CM68" s="11">
        <v>-12.389412879943848</v>
      </c>
      <c r="CN68" s="11">
        <v>-0.52792543172836304</v>
      </c>
      <c r="CO68" s="11">
        <v>0.20131424069404602</v>
      </c>
      <c r="CP68" s="11">
        <v>0.26371082663536072</v>
      </c>
      <c r="CQ68" s="11">
        <v>0.42984220385551453</v>
      </c>
      <c r="CR68">
        <v>-85.127649827162557</v>
      </c>
      <c r="CS68">
        <v>-0.20119093713187181</v>
      </c>
      <c r="CT68">
        <v>1.9025875190258752</v>
      </c>
      <c r="CU68" s="10">
        <v>4.2311871021986009</v>
      </c>
      <c r="CV68" s="11">
        <v>-2.4044942080974581</v>
      </c>
      <c r="CW68">
        <v>0.06</v>
      </c>
      <c r="CX68" t="e">
        <v>#VALUE!</v>
      </c>
      <c r="CY68" t="s">
        <v>770</v>
      </c>
      <c r="CZ68">
        <v>4.2311871021986009</v>
      </c>
      <c r="DA68" t="e">
        <v>#VALUE!</v>
      </c>
      <c r="DB68" t="s">
        <v>770</v>
      </c>
      <c r="DC68">
        <v>4.0196277470886708</v>
      </c>
      <c r="DD68" t="e">
        <v>#VALUE!</v>
      </c>
      <c r="DE68" t="s">
        <v>770</v>
      </c>
      <c r="DF68">
        <v>3.7234446499347689</v>
      </c>
      <c r="DG68" t="e">
        <v>#VALUE!</v>
      </c>
      <c r="DH68" t="s">
        <v>770</v>
      </c>
      <c r="DI68">
        <v>3.3849496817588811</v>
      </c>
      <c r="DJ68" t="e">
        <v>#VALUE!</v>
      </c>
      <c r="DK68" t="s">
        <v>770</v>
      </c>
      <c r="DL68">
        <v>2.9618309715390203</v>
      </c>
      <c r="DM68">
        <v>-357000000</v>
      </c>
      <c r="DN68">
        <v>4.2311871021986009</v>
      </c>
      <c r="DO68">
        <v>1326600000</v>
      </c>
      <c r="DP68">
        <v>243396450</v>
      </c>
      <c r="DQ68">
        <v>4875</v>
      </c>
      <c r="DR68">
        <v>-5.1546602442147895</v>
      </c>
      <c r="DS68">
        <v>1.8543808149727523</v>
      </c>
      <c r="DT68" s="12">
        <v>-4.0000000000000036E-2</v>
      </c>
      <c r="DU68">
        <v>-0.9900000000000001</v>
      </c>
      <c r="DV68">
        <v>-1.0300000000000002</v>
      </c>
      <c r="DW68">
        <v>-9.4312925170068027</v>
      </c>
      <c r="DX68">
        <v>0.35118694727507177</v>
      </c>
      <c r="DY68">
        <v>-9.0652057990288402</v>
      </c>
      <c r="DZ68">
        <v>4867</v>
      </c>
      <c r="EA68">
        <v>-9.0031007845722133</v>
      </c>
      <c r="EB68">
        <v>9</v>
      </c>
      <c r="EC68">
        <v>2.6302857142857142E-2</v>
      </c>
      <c r="ED68">
        <v>0.17397571428571429</v>
      </c>
      <c r="EE68" s="13">
        <v>1.02851</v>
      </c>
      <c r="EF68">
        <v>1.03251</v>
      </c>
      <c r="EG68">
        <v>20.151186947275072</v>
      </c>
      <c r="EH68" t="s">
        <v>986</v>
      </c>
      <c r="EI68">
        <v>0</v>
      </c>
      <c r="EJ68">
        <v>0</v>
      </c>
      <c r="EK68" s="15">
        <v>45470</v>
      </c>
      <c r="EL68" s="16">
        <v>-2.2999999999999998</v>
      </c>
      <c r="EM68" s="16">
        <v>-3.93</v>
      </c>
      <c r="EN68" s="16">
        <v>-1.43</v>
      </c>
      <c r="EO68" s="16">
        <v>4.7699999999999996</v>
      </c>
      <c r="EP68" s="16">
        <v>-0.4</v>
      </c>
    </row>
    <row r="69" spans="1:146" ht="84" x14ac:dyDescent="0.25">
      <c r="C69" s="9" t="str">
        <f>""&amp;CHAR(10)&amp;Basic_Fundamental_Information_Constructure(F69)&amp;CHAR(10)&amp;Basic_Fundamental_Information_Concatenate("")</f>
        <v xml:space="preserve">
市值20.208423亿, 利润1.93亿; PE28.2; 平均PE23.71; 平均PEG8.04, PB1.66; ROIC4.7367%; ROE4.7267%; 股利率.4192%; 毛利12.37%; 净利3.4%; 上一年度营收增-34.73%, 利润增129.36%; 当季营收增9.51%, 利润增-69.36%; 过往5年营收增2.95%, 利润增176.42%
Income profile:
</v>
      </c>
      <c r="D69" t="s">
        <v>625</v>
      </c>
      <c r="E69" t="s">
        <v>626</v>
      </c>
      <c r="F69">
        <v>5.01</v>
      </c>
      <c r="G69">
        <v>1.42</v>
      </c>
      <c r="H69" t="s">
        <v>2669</v>
      </c>
      <c r="I69">
        <v>2020842300</v>
      </c>
      <c r="J69">
        <v>28.2</v>
      </c>
      <c r="K69">
        <v>1.66</v>
      </c>
      <c r="L69" t="s">
        <v>1187</v>
      </c>
      <c r="M69" t="s">
        <v>306</v>
      </c>
      <c r="N69" t="s">
        <v>2670</v>
      </c>
      <c r="O69" t="s">
        <v>1151</v>
      </c>
      <c r="P69">
        <v>3.94</v>
      </c>
      <c r="Q69" t="s">
        <v>2671</v>
      </c>
      <c r="R69">
        <v>18444465</v>
      </c>
      <c r="S69" s="7">
        <v>3.9899999999999998E-2</v>
      </c>
      <c r="T69" t="s">
        <v>287</v>
      </c>
      <c r="U69">
        <v>403361730</v>
      </c>
      <c r="V69">
        <v>403361730</v>
      </c>
      <c r="W69">
        <v>1.49</v>
      </c>
      <c r="X69">
        <v>0.18</v>
      </c>
      <c r="Y69">
        <v>5.46</v>
      </c>
      <c r="Z69" t="s">
        <v>70</v>
      </c>
      <c r="AA69" t="s">
        <v>231</v>
      </c>
      <c r="AB69" t="s">
        <v>2672</v>
      </c>
      <c r="AC69" t="s">
        <v>2673</v>
      </c>
      <c r="AD69" t="s">
        <v>25</v>
      </c>
      <c r="AE69">
        <v>-6635929</v>
      </c>
      <c r="AF69" t="s">
        <v>2674</v>
      </c>
      <c r="AG69" t="s">
        <v>2675</v>
      </c>
      <c r="AH69" t="s">
        <v>2676</v>
      </c>
      <c r="AI69" t="s">
        <v>58</v>
      </c>
      <c r="AJ69" t="s">
        <v>2677</v>
      </c>
      <c r="AK69" t="s">
        <v>417</v>
      </c>
      <c r="AL69" t="s">
        <v>2678</v>
      </c>
      <c r="AM69" t="s">
        <v>25</v>
      </c>
      <c r="AN69" t="s">
        <v>2679</v>
      </c>
      <c r="AO69" t="s">
        <v>25</v>
      </c>
      <c r="AP69" t="s">
        <v>2680</v>
      </c>
      <c r="AQ69" t="s">
        <v>1577</v>
      </c>
      <c r="AR69" t="s">
        <v>25</v>
      </c>
      <c r="AS69" t="s">
        <v>868</v>
      </c>
      <c r="AT69" t="s">
        <v>25</v>
      </c>
      <c r="AU69" t="s">
        <v>2681</v>
      </c>
      <c r="AV69" t="s">
        <v>1341</v>
      </c>
      <c r="AW69" t="s">
        <v>2682</v>
      </c>
      <c r="AX69" t="s">
        <v>1147</v>
      </c>
      <c r="AY69" t="s">
        <v>741</v>
      </c>
      <c r="AZ69" t="s">
        <v>627</v>
      </c>
      <c r="BA69" t="s">
        <v>454</v>
      </c>
      <c r="BB69" t="s">
        <v>327</v>
      </c>
      <c r="BC69" t="s">
        <v>1176</v>
      </c>
      <c r="BD69" t="s">
        <v>742</v>
      </c>
      <c r="BE69" t="s">
        <v>48</v>
      </c>
      <c r="BF69" t="s">
        <v>628</v>
      </c>
      <c r="BG69" t="s">
        <v>629</v>
      </c>
      <c r="BH69" t="s">
        <v>1137</v>
      </c>
      <c r="BI69" t="s">
        <v>420</v>
      </c>
      <c r="BJ69" t="s">
        <v>1147</v>
      </c>
      <c r="BK69" t="s">
        <v>2683</v>
      </c>
      <c r="BL69" t="s">
        <v>2684</v>
      </c>
      <c r="BM69" t="s">
        <v>1176</v>
      </c>
      <c r="BN69">
        <v>4.5</v>
      </c>
      <c r="BO69">
        <v>6.73</v>
      </c>
      <c r="BP69">
        <v>2.98</v>
      </c>
      <c r="BQ69">
        <v>5.3</v>
      </c>
      <c r="BR69">
        <v>7.69</v>
      </c>
      <c r="BS69">
        <v>1.19</v>
      </c>
      <c r="BT69" t="s">
        <v>1144</v>
      </c>
      <c r="BU69" t="s">
        <v>815</v>
      </c>
      <c r="BV69">
        <v>15.68</v>
      </c>
      <c r="BW69">
        <v>12.97</v>
      </c>
      <c r="BX69">
        <v>8.4600000000000009</v>
      </c>
      <c r="BY69">
        <v>5.07</v>
      </c>
      <c r="BZ69">
        <v>4.5199999999999996</v>
      </c>
      <c r="CA69">
        <v>0.61</v>
      </c>
      <c r="CB69">
        <v>-3.09</v>
      </c>
      <c r="CC69">
        <v>-19.190000000000001</v>
      </c>
      <c r="CD69" t="s">
        <v>2685</v>
      </c>
      <c r="CE69" t="s">
        <v>2686</v>
      </c>
      <c r="CF69" s="10">
        <v>9.5081967213114751E-2</v>
      </c>
      <c r="CG69" s="11">
        <v>-0.69364763390121031</v>
      </c>
      <c r="CH69" s="10">
        <v>-0.34731182456016541</v>
      </c>
      <c r="CI69" s="10">
        <v>-0.10274960845708847</v>
      </c>
      <c r="CJ69" s="10">
        <v>6.5262041985988617E-2</v>
      </c>
      <c r="CK69" s="10">
        <v>0.44255009293556213</v>
      </c>
      <c r="CL69" s="10">
        <v>8.9660689234733582E-2</v>
      </c>
      <c r="CM69" s="11">
        <v>1.2936351299285889</v>
      </c>
      <c r="CN69" s="11">
        <v>5.6904053688049316</v>
      </c>
      <c r="CO69" s="11">
        <v>-0.89431005716323853</v>
      </c>
      <c r="CP69" s="11">
        <v>0.52041703462600708</v>
      </c>
      <c r="CQ69" s="11">
        <v>2.2108762264251709</v>
      </c>
      <c r="CR69">
        <v>23.711064990714103</v>
      </c>
      <c r="CS69">
        <v>8.0424805734148137</v>
      </c>
      <c r="CT69">
        <v>0.41916167664670662</v>
      </c>
      <c r="CU69" s="10">
        <v>2.9482278227806091E-2</v>
      </c>
      <c r="CV69" s="11">
        <v>1.764204740524292</v>
      </c>
      <c r="CW69">
        <v>0.06</v>
      </c>
      <c r="CX69">
        <v>7.2706842747055607</v>
      </c>
      <c r="CY69">
        <v>187443471.413176</v>
      </c>
      <c r="CZ69">
        <v>2.9482278227806091E-2</v>
      </c>
      <c r="DA69">
        <v>2.5017833426381277</v>
      </c>
      <c r="DB69">
        <v>544748330.82983291</v>
      </c>
      <c r="DC69">
        <v>2.8008164316415785E-2</v>
      </c>
      <c r="DD69">
        <v>1.3173434537526247</v>
      </c>
      <c r="DE69">
        <v>1034538332.5189539</v>
      </c>
      <c r="DF69">
        <v>2.5944404840469362E-2</v>
      </c>
      <c r="DG69">
        <v>0.85153051194174056</v>
      </c>
      <c r="DH69">
        <v>1600462086.6635981</v>
      </c>
      <c r="DI69">
        <v>2.3585822582244873E-2</v>
      </c>
      <c r="DJ69">
        <v>0.51301313649163138</v>
      </c>
      <c r="DK69">
        <v>2656544643.9054914</v>
      </c>
      <c r="DL69">
        <v>2.0637594759464261E-2</v>
      </c>
      <c r="DM69">
        <v>193000000</v>
      </c>
      <c r="DN69">
        <v>2.9482278227806091E-2</v>
      </c>
      <c r="DO69">
        <v>1362842300</v>
      </c>
      <c r="DP69">
        <v>716520520</v>
      </c>
      <c r="DQ69">
        <v>4993</v>
      </c>
      <c r="DR69">
        <v>6.5599688985308657E-2</v>
      </c>
      <c r="DS69">
        <v>-2.4578523744255021</v>
      </c>
      <c r="DT69" s="12">
        <v>-0.49</v>
      </c>
      <c r="DU69">
        <v>0.64833333333333321</v>
      </c>
      <c r="DV69">
        <v>0.15833333333333321</v>
      </c>
      <c r="DW69">
        <v>-8.1610213652944239</v>
      </c>
      <c r="DX69">
        <v>0.38547372568276628</v>
      </c>
      <c r="DY69">
        <v>-8.0234243779239058</v>
      </c>
      <c r="DZ69">
        <v>1420</v>
      </c>
      <c r="EA69">
        <v>-8.0169150595967142</v>
      </c>
      <c r="EB69">
        <v>8</v>
      </c>
      <c r="EC69">
        <v>2.5264915439548518E-2</v>
      </c>
      <c r="ED69">
        <v>0.17367339236669777</v>
      </c>
      <c r="EE69" s="13">
        <v>3.3610000000000001E-2</v>
      </c>
      <c r="EF69">
        <v>6.7909999999999998E-2</v>
      </c>
      <c r="EG69">
        <v>24.145473725682766</v>
      </c>
      <c r="EH69">
        <v>-1</v>
      </c>
      <c r="EI69">
        <v>0</v>
      </c>
      <c r="EJ69">
        <v>1</v>
      </c>
      <c r="EK69" s="15">
        <v>45470</v>
      </c>
      <c r="EL69" s="16">
        <v>-0.84</v>
      </c>
      <c r="EM69" s="16">
        <v>-4.74</v>
      </c>
      <c r="EN69">
        <v>-1.1100000000000001</v>
      </c>
      <c r="EO69">
        <v>4.25</v>
      </c>
      <c r="EP69">
        <v>-3.43</v>
      </c>
    </row>
    <row r="70" spans="1:146" ht="84" x14ac:dyDescent="0.25">
      <c r="C70" s="9" t="str">
        <f>""&amp;CHAR(10)&amp;Basic_Fundamental_Information_Constructure(F70)&amp;CHAR(10)&amp;Basic_Fundamental_Information_Concatenate("")</f>
        <v xml:space="preserve">
市值12.8734667亿, 利润-7099.03万; PE293.4; 平均PE21.54; 平均PEG1.87, PB.826; ROIC4.7733%; ROE3.9333%; 股利率1.885%; 毛利13.88%; 净利2.13%; 上一年度营收增-96.54%, 利润增-259.1%; 当季营收增1029.25%, 利润增-126.63%; 过往5年营收增11.53%, 利润增-33.37%
Income profile:
</v>
      </c>
      <c r="D70" t="s">
        <v>481</v>
      </c>
      <c r="E70" t="s">
        <v>482</v>
      </c>
      <c r="F70">
        <v>10.61</v>
      </c>
      <c r="G70">
        <v>2.02</v>
      </c>
      <c r="H70" t="s">
        <v>2687</v>
      </c>
      <c r="I70">
        <v>1287346670</v>
      </c>
      <c r="J70">
        <v>293.39999999999998</v>
      </c>
      <c r="K70">
        <v>0.82599999999999996</v>
      </c>
      <c r="L70" t="s">
        <v>1187</v>
      </c>
      <c r="M70" t="s">
        <v>2688</v>
      </c>
      <c r="N70" t="s">
        <v>2689</v>
      </c>
      <c r="O70" t="s">
        <v>551</v>
      </c>
      <c r="P70">
        <v>44.19</v>
      </c>
      <c r="Q70" t="s">
        <v>85</v>
      </c>
      <c r="R70">
        <v>-9677859</v>
      </c>
      <c r="S70" s="6">
        <v>-1.667</v>
      </c>
      <c r="T70" t="s">
        <v>2690</v>
      </c>
      <c r="U70">
        <v>61516369</v>
      </c>
      <c r="V70">
        <v>121333334</v>
      </c>
      <c r="W70">
        <v>2.93</v>
      </c>
      <c r="X70">
        <v>0.24</v>
      </c>
      <c r="Y70">
        <v>-0.36</v>
      </c>
      <c r="Z70" t="s">
        <v>1215</v>
      </c>
      <c r="AA70" t="s">
        <v>1951</v>
      </c>
      <c r="AB70" t="s">
        <v>2691</v>
      </c>
      <c r="AC70" t="s">
        <v>2692</v>
      </c>
      <c r="AD70" t="s">
        <v>25</v>
      </c>
      <c r="AE70">
        <v>29365945</v>
      </c>
      <c r="AF70" t="s">
        <v>2693</v>
      </c>
      <c r="AG70" t="s">
        <v>2694</v>
      </c>
      <c r="AH70" t="s">
        <v>2695</v>
      </c>
      <c r="AI70" t="s">
        <v>882</v>
      </c>
      <c r="AJ70" t="s">
        <v>2696</v>
      </c>
      <c r="AK70" t="s">
        <v>825</v>
      </c>
      <c r="AL70" t="s">
        <v>2697</v>
      </c>
      <c r="AM70" t="s">
        <v>25</v>
      </c>
      <c r="AN70" t="s">
        <v>1230</v>
      </c>
      <c r="AO70" t="s">
        <v>2698</v>
      </c>
      <c r="AP70" t="s">
        <v>843</v>
      </c>
      <c r="AQ70" t="s">
        <v>2699</v>
      </c>
      <c r="AR70" t="s">
        <v>25</v>
      </c>
      <c r="AS70" t="s">
        <v>519</v>
      </c>
      <c r="AT70" t="s">
        <v>2700</v>
      </c>
      <c r="AU70" t="s">
        <v>2701</v>
      </c>
      <c r="AV70" t="s">
        <v>2702</v>
      </c>
      <c r="AW70" t="s">
        <v>2703</v>
      </c>
      <c r="AX70" t="s">
        <v>2704</v>
      </c>
      <c r="AY70" t="s">
        <v>743</v>
      </c>
      <c r="AZ70" t="s">
        <v>483</v>
      </c>
      <c r="BA70" t="s">
        <v>484</v>
      </c>
      <c r="BB70" t="s">
        <v>485</v>
      </c>
      <c r="BC70" t="s">
        <v>2705</v>
      </c>
      <c r="BD70" t="s">
        <v>744</v>
      </c>
      <c r="BE70" t="s">
        <v>99</v>
      </c>
      <c r="BF70" t="s">
        <v>486</v>
      </c>
      <c r="BG70" t="s">
        <v>487</v>
      </c>
      <c r="BH70" t="s">
        <v>2706</v>
      </c>
      <c r="BI70" t="s">
        <v>89</v>
      </c>
      <c r="BJ70" t="s">
        <v>2704</v>
      </c>
      <c r="BK70" t="s">
        <v>2707</v>
      </c>
      <c r="BL70" t="s">
        <v>2708</v>
      </c>
      <c r="BM70" t="s">
        <v>2705</v>
      </c>
      <c r="BN70">
        <v>3.7</v>
      </c>
      <c r="BO70">
        <v>4.4000000000000004</v>
      </c>
      <c r="BP70">
        <v>6.22</v>
      </c>
      <c r="BQ70">
        <v>2.87</v>
      </c>
      <c r="BR70">
        <v>2.97</v>
      </c>
      <c r="BS70">
        <v>5.96</v>
      </c>
      <c r="BT70" t="s">
        <v>966</v>
      </c>
      <c r="BU70" t="s">
        <v>517</v>
      </c>
      <c r="BV70">
        <v>13.58</v>
      </c>
      <c r="BW70">
        <v>11.99</v>
      </c>
      <c r="BX70">
        <v>16.07</v>
      </c>
      <c r="BY70">
        <v>0.91</v>
      </c>
      <c r="BZ70">
        <v>1.75</v>
      </c>
      <c r="CA70">
        <v>3.73</v>
      </c>
      <c r="CB70">
        <v>-6.27</v>
      </c>
      <c r="CC70">
        <v>-17.5</v>
      </c>
      <c r="CD70" t="s">
        <v>2709</v>
      </c>
      <c r="CE70" t="s">
        <v>2710</v>
      </c>
      <c r="CF70" s="10">
        <v>10.29245283018868</v>
      </c>
      <c r="CG70" s="11">
        <v>-1.2662687983888274</v>
      </c>
      <c r="CH70" s="10">
        <v>-0.96543776988983154</v>
      </c>
      <c r="CI70" s="10">
        <v>0.53658521175384521</v>
      </c>
      <c r="CJ70" s="10">
        <v>0.32120588421821594</v>
      </c>
      <c r="CK70" s="10">
        <v>0.30529171228408813</v>
      </c>
      <c r="CL70" s="10">
        <v>0.37885874509811401</v>
      </c>
      <c r="CM70" s="11">
        <v>-2.5910258293151855</v>
      </c>
      <c r="CN70" s="11">
        <v>-0.46290978789329529</v>
      </c>
      <c r="CO70" s="11">
        <v>-0.47751069068908691</v>
      </c>
      <c r="CP70" s="11">
        <v>0.60573297739028931</v>
      </c>
      <c r="CQ70" s="11">
        <v>1.2574315071105957</v>
      </c>
      <c r="CR70">
        <v>21.540203464133032</v>
      </c>
      <c r="CS70">
        <v>1.8681753773314123</v>
      </c>
      <c r="CT70">
        <v>1.8850141376060321</v>
      </c>
      <c r="CU70" s="10">
        <v>0.11530075669288635</v>
      </c>
      <c r="CV70" s="11">
        <v>-0.33365636467933657</v>
      </c>
      <c r="CW70">
        <v>0.06</v>
      </c>
      <c r="CX70" t="e">
        <v>#VALUE!</v>
      </c>
      <c r="CY70" t="s">
        <v>769</v>
      </c>
      <c r="CZ70">
        <v>0.11530075669288635</v>
      </c>
      <c r="DA70" t="e">
        <v>#VALUE!</v>
      </c>
      <c r="DB70" t="s">
        <v>770</v>
      </c>
      <c r="DC70">
        <v>0.10953571885824202</v>
      </c>
      <c r="DD70" t="e">
        <v>#VALUE!</v>
      </c>
      <c r="DE70" t="s">
        <v>770</v>
      </c>
      <c r="DF70">
        <v>0.10146466588973999</v>
      </c>
      <c r="DG70" t="e">
        <v>#VALUE!</v>
      </c>
      <c r="DH70" t="s">
        <v>770</v>
      </c>
      <c r="DI70">
        <v>9.2240605354309085E-2</v>
      </c>
      <c r="DJ70" t="e">
        <v>#VALUE!</v>
      </c>
      <c r="DK70" t="s">
        <v>770</v>
      </c>
      <c r="DL70">
        <v>8.0710529685020446E-2</v>
      </c>
      <c r="DM70">
        <v>-70990300</v>
      </c>
      <c r="DN70">
        <v>0.11530075669288635</v>
      </c>
      <c r="DO70">
        <v>2673346670</v>
      </c>
      <c r="DP70">
        <v>330798200</v>
      </c>
      <c r="DQ70">
        <v>5054</v>
      </c>
      <c r="DR70">
        <v>10.177152073495794</v>
      </c>
      <c r="DS70">
        <v>-0.93261243370949087</v>
      </c>
      <c r="DT70" s="12">
        <v>-0.27333333333333343</v>
      </c>
      <c r="DU70">
        <v>-1.4983333333333333</v>
      </c>
      <c r="DV70">
        <v>-1.7716666666666667</v>
      </c>
      <c r="DW70">
        <v>-9.3582857142857137</v>
      </c>
      <c r="DX70">
        <v>0.33326845711125302</v>
      </c>
      <c r="DY70">
        <v>-9.04774818434786</v>
      </c>
      <c r="DZ70">
        <v>4669</v>
      </c>
      <c r="EA70">
        <v>-9.0041207337176914</v>
      </c>
      <c r="EB70">
        <v>9</v>
      </c>
      <c r="EC70">
        <v>4.2099725043408101E-2</v>
      </c>
      <c r="ED70">
        <v>0.31590164661592501</v>
      </c>
      <c r="EE70" s="13">
        <v>-3.0105</v>
      </c>
      <c r="EF70">
        <v>-3.0193099999999999</v>
      </c>
      <c r="EG70">
        <v>20.133268457111253</v>
      </c>
      <c r="EH70" t="s">
        <v>1037</v>
      </c>
      <c r="EI70">
        <v>0</v>
      </c>
      <c r="EJ70">
        <v>0</v>
      </c>
      <c r="EK70" s="15">
        <v>45470</v>
      </c>
      <c r="EL70" s="16">
        <v>-2.11</v>
      </c>
      <c r="EM70" s="16">
        <v>-7.5</v>
      </c>
      <c r="EN70">
        <v>2.0699999999999998</v>
      </c>
      <c r="EO70">
        <v>5.07</v>
      </c>
      <c r="EP70">
        <v>-2.98</v>
      </c>
    </row>
    <row r="71" spans="1:146" ht="84" x14ac:dyDescent="0.25">
      <c r="C71" s="9" t="str">
        <f>""&amp;CHAR(10)&amp;Basic_Fundamental_Information_Constructure(F71)&amp;CHAR(10)&amp;Basic_Fundamental_Information_Concatenate("")</f>
        <v xml:space="preserve">
市值25.37028亿, 利润10.65亿; PE54.19; 平均PE12.47; 平均PEG.03, PB2.19; ROIC11.2833%; ROE12.92%; 股利率.9592%; 毛利44.0267%; 净利21.9733%; 上一年度营收增1703.63%, 利润增1804.7%; 当季营收增-98.01%, 利润增-99.98%; 过往5年营收增365.24%, 利润增403.31%
Income profile:
</v>
      </c>
      <c r="D71" s="6" t="s">
        <v>1177</v>
      </c>
      <c r="E71" t="s">
        <v>1178</v>
      </c>
      <c r="F71">
        <v>20.85</v>
      </c>
      <c r="G71">
        <v>0.63</v>
      </c>
      <c r="H71" t="s">
        <v>2711</v>
      </c>
      <c r="I71">
        <v>2537028000</v>
      </c>
      <c r="J71">
        <v>54.19</v>
      </c>
      <c r="K71">
        <v>2.19</v>
      </c>
      <c r="L71" t="s">
        <v>1187</v>
      </c>
      <c r="M71" t="s">
        <v>2712</v>
      </c>
      <c r="N71" t="s">
        <v>227</v>
      </c>
      <c r="O71" t="s">
        <v>2713</v>
      </c>
      <c r="P71" s="6">
        <v>-32.119999999999997</v>
      </c>
      <c r="Q71" t="s">
        <v>2714</v>
      </c>
      <c r="R71">
        <v>86673</v>
      </c>
      <c r="S71">
        <v>-0.9889</v>
      </c>
      <c r="T71" t="s">
        <v>2715</v>
      </c>
      <c r="U71">
        <v>29071383</v>
      </c>
      <c r="V71">
        <v>121680000</v>
      </c>
      <c r="W71">
        <v>1.05</v>
      </c>
      <c r="X71">
        <v>0.03</v>
      </c>
      <c r="Y71">
        <v>0.22</v>
      </c>
      <c r="Z71" t="s">
        <v>2716</v>
      </c>
      <c r="AA71" t="s">
        <v>2717</v>
      </c>
      <c r="AB71" t="s">
        <v>2718</v>
      </c>
      <c r="AC71" t="s">
        <v>2719</v>
      </c>
      <c r="AD71" t="s">
        <v>25</v>
      </c>
      <c r="AE71">
        <v>-3243568</v>
      </c>
      <c r="AF71" t="s">
        <v>52</v>
      </c>
      <c r="AG71">
        <v>2692</v>
      </c>
      <c r="AH71" t="s">
        <v>2720</v>
      </c>
      <c r="AI71" t="s">
        <v>2721</v>
      </c>
      <c r="AJ71" t="s">
        <v>2722</v>
      </c>
      <c r="AK71" t="s">
        <v>2723</v>
      </c>
      <c r="AL71" t="s">
        <v>2724</v>
      </c>
      <c r="AM71" t="s">
        <v>25</v>
      </c>
      <c r="AN71" t="s">
        <v>2725</v>
      </c>
      <c r="AO71" t="s">
        <v>25</v>
      </c>
      <c r="AP71" t="s">
        <v>25</v>
      </c>
      <c r="AQ71" t="s">
        <v>2726</v>
      </c>
      <c r="AR71" t="s">
        <v>25</v>
      </c>
      <c r="AS71" t="s">
        <v>2727</v>
      </c>
      <c r="AT71" t="s">
        <v>25</v>
      </c>
      <c r="AU71" t="s">
        <v>2728</v>
      </c>
      <c r="AV71" t="s">
        <v>2729</v>
      </c>
      <c r="AW71" t="s">
        <v>25</v>
      </c>
      <c r="AX71" t="s">
        <v>440</v>
      </c>
      <c r="AY71" t="s">
        <v>335</v>
      </c>
      <c r="AZ71" t="s">
        <v>183</v>
      </c>
      <c r="BA71" t="s">
        <v>349</v>
      </c>
      <c r="BB71" t="s">
        <v>1180</v>
      </c>
      <c r="BC71" t="s">
        <v>1179</v>
      </c>
      <c r="BD71" t="s">
        <v>1181</v>
      </c>
      <c r="BE71" t="s">
        <v>1182</v>
      </c>
      <c r="BF71" t="s">
        <v>1183</v>
      </c>
      <c r="BG71" t="s">
        <v>1184</v>
      </c>
      <c r="BH71" t="s">
        <v>330</v>
      </c>
      <c r="BI71" t="s">
        <v>562</v>
      </c>
      <c r="BJ71" t="s">
        <v>440</v>
      </c>
      <c r="BK71" t="s">
        <v>2730</v>
      </c>
      <c r="BL71" t="s">
        <v>442</v>
      </c>
      <c r="BM71" t="s">
        <v>1179</v>
      </c>
      <c r="BN71">
        <v>3.19</v>
      </c>
      <c r="BO71">
        <v>14.43</v>
      </c>
      <c r="BP71">
        <v>16.23</v>
      </c>
      <c r="BQ71">
        <v>7.77</v>
      </c>
      <c r="BR71">
        <v>18.07</v>
      </c>
      <c r="BS71" t="s">
        <v>25</v>
      </c>
      <c r="BT71" t="s">
        <v>966</v>
      </c>
      <c r="BU71" t="s">
        <v>815</v>
      </c>
      <c r="BV71">
        <v>39.479999999999997</v>
      </c>
      <c r="BW71">
        <v>44.63</v>
      </c>
      <c r="BX71">
        <v>47.97</v>
      </c>
      <c r="BY71">
        <v>18.690000000000001</v>
      </c>
      <c r="BZ71">
        <v>22.54</v>
      </c>
      <c r="CA71">
        <v>24.69</v>
      </c>
      <c r="CB71">
        <v>-1.65</v>
      </c>
      <c r="CC71" s="10">
        <v>-19.37</v>
      </c>
      <c r="CD71" s="11" t="s">
        <v>2731</v>
      </c>
      <c r="CE71" s="10" t="s">
        <v>2732</v>
      </c>
      <c r="CF71" s="10">
        <v>-0.98013397565922922</v>
      </c>
      <c r="CG71" s="10">
        <v>-0.99982768787276344</v>
      </c>
      <c r="CH71" s="10">
        <v>17.036289215087891</v>
      </c>
      <c r="CI71" s="10">
        <v>0.22167487442493439</v>
      </c>
      <c r="CJ71" s="11">
        <v>0.28481012582778931</v>
      </c>
      <c r="CK71" s="11">
        <v>0.41071429848670959</v>
      </c>
      <c r="CL71" s="11">
        <v>0.30843421816825867</v>
      </c>
      <c r="CM71" s="11">
        <v>18.047040939331055</v>
      </c>
      <c r="CN71" s="11">
        <v>0.11539512872695923</v>
      </c>
      <c r="CO71">
        <v>1.0323896408081055</v>
      </c>
      <c r="CP71">
        <v>0.80406081676483154</v>
      </c>
      <c r="CQ71">
        <v>0.1664021909236908</v>
      </c>
      <c r="CR71" s="10">
        <v>12.4659195332219</v>
      </c>
      <c r="CS71" s="11">
        <v>3.4130906466330449E-2</v>
      </c>
      <c r="CT71">
        <v>0.95923261390887282</v>
      </c>
      <c r="CU71">
        <v>3.6523845463991167</v>
      </c>
      <c r="CV71">
        <v>4.0330577433109287</v>
      </c>
      <c r="CW71">
        <v>0.06</v>
      </c>
      <c r="CX71">
        <v>0.31400779928962563</v>
      </c>
      <c r="CY71">
        <v>4674329756.5236406</v>
      </c>
      <c r="CZ71">
        <v>3.6523845463991167</v>
      </c>
      <c r="DA71">
        <v>1.4211653242490695E-2</v>
      </c>
      <c r="DB71">
        <v>103279750424.22029</v>
      </c>
      <c r="DC71">
        <v>3.4697653190791606</v>
      </c>
      <c r="DD71">
        <v>2.6133520085170692E-4</v>
      </c>
      <c r="DE71">
        <v>5616449660116.3223</v>
      </c>
      <c r="DF71">
        <v>3.2140984008312228</v>
      </c>
      <c r="DG71">
        <v>2.0919647696091925E-6</v>
      </c>
      <c r="DH71">
        <v>701625582477758.75</v>
      </c>
      <c r="DI71">
        <v>2.9219076371192934</v>
      </c>
      <c r="DJ71">
        <v>2.9571650880262819E-11</v>
      </c>
      <c r="DK71">
        <v>4.9634564060799402E+19</v>
      </c>
      <c r="DL71">
        <v>2.5566691824793817</v>
      </c>
      <c r="DM71">
        <v>1065000000</v>
      </c>
      <c r="DN71">
        <v>3.6523845463991167</v>
      </c>
      <c r="DO71">
        <v>1467776000</v>
      </c>
      <c r="DP71">
        <v>936804500</v>
      </c>
      <c r="DQ71" s="12">
        <v>5084</v>
      </c>
      <c r="DR71">
        <v>-4.632518522058346</v>
      </c>
      <c r="DS71">
        <v>-5.0328854311836917</v>
      </c>
      <c r="DT71">
        <v>0.35999999999999993</v>
      </c>
      <c r="DU71">
        <v>0.46</v>
      </c>
      <c r="DV71">
        <v>0.82</v>
      </c>
      <c r="DW71">
        <v>-3.0381130952380953</v>
      </c>
      <c r="DX71">
        <v>0.37414876721031365</v>
      </c>
      <c r="DY71">
        <v>-3.0035883009312361</v>
      </c>
      <c r="DZ71">
        <v>209</v>
      </c>
      <c r="EA71">
        <v>-3.0034415387209368</v>
      </c>
      <c r="EB71" s="13">
        <v>3</v>
      </c>
      <c r="EC71" s="13">
        <v>2.8256081525312296E-2</v>
      </c>
      <c r="ED71">
        <v>0.30012163050624591</v>
      </c>
      <c r="EE71">
        <v>3.1139100000000002</v>
      </c>
      <c r="EF71">
        <v>3.1349100000000001</v>
      </c>
      <c r="EG71">
        <v>28.094148767210314</v>
      </c>
      <c r="EH71" s="15" t="s">
        <v>1883</v>
      </c>
      <c r="EI71">
        <v>0</v>
      </c>
      <c r="EJ71">
        <v>1</v>
      </c>
      <c r="EK71">
        <v>45470</v>
      </c>
      <c r="EL71">
        <v>-7.0000000000000007E-2</v>
      </c>
      <c r="EM71">
        <v>-6.38</v>
      </c>
      <c r="EN71">
        <v>-3.97</v>
      </c>
      <c r="EO71">
        <v>1.69</v>
      </c>
      <c r="EP71">
        <v>-2.1</v>
      </c>
    </row>
    <row r="72" spans="1:146" ht="84" x14ac:dyDescent="0.25">
      <c r="C72" s="9" t="str">
        <f>""&amp;CHAR(10)&amp;Basic_Fundamental_Information_Constructure(F72)&amp;CHAR(10)&amp;Basic_Fundamental_Information_Concatenate("")</f>
        <v xml:space="preserve">
市值14.473741亿, 利润1.39亿; PE34.56; 平均PE22.36; 平均PEG.67, PB1.91; ROIC5.84%; ROE6.3233%; 股利率1.3822%; 毛利32.68%; 净利11.7333%; 上一年度营收增168.18%, 利润增342.98%; 当季营收增-18.96%, 利润增-79.8%; 过往5年营收增33.44%, 利润增61.1%
Income profile:
</v>
      </c>
      <c r="D72" t="s">
        <v>631</v>
      </c>
      <c r="E72" t="s">
        <v>632</v>
      </c>
      <c r="F72">
        <v>8.33</v>
      </c>
      <c r="G72">
        <v>0.6</v>
      </c>
      <c r="H72" t="s">
        <v>2733</v>
      </c>
      <c r="I72">
        <v>1447374100</v>
      </c>
      <c r="J72">
        <v>34.56</v>
      </c>
      <c r="K72">
        <v>1.91</v>
      </c>
      <c r="L72" t="s">
        <v>1187</v>
      </c>
      <c r="M72" t="s">
        <v>308</v>
      </c>
      <c r="N72" t="s">
        <v>1114</v>
      </c>
      <c r="O72" t="s">
        <v>2734</v>
      </c>
      <c r="P72">
        <v>-14.75</v>
      </c>
      <c r="Q72" t="s">
        <v>2363</v>
      </c>
      <c r="R72">
        <v>2900570</v>
      </c>
      <c r="S72" s="6">
        <v>-0.58309999999999995</v>
      </c>
      <c r="T72" t="s">
        <v>94</v>
      </c>
      <c r="U72">
        <v>56620316</v>
      </c>
      <c r="V72">
        <v>173754390</v>
      </c>
      <c r="W72">
        <v>1.1200000000000001</v>
      </c>
      <c r="X72">
        <v>0.09</v>
      </c>
      <c r="Y72">
        <v>3.81</v>
      </c>
      <c r="Z72" t="s">
        <v>2735</v>
      </c>
      <c r="AA72" t="s">
        <v>2736</v>
      </c>
      <c r="AB72" t="s">
        <v>2737</v>
      </c>
      <c r="AC72" t="s">
        <v>2738</v>
      </c>
      <c r="AD72" t="s">
        <v>25</v>
      </c>
      <c r="AE72">
        <v>-369435</v>
      </c>
      <c r="AF72" t="s">
        <v>2739</v>
      </c>
      <c r="AG72">
        <v>1404.53</v>
      </c>
      <c r="AH72" t="s">
        <v>2740</v>
      </c>
      <c r="AI72" t="s">
        <v>2741</v>
      </c>
      <c r="AJ72" t="s">
        <v>2742</v>
      </c>
      <c r="AK72" t="s">
        <v>2743</v>
      </c>
      <c r="AL72" t="s">
        <v>2744</v>
      </c>
      <c r="AM72" t="s">
        <v>25</v>
      </c>
      <c r="AN72" t="s">
        <v>2745</v>
      </c>
      <c r="AO72" t="s">
        <v>25</v>
      </c>
      <c r="AP72" t="s">
        <v>25</v>
      </c>
      <c r="AQ72" t="s">
        <v>2746</v>
      </c>
      <c r="AR72" t="s">
        <v>25</v>
      </c>
      <c r="AS72" t="s">
        <v>2747</v>
      </c>
      <c r="AT72" t="s">
        <v>25</v>
      </c>
      <c r="AU72" t="s">
        <v>2748</v>
      </c>
      <c r="AV72" t="s">
        <v>2749</v>
      </c>
      <c r="AW72" t="s">
        <v>2750</v>
      </c>
      <c r="AX72" t="s">
        <v>142</v>
      </c>
      <c r="AY72" t="s">
        <v>64</v>
      </c>
      <c r="AZ72" t="s">
        <v>55</v>
      </c>
      <c r="BA72" t="s">
        <v>370</v>
      </c>
      <c r="BB72" t="s">
        <v>427</v>
      </c>
      <c r="BC72" t="s">
        <v>1185</v>
      </c>
      <c r="BD72" t="s">
        <v>745</v>
      </c>
      <c r="BE72" t="s">
        <v>633</v>
      </c>
      <c r="BF72" t="s">
        <v>634</v>
      </c>
      <c r="BG72" t="s">
        <v>635</v>
      </c>
      <c r="BH72" t="s">
        <v>2015</v>
      </c>
      <c r="BI72" t="s">
        <v>2751</v>
      </c>
      <c r="BJ72" t="s">
        <v>142</v>
      </c>
      <c r="BK72" t="s">
        <v>2752</v>
      </c>
      <c r="BL72" t="s">
        <v>2753</v>
      </c>
      <c r="BM72" t="s">
        <v>1185</v>
      </c>
      <c r="BN72">
        <v>4.54</v>
      </c>
      <c r="BO72">
        <v>4.2</v>
      </c>
      <c r="BP72">
        <v>8.7799999999999994</v>
      </c>
      <c r="BQ72">
        <v>5.16</v>
      </c>
      <c r="BR72">
        <v>4.4800000000000004</v>
      </c>
      <c r="BS72">
        <v>9.33</v>
      </c>
      <c r="BT72" t="s">
        <v>2754</v>
      </c>
      <c r="BU72" t="s">
        <v>808</v>
      </c>
      <c r="BV72">
        <v>32.18</v>
      </c>
      <c r="BW72">
        <v>30.92</v>
      </c>
      <c r="BX72">
        <v>34.94</v>
      </c>
      <c r="BY72">
        <v>11.7</v>
      </c>
      <c r="BZ72">
        <v>10.19</v>
      </c>
      <c r="CA72">
        <v>13.31</v>
      </c>
      <c r="CB72">
        <v>-2.57</v>
      </c>
      <c r="CC72">
        <v>-16.62</v>
      </c>
      <c r="CD72" t="s">
        <v>2755</v>
      </c>
      <c r="CE72" t="s">
        <v>2756</v>
      </c>
      <c r="CF72" s="10">
        <v>-0.18961007691070184</v>
      </c>
      <c r="CG72" s="11">
        <v>-0.79797527424690928</v>
      </c>
      <c r="CH72" s="10">
        <v>1.6818181276321411</v>
      </c>
      <c r="CI72" s="10">
        <v>-0.18733508884906769</v>
      </c>
      <c r="CJ72" s="10">
        <v>0.20700636506080627</v>
      </c>
      <c r="CK72" s="10">
        <v>-0.13019390404224396</v>
      </c>
      <c r="CL72" s="10">
        <v>0.10060975700616837</v>
      </c>
      <c r="CM72" s="11">
        <v>3.4297988414764404</v>
      </c>
      <c r="CN72" s="11">
        <v>-0.37838706374168396</v>
      </c>
      <c r="CO72" s="11">
        <v>7.9568423330783844E-2</v>
      </c>
      <c r="CP72" s="11">
        <v>-0.29479038715362549</v>
      </c>
      <c r="CQ72" s="11">
        <v>0.21872334182262421</v>
      </c>
      <c r="CR72">
        <v>22.363335772011649</v>
      </c>
      <c r="CS72">
        <v>0.66879793818910316</v>
      </c>
      <c r="CT72">
        <v>1.3822328931572629</v>
      </c>
      <c r="CU72" s="10">
        <v>0.33438105136156082</v>
      </c>
      <c r="CV72" s="11">
        <v>0.61098263114690776</v>
      </c>
      <c r="CW72">
        <v>0.06</v>
      </c>
      <c r="CX72">
        <v>4.5397953392073687</v>
      </c>
      <c r="CY72">
        <v>174980156.73514807</v>
      </c>
      <c r="CZ72">
        <v>0.33438105136156082</v>
      </c>
      <c r="DA72">
        <v>1.213572188069785</v>
      </c>
      <c r="DB72">
        <v>654575070.03639448</v>
      </c>
      <c r="DC72">
        <v>0.31766199879348278</v>
      </c>
      <c r="DD72">
        <v>0.44710932263781328</v>
      </c>
      <c r="DE72">
        <v>1776688742.05849</v>
      </c>
      <c r="DF72">
        <v>0.29425532519817355</v>
      </c>
      <c r="DG72">
        <v>0.18800788046102448</v>
      </c>
      <c r="DH72">
        <v>4225217039.0521479</v>
      </c>
      <c r="DI72">
        <v>0.26750484108924866</v>
      </c>
      <c r="DJ72">
        <v>4.0457535927886062E-2</v>
      </c>
      <c r="DK72">
        <v>19634762270.641991</v>
      </c>
      <c r="DL72">
        <v>0.23406673595309255</v>
      </c>
      <c r="DM72">
        <v>139000000</v>
      </c>
      <c r="DN72">
        <v>0.33438105136156082</v>
      </c>
      <c r="DO72">
        <v>794374100</v>
      </c>
      <c r="DP72">
        <v>204092750</v>
      </c>
      <c r="DQ72">
        <v>5086</v>
      </c>
      <c r="DR72">
        <v>-0.52399112827226269</v>
      </c>
      <c r="DS72">
        <v>-1.408957905393817</v>
      </c>
      <c r="DT72" s="12">
        <v>-0.12333333333333336</v>
      </c>
      <c r="DU72">
        <v>-0.3066666666666667</v>
      </c>
      <c r="DV72">
        <v>-0.43000000000000005</v>
      </c>
      <c r="DW72">
        <v>-8.1546329723225028</v>
      </c>
      <c r="DX72">
        <v>0.41926631342784842</v>
      </c>
      <c r="DY72">
        <v>-8.0199888342665204</v>
      </c>
      <c r="DZ72">
        <v>138</v>
      </c>
      <c r="EA72">
        <v>-8.0194490183900466</v>
      </c>
      <c r="EB72">
        <v>8</v>
      </c>
      <c r="EC72">
        <v>1.5585217731764935E-2</v>
      </c>
      <c r="ED72">
        <v>0.12056673791090976</v>
      </c>
      <c r="EE72" s="13">
        <v>1.00701</v>
      </c>
      <c r="EF72">
        <v>1.03871</v>
      </c>
      <c r="EG72">
        <v>29.129266313427848</v>
      </c>
      <c r="EH72" t="s">
        <v>986</v>
      </c>
      <c r="EI72">
        <v>0</v>
      </c>
      <c r="EJ72">
        <v>1</v>
      </c>
      <c r="EK72" s="15">
        <v>45470</v>
      </c>
      <c r="EL72" s="16">
        <v>-3.46</v>
      </c>
      <c r="EM72" s="16">
        <v>-5.86</v>
      </c>
      <c r="EN72">
        <v>-0.94</v>
      </c>
      <c r="EO72">
        <v>3.39</v>
      </c>
      <c r="EP72">
        <v>-3.17</v>
      </c>
    </row>
  </sheetData>
  <autoFilter ref="BU1:BU72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塑料制品&quot;,&quot;&quot;'" altText="更新基本面按钮_x000a_">
                <anchor moveWithCells="1" sizeWithCells="1">
                  <from>
                    <xdr:col>147</xdr:col>
                    <xdr:colOff>323850</xdr:colOff>
                    <xdr:row>0</xdr:row>
                    <xdr:rowOff>101600</xdr:rowOff>
                  </from>
                  <to>
                    <xdr:col>147</xdr:col>
                    <xdr:colOff>1511300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化工合成材料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2024-07-09T16:39:55Z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