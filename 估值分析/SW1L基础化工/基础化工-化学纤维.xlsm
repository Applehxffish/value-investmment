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基础化工\"/>
    </mc:Choice>
  </mc:AlternateContent>
  <bookViews>
    <workbookView xWindow="0" yWindow="0" windowWidth="3800" windowHeight="2950"/>
  </bookViews>
  <sheets>
    <sheet name="化工合成材料" sheetId="15" r:id="rId1"/>
    <sheet name="估值-增速与年化收益" sheetId="14" r:id="rId2"/>
  </sheets>
  <functionGroups builtInGroupCount="18"/>
  <definedNames>
    <definedName name="_xlnm._FilterDatabase" localSheetId="0" hidden="1">化工合成材料!$BU$1:$BU$23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7" i="15"/>
  <c r="C5" i="15"/>
  <c r="C19" i="15"/>
  <c r="C2" i="15"/>
  <c r="C17" i="15"/>
  <c r="C6" i="15"/>
  <c r="C22" i="15"/>
  <c r="C10" i="15"/>
  <c r="C13" i="15"/>
  <c r="C11" i="15"/>
  <c r="C20" i="15"/>
  <c r="C8" i="15"/>
  <c r="C12" i="15"/>
  <c r="C21" i="15"/>
  <c r="C18" i="15"/>
  <c r="C4" i="15"/>
  <c r="C16" i="15"/>
  <c r="C14" i="15"/>
  <c r="C3" i="15"/>
  <c r="C23" i="15"/>
  <c r="C9" i="15"/>
</calcChain>
</file>

<file path=xl/sharedStrings.xml><?xml version="1.0" encoding="utf-8"?>
<sst xmlns="http://schemas.openxmlformats.org/spreadsheetml/2006/main" count="1381" uniqueCount="1073">
  <si>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</si>
  <si>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</si>
  <si>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</si>
  <si>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</si>
  <si>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</si>
  <si>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恒天海龙</t>
  </si>
  <si>
    <t>吉林化纤</t>
  </si>
  <si>
    <t>泰和新材</t>
  </si>
  <si>
    <t>新乡化纤</t>
  </si>
  <si>
    <t>华西股份</t>
  </si>
  <si>
    <t>--</t>
  </si>
  <si>
    <t>海 利 得</t>
  </si>
  <si>
    <t>桐昆股份</t>
  </si>
  <si>
    <t>新凤鸣</t>
  </si>
  <si>
    <t>神马股份</t>
  </si>
  <si>
    <t>南京化纤</t>
  </si>
  <si>
    <t>苏州龙杰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</si>
  <si>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</si>
  <si>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</si>
  <si>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</si>
  <si>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</si>
  <si>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</si>
  <si>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</si>
  <si>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</si>
  <si>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</si>
  <si>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</si>
  <si>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</si>
  <si>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</si>
  <si>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</si>
  <si>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</si>
  <si>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</si>
  <si>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</si>
  <si>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化工合成材料</t>
  </si>
  <si>
    <t>1.28亿</t>
  </si>
  <si>
    <t>1.19亿</t>
  </si>
  <si>
    <t>SZ000677</t>
  </si>
  <si>
    <t>1.63亿</t>
  </si>
  <si>
    <t>7.91亿</t>
  </si>
  <si>
    <t>712.59万</t>
  </si>
  <si>
    <t>0亿</t>
  </si>
  <si>
    <t>3.65亿</t>
  </si>
  <si>
    <t>6.03亿</t>
  </si>
  <si>
    <t>SZ000936</t>
  </si>
  <si>
    <t>31.87亿</t>
  </si>
  <si>
    <t>5.62亿</t>
  </si>
  <si>
    <t>3.14亿</t>
  </si>
  <si>
    <t>SZ002206</t>
  </si>
  <si>
    <t>40.14亿</t>
  </si>
  <si>
    <t>3.27亿</t>
  </si>
  <si>
    <t>2.54亿</t>
  </si>
  <si>
    <t>SZ002427</t>
  </si>
  <si>
    <t>30.84亿</t>
  </si>
  <si>
    <t>6115.84万</t>
  </si>
  <si>
    <t>3.80亿</t>
  </si>
  <si>
    <t>SZ002998</t>
  </si>
  <si>
    <t>优彩资源</t>
  </si>
  <si>
    <t>17.38亿</t>
  </si>
  <si>
    <t>8745.82万</t>
  </si>
  <si>
    <t>3.79亿</t>
  </si>
  <si>
    <t>1.99亿</t>
  </si>
  <si>
    <t>5.59亿</t>
  </si>
  <si>
    <t>SH601233</t>
  </si>
  <si>
    <t>505.82亿</t>
  </si>
  <si>
    <t>28.84亿</t>
  </si>
  <si>
    <t>SH603225</t>
  </si>
  <si>
    <t>341.48亿</t>
  </si>
  <si>
    <t>SH603332</t>
  </si>
  <si>
    <t>1.36亿</t>
  </si>
  <si>
    <t>16.24亿</t>
  </si>
  <si>
    <t>1.68亿</t>
  </si>
  <si>
    <t>SH600063</t>
  </si>
  <si>
    <t>63.56亿</t>
  </si>
  <si>
    <t>1.22亿</t>
  </si>
  <si>
    <t>SZ000420</t>
  </si>
  <si>
    <t>26.91亿</t>
  </si>
  <si>
    <t>9091.22万</t>
  </si>
  <si>
    <t>SZ000949</t>
  </si>
  <si>
    <t>48.04亿</t>
  </si>
  <si>
    <t>1.30亿</t>
  </si>
  <si>
    <t>3.18亿</t>
  </si>
  <si>
    <t>SH600889</t>
  </si>
  <si>
    <t>6.58亿</t>
  </si>
  <si>
    <t>-1.31亿</t>
  </si>
  <si>
    <t>1.35亿</t>
  </si>
  <si>
    <t>1.16亿</t>
  </si>
  <si>
    <t>SZ000782</t>
  </si>
  <si>
    <t>29.87亿</t>
  </si>
  <si>
    <t>1.06亿</t>
  </si>
  <si>
    <t>2.39亿</t>
  </si>
  <si>
    <t>1.37亿</t>
  </si>
  <si>
    <t>SZ300876</t>
  </si>
  <si>
    <t>蒙泰高新</t>
  </si>
  <si>
    <t>2.83亿</t>
  </si>
  <si>
    <t>6879.84万</t>
  </si>
  <si>
    <t>SH600810</t>
  </si>
  <si>
    <t>SH605166</t>
  </si>
  <si>
    <t>聚合顺</t>
  </si>
  <si>
    <t>24.26亿</t>
  </si>
  <si>
    <t>1.00亿</t>
  </si>
  <si>
    <t>SZ002254</t>
  </si>
  <si>
    <t>1.59亿</t>
  </si>
  <si>
    <t>1.71亿</t>
  </si>
  <si>
    <t>2.77亿</t>
  </si>
  <si>
    <t>1.11亿</t>
  </si>
  <si>
    <t>2.04亿</t>
  </si>
  <si>
    <t>3.01亿</t>
  </si>
  <si>
    <t>3.02亿</t>
  </si>
  <si>
    <t>1.49亿</t>
  </si>
  <si>
    <t>1.32亿</t>
  </si>
  <si>
    <t>1.09亿</t>
  </si>
  <si>
    <t>1.07亿</t>
  </si>
  <si>
    <t>10.66亿</t>
  </si>
  <si>
    <t>3.08亿</t>
  </si>
  <si>
    <t>2.40亿</t>
  </si>
  <si>
    <t>1.54亿</t>
  </si>
  <si>
    <t>1.56亿</t>
  </si>
  <si>
    <t>2.47亿</t>
  </si>
  <si>
    <t>2.82亿</t>
  </si>
  <si>
    <t>1.43亿</t>
  </si>
  <si>
    <t>1.58亿</t>
  </si>
  <si>
    <t>3.06亿</t>
  </si>
  <si>
    <t>16.95亿</t>
  </si>
  <si>
    <t>9.65亿</t>
  </si>
  <si>
    <t>2.79亿</t>
  </si>
  <si>
    <t>9.00亿</t>
  </si>
  <si>
    <t>1.27亿</t>
  </si>
  <si>
    <t>5.41亿</t>
  </si>
  <si>
    <t>1.51亿</t>
  </si>
  <si>
    <t>4.27亿</t>
  </si>
  <si>
    <t>3.71亿</t>
  </si>
  <si>
    <t>3.41亿</t>
  </si>
  <si>
    <t>3.24亿</t>
  </si>
  <si>
    <t>2.61亿</t>
  </si>
  <si>
    <t>1.17亿</t>
  </si>
  <si>
    <t>1.34亿</t>
  </si>
  <si>
    <t>1.25亿</t>
  </si>
  <si>
    <t>1.90亿</t>
  </si>
  <si>
    <t>2.69亿</t>
  </si>
  <si>
    <t>1.13亿</t>
  </si>
  <si>
    <t>28.56亿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</si>
  <si>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</si>
  <si>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</si>
  <si>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</si>
  <si>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</si>
  <si>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</si>
  <si>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</si>
  <si>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</si>
  <si>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</si>
  <si>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</si>
  <si>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</si>
  <si>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</si>
  <si>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销售毛利率%[20201231]</t>
  </si>
  <si>
    <t>销售毛利率%[20191231]</t>
  </si>
  <si>
    <t>销售净利率%[20201231]</t>
  </si>
  <si>
    <t>销售净利率%[20191231]</t>
  </si>
  <si>
    <t>1.97亿</t>
  </si>
  <si>
    <t>25.00亿</t>
  </si>
  <si>
    <t>-2.33亿</t>
  </si>
  <si>
    <t>25.62亿</t>
  </si>
  <si>
    <t>21.98亿</t>
  </si>
  <si>
    <t>8559.41万</t>
  </si>
  <si>
    <t>6.80亿</t>
  </si>
  <si>
    <t>654.02万</t>
  </si>
  <si>
    <t>1.53亿</t>
  </si>
  <si>
    <t>7.07亿</t>
  </si>
  <si>
    <t>133.08万</t>
  </si>
  <si>
    <t>23.50亿</t>
  </si>
  <si>
    <t>3810.62万</t>
  </si>
  <si>
    <t>38.13亿</t>
  </si>
  <si>
    <t>1418.29万</t>
  </si>
  <si>
    <t>3729.09万</t>
  </si>
  <si>
    <t>11.73亿</t>
  </si>
  <si>
    <t>23.56亿</t>
  </si>
  <si>
    <t>-3.33亿</t>
  </si>
  <si>
    <t>1.57亿</t>
  </si>
  <si>
    <t>29.32亿</t>
  </si>
  <si>
    <t>3.21亿</t>
  </si>
  <si>
    <t>44.77亿</t>
  </si>
  <si>
    <t>8358.54万</t>
  </si>
  <si>
    <t>2.08亿</t>
  </si>
  <si>
    <t>44.94亿</t>
  </si>
  <si>
    <t>3.19亿</t>
  </si>
  <si>
    <t>3.95亿</t>
  </si>
  <si>
    <t>35.13亿</t>
  </si>
  <si>
    <t>2.52亿</t>
  </si>
  <si>
    <t>35.69亿</t>
  </si>
  <si>
    <t>3.51亿</t>
  </si>
  <si>
    <t>1.08亿</t>
  </si>
  <si>
    <t>24.41亿</t>
  </si>
  <si>
    <t>25.35亿</t>
  </si>
  <si>
    <t>21.72亿</t>
  </si>
  <si>
    <t>2.35亿</t>
  </si>
  <si>
    <t>1.01亿</t>
  </si>
  <si>
    <t>9.51亿</t>
  </si>
  <si>
    <t>8.53亿</t>
  </si>
  <si>
    <t>10.72亿</t>
  </si>
  <si>
    <t>24.46亿</t>
  </si>
  <si>
    <t>-7.51亿</t>
  </si>
  <si>
    <t>38.60亿</t>
  </si>
  <si>
    <t>-10.47亿</t>
  </si>
  <si>
    <t>1.33亿</t>
  </si>
  <si>
    <t>4.71亿</t>
  </si>
  <si>
    <t>2.92亿</t>
  </si>
  <si>
    <t>7.31亿</t>
  </si>
  <si>
    <t>2.03亿</t>
  </si>
  <si>
    <t>3.32亿</t>
  </si>
  <si>
    <t>5.91亿</t>
  </si>
  <si>
    <t>1.12亿</t>
  </si>
  <si>
    <t>6.31亿</t>
  </si>
  <si>
    <t>13.64亿</t>
  </si>
  <si>
    <t>10.82亿</t>
  </si>
  <si>
    <t>7.32亿</t>
  </si>
  <si>
    <t>9050.23万</t>
  </si>
  <si>
    <t>2.45亿</t>
  </si>
  <si>
    <t>1.60亿</t>
  </si>
  <si>
    <t>7.47亿</t>
  </si>
  <si>
    <t>5.20亿</t>
  </si>
  <si>
    <t>19.37亿</t>
  </si>
  <si>
    <t>12.92亿</t>
  </si>
  <si>
    <t>6.52亿</t>
  </si>
  <si>
    <t>1.29亿</t>
  </si>
  <si>
    <t>3.99亿</t>
  </si>
  <si>
    <t>6.11亿</t>
  </si>
  <si>
    <t>3.31亿</t>
  </si>
  <si>
    <t>10.24亿</t>
  </si>
  <si>
    <t>6.33亿</t>
  </si>
  <si>
    <t>3.70亿</t>
  </si>
  <si>
    <t>1.18亿</t>
  </si>
  <si>
    <t>8007.12万</t>
  </si>
  <si>
    <t>5874.96万</t>
  </si>
  <si>
    <t>70.54亿</t>
  </si>
  <si>
    <t>58.57亿</t>
  </si>
  <si>
    <t>2.48亿</t>
  </si>
  <si>
    <t>2.01亿</t>
  </si>
  <si>
    <t>89.12亿</t>
  </si>
  <si>
    <t>110.48亿</t>
  </si>
  <si>
    <t>112.55亿</t>
  </si>
  <si>
    <t>6.51亿</t>
  </si>
  <si>
    <t>3.66亿</t>
  </si>
  <si>
    <t>1103.04万</t>
  </si>
  <si>
    <t>9.91亿</t>
  </si>
  <si>
    <t>620.72万</t>
  </si>
  <si>
    <t>458.33亿</t>
  </si>
  <si>
    <t>416.01亿</t>
  </si>
  <si>
    <t>21.20亿</t>
  </si>
  <si>
    <t>369.84亿</t>
  </si>
  <si>
    <t>326.59亿</t>
  </si>
  <si>
    <t>13.53亿</t>
  </si>
  <si>
    <t>14.23亿</t>
  </si>
  <si>
    <t>8.80亿</t>
  </si>
  <si>
    <t>3580.53万</t>
  </si>
  <si>
    <t>17.43亿</t>
  </si>
  <si>
    <t>12.07亿</t>
  </si>
  <si>
    <t>25.64亿</t>
  </si>
  <si>
    <t>20.25亿</t>
  </si>
  <si>
    <t>8.61亿</t>
  </si>
  <si>
    <t>9618.02万</t>
  </si>
  <si>
    <t>4.70亿</t>
  </si>
  <si>
    <t>1.23亿</t>
  </si>
  <si>
    <t>1.80亿</t>
  </si>
  <si>
    <t>4.55亿</t>
  </si>
  <si>
    <t>皖维高新</t>
  </si>
  <si>
    <t>5.75亿</t>
  </si>
  <si>
    <t>6.41亿</t>
  </si>
  <si>
    <t>6.64亿</t>
  </si>
  <si>
    <t>SZ002064</t>
  </si>
  <si>
    <t>华峰化学</t>
  </si>
  <si>
    <t>147.24亿</t>
  </si>
  <si>
    <t>22.79亿</t>
  </si>
  <si>
    <t>4.10亿</t>
  </si>
  <si>
    <t>5.77亿</t>
  </si>
  <si>
    <t>137.85亿</t>
  </si>
  <si>
    <t>151.29亿</t>
  </si>
  <si>
    <t>28.44亿</t>
  </si>
  <si>
    <t>18.41亿</t>
  </si>
  <si>
    <t>3.42亿</t>
  </si>
  <si>
    <t>5.29亿</t>
  </si>
  <si>
    <t>6.40亿</t>
  </si>
  <si>
    <t>3.97亿</t>
  </si>
  <si>
    <t>6.35亿</t>
  </si>
  <si>
    <t>7.21亿</t>
  </si>
  <si>
    <t>5.32亿</t>
  </si>
  <si>
    <t>9.66亿</t>
  </si>
  <si>
    <t>6.56亿</t>
  </si>
  <si>
    <t>10.12亿</t>
  </si>
  <si>
    <t>3.94亿</t>
  </si>
  <si>
    <t>SZ301057</t>
  </si>
  <si>
    <t>汇隆新材</t>
  </si>
  <si>
    <t>6685.42万</t>
  </si>
  <si>
    <t>5476.72万</t>
  </si>
  <si>
    <t>3712.26万</t>
  </si>
  <si>
    <t>4.15亿</t>
  </si>
  <si>
    <t>SH688722</t>
  </si>
  <si>
    <t>同益中</t>
  </si>
  <si>
    <t>5692.08万</t>
  </si>
  <si>
    <t>4661.27万</t>
  </si>
  <si>
    <t>4497.43万</t>
  </si>
  <si>
    <t>流通股本</t>
  </si>
  <si>
    <t>净利润[20201231]</t>
  </si>
  <si>
    <t>投入资本回报率roic%[20201231]</t>
  </si>
  <si>
    <t>净资产收益率%[20201231]</t>
  </si>
  <si>
    <t>10.68亿</t>
  </si>
  <si>
    <t>7779.50万</t>
  </si>
  <si>
    <t>33.20亿</t>
  </si>
  <si>
    <t>5626.37万</t>
  </si>
  <si>
    <t>24.18亿</t>
  </si>
  <si>
    <t>-1.29亿</t>
  </si>
  <si>
    <t>283.67亿</t>
  </si>
  <si>
    <t>79.37亿</t>
  </si>
  <si>
    <t>44.04亿</t>
  </si>
  <si>
    <t>28.97亿</t>
  </si>
  <si>
    <t>-14.10亿</t>
  </si>
  <si>
    <t>16.20亿</t>
  </si>
  <si>
    <t>6918.27万</t>
  </si>
  <si>
    <t>6.13亿</t>
  </si>
  <si>
    <t>7211.26万</t>
  </si>
  <si>
    <t>-1.65亿</t>
  </si>
  <si>
    <t>28.37亿</t>
  </si>
  <si>
    <t>447.70亿</t>
  </si>
  <si>
    <t>22.54亿</t>
  </si>
  <si>
    <t>3694.10万</t>
  </si>
  <si>
    <t>SH688295</t>
  </si>
  <si>
    <t>中复神鹰</t>
  </si>
  <si>
    <t>8523.18万</t>
  </si>
  <si>
    <t>-2447.99万</t>
  </si>
  <si>
    <t>5252.79万</t>
  </si>
  <si>
    <t>其他纤维</t>
  </si>
  <si>
    <t xml:space="preserve">    名称</t>
  </si>
  <si>
    <t>净利润?</t>
  </si>
  <si>
    <t>研发费用总额[20220630]</t>
  </si>
  <si>
    <t>扣非净利润</t>
  </si>
  <si>
    <t>营业总收入[20201231]</t>
  </si>
  <si>
    <t>投入资本回报率roic%[20211231]</t>
  </si>
  <si>
    <t>净资产收益率%[20211231]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</si>
  <si>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</si>
  <si>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</si>
  <si>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</si>
  <si>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</si>
  <si>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</si>
  <si>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</si>
  <si>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</si>
  <si>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</si>
  <si>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</si>
  <si>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</si>
  <si>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</si>
  <si>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</si>
  <si>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</si>
  <si>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</si>
  <si>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</si>
  <si>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35.80亿</t>
  </si>
  <si>
    <t>亏损</t>
  </si>
  <si>
    <t>扭亏</t>
  </si>
  <si>
    <t>-1-1</t>
  </si>
  <si>
    <t>-1-0</t>
  </si>
  <si>
    <t>13.81亿</t>
  </si>
  <si>
    <t>4.40亿</t>
  </si>
  <si>
    <t/>
  </si>
  <si>
    <t>3.43亿</t>
  </si>
  <si>
    <t>2615.11万</t>
  </si>
  <si>
    <t>LY营业总收入[20211231]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</si>
  <si>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</si>
  <si>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</si>
  <si>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</si>
  <si>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</si>
  <si>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</si>
  <si>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</si>
  <si>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细分行业</t>
  </si>
  <si>
    <t>市销率</t>
    <phoneticPr fontId="1" type="noConversion"/>
  </si>
  <si>
    <t>价格右侧初期策略</t>
    <phoneticPr fontId="1" type="noConversion"/>
  </si>
  <si>
    <t>N-2</t>
    <phoneticPr fontId="1" type="noConversion"/>
  </si>
  <si>
    <t>涤纶</t>
  </si>
  <si>
    <t>粘胶</t>
  </si>
  <si>
    <t>15.49亿</t>
  </si>
  <si>
    <t>5.26亿</t>
  </si>
  <si>
    <t>4.90亿</t>
  </si>
  <si>
    <t>氨纶</t>
  </si>
  <si>
    <t>11.76亿</t>
  </si>
  <si>
    <t>7.28亿</t>
  </si>
  <si>
    <t>6.16亿</t>
  </si>
  <si>
    <t>8.18亿</t>
  </si>
  <si>
    <t>5.44亿</t>
  </si>
  <si>
    <t>5.17亿</t>
  </si>
  <si>
    <t>2.42亿</t>
  </si>
  <si>
    <t>8.86亿</t>
  </si>
  <si>
    <t>2.73亿</t>
  </si>
  <si>
    <t>2.97亿</t>
  </si>
  <si>
    <t>3.12亿</t>
  </si>
  <si>
    <t>7.19亿</t>
  </si>
  <si>
    <t>6.48亿</t>
  </si>
  <si>
    <t>2.74亿</t>
  </si>
  <si>
    <t>18.63亿</t>
  </si>
  <si>
    <t>-9470.78万</t>
  </si>
  <si>
    <t>2.34亿</t>
  </si>
  <si>
    <t>6.15亿</t>
  </si>
  <si>
    <t>2.44亿</t>
  </si>
  <si>
    <t>2.27亿</t>
  </si>
  <si>
    <t>-1.85亿</t>
  </si>
  <si>
    <t>2.12亿</t>
  </si>
  <si>
    <t>6.73亿</t>
  </si>
  <si>
    <t>12.56亿</t>
  </si>
  <si>
    <t>5.93亿</t>
  </si>
  <si>
    <t>20.08亿</t>
  </si>
  <si>
    <t>2.96亿</t>
  </si>
  <si>
    <t>9.88亿</t>
  </si>
  <si>
    <t>8.02亿</t>
  </si>
  <si>
    <t>11.82亿</t>
  </si>
  <si>
    <t>10.81亿</t>
  </si>
  <si>
    <t>14.46亿</t>
  </si>
  <si>
    <t>3.04亿</t>
  </si>
  <si>
    <t>4.85亿</t>
  </si>
  <si>
    <t>27.56亿</t>
  </si>
  <si>
    <t>2.18亿</t>
  </si>
  <si>
    <t>9.83亿</t>
  </si>
  <si>
    <t>5.64亿</t>
  </si>
  <si>
    <r>
      <t>1.粘胶长丝全球产能集中在中国，根据新思界产业研究中心数据，近年来全球粘胶长丝总产能约为 28 万吨左右，其中，</t>
    </r>
    <r>
      <rPr>
        <sz val="9"/>
        <color rgb="FFFF0000"/>
        <rFont val="宋体"/>
        <family val="3"/>
        <charset val="134"/>
        <scheme val="minor"/>
      </rPr>
      <t>中国产能占比达到 75%</t>
    </r>
    <r>
      <rPr>
        <sz val="9"/>
        <color theme="1"/>
        <rFont val="宋体"/>
        <family val="2"/>
        <charset val="134"/>
        <scheme val="minor"/>
      </rPr>
      <t>以上。</t>
    </r>
    <r>
      <rPr>
        <sz val="9"/>
        <color theme="1"/>
        <rFont val="宋体"/>
        <family val="3"/>
        <charset val="134"/>
        <scheme val="minor"/>
      </rPr>
      <t>2.</t>
    </r>
    <r>
      <rPr>
        <sz val="9"/>
        <color rgb="FFFF0000"/>
        <rFont val="宋体"/>
        <family val="3"/>
        <charset val="134"/>
        <scheme val="minor"/>
      </rPr>
      <t>粘胶短纤是我国纺织工业的重要原料</t>
    </r>
    <r>
      <rPr>
        <sz val="9"/>
        <color theme="1"/>
        <rFont val="宋体"/>
        <family val="3"/>
        <charset val="134"/>
        <scheme val="minor"/>
      </rPr>
      <t>，在天然原料-纤维-纺纱-织布-服装的整条产业链上位于中游偏上的位置，其下游需求可分为纱线和无纺布两大类。</t>
    </r>
    <phoneticPr fontId="1" type="noConversion"/>
  </si>
  <si>
    <r>
      <t xml:space="preserve">1.吉林市国资委控股。2.公司全资子公司吉林凯美克筹建的年产 </t>
    </r>
    <r>
      <rPr>
        <b/>
        <sz val="9"/>
        <color rgb="FFFF0000"/>
        <rFont val="宋体"/>
        <family val="3"/>
        <charset val="134"/>
        <scheme val="minor"/>
      </rPr>
      <t>600 吨小丝束碳纤维生产线</t>
    </r>
    <r>
      <rPr>
        <sz val="9"/>
        <color theme="1"/>
        <rFont val="宋体"/>
        <family val="2"/>
        <charset val="134"/>
        <scheme val="minor"/>
      </rPr>
      <t>，截至报告期末已全部建成并达产；</t>
    </r>
    <phoneticPr fontId="1" type="noConversion"/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</si>
  <si>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</si>
  <si>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</si>
  <si>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</si>
  <si>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</si>
  <si>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</si>
  <si>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</si>
  <si>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</si>
  <si>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</si>
  <si>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</si>
  <si>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</si>
  <si>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</si>
  <si>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</si>
  <si>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</si>
  <si>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</si>
  <si>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</si>
  <si>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</si>
  <si>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</si>
  <si>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</si>
  <si>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</si>
  <si>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</si>
  <si>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</si>
  <si>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</si>
  <si>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</si>
  <si>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</si>
  <si>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</si>
  <si>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</si>
  <si>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</si>
  <si>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</si>
  <si>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</si>
  <si>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</si>
  <si>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</si>
  <si>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</si>
  <si>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过往营收增速均值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</si>
  <si>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</si>
  <si>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</si>
  <si>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</si>
  <si>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6年自由现金流折现</t>
    <phoneticPr fontId="1" type="noConversion"/>
  </si>
  <si>
    <t>6增速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</si>
  <si>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</si>
  <si>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</si>
  <si>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</si>
  <si>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</si>
  <si>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</si>
  <si>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</si>
  <si>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</si>
  <si>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量价齐升策略</t>
    <phoneticPr fontId="1" type="noConversion"/>
  </si>
  <si>
    <t>综合策略</t>
    <phoneticPr fontId="1" type="noConversion"/>
  </si>
  <si>
    <t>机会区域号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</si>
  <si>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</si>
  <si>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</si>
  <si>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</si>
  <si>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</si>
  <si>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N-1</t>
    <phoneticPr fontId="1" type="noConversion"/>
  </si>
  <si>
    <t>N</t>
    <phoneticPr fontId="1" type="noConversion"/>
  </si>
  <si>
    <t>扣非对比净利润</t>
    <phoneticPr fontId="1" type="noConversion"/>
  </si>
  <si>
    <t>股利率</t>
    <phoneticPr fontId="1" type="noConversion"/>
  </si>
  <si>
    <t>过往利润增速均值</t>
    <phoneticPr fontId="1" type="noConversion"/>
  </si>
  <si>
    <t>3年自由现金流折现</t>
    <phoneticPr fontId="1" type="noConversion"/>
  </si>
  <si>
    <t>3增速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</si>
  <si>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</si>
  <si>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</si>
  <si>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</si>
  <si>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</si>
  <si>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策略1利润单季最佳增速</t>
    <phoneticPr fontId="1" type="noConversion"/>
  </si>
  <si>
    <t>成交量综合策略</t>
    <phoneticPr fontId="1" type="noConversion"/>
  </si>
  <si>
    <t>基本面排序</t>
    <phoneticPr fontId="1" type="noConversion"/>
  </si>
  <si>
    <t>5日成交换手率</t>
    <phoneticPr fontId="1" type="noConversion"/>
  </si>
  <si>
    <t>30日成交换手率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</si>
  <si>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</si>
  <si>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</si>
  <si>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</si>
  <si>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10派1.5元(含税)</t>
  </si>
  <si>
    <t>不分配不转增</t>
  </si>
  <si>
    <t>10派2元(含税)</t>
  </si>
  <si>
    <t>10派0.2元(含税)</t>
  </si>
  <si>
    <t>10派0.5元(含税)</t>
  </si>
  <si>
    <t>2.25亿</t>
  </si>
  <si>
    <t>10派3元(含税)</t>
  </si>
  <si>
    <t>1-0</t>
  </si>
  <si>
    <t>1.次新股2022/4上市；</t>
    <phoneticPr fontId="1" type="noConversion"/>
  </si>
  <si>
    <t>1-1</t>
  </si>
  <si>
    <r>
      <t>1.聚合助剂、织物浆料和黏合剂是聚乙烯醇的主要下游消费市场。2.报告期，随着 PVA 光学膜、PVB 中间膜、聚合助剂、土壤改良、纸品粘合剂、陶瓷粘合剂、环保以及医药和化妆品等 PVA 下游行业快速发展，对于</t>
    </r>
    <r>
      <rPr>
        <b/>
        <sz val="9"/>
        <color rgb="FFFF0000"/>
        <rFont val="宋体"/>
        <family val="3"/>
        <charset val="134"/>
        <scheme val="minor"/>
      </rPr>
      <t>特种 PVA 产品</t>
    </r>
    <r>
      <rPr>
        <sz val="9"/>
        <color theme="1"/>
        <rFont val="宋体"/>
        <family val="2"/>
        <charset val="134"/>
        <scheme val="minor"/>
      </rPr>
      <t>的需求十分旺盛（新特品种占比达到</t>
    </r>
    <r>
      <rPr>
        <b/>
        <sz val="9"/>
        <color rgb="FFFF0000"/>
        <rFont val="宋体"/>
        <family val="3"/>
        <charset val="134"/>
        <scheme val="minor"/>
      </rPr>
      <t xml:space="preserve"> 70%以上</t>
    </r>
    <r>
      <rPr>
        <sz val="9"/>
        <color theme="1"/>
        <rFont val="宋体"/>
        <family val="2"/>
        <charset val="134"/>
        <scheme val="minor"/>
      </rPr>
      <t>），以本公司为代表的行业龙头企业的特种 PVA 产品发展迅速，并加大了对PVA 纤维、PVB 树脂、PVA 光学膜、可再分散性胶粉等产品的研发力度；3.公司建成化
工、化纤、建材、新材料四大产业板块，形成</t>
    </r>
    <r>
      <rPr>
        <sz val="9"/>
        <color rgb="FFFF0000"/>
        <rFont val="宋体"/>
        <family val="3"/>
        <charset val="134"/>
        <scheme val="minor"/>
      </rPr>
      <t>电石—PVA—PVA 纤维</t>
    </r>
    <r>
      <rPr>
        <sz val="9"/>
        <color theme="1"/>
        <rFont val="宋体"/>
        <family val="2"/>
        <charset val="134"/>
        <scheme val="minor"/>
      </rPr>
      <t>、</t>
    </r>
    <r>
      <rPr>
        <sz val="9"/>
        <color rgb="FFFF0000"/>
        <rFont val="宋体"/>
        <family val="3"/>
        <charset val="134"/>
        <scheme val="minor"/>
      </rPr>
      <t>膜用 PVA—PVA光学薄膜—偏光片</t>
    </r>
    <r>
      <rPr>
        <sz val="9"/>
        <color theme="1"/>
        <rFont val="宋体"/>
        <family val="2"/>
        <charset val="134"/>
        <scheme val="minor"/>
      </rPr>
      <t>、</t>
    </r>
    <r>
      <rPr>
        <sz val="9"/>
        <color rgb="FFFF0000"/>
        <rFont val="宋体"/>
        <family val="3"/>
        <charset val="134"/>
        <scheme val="minor"/>
      </rPr>
      <t>PVA—PVB 树脂—PVB 胶片</t>
    </r>
    <r>
      <rPr>
        <sz val="9"/>
        <color theme="1"/>
        <rFont val="宋体"/>
        <family val="2"/>
        <charset val="134"/>
        <scheme val="minor"/>
      </rPr>
      <t>、</t>
    </r>
    <r>
      <rPr>
        <sz val="9"/>
        <color rgb="FFFF0000"/>
        <rFont val="宋体"/>
        <family val="3"/>
        <charset val="134"/>
        <scheme val="minor"/>
      </rPr>
      <t>生物质酒精—乙烯—醋酸乙烯—VAE/PV</t>
    </r>
    <r>
      <rPr>
        <sz val="9"/>
        <color theme="1"/>
        <rFont val="宋体"/>
        <family val="2"/>
        <charset val="134"/>
        <scheme val="minor"/>
      </rPr>
      <t>A、</t>
    </r>
    <r>
      <rPr>
        <sz val="9"/>
        <color rgb="FFFF0000"/>
        <rFont val="宋体"/>
        <family val="3"/>
        <charset val="134"/>
        <scheme val="minor"/>
      </rPr>
      <t>VAC—VAE—可再分散乳胶粉</t>
    </r>
    <r>
      <rPr>
        <sz val="9"/>
        <color theme="1"/>
        <rFont val="宋体"/>
        <family val="2"/>
        <charset val="134"/>
        <scheme val="minor"/>
      </rPr>
      <t>等五大产业链，实现了企业收入规模、盈利水平、资产规模的快速增长。</t>
    </r>
    <phoneticPr fontId="1" type="noConversion"/>
  </si>
  <si>
    <r>
      <t>1.报告期，国内 PVA 产能过剩有所加剧，普通 PVA 产品供需处于弱平衡，价格回落到正常水平，通过技术创新，开发的聚乙烯醇新、特品种以及下游新材料产品，创造了较好的经济效益，为企业的利润增长作出了较大贡献。2.2022Q4单季的</t>
    </r>
    <r>
      <rPr>
        <sz val="9"/>
        <color rgb="FFFF0000"/>
        <rFont val="宋体"/>
        <family val="3"/>
        <charset val="134"/>
        <scheme val="minor"/>
      </rPr>
      <t>营业成本上升过多</t>
    </r>
    <r>
      <rPr>
        <sz val="9"/>
        <color theme="1"/>
        <rFont val="宋体"/>
        <family val="2"/>
        <charset val="134"/>
        <scheme val="minor"/>
      </rPr>
      <t>，导致毛利变小，利润率变小；这个要关注是长期毛利下降还是暂时因素；3.2022年8月有过一个价格拉升高点，</t>
    </r>
    <r>
      <rPr>
        <sz val="9"/>
        <color rgb="FFFF0000"/>
        <rFont val="宋体"/>
        <family val="3"/>
        <charset val="134"/>
        <scheme val="minor"/>
      </rPr>
      <t>市场演绎过利好</t>
    </r>
    <r>
      <rPr>
        <sz val="9"/>
        <color theme="1"/>
        <rFont val="宋体"/>
        <family val="2"/>
        <charset val="134"/>
        <scheme val="minor"/>
      </rPr>
      <t>，所以要谨慎对待；</t>
    </r>
    <phoneticPr fontId="1" type="noConversion"/>
  </si>
  <si>
    <t>6.30亿</t>
  </si>
  <si>
    <t>4290.63万</t>
  </si>
  <si>
    <t>64.65亿</t>
  </si>
  <si>
    <t>43.85亿</t>
  </si>
  <si>
    <t>36.70亿</t>
  </si>
  <si>
    <t>-9144.81万</t>
  </si>
  <si>
    <t>26.90亿</t>
  </si>
  <si>
    <t>23.78亿</t>
  </si>
  <si>
    <t>3664.52万</t>
  </si>
  <si>
    <t>7247.21万</t>
  </si>
  <si>
    <t>241.56万</t>
  </si>
  <si>
    <t>-15229687亿</t>
  </si>
  <si>
    <t>1906.64万</t>
  </si>
  <si>
    <t>35867661亿</t>
  </si>
  <si>
    <t>1117922140亿</t>
  </si>
  <si>
    <t>2832447800亿</t>
  </si>
  <si>
    <t>7.50亿</t>
  </si>
  <si>
    <t>19.15亿</t>
  </si>
  <si>
    <t>51.42亿</t>
  </si>
  <si>
    <t>10.32亿</t>
  </si>
  <si>
    <t>8119.12万</t>
  </si>
  <si>
    <t>-4.90亿</t>
  </si>
  <si>
    <t>17.23亿</t>
  </si>
  <si>
    <t>30.32亿</t>
  </si>
  <si>
    <t>4868.93万</t>
  </si>
  <si>
    <t>-8850.89万</t>
  </si>
  <si>
    <t>9.35亿</t>
  </si>
  <si>
    <t>4955.66万</t>
  </si>
  <si>
    <t>29.27亿</t>
  </si>
  <si>
    <t>72.74亿</t>
  </si>
  <si>
    <t>-4.35亿</t>
  </si>
  <si>
    <t>88.28亿</t>
  </si>
  <si>
    <t>13.84亿</t>
  </si>
  <si>
    <t>5.90亿</t>
  </si>
  <si>
    <t>10派0.43元(含税)</t>
  </si>
  <si>
    <t>258.84亿</t>
  </si>
  <si>
    <t>6.65亿</t>
  </si>
  <si>
    <t>-2-1</t>
  </si>
  <si>
    <t>55.12亿</t>
  </si>
  <si>
    <t>22.59亿</t>
  </si>
  <si>
    <t>50.68亿</t>
  </si>
  <si>
    <t>4.96亿</t>
  </si>
  <si>
    <t>6.05亿</t>
  </si>
  <si>
    <t>37.50亿</t>
  </si>
  <si>
    <t>4.36亿</t>
  </si>
  <si>
    <t>25.81亿</t>
  </si>
  <si>
    <t>3.44亿</t>
  </si>
  <si>
    <t>-3-1</t>
  </si>
  <si>
    <t>4.04亿</t>
  </si>
  <si>
    <t>13.29亿</t>
  </si>
  <si>
    <t>尤夫股份</t>
  </si>
  <si>
    <t>24.47亿</t>
  </si>
  <si>
    <t>3.76亿</t>
  </si>
  <si>
    <t>20.43亿</t>
  </si>
  <si>
    <t>16.19亿</t>
  </si>
  <si>
    <t>5.35亿</t>
  </si>
  <si>
    <t>-5-0</t>
  </si>
  <si>
    <t>7761.02万</t>
  </si>
  <si>
    <t>11.28亿</t>
  </si>
  <si>
    <t>5.69亿</t>
  </si>
  <si>
    <t>24.14亿</t>
  </si>
  <si>
    <t>33.16亿</t>
  </si>
  <si>
    <t>7.96亿</t>
  </si>
  <si>
    <t>1.89亿</t>
  </si>
  <si>
    <t>5.65亿</t>
  </si>
  <si>
    <t>5.42亿</t>
  </si>
  <si>
    <t>4.99亿</t>
  </si>
  <si>
    <t>4.28亿</t>
  </si>
  <si>
    <t>-4-1</t>
  </si>
  <si>
    <t>-1.54亿</t>
  </si>
  <si>
    <t>4057.67万</t>
  </si>
  <si>
    <t>4.72亿</t>
  </si>
  <si>
    <t>7.97亿</t>
  </si>
  <si>
    <t>9.20亿</t>
  </si>
  <si>
    <t>4.19亿</t>
  </si>
  <si>
    <t>6.01亿</t>
  </si>
  <si>
    <t>99.42亿</t>
  </si>
  <si>
    <t>12.50亿</t>
  </si>
  <si>
    <t>18.60亿</t>
  </si>
  <si>
    <t>SH600370</t>
  </si>
  <si>
    <t>三房巷</t>
  </si>
  <si>
    <t>228.37亿</t>
  </si>
  <si>
    <t>194.79亿</t>
  </si>
  <si>
    <t>163.00亿</t>
  </si>
  <si>
    <t>220.82亿</t>
  </si>
  <si>
    <t>7.74亿</t>
  </si>
  <si>
    <t>5362.58万</t>
  </si>
  <si>
    <t>-1.77亿</t>
  </si>
  <si>
    <t>619.93亿</t>
  </si>
  <si>
    <t>591.57亿</t>
  </si>
  <si>
    <t>74.64亿</t>
  </si>
  <si>
    <t>27.30亿</t>
  </si>
  <si>
    <t>507.87亿</t>
  </si>
  <si>
    <t>10.30亿</t>
  </si>
  <si>
    <t>-5040.66万</t>
  </si>
  <si>
    <t>15.08亿</t>
  </si>
  <si>
    <t>10.86亿</t>
  </si>
  <si>
    <t>60.37亿</t>
  </si>
  <si>
    <t>54.58亿</t>
  </si>
  <si>
    <t>39.07亿</t>
  </si>
  <si>
    <t>19.95亿</t>
  </si>
  <si>
    <t>8.04亿</t>
  </si>
  <si>
    <t>1737.64万</t>
  </si>
  <si>
    <t>化学纤维</t>
  </si>
  <si>
    <t>4637.62万</t>
  </si>
  <si>
    <t>602.83万</t>
  </si>
  <si>
    <t>1053.28万</t>
  </si>
  <si>
    <t>36.50万</t>
  </si>
  <si>
    <t>9808819亿</t>
  </si>
  <si>
    <t>3.91亿</t>
  </si>
  <si>
    <t>228303890亿</t>
  </si>
  <si>
    <t>2603.51万</t>
  </si>
  <si>
    <t>823600310亿</t>
  </si>
  <si>
    <t>8180.97万</t>
  </si>
  <si>
    <t>1831.54万</t>
  </si>
  <si>
    <t>3949.49万</t>
  </si>
  <si>
    <t>-279.48万</t>
  </si>
  <si>
    <t>-2600.00万</t>
  </si>
  <si>
    <t>915.72万</t>
  </si>
  <si>
    <t>恒申新材</t>
  </si>
  <si>
    <t>219.02万</t>
  </si>
  <si>
    <t>21.37亿</t>
  </si>
  <si>
    <t>18.39亿</t>
  </si>
  <si>
    <t>7.72亿</t>
  </si>
  <si>
    <t>28.17亿</t>
  </si>
  <si>
    <t>-1.43亿</t>
  </si>
  <si>
    <t>722.57万</t>
  </si>
  <si>
    <t>2405.44万</t>
  </si>
  <si>
    <t>7403262亿</t>
  </si>
  <si>
    <t>10.21万</t>
  </si>
  <si>
    <t>-7717127亿</t>
  </si>
  <si>
    <t>250392450亿</t>
  </si>
  <si>
    <t>4.53亿</t>
  </si>
  <si>
    <t>2368767700亿</t>
  </si>
  <si>
    <t>469.96万</t>
  </si>
  <si>
    <t>5.27亿</t>
  </si>
  <si>
    <t>15.97亿</t>
  </si>
  <si>
    <t>-3.50亿</t>
  </si>
  <si>
    <t>606.77万</t>
  </si>
  <si>
    <t>7.16亿</t>
  </si>
  <si>
    <t>29.14亿</t>
  </si>
  <si>
    <t>-5520.75万</t>
  </si>
  <si>
    <t>-1613.05万</t>
  </si>
  <si>
    <t>1223.37万</t>
  </si>
  <si>
    <t>1252.65万</t>
  </si>
  <si>
    <t>13.41亿</t>
  </si>
  <si>
    <t>51.56亿</t>
  </si>
  <si>
    <t>28.58亿</t>
  </si>
  <si>
    <t>7239.31万</t>
  </si>
  <si>
    <t>111.03万</t>
  </si>
  <si>
    <t>1339.64万</t>
  </si>
  <si>
    <t>10242474亿</t>
  </si>
  <si>
    <t>2.24万</t>
  </si>
  <si>
    <t>40162491亿</t>
  </si>
  <si>
    <t>144526460亿</t>
  </si>
  <si>
    <t>4959.49万</t>
  </si>
  <si>
    <t>1719366700亿</t>
  </si>
  <si>
    <t>6778.28万</t>
  </si>
  <si>
    <t>10.40亿</t>
  </si>
  <si>
    <t>6616.30万</t>
  </si>
  <si>
    <t>322.43万</t>
  </si>
  <si>
    <t>12.72亿</t>
  </si>
  <si>
    <t>-2456.25万</t>
  </si>
  <si>
    <t>-4443.55万</t>
  </si>
  <si>
    <t>-6205.99万</t>
  </si>
  <si>
    <t>2217.22万</t>
  </si>
  <si>
    <t>6013.68万</t>
  </si>
  <si>
    <t>2562.48万</t>
  </si>
  <si>
    <t>65.46亿</t>
  </si>
  <si>
    <t>55.39亿</t>
  </si>
  <si>
    <t>19.67亿</t>
  </si>
  <si>
    <t>73.79亿</t>
  </si>
  <si>
    <t>-4215.36万</t>
  </si>
  <si>
    <t>18.93亿</t>
  </si>
  <si>
    <t>17.56亿</t>
  </si>
  <si>
    <t>591.80万</t>
  </si>
  <si>
    <t>5355.96万</t>
  </si>
  <si>
    <t>-1052863亿</t>
  </si>
  <si>
    <t>62.97万</t>
  </si>
  <si>
    <t>59993998亿</t>
  </si>
  <si>
    <t>14.03亿</t>
  </si>
  <si>
    <t>1402638700亿</t>
  </si>
  <si>
    <t>4299125600亿</t>
  </si>
  <si>
    <t>8.32亿</t>
  </si>
  <si>
    <t>3464.81万</t>
  </si>
  <si>
    <t>26.21亿</t>
  </si>
  <si>
    <t>-4780.84万</t>
  </si>
  <si>
    <t>18.40亿</t>
  </si>
  <si>
    <t>1743.16万</t>
  </si>
  <si>
    <t>3-0</t>
  </si>
  <si>
    <t>2049.88万</t>
  </si>
  <si>
    <t>105.84亿</t>
  </si>
  <si>
    <t>256.16亿</t>
  </si>
  <si>
    <t>66.57亿</t>
  </si>
  <si>
    <t>262.98亿</t>
  </si>
  <si>
    <t>24.78亿</t>
  </si>
  <si>
    <t>59.76亿</t>
  </si>
  <si>
    <t>55.83亿</t>
  </si>
  <si>
    <t>5298.33万</t>
  </si>
  <si>
    <t>9607.14万</t>
  </si>
  <si>
    <t>25583000亿</t>
  </si>
  <si>
    <t>24.90万</t>
  </si>
  <si>
    <t>656030240亿</t>
  </si>
  <si>
    <t>113.47亿</t>
  </si>
  <si>
    <t>2849627000亿</t>
  </si>
  <si>
    <t>6.48万</t>
  </si>
  <si>
    <t>22772651000亿</t>
  </si>
  <si>
    <t>17.05亿</t>
  </si>
  <si>
    <t>40.59亿</t>
  </si>
  <si>
    <t>31.36亿</t>
  </si>
  <si>
    <t>19.97亿</t>
  </si>
  <si>
    <t>108.01亿</t>
  </si>
  <si>
    <t>-6040.45万</t>
  </si>
  <si>
    <t>-4.30亿</t>
  </si>
  <si>
    <t>61.92亿</t>
  </si>
  <si>
    <t>885.41万</t>
  </si>
  <si>
    <t>35.40亿</t>
  </si>
  <si>
    <t>37.71亿</t>
  </si>
  <si>
    <t>56.22亿</t>
  </si>
  <si>
    <t>3.49亿</t>
  </si>
  <si>
    <t>1556.42万</t>
  </si>
  <si>
    <t>4711.95万</t>
  </si>
  <si>
    <t>-3466741亿</t>
  </si>
  <si>
    <t>52.54万</t>
  </si>
  <si>
    <t>75963738亿</t>
  </si>
  <si>
    <t>868202600亿</t>
  </si>
  <si>
    <t>4168398800亿</t>
  </si>
  <si>
    <t>22.33亿</t>
  </si>
  <si>
    <t>2.32万</t>
  </si>
  <si>
    <t>34.76亿</t>
  </si>
  <si>
    <t>13.51亿</t>
  </si>
  <si>
    <t>6727.04万</t>
  </si>
  <si>
    <t>5680.91万</t>
  </si>
  <si>
    <t>8.56亿</t>
  </si>
  <si>
    <t>665.53万</t>
  </si>
  <si>
    <t>55.51亿</t>
  </si>
  <si>
    <t>81.09亿</t>
  </si>
  <si>
    <t>39.25亿</t>
  </si>
  <si>
    <t>3.33亿</t>
  </si>
  <si>
    <t>9.56亿</t>
  </si>
  <si>
    <t>1886.46万</t>
  </si>
  <si>
    <t>8358.74万</t>
  </si>
  <si>
    <t>2639419亿</t>
  </si>
  <si>
    <t>12.13万</t>
  </si>
  <si>
    <t>6854568亿</t>
  </si>
  <si>
    <t>22.90亿</t>
  </si>
  <si>
    <t>619742450亿</t>
  </si>
  <si>
    <t>6.46亿</t>
  </si>
  <si>
    <t>5631531200亿</t>
  </si>
  <si>
    <t>13.56亿</t>
  </si>
  <si>
    <t>41.72亿</t>
  </si>
  <si>
    <t>16.72亿</t>
  </si>
  <si>
    <t>-2.37亿</t>
  </si>
  <si>
    <t>-7.22亿</t>
  </si>
  <si>
    <t>3747.80万</t>
  </si>
  <si>
    <t>-5-1</t>
  </si>
  <si>
    <t>601.02万</t>
  </si>
  <si>
    <t>9.29亿</t>
  </si>
  <si>
    <t>-9321.63万</t>
  </si>
  <si>
    <t>319.22万</t>
  </si>
  <si>
    <t>1206.57万</t>
  </si>
  <si>
    <t>2.14万</t>
  </si>
  <si>
    <t>-24700131亿</t>
  </si>
  <si>
    <t>248358660亿</t>
  </si>
  <si>
    <t>1271976500亿</t>
  </si>
  <si>
    <t>7043.56万</t>
  </si>
  <si>
    <t>2405.30万</t>
  </si>
  <si>
    <t>7.87亿</t>
  </si>
  <si>
    <t>7839.76万</t>
  </si>
  <si>
    <t>-1862.08万</t>
  </si>
  <si>
    <t>-1.13亿</t>
  </si>
  <si>
    <t>-869.64万</t>
  </si>
  <si>
    <t>2835.31万</t>
  </si>
  <si>
    <t>265.83万</t>
  </si>
  <si>
    <t>7.59亿</t>
  </si>
  <si>
    <t>17.37亿</t>
  </si>
  <si>
    <t>4.68亿</t>
  </si>
  <si>
    <t>264.51万</t>
  </si>
  <si>
    <t>805.53万</t>
  </si>
  <si>
    <t>520106亿</t>
  </si>
  <si>
    <t>34291455亿</t>
  </si>
  <si>
    <t>140662920亿</t>
  </si>
  <si>
    <t>252.90万</t>
  </si>
  <si>
    <t>1182629730亿</t>
  </si>
  <si>
    <t>-1.21亿</t>
  </si>
  <si>
    <t>-7850.30万</t>
  </si>
  <si>
    <t>-19.11万</t>
  </si>
  <si>
    <t>5.14亿</t>
  </si>
  <si>
    <t>3065.14万</t>
  </si>
  <si>
    <t>1751.04万</t>
  </si>
  <si>
    <t>37.78万</t>
  </si>
  <si>
    <t>9.60亿</t>
  </si>
  <si>
    <t>9906.01万</t>
  </si>
  <si>
    <t>3027.31万</t>
  </si>
  <si>
    <t>8694.37万</t>
  </si>
  <si>
    <t>79.86万</t>
  </si>
  <si>
    <t>1134.45万</t>
  </si>
  <si>
    <t>-195991亿</t>
  </si>
  <si>
    <t>17.09万</t>
  </si>
  <si>
    <t>-10605961亿</t>
  </si>
  <si>
    <t>123396935亿</t>
  </si>
  <si>
    <t>507.95万</t>
  </si>
  <si>
    <t>509792400亿</t>
  </si>
  <si>
    <t>371.38万</t>
  </si>
  <si>
    <t>3388.18万</t>
  </si>
  <si>
    <t>6677.02万</t>
  </si>
  <si>
    <t>-1577.34万</t>
  </si>
  <si>
    <t>-2.03亿</t>
  </si>
  <si>
    <t>4964.93万</t>
  </si>
  <si>
    <t>2147.77万</t>
  </si>
  <si>
    <t>364.19万</t>
  </si>
  <si>
    <t>239.21万</t>
  </si>
  <si>
    <t>4043.56万</t>
  </si>
  <si>
    <t>114.31万</t>
  </si>
  <si>
    <t>7.66亿</t>
  </si>
  <si>
    <t>338.85万</t>
  </si>
  <si>
    <t>573.96万</t>
  </si>
  <si>
    <t>9737362亿</t>
  </si>
  <si>
    <t>46011219亿</t>
  </si>
  <si>
    <t>350084460亿</t>
  </si>
  <si>
    <t>9304.18万</t>
  </si>
  <si>
    <t>3114.85万</t>
  </si>
  <si>
    <t>3275.12万</t>
  </si>
  <si>
    <t>9961.27万</t>
  </si>
  <si>
    <t>-2535.10万</t>
  </si>
  <si>
    <t>-9363.46万</t>
  </si>
  <si>
    <t>-1545.60万</t>
  </si>
  <si>
    <t>5133.80万</t>
  </si>
  <si>
    <t>3373.22万</t>
  </si>
  <si>
    <t>10派3.005408元(含税)</t>
  </si>
  <si>
    <t>738.72万</t>
  </si>
  <si>
    <t>5066.35万</t>
  </si>
  <si>
    <t>705.54万</t>
  </si>
  <si>
    <t>60.14亿</t>
  </si>
  <si>
    <t>80.84亿</t>
  </si>
  <si>
    <t>17.97亿</t>
  </si>
  <si>
    <t>47.27亿</t>
  </si>
  <si>
    <t>15.60亿</t>
  </si>
  <si>
    <t>49.52万</t>
  </si>
  <si>
    <t>45010962亿</t>
  </si>
  <si>
    <t>17.06亿</t>
  </si>
  <si>
    <t>630608400亿</t>
  </si>
  <si>
    <t>4763137100亿</t>
  </si>
  <si>
    <t>2936.65万</t>
  </si>
  <si>
    <t>-2.83亿</t>
  </si>
  <si>
    <t>13.70亿</t>
  </si>
  <si>
    <t>82.63亿</t>
  </si>
  <si>
    <t>4399.74万</t>
  </si>
  <si>
    <t>01560000000</t>
  </si>
  <si>
    <t>04680000000</t>
  </si>
  <si>
    <t>09360000000</t>
  </si>
  <si>
    <t>015600000000</t>
  </si>
  <si>
    <t>031200000000</t>
  </si>
  <si>
    <t>1007.61万</t>
  </si>
  <si>
    <t>97.96亿</t>
  </si>
  <si>
    <t>62.65亿</t>
  </si>
  <si>
    <t>54.16亿</t>
  </si>
  <si>
    <t>6529.04万</t>
  </si>
  <si>
    <t>54.48亿</t>
  </si>
  <si>
    <t>53.67亿</t>
  </si>
  <si>
    <t>672.78万</t>
  </si>
  <si>
    <t>2467.43万</t>
  </si>
  <si>
    <t>2681325亿</t>
  </si>
  <si>
    <t>8.62万</t>
  </si>
  <si>
    <t>-32093364亿</t>
  </si>
  <si>
    <t>33.12亿</t>
  </si>
  <si>
    <t>3561008700亿</t>
  </si>
  <si>
    <t>3860.23万</t>
  </si>
  <si>
    <t>10956630300亿</t>
  </si>
  <si>
    <t>21.16亿</t>
  </si>
  <si>
    <t>72.09亿</t>
  </si>
  <si>
    <t>2289.72万</t>
  </si>
  <si>
    <t>-4.85亿</t>
  </si>
  <si>
    <t>16.78亿</t>
  </si>
  <si>
    <t>234.79亿</t>
  </si>
  <si>
    <t>8544.08万</t>
  </si>
  <si>
    <t>-2.75亿</t>
  </si>
  <si>
    <t>3452.80万</t>
  </si>
  <si>
    <t>7548.76万</t>
  </si>
  <si>
    <t>338.58万</t>
  </si>
  <si>
    <t>197.47亿</t>
  </si>
  <si>
    <t>118.59亿</t>
  </si>
  <si>
    <t>33.55亿</t>
  </si>
  <si>
    <t>60.80亿</t>
  </si>
  <si>
    <t>-15.57亿</t>
  </si>
  <si>
    <t>33.15亿</t>
  </si>
  <si>
    <t>29.75亿</t>
  </si>
  <si>
    <t>2004.82万</t>
  </si>
  <si>
    <t>7040718亿</t>
  </si>
  <si>
    <t>66.42万</t>
  </si>
  <si>
    <t>26240595亿</t>
  </si>
  <si>
    <t>89.00亿</t>
  </si>
  <si>
    <t>1652995000亿</t>
  </si>
  <si>
    <t>14661606000亿</t>
  </si>
  <si>
    <t>45.33亿</t>
  </si>
  <si>
    <t>38.91亿</t>
  </si>
  <si>
    <t>85.46亿</t>
  </si>
  <si>
    <t>86.90亿</t>
  </si>
  <si>
    <t>9159.86万</t>
  </si>
  <si>
    <t>-10.64亿</t>
  </si>
  <si>
    <t>145.72亿</t>
  </si>
  <si>
    <t>135.89亿</t>
  </si>
  <si>
    <t>21.32亿</t>
  </si>
  <si>
    <t>129.19亿</t>
  </si>
  <si>
    <t>19.42亿</t>
  </si>
  <si>
    <t>9653.74万</t>
  </si>
  <si>
    <t>10派1.37元(含税)</t>
  </si>
  <si>
    <t>2355.60万</t>
  </si>
  <si>
    <t>1904.68万</t>
  </si>
  <si>
    <t>6.85亿</t>
  </si>
  <si>
    <t>8.69亿</t>
  </si>
  <si>
    <t>-1927.23万</t>
  </si>
  <si>
    <t>142.02万</t>
  </si>
  <si>
    <t>2314.06万</t>
  </si>
  <si>
    <t>1.65万</t>
  </si>
  <si>
    <t>-32996706亿</t>
  </si>
  <si>
    <t>3984.62万</t>
  </si>
  <si>
    <t>23915446亿</t>
  </si>
  <si>
    <t>9794.35万</t>
  </si>
  <si>
    <t>404205240亿</t>
  </si>
  <si>
    <t>5867.33万</t>
  </si>
  <si>
    <t>1125.39万</t>
  </si>
  <si>
    <t>84.40万</t>
  </si>
  <si>
    <t>-4612.74万</t>
  </si>
  <si>
    <t>-1754.60万</t>
  </si>
  <si>
    <t>6092.71万</t>
  </si>
  <si>
    <t>4.74亿</t>
  </si>
  <si>
    <t>4386.88万</t>
  </si>
  <si>
    <t>14.38万</t>
  </si>
  <si>
    <t>1991.79万</t>
  </si>
  <si>
    <t>666.63亿</t>
  </si>
  <si>
    <t>363.79亿</t>
  </si>
  <si>
    <t>211.11亿</t>
  </si>
  <si>
    <t>12.01亿</t>
  </si>
  <si>
    <t>208.29亿</t>
  </si>
  <si>
    <t>196.96亿</t>
  </si>
  <si>
    <t>2872.50万</t>
  </si>
  <si>
    <t>3.55亿</t>
  </si>
  <si>
    <t>255731000亿</t>
  </si>
  <si>
    <t>781.40万</t>
  </si>
  <si>
    <t>537228380亿</t>
  </si>
  <si>
    <t>147.77亿</t>
  </si>
  <si>
    <t>1033868170亿</t>
  </si>
  <si>
    <t>35582945000亿</t>
  </si>
  <si>
    <t>78.68亿</t>
  </si>
  <si>
    <t>302.87亿</t>
  </si>
  <si>
    <t>77.47亿</t>
  </si>
  <si>
    <t>108.56万</t>
  </si>
  <si>
    <t>532.69亿</t>
  </si>
  <si>
    <t>211.24亿</t>
  </si>
  <si>
    <t>-53.21亿</t>
  </si>
  <si>
    <t>-35.63亿</t>
  </si>
  <si>
    <t>105.08亿</t>
  </si>
  <si>
    <t>826.40亿</t>
  </si>
  <si>
    <t>0312000000</t>
  </si>
  <si>
    <t>0936000000</t>
  </si>
  <si>
    <t>01872000000</t>
  </si>
  <si>
    <t>03120000000</t>
  </si>
  <si>
    <t>06240000000</t>
  </si>
  <si>
    <t>1076.38万</t>
  </si>
  <si>
    <t>283.43亿</t>
  </si>
  <si>
    <t>170.72亿</t>
  </si>
  <si>
    <t>144.52亿</t>
  </si>
  <si>
    <t>-2418.43万</t>
  </si>
  <si>
    <t>142.75亿</t>
  </si>
  <si>
    <t>136.00亿</t>
  </si>
  <si>
    <t>1805.71万</t>
  </si>
  <si>
    <t>1.87亿</t>
  </si>
  <si>
    <t>17124338亿</t>
  </si>
  <si>
    <t>1426.90万</t>
  </si>
  <si>
    <t>230124210亿</t>
  </si>
  <si>
    <t>138.60亿</t>
  </si>
  <si>
    <t>735817900亿</t>
  </si>
  <si>
    <t>22929752000亿</t>
  </si>
  <si>
    <t>177.65亿</t>
  </si>
  <si>
    <t>23.77亿</t>
  </si>
  <si>
    <t>24.83亿</t>
  </si>
  <si>
    <t>260.92亿</t>
  </si>
  <si>
    <t>78.08亿</t>
  </si>
  <si>
    <t>-17.12亿</t>
  </si>
  <si>
    <t>-15.09亿</t>
  </si>
  <si>
    <t>52.52亿</t>
  </si>
  <si>
    <t>-2.06亿</t>
  </si>
  <si>
    <t>614.69亿</t>
  </si>
  <si>
    <t>7702.75万</t>
  </si>
  <si>
    <t>-1318.02万</t>
  </si>
  <si>
    <t>10派2.55元(含税)</t>
  </si>
  <si>
    <t>5985.50万</t>
  </si>
  <si>
    <t>319.41万</t>
  </si>
  <si>
    <t>22.07亿</t>
  </si>
  <si>
    <t>2044.34万</t>
  </si>
  <si>
    <t>156.56万</t>
  </si>
  <si>
    <t>637.66万</t>
  </si>
  <si>
    <t>1604565亿</t>
  </si>
  <si>
    <t>1.55万</t>
  </si>
  <si>
    <t>9802473亿</t>
  </si>
  <si>
    <t>8199737亿</t>
  </si>
  <si>
    <t>1717.03万</t>
  </si>
  <si>
    <t>938458940亿</t>
  </si>
  <si>
    <t>1380.00万</t>
  </si>
  <si>
    <t>7505.42万</t>
  </si>
  <si>
    <t>1758.65万</t>
  </si>
  <si>
    <t>-1.42亿</t>
  </si>
  <si>
    <t>-552.03万</t>
  </si>
  <si>
    <t>15.99亿</t>
  </si>
  <si>
    <t>1437.87万</t>
  </si>
  <si>
    <t>174.40万</t>
  </si>
  <si>
    <t>2071.67万</t>
  </si>
  <si>
    <t>190.38万</t>
  </si>
  <si>
    <t>27.59亿</t>
  </si>
  <si>
    <t>16.39亿</t>
  </si>
  <si>
    <t>32.42亿</t>
  </si>
  <si>
    <t>15.59亿</t>
  </si>
  <si>
    <t>222.67万</t>
  </si>
  <si>
    <t>837.08万</t>
  </si>
  <si>
    <t>-3454475亿</t>
  </si>
  <si>
    <t>22.04万</t>
  </si>
  <si>
    <t>64265938亿</t>
  </si>
  <si>
    <t>19.23亿</t>
  </si>
  <si>
    <t>136803080亿</t>
  </si>
  <si>
    <t>3717036200亿</t>
  </si>
  <si>
    <t>24.56亿</t>
  </si>
  <si>
    <t>26.51亿</t>
  </si>
  <si>
    <t>-3.14亿</t>
  </si>
  <si>
    <t>-2058.99万</t>
  </si>
  <si>
    <t>60.18亿</t>
  </si>
  <si>
    <t>3415.55万</t>
  </si>
  <si>
    <t>10派2.85元(含税)</t>
  </si>
  <si>
    <t>1557.20万</t>
  </si>
  <si>
    <t>8845.15万</t>
  </si>
  <si>
    <t>4-1</t>
  </si>
  <si>
    <t>102.42万</t>
  </si>
  <si>
    <t>46.91亿</t>
  </si>
  <si>
    <t>48.87亿</t>
  </si>
  <si>
    <t>4.48亿</t>
  </si>
  <si>
    <t>-2950.56万</t>
  </si>
  <si>
    <t>3.35亿</t>
  </si>
  <si>
    <t>481.49万</t>
  </si>
  <si>
    <t>4598.88万</t>
  </si>
  <si>
    <t>1718642亿</t>
  </si>
  <si>
    <t>5.32万</t>
  </si>
  <si>
    <t>15321537亿</t>
  </si>
  <si>
    <t>23.13亿</t>
  </si>
  <si>
    <t>669783060亿</t>
  </si>
  <si>
    <t>3859122800亿</t>
  </si>
  <si>
    <t>9.10亿</t>
  </si>
  <si>
    <t>19.51亿</t>
  </si>
  <si>
    <t>-3424.20万</t>
  </si>
  <si>
    <t>7153.51万</t>
  </si>
  <si>
    <t>-427.11万</t>
  </si>
  <si>
    <t>10派1.06元(含税)</t>
  </si>
  <si>
    <t>653.57万</t>
  </si>
  <si>
    <t>5476.04万</t>
  </si>
  <si>
    <t>-9-1</t>
  </si>
  <si>
    <t>128.55万</t>
  </si>
  <si>
    <t>13.20亿</t>
  </si>
  <si>
    <t>46.97亿</t>
  </si>
  <si>
    <t>4824.50万</t>
  </si>
  <si>
    <t>9404.08万</t>
  </si>
  <si>
    <t>7579.57万</t>
  </si>
  <si>
    <t>278.36万</t>
  </si>
  <si>
    <t>899.90万</t>
  </si>
  <si>
    <t>15247070亿</t>
  </si>
  <si>
    <t>4.46亿</t>
  </si>
  <si>
    <t>17843495亿</t>
  </si>
  <si>
    <t>1006.33万</t>
  </si>
  <si>
    <t>718288760亿</t>
  </si>
  <si>
    <t>2487.65万</t>
  </si>
  <si>
    <t>3832.66万</t>
  </si>
  <si>
    <t>4019.51万</t>
  </si>
  <si>
    <t>-4380.87万</t>
  </si>
  <si>
    <t>81.28万</t>
  </si>
  <si>
    <t>10派0.90元(含税)</t>
  </si>
  <si>
    <t>895.16万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</si>
</sst>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b/>
      <sz val="11"/>
      <color theme="1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6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8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323850</xdr:colOff>
          <xdr:row>0</xdr:row>
          <xdr:rowOff>101600</xdr:rowOff>
        </xdr:from>
        <xdr:to>
          <xdr:col>147</xdr:col>
          <xdr:colOff>1511300</xdr:colOff>
          <xdr:row>0</xdr:row>
          <xdr:rowOff>412750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23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23" sqref="D23:EP23"/>
    </sheetView>
  </sheetViews>
  <sheetFormatPr defaultRowHeight="14" x14ac:dyDescent="0.25"/>
  <cols>
    <col min="1" max="1" width="43.26953125" customWidth="1"/>
    <col min="2" max="2" width="53.1796875" customWidth="1"/>
    <col min="3" max="3" width="52.36328125" customWidth="1"/>
    <col min="148" max="148" width="26.36328125" customWidth="1"/>
  </cols>
  <sheetData>
    <row r="1" spans="1:146" s="3" customFormat="1" ht="43.5" customHeight="1" x14ac:dyDescent="0.25">
      <c r="A1" s="4" t="s">
        <v>17</v>
      </c>
      <c r="B1" s="5" t="s">
        <v>18</v>
      </c>
      <c r="C1" s="4" t="s">
        <v>19</v>
      </c>
      <c r="D1" t="s">
        <v>20</v>
      </c>
      <c r="E1" t="s">
        <v>327</v>
      </c>
      <c r="F1" t="s">
        <v>3</v>
      </c>
      <c r="G1" t="s">
        <v>416</v>
      </c>
      <c r="H1" t="s">
        <v>417</v>
      </c>
      <c r="I1" t="s">
        <v>21</v>
      </c>
      <c r="J1" t="s">
        <v>22</v>
      </c>
      <c r="K1" t="s">
        <v>4</v>
      </c>
      <c r="L1" t="s">
        <v>23</v>
      </c>
      <c r="M1" t="s">
        <v>24</v>
      </c>
      <c r="N1" t="s">
        <v>25</v>
      </c>
      <c r="O1" t="s">
        <v>26</v>
      </c>
      <c r="P1" t="s">
        <v>418</v>
      </c>
      <c r="Q1" t="s">
        <v>359</v>
      </c>
      <c r="R1" t="s">
        <v>328</v>
      </c>
      <c r="S1" t="s">
        <v>27</v>
      </c>
      <c r="T1" t="s">
        <v>419</v>
      </c>
      <c r="U1" t="s">
        <v>297</v>
      </c>
      <c r="V1" t="s">
        <v>28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420</v>
      </c>
      <c r="AC1" t="s">
        <v>365</v>
      </c>
      <c r="AD1" t="s">
        <v>329</v>
      </c>
      <c r="AE1" t="s">
        <v>29</v>
      </c>
      <c r="AF1" t="s">
        <v>30</v>
      </c>
      <c r="AG1" t="s">
        <v>421</v>
      </c>
      <c r="AH1" t="s">
        <v>330</v>
      </c>
      <c r="AI1" t="s">
        <v>422</v>
      </c>
      <c r="AJ1" t="s">
        <v>31</v>
      </c>
      <c r="AK1" t="s">
        <v>423</v>
      </c>
      <c r="AL1" t="s">
        <v>140</v>
      </c>
      <c r="AM1" t="s">
        <v>424</v>
      </c>
      <c r="AN1" t="s">
        <v>425</v>
      </c>
      <c r="AO1" t="s">
        <v>426</v>
      </c>
      <c r="AP1" t="s">
        <v>427</v>
      </c>
      <c r="AQ1" t="s">
        <v>428</v>
      </c>
      <c r="AR1" t="s">
        <v>429</v>
      </c>
      <c r="AS1" t="s">
        <v>430</v>
      </c>
      <c r="AT1" t="s">
        <v>431</v>
      </c>
      <c r="AU1" t="s">
        <v>432</v>
      </c>
      <c r="AV1" t="s">
        <v>433</v>
      </c>
      <c r="AW1" t="s">
        <v>434</v>
      </c>
      <c r="AX1" t="s">
        <v>331</v>
      </c>
      <c r="AY1" t="s">
        <v>141</v>
      </c>
      <c r="AZ1" t="s">
        <v>142</v>
      </c>
      <c r="BA1" t="s">
        <v>143</v>
      </c>
      <c r="BB1" t="s">
        <v>144</v>
      </c>
      <c r="BC1" t="s">
        <v>298</v>
      </c>
      <c r="BD1" t="s">
        <v>145</v>
      </c>
      <c r="BE1" t="s">
        <v>146</v>
      </c>
      <c r="BF1" t="s">
        <v>147</v>
      </c>
      <c r="BG1" t="s">
        <v>148</v>
      </c>
      <c r="BH1" t="s">
        <v>435</v>
      </c>
      <c r="BI1" t="s">
        <v>436</v>
      </c>
      <c r="BJ1" t="s">
        <v>437</v>
      </c>
      <c r="BK1" t="s">
        <v>438</v>
      </c>
      <c r="BL1" t="s">
        <v>439</v>
      </c>
      <c r="BM1" t="s">
        <v>440</v>
      </c>
      <c r="BN1" t="s">
        <v>332</v>
      </c>
      <c r="BO1" t="s">
        <v>299</v>
      </c>
      <c r="BP1" t="s">
        <v>149</v>
      </c>
      <c r="BQ1" t="s">
        <v>333</v>
      </c>
      <c r="BR1" t="s">
        <v>300</v>
      </c>
      <c r="BS1" t="s">
        <v>150</v>
      </c>
      <c r="BT1" t="s">
        <v>441</v>
      </c>
      <c r="BU1" t="s">
        <v>366</v>
      </c>
      <c r="BV1" t="s">
        <v>442</v>
      </c>
      <c r="BW1" t="s">
        <v>151</v>
      </c>
      <c r="BX1" t="s">
        <v>152</v>
      </c>
      <c r="BY1" t="s">
        <v>443</v>
      </c>
      <c r="BZ1" t="s">
        <v>153</v>
      </c>
      <c r="CA1" t="s">
        <v>154</v>
      </c>
      <c r="CB1" t="s">
        <v>444</v>
      </c>
      <c r="CC1" t="s">
        <v>445</v>
      </c>
      <c r="CD1" t="s">
        <v>446</v>
      </c>
      <c r="CE1" t="s">
        <v>447</v>
      </c>
      <c r="CF1" s="1" t="s">
        <v>334</v>
      </c>
      <c r="CG1" s="1" t="s">
        <v>335</v>
      </c>
      <c r="CH1" s="1" t="s">
        <v>336</v>
      </c>
      <c r="CI1" s="1" t="s">
        <v>337</v>
      </c>
      <c r="CJ1" s="1" t="s">
        <v>338</v>
      </c>
      <c r="CK1" s="1" t="s">
        <v>339</v>
      </c>
      <c r="CL1" s="1" t="s">
        <v>340</v>
      </c>
      <c r="CM1" s="1" t="s">
        <v>341</v>
      </c>
      <c r="CN1" s="1" t="s">
        <v>342</v>
      </c>
      <c r="CO1" s="1" t="s">
        <v>343</v>
      </c>
      <c r="CP1" s="1" t="s">
        <v>344</v>
      </c>
      <c r="CQ1" s="1" t="s">
        <v>345</v>
      </c>
      <c r="CR1" s="1" t="s">
        <v>367</v>
      </c>
      <c r="CS1" s="1" t="s">
        <v>470</v>
      </c>
      <c r="CT1" s="1" t="s">
        <v>471</v>
      </c>
      <c r="CU1" s="1" t="s">
        <v>448</v>
      </c>
      <c r="CV1" s="1" t="s">
        <v>472</v>
      </c>
      <c r="CW1" s="1" t="s">
        <v>449</v>
      </c>
      <c r="CX1">
        <v>1</v>
      </c>
      <c r="CY1" t="s">
        <v>450</v>
      </c>
      <c r="CZ1" t="s">
        <v>451</v>
      </c>
      <c r="DA1">
        <v>3</v>
      </c>
      <c r="DB1" t="s">
        <v>473</v>
      </c>
      <c r="DC1" t="s">
        <v>474</v>
      </c>
      <c r="DD1">
        <v>6</v>
      </c>
      <c r="DE1" t="s">
        <v>452</v>
      </c>
      <c r="DF1" t="s">
        <v>453</v>
      </c>
      <c r="DG1">
        <v>10</v>
      </c>
      <c r="DH1" t="s">
        <v>475</v>
      </c>
      <c r="DI1" t="s">
        <v>476</v>
      </c>
      <c r="DJ1">
        <v>20</v>
      </c>
      <c r="DK1" t="s">
        <v>477</v>
      </c>
      <c r="DL1" t="s">
        <v>346</v>
      </c>
      <c r="DM1" t="s">
        <v>347</v>
      </c>
      <c r="DN1" s="2" t="s">
        <v>348</v>
      </c>
      <c r="DO1" t="s">
        <v>478</v>
      </c>
      <c r="DP1" t="s">
        <v>454</v>
      </c>
      <c r="DQ1" s="13" t="s">
        <v>455</v>
      </c>
      <c r="DR1" s="1" t="s">
        <v>456</v>
      </c>
      <c r="DS1" s="1" t="s">
        <v>479</v>
      </c>
      <c r="DT1" t="s">
        <v>457</v>
      </c>
      <c r="DU1" t="s">
        <v>458</v>
      </c>
      <c r="DV1" t="s">
        <v>459</v>
      </c>
      <c r="DW1" t="s">
        <v>460</v>
      </c>
      <c r="DX1" t="s">
        <v>480</v>
      </c>
      <c r="DY1" t="s">
        <v>461</v>
      </c>
      <c r="DZ1" t="s">
        <v>481</v>
      </c>
      <c r="EA1" t="s">
        <v>462</v>
      </c>
      <c r="EB1" t="s">
        <v>463</v>
      </c>
      <c r="EC1" t="s">
        <v>482</v>
      </c>
      <c r="ED1" t="s">
        <v>483</v>
      </c>
      <c r="EE1" t="s">
        <v>464</v>
      </c>
      <c r="EF1" t="s">
        <v>465</v>
      </c>
      <c r="EG1" t="s">
        <v>466</v>
      </c>
      <c r="EH1" t="s">
        <v>467</v>
      </c>
      <c r="EI1" t="s">
        <v>368</v>
      </c>
      <c r="EJ1"/>
      <c r="EK1" s="14" t="s">
        <v>484</v>
      </c>
      <c r="EL1" t="s">
        <v>485</v>
      </c>
      <c r="EM1" t="s">
        <v>486</v>
      </c>
      <c r="EN1" t="s">
        <v>369</v>
      </c>
      <c r="EO1" t="s">
        <v>468</v>
      </c>
      <c r="EP1" t="s">
        <v>469</v>
      </c>
    </row>
    <row r="2" spans="1:146" ht="141" customHeight="1" x14ac:dyDescent="0.25">
      <c r="A2" s="7" t="s">
        <v>415</v>
      </c>
      <c r="B2" s="7" t="s">
        <v>414</v>
      </c>
      <c r="C2" s="7" t="str">
        <f>"公司主要从事粘胶纤维的生产和销售。主要产品有粘胶长丝、醋酐。经过多年的发展,凭借突出的技术优势、质量优势和产能优势,公司已成长为全球最大的粘胶长丝厂商,主要产品粘胶长丝在行业内竞争优势明显。"&amp;CHAR(10)&amp;Basic_Fundamental_Information_Constructure(F2)&amp;CHAR(10)&amp;Basic_Fundamental_Information_Concatenate("粘胶长丝 12.36亿 66.36% 84.49% 10.01%
粘胶短纤 5.44亿 29.20% 0.54% 0.15%
其他 4348.97万 2.33% 9.81% 33.03%")</f>
        <v>公司主要从事粘胶纤维的生产和销售。主要产品有粘胶长丝、醋酐。经过多年的发展,凭借突出的技术优势、质量优势和产能优势,公司已成长为全球最大的粘胶长丝厂商,主要产品粘胶长丝在行业内竞争优势明显。
市值65.405898亿, 利润-9144.81万; PE126.9; 平均PE-270.75; 平均PEG-22.48, PB1.49; ROIC.95%; ROE-4.01%; 股利率0%; 毛利9.7633%; 净利-3.3867%; 上一年度营收增2.51%, 利润增29.11%; 当季营收增-11.63%, 利润增-6.55%; 过往5年营收增12.04%, 利润增-51.89%
Income profile:
粘胶长丝 12.36亿 66.36% 84.49% 10.01%
粘胶短纤 5.44亿 29.20% 0.54% 0.15%
其他 4348.97万 2.33% 9.81% 33.03%</v>
      </c>
      <c r="D2" t="s">
        <v>73</v>
      </c>
      <c r="E2" t="s">
        <v>6</v>
      </c>
      <c r="F2">
        <v>2.66</v>
      </c>
      <c r="G2">
        <v>1.5299999999999999E-2</v>
      </c>
      <c r="H2" t="s">
        <v>500</v>
      </c>
      <c r="I2">
        <v>6540589800</v>
      </c>
      <c r="J2">
        <v>126.9</v>
      </c>
      <c r="K2">
        <v>1.49</v>
      </c>
      <c r="L2" t="s">
        <v>32</v>
      </c>
      <c r="M2" t="s">
        <v>501</v>
      </c>
      <c r="N2" t="s">
        <v>502</v>
      </c>
      <c r="O2" t="s">
        <v>410</v>
      </c>
      <c r="P2">
        <v>-9.08</v>
      </c>
      <c r="Q2" t="s">
        <v>503</v>
      </c>
      <c r="R2">
        <v>54481979</v>
      </c>
      <c r="S2" s="6">
        <v>1.6160000000000001</v>
      </c>
      <c r="T2" t="s">
        <v>504</v>
      </c>
      <c r="U2">
        <v>2458028100</v>
      </c>
      <c r="V2">
        <v>2458868300</v>
      </c>
      <c r="W2">
        <v>2.4700000000000002</v>
      </c>
      <c r="X2">
        <v>0.26</v>
      </c>
      <c r="Y2">
        <v>1.98</v>
      </c>
      <c r="Z2" t="s">
        <v>505</v>
      </c>
      <c r="AA2" t="s">
        <v>506</v>
      </c>
      <c r="AB2" t="s">
        <v>507</v>
      </c>
      <c r="AC2" t="s">
        <v>508</v>
      </c>
      <c r="AD2" t="s">
        <v>509</v>
      </c>
      <c r="AE2">
        <v>176649190</v>
      </c>
      <c r="AF2" t="s">
        <v>510</v>
      </c>
      <c r="AG2" t="s">
        <v>511</v>
      </c>
      <c r="AH2" t="s">
        <v>512</v>
      </c>
      <c r="AI2" t="s">
        <v>377</v>
      </c>
      <c r="AJ2" t="s">
        <v>513</v>
      </c>
      <c r="AK2" t="s">
        <v>10</v>
      </c>
      <c r="AL2" t="s">
        <v>514</v>
      </c>
      <c r="AM2" t="s">
        <v>10</v>
      </c>
      <c r="AN2" t="s">
        <v>515</v>
      </c>
      <c r="AO2" t="s">
        <v>516</v>
      </c>
      <c r="AP2" t="s">
        <v>255</v>
      </c>
      <c r="AQ2" t="s">
        <v>407</v>
      </c>
      <c r="AR2" t="s">
        <v>10</v>
      </c>
      <c r="AS2" t="s">
        <v>517</v>
      </c>
      <c r="AT2" t="s">
        <v>518</v>
      </c>
      <c r="AU2" t="s">
        <v>519</v>
      </c>
      <c r="AV2" t="s">
        <v>520</v>
      </c>
      <c r="AW2" t="s">
        <v>355</v>
      </c>
      <c r="AX2" t="s">
        <v>349</v>
      </c>
      <c r="AY2" t="s">
        <v>156</v>
      </c>
      <c r="AZ2" t="s">
        <v>74</v>
      </c>
      <c r="BA2" t="s">
        <v>158</v>
      </c>
      <c r="BB2" t="s">
        <v>159</v>
      </c>
      <c r="BC2" t="s">
        <v>306</v>
      </c>
      <c r="BD2" t="s">
        <v>157</v>
      </c>
      <c r="BE2" t="s">
        <v>75</v>
      </c>
      <c r="BF2" t="s">
        <v>108</v>
      </c>
      <c r="BG2" t="s">
        <v>160</v>
      </c>
      <c r="BH2" t="s">
        <v>521</v>
      </c>
      <c r="BI2" t="s">
        <v>522</v>
      </c>
      <c r="BJ2" t="s">
        <v>390</v>
      </c>
      <c r="BK2" t="s">
        <v>523</v>
      </c>
      <c r="BL2" t="s">
        <v>524</v>
      </c>
      <c r="BM2" t="s">
        <v>391</v>
      </c>
      <c r="BN2">
        <v>0.95</v>
      </c>
      <c r="BO2" t="s">
        <v>10</v>
      </c>
      <c r="BP2" t="s">
        <v>10</v>
      </c>
      <c r="BQ2">
        <v>0.28000000000000003</v>
      </c>
      <c r="BR2">
        <v>-4.25</v>
      </c>
      <c r="BS2">
        <v>-8.06</v>
      </c>
      <c r="BT2" t="s">
        <v>488</v>
      </c>
      <c r="BU2" t="s">
        <v>371</v>
      </c>
      <c r="BV2">
        <v>13.12</v>
      </c>
      <c r="BW2">
        <v>8.8800000000000008</v>
      </c>
      <c r="BX2">
        <v>7.29</v>
      </c>
      <c r="BY2">
        <v>2.83</v>
      </c>
      <c r="BZ2">
        <v>-3.71</v>
      </c>
      <c r="CA2">
        <v>-9.2799999999999994</v>
      </c>
      <c r="CB2">
        <v>5.56</v>
      </c>
      <c r="CC2">
        <v>-3.62</v>
      </c>
      <c r="CD2" t="s">
        <v>204</v>
      </c>
      <c r="CE2" t="s">
        <v>525</v>
      </c>
      <c r="CF2" s="9">
        <v>-0.11633875106928999</v>
      </c>
      <c r="CG2" s="10">
        <v>-6.5531142622078112E-2</v>
      </c>
      <c r="CH2" s="9">
        <v>2.5139700621366501E-2</v>
      </c>
      <c r="CI2" s="9">
        <v>0.43200001120567322</v>
      </c>
      <c r="CJ2" s="9">
        <v>-7.0977352559566498E-2</v>
      </c>
      <c r="CK2" s="9">
        <v>5.0351366400718689E-2</v>
      </c>
      <c r="CL2" s="9">
        <v>0.16560496389865875</v>
      </c>
      <c r="CM2" s="10">
        <v>0.29110002517700195</v>
      </c>
      <c r="CN2" s="10">
        <v>0.44635194540023804</v>
      </c>
      <c r="CO2" s="10">
        <v>-3.5629122257232666</v>
      </c>
      <c r="CP2" s="10">
        <v>-0.31127122044563293</v>
      </c>
      <c r="CQ2" s="10">
        <v>0.54216241836547852</v>
      </c>
      <c r="CR2">
        <v>-270.75377013394342</v>
      </c>
      <c r="CS2">
        <v>-22.483421858962476</v>
      </c>
      <c r="CT2">
        <v>0</v>
      </c>
      <c r="CU2" s="9">
        <v>0.12042373791337013</v>
      </c>
      <c r="CV2" s="10">
        <v>-0.51891381144523618</v>
      </c>
      <c r="CW2">
        <v>0.06</v>
      </c>
      <c r="CX2" t="e">
        <v>#VALUE!</v>
      </c>
      <c r="CY2" t="s">
        <v>351</v>
      </c>
      <c r="CZ2">
        <v>0.12042373791337013</v>
      </c>
      <c r="DA2" t="e">
        <v>#VALUE!</v>
      </c>
      <c r="DB2" t="s">
        <v>351</v>
      </c>
      <c r="DC2">
        <v>0.11440255101770162</v>
      </c>
      <c r="DD2" t="e">
        <v>#VALUE!</v>
      </c>
      <c r="DE2" t="s">
        <v>351</v>
      </c>
      <c r="DF2">
        <v>0.10597288936376571</v>
      </c>
      <c r="DG2" t="e">
        <v>#VALUE!</v>
      </c>
      <c r="DH2" t="s">
        <v>351</v>
      </c>
      <c r="DI2">
        <v>9.6338990330696109E-2</v>
      </c>
      <c r="DJ2" t="e">
        <v>#VALUE!</v>
      </c>
      <c r="DK2" t="s">
        <v>351</v>
      </c>
      <c r="DL2">
        <v>8.429661653935909E-2</v>
      </c>
      <c r="DM2">
        <v>-91448100</v>
      </c>
      <c r="DN2">
        <v>0.12042373791337013</v>
      </c>
      <c r="DO2">
        <v>8620589800</v>
      </c>
      <c r="DP2">
        <v>-2309552200</v>
      </c>
      <c r="DQ2">
        <v>85</v>
      </c>
      <c r="DR2">
        <v>-0.23676248898266011</v>
      </c>
      <c r="DS2">
        <v>0.45338266882315809</v>
      </c>
      <c r="DT2" s="11">
        <v>-0.19000000000000003</v>
      </c>
      <c r="DU2">
        <v>-0.61666666666666681</v>
      </c>
      <c r="DV2">
        <v>-0.80666666666666687</v>
      </c>
      <c r="DW2">
        <v>4.6510791366906474</v>
      </c>
      <c r="DX2">
        <v>0.47711229946524214</v>
      </c>
      <c r="DY2">
        <v>4.1413572885007506</v>
      </c>
      <c r="DZ2">
        <v>3657</v>
      </c>
      <c r="EA2">
        <v>4.040213949810231</v>
      </c>
      <c r="EB2">
        <v>4</v>
      </c>
      <c r="EC2">
        <v>8.2558305379755378E-2</v>
      </c>
      <c r="ED2">
        <v>0.38025623413828225</v>
      </c>
      <c r="EE2" s="12">
        <v>-1.1486000000000001</v>
      </c>
      <c r="EF2">
        <v>-1.1487529999999999</v>
      </c>
      <c r="EG2">
        <v>26.217112299465242</v>
      </c>
      <c r="EH2" t="s">
        <v>353</v>
      </c>
      <c r="EI2">
        <v>0</v>
      </c>
      <c r="EJ2">
        <v>0</v>
      </c>
      <c r="EK2" s="14">
        <v>45330</v>
      </c>
      <c r="EL2" s="15">
        <v>-3.17</v>
      </c>
      <c r="EM2" s="15">
        <v>-8.1999999999999993</v>
      </c>
      <c r="EN2" s="15">
        <v>8.0399999999999991</v>
      </c>
      <c r="EO2" s="15">
        <v>8.26</v>
      </c>
      <c r="EP2" s="15">
        <v>1.5299999999999999E-2</v>
      </c>
    </row>
    <row r="3" spans="1:146" ht="84" x14ac:dyDescent="0.25">
      <c r="A3" s="7"/>
      <c r="B3" s="7"/>
      <c r="C3" s="7" t="str">
        <f>""&amp;CHAR(10)&amp;Basic_Fundamental_Information_Constructure(F3)&amp;CHAR(10)&amp;Basic_Fundamental_Information_Concatenate("")</f>
        <v xml:space="preserve">
市值22.895416亿, 利润4637.62万; PE48.04; 平均PE72.79; 平均PEG7.05, PB4.85; ROIC12.66%; ROE15.2367%; 股利率0%; 毛利24.6667%; 净利11.5167%; 上一年度营收增3.94%, 利润增-6.42%; 当季营收增15.9%, 利润增14.06%; 过往5年营收增10.33%, 利润增294.8%
Income profile:
</v>
      </c>
      <c r="D3" t="s">
        <v>35</v>
      </c>
      <c r="E3" t="s">
        <v>5</v>
      </c>
      <c r="F3">
        <v>2.65</v>
      </c>
      <c r="G3">
        <v>2.3199999999999998</v>
      </c>
      <c r="H3" t="s">
        <v>601</v>
      </c>
      <c r="I3">
        <v>2289541600</v>
      </c>
      <c r="J3">
        <v>48.04</v>
      </c>
      <c r="K3">
        <v>4.8499999999999996</v>
      </c>
      <c r="L3" t="s">
        <v>602</v>
      </c>
      <c r="M3" t="s">
        <v>45</v>
      </c>
      <c r="N3" t="s">
        <v>224</v>
      </c>
      <c r="O3" t="s">
        <v>102</v>
      </c>
      <c r="P3">
        <v>15.59</v>
      </c>
      <c r="Q3" t="s">
        <v>592</v>
      </c>
      <c r="R3">
        <v>10444659</v>
      </c>
      <c r="S3" s="6">
        <v>0.1406</v>
      </c>
      <c r="T3" t="s">
        <v>603</v>
      </c>
      <c r="U3">
        <v>863977950</v>
      </c>
      <c r="V3">
        <v>863977950</v>
      </c>
      <c r="W3">
        <v>1.24</v>
      </c>
      <c r="X3">
        <v>0.21</v>
      </c>
      <c r="Y3">
        <v>7.88</v>
      </c>
      <c r="Z3" t="s">
        <v>394</v>
      </c>
      <c r="AA3" t="s">
        <v>395</v>
      </c>
      <c r="AB3" t="s">
        <v>604</v>
      </c>
      <c r="AC3" t="s">
        <v>605</v>
      </c>
      <c r="AD3" t="s">
        <v>10</v>
      </c>
      <c r="AE3">
        <v>-1844133</v>
      </c>
      <c r="AF3" t="s">
        <v>39</v>
      </c>
      <c r="AG3" t="s">
        <v>606</v>
      </c>
      <c r="AH3" t="s">
        <v>607</v>
      </c>
      <c r="AI3" t="s">
        <v>608</v>
      </c>
      <c r="AJ3" t="s">
        <v>609</v>
      </c>
      <c r="AK3" t="s">
        <v>610</v>
      </c>
      <c r="AL3" t="s">
        <v>611</v>
      </c>
      <c r="AM3" t="s">
        <v>10</v>
      </c>
      <c r="AN3">
        <v>0</v>
      </c>
      <c r="AO3" t="s">
        <v>10</v>
      </c>
      <c r="AP3" t="s">
        <v>612</v>
      </c>
      <c r="AQ3" t="s">
        <v>613</v>
      </c>
      <c r="AR3" t="s">
        <v>10</v>
      </c>
      <c r="AS3" t="s">
        <v>397</v>
      </c>
      <c r="AT3" t="s">
        <v>10</v>
      </c>
      <c r="AU3" t="s">
        <v>614</v>
      </c>
      <c r="AV3" t="s">
        <v>615</v>
      </c>
      <c r="AW3" t="s">
        <v>616</v>
      </c>
      <c r="AX3" t="s">
        <v>240</v>
      </c>
      <c r="AY3" t="s">
        <v>301</v>
      </c>
      <c r="AZ3" t="s">
        <v>161</v>
      </c>
      <c r="BA3" t="s">
        <v>37</v>
      </c>
      <c r="BB3" t="s">
        <v>164</v>
      </c>
      <c r="BC3" t="s">
        <v>526</v>
      </c>
      <c r="BD3" t="s">
        <v>302</v>
      </c>
      <c r="BE3" t="s">
        <v>162</v>
      </c>
      <c r="BF3" t="s">
        <v>38</v>
      </c>
      <c r="BG3" t="s">
        <v>165</v>
      </c>
      <c r="BH3" t="s">
        <v>592</v>
      </c>
      <c r="BI3" t="s">
        <v>88</v>
      </c>
      <c r="BJ3" t="s">
        <v>240</v>
      </c>
      <c r="BK3" t="s">
        <v>603</v>
      </c>
      <c r="BL3" t="s">
        <v>617</v>
      </c>
      <c r="BM3" t="s">
        <v>526</v>
      </c>
      <c r="BN3">
        <v>7.91</v>
      </c>
      <c r="BO3">
        <v>10.91</v>
      </c>
      <c r="BP3">
        <v>19.16</v>
      </c>
      <c r="BQ3">
        <v>9.16</v>
      </c>
      <c r="BR3">
        <v>12.71</v>
      </c>
      <c r="BS3">
        <v>23.84</v>
      </c>
      <c r="BT3" t="s">
        <v>488</v>
      </c>
      <c r="BU3" t="s">
        <v>370</v>
      </c>
      <c r="BV3">
        <v>20.95</v>
      </c>
      <c r="BW3">
        <v>23.49</v>
      </c>
      <c r="BX3">
        <v>29.56</v>
      </c>
      <c r="BY3">
        <v>9.61</v>
      </c>
      <c r="BZ3">
        <v>10.41</v>
      </c>
      <c r="CA3">
        <v>14.53</v>
      </c>
      <c r="CB3">
        <v>-5.0199999999999996</v>
      </c>
      <c r="CC3">
        <v>-4.68</v>
      </c>
      <c r="CD3" t="s">
        <v>187</v>
      </c>
      <c r="CE3" t="s">
        <v>403</v>
      </c>
      <c r="CF3" s="9">
        <v>0.15899581589958159</v>
      </c>
      <c r="CG3" s="10">
        <v>0.14059526929629143</v>
      </c>
      <c r="CH3" s="9">
        <v>3.9354186505079269E-2</v>
      </c>
      <c r="CI3" s="9">
        <v>-7.2097375988960266E-2</v>
      </c>
      <c r="CJ3" s="9">
        <v>0.57058823108673096</v>
      </c>
      <c r="CK3" s="9">
        <v>-0.14032869040966034</v>
      </c>
      <c r="CL3" s="9">
        <v>0.11881188303232193</v>
      </c>
      <c r="CM3" s="10">
        <v>-6.4177125692367554E-2</v>
      </c>
      <c r="CN3" s="10">
        <v>-0.36298477649688721</v>
      </c>
      <c r="CO3" s="10">
        <v>10.894896507263184</v>
      </c>
      <c r="CP3" s="10">
        <v>-8.2193128764629364E-2</v>
      </c>
      <c r="CQ3" s="10">
        <v>4.3545985221862793</v>
      </c>
      <c r="CR3">
        <v>72.789887068306371</v>
      </c>
      <c r="CS3">
        <v>7.0487997985903919</v>
      </c>
      <c r="CT3">
        <v>0</v>
      </c>
      <c r="CU3" s="9">
        <v>0.10326564684510231</v>
      </c>
      <c r="CV3" s="10">
        <v>2.9480279996991157</v>
      </c>
      <c r="CW3">
        <v>0.06</v>
      </c>
      <c r="CX3">
        <v>32.723645393009399</v>
      </c>
      <c r="CY3">
        <v>48269121.029450782</v>
      </c>
      <c r="CZ3">
        <v>0.10326564684510231</v>
      </c>
      <c r="DA3">
        <v>10.574508955309424</v>
      </c>
      <c r="DB3">
        <v>149372571.97242409</v>
      </c>
      <c r="DC3">
        <v>9.8102364502847192E-2</v>
      </c>
      <c r="DD3">
        <v>5.127699007739519</v>
      </c>
      <c r="DE3">
        <v>308041013.6429441</v>
      </c>
      <c r="DF3">
        <v>9.0873769223690032E-2</v>
      </c>
      <c r="DG3">
        <v>3.027042538690127</v>
      </c>
      <c r="DH3">
        <v>521810176.04182899</v>
      </c>
      <c r="DI3">
        <v>8.2612517476081851E-2</v>
      </c>
      <c r="DJ3">
        <v>1.5055584342852999</v>
      </c>
      <c r="DK3">
        <v>1049140016.1095843</v>
      </c>
      <c r="DL3">
        <v>7.2285952791571614E-2</v>
      </c>
      <c r="DM3">
        <v>46376200</v>
      </c>
      <c r="DN3">
        <v>0.10326564684510231</v>
      </c>
      <c r="DO3">
        <v>1579541600</v>
      </c>
      <c r="DP3">
        <v>611600310</v>
      </c>
      <c r="DQ3">
        <v>211</v>
      </c>
      <c r="DR3">
        <v>5.5730169054479278E-2</v>
      </c>
      <c r="DS3">
        <v>-2.8074327304028244</v>
      </c>
      <c r="DT3" s="11">
        <v>-0.3066666666666667</v>
      </c>
      <c r="DU3">
        <v>0.71850000000000003</v>
      </c>
      <c r="DV3">
        <v>0.41183333333333333</v>
      </c>
      <c r="DW3">
        <v>-4.9322709163346614</v>
      </c>
      <c r="DX3">
        <v>0.29931174089068918</v>
      </c>
      <c r="DY3">
        <v>-4.1019081568462994</v>
      </c>
      <c r="DZ3">
        <v>856</v>
      </c>
      <c r="EA3">
        <v>-4.0848370448579567</v>
      </c>
      <c r="EB3">
        <v>4</v>
      </c>
      <c r="EC3">
        <v>0.12500319018558287</v>
      </c>
      <c r="ED3">
        <v>1.1435477028088508</v>
      </c>
      <c r="EE3" s="12">
        <v>-4.0254000000000003</v>
      </c>
      <c r="EF3">
        <v>-4.0158100000000001</v>
      </c>
      <c r="EG3">
        <v>19.109311740890689</v>
      </c>
      <c r="EH3" t="s">
        <v>567</v>
      </c>
      <c r="EI3">
        <v>0</v>
      </c>
      <c r="EJ3">
        <v>1</v>
      </c>
      <c r="EK3" s="14">
        <v>45470</v>
      </c>
      <c r="EL3" s="15">
        <v>2.3199999999999998</v>
      </c>
      <c r="EM3" s="15">
        <v>-6.47</v>
      </c>
      <c r="EN3" s="15">
        <v>-0.35</v>
      </c>
      <c r="EO3" s="15">
        <v>1.04</v>
      </c>
      <c r="EP3" s="15">
        <v>-4.12</v>
      </c>
    </row>
    <row r="4" spans="1:146" ht="84" x14ac:dyDescent="0.25">
      <c r="A4" s="7"/>
      <c r="B4" s="7"/>
      <c r="C4" s="7" t="str">
        <f>""&amp;CHAR(10)&amp;Basic_Fundamental_Information_Constructure(F4)&amp;CHAR(10)&amp;Basic_Fundamental_Information_Concatenate("")</f>
        <v xml:space="preserve">
市值29.660321亿, 利润-1.43亿; PE; 平均PE-339.86; 平均PEG-98.4, PB1.61; ROIC3.71%; ROE-1.9333%; 股利率0%; 毛利5.6433%; 净利-1.7533%; 上一年度营收增-3.33%, 利润增-159.02%; 当季营收增28.45%, 利润增53.56%; 过往5年营收增-3.45%, 利润增-40.56%
Income profile:
</v>
      </c>
      <c r="D4" t="s">
        <v>85</v>
      </c>
      <c r="E4" t="s">
        <v>618</v>
      </c>
      <c r="F4">
        <v>4.32</v>
      </c>
      <c r="G4">
        <v>0.93</v>
      </c>
      <c r="H4" t="s">
        <v>619</v>
      </c>
      <c r="I4">
        <v>2966032100</v>
      </c>
      <c r="K4">
        <v>1.61</v>
      </c>
      <c r="L4" t="s">
        <v>602</v>
      </c>
      <c r="M4" t="s">
        <v>620</v>
      </c>
      <c r="N4" t="s">
        <v>621</v>
      </c>
      <c r="O4" t="s">
        <v>622</v>
      </c>
      <c r="P4">
        <v>28.51</v>
      </c>
      <c r="Q4" t="s">
        <v>623</v>
      </c>
      <c r="R4">
        <v>-7490617</v>
      </c>
      <c r="S4" s="6">
        <v>0.53559999999999997</v>
      </c>
      <c r="T4" t="s">
        <v>624</v>
      </c>
      <c r="U4">
        <v>528139620</v>
      </c>
      <c r="V4">
        <v>686581510</v>
      </c>
      <c r="W4">
        <v>2.0099999999999998</v>
      </c>
      <c r="X4">
        <v>0.22</v>
      </c>
      <c r="Y4">
        <v>-0.97</v>
      </c>
      <c r="Z4" t="s">
        <v>622</v>
      </c>
      <c r="AA4" t="s">
        <v>211</v>
      </c>
      <c r="AB4" t="s">
        <v>625</v>
      </c>
      <c r="AC4" t="s">
        <v>626</v>
      </c>
      <c r="AD4" t="s">
        <v>10</v>
      </c>
      <c r="AE4">
        <v>3777455</v>
      </c>
      <c r="AF4" t="s">
        <v>627</v>
      </c>
      <c r="AG4" t="s">
        <v>628</v>
      </c>
      <c r="AH4" t="s">
        <v>629</v>
      </c>
      <c r="AI4" t="s">
        <v>412</v>
      </c>
      <c r="AJ4" t="s">
        <v>630</v>
      </c>
      <c r="AK4" t="s">
        <v>631</v>
      </c>
      <c r="AL4" t="s">
        <v>632</v>
      </c>
      <c r="AM4" t="s">
        <v>10</v>
      </c>
      <c r="AN4" t="s">
        <v>633</v>
      </c>
      <c r="AO4" t="s">
        <v>387</v>
      </c>
      <c r="AP4" t="s">
        <v>634</v>
      </c>
      <c r="AQ4" t="s">
        <v>392</v>
      </c>
      <c r="AR4" t="s">
        <v>10</v>
      </c>
      <c r="AS4" t="s">
        <v>635</v>
      </c>
      <c r="AT4" t="s">
        <v>214</v>
      </c>
      <c r="AU4" t="s">
        <v>636</v>
      </c>
      <c r="AV4" t="s">
        <v>637</v>
      </c>
      <c r="AW4" t="s">
        <v>638</v>
      </c>
      <c r="AX4" t="s">
        <v>639</v>
      </c>
      <c r="AY4" t="s">
        <v>303</v>
      </c>
      <c r="AZ4" t="s">
        <v>166</v>
      </c>
      <c r="BA4" t="s">
        <v>86</v>
      </c>
      <c r="BB4" t="s">
        <v>168</v>
      </c>
      <c r="BC4" t="s">
        <v>640</v>
      </c>
      <c r="BD4" t="s">
        <v>304</v>
      </c>
      <c r="BE4" t="s">
        <v>167</v>
      </c>
      <c r="BF4" t="s">
        <v>169</v>
      </c>
      <c r="BG4" t="s">
        <v>170</v>
      </c>
      <c r="BH4" t="s">
        <v>623</v>
      </c>
      <c r="BI4" t="s">
        <v>574</v>
      </c>
      <c r="BJ4" t="s">
        <v>639</v>
      </c>
      <c r="BK4" t="s">
        <v>624</v>
      </c>
      <c r="BL4" t="s">
        <v>641</v>
      </c>
      <c r="BM4" t="s">
        <v>640</v>
      </c>
      <c r="BN4" t="s">
        <v>10</v>
      </c>
      <c r="BO4" t="s">
        <v>10</v>
      </c>
      <c r="BP4">
        <v>3.71</v>
      </c>
      <c r="BQ4">
        <v>-5.84</v>
      </c>
      <c r="BR4">
        <v>-3.81</v>
      </c>
      <c r="BS4">
        <v>3.85</v>
      </c>
      <c r="BT4" t="s">
        <v>488</v>
      </c>
      <c r="BU4" t="s">
        <v>326</v>
      </c>
      <c r="BV4">
        <v>2.8</v>
      </c>
      <c r="BW4">
        <v>4.59</v>
      </c>
      <c r="BX4">
        <v>9.5399999999999991</v>
      </c>
      <c r="BY4">
        <v>-5.0599999999999996</v>
      </c>
      <c r="BZ4">
        <v>-1.89</v>
      </c>
      <c r="CA4">
        <v>1.69</v>
      </c>
      <c r="CB4">
        <v>-0.92</v>
      </c>
      <c r="CC4">
        <v>-4.8499999999999996</v>
      </c>
      <c r="CD4" t="s">
        <v>642</v>
      </c>
      <c r="CE4" t="s">
        <v>87</v>
      </c>
      <c r="CF4" s="9">
        <v>0.28452579034941766</v>
      </c>
      <c r="CG4" s="10">
        <v>0.5356240042156164</v>
      </c>
      <c r="CH4" s="9">
        <v>-3.3287554979324341E-2</v>
      </c>
      <c r="CI4" s="9">
        <v>-0.12228919565677643</v>
      </c>
      <c r="CJ4" s="9">
        <v>0.41276589035987854</v>
      </c>
      <c r="CK4" s="9">
        <v>-0.21325741708278656</v>
      </c>
      <c r="CL4" s="9">
        <v>-0.21662729978561401</v>
      </c>
      <c r="CM4" s="10">
        <v>-1.5902277231216431</v>
      </c>
      <c r="CN4" s="10">
        <v>-1.9812276363372803</v>
      </c>
      <c r="CO4" s="10">
        <v>0.47649726271629333</v>
      </c>
      <c r="CP4" s="10">
        <v>1.6867706775665283</v>
      </c>
      <c r="CQ4" s="10">
        <v>-0.61966860294342041</v>
      </c>
      <c r="CR4">
        <v>-339.85678273922059</v>
      </c>
      <c r="CS4">
        <v>-98.397651045402782</v>
      </c>
      <c r="CT4">
        <v>0</v>
      </c>
      <c r="CU4" s="9">
        <v>-3.4539115428924558E-2</v>
      </c>
      <c r="CV4" s="10">
        <v>-0.40557120442390443</v>
      </c>
      <c r="CW4">
        <v>0.06</v>
      </c>
      <c r="CX4" t="e">
        <v>#VALUE!</v>
      </c>
      <c r="CY4" t="s">
        <v>350</v>
      </c>
      <c r="CZ4">
        <v>-3.4539115428924558E-2</v>
      </c>
      <c r="DA4" t="e">
        <v>#VALUE!</v>
      </c>
      <c r="DB4" t="s">
        <v>351</v>
      </c>
      <c r="DC4">
        <v>-3.2812159657478329E-2</v>
      </c>
      <c r="DD4" t="e">
        <v>#VALUE!</v>
      </c>
      <c r="DE4" t="s">
        <v>351</v>
      </c>
      <c r="DF4">
        <v>-3.0394421577453611E-2</v>
      </c>
      <c r="DG4" t="e">
        <v>#VALUE!</v>
      </c>
      <c r="DH4" t="s">
        <v>351</v>
      </c>
      <c r="DI4">
        <v>-2.7631292343139647E-2</v>
      </c>
      <c r="DJ4" t="e">
        <v>#VALUE!</v>
      </c>
      <c r="DK4" t="s">
        <v>351</v>
      </c>
      <c r="DL4">
        <v>-2.417738080024719E-2</v>
      </c>
      <c r="DM4">
        <v>-143000000</v>
      </c>
      <c r="DN4">
        <v>-3.4539115428924558E-2</v>
      </c>
      <c r="DO4">
        <v>3264032100</v>
      </c>
      <c r="DP4">
        <v>771767700</v>
      </c>
      <c r="DQ4">
        <v>278</v>
      </c>
      <c r="DR4">
        <v>0.31906490577834223</v>
      </c>
      <c r="DS4">
        <v>0.94119520863952078</v>
      </c>
      <c r="DT4" s="11">
        <v>-0.52333333333333332</v>
      </c>
      <c r="DU4">
        <v>-1.5383333333333333</v>
      </c>
      <c r="DV4">
        <v>-2.0616666666666665</v>
      </c>
      <c r="DW4">
        <v>-1.0485</v>
      </c>
      <c r="DX4">
        <v>0.32541226415094382</v>
      </c>
      <c r="DY4">
        <v>-1.0055974948113207</v>
      </c>
      <c r="DZ4">
        <v>4428</v>
      </c>
      <c r="EA4">
        <v>-1.000747062908282</v>
      </c>
      <c r="EB4">
        <v>1</v>
      </c>
      <c r="EC4">
        <v>1.7818277687087724E-2</v>
      </c>
      <c r="ED4">
        <v>0.15438807840892774</v>
      </c>
      <c r="EE4" s="12">
        <v>1.0478000000000001</v>
      </c>
      <c r="EF4">
        <v>1.0732999999999999</v>
      </c>
      <c r="EG4">
        <v>21.115412264150944</v>
      </c>
      <c r="EH4" t="s">
        <v>494</v>
      </c>
      <c r="EI4">
        <v>0</v>
      </c>
      <c r="EJ4">
        <v>0</v>
      </c>
      <c r="EK4" s="14">
        <v>45470</v>
      </c>
      <c r="EL4" s="15">
        <v>-3.26</v>
      </c>
      <c r="EM4" s="15">
        <v>-1.92</v>
      </c>
      <c r="EN4" s="15">
        <v>0.74</v>
      </c>
      <c r="EO4" s="15">
        <v>5.1100000000000003</v>
      </c>
      <c r="EP4" s="15">
        <v>2.5499999999999998</v>
      </c>
    </row>
    <row r="5" spans="1:146" ht="84" x14ac:dyDescent="0.25">
      <c r="A5" s="7"/>
      <c r="B5" s="7"/>
      <c r="C5" s="7" t="str">
        <f>""&amp;CHAR(10)&amp;Basic_Fundamental_Information_Constructure(F5)&amp;CHAR(10)&amp;Basic_Fundamental_Information_Concatenate("")</f>
        <v xml:space="preserve">
市值49.882526亿, 利润7239.31万; PE55.2; 平均PE25.77; 平均PEG32.64, PB.967; ROIC3.9433%; ROE4.3267%; 股利率.3552%; 毛利7.97%; 净利8.31%; 上一年度营收增-2.36%, 利润增-63.25%; 当季营收增-3.71%, 利润增81.06%; 过往5年营收增.79%, 利润增2.58%
Income profile:
</v>
      </c>
      <c r="D5" t="s">
        <v>42</v>
      </c>
      <c r="E5" t="s">
        <v>9</v>
      </c>
      <c r="F5">
        <v>5.63</v>
      </c>
      <c r="G5">
        <v>1.62</v>
      </c>
      <c r="H5" t="s">
        <v>643</v>
      </c>
      <c r="I5">
        <v>4988252600</v>
      </c>
      <c r="J5">
        <v>55.2</v>
      </c>
      <c r="K5">
        <v>0.96699999999999997</v>
      </c>
      <c r="L5" t="s">
        <v>602</v>
      </c>
      <c r="M5" t="s">
        <v>644</v>
      </c>
      <c r="N5" t="s">
        <v>645</v>
      </c>
      <c r="O5" t="s">
        <v>388</v>
      </c>
      <c r="P5">
        <v>-3.81</v>
      </c>
      <c r="Q5" t="s">
        <v>646</v>
      </c>
      <c r="R5">
        <v>40145777</v>
      </c>
      <c r="S5" s="6">
        <v>0.81059999999999999</v>
      </c>
      <c r="T5" t="s">
        <v>647</v>
      </c>
      <c r="U5">
        <v>885887340</v>
      </c>
      <c r="V5">
        <v>886012890</v>
      </c>
      <c r="W5">
        <v>1.25</v>
      </c>
      <c r="X5">
        <v>0.1</v>
      </c>
      <c r="Y5">
        <v>6.2</v>
      </c>
      <c r="Z5" t="s">
        <v>279</v>
      </c>
      <c r="AA5" t="s">
        <v>222</v>
      </c>
      <c r="AB5" t="s">
        <v>648</v>
      </c>
      <c r="AC5" t="s">
        <v>649</v>
      </c>
      <c r="AD5" t="s">
        <v>10</v>
      </c>
      <c r="AE5">
        <v>5070818</v>
      </c>
      <c r="AF5" t="s">
        <v>650</v>
      </c>
      <c r="AG5" t="s">
        <v>651</v>
      </c>
      <c r="AH5" t="s">
        <v>652</v>
      </c>
      <c r="AI5" t="s">
        <v>276</v>
      </c>
      <c r="AJ5" t="s">
        <v>653</v>
      </c>
      <c r="AK5" t="s">
        <v>654</v>
      </c>
      <c r="AL5" t="s">
        <v>655</v>
      </c>
      <c r="AM5" t="s">
        <v>10</v>
      </c>
      <c r="AN5" t="s">
        <v>656</v>
      </c>
      <c r="AO5" t="s">
        <v>657</v>
      </c>
      <c r="AP5" t="s">
        <v>10</v>
      </c>
      <c r="AQ5" t="s">
        <v>658</v>
      </c>
      <c r="AR5" t="s">
        <v>659</v>
      </c>
      <c r="AS5" t="s">
        <v>660</v>
      </c>
      <c r="AT5" t="s">
        <v>10</v>
      </c>
      <c r="AU5" t="s">
        <v>661</v>
      </c>
      <c r="AV5" t="s">
        <v>662</v>
      </c>
      <c r="AW5" t="s">
        <v>663</v>
      </c>
      <c r="AX5" t="s">
        <v>527</v>
      </c>
      <c r="AY5" t="s">
        <v>305</v>
      </c>
      <c r="AZ5" t="s">
        <v>172</v>
      </c>
      <c r="BA5" t="s">
        <v>43</v>
      </c>
      <c r="BB5" t="s">
        <v>175</v>
      </c>
      <c r="BC5" t="s">
        <v>155</v>
      </c>
      <c r="BD5" t="s">
        <v>275</v>
      </c>
      <c r="BE5" t="s">
        <v>173</v>
      </c>
      <c r="BF5" t="s">
        <v>44</v>
      </c>
      <c r="BG5" t="s">
        <v>176</v>
      </c>
      <c r="BH5" t="s">
        <v>646</v>
      </c>
      <c r="BI5" t="s">
        <v>398</v>
      </c>
      <c r="BJ5" t="s">
        <v>527</v>
      </c>
      <c r="BK5" t="s">
        <v>647</v>
      </c>
      <c r="BL5" t="s">
        <v>664</v>
      </c>
      <c r="BM5" t="s">
        <v>155</v>
      </c>
      <c r="BN5">
        <v>1.66</v>
      </c>
      <c r="BO5">
        <v>3.95</v>
      </c>
      <c r="BP5">
        <v>6.22</v>
      </c>
      <c r="BQ5">
        <v>1.8</v>
      </c>
      <c r="BR5">
        <v>4.1500000000000004</v>
      </c>
      <c r="BS5">
        <v>7.03</v>
      </c>
      <c r="BT5" t="s">
        <v>490</v>
      </c>
      <c r="BU5" t="s">
        <v>370</v>
      </c>
      <c r="BV5">
        <v>5.49</v>
      </c>
      <c r="BW5">
        <v>7.44</v>
      </c>
      <c r="BX5">
        <v>10.98</v>
      </c>
      <c r="BY5">
        <v>2.5299999999999998</v>
      </c>
      <c r="BZ5">
        <v>7.24</v>
      </c>
      <c r="CA5">
        <v>15.16</v>
      </c>
      <c r="CB5">
        <v>-1.23</v>
      </c>
      <c r="CC5">
        <v>-19.57</v>
      </c>
      <c r="CD5" t="s">
        <v>665</v>
      </c>
      <c r="CE5" t="s">
        <v>381</v>
      </c>
      <c r="CF5" s="9">
        <v>-3.7147102526002972E-2</v>
      </c>
      <c r="CG5" s="10">
        <v>0.81063570597414814</v>
      </c>
      <c r="CH5" s="9">
        <v>-2.3573689162731171E-2</v>
      </c>
      <c r="CI5" s="9">
        <v>0.21050463616847992</v>
      </c>
      <c r="CJ5" s="9">
        <v>2.6315735653042793E-2</v>
      </c>
      <c r="CK5" s="9">
        <v>-0.26074680685997009</v>
      </c>
      <c r="CL5" s="9">
        <v>8.6971372365951538E-2</v>
      </c>
      <c r="CM5" s="10">
        <v>-0.63252228498458862</v>
      </c>
      <c r="CN5" s="10">
        <v>-0.4239766001701355</v>
      </c>
      <c r="CO5" s="10">
        <v>2.0270271301269531</v>
      </c>
      <c r="CP5" s="10">
        <v>-1.5925266742706299</v>
      </c>
      <c r="CQ5" s="10">
        <v>0.75077879428863525</v>
      </c>
      <c r="CR5">
        <v>25.770357685093877</v>
      </c>
      <c r="CS5">
        <v>32.644467661011568</v>
      </c>
      <c r="CT5">
        <v>0.35523978685612789</v>
      </c>
      <c r="CU5" s="9">
        <v>7.8942496329545975E-3</v>
      </c>
      <c r="CV5" s="10">
        <v>2.5756072998046876E-2</v>
      </c>
      <c r="CW5">
        <v>0.06</v>
      </c>
      <c r="CX5">
        <v>17.04453858484964</v>
      </c>
      <c r="CY5">
        <v>68834518.116135314</v>
      </c>
      <c r="CZ5">
        <v>7.8942496329545975E-3</v>
      </c>
      <c r="DA5">
        <v>5.9747762993012037</v>
      </c>
      <c r="DB5">
        <v>196367619.67761385</v>
      </c>
      <c r="DC5">
        <v>7.4995371513068669E-3</v>
      </c>
      <c r="DD5">
        <v>3.2204916087721167</v>
      </c>
      <c r="DE5">
        <v>364308541.21906203</v>
      </c>
      <c r="DF5">
        <v>6.9469396770000455E-3</v>
      </c>
      <c r="DG5">
        <v>2.1330977220328085</v>
      </c>
      <c r="DH5">
        <v>550022902.31781256</v>
      </c>
      <c r="DI5">
        <v>6.3153997063636787E-3</v>
      </c>
      <c r="DJ5">
        <v>1.3468937353773567</v>
      </c>
      <c r="DK5">
        <v>871080300.68258655</v>
      </c>
      <c r="DL5">
        <v>5.5259747430682175E-3</v>
      </c>
      <c r="DM5">
        <v>72393100</v>
      </c>
      <c r="DN5">
        <v>7.8942496329545975E-3</v>
      </c>
      <c r="DO5">
        <v>1173252600</v>
      </c>
      <c r="DP5">
        <v>447366700</v>
      </c>
      <c r="DQ5">
        <v>384</v>
      </c>
      <c r="DR5">
        <v>-4.5041352158957569E-2</v>
      </c>
      <c r="DS5">
        <v>0.7848796329761013</v>
      </c>
      <c r="DT5" s="11">
        <v>-0.40666666666666668</v>
      </c>
      <c r="DU5">
        <v>-0.58166666666666667</v>
      </c>
      <c r="DV5">
        <v>-0.98833333333333329</v>
      </c>
      <c r="DW5">
        <v>-3.040375</v>
      </c>
      <c r="DX5">
        <v>0.37631876208897652</v>
      </c>
      <c r="DY5">
        <v>-3.0046963700193423</v>
      </c>
      <c r="DZ5">
        <v>3554</v>
      </c>
      <c r="EA5">
        <v>-3.0014300492661636</v>
      </c>
      <c r="EB5">
        <v>3</v>
      </c>
      <c r="EC5">
        <v>6.7873504639418963E-2</v>
      </c>
      <c r="ED5">
        <v>0.58351295543792825</v>
      </c>
      <c r="EE5" s="12">
        <v>-1.0095000000000001</v>
      </c>
      <c r="EF5">
        <v>-1.0178100000000001</v>
      </c>
      <c r="EG5">
        <v>26.116318762088977</v>
      </c>
      <c r="EH5" t="s">
        <v>352</v>
      </c>
      <c r="EI5">
        <v>0</v>
      </c>
      <c r="EJ5">
        <v>0</v>
      </c>
      <c r="EK5" s="14">
        <v>45470</v>
      </c>
      <c r="EL5" s="15">
        <v>1.4</v>
      </c>
      <c r="EM5" s="15">
        <v>-9.5399999999999991</v>
      </c>
      <c r="EN5" s="15">
        <v>-3.4</v>
      </c>
      <c r="EO5" s="15">
        <v>3.17</v>
      </c>
      <c r="EP5" s="15">
        <v>-2.73</v>
      </c>
    </row>
    <row r="6" spans="1:146" ht="84" x14ac:dyDescent="0.25">
      <c r="A6" s="7"/>
      <c r="B6" s="7"/>
      <c r="C6" s="7" t="str">
        <f>""&amp;CHAR(10)&amp;Basic_Fundamental_Information_Constructure(F6)&amp;CHAR(10)&amp;Basic_Fundamental_Information_Concatenate("")</f>
        <v xml:space="preserve">
市值60.191679亿, 利润-4215.36万; PE2275; 平均PE29.28; 平均PEG1.8, PB.946; ROIC8.875%; ROE6.7367%; 股利率0%; 毛利15.07%; 净利3.0233%; 上一年度营收增1.44%, 利润增90.31%; 当季营收增6.9%, 利润增257%; 过往5年营收增16.22%, 利润增298.8%
Income profile:
</v>
      </c>
      <c r="D6" t="s">
        <v>76</v>
      </c>
      <c r="E6" t="s">
        <v>8</v>
      </c>
      <c r="F6">
        <v>3.54</v>
      </c>
      <c r="G6">
        <v>3.81</v>
      </c>
      <c r="H6" t="s">
        <v>666</v>
      </c>
      <c r="I6">
        <v>6019167900</v>
      </c>
      <c r="J6">
        <v>2275</v>
      </c>
      <c r="K6">
        <v>0.94599999999999995</v>
      </c>
      <c r="L6" t="s">
        <v>602</v>
      </c>
      <c r="M6" t="s">
        <v>667</v>
      </c>
      <c r="N6" t="s">
        <v>668</v>
      </c>
      <c r="O6" t="s">
        <v>669</v>
      </c>
      <c r="P6">
        <v>6.91</v>
      </c>
      <c r="Q6" t="s">
        <v>670</v>
      </c>
      <c r="R6">
        <v>62231400</v>
      </c>
      <c r="S6" s="6">
        <v>2.57</v>
      </c>
      <c r="T6" t="s">
        <v>671</v>
      </c>
      <c r="U6">
        <v>1403194600</v>
      </c>
      <c r="V6">
        <v>1700329900</v>
      </c>
      <c r="W6">
        <v>2.21</v>
      </c>
      <c r="X6">
        <v>0.16</v>
      </c>
      <c r="Y6">
        <v>3.14</v>
      </c>
      <c r="Z6" t="s">
        <v>672</v>
      </c>
      <c r="AA6" t="s">
        <v>673</v>
      </c>
      <c r="AB6" t="s">
        <v>674</v>
      </c>
      <c r="AC6" t="s">
        <v>675</v>
      </c>
      <c r="AD6" t="s">
        <v>10</v>
      </c>
      <c r="AE6">
        <v>28007489</v>
      </c>
      <c r="AF6" t="s">
        <v>676</v>
      </c>
      <c r="AG6" t="s">
        <v>677</v>
      </c>
      <c r="AH6" t="s">
        <v>678</v>
      </c>
      <c r="AI6" t="s">
        <v>679</v>
      </c>
      <c r="AJ6" t="s">
        <v>680</v>
      </c>
      <c r="AK6" t="s">
        <v>10</v>
      </c>
      <c r="AL6" t="s">
        <v>681</v>
      </c>
      <c r="AM6" t="s">
        <v>10</v>
      </c>
      <c r="AN6" t="s">
        <v>404</v>
      </c>
      <c r="AO6" t="s">
        <v>682</v>
      </c>
      <c r="AP6" t="s">
        <v>554</v>
      </c>
      <c r="AQ6" t="s">
        <v>557</v>
      </c>
      <c r="AR6" t="s">
        <v>683</v>
      </c>
      <c r="AS6" t="s">
        <v>598</v>
      </c>
      <c r="AT6" t="s">
        <v>684</v>
      </c>
      <c r="AU6" t="s">
        <v>685</v>
      </c>
      <c r="AV6" t="s">
        <v>568</v>
      </c>
      <c r="AW6" t="s">
        <v>131</v>
      </c>
      <c r="AX6" t="s">
        <v>528</v>
      </c>
      <c r="AY6" t="s">
        <v>530</v>
      </c>
      <c r="AZ6" t="s">
        <v>177</v>
      </c>
      <c r="BA6" t="s">
        <v>77</v>
      </c>
      <c r="BB6" t="s">
        <v>180</v>
      </c>
      <c r="BC6" t="s">
        <v>529</v>
      </c>
      <c r="BD6" t="s">
        <v>531</v>
      </c>
      <c r="BE6" t="s">
        <v>178</v>
      </c>
      <c r="BF6" t="s">
        <v>78</v>
      </c>
      <c r="BG6" t="s">
        <v>138</v>
      </c>
      <c r="BH6" t="s">
        <v>670</v>
      </c>
      <c r="BI6" t="s">
        <v>686</v>
      </c>
      <c r="BJ6" t="s">
        <v>528</v>
      </c>
      <c r="BK6" t="s">
        <v>671</v>
      </c>
      <c r="BL6" t="s">
        <v>687</v>
      </c>
      <c r="BM6" t="s">
        <v>529</v>
      </c>
      <c r="BN6">
        <v>1.05</v>
      </c>
      <c r="BO6" t="s">
        <v>10</v>
      </c>
      <c r="BP6">
        <v>16.7</v>
      </c>
      <c r="BQ6">
        <v>0.43</v>
      </c>
      <c r="BR6">
        <v>-7.35</v>
      </c>
      <c r="BS6">
        <v>27.13</v>
      </c>
      <c r="BT6" t="s">
        <v>488</v>
      </c>
      <c r="BU6" t="s">
        <v>375</v>
      </c>
      <c r="BV6">
        <v>7.73</v>
      </c>
      <c r="BW6">
        <v>4.42</v>
      </c>
      <c r="BX6">
        <v>33.06</v>
      </c>
      <c r="BY6">
        <v>-0.56999999999999995</v>
      </c>
      <c r="BZ6">
        <v>-5.98</v>
      </c>
      <c r="CA6">
        <v>15.62</v>
      </c>
      <c r="CB6">
        <v>4.12</v>
      </c>
      <c r="CC6">
        <v>-7.33</v>
      </c>
      <c r="CD6" t="s">
        <v>133</v>
      </c>
      <c r="CE6" t="s">
        <v>572</v>
      </c>
      <c r="CF6" s="9">
        <v>6.902173913043505E-2</v>
      </c>
      <c r="CG6" s="10">
        <v>2.5700337318433188</v>
      </c>
      <c r="CH6" s="9">
        <v>1.4434965327382088E-2</v>
      </c>
      <c r="CI6" s="9">
        <v>-0.17603084444999695</v>
      </c>
      <c r="CJ6" s="9">
        <v>0.97185611724853516</v>
      </c>
      <c r="CK6" s="9">
        <v>-6.8068183958530426E-2</v>
      </c>
      <c r="CL6" s="9">
        <v>6.8980775773525238E-2</v>
      </c>
      <c r="CM6" s="10">
        <v>0.90309518575668335</v>
      </c>
      <c r="CN6" s="10">
        <v>-1.314306378364563</v>
      </c>
      <c r="CO6" s="10">
        <v>15.557915687561035</v>
      </c>
      <c r="CP6" s="10">
        <v>-0.35703539848327637</v>
      </c>
      <c r="CQ6" s="10">
        <v>0.15044248104095459</v>
      </c>
      <c r="CR6">
        <v>29.280100772495082</v>
      </c>
      <c r="CS6">
        <v>1.8048003885083164</v>
      </c>
      <c r="CT6">
        <v>0</v>
      </c>
      <c r="CU6" s="9">
        <v>0.16223456598818303</v>
      </c>
      <c r="CV6" s="10">
        <v>2.9880223155021666</v>
      </c>
      <c r="CW6">
        <v>0.06</v>
      </c>
      <c r="CX6" t="e">
        <v>#VALUE!</v>
      </c>
      <c r="CY6" t="s">
        <v>351</v>
      </c>
      <c r="CZ6">
        <v>0.16223456598818303</v>
      </c>
      <c r="DA6" t="e">
        <v>#VALUE!</v>
      </c>
      <c r="DB6" t="s">
        <v>351</v>
      </c>
      <c r="DC6">
        <v>0.15412283768877388</v>
      </c>
      <c r="DD6" t="e">
        <v>#VALUE!</v>
      </c>
      <c r="DE6" t="s">
        <v>351</v>
      </c>
      <c r="DF6">
        <v>0.14276641806960108</v>
      </c>
      <c r="DG6" t="e">
        <v>#VALUE!</v>
      </c>
      <c r="DH6" t="s">
        <v>351</v>
      </c>
      <c r="DI6">
        <v>0.12978765279054644</v>
      </c>
      <c r="DJ6" t="e">
        <v>#VALUE!</v>
      </c>
      <c r="DK6" t="s">
        <v>351</v>
      </c>
      <c r="DL6">
        <v>0.11356419619172811</v>
      </c>
      <c r="DM6">
        <v>-42153600</v>
      </c>
      <c r="DN6">
        <v>0.16223456598818303</v>
      </c>
      <c r="DO6">
        <v>7026167900</v>
      </c>
      <c r="DP6">
        <v>392125600</v>
      </c>
      <c r="DQ6">
        <v>388</v>
      </c>
      <c r="DR6">
        <v>-9.3212826857747982E-2</v>
      </c>
      <c r="DS6">
        <v>-0.41798858365884772</v>
      </c>
      <c r="DT6" s="11">
        <v>-0.32333333333333331</v>
      </c>
      <c r="DU6">
        <v>0.10333333333333324</v>
      </c>
      <c r="DV6">
        <v>-0.22000000000000008</v>
      </c>
      <c r="DW6">
        <v>6.3598253275109169</v>
      </c>
      <c r="DX6">
        <v>0.40717391304347816</v>
      </c>
      <c r="DY6">
        <v>6.0457603949117145</v>
      </c>
      <c r="DZ6">
        <v>2244</v>
      </c>
      <c r="EA6">
        <v>6.0256652234475485</v>
      </c>
      <c r="EB6">
        <v>6</v>
      </c>
      <c r="EC6">
        <v>6.8810176189926436E-2</v>
      </c>
      <c r="ED6">
        <v>0.54107147089514795</v>
      </c>
      <c r="EE6" s="12">
        <v>3.0863</v>
      </c>
      <c r="EF6">
        <v>3.0306999999999999</v>
      </c>
      <c r="EG6">
        <v>28.127173913043478</v>
      </c>
      <c r="EH6" t="s">
        <v>688</v>
      </c>
      <c r="EI6">
        <v>0</v>
      </c>
      <c r="EJ6">
        <v>0</v>
      </c>
      <c r="EK6" s="14">
        <v>45470</v>
      </c>
      <c r="EL6" s="15">
        <v>0.28000000000000003</v>
      </c>
      <c r="EM6" s="15">
        <v>-3.68</v>
      </c>
      <c r="EN6" s="15">
        <v>4.12</v>
      </c>
      <c r="EO6" s="15">
        <v>1.69</v>
      </c>
      <c r="EP6" s="15">
        <v>-5.56</v>
      </c>
    </row>
    <row r="7" spans="1:146" ht="121.9" customHeight="1" x14ac:dyDescent="0.25">
      <c r="A7" s="7"/>
      <c r="B7" s="7"/>
      <c r="C7" s="7" t="str">
        <f>"公司主要从事氨纶纤维、聚氨酯原液、己二酸等聚氨酯制品材料的研发、生产与销售。公司主要产品包括氨纶、聚氨酯原液、己二酸等。"&amp;CHAR(10)&amp;Basic_Fundamental_Information_Constructure(F7)&amp;CHAR(10)&amp;Basic_Fundamental_Information_Concatenate("化学纤维 56.03亿 40.49% 30.20% 19.08%
基础化工产品 43.84亿 31.68% 41.08% 33.17%
化工新材料 33.73亿 24.38% 26.21% 27.51%")</f>
        <v>公司主要从事氨纶纤维、聚氨酯原液、己二酸等聚氨酯制品材料的研发、生产与销售。公司主要产品包括氨纶、聚氨酯原液、己二酸等。
市值346.88182亿, 利润24.78亿; PE13.71; 平均PE10.77; 平均PEG.65, PB1.35; ROIC20.0167%; ROE24.3767%; 股利率2.1459%; 毛利23.9933%; 净利16.13%; 上一年度营收增1.6%, 利润增-12.87%; 当季营收增7.51%, 利润增8.31%; 过往5年营收增16.69%, 利润增38.01%
Income profile:
化学纤维 56.03亿 40.49% 30.20% 19.08%
基础化工产品 43.84亿 31.68% 41.08% 33.17%
化工新材料 33.73亿 24.38% 26.21% 27.51%</v>
      </c>
      <c r="D7" t="s">
        <v>265</v>
      </c>
      <c r="E7" t="s">
        <v>266</v>
      </c>
      <c r="F7">
        <v>6.99</v>
      </c>
      <c r="G7">
        <v>1.01</v>
      </c>
      <c r="H7" t="s">
        <v>689</v>
      </c>
      <c r="I7">
        <v>34688182000</v>
      </c>
      <c r="J7">
        <v>13.71</v>
      </c>
      <c r="K7">
        <v>1.35</v>
      </c>
      <c r="L7" t="s">
        <v>602</v>
      </c>
      <c r="M7" t="s">
        <v>690</v>
      </c>
      <c r="N7" t="s">
        <v>691</v>
      </c>
      <c r="O7" t="s">
        <v>692</v>
      </c>
      <c r="P7">
        <v>7.51</v>
      </c>
      <c r="Q7" t="s">
        <v>693</v>
      </c>
      <c r="R7">
        <v>683442400</v>
      </c>
      <c r="S7" s="6">
        <v>8.2400000000000001E-2</v>
      </c>
      <c r="T7" t="s">
        <v>694</v>
      </c>
      <c r="U7">
        <v>4951990600</v>
      </c>
      <c r="V7">
        <v>4962543900</v>
      </c>
      <c r="W7">
        <v>1.5</v>
      </c>
      <c r="X7">
        <v>0.18</v>
      </c>
      <c r="Y7">
        <v>10.25</v>
      </c>
      <c r="Z7" t="s">
        <v>695</v>
      </c>
      <c r="AA7" t="s">
        <v>696</v>
      </c>
      <c r="AB7" t="s">
        <v>697</v>
      </c>
      <c r="AC7" t="s">
        <v>698</v>
      </c>
      <c r="AD7" t="s">
        <v>10</v>
      </c>
      <c r="AE7">
        <v>-15960337</v>
      </c>
      <c r="AF7" t="s">
        <v>699</v>
      </c>
      <c r="AG7" t="s">
        <v>700</v>
      </c>
      <c r="AH7" t="s">
        <v>701</v>
      </c>
      <c r="AI7" t="s">
        <v>702</v>
      </c>
      <c r="AJ7" t="s">
        <v>703</v>
      </c>
      <c r="AK7" t="s">
        <v>704</v>
      </c>
      <c r="AL7" t="s">
        <v>705</v>
      </c>
      <c r="AM7" t="s">
        <v>10</v>
      </c>
      <c r="AN7" t="s">
        <v>706</v>
      </c>
      <c r="AO7" t="s">
        <v>707</v>
      </c>
      <c r="AP7" t="s">
        <v>708</v>
      </c>
      <c r="AQ7" t="s">
        <v>709</v>
      </c>
      <c r="AR7" t="s">
        <v>10</v>
      </c>
      <c r="AS7" t="s">
        <v>710</v>
      </c>
      <c r="AT7" t="s">
        <v>201</v>
      </c>
      <c r="AU7" t="s">
        <v>711</v>
      </c>
      <c r="AV7" t="s">
        <v>712</v>
      </c>
      <c r="AW7" t="s">
        <v>264</v>
      </c>
      <c r="AX7" t="s">
        <v>534</v>
      </c>
      <c r="AY7" t="s">
        <v>307</v>
      </c>
      <c r="AZ7" t="s">
        <v>267</v>
      </c>
      <c r="BA7" t="s">
        <v>271</v>
      </c>
      <c r="BB7" t="s">
        <v>272</v>
      </c>
      <c r="BC7" t="s">
        <v>273</v>
      </c>
      <c r="BD7" t="s">
        <v>308</v>
      </c>
      <c r="BE7" t="s">
        <v>268</v>
      </c>
      <c r="BF7" t="s">
        <v>274</v>
      </c>
      <c r="BG7" t="s">
        <v>217</v>
      </c>
      <c r="BH7" t="s">
        <v>693</v>
      </c>
      <c r="BI7" t="s">
        <v>713</v>
      </c>
      <c r="BJ7" t="s">
        <v>534</v>
      </c>
      <c r="BK7" t="s">
        <v>694</v>
      </c>
      <c r="BL7" t="s">
        <v>208</v>
      </c>
      <c r="BM7" t="s">
        <v>273</v>
      </c>
      <c r="BN7">
        <v>6.32</v>
      </c>
      <c r="BO7">
        <v>11</v>
      </c>
      <c r="BP7">
        <v>42.73</v>
      </c>
      <c r="BQ7">
        <v>8.08</v>
      </c>
      <c r="BR7">
        <v>13.14</v>
      </c>
      <c r="BS7">
        <v>51.91</v>
      </c>
      <c r="BT7" t="s">
        <v>487</v>
      </c>
      <c r="BU7" t="s">
        <v>375</v>
      </c>
      <c r="BV7">
        <v>15.35</v>
      </c>
      <c r="BW7">
        <v>17.93</v>
      </c>
      <c r="BX7">
        <v>38.700000000000003</v>
      </c>
      <c r="BY7">
        <v>9.43</v>
      </c>
      <c r="BZ7">
        <v>10.98</v>
      </c>
      <c r="CA7">
        <v>27.98</v>
      </c>
      <c r="CB7">
        <v>-0.43</v>
      </c>
      <c r="CC7">
        <v>-7.42</v>
      </c>
      <c r="CD7" t="s">
        <v>207</v>
      </c>
      <c r="CE7" t="s">
        <v>563</v>
      </c>
      <c r="CF7" s="9">
        <v>7.5096899224806044E-2</v>
      </c>
      <c r="CG7" s="10">
        <v>8.3109984152139466E-2</v>
      </c>
      <c r="CH7" s="9">
        <v>1.5994401648640633E-2</v>
      </c>
      <c r="CI7" s="9">
        <v>-8.7531261146068573E-2</v>
      </c>
      <c r="CJ7" s="9">
        <v>0.9265824556350708</v>
      </c>
      <c r="CK7" s="9">
        <v>6.8117506802082062E-2</v>
      </c>
      <c r="CL7" s="9">
        <v>-8.8836014270782471E-2</v>
      </c>
      <c r="CM7" s="10">
        <v>-0.12869194149971008</v>
      </c>
      <c r="CN7" s="10">
        <v>-0.64167827367782593</v>
      </c>
      <c r="CO7" s="10">
        <v>2.4826676845550537</v>
      </c>
      <c r="CP7" s="10">
        <v>0.23791424930095673</v>
      </c>
      <c r="CQ7" s="10">
        <v>-4.9561180174350739E-2</v>
      </c>
      <c r="CR7">
        <v>10.774958169393249</v>
      </c>
      <c r="CS7">
        <v>0.64572745603785064</v>
      </c>
      <c r="CT7">
        <v>2.1459227467811157</v>
      </c>
      <c r="CU7" s="9">
        <v>0.16686541773378849</v>
      </c>
      <c r="CV7" s="10">
        <v>0.38013010770082473</v>
      </c>
      <c r="CW7">
        <v>0.06</v>
      </c>
      <c r="CX7">
        <v>7.205812528626975</v>
      </c>
      <c r="CY7">
        <v>2727823118.0606866</v>
      </c>
      <c r="CZ7">
        <v>0.16686541773378849</v>
      </c>
      <c r="DA7">
        <v>2.2076840162742943</v>
      </c>
      <c r="DB7">
        <v>8903530512.1119328</v>
      </c>
      <c r="DC7">
        <v>0.15852214684709906</v>
      </c>
      <c r="DD7">
        <v>0.99457059580661966</v>
      </c>
      <c r="DE7">
        <v>19763485953.511806</v>
      </c>
      <c r="DF7">
        <v>0.14684156760573389</v>
      </c>
      <c r="DG7">
        <v>0.53858958216637731</v>
      </c>
      <c r="DH7">
        <v>36495659498.159302</v>
      </c>
      <c r="DI7">
        <v>0.1334923341870308</v>
      </c>
      <c r="DJ7">
        <v>0.21918641968472161</v>
      </c>
      <c r="DK7">
        <v>89677919043.860046</v>
      </c>
      <c r="DL7">
        <v>0.11680579241365194</v>
      </c>
      <c r="DM7">
        <v>2478000000</v>
      </c>
      <c r="DN7">
        <v>0.16686541773378849</v>
      </c>
      <c r="DO7">
        <v>19656181999.999996</v>
      </c>
      <c r="DP7">
        <v>11971651000</v>
      </c>
      <c r="DQ7">
        <v>582</v>
      </c>
      <c r="DR7">
        <v>-9.1768518508982447E-2</v>
      </c>
      <c r="DS7">
        <v>-0.29702012354868523</v>
      </c>
      <c r="DT7" s="11">
        <v>-0.17333333333333334</v>
      </c>
      <c r="DU7">
        <v>0.18666666666666665</v>
      </c>
      <c r="DV7">
        <v>1.3333333333333308E-2</v>
      </c>
      <c r="DW7">
        <v>-2.0741999999999998</v>
      </c>
      <c r="DX7">
        <v>0.41823008849557408</v>
      </c>
      <c r="DY7">
        <v>-2.0147086725663716</v>
      </c>
      <c r="DZ7">
        <v>1676</v>
      </c>
      <c r="EA7">
        <v>-2.0098844582373623</v>
      </c>
      <c r="EB7">
        <v>2</v>
      </c>
      <c r="EC7">
        <v>2.2569069867573364E-2</v>
      </c>
      <c r="ED7">
        <v>0.11385289709981206</v>
      </c>
      <c r="EE7" s="12">
        <v>0.10239999999999999</v>
      </c>
      <c r="EF7">
        <v>7.2599999999999998E-2</v>
      </c>
      <c r="EG7">
        <v>22.198230088495574</v>
      </c>
      <c r="EH7" t="s">
        <v>356</v>
      </c>
      <c r="EI7">
        <v>0</v>
      </c>
      <c r="EJ7">
        <v>0</v>
      </c>
      <c r="EK7" s="14">
        <v>45470</v>
      </c>
      <c r="EL7" s="15">
        <v>0.83</v>
      </c>
      <c r="EM7" s="15">
        <v>-0.28000000000000003</v>
      </c>
      <c r="EN7" s="15">
        <v>1.66</v>
      </c>
      <c r="EO7" s="15">
        <v>0.41</v>
      </c>
      <c r="EP7" s="15">
        <v>-2.98</v>
      </c>
    </row>
    <row r="8" spans="1:146" ht="148.15" customHeight="1" x14ac:dyDescent="0.25">
      <c r="A8" s="7"/>
      <c r="B8" s="7"/>
      <c r="C8" s="7" t="str">
        <f>"公司主营业务为化学纤维制品、橡胶和塑料制品的研发、生产、销售。产品主要有工业长丝、灯箱布、聚酯切片、装饰膜、蓬盖布、帘子布、石塑地板等。目前公司石塑地板产品主要销往欧洲、美国、澳大利亚等地区，全球地材产品市场容量较大，使公司石塑地板具有广阔的市场发展空间。"&amp;CHAR(10)&amp;Basic_Fundamental_Information_Constructure(F8)&amp;CHAR(10)&amp;Basic_Fundamental_Information_Concatenate("涤纶工业长丝 13.07亿 46.95% 53.96% 17.76%
轮胎帘子布 5.40亿 19.38% 35.33% 28.16%
灯箱广告材料 2.57亿 9.21% 10.37% 17.40%")</f>
        <v>公司主营业务为化学纤维制品、橡胶和塑料制品的研发、生产、销售。产品主要有工业长丝、灯箱布、聚酯切片、装饰膜、蓬盖布、帘子布、石塑地板等。目前公司石塑地板产品主要销往欧洲、美国、澳大利亚等地区，全球地材产品市场容量较大，使公司石塑地板具有广阔的市场发展空间。
市值44.949786亿, 利润3.49亿; PE12.6; 平均PE12.34; 平均PEG1.12, PB1.19; ROIC7.2767%; ROE12.16%; 股利率3.886%; 毛利18.0567%; 净利7.9133%; 上一年度营收增2%, 利润增5.12%; 当季营收增2.22%, 利润增11.07%; 过往5年营收增11%, 利润增12.25%
Income profile:
涤纶工业长丝 13.07亿 46.95% 53.96% 17.76%
轮胎帘子布 5.40亿 19.38% 35.33% 28.16%
灯箱广告材料 2.57亿 9.21% 10.37% 17.40%</v>
      </c>
      <c r="D8" t="s">
        <v>46</v>
      </c>
      <c r="E8" t="s">
        <v>11</v>
      </c>
      <c r="F8">
        <v>3.86</v>
      </c>
      <c r="G8">
        <v>1.58</v>
      </c>
      <c r="H8" t="s">
        <v>714</v>
      </c>
      <c r="I8">
        <v>4494978600</v>
      </c>
      <c r="J8">
        <v>12.6</v>
      </c>
      <c r="K8">
        <v>1.19</v>
      </c>
      <c r="L8" t="s">
        <v>602</v>
      </c>
      <c r="M8" t="s">
        <v>715</v>
      </c>
      <c r="N8" t="s">
        <v>716</v>
      </c>
      <c r="O8" t="s">
        <v>354</v>
      </c>
      <c r="P8">
        <v>2.21</v>
      </c>
      <c r="Q8" t="s">
        <v>717</v>
      </c>
      <c r="R8">
        <v>74718810</v>
      </c>
      <c r="S8" s="6">
        <v>0.11070000000000001</v>
      </c>
      <c r="T8" t="s">
        <v>718</v>
      </c>
      <c r="U8">
        <v>916174640</v>
      </c>
      <c r="V8">
        <v>1164502220</v>
      </c>
      <c r="W8">
        <v>2.0499999999999998</v>
      </c>
      <c r="X8">
        <v>0.18</v>
      </c>
      <c r="Y8">
        <v>5.43</v>
      </c>
      <c r="Z8" t="s">
        <v>218</v>
      </c>
      <c r="AA8" t="s">
        <v>171</v>
      </c>
      <c r="AB8" t="s">
        <v>719</v>
      </c>
      <c r="AC8" t="s">
        <v>720</v>
      </c>
      <c r="AD8" t="s">
        <v>10</v>
      </c>
      <c r="AE8">
        <v>9904476</v>
      </c>
      <c r="AF8" t="s">
        <v>721</v>
      </c>
      <c r="AG8" t="s">
        <v>722</v>
      </c>
      <c r="AH8" t="s">
        <v>723</v>
      </c>
      <c r="AI8" t="s">
        <v>577</v>
      </c>
      <c r="AJ8" t="s">
        <v>724</v>
      </c>
      <c r="AK8" t="s">
        <v>138</v>
      </c>
      <c r="AL8" t="s">
        <v>725</v>
      </c>
      <c r="AM8" t="s">
        <v>10</v>
      </c>
      <c r="AN8" t="s">
        <v>225</v>
      </c>
      <c r="AO8" t="s">
        <v>726</v>
      </c>
      <c r="AP8" t="s">
        <v>545</v>
      </c>
      <c r="AQ8" t="s">
        <v>547</v>
      </c>
      <c r="AR8" t="s">
        <v>727</v>
      </c>
      <c r="AS8" t="s">
        <v>728</v>
      </c>
      <c r="AT8" t="s">
        <v>573</v>
      </c>
      <c r="AU8" t="s">
        <v>220</v>
      </c>
      <c r="AV8" t="s">
        <v>34</v>
      </c>
      <c r="AW8" t="s">
        <v>40</v>
      </c>
      <c r="AX8" t="s">
        <v>537</v>
      </c>
      <c r="AY8" t="s">
        <v>539</v>
      </c>
      <c r="AZ8" t="s">
        <v>183</v>
      </c>
      <c r="BA8" t="s">
        <v>47</v>
      </c>
      <c r="BB8" t="s">
        <v>185</v>
      </c>
      <c r="BC8" t="s">
        <v>205</v>
      </c>
      <c r="BD8" t="s">
        <v>262</v>
      </c>
      <c r="BE8" t="s">
        <v>184</v>
      </c>
      <c r="BF8" t="s">
        <v>48</v>
      </c>
      <c r="BG8" t="s">
        <v>186</v>
      </c>
      <c r="BH8" t="s">
        <v>717</v>
      </c>
      <c r="BI8" t="s">
        <v>729</v>
      </c>
      <c r="BJ8" t="s">
        <v>537</v>
      </c>
      <c r="BK8" t="s">
        <v>718</v>
      </c>
      <c r="BL8" t="s">
        <v>730</v>
      </c>
      <c r="BM8" t="s">
        <v>205</v>
      </c>
      <c r="BN8">
        <v>4.37</v>
      </c>
      <c r="BO8">
        <v>6.05</v>
      </c>
      <c r="BP8">
        <v>11.41</v>
      </c>
      <c r="BQ8">
        <v>7.63</v>
      </c>
      <c r="BR8">
        <v>9.8800000000000008</v>
      </c>
      <c r="BS8">
        <v>18.97</v>
      </c>
      <c r="BT8" t="s">
        <v>487</v>
      </c>
      <c r="BU8" t="s">
        <v>370</v>
      </c>
      <c r="BV8">
        <v>16.18</v>
      </c>
      <c r="BW8">
        <v>16.600000000000001</v>
      </c>
      <c r="BX8">
        <v>21.39</v>
      </c>
      <c r="BY8">
        <v>6.24</v>
      </c>
      <c r="BZ8">
        <v>6.06</v>
      </c>
      <c r="CA8">
        <v>11.44</v>
      </c>
      <c r="CB8">
        <v>1.05</v>
      </c>
      <c r="CC8">
        <v>-15.9</v>
      </c>
      <c r="CD8" t="s">
        <v>731</v>
      </c>
      <c r="CE8" t="s">
        <v>732</v>
      </c>
      <c r="CF8" s="9">
        <v>2.220577350111029E-2</v>
      </c>
      <c r="CG8" s="10">
        <v>0.11072343854057654</v>
      </c>
      <c r="CH8" s="9">
        <v>1.9956482574343681E-2</v>
      </c>
      <c r="CI8" s="9">
        <v>8.7608471512794495E-2</v>
      </c>
      <c r="CJ8" s="9">
        <v>0.44264170527458191</v>
      </c>
      <c r="CK8" s="9">
        <v>-0.12481319904327393</v>
      </c>
      <c r="CL8" s="9">
        <v>0.12468484044075012</v>
      </c>
      <c r="CM8" s="10">
        <v>5.1204819232225418E-2</v>
      </c>
      <c r="CN8" s="10">
        <v>-0.42260870337486267</v>
      </c>
      <c r="CO8" s="10">
        <v>1.2817460298538208</v>
      </c>
      <c r="CP8" s="10">
        <v>-0.22935779392719269</v>
      </c>
      <c r="CQ8" s="10">
        <v>-6.8376071751117706E-2</v>
      </c>
      <c r="CR8">
        <v>12.337544190301921</v>
      </c>
      <c r="CS8">
        <v>1.121435273239658</v>
      </c>
      <c r="CT8">
        <v>3.8860103626943006</v>
      </c>
      <c r="CU8" s="9">
        <v>0.11001566015183925</v>
      </c>
      <c r="CV8" s="10">
        <v>0.12252165600657464</v>
      </c>
      <c r="CW8">
        <v>0.06</v>
      </c>
      <c r="CX8">
        <v>11.667192106688416</v>
      </c>
      <c r="CY8">
        <v>365467420.18206775</v>
      </c>
      <c r="CZ8">
        <v>0.11001566015183925</v>
      </c>
      <c r="DA8">
        <v>3.748797465281446</v>
      </c>
      <c r="DB8">
        <v>1137425705.0400231</v>
      </c>
      <c r="DC8">
        <v>0.10451487714424729</v>
      </c>
      <c r="DD8">
        <v>1.8038722430595535</v>
      </c>
      <c r="DE8">
        <v>2363791901.7856011</v>
      </c>
      <c r="DF8">
        <v>9.6813780933618546E-2</v>
      </c>
      <c r="DG8">
        <v>1.0555219564316995</v>
      </c>
      <c r="DH8">
        <v>4039687259.9550819</v>
      </c>
      <c r="DI8">
        <v>8.8012528121471409E-2</v>
      </c>
      <c r="DJ8">
        <v>0.51467296300892362</v>
      </c>
      <c r="DK8">
        <v>8284831157.7736197</v>
      </c>
      <c r="DL8">
        <v>7.7010962106287467E-2</v>
      </c>
      <c r="DM8">
        <v>349000000</v>
      </c>
      <c r="DN8">
        <v>0.11001566015183925</v>
      </c>
      <c r="DO8">
        <v>4263978600</v>
      </c>
      <c r="DP8">
        <v>692398800</v>
      </c>
      <c r="DQ8">
        <v>716</v>
      </c>
      <c r="DR8">
        <v>-8.780988665072896E-2</v>
      </c>
      <c r="DS8">
        <v>-1.1798217465998101E-2</v>
      </c>
      <c r="DT8" s="11">
        <v>-0.3066666666666667</v>
      </c>
      <c r="DU8">
        <v>1.8503717077085941E-17</v>
      </c>
      <c r="DV8">
        <v>-0.3066666666666667</v>
      </c>
      <c r="DW8">
        <v>-2.1589999999999998</v>
      </c>
      <c r="DX8">
        <v>0.24636577102803897</v>
      </c>
      <c r="DY8">
        <v>-2.010552157593458</v>
      </c>
      <c r="DZ8">
        <v>2465</v>
      </c>
      <c r="EA8">
        <v>-2.0054619289304689</v>
      </c>
      <c r="EB8">
        <v>2</v>
      </c>
      <c r="EC8">
        <v>4.8784020351631444E-2</v>
      </c>
      <c r="ED8">
        <v>0.73507803188215481</v>
      </c>
      <c r="EE8" s="12">
        <v>-1.0071099999999999</v>
      </c>
      <c r="EF8">
        <v>-1.0303100000000001</v>
      </c>
      <c r="EG8">
        <v>18.066365771028039</v>
      </c>
      <c r="EH8" t="s">
        <v>352</v>
      </c>
      <c r="EI8">
        <v>0</v>
      </c>
      <c r="EJ8">
        <v>0</v>
      </c>
      <c r="EK8" s="14">
        <v>45470</v>
      </c>
      <c r="EL8" s="15">
        <v>1.04</v>
      </c>
      <c r="EM8" s="15">
        <v>-3.86</v>
      </c>
      <c r="EN8" s="15">
        <v>1.34</v>
      </c>
      <c r="EO8" s="15">
        <v>2.37</v>
      </c>
      <c r="EP8" s="15">
        <v>-2.3199999999999998</v>
      </c>
    </row>
    <row r="9" spans="1:146" ht="84" x14ac:dyDescent="0.25">
      <c r="A9" s="7"/>
      <c r="B9" s="7"/>
      <c r="C9" s="7" t="str">
        <f>""&amp;CHAR(10)&amp;Basic_Fundamental_Information_Constructure(F9)&amp;CHAR(10)&amp;Basic_Fundamental_Information_Concatenate("")</f>
        <v xml:space="preserve">
市值72.817917亿, 利润3.33亿; PE32.71; 平均PE18.3; 平均PEG1.1, PB1.01; ROIC9.9933%; ROE13.8033%; 股利率3.5587%; 毛利28.1967%; 净利15.9033%; 上一年度营收增4.67%, 利润增-23.62%; 当季营收增-4.55%, 利润增-81.49%; 过往5年营收增16.65%, 利润增50.67%
Income profile:
</v>
      </c>
      <c r="D9" t="s">
        <v>99</v>
      </c>
      <c r="E9" t="s">
        <v>7</v>
      </c>
      <c r="F9">
        <v>8.43</v>
      </c>
      <c r="G9">
        <v>1.44</v>
      </c>
      <c r="H9" t="s">
        <v>733</v>
      </c>
      <c r="I9">
        <v>7281791700</v>
      </c>
      <c r="J9">
        <v>32.71</v>
      </c>
      <c r="K9">
        <v>1.01</v>
      </c>
      <c r="L9" t="s">
        <v>602</v>
      </c>
      <c r="M9" t="s">
        <v>734</v>
      </c>
      <c r="N9" t="s">
        <v>735</v>
      </c>
      <c r="O9" t="s">
        <v>282</v>
      </c>
      <c r="P9">
        <v>-4.55</v>
      </c>
      <c r="Q9" t="s">
        <v>736</v>
      </c>
      <c r="R9">
        <v>25178989</v>
      </c>
      <c r="S9" s="6">
        <v>-0.81430000000000002</v>
      </c>
      <c r="T9" t="s">
        <v>737</v>
      </c>
      <c r="U9">
        <v>811985120</v>
      </c>
      <c r="V9">
        <v>863794980</v>
      </c>
      <c r="W9">
        <v>1.78</v>
      </c>
      <c r="X9">
        <v>7.0000000000000007E-2</v>
      </c>
      <c r="Y9">
        <v>1.28</v>
      </c>
      <c r="Z9" t="s">
        <v>738</v>
      </c>
      <c r="AA9" t="s">
        <v>561</v>
      </c>
      <c r="AB9" t="s">
        <v>739</v>
      </c>
      <c r="AC9" t="s">
        <v>740</v>
      </c>
      <c r="AD9" t="s">
        <v>10</v>
      </c>
      <c r="AE9">
        <v>-6374789</v>
      </c>
      <c r="AF9" t="s">
        <v>741</v>
      </c>
      <c r="AG9" t="s">
        <v>742</v>
      </c>
      <c r="AH9" t="s">
        <v>743</v>
      </c>
      <c r="AI9" t="s">
        <v>744</v>
      </c>
      <c r="AJ9" t="s">
        <v>745</v>
      </c>
      <c r="AK9" t="s">
        <v>746</v>
      </c>
      <c r="AL9" t="s">
        <v>747</v>
      </c>
      <c r="AM9" t="s">
        <v>10</v>
      </c>
      <c r="AN9" t="s">
        <v>748</v>
      </c>
      <c r="AO9" t="s">
        <v>399</v>
      </c>
      <c r="AP9" t="s">
        <v>122</v>
      </c>
      <c r="AQ9" t="s">
        <v>383</v>
      </c>
      <c r="AR9" t="s">
        <v>10</v>
      </c>
      <c r="AS9" t="s">
        <v>749</v>
      </c>
      <c r="AT9" t="s">
        <v>750</v>
      </c>
      <c r="AU9" t="s">
        <v>751</v>
      </c>
      <c r="AV9" t="s">
        <v>752</v>
      </c>
      <c r="AW9" t="s">
        <v>215</v>
      </c>
      <c r="AX9" t="s">
        <v>542</v>
      </c>
      <c r="AY9" t="s">
        <v>309</v>
      </c>
      <c r="AZ9" t="s">
        <v>188</v>
      </c>
      <c r="BA9" t="s">
        <v>189</v>
      </c>
      <c r="BB9" t="s">
        <v>190</v>
      </c>
      <c r="BC9" t="s">
        <v>543</v>
      </c>
      <c r="BD9" t="s">
        <v>282</v>
      </c>
      <c r="BE9" t="s">
        <v>132</v>
      </c>
      <c r="BF9" t="s">
        <v>191</v>
      </c>
      <c r="BG9" t="s">
        <v>115</v>
      </c>
      <c r="BH9" t="s">
        <v>736</v>
      </c>
      <c r="BI9" t="s">
        <v>284</v>
      </c>
      <c r="BJ9" t="s">
        <v>542</v>
      </c>
      <c r="BK9" t="s">
        <v>737</v>
      </c>
      <c r="BL9" t="s">
        <v>67</v>
      </c>
      <c r="BM9" t="s">
        <v>543</v>
      </c>
      <c r="BN9">
        <v>3.43</v>
      </c>
      <c r="BO9">
        <v>7.47</v>
      </c>
      <c r="BP9">
        <v>19.079999999999998</v>
      </c>
      <c r="BQ9">
        <v>4.16</v>
      </c>
      <c r="BR9">
        <v>10.96</v>
      </c>
      <c r="BS9">
        <v>26.29</v>
      </c>
      <c r="BT9" t="s">
        <v>493</v>
      </c>
      <c r="BU9" t="s">
        <v>375</v>
      </c>
      <c r="BV9">
        <v>24.22</v>
      </c>
      <c r="BW9">
        <v>23.14</v>
      </c>
      <c r="BX9">
        <v>37.229999999999997</v>
      </c>
      <c r="BY9">
        <v>9.2200000000000006</v>
      </c>
      <c r="BZ9">
        <v>12.93</v>
      </c>
      <c r="CA9">
        <v>25.56</v>
      </c>
      <c r="CB9">
        <v>-4.75</v>
      </c>
      <c r="CC9">
        <v>-18.71</v>
      </c>
      <c r="CD9" t="s">
        <v>753</v>
      </c>
      <c r="CE9" t="s">
        <v>49</v>
      </c>
      <c r="CF9" s="9">
        <v>-4.5454545454545345E-2</v>
      </c>
      <c r="CG9" s="10">
        <v>-0.81486037499999997</v>
      </c>
      <c r="CH9" s="9">
        <v>4.6666614711284637E-2</v>
      </c>
      <c r="CI9" s="9">
        <v>-0.14850127696990967</v>
      </c>
      <c r="CJ9" s="9">
        <v>0.80417853593826294</v>
      </c>
      <c r="CK9" s="9">
        <v>-3.7080917507410049E-2</v>
      </c>
      <c r="CL9" s="9">
        <v>0.1671271026134491</v>
      </c>
      <c r="CM9" s="10">
        <v>-0.23623853921890259</v>
      </c>
      <c r="CN9" s="10">
        <v>-0.54865425825119019</v>
      </c>
      <c r="CO9" s="10">
        <v>2.7011494636535645</v>
      </c>
      <c r="CP9" s="10">
        <v>0.11063829809427261</v>
      </c>
      <c r="CQ9" s="10">
        <v>0.50641024112701416</v>
      </c>
      <c r="CR9">
        <v>18.303623879346461</v>
      </c>
      <c r="CS9">
        <v>1.0994619461246631</v>
      </c>
      <c r="CT9">
        <v>3.5587188612099645</v>
      </c>
      <c r="CU9" s="9">
        <v>0.16647801175713539</v>
      </c>
      <c r="CV9" s="10">
        <v>0.50666104108095167</v>
      </c>
      <c r="CW9">
        <v>0.06</v>
      </c>
      <c r="CX9">
        <v>12.890679591679255</v>
      </c>
      <c r="CY9">
        <v>366450167.84445858</v>
      </c>
      <c r="CZ9">
        <v>0.16647801175713539</v>
      </c>
      <c r="DA9">
        <v>3.9506602338873438</v>
      </c>
      <c r="DB9">
        <v>1195696774.8026044</v>
      </c>
      <c r="DC9">
        <v>0.15815411116927861</v>
      </c>
      <c r="DD9">
        <v>1.7805971146301036</v>
      </c>
      <c r="DE9">
        <v>2652925617.5849233</v>
      </c>
      <c r="DF9">
        <v>0.14650065034627915</v>
      </c>
      <c r="DG9">
        <v>0.9647723442784456</v>
      </c>
      <c r="DH9">
        <v>4896276026.1675301</v>
      </c>
      <c r="DI9">
        <v>0.13318240940570833</v>
      </c>
      <c r="DJ9">
        <v>0.39314171079431381</v>
      </c>
      <c r="DK9">
        <v>12015493574.711082</v>
      </c>
      <c r="DL9">
        <v>0.11653460822999477</v>
      </c>
      <c r="DM9">
        <v>333000000</v>
      </c>
      <c r="DN9">
        <v>0.16647801175713539</v>
      </c>
      <c r="DO9">
        <v>4723791700</v>
      </c>
      <c r="DP9">
        <v>1459531200</v>
      </c>
      <c r="DQ9">
        <v>763</v>
      </c>
      <c r="DR9">
        <v>-0.21193255721168075</v>
      </c>
      <c r="DS9">
        <v>-1.3215214160809516</v>
      </c>
      <c r="DT9" s="11">
        <v>-7.333333333333332E-2</v>
      </c>
      <c r="DU9">
        <v>-0.28833333333333339</v>
      </c>
      <c r="DV9">
        <v>-0.36166666666666669</v>
      </c>
      <c r="DW9">
        <v>-8.2538749331908079</v>
      </c>
      <c r="DX9">
        <v>0.3575511811023615</v>
      </c>
      <c r="DY9">
        <v>-8.0374595462445875</v>
      </c>
      <c r="DZ9">
        <v>2604</v>
      </c>
      <c r="EA9">
        <v>-8.0183705719939216</v>
      </c>
      <c r="EB9">
        <v>8</v>
      </c>
      <c r="EC9">
        <v>4.338761033318346E-2</v>
      </c>
      <c r="ED9">
        <v>0.29405125739443405</v>
      </c>
      <c r="EE9" s="12">
        <v>-5.0508100000000002</v>
      </c>
      <c r="EF9">
        <v>-5.0718100000000002</v>
      </c>
      <c r="EG9">
        <v>21.147551181102362</v>
      </c>
      <c r="EH9" t="s">
        <v>754</v>
      </c>
      <c r="EI9">
        <v>0</v>
      </c>
      <c r="EJ9">
        <v>0</v>
      </c>
      <c r="EK9" s="14">
        <v>45470</v>
      </c>
      <c r="EL9" s="15">
        <v>-0.32</v>
      </c>
      <c r="EM9" s="15">
        <v>-4.08</v>
      </c>
      <c r="EN9" s="15">
        <v>-0.89</v>
      </c>
      <c r="EO9" s="15">
        <v>2.0299999999999998</v>
      </c>
      <c r="EP9" s="15">
        <v>-2.1</v>
      </c>
    </row>
    <row r="10" spans="1:146" ht="84" x14ac:dyDescent="0.25">
      <c r="A10" s="7"/>
      <c r="B10" s="7"/>
      <c r="C10" s="7" t="str">
        <f>""&amp;CHAR(10)&amp;Basic_Fundamental_Information_Constructure(F10)&amp;CHAR(10)&amp;Basic_Fundamental_Information_Concatenate("")</f>
        <v xml:space="preserve">
市值29.76007亿, 利润-9321.63万; PE; 平均PE-6.56; 平均PEG-1.01, PB3.2; ROIC54.58%; ROE-170.885%; 股利率0%; 毛利3.4233%; 净利-10.3833%; 上一年度营收增5.48%, 利润增-118.03%; 当季营收增-18.2%, 利润增-203.22%; 过往5年营收增-6.48%, 利润增-258.25%
Income profile:
</v>
      </c>
      <c r="D10" t="s">
        <v>50</v>
      </c>
      <c r="E10" t="s">
        <v>549</v>
      </c>
      <c r="F10">
        <v>3.02</v>
      </c>
      <c r="G10">
        <v>0.67</v>
      </c>
      <c r="H10" t="s">
        <v>755</v>
      </c>
      <c r="I10">
        <v>2976007000</v>
      </c>
      <c r="K10">
        <v>3.2</v>
      </c>
      <c r="L10" t="s">
        <v>602</v>
      </c>
      <c r="M10" t="s">
        <v>372</v>
      </c>
      <c r="N10" t="s">
        <v>756</v>
      </c>
      <c r="O10" t="s">
        <v>380</v>
      </c>
      <c r="P10">
        <v>-18.16</v>
      </c>
      <c r="Q10" t="s">
        <v>544</v>
      </c>
      <c r="R10">
        <v>-26369206</v>
      </c>
      <c r="S10" s="6">
        <v>-2.032</v>
      </c>
      <c r="T10" t="s">
        <v>757</v>
      </c>
      <c r="U10">
        <v>984257460</v>
      </c>
      <c r="V10">
        <v>985432780</v>
      </c>
      <c r="W10">
        <v>2.5299999999999998</v>
      </c>
      <c r="X10">
        <v>0.22</v>
      </c>
      <c r="Y10">
        <v>-4.84</v>
      </c>
      <c r="Z10" t="s">
        <v>558</v>
      </c>
      <c r="AA10" t="s">
        <v>381</v>
      </c>
      <c r="AB10" t="s">
        <v>758</v>
      </c>
      <c r="AC10" t="s">
        <v>759</v>
      </c>
      <c r="AD10" t="s">
        <v>10</v>
      </c>
      <c r="AE10">
        <v>6258277</v>
      </c>
      <c r="AF10" t="s">
        <v>39</v>
      </c>
      <c r="AG10" t="s">
        <v>760</v>
      </c>
      <c r="AH10" t="s">
        <v>761</v>
      </c>
      <c r="AI10" t="s">
        <v>562</v>
      </c>
      <c r="AJ10" t="s">
        <v>762</v>
      </c>
      <c r="AK10" t="s">
        <v>402</v>
      </c>
      <c r="AL10" t="s">
        <v>763</v>
      </c>
      <c r="AM10" t="s">
        <v>10</v>
      </c>
      <c r="AN10" t="s">
        <v>764</v>
      </c>
      <c r="AO10" t="s">
        <v>385</v>
      </c>
      <c r="AP10" t="s">
        <v>765</v>
      </c>
      <c r="AQ10" t="s">
        <v>125</v>
      </c>
      <c r="AR10" t="s">
        <v>10</v>
      </c>
      <c r="AS10" t="s">
        <v>766</v>
      </c>
      <c r="AT10" t="s">
        <v>551</v>
      </c>
      <c r="AU10" t="s">
        <v>767</v>
      </c>
      <c r="AV10" t="s">
        <v>768</v>
      </c>
      <c r="AW10" t="s">
        <v>769</v>
      </c>
      <c r="AX10" t="s">
        <v>550</v>
      </c>
      <c r="AY10" t="s">
        <v>310</v>
      </c>
      <c r="AZ10" t="s">
        <v>196</v>
      </c>
      <c r="BA10" t="s">
        <v>51</v>
      </c>
      <c r="BB10" t="s">
        <v>198</v>
      </c>
      <c r="BC10" t="s">
        <v>381</v>
      </c>
      <c r="BD10" t="s">
        <v>311</v>
      </c>
      <c r="BE10" t="s">
        <v>197</v>
      </c>
      <c r="BF10" t="s">
        <v>52</v>
      </c>
      <c r="BG10" t="s">
        <v>199</v>
      </c>
      <c r="BH10" t="s">
        <v>544</v>
      </c>
      <c r="BI10" t="s">
        <v>535</v>
      </c>
      <c r="BJ10" t="s">
        <v>550</v>
      </c>
      <c r="BK10" t="s">
        <v>757</v>
      </c>
      <c r="BL10" t="s">
        <v>770</v>
      </c>
      <c r="BM10" t="s">
        <v>381</v>
      </c>
      <c r="BN10" t="s">
        <v>10</v>
      </c>
      <c r="BO10">
        <v>54.58</v>
      </c>
      <c r="BP10" t="s">
        <v>10</v>
      </c>
      <c r="BQ10">
        <v>-2.84</v>
      </c>
      <c r="BR10">
        <v>-338.93</v>
      </c>
      <c r="BS10" t="s">
        <v>10</v>
      </c>
      <c r="BT10" t="s">
        <v>488</v>
      </c>
      <c r="BU10" t="s">
        <v>370</v>
      </c>
      <c r="BV10">
        <v>4.54</v>
      </c>
      <c r="BW10">
        <v>-1.35</v>
      </c>
      <c r="BX10">
        <v>7.08</v>
      </c>
      <c r="BY10">
        <v>-3.62</v>
      </c>
      <c r="BZ10">
        <v>21.18</v>
      </c>
      <c r="CA10">
        <v>-48.71</v>
      </c>
      <c r="CB10">
        <v>-1.95</v>
      </c>
      <c r="CC10">
        <v>-31.98</v>
      </c>
      <c r="CD10" t="s">
        <v>771</v>
      </c>
      <c r="CE10" t="s">
        <v>223</v>
      </c>
      <c r="CF10" s="9">
        <v>-0.18195488721804512</v>
      </c>
      <c r="CG10" s="10">
        <v>-2.0321979209787959</v>
      </c>
      <c r="CH10" s="9">
        <v>5.4760877043008804E-2</v>
      </c>
      <c r="CI10" s="9">
        <v>-0.15533305704593658</v>
      </c>
      <c r="CJ10" s="9">
        <v>0.18438257277011871</v>
      </c>
      <c r="CK10" s="9">
        <v>-0.20687414705753326</v>
      </c>
      <c r="CL10" s="9">
        <v>-0.20103627443313599</v>
      </c>
      <c r="CM10" s="10">
        <v>-1.1803023815155029</v>
      </c>
      <c r="CN10" s="10">
        <v>1.3666666746139526</v>
      </c>
      <c r="CO10" s="10">
        <v>-0.87749665975570679</v>
      </c>
      <c r="CP10" s="10">
        <v>-13.27958869934082</v>
      </c>
      <c r="CQ10" s="10">
        <v>1.058413028717041</v>
      </c>
      <c r="CR10">
        <v>-6.5573493681496826</v>
      </c>
      <c r="CS10">
        <v>-1.0116243114782941</v>
      </c>
      <c r="CT10">
        <v>0</v>
      </c>
      <c r="CU10" s="9">
        <v>-6.4820005744695666E-2</v>
      </c>
      <c r="CV10" s="10">
        <v>-2.5824616074562075</v>
      </c>
      <c r="CW10">
        <v>0.06</v>
      </c>
      <c r="CX10" t="e">
        <v>#VALUE!</v>
      </c>
      <c r="CY10" t="s">
        <v>350</v>
      </c>
      <c r="CZ10">
        <v>-6.4820005744695666E-2</v>
      </c>
      <c r="DA10" t="e">
        <v>#VALUE!</v>
      </c>
      <c r="DB10" t="s">
        <v>351</v>
      </c>
      <c r="DC10">
        <v>-6.1579005457460881E-2</v>
      </c>
      <c r="DD10" t="e">
        <v>#VALUE!</v>
      </c>
      <c r="DE10" t="s">
        <v>351</v>
      </c>
      <c r="DF10">
        <v>-5.7041605055332185E-2</v>
      </c>
      <c r="DG10" t="e">
        <v>#VALUE!</v>
      </c>
      <c r="DH10" t="s">
        <v>351</v>
      </c>
      <c r="DI10">
        <v>-5.1856004595756539E-2</v>
      </c>
      <c r="DJ10" t="e">
        <v>#VALUE!</v>
      </c>
      <c r="DK10" t="s">
        <v>351</v>
      </c>
      <c r="DL10">
        <v>-4.5374004021286961E-2</v>
      </c>
      <c r="DM10">
        <v>-93216299.999999985</v>
      </c>
      <c r="DN10">
        <v>-6.4820005744695666E-2</v>
      </c>
      <c r="DO10">
        <v>3596007000</v>
      </c>
      <c r="DP10">
        <v>484976500</v>
      </c>
      <c r="DQ10">
        <v>931</v>
      </c>
      <c r="DR10">
        <v>-0.11713488147334945</v>
      </c>
      <c r="DS10">
        <v>0.55026368647741153</v>
      </c>
      <c r="DT10" s="11">
        <v>-0.67333333333333334</v>
      </c>
      <c r="DU10">
        <v>-2.4816666666666669</v>
      </c>
      <c r="DV10">
        <v>-3.1550000000000002</v>
      </c>
      <c r="DW10">
        <v>-3.1807261904761903</v>
      </c>
      <c r="DX10">
        <v>0.34565891238670532</v>
      </c>
      <c r="DY10">
        <v>-3.0154808089159832</v>
      </c>
      <c r="DZ10">
        <v>4953</v>
      </c>
      <c r="EA10">
        <v>-3.000475633463759</v>
      </c>
      <c r="EB10">
        <v>3</v>
      </c>
      <c r="EC10">
        <v>2.8772231425059761E-2</v>
      </c>
      <c r="ED10">
        <v>0.3358930276299516</v>
      </c>
      <c r="EE10" s="12">
        <v>3.6099999999999991E-3</v>
      </c>
      <c r="EF10">
        <v>3.5410000000000004E-2</v>
      </c>
      <c r="EG10">
        <v>26.085658912386705</v>
      </c>
      <c r="EH10">
        <v>-1</v>
      </c>
      <c r="EI10">
        <v>0</v>
      </c>
      <c r="EJ10">
        <v>0</v>
      </c>
      <c r="EK10" s="14">
        <v>45470</v>
      </c>
      <c r="EL10" s="15">
        <v>1.26</v>
      </c>
      <c r="EM10" s="15">
        <v>-5.3</v>
      </c>
      <c r="EN10" s="15">
        <v>1.64</v>
      </c>
      <c r="EO10" s="15">
        <v>1.62</v>
      </c>
      <c r="EP10" s="15">
        <v>-3.18</v>
      </c>
    </row>
    <row r="11" spans="1:146" ht="84" x14ac:dyDescent="0.25">
      <c r="A11" s="7"/>
      <c r="B11" s="7"/>
      <c r="C11" s="7" t="str">
        <f>""&amp;CHAR(10)&amp;Basic_Fundamental_Information_Constructure(F11)&amp;CHAR(10)&amp;Basic_Fundamental_Information_Concatenate("")</f>
        <v xml:space="preserve">
市值18.343843亿, 利润1.37亿; PE12.93; 平均PE17.51; 平均PEG.83, PB1.11; ROIC5.3%; ROE6.2133%; 股利率.8897%; 毛利10.4567%; 净利5.0867%; 上一年度营收增8.52%, 利润增76.52%; 当季营收增2.33%, 利润增15.8%; 过往5年营收增21.11%, 利润增15.84%
Income profile:
</v>
      </c>
      <c r="D11" t="s">
        <v>54</v>
      </c>
      <c r="E11" t="s">
        <v>55</v>
      </c>
      <c r="F11">
        <v>5.62</v>
      </c>
      <c r="G11">
        <v>1.44</v>
      </c>
      <c r="H11" t="s">
        <v>772</v>
      </c>
      <c r="I11">
        <v>1834384300</v>
      </c>
      <c r="J11">
        <v>12.93</v>
      </c>
      <c r="K11">
        <v>1.1100000000000001</v>
      </c>
      <c r="L11" t="s">
        <v>602</v>
      </c>
      <c r="M11" t="s">
        <v>773</v>
      </c>
      <c r="N11" t="s">
        <v>774</v>
      </c>
      <c r="O11" t="s">
        <v>373</v>
      </c>
      <c r="P11">
        <v>2.19</v>
      </c>
      <c r="Q11" t="s">
        <v>196</v>
      </c>
      <c r="R11">
        <v>35494907</v>
      </c>
      <c r="S11" s="6">
        <v>0.158</v>
      </c>
      <c r="T11" t="s">
        <v>89</v>
      </c>
      <c r="U11">
        <v>244474270</v>
      </c>
      <c r="V11">
        <v>326402890</v>
      </c>
      <c r="W11">
        <v>1.44</v>
      </c>
      <c r="X11">
        <v>0.21</v>
      </c>
      <c r="Y11">
        <v>6.75</v>
      </c>
      <c r="Z11" t="s">
        <v>540</v>
      </c>
      <c r="AA11" t="s">
        <v>775</v>
      </c>
      <c r="AB11" t="s">
        <v>776</v>
      </c>
      <c r="AC11" t="s">
        <v>777</v>
      </c>
      <c r="AD11" t="s">
        <v>10</v>
      </c>
      <c r="AE11">
        <v>-703631</v>
      </c>
      <c r="AF11" t="s">
        <v>778</v>
      </c>
      <c r="AG11">
        <v>3572.35</v>
      </c>
      <c r="AH11" t="s">
        <v>779</v>
      </c>
      <c r="AI11" t="s">
        <v>117</v>
      </c>
      <c r="AJ11" t="s">
        <v>780</v>
      </c>
      <c r="AK11" t="s">
        <v>781</v>
      </c>
      <c r="AL11" t="s">
        <v>782</v>
      </c>
      <c r="AM11" t="s">
        <v>10</v>
      </c>
      <c r="AN11" t="s">
        <v>103</v>
      </c>
      <c r="AO11" t="s">
        <v>10</v>
      </c>
      <c r="AP11" t="s">
        <v>10</v>
      </c>
      <c r="AQ11" t="s">
        <v>83</v>
      </c>
      <c r="AR11" t="s">
        <v>10</v>
      </c>
      <c r="AS11" t="s">
        <v>179</v>
      </c>
      <c r="AT11" t="s">
        <v>10</v>
      </c>
      <c r="AU11" t="s">
        <v>783</v>
      </c>
      <c r="AV11" t="s">
        <v>784</v>
      </c>
      <c r="AW11" t="s">
        <v>785</v>
      </c>
      <c r="AX11" t="s">
        <v>319</v>
      </c>
      <c r="AY11" t="s">
        <v>312</v>
      </c>
      <c r="AZ11" t="s">
        <v>209</v>
      </c>
      <c r="BA11" t="s">
        <v>56</v>
      </c>
      <c r="BB11" t="s">
        <v>210</v>
      </c>
      <c r="BC11" t="s">
        <v>556</v>
      </c>
      <c r="BD11" t="s">
        <v>192</v>
      </c>
      <c r="BE11" t="s">
        <v>83</v>
      </c>
      <c r="BF11" t="s">
        <v>57</v>
      </c>
      <c r="BG11" t="s">
        <v>212</v>
      </c>
      <c r="BH11" t="s">
        <v>196</v>
      </c>
      <c r="BI11" t="s">
        <v>786</v>
      </c>
      <c r="BJ11" t="s">
        <v>319</v>
      </c>
      <c r="BK11" t="s">
        <v>89</v>
      </c>
      <c r="BL11" t="s">
        <v>787</v>
      </c>
      <c r="BM11" t="s">
        <v>556</v>
      </c>
      <c r="BN11">
        <v>5.09</v>
      </c>
      <c r="BO11">
        <v>4.25</v>
      </c>
      <c r="BP11">
        <v>6.56</v>
      </c>
      <c r="BQ11">
        <v>6.58</v>
      </c>
      <c r="BR11">
        <v>5.0999999999999996</v>
      </c>
      <c r="BS11">
        <v>6.96</v>
      </c>
      <c r="BT11" t="s">
        <v>491</v>
      </c>
      <c r="BU11" t="s">
        <v>370</v>
      </c>
      <c r="BV11">
        <v>10.8</v>
      </c>
      <c r="BW11">
        <v>8.02</v>
      </c>
      <c r="BX11">
        <v>12.55</v>
      </c>
      <c r="BY11">
        <v>5.6</v>
      </c>
      <c r="BZ11">
        <v>3.44</v>
      </c>
      <c r="CA11">
        <v>6.22</v>
      </c>
      <c r="CB11">
        <v>-0.88</v>
      </c>
      <c r="CC11">
        <v>-11.5</v>
      </c>
      <c r="CD11" t="s">
        <v>788</v>
      </c>
      <c r="CE11" t="s">
        <v>220</v>
      </c>
      <c r="CF11" s="9">
        <v>2.3346303501945644E-2</v>
      </c>
      <c r="CG11" s="10">
        <v>0.15801911168821001</v>
      </c>
      <c r="CH11" s="9">
        <v>8.5181891918182373E-2</v>
      </c>
      <c r="CI11" s="9">
        <v>0.39135810732841492</v>
      </c>
      <c r="CJ11" s="9">
        <v>0.18768328428268433</v>
      </c>
      <c r="CK11" s="9">
        <v>-0.21518987417221069</v>
      </c>
      <c r="CL11" s="9">
        <v>0.60628467798233032</v>
      </c>
      <c r="CM11" s="10">
        <v>0.7652319073677063</v>
      </c>
      <c r="CN11" s="10">
        <v>-0.23158217966556549</v>
      </c>
      <c r="CO11" s="10">
        <v>-0.25185185670852661</v>
      </c>
      <c r="CP11" s="10">
        <v>0.54359453916549683</v>
      </c>
      <c r="CQ11" s="10">
        <v>-3.3635653555393219E-2</v>
      </c>
      <c r="CR11">
        <v>17.510052250287835</v>
      </c>
      <c r="CS11">
        <v>0.82961016495192608</v>
      </c>
      <c r="CT11">
        <v>0.88967971530249113</v>
      </c>
      <c r="CU11" s="9">
        <v>0.21106361746788024</v>
      </c>
      <c r="CV11" s="10">
        <v>0.15835135132074357</v>
      </c>
      <c r="CW11">
        <v>0.06</v>
      </c>
      <c r="CX11">
        <v>5.471256021498629</v>
      </c>
      <c r="CY11">
        <v>156524259.99349016</v>
      </c>
      <c r="CZ11">
        <v>0.21106361746788024</v>
      </c>
      <c r="DA11">
        <v>1.616093636655463</v>
      </c>
      <c r="DB11">
        <v>529910074.87183964</v>
      </c>
      <c r="DC11">
        <v>0.20051043659448622</v>
      </c>
      <c r="DD11">
        <v>0.69100609680230873</v>
      </c>
      <c r="DE11">
        <v>1239329586.1830935</v>
      </c>
      <c r="DF11">
        <v>0.18573598337173461</v>
      </c>
      <c r="DG11">
        <v>0.35113373393866582</v>
      </c>
      <c r="DH11">
        <v>2438912064.6254644</v>
      </c>
      <c r="DI11">
        <v>0.16885089397430419</v>
      </c>
      <c r="DJ11">
        <v>0.1223251091336048</v>
      </c>
      <c r="DK11">
        <v>7000887275.437849</v>
      </c>
      <c r="DL11">
        <v>0.14774453222751616</v>
      </c>
      <c r="DM11">
        <v>137000000</v>
      </c>
      <c r="DN11">
        <v>0.21106361746788024</v>
      </c>
      <c r="DO11">
        <v>856384300</v>
      </c>
      <c r="DP11">
        <v>974629730</v>
      </c>
      <c r="DQ11">
        <v>1455</v>
      </c>
      <c r="DR11">
        <v>-0.18771731396593461</v>
      </c>
      <c r="DS11">
        <v>-3.3223963253356525E-4</v>
      </c>
      <c r="DT11" s="11">
        <v>-7.333333333333332E-2</v>
      </c>
      <c r="DU11">
        <v>0.38666666666666666</v>
      </c>
      <c r="DV11">
        <v>0.31333333333333335</v>
      </c>
      <c r="DW11">
        <v>-2.1150000000000002</v>
      </c>
      <c r="DX11">
        <v>0.3057395348837223</v>
      </c>
      <c r="DY11">
        <v>-2.015610046511628</v>
      </c>
      <c r="DZ11">
        <v>1015</v>
      </c>
      <c r="EA11">
        <v>-2.012509420834661</v>
      </c>
      <c r="EB11">
        <v>2</v>
      </c>
      <c r="EC11">
        <v>5.36465838277351E-2</v>
      </c>
      <c r="ED11">
        <v>0.39521708891731933</v>
      </c>
      <c r="EE11" s="12">
        <v>6.541000000000001E-2</v>
      </c>
      <c r="EF11">
        <v>7.7710000000000001E-2</v>
      </c>
      <c r="EG11">
        <v>17.135739534883722</v>
      </c>
      <c r="EH11">
        <v>-1</v>
      </c>
      <c r="EI11">
        <v>0</v>
      </c>
      <c r="EJ11">
        <v>1</v>
      </c>
      <c r="EK11" s="14">
        <v>45470</v>
      </c>
      <c r="EL11" s="15">
        <v>0.35</v>
      </c>
      <c r="EM11" s="15">
        <v>-4.9400000000000004</v>
      </c>
      <c r="EN11" s="15">
        <v>2.6</v>
      </c>
      <c r="EO11" s="15">
        <v>3.07</v>
      </c>
      <c r="EP11" s="15">
        <v>-1.23</v>
      </c>
    </row>
    <row r="12" spans="1:146" ht="84" x14ac:dyDescent="0.25">
      <c r="A12" s="7"/>
      <c r="B12" s="7"/>
      <c r="C12" s="7" t="str">
        <f>""&amp;CHAR(10)&amp;Basic_Fundamental_Information_Constructure(F12)&amp;CHAR(10)&amp;Basic_Fundamental_Information_Concatenate("")</f>
        <v xml:space="preserve">
市值15.974773亿, 利润3027.31万; PE720.2; 平均PE26.87; 平均PEG.93, PB1.95; ROIC4.7967%; ROE5.9433%; 股利率1.2019%; 毛利21.0333%; 净利11.4533%; 上一年度营收增128.43%, 利润增-39.03%; 当季营收增-50.22%, 利润增-373.62%; 过往5年营收增28.75%, 利润增-9.47%
Income profile:
</v>
      </c>
      <c r="D12" t="s">
        <v>90</v>
      </c>
      <c r="E12" t="s">
        <v>91</v>
      </c>
      <c r="F12">
        <v>16.64</v>
      </c>
      <c r="G12">
        <v>1.03</v>
      </c>
      <c r="H12" t="s">
        <v>789</v>
      </c>
      <c r="I12">
        <v>1597477300</v>
      </c>
      <c r="J12">
        <v>720.2</v>
      </c>
      <c r="K12">
        <v>1.95</v>
      </c>
      <c r="L12" t="s">
        <v>602</v>
      </c>
      <c r="M12" t="s">
        <v>565</v>
      </c>
      <c r="N12" t="s">
        <v>790</v>
      </c>
      <c r="O12" t="s">
        <v>791</v>
      </c>
      <c r="P12">
        <v>20.9</v>
      </c>
      <c r="Q12" t="s">
        <v>124</v>
      </c>
      <c r="R12">
        <v>-9964964</v>
      </c>
      <c r="S12" s="6">
        <v>-2.0720000000000001</v>
      </c>
      <c r="T12" t="s">
        <v>792</v>
      </c>
      <c r="U12">
        <v>68387240</v>
      </c>
      <c r="V12">
        <v>96002240</v>
      </c>
      <c r="W12">
        <v>1.76</v>
      </c>
      <c r="X12">
        <v>0.06</v>
      </c>
      <c r="Y12">
        <v>-10.86</v>
      </c>
      <c r="Z12" t="s">
        <v>109</v>
      </c>
      <c r="AA12" t="s">
        <v>793</v>
      </c>
      <c r="AB12" t="s">
        <v>794</v>
      </c>
      <c r="AC12" t="s">
        <v>795</v>
      </c>
      <c r="AD12" t="s">
        <v>10</v>
      </c>
      <c r="AE12">
        <v>4079286</v>
      </c>
      <c r="AF12" t="s">
        <v>796</v>
      </c>
      <c r="AG12" t="s">
        <v>797</v>
      </c>
      <c r="AH12" t="s">
        <v>798</v>
      </c>
      <c r="AI12" t="s">
        <v>104</v>
      </c>
      <c r="AJ12" t="s">
        <v>799</v>
      </c>
      <c r="AK12" t="s">
        <v>800</v>
      </c>
      <c r="AL12" t="s">
        <v>801</v>
      </c>
      <c r="AM12" t="s">
        <v>10</v>
      </c>
      <c r="AN12" t="s">
        <v>36</v>
      </c>
      <c r="AO12" t="s">
        <v>223</v>
      </c>
      <c r="AP12" t="s">
        <v>802</v>
      </c>
      <c r="AQ12" t="s">
        <v>803</v>
      </c>
      <c r="AR12" t="s">
        <v>10</v>
      </c>
      <c r="AS12" t="s">
        <v>182</v>
      </c>
      <c r="AT12" t="s">
        <v>804</v>
      </c>
      <c r="AU12" t="s">
        <v>805</v>
      </c>
      <c r="AV12" t="s">
        <v>806</v>
      </c>
      <c r="AW12" t="s">
        <v>232</v>
      </c>
      <c r="AX12" t="s">
        <v>285</v>
      </c>
      <c r="AY12" t="s">
        <v>278</v>
      </c>
      <c r="AZ12" t="s">
        <v>226</v>
      </c>
      <c r="BA12" t="s">
        <v>58</v>
      </c>
      <c r="BB12" t="s">
        <v>130</v>
      </c>
      <c r="BC12" t="s">
        <v>807</v>
      </c>
      <c r="BD12" t="s">
        <v>313</v>
      </c>
      <c r="BE12" t="s">
        <v>228</v>
      </c>
      <c r="BF12" t="s">
        <v>93</v>
      </c>
      <c r="BG12" t="s">
        <v>229</v>
      </c>
      <c r="BH12" t="s">
        <v>260</v>
      </c>
      <c r="BI12" t="s">
        <v>59</v>
      </c>
      <c r="BJ12" t="s">
        <v>285</v>
      </c>
      <c r="BK12" t="s">
        <v>808</v>
      </c>
      <c r="BL12" t="s">
        <v>809</v>
      </c>
      <c r="BM12" t="s">
        <v>807</v>
      </c>
      <c r="BN12">
        <v>1.87</v>
      </c>
      <c r="BO12">
        <v>4.6900000000000004</v>
      </c>
      <c r="BP12">
        <v>7.83</v>
      </c>
      <c r="BQ12">
        <v>2.88</v>
      </c>
      <c r="BR12">
        <v>6.1</v>
      </c>
      <c r="BS12">
        <v>8.85</v>
      </c>
      <c r="BT12" t="s">
        <v>489</v>
      </c>
      <c r="BU12" t="s">
        <v>326</v>
      </c>
      <c r="BV12">
        <v>18.52</v>
      </c>
      <c r="BW12">
        <v>21.5</v>
      </c>
      <c r="BX12">
        <v>23.08</v>
      </c>
      <c r="BY12">
        <v>4.34</v>
      </c>
      <c r="BZ12">
        <v>12.58</v>
      </c>
      <c r="CA12">
        <v>17.440000000000001</v>
      </c>
      <c r="CB12">
        <v>-3.14</v>
      </c>
      <c r="CC12">
        <v>-21.47</v>
      </c>
      <c r="CD12" t="s">
        <v>810</v>
      </c>
      <c r="CE12" t="s">
        <v>811</v>
      </c>
      <c r="CF12" s="9">
        <v>-0.5022105527638191</v>
      </c>
      <c r="CG12" s="10">
        <v>-3.7361992366621819</v>
      </c>
      <c r="CH12" s="9">
        <v>1.2842639684677124</v>
      </c>
      <c r="CI12" s="9">
        <v>-7.5566750019788742E-3</v>
      </c>
      <c r="CJ12" s="9">
        <v>7.2972975671291351E-2</v>
      </c>
      <c r="CK12" s="9">
        <v>-2.3746700957417488E-2</v>
      </c>
      <c r="CL12" s="9">
        <v>0.11143694818019867</v>
      </c>
      <c r="CM12" s="10">
        <v>-0.39026129245758057</v>
      </c>
      <c r="CN12" s="10">
        <v>-0.28234520554542542</v>
      </c>
      <c r="CO12" s="10">
        <v>-0.13598516583442688</v>
      </c>
      <c r="CP12" s="10">
        <v>0.16385264694690704</v>
      </c>
      <c r="CQ12" s="10">
        <v>0.17104457318782806</v>
      </c>
      <c r="CR12">
        <v>26.869108159999193</v>
      </c>
      <c r="CS12">
        <v>0.93466186533609308</v>
      </c>
      <c r="CT12">
        <v>1.2019230769230769</v>
      </c>
      <c r="CU12" s="9">
        <v>0.28747410327196121</v>
      </c>
      <c r="CV12" s="10">
        <v>-9.4738888740539554E-2</v>
      </c>
      <c r="CW12">
        <v>0.06</v>
      </c>
      <c r="CX12">
        <v>30.908023450961327</v>
      </c>
      <c r="CY12">
        <v>36769653.090341896</v>
      </c>
      <c r="CZ12">
        <v>0.28747410327196121</v>
      </c>
      <c r="DA12">
        <v>8.5787626711653591</v>
      </c>
      <c r="DB12">
        <v>132475666.19599915</v>
      </c>
      <c r="DC12">
        <v>0.27310039810836312</v>
      </c>
      <c r="DD12">
        <v>3.3462269145444803</v>
      </c>
      <c r="DE12">
        <v>339629477.92340851</v>
      </c>
      <c r="DF12">
        <v>0.25297721087932584</v>
      </c>
      <c r="DG12">
        <v>1.5147246442852926</v>
      </c>
      <c r="DH12">
        <v>750286399.76755333</v>
      </c>
      <c r="DI12">
        <v>0.22997928261756898</v>
      </c>
      <c r="DJ12">
        <v>0.39402754047930827</v>
      </c>
      <c r="DK12">
        <v>2884258543.4955916</v>
      </c>
      <c r="DL12">
        <v>0.20123187229037284</v>
      </c>
      <c r="DM12">
        <v>30273100</v>
      </c>
      <c r="DN12">
        <v>0.28747410327196121</v>
      </c>
      <c r="DO12">
        <v>1136477300</v>
      </c>
      <c r="DP12">
        <v>114792400</v>
      </c>
      <c r="DQ12">
        <v>2332</v>
      </c>
      <c r="DR12">
        <v>-0.78968465603578031</v>
      </c>
      <c r="DS12">
        <v>-3.6414603479216425</v>
      </c>
      <c r="DT12" s="11">
        <v>-0.10666666666666669</v>
      </c>
      <c r="DU12">
        <v>-0.99833333333333341</v>
      </c>
      <c r="DV12">
        <v>-1.105</v>
      </c>
      <c r="DW12">
        <v>-8.1462505822077311</v>
      </c>
      <c r="DX12">
        <v>0.23915826647805388</v>
      </c>
      <c r="DY12">
        <v>-8.0086519309148159</v>
      </c>
      <c r="DZ12">
        <v>4790</v>
      </c>
      <c r="EA12">
        <v>-8.0005418038929044</v>
      </c>
      <c r="EB12">
        <v>8</v>
      </c>
      <c r="EC12">
        <v>2.4917126933704879E-2</v>
      </c>
      <c r="ED12">
        <v>0.42119433879876134</v>
      </c>
      <c r="EE12" s="12">
        <v>-1.01241</v>
      </c>
      <c r="EF12">
        <v>-2.0291100000000002</v>
      </c>
      <c r="EG12">
        <v>18.059158266478054</v>
      </c>
      <c r="EH12" t="s">
        <v>536</v>
      </c>
      <c r="EI12">
        <v>0</v>
      </c>
      <c r="EJ12">
        <v>0</v>
      </c>
      <c r="EK12" s="14">
        <v>45470</v>
      </c>
      <c r="EL12" s="15">
        <v>-0.45</v>
      </c>
      <c r="EM12" s="15">
        <v>-1.84</v>
      </c>
      <c r="EN12" s="15">
        <v>-1.78</v>
      </c>
      <c r="EO12" s="15">
        <v>2.19</v>
      </c>
      <c r="EP12" s="15">
        <v>-16.670000000000002</v>
      </c>
    </row>
    <row r="13" spans="1:146" ht="84" x14ac:dyDescent="0.25">
      <c r="A13" s="7"/>
      <c r="B13" s="7"/>
      <c r="C13" s="7" t="str">
        <f>""&amp;CHAR(10)&amp;Basic_Fundamental_Information_Constructure(F13)&amp;CHAR(10)&amp;Basic_Fundamental_Information_Concatenate("")</f>
        <v xml:space="preserve">
市值13.0655557亿, 利润2.18亿; PE25.92; 平均PE16.02; 平均PEG.27, PB1.71; ROIC8.9267%; ROE9.62%; 股利率2.7003%; 毛利18.34%; 净利8.2467%; 上一年度营收增292.52%, 利润增437.25%; 当季营收增-63.23%, 利润增-74.72%; 过往5年营收增59.92%, 利润增94.2%
Income profile:
</v>
      </c>
      <c r="D13" t="s">
        <v>286</v>
      </c>
      <c r="E13" t="s">
        <v>287</v>
      </c>
      <c r="F13">
        <v>11.13</v>
      </c>
      <c r="G13">
        <v>2.2999999999999998</v>
      </c>
      <c r="H13" t="s">
        <v>812</v>
      </c>
      <c r="I13">
        <v>1306555570</v>
      </c>
      <c r="J13">
        <v>25.92</v>
      </c>
      <c r="K13">
        <v>1.71</v>
      </c>
      <c r="L13" t="s">
        <v>602</v>
      </c>
      <c r="M13" t="s">
        <v>135</v>
      </c>
      <c r="N13" t="s">
        <v>813</v>
      </c>
      <c r="O13" t="s">
        <v>174</v>
      </c>
      <c r="P13">
        <v>-1.1299999999999999</v>
      </c>
      <c r="Q13" t="s">
        <v>559</v>
      </c>
      <c r="R13">
        <v>8526282</v>
      </c>
      <c r="S13" s="6">
        <v>-9.7799999999999998E-2</v>
      </c>
      <c r="T13" t="s">
        <v>411</v>
      </c>
      <c r="U13">
        <v>51668438</v>
      </c>
      <c r="V13">
        <v>117390438</v>
      </c>
      <c r="W13">
        <v>1.1399999999999999</v>
      </c>
      <c r="X13">
        <v>0.18</v>
      </c>
      <c r="Y13">
        <v>5.44</v>
      </c>
      <c r="Z13" t="s">
        <v>107</v>
      </c>
      <c r="AA13" t="s">
        <v>134</v>
      </c>
      <c r="AB13" t="s">
        <v>814</v>
      </c>
      <c r="AC13" t="s">
        <v>815</v>
      </c>
      <c r="AD13" t="s">
        <v>10</v>
      </c>
      <c r="AE13">
        <v>-1520855</v>
      </c>
      <c r="AF13" t="s">
        <v>39</v>
      </c>
      <c r="AG13" t="s">
        <v>10</v>
      </c>
      <c r="AH13" t="s">
        <v>816</v>
      </c>
      <c r="AI13" t="s">
        <v>227</v>
      </c>
      <c r="AJ13" t="s">
        <v>817</v>
      </c>
      <c r="AK13" t="s">
        <v>10</v>
      </c>
      <c r="AL13" t="s">
        <v>818</v>
      </c>
      <c r="AM13" t="s">
        <v>10</v>
      </c>
      <c r="AN13" t="s">
        <v>819</v>
      </c>
      <c r="AO13" t="s">
        <v>10</v>
      </c>
      <c r="AP13" t="s">
        <v>820</v>
      </c>
      <c r="AQ13" t="s">
        <v>821</v>
      </c>
      <c r="AR13" t="s">
        <v>10</v>
      </c>
      <c r="AS13" t="s">
        <v>822</v>
      </c>
      <c r="AT13" t="s">
        <v>10</v>
      </c>
      <c r="AU13" t="s">
        <v>823</v>
      </c>
      <c r="AV13" t="s">
        <v>824</v>
      </c>
      <c r="AW13" t="s">
        <v>825</v>
      </c>
      <c r="AX13" t="s">
        <v>393</v>
      </c>
      <c r="AY13" t="s">
        <v>314</v>
      </c>
      <c r="AZ13" t="s">
        <v>126</v>
      </c>
      <c r="BA13" t="s">
        <v>283</v>
      </c>
      <c r="BB13" t="s">
        <v>206</v>
      </c>
      <c r="BC13" t="s">
        <v>569</v>
      </c>
      <c r="BD13" t="s">
        <v>315</v>
      </c>
      <c r="BE13" t="s">
        <v>288</v>
      </c>
      <c r="BF13" t="s">
        <v>289</v>
      </c>
      <c r="BG13" t="s">
        <v>290</v>
      </c>
      <c r="BH13" t="s">
        <v>600</v>
      </c>
      <c r="BI13" t="s">
        <v>128</v>
      </c>
      <c r="BJ13" t="s">
        <v>393</v>
      </c>
      <c r="BK13" t="s">
        <v>826</v>
      </c>
      <c r="BL13" t="s">
        <v>827</v>
      </c>
      <c r="BM13" t="s">
        <v>569</v>
      </c>
      <c r="BN13">
        <v>5.46</v>
      </c>
      <c r="BO13">
        <v>6.44</v>
      </c>
      <c r="BP13">
        <v>14.88</v>
      </c>
      <c r="BQ13">
        <v>5.76</v>
      </c>
      <c r="BR13">
        <v>6.65</v>
      </c>
      <c r="BS13">
        <v>16.45</v>
      </c>
      <c r="BT13" t="s">
        <v>828</v>
      </c>
      <c r="BU13" t="s">
        <v>370</v>
      </c>
      <c r="BV13">
        <v>16.73</v>
      </c>
      <c r="BW13">
        <v>16.09</v>
      </c>
      <c r="BX13">
        <v>22.2</v>
      </c>
      <c r="BY13">
        <v>6.38</v>
      </c>
      <c r="BZ13">
        <v>6.6</v>
      </c>
      <c r="CA13">
        <v>11.76</v>
      </c>
      <c r="CB13">
        <v>-2.71</v>
      </c>
      <c r="CC13">
        <v>-10.81</v>
      </c>
      <c r="CD13" t="s">
        <v>829</v>
      </c>
      <c r="CE13" t="s">
        <v>830</v>
      </c>
      <c r="CF13" s="9">
        <v>-0.63231850117096011</v>
      </c>
      <c r="CG13" s="10">
        <v>-0.74723611267572232</v>
      </c>
      <c r="CH13" s="9">
        <v>2.9252033233642578</v>
      </c>
      <c r="CI13" s="9">
        <v>3.2626427710056305E-3</v>
      </c>
      <c r="CJ13" s="9">
        <v>0.13308687508106232</v>
      </c>
      <c r="CK13" s="9">
        <v>-0.17530487477779388</v>
      </c>
      <c r="CL13" s="9">
        <v>0.10998307913541794</v>
      </c>
      <c r="CM13" s="10">
        <v>4.3725414276123047</v>
      </c>
      <c r="CN13" s="10">
        <v>-0.43731468915939331</v>
      </c>
      <c r="CO13" s="10">
        <v>7.8654743731021881E-2</v>
      </c>
      <c r="CP13" s="10">
        <v>0.2206977903842926</v>
      </c>
      <c r="CQ13" s="10">
        <v>0.47530615329742432</v>
      </c>
      <c r="CR13">
        <v>16.017163973109309</v>
      </c>
      <c r="CS13">
        <v>0.26728853231745858</v>
      </c>
      <c r="CT13">
        <v>2.7002767295597483</v>
      </c>
      <c r="CU13" s="9">
        <v>0.59924620911478998</v>
      </c>
      <c r="CV13" s="10">
        <v>0.94197708517313006</v>
      </c>
      <c r="CW13">
        <v>0.06</v>
      </c>
      <c r="CX13">
        <v>2.0235706143935395</v>
      </c>
      <c r="CY13">
        <v>328901578.85568321</v>
      </c>
      <c r="CZ13">
        <v>0.59924620911478998</v>
      </c>
      <c r="DA13">
        <v>0.44137731491996951</v>
      </c>
      <c r="DB13">
        <v>1507906155.3507309</v>
      </c>
      <c r="DC13">
        <v>0.56928389865905049</v>
      </c>
      <c r="DD13">
        <v>0.11751994391145035</v>
      </c>
      <c r="DE13">
        <v>5663341453.7832565</v>
      </c>
      <c r="DF13">
        <v>0.5273366640210152</v>
      </c>
      <c r="DG13">
        <v>3.2007424744218103E-2</v>
      </c>
      <c r="DH13">
        <v>20793786920.337212</v>
      </c>
      <c r="DI13">
        <v>0.47939696729183201</v>
      </c>
      <c r="DJ13">
        <v>2.2548086006623472E-3</v>
      </c>
      <c r="DK13">
        <v>295171647741.84998</v>
      </c>
      <c r="DL13">
        <v>0.41947234638035297</v>
      </c>
      <c r="DM13">
        <v>218000000.00000003</v>
      </c>
      <c r="DN13">
        <v>0.59924620911478998</v>
      </c>
      <c r="DO13">
        <v>665555570</v>
      </c>
      <c r="DP13">
        <v>250471760</v>
      </c>
      <c r="DQ13">
        <v>2503</v>
      </c>
      <c r="DR13">
        <v>-1.2315647102857501</v>
      </c>
      <c r="DS13">
        <v>-1.6892131978488525</v>
      </c>
      <c r="DT13" s="11">
        <v>-0.25666666666666665</v>
      </c>
      <c r="DU13">
        <v>-7.3333333333333403E-2</v>
      </c>
      <c r="DV13">
        <v>-0.33000000000000007</v>
      </c>
      <c r="DW13">
        <v>-8.250693802035153</v>
      </c>
      <c r="DX13">
        <v>0.32580911306956778</v>
      </c>
      <c r="DY13">
        <v>-8.0365534409267827</v>
      </c>
      <c r="DZ13">
        <v>1198</v>
      </c>
      <c r="EA13">
        <v>-8.0279837692574514</v>
      </c>
      <c r="EB13">
        <v>8</v>
      </c>
      <c r="EC13">
        <v>6.2928464412067356E-2</v>
      </c>
      <c r="ED13">
        <v>0.43158114803183545</v>
      </c>
      <c r="EE13" s="12">
        <v>-5.0430999999999999</v>
      </c>
      <c r="EF13">
        <v>-5.0239000000000003</v>
      </c>
      <c r="EG13">
        <v>18.145809113069568</v>
      </c>
      <c r="EH13" t="s">
        <v>555</v>
      </c>
      <c r="EI13">
        <v>0</v>
      </c>
      <c r="EJ13">
        <v>1</v>
      </c>
      <c r="EK13" s="14">
        <v>45470</v>
      </c>
      <c r="EL13" s="15">
        <v>-0.88</v>
      </c>
      <c r="EM13" s="15">
        <v>-5.08</v>
      </c>
      <c r="EN13" s="15">
        <v>3.03</v>
      </c>
      <c r="EO13" s="15">
        <v>4.1399999999999997</v>
      </c>
      <c r="EP13" s="15">
        <v>-1.92</v>
      </c>
    </row>
    <row r="14" spans="1:146" ht="197.25" customHeight="1" x14ac:dyDescent="0.25">
      <c r="A14" s="7" t="s">
        <v>497</v>
      </c>
      <c r="B14" s="7" t="s">
        <v>498</v>
      </c>
      <c r="C14" s="7" t="str">
        <f>"公司主要从事聚乙烯醇（PVA）、高强高模PVA纤维、PVB树脂、PVA光学薄膜、可再分散性乳胶粉、醋酸乙烯、VAE乳液、酒精、聚酯切片、醋酸甲酯、电石渣制水泥熟料及环保水泥，以及其他PVA相关的衍生产品、中间产品和副产品等的研发、生产与销售；"&amp;CHAR(10)&amp;Basic_Fundamental_Information_Constructure(F14)&amp;CHAR(10)&amp;Basic_Fundamental_Information_Concatenate("聚乙烯醇 37.35亿 37.57% 54.50% 36.66%(增37.86%）
醋酸乙烯 10.72亿 10.78% 14.49% 33.98%(增56.69%）
水泥 9.65亿 9.71% 6.83% 17.78%
VAE乳液 5.83亿 5.86% 5.44% 23.43%
PVA超短纤 4.88亿 4.90% 2.99% 15.40%
PVB中间膜 3.27亿 3.28% 3.97% 30.54%
PVB树脂 1.41亿 1.41% 1.23% 21.95%")</f>
        <v>公司主要从事聚乙烯醇（PVA）、高强高模PVA纤维、PVB树脂、PVA光学薄膜、可再分散性乳胶粉、醋酸乙烯、VAE乳液、酒精、聚酯切片、醋酸甲酯、电石渣制水泥熟料及环保水泥，以及其他PVA相关的衍生产品、中间产品和副产品等的研发、生产与销售；
市值76.570247亿, 利润15.60亿; PE29.58; 平均PE5.23; 平均PEG.48, PB.951; ROIC9.53%; ROE13.5367%; 股利率1.4085%; 毛利20.97%; 净利9.9367%; 上一年度营收增-52.45%, 利润增13.87%; 当季营收增48.88%, 利润增-92.64%; 过往5年营收增-10.98%, 利润增13.87%
Income profile:
聚乙烯醇 37.35亿 37.57% 54.50% 36.66%(增37.86%）
醋酸乙烯 10.72亿 10.78% 14.49% 33.98%(增56.69%）
水泥 9.65亿 9.71% 6.83% 17.78%
VAE乳液 5.83亿 5.86% 5.44% 23.43%
PVA超短纤 4.88亿 4.90% 2.99% 15.40%
PVB中间膜 3.27亿 3.28% 3.97% 30.54%
PVB树脂 1.41亿 1.41% 1.23% 21.95%</v>
      </c>
      <c r="D14" t="s">
        <v>70</v>
      </c>
      <c r="E14" t="s">
        <v>261</v>
      </c>
      <c r="F14">
        <v>3.55</v>
      </c>
      <c r="G14">
        <v>0.85</v>
      </c>
      <c r="H14" t="s">
        <v>831</v>
      </c>
      <c r="I14">
        <v>7657024700</v>
      </c>
      <c r="J14">
        <v>29.58</v>
      </c>
      <c r="K14">
        <v>0.95099999999999996</v>
      </c>
      <c r="L14" t="s">
        <v>602</v>
      </c>
      <c r="M14" t="s">
        <v>832</v>
      </c>
      <c r="N14" t="s">
        <v>833</v>
      </c>
      <c r="O14" t="s">
        <v>834</v>
      </c>
      <c r="P14">
        <v>-18.88</v>
      </c>
      <c r="Q14" t="s">
        <v>835</v>
      </c>
      <c r="R14">
        <v>47157048</v>
      </c>
      <c r="S14" s="6">
        <v>-0.63729999999999998</v>
      </c>
      <c r="T14" t="s">
        <v>836</v>
      </c>
      <c r="U14">
        <v>1925894700</v>
      </c>
      <c r="V14">
        <v>2156908400</v>
      </c>
      <c r="W14">
        <v>1.77</v>
      </c>
      <c r="X14" t="s">
        <v>10</v>
      </c>
      <c r="Y14">
        <v>2.48</v>
      </c>
      <c r="Z14" t="s">
        <v>10</v>
      </c>
      <c r="AA14" t="s">
        <v>10</v>
      </c>
      <c r="AB14" t="s">
        <v>10</v>
      </c>
      <c r="AC14" t="s">
        <v>10</v>
      </c>
      <c r="AD14" t="s">
        <v>10</v>
      </c>
      <c r="AE14">
        <v>-11618222</v>
      </c>
      <c r="AF14" t="s">
        <v>39</v>
      </c>
      <c r="AG14" t="s">
        <v>837</v>
      </c>
      <c r="AH14" t="s">
        <v>838</v>
      </c>
      <c r="AI14" t="s">
        <v>839</v>
      </c>
      <c r="AJ14" t="s">
        <v>840</v>
      </c>
      <c r="AK14" t="s">
        <v>10</v>
      </c>
      <c r="AL14" t="s">
        <v>841</v>
      </c>
      <c r="AM14" t="s">
        <v>10</v>
      </c>
      <c r="AN14" t="s">
        <v>193</v>
      </c>
      <c r="AO14" t="s">
        <v>10</v>
      </c>
      <c r="AP14" t="s">
        <v>400</v>
      </c>
      <c r="AQ14" t="s">
        <v>413</v>
      </c>
      <c r="AR14" t="s">
        <v>10</v>
      </c>
      <c r="AS14" t="s">
        <v>10</v>
      </c>
      <c r="AT14" t="s">
        <v>10</v>
      </c>
      <c r="AU14" t="s">
        <v>842</v>
      </c>
      <c r="AV14" t="s">
        <v>843</v>
      </c>
      <c r="AW14" t="s">
        <v>408</v>
      </c>
      <c r="AX14" t="s">
        <v>575</v>
      </c>
      <c r="AY14" t="s">
        <v>10</v>
      </c>
      <c r="AZ14" t="s">
        <v>230</v>
      </c>
      <c r="BA14" t="s">
        <v>71</v>
      </c>
      <c r="BB14" t="s">
        <v>231</v>
      </c>
      <c r="BC14" t="s">
        <v>844</v>
      </c>
      <c r="BD14" t="s">
        <v>10</v>
      </c>
      <c r="BE14" t="s">
        <v>10</v>
      </c>
      <c r="BF14" t="s">
        <v>10</v>
      </c>
      <c r="BG14" t="s">
        <v>10</v>
      </c>
      <c r="BH14" t="s">
        <v>845</v>
      </c>
      <c r="BI14" t="s">
        <v>252</v>
      </c>
      <c r="BJ14" t="s">
        <v>575</v>
      </c>
      <c r="BK14" t="s">
        <v>275</v>
      </c>
      <c r="BL14" t="s">
        <v>263</v>
      </c>
      <c r="BM14" t="s">
        <v>844</v>
      </c>
      <c r="BN14">
        <v>3.17</v>
      </c>
      <c r="BO14">
        <v>13.98</v>
      </c>
      <c r="BP14">
        <v>11.44</v>
      </c>
      <c r="BQ14">
        <v>5.01</v>
      </c>
      <c r="BR14">
        <v>19.22</v>
      </c>
      <c r="BS14">
        <v>16.38</v>
      </c>
      <c r="BT14" t="s">
        <v>491</v>
      </c>
      <c r="BU14" t="s">
        <v>326</v>
      </c>
      <c r="BV14">
        <v>12.7</v>
      </c>
      <c r="BW14">
        <v>25.27</v>
      </c>
      <c r="BX14">
        <v>24.94</v>
      </c>
      <c r="BY14">
        <v>4.0599999999999996</v>
      </c>
      <c r="BZ14">
        <v>13.68</v>
      </c>
      <c r="CA14">
        <v>12.07</v>
      </c>
      <c r="CB14">
        <v>0.85</v>
      </c>
      <c r="CC14">
        <v>-14.46</v>
      </c>
      <c r="CD14" t="s">
        <v>846</v>
      </c>
      <c r="CE14" t="s">
        <v>53</v>
      </c>
      <c r="CF14" s="9">
        <v>0.4888152444076222</v>
      </c>
      <c r="CG14" s="10">
        <v>-0.92643206240249609</v>
      </c>
      <c r="CH14" s="9">
        <v>-0.52454233169555664</v>
      </c>
      <c r="CI14" s="9" t="s">
        <v>10</v>
      </c>
      <c r="CJ14" s="9" t="s">
        <v>10</v>
      </c>
      <c r="CK14" s="9">
        <v>0.10981755703687668</v>
      </c>
      <c r="CL14" s="9">
        <v>8.5197165608406067E-2</v>
      </c>
      <c r="CM14" s="10">
        <v>0.13868613541126251</v>
      </c>
      <c r="CN14" s="10" t="s">
        <v>10</v>
      </c>
      <c r="CO14" s="10" t="s">
        <v>10</v>
      </c>
      <c r="CP14" s="10" t="s">
        <v>10</v>
      </c>
      <c r="CQ14" s="10" t="s">
        <v>10</v>
      </c>
      <c r="CR14">
        <v>5.2266380204778153</v>
      </c>
      <c r="CS14">
        <v>0.4758300558373324</v>
      </c>
      <c r="CT14">
        <v>1.4084507042253522</v>
      </c>
      <c r="CU14" s="9">
        <v>-0.10984253635009129</v>
      </c>
      <c r="CV14" s="10">
        <v>0.13868613541126251</v>
      </c>
      <c r="CW14">
        <v>0.06</v>
      </c>
      <c r="CX14">
        <v>3.5814260897435899</v>
      </c>
      <c r="CY14" t="s">
        <v>847</v>
      </c>
      <c r="CZ14">
        <v>-0.10984253635009129</v>
      </c>
      <c r="DA14">
        <v>1.1938086965811965</v>
      </c>
      <c r="DB14" t="s">
        <v>848</v>
      </c>
      <c r="DC14">
        <v>-0.10435040953258673</v>
      </c>
      <c r="DD14">
        <v>0.59690434829059824</v>
      </c>
      <c r="DE14" t="s">
        <v>849</v>
      </c>
      <c r="DF14">
        <v>-9.6661431988080346E-2</v>
      </c>
      <c r="DG14">
        <v>0.35814260897435896</v>
      </c>
      <c r="DH14" t="s">
        <v>850</v>
      </c>
      <c r="DI14">
        <v>-8.7874029080073038E-2</v>
      </c>
      <c r="DJ14">
        <v>0.17907130448717948</v>
      </c>
      <c r="DK14" t="s">
        <v>851</v>
      </c>
      <c r="DL14">
        <v>-7.6889775445063896E-2</v>
      </c>
      <c r="DM14">
        <v>1560000000</v>
      </c>
      <c r="DN14">
        <v>-0.10984253635009129</v>
      </c>
      <c r="DO14">
        <v>5587024700</v>
      </c>
      <c r="DP14">
        <v>4763137100</v>
      </c>
      <c r="DQ14">
        <v>2892</v>
      </c>
      <c r="DR14">
        <v>0.59865778075771348</v>
      </c>
      <c r="DS14">
        <v>-1.0651181978137587</v>
      </c>
      <c r="DT14" s="11">
        <v>-0.91</v>
      </c>
      <c r="DU14">
        <v>-1.32</v>
      </c>
      <c r="DV14">
        <v>-2.23</v>
      </c>
      <c r="DW14">
        <v>-2.1446000000000001</v>
      </c>
      <c r="DX14">
        <v>0.30578263157894853</v>
      </c>
      <c r="DY14">
        <v>-2.0167421685263158</v>
      </c>
      <c r="DZ14">
        <v>2418</v>
      </c>
      <c r="EA14">
        <v>-2.008819944750067</v>
      </c>
      <c r="EB14">
        <v>2</v>
      </c>
      <c r="EC14">
        <v>2.0398362767746651E-2</v>
      </c>
      <c r="ED14">
        <v>0.17617808897216033</v>
      </c>
      <c r="EE14" s="12">
        <v>-4.0165100000000002</v>
      </c>
      <c r="EF14">
        <v>-4.0384099999999998</v>
      </c>
      <c r="EG14">
        <v>19.115782631578949</v>
      </c>
      <c r="EH14" t="s">
        <v>567</v>
      </c>
      <c r="EI14">
        <v>0</v>
      </c>
      <c r="EJ14">
        <v>0</v>
      </c>
      <c r="EK14" s="14">
        <v>45470</v>
      </c>
      <c r="EL14" s="15">
        <v>1.1299999999999999</v>
      </c>
      <c r="EM14" s="15">
        <v>-3.11</v>
      </c>
      <c r="EN14" s="15">
        <v>-0.25</v>
      </c>
      <c r="EO14" s="15">
        <v>1.26</v>
      </c>
      <c r="EP14" s="15">
        <v>-2.19</v>
      </c>
    </row>
    <row r="15" spans="1:146" x14ac:dyDescent="0.25">
      <c r="D15" t="s">
        <v>578</v>
      </c>
      <c r="E15" t="s">
        <v>579</v>
      </c>
      <c r="F15">
        <v>1.36</v>
      </c>
      <c r="G15">
        <v>0</v>
      </c>
      <c r="H15" t="s">
        <v>852</v>
      </c>
      <c r="I15">
        <v>5299041300</v>
      </c>
      <c r="K15">
        <v>0.90500000000000003</v>
      </c>
      <c r="L15" t="s">
        <v>602</v>
      </c>
      <c r="M15" t="s">
        <v>853</v>
      </c>
      <c r="N15" t="s">
        <v>854</v>
      </c>
      <c r="O15" t="s">
        <v>855</v>
      </c>
      <c r="P15" s="6">
        <v>9.36</v>
      </c>
      <c r="Q15" t="s">
        <v>181</v>
      </c>
      <c r="R15">
        <v>-31413557</v>
      </c>
      <c r="S15">
        <v>-1.3080000000000001</v>
      </c>
      <c r="T15" t="s">
        <v>856</v>
      </c>
      <c r="U15">
        <v>3896353900</v>
      </c>
      <c r="V15">
        <v>3896353900</v>
      </c>
      <c r="W15">
        <v>2.93</v>
      </c>
      <c r="X15">
        <v>0.31</v>
      </c>
      <c r="Y15">
        <v>-0.57999999999999996</v>
      </c>
      <c r="Z15" t="s">
        <v>857</v>
      </c>
      <c r="AA15" t="s">
        <v>858</v>
      </c>
      <c r="AB15" t="s">
        <v>859</v>
      </c>
      <c r="AC15" t="s">
        <v>860</v>
      </c>
      <c r="AD15" t="s">
        <v>10</v>
      </c>
      <c r="AE15">
        <v>34919925</v>
      </c>
      <c r="AF15" t="s">
        <v>861</v>
      </c>
      <c r="AG15" t="s">
        <v>862</v>
      </c>
      <c r="AH15" t="s">
        <v>863</v>
      </c>
      <c r="AI15" t="s">
        <v>864</v>
      </c>
      <c r="AJ15" t="s">
        <v>865</v>
      </c>
      <c r="AK15" t="s">
        <v>866</v>
      </c>
      <c r="AL15" t="s">
        <v>867</v>
      </c>
      <c r="AM15" t="s">
        <v>10</v>
      </c>
      <c r="AN15" t="s">
        <v>406</v>
      </c>
      <c r="AO15" t="s">
        <v>590</v>
      </c>
      <c r="AP15" t="s">
        <v>564</v>
      </c>
      <c r="AQ15" t="s">
        <v>868</v>
      </c>
      <c r="AR15" t="s">
        <v>10</v>
      </c>
      <c r="AS15" t="s">
        <v>869</v>
      </c>
      <c r="AT15" t="s">
        <v>121</v>
      </c>
      <c r="AU15" t="s">
        <v>870</v>
      </c>
      <c r="AV15" t="s">
        <v>871</v>
      </c>
      <c r="AW15" t="s">
        <v>872</v>
      </c>
      <c r="AX15" t="s">
        <v>580</v>
      </c>
      <c r="AY15" t="s">
        <v>581</v>
      </c>
      <c r="AZ15" t="s">
        <v>582</v>
      </c>
      <c r="BA15" t="s">
        <v>583</v>
      </c>
      <c r="BB15" t="s">
        <v>405</v>
      </c>
      <c r="BC15" t="s">
        <v>379</v>
      </c>
      <c r="BD15" t="s">
        <v>499</v>
      </c>
      <c r="BE15" t="s">
        <v>60</v>
      </c>
      <c r="BF15" t="s">
        <v>584</v>
      </c>
      <c r="BG15" t="s">
        <v>585</v>
      </c>
      <c r="BH15" t="s">
        <v>873</v>
      </c>
      <c r="BI15" t="s">
        <v>874</v>
      </c>
      <c r="BJ15" t="s">
        <v>580</v>
      </c>
      <c r="BK15" t="s">
        <v>875</v>
      </c>
      <c r="BL15" t="s">
        <v>876</v>
      </c>
      <c r="BM15" t="s">
        <v>379</v>
      </c>
      <c r="BN15">
        <v>2.7</v>
      </c>
      <c r="BO15">
        <v>9.9700000000000006</v>
      </c>
      <c r="BP15">
        <v>7.67</v>
      </c>
      <c r="BQ15">
        <v>0.39</v>
      </c>
      <c r="BR15">
        <v>12.45</v>
      </c>
      <c r="BS15">
        <v>10.45</v>
      </c>
      <c r="BT15" t="s">
        <v>488</v>
      </c>
      <c r="BU15" t="s">
        <v>370</v>
      </c>
      <c r="BV15">
        <v>0.18</v>
      </c>
      <c r="BW15">
        <v>5.72</v>
      </c>
      <c r="BX15">
        <v>4.82</v>
      </c>
      <c r="BY15">
        <v>-1.17</v>
      </c>
      <c r="BZ15">
        <v>3.58</v>
      </c>
      <c r="CA15">
        <v>3.27</v>
      </c>
      <c r="CB15">
        <v>3.82</v>
      </c>
      <c r="CC15" s="9">
        <v>-26.88</v>
      </c>
      <c r="CD15" s="10" t="s">
        <v>877</v>
      </c>
      <c r="CE15" s="9" t="s">
        <v>570</v>
      </c>
      <c r="CF15" s="9">
        <v>62.388919579404686</v>
      </c>
      <c r="CG15" s="9">
        <v>-1.9097994960611677</v>
      </c>
      <c r="CH15" s="9">
        <v>-0.98603141307830811</v>
      </c>
      <c r="CI15" s="9">
        <v>0.17239084839820862</v>
      </c>
      <c r="CJ15" s="10">
        <v>0.19503059983253479</v>
      </c>
      <c r="CK15" s="10">
        <v>-0.26184225082397461</v>
      </c>
      <c r="CL15" s="10">
        <v>17.681896209716797</v>
      </c>
      <c r="CM15" s="10">
        <v>-0.92018294334411621</v>
      </c>
      <c r="CN15" s="10">
        <v>0.29841271042823792</v>
      </c>
      <c r="CO15">
        <v>0.12701252102851868</v>
      </c>
      <c r="CP15">
        <v>-0.27777779102325439</v>
      </c>
      <c r="CQ15">
        <v>13.433351516723633</v>
      </c>
      <c r="CR15" s="9">
        <v>10.963850541612201</v>
      </c>
      <c r="CS15" s="10">
        <v>3.2627703147116383E-2</v>
      </c>
      <c r="CT15">
        <v>0</v>
      </c>
      <c r="CU15">
        <v>3.3602887988090515</v>
      </c>
      <c r="CV15">
        <v>2.5321632027626038</v>
      </c>
      <c r="CW15">
        <v>0.06</v>
      </c>
      <c r="CX15">
        <v>32.877895867053645</v>
      </c>
      <c r="CY15">
        <v>268570754.51864386</v>
      </c>
      <c r="CZ15">
        <v>3.3602887988090515</v>
      </c>
      <c r="DA15">
        <v>1.6602352189194691</v>
      </c>
      <c r="DB15">
        <v>5318548359.5191145</v>
      </c>
      <c r="DC15">
        <v>3.1922743588685987</v>
      </c>
      <c r="DD15">
        <v>3.6598371232196635E-2</v>
      </c>
      <c r="DE15">
        <v>241268695920.32446</v>
      </c>
      <c r="DF15">
        <v>2.9570541429519652</v>
      </c>
      <c r="DG15">
        <v>3.7054244719228122E-4</v>
      </c>
      <c r="DH15">
        <v>23830039896665.148</v>
      </c>
      <c r="DI15">
        <v>2.6882310390472415</v>
      </c>
      <c r="DJ15">
        <v>9.2373924974521775E-9</v>
      </c>
      <c r="DK15">
        <v>9.5590192821572416E+17</v>
      </c>
      <c r="DL15">
        <v>2.3522021591663358</v>
      </c>
      <c r="DM15">
        <v>65290400</v>
      </c>
      <c r="DN15">
        <v>3.3602887988090515</v>
      </c>
      <c r="DO15">
        <v>8830041300</v>
      </c>
      <c r="DP15">
        <v>3747630300</v>
      </c>
      <c r="DQ15" s="11">
        <v>3134</v>
      </c>
      <c r="DR15">
        <v>59.028630780595634</v>
      </c>
      <c r="DS15">
        <v>-4.4419626988237715</v>
      </c>
      <c r="DT15">
        <v>-0.12333333333333329</v>
      </c>
      <c r="DU15">
        <v>-0.72833333333333339</v>
      </c>
      <c r="DV15">
        <v>-0.85166666666666668</v>
      </c>
      <c r="DW15">
        <v>6.1244299674267104</v>
      </c>
      <c r="DX15">
        <v>0.30993135593220311</v>
      </c>
      <c r="DY15">
        <v>6.0199002534091539</v>
      </c>
      <c r="DZ15">
        <v>1236</v>
      </c>
      <c r="EA15">
        <v>6.0150868065962939</v>
      </c>
      <c r="EB15" s="12">
        <v>6</v>
      </c>
      <c r="EC15" s="12">
        <v>1.9373907488228932E-2</v>
      </c>
      <c r="ED15">
        <v>0.12113889346653034</v>
      </c>
      <c r="EE15">
        <v>-2.1048100000000001</v>
      </c>
      <c r="EF15">
        <v>-2.1102099999999999</v>
      </c>
      <c r="EG15">
        <v>15.159931355932203</v>
      </c>
      <c r="EH15" s="14" t="s">
        <v>536</v>
      </c>
      <c r="EI15">
        <v>0</v>
      </c>
      <c r="EJ15">
        <v>1</v>
      </c>
      <c r="EK15">
        <v>45470</v>
      </c>
      <c r="EL15">
        <v>0.27</v>
      </c>
      <c r="EM15">
        <v>-0.54</v>
      </c>
      <c r="EN15" s="15">
        <v>-1.35</v>
      </c>
      <c r="EO15" s="15">
        <v>0.82</v>
      </c>
      <c r="EP15" s="15">
        <v>-0.54</v>
      </c>
    </row>
    <row r="16" spans="1:146" ht="156" x14ac:dyDescent="0.25">
      <c r="A16" s="7"/>
      <c r="B16" s="7"/>
      <c r="C16" s="7" t="str">
        <f>"公司属于生产销售型工业企业，主要从事尼龙66工业丝、帘子布、切片、己二酸等产品的生产与销售。公司主要产品为工业丝、帘子布、尼龙66切片、己二酸、双酚A、PC，其他产品有环己烷、高纯笑气、帆布、芳纶纤维、阻燃纤维、原液色丝、尼龙6民用丝等。"&amp;CHAR(10)&amp;Basic_Fundamental_Information_Constructure(F16)&amp;CHAR(10)&amp;Basic_Fundamental_Information_Concatenate("中间体及其他 31.23亿 41.09%
帘子布 17.44亿 22.94%
尼龙66切片 14.22亿 18.71%
工业丝 13.11亿 17.26%")</f>
        <v>公司属于生产销售型工业企业，主要从事尼龙66工业丝、帘子布、切片、己二酸等产品的生产与销售。公司主要产品为工业丝、帘子布、尼龙66切片、己二酸、双酚A、PC，其他产品有环己烷、高纯笑气、帆布、芳纶纤维、阻燃纤维、原液色丝、尼龙6民用丝等。
市值64.94795亿, 利润-15.57亿; PE36.95; 平均PE14.72; 平均PEG3.73, PB.85; ROIC5.78%; ROE13.26%; 股利率2.2026%; 毛利19.0233%; 净利7.0033%; 上一年度营收增-58.28%, 利润增-490.23%; 当季营收增72.76%, 利润增-68.06%; 过往5年营收增-3.95%, 利润增-28%
Income profile:
中间体及其他 31.23亿 41.09%
帘子布 17.44亿 22.94%
尼龙66切片 14.22亿 18.71%
工业丝 13.11亿 17.26%</v>
      </c>
      <c r="D16" t="s">
        <v>94</v>
      </c>
      <c r="E16" t="s">
        <v>14</v>
      </c>
      <c r="F16">
        <v>6.22</v>
      </c>
      <c r="G16">
        <v>1.1399999999999999</v>
      </c>
      <c r="H16" t="s">
        <v>878</v>
      </c>
      <c r="I16">
        <v>6494795000</v>
      </c>
      <c r="J16">
        <v>36.950000000000003</v>
      </c>
      <c r="K16">
        <v>0.85</v>
      </c>
      <c r="L16" t="s">
        <v>602</v>
      </c>
      <c r="M16" t="s">
        <v>879</v>
      </c>
      <c r="N16" t="s">
        <v>880</v>
      </c>
      <c r="O16" t="s">
        <v>881</v>
      </c>
      <c r="P16">
        <v>12.29</v>
      </c>
      <c r="Q16" t="s">
        <v>882</v>
      </c>
      <c r="R16">
        <v>30836805</v>
      </c>
      <c r="S16" s="6">
        <v>2.431</v>
      </c>
      <c r="T16" t="s">
        <v>883</v>
      </c>
      <c r="U16">
        <v>1044179260</v>
      </c>
      <c r="V16">
        <v>1044179260</v>
      </c>
      <c r="W16">
        <v>2.79</v>
      </c>
      <c r="X16">
        <v>0.1</v>
      </c>
      <c r="Y16">
        <v>1.63</v>
      </c>
      <c r="Z16" t="s">
        <v>884</v>
      </c>
      <c r="AA16" t="s">
        <v>885</v>
      </c>
      <c r="AB16" t="s">
        <v>886</v>
      </c>
      <c r="AC16" t="s">
        <v>33</v>
      </c>
      <c r="AD16" t="s">
        <v>10</v>
      </c>
      <c r="AE16">
        <v>80246735</v>
      </c>
      <c r="AF16" t="s">
        <v>887</v>
      </c>
      <c r="AG16" t="s">
        <v>888</v>
      </c>
      <c r="AH16" t="s">
        <v>889</v>
      </c>
      <c r="AI16" t="s">
        <v>890</v>
      </c>
      <c r="AJ16" t="s">
        <v>891</v>
      </c>
      <c r="AK16" t="s">
        <v>10</v>
      </c>
      <c r="AL16" t="s">
        <v>892</v>
      </c>
      <c r="AM16" t="s">
        <v>10</v>
      </c>
      <c r="AN16" t="s">
        <v>893</v>
      </c>
      <c r="AO16" t="s">
        <v>894</v>
      </c>
      <c r="AP16" t="s">
        <v>280</v>
      </c>
      <c r="AQ16" t="s">
        <v>553</v>
      </c>
      <c r="AR16" t="s">
        <v>10</v>
      </c>
      <c r="AS16" t="s">
        <v>895</v>
      </c>
      <c r="AT16" t="s">
        <v>896</v>
      </c>
      <c r="AU16" t="s">
        <v>897</v>
      </c>
      <c r="AV16" t="s">
        <v>898</v>
      </c>
      <c r="AW16" t="s">
        <v>548</v>
      </c>
      <c r="AX16" t="s">
        <v>899</v>
      </c>
      <c r="AY16" t="s">
        <v>900</v>
      </c>
      <c r="AZ16" t="s">
        <v>234</v>
      </c>
      <c r="BA16" t="s">
        <v>235</v>
      </c>
      <c r="BB16" t="s">
        <v>236</v>
      </c>
      <c r="BC16" t="s">
        <v>221</v>
      </c>
      <c r="BD16" t="s">
        <v>901</v>
      </c>
      <c r="BE16" t="s">
        <v>129</v>
      </c>
      <c r="BF16" t="s">
        <v>237</v>
      </c>
      <c r="BG16" t="s">
        <v>219</v>
      </c>
      <c r="BH16" t="s">
        <v>902</v>
      </c>
      <c r="BI16" t="s">
        <v>903</v>
      </c>
      <c r="BJ16" t="s">
        <v>899</v>
      </c>
      <c r="BK16" t="s">
        <v>258</v>
      </c>
      <c r="BL16" t="s">
        <v>904</v>
      </c>
      <c r="BM16" t="s">
        <v>221</v>
      </c>
      <c r="BN16">
        <v>1.1499999999999999</v>
      </c>
      <c r="BO16">
        <v>2.9</v>
      </c>
      <c r="BP16">
        <v>13.29</v>
      </c>
      <c r="BQ16">
        <v>0.87</v>
      </c>
      <c r="BR16">
        <v>5.69</v>
      </c>
      <c r="BS16">
        <v>33.22</v>
      </c>
      <c r="BT16" t="s">
        <v>905</v>
      </c>
      <c r="BU16" t="s">
        <v>326</v>
      </c>
      <c r="BV16">
        <v>12.48</v>
      </c>
      <c r="BW16">
        <v>14.84</v>
      </c>
      <c r="BX16">
        <v>29.75</v>
      </c>
      <c r="BY16">
        <v>1.63</v>
      </c>
      <c r="BZ16">
        <v>3.25</v>
      </c>
      <c r="CA16">
        <v>16.13</v>
      </c>
      <c r="CB16">
        <v>0.32</v>
      </c>
      <c r="CC16">
        <v>-13.37</v>
      </c>
      <c r="CD16" t="s">
        <v>906</v>
      </c>
      <c r="CE16" t="s">
        <v>83</v>
      </c>
      <c r="CF16" s="9">
        <v>0.72760041194644653</v>
      </c>
      <c r="CG16" s="10">
        <v>-0.68057141584505076</v>
      </c>
      <c r="CH16" s="9">
        <v>-0.58276146650314331</v>
      </c>
      <c r="CI16" s="9">
        <v>7.2337925434112549E-2</v>
      </c>
      <c r="CJ16" s="9">
        <v>0.52479803562164307</v>
      </c>
      <c r="CK16" s="9">
        <v>-0.19333812594413757</v>
      </c>
      <c r="CL16" s="9">
        <v>-1.8391877412796021E-2</v>
      </c>
      <c r="CM16" s="10">
        <v>-4.9022555351257324</v>
      </c>
      <c r="CN16" s="10">
        <v>-0.81285172700881958</v>
      </c>
      <c r="CO16" s="10">
        <v>4.7466306686401367</v>
      </c>
      <c r="CP16" s="10">
        <v>-0.43010753393173218</v>
      </c>
      <c r="CQ16" s="10">
        <v>-1.5337422955781221E-3</v>
      </c>
      <c r="CR16">
        <v>14.716302870090635</v>
      </c>
      <c r="CS16">
        <v>3.72837397832201</v>
      </c>
      <c r="CT16">
        <v>2.2025723472668814</v>
      </c>
      <c r="CU16" s="9">
        <v>-3.9471101760864255E-2</v>
      </c>
      <c r="CV16" s="10">
        <v>-0.28002357394434513</v>
      </c>
      <c r="CW16">
        <v>0.06</v>
      </c>
      <c r="CX16" t="e">
        <v>#VALUE!</v>
      </c>
      <c r="CY16" t="s">
        <v>351</v>
      </c>
      <c r="CZ16">
        <v>-3.9471101760864255E-2</v>
      </c>
      <c r="DA16" t="e">
        <v>#VALUE!</v>
      </c>
      <c r="DB16" t="s">
        <v>351</v>
      </c>
      <c r="DC16">
        <v>-3.7497546672821042E-2</v>
      </c>
      <c r="DD16" t="e">
        <v>#VALUE!</v>
      </c>
      <c r="DE16" t="s">
        <v>351</v>
      </c>
      <c r="DF16">
        <v>-3.4734569549560543E-2</v>
      </c>
      <c r="DG16" t="e">
        <v>#VALUE!</v>
      </c>
      <c r="DH16" t="s">
        <v>351</v>
      </c>
      <c r="DI16">
        <v>-3.1576881408691408E-2</v>
      </c>
      <c r="DJ16" t="e">
        <v>#VALUE!</v>
      </c>
      <c r="DK16" t="s">
        <v>351</v>
      </c>
      <c r="DL16">
        <v>-2.7629771232604978E-2</v>
      </c>
      <c r="DM16">
        <v>-1557000000</v>
      </c>
      <c r="DN16">
        <v>-3.9471101760864255E-2</v>
      </c>
      <c r="DO16">
        <v>14382795000</v>
      </c>
      <c r="DP16">
        <v>6115606000.000001</v>
      </c>
      <c r="DQ16">
        <v>3483</v>
      </c>
      <c r="DR16">
        <v>0.76707151370731075</v>
      </c>
      <c r="DS16">
        <v>-0.40054784190070564</v>
      </c>
      <c r="DT16" s="11">
        <v>-0.59</v>
      </c>
      <c r="DU16">
        <v>-1.3116666666666668</v>
      </c>
      <c r="DV16">
        <v>-1.9016666666666668</v>
      </c>
      <c r="DW16">
        <v>-2.1337000000000002</v>
      </c>
      <c r="DX16">
        <v>0.33448888888888806</v>
      </c>
      <c r="DY16">
        <v>-2.0233291644444447</v>
      </c>
      <c r="DZ16">
        <v>108</v>
      </c>
      <c r="EA16">
        <v>-2.0228361018691023</v>
      </c>
      <c r="EB16">
        <v>2</v>
      </c>
      <c r="EC16">
        <v>2.2559344838931201E-2</v>
      </c>
      <c r="ED16">
        <v>0.12928814540905553</v>
      </c>
      <c r="EE16" s="12">
        <v>-1.0333000000000001</v>
      </c>
      <c r="EF16">
        <v>-1.0239</v>
      </c>
      <c r="EG16">
        <v>16.174488888888888</v>
      </c>
      <c r="EH16" t="s">
        <v>353</v>
      </c>
      <c r="EI16">
        <v>0</v>
      </c>
      <c r="EJ16">
        <v>1</v>
      </c>
      <c r="EK16" s="14">
        <v>45470</v>
      </c>
      <c r="EL16" s="15">
        <v>-3.22</v>
      </c>
      <c r="EM16" s="15">
        <v>0.99</v>
      </c>
      <c r="EN16" s="15">
        <v>-0.17</v>
      </c>
      <c r="EO16" s="15">
        <v>-0.33</v>
      </c>
      <c r="EP16" s="15">
        <v>-0.94</v>
      </c>
    </row>
    <row r="17" spans="1:146" ht="120" x14ac:dyDescent="0.25">
      <c r="A17" s="7"/>
      <c r="B17" s="7"/>
      <c r="C17" s="7" t="str">
        <f>"公司主要业务是从事粘胶短纤维、城市生态补水的生产与经营。主要产品是粘胶纤维、城市生态补水、PET结构泡沫。"&amp;CHAR(10)&amp;Basic_Fundamental_Information_Constructure(F17)&amp;CHAR(10)&amp;Basic_Fundamental_Information_Concatenate("粘胶短纤 2.61亿 70.16%
PET芯材产品 4937.19万 13.25%
城市生态水 3241.44万 8.70%")</f>
        <v>公司主要业务是从事粘胶短纤维、城市生态补水的生产与经营。主要产品是粘胶纤维、城市生态补水、PET结构泡沫。
市值18.903454亿, 利润-1927.23万; PE; 平均PE-23.88; 平均PEG-1.25, PB2.25; ROIC0%; ROE-12.53%; 股利率0%; 毛利-2.5733%; 净利-41.6667%; 上一年度营收增-56.35%, 利润增89.11%; 当季营收增141.63%, 利润增-22776.16%; 过往5年营收增-19.05%, 利润增-723.21%
Income profile:
粘胶短纤 2.61亿 70.16%
PET芯材产品 4937.19万 13.25%
城市生态水 3241.44万 8.70%</v>
      </c>
      <c r="D17" t="s">
        <v>80</v>
      </c>
      <c r="E17" t="s">
        <v>15</v>
      </c>
      <c r="F17">
        <v>5.16</v>
      </c>
      <c r="G17">
        <v>-1.1499999999999999</v>
      </c>
      <c r="H17" t="s">
        <v>907</v>
      </c>
      <c r="I17">
        <v>1890345400</v>
      </c>
      <c r="K17">
        <v>2.25</v>
      </c>
      <c r="L17" t="s">
        <v>602</v>
      </c>
      <c r="M17" t="s">
        <v>908</v>
      </c>
      <c r="N17" t="s">
        <v>909</v>
      </c>
      <c r="O17" t="s">
        <v>87</v>
      </c>
      <c r="P17">
        <v>2.0499999999999998</v>
      </c>
      <c r="Q17" t="s">
        <v>395</v>
      </c>
      <c r="R17">
        <v>-32608317</v>
      </c>
      <c r="S17" s="6">
        <v>0.26250000000000001</v>
      </c>
      <c r="T17" t="s">
        <v>910</v>
      </c>
      <c r="U17">
        <v>366346010</v>
      </c>
      <c r="V17">
        <v>366346010</v>
      </c>
      <c r="W17">
        <v>1.93</v>
      </c>
      <c r="X17">
        <v>7.0000000000000007E-2</v>
      </c>
      <c r="Y17">
        <v>-33.49</v>
      </c>
      <c r="Z17" t="s">
        <v>118</v>
      </c>
      <c r="AA17" t="s">
        <v>109</v>
      </c>
      <c r="AB17" t="s">
        <v>911</v>
      </c>
      <c r="AC17" t="s">
        <v>912</v>
      </c>
      <c r="AD17" t="s">
        <v>10</v>
      </c>
      <c r="AE17">
        <v>2604955</v>
      </c>
      <c r="AF17" t="s">
        <v>39</v>
      </c>
      <c r="AG17" t="s">
        <v>913</v>
      </c>
      <c r="AH17" t="s">
        <v>914</v>
      </c>
      <c r="AI17" t="s">
        <v>915</v>
      </c>
      <c r="AJ17" t="s">
        <v>916</v>
      </c>
      <c r="AK17" t="s">
        <v>917</v>
      </c>
      <c r="AL17" t="s">
        <v>918</v>
      </c>
      <c r="AM17" t="s">
        <v>10</v>
      </c>
      <c r="AN17" t="s">
        <v>532</v>
      </c>
      <c r="AO17" t="s">
        <v>919</v>
      </c>
      <c r="AP17" t="s">
        <v>920</v>
      </c>
      <c r="AQ17" t="s">
        <v>119</v>
      </c>
      <c r="AR17" t="s">
        <v>921</v>
      </c>
      <c r="AS17" t="s">
        <v>409</v>
      </c>
      <c r="AT17" t="s">
        <v>382</v>
      </c>
      <c r="AU17" t="s">
        <v>922</v>
      </c>
      <c r="AV17" t="s">
        <v>923</v>
      </c>
      <c r="AW17" t="s">
        <v>924</v>
      </c>
      <c r="AX17" t="s">
        <v>216</v>
      </c>
      <c r="AY17" t="s">
        <v>257</v>
      </c>
      <c r="AZ17" t="s">
        <v>238</v>
      </c>
      <c r="BA17" t="s">
        <v>81</v>
      </c>
      <c r="BB17" t="s">
        <v>240</v>
      </c>
      <c r="BC17" t="s">
        <v>586</v>
      </c>
      <c r="BD17" t="s">
        <v>316</v>
      </c>
      <c r="BE17" t="s">
        <v>239</v>
      </c>
      <c r="BF17" t="s">
        <v>82</v>
      </c>
      <c r="BG17" t="s">
        <v>241</v>
      </c>
      <c r="BH17" t="s">
        <v>925</v>
      </c>
      <c r="BI17" t="s">
        <v>926</v>
      </c>
      <c r="BJ17" t="s">
        <v>216</v>
      </c>
      <c r="BK17" t="s">
        <v>396</v>
      </c>
      <c r="BL17" t="s">
        <v>927</v>
      </c>
      <c r="BM17" t="s">
        <v>586</v>
      </c>
      <c r="BN17" t="s">
        <v>10</v>
      </c>
      <c r="BO17" t="s">
        <v>10</v>
      </c>
      <c r="BP17" t="s">
        <v>10</v>
      </c>
      <c r="BQ17">
        <v>-9.6199999999999992</v>
      </c>
      <c r="BR17">
        <v>-15.49</v>
      </c>
      <c r="BS17">
        <v>-12.48</v>
      </c>
      <c r="BT17" t="s">
        <v>488</v>
      </c>
      <c r="BU17" t="s">
        <v>371</v>
      </c>
      <c r="BV17">
        <v>-10.79</v>
      </c>
      <c r="BW17">
        <v>-3.01</v>
      </c>
      <c r="BX17">
        <v>6.08</v>
      </c>
      <c r="BY17">
        <v>-47.98</v>
      </c>
      <c r="BZ17">
        <v>-36.31</v>
      </c>
      <c r="CA17">
        <v>-40.71</v>
      </c>
      <c r="CB17">
        <v>-7.86</v>
      </c>
      <c r="CC17">
        <v>-20.62</v>
      </c>
      <c r="CD17" t="s">
        <v>36</v>
      </c>
      <c r="CE17" t="s">
        <v>376</v>
      </c>
      <c r="CF17" s="9">
        <v>1.4162958640309287</v>
      </c>
      <c r="CG17" s="10">
        <v>-227.76159248956884</v>
      </c>
      <c r="CH17" s="9">
        <v>-0.5634615421295166</v>
      </c>
      <c r="CI17" s="9">
        <v>0.10638298094272614</v>
      </c>
      <c r="CJ17" s="9">
        <v>0.28415301442146301</v>
      </c>
      <c r="CK17" s="9">
        <v>-0.44376900792121887</v>
      </c>
      <c r="CL17" s="9">
        <v>-0.33602422475814819</v>
      </c>
      <c r="CM17" s="10">
        <v>0.8911169171333313</v>
      </c>
      <c r="CN17" s="10">
        <v>-7.2727270424365997E-2</v>
      </c>
      <c r="CO17" s="10">
        <v>-15.958660125732422</v>
      </c>
      <c r="CP17" s="10">
        <v>1.0842015743255615</v>
      </c>
      <c r="CQ17" s="10">
        <v>-22.104524612426758</v>
      </c>
      <c r="CR17">
        <v>-23.876302931133242</v>
      </c>
      <c r="CS17">
        <v>-1.2530614199213057</v>
      </c>
      <c r="CT17">
        <v>0</v>
      </c>
      <c r="CU17" s="9">
        <v>-0.1905437558889389</v>
      </c>
      <c r="CV17" s="10">
        <v>-7.2321187034249306</v>
      </c>
      <c r="CW17">
        <v>0.06</v>
      </c>
      <c r="CX17" t="e">
        <v>#VALUE!</v>
      </c>
      <c r="CY17" t="s">
        <v>350</v>
      </c>
      <c r="CZ17">
        <v>-0.1905437558889389</v>
      </c>
      <c r="DA17" t="e">
        <v>#VALUE!</v>
      </c>
      <c r="DB17" t="s">
        <v>351</v>
      </c>
      <c r="DC17">
        <v>-0.18101656809449196</v>
      </c>
      <c r="DD17" t="e">
        <v>#VALUE!</v>
      </c>
      <c r="DE17" t="s">
        <v>351</v>
      </c>
      <c r="DF17">
        <v>-0.16767850518226624</v>
      </c>
      <c r="DG17" t="e">
        <v>#VALUE!</v>
      </c>
      <c r="DH17" t="s">
        <v>351</v>
      </c>
      <c r="DI17">
        <v>-0.15243500471115112</v>
      </c>
      <c r="DJ17" t="e">
        <v>#VALUE!</v>
      </c>
      <c r="DK17" t="s">
        <v>351</v>
      </c>
      <c r="DL17">
        <v>-0.13338062912225723</v>
      </c>
      <c r="DM17">
        <v>-19272300</v>
      </c>
      <c r="DN17">
        <v>-0.1905437558889389</v>
      </c>
      <c r="DO17">
        <v>1706345400</v>
      </c>
      <c r="DP17">
        <v>-80794759.99999994</v>
      </c>
      <c r="DQ17">
        <v>3552</v>
      </c>
      <c r="DR17">
        <v>1.6068396199198676</v>
      </c>
      <c r="DS17">
        <v>-220.52947378614391</v>
      </c>
      <c r="DT17" s="11">
        <v>-0.69</v>
      </c>
      <c r="DU17">
        <v>-2.4650000000000003</v>
      </c>
      <c r="DV17">
        <v>-3.1550000000000002</v>
      </c>
      <c r="DW17">
        <v>-9.3811833171677979</v>
      </c>
      <c r="DX17">
        <v>0.26860544217687121</v>
      </c>
      <c r="DY17">
        <v>-9.0528340822264894</v>
      </c>
      <c r="DZ17">
        <v>1435</v>
      </c>
      <c r="EA17">
        <v>-9.0379971139300093</v>
      </c>
      <c r="EB17">
        <v>9</v>
      </c>
      <c r="EC17">
        <v>0.44493455790606262</v>
      </c>
      <c r="ED17">
        <v>3.2100800005983414</v>
      </c>
      <c r="EE17" s="12">
        <v>1.1081099999999999</v>
      </c>
      <c r="EF17">
        <v>1.13601</v>
      </c>
      <c r="EG17">
        <v>13.138605442176871</v>
      </c>
      <c r="EH17" t="s">
        <v>496</v>
      </c>
      <c r="EI17">
        <v>0</v>
      </c>
      <c r="EJ17">
        <v>1</v>
      </c>
      <c r="EK17" s="14">
        <v>45470</v>
      </c>
      <c r="EL17" s="15">
        <v>0.14000000000000001</v>
      </c>
      <c r="EM17" s="15">
        <v>-3.2</v>
      </c>
      <c r="EN17" s="15">
        <v>0.86</v>
      </c>
      <c r="EO17" s="15">
        <v>2.4300000000000002</v>
      </c>
      <c r="EP17" s="15">
        <v>-2.79</v>
      </c>
    </row>
    <row r="18" spans="1:146" ht="156" x14ac:dyDescent="0.25">
      <c r="A18" s="7"/>
      <c r="B18" s="7"/>
      <c r="C18" s="7" t="str">
        <f>"公司的主营业务为各类民用涤纶长丝的生产、销售，以及涤纶长丝主要原料之一的PTA（精对苯二甲酸）的生产。公司的主要产品为各类民用涤纶长丝，包括涤纶POY、涤纶FDY、涤纶DTY、涤纶复合丝四大系列一千多个品种，覆盖了涤纶长丝产品的全系列。"&amp;CHAR(10)&amp;Basic_Fundamental_Information_Constructure(F18)&amp;CHAR(10)&amp;Basic_Fundamental_Information_Concatenate("涤纶预取向丝 195.39亿 65.45% 71.10% 8.71%
精对苯二甲酸 117.59亿 39.39% - 0.00%
涤纶牵伸丝 36.70亿 12.29% 13.32% 8.69%
涤纶加弹丝 30.93亿 10.36% 10.91% 8.44%")</f>
        <v>公司的主营业务为各类民用涤纶长丝的生产、销售，以及涤纶长丝主要原料之一的PTA（精对苯二甲酸）的生产。公司的主要产品为各类民用涤纶长丝，包括涤纶POY、涤纶FDY、涤纶DTY、涤纶复合丝四大系列一千多个品种，覆盖了涤纶长丝产品的全系列。
市值366.49016亿, 利润3.12亿; PE19.62; 平均PE13.97; 平均PEG1.34, PB1.02; ROIC8.89%; ROE8.9267%; 股利率.2829%; 毛利6.4367%; 净利4.5467%; 上一年度营收增-98.06%, 利润增149.6%; 当季营收增4208.37%, 利润增157.74%; 过往5年营收增-10.4%, 利润增49.76%
Income profile:
涤纶预取向丝 195.39亿 65.45% 71.10% 8.71%
精对苯二甲酸 117.59亿 39.39% - 0.00%
涤纶牵伸丝 36.70亿 12.29% 13.32% 8.69%
涤纶加弹丝 30.93亿 10.36% 10.91% 8.44%</v>
      </c>
      <c r="D18" t="s">
        <v>61</v>
      </c>
      <c r="E18" t="s">
        <v>12</v>
      </c>
      <c r="F18">
        <v>15.2</v>
      </c>
      <c r="G18">
        <v>-0.13</v>
      </c>
      <c r="H18" t="s">
        <v>928</v>
      </c>
      <c r="I18">
        <v>36649016000</v>
      </c>
      <c r="J18">
        <v>19.62</v>
      </c>
      <c r="K18">
        <v>1.02</v>
      </c>
      <c r="L18" t="s">
        <v>602</v>
      </c>
      <c r="M18" t="s">
        <v>929</v>
      </c>
      <c r="N18" t="s">
        <v>930</v>
      </c>
      <c r="O18" t="s">
        <v>931</v>
      </c>
      <c r="P18">
        <v>32.659999999999997</v>
      </c>
      <c r="Q18" t="s">
        <v>932</v>
      </c>
      <c r="R18">
        <v>579923330</v>
      </c>
      <c r="S18" s="6">
        <v>2.1800000000000002</v>
      </c>
      <c r="T18" t="s">
        <v>386</v>
      </c>
      <c r="U18">
        <v>2272309600</v>
      </c>
      <c r="V18">
        <v>2411119500</v>
      </c>
      <c r="W18">
        <v>3.08</v>
      </c>
      <c r="X18">
        <v>0.2</v>
      </c>
      <c r="Y18">
        <v>2.77</v>
      </c>
      <c r="Z18" t="s">
        <v>933</v>
      </c>
      <c r="AA18" t="s">
        <v>934</v>
      </c>
      <c r="AB18" t="s">
        <v>935</v>
      </c>
      <c r="AC18" t="s">
        <v>936</v>
      </c>
      <c r="AD18" t="s">
        <v>10</v>
      </c>
      <c r="AE18">
        <v>272872080</v>
      </c>
      <c r="AF18" t="s">
        <v>937</v>
      </c>
      <c r="AG18" t="s">
        <v>938</v>
      </c>
      <c r="AH18" t="s">
        <v>939</v>
      </c>
      <c r="AI18" t="s">
        <v>940</v>
      </c>
      <c r="AJ18" t="s">
        <v>941</v>
      </c>
      <c r="AK18" t="s">
        <v>10</v>
      </c>
      <c r="AL18" t="s">
        <v>942</v>
      </c>
      <c r="AM18" t="s">
        <v>10</v>
      </c>
      <c r="AN18" t="s">
        <v>943</v>
      </c>
      <c r="AO18" t="s">
        <v>944</v>
      </c>
      <c r="AP18" t="s">
        <v>560</v>
      </c>
      <c r="AQ18" t="s">
        <v>945</v>
      </c>
      <c r="AR18" t="s">
        <v>946</v>
      </c>
      <c r="AS18" t="s">
        <v>947</v>
      </c>
      <c r="AT18" t="s">
        <v>948</v>
      </c>
      <c r="AU18" t="s">
        <v>949</v>
      </c>
      <c r="AV18" t="s">
        <v>950</v>
      </c>
      <c r="AW18" t="s">
        <v>951</v>
      </c>
      <c r="AX18" t="s">
        <v>587</v>
      </c>
      <c r="AY18" t="s">
        <v>588</v>
      </c>
      <c r="AZ18" t="s">
        <v>242</v>
      </c>
      <c r="BA18" t="s">
        <v>62</v>
      </c>
      <c r="BB18" t="s">
        <v>243</v>
      </c>
      <c r="BC18" t="s">
        <v>135</v>
      </c>
      <c r="BD18" t="s">
        <v>589</v>
      </c>
      <c r="BE18" t="s">
        <v>317</v>
      </c>
      <c r="BF18" t="s">
        <v>63</v>
      </c>
      <c r="BG18" t="s">
        <v>244</v>
      </c>
      <c r="BH18" t="s">
        <v>952</v>
      </c>
      <c r="BI18" t="s">
        <v>374</v>
      </c>
      <c r="BJ18" t="s">
        <v>587</v>
      </c>
      <c r="BK18" t="s">
        <v>571</v>
      </c>
      <c r="BL18" t="s">
        <v>492</v>
      </c>
      <c r="BM18" t="s">
        <v>135</v>
      </c>
      <c r="BN18">
        <v>1.8</v>
      </c>
      <c r="BO18" t="s">
        <v>10</v>
      </c>
      <c r="BP18">
        <v>15.98</v>
      </c>
      <c r="BQ18">
        <v>2.56</v>
      </c>
      <c r="BR18">
        <v>0.37</v>
      </c>
      <c r="BS18">
        <v>23.85</v>
      </c>
      <c r="BT18" t="s">
        <v>533</v>
      </c>
      <c r="BU18" t="s">
        <v>370</v>
      </c>
      <c r="BV18">
        <v>5.0599999999999996</v>
      </c>
      <c r="BW18">
        <v>3.23</v>
      </c>
      <c r="BX18">
        <v>11.02</v>
      </c>
      <c r="BY18">
        <v>0.99</v>
      </c>
      <c r="BZ18">
        <v>0.22</v>
      </c>
      <c r="CA18">
        <v>12.43</v>
      </c>
      <c r="CB18">
        <v>-4.76</v>
      </c>
      <c r="CC18">
        <v>-3.8</v>
      </c>
      <c r="CD18" t="s">
        <v>200</v>
      </c>
      <c r="CE18" t="s">
        <v>203</v>
      </c>
      <c r="CF18" s="9">
        <v>42.083673469387747</v>
      </c>
      <c r="CG18" s="10">
        <v>1.5774370222222223</v>
      </c>
      <c r="CH18" s="9">
        <v>-0.98062682151794434</v>
      </c>
      <c r="CI18" s="9">
        <v>4.7940239310264587E-2</v>
      </c>
      <c r="CJ18" s="9">
        <v>0.29070761799812317</v>
      </c>
      <c r="CK18" s="9">
        <v>-9.3887165188789368E-2</v>
      </c>
      <c r="CL18" s="9">
        <v>0.21588423848152161</v>
      </c>
      <c r="CM18" s="10">
        <v>1.4960000514984131</v>
      </c>
      <c r="CN18" s="10">
        <v>-0.98325294256210327</v>
      </c>
      <c r="CO18" s="10">
        <v>1.6309483051300049</v>
      </c>
      <c r="CP18" s="10">
        <v>-1.6296831890940666E-2</v>
      </c>
      <c r="CQ18" s="10">
        <v>0.36037737131118774</v>
      </c>
      <c r="CR18">
        <v>13.968625079405413</v>
      </c>
      <c r="CS18">
        <v>1.343183803456707</v>
      </c>
      <c r="CT18">
        <v>0.28289473684210525</v>
      </c>
      <c r="CU18" s="9">
        <v>-0.10399637818336487</v>
      </c>
      <c r="CV18" s="10">
        <v>0.49755519069731236</v>
      </c>
      <c r="CW18">
        <v>0.06</v>
      </c>
      <c r="CX18">
        <v>214.52889743589745</v>
      </c>
      <c r="CY18" t="s">
        <v>953</v>
      </c>
      <c r="CZ18">
        <v>-0.10399637818336487</v>
      </c>
      <c r="DA18">
        <v>71.509632478632483</v>
      </c>
      <c r="DB18" t="s">
        <v>954</v>
      </c>
      <c r="DC18">
        <v>-9.8796559274196616E-2</v>
      </c>
      <c r="DD18">
        <v>35.754816239316241</v>
      </c>
      <c r="DE18" t="s">
        <v>955</v>
      </c>
      <c r="DF18">
        <v>-9.1516812801361078E-2</v>
      </c>
      <c r="DG18">
        <v>21.452889743589743</v>
      </c>
      <c r="DH18" t="s">
        <v>956</v>
      </c>
      <c r="DI18">
        <v>-8.3197102546691895E-2</v>
      </c>
      <c r="DJ18">
        <v>10.726444871794872</v>
      </c>
      <c r="DK18" t="s">
        <v>957</v>
      </c>
      <c r="DL18">
        <v>-7.2797464728355396E-2</v>
      </c>
      <c r="DM18">
        <v>312000000</v>
      </c>
      <c r="DN18">
        <v>-0.10399637818336487</v>
      </c>
      <c r="DO18">
        <v>66933016000</v>
      </c>
      <c r="DP18">
        <v>-17686055000.000008</v>
      </c>
      <c r="DQ18">
        <v>3702</v>
      </c>
      <c r="DR18">
        <v>42.187669847571115</v>
      </c>
      <c r="DS18">
        <v>1.0798818315249099</v>
      </c>
      <c r="DT18" s="11">
        <v>-0.54</v>
      </c>
      <c r="DU18">
        <v>1</v>
      </c>
      <c r="DV18">
        <v>0.45999999999999996</v>
      </c>
      <c r="DW18">
        <v>-4.7983193277310923</v>
      </c>
      <c r="DX18">
        <v>0.35194254445964479</v>
      </c>
      <c r="DY18">
        <v>-4.1452482497787075</v>
      </c>
      <c r="DZ18">
        <v>821</v>
      </c>
      <c r="EA18">
        <v>-4.1219118871430283</v>
      </c>
      <c r="EB18">
        <v>4</v>
      </c>
      <c r="EC18">
        <v>5.5161098402629984E-2</v>
      </c>
      <c r="ED18">
        <v>0.30317866866407905</v>
      </c>
      <c r="EE18" s="12">
        <v>-1.0526</v>
      </c>
      <c r="EF18">
        <v>-1.0616000000000001</v>
      </c>
      <c r="EG18">
        <v>17.181942544459645</v>
      </c>
      <c r="EH18" t="s">
        <v>353</v>
      </c>
      <c r="EI18">
        <v>0</v>
      </c>
      <c r="EJ18">
        <v>1</v>
      </c>
      <c r="EK18" s="14">
        <v>45470</v>
      </c>
      <c r="EL18" s="15">
        <v>2.83</v>
      </c>
      <c r="EM18" s="15">
        <v>-3.01</v>
      </c>
      <c r="EN18" s="15">
        <v>-1.45</v>
      </c>
      <c r="EO18" s="15">
        <v>4.29</v>
      </c>
      <c r="EP18" s="15">
        <v>0.9</v>
      </c>
    </row>
    <row r="19" spans="1:146" ht="144" x14ac:dyDescent="0.25">
      <c r="A19" s="7"/>
      <c r="B19" s="7"/>
      <c r="C19" s="7" t="str">
        <f>"公司从事的主要业务为民用涤纶长丝及其主要原材料之一PTA的研发、生产和销售。公司的主要产品为POY、FDY、DTY、聚酯切片及再生聚酯。"&amp;CHAR(10)&amp;Basic_Fundamental_Information_Constructure(F19)&amp;CHAR(10)&amp;Basic_Fundamental_Information_Concatenate("POY 132.57亿 55.90% 53.66% 6.58%
PTA 118.53亿 49.98% 17.89% 2.46%
FDY 38.92亿 16.41% 21.60% 9.03%
DTY 23.63亿 9.96% 11.41% 7.85%
其他业务 19.11亿 8.06% 8.73% 7.43%")</f>
        <v>公司从事的主要业务为民用涤纶长丝及其主要原材料之一PTA的研发、生产和销售。公司的主要产品为POY、FDY、DTY、聚酯切片及再生聚酯。
市值231.61168亿, 利润-2418.43万; PE19.76; 平均PE25.72; 平均PEG2.48, PB1.38; ROIC6.34%; ROE6.7633%; 股利率1.6787%; 毛利6.6867%; 净利2.1333%; 上一年度营收增-99.22%, 利润增88.26%; 当季营收增18662.13%, 利润增2187.84%; 过往5年营收增-10.37%, 利润增38.51%
Income profile:
POY 132.57亿 55.90% 53.66% 6.58%
PTA 118.53亿 49.98% 17.89% 2.46%
FDY 38.92亿 16.41% 21.60% 9.03%
DTY 23.63亿 9.96% 11.41% 7.85%
其他业务 19.11亿 8.06% 8.73% 7.43%</v>
      </c>
      <c r="D19" t="s">
        <v>64</v>
      </c>
      <c r="E19" t="s">
        <v>13</v>
      </c>
      <c r="F19">
        <v>15.19</v>
      </c>
      <c r="G19">
        <v>3.05</v>
      </c>
      <c r="H19" t="s">
        <v>958</v>
      </c>
      <c r="I19">
        <v>23161168000</v>
      </c>
      <c r="J19">
        <v>19.760000000000002</v>
      </c>
      <c r="K19">
        <v>1.38</v>
      </c>
      <c r="L19" t="s">
        <v>602</v>
      </c>
      <c r="M19" t="s">
        <v>959</v>
      </c>
      <c r="N19" t="s">
        <v>960</v>
      </c>
      <c r="O19" t="s">
        <v>961</v>
      </c>
      <c r="P19">
        <v>15.53</v>
      </c>
      <c r="Q19" t="s">
        <v>182</v>
      </c>
      <c r="R19">
        <v>275181070</v>
      </c>
      <c r="S19" s="6">
        <v>0.45250000000000001</v>
      </c>
      <c r="T19" t="s">
        <v>962</v>
      </c>
      <c r="U19">
        <v>1524764200</v>
      </c>
      <c r="V19">
        <v>1524764200</v>
      </c>
      <c r="W19">
        <v>3.2</v>
      </c>
      <c r="X19">
        <v>0.28999999999999998</v>
      </c>
      <c r="Y19">
        <v>1.9</v>
      </c>
      <c r="Z19" t="s">
        <v>963</v>
      </c>
      <c r="AA19" t="s">
        <v>964</v>
      </c>
      <c r="AB19" t="s">
        <v>965</v>
      </c>
      <c r="AC19" t="s">
        <v>966</v>
      </c>
      <c r="AD19" t="s">
        <v>10</v>
      </c>
      <c r="AE19">
        <v>164887920</v>
      </c>
      <c r="AF19" t="s">
        <v>967</v>
      </c>
      <c r="AG19" t="s">
        <v>968</v>
      </c>
      <c r="AH19" t="s">
        <v>969</v>
      </c>
      <c r="AI19" t="s">
        <v>970</v>
      </c>
      <c r="AJ19" t="s">
        <v>971</v>
      </c>
      <c r="AK19" t="s">
        <v>10</v>
      </c>
      <c r="AL19" t="s">
        <v>972</v>
      </c>
      <c r="AM19" t="s">
        <v>10</v>
      </c>
      <c r="AN19" t="s">
        <v>139</v>
      </c>
      <c r="AO19" t="s">
        <v>973</v>
      </c>
      <c r="AP19" t="s">
        <v>974</v>
      </c>
      <c r="AQ19" t="s">
        <v>975</v>
      </c>
      <c r="AR19" t="s">
        <v>10</v>
      </c>
      <c r="AS19" t="s">
        <v>976</v>
      </c>
      <c r="AT19" t="s">
        <v>977</v>
      </c>
      <c r="AU19" t="s">
        <v>978</v>
      </c>
      <c r="AV19" t="s">
        <v>979</v>
      </c>
      <c r="AW19" t="s">
        <v>980</v>
      </c>
      <c r="AX19" t="s">
        <v>591</v>
      </c>
      <c r="AY19" t="s">
        <v>318</v>
      </c>
      <c r="AZ19" t="s">
        <v>245</v>
      </c>
      <c r="BA19" t="s">
        <v>65</v>
      </c>
      <c r="BB19" t="s">
        <v>246</v>
      </c>
      <c r="BC19" t="s">
        <v>981</v>
      </c>
      <c r="BD19" t="s">
        <v>319</v>
      </c>
      <c r="BE19" t="s">
        <v>41</v>
      </c>
      <c r="BF19" t="s">
        <v>247</v>
      </c>
      <c r="BG19" t="s">
        <v>248</v>
      </c>
      <c r="BH19" t="s">
        <v>982</v>
      </c>
      <c r="BI19" t="s">
        <v>983</v>
      </c>
      <c r="BJ19" t="s">
        <v>591</v>
      </c>
      <c r="BK19" t="s">
        <v>595</v>
      </c>
      <c r="BL19" t="s">
        <v>984</v>
      </c>
      <c r="BM19" t="s">
        <v>981</v>
      </c>
      <c r="BN19">
        <v>3.12</v>
      </c>
      <c r="BO19" t="s">
        <v>10</v>
      </c>
      <c r="BP19">
        <v>9.56</v>
      </c>
      <c r="BQ19">
        <v>5.49</v>
      </c>
      <c r="BR19">
        <v>-1.28</v>
      </c>
      <c r="BS19">
        <v>16.079999999999998</v>
      </c>
      <c r="BT19" t="s">
        <v>985</v>
      </c>
      <c r="BU19" t="s">
        <v>370</v>
      </c>
      <c r="BV19">
        <v>5.84</v>
      </c>
      <c r="BW19">
        <v>3.71</v>
      </c>
      <c r="BX19">
        <v>10.51</v>
      </c>
      <c r="BY19">
        <v>1.77</v>
      </c>
      <c r="BZ19">
        <v>-0.4</v>
      </c>
      <c r="CA19">
        <v>5.03</v>
      </c>
      <c r="CB19">
        <v>-2.57</v>
      </c>
      <c r="CC19">
        <v>0.23</v>
      </c>
      <c r="CD19" t="s">
        <v>986</v>
      </c>
      <c r="CE19" t="s">
        <v>269</v>
      </c>
      <c r="CF19" s="9">
        <v>186.62130407971182</v>
      </c>
      <c r="CG19" s="10">
        <v>21.87836831004082</v>
      </c>
      <c r="CH19" s="9">
        <v>-0.9922223687171936</v>
      </c>
      <c r="CI19" s="9">
        <v>0.13439801335334778</v>
      </c>
      <c r="CJ19" s="9">
        <v>0.21052347123622894</v>
      </c>
      <c r="CK19" s="9">
        <v>8.3050273358821869E-2</v>
      </c>
      <c r="CL19" s="9">
        <v>4.5592349022626877E-2</v>
      </c>
      <c r="CM19" s="10">
        <v>0.88260048627853394</v>
      </c>
      <c r="CN19" s="10">
        <v>-1.0913931131362915</v>
      </c>
      <c r="CO19" s="10">
        <v>2.7379767894744873</v>
      </c>
      <c r="CP19" s="10">
        <v>-0.55432373285293579</v>
      </c>
      <c r="CQ19" s="10">
        <v>-4.9191936850547791E-2</v>
      </c>
      <c r="CR19">
        <v>25.721219400469277</v>
      </c>
      <c r="CS19">
        <v>2.4795921802029701</v>
      </c>
      <c r="CT19">
        <v>1.6787360105332454</v>
      </c>
      <c r="CU19" s="9">
        <v>-0.10373165234923362</v>
      </c>
      <c r="CV19" s="10">
        <v>0.38513369858264923</v>
      </c>
      <c r="CW19">
        <v>0.06</v>
      </c>
      <c r="CX19" t="e">
        <v>#VALUE!</v>
      </c>
      <c r="CY19" t="s">
        <v>351</v>
      </c>
      <c r="CZ19">
        <v>-0.10373165234923362</v>
      </c>
      <c r="DA19" t="e">
        <v>#VALUE!</v>
      </c>
      <c r="DB19" t="s">
        <v>351</v>
      </c>
      <c r="DC19">
        <v>-9.8545069731771934E-2</v>
      </c>
      <c r="DD19" t="e">
        <v>#VALUE!</v>
      </c>
      <c r="DE19" t="s">
        <v>351</v>
      </c>
      <c r="DF19">
        <v>-9.1283854067325587E-2</v>
      </c>
      <c r="DG19" t="e">
        <v>#VALUE!</v>
      </c>
      <c r="DH19" t="s">
        <v>351</v>
      </c>
      <c r="DI19">
        <v>-8.2985321879386897E-2</v>
      </c>
      <c r="DJ19" t="e">
        <v>#VALUE!</v>
      </c>
      <c r="DK19" t="s">
        <v>351</v>
      </c>
      <c r="DL19">
        <v>-7.2612156644463535E-2</v>
      </c>
      <c r="DM19">
        <v>-24184300</v>
      </c>
      <c r="DN19">
        <v>-0.10373165234923362</v>
      </c>
      <c r="DO19">
        <v>34432168000</v>
      </c>
      <c r="DP19">
        <v>-3162248000</v>
      </c>
      <c r="DQ19">
        <v>4024</v>
      </c>
      <c r="DR19">
        <v>186.72503573206106</v>
      </c>
      <c r="DS19">
        <v>21.49323461145817</v>
      </c>
      <c r="DT19" s="11">
        <v>-0.64</v>
      </c>
      <c r="DU19">
        <v>3.3333333333332993E-3</v>
      </c>
      <c r="DV19">
        <v>-0.63666666666666671</v>
      </c>
      <c r="DW19">
        <v>-4.0894941634241242</v>
      </c>
      <c r="DX19">
        <v>0.35598780487805026</v>
      </c>
      <c r="DY19">
        <v>-4.0130650564676857</v>
      </c>
      <c r="DZ19">
        <v>2934</v>
      </c>
      <c r="EA19">
        <v>-4.0055635152394684</v>
      </c>
      <c r="EB19">
        <v>4</v>
      </c>
      <c r="EC19">
        <v>3.9255250090473003E-2</v>
      </c>
      <c r="ED19">
        <v>0.26889403620572933</v>
      </c>
      <c r="EE19" s="12">
        <v>-1.10181</v>
      </c>
      <c r="EF19">
        <v>-1.12531</v>
      </c>
      <c r="EG19">
        <v>21.14598780487805</v>
      </c>
      <c r="EH19" t="s">
        <v>352</v>
      </c>
      <c r="EI19">
        <v>0</v>
      </c>
      <c r="EJ19">
        <v>0</v>
      </c>
      <c r="EK19" s="14">
        <v>45470</v>
      </c>
      <c r="EL19" s="15">
        <v>0.28999999999999998</v>
      </c>
      <c r="EM19" s="15">
        <v>-4.01</v>
      </c>
      <c r="EN19" s="15">
        <v>-3.13</v>
      </c>
      <c r="EO19" s="15">
        <v>4.62</v>
      </c>
      <c r="EP19" s="15">
        <v>-2.35</v>
      </c>
    </row>
    <row r="20" spans="1:146" ht="84" x14ac:dyDescent="0.25">
      <c r="A20" s="7"/>
      <c r="B20" s="7"/>
      <c r="C20" s="7" t="str">
        <f>""&amp;CHAR(10)&amp;Basic_Fundamental_Information_Constructure(F20)&amp;CHAR(10)&amp;Basic_Fundamental_Information_Concatenate("")</f>
        <v xml:space="preserve">
市值15.77171亿, 利润2044.34万; PE39.73; 平均PE25.94; 平均PEG1.71, PB1.26; ROIC2.42%; ROE-.7333%; 股利率2.0576%; 毛利5.26%; 净利-.1267%; 上一年度营收增107.04%, 利润增140.56%; 当季营收增-14.93%, 利润增635.87%; 过往5年营收增15.13%, 利润增-32.46%
Income profile:
</v>
      </c>
      <c r="D20" t="s">
        <v>66</v>
      </c>
      <c r="E20" t="s">
        <v>16</v>
      </c>
      <c r="F20">
        <v>7.29</v>
      </c>
      <c r="G20">
        <v>1.1100000000000001</v>
      </c>
      <c r="H20" t="s">
        <v>987</v>
      </c>
      <c r="I20">
        <v>1577171000</v>
      </c>
      <c r="J20">
        <v>39.729999999999997</v>
      </c>
      <c r="K20">
        <v>1.26</v>
      </c>
      <c r="L20" t="s">
        <v>602</v>
      </c>
      <c r="M20" t="s">
        <v>213</v>
      </c>
      <c r="N20" t="s">
        <v>576</v>
      </c>
      <c r="O20" t="s">
        <v>106</v>
      </c>
      <c r="P20">
        <v>54.35</v>
      </c>
      <c r="Q20" t="s">
        <v>988</v>
      </c>
      <c r="R20">
        <v>12833549</v>
      </c>
      <c r="S20" s="6">
        <v>2.028</v>
      </c>
      <c r="T20" t="s">
        <v>989</v>
      </c>
      <c r="U20">
        <v>216347180</v>
      </c>
      <c r="V20">
        <v>216347180</v>
      </c>
      <c r="W20">
        <v>1.18</v>
      </c>
      <c r="X20">
        <v>0.2</v>
      </c>
      <c r="Y20">
        <v>4.25</v>
      </c>
      <c r="Z20" t="s">
        <v>202</v>
      </c>
      <c r="AA20" t="s">
        <v>389</v>
      </c>
      <c r="AB20" t="s">
        <v>990</v>
      </c>
      <c r="AC20" t="s">
        <v>991</v>
      </c>
      <c r="AD20" t="s">
        <v>10</v>
      </c>
      <c r="AE20">
        <v>-982200</v>
      </c>
      <c r="AF20" t="s">
        <v>992</v>
      </c>
      <c r="AG20" t="s">
        <v>993</v>
      </c>
      <c r="AH20" t="s">
        <v>994</v>
      </c>
      <c r="AI20" t="s">
        <v>120</v>
      </c>
      <c r="AJ20" t="s">
        <v>995</v>
      </c>
      <c r="AK20" t="s">
        <v>996</v>
      </c>
      <c r="AL20" t="s">
        <v>997</v>
      </c>
      <c r="AM20" t="s">
        <v>10</v>
      </c>
      <c r="AN20">
        <v>0</v>
      </c>
      <c r="AO20" t="s">
        <v>998</v>
      </c>
      <c r="AP20" t="s">
        <v>999</v>
      </c>
      <c r="AQ20" t="s">
        <v>1000</v>
      </c>
      <c r="AR20" t="s">
        <v>10</v>
      </c>
      <c r="AS20" t="s">
        <v>100</v>
      </c>
      <c r="AT20" t="s">
        <v>10</v>
      </c>
      <c r="AU20" t="s">
        <v>1001</v>
      </c>
      <c r="AV20" t="s">
        <v>227</v>
      </c>
      <c r="AW20" t="s">
        <v>1002</v>
      </c>
      <c r="AX20" t="s">
        <v>111</v>
      </c>
      <c r="AY20" t="s">
        <v>195</v>
      </c>
      <c r="AZ20" t="s">
        <v>249</v>
      </c>
      <c r="BA20" t="s">
        <v>68</v>
      </c>
      <c r="BB20" t="s">
        <v>251</v>
      </c>
      <c r="BC20" t="s">
        <v>593</v>
      </c>
      <c r="BD20" t="s">
        <v>320</v>
      </c>
      <c r="BE20" t="s">
        <v>250</v>
      </c>
      <c r="BF20" t="s">
        <v>69</v>
      </c>
      <c r="BG20" t="s">
        <v>114</v>
      </c>
      <c r="BH20" t="s">
        <v>1003</v>
      </c>
      <c r="BI20" t="s">
        <v>936</v>
      </c>
      <c r="BJ20" t="s">
        <v>111</v>
      </c>
      <c r="BK20" t="s">
        <v>1004</v>
      </c>
      <c r="BL20" t="s">
        <v>1005</v>
      </c>
      <c r="BM20" t="s">
        <v>593</v>
      </c>
      <c r="BN20" t="s">
        <v>10</v>
      </c>
      <c r="BO20" t="s">
        <v>10</v>
      </c>
      <c r="BP20">
        <v>2.42</v>
      </c>
      <c r="BQ20">
        <v>-1.1000000000000001</v>
      </c>
      <c r="BR20">
        <v>-3.84</v>
      </c>
      <c r="BS20">
        <v>2.74</v>
      </c>
      <c r="BT20" t="s">
        <v>487</v>
      </c>
      <c r="BU20" t="s">
        <v>370</v>
      </c>
      <c r="BV20">
        <v>4.83</v>
      </c>
      <c r="BW20">
        <v>1.58</v>
      </c>
      <c r="BX20">
        <v>9.3699999999999992</v>
      </c>
      <c r="BY20">
        <v>0.9</v>
      </c>
      <c r="BZ20">
        <v>-4.7300000000000004</v>
      </c>
      <c r="CA20">
        <v>3.45</v>
      </c>
      <c r="CB20">
        <v>-1.0900000000000001</v>
      </c>
      <c r="CC20">
        <v>-18.37</v>
      </c>
      <c r="CD20" t="s">
        <v>1006</v>
      </c>
      <c r="CE20" t="s">
        <v>233</v>
      </c>
      <c r="CF20" s="9">
        <v>-0.14929577464788732</v>
      </c>
      <c r="CG20" s="10">
        <v>6.3586863532110094</v>
      </c>
      <c r="CH20" s="9">
        <v>1.0703564882278442</v>
      </c>
      <c r="CI20" s="9">
        <v>-5.5970149114727974E-3</v>
      </c>
      <c r="CJ20" s="9">
        <v>0.21818181872367859</v>
      </c>
      <c r="CK20" s="9">
        <v>-0.45812806487083435</v>
      </c>
      <c r="CL20" s="9">
        <v>-6.827312707901001E-2</v>
      </c>
      <c r="CM20" s="10">
        <v>1.4055699110031128</v>
      </c>
      <c r="CN20" s="10">
        <v>-2.3645164966583252</v>
      </c>
      <c r="CO20" s="10">
        <v>3.1718768179416656E-2</v>
      </c>
      <c r="CP20" s="10">
        <v>-0.7868732213973999</v>
      </c>
      <c r="CQ20" s="10">
        <v>9.0909093618392944E-2</v>
      </c>
      <c r="CR20">
        <v>25.941514286160732</v>
      </c>
      <c r="CS20">
        <v>1.7144837585653165</v>
      </c>
      <c r="CT20">
        <v>2.0576131687242798</v>
      </c>
      <c r="CU20" s="9">
        <v>0.15130802001804114</v>
      </c>
      <c r="CV20" s="10">
        <v>-0.32463838905096054</v>
      </c>
      <c r="CW20">
        <v>0.06</v>
      </c>
      <c r="CX20">
        <v>25.768376141032576</v>
      </c>
      <c r="CY20">
        <v>22204387.147581909</v>
      </c>
      <c r="CZ20">
        <v>0.15130802001804114</v>
      </c>
      <c r="DA20">
        <v>7.9977902541533306</v>
      </c>
      <c r="DB20">
        <v>71541135.966008365</v>
      </c>
      <c r="DC20">
        <v>0.14374261901713908</v>
      </c>
      <c r="DD20">
        <v>3.669171558306501</v>
      </c>
      <c r="DE20">
        <v>155940105.52727723</v>
      </c>
      <c r="DF20">
        <v>0.1331510576158762</v>
      </c>
      <c r="DG20">
        <v>2.0305944539538929</v>
      </c>
      <c r="DH20">
        <v>281775122.00227445</v>
      </c>
      <c r="DI20">
        <v>0.12104641601443292</v>
      </c>
      <c r="DJ20">
        <v>0.87029719505551806</v>
      </c>
      <c r="DK20">
        <v>657443231.17518497</v>
      </c>
      <c r="DL20">
        <v>0.10591561401262879</v>
      </c>
      <c r="DM20">
        <v>20443400</v>
      </c>
      <c r="DN20">
        <v>0.15130802001804114</v>
      </c>
      <c r="DO20">
        <v>572171000</v>
      </c>
      <c r="DP20">
        <v>779458940</v>
      </c>
      <c r="DQ20">
        <v>4098</v>
      </c>
      <c r="DR20">
        <v>-0.30060379466592846</v>
      </c>
      <c r="DS20">
        <v>6.6833247422619699</v>
      </c>
      <c r="DT20" s="11">
        <v>-9.0000000000000011E-2</v>
      </c>
      <c r="DU20">
        <v>-0.83666666666666678</v>
      </c>
      <c r="DV20">
        <v>-0.92666666666666675</v>
      </c>
      <c r="DW20">
        <v>-3.0268035714285713</v>
      </c>
      <c r="DX20">
        <v>0.28306815920397838</v>
      </c>
      <c r="DY20">
        <v>-3.0027625947672352</v>
      </c>
      <c r="DZ20">
        <v>2369</v>
      </c>
      <c r="EA20">
        <v>-3.001481853670644</v>
      </c>
      <c r="EB20">
        <v>3</v>
      </c>
      <c r="EC20">
        <v>9.5756736926268238E-2</v>
      </c>
      <c r="ED20">
        <v>0.92906226002113812</v>
      </c>
      <c r="EE20" s="12">
        <v>-1.0523100000000001</v>
      </c>
      <c r="EF20">
        <v>-1.0685100000000001</v>
      </c>
      <c r="EG20">
        <v>18.103068159203978</v>
      </c>
      <c r="EH20" t="s">
        <v>352</v>
      </c>
      <c r="EI20">
        <v>0</v>
      </c>
      <c r="EJ20">
        <v>0</v>
      </c>
      <c r="EK20" s="14">
        <v>45470</v>
      </c>
      <c r="EL20" s="15">
        <v>0.93</v>
      </c>
      <c r="EM20" s="15">
        <v>-5.16</v>
      </c>
      <c r="EN20" s="15">
        <v>2.37</v>
      </c>
      <c r="EO20" s="15">
        <v>2.92</v>
      </c>
      <c r="EP20" s="15">
        <v>-1.62</v>
      </c>
    </row>
    <row r="21" spans="1:146" ht="84" x14ac:dyDescent="0.25">
      <c r="A21" s="7"/>
      <c r="B21" s="7"/>
      <c r="C21" s="7" t="str">
        <f>""&amp;CHAR(10)&amp;Basic_Fundamental_Information_Constructure(F21)&amp;CHAR(10)&amp;Basic_Fundamental_Information_Concatenate("")</f>
        <v xml:space="preserve">
市值32.818816亿, 利润1.90亿; PE15.14; 平均PE20.01; 平均PEG.97, PB1.87; ROIC10.64%; ROE14.8967%; 股利率2.7404%; 毛利6.87%; 净利4.0033%; 上一年度营收增-46.3%, 利润增-21.49%; 当季营收增184.06%, 利润增105.6%; 过往5年营收增20.53%, 利润增21.24%
Income profile:
</v>
      </c>
      <c r="D21" t="s">
        <v>95</v>
      </c>
      <c r="E21" t="s">
        <v>96</v>
      </c>
      <c r="F21">
        <v>10.4</v>
      </c>
      <c r="G21">
        <v>0.97</v>
      </c>
      <c r="H21" t="s">
        <v>1007</v>
      </c>
      <c r="I21">
        <v>3281881600</v>
      </c>
      <c r="J21">
        <v>15.14</v>
      </c>
      <c r="K21">
        <v>1.87</v>
      </c>
      <c r="L21" t="s">
        <v>602</v>
      </c>
      <c r="M21" t="s">
        <v>1008</v>
      </c>
      <c r="N21" t="s">
        <v>401</v>
      </c>
      <c r="O21" t="s">
        <v>1009</v>
      </c>
      <c r="P21">
        <v>28.49</v>
      </c>
      <c r="Q21" t="s">
        <v>1010</v>
      </c>
      <c r="R21">
        <v>70224824</v>
      </c>
      <c r="S21" s="6">
        <v>0.40060000000000001</v>
      </c>
      <c r="T21" t="s">
        <v>136</v>
      </c>
      <c r="U21">
        <v>315565540</v>
      </c>
      <c r="V21">
        <v>315565540</v>
      </c>
      <c r="W21">
        <v>2.57</v>
      </c>
      <c r="X21">
        <v>0.33</v>
      </c>
      <c r="Y21">
        <v>5.01</v>
      </c>
      <c r="Z21" t="s">
        <v>1011</v>
      </c>
      <c r="AA21" t="s">
        <v>594</v>
      </c>
      <c r="AB21" t="s">
        <v>1012</v>
      </c>
      <c r="AC21" t="s">
        <v>1013</v>
      </c>
      <c r="AD21" t="s">
        <v>10</v>
      </c>
      <c r="AE21">
        <v>-11213070</v>
      </c>
      <c r="AF21" t="s">
        <v>1014</v>
      </c>
      <c r="AG21" t="s">
        <v>1015</v>
      </c>
      <c r="AH21" t="s">
        <v>1016</v>
      </c>
      <c r="AI21" t="s">
        <v>1017</v>
      </c>
      <c r="AJ21" t="s">
        <v>1018</v>
      </c>
      <c r="AK21" t="s">
        <v>10</v>
      </c>
      <c r="AL21" t="s">
        <v>1019</v>
      </c>
      <c r="AM21" t="s">
        <v>10</v>
      </c>
      <c r="AN21" t="s">
        <v>385</v>
      </c>
      <c r="AO21" t="s">
        <v>10</v>
      </c>
      <c r="AP21" t="s">
        <v>1020</v>
      </c>
      <c r="AQ21" t="s">
        <v>110</v>
      </c>
      <c r="AR21" t="s">
        <v>10</v>
      </c>
      <c r="AS21" t="s">
        <v>1021</v>
      </c>
      <c r="AT21" t="s">
        <v>137</v>
      </c>
      <c r="AU21" t="s">
        <v>1022</v>
      </c>
      <c r="AV21" t="s">
        <v>1023</v>
      </c>
      <c r="AW21" t="s">
        <v>116</v>
      </c>
      <c r="AX21" t="s">
        <v>596</v>
      </c>
      <c r="AY21" t="s">
        <v>597</v>
      </c>
      <c r="AZ21" t="s">
        <v>253</v>
      </c>
      <c r="BA21" t="s">
        <v>97</v>
      </c>
      <c r="BB21" t="s">
        <v>254</v>
      </c>
      <c r="BC21" t="s">
        <v>382</v>
      </c>
      <c r="BD21" t="s">
        <v>113</v>
      </c>
      <c r="BE21" t="s">
        <v>84</v>
      </c>
      <c r="BF21" t="s">
        <v>98</v>
      </c>
      <c r="BG21" t="s">
        <v>256</v>
      </c>
      <c r="BH21" t="s">
        <v>1024</v>
      </c>
      <c r="BI21" t="s">
        <v>270</v>
      </c>
      <c r="BJ21" t="s">
        <v>596</v>
      </c>
      <c r="BK21" t="s">
        <v>155</v>
      </c>
      <c r="BL21" t="s">
        <v>1025</v>
      </c>
      <c r="BM21" t="s">
        <v>382</v>
      </c>
      <c r="BN21">
        <v>5.88</v>
      </c>
      <c r="BO21">
        <v>11.03</v>
      </c>
      <c r="BP21">
        <v>15.01</v>
      </c>
      <c r="BQ21">
        <v>9.2899999999999991</v>
      </c>
      <c r="BR21">
        <v>16.600000000000001</v>
      </c>
      <c r="BS21">
        <v>18.8</v>
      </c>
      <c r="BT21" t="s">
        <v>1026</v>
      </c>
      <c r="BU21" t="s">
        <v>326</v>
      </c>
      <c r="BV21">
        <v>6.7</v>
      </c>
      <c r="BW21">
        <v>6.26</v>
      </c>
      <c r="BX21">
        <v>7.65</v>
      </c>
      <c r="BY21">
        <v>3.61</v>
      </c>
      <c r="BZ21">
        <v>3.98</v>
      </c>
      <c r="CA21">
        <v>4.42</v>
      </c>
      <c r="CB21">
        <v>-0.86</v>
      </c>
      <c r="CC21">
        <v>-5.15</v>
      </c>
      <c r="CD21" t="s">
        <v>1027</v>
      </c>
      <c r="CE21" t="s">
        <v>1028</v>
      </c>
      <c r="CF21" s="9">
        <v>1.8405545927209706</v>
      </c>
      <c r="CG21" s="10">
        <v>1.0560326740934842</v>
      </c>
      <c r="CH21" s="9">
        <v>-0.46297833323478699</v>
      </c>
      <c r="CI21" s="9">
        <v>0.10608287900686264</v>
      </c>
      <c r="CJ21" s="9">
        <v>1.1287051439285278</v>
      </c>
      <c r="CK21" s="9">
        <v>5.6883815675973892E-2</v>
      </c>
      <c r="CL21" s="9">
        <v>0.19802466034889221</v>
      </c>
      <c r="CM21" s="10">
        <v>-0.21487602591514587</v>
      </c>
      <c r="CN21" s="10">
        <v>8.3333337679505348E-3</v>
      </c>
      <c r="CO21" s="10">
        <v>1.0689655542373657</v>
      </c>
      <c r="CP21" s="10">
        <v>0.15999999642372131</v>
      </c>
      <c r="CQ21" s="10">
        <v>3.9715036749839783E-2</v>
      </c>
      <c r="CR21">
        <v>20.007809139017425</v>
      </c>
      <c r="CS21">
        <v>0.97435741408549503</v>
      </c>
      <c r="CT21">
        <v>2.7403846153846154</v>
      </c>
      <c r="CU21" s="9">
        <v>0.20534363314509391</v>
      </c>
      <c r="CV21" s="10">
        <v>0.21242757905274628</v>
      </c>
      <c r="CW21">
        <v>0.06</v>
      </c>
      <c r="CX21">
        <v>18.666240539858833</v>
      </c>
      <c r="CY21">
        <v>216052160.65808287</v>
      </c>
      <c r="CZ21">
        <v>0.20534363314509391</v>
      </c>
      <c r="DA21">
        <v>5.5396316460259465</v>
      </c>
      <c r="DB21">
        <v>728005372.50398815</v>
      </c>
      <c r="DC21">
        <v>0.1950764514878392</v>
      </c>
      <c r="DD21">
        <v>2.384790698086618</v>
      </c>
      <c r="DE21">
        <v>1691084086.8490849</v>
      </c>
      <c r="DF21">
        <v>0.18070239716768263</v>
      </c>
      <c r="DG21">
        <v>1.2220300883163588</v>
      </c>
      <c r="DH21">
        <v>3300149184.9977827</v>
      </c>
      <c r="DI21">
        <v>0.16427490651607513</v>
      </c>
      <c r="DJ21">
        <v>0.43465075319048485</v>
      </c>
      <c r="DK21">
        <v>9278441531.2691231</v>
      </c>
      <c r="DL21">
        <v>0.14374054320156573</v>
      </c>
      <c r="DM21">
        <v>190000000</v>
      </c>
      <c r="DN21">
        <v>0.20534363314509391</v>
      </c>
      <c r="DO21">
        <v>4032881600</v>
      </c>
      <c r="DP21">
        <v>1066036200</v>
      </c>
      <c r="DQ21">
        <v>4473</v>
      </c>
      <c r="DR21">
        <v>1.6352109595758766</v>
      </c>
      <c r="DS21">
        <v>0.84360509504073788</v>
      </c>
      <c r="DT21" s="11">
        <v>-0.24</v>
      </c>
      <c r="DU21">
        <v>0.43666666666666659</v>
      </c>
      <c r="DV21">
        <v>0.1966666666666666</v>
      </c>
      <c r="DW21">
        <v>-1.0515000000000001</v>
      </c>
      <c r="DX21">
        <v>0.30605127437968804</v>
      </c>
      <c r="DY21">
        <v>-1.009066640630554</v>
      </c>
      <c r="DZ21">
        <v>796</v>
      </c>
      <c r="EA21">
        <v>-1.0076543028728395</v>
      </c>
      <c r="EB21">
        <v>1</v>
      </c>
      <c r="EC21">
        <v>4.9346325964489027E-2</v>
      </c>
      <c r="ED21">
        <v>0.28029518051939384</v>
      </c>
      <c r="EE21" s="12">
        <v>4.0927100000000003</v>
      </c>
      <c r="EF21">
        <v>4.1201100000000004</v>
      </c>
      <c r="EG21">
        <v>13.176051274379688</v>
      </c>
      <c r="EH21" t="s">
        <v>1029</v>
      </c>
      <c r="EI21">
        <v>0</v>
      </c>
      <c r="EJ21">
        <v>1</v>
      </c>
      <c r="EK21" s="14">
        <v>45470</v>
      </c>
      <c r="EL21" s="15">
        <v>0.62</v>
      </c>
      <c r="EM21" s="15">
        <v>-2.34</v>
      </c>
      <c r="EN21" s="15">
        <v>-2.02</v>
      </c>
      <c r="EO21" s="15">
        <v>3.35</v>
      </c>
      <c r="EP21" s="15">
        <v>-2.74</v>
      </c>
    </row>
    <row r="22" spans="1:146" ht="144" x14ac:dyDescent="0.25">
      <c r="A22" s="7" t="s">
        <v>495</v>
      </c>
      <c r="B22" s="7"/>
      <c r="C22" s="8" t="str">
        <f>"公司是一家专业从事碳纤维研发、生产和销售的国家高新技术企业，对外销售主要产品为碳纤维。2018年1月，公司“干喷湿纺千吨级高强/百吨级中模碳纤维产业化关键技术及应用”成果荣获2017年度国家科学技术进步一等奖，为国内碳纤维领域唯一获得该项殊荣的企业。"&amp;CHAR(10)&amp;Basic_Fundamental_Information_Constructure(F22)&amp;CHAR(10)&amp;Basic_Fundamental_Information_Concatenate("碳纤维 8.55亿 99.16% 98.37% 45.09%
其他业务 721.72万 0.84% 1.63% 88.39%")</f>
        <v>公司是一家专业从事碳纤维研发、生产和销售的国家高新技术企业，对外销售主要产品为碳纤维。2018年1月，公司“干喷湿纺千吨级高强/百吨级中模碳纤维产业化关键技术及应用”成果荣获2017年度国家科学技术进步一等奖，为国内碳纤维领域唯一获得该项殊荣的企业。
市值180.09亿, 利润-2950.56万; PE78.75; 平均PE114.78; 平均PEG3.36, PB3.69; ROIC10.76%; ROE16.1167%; 股利率.5297%; 毛利40.1167%; 净利22.72%; 上一年度营收增-82.81%, 利润增-104.88%; 当季营收增526.27%, 利润增1078.33%; 过往5年营收增34.14%, 利润增134.41%
Income profile:
碳纤维 8.55亿 99.16% 98.37% 45.09%
其他业务 721.72万 0.84% 1.63% 88.39%</v>
      </c>
      <c r="D22" t="s">
        <v>321</v>
      </c>
      <c r="E22" t="s">
        <v>322</v>
      </c>
      <c r="F22">
        <v>20.010000000000002</v>
      </c>
      <c r="G22">
        <v>1.94</v>
      </c>
      <c r="H22" t="s">
        <v>1030</v>
      </c>
      <c r="I22">
        <v>18009000000</v>
      </c>
      <c r="J22">
        <v>78.75</v>
      </c>
      <c r="K22">
        <v>3.69</v>
      </c>
      <c r="L22" t="s">
        <v>602</v>
      </c>
      <c r="M22" t="s">
        <v>1031</v>
      </c>
      <c r="N22" t="s">
        <v>1032</v>
      </c>
      <c r="O22" t="s">
        <v>1033</v>
      </c>
      <c r="P22">
        <v>-21.1</v>
      </c>
      <c r="Q22" t="s">
        <v>357</v>
      </c>
      <c r="R22">
        <v>41785664</v>
      </c>
      <c r="S22" s="6">
        <v>-0.68120000000000003</v>
      </c>
      <c r="T22" t="s">
        <v>1034</v>
      </c>
      <c r="U22">
        <v>144650560</v>
      </c>
      <c r="V22">
        <v>900000000</v>
      </c>
      <c r="W22">
        <v>2</v>
      </c>
      <c r="X22">
        <v>0.05</v>
      </c>
      <c r="Y22">
        <v>9.32</v>
      </c>
      <c r="Z22" t="s">
        <v>566</v>
      </c>
      <c r="AA22" t="s">
        <v>1035</v>
      </c>
      <c r="AB22" t="s">
        <v>1036</v>
      </c>
      <c r="AC22" t="s">
        <v>1037</v>
      </c>
      <c r="AD22" t="s">
        <v>10</v>
      </c>
      <c r="AE22">
        <v>2894655</v>
      </c>
      <c r="AF22" t="s">
        <v>1038</v>
      </c>
      <c r="AG22" t="s">
        <v>1039</v>
      </c>
      <c r="AH22" t="s">
        <v>1040</v>
      </c>
      <c r="AI22" t="s">
        <v>1041</v>
      </c>
      <c r="AJ22" t="s">
        <v>1042</v>
      </c>
      <c r="AK22" t="s">
        <v>10</v>
      </c>
      <c r="AL22" t="s">
        <v>1043</v>
      </c>
      <c r="AM22" t="s">
        <v>10</v>
      </c>
      <c r="AN22" t="s">
        <v>499</v>
      </c>
      <c r="AO22" t="s">
        <v>92</v>
      </c>
      <c r="AP22" t="s">
        <v>123</v>
      </c>
      <c r="AQ22" t="s">
        <v>1044</v>
      </c>
      <c r="AR22" t="s">
        <v>10</v>
      </c>
      <c r="AS22" t="s">
        <v>1045</v>
      </c>
      <c r="AT22" t="s">
        <v>552</v>
      </c>
      <c r="AU22" t="s">
        <v>1046</v>
      </c>
      <c r="AV22" t="s">
        <v>163</v>
      </c>
      <c r="AW22" t="s">
        <v>384</v>
      </c>
      <c r="AX22" t="s">
        <v>599</v>
      </c>
      <c r="AY22" t="s">
        <v>171</v>
      </c>
      <c r="AZ22" t="s">
        <v>281</v>
      </c>
      <c r="BA22" t="s">
        <v>291</v>
      </c>
      <c r="BB22" t="s">
        <v>112</v>
      </c>
      <c r="BC22" t="s">
        <v>541</v>
      </c>
      <c r="BD22" t="s">
        <v>123</v>
      </c>
      <c r="BE22" t="s">
        <v>323</v>
      </c>
      <c r="BF22" t="s">
        <v>358</v>
      </c>
      <c r="BG22" t="s">
        <v>324</v>
      </c>
      <c r="BH22" t="s">
        <v>538</v>
      </c>
      <c r="BI22" t="s">
        <v>1047</v>
      </c>
      <c r="BJ22" t="s">
        <v>599</v>
      </c>
      <c r="BK22" t="s">
        <v>79</v>
      </c>
      <c r="BL22" t="s">
        <v>1048</v>
      </c>
      <c r="BM22" t="s">
        <v>541</v>
      </c>
      <c r="BN22">
        <v>4.5199999999999996</v>
      </c>
      <c r="BO22">
        <v>14.26</v>
      </c>
      <c r="BP22">
        <v>13.5</v>
      </c>
      <c r="BQ22">
        <v>6.21</v>
      </c>
      <c r="BR22">
        <v>16.71</v>
      </c>
      <c r="BS22">
        <v>25.43</v>
      </c>
      <c r="BT22" t="s">
        <v>1049</v>
      </c>
      <c r="BU22" t="s">
        <v>326</v>
      </c>
      <c r="BV22">
        <v>30.6</v>
      </c>
      <c r="BW22">
        <v>48.13</v>
      </c>
      <c r="BX22">
        <v>41.62</v>
      </c>
      <c r="BY22">
        <v>14.08</v>
      </c>
      <c r="BZ22">
        <v>30.33</v>
      </c>
      <c r="CA22">
        <v>23.75</v>
      </c>
      <c r="CB22">
        <v>-1.43</v>
      </c>
      <c r="CC22">
        <v>-24.55</v>
      </c>
      <c r="CD22" t="s">
        <v>1050</v>
      </c>
      <c r="CE22" t="s">
        <v>1051</v>
      </c>
      <c r="CF22" s="9">
        <v>5.2626598690712676</v>
      </c>
      <c r="CG22" s="10">
        <v>10.783349488422186</v>
      </c>
      <c r="CH22" s="9">
        <v>-0.82807016372680664</v>
      </c>
      <c r="CI22" s="9">
        <v>0.7007673978805542</v>
      </c>
      <c r="CJ22" s="9">
        <v>1.2048871517181396</v>
      </c>
      <c r="CK22" s="9">
        <v>0.28192770481109619</v>
      </c>
      <c r="CL22" s="9">
        <v>0.34740260243415833</v>
      </c>
      <c r="CM22" s="10">
        <v>-1.0487695932388306</v>
      </c>
      <c r="CN22" s="10">
        <v>1.1684588193893433</v>
      </c>
      <c r="CO22" s="10">
        <v>2.2734260559082031</v>
      </c>
      <c r="CP22" s="10">
        <v>2.2592051029205322</v>
      </c>
      <c r="CQ22" s="10">
        <v>2.0682682991027832</v>
      </c>
      <c r="CR22">
        <v>114.78043172840717</v>
      </c>
      <c r="CS22">
        <v>3.3622193361871204</v>
      </c>
      <c r="CT22">
        <v>0.52973513243378312</v>
      </c>
      <c r="CU22" s="9">
        <v>0.34138293862342833</v>
      </c>
      <c r="CV22" s="10">
        <v>1.3441177368164063</v>
      </c>
      <c r="CW22">
        <v>0.06</v>
      </c>
      <c r="CX22" t="e">
        <v>#VALUE!</v>
      </c>
      <c r="CY22" t="s">
        <v>351</v>
      </c>
      <c r="CZ22">
        <v>0.34138293862342833</v>
      </c>
      <c r="DA22" t="e">
        <v>#VALUE!</v>
      </c>
      <c r="DB22" t="s">
        <v>351</v>
      </c>
      <c r="DC22">
        <v>0.32431379169225688</v>
      </c>
      <c r="DD22" t="e">
        <v>#VALUE!</v>
      </c>
      <c r="DE22" t="s">
        <v>351</v>
      </c>
      <c r="DF22">
        <v>0.30041698598861694</v>
      </c>
      <c r="DG22" t="e">
        <v>#VALUE!</v>
      </c>
      <c r="DH22" t="s">
        <v>351</v>
      </c>
      <c r="DI22">
        <v>0.27310635089874269</v>
      </c>
      <c r="DJ22" t="e">
        <v>#VALUE!</v>
      </c>
      <c r="DK22" t="s">
        <v>351</v>
      </c>
      <c r="DL22">
        <v>0.23896805703639981</v>
      </c>
      <c r="DM22">
        <v>-29505600</v>
      </c>
      <c r="DN22">
        <v>0.34138293862342833</v>
      </c>
      <c r="DO22">
        <v>17813000000</v>
      </c>
      <c r="DP22">
        <v>1908122799.9999998</v>
      </c>
      <c r="DQ22">
        <v>4795</v>
      </c>
      <c r="DR22">
        <v>4.9212769304478394</v>
      </c>
      <c r="DS22">
        <v>9.4392317516057798</v>
      </c>
      <c r="DT22" s="11">
        <v>1.0000000000000011E-2</v>
      </c>
      <c r="DU22">
        <v>1.1910499999999999</v>
      </c>
      <c r="DV22">
        <v>1.20105</v>
      </c>
      <c r="DW22">
        <v>-3.0966964285714287</v>
      </c>
      <c r="DX22">
        <v>0.29935084477103785</v>
      </c>
      <c r="DY22">
        <v>-3.0115408004363422</v>
      </c>
      <c r="DZ22">
        <v>3382</v>
      </c>
      <c r="EA22">
        <v>-3.0039026424958903</v>
      </c>
      <c r="EB22">
        <v>3</v>
      </c>
      <c r="EC22">
        <v>7.2618888888888898E-3</v>
      </c>
      <c r="ED22">
        <v>6.0844888888888886E-2</v>
      </c>
      <c r="EE22" s="12">
        <v>-9.0092999999999996</v>
      </c>
      <c r="EF22">
        <v>-9.02651</v>
      </c>
      <c r="EG22">
        <v>18.119350844771038</v>
      </c>
      <c r="EH22" t="s">
        <v>1052</v>
      </c>
      <c r="EI22">
        <v>0</v>
      </c>
      <c r="EJ22">
        <v>0</v>
      </c>
      <c r="EK22" s="14">
        <v>45470</v>
      </c>
      <c r="EL22" s="15">
        <v>-6.09</v>
      </c>
      <c r="EM22" s="15">
        <v>-5.6</v>
      </c>
      <c r="EN22">
        <v>-10.64</v>
      </c>
      <c r="EO22">
        <v>5.9</v>
      </c>
      <c r="EP22">
        <v>-3.58</v>
      </c>
    </row>
    <row r="23" spans="1:146" ht="84" x14ac:dyDescent="0.25">
      <c r="C23" s="8" t="str">
        <f>""&amp;CHAR(10)&amp;Basic_Fundamental_Information_Constructure(F23)&amp;CHAR(10)&amp;Basic_Fundamental_Information_Concatenate("")</f>
        <v xml:space="preserve">
市值23.81467亿, 利润4824.50万; PE20.3; 平均PE34; 平均PEG.22, PB1.91; ROIC10.12%; ROE11.0467%; 股利率.8491%; 毛利36.7233%; 净利22.7567%; 上一年度营收增662.5%, 利润增-71.79%; 当季营收增-86.99%, 利润增113.6%; 过往5年营收增152.53%, 利润增34.36%
Income profile:
</v>
      </c>
      <c r="D23" t="s">
        <v>292</v>
      </c>
      <c r="E23" t="s">
        <v>293</v>
      </c>
      <c r="F23">
        <v>10.6</v>
      </c>
      <c r="G23">
        <v>1.53</v>
      </c>
      <c r="H23" t="s">
        <v>1053</v>
      </c>
      <c r="I23">
        <v>2381467000</v>
      </c>
      <c r="J23">
        <v>20.3</v>
      </c>
      <c r="K23">
        <v>1.91</v>
      </c>
      <c r="L23" t="s">
        <v>602</v>
      </c>
      <c r="M23" t="s">
        <v>127</v>
      </c>
      <c r="N23" t="s">
        <v>1054</v>
      </c>
      <c r="O23" t="s">
        <v>103</v>
      </c>
      <c r="P23">
        <v>-53.41</v>
      </c>
      <c r="Q23" t="s">
        <v>1055</v>
      </c>
      <c r="R23">
        <v>17546549</v>
      </c>
      <c r="S23" s="6">
        <v>-0.67430000000000001</v>
      </c>
      <c r="T23" t="s">
        <v>1056</v>
      </c>
      <c r="U23">
        <v>127856700</v>
      </c>
      <c r="V23">
        <v>224666700</v>
      </c>
      <c r="W23">
        <v>1.1200000000000001</v>
      </c>
      <c r="X23">
        <v>0.08</v>
      </c>
      <c r="Y23">
        <v>15.78</v>
      </c>
      <c r="Z23" t="s">
        <v>1057</v>
      </c>
      <c r="AA23" t="s">
        <v>1058</v>
      </c>
      <c r="AB23" t="s">
        <v>1059</v>
      </c>
      <c r="AC23" t="s">
        <v>1060</v>
      </c>
      <c r="AD23" t="s">
        <v>10</v>
      </c>
      <c r="AE23">
        <v>-1692732</v>
      </c>
      <c r="AF23" t="s">
        <v>39</v>
      </c>
      <c r="AG23" t="s">
        <v>10</v>
      </c>
      <c r="AH23" t="s">
        <v>1061</v>
      </c>
      <c r="AI23" t="s">
        <v>1062</v>
      </c>
      <c r="AJ23" t="s">
        <v>1063</v>
      </c>
      <c r="AK23" t="s">
        <v>1064</v>
      </c>
      <c r="AL23" t="s">
        <v>1065</v>
      </c>
      <c r="AM23" t="s">
        <v>10</v>
      </c>
      <c r="AN23" t="s">
        <v>259</v>
      </c>
      <c r="AO23" t="s">
        <v>1066</v>
      </c>
      <c r="AP23" t="s">
        <v>10</v>
      </c>
      <c r="AQ23" t="s">
        <v>1067</v>
      </c>
      <c r="AR23" t="s">
        <v>10</v>
      </c>
      <c r="AS23" t="s">
        <v>108</v>
      </c>
      <c r="AT23" t="s">
        <v>10</v>
      </c>
      <c r="AU23" t="s">
        <v>1068</v>
      </c>
      <c r="AV23" t="s">
        <v>1069</v>
      </c>
      <c r="AW23" t="s">
        <v>1070</v>
      </c>
      <c r="AX23" t="s">
        <v>378</v>
      </c>
      <c r="AY23" t="s">
        <v>223</v>
      </c>
      <c r="AZ23" t="s">
        <v>92</v>
      </c>
      <c r="BA23" t="s">
        <v>105</v>
      </c>
      <c r="BB23" t="s">
        <v>202</v>
      </c>
      <c r="BC23" t="s">
        <v>101</v>
      </c>
      <c r="BD23" t="s">
        <v>325</v>
      </c>
      <c r="BE23" t="s">
        <v>294</v>
      </c>
      <c r="BF23" t="s">
        <v>295</v>
      </c>
      <c r="BG23" t="s">
        <v>296</v>
      </c>
      <c r="BH23" t="s">
        <v>277</v>
      </c>
      <c r="BI23" t="s">
        <v>194</v>
      </c>
      <c r="BJ23" t="s">
        <v>378</v>
      </c>
      <c r="BK23" t="s">
        <v>114</v>
      </c>
      <c r="BL23" t="s">
        <v>306</v>
      </c>
      <c r="BM23" t="s">
        <v>101</v>
      </c>
      <c r="BN23">
        <v>9.9600000000000009</v>
      </c>
      <c r="BO23">
        <v>14.68</v>
      </c>
      <c r="BP23">
        <v>5.72</v>
      </c>
      <c r="BQ23">
        <v>10.68</v>
      </c>
      <c r="BR23">
        <v>15.77</v>
      </c>
      <c r="BS23">
        <v>6.69</v>
      </c>
      <c r="BT23" t="s">
        <v>1071</v>
      </c>
      <c r="BU23" t="s">
        <v>326</v>
      </c>
      <c r="BV23">
        <v>38.68</v>
      </c>
      <c r="BW23">
        <v>39.869999999999997</v>
      </c>
      <c r="BX23">
        <v>31.62</v>
      </c>
      <c r="BY23">
        <v>24.58</v>
      </c>
      <c r="BZ23">
        <v>27.82</v>
      </c>
      <c r="CA23">
        <v>15.87</v>
      </c>
      <c r="CB23">
        <v>-5.27</v>
      </c>
      <c r="CC23">
        <v>-2.39</v>
      </c>
      <c r="CD23" t="s">
        <v>1072</v>
      </c>
      <c r="CE23" t="s">
        <v>72</v>
      </c>
      <c r="CF23" s="9">
        <v>-0.86987104337631882</v>
      </c>
      <c r="CG23" s="10">
        <v>1.1360197596899224</v>
      </c>
      <c r="CH23" s="9">
        <v>6.625</v>
      </c>
      <c r="CI23" s="9">
        <v>0.86102718114852905</v>
      </c>
      <c r="CJ23" s="9">
        <v>0.16961130499839783</v>
      </c>
      <c r="CK23" s="9">
        <v>-5.9800665825605392E-2</v>
      </c>
      <c r="CL23" s="9">
        <v>3.0821917578577995E-2</v>
      </c>
      <c r="CM23" s="10">
        <v>-0.71786552667617798</v>
      </c>
      <c r="CN23" s="10">
        <v>2.2554128170013428</v>
      </c>
      <c r="CO23" s="10">
        <v>-7.7175654470920563E-2</v>
      </c>
      <c r="CP23" s="10">
        <v>0.22114358842372894</v>
      </c>
      <c r="CQ23" s="10">
        <v>3.6429695785045624E-2</v>
      </c>
      <c r="CR23">
        <v>33.998234989139405</v>
      </c>
      <c r="CS23">
        <v>0.2228907290841145</v>
      </c>
      <c r="CT23">
        <v>0.84905660377358494</v>
      </c>
      <c r="CU23" s="9">
        <v>1.5253319475799798</v>
      </c>
      <c r="CV23" s="10">
        <v>0.34358898401260374</v>
      </c>
      <c r="CW23">
        <v>0.06</v>
      </c>
      <c r="CX23">
        <v>10.548847372091986</v>
      </c>
      <c r="CY23">
        <v>114938339.44433595</v>
      </c>
      <c r="CZ23">
        <v>1.5253319475799798</v>
      </c>
      <c r="DA23">
        <v>1.2577054189872339</v>
      </c>
      <c r="DB23">
        <v>964030989.84525168</v>
      </c>
      <c r="DC23">
        <v>1.4490653502009807</v>
      </c>
      <c r="DD23">
        <v>0.1192062574863248</v>
      </c>
      <c r="DE23">
        <v>10171169077.58884</v>
      </c>
      <c r="DF23">
        <v>1.3422921138703823</v>
      </c>
      <c r="DG23">
        <v>8.0843812076035419E-3</v>
      </c>
      <c r="DH23">
        <v>149976475485.79816</v>
      </c>
      <c r="DI23">
        <v>1.2202655580639838</v>
      </c>
      <c r="DJ23">
        <v>1.9244205279401961E-5</v>
      </c>
      <c r="DK23">
        <v>63004264525164.07</v>
      </c>
      <c r="DL23">
        <v>1.0677323633059859</v>
      </c>
      <c r="DM23">
        <v>48245000</v>
      </c>
      <c r="DN23">
        <v>1.5253319475799798</v>
      </c>
      <c r="DO23">
        <v>1212467000</v>
      </c>
      <c r="DP23">
        <v>586288760</v>
      </c>
      <c r="DQ23">
        <v>5089</v>
      </c>
      <c r="DR23">
        <v>-2.3952029909562986</v>
      </c>
      <c r="DS23">
        <v>0.79243077567731868</v>
      </c>
      <c r="DT23" s="11">
        <v>0.29333333333333339</v>
      </c>
      <c r="DU23">
        <v>0.31999999999999995</v>
      </c>
      <c r="DV23">
        <v>0.61333333333333329</v>
      </c>
      <c r="DW23">
        <v>-4.4535104364326372</v>
      </c>
      <c r="DX23">
        <v>0.23337377049180205</v>
      </c>
      <c r="DY23">
        <v>-4.0332757706784461</v>
      </c>
      <c r="DZ23">
        <v>2968</v>
      </c>
      <c r="EA23">
        <v>-4.0139484737364448</v>
      </c>
      <c r="EB23">
        <v>4</v>
      </c>
      <c r="EC23">
        <v>3.9843911002387093E-2</v>
      </c>
      <c r="ED23">
        <v>0.54302662566370541</v>
      </c>
      <c r="EE23" s="12">
        <v>-3.0034100000000001</v>
      </c>
      <c r="EF23">
        <v>-3.0358100000000001</v>
      </c>
      <c r="EG23">
        <v>16.073373770491802</v>
      </c>
      <c r="EH23" t="s">
        <v>546</v>
      </c>
      <c r="EI23">
        <v>0</v>
      </c>
      <c r="EJ23">
        <v>0</v>
      </c>
      <c r="EK23" s="14">
        <v>45470</v>
      </c>
      <c r="EL23" s="15">
        <v>-1.55</v>
      </c>
      <c r="EM23" s="15">
        <v>-4.72</v>
      </c>
      <c r="EN23">
        <v>-4.95</v>
      </c>
      <c r="EO23">
        <v>2.15</v>
      </c>
      <c r="EP23">
        <v>-3.24</v>
      </c>
    </row>
  </sheetData>
  <autoFilter ref="BU1:BU23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化学纤维&quot;,&quot;&quot;'" altText="更新基本面按钮_x000a_">
                <anchor moveWithCells="1" sizeWithCells="1">
                  <from>
                    <xdr:col>147</xdr:col>
                    <xdr:colOff>323850</xdr:colOff>
                    <xdr:row>0</xdr:row>
                    <xdr:rowOff>101600</xdr:rowOff>
                  </from>
                  <to>
                    <xdr:col>147</xdr:col>
                    <xdr:colOff>1511300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化工合成材料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2024-07-09T16:31:05Z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