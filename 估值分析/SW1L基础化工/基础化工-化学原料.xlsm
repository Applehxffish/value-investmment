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基础化工\"/>
    </mc:Choice>
  </mc:AlternateContent>
  <bookViews>
    <workbookView xWindow="-110" yWindow="-110" windowWidth="23260" windowHeight="13180"/>
  </bookViews>
  <sheets>
    <sheet name="化学原料" sheetId="15" r:id="rId1"/>
    <sheet name="估值-增速与年化收益" sheetId="14" r:id="rId2"/>
  </sheets>
  <functionGroups builtInGroupCount="18"/>
  <definedNames>
    <definedName name="_xlnm._FilterDatabase" localSheetId="0" hidden="1">化学原料!$BU$1:$BU$59</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5" i="14" l="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37" i="15"/>
  <c r="C54" i="15"/>
  <c r="C15" i="15"/>
  <c r="C38" i="15"/>
  <c r="C39" i="15"/>
  <c r="C48" i="15"/>
  <c r="C18" i="15"/>
  <c r="C41" i="15"/>
  <c r="C22" i="15"/>
  <c r="C40" i="15"/>
  <c r="C14" i="15"/>
  <c r="C36" i="15"/>
  <c r="C56" i="15"/>
  <c r="C11" i="15"/>
  <c r="C7" i="15"/>
  <c r="C3" i="15"/>
  <c r="C33" i="15"/>
  <c r="C16" i="15"/>
  <c r="C19" i="15"/>
  <c r="C42" i="15"/>
  <c r="C50" i="15"/>
  <c r="C6" i="15"/>
  <c r="C2" i="15"/>
  <c r="C43" i="15"/>
  <c r="C21" i="15"/>
  <c r="C23" i="15"/>
  <c r="C46" i="15"/>
  <c r="C17" i="15"/>
  <c r="C59" i="15"/>
  <c r="C10" i="15"/>
  <c r="C57" i="15"/>
  <c r="C26" i="15"/>
  <c r="C53" i="15"/>
  <c r="C24" i="15"/>
  <c r="C51" i="15"/>
  <c r="C29" i="15"/>
  <c r="C20" i="15"/>
  <c r="C32" i="15"/>
  <c r="C47" i="15"/>
  <c r="C25" i="15"/>
  <c r="C45" i="15"/>
  <c r="C49" i="15"/>
  <c r="C9" i="15"/>
  <c r="C5" i="15"/>
  <c r="C55" i="15"/>
  <c r="C28" i="15"/>
  <c r="C44" i="15"/>
  <c r="C34" i="15"/>
  <c r="C13" i="15"/>
  <c r="C31" i="15"/>
  <c r="C27" i="15"/>
  <c r="C30" i="15"/>
  <c r="C58" i="15"/>
  <c r="C52" i="15"/>
  <c r="C12" i="15"/>
  <c r="C8" i="15"/>
  <c r="C4" i="15"/>
  <c r="C35" i="15"/>
  <c r="D5" i="14" l="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C5" i="14"/>
</calcChain>
</file>

<file path=xl/sharedStrings.xml><?xml version="1.0" encoding="utf-8"?>
<sst xmlns="http://schemas.openxmlformats.org/spreadsheetml/2006/main" count="3368" uniqueCount="2386">
  <si>
    <t>&lt;-增速</t>
    <phoneticPr fontId="1" type="noConversion"/>
  </si>
  <si>
    <t>&lt;-估值</t>
    <phoneticPr fontId="1" type="noConversion"/>
  </si>
  <si>
    <t>&lt;-折合年化收益</t>
    <phoneticPr fontId="1" type="noConversion"/>
  </si>
  <si>
    <t>现价</t>
  </si>
  <si>
    <t>市净率</t>
  </si>
  <si>
    <t>代码</t>
  </si>
  <si>
    <t>总市值</t>
  </si>
  <si>
    <t>TTM市盈率</t>
  </si>
  <si>
    <t>所属行业</t>
  </si>
  <si>
    <t>--</t>
  </si>
  <si>
    <t>预期空</t>
    <phoneticPr fontId="1" type="noConversion"/>
  </si>
  <si>
    <t>预期多</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</si>
  <si>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</si>
  <si>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</si>
  <si>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</si>
  <si>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</si>
  <si>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</si>
  <si>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</si>
  <si>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</si>
  <si>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</si>
  <si>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</si>
  <si>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1.21亿</t>
  </si>
  <si>
    <t>2.36亿</t>
  </si>
  <si>
    <t>0亿</t>
  </si>
  <si>
    <t>1.04亿</t>
  </si>
  <si>
    <t>3.35亿</t>
  </si>
  <si>
    <t>6.59亿</t>
  </si>
  <si>
    <t>2.42亿</t>
  </si>
  <si>
    <t>1.83亿</t>
  </si>
  <si>
    <t>8.25亿</t>
  </si>
  <si>
    <t>1.17亿</t>
  </si>
  <si>
    <t>1.46亿</t>
  </si>
  <si>
    <t>流动资产</t>
  </si>
  <si>
    <t>营业收入[20191231]</t>
  </si>
  <si>
    <t>营业收入[20181231]</t>
  </si>
  <si>
    <t>营业收入[20171231]</t>
  </si>
  <si>
    <t>净利润[20191231]</t>
  </si>
  <si>
    <t>净利润[20181231]</t>
  </si>
  <si>
    <t>净利润[20171231]</t>
  </si>
  <si>
    <t>3.26亿</t>
  </si>
  <si>
    <t>1.43亿</t>
  </si>
  <si>
    <t>18.34亿</t>
  </si>
  <si>
    <t>1.27亿</t>
  </si>
  <si>
    <t>1.03亿</t>
  </si>
  <si>
    <t>1.10亿</t>
  </si>
  <si>
    <t>1.05亿</t>
  </si>
  <si>
    <t>4.38亿</t>
  </si>
  <si>
    <t>2.63亿</t>
  </si>
  <si>
    <t>2.14亿</t>
  </si>
  <si>
    <t>2.31亿</t>
  </si>
  <si>
    <t>1.02亿</t>
  </si>
  <si>
    <t>3.07亿</t>
  </si>
  <si>
    <t>10.53亿</t>
  </si>
  <si>
    <t>1.64亿</t>
  </si>
  <si>
    <t>8.71亿</t>
  </si>
  <si>
    <t>3.90亿</t>
  </si>
  <si>
    <t>15.93亿</t>
  </si>
  <si>
    <t>1.55亿</t>
  </si>
  <si>
    <t>6.77亿</t>
  </si>
  <si>
    <t>1.48亿</t>
  </si>
  <si>
    <t>1.99亿</t>
  </si>
  <si>
    <t>1.62亿</t>
  </si>
  <si>
    <t>1.47亿</t>
  </si>
  <si>
    <t>3.74亿</t>
  </si>
  <si>
    <t>2.62亿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</si>
  <si>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</si>
  <si>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</si>
  <si>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</si>
  <si>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</si>
  <si>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</si>
  <si>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</si>
  <si>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</si>
  <si>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</si>
  <si>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</si>
  <si>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</si>
  <si>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</si>
  <si>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</si>
  <si>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</si>
  <si>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</si>
  <si>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</si>
  <si>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SZ000683</t>
  </si>
  <si>
    <t>远兴能源</t>
  </si>
  <si>
    <t>化学原料</t>
  </si>
  <si>
    <t>76.98亿</t>
  </si>
  <si>
    <t>6809.60万</t>
  </si>
  <si>
    <t>76.93亿</t>
  </si>
  <si>
    <t>89.24亿</t>
  </si>
  <si>
    <t>6.73亿</t>
  </si>
  <si>
    <t>13.01亿</t>
  </si>
  <si>
    <t>9.66亿</t>
  </si>
  <si>
    <t>SZ000707</t>
  </si>
  <si>
    <t>17.85亿</t>
  </si>
  <si>
    <t>-4.80亿</t>
  </si>
  <si>
    <t>23.05亿</t>
  </si>
  <si>
    <t>37.70亿</t>
  </si>
  <si>
    <t>1126.13万</t>
  </si>
  <si>
    <t>1.36亿</t>
  </si>
  <si>
    <t>7.87亿</t>
  </si>
  <si>
    <t>SZ000822</t>
  </si>
  <si>
    <t>山东海化</t>
  </si>
  <si>
    <t>36.88亿</t>
  </si>
  <si>
    <t>-2.52亿</t>
  </si>
  <si>
    <t>4.13亿</t>
  </si>
  <si>
    <t>46.21亿</t>
  </si>
  <si>
    <t>52.63亿</t>
  </si>
  <si>
    <t>1.63亿</t>
  </si>
  <si>
    <t>5.87亿</t>
  </si>
  <si>
    <t>6.85亿</t>
  </si>
  <si>
    <t>SH600409</t>
  </si>
  <si>
    <t>三友化工</t>
  </si>
  <si>
    <t>177.80亿</t>
  </si>
  <si>
    <t>7.17亿</t>
  </si>
  <si>
    <t>1.00亿</t>
  </si>
  <si>
    <t>1.07亿</t>
  </si>
  <si>
    <t>11.37亿</t>
  </si>
  <si>
    <t>2.86亿</t>
  </si>
  <si>
    <t>205.15亿</t>
  </si>
  <si>
    <t>201.74亿</t>
  </si>
  <si>
    <t>6.83亿</t>
  </si>
  <si>
    <t>15.86亿</t>
  </si>
  <si>
    <t>5.18亿</t>
  </si>
  <si>
    <t>2.40亿</t>
  </si>
  <si>
    <t>16.55亿</t>
  </si>
  <si>
    <t>SZ000510</t>
  </si>
  <si>
    <t>新金路</t>
  </si>
  <si>
    <t>22.07亿</t>
  </si>
  <si>
    <t>7153.68万</t>
  </si>
  <si>
    <t>1.68亿</t>
  </si>
  <si>
    <t>23.19亿</t>
  </si>
  <si>
    <t>20.69亿</t>
  </si>
  <si>
    <t>6201.33万</t>
  </si>
  <si>
    <t>SZ000635</t>
  </si>
  <si>
    <t>英 力 特</t>
  </si>
  <si>
    <t>6.31亿</t>
  </si>
  <si>
    <t>19.55亿</t>
  </si>
  <si>
    <t>6958.84万</t>
  </si>
  <si>
    <t>13.78亿</t>
  </si>
  <si>
    <t>2.12亿</t>
  </si>
  <si>
    <t>6.24亿</t>
  </si>
  <si>
    <t>20.87亿</t>
  </si>
  <si>
    <t>19.87亿</t>
  </si>
  <si>
    <t>5108.50万</t>
  </si>
  <si>
    <t>2684.64万</t>
  </si>
  <si>
    <t>SZ000818</t>
  </si>
  <si>
    <t>航锦科技</t>
  </si>
  <si>
    <t>13.94亿</t>
  </si>
  <si>
    <t>35.36亿</t>
  </si>
  <si>
    <t>1.16亿</t>
  </si>
  <si>
    <t>37.74亿</t>
  </si>
  <si>
    <t>38.25亿</t>
  </si>
  <si>
    <t>5.03亿</t>
  </si>
  <si>
    <t>14.85亿</t>
  </si>
  <si>
    <t>6.11亿</t>
  </si>
  <si>
    <t>SZ002092</t>
  </si>
  <si>
    <t>831.44亿</t>
  </si>
  <si>
    <t>702.23亿</t>
  </si>
  <si>
    <t>3.83亿</t>
  </si>
  <si>
    <t>24.28亿</t>
  </si>
  <si>
    <t>24.02亿</t>
  </si>
  <si>
    <t>7.32亿</t>
  </si>
  <si>
    <t>SZ002386</t>
  </si>
  <si>
    <t>天原股份</t>
  </si>
  <si>
    <t>216.46亿</t>
  </si>
  <si>
    <t>231.03亿</t>
  </si>
  <si>
    <t>181.23亿</t>
  </si>
  <si>
    <t>7875.69万</t>
  </si>
  <si>
    <t>SZ002748</t>
  </si>
  <si>
    <t>-1.42亿</t>
  </si>
  <si>
    <t>1.45亿</t>
  </si>
  <si>
    <t>18.50亿</t>
  </si>
  <si>
    <t>-1824.04万</t>
  </si>
  <si>
    <t>5690.78万</t>
  </si>
  <si>
    <t>1.51亿</t>
  </si>
  <si>
    <t>3.56亿</t>
  </si>
  <si>
    <t>SH600075</t>
  </si>
  <si>
    <t>新疆天业</t>
  </si>
  <si>
    <t>1.34亿</t>
  </si>
  <si>
    <t>1.29亿</t>
  </si>
  <si>
    <t>85.48亿</t>
  </si>
  <si>
    <t>48.28亿</t>
  </si>
  <si>
    <t>5.44亿</t>
  </si>
  <si>
    <t>5.39亿</t>
  </si>
  <si>
    <t>1.50亿</t>
  </si>
  <si>
    <t>SH600277</t>
  </si>
  <si>
    <t>129.15亿</t>
  </si>
  <si>
    <t>126.96亿</t>
  </si>
  <si>
    <t>173.71亿</t>
  </si>
  <si>
    <t>10.11亿</t>
  </si>
  <si>
    <t>7.71亿</t>
  </si>
  <si>
    <t>4.43亿</t>
  </si>
  <si>
    <t>SH600319</t>
  </si>
  <si>
    <t>4929.38万</t>
  </si>
  <si>
    <t>-2567.45万</t>
  </si>
  <si>
    <t>20.10亿</t>
  </si>
  <si>
    <t>2921.70万</t>
  </si>
  <si>
    <t>310.75万</t>
  </si>
  <si>
    <t>SH600618</t>
  </si>
  <si>
    <t>氯碱化工</t>
  </si>
  <si>
    <t>48.89亿</t>
  </si>
  <si>
    <t>6.07亿</t>
  </si>
  <si>
    <t>14.21亿</t>
  </si>
  <si>
    <t>64.64亿</t>
  </si>
  <si>
    <t>71.71亿</t>
  </si>
  <si>
    <t>8.11亿</t>
  </si>
  <si>
    <t>2.10亿</t>
  </si>
  <si>
    <t>SH601216</t>
  </si>
  <si>
    <t>君正集团</t>
  </si>
  <si>
    <t>48.15亿</t>
  </si>
  <si>
    <t>1.42亿</t>
  </si>
  <si>
    <t>25.94亿</t>
  </si>
  <si>
    <t>97.91亿</t>
  </si>
  <si>
    <t>84.64亿</t>
  </si>
  <si>
    <t>24.92亿</t>
  </si>
  <si>
    <t>22.85亿</t>
  </si>
  <si>
    <t>11.04亿</t>
  </si>
  <si>
    <t>SH601568</t>
  </si>
  <si>
    <t>北元集团</t>
  </si>
  <si>
    <t>98.54亿</t>
  </si>
  <si>
    <t>16.84亿</t>
  </si>
  <si>
    <t>1.78亿</t>
  </si>
  <si>
    <t>100.46亿</t>
  </si>
  <si>
    <t>96.04亿</t>
  </si>
  <si>
    <t>16.60亿</t>
  </si>
  <si>
    <t>17.16亿</t>
  </si>
  <si>
    <t>3.11亿</t>
  </si>
  <si>
    <t>SH601678</t>
  </si>
  <si>
    <t>滨化股份</t>
  </si>
  <si>
    <t>64.57亿</t>
  </si>
  <si>
    <t>5.07亿</t>
  </si>
  <si>
    <t>61.64亿</t>
  </si>
  <si>
    <t>67.51亿</t>
  </si>
  <si>
    <t>4.39亿</t>
  </si>
  <si>
    <t>7.02亿</t>
  </si>
  <si>
    <t>4.31亿</t>
  </si>
  <si>
    <t>1.06亿</t>
  </si>
  <si>
    <t>1.08亿</t>
  </si>
  <si>
    <t>2.39亿</t>
  </si>
  <si>
    <t>SZ002053</t>
  </si>
  <si>
    <t>云南能投</t>
  </si>
  <si>
    <t>19.90亿</t>
  </si>
  <si>
    <t>2.32亿</t>
  </si>
  <si>
    <t>5.54亿</t>
  </si>
  <si>
    <t>19.33亿</t>
  </si>
  <si>
    <t>18.35亿</t>
  </si>
  <si>
    <t>14.47亿</t>
  </si>
  <si>
    <t>18.55亿</t>
  </si>
  <si>
    <t>3.55亿</t>
  </si>
  <si>
    <t>10.79亿</t>
  </si>
  <si>
    <t>2.06亿</t>
  </si>
  <si>
    <t>1.97亿</t>
  </si>
  <si>
    <t>SZ003017</t>
  </si>
  <si>
    <t>大洋生物</t>
  </si>
  <si>
    <t>6.78亿</t>
  </si>
  <si>
    <t>9160.60万</t>
  </si>
  <si>
    <t>3.00亿</t>
  </si>
  <si>
    <t>2.09亿</t>
  </si>
  <si>
    <t>6.22亿</t>
  </si>
  <si>
    <t>5.84亿</t>
  </si>
  <si>
    <t>7949.72万</t>
  </si>
  <si>
    <t>7079.66万</t>
  </si>
  <si>
    <t>SH600328</t>
  </si>
  <si>
    <t>中盐化工</t>
  </si>
  <si>
    <t>97.53亿</t>
  </si>
  <si>
    <t>107.38亿</t>
  </si>
  <si>
    <t>99.26亿</t>
  </si>
  <si>
    <t>8.95亿</t>
  </si>
  <si>
    <t>SH600367</t>
  </si>
  <si>
    <t>红星发展</t>
  </si>
  <si>
    <t>5510.35万</t>
  </si>
  <si>
    <t>15.23亿</t>
  </si>
  <si>
    <t>7478.07万</t>
  </si>
  <si>
    <t>9.06亿</t>
  </si>
  <si>
    <t>SH600714</t>
  </si>
  <si>
    <t>金瑞矿业</t>
  </si>
  <si>
    <t>358.01万</t>
  </si>
  <si>
    <t>1.67亿</t>
  </si>
  <si>
    <t>1.57亿</t>
  </si>
  <si>
    <t>-942.28万</t>
  </si>
  <si>
    <t>2273.81万</t>
  </si>
  <si>
    <t>SH600929</t>
  </si>
  <si>
    <t>雪天盐业</t>
  </si>
  <si>
    <t>22.72亿</t>
  </si>
  <si>
    <t>23.03亿</t>
  </si>
  <si>
    <t>SH603067</t>
  </si>
  <si>
    <t>振华股份</t>
  </si>
  <si>
    <t>12.78亿</t>
  </si>
  <si>
    <t>14.05亿</t>
  </si>
  <si>
    <t>4.75亿</t>
  </si>
  <si>
    <t>SH603299</t>
  </si>
  <si>
    <t>苏盐井神</t>
  </si>
  <si>
    <t>39.37亿</t>
  </si>
  <si>
    <t>1.85亿</t>
  </si>
  <si>
    <t>41.89亿</t>
  </si>
  <si>
    <t>46.48亿</t>
  </si>
  <si>
    <t>20.47亿</t>
  </si>
  <si>
    <t>2.21亿</t>
  </si>
  <si>
    <t>SZ000830</t>
  </si>
  <si>
    <t>鲁西化工</t>
  </si>
  <si>
    <t>175.92亿</t>
  </si>
  <si>
    <t>182.07亿</t>
  </si>
  <si>
    <t>212.86亿</t>
  </si>
  <si>
    <t>17.26亿</t>
  </si>
  <si>
    <t>30.68亿</t>
  </si>
  <si>
    <t>2.53亿</t>
  </si>
  <si>
    <t>SZ000990</t>
  </si>
  <si>
    <t>诚志股份</t>
  </si>
  <si>
    <t>97.32亿</t>
  </si>
  <si>
    <t>69.12亿</t>
  </si>
  <si>
    <t>58.68亿</t>
  </si>
  <si>
    <t>8.49亿</t>
  </si>
  <si>
    <t>SZ001217</t>
  </si>
  <si>
    <t>华尔泰</t>
  </si>
  <si>
    <t>11.48亿</t>
  </si>
  <si>
    <t>12.57亿</t>
  </si>
  <si>
    <t>12.75亿</t>
  </si>
  <si>
    <t>11.23亿</t>
  </si>
  <si>
    <t>SZ002109</t>
  </si>
  <si>
    <t>兴化股份</t>
  </si>
  <si>
    <t>19.40亿</t>
  </si>
  <si>
    <t>19.74亿</t>
  </si>
  <si>
    <t>20.53亿</t>
  </si>
  <si>
    <t>18.94亿</t>
  </si>
  <si>
    <t>2.38亿</t>
  </si>
  <si>
    <t>3.73亿</t>
  </si>
  <si>
    <t>SZ002469</t>
  </si>
  <si>
    <t>三维化学</t>
  </si>
  <si>
    <t>6.76亿</t>
  </si>
  <si>
    <t>5.23亿</t>
  </si>
  <si>
    <t>7736.41万</t>
  </si>
  <si>
    <t>3999.08万</t>
  </si>
  <si>
    <t>SZ300082</t>
  </si>
  <si>
    <t>奥克股份</t>
  </si>
  <si>
    <t>57.08亿</t>
  </si>
  <si>
    <t>4.03亿</t>
  </si>
  <si>
    <t>63.89亿</t>
  </si>
  <si>
    <t>74.49亿</t>
  </si>
  <si>
    <t>3.52亿</t>
  </si>
  <si>
    <t>SZ300927</t>
  </si>
  <si>
    <t>江天化学</t>
  </si>
  <si>
    <t>5500.53万</t>
  </si>
  <si>
    <t>5.00亿</t>
  </si>
  <si>
    <t>5373.63万</t>
  </si>
  <si>
    <t>6155.56万</t>
  </si>
  <si>
    <t>SZ301069</t>
  </si>
  <si>
    <t>1.60亿</t>
  </si>
  <si>
    <t>4.49亿</t>
  </si>
  <si>
    <t>1.37亿</t>
  </si>
  <si>
    <t>6362.14万</t>
  </si>
  <si>
    <t>1.96亿</t>
  </si>
  <si>
    <t>SH600423</t>
  </si>
  <si>
    <t>柳化股份</t>
  </si>
  <si>
    <t>1271.64万</t>
  </si>
  <si>
    <t>20.09亿</t>
  </si>
  <si>
    <t>-18.67亿</t>
  </si>
  <si>
    <t>SH600610</t>
  </si>
  <si>
    <t>中毅达</t>
  </si>
  <si>
    <t>4555.83万</t>
  </si>
  <si>
    <t>6.08亿</t>
  </si>
  <si>
    <t>2598.40万</t>
  </si>
  <si>
    <t>-5.04亿</t>
  </si>
  <si>
    <t>SH600623</t>
  </si>
  <si>
    <t>华谊集团</t>
  </si>
  <si>
    <t>4.23亿</t>
  </si>
  <si>
    <t>375.26亿</t>
  </si>
  <si>
    <t>442.40亿</t>
  </si>
  <si>
    <t>6.25亿</t>
  </si>
  <si>
    <t>18.07亿</t>
  </si>
  <si>
    <t>5.68亿</t>
  </si>
  <si>
    <t>4.17亿</t>
  </si>
  <si>
    <t>SH600722</t>
  </si>
  <si>
    <t>金牛化工</t>
  </si>
  <si>
    <t>4.04亿</t>
  </si>
  <si>
    <t>992.59万</t>
  </si>
  <si>
    <t>9.56亿</t>
  </si>
  <si>
    <t>3125.47万</t>
  </si>
  <si>
    <t>5835.64万</t>
  </si>
  <si>
    <t>SH600746</t>
  </si>
  <si>
    <t>江苏索普</t>
  </si>
  <si>
    <t>6.44亿</t>
  </si>
  <si>
    <t>37.95亿</t>
  </si>
  <si>
    <t>10.75亿</t>
  </si>
  <si>
    <t>5.91亿</t>
  </si>
  <si>
    <t>4.74亿</t>
  </si>
  <si>
    <t>-563.72万</t>
  </si>
  <si>
    <t>358.32万</t>
  </si>
  <si>
    <t>SH600844</t>
  </si>
  <si>
    <t>丹化科技</t>
  </si>
  <si>
    <t>-3.67亿</t>
  </si>
  <si>
    <t>14.77亿</t>
  </si>
  <si>
    <t>1.94亿</t>
  </si>
  <si>
    <t>12.30亿</t>
  </si>
  <si>
    <t>14.33亿</t>
  </si>
  <si>
    <t>-4.33亿</t>
  </si>
  <si>
    <t>205.68万</t>
  </si>
  <si>
    <t>2.66亿</t>
  </si>
  <si>
    <t>2.68亿</t>
  </si>
  <si>
    <t>SH600955</t>
  </si>
  <si>
    <t>维远股份</t>
  </si>
  <si>
    <t>43.86亿</t>
  </si>
  <si>
    <t>7.15亿</t>
  </si>
  <si>
    <t>39.93亿</t>
  </si>
  <si>
    <t>47.79亿</t>
  </si>
  <si>
    <t>SH600989</t>
  </si>
  <si>
    <t>宝丰能源</t>
  </si>
  <si>
    <t>159.28亿</t>
  </si>
  <si>
    <t>46.23亿</t>
  </si>
  <si>
    <t>135.68亿</t>
  </si>
  <si>
    <t>130.52亿</t>
  </si>
  <si>
    <t>38.02亿</t>
  </si>
  <si>
    <t>36.96亿</t>
  </si>
  <si>
    <t>SZ000545</t>
  </si>
  <si>
    <t>金浦钛业</t>
  </si>
  <si>
    <t>-2.50亿</t>
  </si>
  <si>
    <t>18.85亿</t>
  </si>
  <si>
    <t>7.10亿</t>
  </si>
  <si>
    <t>2501.10万</t>
  </si>
  <si>
    <t>SZ002136</t>
  </si>
  <si>
    <t>安 纳 达</t>
  </si>
  <si>
    <t>11.22亿</t>
  </si>
  <si>
    <t>6511.04万</t>
  </si>
  <si>
    <t>10.38亿</t>
  </si>
  <si>
    <t>10.36亿</t>
  </si>
  <si>
    <t>3238.41万</t>
  </si>
  <si>
    <t>4609.90万</t>
  </si>
  <si>
    <t>SZ002145</t>
  </si>
  <si>
    <t>中核钛白</t>
  </si>
  <si>
    <t>37.16亿</t>
  </si>
  <si>
    <t>5.01亿</t>
  </si>
  <si>
    <t>33.77亿</t>
  </si>
  <si>
    <t>30.89亿</t>
  </si>
  <si>
    <t>SZ002601</t>
  </si>
  <si>
    <t>龙佰集团</t>
  </si>
  <si>
    <t>22.89亿</t>
  </si>
  <si>
    <t>113.59亿</t>
  </si>
  <si>
    <t>104.41亿</t>
  </si>
  <si>
    <t>22.86亿</t>
  </si>
  <si>
    <t>4.42亿</t>
  </si>
  <si>
    <t>SZ300891</t>
  </si>
  <si>
    <t>惠云钛业</t>
  </si>
  <si>
    <t>9.55亿</t>
  </si>
  <si>
    <t>8912.99万</t>
  </si>
  <si>
    <t>10.02亿</t>
  </si>
  <si>
    <t>9812.36万</t>
  </si>
  <si>
    <t>8193.19万</t>
  </si>
  <si>
    <t>1.公司一直将外延发展作为公司做大做强的一条重要路径；2.年产5万吨稀土橡胶工艺及催化剂配制生产技术”，采用该技术生产的稀土橡胶，除具备天然橡胶“能够产生自补较强的诱导应变结晶”优势外，还具有更高的抗疲劳性和更强的耐磨性，是生产高性能轮胎的首选</t>
    <phoneticPr fontId="1" type="noConversion"/>
  </si>
  <si>
    <t>1.诺奥化工所处行业的下游行业包括医药、农药、染料、颜料、涂料、信息技术用化学品、化学试剂和高纯物质、食品添加剂、和饲料添加剂、催化剂、胶粘剂、助剂、表面活性剂、香料等多个行业及领域，均与国民生产生活紧密相关，一定程度上受到宏观经济波动的影响</t>
    <phoneticPr fontId="1" type="noConversion"/>
  </si>
  <si>
    <t xml:space="preserve">1。2021 年上半年，国内 PVC 市场表现活跃，价格成交重心维持在高位，以华东地区为例，2021
年 1 月初至 6 月 22 日，华东 SG-5 型 PVC 均价 8,530 元/吨，较去年同期高 2,472 元/吨，较去年全年高 1,889 元/吨。支撑 PVC 价格大幅上涨的因素主要有两点：一是国际市场对 PVC 和塑料制
品的需求明显增加，出口量同比大幅上升；二是原料电石供应紧张、价格上涨，推高了 PVC 的生
产成本。
</t>
    <phoneticPr fontId="1" type="noConversion"/>
  </si>
  <si>
    <r>
      <t>1.营业收入和净利润增长的主要原因为：本期主要产品销售价格同比上涨。</t>
    </r>
    <r>
      <rPr>
        <b/>
        <sz val="9"/>
        <color rgb="FFFF0000"/>
        <rFont val="宋体"/>
        <family val="3"/>
        <charset val="134"/>
        <scheme val="minor"/>
      </rPr>
      <t>（单价涨，量持平）</t>
    </r>
    <phoneticPr fontId="1" type="noConversion"/>
  </si>
  <si>
    <t>1.今年以来，受国内外市场环境影响，电石等原材料价格大幅上涨，给聚氯乙烯行业造成一定冲击和影响，但公司地处电石主产区，电石就近采购比例达80%左右，运输成本相对较低，加之，上半年电石原料价格涨幅和聚氯乙烯产品涨幅基本趋同，所以，整体对公司经营业绩影响有限。</t>
    <phoneticPr fontId="1" type="noConversion"/>
  </si>
  <si>
    <t>1.2021年1月到8月从5元冲到了25元，随后开始回调。市场基本完成过5倍的价格认可；</t>
    <phoneticPr fontId="1" type="noConversion"/>
  </si>
  <si>
    <t>流通股本</t>
  </si>
  <si>
    <t>净利润[20201231]</t>
  </si>
  <si>
    <t>投入资本回报率roic%[20201231]</t>
  </si>
  <si>
    <t>净资产收益率%[20201231]</t>
  </si>
  <si>
    <t>29.78亿</t>
  </si>
  <si>
    <t>3.61亿</t>
  </si>
  <si>
    <t>26.20亿</t>
  </si>
  <si>
    <t>1.15亿</t>
  </si>
  <si>
    <t>22.95亿</t>
  </si>
  <si>
    <t>429.50万</t>
  </si>
  <si>
    <t>10.87亿</t>
  </si>
  <si>
    <t>双环科技</t>
  </si>
  <si>
    <t>30.64亿</t>
  </si>
  <si>
    <t>48.59亿</t>
  </si>
  <si>
    <t>1.30亿</t>
  </si>
  <si>
    <t>317.94亿</t>
  </si>
  <si>
    <t>46.19亿</t>
  </si>
  <si>
    <t>121.84亿</t>
  </si>
  <si>
    <t>10.08亿</t>
  </si>
  <si>
    <t>4.16亿</t>
  </si>
  <si>
    <t>28.37亿</t>
  </si>
  <si>
    <t>1.93亿</t>
  </si>
  <si>
    <t>53.74亿</t>
  </si>
  <si>
    <t>12.17亿</t>
  </si>
  <si>
    <t>188.25亿</t>
  </si>
  <si>
    <t>26.31亿</t>
  </si>
  <si>
    <t>3.77亿</t>
  </si>
  <si>
    <t>3.34亿</t>
  </si>
  <si>
    <t>46.76亿</t>
  </si>
  <si>
    <t>21.75亿</t>
  </si>
  <si>
    <t>7.83亿</t>
  </si>
  <si>
    <t>7000.93万</t>
  </si>
  <si>
    <t>67.17亿</t>
  </si>
  <si>
    <t>5.15亿</t>
  </si>
  <si>
    <t>15.53亿</t>
  </si>
  <si>
    <t>7582.59万</t>
  </si>
  <si>
    <t>凯盛新材</t>
  </si>
  <si>
    <t>8.80亿</t>
  </si>
  <si>
    <t>SZ301118</t>
  </si>
  <si>
    <t>恒光股份</t>
  </si>
  <si>
    <t>9.33亿</t>
  </si>
  <si>
    <t>2.00亿</t>
  </si>
  <si>
    <t>6.37亿</t>
  </si>
  <si>
    <t>SZ301256</t>
  </si>
  <si>
    <t>华融化学</t>
  </si>
  <si>
    <t>9.46亿</t>
  </si>
  <si>
    <t>10.34亿</t>
  </si>
  <si>
    <t>8.05亿</t>
  </si>
  <si>
    <t>9932.49万</t>
  </si>
  <si>
    <t>7447.32万</t>
  </si>
  <si>
    <t>其他化学原料</t>
  </si>
  <si>
    <t>1.28亿</t>
  </si>
  <si>
    <t>93.35亿</t>
  </si>
  <si>
    <t>8.02亿</t>
  </si>
  <si>
    <t>1.92亿</t>
  </si>
  <si>
    <t>134.13亿</t>
  </si>
  <si>
    <t>231.82亿</t>
  </si>
  <si>
    <t>16.71亿</t>
  </si>
  <si>
    <t>16.26亿</t>
  </si>
  <si>
    <t>2881.49万</t>
  </si>
  <si>
    <t>4188.77万</t>
  </si>
  <si>
    <t>66.64亿</t>
  </si>
  <si>
    <t>17.72亿</t>
  </si>
  <si>
    <t>29.68亿</t>
  </si>
  <si>
    <t>7736.03万</t>
  </si>
  <si>
    <t>4805.49万</t>
  </si>
  <si>
    <t>80.04亿</t>
  </si>
  <si>
    <t>-1.04亿</t>
  </si>
  <si>
    <t>47.80亿</t>
  </si>
  <si>
    <t>4.02亿</t>
  </si>
  <si>
    <t>2.02亿</t>
  </si>
  <si>
    <t>SH600935</t>
  </si>
  <si>
    <t>华塑股份</t>
  </si>
  <si>
    <t>67.39亿</t>
  </si>
  <si>
    <t>7.85亿</t>
  </si>
  <si>
    <t>2.30亿</t>
  </si>
  <si>
    <t>50.81亿</t>
  </si>
  <si>
    <t>45.68亿</t>
  </si>
  <si>
    <t>43.79亿</t>
  </si>
  <si>
    <t>6.13亿</t>
  </si>
  <si>
    <t>96.35亿</t>
  </si>
  <si>
    <t>21.50亿</t>
  </si>
  <si>
    <t>233.00亿</t>
  </si>
  <si>
    <t>70.70亿</t>
  </si>
  <si>
    <t>45.36亿</t>
  </si>
  <si>
    <t>131.54亿</t>
  </si>
  <si>
    <t>92.68亿</t>
  </si>
  <si>
    <t>29.93亿</t>
  </si>
  <si>
    <t>SH603213</t>
  </si>
  <si>
    <t>镇洋发展</t>
  </si>
  <si>
    <t>11.52亿</t>
  </si>
  <si>
    <t>11.54亿</t>
  </si>
  <si>
    <t>47.61亿</t>
  </si>
  <si>
    <t xml:space="preserve">    名称</t>
  </si>
  <si>
    <t>净利润?</t>
  </si>
  <si>
    <t>投入资本回报率roic%[20211231]</t>
  </si>
  <si>
    <t>净资产收益率%[20211231]</t>
  </si>
  <si>
    <t>单季营收增速</t>
  </si>
  <si>
    <t>单季利润增速</t>
  </si>
  <si>
    <t/>
  </si>
  <si>
    <t>1.76亿</t>
  </si>
  <si>
    <t>-1-0</t>
  </si>
  <si>
    <t>1.13亿</t>
  </si>
  <si>
    <t>1.09亿</t>
  </si>
  <si>
    <t>亚星化学</t>
  </si>
  <si>
    <t>亏损</t>
  </si>
  <si>
    <t>扭亏</t>
  </si>
  <si>
    <t>1.动力煤-》化工用煤-》烯烃产业链下游情况：聚乙烯、聚丙烯的下游主要是塑料加工行业，聚乙烯主要作为膜料、注塑料、中空料、管材料等；聚丙烯主要作为拉丝料、注塑料、纤维料、膜料等，可以用于农林牧渔业、包装业、日用品业、汽车制造业、家电制造业、管道制造业、医疗卫生业、电力电气行业、化工化纤业、军工制造业、航天航空业等行业。目前聚烯烃的使用率仅次于钢铁；炼焦煤-》焦炭-》钢材市场需求较好，钢价持续攀升，焦炭价格维持高位；</t>
    <phoneticPr fontId="1" type="noConversion"/>
  </si>
  <si>
    <t>细分行业</t>
  </si>
  <si>
    <t>2.95亿</t>
  </si>
  <si>
    <t>氯碱</t>
  </si>
  <si>
    <t>钛白粉</t>
  </si>
  <si>
    <t>纯碱</t>
  </si>
  <si>
    <t>SZ000691</t>
  </si>
  <si>
    <t>亚太实业</t>
  </si>
  <si>
    <t>5.22亿</t>
  </si>
  <si>
    <t>1620.46万</t>
  </si>
  <si>
    <t>1391.19万</t>
  </si>
  <si>
    <t>3772.15万</t>
  </si>
  <si>
    <t>1799.02万</t>
  </si>
  <si>
    <t>-1018.03万</t>
  </si>
  <si>
    <t>1100.26万</t>
  </si>
  <si>
    <t>1.82亿</t>
  </si>
  <si>
    <t>3.86亿</t>
  </si>
  <si>
    <t>无机盐</t>
  </si>
  <si>
    <t>1.40亿</t>
  </si>
  <si>
    <t>26.10亿</t>
  </si>
  <si>
    <t>SZ002274</t>
  </si>
  <si>
    <t>华昌化工</t>
  </si>
  <si>
    <t>94.13亿</t>
  </si>
  <si>
    <t>16.33亿</t>
  </si>
  <si>
    <t>60.99亿</t>
  </si>
  <si>
    <t>63.15亿</t>
  </si>
  <si>
    <t>58.06亿</t>
  </si>
  <si>
    <t>53.19亿</t>
  </si>
  <si>
    <t>3.49亿</t>
  </si>
  <si>
    <t>3.72亿</t>
  </si>
  <si>
    <t>2.50亿</t>
  </si>
  <si>
    <t>54.81亿</t>
  </si>
  <si>
    <t>2.78亿</t>
  </si>
  <si>
    <t>6.66亿</t>
  </si>
  <si>
    <t>1.89亿</t>
  </si>
  <si>
    <t>SH603938</t>
  </si>
  <si>
    <t>三孚股份</t>
  </si>
  <si>
    <t>15.99亿</t>
  </si>
  <si>
    <t>10.06亿</t>
  </si>
  <si>
    <t>11.57亿</t>
  </si>
  <si>
    <t>9735.84万</t>
  </si>
  <si>
    <t>6.45亿</t>
  </si>
  <si>
    <t>1.25亿</t>
  </si>
  <si>
    <r>
      <t>1.预计三季报业绩：净利润7.300亿元至8.000亿元，增长幅度为</t>
    </r>
    <r>
      <rPr>
        <sz val="9"/>
        <color rgb="FFFF0000"/>
        <rFont val="宋体"/>
        <family val="3"/>
        <charset val="134"/>
        <scheme val="minor"/>
      </rPr>
      <t>4.75倍至5.3倍</t>
    </r>
    <r>
      <rPr>
        <sz val="9"/>
        <color theme="1"/>
        <rFont val="宋体"/>
        <family val="2"/>
        <charset val="134"/>
        <scheme val="minor"/>
      </rPr>
      <t>。原因：报告期内，公司经营业绩同比大幅增长，主要原因系： 　　1.报告期内，公司主要产品</t>
    </r>
    <r>
      <rPr>
        <b/>
        <sz val="9"/>
        <color rgb="FFFF0000"/>
        <rFont val="宋体"/>
        <family val="3"/>
        <charset val="134"/>
        <scheme val="minor"/>
      </rPr>
      <t>纯碱、氯化铵销售价格同比上涨</t>
    </r>
    <r>
      <rPr>
        <sz val="9"/>
        <color theme="1"/>
        <rFont val="宋体"/>
        <family val="2"/>
        <charset val="134"/>
        <scheme val="minor"/>
      </rPr>
      <t>，毛利率同比增加，产品盈利能力大幅提升；2.2021年7月份公司完成重大资产重组使金融负债减少及报告期内主动归还部分银行贷款，导致本期财务费用大幅减少。</t>
    </r>
    <phoneticPr fontId="1" type="noConversion"/>
  </si>
  <si>
    <r>
      <t>1.2022年上半年，国内纯碱行业盈利情况较好，企业开工积极性高，在行业有效产能收缩下，产量基本保持稳定。上半年我国光伏玻璃日熔量累计增加1.85万吨，同比增加66%，对重质纯碱的消费量较去年年底增加40%以上。此外，碳酸锂等新能源板块对纯碱用量也出现明显提升。由于需求增量显著，上半年纯碱行业整体处于紧平衡状态；2.预计2022下半年，纯碱行业供应面将有一定增量，预计全年产量有望超过去年同期。下游光伏玻璃行业达产日熔量仍较为可观，预计</t>
    </r>
    <r>
      <rPr>
        <b/>
        <sz val="9"/>
        <color rgb="FFFF0000"/>
        <rFont val="宋体"/>
        <family val="3"/>
        <charset val="134"/>
        <scheme val="minor"/>
      </rPr>
      <t>纯碱需求增长幅度高于供应增长幅度</t>
    </r>
    <r>
      <rPr>
        <sz val="9"/>
        <color theme="1"/>
        <rFont val="宋体"/>
        <family val="2"/>
        <charset val="134"/>
        <scheme val="minor"/>
      </rPr>
      <t>，纯碱供需延续偏紧局面;</t>
    </r>
    <phoneticPr fontId="1" type="noConversion"/>
  </si>
  <si>
    <t>1.22亿</t>
  </si>
  <si>
    <t>1.31亿</t>
  </si>
  <si>
    <t>1-0</t>
  </si>
  <si>
    <t>2.24亿</t>
  </si>
  <si>
    <t>2.98亿</t>
  </si>
  <si>
    <t>1.71亿</t>
  </si>
  <si>
    <t>20.34亿</t>
  </si>
  <si>
    <t>4.93亿</t>
  </si>
  <si>
    <t>2.61亿</t>
  </si>
  <si>
    <t>2.35亿</t>
  </si>
  <si>
    <t>1.01亿</t>
  </si>
  <si>
    <t>13.71亿</t>
  </si>
  <si>
    <t>1.14亿</t>
  </si>
  <si>
    <t>2.08亿</t>
  </si>
  <si>
    <t>7.00亿</t>
  </si>
  <si>
    <t>8.73亿</t>
  </si>
  <si>
    <t>12.95亿</t>
  </si>
  <si>
    <t>8.72亿</t>
  </si>
  <si>
    <t xml:space="preserve">
</t>
    <phoneticPr fontId="1" type="noConversion"/>
  </si>
  <si>
    <t>账面净赚</t>
  </si>
  <si>
    <t>不分配不转增</t>
  </si>
  <si>
    <t>10派1元(含税)</t>
  </si>
  <si>
    <t>10派2元(含税)</t>
  </si>
  <si>
    <t>10派1.5元(含税)</t>
  </si>
  <si>
    <t>10派3元(含税)</t>
  </si>
  <si>
    <t>10派2.50元(含税)</t>
  </si>
  <si>
    <t>10派0.5元(含税)</t>
  </si>
  <si>
    <t>SH603227</t>
  </si>
  <si>
    <t>雪峰科技</t>
  </si>
  <si>
    <t>20.67亿</t>
  </si>
  <si>
    <t>21.35亿</t>
  </si>
  <si>
    <t>9519.95万</t>
  </si>
  <si>
    <t>5177.54万</t>
  </si>
  <si>
    <t>1.醋酸价格大幅攀升，行业恢复到景气状态；2.醋酸及衍生品是基础化工原料，液体状态，灌装储运，广泛应用于染料、印染、胶卷、溶剂、医药以及农药等领域。国内醋酸主要用于生产 PTA、醋酸酯、醋酸乙烯、醋酐等。我国为全球第一大醋酸生产国，现产能占全球产能的一半以上；</t>
    <phoneticPr fontId="1" type="noConversion"/>
  </si>
  <si>
    <t>1-1</t>
  </si>
  <si>
    <r>
      <t>1.问：公司金属钠业务现状和规划，钠离子电池快速发展，对公司金属钠业务是否会有拉动？答：公司</t>
    </r>
    <r>
      <rPr>
        <sz val="9"/>
        <color rgb="FFFF0000"/>
        <rFont val="宋体"/>
        <family val="3"/>
        <charset val="134"/>
        <scheme val="minor"/>
      </rPr>
      <t>金属钠产能达到6.5万吨/年</t>
    </r>
    <r>
      <rPr>
        <sz val="9"/>
        <color theme="1"/>
        <rFont val="宋体"/>
        <family val="3"/>
        <charset val="134"/>
        <scheme val="minor"/>
      </rPr>
      <t>，</t>
    </r>
    <r>
      <rPr>
        <b/>
        <sz val="9"/>
        <color rgb="FFFF0000"/>
        <rFont val="宋体"/>
        <family val="3"/>
        <charset val="134"/>
        <scheme val="minor"/>
      </rPr>
      <t>产能位居全球第一</t>
    </r>
    <r>
      <rPr>
        <sz val="9"/>
        <color theme="1"/>
        <rFont val="宋体"/>
        <family val="3"/>
        <charset val="134"/>
        <scheme val="minor"/>
      </rPr>
      <t>。公司作为国内最大的金属钠生产企业，高度关注钠离子电池的产业发展情况，会开展相应的业务探索。2.预计年报业绩：净利润18.65亿元左右，</t>
    </r>
    <r>
      <rPr>
        <sz val="9"/>
        <color rgb="FFFF0000"/>
        <rFont val="宋体"/>
        <family val="3"/>
        <charset val="134"/>
        <scheme val="minor"/>
      </rPr>
      <t>增长幅度为26.00%</t>
    </r>
    <r>
      <rPr>
        <sz val="9"/>
        <color theme="1"/>
        <rFont val="宋体"/>
        <family val="3"/>
        <charset val="134"/>
        <scheme val="minor"/>
      </rPr>
      <t>左右 原因：公司本年归属于上市公司股东的净利润增加的主要原因是：报告期内，公司紧紧围绕发展战略，认真践行经营方针。面对复杂多变的市场环境，积极应对疫情反复、原材料及产品价格波动等风险；持续优化运营效率，努力挖潜节支降耗。主要产品纯碱量价齐增，营业收入、净利润同比增加。</t>
    </r>
    <phoneticPr fontId="1" type="noConversion"/>
  </si>
  <si>
    <r>
      <t>1.</t>
    </r>
    <r>
      <rPr>
        <b/>
        <sz val="9"/>
        <color rgb="FFFF0000"/>
        <rFont val="宋体"/>
        <family val="3"/>
        <charset val="134"/>
        <scheme val="minor"/>
      </rPr>
      <t>大量解禁：</t>
    </r>
    <r>
      <rPr>
        <sz val="9"/>
        <color theme="1"/>
        <rFont val="宋体"/>
        <family val="2"/>
        <charset val="134"/>
        <scheme val="minor"/>
      </rPr>
      <t>2023-05-24 1.62亿 14.27% 定向增发机构配售股份 - 12.51 预测值
2023-07-17 3.98亿 35.14% 定向增发机构配售股份 - 7.46 预测值；2.纯碱</t>
    </r>
    <r>
      <rPr>
        <sz val="9"/>
        <color rgb="FFFF0000"/>
        <rFont val="宋体"/>
        <family val="3"/>
        <charset val="134"/>
        <scheme val="minor"/>
      </rPr>
      <t>下游主要是玻璃和碳酸铁锂</t>
    </r>
    <r>
      <rPr>
        <sz val="9"/>
        <color theme="1"/>
        <rFont val="宋体"/>
        <family val="2"/>
        <charset val="134"/>
        <scheme val="minor"/>
      </rPr>
      <t>，需要关注下游的景气程度；</t>
    </r>
    <phoneticPr fontId="1" type="noConversion"/>
  </si>
  <si>
    <r>
      <t>1.</t>
    </r>
    <r>
      <rPr>
        <sz val="9"/>
        <color rgb="FFFF0000"/>
        <rFont val="宋体"/>
        <family val="3"/>
        <charset val="134"/>
        <scheme val="minor"/>
      </rPr>
      <t>纯碱产能居全国第四位</t>
    </r>
    <r>
      <rPr>
        <sz val="9"/>
        <color theme="1"/>
        <rFont val="宋体"/>
        <family val="2"/>
        <charset val="134"/>
        <scheme val="minor"/>
      </rPr>
      <t>，小苏打产能居全国第一位，尿素产能居全国第十位。2.2021年的49亿利润有部分来自于：.2021年，根据公司聚焦主业的整体战略安排，公司</t>
    </r>
    <r>
      <rPr>
        <sz val="9"/>
        <color rgb="FFFF0000"/>
        <rFont val="宋体"/>
        <family val="3"/>
        <charset val="134"/>
        <scheme val="minor"/>
      </rPr>
      <t>转让了博源煤化工70%股权</t>
    </r>
    <r>
      <rPr>
        <sz val="9"/>
        <color theme="1"/>
        <rFont val="宋体"/>
        <family val="2"/>
        <charset val="134"/>
        <scheme val="minor"/>
      </rPr>
      <t xml:space="preserve">，产生了大额非经常性损益。
</t>
    </r>
    <phoneticPr fontId="1" type="noConversion"/>
  </si>
  <si>
    <t>1.86亿</t>
  </si>
  <si>
    <t>3.33亿</t>
  </si>
  <si>
    <t>30.39亿</t>
  </si>
  <si>
    <t>1.69亿</t>
  </si>
  <si>
    <t>2.49亿</t>
  </si>
  <si>
    <t>15.71亿</t>
  </si>
  <si>
    <t>25.10亿</t>
  </si>
  <si>
    <t>-1.46亿</t>
  </si>
  <si>
    <t>1.59亿</t>
  </si>
  <si>
    <t>1.80亿</t>
  </si>
  <si>
    <t>21.17亿</t>
  </si>
  <si>
    <t>18.75亿</t>
  </si>
  <si>
    <t>-3.89亿</t>
  </si>
  <si>
    <t>4.52亿</t>
  </si>
  <si>
    <t>4.26亿</t>
  </si>
  <si>
    <t>109.87亿</t>
  </si>
  <si>
    <t>26.60亿</t>
  </si>
  <si>
    <t>121.45亿</t>
  </si>
  <si>
    <t>49.48亿</t>
  </si>
  <si>
    <t>5.48亿</t>
  </si>
  <si>
    <t>43.64亿</t>
  </si>
  <si>
    <t>2.34亿</t>
  </si>
  <si>
    <t>42.92亿</t>
  </si>
  <si>
    <t>97.12亿</t>
  </si>
  <si>
    <t>11.08亿</t>
  </si>
  <si>
    <t>67.12亿</t>
  </si>
  <si>
    <t>7.51亿</t>
  </si>
  <si>
    <t>303.57亿</t>
  </si>
  <si>
    <t>31.55亿</t>
  </si>
  <si>
    <t>117.17亿</t>
  </si>
  <si>
    <t>21.01亿</t>
  </si>
  <si>
    <t>2.20亿</t>
  </si>
  <si>
    <t>4.19亿</t>
  </si>
  <si>
    <t>4.97亿</t>
  </si>
  <si>
    <t>7.31亿</t>
  </si>
  <si>
    <t>32.58亿</t>
  </si>
  <si>
    <t>27.14亿</t>
  </si>
  <si>
    <t>4.99亿</t>
  </si>
  <si>
    <t>-1.28亿</t>
  </si>
  <si>
    <t>6.43亿</t>
  </si>
  <si>
    <t>4.21亿</t>
  </si>
  <si>
    <t>90.45亿</t>
  </si>
  <si>
    <t>203.39亿</t>
  </si>
  <si>
    <t>5.51亿</t>
  </si>
  <si>
    <t>2.74亿</t>
  </si>
  <si>
    <t>34.19亿</t>
  </si>
  <si>
    <t>1.20亿</t>
  </si>
  <si>
    <t>205.66亿</t>
  </si>
  <si>
    <t>141.08亿</t>
  </si>
  <si>
    <t>25.92亿</t>
  </si>
  <si>
    <t>10.58亿</t>
  </si>
  <si>
    <t>8072.69万</t>
  </si>
  <si>
    <t>56.39亿</t>
  </si>
  <si>
    <t>559.55万</t>
  </si>
  <si>
    <t>3.88亿</t>
  </si>
  <si>
    <t>15.12亿</t>
  </si>
  <si>
    <t>1417.11万</t>
  </si>
  <si>
    <t>4.64亿</t>
  </si>
  <si>
    <t>6.60亿</t>
  </si>
  <si>
    <t>7.37亿</t>
  </si>
  <si>
    <t>6379.45万</t>
  </si>
  <si>
    <t>10.10亿</t>
  </si>
  <si>
    <t>10.80亿</t>
  </si>
  <si>
    <t>2.45亿</t>
  </si>
  <si>
    <t>11.35亿</t>
  </si>
  <si>
    <t>10派0.8元(含税)</t>
  </si>
  <si>
    <t>111.78亿</t>
  </si>
  <si>
    <t>124.54亿</t>
  </si>
  <si>
    <t>8.47亿</t>
  </si>
  <si>
    <t>28.53亿</t>
  </si>
  <si>
    <t>2.15亿</t>
  </si>
  <si>
    <t>4.28亿</t>
  </si>
  <si>
    <t>25.40亿</t>
  </si>
  <si>
    <t>2.94亿</t>
  </si>
  <si>
    <t>236.80亿</t>
  </si>
  <si>
    <t>9.89亿</t>
  </si>
  <si>
    <t>1585.63万</t>
  </si>
  <si>
    <t>13.66亿</t>
  </si>
  <si>
    <t>1111.59万</t>
  </si>
  <si>
    <t>3.43亿</t>
  </si>
  <si>
    <t>63.64亿</t>
  </si>
  <si>
    <t>1.77亿</t>
  </si>
  <si>
    <t>12.81亿</t>
  </si>
  <si>
    <t>396.92亿</t>
  </si>
  <si>
    <t>281.27亿</t>
  </si>
  <si>
    <t>5474.04万</t>
  </si>
  <si>
    <t>4947.42万</t>
  </si>
  <si>
    <t>71.72亿</t>
  </si>
  <si>
    <t>5.05亿</t>
  </si>
  <si>
    <t>9.34亿</t>
  </si>
  <si>
    <t>-2.93亿</t>
  </si>
  <si>
    <t>64.41亿</t>
  </si>
  <si>
    <t>7.69亿</t>
  </si>
  <si>
    <t>67.36亿</t>
  </si>
  <si>
    <t>4.22亿</t>
  </si>
  <si>
    <t>77.98亿</t>
  </si>
  <si>
    <t>2.01亿</t>
  </si>
  <si>
    <t>284.30亿</t>
  </si>
  <si>
    <t>63.03亿</t>
  </si>
  <si>
    <t>SH601065</t>
  </si>
  <si>
    <t>江盐集团</t>
  </si>
  <si>
    <t>29.36亿</t>
  </si>
  <si>
    <t>20.55亿</t>
  </si>
  <si>
    <t>13.82亿</t>
  </si>
  <si>
    <t>9.87亿</t>
  </si>
  <si>
    <t>4014.26万</t>
  </si>
  <si>
    <t>4926.32万</t>
  </si>
  <si>
    <t>214.60亿</t>
  </si>
  <si>
    <t>41.57亿</t>
  </si>
  <si>
    <t>4.18亿</t>
  </si>
  <si>
    <t>7.46亿</t>
  </si>
  <si>
    <t>192.95亿</t>
  </si>
  <si>
    <t>147.98亿</t>
  </si>
  <si>
    <t>125.90亿</t>
  </si>
  <si>
    <t>88.92亿</t>
  </si>
  <si>
    <t>11.78亿</t>
  </si>
  <si>
    <t>10派1.3元(含税)</t>
  </si>
  <si>
    <t>35.34亿</t>
  </si>
  <si>
    <t>25.63亿</t>
  </si>
  <si>
    <t>3.79亿</t>
  </si>
  <si>
    <t>69.03亿</t>
  </si>
  <si>
    <t>55.68亿</t>
  </si>
  <si>
    <t>59.69亿</t>
  </si>
  <si>
    <t>8.04亿</t>
  </si>
  <si>
    <t>26.48亿</t>
  </si>
  <si>
    <t>7.48亿</t>
  </si>
  <si>
    <t>涨幅%</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</si>
  <si>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</si>
  <si>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</si>
  <si>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</si>
  <si>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</si>
  <si>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</si>
  <si>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</si>
  <si>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</si>
  <si>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</si>
  <si>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</si>
  <si>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</si>
  <si>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</si>
  <si>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</si>
  <si>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</si>
  <si>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</si>
  <si>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</si>
  <si>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</si>
  <si>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</si>
  <si>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</si>
  <si>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</si>
  <si>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</si>
  <si>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</si>
  <si>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</si>
  <si>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</si>
  <si>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</si>
  <si>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</si>
  <si>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</si>
  <si>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</si>
  <si>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</si>
  <si>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</si>
  <si>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</si>
  <si>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</si>
  <si>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</si>
  <si>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</si>
  <si>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</si>
  <si>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</si>
  <si>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</si>
  <si>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</si>
  <si>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</si>
  <si>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</si>
  <si>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</si>
  <si>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</si>
  <si>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</si>
  <si>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</si>
  <si>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</si>
  <si>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</si>
  <si>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</si>
  <si>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</si>
  <si>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</si>
  <si>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</si>
  <si>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</si>
  <si>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</si>
  <si>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</si>
  <si>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</si>
  <si>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</si>
  <si>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</si>
  <si>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</si>
  <si>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</si>
  <si>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</si>
  <si>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</si>
  <si>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</si>
  <si>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</si>
  <si>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</si>
  <si>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</si>
  <si>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</si>
  <si>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</si>
  <si>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</si>
  <si>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</si>
  <si>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</si>
  <si>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</si>
  <si>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</si>
  <si>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</si>
  <si>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</si>
  <si>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</si>
  <si>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</si>
  <si>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</si>
  <si>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</si>
  <si>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</si>
  <si>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</si>
  <si>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</si>
  <si>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</si>
  <si>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</si>
  <si>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</si>
  <si>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</si>
  <si>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</si>
  <si>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</si>
  <si>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</si>
  <si>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</si>
  <si>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</si>
  <si>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</si>
  <si>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r>
      <t>1..公司拥有大型熔盐氯化和大型沸腾氯化技术,在氯化法</t>
    </r>
    <r>
      <rPr>
        <sz val="9"/>
        <color rgb="FFFF0000"/>
        <rFont val="宋体"/>
        <family val="3"/>
        <charset val="134"/>
        <scheme val="minor"/>
      </rPr>
      <t>全产业链、技术改进及国产化等方面具有明显优势</t>
    </r>
    <r>
      <rPr>
        <sz val="9"/>
        <color theme="1"/>
        <rFont val="宋体"/>
        <family val="2"/>
        <charset val="134"/>
        <scheme val="minor"/>
      </rPr>
      <t>,公司原料钛矿的配套、规模效应和循环经济效应所带来的高质量低成本竞争优势也已逐步显现。同时,氯化法生产工艺在节能环保方面具备显著优势,长期来看,符合国家“碳达峰”、“碳中和”的政策要求。公司</t>
    </r>
    <r>
      <rPr>
        <b/>
        <sz val="9"/>
        <color rgb="FFFF0000"/>
        <rFont val="宋体"/>
        <family val="3"/>
        <charset val="134"/>
        <scheme val="minor"/>
      </rPr>
      <t>氯化法钛白粉70%左右销往国外</t>
    </r>
    <r>
      <rPr>
        <sz val="9"/>
        <color theme="1"/>
        <rFont val="宋体"/>
        <family val="2"/>
        <charset val="134"/>
        <scheme val="minor"/>
      </rPr>
      <t>,30%左右在国内销售。目前公司氯化法钛白粉产品已覆盖涂料、塑料、造纸等多个领域,并通过技术营销创新,与下游龙头企业联合开发、优化产品等,逐步占领国内的高端硫酸法市场,替代国际进口氯化法市场。使用氯化法钛白粉生产出的下游产品具有更高品质和应用效果,随着客户的接受度提高和成本不断降低,氯化法钛白粉竞争力将逐步增强。2.</t>
    </r>
    <r>
      <rPr>
        <b/>
        <sz val="9"/>
        <color rgb="FFFF0000"/>
        <rFont val="宋体"/>
        <family val="3"/>
        <charset val="134"/>
        <scheme val="minor"/>
      </rPr>
      <t>钛白粉生产商生产磷酸铁锂的成本优势</t>
    </r>
    <r>
      <rPr>
        <sz val="9"/>
        <color theme="1"/>
        <rFont val="宋体"/>
        <family val="2"/>
        <charset val="134"/>
        <scheme val="minor"/>
      </rPr>
      <t>：硫酸亚铁等钛白粉生产过程中的副产品为原料生产磷酸铁锂，可避免生产工序重复，可降低生产成本。同时，这种生产方式将为钛白粉企业处理大量副产品硫酸亚铁提供新途径，可有效利用资源，拓宽发展空间。</t>
    </r>
    <phoneticPr fontId="1" type="noConversion"/>
  </si>
  <si>
    <r>
      <t>1.本次换届一定会对企业未来的发展大有助益，请大家放心;2.新能源产业的问题首先是储能，汽车也是个储能产品，风电、光伏、火电等也面临储能问题，既然中国选择了新能源产业，中国政府、企业和科研单位不会放弃，一定有一个非常光明的未来。</t>
    </r>
    <r>
      <rPr>
        <sz val="9"/>
        <color rgb="FFFF0000"/>
        <rFont val="宋体"/>
        <family val="3"/>
        <charset val="134"/>
        <scheme val="minor"/>
      </rPr>
      <t>公司对新能源产业的前景充满信心</t>
    </r>
    <r>
      <rPr>
        <sz val="9"/>
        <color theme="1"/>
        <rFont val="宋体"/>
        <family val="2"/>
        <charset val="134"/>
        <scheme val="minor"/>
      </rPr>
      <t>，公司发展会咬定青山不放松，继续坚定实施新能源发展战略。3.在钛产业领域，现已形成钛白粉 151 万吨/年，海绵钛 5 万吨/年的产能，</t>
    </r>
    <r>
      <rPr>
        <sz val="9"/>
        <color rgb="FFFF0000"/>
        <rFont val="宋体"/>
        <family val="3"/>
        <charset val="134"/>
        <scheme val="minor"/>
      </rPr>
      <t>双双位居全球第一</t>
    </r>
    <r>
      <rPr>
        <sz val="9"/>
        <color theme="1"/>
        <rFont val="宋体"/>
        <family val="2"/>
        <charset val="134"/>
        <scheme val="minor"/>
      </rPr>
      <t>。</t>
    </r>
    <phoneticPr fontId="1" type="noConversion"/>
  </si>
  <si>
    <t>1.24亿</t>
  </si>
  <si>
    <t>1.90亿</t>
  </si>
  <si>
    <t>1.84亿</t>
  </si>
  <si>
    <t>5.30亿</t>
  </si>
  <si>
    <t>1.49亿</t>
  </si>
  <si>
    <t>11.91亿</t>
  </si>
  <si>
    <t>3.66亿</t>
  </si>
  <si>
    <t>4.68亿</t>
  </si>
  <si>
    <t>2-0</t>
  </si>
  <si>
    <t>80.38亿</t>
  </si>
  <si>
    <t>61.89亿</t>
  </si>
  <si>
    <t>2.75亿</t>
  </si>
  <si>
    <t>2.26亿</t>
  </si>
  <si>
    <t>2.11亿</t>
  </si>
  <si>
    <t>4.01亿</t>
  </si>
  <si>
    <t>-1.45亿</t>
  </si>
  <si>
    <t>1.88亿</t>
  </si>
  <si>
    <t>1.41亿</t>
  </si>
  <si>
    <t>3.48亿</t>
  </si>
  <si>
    <t>4.27亿</t>
  </si>
  <si>
    <t>2.25亿</t>
  </si>
  <si>
    <t>7.13亿</t>
  </si>
  <si>
    <t>13.14亿</t>
  </si>
  <si>
    <t>4.82亿</t>
  </si>
  <si>
    <t>11.50亿</t>
  </si>
  <si>
    <t>25.53亿</t>
  </si>
  <si>
    <t>58.64亿</t>
  </si>
  <si>
    <t>12.33亿</t>
  </si>
  <si>
    <t>1.54亿</t>
  </si>
  <si>
    <t>16.27亿</t>
  </si>
  <si>
    <t>5.70亿</t>
  </si>
  <si>
    <t>4.98亿</t>
  </si>
  <si>
    <t>15.67亿</t>
  </si>
  <si>
    <t>1.95亿</t>
  </si>
  <si>
    <t>-2-1</t>
  </si>
  <si>
    <t>12.62亿</t>
  </si>
  <si>
    <t>22.66亿</t>
  </si>
  <si>
    <t>3-0</t>
  </si>
  <si>
    <t>10.01亿</t>
  </si>
  <si>
    <t>23.65亿</t>
  </si>
  <si>
    <t>8.61亿</t>
  </si>
  <si>
    <t>5.79亿</t>
  </si>
  <si>
    <t>7.61亿</t>
  </si>
  <si>
    <t>6.54亿</t>
  </si>
  <si>
    <t>1.58亿</t>
  </si>
  <si>
    <t>4.51亿</t>
  </si>
  <si>
    <t>6.18亿</t>
  </si>
  <si>
    <t>-4.14亿</t>
  </si>
  <si>
    <t>4.37亿</t>
  </si>
  <si>
    <t>14.40亿</t>
  </si>
  <si>
    <t>9.59亿</t>
  </si>
  <si>
    <t>5.63亿</t>
  </si>
  <si>
    <t>6.09亿</t>
  </si>
  <si>
    <t>7.05亿</t>
  </si>
  <si>
    <t>3.57亿</t>
  </si>
  <si>
    <t>6.16亿</t>
  </si>
  <si>
    <t>14.82亿</t>
  </si>
  <si>
    <t>10.62亿</t>
  </si>
  <si>
    <t>-2-0</t>
  </si>
  <si>
    <t>4.41亿</t>
  </si>
  <si>
    <t>7.30亿</t>
  </si>
  <si>
    <t>9.04亿</t>
  </si>
  <si>
    <t>1.11亿</t>
  </si>
  <si>
    <t>9.90亿</t>
  </si>
  <si>
    <t>-1.20亿</t>
  </si>
  <si>
    <t>-2.05亿</t>
  </si>
  <si>
    <t>7.36亿</t>
  </si>
  <si>
    <t>-3.04亿</t>
  </si>
  <si>
    <t>3.06亿</t>
  </si>
  <si>
    <t>2.28亿</t>
  </si>
  <si>
    <t>3.10亿</t>
  </si>
  <si>
    <t>2.51亿</t>
  </si>
  <si>
    <t>24.30亿</t>
  </si>
  <si>
    <t>6.52亿</t>
  </si>
  <si>
    <t>2.29亿</t>
  </si>
  <si>
    <t>30.80亿</t>
  </si>
  <si>
    <t>25.44亿</t>
  </si>
  <si>
    <t>11.27亿</t>
  </si>
  <si>
    <t>75.45亿</t>
  </si>
  <si>
    <t>9.17亿</t>
  </si>
  <si>
    <t>3.08亿</t>
  </si>
  <si>
    <t>6.88亿</t>
  </si>
  <si>
    <t>2.43亿</t>
  </si>
  <si>
    <t>11.89亿</t>
  </si>
  <si>
    <t>2.46亿</t>
  </si>
  <si>
    <t>53.90亿</t>
  </si>
  <si>
    <t>SH603276</t>
  </si>
  <si>
    <t>恒兴新材</t>
  </si>
  <si>
    <t>4.62亿</t>
  </si>
  <si>
    <t>9327.87万</t>
  </si>
  <si>
    <t>4.40亿</t>
  </si>
  <si>
    <t>8972.22万</t>
  </si>
  <si>
    <t>7367.33万</t>
  </si>
  <si>
    <t>3.12亿</t>
  </si>
  <si>
    <t>3.91亿</t>
  </si>
  <si>
    <t>2.73亿</t>
  </si>
  <si>
    <t>3.24亿</t>
  </si>
  <si>
    <t>1.氯化亚砜竞争对手（世龙实业002748），芳纶聚合单体（三力新材）</t>
    <phoneticPr fontId="1" type="noConversion"/>
  </si>
  <si>
    <r>
      <t>0.公司产品广泛应用于高性能纤维、高分子新材料、农药、医药、食品添加剂、锂电池等行业;0-0.聚醚酮酮（PEKK）属于特种工程塑料的一类，其具有的优异的耐高温性能、优异的机械性能、抗辐射性能等使其在航空航天、汽车制造、石油化工、3D 打印等领域得到了广泛的关注和应用。1.目前全球聚醚酮酮处于高速快速增长期，但由于聚醚酮酮具有较高的技术壁垒，全球聚醚酮酮主要生产厂家仅为索尔维、阿科玛等少数几家企业。被列为对华禁运材料名单，凯盛是国内唯一一家具备聚醚酮酮完整技术体系的企业;（2023 年产能接近 90%，将</t>
    </r>
    <r>
      <rPr>
        <sz val="9"/>
        <color rgb="FFFF0000"/>
        <rFont val="宋体"/>
        <family val="3"/>
        <charset val="134"/>
        <scheme val="minor"/>
      </rPr>
      <t>产生 2.7 亿元收入</t>
    </r>
    <r>
      <rPr>
        <sz val="9"/>
        <color theme="1"/>
        <rFont val="宋体"/>
        <family val="2"/>
        <charset val="134"/>
        <scheme val="minor"/>
      </rPr>
      <t>）</t>
    </r>
    <phoneticPr fontId="1" type="noConversion"/>
  </si>
  <si>
    <t>0.和煤炭走势类似，驱动原因类似；</t>
    <phoneticPr fontId="1" type="noConversion"/>
  </si>
  <si>
    <t>1.烟花禁令放松，公司硝酸产品可用于制造烟花、爆竹的发色剂，公司硝酸下游客户中有从事烟花、爆竹生产的企业。</t>
    <phoneticPr fontId="1" type="noConversion"/>
  </si>
  <si>
    <t>2.77亿</t>
  </si>
  <si>
    <t>1.19亿</t>
  </si>
  <si>
    <t>-4-0</t>
  </si>
  <si>
    <t>-3-0</t>
  </si>
  <si>
    <t>3.92亿</t>
  </si>
  <si>
    <t>1.39亿</t>
  </si>
  <si>
    <t>4.35亿</t>
  </si>
  <si>
    <t>3.02亿</t>
  </si>
  <si>
    <t>1.18亿</t>
  </si>
  <si>
    <t>8.76亿</t>
  </si>
  <si>
    <t>3.14亿</t>
  </si>
  <si>
    <t>2.96亿</t>
  </si>
  <si>
    <t>2.41亿</t>
  </si>
  <si>
    <t>1403.88万</t>
  </si>
  <si>
    <t>12.58亿</t>
  </si>
  <si>
    <t>12.63亿</t>
  </si>
  <si>
    <t>25.89亿</t>
  </si>
  <si>
    <t>-1.77亿</t>
  </si>
  <si>
    <t>4.84亿</t>
  </si>
  <si>
    <t>166.80万</t>
  </si>
  <si>
    <t>4874.09万</t>
  </si>
  <si>
    <t>2598912亿</t>
  </si>
  <si>
    <t>44.13万</t>
  </si>
  <si>
    <t>-66123064亿</t>
  </si>
  <si>
    <t>1.35亿</t>
  </si>
  <si>
    <t>91002067亿</t>
  </si>
  <si>
    <t>4330.00万</t>
  </si>
  <si>
    <t>739517720亿</t>
  </si>
  <si>
    <t>8826.27万</t>
  </si>
  <si>
    <t>3.37亿</t>
  </si>
  <si>
    <t>31.05万</t>
  </si>
  <si>
    <t>9.38亿</t>
  </si>
  <si>
    <t>2600.00万</t>
  </si>
  <si>
    <t>-1.11亿</t>
  </si>
  <si>
    <t>6113.81万</t>
  </si>
  <si>
    <t>-7037.37万</t>
  </si>
  <si>
    <t>1299.92万</t>
  </si>
  <si>
    <t>7.29亿</t>
  </si>
  <si>
    <t>-2428.56万</t>
  </si>
  <si>
    <t>8684.55万</t>
  </si>
  <si>
    <t>594.57万</t>
  </si>
  <si>
    <t>12.98亿</t>
  </si>
  <si>
    <t>16.44亿</t>
  </si>
  <si>
    <t>22.64亿</t>
  </si>
  <si>
    <t>-1.61亿</t>
  </si>
  <si>
    <t>5.81亿</t>
  </si>
  <si>
    <t>5.32亿</t>
  </si>
  <si>
    <t>172.22万</t>
  </si>
  <si>
    <t>2041.63万</t>
  </si>
  <si>
    <t>-2644128亿</t>
  </si>
  <si>
    <t>3.59万</t>
  </si>
  <si>
    <t>-14756077亿</t>
  </si>
  <si>
    <t>164849890亿</t>
  </si>
  <si>
    <t>883931770亿</t>
  </si>
  <si>
    <t>4.15亿</t>
  </si>
  <si>
    <t>1.98亿</t>
  </si>
  <si>
    <t>12.87亿</t>
  </si>
  <si>
    <t>6800.00万</t>
  </si>
  <si>
    <t>-2966.47万</t>
  </si>
  <si>
    <t>-9052.65万</t>
  </si>
  <si>
    <t>-137.49万</t>
  </si>
  <si>
    <t>-7171.92万</t>
  </si>
  <si>
    <t>4347.32万</t>
  </si>
  <si>
    <t>-4-1</t>
  </si>
  <si>
    <t>155.24万</t>
  </si>
  <si>
    <t>15.33亿</t>
  </si>
  <si>
    <t>4.10亿</t>
  </si>
  <si>
    <t>17.47亿</t>
  </si>
  <si>
    <t>-6.68亿</t>
  </si>
  <si>
    <t>4.66亿</t>
  </si>
  <si>
    <t>378.53万</t>
  </si>
  <si>
    <t>1468.36万</t>
  </si>
  <si>
    <t>-302.0亿</t>
  </si>
  <si>
    <t>19.49万</t>
  </si>
  <si>
    <t>-70185763亿</t>
  </si>
  <si>
    <t>1280.82万</t>
  </si>
  <si>
    <t>24492471亿</t>
  </si>
  <si>
    <t>526642960亿</t>
  </si>
  <si>
    <t>5443.58万</t>
  </si>
  <si>
    <t>7729.90万</t>
  </si>
  <si>
    <t>5.35亿</t>
  </si>
  <si>
    <t>591.46万</t>
  </si>
  <si>
    <t>-2.23亿</t>
  </si>
  <si>
    <t>-656.37万</t>
  </si>
  <si>
    <t>2.19亿</t>
  </si>
  <si>
    <t>-1.53亿</t>
  </si>
  <si>
    <t>1045.04万</t>
  </si>
  <si>
    <t>2699.03万</t>
  </si>
  <si>
    <t>161.63亿</t>
  </si>
  <si>
    <t>189.00亿</t>
  </si>
  <si>
    <t>32.80亿</t>
  </si>
  <si>
    <t>120.44亿</t>
  </si>
  <si>
    <t>14.10亿</t>
  </si>
  <si>
    <t>23.34亿</t>
  </si>
  <si>
    <t>18.22亿</t>
  </si>
  <si>
    <t>7816.30万</t>
  </si>
  <si>
    <t>59031189亿</t>
  </si>
  <si>
    <t>65.04万</t>
  </si>
  <si>
    <t>568192840亿</t>
  </si>
  <si>
    <t>30.06亿</t>
  </si>
  <si>
    <t>106605275亿</t>
  </si>
  <si>
    <t>7119304800亿</t>
  </si>
  <si>
    <t>24.07亿</t>
  </si>
  <si>
    <t>24.22亿</t>
  </si>
  <si>
    <t>22.11亿</t>
  </si>
  <si>
    <t>76.17亿</t>
  </si>
  <si>
    <t>45.41亿</t>
  </si>
  <si>
    <t>-6.95亿</t>
  </si>
  <si>
    <t>25.04亿</t>
  </si>
  <si>
    <t>10.69亿</t>
  </si>
  <si>
    <t>251.92万</t>
  </si>
  <si>
    <t>4.34亿</t>
  </si>
  <si>
    <t>9676.27万</t>
  </si>
  <si>
    <t>70.57万</t>
  </si>
  <si>
    <t>1181.94万</t>
  </si>
  <si>
    <t>13.78万</t>
  </si>
  <si>
    <t>-9072460亿</t>
  </si>
  <si>
    <t>4900.30万</t>
  </si>
  <si>
    <t>42287568亿</t>
  </si>
  <si>
    <t>4922.75万</t>
  </si>
  <si>
    <t>273478430亿</t>
  </si>
  <si>
    <t>2371.39万</t>
  </si>
  <si>
    <t>9718.83万</t>
  </si>
  <si>
    <t>800.00万</t>
  </si>
  <si>
    <t>6793.66万</t>
  </si>
  <si>
    <t>4.63亿</t>
  </si>
  <si>
    <t>1063.57万</t>
  </si>
  <si>
    <t>-125.79万</t>
  </si>
  <si>
    <t>-117.69万</t>
  </si>
  <si>
    <t>134.06万</t>
  </si>
  <si>
    <t>138.05万</t>
  </si>
  <si>
    <t>2173.55万</t>
  </si>
  <si>
    <t>400.53万</t>
  </si>
  <si>
    <t>9.14亿</t>
  </si>
  <si>
    <t>22.71亿</t>
  </si>
  <si>
    <t>8.32亿</t>
  </si>
  <si>
    <t>37.94亿</t>
  </si>
  <si>
    <t>1260.58万</t>
  </si>
  <si>
    <t>1059.35万</t>
  </si>
  <si>
    <t>4622634亿</t>
  </si>
  <si>
    <t>7.35万</t>
  </si>
  <si>
    <t>159495240亿</t>
  </si>
  <si>
    <t>9.95亿</t>
  </si>
  <si>
    <t>3357756亿</t>
  </si>
  <si>
    <t>1409417800亿</t>
  </si>
  <si>
    <t>4748.31万</t>
  </si>
  <si>
    <t>5925.66万</t>
  </si>
  <si>
    <t>6.41亿</t>
  </si>
  <si>
    <t>2.16亿</t>
  </si>
  <si>
    <t>-2210.04万</t>
  </si>
  <si>
    <t>11.25亿</t>
  </si>
  <si>
    <t>10派1.40元(含税)</t>
  </si>
  <si>
    <t>2125.51万</t>
  </si>
  <si>
    <t>363.16万</t>
  </si>
  <si>
    <t>19.10亿</t>
  </si>
  <si>
    <t>41.19亿</t>
  </si>
  <si>
    <t>36.68亿</t>
  </si>
  <si>
    <t>14.34亿</t>
  </si>
  <si>
    <t>1413.65万</t>
  </si>
  <si>
    <t>4761.26万</t>
  </si>
  <si>
    <t>413524亿</t>
  </si>
  <si>
    <t>200.65万</t>
  </si>
  <si>
    <t>47529326亿</t>
  </si>
  <si>
    <t>4.48亿</t>
  </si>
  <si>
    <t>1047185080亿</t>
  </si>
  <si>
    <t>3.04亿</t>
  </si>
  <si>
    <t>3140584800亿</t>
  </si>
  <si>
    <t>10.09亿</t>
  </si>
  <si>
    <t>22.29亿</t>
  </si>
  <si>
    <t>8770.41万</t>
  </si>
  <si>
    <t>-6.82亿</t>
  </si>
  <si>
    <t>8.23亿</t>
  </si>
  <si>
    <t>1249.73万</t>
  </si>
  <si>
    <t>2826.08万</t>
  </si>
  <si>
    <t>-3-1</t>
  </si>
  <si>
    <t>398.71万</t>
  </si>
  <si>
    <t>28.90亿</t>
  </si>
  <si>
    <t>18.43亿</t>
  </si>
  <si>
    <t>85.28亿</t>
  </si>
  <si>
    <t>10.44亿</t>
  </si>
  <si>
    <t>16.39亿</t>
  </si>
  <si>
    <t>15.07亿</t>
  </si>
  <si>
    <t>1322.44万</t>
  </si>
  <si>
    <t>8244.48万</t>
  </si>
  <si>
    <t>-1066224亿</t>
  </si>
  <si>
    <t>80.43万</t>
  </si>
  <si>
    <t>149530830亿</t>
  </si>
  <si>
    <t>13.03亿</t>
  </si>
  <si>
    <t>311144160亿</t>
  </si>
  <si>
    <t>4408110800亿</t>
  </si>
  <si>
    <t>2.89亿</t>
  </si>
  <si>
    <t>9.63亿</t>
  </si>
  <si>
    <t>5.86亿</t>
  </si>
  <si>
    <t>460.11万</t>
  </si>
  <si>
    <t>20.44亿</t>
  </si>
  <si>
    <t>1188.15万</t>
  </si>
  <si>
    <t>2197.49万</t>
  </si>
  <si>
    <t>3081.32万</t>
  </si>
  <si>
    <t>982.40万</t>
  </si>
  <si>
    <t>182.60亿</t>
  </si>
  <si>
    <t>176.10亿</t>
  </si>
  <si>
    <t>67.52亿</t>
  </si>
  <si>
    <t>253.58亿</t>
  </si>
  <si>
    <t>8.19亿</t>
  </si>
  <si>
    <t>59.86亿</t>
  </si>
  <si>
    <t>55.11亿</t>
  </si>
  <si>
    <t>946.56万</t>
  </si>
  <si>
    <t>3777608亿</t>
  </si>
  <si>
    <t>806.10万</t>
  </si>
  <si>
    <t>579719520亿</t>
  </si>
  <si>
    <t>64810053亿</t>
  </si>
  <si>
    <t>2535658200亿</t>
  </si>
  <si>
    <t>72.21亿</t>
  </si>
  <si>
    <t>15.64亿</t>
  </si>
  <si>
    <t>129.49亿</t>
  </si>
  <si>
    <t>26.07亿</t>
  </si>
  <si>
    <t>13.99亿</t>
  </si>
  <si>
    <t>-4.47亿</t>
  </si>
  <si>
    <t>-7.08亿</t>
  </si>
  <si>
    <t>65.81亿</t>
  </si>
  <si>
    <t>3.22亿</t>
  </si>
  <si>
    <t>煤化工</t>
  </si>
  <si>
    <t>7021.98万</t>
  </si>
  <si>
    <t>2-1</t>
  </si>
  <si>
    <t>1237.33万</t>
  </si>
  <si>
    <t>72.80亿</t>
  </si>
  <si>
    <t>186.48亿</t>
  </si>
  <si>
    <t>27.21亿</t>
  </si>
  <si>
    <t>124.17亿</t>
  </si>
  <si>
    <t>24.94亿</t>
  </si>
  <si>
    <t>22.15亿</t>
  </si>
  <si>
    <t>2399.90万</t>
  </si>
  <si>
    <t>1.38亿</t>
  </si>
  <si>
    <t>-10172789亿</t>
  </si>
  <si>
    <t>288.00万</t>
  </si>
  <si>
    <t>144272810亿</t>
  </si>
  <si>
    <t>24.36亿</t>
  </si>
  <si>
    <t>1011228240亿</t>
  </si>
  <si>
    <t>6657615200亿</t>
  </si>
  <si>
    <t>5.49亿</t>
  </si>
  <si>
    <t>4.95亿</t>
  </si>
  <si>
    <t>6.51亿</t>
  </si>
  <si>
    <t>17.77万</t>
  </si>
  <si>
    <t>54.73亿</t>
  </si>
  <si>
    <t>-4.95亿</t>
  </si>
  <si>
    <t>-8886.91万</t>
  </si>
  <si>
    <t>5092.52万</t>
  </si>
  <si>
    <t>33.65亿</t>
  </si>
  <si>
    <t>-5697.98万</t>
  </si>
  <si>
    <t>6338.63万</t>
  </si>
  <si>
    <t>192.61万</t>
  </si>
  <si>
    <t>22.36亿</t>
  </si>
  <si>
    <t>3.95亿</t>
  </si>
  <si>
    <t>17.92亿</t>
  </si>
  <si>
    <t>3.62亿</t>
  </si>
  <si>
    <t>180.30万</t>
  </si>
  <si>
    <t>1222.30万</t>
  </si>
  <si>
    <t>133216亿</t>
  </si>
  <si>
    <t>143.42万</t>
  </si>
  <si>
    <t>30907609亿</t>
  </si>
  <si>
    <t>41539681亿</t>
  </si>
  <si>
    <t>103.46万</t>
  </si>
  <si>
    <t>1045778120亿</t>
  </si>
  <si>
    <t>8024.17万</t>
  </si>
  <si>
    <t>5.95亿</t>
  </si>
  <si>
    <t>3.36亿</t>
  </si>
  <si>
    <t>10.94亿</t>
  </si>
  <si>
    <t>-3668.12万</t>
  </si>
  <si>
    <t>-4229.61万</t>
  </si>
  <si>
    <t>7942.98万</t>
  </si>
  <si>
    <t>3293.70万</t>
  </si>
  <si>
    <t>1126.03万</t>
  </si>
  <si>
    <t>487.58万</t>
  </si>
  <si>
    <t>95.86亿</t>
  </si>
  <si>
    <t>83.56亿</t>
  </si>
  <si>
    <t>9.75亿</t>
  </si>
  <si>
    <t>29.04亿</t>
  </si>
  <si>
    <t>4.45亿</t>
  </si>
  <si>
    <t>5539.47万</t>
  </si>
  <si>
    <t>6651.48万</t>
  </si>
  <si>
    <t>4526913亿</t>
  </si>
  <si>
    <t>289.16万</t>
  </si>
  <si>
    <t>345312370亿</t>
  </si>
  <si>
    <t>24.42亿</t>
  </si>
  <si>
    <t>1548068300亿</t>
  </si>
  <si>
    <t>9062.22万</t>
  </si>
  <si>
    <t>4495137200亿</t>
  </si>
  <si>
    <t>54.11亿</t>
  </si>
  <si>
    <t>3.67亿</t>
  </si>
  <si>
    <t>13.81亿</t>
  </si>
  <si>
    <t>25.95亿</t>
  </si>
  <si>
    <t>68.77亿</t>
  </si>
  <si>
    <t>3.09亿</t>
  </si>
  <si>
    <t>-4.36亿</t>
  </si>
  <si>
    <t>26.77亿</t>
  </si>
  <si>
    <t>24.23亿</t>
  </si>
  <si>
    <t>10派1.60元(含税)</t>
  </si>
  <si>
    <t>2793.23万</t>
  </si>
  <si>
    <t>ST中泰</t>
  </si>
  <si>
    <t>1860.65万</t>
  </si>
  <si>
    <t>431.26亿</t>
  </si>
  <si>
    <t>281.13亿</t>
  </si>
  <si>
    <t>77.80亿</t>
  </si>
  <si>
    <t>371.18亿</t>
  </si>
  <si>
    <t>-28.65亿</t>
  </si>
  <si>
    <t>80.21亿</t>
  </si>
  <si>
    <t>67.19亿</t>
  </si>
  <si>
    <t>5.45亿</t>
  </si>
  <si>
    <t>-53860682亿</t>
  </si>
  <si>
    <t>93.66万</t>
  </si>
  <si>
    <t>-185676270亿</t>
  </si>
  <si>
    <t>44.13亿</t>
  </si>
  <si>
    <t>1585455200亿</t>
  </si>
  <si>
    <t>30.45亿</t>
  </si>
  <si>
    <t>15455294000亿</t>
  </si>
  <si>
    <t>97.17亿</t>
  </si>
  <si>
    <t>74.75亿</t>
  </si>
  <si>
    <t>22.42亿</t>
  </si>
  <si>
    <t>66.02亿</t>
  </si>
  <si>
    <t>131.01万</t>
  </si>
  <si>
    <t>310.47亿</t>
  </si>
  <si>
    <t>77.12亿</t>
  </si>
  <si>
    <t>7.81亿</t>
  </si>
  <si>
    <t>-2.57亿</t>
  </si>
  <si>
    <t>-7.40亿</t>
  </si>
  <si>
    <t>516.62亿</t>
  </si>
  <si>
    <t>607.54亿</t>
  </si>
  <si>
    <t>833.18亿</t>
  </si>
  <si>
    <t>7.76亿</t>
  </si>
  <si>
    <t>27.54亿</t>
  </si>
  <si>
    <t>107.06亿</t>
  </si>
  <si>
    <t>-3.14亿</t>
  </si>
  <si>
    <t>9971.99万</t>
  </si>
  <si>
    <t>13.50亿</t>
  </si>
  <si>
    <t>305.65万</t>
  </si>
  <si>
    <t>58.80亿</t>
  </si>
  <si>
    <t>57.26亿</t>
  </si>
  <si>
    <t>9.08亿</t>
  </si>
  <si>
    <t>35.72亿</t>
  </si>
  <si>
    <t>-4.11亿</t>
  </si>
  <si>
    <t>10.54亿</t>
  </si>
  <si>
    <t>9.71亿</t>
  </si>
  <si>
    <t>296.63万</t>
  </si>
  <si>
    <t>3681.41万</t>
  </si>
  <si>
    <t>-1617990亿</t>
  </si>
  <si>
    <t>12.36万</t>
  </si>
  <si>
    <t>-139213570亿</t>
  </si>
  <si>
    <t>12.08亿</t>
  </si>
  <si>
    <t>1065955亿</t>
  </si>
  <si>
    <t>1982178900亿</t>
  </si>
  <si>
    <t>5000.00万</t>
  </si>
  <si>
    <t>21.20亿</t>
  </si>
  <si>
    <t>39.31亿</t>
  </si>
  <si>
    <t>5828.25万</t>
  </si>
  <si>
    <t>-2399.49万</t>
  </si>
  <si>
    <t>-6.76亿</t>
  </si>
  <si>
    <t>6.71亿</t>
  </si>
  <si>
    <t>1645.55万</t>
  </si>
  <si>
    <t>125.35万</t>
  </si>
  <si>
    <t>6.00亿</t>
  </si>
  <si>
    <t>14.23亿</t>
  </si>
  <si>
    <t>4.67亿</t>
  </si>
  <si>
    <t>21.11亿</t>
  </si>
  <si>
    <t>6450.44万</t>
  </si>
  <si>
    <t>4.20亿</t>
  </si>
  <si>
    <t>294.54万</t>
  </si>
  <si>
    <t>727.87万</t>
  </si>
  <si>
    <t>4.61万</t>
  </si>
  <si>
    <t>18312568亿</t>
  </si>
  <si>
    <t>263281260亿</t>
  </si>
  <si>
    <t>7762.73万</t>
  </si>
  <si>
    <t>1148418200亿</t>
  </si>
  <si>
    <t>882.32万</t>
  </si>
  <si>
    <t>4501.17万</t>
  </si>
  <si>
    <t>2.52亿</t>
  </si>
  <si>
    <t>6.06亿</t>
  </si>
  <si>
    <t>-6866.36万</t>
  </si>
  <si>
    <t>-1629.13万</t>
  </si>
  <si>
    <t>-511.07万</t>
  </si>
  <si>
    <t>3050.91万</t>
  </si>
  <si>
    <t>657.94万</t>
  </si>
  <si>
    <t>5922.27万</t>
  </si>
  <si>
    <t>2020.77万</t>
  </si>
  <si>
    <t>65.12亿</t>
  </si>
  <si>
    <t>121.15亿</t>
  </si>
  <si>
    <t>14.42亿</t>
  </si>
  <si>
    <t>49.47亿</t>
  </si>
  <si>
    <t>13.21亿</t>
  </si>
  <si>
    <t>1046.25万</t>
  </si>
  <si>
    <t>9499.82万</t>
  </si>
  <si>
    <t>5298886亿</t>
  </si>
  <si>
    <t>194.82万</t>
  </si>
  <si>
    <t>98340748亿</t>
  </si>
  <si>
    <t>76.66亿</t>
  </si>
  <si>
    <t>855345100亿</t>
  </si>
  <si>
    <t>1616.80万</t>
  </si>
  <si>
    <t>10543431200亿</t>
  </si>
  <si>
    <t>34.04亿</t>
  </si>
  <si>
    <t>24.32亿</t>
  </si>
  <si>
    <t>17.78亿</t>
  </si>
  <si>
    <t>8.36亿</t>
  </si>
  <si>
    <t>54.25亿</t>
  </si>
  <si>
    <t>14.93亿</t>
  </si>
  <si>
    <t>-1.54亿</t>
  </si>
  <si>
    <t>-3.92亿</t>
  </si>
  <si>
    <t>10派0.505168元(含税)</t>
  </si>
  <si>
    <t>8.65亿</t>
  </si>
  <si>
    <t>-1-1</t>
  </si>
  <si>
    <t>866.35万</t>
  </si>
  <si>
    <t>27.86亿</t>
  </si>
  <si>
    <t>57.96亿</t>
  </si>
  <si>
    <t>19.76亿</t>
  </si>
  <si>
    <t>82.15亿</t>
  </si>
  <si>
    <t>15.44亿</t>
  </si>
  <si>
    <t>3095.42万</t>
  </si>
  <si>
    <t>6913.90万</t>
  </si>
  <si>
    <t>22355348亿</t>
  </si>
  <si>
    <t>193.89万</t>
  </si>
  <si>
    <t>227900360亿</t>
  </si>
  <si>
    <t>5.46亿</t>
  </si>
  <si>
    <t>132678885亿</t>
  </si>
  <si>
    <t>3425381500亿</t>
  </si>
  <si>
    <t>2.27亿</t>
  </si>
  <si>
    <t>25.31亿</t>
  </si>
  <si>
    <t>2672.87万</t>
  </si>
  <si>
    <t>-9772.77万</t>
  </si>
  <si>
    <t>20.42亿</t>
  </si>
  <si>
    <t>5813.86万</t>
  </si>
  <si>
    <t>4.89亿</t>
  </si>
  <si>
    <t>381.38万</t>
  </si>
  <si>
    <t>100.99亿</t>
  </si>
  <si>
    <t>81.90亿</t>
  </si>
  <si>
    <t>30.08亿</t>
  </si>
  <si>
    <t>183.67亿</t>
  </si>
  <si>
    <t>3996.47万</t>
  </si>
  <si>
    <t>30.88亿</t>
  </si>
  <si>
    <t>28.87亿</t>
  </si>
  <si>
    <t>1337.54万</t>
  </si>
  <si>
    <t>3734766亿</t>
  </si>
  <si>
    <t>1112.54万</t>
  </si>
  <si>
    <t>-39003076亿</t>
  </si>
  <si>
    <t>38.00亿</t>
  </si>
  <si>
    <t>391490770亿</t>
  </si>
  <si>
    <t>6684625600亿</t>
  </si>
  <si>
    <t>35.49亿</t>
  </si>
  <si>
    <t>27.25亿</t>
  </si>
  <si>
    <t>12.27亿</t>
  </si>
  <si>
    <t>72.88亿</t>
  </si>
  <si>
    <t>35.46亿</t>
  </si>
  <si>
    <t>-2.43亿</t>
  </si>
  <si>
    <t>37.34亿</t>
  </si>
  <si>
    <t>6072.79万</t>
  </si>
  <si>
    <t>2591.92万</t>
  </si>
  <si>
    <t>2.18亿</t>
  </si>
  <si>
    <t>616.58万</t>
  </si>
  <si>
    <t>6.21亿</t>
  </si>
  <si>
    <t>29.17亿</t>
  </si>
  <si>
    <t>5.19亿</t>
  </si>
  <si>
    <t>26.57亿</t>
  </si>
  <si>
    <t>2.82亿</t>
  </si>
  <si>
    <t>525.33万</t>
  </si>
  <si>
    <t>2908.42万</t>
  </si>
  <si>
    <t>4141856亿</t>
  </si>
  <si>
    <t>4.52万</t>
  </si>
  <si>
    <t>56117751亿</t>
  </si>
  <si>
    <t>170354800亿</t>
  </si>
  <si>
    <t>47.50万</t>
  </si>
  <si>
    <t>1771071800亿</t>
  </si>
  <si>
    <t>1102.47万</t>
  </si>
  <si>
    <t>2036.63万</t>
  </si>
  <si>
    <t>7194.18万</t>
  </si>
  <si>
    <t>-3.13亿</t>
  </si>
  <si>
    <t>-385.60万</t>
  </si>
  <si>
    <t>5.98亿</t>
  </si>
  <si>
    <t>4539.83万</t>
  </si>
  <si>
    <t>3685.08万</t>
  </si>
  <si>
    <t>-5-1</t>
  </si>
  <si>
    <t>1117.67万</t>
  </si>
  <si>
    <t>387.93亿</t>
  </si>
  <si>
    <t>266.24亿</t>
  </si>
  <si>
    <t>267.65亿</t>
  </si>
  <si>
    <t>32.26亿</t>
  </si>
  <si>
    <t>61.13亿</t>
  </si>
  <si>
    <t>52.26亿</t>
  </si>
  <si>
    <t>1.26亿</t>
  </si>
  <si>
    <t>-16579356亿</t>
  </si>
  <si>
    <t>384.28万</t>
  </si>
  <si>
    <t>924937210亿</t>
  </si>
  <si>
    <t>82.29亿</t>
  </si>
  <si>
    <t>4306461800亿</t>
  </si>
  <si>
    <t>22980998000亿</t>
  </si>
  <si>
    <t>53.78亿</t>
  </si>
  <si>
    <t>84.17亿</t>
  </si>
  <si>
    <t>49.50亿</t>
  </si>
  <si>
    <t>58.42亿</t>
  </si>
  <si>
    <t>441.99万</t>
  </si>
  <si>
    <t>273.78亿</t>
  </si>
  <si>
    <t>110.99亿</t>
  </si>
  <si>
    <t>3.40亿</t>
  </si>
  <si>
    <t>-4.81亿</t>
  </si>
  <si>
    <t>15.04亿</t>
  </si>
  <si>
    <t>241.13亿</t>
  </si>
  <si>
    <t>69.72亿</t>
  </si>
  <si>
    <t>5674.56万</t>
  </si>
  <si>
    <t>5.50亿</t>
  </si>
  <si>
    <t>ST世龙</t>
  </si>
  <si>
    <t>186.13万</t>
  </si>
  <si>
    <t>13.33亿</t>
  </si>
  <si>
    <t>20.91亿</t>
  </si>
  <si>
    <t>1829.11万</t>
  </si>
  <si>
    <t>4.80亿</t>
  </si>
  <si>
    <t>212.07万</t>
  </si>
  <si>
    <t>3312.12万</t>
  </si>
  <si>
    <t>-9556535亿</t>
  </si>
  <si>
    <t>98113878亿</t>
  </si>
  <si>
    <t>3.87亿</t>
  </si>
  <si>
    <t>887165430亿</t>
  </si>
  <si>
    <t>8888.10万</t>
  </si>
  <si>
    <t>5152.93万</t>
  </si>
  <si>
    <t>-2035.54万</t>
  </si>
  <si>
    <t>-2229.82万</t>
  </si>
  <si>
    <t>4512.98万</t>
  </si>
  <si>
    <t>14.25亿</t>
  </si>
  <si>
    <t>16.83亿</t>
  </si>
  <si>
    <t>5.24亿</t>
  </si>
  <si>
    <t>1540.27万</t>
  </si>
  <si>
    <t>1237.09万</t>
  </si>
  <si>
    <t>1.75亿</t>
  </si>
  <si>
    <t>66.15万</t>
  </si>
  <si>
    <t>5.38亿</t>
  </si>
  <si>
    <t>9.91亿</t>
  </si>
  <si>
    <t>9.19亿</t>
  </si>
  <si>
    <t>5000.67万</t>
  </si>
  <si>
    <t>173.92万</t>
  </si>
  <si>
    <t>1443.71万</t>
  </si>
  <si>
    <t>-853912亿</t>
  </si>
  <si>
    <t>2.34万</t>
  </si>
  <si>
    <t>15756221亿</t>
  </si>
  <si>
    <t>3.01亿</t>
  </si>
  <si>
    <t>66610240亿</t>
  </si>
  <si>
    <t>4.67万</t>
  </si>
  <si>
    <t>591630280亿</t>
  </si>
  <si>
    <t>8508.14万</t>
  </si>
  <si>
    <t>8840.95万</t>
  </si>
  <si>
    <t>6.83万</t>
  </si>
  <si>
    <t>3.45亿</t>
  </si>
  <si>
    <t>17.63万</t>
  </si>
  <si>
    <t>-2655.66万</t>
  </si>
  <si>
    <t>-5574.67万</t>
  </si>
  <si>
    <t>1939.70万</t>
  </si>
  <si>
    <t>10派4.5元(含税)</t>
  </si>
  <si>
    <t>355.83万</t>
  </si>
  <si>
    <t>3436.89万</t>
  </si>
  <si>
    <t>363.08万</t>
  </si>
  <si>
    <t>23.40亿</t>
  </si>
  <si>
    <t>30.92亿</t>
  </si>
  <si>
    <t>7.57亿</t>
  </si>
  <si>
    <t>38.13亿</t>
  </si>
  <si>
    <t>-3.09亿</t>
  </si>
  <si>
    <t>8.44亿</t>
  </si>
  <si>
    <t>7.65亿</t>
  </si>
  <si>
    <t>371.55万</t>
  </si>
  <si>
    <t>5538.64万</t>
  </si>
  <si>
    <t>382830亿</t>
  </si>
  <si>
    <t>-80846579亿</t>
  </si>
  <si>
    <t>2.84亿</t>
  </si>
  <si>
    <t>416375650亿</t>
  </si>
  <si>
    <t>2.47亿</t>
  </si>
  <si>
    <t>1761479900亿</t>
  </si>
  <si>
    <t>8526.53万</t>
  </si>
  <si>
    <t>9432.89万</t>
  </si>
  <si>
    <t>20.16亿</t>
  </si>
  <si>
    <t>-3.02亿</t>
  </si>
  <si>
    <t>6708.71万</t>
  </si>
  <si>
    <t>9608.23万</t>
  </si>
  <si>
    <t>9.37亿</t>
  </si>
  <si>
    <t>-6029.40万</t>
  </si>
  <si>
    <t>1843.38万</t>
  </si>
  <si>
    <t>274.99万</t>
  </si>
  <si>
    <t>12.35亿</t>
  </si>
  <si>
    <t>13.89亿</t>
  </si>
  <si>
    <t>-7337.08万</t>
  </si>
  <si>
    <t>185.03万</t>
  </si>
  <si>
    <t>1343.39万</t>
  </si>
  <si>
    <t>3.80万</t>
  </si>
  <si>
    <t>10627856亿</t>
  </si>
  <si>
    <t>119323209亿</t>
  </si>
  <si>
    <t>985775180亿</t>
  </si>
  <si>
    <t>5.11亿</t>
  </si>
  <si>
    <t>3.78亿</t>
  </si>
  <si>
    <t>2542.25万</t>
  </si>
  <si>
    <t>80.46万</t>
  </si>
  <si>
    <t>3352.48万</t>
  </si>
  <si>
    <t>-5120.96万</t>
  </si>
  <si>
    <t>-7007.36万</t>
  </si>
  <si>
    <t>3173.50万</t>
  </si>
  <si>
    <t>16.52亿</t>
  </si>
  <si>
    <t>4103.80万</t>
  </si>
  <si>
    <t>-2172.60万</t>
  </si>
  <si>
    <t>10派0.3元(含税)</t>
  </si>
  <si>
    <t>1619.45万</t>
  </si>
  <si>
    <t>174.00万</t>
  </si>
  <si>
    <t>9.61亿</t>
  </si>
  <si>
    <t>-4043.89万</t>
  </si>
  <si>
    <t>296.80万</t>
  </si>
  <si>
    <t>673.81万</t>
  </si>
  <si>
    <t>12396406亿</t>
  </si>
  <si>
    <t>63151956亿</t>
  </si>
  <si>
    <t>626555620亿</t>
  </si>
  <si>
    <t>8006.08万</t>
  </si>
  <si>
    <t>8646.43万</t>
  </si>
  <si>
    <t>8507.79万</t>
  </si>
  <si>
    <t>-2746.84万</t>
  </si>
  <si>
    <t>7.09亿</t>
  </si>
  <si>
    <t>6854.69万</t>
  </si>
  <si>
    <t>576.14万</t>
  </si>
  <si>
    <t>10派1.45元(含税)</t>
  </si>
  <si>
    <t>963.32万</t>
  </si>
  <si>
    <t>6-1</t>
  </si>
  <si>
    <t>162.59万</t>
  </si>
  <si>
    <t>8.14亿</t>
  </si>
  <si>
    <t>16.95亿</t>
  </si>
  <si>
    <t>3.69亿</t>
  </si>
  <si>
    <t>2685.16万</t>
  </si>
  <si>
    <t>292.13万</t>
  </si>
  <si>
    <t>1628.93万</t>
  </si>
  <si>
    <t>2556412亿</t>
  </si>
  <si>
    <t>29.45万</t>
  </si>
  <si>
    <t>21679169亿</t>
  </si>
  <si>
    <t>105000534亿</t>
  </si>
  <si>
    <t>1419355700亿</t>
  </si>
  <si>
    <t>6674.52万</t>
  </si>
  <si>
    <t>1.65亿</t>
  </si>
  <si>
    <t>23.94万</t>
  </si>
  <si>
    <t>2.64亿</t>
  </si>
  <si>
    <t>1372.69万</t>
  </si>
  <si>
    <t>-465.11万</t>
  </si>
  <si>
    <t>3875.28万</t>
  </si>
  <si>
    <t>-495.07万</t>
  </si>
  <si>
    <t>1148.99万</t>
  </si>
  <si>
    <t>026851600</t>
  </si>
  <si>
    <t>080554800</t>
  </si>
  <si>
    <t>0161109600</t>
  </si>
  <si>
    <t>0268516000</t>
  </si>
  <si>
    <t>0537032000</t>
  </si>
  <si>
    <t>636.32万</t>
  </si>
  <si>
    <t>9.80亿</t>
  </si>
  <si>
    <t>9691.89万</t>
  </si>
  <si>
    <t>2.76亿</t>
  </si>
  <si>
    <t>105.99万</t>
  </si>
  <si>
    <t>1746.93万</t>
  </si>
  <si>
    <t>5144193亿</t>
  </si>
  <si>
    <t>103.31万</t>
  </si>
  <si>
    <t>-20964559亿</t>
  </si>
  <si>
    <t>53912836亿</t>
  </si>
  <si>
    <t>8329.45万</t>
  </si>
  <si>
    <t>1022160690亿</t>
  </si>
  <si>
    <t>4502.69万</t>
  </si>
  <si>
    <t>4.78亿</t>
  </si>
  <si>
    <t>-3264.70万</t>
  </si>
  <si>
    <t>-1652.64万</t>
  </si>
  <si>
    <t>9.36亿</t>
  </si>
  <si>
    <t>8980.19万</t>
  </si>
  <si>
    <t>-3755.18万</t>
  </si>
  <si>
    <t>2015.24万</t>
  </si>
  <si>
    <t>2632.21万</t>
  </si>
  <si>
    <t>9615.66万</t>
  </si>
  <si>
    <t>开始亏损</t>
  </si>
  <si>
    <t>0290756700</t>
  </si>
  <si>
    <t>0581513400</t>
  </si>
  <si>
    <t>0969189000</t>
  </si>
  <si>
    <t>01938378000</t>
  </si>
  <si>
    <t>195.16万</t>
  </si>
  <si>
    <t>16.76亿</t>
  </si>
  <si>
    <t>7.60亿</t>
  </si>
  <si>
    <t>2.22亿</t>
  </si>
  <si>
    <t>214.42万</t>
  </si>
  <si>
    <t>1378.00万</t>
  </si>
  <si>
    <t>5010661亿</t>
  </si>
  <si>
    <t>14511676亿</t>
  </si>
  <si>
    <t>89858141亿</t>
  </si>
  <si>
    <t>9986.04万</t>
  </si>
  <si>
    <t>2184356500亿</t>
  </si>
  <si>
    <t>3197.14万</t>
  </si>
  <si>
    <t>6.04亿</t>
  </si>
  <si>
    <t>5732.80万</t>
  </si>
  <si>
    <t>-4392.10万</t>
  </si>
  <si>
    <t>-2.08亿</t>
  </si>
  <si>
    <t>865.41万</t>
  </si>
  <si>
    <t>10.59亿</t>
  </si>
  <si>
    <t>2532.53万</t>
  </si>
  <si>
    <t>830.73万</t>
  </si>
  <si>
    <t>6295.92万</t>
  </si>
  <si>
    <t>-6-1</t>
  </si>
  <si>
    <t>2245.65万</t>
  </si>
  <si>
    <t>118.07亿</t>
  </si>
  <si>
    <t>90.87亿</t>
  </si>
  <si>
    <t>22.35亿</t>
  </si>
  <si>
    <t>-2.97亿</t>
  </si>
  <si>
    <t>-15508005亿</t>
  </si>
  <si>
    <t>52.92万</t>
  </si>
  <si>
    <t>-177912600亿</t>
  </si>
  <si>
    <t>24.55亿</t>
  </si>
  <si>
    <t>36360343亿</t>
  </si>
  <si>
    <t>3810888700亿</t>
  </si>
  <si>
    <t>21.24亿</t>
  </si>
  <si>
    <t>26.95亿</t>
  </si>
  <si>
    <t>4.26万</t>
  </si>
  <si>
    <t>-5.93亿</t>
  </si>
  <si>
    <t>142.62亿</t>
  </si>
  <si>
    <t>114.65亿</t>
  </si>
  <si>
    <t>2520.08万</t>
  </si>
  <si>
    <t>-7.75亿</t>
  </si>
  <si>
    <t>-3406.11万</t>
  </si>
  <si>
    <t>4324.27万</t>
  </si>
  <si>
    <t>ST亿利</t>
  </si>
  <si>
    <t>121.80亿</t>
  </si>
  <si>
    <t>190.56亿</t>
  </si>
  <si>
    <t>13.18亿</t>
  </si>
  <si>
    <t>336.47亿</t>
  </si>
  <si>
    <t>2.72亿</t>
  </si>
  <si>
    <t>13.49亿</t>
  </si>
  <si>
    <t>515.29万</t>
  </si>
  <si>
    <t>7774.58万</t>
  </si>
  <si>
    <t>151471990亿</t>
  </si>
  <si>
    <t>123.52万</t>
  </si>
  <si>
    <t>-42080021亿</t>
  </si>
  <si>
    <t>37.78亿</t>
  </si>
  <si>
    <t>3190.64万</t>
  </si>
  <si>
    <t>6141593100亿</t>
  </si>
  <si>
    <t>10.47亿</t>
  </si>
  <si>
    <t>24.84亿</t>
  </si>
  <si>
    <t>71.60亿</t>
  </si>
  <si>
    <t>6908.01万</t>
  </si>
  <si>
    <t>-1.21亿</t>
  </si>
  <si>
    <t>87.61亿</t>
  </si>
  <si>
    <t>97.73亿</t>
  </si>
  <si>
    <t>-5.42亿</t>
  </si>
  <si>
    <t>8324.12万</t>
  </si>
  <si>
    <t>11.61亿</t>
  </si>
  <si>
    <t>246.51万</t>
  </si>
  <si>
    <t>14.65亿</t>
  </si>
  <si>
    <t>6.12亿</t>
  </si>
  <si>
    <t>329.33亿</t>
  </si>
  <si>
    <t>5.20亿</t>
  </si>
  <si>
    <t>189.31万</t>
  </si>
  <si>
    <t>1192.02万</t>
  </si>
  <si>
    <t>100.28万</t>
  </si>
  <si>
    <t>-36451226亿</t>
  </si>
  <si>
    <t>3905.13万</t>
  </si>
  <si>
    <t>45537184亿</t>
  </si>
  <si>
    <t>225.26万</t>
  </si>
  <si>
    <t>304580180亿</t>
  </si>
  <si>
    <t>5.52亿</t>
  </si>
  <si>
    <t>5202.13万</t>
  </si>
  <si>
    <t>12.06亿</t>
  </si>
  <si>
    <t>2525.00万</t>
  </si>
  <si>
    <t>-1293.34万</t>
  </si>
  <si>
    <t>-1171.62万</t>
  </si>
  <si>
    <t>1587.55万</t>
  </si>
  <si>
    <t>60.20亿</t>
  </si>
  <si>
    <t>636.45万</t>
  </si>
  <si>
    <t>1583.37万</t>
  </si>
  <si>
    <t>716.23万</t>
  </si>
  <si>
    <t>52.11亿</t>
  </si>
  <si>
    <t>131.45亿</t>
  </si>
  <si>
    <t>26.53亿</t>
  </si>
  <si>
    <t>82.22亿</t>
  </si>
  <si>
    <t>22.77亿</t>
  </si>
  <si>
    <t>4166.25万</t>
  </si>
  <si>
    <t>-897865亿</t>
  </si>
  <si>
    <t>117.33万</t>
  </si>
  <si>
    <t>22874133亿</t>
  </si>
  <si>
    <t>11.14亿</t>
  </si>
  <si>
    <t>284032370亿</t>
  </si>
  <si>
    <t>4298554700亿</t>
  </si>
  <si>
    <t>6.55亿</t>
  </si>
  <si>
    <t>41.35亿</t>
  </si>
  <si>
    <t>1903.72万</t>
  </si>
  <si>
    <t>-1.64亿</t>
  </si>
  <si>
    <t>190.46亿</t>
  </si>
  <si>
    <t>18.65亿</t>
  </si>
  <si>
    <t>161.01亿</t>
  </si>
  <si>
    <t>21.54亿</t>
  </si>
  <si>
    <t>10派2.74元(含税)</t>
  </si>
  <si>
    <t>3228.04万</t>
  </si>
  <si>
    <t>280.44万</t>
  </si>
  <si>
    <t>6.61亿</t>
  </si>
  <si>
    <t>4.73亿</t>
  </si>
  <si>
    <t>4.14亿</t>
  </si>
  <si>
    <t>707.79万</t>
  </si>
  <si>
    <t>3711.77万</t>
  </si>
  <si>
    <t>3.37万</t>
  </si>
  <si>
    <t>5585668亿</t>
  </si>
  <si>
    <t>275397760亿</t>
  </si>
  <si>
    <t>7.30万</t>
  </si>
  <si>
    <t>1849415100亿</t>
  </si>
  <si>
    <t>7350.45万</t>
  </si>
  <si>
    <t>1601.50万</t>
  </si>
  <si>
    <t>5.53亿</t>
  </si>
  <si>
    <t>4994.93万</t>
  </si>
  <si>
    <t>-6856.32万</t>
  </si>
  <si>
    <t>-527.74万</t>
  </si>
  <si>
    <t>21.97亿</t>
  </si>
  <si>
    <t>2645.15万</t>
  </si>
  <si>
    <t>10派0.1元(含税)</t>
  </si>
  <si>
    <t>2253.59万</t>
  </si>
  <si>
    <t>3418.61万</t>
  </si>
  <si>
    <t>106.26亿</t>
  </si>
  <si>
    <t>151.11亿</t>
  </si>
  <si>
    <t>52.16亿</t>
  </si>
  <si>
    <t>41.63亿</t>
  </si>
  <si>
    <t>-2.21亿</t>
  </si>
  <si>
    <t>50.31亿</t>
  </si>
  <si>
    <t>42.96亿</t>
  </si>
  <si>
    <t>3619.66万</t>
  </si>
  <si>
    <t>-523576亿</t>
  </si>
  <si>
    <t>143.31万</t>
  </si>
  <si>
    <t>73190942亿</t>
  </si>
  <si>
    <t>26.76亿</t>
  </si>
  <si>
    <t>495142180亿</t>
  </si>
  <si>
    <t>9765.21万</t>
  </si>
  <si>
    <t>7741403700亿</t>
  </si>
  <si>
    <t>16.30亿</t>
  </si>
  <si>
    <t>7755.93万</t>
  </si>
  <si>
    <t>7.80亿</t>
  </si>
  <si>
    <t>25.28亿</t>
  </si>
  <si>
    <t>6358.29万</t>
  </si>
  <si>
    <t>53.36亿</t>
  </si>
  <si>
    <t>19.91亿</t>
  </si>
  <si>
    <t>-111.38万</t>
  </si>
  <si>
    <t>-1.30亿</t>
  </si>
  <si>
    <t>-3.95亿</t>
  </si>
  <si>
    <t>219.20亿</t>
  </si>
  <si>
    <t>5.66亿</t>
  </si>
  <si>
    <t>6136.85万</t>
  </si>
  <si>
    <t>10派0.83元(含税)</t>
  </si>
  <si>
    <t>5.80亿</t>
  </si>
  <si>
    <t>310.20万</t>
  </si>
  <si>
    <t>3925.22万</t>
  </si>
  <si>
    <t>3244.13万</t>
  </si>
  <si>
    <t>44.90亿</t>
  </si>
  <si>
    <t>2990.41万</t>
  </si>
  <si>
    <t>3009.98万</t>
  </si>
  <si>
    <t>17.54万</t>
  </si>
  <si>
    <t>213.91万</t>
  </si>
  <si>
    <t>2535239亿</t>
  </si>
  <si>
    <t>4732264亿</t>
  </si>
  <si>
    <t>2515.96万</t>
  </si>
  <si>
    <t>456847930亿</t>
  </si>
  <si>
    <t>418.48万</t>
  </si>
  <si>
    <t>1364.82万</t>
  </si>
  <si>
    <t>46.59万</t>
  </si>
  <si>
    <t>2901.35万</t>
  </si>
  <si>
    <t>3171.26万</t>
  </si>
  <si>
    <t>-258.11万</t>
  </si>
  <si>
    <t>-9.97万</t>
  </si>
  <si>
    <t>6.20亿</t>
  </si>
  <si>
    <t>7325.13万</t>
  </si>
  <si>
    <t>708.30万</t>
  </si>
  <si>
    <t>1856.14万</t>
  </si>
  <si>
    <t>1.61亿</t>
  </si>
  <si>
    <t>SH600586</t>
  </si>
  <si>
    <t>金晶科技</t>
  </si>
  <si>
    <t>786.28万</t>
  </si>
  <si>
    <t>55.05亿</t>
  </si>
  <si>
    <t>60.39亿</t>
  </si>
  <si>
    <t>17.75亿</t>
  </si>
  <si>
    <t>100.12亿</t>
  </si>
  <si>
    <t>15.76亿</t>
  </si>
  <si>
    <t>13.84亿</t>
  </si>
  <si>
    <t>997.84万</t>
  </si>
  <si>
    <t>6414.22万</t>
  </si>
  <si>
    <t>-5911375亿</t>
  </si>
  <si>
    <t>51.12万</t>
  </si>
  <si>
    <t>165339610亿</t>
  </si>
  <si>
    <t>21.83亿</t>
  </si>
  <si>
    <t>383460520亿</t>
  </si>
  <si>
    <t>4334255100亿</t>
  </si>
  <si>
    <t>13.60亿</t>
  </si>
  <si>
    <t>10.57亿</t>
  </si>
  <si>
    <t>13.29亿</t>
  </si>
  <si>
    <t>46.61亿</t>
  </si>
  <si>
    <t>8.20亿</t>
  </si>
  <si>
    <t>-1.29亿</t>
  </si>
  <si>
    <t>-2945.40万</t>
  </si>
  <si>
    <t>74.59亿</t>
  </si>
  <si>
    <t>69.22亿</t>
  </si>
  <si>
    <t>48.84亿</t>
  </si>
  <si>
    <t>52.64亿</t>
  </si>
  <si>
    <t>51.25亿</t>
  </si>
  <si>
    <t>13.07亿</t>
  </si>
  <si>
    <t>3.31亿</t>
  </si>
  <si>
    <t>9843.50万</t>
  </si>
  <si>
    <t>7839.42万</t>
  </si>
  <si>
    <t>79.70亿</t>
  </si>
  <si>
    <t>24.39亿</t>
  </si>
  <si>
    <t>3989.92万</t>
  </si>
  <si>
    <t>1128.30万</t>
  </si>
  <si>
    <t>10.81亿</t>
  </si>
  <si>
    <t>1330.10万</t>
  </si>
  <si>
    <t>43.31亿</t>
  </si>
  <si>
    <t>284.24万</t>
  </si>
  <si>
    <t>887.70万</t>
  </si>
  <si>
    <t>11.17万</t>
  </si>
  <si>
    <t>-10901758亿</t>
  </si>
  <si>
    <t>6480.92万</t>
  </si>
  <si>
    <t>31032037亿</t>
  </si>
  <si>
    <t>430005310亿</t>
  </si>
  <si>
    <t>1259.27万</t>
  </si>
  <si>
    <t>3633.37万</t>
  </si>
  <si>
    <t>10.95亿</t>
  </si>
  <si>
    <t>-2168.20万</t>
  </si>
  <si>
    <t>-26.25万</t>
  </si>
  <si>
    <t>3345.05万</t>
  </si>
  <si>
    <t>7.33亿</t>
  </si>
  <si>
    <t>9913.49万</t>
  </si>
  <si>
    <t>5617.02万</t>
  </si>
  <si>
    <t>3.63亿</t>
  </si>
  <si>
    <t>282.05万</t>
  </si>
  <si>
    <t>35.25亿</t>
  </si>
  <si>
    <t>89.50亿</t>
  </si>
  <si>
    <t>20.74亿</t>
  </si>
  <si>
    <t>170.31亿</t>
  </si>
  <si>
    <t>3051.29万</t>
  </si>
  <si>
    <t>18.54亿</t>
  </si>
  <si>
    <t>17.12亿</t>
  </si>
  <si>
    <t>3991.08万</t>
  </si>
  <si>
    <t>1892.02万</t>
  </si>
  <si>
    <t>33764642亿</t>
  </si>
  <si>
    <t>1.69万</t>
  </si>
  <si>
    <t>211117470亿</t>
  </si>
  <si>
    <t>34.29亿</t>
  </si>
  <si>
    <t>326836930亿</t>
  </si>
  <si>
    <t>4562824400亿</t>
  </si>
  <si>
    <t>10.39亿</t>
  </si>
  <si>
    <t>20.27亿</t>
  </si>
  <si>
    <t>3315.32万</t>
  </si>
  <si>
    <t>-1.51亿</t>
  </si>
  <si>
    <t>-1419.38万</t>
  </si>
  <si>
    <t>72.14亿</t>
  </si>
  <si>
    <t>43.02亿</t>
  </si>
  <si>
    <t>-2731.64万</t>
  </si>
  <si>
    <t>1664.29万</t>
  </si>
  <si>
    <t>705.07万</t>
  </si>
  <si>
    <t>358.01亿</t>
  </si>
  <si>
    <t>268.69亿</t>
  </si>
  <si>
    <t>105.94亿</t>
  </si>
  <si>
    <t>6.80亿</t>
  </si>
  <si>
    <t>596.30万</t>
  </si>
  <si>
    <t>104.94亿</t>
  </si>
  <si>
    <t>97.58亿</t>
  </si>
  <si>
    <t>60797016亿</t>
  </si>
  <si>
    <t>663.15万</t>
  </si>
  <si>
    <t>118590514亿</t>
  </si>
  <si>
    <t>137.21亿</t>
  </si>
  <si>
    <t>1777355800亿</t>
  </si>
  <si>
    <t>25320064000亿</t>
  </si>
  <si>
    <t>18.72亿</t>
  </si>
  <si>
    <t>5.58亿</t>
  </si>
  <si>
    <t>48.58亿</t>
  </si>
  <si>
    <t>249.22亿</t>
  </si>
  <si>
    <t>72.36亿</t>
  </si>
  <si>
    <t>-20.64亿</t>
  </si>
  <si>
    <t>-1.93亿</t>
  </si>
  <si>
    <t>-2.41亿</t>
  </si>
  <si>
    <t>385.11亿</t>
  </si>
  <si>
    <t>408.81亿</t>
  </si>
  <si>
    <t>1.70亿</t>
  </si>
  <si>
    <t>9.05亿</t>
  </si>
  <si>
    <t>15.97万</t>
  </si>
  <si>
    <t>4804.96万</t>
  </si>
  <si>
    <t>05963000</t>
  </si>
  <si>
    <t>017889000</t>
  </si>
  <si>
    <t>035778000</t>
  </si>
  <si>
    <t>059630000</t>
  </si>
  <si>
    <t>0119260000</t>
  </si>
  <si>
    <t>236.56万</t>
  </si>
  <si>
    <t>6292.39万</t>
  </si>
  <si>
    <t>7333.77万</t>
  </si>
  <si>
    <t>-16.47亿</t>
  </si>
  <si>
    <t>7079.94万</t>
  </si>
  <si>
    <t>6235.33万</t>
  </si>
  <si>
    <t>805.22万</t>
  </si>
  <si>
    <t>1995635亿</t>
  </si>
  <si>
    <t>3.29亿</t>
  </si>
  <si>
    <t>45432621亿</t>
  </si>
  <si>
    <t>2634.49万</t>
  </si>
  <si>
    <t>644274700亿</t>
  </si>
  <si>
    <t>152.44万</t>
  </si>
  <si>
    <t>1333.27万</t>
  </si>
  <si>
    <t>5668.90万</t>
  </si>
  <si>
    <t>-159.97万</t>
  </si>
  <si>
    <t>-84.17万</t>
  </si>
  <si>
    <t>766.93万</t>
  </si>
  <si>
    <t>-5454.35万</t>
  </si>
  <si>
    <t>1665.52万</t>
  </si>
  <si>
    <t>291.95万</t>
  </si>
  <si>
    <t>31.67亿</t>
  </si>
  <si>
    <t>9848.04万</t>
  </si>
  <si>
    <t>16.11万</t>
  </si>
  <si>
    <t>473.94万</t>
  </si>
  <si>
    <t>2706672亿</t>
  </si>
  <si>
    <t>12080093亿</t>
  </si>
  <si>
    <t>6.29亿</t>
  </si>
  <si>
    <t>3626577亿</t>
  </si>
  <si>
    <t>1091871090亿</t>
  </si>
  <si>
    <t>39.48万</t>
  </si>
  <si>
    <t>7629.88万</t>
  </si>
  <si>
    <t>-2152.69万</t>
  </si>
  <si>
    <t>-4.01亿</t>
  </si>
  <si>
    <t>-15.62万</t>
  </si>
  <si>
    <t>3357.52万</t>
  </si>
  <si>
    <t>6210.55万</t>
  </si>
  <si>
    <t>1877.83万</t>
  </si>
  <si>
    <t>200.56万</t>
  </si>
  <si>
    <t>12.21亿</t>
  </si>
  <si>
    <t>52.07亿</t>
  </si>
  <si>
    <t>15.01亿</t>
  </si>
  <si>
    <t>98.55亿</t>
  </si>
  <si>
    <t>14.92亿</t>
  </si>
  <si>
    <t>293.24万</t>
  </si>
  <si>
    <t>4328.51万</t>
  </si>
  <si>
    <t>-1163177亿</t>
  </si>
  <si>
    <t>2.33万</t>
  </si>
  <si>
    <t>23302525亿</t>
  </si>
  <si>
    <t>7.94亿</t>
  </si>
  <si>
    <t>156421650亿</t>
  </si>
  <si>
    <t>6825.81万</t>
  </si>
  <si>
    <t>1968744300亿</t>
  </si>
  <si>
    <t>3.28亿</t>
  </si>
  <si>
    <t>-2175.58万</t>
  </si>
  <si>
    <t>27.87亿</t>
  </si>
  <si>
    <t>1790.59万</t>
  </si>
  <si>
    <t>1281.78万</t>
  </si>
  <si>
    <t>9759.28万</t>
  </si>
  <si>
    <t>459.50万</t>
  </si>
  <si>
    <t>129.16亿</t>
  </si>
  <si>
    <t>25.54亿</t>
  </si>
  <si>
    <t>-41.71万</t>
  </si>
  <si>
    <t>2963.79万</t>
  </si>
  <si>
    <t>-378159亿</t>
  </si>
  <si>
    <t>-50933536亿</t>
  </si>
  <si>
    <t>8625.70万</t>
  </si>
  <si>
    <t>18987956亿</t>
  </si>
  <si>
    <t>457.95万</t>
  </si>
  <si>
    <t>227065300亿</t>
  </si>
  <si>
    <t>946.84万</t>
  </si>
  <si>
    <t>-4865.86万</t>
  </si>
  <si>
    <t>27.63万</t>
  </si>
  <si>
    <t>25.22亿</t>
  </si>
  <si>
    <t>-3.93亿</t>
  </si>
  <si>
    <t>2799.43万</t>
  </si>
  <si>
    <t>2.69亿</t>
  </si>
  <si>
    <t>625.00万</t>
  </si>
  <si>
    <t>30.36亿</t>
  </si>
  <si>
    <t>83.83亿</t>
  </si>
  <si>
    <t>15.56亿</t>
  </si>
  <si>
    <t>59.57亿</t>
  </si>
  <si>
    <t>9.13亿</t>
  </si>
  <si>
    <t>8844.91万</t>
  </si>
  <si>
    <t>9596.28万</t>
  </si>
  <si>
    <t>66.74万</t>
  </si>
  <si>
    <t>138747300亿</t>
  </si>
  <si>
    <t>230669090亿</t>
  </si>
  <si>
    <t>4305304700亿</t>
  </si>
  <si>
    <t>4138.24万</t>
  </si>
  <si>
    <t>27.90亿</t>
  </si>
  <si>
    <t>-1.02亿</t>
  </si>
  <si>
    <t>-9275.20万</t>
  </si>
  <si>
    <t>62.62亿</t>
  </si>
  <si>
    <t>3000.03万</t>
  </si>
  <si>
    <t>506.37万</t>
  </si>
  <si>
    <t>29.47亿</t>
  </si>
  <si>
    <t>63.24亿</t>
  </si>
  <si>
    <t>10.72亿</t>
  </si>
  <si>
    <t>14.04亿</t>
  </si>
  <si>
    <t>-6.98亿</t>
  </si>
  <si>
    <t>277.47万</t>
  </si>
  <si>
    <t>5154.50万</t>
  </si>
  <si>
    <t>34.16万</t>
  </si>
  <si>
    <t>-43007494亿</t>
  </si>
  <si>
    <t>38168989亿</t>
  </si>
  <si>
    <t>1067528460亿</t>
  </si>
  <si>
    <t>14.52亿</t>
  </si>
  <si>
    <t>10.33亿</t>
  </si>
  <si>
    <t>24.65亿</t>
  </si>
  <si>
    <t>-3.49亿</t>
  </si>
  <si>
    <t>-3.54亿</t>
  </si>
  <si>
    <t>55.63亿</t>
  </si>
  <si>
    <t>3017.19万</t>
  </si>
  <si>
    <t>-1.19亿</t>
  </si>
  <si>
    <t>10派0.03元(含税)</t>
  </si>
  <si>
    <t>3087.84万</t>
  </si>
  <si>
    <t>74.74万</t>
  </si>
  <si>
    <t>42.59亿</t>
  </si>
  <si>
    <t>86.24亿</t>
  </si>
  <si>
    <t>21.40亿</t>
  </si>
  <si>
    <t>202.82亿</t>
  </si>
  <si>
    <t>21.39亿</t>
  </si>
  <si>
    <t>20.97亿</t>
  </si>
  <si>
    <t>86.94万</t>
  </si>
  <si>
    <t>3237.10万</t>
  </si>
  <si>
    <t>-105914亿</t>
  </si>
  <si>
    <t>21.98万</t>
  </si>
  <si>
    <t>15569131亿</t>
  </si>
  <si>
    <t>11.42亿</t>
  </si>
  <si>
    <t>1823410400亿</t>
  </si>
  <si>
    <t>4.50亿</t>
  </si>
  <si>
    <t>12.02亿</t>
  </si>
  <si>
    <t>19.78亿</t>
  </si>
  <si>
    <t>4.69亿</t>
  </si>
  <si>
    <t>-6.69亿</t>
  </si>
  <si>
    <t>70.50亿</t>
  </si>
  <si>
    <t>65.59亿</t>
  </si>
  <si>
    <t>9861.54万</t>
  </si>
  <si>
    <t>8.40亿</t>
  </si>
  <si>
    <t>10派0.55元(含税)</t>
  </si>
  <si>
    <t>330.65万</t>
  </si>
  <si>
    <t>3402.19万</t>
  </si>
  <si>
    <t>1265.39万</t>
  </si>
  <si>
    <t>330.94亿</t>
  </si>
  <si>
    <t>400.06亿</t>
  </si>
  <si>
    <t>82.27亿</t>
  </si>
  <si>
    <t>19.27亿</t>
  </si>
  <si>
    <t>-5.53亿</t>
  </si>
  <si>
    <t>64.97亿</t>
  </si>
  <si>
    <t>2028.10万</t>
  </si>
  <si>
    <t>13285301亿</t>
  </si>
  <si>
    <t>175.71万</t>
  </si>
  <si>
    <t>1481996700亿</t>
  </si>
  <si>
    <t>18.02亿</t>
  </si>
  <si>
    <t>12450734亿</t>
  </si>
  <si>
    <t>3910580800亿</t>
  </si>
  <si>
    <t>150.84亿</t>
  </si>
  <si>
    <t>7.23亿</t>
  </si>
  <si>
    <t>10.32亿</t>
  </si>
  <si>
    <t>166.46亿</t>
  </si>
  <si>
    <t>159.79亿</t>
  </si>
  <si>
    <t>17.82亿</t>
  </si>
  <si>
    <t>-10.90亿</t>
  </si>
  <si>
    <t>291.36亿</t>
  </si>
  <si>
    <t>56.51亿</t>
  </si>
  <si>
    <t>-6984.82万</t>
  </si>
  <si>
    <t>中小股东10派3.158元(含税);大股东10派2.650元(含税)</t>
  </si>
  <si>
    <t>6774.49万</t>
  </si>
  <si>
    <t>211.72万</t>
  </si>
  <si>
    <t>15.61亿</t>
  </si>
  <si>
    <t>43.27亿</t>
  </si>
  <si>
    <t>6.93亿</t>
  </si>
  <si>
    <t>232.43亿</t>
  </si>
  <si>
    <t>70.34亿</t>
  </si>
  <si>
    <t>4.24亿</t>
  </si>
  <si>
    <t>3258.02万</t>
  </si>
  <si>
    <t>3719.50万</t>
  </si>
  <si>
    <t>17.26万</t>
  </si>
  <si>
    <t>138825500亿</t>
  </si>
  <si>
    <t>14.76亿</t>
  </si>
  <si>
    <t>45451205亿</t>
  </si>
  <si>
    <t>2175110300亿</t>
  </si>
  <si>
    <t>3002.38万</t>
  </si>
  <si>
    <t>4.88亿</t>
  </si>
  <si>
    <t>83.74万</t>
  </si>
  <si>
    <t>12.90亿</t>
  </si>
  <si>
    <t>6005.26万</t>
  </si>
  <si>
    <t>8522.49万</t>
  </si>
  <si>
    <t>-1.44亿</t>
  </si>
  <si>
    <t>-1.52亿</t>
  </si>
  <si>
    <t>28.88亿</t>
  </si>
  <si>
    <t>67.00亿</t>
  </si>
  <si>
    <t>24.26亿</t>
  </si>
  <si>
    <t>10派3.5元(含税)</t>
  </si>
  <si>
    <t>1420.34万</t>
  </si>
  <si>
    <t>2005.78万</t>
  </si>
  <si>
    <t>125.56亿</t>
  </si>
  <si>
    <t>283.85亿</t>
  </si>
  <si>
    <t>51.98亿</t>
  </si>
  <si>
    <t>13.90亿</t>
  </si>
  <si>
    <t>45.24亿</t>
  </si>
  <si>
    <t>40.85亿</t>
  </si>
  <si>
    <t>1299.30万</t>
  </si>
  <si>
    <t>3.25亿</t>
  </si>
  <si>
    <t>143025340亿</t>
  </si>
  <si>
    <t>617.76万</t>
  </si>
  <si>
    <t>748989860亿</t>
  </si>
  <si>
    <t>37.20亿</t>
  </si>
  <si>
    <t>738860620亿</t>
  </si>
  <si>
    <t>7449972300亿</t>
  </si>
  <si>
    <t>58.08亿</t>
  </si>
  <si>
    <t>8.28亿</t>
  </si>
  <si>
    <t>46.47亿</t>
  </si>
  <si>
    <t>88.52亿</t>
  </si>
  <si>
    <t>-3.76亿</t>
  </si>
  <si>
    <t>191.24亿</t>
  </si>
  <si>
    <t>27.23亿</t>
  </si>
  <si>
    <t>1022.15万</t>
  </si>
  <si>
    <t>10派3.2元(含税)</t>
  </si>
  <si>
    <t>608.44万</t>
  </si>
  <si>
    <t>29.88亿</t>
  </si>
  <si>
    <t>118.19亿</t>
  </si>
  <si>
    <t>21.82亿</t>
  </si>
  <si>
    <t>248.03亿</t>
  </si>
  <si>
    <t>74.63亿</t>
  </si>
  <si>
    <t>20.31亿</t>
  </si>
  <si>
    <t>19.44亿</t>
  </si>
  <si>
    <t>1195.09万</t>
  </si>
  <si>
    <t>9476.07万</t>
  </si>
  <si>
    <t>973783亿</t>
  </si>
  <si>
    <t>778.90万</t>
  </si>
  <si>
    <t>11336298亿</t>
  </si>
  <si>
    <t>46.56亿</t>
  </si>
  <si>
    <t>84945444亿</t>
  </si>
  <si>
    <t>1090.70万</t>
  </si>
  <si>
    <t>6542722800亿</t>
  </si>
  <si>
    <t>13.76亿</t>
  </si>
  <si>
    <t>27.76亿</t>
  </si>
  <si>
    <t>-2969.38万</t>
  </si>
  <si>
    <t>-5661.54万</t>
  </si>
  <si>
    <t>109.67亿</t>
  </si>
  <si>
    <t>60.81亿</t>
  </si>
  <si>
    <t>19.79亿</t>
  </si>
  <si>
    <t>10派1.0元(含税)</t>
  </si>
  <si>
    <t>3839.21万</t>
  </si>
  <si>
    <t>2.80亿</t>
  </si>
  <si>
    <t>3-1</t>
  </si>
  <si>
    <t>1066.72万</t>
  </si>
  <si>
    <t>96.10亿</t>
  </si>
  <si>
    <t>113.88亿</t>
  </si>
  <si>
    <t>19.48亿</t>
  </si>
  <si>
    <t>609.18亿</t>
  </si>
  <si>
    <t>19.31亿</t>
  </si>
  <si>
    <t>16.35亿</t>
  </si>
  <si>
    <t>563.17万</t>
  </si>
  <si>
    <t>24597140亿</t>
  </si>
  <si>
    <t>47.37万</t>
  </si>
  <si>
    <t>27924396亿</t>
  </si>
  <si>
    <t>24.64亿</t>
  </si>
  <si>
    <t>136284210亿</t>
  </si>
  <si>
    <t>4588665900亿</t>
  </si>
  <si>
    <t>31.89亿</t>
  </si>
  <si>
    <t>1515.44万</t>
  </si>
  <si>
    <t>54.48亿</t>
  </si>
  <si>
    <t>51.57亿</t>
  </si>
  <si>
    <t>1090.28万</t>
  </si>
  <si>
    <t>-6.15亿</t>
  </si>
  <si>
    <t>73.06亿</t>
  </si>
  <si>
    <t>143.72亿</t>
  </si>
  <si>
    <t>5163.21万</t>
  </si>
  <si>
    <t>835.45万</t>
  </si>
  <si>
    <t>29.26亿</t>
  </si>
  <si>
    <t>9.48亿</t>
  </si>
  <si>
    <t>-9402.76万</t>
  </si>
  <si>
    <t>8.42亿</t>
  </si>
  <si>
    <t>862.30万</t>
  </si>
  <si>
    <t>6556.18万</t>
  </si>
  <si>
    <t>12242亿</t>
  </si>
  <si>
    <t>51.31万</t>
  </si>
  <si>
    <t>88442360亿</t>
  </si>
  <si>
    <t>533265910亿</t>
  </si>
  <si>
    <t>232.77万</t>
  </si>
  <si>
    <t>1900147600亿</t>
  </si>
  <si>
    <t>4958.92万</t>
  </si>
  <si>
    <t>2.04亿</t>
  </si>
  <si>
    <t>-5732.32万</t>
  </si>
  <si>
    <t>-4962.95万</t>
  </si>
  <si>
    <t>2936.63万</t>
  </si>
  <si>
    <t>36.99亿</t>
  </si>
  <si>
    <t>3.71亿</t>
  </si>
  <si>
    <t>-3672.41万</t>
  </si>
  <si>
    <t>10派1.83元(含税)</t>
  </si>
  <si>
    <t>4864.91万</t>
  </si>
  <si>
    <t>SH603113</t>
  </si>
  <si>
    <t>金能科技</t>
  </si>
  <si>
    <t>540.50万</t>
  </si>
  <si>
    <t>95.29亿</t>
  </si>
  <si>
    <t>87.40亿</t>
  </si>
  <si>
    <t>33.87亿</t>
  </si>
  <si>
    <t>17.90亿</t>
  </si>
  <si>
    <t>34.36亿</t>
  </si>
  <si>
    <t>33.05亿</t>
  </si>
  <si>
    <t>349.28万</t>
  </si>
  <si>
    <t>5239.05万</t>
  </si>
  <si>
    <t>-12613906亿</t>
  </si>
  <si>
    <t>203.28万</t>
  </si>
  <si>
    <t>-35059712亿</t>
  </si>
  <si>
    <t>25.66亿</t>
  </si>
  <si>
    <t>1073814350亿</t>
  </si>
  <si>
    <t>6806141100亿</t>
  </si>
  <si>
    <t>41.94亿</t>
  </si>
  <si>
    <t>30.19亿</t>
  </si>
  <si>
    <t>18.98亿</t>
  </si>
  <si>
    <t>65.26亿</t>
  </si>
  <si>
    <t>14.50亿</t>
  </si>
  <si>
    <t>-2885.42万</t>
  </si>
  <si>
    <t>-4.27亿</t>
  </si>
  <si>
    <t>168.01亿</t>
  </si>
  <si>
    <t>120.13亿</t>
  </si>
  <si>
    <t>81.50亿</t>
  </si>
  <si>
    <t>88.12亿</t>
  </si>
  <si>
    <t>9.26亿</t>
  </si>
  <si>
    <t>8.89亿</t>
  </si>
  <si>
    <t>7.62亿</t>
  </si>
  <si>
    <t>12.70亿</t>
  </si>
  <si>
    <t>145.84亿</t>
  </si>
  <si>
    <t>1271.44万</t>
  </si>
  <si>
    <t>10派0.94元(含税)</t>
  </si>
  <si>
    <t>2379.35万</t>
  </si>
  <si>
    <t>0411000000</t>
  </si>
  <si>
    <t>0822000000</t>
  </si>
  <si>
    <t>01370000000</t>
  </si>
  <si>
    <t>02740000000</t>
  </si>
  <si>
    <t>161.43万</t>
  </si>
  <si>
    <t>19.24亿</t>
  </si>
  <si>
    <t>3.93亿</t>
  </si>
  <si>
    <t>33.32亿</t>
  </si>
  <si>
    <t>287.48万</t>
  </si>
  <si>
    <t>857.39万</t>
  </si>
  <si>
    <t>13.77万</t>
  </si>
  <si>
    <t>42373069亿</t>
  </si>
  <si>
    <t>110235539亿</t>
  </si>
  <si>
    <t>958009940亿</t>
  </si>
  <si>
    <t>17.37亿</t>
  </si>
  <si>
    <t>100.08万</t>
  </si>
  <si>
    <t>-2.94亿</t>
  </si>
  <si>
    <t>21.15亿</t>
  </si>
  <si>
    <t>7.58亿</t>
  </si>
  <si>
    <t>268.05万</t>
  </si>
  <si>
    <t>10派2.82元(含税)</t>
  </si>
  <si>
    <t>861.17万</t>
  </si>
  <si>
    <t>5201.48万</t>
  </si>
  <si>
    <t>2706.31万</t>
  </si>
  <si>
    <t>23.11亿</t>
  </si>
  <si>
    <t>54.83亿</t>
  </si>
  <si>
    <t>11.80亿</t>
  </si>
  <si>
    <t>107.57亿</t>
  </si>
  <si>
    <t>10.31亿</t>
  </si>
  <si>
    <t>9.30亿</t>
  </si>
  <si>
    <t>929.29万</t>
  </si>
  <si>
    <t>7363.12万</t>
  </si>
  <si>
    <t>7663225亿</t>
  </si>
  <si>
    <t>123.43万</t>
  </si>
  <si>
    <t>118592767亿</t>
  </si>
  <si>
    <t>662247040亿</t>
  </si>
  <si>
    <t>3264435600亿</t>
  </si>
  <si>
    <t>3142.44万</t>
  </si>
  <si>
    <t>8332.54万</t>
  </si>
  <si>
    <t>5.17亿</t>
  </si>
  <si>
    <t>257.43万</t>
  </si>
  <si>
    <t>4.85亿</t>
  </si>
  <si>
    <t>-4364.12万</t>
  </si>
  <si>
    <t>-2298.81万</t>
  </si>
  <si>
    <t>-244.88万</t>
  </si>
  <si>
    <t>70.21亿</t>
  </si>
  <si>
    <t>23.41亿</t>
  </si>
  <si>
    <t>8.54亿</t>
  </si>
  <si>
    <t>8315.53万</t>
  </si>
  <si>
    <t>2.60亿</t>
  </si>
  <si>
    <t>64.54万</t>
  </si>
  <si>
    <t>17.66亿</t>
  </si>
  <si>
    <t>123.73万</t>
  </si>
  <si>
    <t>1009.94万</t>
  </si>
  <si>
    <t>672387亿</t>
  </si>
  <si>
    <t>2.35万</t>
  </si>
  <si>
    <t>13245018亿</t>
  </si>
  <si>
    <t>44353887亿</t>
  </si>
  <si>
    <t>1181349600亿</t>
  </si>
  <si>
    <t>1027.88万</t>
  </si>
  <si>
    <t>3019.26万</t>
  </si>
  <si>
    <t>2850.61万</t>
  </si>
  <si>
    <t>12.64万</t>
  </si>
  <si>
    <t>7841.56万</t>
  </si>
  <si>
    <t>-1634.30万</t>
  </si>
  <si>
    <t>-828.26万</t>
  </si>
  <si>
    <t>7807.91万</t>
  </si>
  <si>
    <t>9748.48万</t>
  </si>
  <si>
    <t>10转3股派2元(含税)</t>
  </si>
  <si>
    <t>389.87万</t>
  </si>
  <si>
    <t>4153.46万</t>
  </si>
  <si>
    <t>904.63万</t>
  </si>
  <si>
    <t>41.78亿</t>
  </si>
  <si>
    <t>13.88亿</t>
  </si>
  <si>
    <t>44.44亿</t>
  </si>
  <si>
    <t>8.01亿</t>
  </si>
  <si>
    <t>8.98亿</t>
  </si>
  <si>
    <t>9555.39万</t>
  </si>
  <si>
    <t>6100.38万</t>
  </si>
  <si>
    <t>112437亿</t>
  </si>
  <si>
    <t>67.85万</t>
  </si>
  <si>
    <t>214496990亿</t>
  </si>
  <si>
    <t>40.48亿</t>
  </si>
  <si>
    <t>327096820亿</t>
  </si>
  <si>
    <t>5519625600亿</t>
  </si>
  <si>
    <t>9.83亿</t>
  </si>
  <si>
    <t>6.68亿</t>
  </si>
  <si>
    <t>9.20亿</t>
  </si>
  <si>
    <t>1365.95万</t>
  </si>
  <si>
    <t>32.09亿</t>
  </si>
  <si>
    <t>4.33亿</t>
  </si>
  <si>
    <t>56.82亿</t>
  </si>
  <si>
    <t>8.43亿</t>
  </si>
  <si>
    <t>7.38亿</t>
  </si>
  <si>
    <t>10派4.25元(含税)</t>
  </si>
  <si>
    <t>4835.84万</t>
  </si>
  <si>
    <t>121.08万</t>
  </si>
  <si>
    <t>8.91亿</t>
  </si>
  <si>
    <t>24.12亿</t>
  </si>
  <si>
    <t>4.57亿</t>
  </si>
  <si>
    <t>225.88亿</t>
  </si>
  <si>
    <t>14.12亿</t>
  </si>
  <si>
    <t>3.99亿</t>
  </si>
  <si>
    <t>630.51万</t>
  </si>
  <si>
    <t>2141.46万</t>
  </si>
  <si>
    <t>3342533亿</t>
  </si>
  <si>
    <t>12.39万</t>
  </si>
  <si>
    <t>5208409亿</t>
  </si>
  <si>
    <t>134451010亿</t>
  </si>
  <si>
    <t>1425077200亿</t>
  </si>
  <si>
    <t>208.19万</t>
  </si>
  <si>
    <t>5763.23万</t>
  </si>
  <si>
    <t>2.71亿</t>
  </si>
  <si>
    <t>-2086.40万</t>
  </si>
  <si>
    <t>-3151.92万</t>
  </si>
  <si>
    <t>21.29亿</t>
  </si>
  <si>
    <t>52.66亿</t>
  </si>
  <si>
    <t>10派0.52元(含税)</t>
  </si>
  <si>
    <t>641.90万</t>
  </si>
  <si>
    <t>4924.55万</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</si>
</sst>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b/>
      <sz val="9"/>
      <color rgb="FFFF0000"/>
      <name val="宋体"/>
      <family val="3"/>
      <charset val="134"/>
      <scheme val="minor"/>
    </font>
    <font>
      <sz val="11"/>
      <color rgb="FFFF0000"/>
      <name val="宋体"/>
      <family val="2"/>
      <charset val="134"/>
      <scheme val="minor"/>
    </font>
    <font>
      <sz val="11"/>
      <name val="宋体"/>
      <family val="2"/>
      <charset val="134"/>
      <scheme val="minor"/>
    </font>
    <font>
      <sz val="9"/>
      <color rgb="FFFF0000"/>
      <name val="宋体"/>
      <family val="3"/>
      <charset val="134"/>
      <scheme val="minor"/>
    </font>
    <font>
      <sz val="11"/>
      <color rgb="FF000000"/>
      <name val="宋体"/>
      <family val="3"/>
      <charset val="134"/>
    </font>
    <font>
      <sz val="9"/>
      <color theme="1"/>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2" fillId="0" borderId="0" applyFill="0" applyProtection="0"/>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6" fillId="0" borderId="0" xfId="0" applyFont="1">
      <alignment vertical="center"/>
    </xf>
    <xf numFmtId="0" fontId="5" fillId="0" borderId="0" xfId="0" applyFont="1">
      <alignment vertical="center"/>
    </xf>
    <xf numFmtId="0" fontId="6" fillId="0" borderId="0" xfId="0" applyFont="1" applyFill="1">
      <alignment vertical="center"/>
    </xf>
    <xf numFmtId="14" fontId="0" fillId="0" borderId="0" xfId="0" applyNumberFormat="1">
      <alignment vertical="center"/>
    </xf>
    <xf numFmtId="0" fontId="0" fillId="0" borderId="0" xfId="0" applyNumberFormat="1">
      <alignment vertical="center"/>
    </xf>
    <xf numFmtId="0" fontId="9" fillId="0" borderId="0" xfId="0" applyFont="1" applyAlignment="1">
      <alignment vertical="center" wrapText="1"/>
    </xf>
  </cellXfs>
  <cellStyles count="3">
    <cellStyle name="Normal 2" xfId="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241300</xdr:colOff>
          <xdr:row>0</xdr:row>
          <xdr:rowOff>101600</xdr:rowOff>
        </xdr:from>
        <xdr:to>
          <xdr:col>147</xdr:col>
          <xdr:colOff>1257300</xdr:colOff>
          <xdr:row>0</xdr:row>
          <xdr:rowOff>412750</xdr:rowOff>
        </xdr:to>
        <xdr:sp macro="" textlink="">
          <xdr:nvSpPr>
            <xdr:cNvPr id="1025" name="Button 1" descr="更新基本面按钮&#10;"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59"/>
  <sheetViews>
    <sheetView tabSelected="1" zoomScale="85" zoomScaleNormal="85" workbookViewId="0">
      <pane xSplit="5" ySplit="1" topLeftCell="F2" activePane="bottomRight" state="frozen"/>
      <selection pane="topRight" activeCell="F1" sqref="F1"/>
      <selection pane="bottomLeft" activeCell="A2" sqref="A2"/>
      <selection pane="bottomRight" activeCell="C36" sqref="C36:C37"/>
    </sheetView>
  </sheetViews>
  <sheetFormatPr defaultRowHeight="14" x14ac:dyDescent="0.25"/>
  <cols>
    <col min="1" max="1" width="35.7265625" customWidth="1"/>
    <col min="2" max="2" width="39.26953125" customWidth="1"/>
    <col min="3" max="3" width="43.1796875" customWidth="1"/>
    <col min="9" max="9" width="11.26953125" customWidth="1"/>
    <col min="148" max="148" width="22.81640625" customWidth="1"/>
  </cols>
  <sheetData>
    <row r="1" spans="1:146" ht="42" customHeight="1" x14ac:dyDescent="0.25">
      <c r="A1" s="3" t="s">
        <v>11</v>
      </c>
      <c r="B1" s="4" t="s">
        <v>10</v>
      </c>
      <c r="C1" s="3" t="s">
        <v>12</v>
      </c>
      <c r="D1" t="s">
        <v>5</v>
      </c>
      <c r="E1" t="s">
        <v>543</v>
      </c>
      <c r="F1" t="s">
        <v>3</v>
      </c>
      <c r="G1" t="s">
        <v>766</v>
      </c>
      <c r="H1" t="s">
        <v>767</v>
      </c>
      <c r="I1" t="s">
        <v>6</v>
      </c>
      <c r="J1" t="s">
        <v>7</v>
      </c>
      <c r="K1" t="s">
        <v>4</v>
      </c>
      <c r="L1" t="s">
        <v>8</v>
      </c>
      <c r="M1" t="s">
        <v>13</v>
      </c>
      <c r="N1" t="s">
        <v>14</v>
      </c>
      <c r="O1" t="s">
        <v>15</v>
      </c>
      <c r="P1" t="s">
        <v>768</v>
      </c>
      <c r="Q1" t="s">
        <v>769</v>
      </c>
      <c r="R1" t="s">
        <v>544</v>
      </c>
      <c r="S1" t="s">
        <v>16</v>
      </c>
      <c r="T1" t="s">
        <v>770</v>
      </c>
      <c r="U1" t="s">
        <v>450</v>
      </c>
      <c r="V1" t="s">
        <v>17</v>
      </c>
      <c r="W1" t="s">
        <v>771</v>
      </c>
      <c r="X1" t="s">
        <v>772</v>
      </c>
      <c r="Y1" t="s">
        <v>773</v>
      </c>
      <c r="Z1" t="s">
        <v>774</v>
      </c>
      <c r="AA1" t="s">
        <v>775</v>
      </c>
      <c r="AB1" t="s">
        <v>776</v>
      </c>
      <c r="AC1" t="s">
        <v>777</v>
      </c>
      <c r="AD1" t="s">
        <v>778</v>
      </c>
      <c r="AE1" t="s">
        <v>18</v>
      </c>
      <c r="AF1" t="s">
        <v>19</v>
      </c>
      <c r="AG1" t="s">
        <v>779</v>
      </c>
      <c r="AH1" t="s">
        <v>780</v>
      </c>
      <c r="AI1" t="s">
        <v>781</v>
      </c>
      <c r="AJ1" t="s">
        <v>20</v>
      </c>
      <c r="AK1" t="s">
        <v>782</v>
      </c>
      <c r="AL1" t="s">
        <v>32</v>
      </c>
      <c r="AM1" t="s">
        <v>783</v>
      </c>
      <c r="AN1" t="s">
        <v>784</v>
      </c>
      <c r="AO1" t="s">
        <v>785</v>
      </c>
      <c r="AP1" t="s">
        <v>786</v>
      </c>
      <c r="AQ1" t="s">
        <v>787</v>
      </c>
      <c r="AR1" t="s">
        <v>788</v>
      </c>
      <c r="AS1" t="s">
        <v>789</v>
      </c>
      <c r="AT1" t="s">
        <v>790</v>
      </c>
      <c r="AU1" t="s">
        <v>791</v>
      </c>
      <c r="AV1" t="s">
        <v>792</v>
      </c>
      <c r="AW1" t="s">
        <v>793</v>
      </c>
      <c r="AX1" t="s">
        <v>794</v>
      </c>
      <c r="AY1" t="s">
        <v>795</v>
      </c>
      <c r="AZ1" t="s">
        <v>33</v>
      </c>
      <c r="BA1" t="s">
        <v>34</v>
      </c>
      <c r="BB1" t="s">
        <v>35</v>
      </c>
      <c r="BC1" t="s">
        <v>796</v>
      </c>
      <c r="BD1" t="s">
        <v>451</v>
      </c>
      <c r="BE1" t="s">
        <v>36</v>
      </c>
      <c r="BF1" t="s">
        <v>37</v>
      </c>
      <c r="BG1" t="s">
        <v>38</v>
      </c>
      <c r="BH1" t="s">
        <v>797</v>
      </c>
      <c r="BI1" t="s">
        <v>798</v>
      </c>
      <c r="BJ1" t="s">
        <v>799</v>
      </c>
      <c r="BK1" t="s">
        <v>800</v>
      </c>
      <c r="BL1" t="s">
        <v>801</v>
      </c>
      <c r="BM1" t="s">
        <v>802</v>
      </c>
      <c r="BN1" t="s">
        <v>803</v>
      </c>
      <c r="BO1" t="s">
        <v>545</v>
      </c>
      <c r="BP1" t="s">
        <v>452</v>
      </c>
      <c r="BQ1" t="s">
        <v>804</v>
      </c>
      <c r="BR1" t="s">
        <v>546</v>
      </c>
      <c r="BS1" t="s">
        <v>453</v>
      </c>
      <c r="BT1" t="s">
        <v>805</v>
      </c>
      <c r="BU1" t="s">
        <v>558</v>
      </c>
      <c r="BV1" t="s">
        <v>806</v>
      </c>
      <c r="BW1" t="s">
        <v>807</v>
      </c>
      <c r="BX1" t="s">
        <v>78</v>
      </c>
      <c r="BY1" t="s">
        <v>808</v>
      </c>
      <c r="BZ1" t="s">
        <v>809</v>
      </c>
      <c r="CA1" t="s">
        <v>79</v>
      </c>
      <c r="CB1" t="s">
        <v>810</v>
      </c>
      <c r="CC1" t="s">
        <v>811</v>
      </c>
      <c r="CD1" t="s">
        <v>812</v>
      </c>
      <c r="CE1" t="s">
        <v>813</v>
      </c>
      <c r="CF1" s="1" t="s">
        <v>547</v>
      </c>
      <c r="CG1" s="1" t="s">
        <v>548</v>
      </c>
      <c r="CH1" s="1" t="s">
        <v>65</v>
      </c>
      <c r="CI1" s="1" t="s">
        <v>66</v>
      </c>
      <c r="CJ1" s="1" t="s">
        <v>67</v>
      </c>
      <c r="CK1" s="1" t="s">
        <v>68</v>
      </c>
      <c r="CL1" s="1" t="s">
        <v>69</v>
      </c>
      <c r="CM1" s="1" t="s">
        <v>70</v>
      </c>
      <c r="CN1" s="1" t="s">
        <v>71</v>
      </c>
      <c r="CO1" s="1" t="s">
        <v>72</v>
      </c>
      <c r="CP1" s="1" t="s">
        <v>73</v>
      </c>
      <c r="CQ1" s="1" t="s">
        <v>74</v>
      </c>
      <c r="CR1" s="1" t="s">
        <v>814</v>
      </c>
      <c r="CS1" s="1" t="s">
        <v>815</v>
      </c>
      <c r="CT1" s="1" t="s">
        <v>816</v>
      </c>
      <c r="CU1" s="1" t="s">
        <v>817</v>
      </c>
      <c r="CV1" s="1" t="s">
        <v>818</v>
      </c>
      <c r="CW1" s="1" t="s">
        <v>819</v>
      </c>
      <c r="CX1">
        <v>1</v>
      </c>
      <c r="CY1" t="s">
        <v>820</v>
      </c>
      <c r="CZ1" t="s">
        <v>821</v>
      </c>
      <c r="DA1">
        <v>3</v>
      </c>
      <c r="DB1" t="s">
        <v>822</v>
      </c>
      <c r="DC1" t="s">
        <v>823</v>
      </c>
      <c r="DD1">
        <v>6</v>
      </c>
      <c r="DE1" t="s">
        <v>824</v>
      </c>
      <c r="DF1" t="s">
        <v>825</v>
      </c>
      <c r="DG1">
        <v>10</v>
      </c>
      <c r="DH1" t="s">
        <v>826</v>
      </c>
      <c r="DI1" t="s">
        <v>827</v>
      </c>
      <c r="DJ1">
        <v>20</v>
      </c>
      <c r="DK1" t="s">
        <v>828</v>
      </c>
      <c r="DL1" t="s">
        <v>75</v>
      </c>
      <c r="DM1" t="s">
        <v>76</v>
      </c>
      <c r="DN1" s="2" t="s">
        <v>77</v>
      </c>
      <c r="DO1" t="s">
        <v>829</v>
      </c>
      <c r="DP1" t="s">
        <v>830</v>
      </c>
      <c r="DQ1" s="13" t="s">
        <v>831</v>
      </c>
      <c r="DR1" s="1" t="s">
        <v>832</v>
      </c>
      <c r="DS1" s="1" t="s">
        <v>833</v>
      </c>
      <c r="DT1" t="s">
        <v>834</v>
      </c>
      <c r="DU1" t="s">
        <v>835</v>
      </c>
      <c r="DV1" t="s">
        <v>836</v>
      </c>
      <c r="DW1" t="s">
        <v>837</v>
      </c>
      <c r="DX1" t="s">
        <v>838</v>
      </c>
      <c r="DY1" t="s">
        <v>839</v>
      </c>
      <c r="DZ1" t="s">
        <v>840</v>
      </c>
      <c r="EA1" t="s">
        <v>841</v>
      </c>
      <c r="EB1" t="s">
        <v>842</v>
      </c>
      <c r="EC1" t="s">
        <v>843</v>
      </c>
      <c r="ED1" t="s">
        <v>844</v>
      </c>
      <c r="EE1" t="s">
        <v>845</v>
      </c>
      <c r="EF1" t="s">
        <v>846</v>
      </c>
      <c r="EG1" t="s">
        <v>847</v>
      </c>
      <c r="EH1" t="s">
        <v>848</v>
      </c>
      <c r="EI1" t="s">
        <v>849</v>
      </c>
      <c r="EK1" s="14" t="s">
        <v>850</v>
      </c>
      <c r="EL1" t="s">
        <v>851</v>
      </c>
      <c r="EM1" t="s">
        <v>852</v>
      </c>
      <c r="EN1" t="s">
        <v>853</v>
      </c>
      <c r="EO1" t="s">
        <v>854</v>
      </c>
      <c r="EP1" t="s">
        <v>855</v>
      </c>
    </row>
    <row r="2" spans="1:146" ht="96" x14ac:dyDescent="0.25">
      <c r="A2" s="8"/>
      <c r="B2" s="8"/>
      <c r="C2" s="8" t="str">
        <f>""&amp;CHAR(10)&amp;Basic_Fundamental_Information_Constructure(F2)&amp;CHAR(10)&amp;Basic_Fundamental_Information_Concatenate("")</f>
        <v xml:space="preserve">
市值17.422612亿, 利润-1.77亿; PE; 平均PE28.29; 平均PEG4.81, PB1.44; ROIC11.155%; ROE6.5367%; 股利率0%; 毛利15.7267%; 净利1.2533%; 上一年度营收增-14.81%, 利润增-1461.62%; 当季营收增-42.94%, 利润增-159.97%; 过往5年营收增5.89%, 利润增-252.11%
Income profile:
</v>
      </c>
      <c r="D2" t="s">
        <v>123</v>
      </c>
      <c r="E2" t="s">
        <v>124</v>
      </c>
      <c r="F2">
        <v>2.86</v>
      </c>
      <c r="G2">
        <v>0</v>
      </c>
      <c r="H2" t="s">
        <v>972</v>
      </c>
      <c r="I2">
        <v>1742261200</v>
      </c>
      <c r="K2">
        <v>1.44</v>
      </c>
      <c r="L2" t="s">
        <v>82</v>
      </c>
      <c r="M2" t="s">
        <v>973</v>
      </c>
      <c r="N2" t="s">
        <v>974</v>
      </c>
      <c r="O2" t="s">
        <v>469</v>
      </c>
      <c r="P2">
        <v>-42.87</v>
      </c>
      <c r="Q2" t="s">
        <v>975</v>
      </c>
      <c r="R2">
        <v>-63134865</v>
      </c>
      <c r="S2" s="5">
        <v>-1.6</v>
      </c>
      <c r="T2" t="s">
        <v>976</v>
      </c>
      <c r="U2">
        <v>567412230</v>
      </c>
      <c r="V2">
        <v>609182250</v>
      </c>
      <c r="W2">
        <v>1.91</v>
      </c>
      <c r="X2">
        <v>0.17</v>
      </c>
      <c r="Y2">
        <v>-15.3</v>
      </c>
      <c r="Z2" t="s">
        <v>977</v>
      </c>
      <c r="AA2" t="s">
        <v>680</v>
      </c>
      <c r="AB2" t="s">
        <v>978</v>
      </c>
      <c r="AC2" t="s">
        <v>979</v>
      </c>
      <c r="AD2" t="s">
        <v>9</v>
      </c>
      <c r="AE2">
        <v>5006868</v>
      </c>
      <c r="AF2" t="s">
        <v>980</v>
      </c>
      <c r="AG2" t="s">
        <v>981</v>
      </c>
      <c r="AH2" t="s">
        <v>982</v>
      </c>
      <c r="AI2" t="s">
        <v>983</v>
      </c>
      <c r="AJ2" t="s">
        <v>984</v>
      </c>
      <c r="AK2" t="s">
        <v>985</v>
      </c>
      <c r="AL2" t="s">
        <v>986</v>
      </c>
      <c r="AM2" t="s">
        <v>9</v>
      </c>
      <c r="AN2" t="s">
        <v>987</v>
      </c>
      <c r="AO2" t="s">
        <v>303</v>
      </c>
      <c r="AP2" t="s">
        <v>30</v>
      </c>
      <c r="AQ2" t="s">
        <v>988</v>
      </c>
      <c r="AR2" t="s">
        <v>989</v>
      </c>
      <c r="AS2" t="s">
        <v>990</v>
      </c>
      <c r="AT2" t="s">
        <v>991</v>
      </c>
      <c r="AU2" t="s">
        <v>992</v>
      </c>
      <c r="AV2" t="s">
        <v>993</v>
      </c>
      <c r="AW2" t="s">
        <v>994</v>
      </c>
      <c r="AX2" t="s">
        <v>642</v>
      </c>
      <c r="AY2" t="s">
        <v>454</v>
      </c>
      <c r="AZ2" t="s">
        <v>125</v>
      </c>
      <c r="BA2" t="s">
        <v>128</v>
      </c>
      <c r="BB2" t="s">
        <v>129</v>
      </c>
      <c r="BC2" t="s">
        <v>995</v>
      </c>
      <c r="BD2" t="s">
        <v>254</v>
      </c>
      <c r="BE2" t="s">
        <v>126</v>
      </c>
      <c r="BF2" t="s">
        <v>130</v>
      </c>
      <c r="BG2" t="s">
        <v>112</v>
      </c>
      <c r="BH2" t="s">
        <v>975</v>
      </c>
      <c r="BI2" t="s">
        <v>996</v>
      </c>
      <c r="BJ2" t="s">
        <v>642</v>
      </c>
      <c r="BK2" t="s">
        <v>976</v>
      </c>
      <c r="BL2" t="s">
        <v>997</v>
      </c>
      <c r="BM2" t="s">
        <v>995</v>
      </c>
      <c r="BN2" t="s">
        <v>9</v>
      </c>
      <c r="BO2">
        <v>0.88</v>
      </c>
      <c r="BP2">
        <v>21.43</v>
      </c>
      <c r="BQ2">
        <v>-6.3</v>
      </c>
      <c r="BR2">
        <v>0.95</v>
      </c>
      <c r="BS2">
        <v>24.96</v>
      </c>
      <c r="BT2" t="s">
        <v>622</v>
      </c>
      <c r="BU2" t="s">
        <v>560</v>
      </c>
      <c r="BV2">
        <v>6.97</v>
      </c>
      <c r="BW2">
        <v>13.65</v>
      </c>
      <c r="BX2">
        <v>26.56</v>
      </c>
      <c r="BY2">
        <v>-6.87</v>
      </c>
      <c r="BZ2">
        <v>0.44</v>
      </c>
      <c r="CA2">
        <v>10.19</v>
      </c>
      <c r="CB2">
        <v>3.25</v>
      </c>
      <c r="CC2">
        <v>-19.66</v>
      </c>
      <c r="CD2" t="s">
        <v>998</v>
      </c>
      <c r="CE2" t="s">
        <v>864</v>
      </c>
      <c r="CF2" s="9">
        <v>-0.42935528120713307</v>
      </c>
      <c r="CG2" s="10">
        <v>-1.5996831455677438</v>
      </c>
      <c r="CH2" s="9">
        <v>-0.14807505905628204</v>
      </c>
      <c r="CI2" s="9">
        <v>2.0483611151576042E-2</v>
      </c>
      <c r="CJ2" s="9">
        <v>0.34934291243553162</v>
      </c>
      <c r="CK2" s="9">
        <v>-4.8296678811311722E-2</v>
      </c>
      <c r="CL2" s="9">
        <v>0.12083131819963455</v>
      </c>
      <c r="CM2" s="10">
        <v>-14.616222381591797</v>
      </c>
      <c r="CN2" s="10">
        <v>-0.95666933059692383</v>
      </c>
      <c r="CO2" s="10">
        <v>3.193645715713501</v>
      </c>
      <c r="CP2" s="10">
        <v>0.15357188880443573</v>
      </c>
      <c r="CQ2" s="10">
        <v>-0.37986698746681213</v>
      </c>
      <c r="CR2">
        <v>28.287341364196873</v>
      </c>
      <c r="CS2">
        <v>4.8060953248353986</v>
      </c>
      <c r="CT2">
        <v>0</v>
      </c>
      <c r="CU2" s="9">
        <v>5.885722078382969E-2</v>
      </c>
      <c r="CV2" s="10">
        <v>-2.5211082190275191</v>
      </c>
      <c r="CW2">
        <v>0.06</v>
      </c>
      <c r="CX2" t="e">
        <v>#VALUE!</v>
      </c>
      <c r="CY2" t="s">
        <v>555</v>
      </c>
      <c r="CZ2">
        <v>5.885722078382969E-2</v>
      </c>
      <c r="DA2" t="e">
        <v>#VALUE!</v>
      </c>
      <c r="DB2" t="s">
        <v>556</v>
      </c>
      <c r="DC2">
        <v>5.5914359744638202E-2</v>
      </c>
      <c r="DD2" t="e">
        <v>#VALUE!</v>
      </c>
      <c r="DE2" t="s">
        <v>556</v>
      </c>
      <c r="DF2">
        <v>5.1794354289770125E-2</v>
      </c>
      <c r="DG2" t="e">
        <v>#VALUE!</v>
      </c>
      <c r="DH2" t="s">
        <v>556</v>
      </c>
      <c r="DI2">
        <v>4.7085776627063758E-2</v>
      </c>
      <c r="DJ2" t="e">
        <v>#VALUE!</v>
      </c>
      <c r="DK2" t="s">
        <v>556</v>
      </c>
      <c r="DL2">
        <v>4.1200054548680781E-2</v>
      </c>
      <c r="DM2">
        <v>-177000000</v>
      </c>
      <c r="DN2">
        <v>5.885722078382969E-2</v>
      </c>
      <c r="DO2">
        <v>1737261200</v>
      </c>
      <c r="DP2">
        <v>-198482280.00000012</v>
      </c>
      <c r="DQ2">
        <v>100</v>
      </c>
      <c r="DR2">
        <v>-0.48821250199096278</v>
      </c>
      <c r="DS2">
        <v>0.92142507345977531</v>
      </c>
      <c r="DT2" s="11">
        <v>-0.3066666666666667</v>
      </c>
      <c r="DU2">
        <v>-1.6366666666666667</v>
      </c>
      <c r="DV2">
        <v>-1.9433333333333334</v>
      </c>
      <c r="DW2">
        <v>6.1418594500218244</v>
      </c>
      <c r="DX2">
        <v>0.42728279781420625</v>
      </c>
      <c r="DY2">
        <v>6.0336608071975633</v>
      </c>
      <c r="DZ2">
        <v>4346</v>
      </c>
      <c r="EA2">
        <v>6.0050326529743518</v>
      </c>
      <c r="EB2">
        <v>6</v>
      </c>
      <c r="EC2">
        <v>0.14256078538072967</v>
      </c>
      <c r="ED2">
        <v>0.60080542399257364</v>
      </c>
      <c r="EE2" s="12">
        <v>-2.0384099999999998</v>
      </c>
      <c r="EF2">
        <v>-2.0698099999999999</v>
      </c>
      <c r="EG2">
        <v>19.237282797814206</v>
      </c>
      <c r="EH2" t="s">
        <v>892</v>
      </c>
      <c r="EI2">
        <v>0</v>
      </c>
      <c r="EJ2">
        <v>0</v>
      </c>
      <c r="EK2" s="14">
        <v>45470</v>
      </c>
      <c r="EL2" s="15">
        <v>-1.03</v>
      </c>
      <c r="EM2" s="15">
        <v>-4.88</v>
      </c>
      <c r="EN2" s="15">
        <v>0.73</v>
      </c>
      <c r="EO2" s="15">
        <v>4.3600000000000003</v>
      </c>
      <c r="EP2" s="15">
        <v>-3.14</v>
      </c>
    </row>
    <row r="3" spans="1:146" ht="132" x14ac:dyDescent="0.25">
      <c r="A3" s="8"/>
      <c r="B3" s="8"/>
      <c r="C3" s="8" t="str">
        <f>"公司主营业务钛白粉生产和销售，主要产品是钛白粉。南京钛白和徐州钛白均获得了“高新技术企业”认定。"&amp;CHAR(10)&amp;Basic_Fundamental_Information_Constructure(F3)&amp;CHAR(10)&amp;Basic_Fundamental_Information_Concatenate("金红石型钛白粉 19.90亿 75.94% 69.18% 18.65%
锐钛型钛白粉 4.58亿 17.48% 17.64% 20.66%
其他 1.72亿 6.58% 13.18% 41.05%")</f>
        <v>公司主营业务钛白粉生产和销售，主要产品是钛白粉。南京钛白和徐州钛白均获得了“高新技术企业”认定。
市值16.973529亿, 利润-1.61亿; PE; 平均PE-31.63; 平均PEG-5.69, PB1.23; ROIC5.12%; ROE-2.8367%; 股利率0%; 毛利10.15%; 净利-2.9467%; 上一年度营收增-9.8%, 利润增-11.03%; 当季营收增-4.74%, 利润增81.08%; 过往5年营收增5.55%, 利润增-255.76%
Income profile:
金红石型钛白粉 19.90亿 75.94% 69.18% 18.65%
锐钛型钛白粉 4.58亿 17.48% 17.64% 20.66%
其他 1.72亿 6.58% 13.18% 41.05%</v>
      </c>
      <c r="D3" t="s">
        <v>410</v>
      </c>
      <c r="E3" t="s">
        <v>411</v>
      </c>
      <c r="F3">
        <v>1.72</v>
      </c>
      <c r="G3">
        <v>1.78</v>
      </c>
      <c r="H3" t="s">
        <v>999</v>
      </c>
      <c r="I3">
        <v>1697352900</v>
      </c>
      <c r="K3">
        <v>1.23</v>
      </c>
      <c r="L3" t="s">
        <v>82</v>
      </c>
      <c r="M3" t="s">
        <v>1000</v>
      </c>
      <c r="N3" t="s">
        <v>1001</v>
      </c>
      <c r="O3" t="s">
        <v>909</v>
      </c>
      <c r="P3">
        <v>-4.74</v>
      </c>
      <c r="Q3" t="s">
        <v>1002</v>
      </c>
      <c r="R3">
        <v>-13572719</v>
      </c>
      <c r="S3" s="5">
        <v>0.81079999999999997</v>
      </c>
      <c r="T3" t="s">
        <v>1003</v>
      </c>
      <c r="U3">
        <v>985403100</v>
      </c>
      <c r="V3">
        <v>986833100</v>
      </c>
      <c r="W3">
        <v>1.83</v>
      </c>
      <c r="X3">
        <v>0.19</v>
      </c>
      <c r="Y3">
        <v>-2.41</v>
      </c>
      <c r="Z3" t="s">
        <v>1004</v>
      </c>
      <c r="AA3" t="s">
        <v>1005</v>
      </c>
      <c r="AB3" t="s">
        <v>1006</v>
      </c>
      <c r="AC3" t="s">
        <v>1007</v>
      </c>
      <c r="AD3" t="s">
        <v>9</v>
      </c>
      <c r="AE3">
        <v>2879485</v>
      </c>
      <c r="AF3" t="s">
        <v>1008</v>
      </c>
      <c r="AG3" t="s">
        <v>1009</v>
      </c>
      <c r="AH3" t="s">
        <v>1010</v>
      </c>
      <c r="AI3" t="s">
        <v>966</v>
      </c>
      <c r="AJ3" t="s">
        <v>1011</v>
      </c>
      <c r="AK3" t="s">
        <v>875</v>
      </c>
      <c r="AL3" t="s">
        <v>1012</v>
      </c>
      <c r="AM3" t="s">
        <v>9</v>
      </c>
      <c r="AN3" t="s">
        <v>952</v>
      </c>
      <c r="AO3" t="s">
        <v>1013</v>
      </c>
      <c r="AP3" t="s">
        <v>1014</v>
      </c>
      <c r="AQ3" t="s">
        <v>877</v>
      </c>
      <c r="AR3" t="s">
        <v>9</v>
      </c>
      <c r="AS3" t="s">
        <v>1015</v>
      </c>
      <c r="AT3" t="s">
        <v>1016</v>
      </c>
      <c r="AU3" t="s">
        <v>1017</v>
      </c>
      <c r="AV3" t="s">
        <v>1018</v>
      </c>
      <c r="AW3" t="s">
        <v>1019</v>
      </c>
      <c r="AX3" t="s">
        <v>646</v>
      </c>
      <c r="AY3" t="s">
        <v>456</v>
      </c>
      <c r="AZ3" t="s">
        <v>41</v>
      </c>
      <c r="BA3" t="s">
        <v>413</v>
      </c>
      <c r="BB3" t="s">
        <v>245</v>
      </c>
      <c r="BC3" t="s">
        <v>873</v>
      </c>
      <c r="BD3" t="s">
        <v>113</v>
      </c>
      <c r="BE3" t="s">
        <v>412</v>
      </c>
      <c r="BF3" t="s">
        <v>415</v>
      </c>
      <c r="BG3" t="s">
        <v>50</v>
      </c>
      <c r="BH3" t="s">
        <v>1002</v>
      </c>
      <c r="BI3" t="s">
        <v>381</v>
      </c>
      <c r="BJ3" t="s">
        <v>646</v>
      </c>
      <c r="BK3" t="s">
        <v>1003</v>
      </c>
      <c r="BL3" t="s">
        <v>1020</v>
      </c>
      <c r="BM3" t="s">
        <v>873</v>
      </c>
      <c r="BN3" t="s">
        <v>9</v>
      </c>
      <c r="BO3" t="s">
        <v>9</v>
      </c>
      <c r="BP3">
        <v>5.12</v>
      </c>
      <c r="BQ3">
        <v>-6.56</v>
      </c>
      <c r="BR3">
        <v>-7.71</v>
      </c>
      <c r="BS3">
        <v>5.76</v>
      </c>
      <c r="BT3" t="s">
        <v>622</v>
      </c>
      <c r="BU3" t="s">
        <v>561</v>
      </c>
      <c r="BV3">
        <v>3.66</v>
      </c>
      <c r="BW3">
        <v>6.32</v>
      </c>
      <c r="BX3">
        <v>20.47</v>
      </c>
      <c r="BY3">
        <v>-7.12</v>
      </c>
      <c r="BZ3">
        <v>-5.82</v>
      </c>
      <c r="CA3">
        <v>4.0999999999999996</v>
      </c>
      <c r="CB3">
        <v>3.61</v>
      </c>
      <c r="CC3">
        <v>-21.1</v>
      </c>
      <c r="CD3" t="s">
        <v>1021</v>
      </c>
      <c r="CE3" t="s">
        <v>951</v>
      </c>
      <c r="CF3" s="9">
        <v>-4.7377326565143825E-2</v>
      </c>
      <c r="CG3" s="10">
        <v>0.81075194648016147</v>
      </c>
      <c r="CH3" s="9">
        <v>-9.8008014261722565E-2</v>
      </c>
      <c r="CI3" s="9">
        <v>-4.1984684765338898E-2</v>
      </c>
      <c r="CJ3" s="9">
        <v>0.4285714328289032</v>
      </c>
      <c r="CK3" s="9">
        <v>-2.7055736631155014E-2</v>
      </c>
      <c r="CL3" s="9">
        <v>1.6172505915164948E-2</v>
      </c>
      <c r="CM3" s="10">
        <v>-0.11034482717514038</v>
      </c>
      <c r="CN3" s="10">
        <v>-2.355140209197998</v>
      </c>
      <c r="CO3" s="10">
        <v>1.4279999732971191</v>
      </c>
      <c r="CP3" s="10">
        <v>-10.995602607727051</v>
      </c>
      <c r="CQ3" s="10">
        <v>-0.75479412078857422</v>
      </c>
      <c r="CR3">
        <v>-31.628774274897587</v>
      </c>
      <c r="CS3">
        <v>-5.6948661255633137</v>
      </c>
      <c r="CT3">
        <v>0</v>
      </c>
      <c r="CU3" s="9">
        <v>5.5539100617170337E-2</v>
      </c>
      <c r="CV3" s="10">
        <v>-2.5575763583183289</v>
      </c>
      <c r="CW3">
        <v>0.06</v>
      </c>
      <c r="CX3" t="e">
        <v>#VALUE!</v>
      </c>
      <c r="CY3" t="s">
        <v>555</v>
      </c>
      <c r="CZ3">
        <v>5.5539100617170337E-2</v>
      </c>
      <c r="DA3" t="e">
        <v>#VALUE!</v>
      </c>
      <c r="DB3" t="s">
        <v>556</v>
      </c>
      <c r="DC3">
        <v>5.2762145586311815E-2</v>
      </c>
      <c r="DD3" t="e">
        <v>#VALUE!</v>
      </c>
      <c r="DE3" t="s">
        <v>556</v>
      </c>
      <c r="DF3">
        <v>4.8874408543109898E-2</v>
      </c>
      <c r="DG3" t="e">
        <v>#VALUE!</v>
      </c>
      <c r="DH3" t="s">
        <v>556</v>
      </c>
      <c r="DI3">
        <v>4.4431280493736271E-2</v>
      </c>
      <c r="DJ3" t="e">
        <v>#VALUE!</v>
      </c>
      <c r="DK3" t="s">
        <v>556</v>
      </c>
      <c r="DL3">
        <v>3.8877370432019234E-2</v>
      </c>
      <c r="DM3">
        <v>-161000000</v>
      </c>
      <c r="DN3">
        <v>5.5539100617170337E-2</v>
      </c>
      <c r="DO3">
        <v>1351352899.9999998</v>
      </c>
      <c r="DP3">
        <v>-403068230</v>
      </c>
      <c r="DQ3">
        <v>127</v>
      </c>
      <c r="DR3">
        <v>-0.10291642718231417</v>
      </c>
      <c r="DS3">
        <v>3.3683283047984904</v>
      </c>
      <c r="DT3" s="11">
        <v>-0.3066666666666667</v>
      </c>
      <c r="DU3">
        <v>-1.7350000000000001</v>
      </c>
      <c r="DV3">
        <v>-2.041666666666667</v>
      </c>
      <c r="DW3">
        <v>6.1460946985026306</v>
      </c>
      <c r="DX3">
        <v>0.28933717948718007</v>
      </c>
      <c r="DY3">
        <v>6.0203564232273861</v>
      </c>
      <c r="DZ3">
        <v>4410</v>
      </c>
      <c r="EA3">
        <v>6.0027885511270389</v>
      </c>
      <c r="EB3">
        <v>6</v>
      </c>
      <c r="EC3">
        <v>4.4053244667208669E-2</v>
      </c>
      <c r="ED3">
        <v>0.31616288509171409</v>
      </c>
      <c r="EE3" s="12">
        <v>-4.0409100000000002</v>
      </c>
      <c r="EF3">
        <v>-4.0698100000000004</v>
      </c>
      <c r="EG3">
        <v>15.13933717948718</v>
      </c>
      <c r="EH3" t="s">
        <v>1022</v>
      </c>
      <c r="EI3">
        <v>0</v>
      </c>
      <c r="EJ3">
        <v>0</v>
      </c>
      <c r="EK3" s="14">
        <v>45470</v>
      </c>
      <c r="EL3" s="15">
        <v>0</v>
      </c>
      <c r="EM3" s="15">
        <v>-6.25</v>
      </c>
      <c r="EN3" s="15">
        <v>1.21</v>
      </c>
      <c r="EO3" s="15">
        <v>3.59</v>
      </c>
      <c r="EP3" s="15">
        <v>-2.89</v>
      </c>
    </row>
    <row r="4" spans="1:146" ht="96" x14ac:dyDescent="0.25">
      <c r="A4" s="8"/>
      <c r="B4" s="8"/>
      <c r="C4" s="8" t="str">
        <f>""&amp;CHAR(10)&amp;Basic_Fundamental_Information_Constructure(F4)&amp;CHAR(10)&amp;Basic_Fundamental_Information_Concatenate("")</f>
        <v xml:space="preserve">
市值17.931015亿, 利润-6.68亿; PE; 平均PE-11.89; 平均PEG-6.58, PB1.17; ROIC.01%; ROE-13.0333%; 股利率0%; 毛利-7.2333%; 净利-19.59%; 上一年度营收增-6.83%, 利润增-71.72%; 当季营收增5.13%, 利润增54.35%; 过往5年营收增-1.81%, 利润增-1839.22%
Income profile:
</v>
      </c>
      <c r="D4" t="s">
        <v>131</v>
      </c>
      <c r="E4" t="s">
        <v>132</v>
      </c>
      <c r="F4">
        <v>5.9</v>
      </c>
      <c r="G4">
        <v>1.72</v>
      </c>
      <c r="H4" t="s">
        <v>1023</v>
      </c>
      <c r="I4">
        <v>1793101500</v>
      </c>
      <c r="K4">
        <v>1.17</v>
      </c>
      <c r="L4" t="s">
        <v>82</v>
      </c>
      <c r="M4" t="s">
        <v>702</v>
      </c>
      <c r="N4" t="s">
        <v>1024</v>
      </c>
      <c r="O4" t="s">
        <v>1025</v>
      </c>
      <c r="P4">
        <v>5.04</v>
      </c>
      <c r="Q4" t="s">
        <v>1026</v>
      </c>
      <c r="R4">
        <v>-69840485</v>
      </c>
      <c r="S4" s="5">
        <v>0.54430000000000001</v>
      </c>
      <c r="T4" t="s">
        <v>1027</v>
      </c>
      <c r="U4">
        <v>303087600</v>
      </c>
      <c r="V4">
        <v>303915510</v>
      </c>
      <c r="W4">
        <v>1.83</v>
      </c>
      <c r="X4">
        <v>0.15</v>
      </c>
      <c r="Y4">
        <v>-17.05</v>
      </c>
      <c r="Z4" t="s">
        <v>1028</v>
      </c>
      <c r="AA4" t="s">
        <v>189</v>
      </c>
      <c r="AB4" t="s">
        <v>1029</v>
      </c>
      <c r="AC4" t="s">
        <v>1030</v>
      </c>
      <c r="AD4" t="s">
        <v>9</v>
      </c>
      <c r="AE4">
        <v>705316</v>
      </c>
      <c r="AF4" t="s">
        <v>1031</v>
      </c>
      <c r="AG4" t="s">
        <v>1032</v>
      </c>
      <c r="AH4" t="s">
        <v>1033</v>
      </c>
      <c r="AI4" t="s">
        <v>1034</v>
      </c>
      <c r="AJ4" t="s">
        <v>1035</v>
      </c>
      <c r="AK4" t="s">
        <v>9</v>
      </c>
      <c r="AL4" t="s">
        <v>1036</v>
      </c>
      <c r="AM4" t="s">
        <v>9</v>
      </c>
      <c r="AN4" t="s">
        <v>1037</v>
      </c>
      <c r="AO4" t="s">
        <v>295</v>
      </c>
      <c r="AP4" t="s">
        <v>1038</v>
      </c>
      <c r="AQ4" t="s">
        <v>1039</v>
      </c>
      <c r="AR4" t="s">
        <v>1040</v>
      </c>
      <c r="AS4" t="s">
        <v>921</v>
      </c>
      <c r="AT4" t="s">
        <v>28</v>
      </c>
      <c r="AU4" t="s">
        <v>1041</v>
      </c>
      <c r="AV4" t="s">
        <v>1042</v>
      </c>
      <c r="AW4" t="s">
        <v>1043</v>
      </c>
      <c r="AX4" t="s">
        <v>651</v>
      </c>
      <c r="AY4" t="s">
        <v>458</v>
      </c>
      <c r="AZ4" t="s">
        <v>134</v>
      </c>
      <c r="BA4" t="s">
        <v>139</v>
      </c>
      <c r="BB4" t="s">
        <v>140</v>
      </c>
      <c r="BC4" t="s">
        <v>652</v>
      </c>
      <c r="BD4" t="s">
        <v>459</v>
      </c>
      <c r="BE4" t="s">
        <v>135</v>
      </c>
      <c r="BF4" t="s">
        <v>141</v>
      </c>
      <c r="BG4" t="s">
        <v>142</v>
      </c>
      <c r="BH4" t="s">
        <v>1026</v>
      </c>
      <c r="BI4" t="s">
        <v>55</v>
      </c>
      <c r="BJ4" t="s">
        <v>651</v>
      </c>
      <c r="BK4" t="s">
        <v>1027</v>
      </c>
      <c r="BL4" t="s">
        <v>1044</v>
      </c>
      <c r="BM4" t="s">
        <v>652</v>
      </c>
      <c r="BN4" t="s">
        <v>9</v>
      </c>
      <c r="BO4" t="s">
        <v>9</v>
      </c>
      <c r="BP4">
        <v>0.01</v>
      </c>
      <c r="BQ4">
        <v>-23.47</v>
      </c>
      <c r="BR4">
        <v>-15.79</v>
      </c>
      <c r="BS4">
        <v>0.16</v>
      </c>
      <c r="BT4" t="s">
        <v>622</v>
      </c>
      <c r="BU4" t="s">
        <v>560</v>
      </c>
      <c r="BV4">
        <v>-23.86</v>
      </c>
      <c r="BW4">
        <v>-7.46</v>
      </c>
      <c r="BX4">
        <v>9.6199999999999992</v>
      </c>
      <c r="BY4">
        <v>-38.22</v>
      </c>
      <c r="BZ4">
        <v>-20.74</v>
      </c>
      <c r="CA4">
        <v>0.19</v>
      </c>
      <c r="CB4">
        <v>0.85</v>
      </c>
      <c r="CC4">
        <v>-13.74</v>
      </c>
      <c r="CD4" t="s">
        <v>1045</v>
      </c>
      <c r="CE4" t="s">
        <v>612</v>
      </c>
      <c r="CF4" s="9">
        <v>5.1282051282051128E-2</v>
      </c>
      <c r="CG4" s="10">
        <v>0.54352624183006537</v>
      </c>
      <c r="CH4" s="9">
        <v>-6.8266667425632477E-2</v>
      </c>
      <c r="CI4" s="9">
        <v>-0.18300652503967285</v>
      </c>
      <c r="CJ4" s="9">
        <v>0.17391303181648254</v>
      </c>
      <c r="CK4" s="9">
        <v>-6.3248679041862488E-2</v>
      </c>
      <c r="CL4" s="9">
        <v>5.0327125936746597E-2</v>
      </c>
      <c r="CM4" s="10">
        <v>-0.7172236442565918</v>
      </c>
      <c r="CN4" s="10">
        <v>-91.5704345703125</v>
      </c>
      <c r="CO4" s="10">
        <v>-0.93827992677688599</v>
      </c>
      <c r="CP4" s="10">
        <v>0.36220809817314148</v>
      </c>
      <c r="CQ4" s="10">
        <v>0.90286219120025635</v>
      </c>
      <c r="CR4">
        <v>-11.885533479778502</v>
      </c>
      <c r="CS4">
        <v>-6.5824700183319127</v>
      </c>
      <c r="CT4">
        <v>0</v>
      </c>
      <c r="CU4" s="9">
        <v>-1.8056342750787734E-2</v>
      </c>
      <c r="CV4" s="10">
        <v>-18.392173570394515</v>
      </c>
      <c r="CW4">
        <v>0.06</v>
      </c>
      <c r="CX4" t="e">
        <v>#VALUE!</v>
      </c>
      <c r="CY4" t="s">
        <v>555</v>
      </c>
      <c r="CZ4">
        <v>-1.8056342750787734E-2</v>
      </c>
      <c r="DA4" t="e">
        <v>#VALUE!</v>
      </c>
      <c r="DB4" t="s">
        <v>556</v>
      </c>
      <c r="DC4">
        <v>-1.7153525613248347E-2</v>
      </c>
      <c r="DD4" t="e">
        <v>#VALUE!</v>
      </c>
      <c r="DE4" t="s">
        <v>556</v>
      </c>
      <c r="DF4">
        <v>-1.5889581620693205E-2</v>
      </c>
      <c r="DG4" t="e">
        <v>#VALUE!</v>
      </c>
      <c r="DH4" t="s">
        <v>556</v>
      </c>
      <c r="DI4">
        <v>-1.4445074200630188E-2</v>
      </c>
      <c r="DJ4" t="e">
        <v>#VALUE!</v>
      </c>
      <c r="DK4" t="s">
        <v>556</v>
      </c>
      <c r="DL4">
        <v>-1.2639439925551412E-2</v>
      </c>
      <c r="DM4">
        <v>-668000000</v>
      </c>
      <c r="DN4">
        <v>-1.8056342750787734E-2</v>
      </c>
      <c r="DO4">
        <v>1340101500</v>
      </c>
      <c r="DP4">
        <v>-463357040</v>
      </c>
      <c r="DQ4">
        <v>191</v>
      </c>
      <c r="DR4">
        <v>6.9338394032838868E-2</v>
      </c>
      <c r="DS4">
        <v>18.935699812224581</v>
      </c>
      <c r="DT4" s="11">
        <v>-0.45666666666666672</v>
      </c>
      <c r="DU4">
        <v>-1.655</v>
      </c>
      <c r="DV4">
        <v>-2.1116666666666668</v>
      </c>
      <c r="DW4">
        <v>-2.1374</v>
      </c>
      <c r="DX4">
        <v>0.27346930693069471</v>
      </c>
      <c r="DY4">
        <v>-2.0142166827722772</v>
      </c>
      <c r="DZ4">
        <v>4472</v>
      </c>
      <c r="EA4">
        <v>-2.001774998749259</v>
      </c>
      <c r="EB4">
        <v>2</v>
      </c>
      <c r="EC4">
        <v>3.4385872573597841E-2</v>
      </c>
      <c r="ED4">
        <v>0.33232920557427292</v>
      </c>
      <c r="EE4" s="12">
        <v>7.9799999999999996E-2</v>
      </c>
      <c r="EF4">
        <v>6.3099999999999989E-2</v>
      </c>
      <c r="EG4">
        <v>17.103469306930695</v>
      </c>
      <c r="EH4" t="s">
        <v>549</v>
      </c>
      <c r="EI4">
        <v>0</v>
      </c>
      <c r="EJ4">
        <v>0</v>
      </c>
      <c r="EK4" s="14">
        <v>45470</v>
      </c>
      <c r="EL4" s="15">
        <v>-0.33</v>
      </c>
      <c r="EM4" s="15">
        <v>-3.69</v>
      </c>
      <c r="EN4" s="15">
        <v>1.74</v>
      </c>
      <c r="EO4" s="15">
        <v>2.56</v>
      </c>
      <c r="EP4" s="15">
        <v>-1.67</v>
      </c>
    </row>
    <row r="5" spans="1:146" ht="144" x14ac:dyDescent="0.25">
      <c r="A5" s="8" t="s">
        <v>601</v>
      </c>
      <c r="B5" s="8" t="s">
        <v>639</v>
      </c>
      <c r="C5" s="8" t="str">
        <f>"公司主营业务是天然碱法制纯碱和小苏打、煤炭、煤制尿素、天然气制甲醇等产品的生产和销售。公司主要产品是纯碱、小苏打、煤炭、尿素、甲醇等。"&amp;CHAR(10)&amp;Basic_Fundamental_Information_Constructure(F5)&amp;CHAR(10)&amp;Basic_Fundamental_Information_Concatenate("尿素-自产 23.15亿 39.54% 34.21% 36.98%
纯碱-自产 17.35亿 29.62% 40.16% 57.94%
小苏打-自产 11.52亿 19.67% 25.28% 54.92%")</f>
        <v>公司主营业务是天然碱法制纯碱和小苏打、煤炭、煤制尿素、天然气制甲醇等产品的生产和销售。公司主要产品是纯碱、小苏打、煤炭、尿素、甲醇等。
市值257.42607亿, 利润14.10亿; PE19.4; 平均PE13.97; 平均PEG1.58, PB1.82; ROIC18.1233%; ROE24.0667%; 股利率4.3478%; 毛利41.0867%; 净利31.2133%; 上一年度营收增9.62%, 利润增-46.99%; 当季营收增30.99%, 利润增-12.72%; 过往5年营收增8.82%, 利润增1386.97%
Income profile:
尿素-自产 23.15亿 39.54% 34.21% 36.98%
纯碱-自产 17.35亿 29.62% 40.16% 57.94%
小苏打-自产 11.52亿 19.67% 25.28% 54.92%</v>
      </c>
      <c r="D5" t="s">
        <v>80</v>
      </c>
      <c r="E5" t="s">
        <v>81</v>
      </c>
      <c r="F5">
        <v>6.9</v>
      </c>
      <c r="G5">
        <v>0.44</v>
      </c>
      <c r="H5" t="s">
        <v>1046</v>
      </c>
      <c r="I5">
        <v>25742607000</v>
      </c>
      <c r="J5">
        <v>19.399999999999999</v>
      </c>
      <c r="K5">
        <v>1.82</v>
      </c>
      <c r="L5" t="s">
        <v>82</v>
      </c>
      <c r="M5" t="s">
        <v>1047</v>
      </c>
      <c r="N5" t="s">
        <v>1048</v>
      </c>
      <c r="O5" t="s">
        <v>1049</v>
      </c>
      <c r="P5">
        <v>31.03</v>
      </c>
      <c r="Q5" t="s">
        <v>1050</v>
      </c>
      <c r="R5">
        <v>569084810</v>
      </c>
      <c r="S5" s="5">
        <v>-0.127</v>
      </c>
      <c r="T5" t="s">
        <v>1051</v>
      </c>
      <c r="U5">
        <v>3282520000</v>
      </c>
      <c r="V5">
        <v>3730812600</v>
      </c>
      <c r="W5">
        <v>1.8</v>
      </c>
      <c r="X5">
        <v>0.1</v>
      </c>
      <c r="Y5">
        <v>25.99</v>
      </c>
      <c r="Z5" t="s">
        <v>1052</v>
      </c>
      <c r="AA5" t="s">
        <v>1053</v>
      </c>
      <c r="AB5" t="s">
        <v>1054</v>
      </c>
      <c r="AC5" t="s">
        <v>22</v>
      </c>
      <c r="AD5" t="s">
        <v>9</v>
      </c>
      <c r="AE5">
        <v>100746599</v>
      </c>
      <c r="AF5" t="s">
        <v>1055</v>
      </c>
      <c r="AG5" t="s">
        <v>1056</v>
      </c>
      <c r="AH5" t="s">
        <v>1057</v>
      </c>
      <c r="AI5" t="s">
        <v>1058</v>
      </c>
      <c r="AJ5" t="s">
        <v>1059</v>
      </c>
      <c r="AK5" t="s">
        <v>9</v>
      </c>
      <c r="AL5" t="s">
        <v>1060</v>
      </c>
      <c r="AM5" t="s">
        <v>9</v>
      </c>
      <c r="AN5" t="s">
        <v>1061</v>
      </c>
      <c r="AO5" t="s">
        <v>1062</v>
      </c>
      <c r="AP5" t="s">
        <v>585</v>
      </c>
      <c r="AQ5" t="s">
        <v>1063</v>
      </c>
      <c r="AR5" t="s">
        <v>9</v>
      </c>
      <c r="AS5" t="s">
        <v>1064</v>
      </c>
      <c r="AT5" t="s">
        <v>1065</v>
      </c>
      <c r="AU5" t="s">
        <v>368</v>
      </c>
      <c r="AV5" t="s">
        <v>925</v>
      </c>
      <c r="AW5" t="s">
        <v>1066</v>
      </c>
      <c r="AX5" t="s">
        <v>655</v>
      </c>
      <c r="AY5" t="s">
        <v>657</v>
      </c>
      <c r="AZ5" t="s">
        <v>83</v>
      </c>
      <c r="BA5" t="s">
        <v>85</v>
      </c>
      <c r="BB5" t="s">
        <v>86</v>
      </c>
      <c r="BC5" t="s">
        <v>656</v>
      </c>
      <c r="BD5" t="s">
        <v>658</v>
      </c>
      <c r="BE5" t="s">
        <v>84</v>
      </c>
      <c r="BF5" t="s">
        <v>87</v>
      </c>
      <c r="BG5" t="s">
        <v>88</v>
      </c>
      <c r="BH5" t="s">
        <v>1050</v>
      </c>
      <c r="BI5" t="s">
        <v>1067</v>
      </c>
      <c r="BJ5" t="s">
        <v>655</v>
      </c>
      <c r="BK5" t="s">
        <v>1051</v>
      </c>
      <c r="BL5" t="s">
        <v>931</v>
      </c>
      <c r="BM5" t="s">
        <v>656</v>
      </c>
      <c r="BN5">
        <v>7.98</v>
      </c>
      <c r="BO5">
        <v>15.4</v>
      </c>
      <c r="BP5">
        <v>30.99</v>
      </c>
      <c r="BQ5">
        <v>11.49</v>
      </c>
      <c r="BR5">
        <v>21.61</v>
      </c>
      <c r="BS5">
        <v>39.1</v>
      </c>
      <c r="BT5" t="s">
        <v>626</v>
      </c>
      <c r="BU5" t="s">
        <v>562</v>
      </c>
      <c r="BV5">
        <v>41.09</v>
      </c>
      <c r="BW5">
        <v>40.78</v>
      </c>
      <c r="BX5">
        <v>41.39</v>
      </c>
      <c r="BY5">
        <v>17.8</v>
      </c>
      <c r="BZ5">
        <v>29.04</v>
      </c>
      <c r="CA5">
        <v>46.8</v>
      </c>
      <c r="CB5">
        <v>-0.14000000000000001</v>
      </c>
      <c r="CC5">
        <v>-7.01</v>
      </c>
      <c r="CD5" t="s">
        <v>860</v>
      </c>
      <c r="CE5" t="s">
        <v>1068</v>
      </c>
      <c r="CF5" s="9">
        <v>0.30990415335463239</v>
      </c>
      <c r="CG5" s="10">
        <v>-0.12717053680981594</v>
      </c>
      <c r="CH5" s="9">
        <v>9.6204645931720734E-2</v>
      </c>
      <c r="CI5" s="9">
        <v>-9.5347926020622253E-2</v>
      </c>
      <c r="CJ5" s="9">
        <v>0.57768261432647705</v>
      </c>
      <c r="CK5" s="9">
        <v>6.4989988459274173E-4</v>
      </c>
      <c r="CL5" s="9">
        <v>-0.13794262707233429</v>
      </c>
      <c r="CM5" s="10">
        <v>-0.46992480754852295</v>
      </c>
      <c r="CN5" s="10">
        <v>-0.46240901947021484</v>
      </c>
      <c r="CO5" s="10">
        <v>71.662117004394531</v>
      </c>
      <c r="CP5" s="10">
        <v>-0.89881724119186401</v>
      </c>
      <c r="CQ5" s="10">
        <v>-0.48270559310913086</v>
      </c>
      <c r="CR5">
        <v>13.965126704144341</v>
      </c>
      <c r="CS5">
        <v>1.582462786231366</v>
      </c>
      <c r="CT5">
        <v>4.3478260869565215</v>
      </c>
      <c r="CU5" s="9">
        <v>8.8249321409966802E-2</v>
      </c>
      <c r="CV5" s="10">
        <v>13.869652068614959</v>
      </c>
      <c r="CW5">
        <v>0.06</v>
      </c>
      <c r="CX5">
        <v>15.892493561057723</v>
      </c>
      <c r="CY5">
        <v>1447576927.5358992</v>
      </c>
      <c r="CZ5">
        <v>8.8249321409966802E-2</v>
      </c>
      <c r="DA5">
        <v>5.2012249768925294</v>
      </c>
      <c r="DB5">
        <v>4423113228.5580721</v>
      </c>
      <c r="DC5">
        <v>8.3836855339468455E-2</v>
      </c>
      <c r="DD5">
        <v>2.5655214321259683</v>
      </c>
      <c r="DE5">
        <v>8967224639.7629833</v>
      </c>
      <c r="DF5">
        <v>7.7659402840770789E-2</v>
      </c>
      <c r="DG5">
        <v>1.544083922114049</v>
      </c>
      <c r="DH5">
        <v>14899194707.307341</v>
      </c>
      <c r="DI5">
        <v>7.0599457127973442E-2</v>
      </c>
      <c r="DJ5">
        <v>0.80156142846057143</v>
      </c>
      <c r="DK5">
        <v>28700990570.5956</v>
      </c>
      <c r="DL5">
        <v>6.1774524986976755E-2</v>
      </c>
      <c r="DM5">
        <v>1410000000</v>
      </c>
      <c r="DN5">
        <v>8.8249321409966802E-2</v>
      </c>
      <c r="DO5">
        <v>23005607000</v>
      </c>
      <c r="DP5">
        <v>-497695200</v>
      </c>
      <c r="DQ5">
        <v>217</v>
      </c>
      <c r="DR5">
        <v>0.22165483194466559</v>
      </c>
      <c r="DS5">
        <v>-13.996822605424775</v>
      </c>
      <c r="DT5" s="11">
        <v>-0.3066666666666667</v>
      </c>
      <c r="DU5">
        <v>-0.28166666666666668</v>
      </c>
      <c r="DV5">
        <v>-0.58833333333333337</v>
      </c>
      <c r="DW5">
        <v>-2.0701000000000001</v>
      </c>
      <c r="DX5">
        <v>0.34212347988774472</v>
      </c>
      <c r="DY5">
        <v>-2.012065855940131</v>
      </c>
      <c r="DZ5">
        <v>3014</v>
      </c>
      <c r="EA5">
        <v>-2.0049491260372827</v>
      </c>
      <c r="EB5">
        <v>2</v>
      </c>
      <c r="EC5">
        <v>4.9319014308035737E-2</v>
      </c>
      <c r="ED5">
        <v>0.28653275160483804</v>
      </c>
      <c r="EE5" s="12">
        <v>2.0756999999999999</v>
      </c>
      <c r="EF5">
        <v>2.0463</v>
      </c>
      <c r="EG5">
        <v>17.172123479887745</v>
      </c>
      <c r="EH5" t="s">
        <v>866</v>
      </c>
      <c r="EI5">
        <v>0</v>
      </c>
      <c r="EJ5">
        <v>0</v>
      </c>
      <c r="EK5" s="14">
        <v>45470</v>
      </c>
      <c r="EL5" s="15">
        <v>0.57999999999999996</v>
      </c>
      <c r="EM5" s="15">
        <v>0.43</v>
      </c>
      <c r="EN5" s="15">
        <v>1.86</v>
      </c>
      <c r="EO5" s="15">
        <v>0.28000000000000003</v>
      </c>
      <c r="EP5" s="15">
        <v>-2.94</v>
      </c>
    </row>
    <row r="6" spans="1:146" ht="96" x14ac:dyDescent="0.25">
      <c r="A6" s="8"/>
      <c r="B6" s="8"/>
      <c r="C6" s="8" t="str">
        <f>""&amp;CHAR(10)&amp;Basic_Fundamental_Information_Constructure(F6)&amp;CHAR(10)&amp;Basic_Fundamental_Information_Concatenate("")</f>
        <v xml:space="preserve">
市值11.411431亿, 利润-1.04亿; PE; 平均PE-101.22; 平均PEG-.28, PB36.09; ROIC14.4%; ROE-23.3833%; 股利率0%; 毛利17.165%; 净利-11.26%; 上一年度营收增-31.93%, 利润增-7857.72%; 当季营收增-12.61%, 利润增-746.76%; 过往5年营收增363.64%, 利润增-1575.04%
Income profile:
</v>
      </c>
      <c r="D6" t="s">
        <v>563</v>
      </c>
      <c r="E6" t="s">
        <v>564</v>
      </c>
      <c r="F6">
        <v>3.53</v>
      </c>
      <c r="G6">
        <v>0.28000000000000003</v>
      </c>
      <c r="H6" t="s">
        <v>1069</v>
      </c>
      <c r="I6">
        <v>1141143100</v>
      </c>
      <c r="K6">
        <v>36.090000000000003</v>
      </c>
      <c r="L6" t="s">
        <v>82</v>
      </c>
      <c r="M6" t="s">
        <v>1070</v>
      </c>
      <c r="N6" t="s">
        <v>28</v>
      </c>
      <c r="O6" t="s">
        <v>24</v>
      </c>
      <c r="P6">
        <v>-12.03</v>
      </c>
      <c r="Q6" t="s">
        <v>323</v>
      </c>
      <c r="R6">
        <v>-8928538</v>
      </c>
      <c r="S6" s="5">
        <v>-7.468</v>
      </c>
      <c r="T6" t="s">
        <v>517</v>
      </c>
      <c r="U6">
        <v>323270000</v>
      </c>
      <c r="V6">
        <v>323270000</v>
      </c>
      <c r="W6">
        <v>3.58</v>
      </c>
      <c r="X6">
        <v>0.16</v>
      </c>
      <c r="Y6">
        <v>-11.98</v>
      </c>
      <c r="Z6" t="s">
        <v>30</v>
      </c>
      <c r="AA6" t="s">
        <v>1071</v>
      </c>
      <c r="AB6" t="s">
        <v>1072</v>
      </c>
      <c r="AC6" t="s">
        <v>1073</v>
      </c>
      <c r="AD6" t="s">
        <v>9</v>
      </c>
      <c r="AE6">
        <v>3421029</v>
      </c>
      <c r="AF6" t="s">
        <v>23</v>
      </c>
      <c r="AG6" t="s">
        <v>1074</v>
      </c>
      <c r="AH6" t="s">
        <v>1075</v>
      </c>
      <c r="AI6" t="s">
        <v>1076</v>
      </c>
      <c r="AJ6" t="s">
        <v>1077</v>
      </c>
      <c r="AK6" t="s">
        <v>1078</v>
      </c>
      <c r="AL6" t="s">
        <v>1079</v>
      </c>
      <c r="AM6" t="s">
        <v>9</v>
      </c>
      <c r="AN6" t="s">
        <v>1080</v>
      </c>
      <c r="AO6" t="s">
        <v>1081</v>
      </c>
      <c r="AP6" t="s">
        <v>1082</v>
      </c>
      <c r="AQ6" t="s">
        <v>1083</v>
      </c>
      <c r="AR6" t="s">
        <v>9</v>
      </c>
      <c r="AS6" t="s">
        <v>1084</v>
      </c>
      <c r="AT6" t="s">
        <v>9</v>
      </c>
      <c r="AU6" t="s">
        <v>1085</v>
      </c>
      <c r="AV6" t="s">
        <v>1086</v>
      </c>
      <c r="AW6" t="s">
        <v>1087</v>
      </c>
      <c r="AX6" t="s">
        <v>659</v>
      </c>
      <c r="AY6" t="s">
        <v>565</v>
      </c>
      <c r="AZ6" t="s">
        <v>394</v>
      </c>
      <c r="BA6" t="s">
        <v>567</v>
      </c>
      <c r="BB6" t="s">
        <v>568</v>
      </c>
      <c r="BC6" t="s">
        <v>1088</v>
      </c>
      <c r="BD6" t="s">
        <v>566</v>
      </c>
      <c r="BE6" t="s">
        <v>569</v>
      </c>
      <c r="BF6" t="s">
        <v>570</v>
      </c>
      <c r="BG6" t="s">
        <v>571</v>
      </c>
      <c r="BH6" t="s">
        <v>323</v>
      </c>
      <c r="BI6" t="s">
        <v>960</v>
      </c>
      <c r="BJ6" t="s">
        <v>659</v>
      </c>
      <c r="BK6" t="s">
        <v>517</v>
      </c>
      <c r="BL6" t="s">
        <v>1089</v>
      </c>
      <c r="BM6" t="s">
        <v>1088</v>
      </c>
      <c r="BN6" t="s">
        <v>9</v>
      </c>
      <c r="BO6" t="s">
        <v>9</v>
      </c>
      <c r="BP6">
        <v>14.4</v>
      </c>
      <c r="BQ6">
        <v>-85.82</v>
      </c>
      <c r="BR6">
        <v>1</v>
      </c>
      <c r="BS6">
        <v>14.67</v>
      </c>
      <c r="BT6" t="s">
        <v>622</v>
      </c>
      <c r="BU6" t="s">
        <v>500</v>
      </c>
      <c r="BV6">
        <v>12.04</v>
      </c>
      <c r="BW6" t="s">
        <v>9</v>
      </c>
      <c r="BX6">
        <v>22.29</v>
      </c>
      <c r="BY6">
        <v>-30.77</v>
      </c>
      <c r="BZ6" t="s">
        <v>9</v>
      </c>
      <c r="CA6">
        <v>8.25</v>
      </c>
      <c r="CB6">
        <v>-3.81</v>
      </c>
      <c r="CC6">
        <v>-13.9</v>
      </c>
      <c r="CD6" t="s">
        <v>1090</v>
      </c>
      <c r="CE6" t="s">
        <v>859</v>
      </c>
      <c r="CF6" s="9">
        <v>-0.12605042016806722</v>
      </c>
      <c r="CG6" s="10">
        <v>-7.467611734878667</v>
      </c>
      <c r="CH6" s="9">
        <v>-0.31934306025505066</v>
      </c>
      <c r="CI6" s="9">
        <v>4.9808427691459656E-2</v>
      </c>
      <c r="CJ6" s="9">
        <v>0.96240603923797607</v>
      </c>
      <c r="CK6" s="9">
        <v>18.120321273803711</v>
      </c>
      <c r="CL6" s="9">
        <v>-0.63119441270828247</v>
      </c>
      <c r="CM6" s="10">
        <v>-78.577201843261719</v>
      </c>
      <c r="CN6" s="10">
        <v>-0.91727042198181152</v>
      </c>
      <c r="CO6" s="10">
        <v>-9.9254041910171509E-2</v>
      </c>
      <c r="CP6" s="10">
        <v>2.767158031463623</v>
      </c>
      <c r="CQ6" s="10">
        <v>-1.9252631664276123</v>
      </c>
      <c r="CR6">
        <v>-101.2215521944109</v>
      </c>
      <c r="CS6">
        <v>-0.27835651148928042</v>
      </c>
      <c r="CT6">
        <v>0</v>
      </c>
      <c r="CU6" s="9">
        <v>3.6363996535539629</v>
      </c>
      <c r="CV6" s="10">
        <v>-15.750366288423539</v>
      </c>
      <c r="CW6">
        <v>0.06</v>
      </c>
      <c r="CX6" t="e">
        <v>#VALUE!</v>
      </c>
      <c r="CY6" t="s">
        <v>555</v>
      </c>
      <c r="CZ6">
        <v>3.6363996535539629</v>
      </c>
      <c r="DA6" t="e">
        <v>#VALUE!</v>
      </c>
      <c r="DB6" t="s">
        <v>556</v>
      </c>
      <c r="DC6">
        <v>3.4545796708762646</v>
      </c>
      <c r="DD6" t="e">
        <v>#VALUE!</v>
      </c>
      <c r="DE6" t="s">
        <v>556</v>
      </c>
      <c r="DF6">
        <v>3.2000316951274872</v>
      </c>
      <c r="DG6" t="e">
        <v>#VALUE!</v>
      </c>
      <c r="DH6" t="s">
        <v>556</v>
      </c>
      <c r="DI6">
        <v>2.9091197228431707</v>
      </c>
      <c r="DJ6" t="e">
        <v>#VALUE!</v>
      </c>
      <c r="DK6" t="s">
        <v>556</v>
      </c>
      <c r="DL6">
        <v>2.5454797574877737</v>
      </c>
      <c r="DM6">
        <v>-104000000</v>
      </c>
      <c r="DN6">
        <v>3.6363996535539629</v>
      </c>
      <c r="DO6">
        <v>1392143100</v>
      </c>
      <c r="DP6">
        <v>-189521570</v>
      </c>
      <c r="DQ6">
        <v>222</v>
      </c>
      <c r="DR6">
        <v>-3.7624500737220301</v>
      </c>
      <c r="DS6">
        <v>8.2827545535448728</v>
      </c>
      <c r="DT6" s="11">
        <v>-0.08</v>
      </c>
      <c r="DU6">
        <v>-2.2200000000000002</v>
      </c>
      <c r="DV6">
        <v>-2.3000000000000003</v>
      </c>
      <c r="DW6">
        <v>-8.2741007194244602</v>
      </c>
      <c r="DX6">
        <v>0.2443973684210522</v>
      </c>
      <c r="DY6">
        <v>-8.0313564009844765</v>
      </c>
      <c r="DZ6">
        <v>4576</v>
      </c>
      <c r="EA6">
        <v>-8.0032767745842879</v>
      </c>
      <c r="EB6">
        <v>8</v>
      </c>
      <c r="EC6">
        <v>6.7236365886101407E-2</v>
      </c>
      <c r="ED6">
        <v>0.58774399109103848</v>
      </c>
      <c r="EE6" s="12">
        <v>-4.0163000000000002</v>
      </c>
      <c r="EF6">
        <v>-4.0024100000000002</v>
      </c>
      <c r="EG6">
        <v>13.114397368421052</v>
      </c>
      <c r="EH6" t="s">
        <v>1022</v>
      </c>
      <c r="EI6">
        <v>0</v>
      </c>
      <c r="EJ6">
        <v>0</v>
      </c>
      <c r="EK6" s="14">
        <v>45470</v>
      </c>
      <c r="EL6" s="15">
        <v>0.82</v>
      </c>
      <c r="EM6" s="15">
        <v>-1.08</v>
      </c>
      <c r="EN6" s="15">
        <v>-0.27</v>
      </c>
      <c r="EO6" s="15">
        <v>2.19</v>
      </c>
      <c r="EP6" s="15">
        <v>-1.87</v>
      </c>
    </row>
    <row r="7" spans="1:146" ht="144" x14ac:dyDescent="0.25">
      <c r="A7" s="8" t="s">
        <v>600</v>
      </c>
      <c r="B7" s="8"/>
      <c r="C7" s="8" t="str">
        <f>"公司主营业务是联碱产品的生产与销售。公司的主要产品为联碱及其他化工产品。"&amp;CHAR(10)&amp;Basic_Fundamental_Information_Constructure(F7)&amp;CHAR(10)&amp;Basic_Fundamental_Information_Concatenate("下游行业分类：
化工化肥板块 30.58亿 99.81% 101.88% 14.18%
按产品分：
联碱及其他化工产品 22.99亿 100.00% 100.00% 29.01%")</f>
        <v>公司主营业务是联碱产品的生产与销售。公司的主要产品为联碱及其他化工产品。
市值32.026058亿, 利润6.16亿; PE5.75; 平均PE12.17; 平均PEG1.54, PB1.41; ROIC30.5633%; ROE-141.2267%; 股利率2.029%; 毛利24.8533%; 净利16.6767%; 上一年度营收增-13.06%, 利润增-29.44%; 当季营收增-26.04%, 利润增-26.47%; 过往5年营收增7.92%, 利润增-837.81%
Income profile:
下游行业分类：
化工化肥板块 30.58亿 99.81% 101.88% 14.18%
按产品分：
联碱及其他化工产品 22.99亿 100.00% 100.00% 29.01%</v>
      </c>
      <c r="D7" t="s">
        <v>90</v>
      </c>
      <c r="E7" t="s">
        <v>461</v>
      </c>
      <c r="F7">
        <v>6.9</v>
      </c>
      <c r="G7">
        <v>0</v>
      </c>
      <c r="H7" t="s">
        <v>1091</v>
      </c>
      <c r="I7">
        <v>3202605800</v>
      </c>
      <c r="J7">
        <v>5.75</v>
      </c>
      <c r="K7">
        <v>1.41</v>
      </c>
      <c r="L7" t="s">
        <v>82</v>
      </c>
      <c r="M7" t="s">
        <v>1092</v>
      </c>
      <c r="N7" t="s">
        <v>1093</v>
      </c>
      <c r="O7" t="s">
        <v>1094</v>
      </c>
      <c r="P7">
        <v>-26.02</v>
      </c>
      <c r="Q7" t="s">
        <v>1095</v>
      </c>
      <c r="R7">
        <v>165441950</v>
      </c>
      <c r="S7" s="6">
        <v>-0.26500000000000001</v>
      </c>
      <c r="T7" t="s">
        <v>913</v>
      </c>
      <c r="U7">
        <v>464145770</v>
      </c>
      <c r="V7">
        <v>464145770</v>
      </c>
      <c r="W7">
        <v>1.4</v>
      </c>
      <c r="X7">
        <v>0.27</v>
      </c>
      <c r="Y7">
        <v>19.88</v>
      </c>
      <c r="Z7" t="s">
        <v>58</v>
      </c>
      <c r="AA7" t="s">
        <v>133</v>
      </c>
      <c r="AB7" t="s">
        <v>1096</v>
      </c>
      <c r="AC7" t="s">
        <v>1097</v>
      </c>
      <c r="AD7" t="s">
        <v>9</v>
      </c>
      <c r="AE7">
        <v>839157</v>
      </c>
      <c r="AF7" t="s">
        <v>1098</v>
      </c>
      <c r="AG7" t="s">
        <v>1099</v>
      </c>
      <c r="AH7" t="s">
        <v>1100</v>
      </c>
      <c r="AI7" t="s">
        <v>1101</v>
      </c>
      <c r="AJ7" t="s">
        <v>1102</v>
      </c>
      <c r="AK7" t="s">
        <v>9</v>
      </c>
      <c r="AL7" t="s">
        <v>1103</v>
      </c>
      <c r="AM7" t="s">
        <v>9</v>
      </c>
      <c r="AN7" t="s">
        <v>1104</v>
      </c>
      <c r="AO7" t="s">
        <v>1105</v>
      </c>
      <c r="AP7" t="s">
        <v>9</v>
      </c>
      <c r="AQ7" t="s">
        <v>303</v>
      </c>
      <c r="AR7" t="s">
        <v>9</v>
      </c>
      <c r="AS7" t="s">
        <v>1106</v>
      </c>
      <c r="AT7" t="s">
        <v>1107</v>
      </c>
      <c r="AU7" t="s">
        <v>235</v>
      </c>
      <c r="AV7" t="s">
        <v>234</v>
      </c>
      <c r="AW7" t="s">
        <v>1108</v>
      </c>
      <c r="AX7" t="s">
        <v>660</v>
      </c>
      <c r="AY7" t="s">
        <v>462</v>
      </c>
      <c r="AZ7" t="s">
        <v>91</v>
      </c>
      <c r="BA7" t="s">
        <v>93</v>
      </c>
      <c r="BB7" t="s">
        <v>94</v>
      </c>
      <c r="BC7" t="s">
        <v>617</v>
      </c>
      <c r="BD7" t="s">
        <v>362</v>
      </c>
      <c r="BE7" t="s">
        <v>92</v>
      </c>
      <c r="BF7" t="s">
        <v>95</v>
      </c>
      <c r="BG7" t="s">
        <v>96</v>
      </c>
      <c r="BH7" t="s">
        <v>1095</v>
      </c>
      <c r="BI7" t="s">
        <v>1109</v>
      </c>
      <c r="BJ7" t="s">
        <v>660</v>
      </c>
      <c r="BK7" t="s">
        <v>913</v>
      </c>
      <c r="BL7" t="s">
        <v>878</v>
      </c>
      <c r="BM7" t="s">
        <v>617</v>
      </c>
      <c r="BN7">
        <v>20.21</v>
      </c>
      <c r="BO7">
        <v>46.68</v>
      </c>
      <c r="BP7">
        <v>24.8</v>
      </c>
      <c r="BQ7">
        <v>26.88</v>
      </c>
      <c r="BR7">
        <v>84.92</v>
      </c>
      <c r="BS7">
        <v>-535.48</v>
      </c>
      <c r="BT7" t="s">
        <v>1110</v>
      </c>
      <c r="BU7" t="s">
        <v>562</v>
      </c>
      <c r="BV7">
        <v>23.9</v>
      </c>
      <c r="BW7">
        <v>28.42</v>
      </c>
      <c r="BX7">
        <v>22.24</v>
      </c>
      <c r="BY7">
        <v>16.239999999999998</v>
      </c>
      <c r="BZ7">
        <v>20</v>
      </c>
      <c r="CA7">
        <v>13.79</v>
      </c>
      <c r="CB7">
        <v>0.88</v>
      </c>
      <c r="CC7">
        <v>-11.76</v>
      </c>
      <c r="CD7" t="s">
        <v>1111</v>
      </c>
      <c r="CE7" t="s">
        <v>348</v>
      </c>
      <c r="CF7" s="9">
        <v>-0.26044444444444442</v>
      </c>
      <c r="CG7" s="10">
        <v>-0.26470244444444446</v>
      </c>
      <c r="CH7" s="9">
        <v>-0.13061419129371643</v>
      </c>
      <c r="CI7" s="9">
        <v>0.42428207397460938</v>
      </c>
      <c r="CJ7" s="9">
        <v>0.7165265679359436</v>
      </c>
      <c r="CK7" s="9">
        <v>-0.22559647262096405</v>
      </c>
      <c r="CL7" s="9">
        <v>-0.38859421014785767</v>
      </c>
      <c r="CM7" s="10">
        <v>-0.29438716173171997</v>
      </c>
      <c r="CN7" s="10">
        <v>1.063829779624939</v>
      </c>
      <c r="CO7" s="10">
        <v>1.8812500238418579</v>
      </c>
      <c r="CP7" s="10">
        <v>-43.623855590820313</v>
      </c>
      <c r="CQ7" s="10">
        <v>-0.91719633340835571</v>
      </c>
      <c r="CR7">
        <v>12.167482860499399</v>
      </c>
      <c r="CS7">
        <v>1.5362837235893734</v>
      </c>
      <c r="CT7">
        <v>2.0289855072463765</v>
      </c>
      <c r="CU7" s="9">
        <v>7.9200753569602961E-2</v>
      </c>
      <c r="CV7" s="10">
        <v>-8.3780718564987176</v>
      </c>
      <c r="CW7">
        <v>0.06</v>
      </c>
      <c r="CX7">
        <v>2.9428075359333805</v>
      </c>
      <c r="CY7">
        <v>627158173.77252388</v>
      </c>
      <c r="CZ7">
        <v>7.9200753569602961E-2</v>
      </c>
      <c r="DA7">
        <v>0.97052741031292389</v>
      </c>
      <c r="DB7">
        <v>1901652421.5477104</v>
      </c>
      <c r="DC7">
        <v>7.5240715891122814E-2</v>
      </c>
      <c r="DD7">
        <v>0.48362946347671742</v>
      </c>
      <c r="DE7">
        <v>3816156664.096314</v>
      </c>
      <c r="DF7">
        <v>6.96966631412506E-2</v>
      </c>
      <c r="DG7">
        <v>0.29442821881443415</v>
      </c>
      <c r="DH7">
        <v>6268440597.9550772</v>
      </c>
      <c r="DI7">
        <v>6.3360602855682374E-2</v>
      </c>
      <c r="DJ7">
        <v>0.15669355016203776</v>
      </c>
      <c r="DK7">
        <v>11778441410.584211</v>
      </c>
      <c r="DL7">
        <v>5.5440527498722067E-2</v>
      </c>
      <c r="DM7">
        <v>616000000</v>
      </c>
      <c r="DN7">
        <v>7.9200753569602961E-2</v>
      </c>
      <c r="DO7">
        <v>1845605800</v>
      </c>
      <c r="DP7">
        <v>768417800</v>
      </c>
      <c r="DQ7">
        <v>232</v>
      </c>
      <c r="DR7">
        <v>-0.33964519801404736</v>
      </c>
      <c r="DS7">
        <v>8.1133694120542739</v>
      </c>
      <c r="DT7" s="11">
        <v>-0.24</v>
      </c>
      <c r="DU7">
        <v>-0.74333333333333318</v>
      </c>
      <c r="DV7">
        <v>-0.98333333333333317</v>
      </c>
      <c r="DW7">
        <v>-2.1175999999999999</v>
      </c>
      <c r="DX7">
        <v>0.3384443877551031</v>
      </c>
      <c r="DY7">
        <v>-2.0127530600000001</v>
      </c>
      <c r="DZ7">
        <v>3550</v>
      </c>
      <c r="EA7">
        <v>-2.0038933020743639</v>
      </c>
      <c r="EB7">
        <v>2</v>
      </c>
      <c r="EC7">
        <v>4.5794018547233563E-2</v>
      </c>
      <c r="ED7">
        <v>0.4222811294822314</v>
      </c>
      <c r="EE7" s="12">
        <v>-2.1029100000000001</v>
      </c>
      <c r="EF7">
        <v>-2.1302099999999999</v>
      </c>
      <c r="EG7">
        <v>23.108444387755103</v>
      </c>
      <c r="EH7" t="s">
        <v>892</v>
      </c>
      <c r="EI7">
        <v>0</v>
      </c>
      <c r="EJ7">
        <v>0</v>
      </c>
      <c r="EK7" s="14">
        <v>45470</v>
      </c>
      <c r="EL7" s="15">
        <v>0.57999999999999996</v>
      </c>
      <c r="EM7" s="15">
        <v>-2.44</v>
      </c>
      <c r="EN7" s="15">
        <v>1.18</v>
      </c>
      <c r="EO7" s="15">
        <v>1.46</v>
      </c>
      <c r="EP7" s="15">
        <v>-2.73</v>
      </c>
    </row>
    <row r="8" spans="1:146" ht="96" x14ac:dyDescent="0.25">
      <c r="A8" s="8"/>
      <c r="B8" s="8"/>
      <c r="C8" s="8" t="str">
        <f>""&amp;CHAR(10)&amp;Basic_Fundamental_Information_Constructure(F8)&amp;CHAR(10)&amp;Basic_Fundamental_Information_Concatenate("")</f>
        <v xml:space="preserve">
市值149.07474亿, 利润1.28亿; PE89.68; 平均PE41.87; 平均PEG58.68, PB4.04; ROIC8.11%; ROE10.68%; 股利率.2278%; 毛利21.14%; 净利7.3067%; 上一年度营收增-14.54%, 利润增-44.35%; 当季营收增97.69%, 利润增304.92%; 过往5年营收增.71%, 利润增7.03%
Income profile:
</v>
      </c>
      <c r="D8" t="s">
        <v>143</v>
      </c>
      <c r="E8" t="s">
        <v>144</v>
      </c>
      <c r="F8">
        <v>21.95</v>
      </c>
      <c r="G8">
        <v>-0.05</v>
      </c>
      <c r="H8" t="s">
        <v>1112</v>
      </c>
      <c r="I8">
        <v>14907474000</v>
      </c>
      <c r="J8">
        <v>89.68</v>
      </c>
      <c r="K8">
        <v>4.04</v>
      </c>
      <c r="L8" t="s">
        <v>82</v>
      </c>
      <c r="M8" t="s">
        <v>1113</v>
      </c>
      <c r="N8" t="s">
        <v>1114</v>
      </c>
      <c r="O8" t="s">
        <v>887</v>
      </c>
      <c r="P8">
        <v>97.7</v>
      </c>
      <c r="Q8" t="s">
        <v>1115</v>
      </c>
      <c r="R8">
        <v>50604570</v>
      </c>
      <c r="S8" s="5">
        <v>3.0489999999999999</v>
      </c>
      <c r="T8" t="s">
        <v>501</v>
      </c>
      <c r="U8">
        <v>677367400</v>
      </c>
      <c r="V8">
        <v>679156000</v>
      </c>
      <c r="W8">
        <v>1.69</v>
      </c>
      <c r="X8">
        <v>0.25</v>
      </c>
      <c r="Y8">
        <v>4.53</v>
      </c>
      <c r="Z8" t="s">
        <v>890</v>
      </c>
      <c r="AA8" t="s">
        <v>1116</v>
      </c>
      <c r="AB8" t="s">
        <v>1117</v>
      </c>
      <c r="AC8" t="s">
        <v>1118</v>
      </c>
      <c r="AD8" t="s">
        <v>9</v>
      </c>
      <c r="AE8">
        <v>12540771</v>
      </c>
      <c r="AF8" t="s">
        <v>1119</v>
      </c>
      <c r="AG8" t="s">
        <v>1120</v>
      </c>
      <c r="AH8" t="s">
        <v>1121</v>
      </c>
      <c r="AI8" t="s">
        <v>1122</v>
      </c>
      <c r="AJ8" t="s">
        <v>1123</v>
      </c>
      <c r="AK8" t="s">
        <v>1124</v>
      </c>
      <c r="AL8" t="s">
        <v>1125</v>
      </c>
      <c r="AM8" t="s">
        <v>9</v>
      </c>
      <c r="AN8" t="s">
        <v>336</v>
      </c>
      <c r="AO8" t="s">
        <v>1126</v>
      </c>
      <c r="AP8" t="s">
        <v>736</v>
      </c>
      <c r="AQ8" t="s">
        <v>641</v>
      </c>
      <c r="AR8" t="s">
        <v>9</v>
      </c>
      <c r="AS8" t="s">
        <v>1127</v>
      </c>
      <c r="AT8" t="s">
        <v>1128</v>
      </c>
      <c r="AU8" t="s">
        <v>992</v>
      </c>
      <c r="AV8" t="s">
        <v>1129</v>
      </c>
      <c r="AW8" t="s">
        <v>1004</v>
      </c>
      <c r="AX8" t="s">
        <v>662</v>
      </c>
      <c r="AY8" t="s">
        <v>463</v>
      </c>
      <c r="AZ8" t="s">
        <v>146</v>
      </c>
      <c r="BA8" t="s">
        <v>148</v>
      </c>
      <c r="BB8" t="s">
        <v>149</v>
      </c>
      <c r="BC8" t="s">
        <v>525</v>
      </c>
      <c r="BD8" t="s">
        <v>159</v>
      </c>
      <c r="BE8" t="s">
        <v>22</v>
      </c>
      <c r="BF8" t="s">
        <v>51</v>
      </c>
      <c r="BG8" t="s">
        <v>150</v>
      </c>
      <c r="BH8" t="s">
        <v>1115</v>
      </c>
      <c r="BI8" t="s">
        <v>1130</v>
      </c>
      <c r="BJ8" t="s">
        <v>662</v>
      </c>
      <c r="BK8" t="s">
        <v>501</v>
      </c>
      <c r="BL8" t="s">
        <v>1131</v>
      </c>
      <c r="BM8" t="s">
        <v>525</v>
      </c>
      <c r="BN8">
        <v>2.15</v>
      </c>
      <c r="BO8">
        <v>4.99</v>
      </c>
      <c r="BP8">
        <v>17.190000000000001</v>
      </c>
      <c r="BQ8">
        <v>2.5299999999999998</v>
      </c>
      <c r="BR8">
        <v>6.51</v>
      </c>
      <c r="BS8">
        <v>23</v>
      </c>
      <c r="BT8" t="s">
        <v>628</v>
      </c>
      <c r="BU8" t="s">
        <v>560</v>
      </c>
      <c r="BV8">
        <v>18.68</v>
      </c>
      <c r="BW8">
        <v>16.59</v>
      </c>
      <c r="BX8">
        <v>28.15</v>
      </c>
      <c r="BY8">
        <v>2.88</v>
      </c>
      <c r="BZ8">
        <v>4.6100000000000003</v>
      </c>
      <c r="CA8">
        <v>14.43</v>
      </c>
      <c r="CB8">
        <v>-0.59</v>
      </c>
      <c r="CC8">
        <v>-11.56</v>
      </c>
      <c r="CD8" t="s">
        <v>1132</v>
      </c>
      <c r="CE8" t="s">
        <v>491</v>
      </c>
      <c r="CF8" s="9">
        <v>0.97691373025516404</v>
      </c>
      <c r="CG8" s="10">
        <v>3.0492402358909523</v>
      </c>
      <c r="CH8" s="9">
        <v>-0.14538677036762238</v>
      </c>
      <c r="CI8" s="9">
        <v>-0.11669064313173294</v>
      </c>
      <c r="CJ8" s="9">
        <v>0.37415152788162231</v>
      </c>
      <c r="CK8" s="9">
        <v>-6.3063092529773712E-2</v>
      </c>
      <c r="CL8" s="9">
        <v>-1.3333283364772797E-2</v>
      </c>
      <c r="CM8" s="10">
        <v>-0.44347825646400452</v>
      </c>
      <c r="CN8" s="10">
        <v>-0.68579232692718506</v>
      </c>
      <c r="CO8" s="10">
        <v>2.1016948223114014</v>
      </c>
      <c r="CP8" s="10">
        <v>-0.23127035796642303</v>
      </c>
      <c r="CQ8" s="10">
        <v>-0.38966202735900879</v>
      </c>
      <c r="CR8">
        <v>41.874926966292136</v>
      </c>
      <c r="CS8">
        <v>58.68495137479718</v>
      </c>
      <c r="CT8">
        <v>0.22779043280182232</v>
      </c>
      <c r="CU8" s="9">
        <v>7.1355476975440979E-3</v>
      </c>
      <c r="CV8" s="10">
        <v>7.0298370718955991E-2</v>
      </c>
      <c r="CW8">
        <v>0.06</v>
      </c>
      <c r="CX8">
        <v>104.4141854121911</v>
      </c>
      <c r="CY8">
        <v>121616368.02385437</v>
      </c>
      <c r="CZ8">
        <v>7.1355476975440979E-3</v>
      </c>
      <c r="DA8">
        <v>36.625189498306888</v>
      </c>
      <c r="DB8">
        <v>346714219.74723232</v>
      </c>
      <c r="DC8">
        <v>6.7787703126668923E-3</v>
      </c>
      <c r="DD8">
        <v>19.757601972739156</v>
      </c>
      <c r="DE8">
        <v>642713322.06817949</v>
      </c>
      <c r="DF8">
        <v>6.2792819738388059E-3</v>
      </c>
      <c r="DG8">
        <v>13.097445951941914</v>
      </c>
      <c r="DH8">
        <v>969538186.8033011</v>
      </c>
      <c r="DI8">
        <v>5.708438158035279E-3</v>
      </c>
      <c r="DJ8">
        <v>8.2830940987937804</v>
      </c>
      <c r="DK8">
        <v>1533059246.767365</v>
      </c>
      <c r="DL8">
        <v>4.9948833882808678E-3</v>
      </c>
      <c r="DM8">
        <v>128000000</v>
      </c>
      <c r="DN8">
        <v>7.1355476975440979E-3</v>
      </c>
      <c r="DO8">
        <v>12698474000</v>
      </c>
      <c r="DP8">
        <v>911584800</v>
      </c>
      <c r="DQ8">
        <v>305</v>
      </c>
      <c r="DR8">
        <v>0.96977818255761994</v>
      </c>
      <c r="DS8">
        <v>2.9789418651719961</v>
      </c>
      <c r="DT8" s="11">
        <v>-0.3066666666666667</v>
      </c>
      <c r="DU8">
        <v>-0.33</v>
      </c>
      <c r="DV8">
        <v>-0.63666666666666671</v>
      </c>
      <c r="DW8">
        <v>-2.1156000000000001</v>
      </c>
      <c r="DX8">
        <v>0.28130399999999989</v>
      </c>
      <c r="DY8">
        <v>-2.0163347424000002</v>
      </c>
      <c r="DZ8">
        <v>3088</v>
      </c>
      <c r="EA8">
        <v>-2.0064635712588652</v>
      </c>
      <c r="EB8">
        <v>2</v>
      </c>
      <c r="EC8">
        <v>4.1611647397652378E-2</v>
      </c>
      <c r="ED8">
        <v>0.29448315261883867</v>
      </c>
      <c r="EE8" s="12">
        <v>-3.0133999999999999</v>
      </c>
      <c r="EF8">
        <v>-3.0165099999999998</v>
      </c>
      <c r="EG8">
        <v>14.141304</v>
      </c>
      <c r="EH8" t="s">
        <v>1133</v>
      </c>
      <c r="EI8">
        <v>0</v>
      </c>
      <c r="EJ8">
        <v>0</v>
      </c>
      <c r="EK8" s="14">
        <v>45470</v>
      </c>
      <c r="EL8" s="15">
        <v>1.94</v>
      </c>
      <c r="EM8" s="15">
        <v>-3.8</v>
      </c>
      <c r="EN8" s="15">
        <v>-1.58</v>
      </c>
      <c r="EO8" s="15">
        <v>1.47</v>
      </c>
      <c r="EP8" s="15">
        <v>-2.99</v>
      </c>
    </row>
    <row r="9" spans="1:146" ht="132" x14ac:dyDescent="0.25">
      <c r="A9" s="8"/>
      <c r="B9" s="8"/>
      <c r="C9" s="8" t="str">
        <f>"公司的主营业务是纯碱、溴素、氯化钙等产品的生产和销售。公司的主要产品是纯碱、溴素、氯化钙。"&amp;CHAR(10)&amp;Basic_Fundamental_Information_Constructure(F9)&amp;CHAR(10)&amp;Basic_Fundamental_Information_Concatenate("纯碱 38.78亿 77.05% 68.25% 20.57%
烧碱 4.29亿 8.53% 19.77% 53.82%
溴素 2.30亿 4.57% 12.07% 61.33%")</f>
        <v>公司的主营业务是纯碱、溴素、氯化钙等产品的生产和销售。公司的主要产品是纯碱、溴素、氯化钙。
市值52.09435亿, 利润10.44亿; PE5.42; 平均PE9.19; 平均PEG.56, PB.976; ROIC19.5933%; ROE19.6533%; 股利率1.7182%; 毛利21.2233%; 净利11.3333%; 上一年度营收增-12.19%, 利润增-5.78%; 当季营收增-22.07%, 利润增-34.88%; 过往5年营收增16.42%, 利润增22.59%
Income profile:
纯碱 38.78亿 77.05% 68.25% 20.57%
烧碱 4.29亿 8.53% 19.77% 53.82%
溴素 2.30亿 4.57% 12.07% 61.33%</v>
      </c>
      <c r="D9" t="s">
        <v>98</v>
      </c>
      <c r="E9" t="s">
        <v>99</v>
      </c>
      <c r="F9">
        <v>5.82</v>
      </c>
      <c r="G9">
        <v>0.52</v>
      </c>
      <c r="H9" t="s">
        <v>1134</v>
      </c>
      <c r="I9">
        <v>5209435000</v>
      </c>
      <c r="J9">
        <v>5.42</v>
      </c>
      <c r="K9">
        <v>0.97599999999999998</v>
      </c>
      <c r="L9" t="s">
        <v>82</v>
      </c>
      <c r="M9" t="s">
        <v>1135</v>
      </c>
      <c r="N9" t="s">
        <v>584</v>
      </c>
      <c r="O9" t="s">
        <v>1136</v>
      </c>
      <c r="P9">
        <v>-22.05</v>
      </c>
      <c r="Q9" t="s">
        <v>1137</v>
      </c>
      <c r="R9">
        <v>155627030</v>
      </c>
      <c r="S9" s="5">
        <v>-0.35010000000000002</v>
      </c>
      <c r="T9" t="s">
        <v>1138</v>
      </c>
      <c r="U9">
        <v>895091930</v>
      </c>
      <c r="V9">
        <v>895091930</v>
      </c>
      <c r="W9">
        <v>1.49</v>
      </c>
      <c r="X9">
        <v>0.23</v>
      </c>
      <c r="Y9">
        <v>8.44</v>
      </c>
      <c r="Z9" t="s">
        <v>1139</v>
      </c>
      <c r="AA9" t="s">
        <v>1140</v>
      </c>
      <c r="AB9" t="s">
        <v>1141</v>
      </c>
      <c r="AC9" t="s">
        <v>1142</v>
      </c>
      <c r="AD9" t="s">
        <v>9</v>
      </c>
      <c r="AE9">
        <v>-28005</v>
      </c>
      <c r="AF9" t="s">
        <v>1143</v>
      </c>
      <c r="AG9" t="s">
        <v>1144</v>
      </c>
      <c r="AH9" t="s">
        <v>1145</v>
      </c>
      <c r="AI9" t="s">
        <v>1146</v>
      </c>
      <c r="AJ9" t="s">
        <v>1147</v>
      </c>
      <c r="AK9" t="s">
        <v>9</v>
      </c>
      <c r="AL9" t="s">
        <v>1148</v>
      </c>
      <c r="AM9" t="s">
        <v>9</v>
      </c>
      <c r="AN9" t="s">
        <v>1149</v>
      </c>
      <c r="AO9" t="s">
        <v>9</v>
      </c>
      <c r="AP9" t="s">
        <v>1150</v>
      </c>
      <c r="AQ9" t="s">
        <v>1151</v>
      </c>
      <c r="AR9" t="s">
        <v>1152</v>
      </c>
      <c r="AS9" t="s">
        <v>1153</v>
      </c>
      <c r="AT9" t="s">
        <v>255</v>
      </c>
      <c r="AU9" t="s">
        <v>27</v>
      </c>
      <c r="AV9" t="s">
        <v>1154</v>
      </c>
      <c r="AW9" t="s">
        <v>1155</v>
      </c>
      <c r="AX9" t="s">
        <v>663</v>
      </c>
      <c r="AY9" t="s">
        <v>665</v>
      </c>
      <c r="AZ9" t="s">
        <v>100</v>
      </c>
      <c r="BA9" t="s">
        <v>103</v>
      </c>
      <c r="BB9" t="s">
        <v>104</v>
      </c>
      <c r="BC9" t="s">
        <v>664</v>
      </c>
      <c r="BD9" t="s">
        <v>666</v>
      </c>
      <c r="BE9" t="s">
        <v>101</v>
      </c>
      <c r="BF9" t="s">
        <v>105</v>
      </c>
      <c r="BG9" t="s">
        <v>106</v>
      </c>
      <c r="BH9" t="s">
        <v>1137</v>
      </c>
      <c r="BI9" t="s">
        <v>897</v>
      </c>
      <c r="BJ9" t="s">
        <v>663</v>
      </c>
      <c r="BK9" t="s">
        <v>1138</v>
      </c>
      <c r="BL9" t="s">
        <v>236</v>
      </c>
      <c r="BM9" t="s">
        <v>664</v>
      </c>
      <c r="BN9">
        <v>14.59</v>
      </c>
      <c r="BO9">
        <v>27.11</v>
      </c>
      <c r="BP9">
        <v>17.079999999999998</v>
      </c>
      <c r="BQ9">
        <v>14.99</v>
      </c>
      <c r="BR9">
        <v>25.76</v>
      </c>
      <c r="BS9">
        <v>18.21</v>
      </c>
      <c r="BT9" t="s">
        <v>623</v>
      </c>
      <c r="BU9" t="s">
        <v>562</v>
      </c>
      <c r="BV9">
        <v>22.89</v>
      </c>
      <c r="BW9">
        <v>19.97</v>
      </c>
      <c r="BX9">
        <v>20.81</v>
      </c>
      <c r="BY9">
        <v>12.24</v>
      </c>
      <c r="BZ9">
        <v>11.41</v>
      </c>
      <c r="CA9">
        <v>10.35</v>
      </c>
      <c r="CB9">
        <v>-0.17</v>
      </c>
      <c r="CC9">
        <v>-12.87</v>
      </c>
      <c r="CD9" t="s">
        <v>1156</v>
      </c>
      <c r="CE9" t="s">
        <v>959</v>
      </c>
      <c r="CF9" s="9">
        <v>-0.22071881606765328</v>
      </c>
      <c r="CG9" s="10">
        <v>-0.34884087866108787</v>
      </c>
      <c r="CH9" s="9">
        <v>-0.12191104143857956</v>
      </c>
      <c r="CI9" s="9">
        <v>0.44696065783500671</v>
      </c>
      <c r="CJ9" s="9">
        <v>0.81995660066604614</v>
      </c>
      <c r="CK9" s="9">
        <v>-0.20190438628196716</v>
      </c>
      <c r="CL9" s="9">
        <v>-0.12198363244533539</v>
      </c>
      <c r="CM9" s="10">
        <v>-5.7761732488870621E-2</v>
      </c>
      <c r="CN9" s="10">
        <v>0.47536617517471313</v>
      </c>
      <c r="CO9" s="10">
        <v>3.980158805847168</v>
      </c>
      <c r="CP9" s="10">
        <v>-2.5460121631622314</v>
      </c>
      <c r="CQ9" s="10">
        <v>-0.72231686115264893</v>
      </c>
      <c r="CR9">
        <v>9.1904175242575707</v>
      </c>
      <c r="CS9">
        <v>0.55962817185706504</v>
      </c>
      <c r="CT9">
        <v>1.7182130584192439</v>
      </c>
      <c r="CU9" s="9">
        <v>0.16422363966703415</v>
      </c>
      <c r="CV9" s="10">
        <v>0.22588684484362603</v>
      </c>
      <c r="CW9">
        <v>0.06</v>
      </c>
      <c r="CX9">
        <v>2.4248322525547814</v>
      </c>
      <c r="CY9">
        <v>1146650452.6531923</v>
      </c>
      <c r="CZ9">
        <v>0.16422363966703415</v>
      </c>
      <c r="DA9">
        <v>0.74454337483107647</v>
      </c>
      <c r="DB9">
        <v>3734416414.1287684</v>
      </c>
      <c r="DC9">
        <v>0.15601245768368244</v>
      </c>
      <c r="DD9">
        <v>0.33645999240984875</v>
      </c>
      <c r="DE9">
        <v>8263790830.1831484</v>
      </c>
      <c r="DF9">
        <v>0.14451680290699007</v>
      </c>
      <c r="DG9">
        <v>0.18288113513157783</v>
      </c>
      <c r="DH9">
        <v>15203509088.018047</v>
      </c>
      <c r="DI9">
        <v>0.13137891173362734</v>
      </c>
      <c r="DJ9">
        <v>7.5091938134964772E-2</v>
      </c>
      <c r="DK9">
        <v>37027077327.564095</v>
      </c>
      <c r="DL9">
        <v>0.11495654776692391</v>
      </c>
      <c r="DM9">
        <v>1044000000</v>
      </c>
      <c r="DN9">
        <v>0.16422363966703415</v>
      </c>
      <c r="DO9">
        <v>2780435000</v>
      </c>
      <c r="DP9">
        <v>2364110800</v>
      </c>
      <c r="DQ9">
        <v>309</v>
      </c>
      <c r="DR9">
        <v>-0.38494245573468744</v>
      </c>
      <c r="DS9">
        <v>-0.57472772350471391</v>
      </c>
      <c r="DT9" s="11">
        <v>-0.13999999999999999</v>
      </c>
      <c r="DU9">
        <v>-0.50499999999999978</v>
      </c>
      <c r="DV9">
        <v>-0.6449999999999998</v>
      </c>
      <c r="DW9">
        <v>-2.1286999999999998</v>
      </c>
      <c r="DX9">
        <v>0.25123898916967435</v>
      </c>
      <c r="DY9">
        <v>-2.014316457906137</v>
      </c>
      <c r="DZ9">
        <v>3105</v>
      </c>
      <c r="EA9">
        <v>-2.0056173186109207</v>
      </c>
      <c r="EB9">
        <v>2</v>
      </c>
      <c r="EC9">
        <v>3.4424620496801929E-2</v>
      </c>
      <c r="ED9">
        <v>0.30946541993736887</v>
      </c>
      <c r="EE9" s="12">
        <v>1.1234</v>
      </c>
      <c r="EF9">
        <v>1.0965</v>
      </c>
      <c r="EG9">
        <v>14.111238989169674</v>
      </c>
      <c r="EH9" t="s">
        <v>604</v>
      </c>
      <c r="EI9">
        <v>0</v>
      </c>
      <c r="EJ9">
        <v>0</v>
      </c>
      <c r="EK9" s="14">
        <v>45470</v>
      </c>
      <c r="EL9" s="15">
        <v>0.34</v>
      </c>
      <c r="EM9" s="15">
        <v>-2.85</v>
      </c>
      <c r="EN9" s="15">
        <v>0.69</v>
      </c>
      <c r="EO9" s="15">
        <v>2.06</v>
      </c>
      <c r="EP9" s="15">
        <v>-2.69</v>
      </c>
    </row>
    <row r="10" spans="1:146" ht="180" x14ac:dyDescent="0.25">
      <c r="A10" s="8"/>
      <c r="B10" s="8"/>
      <c r="C10" s="8" t="str">
        <f>"公司主营业务包括化工新材料，基础化工及其他业务，其中化工新材料产品主要包括聚碳酸酯，尼龙6,己内酰胺，多元醇等；基础化工产品主要包括甲烷氯化物和二甲基甲酰胺等；其他业务主要包括化工装备制造，化工行业相关设计研发等；"&amp;CHAR(10)&amp;Basic_Fundamental_Information_Constructure(F10)&amp;CHAR(10)&amp;Basic_Fundamental_Information_Concatenate("化工新材料行业 99.01亿 68.42% 利润占比73.42% 34.19%
基础化工行业 36.72亿 25.37% 利润占比25.64% 32.20%
化肥行业 8.29亿 5.73% 利润占比0.75% 4.15%
其他行业 6906.97万 0.48% 利润占比0.19% 12.92%")</f>
        <v>公司主营业务包括化工新材料，基础化工及其他业务，其中化工新材料产品主要包括聚碳酸酯，尼龙6,己内酰胺，多元醇等；基础化工产品主要包括甲烷氯化物和二甲基甲酰胺等；其他业务主要包括化工装备制造，化工行业相关设计研发等；
市值222.11959亿, 利润8.19亿; PE20.87; 平均PE9.38; 平均PEG1.12, PB1.27; ROIC11.2533%; ROE16.5933%; 股利率1.1217%; 毛利21.2933%; 净利9.3867%; 上一年度营收增-16.47%, 利润增-74.04%; 当季营收增2.6%, 利润增257.14%; 过往5年营收增8.38%, 利润增51.64%
Income profile:
化工新材料行业 99.01亿 68.42% 利润占比73.42% 34.19%
基础化工行业 36.72亿 25.37% 利润占比25.64% 32.20%
化肥行业 8.29亿 5.73% 利润占比0.75% 4.15%
其他行业 6906.97万 0.48% 利润占比0.19% 12.92%</v>
      </c>
      <c r="D10" t="s">
        <v>296</v>
      </c>
      <c r="E10" t="s">
        <v>297</v>
      </c>
      <c r="F10">
        <v>11.59</v>
      </c>
      <c r="G10">
        <v>1.22</v>
      </c>
      <c r="H10" t="s">
        <v>1157</v>
      </c>
      <c r="I10">
        <v>22211959000</v>
      </c>
      <c r="J10">
        <v>20.87</v>
      </c>
      <c r="K10">
        <v>1.27</v>
      </c>
      <c r="L10" t="s">
        <v>82</v>
      </c>
      <c r="M10" t="s">
        <v>1158</v>
      </c>
      <c r="N10" t="s">
        <v>1159</v>
      </c>
      <c r="O10" t="s">
        <v>1160</v>
      </c>
      <c r="P10">
        <v>2.61</v>
      </c>
      <c r="Q10" t="s">
        <v>1161</v>
      </c>
      <c r="R10">
        <v>1150000000</v>
      </c>
      <c r="S10" s="5">
        <v>0.76259999999999994</v>
      </c>
      <c r="T10" t="s">
        <v>1162</v>
      </c>
      <c r="U10">
        <v>1903604600</v>
      </c>
      <c r="V10">
        <v>1916476200</v>
      </c>
      <c r="W10">
        <v>2</v>
      </c>
      <c r="X10">
        <v>0.19</v>
      </c>
      <c r="Y10">
        <v>8.41</v>
      </c>
      <c r="Z10" t="s">
        <v>1163</v>
      </c>
      <c r="AA10" t="s">
        <v>1164</v>
      </c>
      <c r="AB10" t="s">
        <v>1165</v>
      </c>
      <c r="AC10" t="s">
        <v>346</v>
      </c>
      <c r="AD10" t="s">
        <v>9</v>
      </c>
      <c r="AE10">
        <v>46833423</v>
      </c>
      <c r="AF10" t="s">
        <v>1166</v>
      </c>
      <c r="AG10" t="s">
        <v>1167</v>
      </c>
      <c r="AH10" t="s">
        <v>1168</v>
      </c>
      <c r="AI10" t="s">
        <v>598</v>
      </c>
      <c r="AJ10" t="s">
        <v>1169</v>
      </c>
      <c r="AK10" t="s">
        <v>9</v>
      </c>
      <c r="AL10" t="s">
        <v>1170</v>
      </c>
      <c r="AM10" t="s">
        <v>9</v>
      </c>
      <c r="AN10" t="s">
        <v>867</v>
      </c>
      <c r="AO10" t="s">
        <v>1171</v>
      </c>
      <c r="AP10" t="s">
        <v>938</v>
      </c>
      <c r="AQ10" t="s">
        <v>1172</v>
      </c>
      <c r="AR10" t="s">
        <v>9</v>
      </c>
      <c r="AS10" t="s">
        <v>1173</v>
      </c>
      <c r="AT10" t="s">
        <v>1174</v>
      </c>
      <c r="AU10" t="s">
        <v>1175</v>
      </c>
      <c r="AV10" t="s">
        <v>1176</v>
      </c>
      <c r="AW10" t="s">
        <v>1177</v>
      </c>
      <c r="AX10" t="s">
        <v>667</v>
      </c>
      <c r="AY10" t="s">
        <v>465</v>
      </c>
      <c r="AZ10" t="s">
        <v>298</v>
      </c>
      <c r="BA10" t="s">
        <v>299</v>
      </c>
      <c r="BB10" t="s">
        <v>300</v>
      </c>
      <c r="BC10" t="s">
        <v>668</v>
      </c>
      <c r="BD10" t="s">
        <v>466</v>
      </c>
      <c r="BE10" t="s">
        <v>29</v>
      </c>
      <c r="BF10" t="s">
        <v>301</v>
      </c>
      <c r="BG10" t="s">
        <v>302</v>
      </c>
      <c r="BH10" t="s">
        <v>1161</v>
      </c>
      <c r="BI10" t="s">
        <v>1178</v>
      </c>
      <c r="BJ10" t="s">
        <v>667</v>
      </c>
      <c r="BK10" t="s">
        <v>1162</v>
      </c>
      <c r="BL10" t="s">
        <v>1179</v>
      </c>
      <c r="BM10" t="s">
        <v>668</v>
      </c>
      <c r="BN10">
        <v>2.2599999999999998</v>
      </c>
      <c r="BO10">
        <v>12.42</v>
      </c>
      <c r="BP10">
        <v>19.079999999999998</v>
      </c>
      <c r="BQ10">
        <v>2.97</v>
      </c>
      <c r="BR10">
        <v>17.829999999999998</v>
      </c>
      <c r="BS10">
        <v>28.98</v>
      </c>
      <c r="BT10" t="s">
        <v>756</v>
      </c>
      <c r="BU10" t="s">
        <v>1180</v>
      </c>
      <c r="BV10">
        <v>13.44</v>
      </c>
      <c r="BW10">
        <v>20.02</v>
      </c>
      <c r="BX10">
        <v>30.42</v>
      </c>
      <c r="BY10">
        <v>3.23</v>
      </c>
      <c r="BZ10">
        <v>10.4</v>
      </c>
      <c r="CA10">
        <v>14.53</v>
      </c>
      <c r="CB10">
        <v>0</v>
      </c>
      <c r="CC10">
        <v>-2.85</v>
      </c>
      <c r="CD10" t="s">
        <v>1181</v>
      </c>
      <c r="CE10" t="s">
        <v>917</v>
      </c>
      <c r="CF10" s="9">
        <v>2.5983893025376084E-2</v>
      </c>
      <c r="CG10" s="10">
        <v>2.5714285714285716</v>
      </c>
      <c r="CH10" s="9">
        <v>-0.16467371582984924</v>
      </c>
      <c r="CI10" s="9">
        <v>-4.5197196304798126E-2</v>
      </c>
      <c r="CJ10" s="9">
        <v>0.80729871988296509</v>
      </c>
      <c r="CK10" s="9">
        <v>-3.3778220415115356E-2</v>
      </c>
      <c r="CL10" s="9">
        <v>-0.14464905858039856</v>
      </c>
      <c r="CM10" s="10">
        <v>-0.74041205644607544</v>
      </c>
      <c r="CN10" s="10">
        <v>-0.3169516921043396</v>
      </c>
      <c r="CO10" s="10">
        <v>4.598787784576416</v>
      </c>
      <c r="CP10" s="10">
        <v>-0.52201622724533081</v>
      </c>
      <c r="CQ10" s="10">
        <v>-0.43741852045059204</v>
      </c>
      <c r="CR10">
        <v>9.3774102167182676</v>
      </c>
      <c r="CS10">
        <v>1.1190212867548222</v>
      </c>
      <c r="CT10">
        <v>1.1216566005176878</v>
      </c>
      <c r="CU10" s="9">
        <v>8.3800105750560766E-2</v>
      </c>
      <c r="CV10" s="10">
        <v>0.51639785766601565</v>
      </c>
      <c r="CW10">
        <v>0.06</v>
      </c>
      <c r="CX10">
        <v>27.30148159950328</v>
      </c>
      <c r="CY10">
        <v>837388949.63180125</v>
      </c>
      <c r="CZ10">
        <v>8.3800105750560766E-2</v>
      </c>
      <c r="DA10">
        <v>8.9688651439104774</v>
      </c>
      <c r="DB10">
        <v>2549035873.9001012</v>
      </c>
      <c r="DC10">
        <v>7.9610100463032726E-2</v>
      </c>
      <c r="DD10">
        <v>4.4462200454319225</v>
      </c>
      <c r="DE10">
        <v>5141886538.7664595</v>
      </c>
      <c r="DF10">
        <v>7.3744093060493468E-2</v>
      </c>
      <c r="DG10">
        <v>2.69115839945538</v>
      </c>
      <c r="DH10">
        <v>8495211208.9079037</v>
      </c>
      <c r="DI10">
        <v>6.7040084600448621E-2</v>
      </c>
      <c r="DJ10">
        <v>1.4143469723330617</v>
      </c>
      <c r="DK10">
        <v>16164321377.4394</v>
      </c>
      <c r="DL10">
        <v>5.8660074025392535E-2</v>
      </c>
      <c r="DM10">
        <v>819000000</v>
      </c>
      <c r="DN10">
        <v>8.3800105750560766E-2</v>
      </c>
      <c r="DO10">
        <v>22861959000</v>
      </c>
      <c r="DP10">
        <v>-10413341800</v>
      </c>
      <c r="DQ10">
        <v>315</v>
      </c>
      <c r="DR10">
        <v>-5.7816212725184682E-2</v>
      </c>
      <c r="DS10">
        <v>2.0550307137625561</v>
      </c>
      <c r="DT10" s="11">
        <v>-0.34</v>
      </c>
      <c r="DU10">
        <v>-0.1283333333333333</v>
      </c>
      <c r="DV10">
        <v>-0.46833333333333332</v>
      </c>
      <c r="DW10">
        <v>-1.0285</v>
      </c>
      <c r="DX10">
        <v>0.31922857142857086</v>
      </c>
      <c r="DY10">
        <v>-1.0045380142857143</v>
      </c>
      <c r="DZ10">
        <v>2323</v>
      </c>
      <c r="EA10">
        <v>-1.0024750383198211</v>
      </c>
      <c r="EB10">
        <v>1</v>
      </c>
      <c r="EC10">
        <v>3.6640058457287392E-2</v>
      </c>
      <c r="ED10">
        <v>0.23010982343532363</v>
      </c>
      <c r="EE10" s="12">
        <v>2.0794100000000002</v>
      </c>
      <c r="EF10">
        <v>2.09721</v>
      </c>
      <c r="EG10">
        <v>16.159228571428571</v>
      </c>
      <c r="EH10" t="s">
        <v>1182</v>
      </c>
      <c r="EI10">
        <v>0</v>
      </c>
      <c r="EJ10">
        <v>0</v>
      </c>
      <c r="EK10" s="14">
        <v>45470</v>
      </c>
      <c r="EL10" s="15">
        <v>0.94</v>
      </c>
      <c r="EM10" s="15">
        <v>-1.44</v>
      </c>
      <c r="EN10" s="15">
        <v>0.86</v>
      </c>
      <c r="EO10" s="15">
        <v>0.68</v>
      </c>
      <c r="EP10" s="15">
        <v>-1.78</v>
      </c>
    </row>
    <row r="11" spans="1:146" ht="96" x14ac:dyDescent="0.25">
      <c r="A11" s="8"/>
      <c r="B11" s="8"/>
      <c r="C11" s="8" t="str">
        <f>""&amp;CHAR(10)&amp;Basic_Fundamental_Information_Constructure(F11)&amp;CHAR(10)&amp;Basic_Fundamental_Information_Concatenate("")</f>
        <v xml:space="preserve">
市值94.180909亿, 利润1.77亿; PE24.25; 平均PE19.6; 平均PEG1.14, PB.529; ROIC2.6333%; ROE2.3167%; 股利率.6452%; 毛利16.29%; 净利4.11%; 上一年度营收增5.97%, 利润增247.57%; 当季营收增-19.14%, 利润增370.36%; 过往5年营收增17.19%, 利润增53.78%
Income profile:
</v>
      </c>
      <c r="D11" t="s">
        <v>304</v>
      </c>
      <c r="E11" t="s">
        <v>305</v>
      </c>
      <c r="F11">
        <v>7.75</v>
      </c>
      <c r="G11">
        <v>1.97</v>
      </c>
      <c r="H11" t="s">
        <v>1183</v>
      </c>
      <c r="I11">
        <v>9418090900</v>
      </c>
      <c r="J11">
        <v>24.25</v>
      </c>
      <c r="K11">
        <v>0.52900000000000003</v>
      </c>
      <c r="L11" t="s">
        <v>82</v>
      </c>
      <c r="M11" t="s">
        <v>1184</v>
      </c>
      <c r="N11" t="s">
        <v>1185</v>
      </c>
      <c r="O11" t="s">
        <v>1186</v>
      </c>
      <c r="P11">
        <v>-19.14</v>
      </c>
      <c r="Q11" t="s">
        <v>1187</v>
      </c>
      <c r="R11">
        <v>154051640</v>
      </c>
      <c r="S11" s="5">
        <v>3.7040000000000002</v>
      </c>
      <c r="T11" t="s">
        <v>721</v>
      </c>
      <c r="U11">
        <v>1215236340</v>
      </c>
      <c r="V11">
        <v>1215237540</v>
      </c>
      <c r="W11">
        <v>1.39</v>
      </c>
      <c r="X11">
        <v>0.11</v>
      </c>
      <c r="Y11">
        <v>6.53</v>
      </c>
      <c r="Z11" t="s">
        <v>1188</v>
      </c>
      <c r="AA11" t="s">
        <v>1189</v>
      </c>
      <c r="AB11" t="s">
        <v>1190</v>
      </c>
      <c r="AC11" t="s">
        <v>1191</v>
      </c>
      <c r="AD11" t="s">
        <v>9</v>
      </c>
      <c r="AE11">
        <v>36019954</v>
      </c>
      <c r="AF11" t="s">
        <v>1192</v>
      </c>
      <c r="AG11" t="s">
        <v>1193</v>
      </c>
      <c r="AH11" t="s">
        <v>1194</v>
      </c>
      <c r="AI11" t="s">
        <v>1195</v>
      </c>
      <c r="AJ11" t="s">
        <v>1196</v>
      </c>
      <c r="AK11" t="s">
        <v>686</v>
      </c>
      <c r="AL11" t="s">
        <v>1197</v>
      </c>
      <c r="AM11" t="s">
        <v>9</v>
      </c>
      <c r="AN11" t="s">
        <v>1198</v>
      </c>
      <c r="AO11" t="s">
        <v>933</v>
      </c>
      <c r="AP11" t="s">
        <v>1199</v>
      </c>
      <c r="AQ11" t="s">
        <v>1200</v>
      </c>
      <c r="AR11" t="s">
        <v>1201</v>
      </c>
      <c r="AS11" t="s">
        <v>1202</v>
      </c>
      <c r="AT11" t="s">
        <v>87</v>
      </c>
      <c r="AU11" t="s">
        <v>152</v>
      </c>
      <c r="AV11" t="s">
        <v>1203</v>
      </c>
      <c r="AW11" t="s">
        <v>1204</v>
      </c>
      <c r="AX11" t="s">
        <v>669</v>
      </c>
      <c r="AY11" t="s">
        <v>467</v>
      </c>
      <c r="AZ11" t="s">
        <v>306</v>
      </c>
      <c r="BA11" t="s">
        <v>307</v>
      </c>
      <c r="BB11" t="s">
        <v>308</v>
      </c>
      <c r="BC11" t="s">
        <v>1205</v>
      </c>
      <c r="BD11" t="s">
        <v>468</v>
      </c>
      <c r="BE11" t="s">
        <v>246</v>
      </c>
      <c r="BF11" t="s">
        <v>189</v>
      </c>
      <c r="BG11" t="s">
        <v>309</v>
      </c>
      <c r="BH11" t="s">
        <v>1187</v>
      </c>
      <c r="BI11" t="s">
        <v>1206</v>
      </c>
      <c r="BJ11" t="s">
        <v>669</v>
      </c>
      <c r="BK11" t="s">
        <v>721</v>
      </c>
      <c r="BL11" t="s">
        <v>1207</v>
      </c>
      <c r="BM11" t="s">
        <v>1205</v>
      </c>
      <c r="BN11">
        <v>1.31</v>
      </c>
      <c r="BO11">
        <v>1.24</v>
      </c>
      <c r="BP11">
        <v>5.35</v>
      </c>
      <c r="BQ11">
        <v>0.74</v>
      </c>
      <c r="BR11">
        <v>0.3</v>
      </c>
      <c r="BS11">
        <v>5.91</v>
      </c>
      <c r="BT11" t="s">
        <v>628</v>
      </c>
      <c r="BU11" t="s">
        <v>1180</v>
      </c>
      <c r="BV11">
        <v>13.21</v>
      </c>
      <c r="BW11">
        <v>11.27</v>
      </c>
      <c r="BX11">
        <v>24.39</v>
      </c>
      <c r="BY11">
        <v>2.3199999999999998</v>
      </c>
      <c r="BZ11">
        <v>1.35</v>
      </c>
      <c r="CA11">
        <v>8.66</v>
      </c>
      <c r="CB11">
        <v>4.17</v>
      </c>
      <c r="CC11">
        <v>-3.49</v>
      </c>
      <c r="CD11" t="s">
        <v>1208</v>
      </c>
      <c r="CE11" t="s">
        <v>711</v>
      </c>
      <c r="CF11" s="9">
        <v>-0.1913818722139673</v>
      </c>
      <c r="CG11" s="10">
        <v>3.703618475319324</v>
      </c>
      <c r="CH11" s="9">
        <v>5.97422756254673E-2</v>
      </c>
      <c r="CI11" s="9">
        <v>-3.8328979164361954E-2</v>
      </c>
      <c r="CJ11" s="9">
        <v>0.2519524097442627</v>
      </c>
      <c r="CK11" s="9">
        <v>0.40798607468605042</v>
      </c>
      <c r="CL11" s="9">
        <v>0.17791405320167542</v>
      </c>
      <c r="CM11" s="10">
        <v>2.4756858348846436</v>
      </c>
      <c r="CN11" s="10">
        <v>-0.94947898387908936</v>
      </c>
      <c r="CO11" s="10">
        <v>1.8394366502761841</v>
      </c>
      <c r="CP11" s="10">
        <v>-0.19864559173583984</v>
      </c>
      <c r="CQ11" s="10">
        <v>-0.47820964455604553</v>
      </c>
      <c r="CR11">
        <v>19.601113965773376</v>
      </c>
      <c r="CS11">
        <v>1.1405733352857697</v>
      </c>
      <c r="CT11">
        <v>0.64516129032258063</v>
      </c>
      <c r="CU11" s="9">
        <v>0.17185316681861879</v>
      </c>
      <c r="CV11" s="10">
        <v>0.53775765299797063</v>
      </c>
      <c r="CW11">
        <v>0.06</v>
      </c>
      <c r="CX11" t="s">
        <v>621</v>
      </c>
      <c r="CY11">
        <v>195677368.42159954</v>
      </c>
      <c r="CZ11">
        <v>0.17185316681861879</v>
      </c>
      <c r="DA11" t="s">
        <v>621</v>
      </c>
      <c r="DB11">
        <v>641337742.13487327</v>
      </c>
      <c r="DC11">
        <v>0.16326050847768783</v>
      </c>
      <c r="DD11" t="s">
        <v>621</v>
      </c>
      <c r="DE11">
        <v>1431959057.3197935</v>
      </c>
      <c r="DF11">
        <v>0.15123078680038454</v>
      </c>
      <c r="DG11" t="s">
        <v>621</v>
      </c>
      <c r="DH11">
        <v>2662970222.96838</v>
      </c>
      <c r="DI11">
        <v>0.13748253345489503</v>
      </c>
      <c r="DJ11" t="s">
        <v>621</v>
      </c>
      <c r="DK11">
        <v>6655321475.6063852</v>
      </c>
      <c r="DL11">
        <v>0.12029721677303314</v>
      </c>
      <c r="DM11">
        <v>177000000</v>
      </c>
      <c r="DN11">
        <v>0.17185316681861879</v>
      </c>
      <c r="DO11">
        <v>-1949909100</v>
      </c>
      <c r="DP11">
        <v>1184615200</v>
      </c>
      <c r="DQ11">
        <v>422</v>
      </c>
      <c r="DR11">
        <v>-0.36323503903258608</v>
      </c>
      <c r="DS11">
        <v>3.1658608223213536</v>
      </c>
      <c r="DT11" s="11">
        <v>-9.000000000000008E-2</v>
      </c>
      <c r="DU11">
        <v>0.7533333333333333</v>
      </c>
      <c r="DV11">
        <v>0.66333333333333322</v>
      </c>
      <c r="DW11">
        <v>4.8369304556354917</v>
      </c>
      <c r="DX11">
        <v>0.3880988317757017</v>
      </c>
      <c r="DY11">
        <v>4.1239484227571213</v>
      </c>
      <c r="DZ11">
        <v>498</v>
      </c>
      <c r="EA11">
        <v>4.1118689091498712</v>
      </c>
      <c r="EB11">
        <v>4</v>
      </c>
      <c r="EC11">
        <v>5.2159596715552418E-2</v>
      </c>
      <c r="ED11">
        <v>0.35219451828323212</v>
      </c>
      <c r="EE11" s="12">
        <v>5.0700000000000002E-2</v>
      </c>
      <c r="EF11">
        <v>2.18E-2</v>
      </c>
      <c r="EG11">
        <v>24.148098831775702</v>
      </c>
      <c r="EH11" t="s">
        <v>549</v>
      </c>
      <c r="EI11">
        <v>0</v>
      </c>
      <c r="EJ11">
        <v>1</v>
      </c>
      <c r="EK11" s="14">
        <v>45470</v>
      </c>
      <c r="EL11" s="15">
        <v>0.94</v>
      </c>
      <c r="EM11" s="15">
        <v>-3.05</v>
      </c>
      <c r="EN11" s="15">
        <v>0.68</v>
      </c>
      <c r="EO11" s="15">
        <v>3.4</v>
      </c>
      <c r="EP11" s="15">
        <v>-2.89</v>
      </c>
    </row>
    <row r="12" spans="1:146" ht="156" x14ac:dyDescent="0.25">
      <c r="A12" s="8" t="s">
        <v>958</v>
      </c>
      <c r="B12" s="8"/>
      <c r="C12" s="8" t="str">
        <f>"公司自成立以来一直致力于化工产品的研发、生产与销售，已发展成为以合成氨、硝酸、硫酸、双氧水等基础化工产品为基础，以精细化工产品为方向的综合型化工企业。"&amp;CHAR(10)&amp;Basic_Fundamental_Information_Constructure(F12)&amp;CHAR(10)&amp;Basic_Fundamental_Information_Concatenate("大宗化学品 6.48亿 74.32% 83.40% 12.11%
蒸汽 8525.38万 9.78% 16.60% 18.32%
ML氨基复合材料 6532.69万 7.49%
化工中间体 6090.59万 6.99%")</f>
        <v>公司自成立以来一直致力于化工产品的研发、生产与销售，已发展成为以合成氨、硝酸、硫酸、双氧水等基础化工产品为基础，以精细化工产品为方向的综合型化工企业。
市值30.332918亿, 利润1.58亿; PE19.12; 平均PE14.94; 平均PEG1.46, PB1.36; ROIC15.2267%; ROE17.0567%; 股利率1.0941%; 毛利21.68%; 净利13.7467%; 上一年度营收增-14.71%, 利润增-28.18%; 当季营收增-12.61%, 利润增1.19%; 过往5年营收增10.22%, 利润增24.02%
Income profile:
大宗化学品 6.48亿 74.32% 83.40% 12.11%
蒸汽 8525.38万 9.78% 16.60% 18.32%
ML氨基复合材料 6532.69万 7.49%
化工中间体 6090.59万 6.99%</v>
      </c>
      <c r="D12" t="s">
        <v>310</v>
      </c>
      <c r="E12" t="s">
        <v>311</v>
      </c>
      <c r="F12">
        <v>9.14</v>
      </c>
      <c r="G12">
        <v>1.44</v>
      </c>
      <c r="H12" t="s">
        <v>1209</v>
      </c>
      <c r="I12">
        <v>3033291800</v>
      </c>
      <c r="J12">
        <v>19.12</v>
      </c>
      <c r="K12">
        <v>1.36</v>
      </c>
      <c r="L12" t="s">
        <v>82</v>
      </c>
      <c r="M12" t="s">
        <v>882</v>
      </c>
      <c r="N12" t="s">
        <v>1210</v>
      </c>
      <c r="O12" t="s">
        <v>1211</v>
      </c>
      <c r="P12">
        <v>-12.72</v>
      </c>
      <c r="Q12" t="s">
        <v>1212</v>
      </c>
      <c r="R12">
        <v>33329636</v>
      </c>
      <c r="S12" s="5">
        <v>1.1900000000000001E-2</v>
      </c>
      <c r="T12" t="s">
        <v>902</v>
      </c>
      <c r="U12">
        <v>132928800</v>
      </c>
      <c r="V12">
        <v>331870000</v>
      </c>
      <c r="W12">
        <v>1.51</v>
      </c>
      <c r="X12">
        <v>0.12</v>
      </c>
      <c r="Y12">
        <v>8.44</v>
      </c>
      <c r="Z12" t="s">
        <v>1213</v>
      </c>
      <c r="AA12" t="s">
        <v>25</v>
      </c>
      <c r="AB12" t="s">
        <v>1214</v>
      </c>
      <c r="AC12" t="s">
        <v>1215</v>
      </c>
      <c r="AD12" t="s">
        <v>9</v>
      </c>
      <c r="AE12">
        <v>-684287</v>
      </c>
      <c r="AF12" t="s">
        <v>1216</v>
      </c>
      <c r="AG12" t="s">
        <v>1217</v>
      </c>
      <c r="AH12" t="s">
        <v>1218</v>
      </c>
      <c r="AI12" t="s">
        <v>641</v>
      </c>
      <c r="AJ12" t="s">
        <v>1219</v>
      </c>
      <c r="AK12" t="s">
        <v>1220</v>
      </c>
      <c r="AL12" t="s">
        <v>1221</v>
      </c>
      <c r="AM12" t="s">
        <v>9</v>
      </c>
      <c r="AN12" t="s">
        <v>908</v>
      </c>
      <c r="AO12" t="s">
        <v>1222</v>
      </c>
      <c r="AP12" t="s">
        <v>1223</v>
      </c>
      <c r="AQ12" t="s">
        <v>1224</v>
      </c>
      <c r="AR12" t="s">
        <v>9</v>
      </c>
      <c r="AS12" t="s">
        <v>1225</v>
      </c>
      <c r="AT12" t="s">
        <v>9</v>
      </c>
      <c r="AU12" t="s">
        <v>1226</v>
      </c>
      <c r="AV12" t="s">
        <v>1227</v>
      </c>
      <c r="AW12" t="s">
        <v>1228</v>
      </c>
      <c r="AX12" t="s">
        <v>670</v>
      </c>
      <c r="AY12" t="s">
        <v>321</v>
      </c>
      <c r="AZ12" t="s">
        <v>312</v>
      </c>
      <c r="BA12" t="s">
        <v>313</v>
      </c>
      <c r="BB12" t="s">
        <v>314</v>
      </c>
      <c r="BC12" t="s">
        <v>671</v>
      </c>
      <c r="BD12" t="s">
        <v>469</v>
      </c>
      <c r="BE12" t="s">
        <v>127</v>
      </c>
      <c r="BF12" t="s">
        <v>31</v>
      </c>
      <c r="BG12" t="s">
        <v>44</v>
      </c>
      <c r="BH12" t="s">
        <v>1212</v>
      </c>
      <c r="BI12" t="s">
        <v>653</v>
      </c>
      <c r="BJ12" t="s">
        <v>670</v>
      </c>
      <c r="BK12" t="s">
        <v>902</v>
      </c>
      <c r="BL12" t="s">
        <v>1229</v>
      </c>
      <c r="BM12" t="s">
        <v>671</v>
      </c>
      <c r="BN12">
        <v>4.58</v>
      </c>
      <c r="BO12">
        <v>10.75</v>
      </c>
      <c r="BP12">
        <v>30.35</v>
      </c>
      <c r="BQ12">
        <v>4.7300000000000004</v>
      </c>
      <c r="BR12">
        <v>11.03</v>
      </c>
      <c r="BS12">
        <v>35.409999999999997</v>
      </c>
      <c r="BT12" t="s">
        <v>623</v>
      </c>
      <c r="BU12" t="s">
        <v>500</v>
      </c>
      <c r="BV12">
        <v>15.97</v>
      </c>
      <c r="BW12">
        <v>17.04</v>
      </c>
      <c r="BX12">
        <v>32.03</v>
      </c>
      <c r="BY12">
        <v>8.83</v>
      </c>
      <c r="BZ12">
        <v>10.46</v>
      </c>
      <c r="CA12">
        <v>21.95</v>
      </c>
      <c r="CB12">
        <v>-0.11</v>
      </c>
      <c r="CC12">
        <v>-16.53</v>
      </c>
      <c r="CD12" t="s">
        <v>1230</v>
      </c>
      <c r="CE12" t="s">
        <v>920</v>
      </c>
      <c r="CF12" s="9">
        <v>-0.12610619469026538</v>
      </c>
      <c r="CG12" s="10">
        <v>1.1920818532349638E-2</v>
      </c>
      <c r="CH12" s="9">
        <v>-0.14707285165786743</v>
      </c>
      <c r="CI12" s="9">
        <v>0.10929253697395325</v>
      </c>
      <c r="CJ12" s="9">
        <v>0.6498258113861084</v>
      </c>
      <c r="CK12" s="9">
        <v>-8.6714349687099457E-2</v>
      </c>
      <c r="CL12" s="9">
        <v>-1.4117746613919735E-2</v>
      </c>
      <c r="CM12" s="10">
        <v>-0.28181818127632141</v>
      </c>
      <c r="CN12" s="10">
        <v>-0.4711538553237915</v>
      </c>
      <c r="CO12" s="10">
        <v>1.476190447807312</v>
      </c>
      <c r="CP12" s="10">
        <v>0.15068493783473969</v>
      </c>
      <c r="CQ12" s="10">
        <v>0.32727271318435669</v>
      </c>
      <c r="CR12">
        <v>14.942324137931035</v>
      </c>
      <c r="CS12">
        <v>1.4614566173544197</v>
      </c>
      <c r="CT12">
        <v>1.0940919037199124</v>
      </c>
      <c r="CU12" s="9">
        <v>0.102242680080235</v>
      </c>
      <c r="CV12" s="10">
        <v>0.24023521244525908</v>
      </c>
      <c r="CW12">
        <v>0.06</v>
      </c>
      <c r="CX12">
        <v>11.852298754529112</v>
      </c>
      <c r="CY12">
        <v>164296550.42705387</v>
      </c>
      <c r="CZ12">
        <v>0.102242680080235</v>
      </c>
      <c r="DA12">
        <v>3.8333301659650534</v>
      </c>
      <c r="DB12">
        <v>507989584.9539386</v>
      </c>
      <c r="DC12">
        <v>9.7130546076223248E-2</v>
      </c>
      <c r="DD12">
        <v>1.8609941964395764</v>
      </c>
      <c r="DE12">
        <v>1046371774.6812574</v>
      </c>
      <c r="DF12">
        <v>8.9973558470606799E-2</v>
      </c>
      <c r="DG12">
        <v>1.1000666276351703</v>
      </c>
      <c r="DH12">
        <v>1770158053.2318506</v>
      </c>
      <c r="DI12">
        <v>8.1794144064188001E-2</v>
      </c>
      <c r="DJ12">
        <v>0.5487692569520255</v>
      </c>
      <c r="DK12">
        <v>3548471010.9594131</v>
      </c>
      <c r="DL12">
        <v>7.1569876056164494E-2</v>
      </c>
      <c r="DM12">
        <v>158000000</v>
      </c>
      <c r="DN12">
        <v>0.102242680080235</v>
      </c>
      <c r="DO12">
        <v>1947291800</v>
      </c>
      <c r="DP12">
        <v>-48221880</v>
      </c>
      <c r="DQ12">
        <v>442</v>
      </c>
      <c r="DR12">
        <v>-0.22834887477050037</v>
      </c>
      <c r="DS12">
        <v>-0.22831439391290945</v>
      </c>
      <c r="DT12" s="11">
        <v>-0.17333333333333334</v>
      </c>
      <c r="DU12">
        <v>0.16666666666666666</v>
      </c>
      <c r="DV12">
        <v>-6.6666666666666818E-3</v>
      </c>
      <c r="DW12">
        <v>-3.0059940476190476</v>
      </c>
      <c r="DX12">
        <v>0.30144414414414272</v>
      </c>
      <c r="DY12">
        <v>-3.0006080610306736</v>
      </c>
      <c r="DZ12">
        <v>1724</v>
      </c>
      <c r="EA12">
        <v>-3.0004029148042779</v>
      </c>
      <c r="EB12">
        <v>3</v>
      </c>
      <c r="EC12">
        <v>3.3929852050501703E-2</v>
      </c>
      <c r="ED12">
        <v>0.33446831590683102</v>
      </c>
      <c r="EE12" s="12">
        <v>4.36E-2</v>
      </c>
      <c r="EF12">
        <v>3.0699999999999998E-2</v>
      </c>
      <c r="EG12">
        <v>20.101444144144143</v>
      </c>
      <c r="EH12" t="s">
        <v>549</v>
      </c>
      <c r="EI12">
        <v>0</v>
      </c>
      <c r="EJ12">
        <v>0</v>
      </c>
      <c r="EK12" s="14">
        <v>45470</v>
      </c>
      <c r="EL12" s="15">
        <v>-0.11</v>
      </c>
      <c r="EM12" s="15">
        <v>-3.88</v>
      </c>
      <c r="EN12" s="15">
        <v>1.91</v>
      </c>
      <c r="EO12" s="15">
        <v>2.2000000000000002</v>
      </c>
      <c r="EP12" s="15">
        <v>-1.29</v>
      </c>
    </row>
    <row r="13" spans="1:146" ht="96" x14ac:dyDescent="0.25">
      <c r="A13" s="8"/>
      <c r="B13" s="8"/>
      <c r="C13" s="8" t="str">
        <f>""&amp;CHAR(10)&amp;Basic_Fundamental_Information_Constructure(F13)&amp;CHAR(10)&amp;Basic_Fundamental_Information_Concatenate("")</f>
        <v xml:space="preserve">
市值110.211317亿, 利润4.82亿; PE16.8; 平均PE38.16; 平均PEG3.89, PB1.52; ROIC3.21%; ROE5.55%; 股利率1.3367%; 毛利40.6267%; 净利12.3067%; 上一年度营收增8.48%, 利润增75.91%; 当季营收增44.87%, 利润增94.91%; 过往5年营收增9.8%, 利润增18.33%
Income profile:
</v>
      </c>
      <c r="D13" t="s">
        <v>237</v>
      </c>
      <c r="E13" t="s">
        <v>238</v>
      </c>
      <c r="F13">
        <v>11.97</v>
      </c>
      <c r="G13">
        <v>0.08</v>
      </c>
      <c r="H13" t="s">
        <v>1231</v>
      </c>
      <c r="I13">
        <v>11021131700</v>
      </c>
      <c r="J13">
        <v>16.8</v>
      </c>
      <c r="K13">
        <v>1.52</v>
      </c>
      <c r="L13" t="s">
        <v>82</v>
      </c>
      <c r="M13" t="s">
        <v>1232</v>
      </c>
      <c r="N13" t="s">
        <v>1233</v>
      </c>
      <c r="O13" t="s">
        <v>1234</v>
      </c>
      <c r="P13">
        <v>44.83</v>
      </c>
      <c r="Q13" t="s">
        <v>1235</v>
      </c>
      <c r="R13">
        <v>356687080</v>
      </c>
      <c r="S13" s="5">
        <v>0.94820000000000004</v>
      </c>
      <c r="T13" t="s">
        <v>881</v>
      </c>
      <c r="U13">
        <v>920700300</v>
      </c>
      <c r="V13">
        <v>920729460</v>
      </c>
      <c r="W13">
        <v>2.15</v>
      </c>
      <c r="X13">
        <v>0.05</v>
      </c>
      <c r="Y13">
        <v>36.26</v>
      </c>
      <c r="Z13" t="s">
        <v>199</v>
      </c>
      <c r="AA13" t="s">
        <v>1236</v>
      </c>
      <c r="AB13" t="s">
        <v>1237</v>
      </c>
      <c r="AC13" t="s">
        <v>1238</v>
      </c>
      <c r="AD13" t="s">
        <v>9</v>
      </c>
      <c r="AE13">
        <v>27266947</v>
      </c>
      <c r="AF13" t="s">
        <v>1239</v>
      </c>
      <c r="AG13" t="s">
        <v>1240</v>
      </c>
      <c r="AH13" t="s">
        <v>1241</v>
      </c>
      <c r="AI13" t="s">
        <v>1242</v>
      </c>
      <c r="AJ13" t="s">
        <v>1243</v>
      </c>
      <c r="AK13" t="s">
        <v>1244</v>
      </c>
      <c r="AL13" t="s">
        <v>1245</v>
      </c>
      <c r="AM13" t="s">
        <v>9</v>
      </c>
      <c r="AN13" t="s">
        <v>1246</v>
      </c>
      <c r="AO13" t="s">
        <v>1247</v>
      </c>
      <c r="AP13" t="s">
        <v>9</v>
      </c>
      <c r="AQ13" t="s">
        <v>1248</v>
      </c>
      <c r="AR13" t="s">
        <v>9</v>
      </c>
      <c r="AS13" t="s">
        <v>1249</v>
      </c>
      <c r="AT13" t="s">
        <v>1250</v>
      </c>
      <c r="AU13" t="s">
        <v>1251</v>
      </c>
      <c r="AV13" t="s">
        <v>1252</v>
      </c>
      <c r="AW13" t="s">
        <v>177</v>
      </c>
      <c r="AX13" t="s">
        <v>1253</v>
      </c>
      <c r="AY13" t="s">
        <v>1254</v>
      </c>
      <c r="AZ13" t="s">
        <v>239</v>
      </c>
      <c r="BA13" t="s">
        <v>242</v>
      </c>
      <c r="BB13" t="s">
        <v>243</v>
      </c>
      <c r="BC13" t="s">
        <v>684</v>
      </c>
      <c r="BD13" t="s">
        <v>940</v>
      </c>
      <c r="BE13" t="s">
        <v>240</v>
      </c>
      <c r="BF13" t="s">
        <v>47</v>
      </c>
      <c r="BG13" t="s">
        <v>236</v>
      </c>
      <c r="BH13" t="s">
        <v>1235</v>
      </c>
      <c r="BI13" t="s">
        <v>87</v>
      </c>
      <c r="BJ13" t="s">
        <v>1253</v>
      </c>
      <c r="BK13" t="s">
        <v>881</v>
      </c>
      <c r="BL13" t="s">
        <v>28</v>
      </c>
      <c r="BM13" t="s">
        <v>684</v>
      </c>
      <c r="BN13">
        <v>2.7</v>
      </c>
      <c r="BO13">
        <v>3.09</v>
      </c>
      <c r="BP13">
        <v>3.84</v>
      </c>
      <c r="BQ13">
        <v>4.96</v>
      </c>
      <c r="BR13">
        <v>5.82</v>
      </c>
      <c r="BS13">
        <v>5.87</v>
      </c>
      <c r="BT13" t="s">
        <v>1255</v>
      </c>
      <c r="BU13" t="s">
        <v>574</v>
      </c>
      <c r="BV13">
        <v>41.53</v>
      </c>
      <c r="BW13">
        <v>39.840000000000003</v>
      </c>
      <c r="BX13">
        <v>40.51</v>
      </c>
      <c r="BY13">
        <v>14.42</v>
      </c>
      <c r="BZ13">
        <v>10.53</v>
      </c>
      <c r="CA13">
        <v>11.97</v>
      </c>
      <c r="CB13">
        <v>-0.99</v>
      </c>
      <c r="CC13">
        <v>-3.39</v>
      </c>
      <c r="CD13" t="s">
        <v>1256</v>
      </c>
      <c r="CE13" t="s">
        <v>255</v>
      </c>
      <c r="CF13" s="9">
        <v>0.44873699851411591</v>
      </c>
      <c r="CG13" s="10">
        <v>0.94910972677595629</v>
      </c>
      <c r="CH13" s="9">
        <v>8.4796436131000519E-2</v>
      </c>
      <c r="CI13" s="9">
        <v>0.10482867062091827</v>
      </c>
      <c r="CJ13" s="9">
        <v>0.21758797764778137</v>
      </c>
      <c r="CK13" s="9">
        <v>2.948787622153759E-2</v>
      </c>
      <c r="CL13" s="9">
        <v>5.3405921906232834E-2</v>
      </c>
      <c r="CM13" s="10">
        <v>0.75912410020828247</v>
      </c>
      <c r="CN13" s="10">
        <v>0.12757201492786407</v>
      </c>
      <c r="CO13" s="10">
        <v>4.7413792461156845E-2</v>
      </c>
      <c r="CP13" s="10">
        <v>-0.11787072569131851</v>
      </c>
      <c r="CQ13" s="10">
        <v>0.10041841119527817</v>
      </c>
      <c r="CR13">
        <v>38.157409232544722</v>
      </c>
      <c r="CS13">
        <v>3.8927640676833377</v>
      </c>
      <c r="CT13">
        <v>1.3366750208855471</v>
      </c>
      <c r="CU13" s="9">
        <v>9.8021376505494112E-2</v>
      </c>
      <c r="CV13" s="10">
        <v>0.1833315186202526</v>
      </c>
      <c r="CW13">
        <v>0.06</v>
      </c>
      <c r="CX13">
        <v>24.537156928102242</v>
      </c>
      <c r="CY13">
        <v>499288965.54306424</v>
      </c>
      <c r="CZ13">
        <v>9.8021376505494112E-2</v>
      </c>
      <c r="DA13">
        <v>7.9642831696291942</v>
      </c>
      <c r="DB13">
        <v>1538259180.2760317</v>
      </c>
      <c r="DC13">
        <v>9.3120307680219408E-2</v>
      </c>
      <c r="DD13">
        <v>3.8851041988366353</v>
      </c>
      <c r="DE13">
        <v>3153359877.3666115</v>
      </c>
      <c r="DF13">
        <v>8.6258811324834817E-2</v>
      </c>
      <c r="DG13">
        <v>2.3091534502514759</v>
      </c>
      <c r="DH13">
        <v>5305464519.3310146</v>
      </c>
      <c r="DI13">
        <v>7.8417101204395295E-2</v>
      </c>
      <c r="DJ13">
        <v>1.1660432466787469</v>
      </c>
      <c r="DK13">
        <v>10506584326.863541</v>
      </c>
      <c r="DL13">
        <v>6.8614963553845873E-2</v>
      </c>
      <c r="DM13">
        <v>482000000</v>
      </c>
      <c r="DN13">
        <v>9.8021376505494112E-2</v>
      </c>
      <c r="DO13">
        <v>12251131700</v>
      </c>
      <c r="DP13">
        <v>1900137200</v>
      </c>
      <c r="DQ13">
        <v>571</v>
      </c>
      <c r="DR13">
        <v>0.35071562200862183</v>
      </c>
      <c r="DS13">
        <v>0.76577820815570363</v>
      </c>
      <c r="DT13" s="11">
        <v>-0.3066666666666667</v>
      </c>
      <c r="DU13">
        <v>0.93333333333333324</v>
      </c>
      <c r="DV13">
        <v>0.62666666666666648</v>
      </c>
      <c r="DW13">
        <v>-1.0339</v>
      </c>
      <c r="DX13">
        <v>0.3436473684210517</v>
      </c>
      <c r="DY13">
        <v>-1.0045306457894736</v>
      </c>
      <c r="DZ13">
        <v>569</v>
      </c>
      <c r="EA13">
        <v>-1.0040261570508806</v>
      </c>
      <c r="EB13">
        <v>1</v>
      </c>
      <c r="EC13">
        <v>3.0337141596403355E-2</v>
      </c>
      <c r="ED13">
        <v>0.22699393152902916</v>
      </c>
      <c r="EE13" s="12">
        <v>2.1010000000000001E-2</v>
      </c>
      <c r="EF13">
        <v>4.9210000000000004E-2</v>
      </c>
      <c r="EG13">
        <v>21.133647368421052</v>
      </c>
      <c r="EH13">
        <v>-1</v>
      </c>
      <c r="EI13">
        <v>0</v>
      </c>
      <c r="EJ13">
        <v>1</v>
      </c>
      <c r="EK13" s="14">
        <v>45470</v>
      </c>
      <c r="EL13" s="15">
        <v>1.36</v>
      </c>
      <c r="EM13" s="15">
        <v>-2.38</v>
      </c>
      <c r="EN13" s="15">
        <v>0.56999999999999995</v>
      </c>
      <c r="EO13" s="15">
        <v>0.24</v>
      </c>
      <c r="EP13" s="15">
        <v>-2.82</v>
      </c>
    </row>
    <row r="14" spans="1:146" ht="96" x14ac:dyDescent="0.25">
      <c r="A14" s="8"/>
      <c r="B14" s="8"/>
      <c r="C14" s="8" t="str">
        <f>""&amp;CHAR(10)&amp;Basic_Fundamental_Information_Constructure(F14)&amp;CHAR(10)&amp;Basic_Fundamental_Information_Concatenate("")</f>
        <v xml:space="preserve">
市值101.010761亿, 利润-28.65亿; PE; 平均PE16.74; 平均PEG1.62, PB.449; ROIC6.24%; ROE3.5133%; 股利率0%; 毛利12.4067%; 净利-.4233%; 上一年度营收增-28.15%, 利润增-469.2%; 当季营收增-27.33%, 利润增43.62%; 过往5年营收增-10.32%, 利润增222.38%
Income profile:
</v>
      </c>
      <c r="D14" t="s">
        <v>153</v>
      </c>
      <c r="E14" t="s">
        <v>1257</v>
      </c>
      <c r="F14">
        <v>3.9</v>
      </c>
      <c r="G14">
        <v>0.78</v>
      </c>
      <c r="H14" t="s">
        <v>1258</v>
      </c>
      <c r="I14">
        <v>10101076100</v>
      </c>
      <c r="K14">
        <v>0.44900000000000001</v>
      </c>
      <c r="L14" t="s">
        <v>82</v>
      </c>
      <c r="M14" t="s">
        <v>1259</v>
      </c>
      <c r="N14" t="s">
        <v>1260</v>
      </c>
      <c r="O14" t="s">
        <v>1261</v>
      </c>
      <c r="P14">
        <v>-27.33</v>
      </c>
      <c r="Q14" t="s">
        <v>1262</v>
      </c>
      <c r="R14">
        <v>-177036380</v>
      </c>
      <c r="S14" s="5">
        <v>0.43609999999999999</v>
      </c>
      <c r="T14" t="s">
        <v>1263</v>
      </c>
      <c r="U14">
        <v>2575643900</v>
      </c>
      <c r="V14">
        <v>2590019500</v>
      </c>
      <c r="W14">
        <v>2.58</v>
      </c>
      <c r="X14">
        <v>0.11</v>
      </c>
      <c r="Y14">
        <v>-3.18</v>
      </c>
      <c r="Z14" t="s">
        <v>1264</v>
      </c>
      <c r="AA14" t="s">
        <v>1265</v>
      </c>
      <c r="AB14" t="s">
        <v>1266</v>
      </c>
      <c r="AC14" t="s">
        <v>606</v>
      </c>
      <c r="AD14" t="s">
        <v>9</v>
      </c>
      <c r="AE14">
        <v>257679760</v>
      </c>
      <c r="AF14" t="s">
        <v>1267</v>
      </c>
      <c r="AG14" t="s">
        <v>1268</v>
      </c>
      <c r="AH14" t="s">
        <v>1269</v>
      </c>
      <c r="AI14" t="s">
        <v>1270</v>
      </c>
      <c r="AJ14" t="s">
        <v>1271</v>
      </c>
      <c r="AK14" t="s">
        <v>1272</v>
      </c>
      <c r="AL14" t="s">
        <v>1273</v>
      </c>
      <c r="AM14" t="s">
        <v>9</v>
      </c>
      <c r="AN14" t="s">
        <v>1274</v>
      </c>
      <c r="AO14" t="s">
        <v>1275</v>
      </c>
      <c r="AP14" t="s">
        <v>1276</v>
      </c>
      <c r="AQ14" t="s">
        <v>1277</v>
      </c>
      <c r="AR14" t="s">
        <v>1278</v>
      </c>
      <c r="AS14" t="s">
        <v>1279</v>
      </c>
      <c r="AT14" t="s">
        <v>1280</v>
      </c>
      <c r="AU14" t="s">
        <v>1281</v>
      </c>
      <c r="AV14" t="s">
        <v>1282</v>
      </c>
      <c r="AW14" t="s">
        <v>1283</v>
      </c>
      <c r="AX14" t="s">
        <v>1284</v>
      </c>
      <c r="AY14" t="s">
        <v>1285</v>
      </c>
      <c r="AZ14" t="s">
        <v>1286</v>
      </c>
      <c r="BA14" t="s">
        <v>154</v>
      </c>
      <c r="BB14" t="s">
        <v>155</v>
      </c>
      <c r="BC14" t="s">
        <v>1287</v>
      </c>
      <c r="BD14" t="s">
        <v>1288</v>
      </c>
      <c r="BE14" t="s">
        <v>168</v>
      </c>
      <c r="BF14" t="s">
        <v>156</v>
      </c>
      <c r="BG14" t="s">
        <v>157</v>
      </c>
      <c r="BH14" t="s">
        <v>1262</v>
      </c>
      <c r="BI14" t="s">
        <v>1289</v>
      </c>
      <c r="BJ14" t="s">
        <v>1284</v>
      </c>
      <c r="BK14" t="s">
        <v>1263</v>
      </c>
      <c r="BL14" t="s">
        <v>1290</v>
      </c>
      <c r="BM14" t="s">
        <v>1287</v>
      </c>
      <c r="BN14" t="s">
        <v>9</v>
      </c>
      <c r="BO14">
        <v>3.81</v>
      </c>
      <c r="BP14">
        <v>8.67</v>
      </c>
      <c r="BQ14">
        <v>-4.67</v>
      </c>
      <c r="BR14">
        <v>2.8</v>
      </c>
      <c r="BS14">
        <v>12.41</v>
      </c>
      <c r="BT14" t="s">
        <v>622</v>
      </c>
      <c r="BU14" t="s">
        <v>560</v>
      </c>
      <c r="BV14">
        <v>9.5299999999999994</v>
      </c>
      <c r="BW14">
        <v>13.29</v>
      </c>
      <c r="BX14">
        <v>14.4</v>
      </c>
      <c r="BY14">
        <v>-8.58</v>
      </c>
      <c r="BZ14">
        <v>2.2400000000000002</v>
      </c>
      <c r="CA14">
        <v>5.07</v>
      </c>
      <c r="CB14">
        <v>2.63</v>
      </c>
      <c r="CC14">
        <v>-7.8</v>
      </c>
      <c r="CD14" t="s">
        <v>1291</v>
      </c>
      <c r="CE14" t="s">
        <v>1292</v>
      </c>
      <c r="CF14" s="9">
        <v>-0.27330468895946197</v>
      </c>
      <c r="CG14" s="10">
        <v>0.43618987261146497</v>
      </c>
      <c r="CH14" s="9">
        <v>-0.28152218461036682</v>
      </c>
      <c r="CI14" s="9">
        <v>-0.14965271949768066</v>
      </c>
      <c r="CJ14" s="9">
        <v>-0.27081778645515442</v>
      </c>
      <c r="CK14" s="9">
        <v>2.0927316509187222E-3</v>
      </c>
      <c r="CL14" s="9">
        <v>0.18399947881698608</v>
      </c>
      <c r="CM14" s="10">
        <v>-4.6920104026794434</v>
      </c>
      <c r="CN14" s="10">
        <v>-0.7182280421257019</v>
      </c>
      <c r="CO14" s="10">
        <v>17.99310302734375</v>
      </c>
      <c r="CP14" s="10">
        <v>-0.62140989303588867</v>
      </c>
      <c r="CQ14" s="10">
        <v>-0.84225696325302124</v>
      </c>
      <c r="CR14">
        <v>16.737491466445732</v>
      </c>
      <c r="CS14">
        <v>1.6221628116486715</v>
      </c>
      <c r="CT14">
        <v>0</v>
      </c>
      <c r="CU14" s="9">
        <v>-0.10318009601905942</v>
      </c>
      <c r="CV14" s="10">
        <v>2.2238395452499389</v>
      </c>
      <c r="CW14">
        <v>0.06</v>
      </c>
      <c r="CX14" t="e">
        <v>#VALUE!</v>
      </c>
      <c r="CY14" t="s">
        <v>555</v>
      </c>
      <c r="CZ14">
        <v>-0.10318009601905942</v>
      </c>
      <c r="DA14" t="e">
        <v>#VALUE!</v>
      </c>
      <c r="DB14" t="s">
        <v>556</v>
      </c>
      <c r="DC14">
        <v>-9.802109121810644E-2</v>
      </c>
      <c r="DD14" t="e">
        <v>#VALUE!</v>
      </c>
      <c r="DE14" t="s">
        <v>556</v>
      </c>
      <c r="DF14">
        <v>-9.0798484496772289E-2</v>
      </c>
      <c r="DG14" t="e">
        <v>#VALUE!</v>
      </c>
      <c r="DH14" t="s">
        <v>556</v>
      </c>
      <c r="DI14">
        <v>-8.2544076815247544E-2</v>
      </c>
      <c r="DJ14" t="e">
        <v>#VALUE!</v>
      </c>
      <c r="DK14" t="s">
        <v>556</v>
      </c>
      <c r="DL14">
        <v>-7.2226067213341585E-2</v>
      </c>
      <c r="DM14">
        <v>-2865000000</v>
      </c>
      <c r="DN14">
        <v>-0.10318009601905942</v>
      </c>
      <c r="DO14">
        <v>25114076100</v>
      </c>
      <c r="DP14">
        <v>-15591706000.000004</v>
      </c>
      <c r="DQ14">
        <v>606</v>
      </c>
      <c r="DR14">
        <v>-0.17012459294040255</v>
      </c>
      <c r="DS14">
        <v>-1.7876496726384739</v>
      </c>
      <c r="DT14" s="11">
        <v>-0.64</v>
      </c>
      <c r="DU14">
        <v>-1.4266666666666667</v>
      </c>
      <c r="DV14">
        <v>-2.0666666666666669</v>
      </c>
      <c r="DW14">
        <v>6.2521572387344202</v>
      </c>
      <c r="DX14">
        <v>0.29386659555555394</v>
      </c>
      <c r="DY14">
        <v>6.0186259967700009</v>
      </c>
      <c r="DZ14">
        <v>4432</v>
      </c>
      <c r="EA14">
        <v>6.002471316205491</v>
      </c>
      <c r="EB14">
        <v>6</v>
      </c>
      <c r="EC14">
        <v>3.8501602014965525E-2</v>
      </c>
      <c r="ED14">
        <v>0.52123159690496534</v>
      </c>
      <c r="EE14" s="12">
        <v>2.5109999999999997E-2</v>
      </c>
      <c r="EF14">
        <v>3.8310000000000004E-2</v>
      </c>
      <c r="EG14">
        <v>22.073866595555554</v>
      </c>
      <c r="EH14">
        <v>-1</v>
      </c>
      <c r="EI14">
        <v>0</v>
      </c>
      <c r="EJ14">
        <v>0</v>
      </c>
      <c r="EK14" s="14">
        <v>45470</v>
      </c>
      <c r="EL14" s="15">
        <v>-0.51</v>
      </c>
      <c r="EM14" s="15">
        <v>-4.6399999999999997</v>
      </c>
      <c r="EN14" s="15">
        <v>0</v>
      </c>
      <c r="EO14" s="15">
        <v>2.4300000000000002</v>
      </c>
      <c r="EP14" s="15">
        <v>-1.32</v>
      </c>
    </row>
    <row r="15" spans="1:146" ht="96" x14ac:dyDescent="0.25">
      <c r="A15" s="8"/>
      <c r="B15" s="8"/>
      <c r="C15" s="8" t="str">
        <f>""&amp;CHAR(10)&amp;Basic_Fundamental_Information_Constructure(F15)&amp;CHAR(10)&amp;Basic_Fundamental_Information_Concatenate("")</f>
        <v xml:space="preserve">
市值41.606397亿, 利润-4.11亿; PE; 平均PE22.45; 平均PEG1.72, PB.878; ROIC8.72%; ROE5.63%; 股利率0%; 毛利14.4633%; 净利6.1433%; 上一年度营收增9.64%, 利润增-206.48%; 当季营收增35.32%, 利润增-34.08%; 过往5年营收增13.03%, 利润增-15.01%
Income profile:
</v>
      </c>
      <c r="D15" t="s">
        <v>316</v>
      </c>
      <c r="E15" t="s">
        <v>317</v>
      </c>
      <c r="F15">
        <v>3.26</v>
      </c>
      <c r="G15">
        <v>2.19</v>
      </c>
      <c r="H15" t="s">
        <v>1293</v>
      </c>
      <c r="I15">
        <v>4160639700</v>
      </c>
      <c r="K15">
        <v>0.878</v>
      </c>
      <c r="L15" t="s">
        <v>82</v>
      </c>
      <c r="M15" t="s">
        <v>1294</v>
      </c>
      <c r="N15" t="s">
        <v>1295</v>
      </c>
      <c r="O15" t="s">
        <v>1296</v>
      </c>
      <c r="P15">
        <v>35.28</v>
      </c>
      <c r="Q15" t="s">
        <v>1297</v>
      </c>
      <c r="R15">
        <v>-148824480</v>
      </c>
      <c r="S15" s="5">
        <v>-0.33950000000000002</v>
      </c>
      <c r="T15" t="s">
        <v>1298</v>
      </c>
      <c r="U15">
        <v>1052944790</v>
      </c>
      <c r="V15">
        <v>1276269850</v>
      </c>
      <c r="W15">
        <v>2.06</v>
      </c>
      <c r="X15">
        <v>0.08</v>
      </c>
      <c r="Y15">
        <v>-16.59</v>
      </c>
      <c r="Z15" t="s">
        <v>1299</v>
      </c>
      <c r="AA15" t="s">
        <v>1300</v>
      </c>
      <c r="AB15" t="s">
        <v>1301</v>
      </c>
      <c r="AC15" t="s">
        <v>1302</v>
      </c>
      <c r="AD15" t="s">
        <v>9</v>
      </c>
      <c r="AE15">
        <v>36299097</v>
      </c>
      <c r="AF15" t="s">
        <v>1303</v>
      </c>
      <c r="AG15" t="s">
        <v>1304</v>
      </c>
      <c r="AH15" t="s">
        <v>1305</v>
      </c>
      <c r="AI15" t="s">
        <v>1306</v>
      </c>
      <c r="AJ15" t="s">
        <v>1307</v>
      </c>
      <c r="AK15" t="s">
        <v>9</v>
      </c>
      <c r="AL15" t="s">
        <v>1308</v>
      </c>
      <c r="AM15" t="s">
        <v>9</v>
      </c>
      <c r="AN15" t="s">
        <v>182</v>
      </c>
      <c r="AO15" t="s">
        <v>9</v>
      </c>
      <c r="AP15" t="s">
        <v>1309</v>
      </c>
      <c r="AQ15" t="s">
        <v>613</v>
      </c>
      <c r="AR15" t="s">
        <v>9</v>
      </c>
      <c r="AS15" t="s">
        <v>1310</v>
      </c>
      <c r="AT15" t="s">
        <v>1311</v>
      </c>
      <c r="AU15" t="s">
        <v>1312</v>
      </c>
      <c r="AV15" t="s">
        <v>1313</v>
      </c>
      <c r="AW15" t="s">
        <v>1314</v>
      </c>
      <c r="AX15" t="s">
        <v>675</v>
      </c>
      <c r="AY15" t="s">
        <v>470</v>
      </c>
      <c r="AZ15" t="s">
        <v>318</v>
      </c>
      <c r="BA15" t="s">
        <v>319</v>
      </c>
      <c r="BB15" t="s">
        <v>320</v>
      </c>
      <c r="BC15" t="s">
        <v>573</v>
      </c>
      <c r="BD15" t="s">
        <v>181</v>
      </c>
      <c r="BE15" t="s">
        <v>48</v>
      </c>
      <c r="BF15" t="s">
        <v>31</v>
      </c>
      <c r="BG15" t="s">
        <v>322</v>
      </c>
      <c r="BH15" t="s">
        <v>1297</v>
      </c>
      <c r="BI15" t="s">
        <v>1315</v>
      </c>
      <c r="BJ15" t="s">
        <v>675</v>
      </c>
      <c r="BK15" t="s">
        <v>1298</v>
      </c>
      <c r="BL15" t="s">
        <v>992</v>
      </c>
      <c r="BM15" t="s">
        <v>573</v>
      </c>
      <c r="BN15" t="s">
        <v>9</v>
      </c>
      <c r="BO15">
        <v>5.16</v>
      </c>
      <c r="BP15">
        <v>12.28</v>
      </c>
      <c r="BQ15">
        <v>-4.59</v>
      </c>
      <c r="BR15">
        <v>8.6300000000000008</v>
      </c>
      <c r="BS15">
        <v>12.85</v>
      </c>
      <c r="BT15" t="s">
        <v>622</v>
      </c>
      <c r="BU15" t="s">
        <v>500</v>
      </c>
      <c r="BV15">
        <v>-2.72</v>
      </c>
      <c r="BW15">
        <v>18.96</v>
      </c>
      <c r="BX15">
        <v>27.15</v>
      </c>
      <c r="BY15">
        <v>-12.64</v>
      </c>
      <c r="BZ15">
        <v>12.09</v>
      </c>
      <c r="CA15">
        <v>18.98</v>
      </c>
      <c r="CB15">
        <v>1.24</v>
      </c>
      <c r="CC15">
        <v>-15.54</v>
      </c>
      <c r="CD15" t="s">
        <v>1316</v>
      </c>
      <c r="CE15" t="s">
        <v>346</v>
      </c>
      <c r="CF15" s="9">
        <v>0.35320417287630401</v>
      </c>
      <c r="CG15" s="10">
        <v>-0.34076108108108089</v>
      </c>
      <c r="CH15" s="9">
        <v>9.637819230556488E-2</v>
      </c>
      <c r="CI15" s="9">
        <v>0.14839617908000946</v>
      </c>
      <c r="CJ15" s="9">
        <v>0.4623711109161377</v>
      </c>
      <c r="CK15" s="9">
        <v>-1.7223911359906197E-2</v>
      </c>
      <c r="CL15" s="9">
        <v>-3.8480244576931E-2</v>
      </c>
      <c r="CM15" s="10">
        <v>-2.0647668838500977</v>
      </c>
      <c r="CN15" s="10">
        <v>-0.28385898470878601</v>
      </c>
      <c r="CO15" s="10">
        <v>1.5186915397644043</v>
      </c>
      <c r="CP15" s="10">
        <v>0.46575343608856201</v>
      </c>
      <c r="CQ15" s="10">
        <v>-0.38655462861061096</v>
      </c>
      <c r="CR15">
        <v>22.449494784172661</v>
      </c>
      <c r="CS15">
        <v>1.7230634498922326</v>
      </c>
      <c r="CT15">
        <v>0</v>
      </c>
      <c r="CU15" s="9">
        <v>0.13028826527297496</v>
      </c>
      <c r="CV15" s="10">
        <v>-0.15014710426330566</v>
      </c>
      <c r="CW15">
        <v>0.06</v>
      </c>
      <c r="CX15" t="e">
        <v>#VALUE!</v>
      </c>
      <c r="CY15" t="s">
        <v>555</v>
      </c>
      <c r="CZ15">
        <v>0.13028826527297496</v>
      </c>
      <c r="DA15" t="e">
        <v>#VALUE!</v>
      </c>
      <c r="DB15" t="s">
        <v>556</v>
      </c>
      <c r="DC15">
        <v>0.12377385200932621</v>
      </c>
      <c r="DD15" t="e">
        <v>#VALUE!</v>
      </c>
      <c r="DE15" t="s">
        <v>556</v>
      </c>
      <c r="DF15">
        <v>0.11465367344021797</v>
      </c>
      <c r="DG15" t="e">
        <v>#VALUE!</v>
      </c>
      <c r="DH15" t="s">
        <v>556</v>
      </c>
      <c r="DI15">
        <v>0.10423061221837998</v>
      </c>
      <c r="DJ15" t="e">
        <v>#VALUE!</v>
      </c>
      <c r="DK15" t="s">
        <v>556</v>
      </c>
      <c r="DL15">
        <v>9.1201785691082463E-2</v>
      </c>
      <c r="DM15">
        <v>-411000000.00000006</v>
      </c>
      <c r="DN15">
        <v>0.13028826527297496</v>
      </c>
      <c r="DO15">
        <v>4314639700</v>
      </c>
      <c r="DP15">
        <v>-137821100</v>
      </c>
      <c r="DQ15">
        <v>623</v>
      </c>
      <c r="DR15">
        <v>0.22291590760332905</v>
      </c>
      <c r="DS15">
        <v>-0.19061397681777523</v>
      </c>
      <c r="DT15" s="11">
        <v>-0.3066666666666667</v>
      </c>
      <c r="DU15">
        <v>-1.2950000000000002</v>
      </c>
      <c r="DV15">
        <v>-1.6016666666666668</v>
      </c>
      <c r="DW15">
        <v>-2.1554000000000002</v>
      </c>
      <c r="DX15">
        <v>0.34011313868613269</v>
      </c>
      <c r="DY15">
        <v>-2.0186655817518249</v>
      </c>
      <c r="DZ15">
        <v>4093</v>
      </c>
      <c r="EA15">
        <v>-2.003714852571743</v>
      </c>
      <c r="EB15">
        <v>2</v>
      </c>
      <c r="EC15">
        <v>1.2893433156005369E-2</v>
      </c>
      <c r="ED15">
        <v>0.10734406990809976</v>
      </c>
      <c r="EE15" s="12">
        <v>-3.0792999999999999</v>
      </c>
      <c r="EF15">
        <v>-3.0552999999999999</v>
      </c>
      <c r="EG15">
        <v>22.120113138686133</v>
      </c>
      <c r="EH15" t="s">
        <v>962</v>
      </c>
      <c r="EI15">
        <v>0</v>
      </c>
      <c r="EJ15">
        <v>0</v>
      </c>
      <c r="EK15" s="14">
        <v>45470</v>
      </c>
      <c r="EL15" s="15">
        <v>0.61</v>
      </c>
      <c r="EM15" s="15">
        <v>-3.35</v>
      </c>
      <c r="EN15" s="15">
        <v>2.52</v>
      </c>
      <c r="EO15" s="15">
        <v>2.46</v>
      </c>
      <c r="EP15" s="15">
        <v>-2.4</v>
      </c>
    </row>
    <row r="16" spans="1:146" ht="132" x14ac:dyDescent="0.25">
      <c r="A16" s="8"/>
      <c r="B16" s="8"/>
      <c r="C16" s="8" t="str">
        <f>"公司的主营业务是钛白粉系列产品和磷酸铁系列产品；公司的主要产品为钛白粉、磷酸铁。"&amp;CHAR(10)&amp;Basic_Fundamental_Information_Constructure(F16)&amp;CHAR(10)&amp;Basic_Fundamental_Information_Concatenate("钛白粉 16.15亿 78.89% 70.30% 14.67%
磷酸铁 4.14亿 20.22% 25.11% 20.45%
其他业务 1839.48万 0.90% 4.58% 83.95%")</f>
        <v>公司的主营业务是钛白粉系列产品和磷酸铁系列产品；公司的主要产品为钛白粉、磷酸铁。
市值19.88935亿, 利润6450.44万; PE37.88; 平均PE18.05; 平均PEG.89, PB1.66; ROIC19.8867%; ROE18.59%; 股利率1.0811%; 毛利15.9033%; 净利8.7467%; 上一年度营收增-22.22%, 利润增-75.93%; 当季营收增-12.71%, 利润增-39.31%; 过往5年营收增20.22%, 利润增44.87%
Income profile:
钛白粉 16.15亿 78.89% 70.30% 14.67%
磷酸铁 4.14亿 20.22% 25.11% 20.45%
其他业务 1839.48万 0.90% 4.58% 83.95%</v>
      </c>
      <c r="D16" t="s">
        <v>416</v>
      </c>
      <c r="E16" t="s">
        <v>417</v>
      </c>
      <c r="F16">
        <v>9.25</v>
      </c>
      <c r="G16">
        <v>2.1</v>
      </c>
      <c r="H16" t="s">
        <v>1317</v>
      </c>
      <c r="I16">
        <v>1988935000</v>
      </c>
      <c r="J16">
        <v>37.880000000000003</v>
      </c>
      <c r="K16">
        <v>1.66</v>
      </c>
      <c r="L16" t="s">
        <v>82</v>
      </c>
      <c r="M16" t="s">
        <v>1318</v>
      </c>
      <c r="N16" t="s">
        <v>1319</v>
      </c>
      <c r="O16" t="s">
        <v>1320</v>
      </c>
      <c r="P16">
        <v>-12.73</v>
      </c>
      <c r="Q16" t="s">
        <v>1321</v>
      </c>
      <c r="R16">
        <v>18517193</v>
      </c>
      <c r="S16" s="5">
        <v>-0.3931</v>
      </c>
      <c r="T16" t="s">
        <v>1322</v>
      </c>
      <c r="U16">
        <v>214455760</v>
      </c>
      <c r="V16">
        <v>215020000</v>
      </c>
      <c r="W16">
        <v>1.43</v>
      </c>
      <c r="X16">
        <v>0.23</v>
      </c>
      <c r="Y16">
        <v>2.35</v>
      </c>
      <c r="Z16" t="s">
        <v>948</v>
      </c>
      <c r="AA16" t="s">
        <v>1323</v>
      </c>
      <c r="AB16" t="s">
        <v>1324</v>
      </c>
      <c r="AC16" t="s">
        <v>1325</v>
      </c>
      <c r="AD16" t="s">
        <v>9</v>
      </c>
      <c r="AE16">
        <v>-3087091</v>
      </c>
      <c r="AF16" t="s">
        <v>23</v>
      </c>
      <c r="AG16" t="s">
        <v>1326</v>
      </c>
      <c r="AH16" t="s">
        <v>1327</v>
      </c>
      <c r="AI16" t="s">
        <v>228</v>
      </c>
      <c r="AJ16" t="s">
        <v>1328</v>
      </c>
      <c r="AK16" t="s">
        <v>1329</v>
      </c>
      <c r="AL16" t="s">
        <v>1330</v>
      </c>
      <c r="AM16" t="s">
        <v>9</v>
      </c>
      <c r="AN16" t="s">
        <v>1331</v>
      </c>
      <c r="AO16" t="s">
        <v>1332</v>
      </c>
      <c r="AP16" t="s">
        <v>1333</v>
      </c>
      <c r="AQ16" t="s">
        <v>303</v>
      </c>
      <c r="AR16" t="s">
        <v>9</v>
      </c>
      <c r="AS16" t="s">
        <v>1334</v>
      </c>
      <c r="AT16" t="s">
        <v>9</v>
      </c>
      <c r="AU16" t="s">
        <v>1335</v>
      </c>
      <c r="AV16" t="s">
        <v>1336</v>
      </c>
      <c r="AW16" t="s">
        <v>1337</v>
      </c>
      <c r="AX16" t="s">
        <v>676</v>
      </c>
      <c r="AY16" t="s">
        <v>294</v>
      </c>
      <c r="AZ16" t="s">
        <v>418</v>
      </c>
      <c r="BA16" t="s">
        <v>420</v>
      </c>
      <c r="BB16" t="s">
        <v>421</v>
      </c>
      <c r="BC16" t="s">
        <v>395</v>
      </c>
      <c r="BD16" t="s">
        <v>291</v>
      </c>
      <c r="BE16" t="s">
        <v>419</v>
      </c>
      <c r="BF16" t="s">
        <v>422</v>
      </c>
      <c r="BG16" t="s">
        <v>423</v>
      </c>
      <c r="BH16" t="s">
        <v>1321</v>
      </c>
      <c r="BI16" t="s">
        <v>1039</v>
      </c>
      <c r="BJ16" t="s">
        <v>676</v>
      </c>
      <c r="BK16" t="s">
        <v>1322</v>
      </c>
      <c r="BL16" t="s">
        <v>1338</v>
      </c>
      <c r="BM16" t="s">
        <v>395</v>
      </c>
      <c r="BN16">
        <v>6.85</v>
      </c>
      <c r="BO16">
        <v>30.55</v>
      </c>
      <c r="BP16">
        <v>22.26</v>
      </c>
      <c r="BQ16">
        <v>7.61</v>
      </c>
      <c r="BR16">
        <v>26</v>
      </c>
      <c r="BS16">
        <v>22.16</v>
      </c>
      <c r="BT16" t="s">
        <v>623</v>
      </c>
      <c r="BU16" t="s">
        <v>561</v>
      </c>
      <c r="BV16">
        <v>9.65</v>
      </c>
      <c r="BW16">
        <v>21.33</v>
      </c>
      <c r="BX16">
        <v>16.73</v>
      </c>
      <c r="BY16">
        <v>2.71</v>
      </c>
      <c r="BZ16">
        <v>13.65</v>
      </c>
      <c r="CA16">
        <v>9.8800000000000008</v>
      </c>
      <c r="CB16">
        <v>2.1</v>
      </c>
      <c r="CC16">
        <v>-12.9</v>
      </c>
      <c r="CD16" t="s">
        <v>1339</v>
      </c>
      <c r="CE16" t="s">
        <v>1340</v>
      </c>
      <c r="CF16" s="9">
        <v>-0.12710280373831767</v>
      </c>
      <c r="CG16" s="10">
        <v>-0.3930600050476743</v>
      </c>
      <c r="CH16" s="9">
        <v>-0.22218121588230133</v>
      </c>
      <c r="CI16" s="9">
        <v>0.32584258913993835</v>
      </c>
      <c r="CJ16" s="9">
        <v>0.8244207501411438</v>
      </c>
      <c r="CK16" s="9">
        <v>8.0924853682518005E-2</v>
      </c>
      <c r="CL16" s="9">
        <v>1.9305018940940499E-3</v>
      </c>
      <c r="CM16" s="10">
        <v>-0.75931191444396973</v>
      </c>
      <c r="CN16" s="10">
        <v>0.44864866137504578</v>
      </c>
      <c r="CO16" s="10">
        <v>1.8413279056549072</v>
      </c>
      <c r="CP16" s="10">
        <v>1.0105669498443604</v>
      </c>
      <c r="CQ16" s="10">
        <v>-0.29750970005989075</v>
      </c>
      <c r="CR16">
        <v>18.051199376068205</v>
      </c>
      <c r="CS16">
        <v>0.89279504180434022</v>
      </c>
      <c r="CT16">
        <v>1.0810810810810811</v>
      </c>
      <c r="CU16" s="9">
        <v>0.20218749579507858</v>
      </c>
      <c r="CV16" s="10">
        <v>0.4487443804740906</v>
      </c>
      <c r="CW16">
        <v>0.06</v>
      </c>
      <c r="CX16">
        <v>15.937443508438895</v>
      </c>
      <c r="CY16">
        <v>73156965.19223024</v>
      </c>
      <c r="CZ16">
        <v>0.20218749579507858</v>
      </c>
      <c r="DA16">
        <v>4.7421149710133328</v>
      </c>
      <c r="DB16">
        <v>245868142.61714405</v>
      </c>
      <c r="DC16">
        <v>0.19207812100532465</v>
      </c>
      <c r="DD16">
        <v>2.0491285645132202</v>
      </c>
      <c r="DE16">
        <v>568990652.99837506</v>
      </c>
      <c r="DF16">
        <v>0.17792499629966915</v>
      </c>
      <c r="DG16">
        <v>1.0548772409368941</v>
      </c>
      <c r="DH16">
        <v>1105280268.4077907</v>
      </c>
      <c r="DI16">
        <v>0.16174999663606288</v>
      </c>
      <c r="DJ16">
        <v>0.37949105927316273</v>
      </c>
      <c r="DK16">
        <v>3072364872.6615834</v>
      </c>
      <c r="DL16">
        <v>0.14153124705655501</v>
      </c>
      <c r="DM16">
        <v>64504399.999999993</v>
      </c>
      <c r="DN16">
        <v>0.20218749579507858</v>
      </c>
      <c r="DO16">
        <v>1165935000</v>
      </c>
      <c r="DP16">
        <v>542418200</v>
      </c>
      <c r="DQ16">
        <v>648</v>
      </c>
      <c r="DR16">
        <v>-0.32929029953339628</v>
      </c>
      <c r="DS16">
        <v>-0.84180438552176495</v>
      </c>
      <c r="DT16" s="11">
        <v>-0.19000000000000003</v>
      </c>
      <c r="DU16">
        <v>0.11166666666666669</v>
      </c>
      <c r="DV16">
        <v>-7.8333333333333338E-2</v>
      </c>
      <c r="DW16">
        <v>-2.129</v>
      </c>
      <c r="DX16">
        <v>0.34109591423558738</v>
      </c>
      <c r="DY16">
        <v>-2.014331372936391</v>
      </c>
      <c r="DZ16">
        <v>1897</v>
      </c>
      <c r="EA16">
        <v>-2.0090110961339773</v>
      </c>
      <c r="EB16">
        <v>2</v>
      </c>
      <c r="EC16">
        <v>3.0599014045205101E-2</v>
      </c>
      <c r="ED16">
        <v>0.27542879732117947</v>
      </c>
      <c r="EE16" s="12">
        <v>6.0809999999999996E-2</v>
      </c>
      <c r="EF16">
        <v>8.1409999999999996E-2</v>
      </c>
      <c r="EG16">
        <v>23.111095914235587</v>
      </c>
      <c r="EH16">
        <v>-1</v>
      </c>
      <c r="EI16">
        <v>0</v>
      </c>
      <c r="EJ16">
        <v>0</v>
      </c>
      <c r="EK16" s="14">
        <v>45470</v>
      </c>
      <c r="EL16" s="15">
        <v>0.11</v>
      </c>
      <c r="EM16" s="15">
        <v>-3.91</v>
      </c>
      <c r="EN16" s="15">
        <v>1.36</v>
      </c>
      <c r="EO16" s="15">
        <v>2.68</v>
      </c>
      <c r="EP16" s="15">
        <v>-2.06</v>
      </c>
    </row>
    <row r="17" spans="1:146" ht="144" x14ac:dyDescent="0.25">
      <c r="A17" s="8"/>
      <c r="B17" s="8"/>
      <c r="C17" s="8" t="str">
        <f>"公司主营业务是金红石型钛白粉的研发、生产和销售。公司主要产品包括：金红石型钛白粉、锐钛型钛白粉系列、七水硫酸亚铁产品；主要消费群体为：涂料(含油漆)行业、造纸行业和塑料和橡胶行业等。"&amp;CHAR(10)&amp;Basic_Fundamental_Information_Constructure(F17)&amp;CHAR(10)&amp;Basic_Fundamental_Information_Concatenate("钛白粉 53.14亿 98.89% 97.29% 35.50%
其他 5969.80万 1.11% 2.71% 88.10%")</f>
        <v>公司主营业务是金红石型钛白粉的研发、生产和销售。公司主要产品包括：金红石型钛白粉、锐钛型钛白粉系列、七水硫酸亚铁产品；主要消费群体为：涂料(含油漆)行业、造纸行业和塑料和橡胶行业等。
市值128.905176亿, 利润4.19亿; PE28.89; 平均PE21.56; 平均PEG1.92, PB1.08; ROIC8.37%; ROE10.4567%; 股利率1.517%; 毛利24.7767%; 净利14.3%; 上一年度营收增-9.74%, 利润增-34.84%; 当季营收增16.95%, 利润增25.4%; 过往5年营收增11.25%, 利润增18.27%
Income profile:
钛白粉 53.14亿 98.89% 97.29% 35.50%
其他 5969.80万 1.11% 2.71% 88.10%</v>
      </c>
      <c r="D17" t="s">
        <v>424</v>
      </c>
      <c r="E17" t="s">
        <v>425</v>
      </c>
      <c r="F17">
        <v>3.33</v>
      </c>
      <c r="G17">
        <v>1.22</v>
      </c>
      <c r="H17" t="s">
        <v>1341</v>
      </c>
      <c r="I17">
        <v>12890517600</v>
      </c>
      <c r="J17">
        <v>28.89</v>
      </c>
      <c r="K17">
        <v>1.08</v>
      </c>
      <c r="L17" t="s">
        <v>82</v>
      </c>
      <c r="M17" t="s">
        <v>1342</v>
      </c>
      <c r="N17" t="s">
        <v>1343</v>
      </c>
      <c r="O17" t="s">
        <v>1344</v>
      </c>
      <c r="P17">
        <v>16.989999999999998</v>
      </c>
      <c r="Q17" t="s">
        <v>1345</v>
      </c>
      <c r="R17">
        <v>131664774</v>
      </c>
      <c r="S17" s="5">
        <v>0.25990000000000002</v>
      </c>
      <c r="T17" t="s">
        <v>672</v>
      </c>
      <c r="U17">
        <v>3870678700</v>
      </c>
      <c r="V17">
        <v>3871026300</v>
      </c>
      <c r="W17">
        <v>1.59</v>
      </c>
      <c r="X17">
        <v>0.08</v>
      </c>
      <c r="Y17">
        <v>9.11</v>
      </c>
      <c r="Z17" t="s">
        <v>1346</v>
      </c>
      <c r="AA17" t="s">
        <v>941</v>
      </c>
      <c r="AB17" t="s">
        <v>1347</v>
      </c>
      <c r="AC17" t="s">
        <v>1348</v>
      </c>
      <c r="AD17" t="s">
        <v>9</v>
      </c>
      <c r="AE17">
        <v>-30423009</v>
      </c>
      <c r="AF17" t="s">
        <v>1349</v>
      </c>
      <c r="AG17" t="s">
        <v>1350</v>
      </c>
      <c r="AH17" t="s">
        <v>1351</v>
      </c>
      <c r="AI17" t="s">
        <v>1352</v>
      </c>
      <c r="AJ17" t="s">
        <v>1353</v>
      </c>
      <c r="AK17" t="s">
        <v>1354</v>
      </c>
      <c r="AL17" t="s">
        <v>1355</v>
      </c>
      <c r="AM17" t="s">
        <v>9</v>
      </c>
      <c r="AN17" t="s">
        <v>1356</v>
      </c>
      <c r="AO17" t="s">
        <v>1357</v>
      </c>
      <c r="AP17" t="s">
        <v>1358</v>
      </c>
      <c r="AQ17" t="s">
        <v>1359</v>
      </c>
      <c r="AR17" t="s">
        <v>9</v>
      </c>
      <c r="AS17" t="s">
        <v>1360</v>
      </c>
      <c r="AT17" t="s">
        <v>1361</v>
      </c>
      <c r="AU17" t="s">
        <v>1362</v>
      </c>
      <c r="AV17" t="s">
        <v>1363</v>
      </c>
      <c r="AW17" t="s">
        <v>1334</v>
      </c>
      <c r="AX17" t="s">
        <v>588</v>
      </c>
      <c r="AY17" t="s">
        <v>472</v>
      </c>
      <c r="AZ17" t="s">
        <v>426</v>
      </c>
      <c r="BA17" t="s">
        <v>428</v>
      </c>
      <c r="BB17" t="s">
        <v>429</v>
      </c>
      <c r="BC17" t="s">
        <v>679</v>
      </c>
      <c r="BD17" t="s">
        <v>473</v>
      </c>
      <c r="BE17" t="s">
        <v>287</v>
      </c>
      <c r="BF17" t="s">
        <v>233</v>
      </c>
      <c r="BG17" t="s">
        <v>333</v>
      </c>
      <c r="BH17" t="s">
        <v>1345</v>
      </c>
      <c r="BI17" t="s">
        <v>885</v>
      </c>
      <c r="BJ17" t="s">
        <v>588</v>
      </c>
      <c r="BK17" t="s">
        <v>672</v>
      </c>
      <c r="BL17" t="s">
        <v>45</v>
      </c>
      <c r="BM17" t="s">
        <v>679</v>
      </c>
      <c r="BN17">
        <v>1.91</v>
      </c>
      <c r="BO17">
        <v>6.82</v>
      </c>
      <c r="BP17">
        <v>16.38</v>
      </c>
      <c r="BQ17">
        <v>2.99</v>
      </c>
      <c r="BR17">
        <v>9.33</v>
      </c>
      <c r="BS17">
        <v>19.05</v>
      </c>
      <c r="BT17" t="s">
        <v>1364</v>
      </c>
      <c r="BU17" t="s">
        <v>561</v>
      </c>
      <c r="BV17">
        <v>17.809999999999999</v>
      </c>
      <c r="BW17">
        <v>20.440000000000001</v>
      </c>
      <c r="BX17">
        <v>36.08</v>
      </c>
      <c r="BY17">
        <v>8.48</v>
      </c>
      <c r="BZ17">
        <v>11.78</v>
      </c>
      <c r="CA17">
        <v>22.64</v>
      </c>
      <c r="CB17">
        <v>1.52</v>
      </c>
      <c r="CC17">
        <v>-17.37</v>
      </c>
      <c r="CD17" t="s">
        <v>62</v>
      </c>
      <c r="CE17" t="s">
        <v>1365</v>
      </c>
      <c r="CF17" s="9">
        <v>0.16950527169505272</v>
      </c>
      <c r="CG17" s="10">
        <v>0.25395022857142857</v>
      </c>
      <c r="CH17" s="9">
        <v>-9.7427502274513245E-2</v>
      </c>
      <c r="CI17" s="9">
        <v>1.9910644739866257E-2</v>
      </c>
      <c r="CJ17" s="9">
        <v>0.44617873430252075</v>
      </c>
      <c r="CK17" s="9">
        <v>0.10038498044013977</v>
      </c>
      <c r="CL17" s="9">
        <v>9.3234054744243622E-2</v>
      </c>
      <c r="CM17" s="10">
        <v>-0.34836703538894653</v>
      </c>
      <c r="CN17" s="10">
        <v>-0.4716515839099884</v>
      </c>
      <c r="CO17" s="10">
        <v>1.5621051788330078</v>
      </c>
      <c r="CP17" s="10">
        <v>0.10208816826343536</v>
      </c>
      <c r="CQ17" s="10">
        <v>6.9478906691074371E-2</v>
      </c>
      <c r="CR17">
        <v>21.556049498327759</v>
      </c>
      <c r="CS17">
        <v>1.9168398784412291</v>
      </c>
      <c r="CT17">
        <v>1.5170210210210209</v>
      </c>
      <c r="CU17" s="9">
        <v>0.11245618239045144</v>
      </c>
      <c r="CV17" s="10">
        <v>0.18273072689771652</v>
      </c>
      <c r="CW17">
        <v>0.06</v>
      </c>
      <c r="CX17">
        <v>16.572519740367319</v>
      </c>
      <c r="CY17">
        <v>439735038.1335842</v>
      </c>
      <c r="CZ17">
        <v>0.11245618239045144</v>
      </c>
      <c r="DA17">
        <v>5.3139935941751739</v>
      </c>
      <c r="DB17">
        <v>1371382458.569025</v>
      </c>
      <c r="DC17">
        <v>0.10683337327092886</v>
      </c>
      <c r="DD17">
        <v>2.5498896197832117</v>
      </c>
      <c r="DE17">
        <v>2857973750.4949627</v>
      </c>
      <c r="DF17">
        <v>9.8961440503597259E-2</v>
      </c>
      <c r="DG17">
        <v>1.4872626901755786</v>
      </c>
      <c r="DH17">
        <v>4899953214.8148441</v>
      </c>
      <c r="DI17">
        <v>8.9964945912361149E-2</v>
      </c>
      <c r="DJ17">
        <v>0.71994284924540852</v>
      </c>
      <c r="DK17">
        <v>10122355694.814169</v>
      </c>
      <c r="DL17">
        <v>7.8719327673316006E-2</v>
      </c>
      <c r="DM17">
        <v>419000000.00000006</v>
      </c>
      <c r="DN17">
        <v>0.11245618239045144</v>
      </c>
      <c r="DO17">
        <v>7287517600</v>
      </c>
      <c r="DP17">
        <v>5118431200</v>
      </c>
      <c r="DQ17">
        <v>656</v>
      </c>
      <c r="DR17">
        <v>5.7049089304601286E-2</v>
      </c>
      <c r="DS17">
        <v>7.1219501673712049E-2</v>
      </c>
      <c r="DT17" s="11">
        <v>-0.3066666666666667</v>
      </c>
      <c r="DU17">
        <v>0.17</v>
      </c>
      <c r="DV17">
        <v>-0.13666666666666669</v>
      </c>
      <c r="DW17">
        <v>-3.0154940476190477</v>
      </c>
      <c r="DX17">
        <v>0.31994219653179246</v>
      </c>
      <c r="DY17">
        <v>-3.0026330924855493</v>
      </c>
      <c r="DZ17">
        <v>2030</v>
      </c>
      <c r="EA17">
        <v>-3.0015870694433446</v>
      </c>
      <c r="EB17">
        <v>3</v>
      </c>
      <c r="EC17">
        <v>3.7974425541877618E-2</v>
      </c>
      <c r="ED17">
        <v>0.22345495301853155</v>
      </c>
      <c r="EE17" s="12">
        <v>-1.10181</v>
      </c>
      <c r="EF17">
        <v>-1.14211</v>
      </c>
      <c r="EG17">
        <v>15.169942196531792</v>
      </c>
      <c r="EH17" t="s">
        <v>1366</v>
      </c>
      <c r="EI17">
        <v>0</v>
      </c>
      <c r="EJ17">
        <v>0</v>
      </c>
      <c r="EK17" s="14">
        <v>45470</v>
      </c>
      <c r="EL17" s="15">
        <v>0</v>
      </c>
      <c r="EM17" s="15">
        <v>-4.71</v>
      </c>
      <c r="EN17" s="15">
        <v>-0.28999999999999998</v>
      </c>
      <c r="EO17" s="15">
        <v>1.17</v>
      </c>
      <c r="EP17" s="15">
        <v>-4.03</v>
      </c>
    </row>
    <row r="18" spans="1:146" ht="96" x14ac:dyDescent="0.25">
      <c r="A18" s="8"/>
      <c r="B18" s="8"/>
      <c r="C18" s="8" t="str">
        <f>""&amp;CHAR(10)&amp;Basic_Fundamental_Information_Constructure(F18)&amp;CHAR(10)&amp;Basic_Fundamental_Information_Concatenate("")</f>
        <v xml:space="preserve">
市值69.903565亿, 利润7.30亿; PE9.12; 平均PE11.15; 平均PEG1.2, PB1.22; ROIC18.0733%; ROE24.64%; 股利率4.0872%; 毛利20.8967%; 净利11.7433%; 上一年度营收增-9.18%, 利润增-16.28%; 当季营收增-3.23%, 利润增17.73%; 过往5年营收增9.32%, 利润增152.46%
Income profile:
</v>
      </c>
      <c r="D18" t="s">
        <v>577</v>
      </c>
      <c r="E18" t="s">
        <v>578</v>
      </c>
      <c r="F18">
        <v>7.34</v>
      </c>
      <c r="G18">
        <v>1.24</v>
      </c>
      <c r="H18" t="s">
        <v>1367</v>
      </c>
      <c r="I18">
        <v>6990356500</v>
      </c>
      <c r="J18">
        <v>9.1199999999999992</v>
      </c>
      <c r="K18">
        <v>1.22</v>
      </c>
      <c r="L18" t="s">
        <v>82</v>
      </c>
      <c r="M18" t="s">
        <v>1368</v>
      </c>
      <c r="N18" t="s">
        <v>1369</v>
      </c>
      <c r="O18" t="s">
        <v>1370</v>
      </c>
      <c r="P18">
        <v>-3.23</v>
      </c>
      <c r="Q18" t="s">
        <v>1371</v>
      </c>
      <c r="R18">
        <v>242515480</v>
      </c>
      <c r="S18" s="5">
        <v>0.18</v>
      </c>
      <c r="T18" t="s">
        <v>918</v>
      </c>
      <c r="U18">
        <v>937999130</v>
      </c>
      <c r="V18">
        <v>952364650</v>
      </c>
      <c r="W18">
        <v>1.44</v>
      </c>
      <c r="X18">
        <v>0.24</v>
      </c>
      <c r="Y18">
        <v>12.12</v>
      </c>
      <c r="Z18" t="s">
        <v>218</v>
      </c>
      <c r="AA18" t="s">
        <v>1372</v>
      </c>
      <c r="AB18" t="s">
        <v>1373</v>
      </c>
      <c r="AC18" t="s">
        <v>1374</v>
      </c>
      <c r="AD18" t="s">
        <v>9</v>
      </c>
      <c r="AE18">
        <v>1651193</v>
      </c>
      <c r="AF18" t="s">
        <v>1375</v>
      </c>
      <c r="AG18" t="s">
        <v>1376</v>
      </c>
      <c r="AH18" t="s">
        <v>1377</v>
      </c>
      <c r="AI18" t="s">
        <v>1378</v>
      </c>
      <c r="AJ18" t="s">
        <v>1379</v>
      </c>
      <c r="AK18" t="s">
        <v>915</v>
      </c>
      <c r="AL18" t="s">
        <v>1380</v>
      </c>
      <c r="AM18" t="s">
        <v>9</v>
      </c>
      <c r="AN18" t="s">
        <v>427</v>
      </c>
      <c r="AO18" t="s">
        <v>1381</v>
      </c>
      <c r="AP18" t="s">
        <v>870</v>
      </c>
      <c r="AQ18" t="s">
        <v>654</v>
      </c>
      <c r="AR18" t="s">
        <v>9</v>
      </c>
      <c r="AS18" t="s">
        <v>1382</v>
      </c>
      <c r="AT18" t="s">
        <v>9</v>
      </c>
      <c r="AU18" t="s">
        <v>1383</v>
      </c>
      <c r="AV18" t="s">
        <v>177</v>
      </c>
      <c r="AW18" t="s">
        <v>1384</v>
      </c>
      <c r="AX18" t="s">
        <v>681</v>
      </c>
      <c r="AY18" t="s">
        <v>579</v>
      </c>
      <c r="AZ18" t="s">
        <v>581</v>
      </c>
      <c r="BA18" t="s">
        <v>582</v>
      </c>
      <c r="BB18" t="s">
        <v>583</v>
      </c>
      <c r="BC18" t="s">
        <v>619</v>
      </c>
      <c r="BD18" t="s">
        <v>580</v>
      </c>
      <c r="BE18" t="s">
        <v>28</v>
      </c>
      <c r="BF18" t="s">
        <v>520</v>
      </c>
      <c r="BG18" t="s">
        <v>208</v>
      </c>
      <c r="BH18" t="s">
        <v>1371</v>
      </c>
      <c r="BI18" t="s">
        <v>1385</v>
      </c>
      <c r="BJ18" t="s">
        <v>681</v>
      </c>
      <c r="BK18" t="s">
        <v>918</v>
      </c>
      <c r="BL18" t="s">
        <v>248</v>
      </c>
      <c r="BM18" t="s">
        <v>619</v>
      </c>
      <c r="BN18">
        <v>8.08</v>
      </c>
      <c r="BO18">
        <v>15.54</v>
      </c>
      <c r="BP18">
        <v>30.6</v>
      </c>
      <c r="BQ18">
        <v>9.18</v>
      </c>
      <c r="BR18">
        <v>18.84</v>
      </c>
      <c r="BS18">
        <v>45.9</v>
      </c>
      <c r="BT18" t="s">
        <v>626</v>
      </c>
      <c r="BU18" t="s">
        <v>1180</v>
      </c>
      <c r="BV18">
        <v>17.440000000000001</v>
      </c>
      <c r="BW18">
        <v>17.93</v>
      </c>
      <c r="BX18">
        <v>27.32</v>
      </c>
      <c r="BY18">
        <v>8.5500000000000007</v>
      </c>
      <c r="BZ18">
        <v>9.44</v>
      </c>
      <c r="CA18">
        <v>17.239999999999998</v>
      </c>
      <c r="CB18">
        <v>-1.08</v>
      </c>
      <c r="CC18">
        <v>-5.05</v>
      </c>
      <c r="CD18" t="s">
        <v>1386</v>
      </c>
      <c r="CE18" t="s">
        <v>1387</v>
      </c>
      <c r="CF18" s="9">
        <v>-3.2321253672869733E-2</v>
      </c>
      <c r="CG18" s="10">
        <v>0.17725961165048543</v>
      </c>
      <c r="CH18" s="9">
        <v>-9.1763414442539215E-2</v>
      </c>
      <c r="CI18" s="9">
        <v>-3.9094869047403336E-2</v>
      </c>
      <c r="CJ18" s="9">
        <v>0.54336786270141602</v>
      </c>
      <c r="CK18" s="9">
        <v>-3.4204278141260147E-2</v>
      </c>
      <c r="CL18" s="9">
        <v>8.7667874991893768E-2</v>
      </c>
      <c r="CM18" s="10">
        <v>-0.16284403204917908</v>
      </c>
      <c r="CN18" s="10">
        <v>-0.46601346135139465</v>
      </c>
      <c r="CO18" s="10">
        <v>7.9234967231750488</v>
      </c>
      <c r="CP18" s="10">
        <v>-9.4059407711029053E-2</v>
      </c>
      <c r="CQ18" s="10">
        <v>0.42253521084785461</v>
      </c>
      <c r="CR18">
        <v>11.14889393939394</v>
      </c>
      <c r="CS18">
        <v>1.1963021169600503</v>
      </c>
      <c r="CT18">
        <v>4.0871934604904636</v>
      </c>
      <c r="CU18" s="9">
        <v>9.3194635212421412E-2</v>
      </c>
      <c r="CV18" s="10">
        <v>1.5246230065822601</v>
      </c>
      <c r="CW18">
        <v>0.06</v>
      </c>
      <c r="CX18">
        <v>5.2869777746420796</v>
      </c>
      <c r="CY18">
        <v>752860456.32553542</v>
      </c>
      <c r="CZ18">
        <v>9.3194635212421412E-2</v>
      </c>
      <c r="DA18">
        <v>1.7230692179513323</v>
      </c>
      <c r="DB18">
        <v>2310038655.7497101</v>
      </c>
      <c r="DC18">
        <v>8.8534903451800331E-2</v>
      </c>
      <c r="DD18">
        <v>0.84516135851182561</v>
      </c>
      <c r="DE18">
        <v>4709581738.3424616</v>
      </c>
      <c r="DF18">
        <v>8.2011278986930849E-2</v>
      </c>
      <c r="DG18">
        <v>0.5054626327442322</v>
      </c>
      <c r="DH18">
        <v>7874680030.0351562</v>
      </c>
      <c r="DI18">
        <v>7.4555708169937132E-2</v>
      </c>
      <c r="DJ18">
        <v>0.25877545335537355</v>
      </c>
      <c r="DK18">
        <v>15381507203.984373</v>
      </c>
      <c r="DL18">
        <v>6.5236244648694985E-2</v>
      </c>
      <c r="DM18">
        <v>730000000</v>
      </c>
      <c r="DN18">
        <v>9.3194635212421412E-2</v>
      </c>
      <c r="DO18">
        <v>3980356500</v>
      </c>
      <c r="DP18">
        <v>894381500</v>
      </c>
      <c r="DQ18">
        <v>781</v>
      </c>
      <c r="DR18">
        <v>-0.12551588888529114</v>
      </c>
      <c r="DS18">
        <v>-1.3473633949317747</v>
      </c>
      <c r="DT18" s="11">
        <v>-0.3066666666666667</v>
      </c>
      <c r="DU18">
        <v>0.37166666666666659</v>
      </c>
      <c r="DV18">
        <v>6.4999999999999891E-2</v>
      </c>
      <c r="DW18">
        <v>-1.0505</v>
      </c>
      <c r="DX18">
        <v>0.28889284253578584</v>
      </c>
      <c r="DY18">
        <v>-1.0060040885480572</v>
      </c>
      <c r="DZ18">
        <v>1554</v>
      </c>
      <c r="EA18">
        <v>-1.0041781876471412</v>
      </c>
      <c r="EB18">
        <v>1</v>
      </c>
      <c r="EC18">
        <v>6.1046574964746962E-2</v>
      </c>
      <c r="ED18">
        <v>0.51345878913082288</v>
      </c>
      <c r="EE18" s="12">
        <v>2.0707100000000001</v>
      </c>
      <c r="EF18">
        <v>2.1102099999999999</v>
      </c>
      <c r="EG18">
        <v>17.118892842535786</v>
      </c>
      <c r="EH18" t="s">
        <v>1182</v>
      </c>
      <c r="EI18">
        <v>0</v>
      </c>
      <c r="EJ18">
        <v>0</v>
      </c>
      <c r="EK18" s="14">
        <v>45470</v>
      </c>
      <c r="EL18" s="15">
        <v>0.79</v>
      </c>
      <c r="EM18" s="15">
        <v>-3.39</v>
      </c>
      <c r="EN18" s="15">
        <v>0.14000000000000001</v>
      </c>
      <c r="EO18" s="15">
        <v>2.4300000000000002</v>
      </c>
      <c r="EP18" s="15">
        <v>-3.95</v>
      </c>
    </row>
    <row r="19" spans="1:146" ht="96" x14ac:dyDescent="0.25">
      <c r="A19" s="8"/>
      <c r="B19" s="8" t="s">
        <v>620</v>
      </c>
      <c r="C19" s="8" t="str">
        <f>""&amp;CHAR(10)&amp;Basic_Fundamental_Information_Constructure(F19)&amp;CHAR(10)&amp;Basic_Fundamental_Information_Concatenate("")</f>
        <v xml:space="preserve">
市值50.113412亿, 利润3996.47万; PE; 平均PE18.96; 平均PEG14.62, PB.623; ROIC3.87%; ROE7.2733%; 股利率2.0779%; 毛利7.1467%; 净利2.0167%; 上一年度营收增-9.7%, 利润增-92.75%; 当季营收增-19.44%, 利润增-89.21%; 过往5年营收增1.3%, 利润增69.36%
Income profile:
</v>
      </c>
      <c r="D19" t="s">
        <v>160</v>
      </c>
      <c r="E19" t="s">
        <v>161</v>
      </c>
      <c r="F19">
        <v>3.85</v>
      </c>
      <c r="G19">
        <v>0.26</v>
      </c>
      <c r="H19" t="s">
        <v>1388</v>
      </c>
      <c r="I19">
        <v>5011341200</v>
      </c>
      <c r="K19">
        <v>0.623</v>
      </c>
      <c r="L19" t="s">
        <v>82</v>
      </c>
      <c r="M19" t="s">
        <v>1389</v>
      </c>
      <c r="N19" t="s">
        <v>1390</v>
      </c>
      <c r="O19" t="s">
        <v>1391</v>
      </c>
      <c r="P19">
        <v>-19.45</v>
      </c>
      <c r="Q19" t="s">
        <v>1392</v>
      </c>
      <c r="R19">
        <v>6553725</v>
      </c>
      <c r="S19" s="5">
        <v>-0.8921</v>
      </c>
      <c r="T19" t="s">
        <v>1393</v>
      </c>
      <c r="U19">
        <v>1158012020</v>
      </c>
      <c r="V19">
        <v>1301647070</v>
      </c>
      <c r="W19">
        <v>2.35</v>
      </c>
      <c r="X19">
        <v>0.16</v>
      </c>
      <c r="Y19">
        <v>0.05</v>
      </c>
      <c r="Z19" t="s">
        <v>1394</v>
      </c>
      <c r="AA19" t="s">
        <v>1395</v>
      </c>
      <c r="AB19" t="s">
        <v>1396</v>
      </c>
      <c r="AC19" t="s">
        <v>858</v>
      </c>
      <c r="AD19" t="s">
        <v>9</v>
      </c>
      <c r="AE19">
        <v>28310493</v>
      </c>
      <c r="AF19" t="s">
        <v>1397</v>
      </c>
      <c r="AG19" t="s">
        <v>1398</v>
      </c>
      <c r="AH19" t="s">
        <v>1399</v>
      </c>
      <c r="AI19" t="s">
        <v>1400</v>
      </c>
      <c r="AJ19" t="s">
        <v>1401</v>
      </c>
      <c r="AK19" t="s">
        <v>9</v>
      </c>
      <c r="AL19" t="s">
        <v>1402</v>
      </c>
      <c r="AM19" t="s">
        <v>9</v>
      </c>
      <c r="AN19" t="s">
        <v>1403</v>
      </c>
      <c r="AO19" t="s">
        <v>1404</v>
      </c>
      <c r="AP19" t="s">
        <v>1405</v>
      </c>
      <c r="AQ19" t="s">
        <v>914</v>
      </c>
      <c r="AR19" t="s">
        <v>9</v>
      </c>
      <c r="AS19" t="s">
        <v>1406</v>
      </c>
      <c r="AT19" t="s">
        <v>1407</v>
      </c>
      <c r="AU19" t="s">
        <v>923</v>
      </c>
      <c r="AV19" t="s">
        <v>1408</v>
      </c>
      <c r="AW19" t="s">
        <v>1381</v>
      </c>
      <c r="AX19" t="s">
        <v>682</v>
      </c>
      <c r="AY19" t="s">
        <v>474</v>
      </c>
      <c r="AZ19" t="s">
        <v>162</v>
      </c>
      <c r="BA19" t="s">
        <v>163</v>
      </c>
      <c r="BB19" t="s">
        <v>164</v>
      </c>
      <c r="BC19" t="s">
        <v>683</v>
      </c>
      <c r="BD19" t="s">
        <v>598</v>
      </c>
      <c r="BE19" t="s">
        <v>147</v>
      </c>
      <c r="BF19" t="s">
        <v>165</v>
      </c>
      <c r="BG19" t="s">
        <v>57</v>
      </c>
      <c r="BH19" t="s">
        <v>1392</v>
      </c>
      <c r="BI19" t="s">
        <v>1409</v>
      </c>
      <c r="BJ19" t="s">
        <v>682</v>
      </c>
      <c r="BK19" t="s">
        <v>1393</v>
      </c>
      <c r="BL19" t="s">
        <v>1410</v>
      </c>
      <c r="BM19" t="s">
        <v>683</v>
      </c>
      <c r="BN19">
        <v>0.28999999999999998</v>
      </c>
      <c r="BO19">
        <v>4.95</v>
      </c>
      <c r="BP19">
        <v>6.37</v>
      </c>
      <c r="BQ19">
        <v>0.35</v>
      </c>
      <c r="BR19">
        <v>9.4700000000000006</v>
      </c>
      <c r="BS19">
        <v>12</v>
      </c>
      <c r="BT19" t="s">
        <v>705</v>
      </c>
      <c r="BU19" t="s">
        <v>560</v>
      </c>
      <c r="BV19">
        <v>3.27</v>
      </c>
      <c r="BW19">
        <v>7.3</v>
      </c>
      <c r="BX19">
        <v>10.87</v>
      </c>
      <c r="BY19">
        <v>0.06</v>
      </c>
      <c r="BZ19">
        <v>2.54</v>
      </c>
      <c r="CA19">
        <v>3.45</v>
      </c>
      <c r="CB19">
        <v>0.79</v>
      </c>
      <c r="CC19">
        <v>-13.68</v>
      </c>
      <c r="CD19" t="s">
        <v>1411</v>
      </c>
      <c r="CE19" t="s">
        <v>1412</v>
      </c>
      <c r="CF19" s="9">
        <v>-0.19442956614890208</v>
      </c>
      <c r="CG19" s="10">
        <v>-0.89208049347993257</v>
      </c>
      <c r="CH19" s="9">
        <v>-9.6956528723239899E-2</v>
      </c>
      <c r="CI19" s="9">
        <v>8.0424875020980835E-2</v>
      </c>
      <c r="CJ19" s="9">
        <v>-0.13032427430152893</v>
      </c>
      <c r="CK19" s="9">
        <v>-6.3065417110919952E-2</v>
      </c>
      <c r="CL19" s="9">
        <v>0.27478897571563721</v>
      </c>
      <c r="CM19" s="10">
        <v>-0.92746877670288086</v>
      </c>
      <c r="CN19" s="10">
        <v>-0.1457364410161972</v>
      </c>
      <c r="CO19" s="10">
        <v>4.5603446960449219</v>
      </c>
      <c r="CP19" s="10">
        <v>0.47288689017295837</v>
      </c>
      <c r="CQ19" s="10">
        <v>-0.49189099669456482</v>
      </c>
      <c r="CR19">
        <v>18.961744104387552</v>
      </c>
      <c r="CS19">
        <v>14.615721222377989</v>
      </c>
      <c r="CT19">
        <v>2.0779220779220782</v>
      </c>
      <c r="CU19" s="9">
        <v>1.2973526120185852E-2</v>
      </c>
      <c r="CV19" s="10">
        <v>0.69362707436084747</v>
      </c>
      <c r="CW19">
        <v>0.06</v>
      </c>
      <c r="CX19">
        <v>181.20021979557313</v>
      </c>
      <c r="CY19">
        <v>38191682.150316402</v>
      </c>
      <c r="CZ19">
        <v>1.2973526120185852E-2</v>
      </c>
      <c r="DA19">
        <v>63.240472186395593</v>
      </c>
      <c r="DB19">
        <v>109428993.18656124</v>
      </c>
      <c r="DC19">
        <v>1.2324849814176558E-2</v>
      </c>
      <c r="DD19">
        <v>33.901712013729473</v>
      </c>
      <c r="DE19">
        <v>204129549.4810825</v>
      </c>
      <c r="DF19">
        <v>1.141670298576355E-2</v>
      </c>
      <c r="DG19">
        <v>22.328524333628518</v>
      </c>
      <c r="DH19">
        <v>309932761.18912256</v>
      </c>
      <c r="DI19">
        <v>1.0378820896148682E-2</v>
      </c>
      <c r="DJ19">
        <v>13.949193628511457</v>
      </c>
      <c r="DK19">
        <v>496110483.82432419</v>
      </c>
      <c r="DL19">
        <v>9.081468284130095E-3</v>
      </c>
      <c r="DM19">
        <v>39964700</v>
      </c>
      <c r="DN19">
        <v>1.2973526120185852E-2</v>
      </c>
      <c r="DO19">
        <v>6920341199.999999</v>
      </c>
      <c r="DP19">
        <v>-603374400</v>
      </c>
      <c r="DQ19">
        <v>892</v>
      </c>
      <c r="DR19">
        <v>-0.20740309226908793</v>
      </c>
      <c r="DS19">
        <v>-1.5857075678407799</v>
      </c>
      <c r="DT19" s="11">
        <v>-0.34</v>
      </c>
      <c r="DU19">
        <v>-0.39000000000000007</v>
      </c>
      <c r="DV19">
        <v>-0.73000000000000009</v>
      </c>
      <c r="DW19">
        <v>-2.1368</v>
      </c>
      <c r="DX19">
        <v>0.28889541284403653</v>
      </c>
      <c r="DY19">
        <v>-2.0162648924770643</v>
      </c>
      <c r="DZ19">
        <v>3249</v>
      </c>
      <c r="EA19">
        <v>-2.0059234764970286</v>
      </c>
      <c r="EB19">
        <v>2</v>
      </c>
      <c r="EC19">
        <v>1.9912617327214513E-2</v>
      </c>
      <c r="ED19">
        <v>0.16748011425247555</v>
      </c>
      <c r="EE19" s="12">
        <v>-1.0497000000000001</v>
      </c>
      <c r="EF19">
        <v>-1.032</v>
      </c>
      <c r="EG19">
        <v>17.118895412844036</v>
      </c>
      <c r="EH19" t="s">
        <v>551</v>
      </c>
      <c r="EI19">
        <v>0</v>
      </c>
      <c r="EJ19">
        <v>0</v>
      </c>
      <c r="EK19" s="14">
        <v>45470</v>
      </c>
      <c r="EL19" s="15">
        <v>0.5</v>
      </c>
      <c r="EM19" s="15">
        <v>-4.47</v>
      </c>
      <c r="EN19" s="15">
        <v>0</v>
      </c>
      <c r="EO19" s="15">
        <v>2.86</v>
      </c>
      <c r="EP19" s="15">
        <v>-1.77</v>
      </c>
    </row>
    <row r="20" spans="1:146" ht="174" customHeight="1" x14ac:dyDescent="0.25">
      <c r="A20" s="8" t="s">
        <v>444</v>
      </c>
      <c r="B20" s="8" t="s">
        <v>445</v>
      </c>
      <c r="C20" s="8" t="str">
        <f>"公司化工业务主要依托控股子公司诺奥化工（2020年11月30日起纳入公司合并报表范围）开展；化工方面，公司是国内最大的正丙醇生产企业、国内规模领先的正戊醇生产企业和丁辛醇残液回收企业，还有残液提取回收业务；"&amp;CHAR(10)&amp;Basic_Fundamental_Information_Constructure(F20)&amp;CHAR(10)&amp;Basic_Fundamental_Information_Concatenate("工程总承包 2.82亿 41.67%（毛利14.06%，增速-27.34%）
催化剂销售 1.17亿 17.31%（毛利42.33%，增速-18.43%）
醇醛酯类 1.17亿 17.26%（毛利27.73%，增速100%）
工程设计 1.12亿 16.54%（毛利67.19%，增速21.38%）
残液加工类 4054.99万 6.00%（毛利30.25%，增速100%）")</f>
        <v>公司化工业务主要依托控股子公司诺奥化工（2020年11月30日起纳入公司合并报表范围）开展；化工方面，公司是国内最大的正丙醇生产企业、国内规模领先的正戊醇生产企业和丁辛醇残液回收企业，还有残液提取回收业务；
市值37.114942亿, 利润2.82亿; PE12.61; 平均PE15.65; 平均PEG.25, PB1.34; ROIC10.8033%; ROE11.61%; 股利率5.2448%; 毛利22.19%; 净利12.05%; 上一年度营收增1.8%, 利润增2.92%; 当季营收增-13.21%, 利润增26.83%; 过往5年营收增63.6%, 利润增90.45%
Income profile:
工程总承包 2.82亿 41.67%（毛利14.06%，增速-27.34%）
催化剂销售 1.17亿 17.31%（毛利42.33%，增速-18.43%）
醇醛酯类 1.17亿 17.26%（毛利27.73%，增速100%）
工程设计 1.12亿 16.54%（毛利67.19%，增速21.38%）
残液加工类 4054.99万 6.00%（毛利30.25%，增速100%）</v>
      </c>
      <c r="D20" t="s">
        <v>324</v>
      </c>
      <c r="E20" t="s">
        <v>325</v>
      </c>
      <c r="F20">
        <v>5.72</v>
      </c>
      <c r="G20">
        <v>0.35</v>
      </c>
      <c r="H20" t="s">
        <v>1413</v>
      </c>
      <c r="I20">
        <v>3711494200</v>
      </c>
      <c r="J20">
        <v>12.61</v>
      </c>
      <c r="K20">
        <v>1.34</v>
      </c>
      <c r="L20" t="s">
        <v>82</v>
      </c>
      <c r="M20" t="s">
        <v>1414</v>
      </c>
      <c r="N20" t="s">
        <v>1415</v>
      </c>
      <c r="O20" t="s">
        <v>1416</v>
      </c>
      <c r="P20">
        <v>-13.28</v>
      </c>
      <c r="Q20" t="s">
        <v>1417</v>
      </c>
      <c r="R20">
        <v>57579317</v>
      </c>
      <c r="S20" s="5">
        <v>0.26829999999999998</v>
      </c>
      <c r="T20" t="s">
        <v>1418</v>
      </c>
      <c r="U20">
        <v>628900310</v>
      </c>
      <c r="V20">
        <v>648862630</v>
      </c>
      <c r="W20">
        <v>1.19</v>
      </c>
      <c r="X20">
        <v>0.15</v>
      </c>
      <c r="Y20">
        <v>10.32</v>
      </c>
      <c r="Z20" t="s">
        <v>382</v>
      </c>
      <c r="AA20" t="s">
        <v>469</v>
      </c>
      <c r="AB20" t="s">
        <v>1419</v>
      </c>
      <c r="AC20" t="s">
        <v>1420</v>
      </c>
      <c r="AD20" t="s">
        <v>9</v>
      </c>
      <c r="AE20">
        <v>-2687737</v>
      </c>
      <c r="AF20" t="s">
        <v>1421</v>
      </c>
      <c r="AG20" t="s">
        <v>1422</v>
      </c>
      <c r="AH20" t="s">
        <v>1423</v>
      </c>
      <c r="AI20" t="s">
        <v>968</v>
      </c>
      <c r="AJ20" t="s">
        <v>1424</v>
      </c>
      <c r="AK20" t="s">
        <v>1425</v>
      </c>
      <c r="AL20" t="s">
        <v>1426</v>
      </c>
      <c r="AM20" t="s">
        <v>9</v>
      </c>
      <c r="AN20" t="s">
        <v>1427</v>
      </c>
      <c r="AO20" t="s">
        <v>9</v>
      </c>
      <c r="AP20" t="s">
        <v>1428</v>
      </c>
      <c r="AQ20" t="s">
        <v>550</v>
      </c>
      <c r="AR20" t="s">
        <v>9</v>
      </c>
      <c r="AS20" t="s">
        <v>697</v>
      </c>
      <c r="AT20" t="s">
        <v>9</v>
      </c>
      <c r="AU20" t="s">
        <v>1429</v>
      </c>
      <c r="AV20" t="s">
        <v>1430</v>
      </c>
      <c r="AW20" t="s">
        <v>1431</v>
      </c>
      <c r="AX20" t="s">
        <v>576</v>
      </c>
      <c r="AY20" t="s">
        <v>475</v>
      </c>
      <c r="AZ20" t="s">
        <v>326</v>
      </c>
      <c r="BA20" t="s">
        <v>133</v>
      </c>
      <c r="BB20" t="s">
        <v>327</v>
      </c>
      <c r="BC20" t="s">
        <v>684</v>
      </c>
      <c r="BD20" t="s">
        <v>476</v>
      </c>
      <c r="BE20" t="s">
        <v>323</v>
      </c>
      <c r="BF20" t="s">
        <v>328</v>
      </c>
      <c r="BG20" t="s">
        <v>329</v>
      </c>
      <c r="BH20" t="s">
        <v>1417</v>
      </c>
      <c r="BI20" t="s">
        <v>1432</v>
      </c>
      <c r="BJ20" t="s">
        <v>576</v>
      </c>
      <c r="BK20" t="s">
        <v>1418</v>
      </c>
      <c r="BL20" t="s">
        <v>1433</v>
      </c>
      <c r="BM20" t="s">
        <v>684</v>
      </c>
      <c r="BN20">
        <v>7.23</v>
      </c>
      <c r="BO20">
        <v>9.83</v>
      </c>
      <c r="BP20">
        <v>15.35</v>
      </c>
      <c r="BQ20">
        <v>7.62</v>
      </c>
      <c r="BR20">
        <v>10.91</v>
      </c>
      <c r="BS20">
        <v>16.3</v>
      </c>
      <c r="BT20" t="s">
        <v>626</v>
      </c>
      <c r="BU20" t="s">
        <v>500</v>
      </c>
      <c r="BV20">
        <v>21.24</v>
      </c>
      <c r="BW20">
        <v>19.57</v>
      </c>
      <c r="BX20">
        <v>25.76</v>
      </c>
      <c r="BY20">
        <v>10.89</v>
      </c>
      <c r="BZ20">
        <v>10.67</v>
      </c>
      <c r="CA20">
        <v>14.59</v>
      </c>
      <c r="CB20">
        <v>0.35</v>
      </c>
      <c r="CC20">
        <v>-2.39</v>
      </c>
      <c r="CD20" t="s">
        <v>1434</v>
      </c>
      <c r="CE20" t="s">
        <v>605</v>
      </c>
      <c r="CF20" s="9">
        <v>-0.13210702341137115</v>
      </c>
      <c r="CG20" s="10">
        <v>0.26831438622151049</v>
      </c>
      <c r="CH20" s="9">
        <v>1.8007688224315643E-2</v>
      </c>
      <c r="CI20" s="9">
        <v>-7.9818284139037132E-3</v>
      </c>
      <c r="CJ20" s="9">
        <v>2.8920118808746338</v>
      </c>
      <c r="CK20" s="9">
        <v>7.1315370500087738E-2</v>
      </c>
      <c r="CL20" s="9">
        <v>0.20650096237659454</v>
      </c>
      <c r="CM20" s="10">
        <v>2.9197080060839653E-2</v>
      </c>
      <c r="CN20" s="10">
        <v>-0.27320954203605652</v>
      </c>
      <c r="CO20" s="10">
        <v>1.0723860934376717E-2</v>
      </c>
      <c r="CP20" s="10">
        <v>3.8213579654693604</v>
      </c>
      <c r="CQ20" s="10">
        <v>0.93454736471176147</v>
      </c>
      <c r="CR20">
        <v>15.645405934949885</v>
      </c>
      <c r="CS20">
        <v>0.24600823768975028</v>
      </c>
      <c r="CT20">
        <v>5.244755244755245</v>
      </c>
      <c r="CU20" s="9">
        <v>0.63597081471234562</v>
      </c>
      <c r="CV20" s="10">
        <v>0.90452334582805638</v>
      </c>
      <c r="CW20">
        <v>0.06</v>
      </c>
      <c r="CX20">
        <v>3.2522902667932647</v>
      </c>
      <c r="CY20">
        <v>435229971.46120888</v>
      </c>
      <c r="CZ20">
        <v>0.63597081471234562</v>
      </c>
      <c r="DA20">
        <v>0.69046500419659429</v>
      </c>
      <c r="DB20">
        <v>2050059295.3976419</v>
      </c>
      <c r="DC20">
        <v>0.60417227397672835</v>
      </c>
      <c r="DD20">
        <v>0.1758023358148543</v>
      </c>
      <c r="DE20">
        <v>8051623395.3269167</v>
      </c>
      <c r="DF20">
        <v>0.55965431694686418</v>
      </c>
      <c r="DG20">
        <v>4.5059523461112992E-2</v>
      </c>
      <c r="DH20">
        <v>31413874166.281219</v>
      </c>
      <c r="DI20">
        <v>0.50877665176987652</v>
      </c>
      <c r="DJ20">
        <v>2.7224777619168812E-3</v>
      </c>
      <c r="DK20">
        <v>519928654625.02753</v>
      </c>
      <c r="DL20">
        <v>0.44517957029864191</v>
      </c>
      <c r="DM20">
        <v>282000000</v>
      </c>
      <c r="DN20">
        <v>0.63597081471234562</v>
      </c>
      <c r="DO20">
        <v>1415494200</v>
      </c>
      <c r="DP20">
        <v>1307071800</v>
      </c>
      <c r="DQ20">
        <v>969</v>
      </c>
      <c r="DR20">
        <v>-0.76807783812371677</v>
      </c>
      <c r="DS20">
        <v>-0.63620895960654589</v>
      </c>
      <c r="DT20" s="11">
        <v>5.9999999999999977E-2</v>
      </c>
      <c r="DU20">
        <v>0.70499999999999996</v>
      </c>
      <c r="DV20">
        <v>0.7649999999999999</v>
      </c>
      <c r="DW20">
        <v>-2.3900000000000001E-2</v>
      </c>
      <c r="DX20">
        <v>0.36451250000000074</v>
      </c>
      <c r="DY20">
        <v>-3.9318487500000004E-3</v>
      </c>
      <c r="DZ20">
        <v>385</v>
      </c>
      <c r="EA20">
        <v>-3.6356135702054798E-3</v>
      </c>
      <c r="EB20">
        <v>0</v>
      </c>
      <c r="EC20">
        <v>5.679291470368697E-2</v>
      </c>
      <c r="ED20">
        <v>0.3452194496083093</v>
      </c>
      <c r="EE20" s="12">
        <v>-5.0091099999999997</v>
      </c>
      <c r="EF20">
        <v>-5.0073100000000004</v>
      </c>
      <c r="EG20">
        <v>20.164512500000001</v>
      </c>
      <c r="EH20" t="s">
        <v>1435</v>
      </c>
      <c r="EI20">
        <v>0</v>
      </c>
      <c r="EJ20">
        <v>1</v>
      </c>
      <c r="EK20" s="14">
        <v>45470</v>
      </c>
      <c r="EL20" s="15">
        <v>0.52</v>
      </c>
      <c r="EM20" s="15">
        <v>-3.13</v>
      </c>
      <c r="EN20" s="15">
        <v>0.54</v>
      </c>
      <c r="EO20" s="15">
        <v>1.43</v>
      </c>
      <c r="EP20" s="15">
        <v>0.18</v>
      </c>
    </row>
    <row r="21" spans="1:146" ht="252" x14ac:dyDescent="0.25">
      <c r="A21" s="8" t="s">
        <v>856</v>
      </c>
      <c r="B21" s="8" t="s">
        <v>857</v>
      </c>
      <c r="C21" s="8" t="str">
        <f>"公司主营产品为钛白粉、海绵钛、锆制品及锂电正负极材料。主要产品为钛白粉系列产品、锆制品和硫酸铝等，为亚洲最大的钛白粉企业。"&amp;CHAR(10)&amp;Basic_Fundamental_Information_Constructure(F21)&amp;CHAR(10)&amp;Basic_Fundamental_Information_Concatenate("钛白粉 151.99亿 73.90% 79.36% 45.02%
铁系产品 21.10亿 10.26% 11.89% 48.57%
海绵钛及四氯化钛 12.92亿 6.28% 3.36% 22.39%
其他 9.87亿 4.80% 3.01% 26.28%
锆制品 9.77亿 4.75% 2.39% 21.07%")</f>
        <v>公司主营产品为钛白粉、海绵钛、锆制品及锂电正负极材料。主要产品为钛白粉系列产品、锆制品和硫酸铝等，为亚洲最大的钛白粉企业。
市值444.3278亿, 利润32.26亿; PE12.35; 平均PE14.42; 平均PEG.67, PB1.83; ROIC11.19%; ROE17.8733%; 股利率0%; 毛利32.9433%; 净利16.61%; 上一年度营收增11%, 利润增-5.64%; 当季营收增4.53%, 利润增64.27%; 过往5年营收增21.4%, 利润增14.69%
Income profile:
钛白粉 151.99亿 73.90% 79.36% 45.02%
铁系产品 21.10亿 10.26% 11.89% 48.57%
海绵钛及四氯化钛 12.92亿 6.28% 3.36% 22.39%
其他 9.87亿 4.80% 3.01% 26.28%
锆制品 9.77亿 4.75% 2.39% 21.07%</v>
      </c>
      <c r="D21" t="s">
        <v>430</v>
      </c>
      <c r="E21" t="s">
        <v>431</v>
      </c>
      <c r="F21">
        <v>18.62</v>
      </c>
      <c r="G21">
        <v>1.75</v>
      </c>
      <c r="H21" t="s">
        <v>1436</v>
      </c>
      <c r="I21">
        <v>44432780000</v>
      </c>
      <c r="J21">
        <v>12.35</v>
      </c>
      <c r="K21">
        <v>1.83</v>
      </c>
      <c r="L21" t="s">
        <v>82</v>
      </c>
      <c r="M21" t="s">
        <v>1437</v>
      </c>
      <c r="N21" t="s">
        <v>1438</v>
      </c>
      <c r="O21" t="s">
        <v>1406</v>
      </c>
      <c r="P21">
        <v>4.5199999999999996</v>
      </c>
      <c r="Q21" t="s">
        <v>1439</v>
      </c>
      <c r="R21">
        <v>951100030</v>
      </c>
      <c r="S21" s="5">
        <v>0.64149999999999996</v>
      </c>
      <c r="T21" t="s">
        <v>1440</v>
      </c>
      <c r="U21">
        <v>2322202500</v>
      </c>
      <c r="V21">
        <v>2386293300</v>
      </c>
      <c r="W21">
        <v>2.5</v>
      </c>
      <c r="X21">
        <v>0.11</v>
      </c>
      <c r="Y21">
        <v>12.91</v>
      </c>
      <c r="Z21" t="s">
        <v>1441</v>
      </c>
      <c r="AA21" t="s">
        <v>1442</v>
      </c>
      <c r="AB21" t="s">
        <v>1443</v>
      </c>
      <c r="AC21" t="s">
        <v>684</v>
      </c>
      <c r="AD21" t="s">
        <v>9</v>
      </c>
      <c r="AE21">
        <v>153817690</v>
      </c>
      <c r="AF21" t="s">
        <v>1444</v>
      </c>
      <c r="AG21" t="s">
        <v>1445</v>
      </c>
      <c r="AH21" t="s">
        <v>1446</v>
      </c>
      <c r="AI21" t="s">
        <v>1447</v>
      </c>
      <c r="AJ21" t="s">
        <v>1448</v>
      </c>
      <c r="AK21" t="s">
        <v>47</v>
      </c>
      <c r="AL21" t="s">
        <v>1449</v>
      </c>
      <c r="AM21" t="s">
        <v>9</v>
      </c>
      <c r="AN21" t="s">
        <v>1450</v>
      </c>
      <c r="AO21" t="s">
        <v>1451</v>
      </c>
      <c r="AP21" t="s">
        <v>1452</v>
      </c>
      <c r="AQ21" t="s">
        <v>1453</v>
      </c>
      <c r="AR21" t="s">
        <v>1454</v>
      </c>
      <c r="AS21" t="s">
        <v>1455</v>
      </c>
      <c r="AT21" t="s">
        <v>1456</v>
      </c>
      <c r="AU21" t="s">
        <v>1457</v>
      </c>
      <c r="AV21" t="s">
        <v>1458</v>
      </c>
      <c r="AW21" t="s">
        <v>1459</v>
      </c>
      <c r="AX21" t="s">
        <v>1460</v>
      </c>
      <c r="AY21" t="s">
        <v>687</v>
      </c>
      <c r="AZ21" t="s">
        <v>688</v>
      </c>
      <c r="BA21" t="s">
        <v>433</v>
      </c>
      <c r="BB21" t="s">
        <v>434</v>
      </c>
      <c r="BC21" t="s">
        <v>685</v>
      </c>
      <c r="BD21" t="s">
        <v>478</v>
      </c>
      <c r="BE21" t="s">
        <v>432</v>
      </c>
      <c r="BF21" t="s">
        <v>209</v>
      </c>
      <c r="BG21" t="s">
        <v>435</v>
      </c>
      <c r="BH21" t="s">
        <v>1439</v>
      </c>
      <c r="BI21" t="s">
        <v>1461</v>
      </c>
      <c r="BJ21" t="s">
        <v>1460</v>
      </c>
      <c r="BK21" t="s">
        <v>1440</v>
      </c>
      <c r="BL21" t="s">
        <v>899</v>
      </c>
      <c r="BM21" t="s">
        <v>685</v>
      </c>
      <c r="BN21">
        <v>5.48</v>
      </c>
      <c r="BO21">
        <v>10.66</v>
      </c>
      <c r="BP21">
        <v>17.43</v>
      </c>
      <c r="BQ21">
        <v>9.8800000000000008</v>
      </c>
      <c r="BR21">
        <v>16.690000000000001</v>
      </c>
      <c r="BS21">
        <v>27.05</v>
      </c>
      <c r="BT21" t="s">
        <v>622</v>
      </c>
      <c r="BU21" t="s">
        <v>561</v>
      </c>
      <c r="BV21">
        <v>26.71</v>
      </c>
      <c r="BW21">
        <v>30.19</v>
      </c>
      <c r="BX21">
        <v>41.93</v>
      </c>
      <c r="BY21">
        <v>12.13</v>
      </c>
      <c r="BZ21">
        <v>14.67</v>
      </c>
      <c r="CA21">
        <v>23.03</v>
      </c>
      <c r="CB21">
        <v>0.27</v>
      </c>
      <c r="CC21">
        <v>-12.99</v>
      </c>
      <c r="CD21" t="s">
        <v>1462</v>
      </c>
      <c r="CE21" t="s">
        <v>1463</v>
      </c>
      <c r="CF21" s="9">
        <v>4.5324153757888695E-2</v>
      </c>
      <c r="CG21" s="10">
        <v>0.64265981001727113</v>
      </c>
      <c r="CH21" s="9">
        <v>0.10998217761516571</v>
      </c>
      <c r="CI21" s="9">
        <v>0.17246916890144348</v>
      </c>
      <c r="CJ21" s="9">
        <v>0.45775440335273743</v>
      </c>
      <c r="CK21" s="9">
        <v>0.24201081693172455</v>
      </c>
      <c r="CL21" s="9">
        <v>8.7922573089599609E-2</v>
      </c>
      <c r="CM21" s="10">
        <v>-5.644930899143219E-2</v>
      </c>
      <c r="CN21" s="10">
        <v>-0.26881945133209229</v>
      </c>
      <c r="CO21" s="10">
        <v>1.0428134202957153</v>
      </c>
      <c r="CP21" s="10">
        <v>-0.11757901310920715</v>
      </c>
      <c r="CQ21" s="10">
        <v>0.13473303616046906</v>
      </c>
      <c r="CR21">
        <v>14.418425094645755</v>
      </c>
      <c r="CS21">
        <v>0.67367057970231758</v>
      </c>
      <c r="CT21">
        <v>0</v>
      </c>
      <c r="CU21" s="9">
        <v>0.21402782797813416</v>
      </c>
      <c r="CV21" s="10">
        <v>0.14693973660469056</v>
      </c>
      <c r="CW21">
        <v>0.06</v>
      </c>
      <c r="CX21">
        <v>15.319442096506965</v>
      </c>
      <c r="CY21">
        <v>3694767710.4315667</v>
      </c>
      <c r="CZ21">
        <v>0.21402782797813416</v>
      </c>
      <c r="DA21">
        <v>4.5140261441980059</v>
      </c>
      <c r="DB21">
        <v>12539089981.291252</v>
      </c>
      <c r="DC21">
        <v>0.20332643657922744</v>
      </c>
      <c r="DD21">
        <v>1.9232981362167909</v>
      </c>
      <c r="DE21">
        <v>29429540295.472912</v>
      </c>
      <c r="DF21">
        <v>0.18834448862075806</v>
      </c>
      <c r="DG21">
        <v>0.97306830396419508</v>
      </c>
      <c r="DH21">
        <v>58168352385.345718</v>
      </c>
      <c r="DI21">
        <v>0.17122226238250735</v>
      </c>
      <c r="DJ21">
        <v>0.33533917493117155</v>
      </c>
      <c r="DK21">
        <v>168789644131.5499</v>
      </c>
      <c r="DL21">
        <v>0.14981947958469391</v>
      </c>
      <c r="DM21">
        <v>3226000000</v>
      </c>
      <c r="DN21">
        <v>0.21402782797813416</v>
      </c>
      <c r="DO21">
        <v>56601780000</v>
      </c>
      <c r="DP21">
        <v>-4397001999.9999962</v>
      </c>
      <c r="DQ21">
        <v>1094</v>
      </c>
      <c r="DR21">
        <v>-0.16870367422024546</v>
      </c>
      <c r="DS21">
        <v>0.49572007341258056</v>
      </c>
      <c r="DT21" s="11">
        <v>-4.0000000000000036E-2</v>
      </c>
      <c r="DU21">
        <v>0.11666666666666668</v>
      </c>
      <c r="DV21">
        <v>7.6666666666666647E-2</v>
      </c>
      <c r="DW21">
        <v>-2.1299000000000001</v>
      </c>
      <c r="DX21">
        <v>0.34317381818181913</v>
      </c>
      <c r="DY21">
        <v>-2.0134022789818182</v>
      </c>
      <c r="DZ21">
        <v>1529</v>
      </c>
      <c r="EA21">
        <v>-2.0093920863080021</v>
      </c>
      <c r="EB21">
        <v>2</v>
      </c>
      <c r="EC21">
        <v>2.3779809464326958E-2</v>
      </c>
      <c r="ED21">
        <v>0.2304829837975072</v>
      </c>
      <c r="EE21" s="12">
        <v>3.0556999999999999</v>
      </c>
      <c r="EF21">
        <v>3.0310000000000001</v>
      </c>
      <c r="EG21">
        <v>24.103173818181819</v>
      </c>
      <c r="EH21" t="s">
        <v>895</v>
      </c>
      <c r="EI21">
        <v>0</v>
      </c>
      <c r="EJ21">
        <v>0</v>
      </c>
      <c r="EK21" s="14">
        <v>45470</v>
      </c>
      <c r="EL21" s="15">
        <v>0.54</v>
      </c>
      <c r="EM21" s="15">
        <v>-1.29</v>
      </c>
      <c r="EN21" s="15">
        <v>2.06</v>
      </c>
      <c r="EO21" s="15">
        <v>1.38</v>
      </c>
      <c r="EP21" s="15">
        <v>-2.4700000000000002</v>
      </c>
    </row>
    <row r="22" spans="1:146" ht="96" x14ac:dyDescent="0.25">
      <c r="A22" s="8"/>
      <c r="B22" s="8"/>
      <c r="C22" s="8" t="str">
        <f>""&amp;CHAR(10)&amp;Basic_Fundamental_Information_Constructure(F22)&amp;CHAR(10)&amp;Basic_Fundamental_Information_Concatenate("")</f>
        <v xml:space="preserve">
市值12.432亿, 利润1829.11万; PE; 平均PE25.64; 平均PEG2.54, PB.932; ROIC9.69%; ROE11.0667%; 股利率0%; 毛利16.4833%; 净利5.63%; 上一年度营收增-19.33%, 利润增-89.84%; 当季营收增-10.69%, 利润增-164.71%; 过往5年营收增10.1%, 利润增-134.1%
Income profile:
</v>
      </c>
      <c r="D22" t="s">
        <v>166</v>
      </c>
      <c r="E22" t="s">
        <v>1464</v>
      </c>
      <c r="F22">
        <v>5.18</v>
      </c>
      <c r="G22">
        <v>1.57</v>
      </c>
      <c r="H22" t="s">
        <v>1465</v>
      </c>
      <c r="I22">
        <v>1243200000</v>
      </c>
      <c r="K22">
        <v>0.93200000000000005</v>
      </c>
      <c r="L22" t="s">
        <v>82</v>
      </c>
      <c r="M22" t="s">
        <v>937</v>
      </c>
      <c r="N22" t="s">
        <v>1466</v>
      </c>
      <c r="O22" t="s">
        <v>865</v>
      </c>
      <c r="P22">
        <v>-10.72</v>
      </c>
      <c r="Q22" t="s">
        <v>1467</v>
      </c>
      <c r="R22">
        <v>-9966383</v>
      </c>
      <c r="S22" s="5">
        <v>-1.647</v>
      </c>
      <c r="T22" t="s">
        <v>1468</v>
      </c>
      <c r="U22">
        <v>240000000</v>
      </c>
      <c r="V22">
        <v>240000000</v>
      </c>
      <c r="W22">
        <v>1.64</v>
      </c>
      <c r="X22">
        <v>0.21</v>
      </c>
      <c r="Y22">
        <v>-2.13</v>
      </c>
      <c r="Z22" t="s">
        <v>1469</v>
      </c>
      <c r="AA22" t="s">
        <v>654</v>
      </c>
      <c r="AB22" t="s">
        <v>1470</v>
      </c>
      <c r="AC22" t="s">
        <v>1471</v>
      </c>
      <c r="AD22" t="s">
        <v>9</v>
      </c>
      <c r="AE22">
        <v>1725067</v>
      </c>
      <c r="AF22" t="s">
        <v>23</v>
      </c>
      <c r="AG22">
        <v>2545</v>
      </c>
      <c r="AH22" t="s">
        <v>1472</v>
      </c>
      <c r="AI22" t="s">
        <v>643</v>
      </c>
      <c r="AJ22" t="s">
        <v>1473</v>
      </c>
      <c r="AK22" t="s">
        <v>1474</v>
      </c>
      <c r="AL22" t="s">
        <v>1475</v>
      </c>
      <c r="AM22" t="s">
        <v>9</v>
      </c>
      <c r="AN22" t="s">
        <v>1476</v>
      </c>
      <c r="AO22" t="s">
        <v>53</v>
      </c>
      <c r="AP22" t="s">
        <v>9</v>
      </c>
      <c r="AQ22" t="s">
        <v>234</v>
      </c>
      <c r="AR22" t="s">
        <v>9</v>
      </c>
      <c r="AS22" t="s">
        <v>503</v>
      </c>
      <c r="AT22" t="s">
        <v>1477</v>
      </c>
      <c r="AU22" t="s">
        <v>1478</v>
      </c>
      <c r="AV22" t="s">
        <v>1479</v>
      </c>
      <c r="AW22" t="s">
        <v>1480</v>
      </c>
      <c r="AX22" t="s">
        <v>689</v>
      </c>
      <c r="AY22" t="s">
        <v>479</v>
      </c>
      <c r="AZ22" t="s">
        <v>1481</v>
      </c>
      <c r="BA22" t="s">
        <v>1482</v>
      </c>
      <c r="BB22" t="s">
        <v>151</v>
      </c>
      <c r="BC22" t="s">
        <v>649</v>
      </c>
      <c r="BD22" t="s">
        <v>348</v>
      </c>
      <c r="BE22" t="s">
        <v>167</v>
      </c>
      <c r="BF22" t="s">
        <v>170</v>
      </c>
      <c r="BG22" t="s">
        <v>171</v>
      </c>
      <c r="BH22" t="s">
        <v>1467</v>
      </c>
      <c r="BI22" t="s">
        <v>1483</v>
      </c>
      <c r="BJ22" t="s">
        <v>689</v>
      </c>
      <c r="BK22" t="s">
        <v>1468</v>
      </c>
      <c r="BL22" t="s">
        <v>1484</v>
      </c>
      <c r="BM22" t="s">
        <v>649</v>
      </c>
      <c r="BN22">
        <v>2.67</v>
      </c>
      <c r="BO22">
        <v>12.03</v>
      </c>
      <c r="BP22">
        <v>14.37</v>
      </c>
      <c r="BQ22">
        <v>0.48</v>
      </c>
      <c r="BR22">
        <v>14.38</v>
      </c>
      <c r="BS22">
        <v>18.34</v>
      </c>
      <c r="BT22" t="s">
        <v>622</v>
      </c>
      <c r="BU22" t="s">
        <v>560</v>
      </c>
      <c r="BV22">
        <v>10.56</v>
      </c>
      <c r="BW22">
        <v>17.739999999999998</v>
      </c>
      <c r="BX22">
        <v>21.15</v>
      </c>
      <c r="BY22">
        <v>0.68</v>
      </c>
      <c r="BZ22">
        <v>6.96</v>
      </c>
      <c r="CA22">
        <v>9.25</v>
      </c>
      <c r="CB22">
        <v>1.37</v>
      </c>
      <c r="CC22">
        <v>-7</v>
      </c>
      <c r="CD22" t="s">
        <v>1485</v>
      </c>
      <c r="CE22" t="s">
        <v>1486</v>
      </c>
      <c r="CF22" s="9">
        <v>-0.10687022900763359</v>
      </c>
      <c r="CG22" s="10">
        <v>-1.6470542826906971</v>
      </c>
      <c r="CH22" s="9">
        <v>-0.19328701496124268</v>
      </c>
      <c r="CI22" s="9">
        <v>0.19172410666942596</v>
      </c>
      <c r="CJ22" s="9">
        <v>0.52631592750549316</v>
      </c>
      <c r="CK22" s="9">
        <v>-0.15329769253730774</v>
      </c>
      <c r="CL22" s="9">
        <v>0.13333334028720856</v>
      </c>
      <c r="CM22" s="10">
        <v>-0.89838278293609619</v>
      </c>
      <c r="CN22" s="10">
        <v>-8.1632651388645172E-2</v>
      </c>
      <c r="CO22" s="10">
        <v>2.3802816867828369</v>
      </c>
      <c r="CP22" s="10">
        <v>-6.784916877746582</v>
      </c>
      <c r="CQ22" s="10">
        <v>-1.3205255270004272</v>
      </c>
      <c r="CR22">
        <v>25.63664577594399</v>
      </c>
      <c r="CS22">
        <v>2.5393444280508963</v>
      </c>
      <c r="CT22">
        <v>0</v>
      </c>
      <c r="CU22" s="9">
        <v>0.10095773339271545</v>
      </c>
      <c r="CV22" s="10">
        <v>-1.3410352304577828</v>
      </c>
      <c r="CW22">
        <v>0.06</v>
      </c>
      <c r="CX22">
        <v>43.541754070733624</v>
      </c>
      <c r="CY22">
        <v>18997856.601188201</v>
      </c>
      <c r="CZ22">
        <v>0.10095773339271545</v>
      </c>
      <c r="DA22">
        <v>14.097783973865786</v>
      </c>
      <c r="DB22">
        <v>58675888.461154476</v>
      </c>
      <c r="DC22">
        <v>9.5909846723079673E-2</v>
      </c>
      <c r="DD22">
        <v>6.8541791824046348</v>
      </c>
      <c r="DE22">
        <v>120685493.91348059</v>
      </c>
      <c r="DF22">
        <v>8.8842805385589599E-2</v>
      </c>
      <c r="DG22">
        <v>4.0583942052582991</v>
      </c>
      <c r="DH22">
        <v>203824458.1879774</v>
      </c>
      <c r="DI22">
        <v>8.0766186714172364E-2</v>
      </c>
      <c r="DJ22">
        <v>2.0320868963036873</v>
      </c>
      <c r="DK22">
        <v>407069206.29460043</v>
      </c>
      <c r="DL22">
        <v>7.0670413374900806E-2</v>
      </c>
      <c r="DM22">
        <v>18291100</v>
      </c>
      <c r="DN22">
        <v>0.10095773339271545</v>
      </c>
      <c r="DO22">
        <v>827200000</v>
      </c>
      <c r="DP22">
        <v>85165430</v>
      </c>
      <c r="DQ22">
        <v>1229</v>
      </c>
      <c r="DR22">
        <v>-0.20782796240034904</v>
      </c>
      <c r="DS22">
        <v>-0.30601905223291426</v>
      </c>
      <c r="DT22" s="11">
        <v>-0.44</v>
      </c>
      <c r="DU22">
        <v>-2.1316666666666668</v>
      </c>
      <c r="DV22">
        <v>-2.5716666666666668</v>
      </c>
      <c r="DW22">
        <v>-2.0699999999999998</v>
      </c>
      <c r="DX22">
        <v>0.24069085714285707</v>
      </c>
      <c r="DY22">
        <v>-2.0049483600000002</v>
      </c>
      <c r="DZ22">
        <v>4661</v>
      </c>
      <c r="EA22">
        <v>-2.0004347971898238</v>
      </c>
      <c r="EB22">
        <v>2</v>
      </c>
      <c r="EC22">
        <v>5.154541666666667E-2</v>
      </c>
      <c r="ED22">
        <v>0.72916666666666663</v>
      </c>
      <c r="EE22" s="12">
        <v>-5.0963099999999999</v>
      </c>
      <c r="EF22">
        <v>-5.0864099999999999</v>
      </c>
      <c r="EG22">
        <v>17.070690857142857</v>
      </c>
      <c r="EH22" t="s">
        <v>1435</v>
      </c>
      <c r="EI22">
        <v>0</v>
      </c>
      <c r="EJ22">
        <v>0</v>
      </c>
      <c r="EK22" s="14">
        <v>45470</v>
      </c>
      <c r="EL22" s="15">
        <v>-1.17</v>
      </c>
      <c r="EM22" s="15">
        <v>-4.33</v>
      </c>
      <c r="EN22" s="15">
        <v>1.65</v>
      </c>
      <c r="EO22" s="15">
        <v>2.4300000000000002</v>
      </c>
      <c r="EP22" s="15">
        <v>0.99</v>
      </c>
    </row>
    <row r="23" spans="1:146" ht="96" x14ac:dyDescent="0.25">
      <c r="A23" s="8"/>
      <c r="B23" s="8"/>
      <c r="C23" s="8" t="str">
        <f>""&amp;CHAR(10)&amp;Basic_Fundamental_Information_Constructure(F23)&amp;CHAR(10)&amp;Basic_Fundamental_Information_Concatenate("")</f>
        <v xml:space="preserve">
市值13.482亿, 利润5000.67万; PE28.37; 平均PE18.27; 平均PEG1.72, PB1.36; ROIC5.59%; ROE6.5533%; 股利率2.8037%; 毛利17.11%; 净利7.3367%; 上一年度营收增-13.14%, 利润增-38.05%; 当季营收增-22.31%, 利润增-12.78%; 过往5年营收增10.6%, 利润增-3.76%
Income profile:
</v>
      </c>
      <c r="D23" t="s">
        <v>250</v>
      </c>
      <c r="E23" t="s">
        <v>251</v>
      </c>
      <c r="F23">
        <v>16.05</v>
      </c>
      <c r="G23">
        <v>2.1</v>
      </c>
      <c r="H23" t="s">
        <v>1487</v>
      </c>
      <c r="I23">
        <v>1348200000</v>
      </c>
      <c r="J23">
        <v>28.37</v>
      </c>
      <c r="K23">
        <v>1.36</v>
      </c>
      <c r="L23" t="s">
        <v>82</v>
      </c>
      <c r="M23" t="s">
        <v>1488</v>
      </c>
      <c r="N23" t="s">
        <v>1489</v>
      </c>
      <c r="O23" t="s">
        <v>891</v>
      </c>
      <c r="P23">
        <v>-22.46</v>
      </c>
      <c r="Q23" t="s">
        <v>1490</v>
      </c>
      <c r="R23">
        <v>16918222</v>
      </c>
      <c r="S23" s="5">
        <v>-0.1278</v>
      </c>
      <c r="T23" t="s">
        <v>1491</v>
      </c>
      <c r="U23">
        <v>67763557</v>
      </c>
      <c r="V23">
        <v>84000000</v>
      </c>
      <c r="W23">
        <v>1.5</v>
      </c>
      <c r="X23">
        <v>0.13</v>
      </c>
      <c r="Y23">
        <v>8.68</v>
      </c>
      <c r="Z23" t="s">
        <v>649</v>
      </c>
      <c r="AA23" t="s">
        <v>276</v>
      </c>
      <c r="AB23" t="s">
        <v>1492</v>
      </c>
      <c r="AC23" t="s">
        <v>1493</v>
      </c>
      <c r="AD23" t="s">
        <v>9</v>
      </c>
      <c r="AE23">
        <v>-1774715</v>
      </c>
      <c r="AF23" t="s">
        <v>1494</v>
      </c>
      <c r="AG23" t="s">
        <v>1495</v>
      </c>
      <c r="AH23" t="s">
        <v>1496</v>
      </c>
      <c r="AI23" t="s">
        <v>1497</v>
      </c>
      <c r="AJ23" t="s">
        <v>1498</v>
      </c>
      <c r="AK23" t="s">
        <v>1499</v>
      </c>
      <c r="AL23" t="s">
        <v>1500</v>
      </c>
      <c r="AM23" t="s">
        <v>9</v>
      </c>
      <c r="AN23" t="s">
        <v>471</v>
      </c>
      <c r="AO23" t="s">
        <v>21</v>
      </c>
      <c r="AP23" t="s">
        <v>1501</v>
      </c>
      <c r="AQ23" t="s">
        <v>1502</v>
      </c>
      <c r="AR23" t="s">
        <v>1503</v>
      </c>
      <c r="AS23" t="s">
        <v>1504</v>
      </c>
      <c r="AT23" t="s">
        <v>552</v>
      </c>
      <c r="AU23" t="s">
        <v>1505</v>
      </c>
      <c r="AV23" t="s">
        <v>1506</v>
      </c>
      <c r="AW23" t="s">
        <v>1507</v>
      </c>
      <c r="AX23" t="s">
        <v>690</v>
      </c>
      <c r="AY23" t="s">
        <v>480</v>
      </c>
      <c r="AZ23" t="s">
        <v>252</v>
      </c>
      <c r="BA23" t="s">
        <v>256</v>
      </c>
      <c r="BB23" t="s">
        <v>257</v>
      </c>
      <c r="BC23" t="s">
        <v>691</v>
      </c>
      <c r="BD23" t="s">
        <v>481</v>
      </c>
      <c r="BE23" t="s">
        <v>253</v>
      </c>
      <c r="BF23" t="s">
        <v>258</v>
      </c>
      <c r="BG23" t="s">
        <v>259</v>
      </c>
      <c r="BH23" t="s">
        <v>1490</v>
      </c>
      <c r="BI23" t="s">
        <v>929</v>
      </c>
      <c r="BJ23" t="s">
        <v>690</v>
      </c>
      <c r="BK23" t="s">
        <v>1491</v>
      </c>
      <c r="BL23" t="s">
        <v>1508</v>
      </c>
      <c r="BM23" t="s">
        <v>691</v>
      </c>
      <c r="BN23">
        <v>2.96</v>
      </c>
      <c r="BO23">
        <v>7.11</v>
      </c>
      <c r="BP23">
        <v>6.7</v>
      </c>
      <c r="BQ23">
        <v>3.99</v>
      </c>
      <c r="BR23">
        <v>8.4600000000000009</v>
      </c>
      <c r="BS23">
        <v>7.21</v>
      </c>
      <c r="BT23" t="s">
        <v>1509</v>
      </c>
      <c r="BU23" t="s">
        <v>574</v>
      </c>
      <c r="BV23">
        <v>18.079999999999998</v>
      </c>
      <c r="BW23">
        <v>13.82</v>
      </c>
      <c r="BX23">
        <v>19.43</v>
      </c>
      <c r="BY23">
        <v>5.44</v>
      </c>
      <c r="BZ23">
        <v>7.63</v>
      </c>
      <c r="CA23">
        <v>8.94</v>
      </c>
      <c r="CB23">
        <v>-1.29</v>
      </c>
      <c r="CC23">
        <v>-12.87</v>
      </c>
      <c r="CD23" t="s">
        <v>1510</v>
      </c>
      <c r="CE23" t="s">
        <v>1511</v>
      </c>
      <c r="CF23" s="9">
        <v>-0.22310756972111545</v>
      </c>
      <c r="CG23" s="10">
        <v>-0.12779182347785739</v>
      </c>
      <c r="CH23" s="9">
        <v>-0.13137996196746826</v>
      </c>
      <c r="CI23" s="9">
        <v>0.35121327638626099</v>
      </c>
      <c r="CJ23" s="9">
        <v>0.1548672616481781</v>
      </c>
      <c r="CK23" s="9">
        <v>9.0032152831554413E-2</v>
      </c>
      <c r="CL23" s="9">
        <v>6.506849080324173E-2</v>
      </c>
      <c r="CM23" s="10">
        <v>-0.3805447518825531</v>
      </c>
      <c r="CN23" s="10">
        <v>0.15308824181556702</v>
      </c>
      <c r="CO23" s="10">
        <v>-0.23575644195079803</v>
      </c>
      <c r="CP23" s="10">
        <v>0.15231731534004211</v>
      </c>
      <c r="CQ23" s="10">
        <v>0.1228957325220108</v>
      </c>
      <c r="CR23">
        <v>18.274784606184628</v>
      </c>
      <c r="CS23">
        <v>1.724683138373273</v>
      </c>
      <c r="CT23">
        <v>2.8037383177570092</v>
      </c>
      <c r="CU23" s="9">
        <v>0.10596024394035339</v>
      </c>
      <c r="CV23" s="10">
        <v>-3.759998083114624E-2</v>
      </c>
      <c r="CW23">
        <v>0.06</v>
      </c>
      <c r="CX23">
        <v>17.157666706861317</v>
      </c>
      <c r="CY23">
        <v>52174926.538351007</v>
      </c>
      <c r="CZ23">
        <v>0.10596024394035339</v>
      </c>
      <c r="DA23">
        <v>5.531833711933352</v>
      </c>
      <c r="DB23">
        <v>161826990.22005334</v>
      </c>
      <c r="DC23">
        <v>0.10066223174333572</v>
      </c>
      <c r="DD23">
        <v>2.674213423924229</v>
      </c>
      <c r="DE23">
        <v>334752638.66051275</v>
      </c>
      <c r="DF23">
        <v>9.3245014667510978E-2</v>
      </c>
      <c r="DG23">
        <v>1.5731337457206906</v>
      </c>
      <c r="DH23">
        <v>569055239.22245228</v>
      </c>
      <c r="DI23">
        <v>8.4768195152282719E-2</v>
      </c>
      <c r="DJ23">
        <v>0.77629127266923859</v>
      </c>
      <c r="DK23">
        <v>1153175401.4468045</v>
      </c>
      <c r="DL23">
        <v>7.4172170758247363E-2</v>
      </c>
      <c r="DM23">
        <v>50006700</v>
      </c>
      <c r="DN23">
        <v>0.10596024394035339</v>
      </c>
      <c r="DO23">
        <v>895200000</v>
      </c>
      <c r="DP23">
        <v>246630280</v>
      </c>
      <c r="DQ23">
        <v>1473</v>
      </c>
      <c r="DR23">
        <v>-0.32906781366146887</v>
      </c>
      <c r="DS23">
        <v>-9.0191842646711151E-2</v>
      </c>
      <c r="DT23" s="11">
        <v>-0.15666666666666665</v>
      </c>
      <c r="DU23">
        <v>-3.3333333333333347E-2</v>
      </c>
      <c r="DV23">
        <v>-0.19</v>
      </c>
      <c r="DW23">
        <v>-2.1286999999999998</v>
      </c>
      <c r="DX23">
        <v>0.32353255414051785</v>
      </c>
      <c r="DY23">
        <v>-2.0133246397178843</v>
      </c>
      <c r="DZ23">
        <v>2165</v>
      </c>
      <c r="EA23">
        <v>-2.0076792688785066</v>
      </c>
      <c r="EB23">
        <v>2</v>
      </c>
      <c r="EC23">
        <v>4.2360714285714286E-2</v>
      </c>
      <c r="ED23">
        <v>0.40915357142857145</v>
      </c>
      <c r="EE23" s="12">
        <v>-1.0208999999999999</v>
      </c>
      <c r="EF23">
        <v>-1.0068999999999999</v>
      </c>
      <c r="EG23">
        <v>22.103532554140518</v>
      </c>
      <c r="EH23" t="s">
        <v>551</v>
      </c>
      <c r="EI23">
        <v>0</v>
      </c>
      <c r="EJ23">
        <v>0</v>
      </c>
      <c r="EK23" s="14">
        <v>45470</v>
      </c>
      <c r="EL23" s="15">
        <v>0</v>
      </c>
      <c r="EM23" s="15">
        <v>-4.51</v>
      </c>
      <c r="EN23" s="15">
        <v>2.85</v>
      </c>
      <c r="EO23" s="15">
        <v>3.08</v>
      </c>
      <c r="EP23" s="15">
        <v>-1.4</v>
      </c>
    </row>
    <row r="24" spans="1:146" ht="96" x14ac:dyDescent="0.25">
      <c r="A24" s="8"/>
      <c r="B24" s="8"/>
      <c r="C24" s="8" t="str">
        <f>""&amp;CHAR(10)&amp;Basic_Fundamental_Information_Constructure(F24)&amp;CHAR(10)&amp;Basic_Fundamental_Information_Concatenate("")</f>
        <v xml:space="preserve">
市值29.108203亿, 利润-3.09亿; PE; 平均PE15.46; 平均PEG1.39, PB1.02; ROIC4.93%; ROE1.5567%; 股利率0%; 毛利4.47%; 净利-.67%; 上一年度营收增-32.38%, 利润增-5622.29%; 当季营收增-19.21%, 利润增-30%; 过往5年营收增-11.13%, 利润增-1142.18%
Income profile:
</v>
      </c>
      <c r="D24" t="s">
        <v>330</v>
      </c>
      <c r="E24" t="s">
        <v>331</v>
      </c>
      <c r="F24">
        <v>4.28</v>
      </c>
      <c r="G24">
        <v>1.9</v>
      </c>
      <c r="H24" t="s">
        <v>1512</v>
      </c>
      <c r="I24">
        <v>2910820300</v>
      </c>
      <c r="K24">
        <v>1.02</v>
      </c>
      <c r="L24" t="s">
        <v>82</v>
      </c>
      <c r="M24" t="s">
        <v>1513</v>
      </c>
      <c r="N24" t="s">
        <v>1514</v>
      </c>
      <c r="O24" t="s">
        <v>1515</v>
      </c>
      <c r="P24">
        <v>-19.239999999999998</v>
      </c>
      <c r="Q24" t="s">
        <v>1516</v>
      </c>
      <c r="R24">
        <v>-78384228</v>
      </c>
      <c r="S24" s="5">
        <v>-0.3</v>
      </c>
      <c r="T24" t="s">
        <v>1517</v>
      </c>
      <c r="U24">
        <v>678207740</v>
      </c>
      <c r="V24">
        <v>680098200</v>
      </c>
      <c r="W24">
        <v>1.74</v>
      </c>
      <c r="X24">
        <v>0.14000000000000001</v>
      </c>
      <c r="Y24">
        <v>-10.32</v>
      </c>
      <c r="Z24" t="s">
        <v>1518</v>
      </c>
      <c r="AA24" t="s">
        <v>1519</v>
      </c>
      <c r="AB24" t="s">
        <v>1520</v>
      </c>
      <c r="AC24" t="s">
        <v>1521</v>
      </c>
      <c r="AD24" t="s">
        <v>9</v>
      </c>
      <c r="AE24">
        <v>4603915</v>
      </c>
      <c r="AF24" t="s">
        <v>1522</v>
      </c>
      <c r="AG24">
        <v>6904.79</v>
      </c>
      <c r="AH24" t="s">
        <v>1523</v>
      </c>
      <c r="AI24" t="s">
        <v>1524</v>
      </c>
      <c r="AJ24" t="s">
        <v>1525</v>
      </c>
      <c r="AK24" t="s">
        <v>1526</v>
      </c>
      <c r="AL24" t="s">
        <v>1527</v>
      </c>
      <c r="AM24" t="s">
        <v>9</v>
      </c>
      <c r="AN24" t="s">
        <v>1528</v>
      </c>
      <c r="AO24" t="s">
        <v>880</v>
      </c>
      <c r="AP24" t="s">
        <v>9</v>
      </c>
      <c r="AQ24" t="s">
        <v>1529</v>
      </c>
      <c r="AR24" t="s">
        <v>9</v>
      </c>
      <c r="AS24" t="s">
        <v>1530</v>
      </c>
      <c r="AT24" t="s">
        <v>389</v>
      </c>
      <c r="AU24" t="s">
        <v>1531</v>
      </c>
      <c r="AV24" t="s">
        <v>1532</v>
      </c>
      <c r="AW24" t="s">
        <v>1533</v>
      </c>
      <c r="AX24" t="s">
        <v>692</v>
      </c>
      <c r="AY24" t="s">
        <v>482</v>
      </c>
      <c r="AZ24" t="s">
        <v>332</v>
      </c>
      <c r="BA24" t="s">
        <v>334</v>
      </c>
      <c r="BB24" t="s">
        <v>335</v>
      </c>
      <c r="BC24" t="s">
        <v>693</v>
      </c>
      <c r="BD24" t="s">
        <v>336</v>
      </c>
      <c r="BE24" t="s">
        <v>333</v>
      </c>
      <c r="BF24" t="s">
        <v>336</v>
      </c>
      <c r="BG24" t="s">
        <v>39</v>
      </c>
      <c r="BH24" t="s">
        <v>1516</v>
      </c>
      <c r="BI24" t="s">
        <v>1534</v>
      </c>
      <c r="BJ24" t="s">
        <v>692</v>
      </c>
      <c r="BK24" t="s">
        <v>1517</v>
      </c>
      <c r="BL24" t="s">
        <v>1535</v>
      </c>
      <c r="BM24" t="s">
        <v>693</v>
      </c>
      <c r="BN24" t="s">
        <v>9</v>
      </c>
      <c r="BO24">
        <v>1.18</v>
      </c>
      <c r="BP24">
        <v>8.68</v>
      </c>
      <c r="BQ24">
        <v>-6.14</v>
      </c>
      <c r="BR24">
        <v>0.18</v>
      </c>
      <c r="BS24">
        <v>10.63</v>
      </c>
      <c r="BT24" t="s">
        <v>622</v>
      </c>
      <c r="BU24" t="s">
        <v>500</v>
      </c>
      <c r="BV24">
        <v>-0.98</v>
      </c>
      <c r="BW24">
        <v>4.7300000000000004</v>
      </c>
      <c r="BX24">
        <v>9.66</v>
      </c>
      <c r="BY24">
        <v>-7.89</v>
      </c>
      <c r="BZ24">
        <v>0.34</v>
      </c>
      <c r="CA24">
        <v>5.54</v>
      </c>
      <c r="CB24">
        <v>0.47</v>
      </c>
      <c r="CC24">
        <v>-22.88</v>
      </c>
      <c r="CD24" t="s">
        <v>1536</v>
      </c>
      <c r="CE24" t="s">
        <v>649</v>
      </c>
      <c r="CF24" s="9">
        <v>-0.19210245464247588</v>
      </c>
      <c r="CG24" s="10">
        <v>-0.30003363518758086</v>
      </c>
      <c r="CH24" s="9">
        <v>-0.32381629943847656</v>
      </c>
      <c r="CI24" s="9">
        <v>-0.1604883223772049</v>
      </c>
      <c r="CJ24" s="9">
        <v>0.17676942050457001</v>
      </c>
      <c r="CK24" s="9">
        <v>-0.10658943653106689</v>
      </c>
      <c r="CL24" s="9">
        <v>-0.14230094850063324</v>
      </c>
      <c r="CM24" s="10">
        <v>-56.222946166992188</v>
      </c>
      <c r="CN24" s="10">
        <v>-0.9841037392616272</v>
      </c>
      <c r="CO24" s="10">
        <v>-0.12655086815357208</v>
      </c>
      <c r="CP24" s="10">
        <v>0.14488635957241058</v>
      </c>
      <c r="CQ24" s="10">
        <v>7.9754598438739777E-2</v>
      </c>
      <c r="CR24">
        <v>15.461217577442545</v>
      </c>
      <c r="CS24">
        <v>1.3893338082333395</v>
      </c>
      <c r="CT24">
        <v>0</v>
      </c>
      <c r="CU24" s="9">
        <v>-0.11128511726856231</v>
      </c>
      <c r="CV24" s="10">
        <v>-11.421791963279247</v>
      </c>
      <c r="CW24">
        <v>0.06</v>
      </c>
      <c r="CX24" t="e">
        <v>#VALUE!</v>
      </c>
      <c r="CY24" t="s">
        <v>555</v>
      </c>
      <c r="CZ24">
        <v>-0.11128511726856231</v>
      </c>
      <c r="DA24" t="e">
        <v>#VALUE!</v>
      </c>
      <c r="DB24" t="s">
        <v>556</v>
      </c>
      <c r="DC24">
        <v>-0.10572086140513419</v>
      </c>
      <c r="DD24" t="e">
        <v>#VALUE!</v>
      </c>
      <c r="DE24" t="s">
        <v>556</v>
      </c>
      <c r="DF24">
        <v>-9.7930903196334837E-2</v>
      </c>
      <c r="DG24" t="e">
        <v>#VALUE!</v>
      </c>
      <c r="DH24" t="s">
        <v>556</v>
      </c>
      <c r="DI24">
        <v>-8.9028093814849857E-2</v>
      </c>
      <c r="DJ24" t="e">
        <v>#VALUE!</v>
      </c>
      <c r="DK24" t="s">
        <v>556</v>
      </c>
      <c r="DL24">
        <v>-7.7899582087993621E-2</v>
      </c>
      <c r="DM24">
        <v>-309000000</v>
      </c>
      <c r="DN24">
        <v>-0.11128511726856231</v>
      </c>
      <c r="DO24">
        <v>2158820300</v>
      </c>
      <c r="DP24">
        <v>-254520100</v>
      </c>
      <c r="DQ24">
        <v>1575</v>
      </c>
      <c r="DR24">
        <v>-8.081733737391357E-2</v>
      </c>
      <c r="DS24">
        <v>11.121758328091666</v>
      </c>
      <c r="DT24" s="11">
        <v>-0.62333333333333341</v>
      </c>
      <c r="DU24">
        <v>-1.9483333333333335</v>
      </c>
      <c r="DV24">
        <v>-2.5716666666666668</v>
      </c>
      <c r="DW24">
        <v>-3.077809523809524</v>
      </c>
      <c r="DX24">
        <v>0.34240999999999899</v>
      </c>
      <c r="DY24">
        <v>-3.0079684733333334</v>
      </c>
      <c r="DZ24">
        <v>4715</v>
      </c>
      <c r="EA24">
        <v>-3.0006159583105023</v>
      </c>
      <c r="EB24">
        <v>3</v>
      </c>
      <c r="EC24">
        <v>2.7104615186453955E-2</v>
      </c>
      <c r="ED24">
        <v>0.26466766122892255</v>
      </c>
      <c r="EE24" s="12">
        <v>-1.0343100000000001</v>
      </c>
      <c r="EF24">
        <v>-1.0638099999999999</v>
      </c>
      <c r="EG24">
        <v>24.102409999999999</v>
      </c>
      <c r="EH24" t="s">
        <v>1366</v>
      </c>
      <c r="EI24">
        <v>0</v>
      </c>
      <c r="EJ24">
        <v>0</v>
      </c>
      <c r="EK24" s="14">
        <v>45470</v>
      </c>
      <c r="EL24" s="15">
        <v>-0.46</v>
      </c>
      <c r="EM24" s="15">
        <v>-4.58</v>
      </c>
      <c r="EN24" s="15">
        <v>0.96</v>
      </c>
      <c r="EO24" s="15">
        <v>4.51</v>
      </c>
      <c r="EP24" s="15">
        <v>-2.95</v>
      </c>
    </row>
    <row r="25" spans="1:146" ht="144" x14ac:dyDescent="0.25">
      <c r="A25" s="8"/>
      <c r="B25" s="8"/>
      <c r="C25" s="8" t="str">
        <f>"公司的主营业务是钛白粉的生产、销售。公司主要产品为金红石型钛白粉、锐钛型钛白粉系列产品。"&amp;CHAR(10)&amp;Basic_Fundamental_Information_Constructure(F25)&amp;CHAR(10)&amp;Basic_Fundamental_Information_Concatenate("钛白粉 13.35亿 85.99% 71.95% 19.82%
其他产品 1.20亿 7.70% 15.65% 48.13%
硫酸 9531.93万 6.14% 11.94% 46.06%
其他业务 267.44万 0.17% 0.45% 62.52%")</f>
        <v>公司的主营业务是钛白粉的生产、销售。公司主要产品为金红石型钛白粉、锐钛型钛白粉系列产品。
市值30.680568亿, 利润-7337.08万; PE59.44; 平均PE45.23; 平均PEG5.63, PB2.32; ROIC5.7267%; ROE6.32%; 股利率.3911%; 毛利13.75%; 净利5.38%; 上一年度营收增-25.73%, 利润增-617.75%; 当季营收增47.99%, 利润增150.85%; 过往5年营收增8.03%, 利润增-115.79%
Income profile:
钛白粉 13.35亿 85.99% 71.95% 19.82%
其他产品 1.20亿 7.70% 15.65% 48.13%
硫酸 9531.93万 6.14% 11.94% 46.06%
其他业务 267.44万 0.17% 0.45% 62.52%</v>
      </c>
      <c r="D25" t="s">
        <v>437</v>
      </c>
      <c r="E25" t="s">
        <v>438</v>
      </c>
      <c r="F25">
        <v>7.67</v>
      </c>
      <c r="G25">
        <v>1.19</v>
      </c>
      <c r="H25" t="s">
        <v>1537</v>
      </c>
      <c r="I25">
        <v>3068056800</v>
      </c>
      <c r="J25">
        <v>59.44</v>
      </c>
      <c r="K25">
        <v>2.3199999999999998</v>
      </c>
      <c r="L25" t="s">
        <v>82</v>
      </c>
      <c r="M25" t="s">
        <v>1538</v>
      </c>
      <c r="N25" t="s">
        <v>1539</v>
      </c>
      <c r="O25" t="s">
        <v>371</v>
      </c>
      <c r="P25">
        <v>-14.54</v>
      </c>
      <c r="Q25" t="s">
        <v>315</v>
      </c>
      <c r="R25">
        <v>11046817</v>
      </c>
      <c r="S25" s="5">
        <v>22.72</v>
      </c>
      <c r="T25" t="s">
        <v>1540</v>
      </c>
      <c r="U25">
        <v>332412610</v>
      </c>
      <c r="V25">
        <v>400007410</v>
      </c>
      <c r="W25">
        <v>1.9</v>
      </c>
      <c r="X25">
        <v>0.15</v>
      </c>
      <c r="Y25">
        <v>2.73</v>
      </c>
      <c r="Z25" t="s">
        <v>1211</v>
      </c>
      <c r="AA25" t="s">
        <v>864</v>
      </c>
      <c r="AB25" t="s">
        <v>1541</v>
      </c>
      <c r="AC25" t="s">
        <v>1542</v>
      </c>
      <c r="AD25" t="s">
        <v>9</v>
      </c>
      <c r="AE25">
        <v>1602572</v>
      </c>
      <c r="AF25" t="s">
        <v>23</v>
      </c>
      <c r="AG25" t="s">
        <v>1543</v>
      </c>
      <c r="AH25" t="s">
        <v>1544</v>
      </c>
      <c r="AI25" t="s">
        <v>1381</v>
      </c>
      <c r="AJ25" t="s">
        <v>1545</v>
      </c>
      <c r="AK25" t="s">
        <v>927</v>
      </c>
      <c r="AL25" t="s">
        <v>1546</v>
      </c>
      <c r="AM25" t="s">
        <v>9</v>
      </c>
      <c r="AN25" t="s">
        <v>1547</v>
      </c>
      <c r="AO25" t="s">
        <v>1548</v>
      </c>
      <c r="AP25" t="s">
        <v>1549</v>
      </c>
      <c r="AQ25" t="s">
        <v>208</v>
      </c>
      <c r="AR25" t="s">
        <v>1550</v>
      </c>
      <c r="AS25" t="s">
        <v>900</v>
      </c>
      <c r="AT25" t="s">
        <v>1551</v>
      </c>
      <c r="AU25" t="s">
        <v>1552</v>
      </c>
      <c r="AV25" t="s">
        <v>1553</v>
      </c>
      <c r="AW25" t="s">
        <v>1554</v>
      </c>
      <c r="AX25" t="s">
        <v>695</v>
      </c>
      <c r="AY25" t="s">
        <v>484</v>
      </c>
      <c r="AZ25" t="s">
        <v>439</v>
      </c>
      <c r="BA25" t="s">
        <v>441</v>
      </c>
      <c r="BB25" t="s">
        <v>271</v>
      </c>
      <c r="BC25" t="s">
        <v>696</v>
      </c>
      <c r="BD25" t="s">
        <v>249</v>
      </c>
      <c r="BE25" t="s">
        <v>440</v>
      </c>
      <c r="BF25" t="s">
        <v>442</v>
      </c>
      <c r="BG25" t="s">
        <v>443</v>
      </c>
      <c r="BH25" t="s">
        <v>1555</v>
      </c>
      <c r="BI25" t="s">
        <v>953</v>
      </c>
      <c r="BJ25" t="s">
        <v>695</v>
      </c>
      <c r="BK25" t="s">
        <v>1556</v>
      </c>
      <c r="BL25" t="s">
        <v>1557</v>
      </c>
      <c r="BM25" t="s">
        <v>696</v>
      </c>
      <c r="BN25">
        <v>1.48</v>
      </c>
      <c r="BO25">
        <v>1.26</v>
      </c>
      <c r="BP25">
        <v>14.44</v>
      </c>
      <c r="BQ25">
        <v>1.74</v>
      </c>
      <c r="BR25">
        <v>1.1000000000000001</v>
      </c>
      <c r="BS25">
        <v>16.12</v>
      </c>
      <c r="BT25" t="s">
        <v>1558</v>
      </c>
      <c r="BU25" t="s">
        <v>561</v>
      </c>
      <c r="BV25">
        <v>9.19</v>
      </c>
      <c r="BW25">
        <v>8.3800000000000008</v>
      </c>
      <c r="BX25">
        <v>23.68</v>
      </c>
      <c r="BY25">
        <v>2.5</v>
      </c>
      <c r="BZ25">
        <v>0.95</v>
      </c>
      <c r="CA25">
        <v>12.69</v>
      </c>
      <c r="CB25">
        <v>-1.41</v>
      </c>
      <c r="CC25">
        <v>-17.079999999999998</v>
      </c>
      <c r="CD25" t="s">
        <v>1559</v>
      </c>
      <c r="CE25" t="s">
        <v>172</v>
      </c>
      <c r="CF25" s="9">
        <v>0.47985347985347987</v>
      </c>
      <c r="CG25" s="10">
        <v>1.5084606922581238</v>
      </c>
      <c r="CH25" s="9">
        <v>-0.25727510452270508</v>
      </c>
      <c r="CI25" s="9">
        <v>-2.6400474831461906E-2</v>
      </c>
      <c r="CJ25" s="9">
        <v>0.62617796659469604</v>
      </c>
      <c r="CK25" s="9">
        <v>-4.6906188130378723E-2</v>
      </c>
      <c r="CL25" s="9">
        <v>0.10596026480197906</v>
      </c>
      <c r="CM25" s="10">
        <v>-6.1774954795837402</v>
      </c>
      <c r="CN25" s="10">
        <v>-0.92806547880172729</v>
      </c>
      <c r="CO25" s="10">
        <v>1.2102570533752441</v>
      </c>
      <c r="CP25" s="10">
        <v>-9.1656811535358429E-2</v>
      </c>
      <c r="CQ25" s="10">
        <v>0.19762381911277771</v>
      </c>
      <c r="CR25">
        <v>45.230927769698049</v>
      </c>
      <c r="CS25">
        <v>5.6319511494149062</v>
      </c>
      <c r="CT25">
        <v>0.39113428943937417</v>
      </c>
      <c r="CU25" s="9">
        <v>8.031129278242588E-2</v>
      </c>
      <c r="CV25" s="10">
        <v>-1.1578673794865608</v>
      </c>
      <c r="CW25">
        <v>0.06</v>
      </c>
      <c r="CX25" t="e">
        <v>#VALUE!</v>
      </c>
      <c r="CY25" t="s">
        <v>556</v>
      </c>
      <c r="CZ25">
        <v>8.031129278242588E-2</v>
      </c>
      <c r="DA25" t="e">
        <v>#VALUE!</v>
      </c>
      <c r="DB25" t="s">
        <v>556</v>
      </c>
      <c r="DC25">
        <v>7.6295728143304584E-2</v>
      </c>
      <c r="DD25" t="e">
        <v>#VALUE!</v>
      </c>
      <c r="DE25" t="s">
        <v>556</v>
      </c>
      <c r="DF25">
        <v>7.0673937648534774E-2</v>
      </c>
      <c r="DG25" t="e">
        <v>#VALUE!</v>
      </c>
      <c r="DH25" t="s">
        <v>556</v>
      </c>
      <c r="DI25">
        <v>6.4249034225940707E-2</v>
      </c>
      <c r="DJ25" t="e">
        <v>#VALUE!</v>
      </c>
      <c r="DK25" t="s">
        <v>556</v>
      </c>
      <c r="DL25">
        <v>5.6217904947698114E-2</v>
      </c>
      <c r="DM25">
        <v>-73370800</v>
      </c>
      <c r="DN25">
        <v>8.031129278242588E-2</v>
      </c>
      <c r="DO25">
        <v>2914056800</v>
      </c>
      <c r="DP25">
        <v>224775180</v>
      </c>
      <c r="DQ25">
        <v>2347</v>
      </c>
      <c r="DR25">
        <v>0.39954218707105399</v>
      </c>
      <c r="DS25">
        <v>2.6663280717446849</v>
      </c>
      <c r="DT25" s="11">
        <v>-0.34</v>
      </c>
      <c r="DU25">
        <v>-8.3333333333333301E-2</v>
      </c>
      <c r="DV25">
        <v>-0.42333333333333334</v>
      </c>
      <c r="DW25">
        <v>-3.0122142857142857</v>
      </c>
      <c r="DX25">
        <v>0.30724834437085918</v>
      </c>
      <c r="DY25">
        <v>-3.0013099619205299</v>
      </c>
      <c r="DZ25">
        <v>2491</v>
      </c>
      <c r="EA25">
        <v>-3.0006713875283499</v>
      </c>
      <c r="EB25">
        <v>3</v>
      </c>
      <c r="EC25">
        <v>4.0485500006112389E-2</v>
      </c>
      <c r="ED25">
        <v>0.37749300694204641</v>
      </c>
      <c r="EE25" s="12">
        <v>-1.0479099999999999</v>
      </c>
      <c r="EF25">
        <v>-1.07521</v>
      </c>
      <c r="EG25">
        <v>20.107248344370859</v>
      </c>
      <c r="EH25" t="s">
        <v>1366</v>
      </c>
      <c r="EI25">
        <v>0</v>
      </c>
      <c r="EJ25">
        <v>0</v>
      </c>
      <c r="EK25" s="14">
        <v>45470</v>
      </c>
      <c r="EL25" s="15">
        <v>-3.11</v>
      </c>
      <c r="EM25" s="15">
        <v>-5.37</v>
      </c>
      <c r="EN25" s="15">
        <v>-0.04</v>
      </c>
      <c r="EO25" s="15">
        <v>3.18</v>
      </c>
      <c r="EP25" s="15">
        <v>-2.73</v>
      </c>
    </row>
    <row r="26" spans="1:146" ht="96" x14ac:dyDescent="0.25">
      <c r="A26" s="8"/>
      <c r="B26" s="8"/>
      <c r="C26" s="8" t="str">
        <f>""&amp;CHAR(10)&amp;Basic_Fundamental_Information_Constructure(F26)&amp;CHAR(10)&amp;Basic_Fundamental_Information_Concatenate("")</f>
        <v xml:space="preserve">
市值19.069956亿, 利润-4043.89万; PE32.78; 平均PE42.46; 平均PEG3.23, PB2.73; ROIC9.2567%; ROE10.6667%; 股利率1.0977%; 毛利19.7067%; 净利9.6667%; 上一年度营收增30.39%, 利润增-163.39%; 当季营收增-43.38%, 利润增116.03%; 过往5年营收增13.15%, 利润增-30.35%
Income profile:
</v>
      </c>
      <c r="D26" t="s">
        <v>337</v>
      </c>
      <c r="E26" t="s">
        <v>338</v>
      </c>
      <c r="F26">
        <v>13.21</v>
      </c>
      <c r="G26">
        <v>1.62</v>
      </c>
      <c r="H26" t="s">
        <v>1560</v>
      </c>
      <c r="I26">
        <v>1906995600</v>
      </c>
      <c r="J26">
        <v>32.78</v>
      </c>
      <c r="K26">
        <v>2.73</v>
      </c>
      <c r="L26" t="s">
        <v>82</v>
      </c>
      <c r="M26" t="s">
        <v>969</v>
      </c>
      <c r="N26" t="s">
        <v>616</v>
      </c>
      <c r="O26" t="s">
        <v>607</v>
      </c>
      <c r="P26">
        <v>-10.55</v>
      </c>
      <c r="Q26" t="s">
        <v>1561</v>
      </c>
      <c r="R26">
        <v>12446147</v>
      </c>
      <c r="S26" s="5">
        <v>-0.4546</v>
      </c>
      <c r="T26" t="s">
        <v>1562</v>
      </c>
      <c r="U26">
        <v>140861820</v>
      </c>
      <c r="V26">
        <v>144360000</v>
      </c>
      <c r="W26">
        <v>1.69</v>
      </c>
      <c r="X26">
        <v>0.16</v>
      </c>
      <c r="Y26">
        <v>7.27</v>
      </c>
      <c r="Z26" t="s">
        <v>57</v>
      </c>
      <c r="AA26" t="s">
        <v>40</v>
      </c>
      <c r="AB26" t="s">
        <v>1563</v>
      </c>
      <c r="AC26" t="s">
        <v>1564</v>
      </c>
      <c r="AD26" t="s">
        <v>9</v>
      </c>
      <c r="AE26">
        <v>-116635</v>
      </c>
      <c r="AF26" t="s">
        <v>23</v>
      </c>
      <c r="AG26">
        <v>3800</v>
      </c>
      <c r="AH26" t="s">
        <v>1565</v>
      </c>
      <c r="AI26" t="s">
        <v>959</v>
      </c>
      <c r="AJ26" t="s">
        <v>1566</v>
      </c>
      <c r="AK26" t="s">
        <v>9</v>
      </c>
      <c r="AL26" t="s">
        <v>1567</v>
      </c>
      <c r="AM26" t="s">
        <v>9</v>
      </c>
      <c r="AN26" t="s">
        <v>862</v>
      </c>
      <c r="AO26" t="s">
        <v>1568</v>
      </c>
      <c r="AP26" t="s">
        <v>9</v>
      </c>
      <c r="AQ26" t="s">
        <v>1569</v>
      </c>
      <c r="AR26" t="s">
        <v>9</v>
      </c>
      <c r="AS26" t="s">
        <v>591</v>
      </c>
      <c r="AT26" t="s">
        <v>1570</v>
      </c>
      <c r="AU26" t="s">
        <v>1571</v>
      </c>
      <c r="AV26" t="s">
        <v>678</v>
      </c>
      <c r="AW26" t="s">
        <v>920</v>
      </c>
      <c r="AX26" t="s">
        <v>699</v>
      </c>
      <c r="AY26" t="s">
        <v>414</v>
      </c>
      <c r="AZ26" t="s">
        <v>46</v>
      </c>
      <c r="BA26" t="s">
        <v>340</v>
      </c>
      <c r="BB26" t="s">
        <v>152</v>
      </c>
      <c r="BC26" t="s">
        <v>700</v>
      </c>
      <c r="BD26" t="s">
        <v>485</v>
      </c>
      <c r="BE26" t="s">
        <v>339</v>
      </c>
      <c r="BF26" t="s">
        <v>341</v>
      </c>
      <c r="BG26" t="s">
        <v>342</v>
      </c>
      <c r="BH26" t="s">
        <v>1572</v>
      </c>
      <c r="BI26" t="s">
        <v>966</v>
      </c>
      <c r="BJ26" t="s">
        <v>699</v>
      </c>
      <c r="BK26" t="s">
        <v>1573</v>
      </c>
      <c r="BL26" t="s">
        <v>1574</v>
      </c>
      <c r="BM26" t="s">
        <v>700</v>
      </c>
      <c r="BN26">
        <v>6.82</v>
      </c>
      <c r="BO26">
        <v>9.2200000000000006</v>
      </c>
      <c r="BP26">
        <v>11.73</v>
      </c>
      <c r="BQ26">
        <v>8.2100000000000009</v>
      </c>
      <c r="BR26">
        <v>10.38</v>
      </c>
      <c r="BS26">
        <v>13.41</v>
      </c>
      <c r="BT26" t="s">
        <v>1575</v>
      </c>
      <c r="BU26" t="s">
        <v>500</v>
      </c>
      <c r="BV26">
        <v>20.09</v>
      </c>
      <c r="BW26">
        <v>18.2</v>
      </c>
      <c r="BX26">
        <v>20.83</v>
      </c>
      <c r="BY26">
        <v>9.67</v>
      </c>
      <c r="BZ26">
        <v>8.65</v>
      </c>
      <c r="CA26">
        <v>10.68</v>
      </c>
      <c r="CB26">
        <v>-3.37</v>
      </c>
      <c r="CC26">
        <v>-37.619999999999997</v>
      </c>
      <c r="CD26" t="s">
        <v>1576</v>
      </c>
      <c r="CE26" t="s">
        <v>275</v>
      </c>
      <c r="CF26" s="9">
        <v>-0.43377483443708609</v>
      </c>
      <c r="CG26" s="10">
        <v>1.1602643454715869</v>
      </c>
      <c r="CH26" s="9">
        <v>0.30393487215042114</v>
      </c>
      <c r="CI26" s="9">
        <v>3.8028169423341751E-2</v>
      </c>
      <c r="CJ26" s="9">
        <v>0.62100458145141602</v>
      </c>
      <c r="CK26" s="9">
        <v>-0.12399999797344208</v>
      </c>
      <c r="CL26" s="9">
        <v>-0.18166939914226532</v>
      </c>
      <c r="CM26" s="10">
        <v>-1.6338932514190674</v>
      </c>
      <c r="CN26" s="10">
        <v>-0.15867142379283905</v>
      </c>
      <c r="CO26" s="10">
        <v>0.37851995229721069</v>
      </c>
      <c r="CP26" s="10">
        <v>2.3615321144461632E-2</v>
      </c>
      <c r="CQ26" s="10">
        <v>-0.12702824175357819</v>
      </c>
      <c r="CR26">
        <v>42.459658592682835</v>
      </c>
      <c r="CS26">
        <v>3.2298625585010123</v>
      </c>
      <c r="CT26">
        <v>1.0976532929598788</v>
      </c>
      <c r="CU26" s="9">
        <v>0.13145964518189429</v>
      </c>
      <c r="CV26" s="10">
        <v>-0.30349152870476248</v>
      </c>
      <c r="CW26">
        <v>0.06</v>
      </c>
      <c r="CX26" t="e">
        <v>#VALUE!</v>
      </c>
      <c r="CY26" t="s">
        <v>556</v>
      </c>
      <c r="CZ26">
        <v>0.13145964518189429</v>
      </c>
      <c r="DA26" t="e">
        <v>#VALUE!</v>
      </c>
      <c r="DB26" t="s">
        <v>556</v>
      </c>
      <c r="DC26">
        <v>0.12488666292279957</v>
      </c>
      <c r="DD26" t="e">
        <v>#VALUE!</v>
      </c>
      <c r="DE26" t="s">
        <v>556</v>
      </c>
      <c r="DF26">
        <v>0.11568448776006697</v>
      </c>
      <c r="DG26" t="e">
        <v>#VALUE!</v>
      </c>
      <c r="DH26" t="s">
        <v>556</v>
      </c>
      <c r="DI26">
        <v>0.10516771614551544</v>
      </c>
      <c r="DJ26" t="e">
        <v>#VALUE!</v>
      </c>
      <c r="DK26" t="s">
        <v>556</v>
      </c>
      <c r="DL26">
        <v>9.2021751627325996E-2</v>
      </c>
      <c r="DM26">
        <v>-40438900</v>
      </c>
      <c r="DN26">
        <v>0.13145964518189429</v>
      </c>
      <c r="DO26">
        <v>1520995600</v>
      </c>
      <c r="DP26">
        <v>437555620</v>
      </c>
      <c r="DQ26">
        <v>2381</v>
      </c>
      <c r="DR26">
        <v>-0.56523447961898032</v>
      </c>
      <c r="DS26">
        <v>1.4637558741763494</v>
      </c>
      <c r="DT26" s="11">
        <v>-0.10666666666666669</v>
      </c>
      <c r="DU26">
        <v>-0.98666666666666669</v>
      </c>
      <c r="DV26">
        <v>-1.0933333333333333</v>
      </c>
      <c r="DW26">
        <v>-8.089580010632643</v>
      </c>
      <c r="DX26">
        <v>0.27768383233532856</v>
      </c>
      <c r="DY26">
        <v>-8.00516731831393</v>
      </c>
      <c r="DZ26">
        <v>89</v>
      </c>
      <c r="EA26">
        <v>-8.0050773200106153</v>
      </c>
      <c r="EB26">
        <v>8</v>
      </c>
      <c r="EC26">
        <v>6.6730396231643119E-2</v>
      </c>
      <c r="ED26">
        <v>1.1568301468550846</v>
      </c>
      <c r="EE26" s="12">
        <v>6.0694100000000004</v>
      </c>
      <c r="EF26">
        <v>6.0855100000000002</v>
      </c>
      <c r="EG26">
        <v>22.057683832335329</v>
      </c>
      <c r="EH26" t="s">
        <v>1577</v>
      </c>
      <c r="EI26">
        <v>0</v>
      </c>
      <c r="EJ26">
        <v>1</v>
      </c>
      <c r="EK26" s="14">
        <v>45470</v>
      </c>
      <c r="EL26" s="15">
        <v>1.39</v>
      </c>
      <c r="EM26" s="15">
        <v>-2.94</v>
      </c>
      <c r="EN26" s="15">
        <v>3.18</v>
      </c>
      <c r="EO26" s="15">
        <v>3.84</v>
      </c>
      <c r="EP26" s="15">
        <v>-1.61</v>
      </c>
    </row>
    <row r="27" spans="1:146" ht="156" x14ac:dyDescent="0.25">
      <c r="A27" s="8" t="s">
        <v>956</v>
      </c>
      <c r="B27" s="8" t="s">
        <v>955</v>
      </c>
      <c r="C27" s="8" t="str">
        <f>"公司是一家主要从事精细化工产品及新型高分子材料的研发、生产和销售的国家高新技术企业。公司主要产品包括氯化亚砜、高纯度芳纶聚合单体（间/对苯二甲酰氯）、对硝基苯甲酰氯、氯醚、聚醚酮酮等。"&amp;CHAR(10)&amp;Basic_Fundamental_Information_Constructure(F27)&amp;CHAR(10)&amp;Basic_Fundamental_Information_Concatenate("羧基氯化物 3.26亿 66.27% 71.89% 40.42%
无机化学品 1.01亿 20.49% 20.15% 36.65%
羟基氯化物 5785.51万 11.76% 7.70% 24.41%")</f>
        <v>公司是一家主要从事精细化工产品及新型高分子材料的研发、生产和销售的国家高新技术企业。公司主要产品包括氯化亚砜、高纯度芳纶聚合单体（间/对苯二甲酰氯）、对硝基苯甲酰氯、氯醚、聚醚酮酮等。
市值54.55706亿, 利润2685.16万; PE41.02; 平均PE40.14; 平均PEG12.84, PB3.56; ROIC14.7733%; ROE15.6533%; 股利率1.1565%; 毛利36.4967%; 净利20.3967%; 上一年度营收增-63.47%, 利润增-88.57%; 当季营收增519.31%, 利润增619.09%; 过往5年营收增-3.13%, 利润增17.19%
Income profile:
羧基氯化物 3.26亿 66.27% 71.89% 40.42%
无机化学品 1.01亿 20.49% 20.15% 36.65%
羟基氯化物 5785.51万 11.76% 7.70% 24.41%</v>
      </c>
      <c r="D27" t="s">
        <v>343</v>
      </c>
      <c r="E27" t="s">
        <v>486</v>
      </c>
      <c r="F27">
        <v>12.97</v>
      </c>
      <c r="G27">
        <v>0.78</v>
      </c>
      <c r="H27" t="s">
        <v>1578</v>
      </c>
      <c r="I27">
        <v>5455706000</v>
      </c>
      <c r="J27">
        <v>41.02</v>
      </c>
      <c r="K27">
        <v>3.56</v>
      </c>
      <c r="L27" t="s">
        <v>82</v>
      </c>
      <c r="M27" t="s">
        <v>1579</v>
      </c>
      <c r="N27" t="s">
        <v>1580</v>
      </c>
      <c r="O27" t="s">
        <v>121</v>
      </c>
      <c r="P27">
        <v>-3.26</v>
      </c>
      <c r="Q27" t="s">
        <v>1581</v>
      </c>
      <c r="R27">
        <v>25698385</v>
      </c>
      <c r="S27" s="5">
        <v>-0.49280000000000002</v>
      </c>
      <c r="T27" t="s">
        <v>1582</v>
      </c>
      <c r="U27">
        <v>140440400</v>
      </c>
      <c r="V27">
        <v>420640400</v>
      </c>
      <c r="W27">
        <v>1.45</v>
      </c>
      <c r="X27">
        <v>0.1</v>
      </c>
      <c r="Y27">
        <v>10.68</v>
      </c>
      <c r="Z27" t="s">
        <v>48</v>
      </c>
      <c r="AA27" t="s">
        <v>550</v>
      </c>
      <c r="AB27" t="s">
        <v>1583</v>
      </c>
      <c r="AC27" t="s">
        <v>1584</v>
      </c>
      <c r="AD27" t="s">
        <v>9</v>
      </c>
      <c r="AE27">
        <v>5279007</v>
      </c>
      <c r="AF27" t="s">
        <v>1585</v>
      </c>
      <c r="AG27" t="s">
        <v>1586</v>
      </c>
      <c r="AH27" t="s">
        <v>1587</v>
      </c>
      <c r="AI27" t="s">
        <v>345</v>
      </c>
      <c r="AJ27" t="s">
        <v>1588</v>
      </c>
      <c r="AK27" t="s">
        <v>9</v>
      </c>
      <c r="AL27" t="s">
        <v>1589</v>
      </c>
      <c r="AM27" t="s">
        <v>9</v>
      </c>
      <c r="AN27" t="s">
        <v>96</v>
      </c>
      <c r="AO27" t="s">
        <v>9</v>
      </c>
      <c r="AP27" t="s">
        <v>1590</v>
      </c>
      <c r="AQ27" t="s">
        <v>1591</v>
      </c>
      <c r="AR27" t="s">
        <v>1592</v>
      </c>
      <c r="AS27" t="s">
        <v>1593</v>
      </c>
      <c r="AT27" t="s">
        <v>9</v>
      </c>
      <c r="AU27" t="s">
        <v>1594</v>
      </c>
      <c r="AV27" t="s">
        <v>905</v>
      </c>
      <c r="AW27" t="s">
        <v>1595</v>
      </c>
      <c r="AX27" t="s">
        <v>701</v>
      </c>
      <c r="AY27" t="s">
        <v>487</v>
      </c>
      <c r="AZ27" t="s">
        <v>138</v>
      </c>
      <c r="BA27" t="s">
        <v>26</v>
      </c>
      <c r="BB27" t="s">
        <v>58</v>
      </c>
      <c r="BC27" t="s">
        <v>611</v>
      </c>
      <c r="BD27" t="s">
        <v>471</v>
      </c>
      <c r="BE27" t="s">
        <v>344</v>
      </c>
      <c r="BF27" t="s">
        <v>346</v>
      </c>
      <c r="BG27" t="s">
        <v>347</v>
      </c>
      <c r="BH27" t="s">
        <v>744</v>
      </c>
      <c r="BI27" t="s">
        <v>1596</v>
      </c>
      <c r="BJ27" t="s">
        <v>701</v>
      </c>
      <c r="BK27" t="s">
        <v>902</v>
      </c>
      <c r="BL27" t="s">
        <v>1597</v>
      </c>
      <c r="BM27" t="s">
        <v>611</v>
      </c>
      <c r="BN27">
        <v>8.9600000000000009</v>
      </c>
      <c r="BO27">
        <v>16.96</v>
      </c>
      <c r="BP27">
        <v>18.399999999999999</v>
      </c>
      <c r="BQ27">
        <v>9.18</v>
      </c>
      <c r="BR27">
        <v>17.739999999999998</v>
      </c>
      <c r="BS27">
        <v>20.04</v>
      </c>
      <c r="BT27" t="s">
        <v>625</v>
      </c>
      <c r="BU27" t="s">
        <v>500</v>
      </c>
      <c r="BV27">
        <v>33.200000000000003</v>
      </c>
      <c r="BW27">
        <v>39.43</v>
      </c>
      <c r="BX27">
        <v>36.86</v>
      </c>
      <c r="BY27">
        <v>15.98</v>
      </c>
      <c r="BZ27">
        <v>23.22</v>
      </c>
      <c r="CA27">
        <v>21.99</v>
      </c>
      <c r="CB27">
        <v>-1.07</v>
      </c>
      <c r="CC27">
        <v>-25.37</v>
      </c>
      <c r="CD27" t="s">
        <v>1598</v>
      </c>
      <c r="CE27" t="s">
        <v>113</v>
      </c>
      <c r="CF27" s="9">
        <v>5.1931008856134264</v>
      </c>
      <c r="CG27" s="10">
        <v>6.1908588684428461</v>
      </c>
      <c r="CH27" s="9">
        <v>-0.63465344905853271</v>
      </c>
      <c r="CI27" s="9">
        <v>0.14772726595401764</v>
      </c>
      <c r="CJ27" s="9">
        <v>0.41025641560554504</v>
      </c>
      <c r="CK27" s="9">
        <v>-5.3110774606466293E-2</v>
      </c>
      <c r="CL27" s="9">
        <v>-2.6587888598442078E-2</v>
      </c>
      <c r="CM27" s="10">
        <v>-0.88573789596557617</v>
      </c>
      <c r="CN27" s="10">
        <v>0.21761657297611237</v>
      </c>
      <c r="CO27" s="10">
        <v>0.20624999701976776</v>
      </c>
      <c r="CP27" s="10">
        <v>0.16788321733474731</v>
      </c>
      <c r="CQ27" s="10">
        <v>1.1533634662628174</v>
      </c>
      <c r="CR27">
        <v>40.141409954713403</v>
      </c>
      <c r="CS27">
        <v>12.835522417798934</v>
      </c>
      <c r="CT27">
        <v>1.1565150346954509</v>
      </c>
      <c r="CU27" s="9">
        <v>-3.1273686140775678E-2</v>
      </c>
      <c r="CV27" s="10">
        <v>0.17187507152557374</v>
      </c>
      <c r="CW27">
        <v>0.06</v>
      </c>
      <c r="CX27">
        <v>170.36995933203235</v>
      </c>
      <c r="CY27" t="s">
        <v>1599</v>
      </c>
      <c r="CZ27">
        <v>-3.1273686140775678E-2</v>
      </c>
      <c r="DA27">
        <v>56.789986444010786</v>
      </c>
      <c r="DB27" t="s">
        <v>1600</v>
      </c>
      <c r="DC27">
        <v>-2.9710001833736892E-2</v>
      </c>
      <c r="DD27">
        <v>28.394993222005393</v>
      </c>
      <c r="DE27" t="s">
        <v>1601</v>
      </c>
      <c r="DF27">
        <v>-2.7520843803882596E-2</v>
      </c>
      <c r="DG27">
        <v>17.036995933203237</v>
      </c>
      <c r="DH27" t="s">
        <v>1602</v>
      </c>
      <c r="DI27">
        <v>-2.5018948912620544E-2</v>
      </c>
      <c r="DJ27">
        <v>8.5184979666016183</v>
      </c>
      <c r="DK27" t="s">
        <v>1603</v>
      </c>
      <c r="DL27">
        <v>-2.1891580298542972E-2</v>
      </c>
      <c r="DM27">
        <v>26851600</v>
      </c>
      <c r="DN27">
        <v>-3.1273686140775678E-2</v>
      </c>
      <c r="DO27">
        <v>4574706000</v>
      </c>
      <c r="DP27">
        <v>1155355700</v>
      </c>
      <c r="DQ27">
        <v>2514</v>
      </c>
      <c r="DR27">
        <v>5.2243745717542023</v>
      </c>
      <c r="DS27">
        <v>6.0189837969172721</v>
      </c>
      <c r="DT27" s="11">
        <v>-0.64</v>
      </c>
      <c r="DU27">
        <v>0.48666666666666664</v>
      </c>
      <c r="DV27">
        <v>-0.15333333333333338</v>
      </c>
      <c r="DW27">
        <v>-3.1059702380952383</v>
      </c>
      <c r="DX27">
        <v>0.26738224299065283</v>
      </c>
      <c r="DY27">
        <v>-3.0113793218569205</v>
      </c>
      <c r="DZ27">
        <v>1808</v>
      </c>
      <c r="EA27">
        <v>-3.0073531351803426</v>
      </c>
      <c r="EB27">
        <v>3</v>
      </c>
      <c r="EC27">
        <v>2.7315255500898153E-2</v>
      </c>
      <c r="ED27">
        <v>0.25437404490866783</v>
      </c>
      <c r="EE27" s="12">
        <v>-1.10521</v>
      </c>
      <c r="EF27">
        <v>-1.1224099999999999</v>
      </c>
      <c r="EG27">
        <v>16.107382242990653</v>
      </c>
      <c r="EH27" t="s">
        <v>1366</v>
      </c>
      <c r="EI27">
        <v>0</v>
      </c>
      <c r="EJ27">
        <v>0</v>
      </c>
      <c r="EK27" s="14">
        <v>45470</v>
      </c>
      <c r="EL27" s="15">
        <v>-1.54</v>
      </c>
      <c r="EM27" s="15">
        <v>-3.61</v>
      </c>
      <c r="EN27" s="15">
        <v>-1.23</v>
      </c>
      <c r="EO27" s="15">
        <v>4.34</v>
      </c>
      <c r="EP27" s="15">
        <v>-1.72</v>
      </c>
    </row>
    <row r="28" spans="1:146" ht="96" x14ac:dyDescent="0.25">
      <c r="A28" s="8"/>
      <c r="B28" s="8"/>
      <c r="C28" s="8" t="str">
        <f>""&amp;CHAR(10)&amp;Basic_Fundamental_Information_Constructure(F28)&amp;CHAR(10)&amp;Basic_Fundamental_Information_Concatenate("")</f>
        <v xml:space="preserve">
市值18.393075亿, 利润9691.89万; PE; 平均PE12.6; 平均PEG29.8, PB1.3; ROIC18.195%; ROE15.38%; 股利率0%; 毛利26.0633%; 净利13.2267%; 上一年度营收增-61.39%, 利润增-52.02%; 当季营收增221.82%, 利润增-174.02%; 过往5年营收增-.42%, 利润增8.65%
Income profile:
</v>
      </c>
      <c r="D28" t="s">
        <v>488</v>
      </c>
      <c r="E28" t="s">
        <v>489</v>
      </c>
      <c r="F28">
        <v>16.739999999999998</v>
      </c>
      <c r="G28">
        <v>-1.65</v>
      </c>
      <c r="H28" t="s">
        <v>1604</v>
      </c>
      <c r="I28">
        <v>1839307500</v>
      </c>
      <c r="K28">
        <v>1.3</v>
      </c>
      <c r="L28" t="s">
        <v>82</v>
      </c>
      <c r="M28" t="s">
        <v>1605</v>
      </c>
      <c r="N28" t="s">
        <v>1051</v>
      </c>
      <c r="O28" t="s">
        <v>1149</v>
      </c>
      <c r="P28">
        <v>38.770000000000003</v>
      </c>
      <c r="Q28" t="s">
        <v>368</v>
      </c>
      <c r="R28">
        <v>-14916580</v>
      </c>
      <c r="S28" s="5">
        <v>-2.0230000000000001</v>
      </c>
      <c r="T28" t="s">
        <v>1606</v>
      </c>
      <c r="U28">
        <v>54126313</v>
      </c>
      <c r="V28">
        <v>109875000</v>
      </c>
      <c r="W28">
        <v>1.72</v>
      </c>
      <c r="X28">
        <v>0.12</v>
      </c>
      <c r="Y28">
        <v>-5.47</v>
      </c>
      <c r="Z28" t="s">
        <v>928</v>
      </c>
      <c r="AA28" t="s">
        <v>1607</v>
      </c>
      <c r="AB28" t="s">
        <v>1608</v>
      </c>
      <c r="AC28" t="s">
        <v>1609</v>
      </c>
      <c r="AD28" t="s">
        <v>9</v>
      </c>
      <c r="AE28">
        <v>2979512</v>
      </c>
      <c r="AF28" t="s">
        <v>1610</v>
      </c>
      <c r="AG28" t="s">
        <v>1611</v>
      </c>
      <c r="AH28" t="s">
        <v>1612</v>
      </c>
      <c r="AI28" t="s">
        <v>48</v>
      </c>
      <c r="AJ28" t="s">
        <v>1613</v>
      </c>
      <c r="AK28" t="s">
        <v>1614</v>
      </c>
      <c r="AL28" t="s">
        <v>1615</v>
      </c>
      <c r="AM28" t="s">
        <v>9</v>
      </c>
      <c r="AN28" t="s">
        <v>44</v>
      </c>
      <c r="AO28" t="s">
        <v>1616</v>
      </c>
      <c r="AP28" t="s">
        <v>59</v>
      </c>
      <c r="AQ28" t="s">
        <v>643</v>
      </c>
      <c r="AR28" t="s">
        <v>9</v>
      </c>
      <c r="AS28" t="s">
        <v>1617</v>
      </c>
      <c r="AT28" t="s">
        <v>287</v>
      </c>
      <c r="AU28" t="s">
        <v>1618</v>
      </c>
      <c r="AV28" t="s">
        <v>1619</v>
      </c>
      <c r="AW28" t="s">
        <v>44</v>
      </c>
      <c r="AX28" t="s">
        <v>702</v>
      </c>
      <c r="AY28" t="s">
        <v>490</v>
      </c>
      <c r="AZ28" t="s">
        <v>492</v>
      </c>
      <c r="BA28" t="s">
        <v>199</v>
      </c>
      <c r="BB28" t="s">
        <v>26</v>
      </c>
      <c r="BC28" t="s">
        <v>520</v>
      </c>
      <c r="BD28" t="s">
        <v>27</v>
      </c>
      <c r="BE28" t="s">
        <v>234</v>
      </c>
      <c r="BF28" t="s">
        <v>112</v>
      </c>
      <c r="BG28" t="s">
        <v>177</v>
      </c>
      <c r="BH28" t="s">
        <v>1620</v>
      </c>
      <c r="BI28" t="s">
        <v>1621</v>
      </c>
      <c r="BJ28" t="s">
        <v>702</v>
      </c>
      <c r="BK28" t="s">
        <v>1622</v>
      </c>
      <c r="BL28" t="s">
        <v>1623</v>
      </c>
      <c r="BM28" t="s">
        <v>520</v>
      </c>
      <c r="BN28" t="s">
        <v>9</v>
      </c>
      <c r="BO28">
        <v>13.11</v>
      </c>
      <c r="BP28">
        <v>23.28</v>
      </c>
      <c r="BQ28">
        <v>-0.95</v>
      </c>
      <c r="BR28">
        <v>14.32</v>
      </c>
      <c r="BS28">
        <v>32.770000000000003</v>
      </c>
      <c r="BT28" t="s">
        <v>622</v>
      </c>
      <c r="BU28" t="s">
        <v>500</v>
      </c>
      <c r="BV28">
        <v>9.4600000000000009</v>
      </c>
      <c r="BW28">
        <v>27.36</v>
      </c>
      <c r="BX28">
        <v>41.37</v>
      </c>
      <c r="BY28">
        <v>-4.5999999999999996</v>
      </c>
      <c r="BZ28">
        <v>18.68</v>
      </c>
      <c r="CA28">
        <v>25.6</v>
      </c>
      <c r="CB28">
        <v>12.27</v>
      </c>
      <c r="CC28">
        <v>-0.59</v>
      </c>
      <c r="CD28" t="s">
        <v>1624</v>
      </c>
      <c r="CE28" t="s">
        <v>1625</v>
      </c>
      <c r="CF28" s="9">
        <v>2.2181947152565815</v>
      </c>
      <c r="CG28" s="10">
        <v>-1.7401887616363312</v>
      </c>
      <c r="CH28" s="9">
        <v>-0.61388885974884033</v>
      </c>
      <c r="CI28" s="9">
        <v>0.15755626559257507</v>
      </c>
      <c r="CJ28" s="9">
        <v>0.46467816829681396</v>
      </c>
      <c r="CK28" s="9">
        <v>4.9423392862081528E-2</v>
      </c>
      <c r="CL28" s="9">
        <v>-7.890743762254715E-2</v>
      </c>
      <c r="CM28" s="10">
        <v>-0.52020347118377686</v>
      </c>
      <c r="CN28" s="10">
        <v>-0.1652892529964447</v>
      </c>
      <c r="CO28" s="10">
        <v>1.2830188274383545</v>
      </c>
      <c r="CP28" s="10">
        <v>5.9999998658895493E-2</v>
      </c>
      <c r="CQ28" s="10">
        <v>-0.22480620443820953</v>
      </c>
      <c r="CR28">
        <v>12.599163004702831</v>
      </c>
      <c r="CS28">
        <v>29.801500854162438</v>
      </c>
      <c r="CT28">
        <v>0</v>
      </c>
      <c r="CU28" s="9">
        <v>-4.2276941239833832E-3</v>
      </c>
      <c r="CV28" s="10">
        <v>8.6543979495763784E-2</v>
      </c>
      <c r="CW28">
        <v>0.06</v>
      </c>
      <c r="CX28" t="e">
        <v>#VALUE!</v>
      </c>
      <c r="CY28" t="s">
        <v>1626</v>
      </c>
      <c r="CZ28">
        <v>-4.2276941239833832E-3</v>
      </c>
      <c r="DA28">
        <v>4.8470336195176245</v>
      </c>
      <c r="DB28" t="s">
        <v>1627</v>
      </c>
      <c r="DC28">
        <v>-4.0163094177842135E-3</v>
      </c>
      <c r="DD28">
        <v>2.4235168097588122</v>
      </c>
      <c r="DE28" t="s">
        <v>1628</v>
      </c>
      <c r="DF28">
        <v>-3.7203708291053774E-3</v>
      </c>
      <c r="DG28">
        <v>1.4541100858552873</v>
      </c>
      <c r="DH28" t="s">
        <v>1629</v>
      </c>
      <c r="DI28">
        <v>-3.3821552991867066E-3</v>
      </c>
      <c r="DJ28">
        <v>0.72705504292764367</v>
      </c>
      <c r="DK28" t="s">
        <v>1630</v>
      </c>
      <c r="DL28">
        <v>-2.9593858867883681E-3</v>
      </c>
      <c r="DM28">
        <v>96918900</v>
      </c>
      <c r="DN28">
        <v>-4.2276941239833832E-3</v>
      </c>
      <c r="DO28">
        <v>1409307500</v>
      </c>
      <c r="DP28">
        <v>544160690</v>
      </c>
      <c r="DQ28">
        <v>2558</v>
      </c>
      <c r="DR28">
        <v>2.2224224093805649</v>
      </c>
      <c r="DS28">
        <v>-1.8267327411320951</v>
      </c>
      <c r="DT28" s="11">
        <v>-0.49</v>
      </c>
      <c r="DU28">
        <v>-1.0483333333333333</v>
      </c>
      <c r="DV28">
        <v>-1.5383333333333333</v>
      </c>
      <c r="DW28">
        <v>5.0480847595762022</v>
      </c>
      <c r="DX28">
        <v>0.58374200002912024</v>
      </c>
      <c r="DY28">
        <v>5.0131628182573085</v>
      </c>
      <c r="DZ28">
        <v>3873</v>
      </c>
      <c r="EA28">
        <v>5.0031863808579828</v>
      </c>
      <c r="EB28">
        <v>5</v>
      </c>
      <c r="EC28">
        <v>0.23956405005688283</v>
      </c>
      <c r="ED28">
        <v>0.87514539249146761</v>
      </c>
      <c r="EE28" s="12">
        <v>-4.0698100000000004</v>
      </c>
      <c r="EF28">
        <v>-4.0808099999999996</v>
      </c>
      <c r="EG28">
        <v>31.27374200002912</v>
      </c>
      <c r="EH28" t="s">
        <v>1022</v>
      </c>
      <c r="EI28">
        <v>1</v>
      </c>
      <c r="EJ28">
        <v>0</v>
      </c>
      <c r="EK28" s="14">
        <v>45470</v>
      </c>
      <c r="EL28" s="15">
        <v>-2.09</v>
      </c>
      <c r="EM28" s="15">
        <v>-7.81</v>
      </c>
      <c r="EN28" s="15">
        <v>-0.97</v>
      </c>
      <c r="EO28" s="15">
        <v>4.46</v>
      </c>
      <c r="EP28" s="15">
        <v>-1.1000000000000001</v>
      </c>
    </row>
    <row r="29" spans="1:146" ht="96" x14ac:dyDescent="0.25">
      <c r="A29" s="8"/>
      <c r="B29" s="8"/>
      <c r="C29" s="8" t="str">
        <f>""&amp;CHAR(10)&amp;Basic_Fundamental_Information_Constructure(F29)&amp;CHAR(10)&amp;Basic_Fundamental_Information_Concatenate("")</f>
        <v xml:space="preserve">
市值29.232亿, 利润1.35亿; PE23.73; 平均PE27.59; 平均PEG14.06, PB1.74; ROIC10.08%; ROE10.6467%; 股利率3.2841%; 毛利20.3733%; 净利13.22%; 上一年度营收增-33.04%, 利润增10.66%; 当季营收增56.05%, 利润增-15.45%; 过往5年营收增1.96%, 利润增13.27%
Income profile:
</v>
      </c>
      <c r="D29" t="s">
        <v>493</v>
      </c>
      <c r="E29" t="s">
        <v>494</v>
      </c>
      <c r="F29">
        <v>6.09</v>
      </c>
      <c r="G29">
        <v>0.83</v>
      </c>
      <c r="H29" t="s">
        <v>1631</v>
      </c>
      <c r="I29">
        <v>2923200000</v>
      </c>
      <c r="J29">
        <v>23.73</v>
      </c>
      <c r="K29">
        <v>1.74</v>
      </c>
      <c r="L29" t="s">
        <v>82</v>
      </c>
      <c r="M29" t="s">
        <v>750</v>
      </c>
      <c r="N29" t="s">
        <v>1632</v>
      </c>
      <c r="O29" t="s">
        <v>703</v>
      </c>
      <c r="P29">
        <v>-9.66</v>
      </c>
      <c r="Q29" t="s">
        <v>1633</v>
      </c>
      <c r="R29">
        <v>21411401</v>
      </c>
      <c r="S29" s="5">
        <v>-0.42</v>
      </c>
      <c r="T29" t="s">
        <v>983</v>
      </c>
      <c r="U29">
        <v>136200000</v>
      </c>
      <c r="V29">
        <v>480000000</v>
      </c>
      <c r="W29">
        <v>1.5</v>
      </c>
      <c r="X29">
        <v>0.1</v>
      </c>
      <c r="Y29">
        <v>8.74</v>
      </c>
      <c r="Z29" t="s">
        <v>1634</v>
      </c>
      <c r="AA29" t="s">
        <v>348</v>
      </c>
      <c r="AB29" t="s">
        <v>1635</v>
      </c>
      <c r="AC29" t="s">
        <v>1636</v>
      </c>
      <c r="AD29" t="s">
        <v>9</v>
      </c>
      <c r="AE29">
        <v>350600</v>
      </c>
      <c r="AF29" t="s">
        <v>1637</v>
      </c>
      <c r="AG29">
        <v>3691.89</v>
      </c>
      <c r="AH29" t="s">
        <v>1638</v>
      </c>
      <c r="AI29" t="s">
        <v>641</v>
      </c>
      <c r="AJ29" t="s">
        <v>1639</v>
      </c>
      <c r="AK29" t="s">
        <v>1640</v>
      </c>
      <c r="AL29" t="s">
        <v>1641</v>
      </c>
      <c r="AM29" t="s">
        <v>9</v>
      </c>
      <c r="AN29" t="s">
        <v>1642</v>
      </c>
      <c r="AO29" t="s">
        <v>1643</v>
      </c>
      <c r="AP29" t="s">
        <v>9</v>
      </c>
      <c r="AQ29" t="s">
        <v>1644</v>
      </c>
      <c r="AR29" t="s">
        <v>9</v>
      </c>
      <c r="AS29" t="s">
        <v>1518</v>
      </c>
      <c r="AT29" t="s">
        <v>9</v>
      </c>
      <c r="AU29" t="s">
        <v>1645</v>
      </c>
      <c r="AV29" t="s">
        <v>1646</v>
      </c>
      <c r="AW29" t="s">
        <v>1647</v>
      </c>
      <c r="AX29" t="s">
        <v>704</v>
      </c>
      <c r="AY29" t="s">
        <v>378</v>
      </c>
      <c r="AZ29" t="s">
        <v>495</v>
      </c>
      <c r="BA29" t="s">
        <v>496</v>
      </c>
      <c r="BB29" t="s">
        <v>89</v>
      </c>
      <c r="BC29" t="s">
        <v>602</v>
      </c>
      <c r="BD29" t="s">
        <v>50</v>
      </c>
      <c r="BE29" t="s">
        <v>43</v>
      </c>
      <c r="BF29" t="s">
        <v>498</v>
      </c>
      <c r="BG29" t="s">
        <v>499</v>
      </c>
      <c r="BH29" t="s">
        <v>1648</v>
      </c>
      <c r="BI29" t="s">
        <v>276</v>
      </c>
      <c r="BJ29" t="s">
        <v>704</v>
      </c>
      <c r="BK29" t="s">
        <v>964</v>
      </c>
      <c r="BL29" t="s">
        <v>1649</v>
      </c>
      <c r="BM29" t="s">
        <v>602</v>
      </c>
      <c r="BN29">
        <v>4.4000000000000004</v>
      </c>
      <c r="BO29">
        <v>9.19</v>
      </c>
      <c r="BP29">
        <v>16.649999999999999</v>
      </c>
      <c r="BQ29">
        <v>6.21</v>
      </c>
      <c r="BR29">
        <v>8.84</v>
      </c>
      <c r="BS29">
        <v>16.89</v>
      </c>
      <c r="BT29" t="s">
        <v>624</v>
      </c>
      <c r="BU29" t="s">
        <v>574</v>
      </c>
      <c r="BV29">
        <v>18.93</v>
      </c>
      <c r="BW29">
        <v>16.649999999999999</v>
      </c>
      <c r="BX29">
        <v>25.54</v>
      </c>
      <c r="BY29">
        <v>13.09</v>
      </c>
      <c r="BZ29">
        <v>10.76</v>
      </c>
      <c r="CA29">
        <v>15.81</v>
      </c>
      <c r="CB29">
        <v>-0.81</v>
      </c>
      <c r="CC29">
        <v>-14.1</v>
      </c>
      <c r="CD29" t="s">
        <v>1650</v>
      </c>
      <c r="CE29" t="s">
        <v>1651</v>
      </c>
      <c r="CF29" s="9">
        <v>0.5605095541401276</v>
      </c>
      <c r="CG29" s="10">
        <v>-0.15454502019719424</v>
      </c>
      <c r="CH29" s="9">
        <v>-0.33039650321006775</v>
      </c>
      <c r="CI29" s="9">
        <v>0.76242244243621826</v>
      </c>
      <c r="CJ29" s="9">
        <v>-0.31923890113830566</v>
      </c>
      <c r="CK29" s="9">
        <v>-8.510638028383255E-2</v>
      </c>
      <c r="CL29" s="9">
        <v>7.0393376052379608E-2</v>
      </c>
      <c r="CM29" s="10">
        <v>0.10655737668275833</v>
      </c>
      <c r="CN29" s="10">
        <v>0.19607843458652496</v>
      </c>
      <c r="CO29" s="10">
        <v>-9.7087379544973373E-3</v>
      </c>
      <c r="CP29" s="10">
        <v>3.7000834941864014E-2</v>
      </c>
      <c r="CQ29" s="10">
        <v>0.33369985222816467</v>
      </c>
      <c r="CR29">
        <v>27.586115781094659</v>
      </c>
      <c r="CS29">
        <v>14.06392431124457</v>
      </c>
      <c r="CT29">
        <v>3.284072249589491</v>
      </c>
      <c r="CU29" s="9">
        <v>1.961480677127838E-2</v>
      </c>
      <c r="CV29" s="10">
        <v>0.13272555209696293</v>
      </c>
      <c r="CW29">
        <v>0.06</v>
      </c>
      <c r="CX29">
        <v>15.349238758771587</v>
      </c>
      <c r="CY29">
        <v>129856602.74917226</v>
      </c>
      <c r="CZ29">
        <v>1.961480677127838E-2</v>
      </c>
      <c r="DA29">
        <v>5.3264988461851894</v>
      </c>
      <c r="DB29">
        <v>374204530.51022798</v>
      </c>
      <c r="DC29">
        <v>1.8634066432714459E-2</v>
      </c>
      <c r="DD29">
        <v>2.8349851825372423</v>
      </c>
      <c r="DE29">
        <v>703072457.76012647</v>
      </c>
      <c r="DF29">
        <v>1.7261029958724975E-2</v>
      </c>
      <c r="DG29">
        <v>1.8533069858768501</v>
      </c>
      <c r="DH29">
        <v>1075482915.2370365</v>
      </c>
      <c r="DI29">
        <v>1.5691845417022704E-2</v>
      </c>
      <c r="DJ29">
        <v>1.1413658009349334</v>
      </c>
      <c r="DK29">
        <v>1746328826.7155881</v>
      </c>
      <c r="DL29">
        <v>1.3730364739894864E-2</v>
      </c>
      <c r="DM29">
        <v>135000000</v>
      </c>
      <c r="DN29">
        <v>1.961480677127838E-2</v>
      </c>
      <c r="DO29">
        <v>1993199999.9999998</v>
      </c>
      <c r="DP29">
        <v>1340356500</v>
      </c>
      <c r="DQ29">
        <v>2667</v>
      </c>
      <c r="DR29">
        <v>0.54089474736884924</v>
      </c>
      <c r="DS29">
        <v>-0.2872705722941572</v>
      </c>
      <c r="DT29" s="11">
        <v>-0.44</v>
      </c>
      <c r="DU29">
        <v>2.9999999999999988E-2</v>
      </c>
      <c r="DV29">
        <v>-0.41000000000000003</v>
      </c>
      <c r="DW29">
        <v>-2.141</v>
      </c>
      <c r="DX29">
        <v>0.43194735638318277</v>
      </c>
      <c r="DY29">
        <v>-2.0186045772500285</v>
      </c>
      <c r="DZ29">
        <v>1690</v>
      </c>
      <c r="EA29">
        <v>-2.0124515957328959</v>
      </c>
      <c r="EB29">
        <v>2</v>
      </c>
      <c r="EC29">
        <v>1.7306874999999999E-2</v>
      </c>
      <c r="ED29">
        <v>0.131165</v>
      </c>
      <c r="EE29" s="12">
        <v>-6.0155000000000003</v>
      </c>
      <c r="EF29">
        <v>-6.0100100000000003</v>
      </c>
      <c r="EG29">
        <v>30.131947356383183</v>
      </c>
      <c r="EH29" t="s">
        <v>1652</v>
      </c>
      <c r="EI29">
        <v>0</v>
      </c>
      <c r="EJ29">
        <v>0</v>
      </c>
      <c r="EK29" s="14">
        <v>45470</v>
      </c>
      <c r="EL29" s="15">
        <v>-2.0699999999999998</v>
      </c>
      <c r="EM29" s="15">
        <v>-5.2</v>
      </c>
      <c r="EN29" s="15">
        <v>1.08</v>
      </c>
      <c r="EO29" s="15">
        <v>3.28</v>
      </c>
      <c r="EP29" s="15">
        <v>-2.5499999999999998</v>
      </c>
    </row>
    <row r="30" spans="1:146" ht="96" x14ac:dyDescent="0.25">
      <c r="A30" s="8"/>
      <c r="B30" s="8"/>
      <c r="C30" s="8" t="str">
        <f>""&amp;CHAR(10)&amp;Basic_Fundamental_Information_Constructure(F30)&amp;CHAR(10)&amp;Basic_Fundamental_Information_Concatenate("")</f>
        <v xml:space="preserve">
市值63.00165亿, 利润-2.97亿; PE; 平均PE20.76; 平均PEG5.18, PB.722; ROIC9.855%; ROE6.7133%; 股利率0%; 毛利17.62%; 净利4.23%; 上一年度营收增-98.28%, 利润增-132.85%; 当季营收增8768.77%, 利润增119.67%; 过往5年营收增-4.01%, 利润增-132.85%
Income profile:
</v>
      </c>
      <c r="D30" t="s">
        <v>174</v>
      </c>
      <c r="E30" t="s">
        <v>175</v>
      </c>
      <c r="F30">
        <v>3.69</v>
      </c>
      <c r="G30">
        <v>4.83</v>
      </c>
      <c r="H30" t="s">
        <v>1653</v>
      </c>
      <c r="I30">
        <v>6300165000</v>
      </c>
      <c r="K30">
        <v>0.72199999999999998</v>
      </c>
      <c r="L30" t="s">
        <v>82</v>
      </c>
      <c r="M30" t="s">
        <v>1654</v>
      </c>
      <c r="N30" t="s">
        <v>1655</v>
      </c>
      <c r="O30" t="s">
        <v>1656</v>
      </c>
      <c r="P30">
        <v>-21.29</v>
      </c>
      <c r="Q30" t="s">
        <v>942</v>
      </c>
      <c r="R30">
        <v>6700000</v>
      </c>
      <c r="S30" s="5">
        <v>-0.44900000000000001</v>
      </c>
      <c r="T30" t="s">
        <v>1657</v>
      </c>
      <c r="U30">
        <v>1707361800</v>
      </c>
      <c r="V30">
        <v>1707361800</v>
      </c>
      <c r="W30">
        <v>2.2400000000000002</v>
      </c>
      <c r="X30" t="s">
        <v>9</v>
      </c>
      <c r="Y30">
        <v>-7.74</v>
      </c>
      <c r="Z30" t="s">
        <v>9</v>
      </c>
      <c r="AA30" t="s">
        <v>9</v>
      </c>
      <c r="AB30" t="s">
        <v>9</v>
      </c>
      <c r="AC30" t="s">
        <v>9</v>
      </c>
      <c r="AD30" t="s">
        <v>9</v>
      </c>
      <c r="AE30">
        <v>64087851</v>
      </c>
      <c r="AF30" t="s">
        <v>1658</v>
      </c>
      <c r="AG30" t="s">
        <v>1659</v>
      </c>
      <c r="AH30" t="s">
        <v>1660</v>
      </c>
      <c r="AI30" t="s">
        <v>1661</v>
      </c>
      <c r="AJ30" t="s">
        <v>1662</v>
      </c>
      <c r="AK30" t="s">
        <v>9</v>
      </c>
      <c r="AL30" t="s">
        <v>1663</v>
      </c>
      <c r="AM30" t="s">
        <v>9</v>
      </c>
      <c r="AN30" t="s">
        <v>1664</v>
      </c>
      <c r="AO30" t="s">
        <v>9</v>
      </c>
      <c r="AP30" t="s">
        <v>9</v>
      </c>
      <c r="AQ30" t="s">
        <v>1665</v>
      </c>
      <c r="AR30" t="s">
        <v>1666</v>
      </c>
      <c r="AS30" t="s">
        <v>9</v>
      </c>
      <c r="AT30" t="s">
        <v>9</v>
      </c>
      <c r="AU30" t="s">
        <v>1607</v>
      </c>
      <c r="AV30" t="s">
        <v>22</v>
      </c>
      <c r="AW30" t="s">
        <v>1667</v>
      </c>
      <c r="AX30" t="s">
        <v>1668</v>
      </c>
      <c r="AY30" t="s">
        <v>9</v>
      </c>
      <c r="AZ30" t="s">
        <v>502</v>
      </c>
      <c r="BA30" t="s">
        <v>178</v>
      </c>
      <c r="BB30" t="s">
        <v>179</v>
      </c>
      <c r="BC30" t="s">
        <v>919</v>
      </c>
      <c r="BD30" t="s">
        <v>9</v>
      </c>
      <c r="BE30" t="s">
        <v>9</v>
      </c>
      <c r="BF30" t="s">
        <v>9</v>
      </c>
      <c r="BG30" t="s">
        <v>9</v>
      </c>
      <c r="BH30" t="s">
        <v>1669</v>
      </c>
      <c r="BI30" t="s">
        <v>1670</v>
      </c>
      <c r="BJ30" t="s">
        <v>1668</v>
      </c>
      <c r="BK30" t="s">
        <v>1671</v>
      </c>
      <c r="BL30" t="s">
        <v>1672</v>
      </c>
      <c r="BM30" t="s">
        <v>919</v>
      </c>
      <c r="BN30" t="s">
        <v>9</v>
      </c>
      <c r="BO30">
        <v>5.36</v>
      </c>
      <c r="BP30">
        <v>14.35</v>
      </c>
      <c r="BQ30">
        <v>-7.38</v>
      </c>
      <c r="BR30">
        <v>8.4499999999999993</v>
      </c>
      <c r="BS30">
        <v>19.07</v>
      </c>
      <c r="BT30" t="s">
        <v>622</v>
      </c>
      <c r="BU30" t="s">
        <v>560</v>
      </c>
      <c r="BV30">
        <v>6.67</v>
      </c>
      <c r="BW30">
        <v>19.57</v>
      </c>
      <c r="BX30">
        <v>26.62</v>
      </c>
      <c r="BY30">
        <v>-7.51</v>
      </c>
      <c r="BZ30">
        <v>6.89</v>
      </c>
      <c r="CA30">
        <v>13.31</v>
      </c>
      <c r="CB30">
        <v>6.96</v>
      </c>
      <c r="CC30">
        <v>-9.11</v>
      </c>
      <c r="CD30" t="s">
        <v>1673</v>
      </c>
      <c r="CE30" t="s">
        <v>694</v>
      </c>
      <c r="CF30" s="9">
        <v>87.687660709183831</v>
      </c>
      <c r="CG30" s="10">
        <v>1.1967053324760504</v>
      </c>
      <c r="CH30" s="9">
        <v>-0.98275136947631836</v>
      </c>
      <c r="CI30" s="9" t="s">
        <v>9</v>
      </c>
      <c r="CJ30" s="9" t="s">
        <v>9</v>
      </c>
      <c r="CK30" s="9">
        <v>9.206835925579071E-2</v>
      </c>
      <c r="CL30" s="9">
        <v>0.77050524950027466</v>
      </c>
      <c r="CM30" s="10">
        <v>-1.3285397291183472</v>
      </c>
      <c r="CN30" s="10" t="s">
        <v>9</v>
      </c>
      <c r="CO30" s="10" t="s">
        <v>9</v>
      </c>
      <c r="CP30" s="10" t="s">
        <v>9</v>
      </c>
      <c r="CQ30" s="10" t="s">
        <v>9</v>
      </c>
      <c r="CR30">
        <v>20.758369028006594</v>
      </c>
      <c r="CS30">
        <v>5.1819160808780866</v>
      </c>
      <c r="CT30">
        <v>0</v>
      </c>
      <c r="CU30" s="9">
        <v>-4.0059253573417664E-2</v>
      </c>
      <c r="CV30" s="10">
        <v>-1.3285397291183472</v>
      </c>
      <c r="CW30">
        <v>0.06</v>
      </c>
      <c r="CX30" t="e">
        <v>#VALUE!</v>
      </c>
      <c r="CY30" t="s">
        <v>556</v>
      </c>
      <c r="CZ30">
        <v>-4.0059253573417664E-2</v>
      </c>
      <c r="DA30" t="e">
        <v>#VALUE!</v>
      </c>
      <c r="DB30" t="s">
        <v>556</v>
      </c>
      <c r="DC30">
        <v>-3.8056290894746776E-2</v>
      </c>
      <c r="DD30" t="e">
        <v>#VALUE!</v>
      </c>
      <c r="DE30" t="s">
        <v>556</v>
      </c>
      <c r="DF30">
        <v>-3.5252143144607541E-2</v>
      </c>
      <c r="DG30" t="e">
        <v>#VALUE!</v>
      </c>
      <c r="DH30" t="s">
        <v>556</v>
      </c>
      <c r="DI30">
        <v>-3.2047402858734135E-2</v>
      </c>
      <c r="DJ30" t="e">
        <v>#VALUE!</v>
      </c>
      <c r="DK30" t="s">
        <v>556</v>
      </c>
      <c r="DL30">
        <v>-2.8041477501392364E-2</v>
      </c>
      <c r="DM30">
        <v>-297000000</v>
      </c>
      <c r="DN30">
        <v>-4.0059253573417664E-2</v>
      </c>
      <c r="DO30">
        <v>9020165000</v>
      </c>
      <c r="DP30">
        <v>3810888700</v>
      </c>
      <c r="DQ30">
        <v>2900</v>
      </c>
      <c r="DR30">
        <v>87.727719962757249</v>
      </c>
      <c r="DS30">
        <v>2.5252450615943975</v>
      </c>
      <c r="DT30" s="11">
        <v>-1.1599999999999999</v>
      </c>
      <c r="DU30">
        <v>-3.57</v>
      </c>
      <c r="DV30">
        <v>-4.7299999999999995</v>
      </c>
      <c r="DW30">
        <v>7.4331051649035471</v>
      </c>
      <c r="DX30">
        <v>1.1914502577319599</v>
      </c>
      <c r="DY30">
        <v>7.0482696822535429</v>
      </c>
      <c r="DZ30">
        <v>2975</v>
      </c>
      <c r="EA30">
        <v>7.0201674699826446</v>
      </c>
      <c r="EB30">
        <v>7</v>
      </c>
      <c r="EC30">
        <v>2.5327203642485151E-2</v>
      </c>
      <c r="ED30">
        <v>0.22725118952526641</v>
      </c>
      <c r="EE30" s="12">
        <v>-1.00031</v>
      </c>
      <c r="EF30">
        <v>-1.0234099999999999</v>
      </c>
      <c r="EG30">
        <v>108.11145025773196</v>
      </c>
      <c r="EH30" t="s">
        <v>1366</v>
      </c>
      <c r="EI30">
        <v>1</v>
      </c>
      <c r="EJ30">
        <v>0</v>
      </c>
      <c r="EK30" s="14">
        <v>45470</v>
      </c>
      <c r="EL30" s="15">
        <v>0.35</v>
      </c>
      <c r="EM30" s="15">
        <v>-3.61</v>
      </c>
      <c r="EN30" s="15">
        <v>-0.71</v>
      </c>
      <c r="EO30" s="15">
        <v>1.08</v>
      </c>
      <c r="EP30" s="15">
        <v>-2.31</v>
      </c>
    </row>
    <row r="31" spans="1:146" ht="96" x14ac:dyDescent="0.25">
      <c r="A31" s="8"/>
      <c r="B31" s="8"/>
      <c r="C31" s="8" t="str">
        <f>""&amp;CHAR(10)&amp;Basic_Fundamental_Information_Constructure(F31)&amp;CHAR(10)&amp;Basic_Fundamental_Information_Concatenate("")</f>
        <v xml:space="preserve">
市值13.530364亿, 利润2.72亿; PE; 平均PE1.98; 平均PEG.06, PB.082; ROIC2.9733%; ROE3.25%; 股利率0%; 毛利11.9733%; 净利2.78%; 上一年度营收增201.01%, 利润增-62.79%; 当季营收增-86.51%, 利润增-140.66%; 过往5年营收增32.4%, 利润增-6.84%
Income profile:
</v>
      </c>
      <c r="D31" t="s">
        <v>183</v>
      </c>
      <c r="E31" t="s">
        <v>1674</v>
      </c>
      <c r="F31" t="s">
        <v>9</v>
      </c>
      <c r="G31" t="s">
        <v>9</v>
      </c>
      <c r="H31" t="s">
        <v>9</v>
      </c>
      <c r="I31">
        <v>1353036400</v>
      </c>
      <c r="K31">
        <v>8.2000000000000003E-2</v>
      </c>
      <c r="L31" t="s">
        <v>82</v>
      </c>
      <c r="M31" t="s">
        <v>1675</v>
      </c>
      <c r="N31" t="s">
        <v>1676</v>
      </c>
      <c r="O31" t="s">
        <v>1677</v>
      </c>
      <c r="P31">
        <v>-51.16</v>
      </c>
      <c r="Q31" t="s">
        <v>1678</v>
      </c>
      <c r="R31">
        <v>-33846816</v>
      </c>
      <c r="S31" s="5">
        <v>-3.1160000000000001</v>
      </c>
      <c r="T31" t="s">
        <v>1679</v>
      </c>
      <c r="U31">
        <v>3560622200</v>
      </c>
      <c r="V31">
        <v>3560622200</v>
      </c>
      <c r="W31">
        <v>1.63</v>
      </c>
      <c r="X31">
        <v>0.04</v>
      </c>
      <c r="Y31">
        <v>-6.86</v>
      </c>
      <c r="Z31" t="s">
        <v>645</v>
      </c>
      <c r="AA31" t="s">
        <v>1680</v>
      </c>
      <c r="AB31" t="s">
        <v>1681</v>
      </c>
      <c r="AC31" t="s">
        <v>1682</v>
      </c>
      <c r="AD31" t="s">
        <v>9</v>
      </c>
      <c r="AE31">
        <v>95733846</v>
      </c>
      <c r="AF31" t="s">
        <v>1683</v>
      </c>
      <c r="AG31" t="s">
        <v>1684</v>
      </c>
      <c r="AH31" t="s">
        <v>1685</v>
      </c>
      <c r="AI31" t="s">
        <v>1686</v>
      </c>
      <c r="AJ31" t="s">
        <v>9</v>
      </c>
      <c r="AK31" t="s">
        <v>1687</v>
      </c>
      <c r="AL31" t="s">
        <v>1688</v>
      </c>
      <c r="AM31" t="s">
        <v>9</v>
      </c>
      <c r="AN31" t="s">
        <v>924</v>
      </c>
      <c r="AO31" t="s">
        <v>1689</v>
      </c>
      <c r="AP31" t="s">
        <v>967</v>
      </c>
      <c r="AQ31" t="s">
        <v>1690</v>
      </c>
      <c r="AR31" t="s">
        <v>9</v>
      </c>
      <c r="AS31" t="s">
        <v>1691</v>
      </c>
      <c r="AT31" t="s">
        <v>1188</v>
      </c>
      <c r="AU31" t="s">
        <v>1692</v>
      </c>
      <c r="AV31" t="s">
        <v>43</v>
      </c>
      <c r="AW31" t="s">
        <v>1693</v>
      </c>
      <c r="AX31" t="s">
        <v>706</v>
      </c>
      <c r="AY31" t="s">
        <v>707</v>
      </c>
      <c r="AZ31" t="s">
        <v>184</v>
      </c>
      <c r="BA31" t="s">
        <v>185</v>
      </c>
      <c r="BB31" t="s">
        <v>186</v>
      </c>
      <c r="BC31" t="s">
        <v>674</v>
      </c>
      <c r="BD31" t="s">
        <v>497</v>
      </c>
      <c r="BE31" t="s">
        <v>120</v>
      </c>
      <c r="BF31" t="s">
        <v>187</v>
      </c>
      <c r="BG31" t="s">
        <v>188</v>
      </c>
      <c r="BH31" t="s">
        <v>1694</v>
      </c>
      <c r="BI31" t="s">
        <v>1695</v>
      </c>
      <c r="BJ31" t="s">
        <v>706</v>
      </c>
      <c r="BK31" t="s">
        <v>1696</v>
      </c>
      <c r="BL31" t="s">
        <v>1697</v>
      </c>
      <c r="BM31" t="s">
        <v>674</v>
      </c>
      <c r="BN31">
        <v>0.45</v>
      </c>
      <c r="BO31">
        <v>4.2699999999999996</v>
      </c>
      <c r="BP31">
        <v>4.2</v>
      </c>
      <c r="BQ31">
        <v>0.37</v>
      </c>
      <c r="BR31">
        <v>4.38</v>
      </c>
      <c r="BS31">
        <v>5</v>
      </c>
      <c r="BT31" t="s">
        <v>622</v>
      </c>
      <c r="BU31" t="s">
        <v>560</v>
      </c>
      <c r="BV31">
        <v>6.78</v>
      </c>
      <c r="BW31">
        <v>14.31</v>
      </c>
      <c r="BX31">
        <v>14.83</v>
      </c>
      <c r="BY31">
        <v>-6.8</v>
      </c>
      <c r="BZ31">
        <v>8.33</v>
      </c>
      <c r="CA31">
        <v>6.81</v>
      </c>
      <c r="CB31">
        <v>0</v>
      </c>
      <c r="CC31">
        <v>-62</v>
      </c>
      <c r="CD31" t="s">
        <v>9</v>
      </c>
      <c r="CE31" t="s">
        <v>1698</v>
      </c>
      <c r="CF31" s="9">
        <v>-0.86513864729356393</v>
      </c>
      <c r="CG31" s="10">
        <v>-1.4066113414991614</v>
      </c>
      <c r="CH31" s="9">
        <v>2.0101089477539062</v>
      </c>
      <c r="CI31" s="9">
        <v>-0.10245698690414429</v>
      </c>
      <c r="CJ31" s="9">
        <v>-3.569498285651207E-2</v>
      </c>
      <c r="CK31" s="9">
        <v>1.7249511554837227E-2</v>
      </c>
      <c r="CL31" s="9">
        <v>-0.26912671327590942</v>
      </c>
      <c r="CM31" s="10">
        <v>-0.62790697813034058</v>
      </c>
      <c r="CN31" s="10">
        <v>-9.1925464570522308E-2</v>
      </c>
      <c r="CO31" s="10">
        <v>0.55405408143997192</v>
      </c>
      <c r="CP31" s="10">
        <v>-0.48763599991798401</v>
      </c>
      <c r="CQ31" s="10">
        <v>0.31128403544425964</v>
      </c>
      <c r="CR31">
        <v>1.9761972736124636</v>
      </c>
      <c r="CS31">
        <v>6.0990739547397976E-2</v>
      </c>
      <c r="CT31">
        <v>0</v>
      </c>
      <c r="CU31" s="9">
        <v>0.32401595525443555</v>
      </c>
      <c r="CV31" s="10">
        <v>-6.8426065146923065E-2</v>
      </c>
      <c r="CW31">
        <v>0.06</v>
      </c>
      <c r="CX31" t="s">
        <v>621</v>
      </c>
      <c r="CY31">
        <v>339747490.4049117</v>
      </c>
      <c r="CZ31">
        <v>0.32401595525443555</v>
      </c>
      <c r="DA31" t="s">
        <v>621</v>
      </c>
      <c r="DB31">
        <v>1260484039.442168</v>
      </c>
      <c r="DC31">
        <v>0.30781515749171373</v>
      </c>
      <c r="DD31" t="s">
        <v>621</v>
      </c>
      <c r="DE31">
        <v>3378301373.968111</v>
      </c>
      <c r="DF31">
        <v>0.2851340406239033</v>
      </c>
      <c r="DG31" t="s">
        <v>621</v>
      </c>
      <c r="DH31">
        <v>7903102603.9581928</v>
      </c>
      <c r="DI31">
        <v>0.25921276420354844</v>
      </c>
      <c r="DJ31" t="s">
        <v>621</v>
      </c>
      <c r="DK31">
        <v>35200921358.87014</v>
      </c>
      <c r="DL31">
        <v>0.22681116867810486</v>
      </c>
      <c r="DM31">
        <v>272000000</v>
      </c>
      <c r="DN31">
        <v>0.32401595525443555</v>
      </c>
      <c r="DO31">
        <v>-5522963600</v>
      </c>
      <c r="DP31">
        <v>-1018406899.999999</v>
      </c>
      <c r="DQ31">
        <v>3060</v>
      </c>
      <c r="DR31">
        <v>-1.1891546025479995</v>
      </c>
      <c r="DS31">
        <v>-1.3381852763522384</v>
      </c>
      <c r="DT31" s="11">
        <v>-0.24000000000000002</v>
      </c>
      <c r="DU31">
        <v>-1.115</v>
      </c>
      <c r="DV31">
        <v>-1.355</v>
      </c>
      <c r="DW31">
        <v>-3.5202380952380952</v>
      </c>
      <c r="DX31" t="e">
        <v>#VALUE!</v>
      </c>
      <c r="DY31">
        <v>-3</v>
      </c>
      <c r="DZ31">
        <v>1872</v>
      </c>
      <c r="EA31">
        <v>-3</v>
      </c>
      <c r="EB31">
        <v>3</v>
      </c>
      <c r="EC31">
        <v>0</v>
      </c>
      <c r="ED31">
        <v>0.32606660712276636</v>
      </c>
      <c r="EE31" s="12">
        <v>1.0591999999999999</v>
      </c>
      <c r="EF31">
        <v>1.0427</v>
      </c>
      <c r="EG31" t="e">
        <v>#VALUE!</v>
      </c>
      <c r="EH31" t="s">
        <v>604</v>
      </c>
      <c r="EI31">
        <v>0</v>
      </c>
      <c r="EJ31">
        <v>0</v>
      </c>
      <c r="EK31" s="14">
        <v>45470</v>
      </c>
      <c r="EL31" s="15">
        <v>-1.38</v>
      </c>
      <c r="EM31" s="15">
        <v>0.62</v>
      </c>
      <c r="EN31" s="15">
        <v>-1.46</v>
      </c>
      <c r="EO31" s="15">
        <v>0.5</v>
      </c>
      <c r="EP31" s="15">
        <v>-1.65</v>
      </c>
    </row>
    <row r="32" spans="1:146" ht="96" x14ac:dyDescent="0.25">
      <c r="A32" s="8"/>
      <c r="B32" s="8"/>
      <c r="C32" s="8" t="str">
        <f>""&amp;CHAR(10)&amp;Basic_Fundamental_Information_Constructure(F32)&amp;CHAR(10)&amp;Basic_Fundamental_Information_Concatenate("")</f>
        <v xml:space="preserve">
市值12.9107225亿, 利润5.20亿; PE; 平均PE9.35; 平均PEG.01, PB2.12; ROIC16.075%; ROE52.0133%; 股利率0%; 毛利6.01%; 净利37.93%; 上一年度营收增3788.19%, 利润增377.06%; 当季营收增-96.88%, 利润增-127.01%; 过往5年营收增860.78%, 利润增367.52%
Income profile:
</v>
      </c>
      <c r="D32" t="s">
        <v>190</v>
      </c>
      <c r="E32" t="s">
        <v>554</v>
      </c>
      <c r="F32">
        <v>3.33</v>
      </c>
      <c r="G32">
        <v>2.46</v>
      </c>
      <c r="H32" t="s">
        <v>1699</v>
      </c>
      <c r="I32">
        <v>1291072250</v>
      </c>
      <c r="K32">
        <v>2.12</v>
      </c>
      <c r="L32" t="s">
        <v>82</v>
      </c>
      <c r="M32" t="s">
        <v>1700</v>
      </c>
      <c r="N32" t="s">
        <v>1701</v>
      </c>
      <c r="O32" t="s">
        <v>874</v>
      </c>
      <c r="P32">
        <v>-7.83</v>
      </c>
      <c r="Q32" t="s">
        <v>1702</v>
      </c>
      <c r="R32">
        <v>-35116984</v>
      </c>
      <c r="S32" s="5">
        <v>-0.88049999999999995</v>
      </c>
      <c r="T32" t="s">
        <v>1703</v>
      </c>
      <c r="U32">
        <v>315594000</v>
      </c>
      <c r="V32">
        <v>387709380</v>
      </c>
      <c r="W32">
        <v>3.49</v>
      </c>
      <c r="X32">
        <v>0.09</v>
      </c>
      <c r="Y32">
        <v>-18.77</v>
      </c>
      <c r="Z32" t="s">
        <v>878</v>
      </c>
      <c r="AA32" t="s">
        <v>640</v>
      </c>
      <c r="AB32" t="s">
        <v>1704</v>
      </c>
      <c r="AC32" t="s">
        <v>1705</v>
      </c>
      <c r="AD32" t="s">
        <v>9</v>
      </c>
      <c r="AE32">
        <v>21111058</v>
      </c>
      <c r="AF32" t="s">
        <v>23</v>
      </c>
      <c r="AG32" t="s">
        <v>1706</v>
      </c>
      <c r="AH32" t="s">
        <v>1707</v>
      </c>
      <c r="AI32" t="s">
        <v>1708</v>
      </c>
      <c r="AJ32" t="s">
        <v>1709</v>
      </c>
      <c r="AK32" t="s">
        <v>1710</v>
      </c>
      <c r="AL32" t="s">
        <v>1711</v>
      </c>
      <c r="AM32" t="s">
        <v>9</v>
      </c>
      <c r="AN32" t="s">
        <v>113</v>
      </c>
      <c r="AO32" t="s">
        <v>1712</v>
      </c>
      <c r="AP32" t="s">
        <v>1713</v>
      </c>
      <c r="AQ32" t="s">
        <v>926</v>
      </c>
      <c r="AR32" t="s">
        <v>9</v>
      </c>
      <c r="AS32" t="s">
        <v>1714</v>
      </c>
      <c r="AT32" t="s">
        <v>1715</v>
      </c>
      <c r="AU32" t="s">
        <v>1716</v>
      </c>
      <c r="AV32" t="s">
        <v>1717</v>
      </c>
      <c r="AW32" t="s">
        <v>1718</v>
      </c>
      <c r="AX32" t="s">
        <v>708</v>
      </c>
      <c r="AY32" t="s">
        <v>471</v>
      </c>
      <c r="AZ32" t="s">
        <v>191</v>
      </c>
      <c r="BA32" t="s">
        <v>122</v>
      </c>
      <c r="BB32" t="s">
        <v>193</v>
      </c>
      <c r="BC32" t="s">
        <v>553</v>
      </c>
      <c r="BD32" t="s">
        <v>471</v>
      </c>
      <c r="BE32" t="s">
        <v>192</v>
      </c>
      <c r="BF32" t="s">
        <v>194</v>
      </c>
      <c r="BG32" t="s">
        <v>195</v>
      </c>
      <c r="BH32" t="s">
        <v>29</v>
      </c>
      <c r="BI32" t="s">
        <v>1719</v>
      </c>
      <c r="BJ32" t="s">
        <v>708</v>
      </c>
      <c r="BK32" t="s">
        <v>1720</v>
      </c>
      <c r="BL32" t="s">
        <v>464</v>
      </c>
      <c r="BM32" t="s">
        <v>553</v>
      </c>
      <c r="BN32" t="s">
        <v>9</v>
      </c>
      <c r="BO32">
        <v>13.14</v>
      </c>
      <c r="BP32">
        <v>19.010000000000002</v>
      </c>
      <c r="BQ32">
        <v>-13.13</v>
      </c>
      <c r="BR32">
        <v>26.55</v>
      </c>
      <c r="BS32">
        <v>142.62</v>
      </c>
      <c r="BT32" t="s">
        <v>622</v>
      </c>
      <c r="BU32" t="s">
        <v>560</v>
      </c>
      <c r="BV32">
        <v>2.2799999999999998</v>
      </c>
      <c r="BW32">
        <v>15.56</v>
      </c>
      <c r="BX32">
        <v>0.19</v>
      </c>
      <c r="BY32">
        <v>0.76</v>
      </c>
      <c r="BZ32">
        <v>12.86</v>
      </c>
      <c r="CA32">
        <v>100.17</v>
      </c>
      <c r="CB32">
        <v>0.6</v>
      </c>
      <c r="CC32">
        <v>-17.78</v>
      </c>
      <c r="CD32" t="s">
        <v>1721</v>
      </c>
      <c r="CE32" t="s">
        <v>575</v>
      </c>
      <c r="CF32" s="9">
        <v>-0.96877076411960128</v>
      </c>
      <c r="CG32" s="10">
        <v>-1.2701306461538462</v>
      </c>
      <c r="CH32" s="9">
        <v>37.881935119628906</v>
      </c>
      <c r="CI32" s="9">
        <v>3.3886010646820068</v>
      </c>
      <c r="CJ32" s="9">
        <v>2.9152998924255371</v>
      </c>
      <c r="CK32" s="9">
        <v>-0.97021520137786865</v>
      </c>
      <c r="CL32" s="9">
        <v>-0.17661687731742859</v>
      </c>
      <c r="CM32" s="10">
        <v>3.7706422805786133</v>
      </c>
      <c r="CN32" s="10">
        <v>-0.43523314595222473</v>
      </c>
      <c r="CO32" s="10">
        <v>8.517186164855957</v>
      </c>
      <c r="CP32" s="10">
        <v>-1.8787521123886108</v>
      </c>
      <c r="CQ32" s="10">
        <v>8.4020919799804687</v>
      </c>
      <c r="CR32">
        <v>9.3482574066252333</v>
      </c>
      <c r="CS32">
        <v>1.0860215778983526E-2</v>
      </c>
      <c r="CT32">
        <v>0</v>
      </c>
      <c r="CU32" s="9">
        <v>8.6078007996082313</v>
      </c>
      <c r="CV32" s="10">
        <v>3.6751870334148409</v>
      </c>
      <c r="CW32">
        <v>0.06</v>
      </c>
      <c r="CX32">
        <v>0.45490210595185415</v>
      </c>
      <c r="CY32">
        <v>4713260769.619132</v>
      </c>
      <c r="CZ32">
        <v>8.6078007996082313</v>
      </c>
      <c r="DA32">
        <v>5.628079247321424E-3</v>
      </c>
      <c r="DB32">
        <v>380959854291.39612</v>
      </c>
      <c r="DC32">
        <v>8.1774107596278185</v>
      </c>
      <c r="DD32">
        <v>1.2894456610301536E-5</v>
      </c>
      <c r="DE32">
        <v>166278604426577.78</v>
      </c>
      <c r="DF32">
        <v>7.5748647036552432</v>
      </c>
      <c r="DG32">
        <v>6.8691981682091293E-9</v>
      </c>
      <c r="DH32">
        <v>3.1212846062919475E+17</v>
      </c>
      <c r="DI32">
        <v>6.8862406396865854</v>
      </c>
      <c r="DJ32">
        <v>1.308659178758738E-16</v>
      </c>
      <c r="DK32">
        <v>1.6383732944383966E+25</v>
      </c>
      <c r="DL32">
        <v>6.0254605597257616</v>
      </c>
      <c r="DM32">
        <v>520000000</v>
      </c>
      <c r="DN32">
        <v>8.6078007996082313</v>
      </c>
      <c r="DO32">
        <v>2144072250</v>
      </c>
      <c r="DP32">
        <v>-901419820</v>
      </c>
      <c r="DQ32">
        <v>3092</v>
      </c>
      <c r="DR32">
        <v>-9.5765715637278319</v>
      </c>
      <c r="DS32">
        <v>-4.9453176795686868</v>
      </c>
      <c r="DT32" s="11">
        <v>0.27666666666666662</v>
      </c>
      <c r="DU32">
        <v>-0.59483333333333344</v>
      </c>
      <c r="DV32">
        <v>-0.31816666666666682</v>
      </c>
      <c r="DW32">
        <v>-3.0201309523809523</v>
      </c>
      <c r="DX32">
        <v>0.2930978571428578</v>
      </c>
      <c r="DY32">
        <v>-3.0022767675765305</v>
      </c>
      <c r="DZ32">
        <v>4135</v>
      </c>
      <c r="EA32">
        <v>-3.0004344126002187</v>
      </c>
      <c r="EB32">
        <v>3</v>
      </c>
      <c r="EC32">
        <v>4.0839094478446712E-2</v>
      </c>
      <c r="ED32">
        <v>0.36109521002561246</v>
      </c>
      <c r="EE32" s="12">
        <v>4.9100000000000012E-3</v>
      </c>
      <c r="EF32">
        <v>4.9099999999999994E-3</v>
      </c>
      <c r="EG32">
        <v>18.113097857142858</v>
      </c>
      <c r="EH32">
        <v>-1</v>
      </c>
      <c r="EI32">
        <v>0</v>
      </c>
      <c r="EJ32">
        <v>0</v>
      </c>
      <c r="EK32" s="14">
        <v>45470</v>
      </c>
      <c r="EL32" s="15">
        <v>2.78</v>
      </c>
      <c r="EM32" s="15">
        <v>-2.0699999999999998</v>
      </c>
      <c r="EN32" s="15">
        <v>1.3</v>
      </c>
      <c r="EO32" s="15">
        <v>2.88</v>
      </c>
      <c r="EP32" s="15">
        <v>0</v>
      </c>
    </row>
    <row r="33" spans="1:146" ht="180" x14ac:dyDescent="0.25">
      <c r="A33" s="16" t="s">
        <v>637</v>
      </c>
      <c r="B33" s="8" t="s">
        <v>638</v>
      </c>
      <c r="C33" s="8" t="str">
        <f>"公司是一家集盐、盐化工、医药健康产品等生产及销售为一体的综合性企业，公司主营业务为以精制盐、工业盐等为代表的盐产品；以金属钠、氯酸钠等为代表的精细化工产品；以纯碱为代表的基础化工产品；以苁蓉益肾颗粒、复方甘草片、维蜂盐藻等为代表的医药保健产品。"&amp;CHAR(10)&amp;Basic_Fundamental_Information_Constructure(F33)&amp;CHAR(10)&amp;Basic_Fundamental_Information_Concatenate("盐化工 96.46亿 97.08% 101.17% 31.02%
其他 5.30亿 5.33% 0.47% 2.62%
制盐 1.76亿 1.77% 0.46% 7.66%
药品 5241.96万 0.53% 0.63% 35.37%")</f>
        <v>公司是一家集盐、盐化工、医药健康产品等生产及销售为一体的综合性企业，公司主营业务为以精制盐、工业盐等为代表的盐产品；以金属钠、氯酸钠等为代表的精细化工产品；以纯碱为代表的基础化工产品；以苁蓉益肾颗粒、复方甘草片、维蜂盐藻等为代表的医药保健产品。
市值100.552953亿, 利润9.87亿; PE14.35; 平均PE9.07; 平均PEG2.09, PB.824; ROIC15.5567%; ROE16.4767%; 股利率4.0117%; 毛利25.8833%; 净利11.9533%; 上一年度营收增-56.83%, 利润增-47.08%; 当季营收增23.17%, 利润增-85.96%; 过往5年营收增4.34%, 利润增22.09%
Income profile:
盐化工 96.46亿 97.08% 101.17% 31.02%
其他 5.30亿 5.33% 0.47% 2.62%
制盐 1.76亿 1.77% 0.46% 7.66%
药品 5241.96万 0.53% 0.63% 35.37%</v>
      </c>
      <c r="D33" t="s">
        <v>260</v>
      </c>
      <c r="E33" t="s">
        <v>261</v>
      </c>
      <c r="F33">
        <v>6.83</v>
      </c>
      <c r="G33">
        <v>0.15</v>
      </c>
      <c r="H33" t="s">
        <v>1722</v>
      </c>
      <c r="I33">
        <v>10055295300</v>
      </c>
      <c r="J33">
        <v>14.35</v>
      </c>
      <c r="K33">
        <v>0.82399999999999995</v>
      </c>
      <c r="L33" t="s">
        <v>82</v>
      </c>
      <c r="M33" t="s">
        <v>1723</v>
      </c>
      <c r="N33" t="s">
        <v>1724</v>
      </c>
      <c r="O33" t="s">
        <v>1725</v>
      </c>
      <c r="P33">
        <v>-43.82</v>
      </c>
      <c r="Q33" t="s">
        <v>1726</v>
      </c>
      <c r="R33">
        <v>56295520</v>
      </c>
      <c r="S33" s="5">
        <v>-0.88900000000000001</v>
      </c>
      <c r="T33" t="s">
        <v>744</v>
      </c>
      <c r="U33">
        <v>1459840500</v>
      </c>
      <c r="V33">
        <v>1472224800</v>
      </c>
      <c r="W33">
        <v>1.37</v>
      </c>
      <c r="X33">
        <v>0.15</v>
      </c>
      <c r="Y33">
        <v>2.42</v>
      </c>
      <c r="Z33" t="s">
        <v>934</v>
      </c>
      <c r="AA33" t="s">
        <v>1727</v>
      </c>
      <c r="AB33" t="s">
        <v>1728</v>
      </c>
      <c r="AC33" t="s">
        <v>964</v>
      </c>
      <c r="AD33" t="s">
        <v>9</v>
      </c>
      <c r="AE33">
        <v>9420114</v>
      </c>
      <c r="AF33" t="s">
        <v>1729</v>
      </c>
      <c r="AG33" t="s">
        <v>1730</v>
      </c>
      <c r="AH33" t="s">
        <v>1731</v>
      </c>
      <c r="AI33" t="s">
        <v>1732</v>
      </c>
      <c r="AJ33" t="s">
        <v>1733</v>
      </c>
      <c r="AK33" t="s">
        <v>912</v>
      </c>
      <c r="AL33" t="s">
        <v>1734</v>
      </c>
      <c r="AM33" t="s">
        <v>9</v>
      </c>
      <c r="AN33" t="s">
        <v>1735</v>
      </c>
      <c r="AO33" t="s">
        <v>703</v>
      </c>
      <c r="AP33" t="s">
        <v>677</v>
      </c>
      <c r="AQ33" t="s">
        <v>1481</v>
      </c>
      <c r="AR33" t="s">
        <v>9</v>
      </c>
      <c r="AS33" t="s">
        <v>1736</v>
      </c>
      <c r="AT33" t="s">
        <v>1486</v>
      </c>
      <c r="AU33" t="s">
        <v>1737</v>
      </c>
      <c r="AV33" t="s">
        <v>1203</v>
      </c>
      <c r="AW33" t="s">
        <v>1738</v>
      </c>
      <c r="AX33" t="s">
        <v>1739</v>
      </c>
      <c r="AY33" t="s">
        <v>505</v>
      </c>
      <c r="AZ33" t="s">
        <v>262</v>
      </c>
      <c r="BA33" t="s">
        <v>263</v>
      </c>
      <c r="BB33" t="s">
        <v>264</v>
      </c>
      <c r="BC33" t="s">
        <v>1740</v>
      </c>
      <c r="BD33" t="s">
        <v>388</v>
      </c>
      <c r="BE33" t="s">
        <v>241</v>
      </c>
      <c r="BF33" t="s">
        <v>265</v>
      </c>
      <c r="BG33" t="s">
        <v>54</v>
      </c>
      <c r="BH33" t="s">
        <v>1741</v>
      </c>
      <c r="BI33" t="s">
        <v>1742</v>
      </c>
      <c r="BJ33" t="s">
        <v>1739</v>
      </c>
      <c r="BK33" t="s">
        <v>540</v>
      </c>
      <c r="BL33" t="s">
        <v>872</v>
      </c>
      <c r="BM33" t="s">
        <v>1740</v>
      </c>
      <c r="BN33">
        <v>8.4600000000000009</v>
      </c>
      <c r="BO33">
        <v>19.88</v>
      </c>
      <c r="BP33">
        <v>18.329999999999998</v>
      </c>
      <c r="BQ33">
        <v>6.99</v>
      </c>
      <c r="BR33">
        <v>21.62</v>
      </c>
      <c r="BS33">
        <v>20.82</v>
      </c>
      <c r="BT33" t="s">
        <v>1743</v>
      </c>
      <c r="BU33" t="s">
        <v>574</v>
      </c>
      <c r="BV33">
        <v>23.84</v>
      </c>
      <c r="BW33">
        <v>27.89</v>
      </c>
      <c r="BX33">
        <v>25.92</v>
      </c>
      <c r="BY33">
        <v>9.7799999999999994</v>
      </c>
      <c r="BZ33">
        <v>13.09</v>
      </c>
      <c r="CA33">
        <v>12.99</v>
      </c>
      <c r="CB33">
        <v>-0.44</v>
      </c>
      <c r="CC33">
        <v>-9.89</v>
      </c>
      <c r="CD33" t="s">
        <v>1744</v>
      </c>
      <c r="CE33" t="s">
        <v>394</v>
      </c>
      <c r="CF33" s="9">
        <v>0.23166202414113277</v>
      </c>
      <c r="CG33" s="10">
        <v>-0.8596121695760599</v>
      </c>
      <c r="CH33" s="9">
        <v>-0.56830829381942749</v>
      </c>
      <c r="CI33" s="9">
        <v>0.41996574401855469</v>
      </c>
      <c r="CJ33" s="9">
        <v>0.37526917457580566</v>
      </c>
      <c r="CK33" s="9">
        <v>-9.1730296611785889E-2</v>
      </c>
      <c r="CL33" s="9">
        <v>8.1805385649204254E-2</v>
      </c>
      <c r="CM33" s="10">
        <v>-0.47077745199203491</v>
      </c>
      <c r="CN33" s="10">
        <v>0.26269465684890747</v>
      </c>
      <c r="CO33" s="10">
        <v>1.6660648584365845</v>
      </c>
      <c r="CP33" s="10">
        <v>-0.38100558519363403</v>
      </c>
      <c r="CQ33" s="10">
        <v>2.7554534375667572E-2</v>
      </c>
      <c r="CR33">
        <v>9.073811370130846</v>
      </c>
      <c r="CS33">
        <v>2.0907234350179555</v>
      </c>
      <c r="CT33">
        <v>4.0117130307467059</v>
      </c>
      <c r="CU33" s="9">
        <v>4.3400342762470248E-2</v>
      </c>
      <c r="CV33" s="10">
        <v>0.22090620249509813</v>
      </c>
      <c r="CW33">
        <v>0.06</v>
      </c>
      <c r="CX33">
        <v>2.1834279594203312</v>
      </c>
      <c r="CY33">
        <v>971543526.70430005</v>
      </c>
      <c r="CZ33">
        <v>4.3400342762470248E-2</v>
      </c>
      <c r="DA33">
        <v>0.74239430192056388</v>
      </c>
      <c r="DB33">
        <v>2857370125.972465</v>
      </c>
      <c r="DC33">
        <v>4.1230325624346732E-2</v>
      </c>
      <c r="DD33">
        <v>0.38499694673845636</v>
      </c>
      <c r="DE33">
        <v>5509901618.6252556</v>
      </c>
      <c r="DF33">
        <v>3.819230163097382E-2</v>
      </c>
      <c r="DG33">
        <v>0.24484808334825411</v>
      </c>
      <c r="DH33">
        <v>8663720258.6667824</v>
      </c>
      <c r="DI33">
        <v>3.4720274209976199E-2</v>
      </c>
      <c r="DJ33">
        <v>0.14279327850573104</v>
      </c>
      <c r="DK33">
        <v>14855708351.250322</v>
      </c>
      <c r="DL33">
        <v>3.038023993372917E-2</v>
      </c>
      <c r="DM33">
        <v>986999999.99999988</v>
      </c>
      <c r="DN33">
        <v>4.3400342762470248E-2</v>
      </c>
      <c r="DO33">
        <v>2121295300.0000019</v>
      </c>
      <c r="DP33">
        <v>163554700</v>
      </c>
      <c r="DQ33">
        <v>3100</v>
      </c>
      <c r="DR33">
        <v>0.1882616813786625</v>
      </c>
      <c r="DS33">
        <v>-1.080518372071158</v>
      </c>
      <c r="DT33" s="11">
        <v>-0.32333333333333331</v>
      </c>
      <c r="DU33">
        <v>-0.30666666666666664</v>
      </c>
      <c r="DV33">
        <v>-0.62999999999999989</v>
      </c>
      <c r="DW33">
        <v>-2.0989</v>
      </c>
      <c r="DX33">
        <v>0.4013548872180468</v>
      </c>
      <c r="DY33">
        <v>-2.0120019983458648</v>
      </c>
      <c r="DZ33">
        <v>3232</v>
      </c>
      <c r="EA33">
        <v>-2.0044109105466799</v>
      </c>
      <c r="EB33">
        <v>2</v>
      </c>
      <c r="EC33">
        <v>2.192627104230278E-2</v>
      </c>
      <c r="ED33">
        <v>0.18067892892444143</v>
      </c>
      <c r="EE33" s="12">
        <v>-2.0223100000000001</v>
      </c>
      <c r="EF33">
        <v>-2.0550100000000002</v>
      </c>
      <c r="EG33">
        <v>28.121354887218047</v>
      </c>
      <c r="EH33" t="s">
        <v>892</v>
      </c>
      <c r="EI33">
        <v>0</v>
      </c>
      <c r="EJ33">
        <v>0</v>
      </c>
      <c r="EK33" s="14">
        <v>45470</v>
      </c>
      <c r="EL33" s="15">
        <v>0.28999999999999998</v>
      </c>
      <c r="EM33" s="15">
        <v>-5.59</v>
      </c>
      <c r="EN33" s="15">
        <v>2.1800000000000002</v>
      </c>
      <c r="EO33" s="15">
        <v>2.44</v>
      </c>
      <c r="EP33" s="15">
        <v>-3.27</v>
      </c>
    </row>
    <row r="34" spans="1:146" ht="96" x14ac:dyDescent="0.25">
      <c r="A34" s="8"/>
      <c r="B34" s="8"/>
      <c r="C34" s="8" t="str">
        <f>""&amp;CHAR(10)&amp;Basic_Fundamental_Information_Constructure(F34)&amp;CHAR(10)&amp;Basic_Fundamental_Information_Concatenate("")</f>
        <v xml:space="preserve">
市值33.737846亿, 利润6.61亿; PE86.06; 平均PE14.3; 平均PEG1.79, PB1.46; ROIC9.4133%; ROE9.7667%; 股利率.1011%; 毛利18.9133%; 净利8.16%; 上一年度营收增-42.76%, 利润增207.44%; 当季营收增34.33%, 利润增-96.8%; 过往5年营收增7.99%, 利润增110.45%
Income profile:
</v>
      </c>
      <c r="D34" t="s">
        <v>266</v>
      </c>
      <c r="E34" t="s">
        <v>267</v>
      </c>
      <c r="F34">
        <v>9.89</v>
      </c>
      <c r="G34">
        <v>0.92</v>
      </c>
      <c r="H34" t="s">
        <v>1745</v>
      </c>
      <c r="I34">
        <v>3373784600</v>
      </c>
      <c r="J34">
        <v>86.06</v>
      </c>
      <c r="K34">
        <v>1.46</v>
      </c>
      <c r="L34" t="s">
        <v>82</v>
      </c>
      <c r="M34" t="s">
        <v>904</v>
      </c>
      <c r="N34" t="s">
        <v>883</v>
      </c>
      <c r="O34" t="s">
        <v>609</v>
      </c>
      <c r="P34">
        <v>2.64</v>
      </c>
      <c r="Q34" t="s">
        <v>580</v>
      </c>
      <c r="R34">
        <v>6337306</v>
      </c>
      <c r="S34" s="5">
        <v>1.988</v>
      </c>
      <c r="T34" t="s">
        <v>1746</v>
      </c>
      <c r="U34">
        <v>321973180</v>
      </c>
      <c r="V34">
        <v>341130900</v>
      </c>
      <c r="W34">
        <v>1.23</v>
      </c>
      <c r="X34">
        <v>0.16</v>
      </c>
      <c r="Y34">
        <v>1.65</v>
      </c>
      <c r="Z34" t="s">
        <v>1747</v>
      </c>
      <c r="AA34" t="s">
        <v>1748</v>
      </c>
      <c r="AB34" t="s">
        <v>1749</v>
      </c>
      <c r="AC34" t="s">
        <v>1750</v>
      </c>
      <c r="AD34" t="s">
        <v>9</v>
      </c>
      <c r="AE34">
        <v>-2573274</v>
      </c>
      <c r="AF34" t="s">
        <v>23</v>
      </c>
      <c r="AG34" t="s">
        <v>1751</v>
      </c>
      <c r="AH34" t="s">
        <v>1752</v>
      </c>
      <c r="AI34" t="s">
        <v>89</v>
      </c>
      <c r="AJ34" t="s">
        <v>1753</v>
      </c>
      <c r="AK34" t="s">
        <v>1754</v>
      </c>
      <c r="AL34" t="s">
        <v>1755</v>
      </c>
      <c r="AM34" t="s">
        <v>9</v>
      </c>
      <c r="AN34" t="s">
        <v>1756</v>
      </c>
      <c r="AO34" t="s">
        <v>1757</v>
      </c>
      <c r="AP34" t="s">
        <v>9</v>
      </c>
      <c r="AQ34" t="s">
        <v>713</v>
      </c>
      <c r="AR34" t="s">
        <v>9</v>
      </c>
      <c r="AS34" t="s">
        <v>1758</v>
      </c>
      <c r="AT34" t="s">
        <v>9</v>
      </c>
      <c r="AU34" t="s">
        <v>1759</v>
      </c>
      <c r="AV34" t="s">
        <v>1760</v>
      </c>
      <c r="AW34" t="s">
        <v>1761</v>
      </c>
      <c r="AX34" t="s">
        <v>709</v>
      </c>
      <c r="AY34" t="s">
        <v>712</v>
      </c>
      <c r="AZ34" t="s">
        <v>136</v>
      </c>
      <c r="BA34" t="s">
        <v>269</v>
      </c>
      <c r="BB34" t="s">
        <v>56</v>
      </c>
      <c r="BC34" t="s">
        <v>710</v>
      </c>
      <c r="BD34" t="s">
        <v>713</v>
      </c>
      <c r="BE34" t="s">
        <v>268</v>
      </c>
      <c r="BF34" t="s">
        <v>270</v>
      </c>
      <c r="BG34" t="s">
        <v>147</v>
      </c>
      <c r="BH34" t="s">
        <v>1762</v>
      </c>
      <c r="BI34" t="s">
        <v>1247</v>
      </c>
      <c r="BJ34" t="s">
        <v>709</v>
      </c>
      <c r="BK34" t="s">
        <v>1763</v>
      </c>
      <c r="BL34" t="s">
        <v>1014</v>
      </c>
      <c r="BM34" t="s">
        <v>710</v>
      </c>
      <c r="BN34">
        <v>1.01</v>
      </c>
      <c r="BO34">
        <v>10.95</v>
      </c>
      <c r="BP34">
        <v>16.28</v>
      </c>
      <c r="BQ34">
        <v>1.07</v>
      </c>
      <c r="BR34">
        <v>10.75</v>
      </c>
      <c r="BS34">
        <v>17.48</v>
      </c>
      <c r="BT34" t="s">
        <v>1764</v>
      </c>
      <c r="BU34" t="s">
        <v>574</v>
      </c>
      <c r="BV34">
        <v>12.96</v>
      </c>
      <c r="BW34">
        <v>19.45</v>
      </c>
      <c r="BX34">
        <v>24.33</v>
      </c>
      <c r="BY34">
        <v>2</v>
      </c>
      <c r="BZ34">
        <v>8.41</v>
      </c>
      <c r="CA34">
        <v>14.07</v>
      </c>
      <c r="CB34">
        <v>-0.2</v>
      </c>
      <c r="CC34">
        <v>-19</v>
      </c>
      <c r="CD34" t="s">
        <v>1765</v>
      </c>
      <c r="CE34" t="s">
        <v>610</v>
      </c>
      <c r="CF34" s="9">
        <v>0.34332425068119893</v>
      </c>
      <c r="CG34" s="10">
        <v>-0.96799340404040402</v>
      </c>
      <c r="CH34" s="9">
        <v>-0.4276200532913208</v>
      </c>
      <c r="CI34" s="9">
        <v>0.12322831898927689</v>
      </c>
      <c r="CJ34" s="9">
        <v>0.84325110912322998</v>
      </c>
      <c r="CK34" s="9">
        <v>-9.5206864178180695E-2</v>
      </c>
      <c r="CL34" s="9">
        <v>-4.3942168354988098E-2</v>
      </c>
      <c r="CM34" s="10">
        <v>2.0744185447692871</v>
      </c>
      <c r="CN34" s="10">
        <v>-0.26870748400688171</v>
      </c>
      <c r="CO34" s="10">
        <v>4.3354144096374512</v>
      </c>
      <c r="CP34" s="10">
        <v>-0.26313209533691406</v>
      </c>
      <c r="CQ34" s="10">
        <v>-0.35533875226974487</v>
      </c>
      <c r="CR34">
        <v>14.296866650535405</v>
      </c>
      <c r="CS34">
        <v>1.7884033934045147</v>
      </c>
      <c r="CT34">
        <v>0.10111223458038422</v>
      </c>
      <c r="CU34" s="9">
        <v>7.994206845760346E-2</v>
      </c>
      <c r="CV34" s="10">
        <v>1.1045309245586394</v>
      </c>
      <c r="CW34">
        <v>0.06</v>
      </c>
      <c r="CX34">
        <v>2.1364844061498105</v>
      </c>
      <c r="CY34">
        <v>673435572.8778075</v>
      </c>
      <c r="CZ34">
        <v>7.994206845760346E-2</v>
      </c>
      <c r="DA34">
        <v>0.70416171982794273</v>
      </c>
      <c r="DB34">
        <v>2043258756.456624</v>
      </c>
      <c r="DC34">
        <v>7.5944965034723283E-2</v>
      </c>
      <c r="DD34">
        <v>0.35060237907204833</v>
      </c>
      <c r="DE34">
        <v>4103750247.810873</v>
      </c>
      <c r="DF34">
        <v>7.0349020242691046E-2</v>
      </c>
      <c r="DG34">
        <v>0.21324401032262208</v>
      </c>
      <c r="DH34">
        <v>6747127845.810195</v>
      </c>
      <c r="DI34">
        <v>6.3953654766082765E-2</v>
      </c>
      <c r="DJ34">
        <v>0.11325948487494808</v>
      </c>
      <c r="DK34">
        <v>12703435845.471035</v>
      </c>
      <c r="DL34">
        <v>5.5959447920322418E-2</v>
      </c>
      <c r="DM34">
        <v>661000000</v>
      </c>
      <c r="DN34">
        <v>7.994206845760346E-2</v>
      </c>
      <c r="DO34">
        <v>1438784600</v>
      </c>
      <c r="DP34">
        <v>1296415100</v>
      </c>
      <c r="DQ34">
        <v>3131</v>
      </c>
      <c r="DR34">
        <v>0.26338218222359544</v>
      </c>
      <c r="DS34">
        <v>-2.0725243285990436</v>
      </c>
      <c r="DT34" s="11">
        <v>-0.34</v>
      </c>
      <c r="DU34">
        <v>-0.12166666666666666</v>
      </c>
      <c r="DV34">
        <v>-0.46166666666666667</v>
      </c>
      <c r="DW34">
        <v>-3.0339285714285715</v>
      </c>
      <c r="DX34">
        <v>0.22634444444444435</v>
      </c>
      <c r="DY34">
        <v>-3.0029295436507937</v>
      </c>
      <c r="DZ34">
        <v>3943</v>
      </c>
      <c r="EA34">
        <v>-3.0006690366811108</v>
      </c>
      <c r="EB34">
        <v>3</v>
      </c>
      <c r="EC34">
        <v>6.6062323876259821E-2</v>
      </c>
      <c r="ED34">
        <v>0.76510219390855538</v>
      </c>
      <c r="EE34" s="12">
        <v>-2.0564100000000001</v>
      </c>
      <c r="EF34">
        <v>-2.07721</v>
      </c>
      <c r="EG34">
        <v>14.086344444444444</v>
      </c>
      <c r="EH34" t="s">
        <v>892</v>
      </c>
      <c r="EI34">
        <v>0</v>
      </c>
      <c r="EJ34">
        <v>0</v>
      </c>
      <c r="EK34" s="14">
        <v>45470</v>
      </c>
      <c r="EL34" s="15">
        <v>-1.31</v>
      </c>
      <c r="EM34" s="15">
        <v>-4.18</v>
      </c>
      <c r="EN34" s="15">
        <v>0.4</v>
      </c>
      <c r="EO34" s="15">
        <v>4.3499999999999996</v>
      </c>
      <c r="EP34" s="15">
        <v>-2.08</v>
      </c>
    </row>
    <row r="35" spans="1:146" ht="228" x14ac:dyDescent="0.25">
      <c r="A35" s="8"/>
      <c r="B35" s="8"/>
      <c r="C35" s="8" t="str">
        <f>"公司主要从事粘胶短纤维、纯碱、烧碱、聚氯乙烯、混合甲基环硅氧烷等系列产品的生产、销售,属于化学原料及化学制品制造业。公司的主要产品包括纯碱、氯化钙、烧碱、聚氯乙烯、混合甲基环硅氧烷等,主要应用于玻璃、有色金属、合成洗涤剂、化学建材等行业。"&amp;CHAR(10)&amp;Basic_Fundamental_Information_Constructure(F35)&amp;CHAR(10)&amp;Basic_Fundamental_Information_Concatenate("粘胶短纤维 82.84亿 35.73% 19.34% 11.97%
纯碱 62.51亿 26.97% 38.37% 31.47%
其他产品 21.25亿 9.17% 6.00% 14.48%
二甲基硅氧烷混合环体 11.40亿 4.92% 7.34% 33.05%
高温胶 10.47亿 4.52% 6.80% 33.29%
烧碱 9.00亿 3.88% 8.17% 46.51%
室温胶 5.65亿 2.44% 3.72% 33.82%
石灰石 4.28亿 1.85% 5.06% 60.63%")</f>
        <v>公司主要从事粘胶短纤维、纯碱、烧碱、聚氯乙烯、混合甲基环硅氧烷等系列产品的生产、销售,属于化学原料及化学制品制造业。公司的主要产品包括纯碱、氯化钙、烧碱、聚氯乙烯、混合甲基环硅氧烷等,主要应用于玻璃、有色金属、合成洗涤剂、化学建材等行业。
市值111.681305亿, 利润-2.21亿; PE15.07; 平均PE12.35; 平均PEG1, PB.819; ROIC7.11%; ROE8.0067%; 股利率1.5342%; 毛利20.59%; 净利5.94%; 上一年度营收增-82.42%, 利润增-122.35%; 当季营收增456.67%, 利润增27%; 过往5年营收增-12.31%, 利润增-16.41%
Income profile:
粘胶短纤维 82.84亿 35.73% 19.34% 11.97%
纯碱 62.51亿 26.97% 38.37% 31.47%
其他产品 21.25亿 9.17% 6.00% 14.48%
二甲基硅氧烷混合环体 11.40亿 4.92% 7.34% 33.05%
高温胶 10.47亿 4.52% 6.80% 33.29%
烧碱 9.00亿 3.88% 8.17% 46.51%
室温胶 5.65亿 2.44% 3.72% 33.82%
石灰石 4.28亿 1.85% 5.06% 60.63%</v>
      </c>
      <c r="D35" t="s">
        <v>108</v>
      </c>
      <c r="E35" t="s">
        <v>109</v>
      </c>
      <c r="F35">
        <v>5.41</v>
      </c>
      <c r="G35">
        <v>2.66</v>
      </c>
      <c r="H35" t="s">
        <v>1766</v>
      </c>
      <c r="I35">
        <v>11168130500</v>
      </c>
      <c r="J35">
        <v>15.07</v>
      </c>
      <c r="K35">
        <v>0.81899999999999995</v>
      </c>
      <c r="L35" t="s">
        <v>82</v>
      </c>
      <c r="M35" t="s">
        <v>1767</v>
      </c>
      <c r="N35" t="s">
        <v>1768</v>
      </c>
      <c r="O35" t="s">
        <v>1769</v>
      </c>
      <c r="P35">
        <v>-4.45</v>
      </c>
      <c r="Q35" t="s">
        <v>1770</v>
      </c>
      <c r="R35">
        <v>77937277</v>
      </c>
      <c r="S35" s="5">
        <v>1.8009999999999999</v>
      </c>
      <c r="T35" t="s">
        <v>1771</v>
      </c>
      <c r="U35">
        <v>2064349400</v>
      </c>
      <c r="V35">
        <v>2064349400</v>
      </c>
      <c r="W35">
        <v>1.69</v>
      </c>
      <c r="X35">
        <v>0.2</v>
      </c>
      <c r="Y35">
        <v>2.69</v>
      </c>
      <c r="Z35" t="s">
        <v>1772</v>
      </c>
      <c r="AA35" t="s">
        <v>1773</v>
      </c>
      <c r="AB35" t="s">
        <v>1774</v>
      </c>
      <c r="AC35" t="s">
        <v>906</v>
      </c>
      <c r="AD35" t="s">
        <v>9</v>
      </c>
      <c r="AE35">
        <v>48956773</v>
      </c>
      <c r="AF35" t="s">
        <v>1775</v>
      </c>
      <c r="AG35" t="s">
        <v>1776</v>
      </c>
      <c r="AH35" t="s">
        <v>1777</v>
      </c>
      <c r="AI35" t="s">
        <v>1778</v>
      </c>
      <c r="AJ35" t="s">
        <v>1779</v>
      </c>
      <c r="AK35" t="s">
        <v>1780</v>
      </c>
      <c r="AL35" t="s">
        <v>1781</v>
      </c>
      <c r="AM35" t="s">
        <v>9</v>
      </c>
      <c r="AN35" t="s">
        <v>1782</v>
      </c>
      <c r="AO35" t="s">
        <v>1783</v>
      </c>
      <c r="AP35" t="s">
        <v>1784</v>
      </c>
      <c r="AQ35" t="s">
        <v>1785</v>
      </c>
      <c r="AR35" t="s">
        <v>1786</v>
      </c>
      <c r="AS35" t="s">
        <v>1787</v>
      </c>
      <c r="AT35" t="s">
        <v>1788</v>
      </c>
      <c r="AU35" t="s">
        <v>1789</v>
      </c>
      <c r="AV35" t="s">
        <v>1790</v>
      </c>
      <c r="AW35" t="s">
        <v>1791</v>
      </c>
      <c r="AX35" t="s">
        <v>714</v>
      </c>
      <c r="AY35" t="s">
        <v>506</v>
      </c>
      <c r="AZ35" t="s">
        <v>110</v>
      </c>
      <c r="BA35" t="s">
        <v>116</v>
      </c>
      <c r="BB35" t="s">
        <v>117</v>
      </c>
      <c r="BC35" t="s">
        <v>715</v>
      </c>
      <c r="BD35" t="s">
        <v>507</v>
      </c>
      <c r="BE35" t="s">
        <v>111</v>
      </c>
      <c r="BF35" t="s">
        <v>118</v>
      </c>
      <c r="BG35" t="s">
        <v>119</v>
      </c>
      <c r="BH35" t="s">
        <v>1792</v>
      </c>
      <c r="BI35" t="s">
        <v>1534</v>
      </c>
      <c r="BJ35" t="s">
        <v>714</v>
      </c>
      <c r="BK35" t="s">
        <v>1793</v>
      </c>
      <c r="BL35" t="s">
        <v>1794</v>
      </c>
      <c r="BM35" t="s">
        <v>715</v>
      </c>
      <c r="BN35">
        <v>3.68</v>
      </c>
      <c r="BO35">
        <v>7.21</v>
      </c>
      <c r="BP35">
        <v>10.44</v>
      </c>
      <c r="BQ35">
        <v>2.62</v>
      </c>
      <c r="BR35">
        <v>7.63</v>
      </c>
      <c r="BS35">
        <v>13.77</v>
      </c>
      <c r="BT35" t="s">
        <v>1795</v>
      </c>
      <c r="BU35" t="s">
        <v>562</v>
      </c>
      <c r="BV35">
        <v>20.34</v>
      </c>
      <c r="BW35">
        <v>19.309999999999999</v>
      </c>
      <c r="BX35">
        <v>22.12</v>
      </c>
      <c r="BY35">
        <v>4.25</v>
      </c>
      <c r="BZ35">
        <v>5.59</v>
      </c>
      <c r="CA35">
        <v>7.98</v>
      </c>
      <c r="CB35">
        <v>7.77</v>
      </c>
      <c r="CC35">
        <v>-3.17</v>
      </c>
      <c r="CD35" t="s">
        <v>964</v>
      </c>
      <c r="CE35" t="s">
        <v>1796</v>
      </c>
      <c r="CF35" s="9">
        <v>4.5667022411953049</v>
      </c>
      <c r="CG35" s="10">
        <v>0.26998830018657782</v>
      </c>
      <c r="CH35" s="9">
        <v>-0.82419764995574951</v>
      </c>
      <c r="CI35" s="9">
        <v>2.1482178941369057E-2</v>
      </c>
      <c r="CJ35" s="9">
        <v>0.30382448434829712</v>
      </c>
      <c r="CK35" s="9">
        <v>-0.13331706821918488</v>
      </c>
      <c r="CL35" s="9">
        <v>1.6902953386306763E-2</v>
      </c>
      <c r="CM35" s="10">
        <v>-1.2234580516815186</v>
      </c>
      <c r="CN35" s="10">
        <v>-0.40813887119293213</v>
      </c>
      <c r="CO35" s="10">
        <v>1.3305439949035645</v>
      </c>
      <c r="CP35" s="10">
        <v>4.9780379980802536E-2</v>
      </c>
      <c r="CQ35" s="10">
        <v>-0.56935685873031616</v>
      </c>
      <c r="CR35">
        <v>12.35184940092166</v>
      </c>
      <c r="CS35">
        <v>1.003717454221571</v>
      </c>
      <c r="CT35">
        <v>1.5341959334565618</v>
      </c>
      <c r="CU35" s="9">
        <v>-0.1230610202997923</v>
      </c>
      <c r="CV35" s="10">
        <v>-0.16412588134407996</v>
      </c>
      <c r="CW35">
        <v>0.06</v>
      </c>
      <c r="CX35" t="e">
        <v>#VALUE!</v>
      </c>
      <c r="CY35" t="s">
        <v>556</v>
      </c>
      <c r="CZ35">
        <v>-0.1230610202997923</v>
      </c>
      <c r="DA35" t="e">
        <v>#VALUE!</v>
      </c>
      <c r="DB35" t="s">
        <v>556</v>
      </c>
      <c r="DC35">
        <v>-0.11690796928480268</v>
      </c>
      <c r="DD35" t="e">
        <v>#VALUE!</v>
      </c>
      <c r="DE35" t="s">
        <v>556</v>
      </c>
      <c r="DF35">
        <v>-0.10829369786381722</v>
      </c>
      <c r="DG35" t="e">
        <v>#VALUE!</v>
      </c>
      <c r="DH35" t="s">
        <v>556</v>
      </c>
      <c r="DI35">
        <v>-9.8448816239833842E-2</v>
      </c>
      <c r="DJ35" t="e">
        <v>#VALUE!</v>
      </c>
      <c r="DK35" t="s">
        <v>556</v>
      </c>
      <c r="DL35">
        <v>-8.6142714209854601E-2</v>
      </c>
      <c r="DM35">
        <v>-221000000</v>
      </c>
      <c r="DN35">
        <v>-0.1230610202997923</v>
      </c>
      <c r="DO35">
        <v>6683130499.9999981</v>
      </c>
      <c r="DP35">
        <v>2405403700</v>
      </c>
      <c r="DQ35">
        <v>3164</v>
      </c>
      <c r="DR35">
        <v>4.6897632614950968</v>
      </c>
      <c r="DS35">
        <v>0.43411418153065778</v>
      </c>
      <c r="DT35" s="11">
        <v>-0.64</v>
      </c>
      <c r="DU35">
        <v>-0.95333333333333348</v>
      </c>
      <c r="DV35">
        <v>-1.5933333333333335</v>
      </c>
      <c r="DW35">
        <v>5.4079794079794077</v>
      </c>
      <c r="DX35">
        <v>0.55965517241379081</v>
      </c>
      <c r="DY35">
        <v>5.097774375360582</v>
      </c>
      <c r="DZ35">
        <v>4960</v>
      </c>
      <c r="EA35">
        <v>5.0028700892962989</v>
      </c>
      <c r="EB35">
        <v>5</v>
      </c>
      <c r="EC35">
        <v>6.7333562816449574E-2</v>
      </c>
      <c r="ED35">
        <v>0.28096019016935797</v>
      </c>
      <c r="EE35" s="12">
        <v>-3.0785999999999998</v>
      </c>
      <c r="EF35">
        <v>-3.0661</v>
      </c>
      <c r="EG35">
        <v>32.239655172413791</v>
      </c>
      <c r="EH35" t="s">
        <v>962</v>
      </c>
      <c r="EI35">
        <v>1</v>
      </c>
      <c r="EJ35">
        <v>0</v>
      </c>
      <c r="EK35" s="14">
        <v>45470</v>
      </c>
      <c r="EL35" s="15">
        <v>0</v>
      </c>
      <c r="EM35" s="15">
        <v>-4.91</v>
      </c>
      <c r="EN35" s="15">
        <v>0.65</v>
      </c>
      <c r="EO35" s="15">
        <v>2.56</v>
      </c>
      <c r="EP35" s="15">
        <v>-1.25</v>
      </c>
    </row>
    <row r="36" spans="1:146" ht="96" x14ac:dyDescent="0.25">
      <c r="A36" s="8"/>
      <c r="B36" s="8"/>
      <c r="C36" s="8" t="str">
        <f>""&amp;CHAR(10)&amp;Basic_Fundamental_Information_Constructure(F36)&amp;CHAR(10)&amp;Basic_Fundamental_Information_Concatenate("")</f>
        <v xml:space="preserve">
市值18.769333亿, 利润4.63亿; PE25.44; 平均PE-11.77; 平均PEG-.02, PB3.59; ROIC0%; ROE4.4233%; 股利率0%; 毛利18.9867%; 净利28.5167%; 上一年度营收增3107.14%, 利润增2819.98%; 当季营收增-94.77%, 利润增-64.17%; 过往5年营收增596.66%, 利润增484.71%
Income profile:
</v>
      </c>
      <c r="D36" t="s">
        <v>349</v>
      </c>
      <c r="E36" t="s">
        <v>350</v>
      </c>
      <c r="F36">
        <v>2.35</v>
      </c>
      <c r="G36">
        <v>2.17</v>
      </c>
      <c r="H36" t="s">
        <v>1797</v>
      </c>
      <c r="I36">
        <v>1876933300</v>
      </c>
      <c r="J36">
        <v>25.44</v>
      </c>
      <c r="K36">
        <v>3.59</v>
      </c>
      <c r="L36" t="s">
        <v>82</v>
      </c>
      <c r="M36" t="s">
        <v>1798</v>
      </c>
      <c r="N36" t="s">
        <v>327</v>
      </c>
      <c r="O36" t="s">
        <v>1799</v>
      </c>
      <c r="P36">
        <v>10.210000000000001</v>
      </c>
      <c r="Q36" t="s">
        <v>1800</v>
      </c>
      <c r="R36">
        <v>2537664</v>
      </c>
      <c r="S36" s="5">
        <v>0.25629999999999997</v>
      </c>
      <c r="T36" t="s">
        <v>1084</v>
      </c>
      <c r="U36">
        <v>798695030</v>
      </c>
      <c r="V36">
        <v>798695030</v>
      </c>
      <c r="W36">
        <v>1.06</v>
      </c>
      <c r="X36">
        <v>0.06</v>
      </c>
      <c r="Y36">
        <v>7.82</v>
      </c>
      <c r="Z36" t="s">
        <v>1801</v>
      </c>
      <c r="AA36" t="s">
        <v>1802</v>
      </c>
      <c r="AB36" t="s">
        <v>1803</v>
      </c>
      <c r="AC36" t="s">
        <v>1804</v>
      </c>
      <c r="AD36" t="s">
        <v>9</v>
      </c>
      <c r="AE36">
        <v>-3452282</v>
      </c>
      <c r="AF36" t="s">
        <v>23</v>
      </c>
      <c r="AG36">
        <v>0.24</v>
      </c>
      <c r="AH36" t="s">
        <v>1805</v>
      </c>
      <c r="AI36" t="s">
        <v>1748</v>
      </c>
      <c r="AJ36" t="s">
        <v>1806</v>
      </c>
      <c r="AK36" t="s">
        <v>1807</v>
      </c>
      <c r="AL36" t="s">
        <v>1808</v>
      </c>
      <c r="AM36" t="s">
        <v>9</v>
      </c>
      <c r="AN36" t="s">
        <v>1809</v>
      </c>
      <c r="AO36" t="s">
        <v>9</v>
      </c>
      <c r="AP36" t="s">
        <v>9</v>
      </c>
      <c r="AQ36" t="s">
        <v>1810</v>
      </c>
      <c r="AR36" t="s">
        <v>1811</v>
      </c>
      <c r="AS36" t="s">
        <v>1812</v>
      </c>
      <c r="AT36" t="s">
        <v>9</v>
      </c>
      <c r="AU36" t="s">
        <v>1813</v>
      </c>
      <c r="AV36" t="s">
        <v>1814</v>
      </c>
      <c r="AW36" t="s">
        <v>1815</v>
      </c>
      <c r="AX36" t="s">
        <v>575</v>
      </c>
      <c r="AY36" t="s">
        <v>42</v>
      </c>
      <c r="AZ36" t="s">
        <v>113</v>
      </c>
      <c r="BA36" t="s">
        <v>63</v>
      </c>
      <c r="BB36" t="s">
        <v>352</v>
      </c>
      <c r="BC36" t="s">
        <v>716</v>
      </c>
      <c r="BD36" t="s">
        <v>509</v>
      </c>
      <c r="BE36" t="s">
        <v>351</v>
      </c>
      <c r="BF36" t="s">
        <v>353</v>
      </c>
      <c r="BG36" t="s">
        <v>55</v>
      </c>
      <c r="BH36" t="s">
        <v>208</v>
      </c>
      <c r="BI36" t="s">
        <v>1816</v>
      </c>
      <c r="BJ36" t="s">
        <v>575</v>
      </c>
      <c r="BK36" t="s">
        <v>1817</v>
      </c>
      <c r="BL36" t="s">
        <v>1818</v>
      </c>
      <c r="BM36" t="s">
        <v>716</v>
      </c>
      <c r="BN36" t="s">
        <v>9</v>
      </c>
      <c r="BO36" t="s">
        <v>9</v>
      </c>
      <c r="BP36" t="s">
        <v>9</v>
      </c>
      <c r="BQ36">
        <v>2.52</v>
      </c>
      <c r="BR36">
        <v>3.68</v>
      </c>
      <c r="BS36">
        <v>7.07</v>
      </c>
      <c r="BT36" t="s">
        <v>622</v>
      </c>
      <c r="BU36" t="s">
        <v>500</v>
      </c>
      <c r="BV36">
        <v>19.34</v>
      </c>
      <c r="BW36">
        <v>17.43</v>
      </c>
      <c r="BX36">
        <v>20.190000000000001</v>
      </c>
      <c r="BY36">
        <v>51.62</v>
      </c>
      <c r="BZ36">
        <v>11.29</v>
      </c>
      <c r="CA36">
        <v>22.64</v>
      </c>
      <c r="CB36">
        <v>1.73</v>
      </c>
      <c r="CC36">
        <v>-16.37</v>
      </c>
      <c r="CD36" t="s">
        <v>1819</v>
      </c>
      <c r="CE36" t="s">
        <v>1820</v>
      </c>
      <c r="CF36" s="9">
        <v>-0.94767532258064513</v>
      </c>
      <c r="CG36" s="10">
        <v>-0.64172469292672596</v>
      </c>
      <c r="CH36" s="9">
        <v>31.071430206298828</v>
      </c>
      <c r="CI36" s="9">
        <v>0.10236220806837082</v>
      </c>
      <c r="CJ36" s="9">
        <v>0.18691588938236237</v>
      </c>
      <c r="CK36" s="9">
        <v>-0.71390372514724731</v>
      </c>
      <c r="CL36" s="9">
        <v>-0.81383770704269409</v>
      </c>
      <c r="CM36" s="10">
        <v>28.199750900268555</v>
      </c>
      <c r="CN36" s="10">
        <v>-0.44971871376037598</v>
      </c>
      <c r="CO36" s="10">
        <v>1.2659636735916138</v>
      </c>
      <c r="CP36" s="10">
        <v>1.0068111419677734</v>
      </c>
      <c r="CQ36" s="10">
        <v>-5.7871794700622559</v>
      </c>
      <c r="CR36">
        <v>-11.772374892903331</v>
      </c>
      <c r="CS36">
        <v>-1.9730479612683406E-2</v>
      </c>
      <c r="CT36">
        <v>0</v>
      </c>
      <c r="CU36" s="9">
        <v>5.9665933743119242</v>
      </c>
      <c r="CV36" s="10">
        <v>4.8471255064010617</v>
      </c>
      <c r="CW36">
        <v>0.06</v>
      </c>
      <c r="CX36">
        <v>0.45783960435708532</v>
      </c>
      <c r="CY36">
        <v>3042955407.836246</v>
      </c>
      <c r="CZ36">
        <v>5.9665933743119242</v>
      </c>
      <c r="DA36">
        <v>1.0206360293529226E-2</v>
      </c>
      <c r="DB36">
        <v>136501696974.51025</v>
      </c>
      <c r="DC36">
        <v>5.6682637055963276</v>
      </c>
      <c r="DD36">
        <v>5.943444500868708E-5</v>
      </c>
      <c r="DE36">
        <v>23440708494819.27</v>
      </c>
      <c r="DF36">
        <v>5.2506021693944929</v>
      </c>
      <c r="DG36">
        <v>1.0694609552329432E-7</v>
      </c>
      <c r="DH36">
        <v>1.3026987971679108E+16</v>
      </c>
      <c r="DI36">
        <v>4.7732746994495399</v>
      </c>
      <c r="DJ36">
        <v>4.019034345244154E-14</v>
      </c>
      <c r="DK36">
        <v>3.4664682615827826E+22</v>
      </c>
      <c r="DL36">
        <v>4.1766153620183468</v>
      </c>
      <c r="DM36">
        <v>463000000</v>
      </c>
      <c r="DN36">
        <v>5.9665933743119242</v>
      </c>
      <c r="DO36">
        <v>1393185500</v>
      </c>
      <c r="DP36">
        <v>427834430</v>
      </c>
      <c r="DQ36">
        <v>3173</v>
      </c>
      <c r="DR36">
        <v>-6.9142686968925693</v>
      </c>
      <c r="DS36">
        <v>-5.4888501993277874</v>
      </c>
      <c r="DT36" s="11">
        <v>-0.43999999999999995</v>
      </c>
      <c r="DU36">
        <v>-0.40666666666666673</v>
      </c>
      <c r="DV36">
        <v>-0.84666666666666668</v>
      </c>
      <c r="DW36">
        <v>-3.0041845238095237</v>
      </c>
      <c r="DX36">
        <v>0.31528819875776365</v>
      </c>
      <c r="DY36">
        <v>-3.0004824262126588</v>
      </c>
      <c r="DZ36">
        <v>2511</v>
      </c>
      <c r="EA36">
        <v>-3.0002453670698044</v>
      </c>
      <c r="EB36">
        <v>3</v>
      </c>
      <c r="EC36">
        <v>2.3239658821966127E-2</v>
      </c>
      <c r="ED36">
        <v>0.20157881788747328</v>
      </c>
      <c r="EE36" s="12">
        <v>2.0737100000000002</v>
      </c>
      <c r="EF36">
        <v>2.1100099999999999</v>
      </c>
      <c r="EG36">
        <v>20.115288198757764</v>
      </c>
      <c r="EH36" t="s">
        <v>1182</v>
      </c>
      <c r="EI36">
        <v>0</v>
      </c>
      <c r="EJ36">
        <v>0</v>
      </c>
      <c r="EK36" s="14">
        <v>45470</v>
      </c>
      <c r="EL36" s="15">
        <v>0.96</v>
      </c>
      <c r="EM36" s="15">
        <v>-2.81</v>
      </c>
      <c r="EN36" s="15">
        <v>-1.47</v>
      </c>
      <c r="EO36" s="15">
        <v>2.21</v>
      </c>
      <c r="EP36" s="15">
        <v>-3.63</v>
      </c>
    </row>
    <row r="37" spans="1:146" ht="96" x14ac:dyDescent="0.25">
      <c r="C37" s="8" t="str">
        <f>""&amp;CHAR(10)&amp;Basic_Fundamental_Information_Constructure(F37)&amp;CHAR(10)&amp;Basic_Fundamental_Information_Concatenate("")</f>
        <v xml:space="preserve">
市值82.440029亿, 利润6.54亿; PE15.14; 平均PE17.51; 平均PEG1.11, PB1.38; ROIC10.95%; ROE13.3667%; 股利率1.7331%; 毛利23.05%; 净利9.9333%; 上一年度营收增34.23%, 利润增83.71%; 当季营收增-27.22%, 利润增-13.47%; 过往5年营收增15.84%, 利润增113.53%
Income profile:
</v>
      </c>
      <c r="D37" t="s">
        <v>1821</v>
      </c>
      <c r="E37" t="s">
        <v>1822</v>
      </c>
      <c r="F37">
        <v>5.77</v>
      </c>
      <c r="G37">
        <v>1.23</v>
      </c>
      <c r="H37" t="s">
        <v>1823</v>
      </c>
      <c r="I37">
        <v>8244002900</v>
      </c>
      <c r="J37">
        <v>15.14</v>
      </c>
      <c r="K37">
        <v>1.38</v>
      </c>
      <c r="L37" t="s">
        <v>82</v>
      </c>
      <c r="M37" t="s">
        <v>1824</v>
      </c>
      <c r="N37" t="s">
        <v>1825</v>
      </c>
      <c r="O37" t="s">
        <v>1826</v>
      </c>
      <c r="P37" s="5">
        <v>-6.79</v>
      </c>
      <c r="Q37" t="s">
        <v>1827</v>
      </c>
      <c r="R37">
        <v>170473370</v>
      </c>
      <c r="S37">
        <v>0.94020000000000004</v>
      </c>
      <c r="T37" t="s">
        <v>901</v>
      </c>
      <c r="U37">
        <v>1428770000</v>
      </c>
      <c r="V37">
        <v>1428770000</v>
      </c>
      <c r="W37">
        <v>1.92</v>
      </c>
      <c r="X37">
        <v>0.15</v>
      </c>
      <c r="Y37">
        <v>9.66</v>
      </c>
      <c r="Z37" t="s">
        <v>1828</v>
      </c>
      <c r="AA37" t="s">
        <v>1829</v>
      </c>
      <c r="AB37" t="s">
        <v>1830</v>
      </c>
      <c r="AC37" t="s">
        <v>1831</v>
      </c>
      <c r="AD37" t="s">
        <v>9</v>
      </c>
      <c r="AE37">
        <v>33727857</v>
      </c>
      <c r="AF37" t="s">
        <v>1832</v>
      </c>
      <c r="AG37" t="s">
        <v>1833</v>
      </c>
      <c r="AH37" t="s">
        <v>1834</v>
      </c>
      <c r="AI37" t="s">
        <v>1835</v>
      </c>
      <c r="AJ37" t="s">
        <v>1836</v>
      </c>
      <c r="AK37" t="s">
        <v>9</v>
      </c>
      <c r="AL37" t="s">
        <v>1837</v>
      </c>
      <c r="AM37" t="s">
        <v>9</v>
      </c>
      <c r="AN37" t="s">
        <v>870</v>
      </c>
      <c r="AO37" t="s">
        <v>1838</v>
      </c>
      <c r="AP37" t="s">
        <v>1839</v>
      </c>
      <c r="AQ37" t="s">
        <v>1840</v>
      </c>
      <c r="AR37" t="s">
        <v>9</v>
      </c>
      <c r="AS37" t="s">
        <v>1841</v>
      </c>
      <c r="AT37" t="s">
        <v>1842</v>
      </c>
      <c r="AU37" t="s">
        <v>719</v>
      </c>
      <c r="AV37" t="s">
        <v>1843</v>
      </c>
      <c r="AW37" t="s">
        <v>1844</v>
      </c>
      <c r="AX37" t="s">
        <v>1845</v>
      </c>
      <c r="AY37" t="s">
        <v>1846</v>
      </c>
      <c r="AZ37" t="s">
        <v>1847</v>
      </c>
      <c r="BA37" t="s">
        <v>1848</v>
      </c>
      <c r="BB37" t="s">
        <v>1849</v>
      </c>
      <c r="BC37" t="s">
        <v>173</v>
      </c>
      <c r="BD37" t="s">
        <v>1850</v>
      </c>
      <c r="BE37" t="s">
        <v>1851</v>
      </c>
      <c r="BF37" t="s">
        <v>1852</v>
      </c>
      <c r="BG37" t="s">
        <v>1853</v>
      </c>
      <c r="BH37" t="s">
        <v>1854</v>
      </c>
      <c r="BI37" t="s">
        <v>1855</v>
      </c>
      <c r="BJ37" t="s">
        <v>1845</v>
      </c>
      <c r="BK37" t="s">
        <v>946</v>
      </c>
      <c r="BL37" t="s">
        <v>249</v>
      </c>
      <c r="BM37" t="s">
        <v>173</v>
      </c>
      <c r="BN37">
        <v>6.33</v>
      </c>
      <c r="BO37">
        <v>5.91</v>
      </c>
      <c r="BP37">
        <v>20.61</v>
      </c>
      <c r="BQ37">
        <v>7.56</v>
      </c>
      <c r="BR37">
        <v>6.52</v>
      </c>
      <c r="BS37">
        <v>26.02</v>
      </c>
      <c r="BT37" t="s">
        <v>623</v>
      </c>
      <c r="BU37" t="s">
        <v>562</v>
      </c>
      <c r="BV37">
        <v>18.190000000000001</v>
      </c>
      <c r="BW37">
        <v>16.66</v>
      </c>
      <c r="BX37">
        <v>34.299999999999997</v>
      </c>
      <c r="BY37">
        <v>5.88</v>
      </c>
      <c r="BZ37">
        <v>4.63</v>
      </c>
      <c r="CA37">
        <v>19.29</v>
      </c>
      <c r="CB37">
        <v>-0.52</v>
      </c>
      <c r="CC37" s="9">
        <v>-8.85</v>
      </c>
      <c r="CD37" s="10" t="s">
        <v>1856</v>
      </c>
      <c r="CE37" s="9" t="s">
        <v>333</v>
      </c>
      <c r="CF37" s="9">
        <v>-0.27224272242722425</v>
      </c>
      <c r="CG37" s="9">
        <v>-0.13465294416243656</v>
      </c>
      <c r="CH37" s="9">
        <v>0.34227114915847778</v>
      </c>
      <c r="CI37" s="9">
        <v>7.7578723430633545E-2</v>
      </c>
      <c r="CJ37" s="10">
        <v>0.41728097200393677</v>
      </c>
      <c r="CK37" s="10">
        <v>-7.2188496589660645E-2</v>
      </c>
      <c r="CL37" s="10">
        <v>2.7121912688016891E-2</v>
      </c>
      <c r="CM37" s="10">
        <v>0.83707863092422485</v>
      </c>
      <c r="CN37" s="10">
        <v>-0.72762054204940796</v>
      </c>
      <c r="CO37">
        <v>2.9486405849456787</v>
      </c>
      <c r="CP37">
        <v>2.3626248836517334</v>
      </c>
      <c r="CQ37">
        <v>0.25564137101173401</v>
      </c>
      <c r="CR37" s="9">
        <v>17.510445374892047</v>
      </c>
      <c r="CS37" s="10">
        <v>1.105367723548524</v>
      </c>
      <c r="CT37">
        <v>1.733102253032929</v>
      </c>
      <c r="CU37">
        <v>0.15841285213828088</v>
      </c>
      <c r="CV37">
        <v>1.1352729856967927</v>
      </c>
      <c r="CW37">
        <v>0.06</v>
      </c>
      <c r="CX37">
        <v>10.787462304538961</v>
      </c>
      <c r="CY37">
        <v>714718872.92305243</v>
      </c>
      <c r="CZ37">
        <v>0.15841285213828088</v>
      </c>
      <c r="DA37">
        <v>3.3283495030974155</v>
      </c>
      <c r="DB37">
        <v>2316464329.4897208</v>
      </c>
      <c r="DC37">
        <v>0.15049220953136683</v>
      </c>
      <c r="DD37">
        <v>1.5143469825701847</v>
      </c>
      <c r="DE37">
        <v>5091305353.8855438</v>
      </c>
      <c r="DF37">
        <v>0.13940330988168717</v>
      </c>
      <c r="DG37">
        <v>0.82983715218759546</v>
      </c>
      <c r="DH37">
        <v>9290983031.6407108</v>
      </c>
      <c r="DI37">
        <v>0.1267302817106247</v>
      </c>
      <c r="DJ37">
        <v>0.34742060802625008</v>
      </c>
      <c r="DK37">
        <v>22192128854.421482</v>
      </c>
      <c r="DL37">
        <v>0.11088899649679661</v>
      </c>
      <c r="DM37">
        <v>654000000</v>
      </c>
      <c r="DN37">
        <v>0.15841285213828088</v>
      </c>
      <c r="DO37">
        <v>7710002900</v>
      </c>
      <c r="DP37">
        <v>-326744900</v>
      </c>
      <c r="DQ37" s="11">
        <v>3294</v>
      </c>
      <c r="DR37">
        <v>-0.43065557456550513</v>
      </c>
      <c r="DS37">
        <v>-1.2699259298592294</v>
      </c>
      <c r="DT37">
        <v>-0.14000000000000001</v>
      </c>
      <c r="DU37">
        <v>0.9903333333333334</v>
      </c>
      <c r="DV37">
        <v>0.85033333333333339</v>
      </c>
      <c r="DW37">
        <v>-2.0884999999999998</v>
      </c>
      <c r="DX37">
        <v>0.33900545905707147</v>
      </c>
      <c r="DY37">
        <v>-2.0087619831265511</v>
      </c>
      <c r="DZ37">
        <v>3581</v>
      </c>
      <c r="EA37">
        <v>-2.0026217362427587</v>
      </c>
      <c r="EB37" s="12">
        <v>2</v>
      </c>
      <c r="EC37" s="12">
        <v>2.7925558347389714E-2</v>
      </c>
      <c r="ED37">
        <v>0.2820607935496966</v>
      </c>
      <c r="EE37">
        <v>1.03671</v>
      </c>
      <c r="EF37">
        <v>1.04261</v>
      </c>
      <c r="EG37">
        <v>24.099005459057071</v>
      </c>
      <c r="EH37" s="14" t="s">
        <v>636</v>
      </c>
      <c r="EI37">
        <v>0</v>
      </c>
      <c r="EJ37">
        <v>0</v>
      </c>
      <c r="EK37">
        <v>45470</v>
      </c>
      <c r="EL37">
        <v>3.24</v>
      </c>
      <c r="EM37">
        <v>-1.95</v>
      </c>
      <c r="EN37" s="15">
        <v>1.77</v>
      </c>
      <c r="EO37" s="15">
        <v>0.55000000000000004</v>
      </c>
      <c r="EP37" s="15">
        <v>-0.59</v>
      </c>
    </row>
    <row r="38" spans="1:146" ht="96" x14ac:dyDescent="0.25">
      <c r="A38" s="8"/>
      <c r="B38" s="8"/>
      <c r="C38" s="8" t="str">
        <f>""&amp;CHAR(10)&amp;Basic_Fundamental_Information_Constructure(F38)&amp;CHAR(10)&amp;Basic_Fundamental_Information_Concatenate("")</f>
        <v xml:space="preserve">
市值42.208219亿, 利润3.24亿; PE; 平均PE-456.68; 平均PEG-2.66, PB317.7; ROIC4.515%; ROE1.14%; 股利率0%; 毛利11.07%; 净利-2.04%; 上一年度营收增217.06%, 利润增2814.74%; 当季营收增-60.98%, 利润增-110.48%; 过往5年营收增171.61%, 利润增582.74%
Income profile:
</v>
      </c>
      <c r="D38" t="s">
        <v>354</v>
      </c>
      <c r="E38" t="s">
        <v>355</v>
      </c>
      <c r="F38">
        <v>3.94</v>
      </c>
      <c r="G38">
        <v>1.29</v>
      </c>
      <c r="H38" t="s">
        <v>1857</v>
      </c>
      <c r="I38">
        <v>4220821900</v>
      </c>
      <c r="K38">
        <v>317.7</v>
      </c>
      <c r="L38" t="s">
        <v>82</v>
      </c>
      <c r="M38" t="s">
        <v>1858</v>
      </c>
      <c r="N38" t="s">
        <v>1859</v>
      </c>
      <c r="O38" t="s">
        <v>115</v>
      </c>
      <c r="P38">
        <v>-12.3</v>
      </c>
      <c r="Q38" t="s">
        <v>1860</v>
      </c>
      <c r="R38">
        <v>-10392198</v>
      </c>
      <c r="S38" s="5">
        <v>0.115</v>
      </c>
      <c r="T38" t="s">
        <v>954</v>
      </c>
      <c r="U38">
        <v>448726710</v>
      </c>
      <c r="V38">
        <v>1071274610</v>
      </c>
      <c r="W38">
        <v>84.06</v>
      </c>
      <c r="X38">
        <v>0.26</v>
      </c>
      <c r="Y38">
        <v>-3.64</v>
      </c>
      <c r="Z38" t="s">
        <v>559</v>
      </c>
      <c r="AA38" t="s">
        <v>395</v>
      </c>
      <c r="AB38" t="s">
        <v>1861</v>
      </c>
      <c r="AC38" t="s">
        <v>1862</v>
      </c>
      <c r="AD38" t="s">
        <v>9</v>
      </c>
      <c r="AE38">
        <v>10688876</v>
      </c>
      <c r="AF38" t="s">
        <v>23</v>
      </c>
      <c r="AG38" t="s">
        <v>1863</v>
      </c>
      <c r="AH38" t="s">
        <v>1864</v>
      </c>
      <c r="AI38" t="s">
        <v>1865</v>
      </c>
      <c r="AJ38" t="s">
        <v>1866</v>
      </c>
      <c r="AK38" t="s">
        <v>9</v>
      </c>
      <c r="AL38" t="s">
        <v>1867</v>
      </c>
      <c r="AM38" t="s">
        <v>9</v>
      </c>
      <c r="AN38" t="s">
        <v>1868</v>
      </c>
      <c r="AO38" t="s">
        <v>1381</v>
      </c>
      <c r="AP38" t="s">
        <v>9</v>
      </c>
      <c r="AQ38" t="s">
        <v>1869</v>
      </c>
      <c r="AR38" t="s">
        <v>9</v>
      </c>
      <c r="AS38" t="s">
        <v>1870</v>
      </c>
      <c r="AT38" t="s">
        <v>9</v>
      </c>
      <c r="AU38" t="s">
        <v>1871</v>
      </c>
      <c r="AV38" t="s">
        <v>1872</v>
      </c>
      <c r="AW38" t="s">
        <v>1873</v>
      </c>
      <c r="AX38" t="s">
        <v>717</v>
      </c>
      <c r="AY38" t="s">
        <v>145</v>
      </c>
      <c r="AZ38" t="s">
        <v>247</v>
      </c>
      <c r="BA38" t="s">
        <v>60</v>
      </c>
      <c r="BB38" t="s">
        <v>9</v>
      </c>
      <c r="BC38" t="s">
        <v>718</v>
      </c>
      <c r="BD38" t="s">
        <v>510</v>
      </c>
      <c r="BE38" t="s">
        <v>356</v>
      </c>
      <c r="BF38" t="s">
        <v>358</v>
      </c>
      <c r="BG38" t="s">
        <v>359</v>
      </c>
      <c r="BH38" t="s">
        <v>1714</v>
      </c>
      <c r="BI38" t="s">
        <v>1874</v>
      </c>
      <c r="BJ38" t="s">
        <v>717</v>
      </c>
      <c r="BK38" t="s">
        <v>922</v>
      </c>
      <c r="BL38" t="s">
        <v>1875</v>
      </c>
      <c r="BM38" t="s">
        <v>718</v>
      </c>
      <c r="BN38" t="s">
        <v>9</v>
      </c>
      <c r="BO38">
        <v>2.62</v>
      </c>
      <c r="BP38">
        <v>6.41</v>
      </c>
      <c r="BQ38">
        <v>-42.45</v>
      </c>
      <c r="BR38">
        <v>8.09</v>
      </c>
      <c r="BS38">
        <v>37.78</v>
      </c>
      <c r="BT38" t="s">
        <v>622</v>
      </c>
      <c r="BU38" t="s">
        <v>500</v>
      </c>
      <c r="BV38">
        <v>3.12</v>
      </c>
      <c r="BW38">
        <v>12.07</v>
      </c>
      <c r="BX38">
        <v>18.02</v>
      </c>
      <c r="BY38">
        <v>-9.93</v>
      </c>
      <c r="BZ38">
        <v>0.81</v>
      </c>
      <c r="CA38">
        <v>3</v>
      </c>
      <c r="CB38">
        <v>-1.01</v>
      </c>
      <c r="CC38">
        <v>-22.75</v>
      </c>
      <c r="CD38" t="s">
        <v>1876</v>
      </c>
      <c r="CE38" t="s">
        <v>1877</v>
      </c>
      <c r="CF38" s="9">
        <v>-0.60982264665757158</v>
      </c>
      <c r="CG38" s="10">
        <v>-1.1048288544195839</v>
      </c>
      <c r="CH38" s="9">
        <v>2.1705708503723145</v>
      </c>
      <c r="CI38" s="9">
        <v>-2.0086083561182022E-2</v>
      </c>
      <c r="CJ38" s="9">
        <v>0.29193690419197083</v>
      </c>
      <c r="CK38" s="9">
        <v>4.4221110343933105</v>
      </c>
      <c r="CL38" s="9" t="s">
        <v>9</v>
      </c>
      <c r="CM38" s="10">
        <v>28.147436141967773</v>
      </c>
      <c r="CN38" s="10">
        <v>-0.7346261739730835</v>
      </c>
      <c r="CO38" s="10">
        <v>-8.056928962469101E-2</v>
      </c>
      <c r="CP38" s="10">
        <v>0.75332129001617432</v>
      </c>
      <c r="CQ38" s="10">
        <v>1.0515555143356323</v>
      </c>
      <c r="CR38">
        <v>-456.68275925495141</v>
      </c>
      <c r="CS38">
        <v>-2.6611149154898159</v>
      </c>
      <c r="CT38">
        <v>0</v>
      </c>
      <c r="CU38" s="9">
        <v>1.7161331763491035</v>
      </c>
      <c r="CV38" s="10">
        <v>5.8274234965443608</v>
      </c>
      <c r="CW38">
        <v>0.06</v>
      </c>
      <c r="CX38">
        <v>6.3700672865566377</v>
      </c>
      <c r="CY38">
        <v>830214291.6387825</v>
      </c>
      <c r="CZ38">
        <v>1.7161331763491035</v>
      </c>
      <c r="DA38">
        <v>0.68242370809912889</v>
      </c>
      <c r="DB38">
        <v>7749614846.6632538</v>
      </c>
      <c r="DC38">
        <v>1.6303265175316481</v>
      </c>
      <c r="DD38">
        <v>5.3773223764608143E-2</v>
      </c>
      <c r="DE38">
        <v>98348593031.179565</v>
      </c>
      <c r="DF38">
        <v>1.5101971951872111</v>
      </c>
      <c r="DG38">
        <v>2.8584601924942304E-3</v>
      </c>
      <c r="DH38">
        <v>1850129280752.8489</v>
      </c>
      <c r="DI38">
        <v>1.3729065410792829</v>
      </c>
      <c r="DJ38">
        <v>3.8024903837245422E-6</v>
      </c>
      <c r="DK38">
        <v>1390804542895356.2</v>
      </c>
      <c r="DL38">
        <v>1.2012932234443723</v>
      </c>
      <c r="DM38">
        <v>324000000</v>
      </c>
      <c r="DN38">
        <v>1.7161331763491035</v>
      </c>
      <c r="DO38">
        <v>5288520900</v>
      </c>
      <c r="DP38">
        <v>-664994690</v>
      </c>
      <c r="DQ38">
        <v>3316</v>
      </c>
      <c r="DR38">
        <v>-2.3259558230066748</v>
      </c>
      <c r="DS38">
        <v>-6.9322523509639442</v>
      </c>
      <c r="DT38" s="11">
        <v>0.54800000000000015</v>
      </c>
      <c r="DU38">
        <v>-0.46500000000000008</v>
      </c>
      <c r="DV38">
        <v>8.3000000000000074E-2</v>
      </c>
      <c r="DW38">
        <v>-3.0763392857142859</v>
      </c>
      <c r="DX38">
        <v>0.40473884297520613</v>
      </c>
      <c r="DY38">
        <v>-3.0118126527449824</v>
      </c>
      <c r="DZ38">
        <v>3343</v>
      </c>
      <c r="EA38">
        <v>-3.0040847274756133</v>
      </c>
      <c r="EB38">
        <v>3</v>
      </c>
      <c r="EC38">
        <v>5.2433054490108759E-2</v>
      </c>
      <c r="ED38">
        <v>0.3388486916533941</v>
      </c>
      <c r="EE38" s="12">
        <v>-2.03071</v>
      </c>
      <c r="EF38">
        <v>-2.0775100000000002</v>
      </c>
      <c r="EG38">
        <v>25.154738842975206</v>
      </c>
      <c r="EH38" t="s">
        <v>892</v>
      </c>
      <c r="EI38">
        <v>0</v>
      </c>
      <c r="EJ38">
        <v>0</v>
      </c>
      <c r="EK38" s="14">
        <v>45470</v>
      </c>
      <c r="EL38" s="15">
        <v>-2.75</v>
      </c>
      <c r="EM38" s="15">
        <v>-2.27</v>
      </c>
      <c r="EN38" s="15">
        <v>2.61</v>
      </c>
      <c r="EO38" s="15">
        <v>2.54</v>
      </c>
      <c r="EP38" s="15">
        <v>-4.68</v>
      </c>
    </row>
    <row r="39" spans="1:146" ht="96" x14ac:dyDescent="0.25">
      <c r="A39" s="8"/>
      <c r="B39" s="8"/>
      <c r="C39" s="8" t="str">
        <f>""&amp;CHAR(10)&amp;Basic_Fundamental_Information_Constructure(F39)&amp;CHAR(10)&amp;Basic_Fundamental_Information_Concatenate("")</f>
        <v xml:space="preserve">
市值101.878838亿, 利润3051.29万; PE13; 平均PE10.83; 平均PEG.33, PB1.22; ROIC15.3367%; ROE17.9333%; 股利率2.2701%; 毛利25.8233%; 净利19.53%; 上一年度营收增167.61%, 利润增-97.77%; 当季营收增-51.79%, 利润增874.53%; 过往5年营收增33.04%, 利润增4.68%
Income profile:
</v>
      </c>
      <c r="D39" t="s">
        <v>196</v>
      </c>
      <c r="E39" t="s">
        <v>197</v>
      </c>
      <c r="F39">
        <v>8.81</v>
      </c>
      <c r="G39">
        <v>0.11</v>
      </c>
      <c r="H39" t="s">
        <v>1878</v>
      </c>
      <c r="I39">
        <v>10187883800</v>
      </c>
      <c r="J39">
        <v>13</v>
      </c>
      <c r="K39">
        <v>1.22</v>
      </c>
      <c r="L39" t="s">
        <v>82</v>
      </c>
      <c r="M39" t="s">
        <v>1879</v>
      </c>
      <c r="N39" t="s">
        <v>1880</v>
      </c>
      <c r="O39" t="s">
        <v>1881</v>
      </c>
      <c r="P39">
        <v>25.6</v>
      </c>
      <c r="Q39" t="s">
        <v>1882</v>
      </c>
      <c r="R39">
        <v>211574870</v>
      </c>
      <c r="S39" s="5">
        <v>0.1237</v>
      </c>
      <c r="T39" t="s">
        <v>1883</v>
      </c>
      <c r="U39">
        <v>749839980</v>
      </c>
      <c r="V39">
        <v>1156399980</v>
      </c>
      <c r="W39">
        <v>1.38</v>
      </c>
      <c r="X39">
        <v>0.17</v>
      </c>
      <c r="Y39">
        <v>10.52</v>
      </c>
      <c r="Z39" t="s">
        <v>1884</v>
      </c>
      <c r="AA39" t="s">
        <v>1885</v>
      </c>
      <c r="AB39" t="s">
        <v>1886</v>
      </c>
      <c r="AC39" t="s">
        <v>1887</v>
      </c>
      <c r="AD39" t="s">
        <v>9</v>
      </c>
      <c r="AE39">
        <v>5751129</v>
      </c>
      <c r="AF39" t="s">
        <v>1888</v>
      </c>
      <c r="AG39" t="s">
        <v>1889</v>
      </c>
      <c r="AH39" t="s">
        <v>1890</v>
      </c>
      <c r="AI39" t="s">
        <v>1891</v>
      </c>
      <c r="AJ39" t="s">
        <v>1892</v>
      </c>
      <c r="AK39" t="s">
        <v>9</v>
      </c>
      <c r="AL39" t="s">
        <v>1893</v>
      </c>
      <c r="AM39" t="s">
        <v>9</v>
      </c>
      <c r="AN39" t="s">
        <v>111</v>
      </c>
      <c r="AO39" t="s">
        <v>587</v>
      </c>
      <c r="AP39" t="s">
        <v>9</v>
      </c>
      <c r="AQ39" t="s">
        <v>1894</v>
      </c>
      <c r="AR39" t="s">
        <v>9</v>
      </c>
      <c r="AS39" t="s">
        <v>1895</v>
      </c>
      <c r="AT39" t="s">
        <v>863</v>
      </c>
      <c r="AU39" t="s">
        <v>1896</v>
      </c>
      <c r="AV39" t="s">
        <v>1897</v>
      </c>
      <c r="AW39" t="s">
        <v>1898</v>
      </c>
      <c r="AX39" t="s">
        <v>720</v>
      </c>
      <c r="AY39" t="s">
        <v>511</v>
      </c>
      <c r="AZ39" t="s">
        <v>198</v>
      </c>
      <c r="BA39" t="s">
        <v>201</v>
      </c>
      <c r="BB39" t="s">
        <v>202</v>
      </c>
      <c r="BC39" t="s">
        <v>613</v>
      </c>
      <c r="BD39" t="s">
        <v>512</v>
      </c>
      <c r="BE39" t="s">
        <v>199</v>
      </c>
      <c r="BF39" t="s">
        <v>203</v>
      </c>
      <c r="BG39" t="s">
        <v>52</v>
      </c>
      <c r="BH39" t="s">
        <v>1899</v>
      </c>
      <c r="BI39" t="s">
        <v>1900</v>
      </c>
      <c r="BJ39" t="s">
        <v>720</v>
      </c>
      <c r="BK39" t="s">
        <v>900</v>
      </c>
      <c r="BL39" t="s">
        <v>1901</v>
      </c>
      <c r="BM39" t="s">
        <v>613</v>
      </c>
      <c r="BN39">
        <v>5.21</v>
      </c>
      <c r="BO39">
        <v>14.74</v>
      </c>
      <c r="BP39">
        <v>26.06</v>
      </c>
      <c r="BQ39">
        <v>5.72</v>
      </c>
      <c r="BR39">
        <v>18.57</v>
      </c>
      <c r="BS39">
        <v>29.51</v>
      </c>
      <c r="BT39" t="s">
        <v>624</v>
      </c>
      <c r="BU39" t="s">
        <v>560</v>
      </c>
      <c r="BV39">
        <v>17.59</v>
      </c>
      <c r="BW39">
        <v>28.01</v>
      </c>
      <c r="BX39">
        <v>31.87</v>
      </c>
      <c r="BY39">
        <v>11.23</v>
      </c>
      <c r="BZ39">
        <v>21.01</v>
      </c>
      <c r="CA39">
        <v>26.35</v>
      </c>
      <c r="CB39">
        <v>0.34</v>
      </c>
      <c r="CC39">
        <v>-7.75</v>
      </c>
      <c r="CD39" t="s">
        <v>1902</v>
      </c>
      <c r="CE39" t="s">
        <v>920</v>
      </c>
      <c r="CF39" s="9">
        <v>-0.51789865178986516</v>
      </c>
      <c r="CG39" s="10">
        <v>8.7453423584366892</v>
      </c>
      <c r="CH39" s="9">
        <v>1.6761469841003418</v>
      </c>
      <c r="CI39" s="9">
        <v>-4.5017968863248825E-2</v>
      </c>
      <c r="CJ39" s="9">
        <v>0.36305993795394897</v>
      </c>
      <c r="CK39" s="9">
        <v>-0.243657186627388</v>
      </c>
      <c r="CL39" s="9">
        <v>-9.8591528832912445E-2</v>
      </c>
      <c r="CM39" s="10">
        <v>-0.97774404287338257</v>
      </c>
      <c r="CN39" s="10">
        <v>-0.22629792988300323</v>
      </c>
      <c r="CO39" s="10">
        <v>1.9192750453948975</v>
      </c>
      <c r="CP39" s="10">
        <v>-0.25154131650924683</v>
      </c>
      <c r="CQ39" s="10">
        <v>-0.22981956601142883</v>
      </c>
      <c r="CR39">
        <v>10.829508920069967</v>
      </c>
      <c r="CS39">
        <v>0.3277814981656475</v>
      </c>
      <c r="CT39">
        <v>2.2701475595913734</v>
      </c>
      <c r="CU39" s="9">
        <v>0.33038804754614831</v>
      </c>
      <c r="CV39" s="10">
        <v>4.6774438023567198E-2</v>
      </c>
      <c r="CW39">
        <v>0.06</v>
      </c>
      <c r="CX39">
        <v>124.36954092722411</v>
      </c>
      <c r="CY39">
        <v>38296224.015066855</v>
      </c>
      <c r="CZ39">
        <v>0.33038804754614831</v>
      </c>
      <c r="DA39">
        <v>33.352240713076675</v>
      </c>
      <c r="DB39">
        <v>142805511.6588487</v>
      </c>
      <c r="DC39">
        <v>0.31386864516884089</v>
      </c>
      <c r="DD39">
        <v>12.347790759162413</v>
      </c>
      <c r="DE39">
        <v>385727608.51699764</v>
      </c>
      <c r="DF39">
        <v>0.29074148184061049</v>
      </c>
      <c r="DG39">
        <v>5.2252312594536159</v>
      </c>
      <c r="DH39">
        <v>911516364.25332832</v>
      </c>
      <c r="DI39">
        <v>0.26431043803691867</v>
      </c>
      <c r="DJ39">
        <v>1.1429782318106669</v>
      </c>
      <c r="DK39">
        <v>4167081810.8712387</v>
      </c>
      <c r="DL39">
        <v>0.2312716332823038</v>
      </c>
      <c r="DM39">
        <v>30512900</v>
      </c>
      <c r="DN39">
        <v>0.33038804754614831</v>
      </c>
      <c r="DO39">
        <v>4762883800</v>
      </c>
      <c r="DP39">
        <v>2535824400</v>
      </c>
      <c r="DQ39">
        <v>3323</v>
      </c>
      <c r="DR39">
        <v>-0.84828669933601342</v>
      </c>
      <c r="DS39">
        <v>8.6985679204131223</v>
      </c>
      <c r="DT39" s="11">
        <v>-9.0000000000000011E-2</v>
      </c>
      <c r="DU39">
        <v>-0.34833333333333333</v>
      </c>
      <c r="DV39">
        <v>-0.43833333333333335</v>
      </c>
      <c r="DW39">
        <v>-2.0775000000000001</v>
      </c>
      <c r="DX39">
        <v>0.3499360360360349</v>
      </c>
      <c r="DY39">
        <v>-2.0116200427927926</v>
      </c>
      <c r="DZ39">
        <v>1381</v>
      </c>
      <c r="EA39">
        <v>-2.0084796750634686</v>
      </c>
      <c r="EB39">
        <v>2</v>
      </c>
      <c r="EC39">
        <v>1.4391992639086694E-2</v>
      </c>
      <c r="ED39">
        <v>9.5987549221507262E-2</v>
      </c>
      <c r="EE39" s="12">
        <v>-1.0146999999999999</v>
      </c>
      <c r="EF39">
        <v>-1.0051099999999999</v>
      </c>
      <c r="EG39">
        <v>20.149936036036035</v>
      </c>
      <c r="EH39" t="s">
        <v>1366</v>
      </c>
      <c r="EI39">
        <v>0</v>
      </c>
      <c r="EJ39">
        <v>1</v>
      </c>
      <c r="EK39" s="14">
        <v>45470</v>
      </c>
      <c r="EL39" s="15">
        <v>3.52</v>
      </c>
      <c r="EM39" s="15">
        <v>-4.97</v>
      </c>
      <c r="EN39" s="15">
        <v>1.65</v>
      </c>
      <c r="EO39" s="15">
        <v>-0.27</v>
      </c>
      <c r="EP39" s="15">
        <v>-1.98</v>
      </c>
    </row>
    <row r="40" spans="1:146" ht="96" x14ac:dyDescent="0.25">
      <c r="A40" s="8"/>
      <c r="B40" s="8"/>
      <c r="C40" s="8" t="str">
        <f>""&amp;CHAR(10)&amp;Basic_Fundamental_Information_Constructure(F40)&amp;CHAR(10)&amp;Basic_Fundamental_Information_Concatenate("")</f>
        <v xml:space="preserve">
市值125.329236亿, 利润596.30万; PE11.97; 平均PE10.58; 平均PEG.53, PB.56; ROIC5.35%; ROE7.9233%; 股利率2.2109%; 毛利11.5467%; 净利5.5267%; 上一年度营收增-98.23%, 利润增-99.53%; 当季营收增6131.76%, 利润增95077.13%; 过往5年营收增-20.06%, 利润增69.51%
Income profile:
</v>
      </c>
      <c r="D40" t="s">
        <v>360</v>
      </c>
      <c r="E40" t="s">
        <v>361</v>
      </c>
      <c r="F40">
        <v>5.88</v>
      </c>
      <c r="G40">
        <v>0.51</v>
      </c>
      <c r="H40" t="s">
        <v>1903</v>
      </c>
      <c r="I40">
        <v>12532923600</v>
      </c>
      <c r="J40">
        <v>11.97</v>
      </c>
      <c r="K40">
        <v>0.56000000000000005</v>
      </c>
      <c r="L40" t="s">
        <v>82</v>
      </c>
      <c r="M40" t="s">
        <v>1904</v>
      </c>
      <c r="N40" t="s">
        <v>1905</v>
      </c>
      <c r="O40" t="s">
        <v>1906</v>
      </c>
      <c r="P40">
        <v>10.26</v>
      </c>
      <c r="Q40" t="s">
        <v>1907</v>
      </c>
      <c r="R40">
        <v>151997870</v>
      </c>
      <c r="S40" s="5">
        <v>13.45</v>
      </c>
      <c r="T40" t="s">
        <v>1908</v>
      </c>
      <c r="U40">
        <v>1862196800</v>
      </c>
      <c r="V40">
        <v>2131449600</v>
      </c>
      <c r="W40">
        <v>2.25</v>
      </c>
      <c r="X40">
        <v>0.17</v>
      </c>
      <c r="Y40">
        <v>2.2200000000000002</v>
      </c>
      <c r="Z40" t="s">
        <v>1909</v>
      </c>
      <c r="AA40" t="s">
        <v>1910</v>
      </c>
      <c r="AB40" t="s">
        <v>875</v>
      </c>
      <c r="AC40" t="s">
        <v>870</v>
      </c>
      <c r="AD40" t="s">
        <v>9</v>
      </c>
      <c r="AE40">
        <v>93761311</v>
      </c>
      <c r="AF40" t="s">
        <v>1911</v>
      </c>
      <c r="AG40" t="s">
        <v>1912</v>
      </c>
      <c r="AH40" t="s">
        <v>1913</v>
      </c>
      <c r="AI40" t="s">
        <v>1914</v>
      </c>
      <c r="AJ40" t="s">
        <v>1915</v>
      </c>
      <c r="AK40" t="s">
        <v>24</v>
      </c>
      <c r="AL40" t="s">
        <v>1916</v>
      </c>
      <c r="AM40" t="s">
        <v>9</v>
      </c>
      <c r="AN40" t="s">
        <v>309</v>
      </c>
      <c r="AO40" t="s">
        <v>1917</v>
      </c>
      <c r="AP40" t="s">
        <v>1918</v>
      </c>
      <c r="AQ40" t="s">
        <v>1919</v>
      </c>
      <c r="AR40" t="s">
        <v>9</v>
      </c>
      <c r="AS40" t="s">
        <v>1920</v>
      </c>
      <c r="AT40" t="s">
        <v>1921</v>
      </c>
      <c r="AU40" t="s">
        <v>1922</v>
      </c>
      <c r="AV40" t="s">
        <v>1923</v>
      </c>
      <c r="AW40" t="s">
        <v>1924</v>
      </c>
      <c r="AX40" t="s">
        <v>1925</v>
      </c>
      <c r="AY40" t="s">
        <v>723</v>
      </c>
      <c r="AZ40" t="s">
        <v>724</v>
      </c>
      <c r="BA40" t="s">
        <v>363</v>
      </c>
      <c r="BB40" t="s">
        <v>364</v>
      </c>
      <c r="BC40" t="s">
        <v>722</v>
      </c>
      <c r="BD40" t="s">
        <v>513</v>
      </c>
      <c r="BE40" t="s">
        <v>362</v>
      </c>
      <c r="BF40" t="s">
        <v>365</v>
      </c>
      <c r="BG40" t="s">
        <v>366</v>
      </c>
      <c r="BH40" t="s">
        <v>1926</v>
      </c>
      <c r="BI40" t="s">
        <v>1927</v>
      </c>
      <c r="BJ40" t="s">
        <v>1925</v>
      </c>
      <c r="BK40" t="s">
        <v>1928</v>
      </c>
      <c r="BL40" t="s">
        <v>1929</v>
      </c>
      <c r="BM40" t="s">
        <v>722</v>
      </c>
      <c r="BN40">
        <v>2.42</v>
      </c>
      <c r="BO40">
        <v>4.16</v>
      </c>
      <c r="BP40">
        <v>9.4700000000000006</v>
      </c>
      <c r="BQ40">
        <v>3.02</v>
      </c>
      <c r="BR40">
        <v>5.93</v>
      </c>
      <c r="BS40">
        <v>14.82</v>
      </c>
      <c r="BT40" t="s">
        <v>756</v>
      </c>
      <c r="BU40" t="s">
        <v>1180</v>
      </c>
      <c r="BV40">
        <v>8.4</v>
      </c>
      <c r="BW40">
        <v>8.84</v>
      </c>
      <c r="BX40">
        <v>17.399999999999999</v>
      </c>
      <c r="BY40">
        <v>3.29</v>
      </c>
      <c r="BZ40">
        <v>4.3899999999999997</v>
      </c>
      <c r="CA40">
        <v>8.9</v>
      </c>
      <c r="CB40">
        <v>1.73</v>
      </c>
      <c r="CC40">
        <v>-11.04</v>
      </c>
      <c r="CD40" t="s">
        <v>1930</v>
      </c>
      <c r="CE40" t="s">
        <v>969</v>
      </c>
      <c r="CF40" s="9">
        <v>61.317647058823532</v>
      </c>
      <c r="CG40" s="10">
        <v>950.77125860989361</v>
      </c>
      <c r="CH40" s="9">
        <v>-0.98234266042709351</v>
      </c>
      <c r="CI40" s="9">
        <v>-2.9754098504781723E-2</v>
      </c>
      <c r="CJ40" s="9">
        <v>0.41117078065872192</v>
      </c>
      <c r="CK40" s="9">
        <v>-0.25046631693840027</v>
      </c>
      <c r="CL40" s="9">
        <v>-0.15176309645175934</v>
      </c>
      <c r="CM40" s="10">
        <v>-0.99534505605697632</v>
      </c>
      <c r="CN40" s="10">
        <v>-0.56839627027511597</v>
      </c>
      <c r="CO40" s="10">
        <v>6.0165481567382813</v>
      </c>
      <c r="CP40" s="10">
        <v>-0.32319998741149902</v>
      </c>
      <c r="CQ40" s="10">
        <v>-0.65412288904190063</v>
      </c>
      <c r="CR40">
        <v>10.576361874175717</v>
      </c>
      <c r="CS40">
        <v>0.52715471411857995</v>
      </c>
      <c r="CT40">
        <v>2.2108843537414966</v>
      </c>
      <c r="CU40" s="9">
        <v>-0.20063107833266258</v>
      </c>
      <c r="CV40" s="10">
        <v>0.69509679079055786</v>
      </c>
      <c r="CW40">
        <v>0.06</v>
      </c>
      <c r="CX40">
        <v>3599.6853261780984</v>
      </c>
      <c r="CY40" t="s">
        <v>1931</v>
      </c>
      <c r="CZ40">
        <v>-0.20063107833266258</v>
      </c>
      <c r="DA40">
        <v>1199.8951087260327</v>
      </c>
      <c r="DB40" t="s">
        <v>1932</v>
      </c>
      <c r="DC40">
        <v>-0.19059952441602945</v>
      </c>
      <c r="DD40">
        <v>599.94755436301637</v>
      </c>
      <c r="DE40" t="s">
        <v>1933</v>
      </c>
      <c r="DF40">
        <v>-0.17655534893274308</v>
      </c>
      <c r="DG40">
        <v>359.96853261780984</v>
      </c>
      <c r="DH40" t="s">
        <v>1934</v>
      </c>
      <c r="DI40">
        <v>-0.16050486266613007</v>
      </c>
      <c r="DJ40">
        <v>179.98426630890492</v>
      </c>
      <c r="DK40" t="s">
        <v>1935</v>
      </c>
      <c r="DL40">
        <v>-0.14044175483286381</v>
      </c>
      <c r="DM40">
        <v>5963000</v>
      </c>
      <c r="DN40">
        <v>-0.20063107833266258</v>
      </c>
      <c r="DO40">
        <v>21464923600</v>
      </c>
      <c r="DP40">
        <v>398064000</v>
      </c>
      <c r="DQ40">
        <v>3328</v>
      </c>
      <c r="DR40">
        <v>61.518278137156194</v>
      </c>
      <c r="DS40">
        <v>950.07616181910305</v>
      </c>
      <c r="DT40" s="11">
        <v>-0.85666666666666658</v>
      </c>
      <c r="DU40">
        <v>-8.3333333333333055E-3</v>
      </c>
      <c r="DV40">
        <v>-0.86499999999999988</v>
      </c>
      <c r="DW40">
        <v>-2.1103999999999998</v>
      </c>
      <c r="DX40">
        <v>0.32302420382165498</v>
      </c>
      <c r="DY40">
        <v>-2.0168938721019107</v>
      </c>
      <c r="DZ40">
        <v>4747</v>
      </c>
      <c r="EA40">
        <v>-2.0012000930671219</v>
      </c>
      <c r="EB40">
        <v>2</v>
      </c>
      <c r="EC40">
        <v>2.2543155606400453E-2</v>
      </c>
      <c r="ED40">
        <v>0.14731758142439774</v>
      </c>
      <c r="EE40" s="12">
        <v>-1.0192099999999999</v>
      </c>
      <c r="EF40">
        <v>-1.03491</v>
      </c>
      <c r="EG40">
        <v>17.153024203821655</v>
      </c>
      <c r="EH40" t="s">
        <v>1366</v>
      </c>
      <c r="EI40">
        <v>0</v>
      </c>
      <c r="EJ40">
        <v>0</v>
      </c>
      <c r="EK40" s="14">
        <v>45470</v>
      </c>
      <c r="EL40" s="15">
        <v>-0.5</v>
      </c>
      <c r="EM40" s="15">
        <v>-6.06</v>
      </c>
      <c r="EN40" s="15">
        <v>1.08</v>
      </c>
      <c r="EO40" s="15">
        <v>1.6</v>
      </c>
      <c r="EP40" s="15">
        <v>-1.57</v>
      </c>
    </row>
    <row r="41" spans="1:146" ht="96" x14ac:dyDescent="0.25">
      <c r="A41" s="8"/>
      <c r="B41" s="8"/>
      <c r="C41" s="8" t="str">
        <f>""&amp;CHAR(10)&amp;Basic_Fundamental_Information_Constructure(F41)&amp;CHAR(10)&amp;Basic_Fundamental_Information_Concatenate("")</f>
        <v xml:space="preserve">
市值20.691056亿, 利润-16.47亿; PE313.1; 平均PE-8.29; 平均PEG-.22, PB2.81; ROIC6.6%; ROE6.8967%; 股利率0%; 毛利24.7567%; 净利12.9733%; 上一年度营收增63.71%, 利润增-3108.75%; 当季营收增-54.73%, 利润增103.91%; 过往5年营收增38.44%, 利润增-216.12%
Income profile:
</v>
      </c>
      <c r="D41" t="s">
        <v>272</v>
      </c>
      <c r="E41" t="s">
        <v>273</v>
      </c>
      <c r="F41">
        <v>7.18</v>
      </c>
      <c r="G41">
        <v>1.99</v>
      </c>
      <c r="H41" t="s">
        <v>1936</v>
      </c>
      <c r="I41">
        <v>2069105600</v>
      </c>
      <c r="J41">
        <v>313.10000000000002</v>
      </c>
      <c r="K41">
        <v>2.81</v>
      </c>
      <c r="L41" t="s">
        <v>82</v>
      </c>
      <c r="M41" t="s">
        <v>1937</v>
      </c>
      <c r="N41" t="s">
        <v>699</v>
      </c>
      <c r="O41" t="s">
        <v>1938</v>
      </c>
      <c r="P41">
        <v>27.99</v>
      </c>
      <c r="Q41" t="s">
        <v>910</v>
      </c>
      <c r="R41">
        <v>2130308</v>
      </c>
      <c r="S41" s="5">
        <v>-0.33260000000000001</v>
      </c>
      <c r="T41" t="s">
        <v>1939</v>
      </c>
      <c r="U41">
        <v>288176270</v>
      </c>
      <c r="V41">
        <v>288176270</v>
      </c>
      <c r="W41">
        <v>1.1000000000000001</v>
      </c>
      <c r="X41">
        <v>0.09</v>
      </c>
      <c r="Y41">
        <v>2.9</v>
      </c>
      <c r="Z41" t="s">
        <v>1940</v>
      </c>
      <c r="AA41" t="s">
        <v>1941</v>
      </c>
      <c r="AB41" t="s">
        <v>1586</v>
      </c>
      <c r="AC41" t="s">
        <v>1942</v>
      </c>
      <c r="AD41" t="s">
        <v>9</v>
      </c>
      <c r="AE41">
        <v>-931636</v>
      </c>
      <c r="AF41" t="s">
        <v>23</v>
      </c>
      <c r="AG41" t="s">
        <v>9</v>
      </c>
      <c r="AH41" t="s">
        <v>1943</v>
      </c>
      <c r="AI41" t="s">
        <v>1944</v>
      </c>
      <c r="AJ41" t="s">
        <v>1945</v>
      </c>
      <c r="AK41" t="s">
        <v>1946</v>
      </c>
      <c r="AL41" t="s">
        <v>1947</v>
      </c>
      <c r="AM41" t="s">
        <v>9</v>
      </c>
      <c r="AN41" t="s">
        <v>1948</v>
      </c>
      <c r="AO41" t="s">
        <v>9</v>
      </c>
      <c r="AP41" t="s">
        <v>9</v>
      </c>
      <c r="AQ41" t="s">
        <v>1949</v>
      </c>
      <c r="AR41" t="s">
        <v>9</v>
      </c>
      <c r="AS41" t="s">
        <v>1950</v>
      </c>
      <c r="AT41" t="s">
        <v>9</v>
      </c>
      <c r="AU41" t="s">
        <v>1951</v>
      </c>
      <c r="AV41" t="s">
        <v>1952</v>
      </c>
      <c r="AW41" t="s">
        <v>9</v>
      </c>
      <c r="AX41" t="s">
        <v>586</v>
      </c>
      <c r="AY41" t="s">
        <v>455</v>
      </c>
      <c r="AZ41" t="s">
        <v>105</v>
      </c>
      <c r="BA41" t="s">
        <v>275</v>
      </c>
      <c r="BB41" t="s">
        <v>276</v>
      </c>
      <c r="BC41" t="s">
        <v>725</v>
      </c>
      <c r="BD41" t="s">
        <v>514</v>
      </c>
      <c r="BE41" t="s">
        <v>274</v>
      </c>
      <c r="BF41" t="s">
        <v>277</v>
      </c>
      <c r="BG41" t="s">
        <v>278</v>
      </c>
      <c r="BH41" t="s">
        <v>869</v>
      </c>
      <c r="BI41" t="s">
        <v>61</v>
      </c>
      <c r="BJ41" t="s">
        <v>586</v>
      </c>
      <c r="BK41" t="s">
        <v>1953</v>
      </c>
      <c r="BL41" t="s">
        <v>1954</v>
      </c>
      <c r="BM41" t="s">
        <v>725</v>
      </c>
      <c r="BN41">
        <v>1.03</v>
      </c>
      <c r="BO41">
        <v>7.12</v>
      </c>
      <c r="BP41">
        <v>11.65</v>
      </c>
      <c r="BQ41">
        <v>1.37</v>
      </c>
      <c r="BR41">
        <v>7.59</v>
      </c>
      <c r="BS41">
        <v>11.73</v>
      </c>
      <c r="BT41" t="s">
        <v>622</v>
      </c>
      <c r="BU41" t="s">
        <v>574</v>
      </c>
      <c r="BV41">
        <v>11.9</v>
      </c>
      <c r="BW41">
        <v>25.75</v>
      </c>
      <c r="BX41">
        <v>36.619999999999997</v>
      </c>
      <c r="BY41">
        <v>2.79</v>
      </c>
      <c r="BZ41">
        <v>14.72</v>
      </c>
      <c r="CA41">
        <v>21.41</v>
      </c>
      <c r="CB41">
        <v>0</v>
      </c>
      <c r="CC41">
        <v>-35.020000000000003</v>
      </c>
      <c r="CD41" t="s">
        <v>1955</v>
      </c>
      <c r="CE41" t="s">
        <v>869</v>
      </c>
      <c r="CF41" s="9">
        <v>-0.54729814814814814</v>
      </c>
      <c r="CG41" s="10">
        <v>1.0390570462108226</v>
      </c>
      <c r="CH41" s="9">
        <v>0.63709676265716553</v>
      </c>
      <c r="CI41" s="9">
        <v>3.0470913276076317E-2</v>
      </c>
      <c r="CJ41" s="9">
        <v>1.2147239446640015</v>
      </c>
      <c r="CK41" s="9">
        <v>-2.3952096700668335E-2</v>
      </c>
      <c r="CL41" s="9">
        <v>6.3694268465042114E-2</v>
      </c>
      <c r="CM41" s="10">
        <v>-31.087467193603516</v>
      </c>
      <c r="CN41" s="10">
        <v>-0.29239678382873535</v>
      </c>
      <c r="CO41" s="10">
        <v>20.608421325683594</v>
      </c>
      <c r="CP41" s="10">
        <v>1.3799401521682739</v>
      </c>
      <c r="CQ41" s="10">
        <v>-1.4144058227539063</v>
      </c>
      <c r="CR41">
        <v>-8.2874507870106342</v>
      </c>
      <c r="CS41">
        <v>-0.21559066286830947</v>
      </c>
      <c r="CT41">
        <v>0</v>
      </c>
      <c r="CU41" s="9">
        <v>0.38440675847232342</v>
      </c>
      <c r="CV41" s="10">
        <v>-2.161181664466858</v>
      </c>
      <c r="CW41">
        <v>0.06</v>
      </c>
      <c r="CX41" t="e">
        <v>#VALUE!</v>
      </c>
      <c r="CY41" t="s">
        <v>556</v>
      </c>
      <c r="CZ41">
        <v>0.38440675847232342</v>
      </c>
      <c r="DA41" t="e">
        <v>#VALUE!</v>
      </c>
      <c r="DB41" t="s">
        <v>556</v>
      </c>
      <c r="DC41">
        <v>0.3651864205487072</v>
      </c>
      <c r="DD41" t="e">
        <v>#VALUE!</v>
      </c>
      <c r="DE41" t="s">
        <v>556</v>
      </c>
      <c r="DF41">
        <v>0.3382779474556446</v>
      </c>
      <c r="DG41" t="e">
        <v>#VALUE!</v>
      </c>
      <c r="DH41" t="s">
        <v>556</v>
      </c>
      <c r="DI41">
        <v>0.30752540677785878</v>
      </c>
      <c r="DJ41" t="e">
        <v>#VALUE!</v>
      </c>
      <c r="DK41" t="s">
        <v>556</v>
      </c>
      <c r="DL41">
        <v>0.26908473093062635</v>
      </c>
      <c r="DM41">
        <v>-1647000000</v>
      </c>
      <c r="DN41">
        <v>0.38440675847232342</v>
      </c>
      <c r="DO41">
        <v>1395029500</v>
      </c>
      <c r="DP41">
        <v>587585700</v>
      </c>
      <c r="DQ41">
        <v>3399</v>
      </c>
      <c r="DR41">
        <v>-0.93170490662047156</v>
      </c>
      <c r="DS41">
        <v>3.2002387106776808</v>
      </c>
      <c r="DT41" s="11">
        <v>0.16</v>
      </c>
      <c r="DU41">
        <v>-1.4133333333333333</v>
      </c>
      <c r="DV41">
        <v>-1.2533333333333334</v>
      </c>
      <c r="DW41">
        <v>-3.2151071428571427</v>
      </c>
      <c r="DX41">
        <v>0.22056436363636309</v>
      </c>
      <c r="DY41">
        <v>-3.0130278272207791</v>
      </c>
      <c r="DZ41">
        <v>1611</v>
      </c>
      <c r="EA41">
        <v>-3.0089206198523497</v>
      </c>
      <c r="EB41">
        <v>3</v>
      </c>
      <c r="EC41">
        <v>5.7795182094625627E-2</v>
      </c>
      <c r="ED41">
        <v>0.95427704716977568</v>
      </c>
      <c r="EE41" s="12">
        <v>-1.1065</v>
      </c>
      <c r="EF41">
        <v>-1.0973999999999999</v>
      </c>
      <c r="EG41">
        <v>16.060564363636363</v>
      </c>
      <c r="EH41" t="s">
        <v>551</v>
      </c>
      <c r="EI41">
        <v>0</v>
      </c>
      <c r="EJ41">
        <v>0</v>
      </c>
      <c r="EK41" s="14">
        <v>45470</v>
      </c>
      <c r="EL41" s="15">
        <v>0.23</v>
      </c>
      <c r="EM41" s="15">
        <v>-1.59</v>
      </c>
      <c r="EN41" s="15">
        <v>0.46</v>
      </c>
      <c r="EO41" s="15">
        <v>1.38</v>
      </c>
      <c r="EP41" s="15">
        <v>-0.91</v>
      </c>
    </row>
    <row r="42" spans="1:146" ht="96" x14ac:dyDescent="0.25">
      <c r="A42" s="8"/>
      <c r="B42" s="8"/>
      <c r="C42" s="8" t="str">
        <f>""&amp;CHAR(10)&amp;Basic_Fundamental_Information_Constructure(F42)&amp;CHAR(10)&amp;Basic_Fundamental_Information_Concatenate("")</f>
        <v xml:space="preserve">
市值26.124276亿, 利润2.30亿; PE72.27; 平均PE36.7; 平均PEG.5, PB2.26; ROIC5.9933%; ROE3.93%; 股利率0%; 毛利20.0267%; 净利15.3433%; 上一年度营收增379.85%, 利润增364.89%; 当季营收增-84.45%, 利润增-79.71%; 过往5年营收增74.06%, 利润增127.46%
Income profile:
</v>
      </c>
      <c r="D42" t="s">
        <v>369</v>
      </c>
      <c r="E42" t="s">
        <v>370</v>
      </c>
      <c r="F42">
        <v>3.84</v>
      </c>
      <c r="G42">
        <v>1.32</v>
      </c>
      <c r="H42" t="s">
        <v>1956</v>
      </c>
      <c r="I42">
        <v>2612427600</v>
      </c>
      <c r="J42">
        <v>72.27</v>
      </c>
      <c r="K42">
        <v>2.2599999999999998</v>
      </c>
      <c r="L42" t="s">
        <v>82</v>
      </c>
      <c r="M42" t="s">
        <v>964</v>
      </c>
      <c r="N42" t="s">
        <v>880</v>
      </c>
      <c r="O42" t="s">
        <v>501</v>
      </c>
      <c r="P42">
        <v>-18.2</v>
      </c>
      <c r="Q42" t="s">
        <v>1957</v>
      </c>
      <c r="R42">
        <v>12603619</v>
      </c>
      <c r="S42" s="5">
        <v>0.25650000000000001</v>
      </c>
      <c r="T42" t="s">
        <v>525</v>
      </c>
      <c r="U42">
        <v>680319680</v>
      </c>
      <c r="V42">
        <v>680319680</v>
      </c>
      <c r="W42">
        <v>1.1000000000000001</v>
      </c>
      <c r="X42">
        <v>0.09</v>
      </c>
      <c r="Y42">
        <v>18.13</v>
      </c>
      <c r="Z42" t="s">
        <v>113</v>
      </c>
      <c r="AA42" t="s">
        <v>1958</v>
      </c>
      <c r="AB42" t="s">
        <v>1959</v>
      </c>
      <c r="AC42" t="s">
        <v>1960</v>
      </c>
      <c r="AD42" t="s">
        <v>9</v>
      </c>
      <c r="AE42">
        <v>-1970596</v>
      </c>
      <c r="AF42" t="s">
        <v>1961</v>
      </c>
      <c r="AG42">
        <v>0</v>
      </c>
      <c r="AH42" t="s">
        <v>1962</v>
      </c>
      <c r="AI42" t="s">
        <v>1963</v>
      </c>
      <c r="AJ42" t="s">
        <v>1964</v>
      </c>
      <c r="AK42" t="s">
        <v>9</v>
      </c>
      <c r="AL42" t="s">
        <v>1965</v>
      </c>
      <c r="AM42" t="s">
        <v>9</v>
      </c>
      <c r="AN42" t="s">
        <v>1966</v>
      </c>
      <c r="AO42" t="s">
        <v>9</v>
      </c>
      <c r="AP42" t="s">
        <v>9</v>
      </c>
      <c r="AQ42" t="s">
        <v>1967</v>
      </c>
      <c r="AR42" t="s">
        <v>9</v>
      </c>
      <c r="AS42" t="s">
        <v>603</v>
      </c>
      <c r="AT42" t="s">
        <v>9</v>
      </c>
      <c r="AU42" t="s">
        <v>1968</v>
      </c>
      <c r="AV42" t="s">
        <v>1969</v>
      </c>
      <c r="AW42" t="s">
        <v>1970</v>
      </c>
      <c r="AX42" t="s">
        <v>698</v>
      </c>
      <c r="AY42" t="s">
        <v>367</v>
      </c>
      <c r="AZ42" t="s">
        <v>371</v>
      </c>
      <c r="BA42" t="s">
        <v>97</v>
      </c>
      <c r="BB42" t="s">
        <v>373</v>
      </c>
      <c r="BC42" t="s">
        <v>726</v>
      </c>
      <c r="BD42" t="s">
        <v>515</v>
      </c>
      <c r="BE42" t="s">
        <v>372</v>
      </c>
      <c r="BF42" t="s">
        <v>374</v>
      </c>
      <c r="BG42" t="s">
        <v>375</v>
      </c>
      <c r="BH42" t="s">
        <v>1547</v>
      </c>
      <c r="BI42" t="s">
        <v>1130</v>
      </c>
      <c r="BJ42" t="s">
        <v>698</v>
      </c>
      <c r="BK42" t="s">
        <v>1971</v>
      </c>
      <c r="BL42" t="s">
        <v>1972</v>
      </c>
      <c r="BM42" t="s">
        <v>726</v>
      </c>
      <c r="BN42">
        <v>3.64</v>
      </c>
      <c r="BO42">
        <v>7.23</v>
      </c>
      <c r="BP42">
        <v>7.11</v>
      </c>
      <c r="BQ42">
        <v>2.59</v>
      </c>
      <c r="BR42">
        <v>4.5599999999999996</v>
      </c>
      <c r="BS42">
        <v>4.6399999999999997</v>
      </c>
      <c r="BT42" t="s">
        <v>622</v>
      </c>
      <c r="BU42" t="s">
        <v>1180</v>
      </c>
      <c r="BV42">
        <v>18.3</v>
      </c>
      <c r="BW42">
        <v>20.329999999999998</v>
      </c>
      <c r="BX42">
        <v>21.45</v>
      </c>
      <c r="BY42">
        <v>13.68</v>
      </c>
      <c r="BZ42">
        <v>15.56</v>
      </c>
      <c r="CA42">
        <v>16.79</v>
      </c>
      <c r="CB42">
        <v>1.32</v>
      </c>
      <c r="CC42">
        <v>-14.29</v>
      </c>
      <c r="CD42" t="s">
        <v>1973</v>
      </c>
      <c r="CE42" t="s">
        <v>348</v>
      </c>
      <c r="CF42" s="9">
        <v>-0.84447144592952617</v>
      </c>
      <c r="CG42" s="10">
        <v>-0.79706114595325694</v>
      </c>
      <c r="CH42" s="9">
        <v>3.7984850406646729</v>
      </c>
      <c r="CI42" s="9">
        <v>0.16197183728218079</v>
      </c>
      <c r="CJ42" s="9">
        <v>0.40594059228897095</v>
      </c>
      <c r="CK42" s="9">
        <v>-0.48665818572044373</v>
      </c>
      <c r="CL42" s="9">
        <v>-0.17677824199199677</v>
      </c>
      <c r="CM42" s="10">
        <v>3.6488876342773437</v>
      </c>
      <c r="CN42" s="10">
        <v>2.9534969478845596E-2</v>
      </c>
      <c r="CO42" s="10">
        <v>3.8413646221160889</v>
      </c>
      <c r="CP42" s="10">
        <v>-0.68241894245147705</v>
      </c>
      <c r="CQ42" s="10">
        <v>-0.46441692113876343</v>
      </c>
      <c r="CR42">
        <v>36.702902899574568</v>
      </c>
      <c r="CS42">
        <v>0.4955885638289535</v>
      </c>
      <c r="CT42">
        <v>0</v>
      </c>
      <c r="CU42" s="9">
        <v>0.74059220850467677</v>
      </c>
      <c r="CV42" s="10">
        <v>1.2745902724564075</v>
      </c>
      <c r="CW42">
        <v>0.06</v>
      </c>
      <c r="CX42">
        <v>3.8059841346330976</v>
      </c>
      <c r="CY42">
        <v>377675667.88309014</v>
      </c>
      <c r="CZ42">
        <v>0.74059220850467677</v>
      </c>
      <c r="DA42">
        <v>0.74926806521559641</v>
      </c>
      <c r="DB42">
        <v>1918442366.2663252</v>
      </c>
      <c r="DC42">
        <v>0.70356259807944288</v>
      </c>
      <c r="DD42">
        <v>0.16815274875356376</v>
      </c>
      <c r="DE42">
        <v>8548344351.519474</v>
      </c>
      <c r="DF42">
        <v>0.65172114348411558</v>
      </c>
      <c r="DG42">
        <v>3.6299366283562409E-2</v>
      </c>
      <c r="DH42">
        <v>39599247787.720093</v>
      </c>
      <c r="DI42">
        <v>0.59247376680374142</v>
      </c>
      <c r="DJ42">
        <v>1.4268051344243739E-3</v>
      </c>
      <c r="DK42">
        <v>1007444930859.3998</v>
      </c>
      <c r="DL42">
        <v>0.51841454595327374</v>
      </c>
      <c r="DM42">
        <v>229999999.99999997</v>
      </c>
      <c r="DN42">
        <v>0.74059220850467677</v>
      </c>
      <c r="DO42">
        <v>1437427600</v>
      </c>
      <c r="DP42">
        <v>960871090</v>
      </c>
      <c r="DQ42">
        <v>3407</v>
      </c>
      <c r="DR42">
        <v>-1.5850636544342029</v>
      </c>
      <c r="DS42">
        <v>-2.0716514184096644</v>
      </c>
      <c r="DT42" s="11">
        <v>-7.333333333333332E-2</v>
      </c>
      <c r="DU42">
        <v>-7.333333333333332E-2</v>
      </c>
      <c r="DV42">
        <v>-0.14666666666666664</v>
      </c>
      <c r="DW42">
        <v>-2.1429</v>
      </c>
      <c r="DX42">
        <v>0.27580765306122529</v>
      </c>
      <c r="DY42">
        <v>-2.0136909136224488</v>
      </c>
      <c r="DZ42">
        <v>2143</v>
      </c>
      <c r="EA42">
        <v>-2.0079493034672811</v>
      </c>
      <c r="EB42">
        <v>2</v>
      </c>
      <c r="EC42">
        <v>2.7602170791237435E-2</v>
      </c>
      <c r="ED42">
        <v>0.28809985329249921</v>
      </c>
      <c r="EE42" s="12">
        <v>-4.0872000000000002</v>
      </c>
      <c r="EF42">
        <v>-4.0369999999999999</v>
      </c>
      <c r="EG42">
        <v>18.095807653061225</v>
      </c>
      <c r="EH42" t="s">
        <v>961</v>
      </c>
      <c r="EI42">
        <v>0</v>
      </c>
      <c r="EJ42">
        <v>0</v>
      </c>
      <c r="EK42" s="14">
        <v>45470</v>
      </c>
      <c r="EL42" s="15">
        <v>1.38</v>
      </c>
      <c r="EM42" s="15">
        <v>-7.51</v>
      </c>
      <c r="EN42" s="15">
        <v>9.9600000000000009</v>
      </c>
      <c r="EO42" s="15">
        <v>0.34</v>
      </c>
      <c r="EP42" s="15">
        <v>-5.0199999999999996</v>
      </c>
    </row>
    <row r="43" spans="1:146" ht="120" x14ac:dyDescent="0.25">
      <c r="A43" s="8" t="s">
        <v>635</v>
      </c>
      <c r="B43" s="8" t="s">
        <v>449</v>
      </c>
      <c r="C43" s="8" t="str">
        <f>"公司的主营业务为醋酸及衍生品、氯碱等化工产品的生产与销售。公司的主要产品是醋酸及衍生品。"&amp;CHAR(10)&amp;Basic_Fundamental_Information_Constructure(F43)&amp;CHAR(10)&amp;Basic_Fundamental_Information_Concatenate("醋酸及衍生品 65.65亿 82.03% 98.28% 49.94%
其他化工产品 7.61亿 9.50% 1.43% 6.28%")</f>
        <v>公司的主营业务为醋酸及衍生品、氯碱等化工产品的生产与销售。公司的主要产品是醋酸及衍生品。
市值71.238416亿, 利润1.29亿; PE46.49; 平均PE13.09; 平均PEG.09, PB1.37; ROIC29.415%; ROE18.7333%; 股利率0%; 毛利21.51%; 净利12.46%; 上一年度营收增37.41%, 利润增-74.46%; 当季营收增-46.14%, 利润增-91.06%; 过往5年营收增140.95%, 利润增945.37%
Income profile:
醋酸及衍生品 65.65亿 82.03% 98.28% 49.94%
其他化工产品 7.61亿 9.50% 1.43% 6.28%</v>
      </c>
      <c r="D43" t="s">
        <v>376</v>
      </c>
      <c r="E43" t="s">
        <v>377</v>
      </c>
      <c r="F43">
        <v>6.1</v>
      </c>
      <c r="G43">
        <v>1.33</v>
      </c>
      <c r="H43" t="s">
        <v>1974</v>
      </c>
      <c r="I43">
        <v>7123841600</v>
      </c>
      <c r="J43">
        <v>46.49</v>
      </c>
      <c r="K43">
        <v>1.37</v>
      </c>
      <c r="L43" t="s">
        <v>82</v>
      </c>
      <c r="M43" t="s">
        <v>1975</v>
      </c>
      <c r="N43" t="s">
        <v>1976</v>
      </c>
      <c r="O43" t="s">
        <v>1977</v>
      </c>
      <c r="P43">
        <v>13.3</v>
      </c>
      <c r="Q43" t="s">
        <v>1978</v>
      </c>
      <c r="R43">
        <v>25573903</v>
      </c>
      <c r="S43" s="5">
        <v>1.2330000000000001</v>
      </c>
      <c r="T43" t="s">
        <v>177</v>
      </c>
      <c r="U43">
        <v>1166082350</v>
      </c>
      <c r="V43">
        <v>1167842880</v>
      </c>
      <c r="W43">
        <v>1.26</v>
      </c>
      <c r="X43">
        <v>0.23</v>
      </c>
      <c r="Y43">
        <v>1.7</v>
      </c>
      <c r="Z43" t="s">
        <v>1979</v>
      </c>
      <c r="AA43" t="s">
        <v>1175</v>
      </c>
      <c r="AB43" t="s">
        <v>1980</v>
      </c>
      <c r="AC43" t="s">
        <v>1981</v>
      </c>
      <c r="AD43" t="s">
        <v>9</v>
      </c>
      <c r="AE43">
        <v>-6104332</v>
      </c>
      <c r="AF43" t="s">
        <v>1982</v>
      </c>
      <c r="AG43" t="s">
        <v>1983</v>
      </c>
      <c r="AH43" t="s">
        <v>1984</v>
      </c>
      <c r="AI43" t="s">
        <v>1985</v>
      </c>
      <c r="AJ43" t="s">
        <v>1986</v>
      </c>
      <c r="AK43" t="s">
        <v>1987</v>
      </c>
      <c r="AL43" t="s">
        <v>1988</v>
      </c>
      <c r="AM43" t="s">
        <v>9</v>
      </c>
      <c r="AN43" t="s">
        <v>677</v>
      </c>
      <c r="AO43" t="s">
        <v>1989</v>
      </c>
      <c r="AP43" t="s">
        <v>176</v>
      </c>
      <c r="AQ43" t="s">
        <v>382</v>
      </c>
      <c r="AR43" t="s">
        <v>9</v>
      </c>
      <c r="AS43" t="s">
        <v>214</v>
      </c>
      <c r="AT43" t="s">
        <v>291</v>
      </c>
      <c r="AU43" t="s">
        <v>1990</v>
      </c>
      <c r="AV43" t="s">
        <v>167</v>
      </c>
      <c r="AW43" t="s">
        <v>45</v>
      </c>
      <c r="AX43" t="s">
        <v>727</v>
      </c>
      <c r="AY43" t="s">
        <v>516</v>
      </c>
      <c r="AZ43" t="s">
        <v>379</v>
      </c>
      <c r="BA43" t="s">
        <v>381</v>
      </c>
      <c r="BB43" t="s">
        <v>382</v>
      </c>
      <c r="BC43" t="s">
        <v>728</v>
      </c>
      <c r="BD43" t="s">
        <v>158</v>
      </c>
      <c r="BE43" t="s">
        <v>49</v>
      </c>
      <c r="BF43" t="s">
        <v>383</v>
      </c>
      <c r="BG43" t="s">
        <v>384</v>
      </c>
      <c r="BH43" t="s">
        <v>943</v>
      </c>
      <c r="BI43" t="s">
        <v>1991</v>
      </c>
      <c r="BJ43" t="s">
        <v>727</v>
      </c>
      <c r="BK43" t="s">
        <v>1992</v>
      </c>
      <c r="BL43" t="s">
        <v>115</v>
      </c>
      <c r="BM43" t="s">
        <v>728</v>
      </c>
      <c r="BN43" t="s">
        <v>9</v>
      </c>
      <c r="BO43">
        <v>8.25</v>
      </c>
      <c r="BP43">
        <v>50.58</v>
      </c>
      <c r="BQ43">
        <v>-2.81</v>
      </c>
      <c r="BR43">
        <v>8.83</v>
      </c>
      <c r="BS43">
        <v>50.18</v>
      </c>
      <c r="BT43" t="s">
        <v>622</v>
      </c>
      <c r="BU43" t="s">
        <v>1180</v>
      </c>
      <c r="BV43">
        <v>7.55</v>
      </c>
      <c r="BW43">
        <v>15.3</v>
      </c>
      <c r="BX43">
        <v>41.68</v>
      </c>
      <c r="BY43">
        <v>0.33</v>
      </c>
      <c r="BZ43">
        <v>7.04</v>
      </c>
      <c r="CA43">
        <v>30.01</v>
      </c>
      <c r="CB43">
        <v>3.57</v>
      </c>
      <c r="CC43">
        <v>-10.29</v>
      </c>
      <c r="CD43" t="s">
        <v>1993</v>
      </c>
      <c r="CE43" t="s">
        <v>1994</v>
      </c>
      <c r="CF43" s="9">
        <v>-0.46142805884463584</v>
      </c>
      <c r="CG43" s="10">
        <v>-0.91058075874125877</v>
      </c>
      <c r="CH43" s="9">
        <v>0.3740936815738678</v>
      </c>
      <c r="CI43" s="9">
        <v>-0.10394808650016785</v>
      </c>
      <c r="CJ43" s="9">
        <v>1.1090909242630005</v>
      </c>
      <c r="CK43" s="9">
        <v>5.4213199615478516</v>
      </c>
      <c r="CL43" s="9">
        <v>0.24683544039726257</v>
      </c>
      <c r="CM43" s="10">
        <v>-0.74455446004867554</v>
      </c>
      <c r="CN43" s="10">
        <v>-0.78975856304168701</v>
      </c>
      <c r="CO43" s="10">
        <v>9.3982677459716797</v>
      </c>
      <c r="CP43" s="10">
        <v>41.977790832519531</v>
      </c>
      <c r="CQ43" s="10">
        <v>-2.5732307434082031</v>
      </c>
      <c r="CR43">
        <v>13.091502769111649</v>
      </c>
      <c r="CS43">
        <v>9.2881898121613918E-2</v>
      </c>
      <c r="CT43">
        <v>0</v>
      </c>
      <c r="CU43" s="9">
        <v>1.409478384256363</v>
      </c>
      <c r="CV43" s="10">
        <v>9.4537029623985287</v>
      </c>
      <c r="CW43">
        <v>0.06</v>
      </c>
      <c r="CX43">
        <v>10.700994400342829</v>
      </c>
      <c r="CY43">
        <v>293228973.17836863</v>
      </c>
      <c r="CZ43">
        <v>1.409478384256363</v>
      </c>
      <c r="DA43">
        <v>1.3650058185366127</v>
      </c>
      <c r="DB43">
        <v>2298775256.0381012</v>
      </c>
      <c r="DC43">
        <v>1.3390044650435446</v>
      </c>
      <c r="DD43">
        <v>0.14540688457184217</v>
      </c>
      <c r="DE43">
        <v>21579731999.894855</v>
      </c>
      <c r="DF43">
        <v>1.2403409781455994</v>
      </c>
      <c r="DG43">
        <v>1.151224312312525E-2</v>
      </c>
      <c r="DH43">
        <v>272565612664.73361</v>
      </c>
      <c r="DI43">
        <v>1.1275827074050904</v>
      </c>
      <c r="DJ43">
        <v>3.9681642315850934E-5</v>
      </c>
      <c r="DK43">
        <v>79075396502593.375</v>
      </c>
      <c r="DL43">
        <v>0.98663486897945396</v>
      </c>
      <c r="DM43">
        <v>129000000</v>
      </c>
      <c r="DN43">
        <v>1.409478384256363</v>
      </c>
      <c r="DO43">
        <v>3137841600</v>
      </c>
      <c r="DP43">
        <v>864744300</v>
      </c>
      <c r="DQ43">
        <v>3430</v>
      </c>
      <c r="DR43">
        <v>-1.8709064431009987</v>
      </c>
      <c r="DS43">
        <v>-10.364283721139788</v>
      </c>
      <c r="DT43" s="11">
        <v>0.58666666666666667</v>
      </c>
      <c r="DU43">
        <v>-0.97299999999999998</v>
      </c>
      <c r="DV43">
        <v>-0.38633333333333331</v>
      </c>
      <c r="DW43">
        <v>6.2575757575757578</v>
      </c>
      <c r="DX43">
        <v>0.31133960702019109</v>
      </c>
      <c r="DY43">
        <v>6.0338298987779275</v>
      </c>
      <c r="DZ43">
        <v>2080</v>
      </c>
      <c r="EA43">
        <v>6.0200596072988493</v>
      </c>
      <c r="EB43">
        <v>6</v>
      </c>
      <c r="EC43">
        <v>1.0975620282070822E-2</v>
      </c>
      <c r="ED43">
        <v>8.3566720893139324E-2</v>
      </c>
      <c r="EE43" s="12">
        <v>-3.01491</v>
      </c>
      <c r="EF43">
        <v>-3.0315099999999999</v>
      </c>
      <c r="EG43">
        <v>18.131339607020191</v>
      </c>
      <c r="EH43" t="s">
        <v>1133</v>
      </c>
      <c r="EI43">
        <v>0</v>
      </c>
      <c r="EJ43">
        <v>0</v>
      </c>
      <c r="EK43" s="14">
        <v>45470</v>
      </c>
      <c r="EL43" s="15">
        <v>-0.69</v>
      </c>
      <c r="EM43" s="15">
        <v>-6.04</v>
      </c>
      <c r="EN43" s="15">
        <v>-4.3099999999999996</v>
      </c>
      <c r="EO43" s="15">
        <v>2.58</v>
      </c>
      <c r="EP43" s="15">
        <v>-1.66</v>
      </c>
    </row>
    <row r="44" spans="1:146" ht="156" x14ac:dyDescent="0.25">
      <c r="A44" s="8"/>
      <c r="B44" s="7" t="s">
        <v>957</v>
      </c>
      <c r="C44" s="8" t="str">
        <f>"公司主营业务是煤化工产品的生产及销售。主营产品乙二醇和草酸均属于基础化学原料品,公司是国内首家采用以褐煤为原料生产乙二醇的高新技术企业。"&amp;CHAR(10)&amp;Basic_Fundamental_Information_Constructure(F44)&amp;CHAR(10)&amp;Basic_Fundamental_Information_Concatenate("乙二醇 2.52亿 50.54%
草酸 1.76亿 35.23%
催化剂 4771.53万 9.56%
草酸粉末 936.07万 1.88%")</f>
        <v>公司主营业务是煤化工产品的生产及销售。主营产品乙二醇和草酸均属于基础化学原料品,公司是国内首家采用以褐煤为原料生产乙二醇的高新技术企业。
市值23.989972亿, 利润25.54亿; PE; 平均PE10.59; 平均PEG.04, PB4.93; ROIC0%; ROE-18.6567%; 股利率0%; 毛利-1.64%; 净利-36.85%; 上一年度营收增1282.87%, 利润增971.67%; 当季营收增-91.99%, 利润增-110.08%; 过往5年营收增248.63%, 利润增-4055.05%
Income profile:
乙二醇 2.52亿 50.54%
草酸 1.76亿 35.23%
催化剂 4771.53万 9.56%
草酸粉末 936.07万 1.88%</v>
      </c>
      <c r="D44" t="s">
        <v>385</v>
      </c>
      <c r="E44" t="s">
        <v>386</v>
      </c>
      <c r="F44">
        <v>2.36</v>
      </c>
      <c r="G44">
        <v>2.61</v>
      </c>
      <c r="H44" t="s">
        <v>1995</v>
      </c>
      <c r="I44">
        <v>2398997200</v>
      </c>
      <c r="K44">
        <v>4.93</v>
      </c>
      <c r="L44" t="s">
        <v>82</v>
      </c>
      <c r="M44" t="s">
        <v>107</v>
      </c>
      <c r="N44" t="s">
        <v>879</v>
      </c>
      <c r="O44" t="s">
        <v>520</v>
      </c>
      <c r="P44">
        <v>-13.66</v>
      </c>
      <c r="Q44" t="s">
        <v>1996</v>
      </c>
      <c r="R44">
        <v>-50274437</v>
      </c>
      <c r="S44" s="5">
        <v>-0.23180000000000001</v>
      </c>
      <c r="T44" t="s">
        <v>1997</v>
      </c>
      <c r="U44">
        <v>822730630</v>
      </c>
      <c r="V44">
        <v>1016524240</v>
      </c>
      <c r="W44">
        <v>2.11</v>
      </c>
      <c r="X44">
        <v>0.14000000000000001</v>
      </c>
      <c r="Y44">
        <v>-31.53</v>
      </c>
      <c r="Z44" t="s">
        <v>394</v>
      </c>
      <c r="AA44" t="s">
        <v>1412</v>
      </c>
      <c r="AB44" t="s">
        <v>1998</v>
      </c>
      <c r="AC44" t="s">
        <v>1999</v>
      </c>
      <c r="AD44" t="s">
        <v>9</v>
      </c>
      <c r="AE44">
        <v>6479573</v>
      </c>
      <c r="AF44" t="s">
        <v>2000</v>
      </c>
      <c r="AG44">
        <v>7490</v>
      </c>
      <c r="AH44" t="s">
        <v>2001</v>
      </c>
      <c r="AI44" t="s">
        <v>2002</v>
      </c>
      <c r="AJ44" t="s">
        <v>2003</v>
      </c>
      <c r="AK44" t="s">
        <v>2004</v>
      </c>
      <c r="AL44" t="s">
        <v>2005</v>
      </c>
      <c r="AM44" t="s">
        <v>9</v>
      </c>
      <c r="AN44" t="s">
        <v>2006</v>
      </c>
      <c r="AO44" t="s">
        <v>859</v>
      </c>
      <c r="AP44" t="s">
        <v>9</v>
      </c>
      <c r="AQ44" t="s">
        <v>1107</v>
      </c>
      <c r="AR44" t="s">
        <v>9</v>
      </c>
      <c r="AS44" t="s">
        <v>699</v>
      </c>
      <c r="AT44" t="s">
        <v>9</v>
      </c>
      <c r="AU44" t="s">
        <v>2007</v>
      </c>
      <c r="AV44" t="s">
        <v>2008</v>
      </c>
      <c r="AW44" t="s">
        <v>553</v>
      </c>
      <c r="AX44" t="s">
        <v>729</v>
      </c>
      <c r="AY44" t="s">
        <v>460</v>
      </c>
      <c r="AZ44" t="s">
        <v>380</v>
      </c>
      <c r="BA44" t="s">
        <v>390</v>
      </c>
      <c r="BB44" t="s">
        <v>391</v>
      </c>
      <c r="BC44" t="s">
        <v>730</v>
      </c>
      <c r="BD44" t="s">
        <v>517</v>
      </c>
      <c r="BE44" t="s">
        <v>387</v>
      </c>
      <c r="BF44" t="s">
        <v>392</v>
      </c>
      <c r="BG44" t="s">
        <v>393</v>
      </c>
      <c r="BH44" t="s">
        <v>898</v>
      </c>
      <c r="BI44" t="s">
        <v>2009</v>
      </c>
      <c r="BJ44" t="s">
        <v>729</v>
      </c>
      <c r="BK44" t="s">
        <v>2010</v>
      </c>
      <c r="BL44" t="s">
        <v>677</v>
      </c>
      <c r="BM44" t="s">
        <v>730</v>
      </c>
      <c r="BN44" t="s">
        <v>9</v>
      </c>
      <c r="BO44" t="s">
        <v>9</v>
      </c>
      <c r="BP44" t="s">
        <v>9</v>
      </c>
      <c r="BQ44">
        <v>-20.8</v>
      </c>
      <c r="BR44">
        <v>-27.04</v>
      </c>
      <c r="BS44">
        <v>-8.1300000000000008</v>
      </c>
      <c r="BT44" t="s">
        <v>622</v>
      </c>
      <c r="BU44" t="s">
        <v>1180</v>
      </c>
      <c r="BV44">
        <v>-22.73</v>
      </c>
      <c r="BW44">
        <v>4.76</v>
      </c>
      <c r="BX44">
        <v>13.05</v>
      </c>
      <c r="BY44">
        <v>-58.46</v>
      </c>
      <c r="BZ44">
        <v>-40.479999999999997</v>
      </c>
      <c r="CA44">
        <v>-11.61</v>
      </c>
      <c r="CB44">
        <v>2.16</v>
      </c>
      <c r="CC44">
        <v>-17.190000000000001</v>
      </c>
      <c r="CD44" t="s">
        <v>2011</v>
      </c>
      <c r="CE44" t="s">
        <v>2012</v>
      </c>
      <c r="CF44" s="9">
        <v>-0.91990483743061058</v>
      </c>
      <c r="CG44" s="10">
        <v>-1.1007503747494991</v>
      </c>
      <c r="CH44" s="9">
        <v>12.828694343566895</v>
      </c>
      <c r="CI44" s="9">
        <v>-0.14075441658496857</v>
      </c>
      <c r="CJ44" s="9">
        <v>1.1162790469825268E-2</v>
      </c>
      <c r="CK44" s="9">
        <v>-0.12601621448993683</v>
      </c>
      <c r="CL44" s="9">
        <v>-0.14166080951690674</v>
      </c>
      <c r="CM44" s="10">
        <v>9.7167224884033203</v>
      </c>
      <c r="CN44" s="10">
        <v>-1.817307710647583</v>
      </c>
      <c r="CO44" s="10">
        <v>0.7166212797164917</v>
      </c>
      <c r="CP44" s="10">
        <v>0.15242494642734528</v>
      </c>
      <c r="CQ44" s="10">
        <v>-211.52119445800781</v>
      </c>
      <c r="CR44">
        <v>10.591156454976717</v>
      </c>
      <c r="CS44">
        <v>4.2598317828346249E-2</v>
      </c>
      <c r="CT44">
        <v>0</v>
      </c>
      <c r="CU44" s="9">
        <v>2.4862851386889817</v>
      </c>
      <c r="CV44" s="10">
        <v>-40.550546690821648</v>
      </c>
      <c r="CW44">
        <v>0.06</v>
      </c>
      <c r="CX44">
        <v>0.28226245130467825</v>
      </c>
      <c r="CY44">
        <v>8399973815.2940178</v>
      </c>
      <c r="CZ44">
        <v>2.4862851386889817</v>
      </c>
      <c r="DA44">
        <v>2.0567504559102067E-2</v>
      </c>
      <c r="DB44">
        <v>115278797833.09564</v>
      </c>
      <c r="DC44">
        <v>2.3619708817545324</v>
      </c>
      <c r="DD44">
        <v>8.3854784848519772E-4</v>
      </c>
      <c r="DE44">
        <v>2827503766521.0269</v>
      </c>
      <c r="DF44">
        <v>2.1879309220463039</v>
      </c>
      <c r="DG44">
        <v>1.8849117695809708E-5</v>
      </c>
      <c r="DH44">
        <v>125788232545605.53</v>
      </c>
      <c r="DI44">
        <v>1.9890281109511854</v>
      </c>
      <c r="DJ44">
        <v>3.1999871163199146E-9</v>
      </c>
      <c r="DK44">
        <v>7.4093960813402304E+17</v>
      </c>
      <c r="DL44">
        <v>1.7403995970822872</v>
      </c>
      <c r="DM44">
        <v>2554000000</v>
      </c>
      <c r="DN44">
        <v>2.4862851386889817</v>
      </c>
      <c r="DO44">
        <v>2370997200</v>
      </c>
      <c r="DP44">
        <v>-509934700</v>
      </c>
      <c r="DQ44">
        <v>3512</v>
      </c>
      <c r="DR44">
        <v>-3.4061899761195922</v>
      </c>
      <c r="DS44">
        <v>39.449796316072145</v>
      </c>
      <c r="DT44" s="11">
        <v>-0.14000000000000004</v>
      </c>
      <c r="DU44">
        <v>-2.3816666666666668</v>
      </c>
      <c r="DV44">
        <v>-2.5216666666666669</v>
      </c>
      <c r="DW44">
        <v>-3.0134583333333333</v>
      </c>
      <c r="DX44">
        <v>0.29406802973977847</v>
      </c>
      <c r="DY44">
        <v>-3.0014005822335812</v>
      </c>
      <c r="DZ44">
        <v>3003</v>
      </c>
      <c r="EA44">
        <v>-3.0005775003456274</v>
      </c>
      <c r="EB44">
        <v>3</v>
      </c>
      <c r="EC44">
        <v>2.7539235070282241E-2</v>
      </c>
      <c r="ED44">
        <v>0.26462723604111987</v>
      </c>
      <c r="EE44" s="12">
        <v>-1.1002099999999999</v>
      </c>
      <c r="EF44">
        <v>-2.0075099999999999</v>
      </c>
      <c r="EG44">
        <v>19.104068029739778</v>
      </c>
      <c r="EH44" t="s">
        <v>892</v>
      </c>
      <c r="EI44">
        <v>0</v>
      </c>
      <c r="EJ44">
        <v>0</v>
      </c>
      <c r="EK44" s="14">
        <v>45470</v>
      </c>
      <c r="EL44" s="15">
        <v>-2.76</v>
      </c>
      <c r="EM44" s="15">
        <v>-8.51</v>
      </c>
      <c r="EN44" s="15">
        <v>-2.97</v>
      </c>
      <c r="EO44" s="15">
        <v>2.2599999999999998</v>
      </c>
      <c r="EP44" s="15">
        <v>-5.73</v>
      </c>
    </row>
    <row r="45" spans="1:146" ht="96" x14ac:dyDescent="0.25">
      <c r="A45" s="8"/>
      <c r="B45" s="7"/>
      <c r="C45" s="8" t="str">
        <f>""&amp;CHAR(10)&amp;Basic_Fundamental_Information_Constructure(F45)&amp;CHAR(10)&amp;Basic_Fundamental_Information_Concatenate("")</f>
        <v xml:space="preserve">
市值89.761308亿, 利润9.13亿; PE13.03; 平均PE21; 平均PEG.9, PB1.14; ROIC8.8367%; ROE9.8533%; 股利率3.6969%; 毛利31.71%; 净利11.2967%; 上一年度营收增-7.51%, 利润增18.73%; 当季营收增23.79%, 利润增10.38%; 过往5年营收增23.34%, 利润增50.71%
Income profile:
</v>
      </c>
      <c r="D45" t="s">
        <v>279</v>
      </c>
      <c r="E45" t="s">
        <v>280</v>
      </c>
      <c r="F45">
        <v>5.41</v>
      </c>
      <c r="G45">
        <v>1.31</v>
      </c>
      <c r="H45" t="s">
        <v>2013</v>
      </c>
      <c r="I45">
        <v>8976130800</v>
      </c>
      <c r="J45">
        <v>13.03</v>
      </c>
      <c r="K45">
        <v>1.1399999999999999</v>
      </c>
      <c r="L45" t="s">
        <v>82</v>
      </c>
      <c r="M45" t="s">
        <v>2014</v>
      </c>
      <c r="N45" t="s">
        <v>2015</v>
      </c>
      <c r="O45" t="s">
        <v>2016</v>
      </c>
      <c r="P45">
        <v>3.62</v>
      </c>
      <c r="Q45" t="s">
        <v>2017</v>
      </c>
      <c r="R45">
        <v>186547790</v>
      </c>
      <c r="S45" s="5">
        <v>-9.5699999999999993E-2</v>
      </c>
      <c r="T45" t="s">
        <v>2018</v>
      </c>
      <c r="U45">
        <v>1241292900</v>
      </c>
      <c r="V45">
        <v>1659173900</v>
      </c>
      <c r="W45">
        <v>1.37</v>
      </c>
      <c r="X45">
        <v>0.14000000000000001</v>
      </c>
      <c r="Y45">
        <v>12.2</v>
      </c>
      <c r="Z45" t="s">
        <v>1175</v>
      </c>
      <c r="AA45" t="s">
        <v>312</v>
      </c>
      <c r="AB45" t="s">
        <v>2019</v>
      </c>
      <c r="AC45" t="s">
        <v>2020</v>
      </c>
      <c r="AD45" t="s">
        <v>9</v>
      </c>
      <c r="AE45">
        <v>-591089</v>
      </c>
      <c r="AF45" t="s">
        <v>23</v>
      </c>
      <c r="AG45" t="s">
        <v>2021</v>
      </c>
      <c r="AH45" t="s">
        <v>2022</v>
      </c>
      <c r="AI45" t="s">
        <v>894</v>
      </c>
      <c r="AJ45" t="s">
        <v>2023</v>
      </c>
      <c r="AK45" t="s">
        <v>683</v>
      </c>
      <c r="AL45" t="s">
        <v>2024</v>
      </c>
      <c r="AM45" t="s">
        <v>9</v>
      </c>
      <c r="AN45" t="s">
        <v>749</v>
      </c>
      <c r="AO45" t="s">
        <v>2025</v>
      </c>
      <c r="AP45" t="s">
        <v>680</v>
      </c>
      <c r="AQ45" t="s">
        <v>679</v>
      </c>
      <c r="AR45" t="s">
        <v>9</v>
      </c>
      <c r="AS45" t="s">
        <v>2026</v>
      </c>
      <c r="AT45" t="s">
        <v>457</v>
      </c>
      <c r="AU45" t="s">
        <v>112</v>
      </c>
      <c r="AV45" t="s">
        <v>2027</v>
      </c>
      <c r="AW45" t="s">
        <v>2028</v>
      </c>
      <c r="AX45" t="s">
        <v>731</v>
      </c>
      <c r="AY45" t="s">
        <v>518</v>
      </c>
      <c r="AZ45" t="s">
        <v>146</v>
      </c>
      <c r="BA45" t="s">
        <v>281</v>
      </c>
      <c r="BB45" t="s">
        <v>282</v>
      </c>
      <c r="BC45" t="s">
        <v>732</v>
      </c>
      <c r="BD45" t="s">
        <v>519</v>
      </c>
      <c r="BE45" t="s">
        <v>504</v>
      </c>
      <c r="BF45" t="s">
        <v>62</v>
      </c>
      <c r="BG45" t="s">
        <v>208</v>
      </c>
      <c r="BH45" t="s">
        <v>2029</v>
      </c>
      <c r="BI45" t="s">
        <v>313</v>
      </c>
      <c r="BJ45" t="s">
        <v>731</v>
      </c>
      <c r="BK45" t="s">
        <v>1572</v>
      </c>
      <c r="BL45" t="s">
        <v>643</v>
      </c>
      <c r="BM45" t="s">
        <v>732</v>
      </c>
      <c r="BN45">
        <v>6.6</v>
      </c>
      <c r="BO45">
        <v>12.54</v>
      </c>
      <c r="BP45">
        <v>7.37</v>
      </c>
      <c r="BQ45">
        <v>7.65</v>
      </c>
      <c r="BR45">
        <v>13.69</v>
      </c>
      <c r="BS45">
        <v>8.2200000000000006</v>
      </c>
      <c r="BT45" t="s">
        <v>624</v>
      </c>
      <c r="BU45" t="s">
        <v>574</v>
      </c>
      <c r="BV45">
        <v>31.13</v>
      </c>
      <c r="BW45">
        <v>34.15</v>
      </c>
      <c r="BX45">
        <v>29.85</v>
      </c>
      <c r="BY45">
        <v>11.65</v>
      </c>
      <c r="BZ45">
        <v>13.01</v>
      </c>
      <c r="CA45">
        <v>9.23</v>
      </c>
      <c r="CB45">
        <v>2.08</v>
      </c>
      <c r="CC45">
        <v>-7.2</v>
      </c>
      <c r="CD45" t="s">
        <v>2030</v>
      </c>
      <c r="CE45" t="s">
        <v>22</v>
      </c>
      <c r="CF45" s="9">
        <v>0.23786793953858393</v>
      </c>
      <c r="CG45" s="10">
        <v>0.10383307692307692</v>
      </c>
      <c r="CH45" s="9">
        <v>-7.5143575668334961E-2</v>
      </c>
      <c r="CI45" s="9">
        <v>0.34748944640159607</v>
      </c>
      <c r="CJ45" s="9">
        <v>0.3518100380897522</v>
      </c>
      <c r="CK45" s="9">
        <v>0.55633801221847534</v>
      </c>
      <c r="CL45" s="9">
        <v>-1.3460731133818626E-2</v>
      </c>
      <c r="CM45" s="10">
        <v>0.18725617229938507</v>
      </c>
      <c r="CN45" s="10">
        <v>0.91293531656265259</v>
      </c>
      <c r="CO45" s="10">
        <v>1.09375</v>
      </c>
      <c r="CP45" s="10">
        <v>0.30612245202064514</v>
      </c>
      <c r="CQ45" s="10">
        <v>3.5211268812417984E-2</v>
      </c>
      <c r="CR45">
        <v>20.996797192982456</v>
      </c>
      <c r="CS45">
        <v>0.89958012225186246</v>
      </c>
      <c r="CT45">
        <v>3.696857670979667</v>
      </c>
      <c r="CU45" s="9">
        <v>0.23340663798153399</v>
      </c>
      <c r="CV45" s="10">
        <v>0.50705504193902018</v>
      </c>
      <c r="CW45">
        <v>0.06</v>
      </c>
      <c r="CX45">
        <v>3.4161067029413852</v>
      </c>
      <c r="CY45">
        <v>1062358736.2991893</v>
      </c>
      <c r="CZ45">
        <v>0.23340663798153399</v>
      </c>
      <c r="DA45">
        <v>0.99072481884852737</v>
      </c>
      <c r="DB45">
        <v>3663106778.9519668</v>
      </c>
      <c r="DC45">
        <v>0.22173630608245729</v>
      </c>
      <c r="DD45">
        <v>0.41246100633419397</v>
      </c>
      <c r="DE45">
        <v>8798724592.791008</v>
      </c>
      <c r="DF45">
        <v>0.20539784142374992</v>
      </c>
      <c r="DG45">
        <v>0.20275985428887061</v>
      </c>
      <c r="DH45">
        <v>17898665456.868999</v>
      </c>
      <c r="DI45">
        <v>0.18672531038522722</v>
      </c>
      <c r="DJ45">
        <v>6.502808871243565E-2</v>
      </c>
      <c r="DK45">
        <v>55808664714.852409</v>
      </c>
      <c r="DL45">
        <v>0.16338464658707377</v>
      </c>
      <c r="DM45">
        <v>913000000.00000012</v>
      </c>
      <c r="DN45">
        <v>0.23340663798153399</v>
      </c>
      <c r="DO45">
        <v>3629130800</v>
      </c>
      <c r="DP45">
        <v>1515304700</v>
      </c>
      <c r="DQ45">
        <v>3574</v>
      </c>
      <c r="DR45">
        <v>4.4613015570499348E-3</v>
      </c>
      <c r="DS45">
        <v>-0.40322196501594326</v>
      </c>
      <c r="DT45" s="11">
        <v>-4.0000000000000036E-2</v>
      </c>
      <c r="DU45">
        <v>0.85</v>
      </c>
      <c r="DV45">
        <v>0.80999999999999994</v>
      </c>
      <c r="DW45">
        <v>-2.0720000000000001</v>
      </c>
      <c r="DX45">
        <v>0.38711991525423728</v>
      </c>
      <c r="DY45">
        <v>-2.0091526338983052</v>
      </c>
      <c r="DZ45">
        <v>2758</v>
      </c>
      <c r="EA45">
        <v>-2.0042127191641517</v>
      </c>
      <c r="EB45">
        <v>2</v>
      </c>
      <c r="EC45">
        <v>1.8081468133026926E-2</v>
      </c>
      <c r="ED45">
        <v>0.14223946025187595</v>
      </c>
      <c r="EE45" s="12">
        <v>2.8199999999999999E-2</v>
      </c>
      <c r="EF45">
        <v>2.8199999999999999E-2</v>
      </c>
      <c r="EG45">
        <v>26.127119915254237</v>
      </c>
      <c r="EH45" t="s">
        <v>549</v>
      </c>
      <c r="EI45">
        <v>0</v>
      </c>
      <c r="EJ45">
        <v>0</v>
      </c>
      <c r="EK45" s="14">
        <v>45470</v>
      </c>
      <c r="EL45" s="15">
        <v>0</v>
      </c>
      <c r="EM45" s="15">
        <v>-2.74</v>
      </c>
      <c r="EN45" s="15">
        <v>0</v>
      </c>
      <c r="EO45" s="15">
        <v>0.94</v>
      </c>
      <c r="EP45" s="15">
        <v>0</v>
      </c>
    </row>
    <row r="46" spans="1:146" ht="96" x14ac:dyDescent="0.25">
      <c r="A46" s="8"/>
      <c r="B46" s="8"/>
      <c r="C46" s="8" t="str">
        <f>""&amp;CHAR(10)&amp;Basic_Fundamental_Information_Constructure(F46)&amp;CHAR(10)&amp;Basic_Fundamental_Information_Concatenate("")</f>
        <v xml:space="preserve">
市值82.774683亿, 利润-6.98亿; PE; 平均PE24.39; 平均PEG3.93, PB1.31; ROIC9.415%; ROE7.5633%; 股利率.1271%; 毛利18.12%; 净利6.1533%; 上一年度营收增-79.16%, 利润增-265.4%; 当季营收增142.53%, 利润增66.05%; 过往5年营收增-6.2%, 利润增-47.98%
Income profile:
</v>
      </c>
      <c r="D46" t="s">
        <v>521</v>
      </c>
      <c r="E46" t="s">
        <v>522</v>
      </c>
      <c r="F46">
        <v>2.36</v>
      </c>
      <c r="G46">
        <v>1.72</v>
      </c>
      <c r="H46" t="s">
        <v>2031</v>
      </c>
      <c r="I46">
        <v>8277468300</v>
      </c>
      <c r="K46">
        <v>1.31</v>
      </c>
      <c r="L46" t="s">
        <v>82</v>
      </c>
      <c r="M46" t="s">
        <v>2032</v>
      </c>
      <c r="N46" t="s">
        <v>2033</v>
      </c>
      <c r="O46" t="s">
        <v>2034</v>
      </c>
      <c r="P46">
        <v>-16.29</v>
      </c>
      <c r="Q46" t="s">
        <v>2035</v>
      </c>
      <c r="R46">
        <v>-40401115</v>
      </c>
      <c r="S46" s="5">
        <v>-12.56</v>
      </c>
      <c r="T46" t="s">
        <v>2036</v>
      </c>
      <c r="U46">
        <v>1854701200</v>
      </c>
      <c r="V46">
        <v>3507401800</v>
      </c>
      <c r="W46">
        <v>1.5</v>
      </c>
      <c r="X46">
        <v>0.11</v>
      </c>
      <c r="Y46">
        <v>-3.77</v>
      </c>
      <c r="Z46" t="s">
        <v>315</v>
      </c>
      <c r="AA46" t="s">
        <v>1300</v>
      </c>
      <c r="AB46" t="s">
        <v>2037</v>
      </c>
      <c r="AC46" t="s">
        <v>2038</v>
      </c>
      <c r="AD46" t="s">
        <v>9</v>
      </c>
      <c r="AE46">
        <v>43868</v>
      </c>
      <c r="AF46" t="s">
        <v>23</v>
      </c>
      <c r="AG46" t="s">
        <v>2039</v>
      </c>
      <c r="AH46" t="s">
        <v>2040</v>
      </c>
      <c r="AI46" t="s">
        <v>971</v>
      </c>
      <c r="AJ46" t="s">
        <v>2041</v>
      </c>
      <c r="AK46" t="s">
        <v>9</v>
      </c>
      <c r="AL46" t="s">
        <v>2042</v>
      </c>
      <c r="AM46" t="s">
        <v>9</v>
      </c>
      <c r="AN46" t="s">
        <v>2043</v>
      </c>
      <c r="AO46" t="s">
        <v>9</v>
      </c>
      <c r="AP46" t="s">
        <v>881</v>
      </c>
      <c r="AQ46" t="s">
        <v>2044</v>
      </c>
      <c r="AR46" t="s">
        <v>9</v>
      </c>
      <c r="AS46" t="s">
        <v>2045</v>
      </c>
      <c r="AT46" t="s">
        <v>156</v>
      </c>
      <c r="AU46" t="s">
        <v>2046</v>
      </c>
      <c r="AV46" t="s">
        <v>2047</v>
      </c>
      <c r="AW46" t="s">
        <v>602</v>
      </c>
      <c r="AX46" t="s">
        <v>733</v>
      </c>
      <c r="AY46" t="s">
        <v>523</v>
      </c>
      <c r="AZ46" t="s">
        <v>526</v>
      </c>
      <c r="BA46" t="s">
        <v>527</v>
      </c>
      <c r="BB46" t="s">
        <v>528</v>
      </c>
      <c r="BC46" t="s">
        <v>734</v>
      </c>
      <c r="BD46" t="s">
        <v>524</v>
      </c>
      <c r="BE46" t="s">
        <v>529</v>
      </c>
      <c r="BF46" t="s">
        <v>427</v>
      </c>
      <c r="BG46" t="s">
        <v>102</v>
      </c>
      <c r="BH46" t="s">
        <v>2048</v>
      </c>
      <c r="BI46" t="s">
        <v>436</v>
      </c>
      <c r="BJ46" t="s">
        <v>733</v>
      </c>
      <c r="BK46" t="s">
        <v>2049</v>
      </c>
      <c r="BL46" t="s">
        <v>2050</v>
      </c>
      <c r="BM46" t="s">
        <v>734</v>
      </c>
      <c r="BN46" t="s">
        <v>9</v>
      </c>
      <c r="BO46">
        <v>6.25</v>
      </c>
      <c r="BP46">
        <v>12.58</v>
      </c>
      <c r="BQ46">
        <v>-0.73</v>
      </c>
      <c r="BR46">
        <v>6.47</v>
      </c>
      <c r="BS46">
        <v>16.95</v>
      </c>
      <c r="BT46" t="s">
        <v>2051</v>
      </c>
      <c r="BU46" t="s">
        <v>560</v>
      </c>
      <c r="BV46">
        <v>11.54</v>
      </c>
      <c r="BW46">
        <v>16.989999999999998</v>
      </c>
      <c r="BX46">
        <v>25.83</v>
      </c>
      <c r="BY46">
        <v>0.54</v>
      </c>
      <c r="BZ46">
        <v>6.27</v>
      </c>
      <c r="CA46">
        <v>11.65</v>
      </c>
      <c r="CB46">
        <v>3.06</v>
      </c>
      <c r="CC46">
        <v>-10.94</v>
      </c>
      <c r="CD46" t="s">
        <v>2052</v>
      </c>
      <c r="CE46" t="s">
        <v>204</v>
      </c>
      <c r="CF46" s="9">
        <v>1.4253393665158374</v>
      </c>
      <c r="CG46" s="10">
        <v>0.66049483193277314</v>
      </c>
      <c r="CH46" s="9">
        <v>-0.79156768321990967</v>
      </c>
      <c r="CI46" s="9">
        <v>-4.4514142791740596E-4</v>
      </c>
      <c r="CJ46" s="9">
        <v>0.32631370425224304</v>
      </c>
      <c r="CK46" s="9">
        <v>0.11230296641588211</v>
      </c>
      <c r="CL46" s="9">
        <v>4.3160583823919296E-2</v>
      </c>
      <c r="CM46" s="10">
        <v>-2.6540284156799316</v>
      </c>
      <c r="CN46" s="10">
        <v>-0.46242037415504456</v>
      </c>
      <c r="CO46" s="10">
        <v>0.28058728575706482</v>
      </c>
      <c r="CP46" s="10">
        <v>0.2235528975725174</v>
      </c>
      <c r="CQ46" s="10">
        <v>0.21307505667209625</v>
      </c>
      <c r="CR46">
        <v>24.393325049115916</v>
      </c>
      <c r="CS46">
        <v>3.9314197654490388</v>
      </c>
      <c r="CT46">
        <v>0.1271186440677966</v>
      </c>
      <c r="CU46" s="9">
        <v>-6.2047114031156522E-2</v>
      </c>
      <c r="CV46" s="10">
        <v>-0.47984670996665957</v>
      </c>
      <c r="CW46">
        <v>0.06</v>
      </c>
      <c r="CX46" t="e">
        <v>#VALUE!</v>
      </c>
      <c r="CY46" t="s">
        <v>555</v>
      </c>
      <c r="CZ46">
        <v>-6.2047114031156522E-2</v>
      </c>
      <c r="DA46" t="e">
        <v>#VALUE!</v>
      </c>
      <c r="DB46" t="s">
        <v>556</v>
      </c>
      <c r="DC46">
        <v>-5.8944758329598695E-2</v>
      </c>
      <c r="DD46" t="e">
        <v>#VALUE!</v>
      </c>
      <c r="DE46" t="s">
        <v>556</v>
      </c>
      <c r="DF46">
        <v>-5.4601460347417738E-2</v>
      </c>
      <c r="DG46" t="e">
        <v>#VALUE!</v>
      </c>
      <c r="DH46" t="s">
        <v>556</v>
      </c>
      <c r="DI46">
        <v>-4.9637691224925222E-2</v>
      </c>
      <c r="DJ46" t="e">
        <v>#VALUE!</v>
      </c>
      <c r="DK46" t="s">
        <v>556</v>
      </c>
      <c r="DL46">
        <v>-4.3432979821809561E-2</v>
      </c>
      <c r="DM46">
        <v>-698000000</v>
      </c>
      <c r="DN46">
        <v>-6.2047114031156522E-2</v>
      </c>
      <c r="DO46">
        <v>4900468300</v>
      </c>
      <c r="DP46">
        <v>-1397471540</v>
      </c>
      <c r="DQ46">
        <v>3576</v>
      </c>
      <c r="DR46">
        <v>1.4873864805469938</v>
      </c>
      <c r="DS46">
        <v>1.1403415418994327</v>
      </c>
      <c r="DT46" s="11">
        <v>-0.64</v>
      </c>
      <c r="DU46">
        <v>-1.2283333333333335</v>
      </c>
      <c r="DV46">
        <v>-1.8683333333333336</v>
      </c>
      <c r="DW46">
        <v>6.2185714285714289</v>
      </c>
      <c r="DX46">
        <v>0.33704000000000051</v>
      </c>
      <c r="DY46">
        <v>6.0321387428571427</v>
      </c>
      <c r="DZ46">
        <v>620</v>
      </c>
      <c r="EA46">
        <v>6.028239325915572</v>
      </c>
      <c r="EB46">
        <v>6</v>
      </c>
      <c r="EC46">
        <v>8.8037817623290264E-3</v>
      </c>
      <c r="ED46">
        <v>5.9873379776448764E-2</v>
      </c>
      <c r="EE46" s="12">
        <v>0.12311</v>
      </c>
      <c r="EF46">
        <v>-1.01061</v>
      </c>
      <c r="EG46">
        <v>19.147040000000001</v>
      </c>
      <c r="EH46" t="s">
        <v>1366</v>
      </c>
      <c r="EI46">
        <v>0</v>
      </c>
      <c r="EJ46">
        <v>1</v>
      </c>
      <c r="EK46" s="14">
        <v>45470</v>
      </c>
      <c r="EL46" s="15">
        <v>0.63</v>
      </c>
      <c r="EM46" s="15">
        <v>-4</v>
      </c>
      <c r="EN46" s="15">
        <v>1.04</v>
      </c>
      <c r="EO46" s="15">
        <v>-0.26</v>
      </c>
      <c r="EP46" s="15">
        <v>-3.75</v>
      </c>
    </row>
    <row r="47" spans="1:146" ht="96" x14ac:dyDescent="0.25">
      <c r="A47" s="8"/>
      <c r="B47" s="7"/>
      <c r="C47" s="8" t="str">
        <f>""&amp;CHAR(10)&amp;Basic_Fundamental_Information_Constructure(F47)&amp;CHAR(10)&amp;Basic_Fundamental_Information_Concatenate("")</f>
        <v xml:space="preserve">
市值78.76亿, 利润22.07亿; PE85.97; 平均PE7.65; 平均PEG.15, PB.913; ROIC14.39%; ROE18.6633%; 股利率.3841%; 毛利14.87%; 净利10.5%; 上一年度营收增160.09%, 利润增262.99%; 当季营收增-67.37%, 利润增-97.73%; 过往5年营收增50.82%, 利润增120.67%
Income profile:
</v>
      </c>
      <c r="D47" t="s">
        <v>396</v>
      </c>
      <c r="E47" t="s">
        <v>397</v>
      </c>
      <c r="F47">
        <v>14.32</v>
      </c>
      <c r="G47">
        <v>0.63</v>
      </c>
      <c r="H47" t="s">
        <v>2053</v>
      </c>
      <c r="I47">
        <v>7876000000</v>
      </c>
      <c r="J47">
        <v>85.97</v>
      </c>
      <c r="K47">
        <v>0.91300000000000003</v>
      </c>
      <c r="L47" t="s">
        <v>82</v>
      </c>
      <c r="M47" t="s">
        <v>2054</v>
      </c>
      <c r="N47" t="s">
        <v>2055</v>
      </c>
      <c r="O47" t="s">
        <v>2056</v>
      </c>
      <c r="P47">
        <v>26.4</v>
      </c>
      <c r="Q47" t="s">
        <v>2057</v>
      </c>
      <c r="R47">
        <v>19089088</v>
      </c>
      <c r="S47" s="5">
        <v>-0.26829999999999998</v>
      </c>
      <c r="T47" t="s">
        <v>125</v>
      </c>
      <c r="U47">
        <v>364900000</v>
      </c>
      <c r="V47">
        <v>550000000</v>
      </c>
      <c r="W47">
        <v>1.52</v>
      </c>
      <c r="X47">
        <v>0.16</v>
      </c>
      <c r="Y47">
        <v>0.89</v>
      </c>
      <c r="Z47" t="s">
        <v>2058</v>
      </c>
      <c r="AA47" t="s">
        <v>2059</v>
      </c>
      <c r="AB47" t="s">
        <v>2060</v>
      </c>
      <c r="AC47" t="s">
        <v>2061</v>
      </c>
      <c r="AD47" t="s">
        <v>9</v>
      </c>
      <c r="AE47">
        <v>-3724772</v>
      </c>
      <c r="AF47" t="s">
        <v>2062</v>
      </c>
      <c r="AG47" t="s">
        <v>2063</v>
      </c>
      <c r="AH47" t="s">
        <v>2064</v>
      </c>
      <c r="AI47" t="s">
        <v>2065</v>
      </c>
      <c r="AJ47" t="s">
        <v>23</v>
      </c>
      <c r="AK47" t="s">
        <v>1309</v>
      </c>
      <c r="AL47" t="s">
        <v>2066</v>
      </c>
      <c r="AM47" t="s">
        <v>9</v>
      </c>
      <c r="AN47" t="s">
        <v>405</v>
      </c>
      <c r="AO47" t="s">
        <v>2067</v>
      </c>
      <c r="AP47" t="s">
        <v>9</v>
      </c>
      <c r="AQ47" t="s">
        <v>2068</v>
      </c>
      <c r="AR47" t="s">
        <v>9</v>
      </c>
      <c r="AS47" t="s">
        <v>2069</v>
      </c>
      <c r="AT47" t="s">
        <v>930</v>
      </c>
      <c r="AU47" t="s">
        <v>2070</v>
      </c>
      <c r="AV47" t="s">
        <v>2071</v>
      </c>
      <c r="AW47" t="s">
        <v>46</v>
      </c>
      <c r="AX47" t="s">
        <v>735</v>
      </c>
      <c r="AY47" t="s">
        <v>530</v>
      </c>
      <c r="AZ47" t="s">
        <v>398</v>
      </c>
      <c r="BA47" t="s">
        <v>400</v>
      </c>
      <c r="BB47" t="s">
        <v>401</v>
      </c>
      <c r="BC47" t="s">
        <v>357</v>
      </c>
      <c r="BD47" t="s">
        <v>531</v>
      </c>
      <c r="BE47" t="s">
        <v>399</v>
      </c>
      <c r="BF47" t="s">
        <v>137</v>
      </c>
      <c r="BG47" t="s">
        <v>115</v>
      </c>
      <c r="BH47" t="s">
        <v>2072</v>
      </c>
      <c r="BI47" t="s">
        <v>2073</v>
      </c>
      <c r="BJ47" t="s">
        <v>735</v>
      </c>
      <c r="BK47" t="s">
        <v>2074</v>
      </c>
      <c r="BL47" t="s">
        <v>2075</v>
      </c>
      <c r="BM47" t="s">
        <v>357</v>
      </c>
      <c r="BN47">
        <v>0.76</v>
      </c>
      <c r="BO47">
        <v>6.67</v>
      </c>
      <c r="BP47">
        <v>35.74</v>
      </c>
      <c r="BQ47">
        <v>1.02</v>
      </c>
      <c r="BR47">
        <v>7.24</v>
      </c>
      <c r="BS47">
        <v>47.73</v>
      </c>
      <c r="BT47" t="s">
        <v>2076</v>
      </c>
      <c r="BU47" t="s">
        <v>500</v>
      </c>
      <c r="BV47">
        <v>3.28</v>
      </c>
      <c r="BW47">
        <v>10.32</v>
      </c>
      <c r="BX47">
        <v>31.01</v>
      </c>
      <c r="BY47">
        <v>1.4</v>
      </c>
      <c r="BZ47">
        <v>7.79</v>
      </c>
      <c r="CA47">
        <v>22.31</v>
      </c>
      <c r="CB47">
        <v>-0.62</v>
      </c>
      <c r="CC47">
        <v>-15.47</v>
      </c>
      <c r="CD47" t="s">
        <v>2077</v>
      </c>
      <c r="CE47" t="s">
        <v>2078</v>
      </c>
      <c r="CF47" s="9">
        <v>-0.67373075163896934</v>
      </c>
      <c r="CG47" s="10">
        <v>-0.97727489523809519</v>
      </c>
      <c r="CH47" s="9">
        <v>1.6009232997894287</v>
      </c>
      <c r="CI47" s="9">
        <v>-0.19065907597541809</v>
      </c>
      <c r="CJ47" s="9">
        <v>1.1967625617980957</v>
      </c>
      <c r="CK47" s="9">
        <v>9.8422221839427948E-2</v>
      </c>
      <c r="CL47" s="9">
        <v>-0.16446954011917114</v>
      </c>
      <c r="CM47" s="10">
        <v>2.6299343109130859</v>
      </c>
      <c r="CN47" s="10">
        <v>-0.7172093391418457</v>
      </c>
      <c r="CO47" s="10">
        <v>2.0069930553436279</v>
      </c>
      <c r="CP47" s="10">
        <v>2.3726415634155273</v>
      </c>
      <c r="CQ47" s="10">
        <v>-0.25874125957489014</v>
      </c>
      <c r="CR47">
        <v>7.6490773713175786</v>
      </c>
      <c r="CS47">
        <v>0.15051434829868837</v>
      </c>
      <c r="CT47">
        <v>0.38407821229050282</v>
      </c>
      <c r="CU47" s="9">
        <v>0.50819589346647265</v>
      </c>
      <c r="CV47" s="10">
        <v>1.2067236661911012</v>
      </c>
      <c r="CW47">
        <v>0.06</v>
      </c>
      <c r="CX47">
        <v>1.118089599354865</v>
      </c>
      <c r="CY47">
        <v>3140177676.3023629</v>
      </c>
      <c r="CZ47">
        <v>0.50819589346647265</v>
      </c>
      <c r="DA47">
        <v>0.26109762536641379</v>
      </c>
      <c r="DB47">
        <v>13447077487.100105</v>
      </c>
      <c r="DC47">
        <v>0.48278609879314899</v>
      </c>
      <c r="DD47">
        <v>7.7717892031631083E-2</v>
      </c>
      <c r="DE47">
        <v>45176212429.578346</v>
      </c>
      <c r="DF47">
        <v>0.44721238625049592</v>
      </c>
      <c r="DG47">
        <v>2.4613983421813573E-2</v>
      </c>
      <c r="DH47">
        <v>142642494708.45331</v>
      </c>
      <c r="DI47">
        <v>0.40655671477317812</v>
      </c>
      <c r="DJ47">
        <v>2.5476695939683877E-3</v>
      </c>
      <c r="DK47">
        <v>1378122189907.3171</v>
      </c>
      <c r="DL47">
        <v>0.35573712542653085</v>
      </c>
      <c r="DM47">
        <v>2207000000</v>
      </c>
      <c r="DN47">
        <v>0.50819589346647265</v>
      </c>
      <c r="DO47">
        <v>3511000000</v>
      </c>
      <c r="DP47">
        <v>-154589600</v>
      </c>
      <c r="DQ47">
        <v>3581</v>
      </c>
      <c r="DR47">
        <v>-1.181926645105442</v>
      </c>
      <c r="DS47">
        <v>-2.1839985614291964</v>
      </c>
      <c r="DT47" s="11">
        <v>-9.0000000000000011E-2</v>
      </c>
      <c r="DU47">
        <v>0.24699999999999997</v>
      </c>
      <c r="DV47">
        <v>0.15699999999999997</v>
      </c>
      <c r="DW47">
        <v>-2.1547000000000001</v>
      </c>
      <c r="DX47">
        <v>0.38718739988066359</v>
      </c>
      <c r="DY47">
        <v>-2.0150348907615387</v>
      </c>
      <c r="DZ47">
        <v>2759</v>
      </c>
      <c r="EA47">
        <v>-2.0069172266497803</v>
      </c>
      <c r="EB47">
        <v>2</v>
      </c>
      <c r="EC47">
        <v>6.0118181818181815E-3</v>
      </c>
      <c r="ED47">
        <v>6.1858000000000003E-2</v>
      </c>
      <c r="EE47" s="12">
        <v>1.0638099999999999</v>
      </c>
      <c r="EF47">
        <v>1.04311</v>
      </c>
      <c r="EG47">
        <v>29.097187399880664</v>
      </c>
      <c r="EH47" t="s">
        <v>636</v>
      </c>
      <c r="EI47">
        <v>0</v>
      </c>
      <c r="EJ47">
        <v>0</v>
      </c>
      <c r="EK47" s="14">
        <v>45470</v>
      </c>
      <c r="EL47" s="15">
        <v>1.03</v>
      </c>
      <c r="EM47" s="15">
        <v>-0.05</v>
      </c>
      <c r="EN47" s="15">
        <v>-0.1</v>
      </c>
      <c r="EO47" s="15">
        <v>0.25</v>
      </c>
      <c r="EP47" s="15">
        <v>2.0699999999999998</v>
      </c>
    </row>
    <row r="48" spans="1:146" ht="156" x14ac:dyDescent="0.25">
      <c r="A48" s="8" t="s">
        <v>557</v>
      </c>
      <c r="B48" s="8"/>
      <c r="C48" s="8" t="str">
        <f>"公司的主营业务是以煤替代石油生产高端化工产品。主要产品为聚乙烯、聚丙烯。公司高度重视科研开发与技术进步，加大技术储备。"&amp;CHAR(10)&amp;Basic_Fundamental_Information_Constructure(F48)&amp;CHAR(10)&amp;Basic_Fundamental_Information_Concatenate("烯烃产品 115.19亿 49.44% 37.85% 32.31%
焦化产品 93.36亿 40.07% 52.43% 55.23%
精细化工产品 23.67亿 10.16% 9.23% 38.34%
其他业务 7767.74万 0.33% 0.49% 62.01%")</f>
        <v>公司的主营业务是以煤替代石油生产高端化工产品。主要产品为聚乙烯、聚丙烯。公司高度重视科研开发与技术进步，加大技术储备。
市值1273.0713亿, 利润-5.53亿; PE21.63; 平均PE30.63; 平均PEG42.84, PB3.18; ROIC13.8233%; ROE18.6333%; 股利率1.8191%; 毛利35.16%; 净利23.97%; 上一年度营收增-93.22%, 利润增-108.77%; 当季营收增3799.05%, 利润增2134.32%; 过往5年营收增-.71%, 利润增-8.45%
Income profile:
烯烃产品 115.19亿 49.44% 37.85% 32.31%
焦化产品 93.36亿 40.07% 52.43% 55.23%
精细化工产品 23.67亿 10.16% 9.23% 38.34%
其他业务 7767.74万 0.33% 0.49% 62.01%</v>
      </c>
      <c r="D48" t="s">
        <v>402</v>
      </c>
      <c r="E48" t="s">
        <v>403</v>
      </c>
      <c r="F48">
        <v>17.36</v>
      </c>
      <c r="G48">
        <v>0.23</v>
      </c>
      <c r="H48" t="s">
        <v>2079</v>
      </c>
      <c r="I48">
        <v>127307130000</v>
      </c>
      <c r="J48">
        <v>21.63</v>
      </c>
      <c r="K48">
        <v>3.18</v>
      </c>
      <c r="L48" t="s">
        <v>82</v>
      </c>
      <c r="M48" t="s">
        <v>2080</v>
      </c>
      <c r="N48" t="s">
        <v>2081</v>
      </c>
      <c r="O48" t="s">
        <v>2082</v>
      </c>
      <c r="P48">
        <v>22.19</v>
      </c>
      <c r="Q48" t="s">
        <v>2083</v>
      </c>
      <c r="R48">
        <v>1420935000</v>
      </c>
      <c r="S48" s="5">
        <v>0.19889999999999999</v>
      </c>
      <c r="T48" t="s">
        <v>2084</v>
      </c>
      <c r="U48">
        <v>7333360000</v>
      </c>
      <c r="V48">
        <v>7333360000</v>
      </c>
      <c r="W48">
        <v>1.85</v>
      </c>
      <c r="X48">
        <v>0.11</v>
      </c>
      <c r="Y48">
        <v>17.27</v>
      </c>
      <c r="Z48" t="s">
        <v>2085</v>
      </c>
      <c r="AA48" t="s">
        <v>884</v>
      </c>
      <c r="AB48" t="s">
        <v>2086</v>
      </c>
      <c r="AC48" t="s">
        <v>671</v>
      </c>
      <c r="AD48" t="s">
        <v>9</v>
      </c>
      <c r="AE48">
        <v>159566640</v>
      </c>
      <c r="AF48" t="s">
        <v>2087</v>
      </c>
      <c r="AG48" t="s">
        <v>2088</v>
      </c>
      <c r="AH48" t="s">
        <v>2089</v>
      </c>
      <c r="AI48" t="s">
        <v>2090</v>
      </c>
      <c r="AJ48" t="s">
        <v>2091</v>
      </c>
      <c r="AK48" t="s">
        <v>9</v>
      </c>
      <c r="AL48" t="s">
        <v>2092</v>
      </c>
      <c r="AM48" t="s">
        <v>9</v>
      </c>
      <c r="AN48" t="s">
        <v>2093</v>
      </c>
      <c r="AO48" t="s">
        <v>2094</v>
      </c>
      <c r="AP48" t="s">
        <v>1015</v>
      </c>
      <c r="AQ48" t="s">
        <v>2095</v>
      </c>
      <c r="AR48" t="s">
        <v>9</v>
      </c>
      <c r="AS48" t="s">
        <v>2096</v>
      </c>
      <c r="AT48" t="s">
        <v>2097</v>
      </c>
      <c r="AU48" t="s">
        <v>2098</v>
      </c>
      <c r="AV48" t="s">
        <v>2099</v>
      </c>
      <c r="AW48" t="s">
        <v>1408</v>
      </c>
      <c r="AX48" t="s">
        <v>737</v>
      </c>
      <c r="AY48" t="s">
        <v>532</v>
      </c>
      <c r="AZ48" t="s">
        <v>404</v>
      </c>
      <c r="BA48" t="s">
        <v>406</v>
      </c>
      <c r="BB48" t="s">
        <v>407</v>
      </c>
      <c r="BC48" t="s">
        <v>738</v>
      </c>
      <c r="BD48" t="s">
        <v>533</v>
      </c>
      <c r="BE48" t="s">
        <v>405</v>
      </c>
      <c r="BF48" t="s">
        <v>408</v>
      </c>
      <c r="BG48" t="s">
        <v>409</v>
      </c>
      <c r="BH48" t="s">
        <v>2100</v>
      </c>
      <c r="BI48" t="s">
        <v>871</v>
      </c>
      <c r="BJ48" t="s">
        <v>737</v>
      </c>
      <c r="BK48" t="s">
        <v>2101</v>
      </c>
      <c r="BL48" t="s">
        <v>2102</v>
      </c>
      <c r="BM48" t="s">
        <v>738</v>
      </c>
      <c r="BN48">
        <v>7.44</v>
      </c>
      <c r="BO48">
        <v>14.43</v>
      </c>
      <c r="BP48">
        <v>19.600000000000001</v>
      </c>
      <c r="BQ48">
        <v>11</v>
      </c>
      <c r="BR48">
        <v>19.57</v>
      </c>
      <c r="BS48">
        <v>25.33</v>
      </c>
      <c r="BT48" t="s">
        <v>2103</v>
      </c>
      <c r="BU48" t="s">
        <v>1180</v>
      </c>
      <c r="BV48">
        <v>30.4</v>
      </c>
      <c r="BW48">
        <v>32.869999999999997</v>
      </c>
      <c r="BX48">
        <v>42.21</v>
      </c>
      <c r="BY48">
        <v>19.39</v>
      </c>
      <c r="BZ48">
        <v>22.17</v>
      </c>
      <c r="CA48">
        <v>30.35</v>
      </c>
      <c r="CB48">
        <v>0.17</v>
      </c>
      <c r="CC48">
        <v>5.15</v>
      </c>
      <c r="CD48" t="s">
        <v>2104</v>
      </c>
      <c r="CE48" t="s">
        <v>889</v>
      </c>
      <c r="CF48" s="9">
        <v>37.990521327014221</v>
      </c>
      <c r="CG48" s="10">
        <v>21.343187082845372</v>
      </c>
      <c r="CH48" s="9">
        <v>-0.93221950531005859</v>
      </c>
      <c r="CI48" s="9">
        <v>0.22017168998718262</v>
      </c>
      <c r="CJ48" s="9">
        <v>0.46283268928527832</v>
      </c>
      <c r="CK48" s="9">
        <v>0.17393872141838074</v>
      </c>
      <c r="CL48" s="9">
        <v>3.9534151554107666E-2</v>
      </c>
      <c r="CM48" s="10">
        <v>-1.0877360105514526</v>
      </c>
      <c r="CN48" s="10">
        <v>-0.10848657041788101</v>
      </c>
      <c r="CO48" s="10">
        <v>0.52930998802185059</v>
      </c>
      <c r="CP48" s="10">
        <v>0.21593895554542542</v>
      </c>
      <c r="CQ48" s="10">
        <v>2.8679687529802322E-2</v>
      </c>
      <c r="CR48">
        <v>30.625988532937733</v>
      </c>
      <c r="CS48">
        <v>42.842834329929389</v>
      </c>
      <c r="CT48">
        <v>1.8191244239631337</v>
      </c>
      <c r="CU48" s="9">
        <v>-7.1484506130218509E-3</v>
      </c>
      <c r="CV48" s="10">
        <v>-8.4458789974451068E-2</v>
      </c>
      <c r="CW48">
        <v>0.06</v>
      </c>
      <c r="CX48" t="e">
        <v>#VALUE!</v>
      </c>
      <c r="CY48" t="s">
        <v>556</v>
      </c>
      <c r="CZ48">
        <v>-7.1484506130218509E-3</v>
      </c>
      <c r="DA48" t="e">
        <v>#VALUE!</v>
      </c>
      <c r="DB48" t="s">
        <v>556</v>
      </c>
      <c r="DC48">
        <v>-6.791028082370758E-3</v>
      </c>
      <c r="DD48" t="e">
        <v>#VALUE!</v>
      </c>
      <c r="DE48" t="s">
        <v>556</v>
      </c>
      <c r="DF48">
        <v>-6.2906365394592286E-3</v>
      </c>
      <c r="DG48" t="e">
        <v>#VALUE!</v>
      </c>
      <c r="DH48" t="s">
        <v>556</v>
      </c>
      <c r="DI48">
        <v>-5.7187604904174807E-3</v>
      </c>
      <c r="DJ48" t="e">
        <v>#VALUE!</v>
      </c>
      <c r="DK48" t="s">
        <v>556</v>
      </c>
      <c r="DL48">
        <v>-5.0039154291152957E-3</v>
      </c>
      <c r="DM48">
        <v>-553000000</v>
      </c>
      <c r="DN48">
        <v>-7.1484506130218509E-3</v>
      </c>
      <c r="DO48">
        <v>120395130000</v>
      </c>
      <c r="DP48">
        <v>-12735419200</v>
      </c>
      <c r="DQ48">
        <v>3610</v>
      </c>
      <c r="DR48">
        <v>37.997669777627245</v>
      </c>
      <c r="DS48">
        <v>21.427645872819824</v>
      </c>
      <c r="DT48" s="11">
        <v>-0.37333333333333335</v>
      </c>
      <c r="DU48">
        <v>-0.5</v>
      </c>
      <c r="DV48">
        <v>-0.87333333333333329</v>
      </c>
      <c r="DW48">
        <v>1.0515000000000001</v>
      </c>
      <c r="DX48">
        <v>0.35603392771084441</v>
      </c>
      <c r="DY48">
        <v>1.0070057472771083</v>
      </c>
      <c r="DZ48">
        <v>67</v>
      </c>
      <c r="EA48">
        <v>1.0069138910995024</v>
      </c>
      <c r="EB48">
        <v>1</v>
      </c>
      <c r="EC48">
        <v>9.2379073167006658E-3</v>
      </c>
      <c r="ED48">
        <v>6.7908843967840124E-2</v>
      </c>
      <c r="EE48" s="12">
        <v>2.1009099999999998</v>
      </c>
      <c r="EF48">
        <v>2.1228099999999999</v>
      </c>
      <c r="EG48">
        <v>22.136033927710844</v>
      </c>
      <c r="EH48" t="s">
        <v>1182</v>
      </c>
      <c r="EI48">
        <v>0</v>
      </c>
      <c r="EJ48">
        <v>1</v>
      </c>
      <c r="EK48" s="14">
        <v>45470</v>
      </c>
      <c r="EL48" s="15">
        <v>2.29</v>
      </c>
      <c r="EM48" s="15">
        <v>-2</v>
      </c>
      <c r="EN48" s="15">
        <v>-1.32</v>
      </c>
      <c r="EO48" s="15">
        <v>-0.18</v>
      </c>
      <c r="EP48" s="15">
        <v>-2.19</v>
      </c>
    </row>
    <row r="49" spans="1:146" ht="96" x14ac:dyDescent="0.25">
      <c r="C49" s="8" t="str">
        <f>""&amp;CHAR(10)&amp;Basic_Fundamental_Information_Constructure(F49)&amp;CHAR(10)&amp;Basic_Fundamental_Information_Concatenate("")</f>
        <v xml:space="preserve">
市值55.921519亿, 利润70.34亿; PE11.29; 平均PE4.26; 平均PEG.03, PB1.31; ROIC11.3%; ROE16.73%; 股利率4.023%; 毛利33.8267%; 净利13.9733%; 上一年度营收增691.66%, 利润增1570.78%; 当季营收增-89.66%, 利润增-94.22%; 过往5年营收增165.39%, 利润增393.1%
Income profile:
</v>
      </c>
      <c r="D49" t="s">
        <v>739</v>
      </c>
      <c r="E49" t="s">
        <v>740</v>
      </c>
      <c r="F49">
        <v>8.6999999999999993</v>
      </c>
      <c r="G49">
        <v>0.23</v>
      </c>
      <c r="H49" t="s">
        <v>2105</v>
      </c>
      <c r="I49">
        <v>5592151900</v>
      </c>
      <c r="J49">
        <v>11.29</v>
      </c>
      <c r="K49">
        <v>1.31</v>
      </c>
      <c r="L49" t="s">
        <v>82</v>
      </c>
      <c r="M49" t="s">
        <v>2106</v>
      </c>
      <c r="N49" t="s">
        <v>2107</v>
      </c>
      <c r="O49" t="s">
        <v>2108</v>
      </c>
      <c r="P49" s="5">
        <v>-8.83</v>
      </c>
      <c r="Q49" t="s">
        <v>2109</v>
      </c>
      <c r="R49">
        <v>140110720</v>
      </c>
      <c r="S49">
        <v>2.4099999999999998E-3</v>
      </c>
      <c r="T49" t="s">
        <v>2110</v>
      </c>
      <c r="U49">
        <v>416256080</v>
      </c>
      <c r="V49">
        <v>642776080</v>
      </c>
      <c r="W49">
        <v>1.34</v>
      </c>
      <c r="X49">
        <v>0.12</v>
      </c>
      <c r="Y49">
        <v>21.06</v>
      </c>
      <c r="Z49" t="s">
        <v>1005</v>
      </c>
      <c r="AA49" t="s">
        <v>2111</v>
      </c>
      <c r="AB49" t="s">
        <v>2112</v>
      </c>
      <c r="AC49" t="s">
        <v>2113</v>
      </c>
      <c r="AD49" t="s">
        <v>9</v>
      </c>
      <c r="AE49">
        <v>-15900</v>
      </c>
      <c r="AF49" t="s">
        <v>23</v>
      </c>
      <c r="AG49" t="s">
        <v>2114</v>
      </c>
      <c r="AH49" t="s">
        <v>2115</v>
      </c>
      <c r="AI49" t="s">
        <v>2116</v>
      </c>
      <c r="AJ49" t="s">
        <v>2117</v>
      </c>
      <c r="AK49" t="s">
        <v>917</v>
      </c>
      <c r="AL49" t="s">
        <v>2118</v>
      </c>
      <c r="AM49" t="s">
        <v>9</v>
      </c>
      <c r="AN49" t="s">
        <v>1162</v>
      </c>
      <c r="AO49" t="s">
        <v>2119</v>
      </c>
      <c r="AP49" t="s">
        <v>9</v>
      </c>
      <c r="AQ49" t="s">
        <v>2120</v>
      </c>
      <c r="AR49" t="s">
        <v>2121</v>
      </c>
      <c r="AS49" t="s">
        <v>2122</v>
      </c>
      <c r="AT49" t="s">
        <v>2123</v>
      </c>
      <c r="AU49" t="s">
        <v>2124</v>
      </c>
      <c r="AV49" t="s">
        <v>2125</v>
      </c>
      <c r="AW49" t="s">
        <v>2126</v>
      </c>
      <c r="AX49" t="s">
        <v>741</v>
      </c>
      <c r="AY49" t="s">
        <v>742</v>
      </c>
      <c r="AZ49" t="s">
        <v>618</v>
      </c>
      <c r="BA49" t="s">
        <v>743</v>
      </c>
      <c r="BB49" t="s">
        <v>744</v>
      </c>
      <c r="BC49" t="s">
        <v>680</v>
      </c>
      <c r="BD49" t="s">
        <v>572</v>
      </c>
      <c r="BE49" t="s">
        <v>208</v>
      </c>
      <c r="BF49" t="s">
        <v>745</v>
      </c>
      <c r="BG49" t="s">
        <v>746</v>
      </c>
      <c r="BH49" t="s">
        <v>2127</v>
      </c>
      <c r="BI49" t="s">
        <v>2128</v>
      </c>
      <c r="BJ49" t="s">
        <v>741</v>
      </c>
      <c r="BK49" t="s">
        <v>1199</v>
      </c>
      <c r="BL49" t="s">
        <v>2129</v>
      </c>
      <c r="BM49" t="s">
        <v>680</v>
      </c>
      <c r="BN49">
        <v>10</v>
      </c>
      <c r="BO49">
        <v>15.97</v>
      </c>
      <c r="BP49">
        <v>7.93</v>
      </c>
      <c r="BQ49">
        <v>11.27</v>
      </c>
      <c r="BR49">
        <v>22.19</v>
      </c>
      <c r="BS49" t="s">
        <v>9</v>
      </c>
      <c r="BT49" t="s">
        <v>2130</v>
      </c>
      <c r="BU49" t="s">
        <v>574</v>
      </c>
      <c r="BV49">
        <v>37.229999999999997</v>
      </c>
      <c r="BW49">
        <v>34.01</v>
      </c>
      <c r="BX49">
        <v>30.24</v>
      </c>
      <c r="BY49">
        <v>17.8</v>
      </c>
      <c r="BZ49">
        <v>14.92</v>
      </c>
      <c r="CA49">
        <v>9.1999999999999993</v>
      </c>
      <c r="CB49">
        <v>0.35</v>
      </c>
      <c r="CC49" s="9">
        <v>-8.81</v>
      </c>
      <c r="CD49" s="10" t="s">
        <v>2131</v>
      </c>
      <c r="CE49" s="9" t="s">
        <v>612</v>
      </c>
      <c r="CF49" s="9">
        <v>-0.89656716417910443</v>
      </c>
      <c r="CG49" s="9">
        <v>-0.94224619950535859</v>
      </c>
      <c r="CH49" s="9">
        <v>6.9165530204772949</v>
      </c>
      <c r="CI49" s="9">
        <v>0.42871043086051941</v>
      </c>
      <c r="CJ49" s="10">
        <v>0.58687257766723633</v>
      </c>
      <c r="CK49" s="10">
        <v>-6.2952198088169098E-2</v>
      </c>
      <c r="CL49" s="10">
        <v>0.40020263195037842</v>
      </c>
      <c r="CM49" s="10">
        <v>15.70783805847168</v>
      </c>
      <c r="CN49" s="10">
        <v>1.3131867647171021</v>
      </c>
      <c r="CO49">
        <v>0.28169015049934387</v>
      </c>
      <c r="CP49">
        <v>2.5373892784118652</v>
      </c>
      <c r="CQ49">
        <v>-0.1851402223110199</v>
      </c>
      <c r="CR49" s="9">
        <v>4.2642578754644296</v>
      </c>
      <c r="CS49" s="10">
        <v>2.578339937680138E-2</v>
      </c>
      <c r="CT49">
        <v>4.0229885057471266</v>
      </c>
      <c r="CU49">
        <v>1.653877292573452</v>
      </c>
      <c r="CV49">
        <v>3.9309928059577941</v>
      </c>
      <c r="CW49">
        <v>0.06</v>
      </c>
      <c r="CX49">
        <v>0.16047898297770913</v>
      </c>
      <c r="CY49">
        <v>17610729128.265717</v>
      </c>
      <c r="CZ49">
        <v>1.653877292573452</v>
      </c>
      <c r="DA49">
        <v>1.7792803508407964E-2</v>
      </c>
      <c r="DB49">
        <v>158836795936.31805</v>
      </c>
      <c r="DC49">
        <v>1.5711834279447794</v>
      </c>
      <c r="DD49">
        <v>1.4875801170858806E-3</v>
      </c>
      <c r="DE49">
        <v>1899831725054.4707</v>
      </c>
      <c r="DF49">
        <v>1.4554120174646377</v>
      </c>
      <c r="DG49">
        <v>8.5488825572108254E-5</v>
      </c>
      <c r="DH49">
        <v>33058728799779.719</v>
      </c>
      <c r="DI49">
        <v>1.3231018340587617</v>
      </c>
      <c r="DJ49">
        <v>1.3700236573351123E-7</v>
      </c>
      <c r="DK49">
        <v>2.0628489770003392E+16</v>
      </c>
      <c r="DL49">
        <v>1.1577141048014163</v>
      </c>
      <c r="DM49">
        <v>7034000000</v>
      </c>
      <c r="DN49">
        <v>1.653877292573452</v>
      </c>
      <c r="DO49">
        <v>2826151900</v>
      </c>
      <c r="DP49">
        <v>885110300</v>
      </c>
      <c r="DQ49" s="11">
        <v>3644</v>
      </c>
      <c r="DR49">
        <v>-2.5504444567525564</v>
      </c>
      <c r="DS49">
        <v>-4.8732390054631525</v>
      </c>
      <c r="DT49">
        <v>0.24333333333333326</v>
      </c>
      <c r="DU49">
        <v>0.68666666666666687</v>
      </c>
      <c r="DV49">
        <v>0.93000000000000016</v>
      </c>
      <c r="DW49">
        <v>-2.0880999999999998</v>
      </c>
      <c r="DX49">
        <v>0.31062772277227613</v>
      </c>
      <c r="DY49">
        <v>-2.0123893023762376</v>
      </c>
      <c r="DZ49">
        <v>1942</v>
      </c>
      <c r="EA49">
        <v>-2.0076808825690646</v>
      </c>
      <c r="EB49" s="12">
        <v>2</v>
      </c>
      <c r="EC49" s="12">
        <v>2.2096964155853466E-2</v>
      </c>
      <c r="ED49">
        <v>0.15713092497157019</v>
      </c>
      <c r="EE49">
        <v>1.0462100000000001</v>
      </c>
      <c r="EF49">
        <v>1.0720099999999999</v>
      </c>
      <c r="EG49">
        <v>17.140627722772276</v>
      </c>
      <c r="EH49" s="14" t="s">
        <v>636</v>
      </c>
      <c r="EI49" s="15">
        <v>0</v>
      </c>
      <c r="EJ49" s="15">
        <v>0</v>
      </c>
      <c r="EK49" s="15">
        <v>45470</v>
      </c>
      <c r="EL49" s="15">
        <v>0.28000000000000003</v>
      </c>
      <c r="EM49" s="15">
        <v>-2.67</v>
      </c>
      <c r="EN49" s="15">
        <v>-1.45</v>
      </c>
      <c r="EO49" s="15">
        <v>2.4900000000000002</v>
      </c>
      <c r="EP49" s="15">
        <v>-2.58</v>
      </c>
    </row>
    <row r="50" spans="1:146" ht="192" x14ac:dyDescent="0.25">
      <c r="A50" s="8" t="s">
        <v>446</v>
      </c>
      <c r="B50" s="8" t="s">
        <v>447</v>
      </c>
      <c r="C50" s="8" t="str">
        <f>"公司主营业务是电力生产；电力供应；热力生产和供应；商业贸易；化工产品（不含危险品化学品）。公司主营产品包括聚氯乙烯、硅铁、电、片碱、电石、水泥熟料。"&amp;CHAR(10)&amp;Basic_Fundamental_Information_Constructure(F50)&amp;CHAR(10)&amp;Basic_Fundamental_Information_Concatenate("聚氯乙烯 71.22亿 36.91% 41.82% 40.64%
其他业务 65.93亿 34.17% 18.74% 19.67%
硅铁 29.38亿 15.23% 11.71% 27.60%
电 13.43亿 6.96% 3.53% 18.21%
片碱 11.82亿 6.13% 9.70% 56.78%
电石 7.42亿 3.85% 4.09% 38.12%
煤 5.78亿 2.99% 5.49% 65.72%")</f>
        <v>公司主营业务是电力生产；电力供应；热力生产和供应；商业贸易；化工产品（不含危险品化学品）。公司主营产品包括聚氯乙烯、硅铁、电、片碱、电石、水泥熟料。
市值315.58185亿, 利润1.31亿; PE12.11; 平均PE10.28; 平均PEG3.45, PB1.14; ROIC13.5267%; ROE15.5867%; 股利率8.5561%; 毛利28.2067%; 净利19.43%; 上一年度营收增-93.52%, 利润增-96.85%; 当季营收增2102.54%, 利润增6869.32%; 过往5年营收增2.98%, 利润增-1.74%
Income profile:
聚氯乙烯 71.22亿 36.91% 41.82% 40.64%
其他业务 65.93亿 34.17% 18.74% 19.67%
硅铁 29.38亿 15.23% 11.71% 27.60%
电 13.43亿 6.96% 3.53% 18.21%
片碱 11.82亿 6.13% 9.70% 56.78%
电石 7.42亿 3.85% 4.09% 38.12%
煤 5.78亿 2.99% 5.49% 65.72%</v>
      </c>
      <c r="D50" t="s">
        <v>205</v>
      </c>
      <c r="E50" t="s">
        <v>206</v>
      </c>
      <c r="F50">
        <v>3.74</v>
      </c>
      <c r="G50">
        <v>0.54</v>
      </c>
      <c r="H50" t="s">
        <v>2132</v>
      </c>
      <c r="I50">
        <v>31558185000</v>
      </c>
      <c r="J50">
        <v>12.11</v>
      </c>
      <c r="K50">
        <v>1.1399999999999999</v>
      </c>
      <c r="L50" t="s">
        <v>82</v>
      </c>
      <c r="M50" t="s">
        <v>2133</v>
      </c>
      <c r="N50" t="s">
        <v>2134</v>
      </c>
      <c r="O50" t="s">
        <v>2135</v>
      </c>
      <c r="P50">
        <v>1.99</v>
      </c>
      <c r="Q50" t="s">
        <v>2136</v>
      </c>
      <c r="R50">
        <v>712369540</v>
      </c>
      <c r="S50" s="5">
        <v>-0.1419</v>
      </c>
      <c r="T50" t="s">
        <v>603</v>
      </c>
      <c r="U50">
        <v>8438017400</v>
      </c>
      <c r="V50">
        <v>8438017400</v>
      </c>
      <c r="W50">
        <v>1.42</v>
      </c>
      <c r="X50">
        <v>0.13</v>
      </c>
      <c r="Y50">
        <v>14.12</v>
      </c>
      <c r="Z50" t="s">
        <v>2137</v>
      </c>
      <c r="AA50" t="s">
        <v>2138</v>
      </c>
      <c r="AB50" t="s">
        <v>2139</v>
      </c>
      <c r="AC50" t="s">
        <v>2140</v>
      </c>
      <c r="AD50" t="s">
        <v>9</v>
      </c>
      <c r="AE50">
        <v>-30859389</v>
      </c>
      <c r="AF50" t="s">
        <v>2141</v>
      </c>
      <c r="AG50" t="s">
        <v>2142</v>
      </c>
      <c r="AH50" t="s">
        <v>2143</v>
      </c>
      <c r="AI50" t="s">
        <v>2144</v>
      </c>
      <c r="AJ50" t="s">
        <v>2145</v>
      </c>
      <c r="AK50" t="s">
        <v>970</v>
      </c>
      <c r="AL50" t="s">
        <v>2146</v>
      </c>
      <c r="AM50" t="s">
        <v>9</v>
      </c>
      <c r="AN50" t="s">
        <v>2147</v>
      </c>
      <c r="AO50" t="s">
        <v>2148</v>
      </c>
      <c r="AP50" t="s">
        <v>180</v>
      </c>
      <c r="AQ50" t="s">
        <v>2149</v>
      </c>
      <c r="AR50" t="s">
        <v>9</v>
      </c>
      <c r="AS50" t="s">
        <v>2150</v>
      </c>
      <c r="AT50" t="s">
        <v>1175</v>
      </c>
      <c r="AU50" t="s">
        <v>647</v>
      </c>
      <c r="AV50" t="s">
        <v>2151</v>
      </c>
      <c r="AW50" t="s">
        <v>176</v>
      </c>
      <c r="AX50" t="s">
        <v>747</v>
      </c>
      <c r="AY50" t="s">
        <v>751</v>
      </c>
      <c r="AZ50" t="s">
        <v>752</v>
      </c>
      <c r="BA50" t="s">
        <v>210</v>
      </c>
      <c r="BB50" t="s">
        <v>211</v>
      </c>
      <c r="BC50" t="s">
        <v>748</v>
      </c>
      <c r="BD50" t="s">
        <v>534</v>
      </c>
      <c r="BE50" t="s">
        <v>207</v>
      </c>
      <c r="BF50" t="s">
        <v>212</v>
      </c>
      <c r="BG50" t="s">
        <v>213</v>
      </c>
      <c r="BH50" t="s">
        <v>2152</v>
      </c>
      <c r="BI50" t="s">
        <v>22</v>
      </c>
      <c r="BJ50" t="s">
        <v>747</v>
      </c>
      <c r="BK50" t="s">
        <v>2153</v>
      </c>
      <c r="BL50" t="s">
        <v>2154</v>
      </c>
      <c r="BM50" t="s">
        <v>748</v>
      </c>
      <c r="BN50">
        <v>7.24</v>
      </c>
      <c r="BO50">
        <v>15.5</v>
      </c>
      <c r="BP50">
        <v>17.84</v>
      </c>
      <c r="BQ50">
        <v>8.33</v>
      </c>
      <c r="BR50">
        <v>17.37</v>
      </c>
      <c r="BS50">
        <v>21.06</v>
      </c>
      <c r="BT50" t="s">
        <v>2155</v>
      </c>
      <c r="BU50" t="s">
        <v>560</v>
      </c>
      <c r="BV50">
        <v>23.59</v>
      </c>
      <c r="BW50">
        <v>25.16</v>
      </c>
      <c r="BX50">
        <v>35.869999999999997</v>
      </c>
      <c r="BY50">
        <v>14.71</v>
      </c>
      <c r="BZ50">
        <v>19.82</v>
      </c>
      <c r="CA50">
        <v>23.76</v>
      </c>
      <c r="CB50">
        <v>1.36</v>
      </c>
      <c r="CC50">
        <v>-5.56</v>
      </c>
      <c r="CD50" t="s">
        <v>457</v>
      </c>
      <c r="CE50" t="s">
        <v>937</v>
      </c>
      <c r="CF50" s="9">
        <v>21.025423728813561</v>
      </c>
      <c r="CG50" s="10">
        <v>68.693248544734132</v>
      </c>
      <c r="CH50" s="9">
        <v>-0.93522834777832031</v>
      </c>
      <c r="CI50" s="9">
        <v>0.11220524460077286</v>
      </c>
      <c r="CJ50" s="9">
        <v>0.30389243364334106</v>
      </c>
      <c r="CK50" s="9">
        <v>0.51138806343078613</v>
      </c>
      <c r="CL50" s="9">
        <v>0.15678161382675171</v>
      </c>
      <c r="CM50" s="10">
        <v>-0.96848684549331665</v>
      </c>
      <c r="CN50" s="10">
        <v>-8.3553805947303772E-2</v>
      </c>
      <c r="CO50" s="10">
        <v>-5.7943936437368393E-2</v>
      </c>
      <c r="CP50" s="10">
        <v>0.93218302726745605</v>
      </c>
      <c r="CQ50" s="10">
        <v>9.0590842068195343E-2</v>
      </c>
      <c r="CR50">
        <v>10.281771828844482</v>
      </c>
      <c r="CS50">
        <v>3.4493559726092138</v>
      </c>
      <c r="CT50">
        <v>8.5561497326203213</v>
      </c>
      <c r="CU50" s="9">
        <v>2.980780154466629E-2</v>
      </c>
      <c r="CV50" s="10">
        <v>-1.7442143708467483E-2</v>
      </c>
      <c r="CW50">
        <v>0.06</v>
      </c>
      <c r="CX50">
        <v>123.59036432151699</v>
      </c>
      <c r="CY50">
        <v>127268700.00221819</v>
      </c>
      <c r="CZ50">
        <v>2.980780154466629E-2</v>
      </c>
      <c r="DA50">
        <v>42.514564013232302</v>
      </c>
      <c r="DB50">
        <v>369971687.7045809</v>
      </c>
      <c r="DC50">
        <v>2.8317411467432975E-2</v>
      </c>
      <c r="DD50">
        <v>22.378593087290753</v>
      </c>
      <c r="DE50">
        <v>702867465.28908968</v>
      </c>
      <c r="DF50">
        <v>2.6230865359306334E-2</v>
      </c>
      <c r="DG50">
        <v>14.460086584578198</v>
      </c>
      <c r="DH50">
        <v>1087765616.6163833</v>
      </c>
      <c r="DI50">
        <v>2.3846241235733034E-2</v>
      </c>
      <c r="DJ50">
        <v>8.7051774946103002</v>
      </c>
      <c r="DK50">
        <v>1806877000.4676552</v>
      </c>
      <c r="DL50">
        <v>2.0865461081266402E-2</v>
      </c>
      <c r="DM50">
        <v>131000000</v>
      </c>
      <c r="DN50">
        <v>2.980780154466629E-2</v>
      </c>
      <c r="DO50">
        <v>15729184999.999996</v>
      </c>
      <c r="DP50">
        <v>-1402027700</v>
      </c>
      <c r="DQ50">
        <v>3694</v>
      </c>
      <c r="DR50">
        <v>20.995615927268894</v>
      </c>
      <c r="DS50">
        <v>68.710690688442597</v>
      </c>
      <c r="DT50" s="11">
        <v>-0.42333333333333339</v>
      </c>
      <c r="DU50">
        <v>-0.10000000000000002</v>
      </c>
      <c r="DV50">
        <v>-0.52333333333333343</v>
      </c>
      <c r="DW50">
        <v>-1.0556000000000001</v>
      </c>
      <c r="DX50">
        <v>0.33540894220283501</v>
      </c>
      <c r="DY50">
        <v>-1.0069727371864776</v>
      </c>
      <c r="DZ50">
        <v>2532</v>
      </c>
      <c r="EA50">
        <v>-1.0035177527332171</v>
      </c>
      <c r="EB50">
        <v>1</v>
      </c>
      <c r="EC50">
        <v>1.3628793891797377E-2</v>
      </c>
      <c r="ED50">
        <v>0.10867481738067997</v>
      </c>
      <c r="EE50" s="12">
        <v>1.0074000000000001</v>
      </c>
      <c r="EF50">
        <v>1.02451</v>
      </c>
      <c r="EG50">
        <v>21.125408942202835</v>
      </c>
      <c r="EH50" t="s">
        <v>636</v>
      </c>
      <c r="EI50">
        <v>0</v>
      </c>
      <c r="EJ50">
        <v>0</v>
      </c>
      <c r="EK50" s="14">
        <v>45470</v>
      </c>
      <c r="EL50" s="15">
        <v>-1.05</v>
      </c>
      <c r="EM50" s="15">
        <v>-3.17</v>
      </c>
      <c r="EN50" s="15">
        <v>0.73</v>
      </c>
      <c r="EO50" s="15">
        <v>1.81</v>
      </c>
      <c r="EP50" s="15">
        <v>-3.19</v>
      </c>
    </row>
    <row r="51" spans="1:146" ht="132" x14ac:dyDescent="0.25">
      <c r="A51" s="8"/>
      <c r="B51" s="8" t="s">
        <v>448</v>
      </c>
      <c r="C51" s="8" t="str">
        <f>"公司主要从事聚氯乙烯、烧碱等产品的生产和销售，主营产品包括聚氯乙烯和烧碱等。"&amp;CHAR(10)&amp;Basic_Fundamental_Information_Constructure(F51)&amp;CHAR(10)&amp;Basic_Fundamental_Information_Concatenate("聚氯乙烯 69.05亿 69.28%
烧碱 19.89亿 19.96%
水泥 5.82亿 5.84%")</f>
        <v>公司主要从事聚氯乙烯、烧碱等产品的生产和销售，主营产品包括聚氯乙烯和烧碱等。
市值148.95833亿, 利润74.63亿; PE59.29; 平均PE5.65; 平均PEG.22, PB1.26; ROIC8.1533%; ROE9.0633%; 股利率2.6667%; 毛利18.02%; 净利9.6533%; 上一年度营收增97.01%, 利润增415.76%; 当季营收增-64.12%, 利润增-99.18%; 过往5年营收增25.78%, 利润增80.4%
Income profile:
聚氯乙烯 69.05亿 69.28%
烧碱 19.89亿 19.96%
水泥 5.82亿 5.84%</v>
      </c>
      <c r="D51" t="s">
        <v>215</v>
      </c>
      <c r="E51" t="s">
        <v>216</v>
      </c>
      <c r="F51">
        <v>3.75</v>
      </c>
      <c r="G51">
        <v>0.54</v>
      </c>
      <c r="H51" t="s">
        <v>2156</v>
      </c>
      <c r="I51">
        <v>14895833000</v>
      </c>
      <c r="J51">
        <v>59.29</v>
      </c>
      <c r="K51">
        <v>1.26</v>
      </c>
      <c r="L51" t="s">
        <v>82</v>
      </c>
      <c r="M51" t="s">
        <v>2157</v>
      </c>
      <c r="N51" t="s">
        <v>2158</v>
      </c>
      <c r="O51" t="s">
        <v>2159</v>
      </c>
      <c r="P51">
        <v>-14.04</v>
      </c>
      <c r="Q51" t="s">
        <v>2160</v>
      </c>
      <c r="R51">
        <v>16189802</v>
      </c>
      <c r="S51" s="5">
        <v>-0.88229999999999997</v>
      </c>
      <c r="T51" t="s">
        <v>2161</v>
      </c>
      <c r="U51">
        <v>3972222200</v>
      </c>
      <c r="V51">
        <v>3972222200</v>
      </c>
      <c r="W51">
        <v>1.25</v>
      </c>
      <c r="X51">
        <v>0.15</v>
      </c>
      <c r="Y51">
        <v>0.74</v>
      </c>
      <c r="Z51" t="s">
        <v>2162</v>
      </c>
      <c r="AA51" t="s">
        <v>2163</v>
      </c>
      <c r="AB51" t="s">
        <v>2164</v>
      </c>
      <c r="AC51" t="s">
        <v>2165</v>
      </c>
      <c r="AD51" t="s">
        <v>9</v>
      </c>
      <c r="AE51">
        <v>-34548388</v>
      </c>
      <c r="AF51" t="s">
        <v>2166</v>
      </c>
      <c r="AG51" t="s">
        <v>2167</v>
      </c>
      <c r="AH51" t="s">
        <v>2168</v>
      </c>
      <c r="AI51" t="s">
        <v>2169</v>
      </c>
      <c r="AJ51" t="s">
        <v>2170</v>
      </c>
      <c r="AK51" t="s">
        <v>2171</v>
      </c>
      <c r="AL51" t="s">
        <v>2172</v>
      </c>
      <c r="AM51" t="s">
        <v>9</v>
      </c>
      <c r="AN51" t="s">
        <v>247</v>
      </c>
      <c r="AO51" t="s">
        <v>661</v>
      </c>
      <c r="AP51" t="s">
        <v>861</v>
      </c>
      <c r="AQ51" t="s">
        <v>2173</v>
      </c>
      <c r="AR51" t="s">
        <v>9</v>
      </c>
      <c r="AS51" t="s">
        <v>2174</v>
      </c>
      <c r="AT51" t="s">
        <v>9</v>
      </c>
      <c r="AU51" t="s">
        <v>113</v>
      </c>
      <c r="AV51" t="s">
        <v>2175</v>
      </c>
      <c r="AW51" t="s">
        <v>2176</v>
      </c>
      <c r="AX51" t="s">
        <v>753</v>
      </c>
      <c r="AY51" t="s">
        <v>535</v>
      </c>
      <c r="AZ51" t="s">
        <v>217</v>
      </c>
      <c r="BA51" t="s">
        <v>220</v>
      </c>
      <c r="BB51" t="s">
        <v>221</v>
      </c>
      <c r="BC51" t="s">
        <v>244</v>
      </c>
      <c r="BD51" t="s">
        <v>169</v>
      </c>
      <c r="BE51" t="s">
        <v>218</v>
      </c>
      <c r="BF51" t="s">
        <v>222</v>
      </c>
      <c r="BG51" t="s">
        <v>223</v>
      </c>
      <c r="BH51" t="s">
        <v>2177</v>
      </c>
      <c r="BI51" t="s">
        <v>2178</v>
      </c>
      <c r="BJ51" t="s">
        <v>753</v>
      </c>
      <c r="BK51" t="s">
        <v>323</v>
      </c>
      <c r="BL51" t="s">
        <v>2179</v>
      </c>
      <c r="BM51" t="s">
        <v>244</v>
      </c>
      <c r="BN51">
        <v>2.29</v>
      </c>
      <c r="BO51">
        <v>9.18</v>
      </c>
      <c r="BP51">
        <v>12.99</v>
      </c>
      <c r="BQ51">
        <v>3.18</v>
      </c>
      <c r="BR51">
        <v>9.69</v>
      </c>
      <c r="BS51">
        <v>14.32</v>
      </c>
      <c r="BT51" t="s">
        <v>2180</v>
      </c>
      <c r="BU51" t="s">
        <v>560</v>
      </c>
      <c r="BV51">
        <v>12.56</v>
      </c>
      <c r="BW51">
        <v>17.97</v>
      </c>
      <c r="BX51">
        <v>23.53</v>
      </c>
      <c r="BY51">
        <v>3.4</v>
      </c>
      <c r="BZ51">
        <v>11.49</v>
      </c>
      <c r="CA51">
        <v>14.07</v>
      </c>
      <c r="CB51">
        <v>1.08</v>
      </c>
      <c r="CC51">
        <v>-9.1999999999999993</v>
      </c>
      <c r="CD51" t="s">
        <v>2181</v>
      </c>
      <c r="CE51" t="s">
        <v>2182</v>
      </c>
      <c r="CF51" s="9">
        <v>-0.64117743792139448</v>
      </c>
      <c r="CG51" s="10">
        <v>-0.99181920060636686</v>
      </c>
      <c r="CH51" s="9">
        <v>0.97005558013916016</v>
      </c>
      <c r="CI51" s="9">
        <v>-4.2876671999692917E-2</v>
      </c>
      <c r="CJ51" s="9">
        <v>0.33488935232162476</v>
      </c>
      <c r="CK51" s="9">
        <v>-1.9112084060907364E-2</v>
      </c>
      <c r="CL51" s="9">
        <v>4.6022530645132065E-2</v>
      </c>
      <c r="CM51" s="10">
        <v>4.157567024230957</v>
      </c>
      <c r="CN51" s="10">
        <v>-0.21783781051635742</v>
      </c>
      <c r="CO51" s="10">
        <v>9.8574824631214142E-2</v>
      </c>
      <c r="CP51" s="10">
        <v>1.4457831159234047E-2</v>
      </c>
      <c r="CQ51" s="10">
        <v>-3.2634031027555466E-2</v>
      </c>
      <c r="CR51">
        <v>5.6494941845764854</v>
      </c>
      <c r="CS51">
        <v>0.21914614080501893</v>
      </c>
      <c r="CT51">
        <v>2.6666666666666665</v>
      </c>
      <c r="CU51" s="9">
        <v>0.25779574140906336</v>
      </c>
      <c r="CV51" s="10">
        <v>0.80402556769549849</v>
      </c>
      <c r="CW51">
        <v>0.06</v>
      </c>
      <c r="CX51">
        <v>0.68485897322373745</v>
      </c>
      <c r="CY51">
        <v>8855593979.3734322</v>
      </c>
      <c r="CZ51">
        <v>0.25779574140906336</v>
      </c>
      <c r="DA51">
        <v>0.19470993395287395</v>
      </c>
      <c r="DB51">
        <v>31148040969.845348</v>
      </c>
      <c r="DC51">
        <v>0.24490595433861018</v>
      </c>
      <c r="DD51">
        <v>7.8721709172938442E-2</v>
      </c>
      <c r="DE51">
        <v>77041429406.424286</v>
      </c>
      <c r="DF51">
        <v>0.22686025243997576</v>
      </c>
      <c r="DG51">
        <v>3.7299036632764751E-2</v>
      </c>
      <c r="DH51">
        <v>162600258545.88541</v>
      </c>
      <c r="DI51">
        <v>0.20623659312725071</v>
      </c>
      <c r="DJ51">
        <v>1.0900211430882987E-2</v>
      </c>
      <c r="DK51">
        <v>556395904653.44849</v>
      </c>
      <c r="DL51">
        <v>0.18045701898634434</v>
      </c>
      <c r="DM51">
        <v>7463000000</v>
      </c>
      <c r="DN51">
        <v>0.25779574140906336</v>
      </c>
      <c r="DO51">
        <v>6064833000</v>
      </c>
      <c r="DP51">
        <v>3766722800</v>
      </c>
      <c r="DQ51">
        <v>3737</v>
      </c>
      <c r="DR51">
        <v>-0.89897317933045784</v>
      </c>
      <c r="DS51">
        <v>-1.7958447683018655</v>
      </c>
      <c r="DT51" s="11">
        <v>2.6666666666666616E-2</v>
      </c>
      <c r="DU51">
        <v>-0.29000000000000004</v>
      </c>
      <c r="DV51">
        <v>-0.26333333333333342</v>
      </c>
      <c r="DW51">
        <v>-2.0920000000000001</v>
      </c>
      <c r="DX51">
        <v>0.31711464285714214</v>
      </c>
      <c r="DY51">
        <v>-2.0126145471428569</v>
      </c>
      <c r="DZ51">
        <v>406</v>
      </c>
      <c r="EA51">
        <v>-2.0116122954520548</v>
      </c>
      <c r="EB51">
        <v>2</v>
      </c>
      <c r="EC51">
        <v>9.6651441100147929E-3</v>
      </c>
      <c r="ED51">
        <v>7.0489510883857409E-2</v>
      </c>
      <c r="EE51" s="12">
        <v>3.0806100000000001</v>
      </c>
      <c r="EF51">
        <v>3.1038100000000002</v>
      </c>
      <c r="EG51">
        <v>18.137114642857142</v>
      </c>
      <c r="EH51" t="s">
        <v>2183</v>
      </c>
      <c r="EI51">
        <v>0</v>
      </c>
      <c r="EJ51">
        <v>1</v>
      </c>
      <c r="EK51" s="14">
        <v>45470</v>
      </c>
      <c r="EL51" s="15">
        <v>0</v>
      </c>
      <c r="EM51" s="15">
        <v>0.81</v>
      </c>
      <c r="EN51" s="15">
        <v>-1.76</v>
      </c>
      <c r="EO51" s="15">
        <v>-0.06</v>
      </c>
      <c r="EP51" s="15">
        <v>-2.3199999999999998</v>
      </c>
    </row>
    <row r="52" spans="1:146" ht="96" x14ac:dyDescent="0.25">
      <c r="A52" s="7"/>
      <c r="B52" s="7"/>
      <c r="C52" s="8" t="str">
        <f>""&amp;CHAR(10)&amp;Basic_Fundamental_Information_Constructure(F52)&amp;CHAR(10)&amp;Basic_Fundamental_Information_Concatenate("")</f>
        <v xml:space="preserve">
市值72.442877亿, 利润5.70亿; PE21.25; 平均PE8.66; 平均PEG.07, PB.636; ROIC7.8867%; ROE10.59%; 股利率1.4205%; 毛利27.52%; 净利12.2433%; 上一年度营收增585.09%, 利润增-51.61%; 当季营收增-86.45%, 利润增-86.23%; 过往5年营收增124.12%, 利润增23.91%
Income profile:
</v>
      </c>
      <c r="D52" t="s">
        <v>225</v>
      </c>
      <c r="E52" t="s">
        <v>226</v>
      </c>
      <c r="F52">
        <v>3.52</v>
      </c>
      <c r="G52">
        <v>1.1499999999999999</v>
      </c>
      <c r="H52" t="s">
        <v>2184</v>
      </c>
      <c r="I52">
        <v>7244287700</v>
      </c>
      <c r="J52">
        <v>21.25</v>
      </c>
      <c r="K52">
        <v>0.63600000000000001</v>
      </c>
      <c r="L52" t="s">
        <v>82</v>
      </c>
      <c r="M52" t="s">
        <v>2185</v>
      </c>
      <c r="N52" t="s">
        <v>2186</v>
      </c>
      <c r="O52" t="s">
        <v>2187</v>
      </c>
      <c r="P52">
        <v>10.98</v>
      </c>
      <c r="Q52" t="s">
        <v>2188</v>
      </c>
      <c r="R52">
        <v>29470303</v>
      </c>
      <c r="S52" s="5">
        <v>-0.58919999999999995</v>
      </c>
      <c r="T52" t="s">
        <v>888</v>
      </c>
      <c r="U52">
        <v>2058036300</v>
      </c>
      <c r="V52">
        <v>2058036300</v>
      </c>
      <c r="W52">
        <v>1.94</v>
      </c>
      <c r="X52">
        <v>0.09</v>
      </c>
      <c r="Y52">
        <v>1.51</v>
      </c>
      <c r="Z52" t="s">
        <v>2189</v>
      </c>
      <c r="AA52" t="s">
        <v>2190</v>
      </c>
      <c r="AB52" t="s">
        <v>2191</v>
      </c>
      <c r="AC52" t="s">
        <v>471</v>
      </c>
      <c r="AD52" t="s">
        <v>9</v>
      </c>
      <c r="AE52">
        <v>68361316</v>
      </c>
      <c r="AF52" t="s">
        <v>2192</v>
      </c>
      <c r="AG52" t="s">
        <v>2193</v>
      </c>
      <c r="AH52" t="s">
        <v>2194</v>
      </c>
      <c r="AI52" t="s">
        <v>2195</v>
      </c>
      <c r="AJ52" t="s">
        <v>2196</v>
      </c>
      <c r="AK52" t="s">
        <v>51</v>
      </c>
      <c r="AL52" t="s">
        <v>2197</v>
      </c>
      <c r="AM52" t="s">
        <v>9</v>
      </c>
      <c r="AN52" t="s">
        <v>2054</v>
      </c>
      <c r="AO52" t="s">
        <v>2198</v>
      </c>
      <c r="AP52" t="s">
        <v>2199</v>
      </c>
      <c r="AQ52" t="s">
        <v>497</v>
      </c>
      <c r="AR52" t="s">
        <v>9</v>
      </c>
      <c r="AS52" t="s">
        <v>2200</v>
      </c>
      <c r="AT52" t="s">
        <v>2201</v>
      </c>
      <c r="AU52" t="s">
        <v>2202</v>
      </c>
      <c r="AV52" t="s">
        <v>2203</v>
      </c>
      <c r="AW52" t="s">
        <v>896</v>
      </c>
      <c r="AX52" t="s">
        <v>754</v>
      </c>
      <c r="AY52" t="s">
        <v>536</v>
      </c>
      <c r="AZ52" t="s">
        <v>227</v>
      </c>
      <c r="BA52" t="s">
        <v>229</v>
      </c>
      <c r="BB52" t="s">
        <v>230</v>
      </c>
      <c r="BC52" t="s">
        <v>755</v>
      </c>
      <c r="BD52" t="s">
        <v>508</v>
      </c>
      <c r="BE52" t="s">
        <v>228</v>
      </c>
      <c r="BF52" t="s">
        <v>231</v>
      </c>
      <c r="BG52" t="s">
        <v>232</v>
      </c>
      <c r="BH52" t="s">
        <v>2204</v>
      </c>
      <c r="BI52" t="s">
        <v>2205</v>
      </c>
      <c r="BJ52" t="s">
        <v>754</v>
      </c>
      <c r="BK52" t="s">
        <v>156</v>
      </c>
      <c r="BL52" t="s">
        <v>48</v>
      </c>
      <c r="BM52" t="s">
        <v>755</v>
      </c>
      <c r="BN52">
        <v>2.2400000000000002</v>
      </c>
      <c r="BO52">
        <v>8.66</v>
      </c>
      <c r="BP52">
        <v>12.76</v>
      </c>
      <c r="BQ52">
        <v>2.44</v>
      </c>
      <c r="BR52">
        <v>10.84</v>
      </c>
      <c r="BS52">
        <v>18.489999999999998</v>
      </c>
      <c r="BT52" t="s">
        <v>628</v>
      </c>
      <c r="BU52" t="s">
        <v>560</v>
      </c>
      <c r="BV52">
        <v>17.57</v>
      </c>
      <c r="BW52">
        <v>27.73</v>
      </c>
      <c r="BX52">
        <v>37.26</v>
      </c>
      <c r="BY52">
        <v>5.52</v>
      </c>
      <c r="BZ52">
        <v>13.52</v>
      </c>
      <c r="CA52">
        <v>17.690000000000001</v>
      </c>
      <c r="CB52">
        <v>1.1499999999999999</v>
      </c>
      <c r="CC52">
        <v>-9.51</v>
      </c>
      <c r="CD52" t="s">
        <v>2206</v>
      </c>
      <c r="CE52" t="s">
        <v>965</v>
      </c>
      <c r="CF52" s="9">
        <v>-0.86445866963540219</v>
      </c>
      <c r="CG52" s="10">
        <v>-0.86228830373831777</v>
      </c>
      <c r="CH52" s="9">
        <v>5.8508768081665039</v>
      </c>
      <c r="CI52" s="9">
        <v>-4.0569648146629333E-2</v>
      </c>
      <c r="CJ52" s="9">
        <v>0.435341477394104</v>
      </c>
      <c r="CK52" s="9">
        <v>4.7534100711345673E-2</v>
      </c>
      <c r="CL52" s="9">
        <v>-8.6950130760669708E-2</v>
      </c>
      <c r="CM52" s="10">
        <v>-0.5161290168762207</v>
      </c>
      <c r="CN52" s="10">
        <v>-0.27552276849746704</v>
      </c>
      <c r="CO52" s="10">
        <v>2.2071006298065186</v>
      </c>
      <c r="CP52" s="10">
        <v>0.15489749610424042</v>
      </c>
      <c r="CQ52" s="10">
        <v>-0.37464386224746704</v>
      </c>
      <c r="CR52">
        <v>8.6550629629629636</v>
      </c>
      <c r="CS52">
        <v>6.9728799341909883E-2</v>
      </c>
      <c r="CT52">
        <v>1.4204545454545454</v>
      </c>
      <c r="CU52" s="9">
        <v>1.2412465214729309</v>
      </c>
      <c r="CV52" s="10">
        <v>0.23914049565792084</v>
      </c>
      <c r="CW52">
        <v>0.06</v>
      </c>
      <c r="CX52">
        <v>4.5355908102582028</v>
      </c>
      <c r="CY52">
        <v>1205198601.1694062</v>
      </c>
      <c r="CZ52">
        <v>1.2412465214729309</v>
      </c>
      <c r="DA52">
        <v>0.64056276957828906</v>
      </c>
      <c r="DB52">
        <v>8533570728.1250515</v>
      </c>
      <c r="DC52">
        <v>1.1791841953992843</v>
      </c>
      <c r="DD52">
        <v>8.1376707357580819E-2</v>
      </c>
      <c r="DE52">
        <v>67172633023.604103</v>
      </c>
      <c r="DF52">
        <v>1.0922969388961792</v>
      </c>
      <c r="DG52">
        <v>8.146487004313141E-3</v>
      </c>
      <c r="DH52">
        <v>670999376431.32373</v>
      </c>
      <c r="DI52">
        <v>0.99299721717834477</v>
      </c>
      <c r="DJ52">
        <v>4.927728083196216E-5</v>
      </c>
      <c r="DK52">
        <v>110929166701391.2</v>
      </c>
      <c r="DL52">
        <v>0.86887256503105159</v>
      </c>
      <c r="DM52">
        <v>570000000</v>
      </c>
      <c r="DN52">
        <v>1.2412465214729309</v>
      </c>
      <c r="DO52">
        <v>5466287700</v>
      </c>
      <c r="DP52">
        <v>-859334100</v>
      </c>
      <c r="DQ52">
        <v>3764</v>
      </c>
      <c r="DR52">
        <v>-2.1057051911083331</v>
      </c>
      <c r="DS52">
        <v>-1.1014287993962386</v>
      </c>
      <c r="DT52" s="11">
        <v>-6.6666666666666714E-3</v>
      </c>
      <c r="DU52">
        <v>-0.37166666666666676</v>
      </c>
      <c r="DV52">
        <v>-0.37833333333333341</v>
      </c>
      <c r="DW52">
        <v>-2.0951</v>
      </c>
      <c r="DX52">
        <v>0.37869448275862028</v>
      </c>
      <c r="DY52">
        <v>-2.0112878453103447</v>
      </c>
      <c r="DZ52">
        <v>1206</v>
      </c>
      <c r="EA52">
        <v>-2.008623825458236</v>
      </c>
      <c r="EB52">
        <v>2</v>
      </c>
      <c r="EC52">
        <v>2.5088041449997749E-2</v>
      </c>
      <c r="ED52">
        <v>0.21136653420544621</v>
      </c>
      <c r="EE52" s="12">
        <v>-1.0254000000000001</v>
      </c>
      <c r="EF52">
        <v>-1.00691</v>
      </c>
      <c r="EG52">
        <v>26.11869448275862</v>
      </c>
      <c r="EH52" t="s">
        <v>1366</v>
      </c>
      <c r="EI52">
        <v>0</v>
      </c>
      <c r="EJ52">
        <v>1</v>
      </c>
      <c r="EK52" s="14">
        <v>45470</v>
      </c>
      <c r="EL52" s="15">
        <v>0.26</v>
      </c>
      <c r="EM52" s="15">
        <v>-2.91</v>
      </c>
      <c r="EN52" s="15">
        <v>1.76</v>
      </c>
      <c r="EO52" s="15">
        <v>2.77</v>
      </c>
      <c r="EP52" s="15">
        <v>-3.23</v>
      </c>
    </row>
    <row r="53" spans="1:146" ht="216" x14ac:dyDescent="0.25">
      <c r="A53" s="8"/>
      <c r="B53" s="8"/>
      <c r="C53" s="8" t="str">
        <f>"公司主要从事铬化学品、维生素K3等铬盐联产产品、超细氢氧化铝等铬盐副产品的研发、制造与销售。主营产品包括重铬酸钠、重铬酸钾、铬酸酐、氧化铬绿、铬粉、精制元明粉、铬黄、金属铬、超细氢氧化铝及维生素K3 等产品及服务。"&amp;CHAR(10)&amp;Basic_Fundamental_Information_Constructure(F53)&amp;CHAR(10)&amp;Basic_Fundamental_Information_Concatenate("铬的氧化物 7.85亿 61.40%（毛利32.20%）
重铬酸盐 1.80亿 14.09%（毛利23.31%）
其他 1.42亿 11.15%（毛利30.01%）
超细氢氧化铝 6699.56万 5.24%（毛利27.71%）
维生素K3 5545.31万 4.34%（毛利45.61%）
铬的硫酸盐 4627.41万 3.62%（毛利9.79%）
其他业务 220.00万 0.17%（毛利13.84%）")</f>
        <v>公司主要从事铬化学品、维生素K3等铬盐联产产品、超细氢氧化铝等铬盐副产品的研发、制造与销售。主营产品包括重铬酸钠、重铬酸钾、铬酸酐、氧化铬绿、铬粉、精制元明粉、铬黄、金属铬、超细氢氧化铝及维生素K3 等产品及服务。
市值57.569728亿, 利润-9402.76万; PE16.25; 平均PE32.4; 平均PEG2.56, PB2; ROIC12.3233%; ROE14.87%; 股利率1.618%; 毛利25.5367%; 净利10.8267%; 上一年度营收增-80.05%, 利润增-122.55%; 当季营收增496.23%, 利润增332.85%; 过往5年营收增12.66%, 利润增4.46%
Income profile:
铬的氧化物 7.85亿 61.40%（毛利32.20%）
重铬酸盐 1.80亿 14.09%（毛利23.31%）
其他 1.42亿 11.15%（毛利30.01%）
超细氢氧化铝 6699.56万 5.24%（毛利27.71%）
维生素K3 5545.31万 4.34%（毛利45.61%）
铬的硫酸盐 4627.41万 3.62%（毛利9.79%）
其他业务 220.00万 0.17%（毛利13.84%）</v>
      </c>
      <c r="D53" t="s">
        <v>283</v>
      </c>
      <c r="E53" t="s">
        <v>284</v>
      </c>
      <c r="F53">
        <v>11.31</v>
      </c>
      <c r="G53">
        <v>0.44</v>
      </c>
      <c r="H53" t="s">
        <v>2207</v>
      </c>
      <c r="I53">
        <v>5756972800</v>
      </c>
      <c r="J53">
        <v>16.25</v>
      </c>
      <c r="K53">
        <v>2</v>
      </c>
      <c r="L53" t="s">
        <v>82</v>
      </c>
      <c r="M53" t="s">
        <v>1248</v>
      </c>
      <c r="N53" t="s">
        <v>2208</v>
      </c>
      <c r="O53" t="s">
        <v>2209</v>
      </c>
      <c r="P53">
        <v>11.51</v>
      </c>
      <c r="Q53" t="s">
        <v>911</v>
      </c>
      <c r="R53">
        <v>85512448</v>
      </c>
      <c r="S53" s="5">
        <v>-0.1613</v>
      </c>
      <c r="T53" t="s">
        <v>2210</v>
      </c>
      <c r="U53">
        <v>505902170</v>
      </c>
      <c r="V53">
        <v>509016170</v>
      </c>
      <c r="W53">
        <v>1.5</v>
      </c>
      <c r="X53">
        <v>0.22</v>
      </c>
      <c r="Y53">
        <v>9.06</v>
      </c>
      <c r="Z53" t="s">
        <v>2211</v>
      </c>
      <c r="AA53" t="s">
        <v>2094</v>
      </c>
      <c r="AB53" t="s">
        <v>2212</v>
      </c>
      <c r="AC53" t="s">
        <v>2213</v>
      </c>
      <c r="AD53" t="s">
        <v>9</v>
      </c>
      <c r="AE53">
        <v>7637579</v>
      </c>
      <c r="AF53" t="s">
        <v>2214</v>
      </c>
      <c r="AG53" t="s">
        <v>2215</v>
      </c>
      <c r="AH53" t="s">
        <v>2216</v>
      </c>
      <c r="AI53" t="s">
        <v>28</v>
      </c>
      <c r="AJ53" t="s">
        <v>2217</v>
      </c>
      <c r="AK53" t="s">
        <v>2218</v>
      </c>
      <c r="AL53" t="s">
        <v>2219</v>
      </c>
      <c r="AM53" t="s">
        <v>9</v>
      </c>
      <c r="AN53" t="s">
        <v>871</v>
      </c>
      <c r="AO53" t="s">
        <v>1443</v>
      </c>
      <c r="AP53" t="s">
        <v>2220</v>
      </c>
      <c r="AQ53" t="s">
        <v>2221</v>
      </c>
      <c r="AR53" t="s">
        <v>9</v>
      </c>
      <c r="AS53" t="s">
        <v>911</v>
      </c>
      <c r="AT53" t="s">
        <v>698</v>
      </c>
      <c r="AU53" t="s">
        <v>2222</v>
      </c>
      <c r="AV53" t="s">
        <v>2223</v>
      </c>
      <c r="AW53" t="s">
        <v>2224</v>
      </c>
      <c r="AX53" t="s">
        <v>757</v>
      </c>
      <c r="AY53" t="s">
        <v>537</v>
      </c>
      <c r="AZ53" t="s">
        <v>285</v>
      </c>
      <c r="BA53" t="s">
        <v>200</v>
      </c>
      <c r="BB53" t="s">
        <v>286</v>
      </c>
      <c r="BC53" t="s">
        <v>368</v>
      </c>
      <c r="BD53" t="s">
        <v>224</v>
      </c>
      <c r="BE53" t="s">
        <v>182</v>
      </c>
      <c r="BF53" t="s">
        <v>96</v>
      </c>
      <c r="BG53" t="s">
        <v>31</v>
      </c>
      <c r="BH53" t="s">
        <v>2225</v>
      </c>
      <c r="BI53" t="s">
        <v>648</v>
      </c>
      <c r="BJ53" t="s">
        <v>757</v>
      </c>
      <c r="BK53" t="s">
        <v>2226</v>
      </c>
      <c r="BL53" t="s">
        <v>2227</v>
      </c>
      <c r="BM53" t="s">
        <v>368</v>
      </c>
      <c r="BN53">
        <v>8.68</v>
      </c>
      <c r="BO53">
        <v>13.98</v>
      </c>
      <c r="BP53">
        <v>14.31</v>
      </c>
      <c r="BQ53">
        <v>11.03</v>
      </c>
      <c r="BR53">
        <v>17.89</v>
      </c>
      <c r="BS53">
        <v>15.69</v>
      </c>
      <c r="BT53" t="s">
        <v>2228</v>
      </c>
      <c r="BU53" t="s">
        <v>574</v>
      </c>
      <c r="BV53">
        <v>24.58</v>
      </c>
      <c r="BW53">
        <v>27.07</v>
      </c>
      <c r="BX53">
        <v>24.96</v>
      </c>
      <c r="BY53">
        <v>10.07</v>
      </c>
      <c r="BZ53">
        <v>11.99</v>
      </c>
      <c r="CA53">
        <v>10.42</v>
      </c>
      <c r="CB53">
        <v>-3</v>
      </c>
      <c r="CC53">
        <v>-2.4700000000000002</v>
      </c>
      <c r="CD53" t="s">
        <v>2229</v>
      </c>
      <c r="CE53" t="s">
        <v>876</v>
      </c>
      <c r="CF53" s="9">
        <v>4.9622641509433958</v>
      </c>
      <c r="CG53" s="10">
        <v>3.3285103787431143</v>
      </c>
      <c r="CH53" s="9">
        <v>-0.80050933361053467</v>
      </c>
      <c r="CI53" s="9">
        <v>0.18075516819953918</v>
      </c>
      <c r="CJ53" s="9">
        <v>1.3419405221939087</v>
      </c>
      <c r="CK53" s="9">
        <v>-0.10063331574201584</v>
      </c>
      <c r="CL53" s="9">
        <v>1.1387900449335575E-2</v>
      </c>
      <c r="CM53" s="10">
        <v>-1.2254858016967773</v>
      </c>
      <c r="CN53" s="10">
        <v>0.34083601832389832</v>
      </c>
      <c r="CO53" s="10">
        <v>1.0733333826065063</v>
      </c>
      <c r="CP53" s="10">
        <v>0.10294117778539658</v>
      </c>
      <c r="CQ53" s="10">
        <v>-6.8493150174617767E-2</v>
      </c>
      <c r="CR53">
        <v>32.404062994501551</v>
      </c>
      <c r="CS53">
        <v>2.5598014656950099</v>
      </c>
      <c r="CT53">
        <v>1.6180371352785146</v>
      </c>
      <c r="CU53" s="9">
        <v>0.12658818829804658</v>
      </c>
      <c r="CV53" s="10">
        <v>4.4626325368881226E-2</v>
      </c>
      <c r="CW53">
        <v>0.06</v>
      </c>
      <c r="CX53" t="e">
        <v>#VALUE!</v>
      </c>
      <c r="CY53" t="s">
        <v>556</v>
      </c>
      <c r="CZ53">
        <v>0.12658818829804658</v>
      </c>
      <c r="DA53" t="e">
        <v>#VALUE!</v>
      </c>
      <c r="DB53" t="s">
        <v>556</v>
      </c>
      <c r="DC53">
        <v>0.12025877888314425</v>
      </c>
      <c r="DD53" t="e">
        <v>#VALUE!</v>
      </c>
      <c r="DE53" t="s">
        <v>556</v>
      </c>
      <c r="DF53">
        <v>0.11139760570228099</v>
      </c>
      <c r="DG53" t="e">
        <v>#VALUE!</v>
      </c>
      <c r="DH53" t="s">
        <v>556</v>
      </c>
      <c r="DI53">
        <v>0.10127055063843726</v>
      </c>
      <c r="DJ53" t="e">
        <v>#VALUE!</v>
      </c>
      <c r="DK53" t="s">
        <v>556</v>
      </c>
      <c r="DL53">
        <v>8.8611731808632604E-2</v>
      </c>
      <c r="DM53">
        <v>-94027600</v>
      </c>
      <c r="DN53">
        <v>0.12658818829804658</v>
      </c>
      <c r="DO53">
        <v>4211972800</v>
      </c>
      <c r="DP53">
        <v>1195147600</v>
      </c>
      <c r="DQ53">
        <v>3902</v>
      </c>
      <c r="DR53">
        <v>4.8356759626453494</v>
      </c>
      <c r="DS53">
        <v>3.2838840533742331</v>
      </c>
      <c r="DT53" s="11">
        <v>-0.35666666666666669</v>
      </c>
      <c r="DU53">
        <v>-0.33333333333333331</v>
      </c>
      <c r="DV53">
        <v>-0.69</v>
      </c>
      <c r="DW53">
        <v>-4.8233333333333333</v>
      </c>
      <c r="DX53">
        <v>0.33979626436781701</v>
      </c>
      <c r="DY53">
        <v>-4.1150989243295015</v>
      </c>
      <c r="DZ53">
        <v>2268</v>
      </c>
      <c r="EA53">
        <v>-4.0640139222983258</v>
      </c>
      <c r="EB53">
        <v>4</v>
      </c>
      <c r="EC53">
        <v>9.557476337146617E-2</v>
      </c>
      <c r="ED53">
        <v>0.68367179769554276</v>
      </c>
      <c r="EE53" s="12">
        <v>1.0277000000000001</v>
      </c>
      <c r="EF53">
        <v>1.0123</v>
      </c>
      <c r="EG53">
        <v>20.139796264367817</v>
      </c>
      <c r="EH53" t="s">
        <v>604</v>
      </c>
      <c r="EI53">
        <v>0</v>
      </c>
      <c r="EJ53">
        <v>0</v>
      </c>
      <c r="EK53" s="14">
        <v>45470</v>
      </c>
      <c r="EL53" s="15">
        <v>-0.97</v>
      </c>
      <c r="EM53" s="15">
        <v>-4.79</v>
      </c>
      <c r="EN53" s="15">
        <v>1.1399999999999999</v>
      </c>
      <c r="EO53" s="15">
        <v>2.83</v>
      </c>
      <c r="EP53" s="15">
        <v>-1.54</v>
      </c>
    </row>
    <row r="54" spans="1:146" ht="96" x14ac:dyDescent="0.25">
      <c r="C54" s="8" t="str">
        <f>""&amp;CHAR(10)&amp;Basic_Fundamental_Information_Constructure(F54)&amp;CHAR(10)&amp;Basic_Fundamental_Information_Concatenate("")</f>
        <v xml:space="preserve">
市值46.637208亿, 利润1.37亿; PE18.52; 平均PE6.61; 平均PEG6.35, PB.549; ROIC6.21%; ROE4.6933%; 股利率1.7091%; 毛利7.0467%; 净利3.4067%; 上一年度营收增-89.35%, 利润增-44.98%; 当季营收增678.62%, 利润增-291.22%; 过往5年营收增-1.04%, 利润增-27.45%
Income profile:
</v>
      </c>
      <c r="D54" t="s">
        <v>2230</v>
      </c>
      <c r="E54" t="s">
        <v>2231</v>
      </c>
      <c r="F54">
        <v>5.5</v>
      </c>
      <c r="G54">
        <v>0.36</v>
      </c>
      <c r="H54" t="s">
        <v>2232</v>
      </c>
      <c r="I54">
        <v>4663720800</v>
      </c>
      <c r="J54">
        <v>18.52</v>
      </c>
      <c r="K54">
        <v>0.54900000000000004</v>
      </c>
      <c r="L54" t="s">
        <v>82</v>
      </c>
      <c r="M54" t="s">
        <v>2233</v>
      </c>
      <c r="N54" t="s">
        <v>2234</v>
      </c>
      <c r="O54" t="s">
        <v>2235</v>
      </c>
      <c r="P54" s="5">
        <v>-1.61</v>
      </c>
      <c r="Q54" t="s">
        <v>2236</v>
      </c>
      <c r="R54">
        <v>-24312556</v>
      </c>
      <c r="S54">
        <v>0.82479999999999998</v>
      </c>
      <c r="T54" t="s">
        <v>346</v>
      </c>
      <c r="U54">
        <v>847949240</v>
      </c>
      <c r="V54">
        <v>847949240</v>
      </c>
      <c r="W54">
        <v>2.06</v>
      </c>
      <c r="X54">
        <v>0.19</v>
      </c>
      <c r="Y54">
        <v>-0.72</v>
      </c>
      <c r="Z54" t="s">
        <v>2237</v>
      </c>
      <c r="AA54" t="s">
        <v>2238</v>
      </c>
      <c r="AB54" t="s">
        <v>2239</v>
      </c>
      <c r="AC54" t="s">
        <v>2240</v>
      </c>
      <c r="AD54" t="s">
        <v>9</v>
      </c>
      <c r="AE54">
        <v>37598441</v>
      </c>
      <c r="AF54" t="s">
        <v>2241</v>
      </c>
      <c r="AG54" t="s">
        <v>2242</v>
      </c>
      <c r="AH54" t="s">
        <v>2243</v>
      </c>
      <c r="AI54" t="s">
        <v>2244</v>
      </c>
      <c r="AJ54" t="s">
        <v>2245</v>
      </c>
      <c r="AK54" t="s">
        <v>907</v>
      </c>
      <c r="AL54" t="s">
        <v>2246</v>
      </c>
      <c r="AM54" t="s">
        <v>9</v>
      </c>
      <c r="AN54" t="s">
        <v>2247</v>
      </c>
      <c r="AO54" t="s">
        <v>2248</v>
      </c>
      <c r="AP54" t="s">
        <v>589</v>
      </c>
      <c r="AQ54" t="s">
        <v>2249</v>
      </c>
      <c r="AR54" t="s">
        <v>9</v>
      </c>
      <c r="AS54" t="s">
        <v>2250</v>
      </c>
      <c r="AT54" t="s">
        <v>2251</v>
      </c>
      <c r="AU54" t="s">
        <v>2252</v>
      </c>
      <c r="AV54" t="s">
        <v>2253</v>
      </c>
      <c r="AW54" t="s">
        <v>120</v>
      </c>
      <c r="AX54" t="s">
        <v>2254</v>
      </c>
      <c r="AY54" t="s">
        <v>2255</v>
      </c>
      <c r="AZ54" t="s">
        <v>936</v>
      </c>
      <c r="BA54" t="s">
        <v>2256</v>
      </c>
      <c r="BB54" t="s">
        <v>2257</v>
      </c>
      <c r="BC54" t="s">
        <v>644</v>
      </c>
      <c r="BD54" t="s">
        <v>2258</v>
      </c>
      <c r="BE54" t="s">
        <v>2259</v>
      </c>
      <c r="BF54" t="s">
        <v>2260</v>
      </c>
      <c r="BG54" t="s">
        <v>2261</v>
      </c>
      <c r="BH54" t="s">
        <v>2262</v>
      </c>
      <c r="BI54" t="s">
        <v>965</v>
      </c>
      <c r="BJ54" t="s">
        <v>2254</v>
      </c>
      <c r="BK54" t="s">
        <v>346</v>
      </c>
      <c r="BL54" t="s">
        <v>2263</v>
      </c>
      <c r="BM54" t="s">
        <v>644</v>
      </c>
      <c r="BN54" t="s">
        <v>9</v>
      </c>
      <c r="BO54">
        <v>3.07</v>
      </c>
      <c r="BP54">
        <v>9.35</v>
      </c>
      <c r="BQ54">
        <v>7.0000000000000007E-2</v>
      </c>
      <c r="BR54">
        <v>2.86</v>
      </c>
      <c r="BS54">
        <v>11.15</v>
      </c>
      <c r="BT54" t="s">
        <v>2264</v>
      </c>
      <c r="BU54" t="s">
        <v>500</v>
      </c>
      <c r="BV54">
        <v>3.31</v>
      </c>
      <c r="BW54">
        <v>4.01</v>
      </c>
      <c r="BX54">
        <v>13.82</v>
      </c>
      <c r="BY54">
        <v>0.94</v>
      </c>
      <c r="BZ54">
        <v>1.48</v>
      </c>
      <c r="CA54">
        <v>7.8</v>
      </c>
      <c r="CB54">
        <v>0.55000000000000004</v>
      </c>
      <c r="CC54" s="9">
        <v>-18.23</v>
      </c>
      <c r="CD54" s="10" t="s">
        <v>2265</v>
      </c>
      <c r="CE54" s="9" t="s">
        <v>859</v>
      </c>
      <c r="CF54" s="9">
        <v>6.7862068965517244</v>
      </c>
      <c r="CG54" s="9">
        <v>-2.9122063172465866</v>
      </c>
      <c r="CH54" s="9">
        <v>-0.89345872402191162</v>
      </c>
      <c r="CI54" s="9">
        <v>0.39856830239295959</v>
      </c>
      <c r="CJ54" s="10">
        <v>0.59218025207519531</v>
      </c>
      <c r="CK54" s="10">
        <v>-7.4233151972293854E-2</v>
      </c>
      <c r="CL54" s="10">
        <v>-7.5124844908714294E-2</v>
      </c>
      <c r="CM54" s="10">
        <v>-0.44979920983314514</v>
      </c>
      <c r="CN54" s="10">
        <v>-0.73110151290893555</v>
      </c>
      <c r="CO54">
        <v>4.1619796305894852E-2</v>
      </c>
      <c r="CP54">
        <v>0.1666666716337204</v>
      </c>
      <c r="CQ54">
        <v>-0.40000000596046448</v>
      </c>
      <c r="CR54" s="9">
        <v>6.6105184975194895</v>
      </c>
      <c r="CS54" s="10">
        <v>6.3479463078478791</v>
      </c>
      <c r="CT54">
        <v>1.709090909090909</v>
      </c>
      <c r="CU54">
        <v>-1.0413633286952972E-2</v>
      </c>
      <c r="CV54">
        <v>-0.27452285215258598</v>
      </c>
      <c r="CW54">
        <v>0.06</v>
      </c>
      <c r="CX54" t="e">
        <v>#VALUE!</v>
      </c>
      <c r="CY54" t="s">
        <v>1626</v>
      </c>
      <c r="CZ54">
        <v>-1.0413633286952972E-2</v>
      </c>
      <c r="DA54">
        <v>13.266960583941605</v>
      </c>
      <c r="DB54" t="s">
        <v>2266</v>
      </c>
      <c r="DC54">
        <v>-9.8929516226053237E-3</v>
      </c>
      <c r="DD54">
        <v>6.6334802919708027</v>
      </c>
      <c r="DE54" t="s">
        <v>2267</v>
      </c>
      <c r="DF54">
        <v>-9.1639972925186153E-3</v>
      </c>
      <c r="DG54">
        <v>3.9800881751824817</v>
      </c>
      <c r="DH54" t="s">
        <v>2268</v>
      </c>
      <c r="DI54">
        <v>-8.3309066295623787E-3</v>
      </c>
      <c r="DJ54">
        <v>1.9900440875912409</v>
      </c>
      <c r="DK54" t="s">
        <v>2269</v>
      </c>
      <c r="DL54">
        <v>-7.2895433008670803E-3</v>
      </c>
      <c r="DM54">
        <v>137000000</v>
      </c>
      <c r="DN54">
        <v>-1.0413633286952972E-2</v>
      </c>
      <c r="DO54">
        <v>5452720800</v>
      </c>
      <c r="DP54">
        <v>280141099.99999905</v>
      </c>
      <c r="DQ54" s="11">
        <v>3941</v>
      </c>
      <c r="DR54">
        <v>6.7966205298386777</v>
      </c>
      <c r="DS54">
        <v>-2.6376834650940006</v>
      </c>
      <c r="DT54">
        <v>-0.49</v>
      </c>
      <c r="DU54">
        <v>-1.3483333333333334</v>
      </c>
      <c r="DV54">
        <v>-1.8383333333333334</v>
      </c>
      <c r="DW54">
        <v>-3.0252202380952382</v>
      </c>
      <c r="DX54">
        <v>0.41522894736842003</v>
      </c>
      <c r="DY54">
        <v>-3.0031583038690477</v>
      </c>
      <c r="DZ54">
        <v>854</v>
      </c>
      <c r="EA54">
        <v>-3.0026304777429877</v>
      </c>
      <c r="EB54" s="12">
        <v>3</v>
      </c>
      <c r="EC54" s="12">
        <v>2.8060052273883754E-2</v>
      </c>
      <c r="ED54">
        <v>0.22407001626653972</v>
      </c>
      <c r="EE54">
        <v>4.36E-2</v>
      </c>
      <c r="EF54">
        <v>4.2000000000000023E-3</v>
      </c>
      <c r="EG54">
        <v>29.12522894736842</v>
      </c>
      <c r="EH54" s="14" t="s">
        <v>549</v>
      </c>
      <c r="EI54">
        <v>0</v>
      </c>
      <c r="EJ54">
        <v>1</v>
      </c>
      <c r="EK54">
        <v>45470</v>
      </c>
      <c r="EL54">
        <v>-0.83</v>
      </c>
      <c r="EM54">
        <v>-5.18</v>
      </c>
      <c r="EN54" s="15">
        <v>2.0499999999999998</v>
      </c>
      <c r="EO54" s="15">
        <v>4.3</v>
      </c>
      <c r="EP54" s="15">
        <v>-3.94</v>
      </c>
    </row>
    <row r="55" spans="1:146" ht="96" x14ac:dyDescent="0.25">
      <c r="A55" s="7"/>
      <c r="B55" s="7"/>
      <c r="C55" s="8" t="str">
        <f>""&amp;CHAR(10)&amp;Basic_Fundamental_Information_Constructure(F55)&amp;CHAR(10)&amp;Basic_Fundamental_Information_Concatenate("")</f>
        <v xml:space="preserve">
市值32.87088亿, 利润1.05亿; PE13.97; 平均PE14.65; 平均PEG.54, PB1.81; ROIC23.3333%; ROE26.87%; 股利率3.7302%; 毛利24.9533%; 净利16.9833%; 上一年度营收增30%, 利润增-72.3%; 当季营收增-48.15%, 利润增1585.62%; 过往5年营收增26.94%, 利润增41.24%
Income profile:
</v>
      </c>
      <c r="D55" t="s">
        <v>538</v>
      </c>
      <c r="E55" t="s">
        <v>539</v>
      </c>
      <c r="F55">
        <v>7.56</v>
      </c>
      <c r="G55">
        <v>1.89</v>
      </c>
      <c r="H55" t="s">
        <v>2270</v>
      </c>
      <c r="I55">
        <v>3287088000</v>
      </c>
      <c r="J55">
        <v>13.97</v>
      </c>
      <c r="K55">
        <v>1.81</v>
      </c>
      <c r="L55" t="s">
        <v>82</v>
      </c>
      <c r="M55" t="s">
        <v>941</v>
      </c>
      <c r="N55" t="s">
        <v>2271</v>
      </c>
      <c r="O55" t="s">
        <v>2272</v>
      </c>
      <c r="P55">
        <v>-20.37</v>
      </c>
      <c r="Q55" t="s">
        <v>2273</v>
      </c>
      <c r="R55">
        <v>45183001</v>
      </c>
      <c r="S55" s="5">
        <v>-0.2296</v>
      </c>
      <c r="T55" t="s">
        <v>45</v>
      </c>
      <c r="U55">
        <v>155794710</v>
      </c>
      <c r="V55">
        <v>434800000</v>
      </c>
      <c r="W55">
        <v>1.77</v>
      </c>
      <c r="X55">
        <v>0.12</v>
      </c>
      <c r="Y55">
        <v>11.49</v>
      </c>
      <c r="Z55" t="s">
        <v>641</v>
      </c>
      <c r="AA55" t="s">
        <v>951</v>
      </c>
      <c r="AB55" t="s">
        <v>2274</v>
      </c>
      <c r="AC55" t="s">
        <v>2275</v>
      </c>
      <c r="AD55" t="s">
        <v>9</v>
      </c>
      <c r="AE55">
        <v>-13705</v>
      </c>
      <c r="AF55" t="s">
        <v>23</v>
      </c>
      <c r="AG55" t="s">
        <v>2276</v>
      </c>
      <c r="AH55" t="s">
        <v>2277</v>
      </c>
      <c r="AI55" t="s">
        <v>963</v>
      </c>
      <c r="AJ55" t="s">
        <v>2278</v>
      </c>
      <c r="AK55" t="s">
        <v>9</v>
      </c>
      <c r="AL55" t="s">
        <v>2279</v>
      </c>
      <c r="AM55" t="s">
        <v>9</v>
      </c>
      <c r="AN55" t="s">
        <v>2280</v>
      </c>
      <c r="AO55" t="s">
        <v>2281</v>
      </c>
      <c r="AP55" t="s">
        <v>43</v>
      </c>
      <c r="AQ55" t="s">
        <v>483</v>
      </c>
      <c r="AR55" t="s">
        <v>9</v>
      </c>
      <c r="AS55" t="s">
        <v>939</v>
      </c>
      <c r="AT55" t="s">
        <v>874</v>
      </c>
      <c r="AU55" t="s">
        <v>2125</v>
      </c>
      <c r="AV55" t="s">
        <v>2282</v>
      </c>
      <c r="AW55" t="s">
        <v>1198</v>
      </c>
      <c r="AX55" t="s">
        <v>758</v>
      </c>
      <c r="AY55" t="s">
        <v>650</v>
      </c>
      <c r="AZ55" t="s">
        <v>540</v>
      </c>
      <c r="BA55" t="s">
        <v>114</v>
      </c>
      <c r="BB55" t="s">
        <v>541</v>
      </c>
      <c r="BC55" t="s">
        <v>759</v>
      </c>
      <c r="BD55" t="s">
        <v>673</v>
      </c>
      <c r="BE55" t="s">
        <v>464</v>
      </c>
      <c r="BF55" t="s">
        <v>42</v>
      </c>
      <c r="BG55" t="s">
        <v>235</v>
      </c>
      <c r="BH55" t="s">
        <v>2283</v>
      </c>
      <c r="BI55" t="s">
        <v>2284</v>
      </c>
      <c r="BJ55" t="s">
        <v>758</v>
      </c>
      <c r="BK55" t="s">
        <v>644</v>
      </c>
      <c r="BL55" t="s">
        <v>2285</v>
      </c>
      <c r="BM55" t="s">
        <v>759</v>
      </c>
      <c r="BN55">
        <v>8.6999999999999993</v>
      </c>
      <c r="BO55">
        <v>22.34</v>
      </c>
      <c r="BP55">
        <v>38.96</v>
      </c>
      <c r="BQ55">
        <v>9.0500000000000007</v>
      </c>
      <c r="BR55">
        <v>23.3</v>
      </c>
      <c r="BS55">
        <v>48.26</v>
      </c>
      <c r="BT55" t="s">
        <v>2286</v>
      </c>
      <c r="BU55" t="s">
        <v>560</v>
      </c>
      <c r="BV55">
        <v>18.399999999999999</v>
      </c>
      <c r="BW55">
        <v>23.78</v>
      </c>
      <c r="BX55">
        <v>32.68</v>
      </c>
      <c r="BY55">
        <v>11.8</v>
      </c>
      <c r="BZ55">
        <v>14.81</v>
      </c>
      <c r="CA55">
        <v>24.34</v>
      </c>
      <c r="CB55">
        <v>1.07</v>
      </c>
      <c r="CC55">
        <v>-14.07</v>
      </c>
      <c r="CD55" t="s">
        <v>2287</v>
      </c>
      <c r="CE55" t="s">
        <v>2288</v>
      </c>
      <c r="CF55" s="9">
        <v>-0.48153034300791558</v>
      </c>
      <c r="CG55" s="10">
        <v>15.856183920910278</v>
      </c>
      <c r="CH55" s="9">
        <v>0.30003899335861206</v>
      </c>
      <c r="CI55" s="9">
        <v>0.21067547798156738</v>
      </c>
      <c r="CJ55" s="9">
        <v>0.83767366409301758</v>
      </c>
      <c r="CK55" s="9">
        <v>1.3192669488489628E-2</v>
      </c>
      <c r="CL55" s="9">
        <v>-1.4731424860656261E-2</v>
      </c>
      <c r="CM55" s="10">
        <v>-0.72295516729354858</v>
      </c>
      <c r="CN55" s="10">
        <v>-0.23742455244064331</v>
      </c>
      <c r="CO55" s="10">
        <v>2.8230769634246826</v>
      </c>
      <c r="CP55" s="10">
        <v>2.3622047156095505E-2</v>
      </c>
      <c r="CQ55" s="10">
        <v>0.17592592537403107</v>
      </c>
      <c r="CR55">
        <v>14.652695393759286</v>
      </c>
      <c r="CS55">
        <v>0.54396191625730717</v>
      </c>
      <c r="CT55">
        <v>3.7301587301587302</v>
      </c>
      <c r="CU55" s="9">
        <v>0.26936987601220608</v>
      </c>
      <c r="CV55" s="10">
        <v>0.41244904324412346</v>
      </c>
      <c r="CW55">
        <v>0.06</v>
      </c>
      <c r="CX55">
        <v>20.296634170127621</v>
      </c>
      <c r="CY55">
        <v>125739468.85026568</v>
      </c>
      <c r="CZ55">
        <v>0.26936987601220608</v>
      </c>
      <c r="DA55">
        <v>5.71652882014914</v>
      </c>
      <c r="DB55">
        <v>446440152.80822426</v>
      </c>
      <c r="DC55">
        <v>0.25590138221159575</v>
      </c>
      <c r="DD55">
        <v>2.2791647647125268</v>
      </c>
      <c r="DE55">
        <v>1119747040.4566813</v>
      </c>
      <c r="DF55">
        <v>0.23704549089074134</v>
      </c>
      <c r="DG55">
        <v>1.0609423817903767</v>
      </c>
      <c r="DH55">
        <v>2405491611.800128</v>
      </c>
      <c r="DI55">
        <v>0.21549590080976488</v>
      </c>
      <c r="DJ55">
        <v>0.29640578496571818</v>
      </c>
      <c r="DK55">
        <v>8610115353.5015202</v>
      </c>
      <c r="DL55">
        <v>0.18855891320854423</v>
      </c>
      <c r="DM55">
        <v>105000000</v>
      </c>
      <c r="DN55">
        <v>0.26936987601220608</v>
      </c>
      <c r="DO55">
        <v>2552088000</v>
      </c>
      <c r="DP55">
        <v>270009940</v>
      </c>
      <c r="DQ55">
        <v>4013</v>
      </c>
      <c r="DR55">
        <v>-0.75090021902012172</v>
      </c>
      <c r="DS55">
        <v>15.443734877666154</v>
      </c>
      <c r="DT55" s="11">
        <v>0.14333333333333331</v>
      </c>
      <c r="DU55">
        <v>0.18833333333333327</v>
      </c>
      <c r="DV55">
        <v>0.33166666666666655</v>
      </c>
      <c r="DW55">
        <v>-2.1406999999999998</v>
      </c>
      <c r="DX55">
        <v>0.39556249375177854</v>
      </c>
      <c r="DY55">
        <v>-2.0232946428708751</v>
      </c>
      <c r="DZ55">
        <v>2504</v>
      </c>
      <c r="EA55">
        <v>-2.0118798120002936</v>
      </c>
      <c r="EB55">
        <v>2</v>
      </c>
      <c r="EC55">
        <v>1.9806117755289787E-2</v>
      </c>
      <c r="ED55">
        <v>0.1196292548298068</v>
      </c>
      <c r="EE55" s="12">
        <v>-2.00101</v>
      </c>
      <c r="EF55">
        <v>-2.0260099999999999</v>
      </c>
      <c r="EG55">
        <v>23.165562493751779</v>
      </c>
      <c r="EH55" t="s">
        <v>892</v>
      </c>
      <c r="EI55">
        <v>0</v>
      </c>
      <c r="EJ55">
        <v>0</v>
      </c>
      <c r="EK55" s="14">
        <v>45470</v>
      </c>
      <c r="EL55" s="15">
        <v>-0.79</v>
      </c>
      <c r="EM55" s="15">
        <v>-4.67</v>
      </c>
      <c r="EN55" s="15">
        <v>-0.37</v>
      </c>
      <c r="EO55" s="15">
        <v>3.89</v>
      </c>
      <c r="EP55" s="15">
        <v>-2.5</v>
      </c>
    </row>
    <row r="56" spans="1:146" ht="96" x14ac:dyDescent="0.25">
      <c r="C56" s="8" t="str">
        <f>""&amp;CHAR(10)&amp;Basic_Fundamental_Information_Constructure(F56)&amp;CHAR(10)&amp;Basic_Fundamental_Information_Concatenate("")</f>
        <v xml:space="preserve">
市值73.410949亿, 利润9.36亿; PE9.79; 平均PE19.16; 平均PEG.38, PB1.59; ROIC14.77%; ROE18.31%; 股利率3.6496%; 毛利23.95%; 净利13.09%; 上一年度营收增55.83%, 利润增40.54%; 当季营收增-49.59%, 利润增-40.64%; 过往5年营收增50.19%, 利润增100.23%
Income profile:
</v>
      </c>
      <c r="D56" s="5" t="s">
        <v>629</v>
      </c>
      <c r="E56" t="s">
        <v>630</v>
      </c>
      <c r="F56">
        <v>6.85</v>
      </c>
      <c r="G56">
        <v>-3.39</v>
      </c>
      <c r="H56" t="s">
        <v>2289</v>
      </c>
      <c r="I56">
        <v>7341094900</v>
      </c>
      <c r="J56">
        <v>9.7899999999999991</v>
      </c>
      <c r="K56">
        <v>1.59</v>
      </c>
      <c r="L56" t="s">
        <v>82</v>
      </c>
      <c r="M56" t="s">
        <v>2290</v>
      </c>
      <c r="N56" t="s">
        <v>2291</v>
      </c>
      <c r="O56" t="s">
        <v>2292</v>
      </c>
      <c r="P56" s="5">
        <v>-35.29</v>
      </c>
      <c r="Q56" t="s">
        <v>2293</v>
      </c>
      <c r="R56">
        <v>125251651</v>
      </c>
      <c r="S56">
        <v>-0.45329999999999998</v>
      </c>
      <c r="T56" t="s">
        <v>1620</v>
      </c>
      <c r="U56">
        <v>974075460</v>
      </c>
      <c r="V56">
        <v>1071692690</v>
      </c>
      <c r="W56">
        <v>1.42</v>
      </c>
      <c r="X56">
        <v>0.15</v>
      </c>
      <c r="Y56">
        <v>11.15</v>
      </c>
      <c r="Z56" t="s">
        <v>2294</v>
      </c>
      <c r="AA56" t="s">
        <v>2295</v>
      </c>
      <c r="AB56" t="s">
        <v>2296</v>
      </c>
      <c r="AC56" t="s">
        <v>2297</v>
      </c>
      <c r="AD56" t="s">
        <v>9</v>
      </c>
      <c r="AE56">
        <v>4841197</v>
      </c>
      <c r="AF56" t="s">
        <v>2298</v>
      </c>
      <c r="AG56" t="s">
        <v>2299</v>
      </c>
      <c r="AH56" t="s">
        <v>2300</v>
      </c>
      <c r="AI56" t="s">
        <v>1162</v>
      </c>
      <c r="AJ56" t="s">
        <v>2301</v>
      </c>
      <c r="AK56" t="s">
        <v>40</v>
      </c>
      <c r="AL56" t="s">
        <v>2302</v>
      </c>
      <c r="AM56" t="s">
        <v>9</v>
      </c>
      <c r="AN56" t="s">
        <v>2303</v>
      </c>
      <c r="AO56" t="s">
        <v>1149</v>
      </c>
      <c r="AP56" t="s">
        <v>2304</v>
      </c>
      <c r="AQ56" t="s">
        <v>2305</v>
      </c>
      <c r="AR56" t="s">
        <v>2306</v>
      </c>
      <c r="AS56" t="s">
        <v>1140</v>
      </c>
      <c r="AT56" t="s">
        <v>2307</v>
      </c>
      <c r="AU56" t="s">
        <v>2308</v>
      </c>
      <c r="AV56" t="s">
        <v>2309</v>
      </c>
      <c r="AW56" t="s">
        <v>2310</v>
      </c>
      <c r="AX56" t="s">
        <v>760</v>
      </c>
      <c r="AY56" t="s">
        <v>761</v>
      </c>
      <c r="AZ56" t="s">
        <v>631</v>
      </c>
      <c r="BA56" t="s">
        <v>632</v>
      </c>
      <c r="BB56" t="s">
        <v>608</v>
      </c>
      <c r="BC56" t="s">
        <v>590</v>
      </c>
      <c r="BD56" t="s">
        <v>189</v>
      </c>
      <c r="BE56" t="s">
        <v>113</v>
      </c>
      <c r="BF56" t="s">
        <v>633</v>
      </c>
      <c r="BG56" t="s">
        <v>634</v>
      </c>
      <c r="BH56" t="s">
        <v>2311</v>
      </c>
      <c r="BI56" t="s">
        <v>2312</v>
      </c>
      <c r="BJ56" t="s">
        <v>760</v>
      </c>
      <c r="BK56" t="s">
        <v>2313</v>
      </c>
      <c r="BL56" t="s">
        <v>871</v>
      </c>
      <c r="BM56" t="s">
        <v>590</v>
      </c>
      <c r="BN56">
        <v>14.15</v>
      </c>
      <c r="BO56">
        <v>24.6</v>
      </c>
      <c r="BP56">
        <v>5.56</v>
      </c>
      <c r="BQ56">
        <v>18.87</v>
      </c>
      <c r="BR56">
        <v>26.63</v>
      </c>
      <c r="BS56">
        <v>9.43</v>
      </c>
      <c r="BT56" t="s">
        <v>627</v>
      </c>
      <c r="BU56" t="s">
        <v>500</v>
      </c>
      <c r="BV56">
        <v>23.42</v>
      </c>
      <c r="BW56">
        <v>29.22</v>
      </c>
      <c r="BX56">
        <v>19.21</v>
      </c>
      <c r="BY56">
        <v>13.55</v>
      </c>
      <c r="BZ56">
        <v>18.22</v>
      </c>
      <c r="CA56">
        <v>7.5</v>
      </c>
      <c r="CB56">
        <v>10.48</v>
      </c>
      <c r="CC56" s="9">
        <v>-1.58</v>
      </c>
      <c r="CD56" s="10" t="s">
        <v>2314</v>
      </c>
      <c r="CE56" s="9" t="s">
        <v>2315</v>
      </c>
      <c r="CF56" s="9">
        <v>-0.49594190516873132</v>
      </c>
      <c r="CG56" s="9">
        <v>-0.40639027962085306</v>
      </c>
      <c r="CH56" s="9">
        <v>0.55830800533294678</v>
      </c>
      <c r="CI56" s="9">
        <v>0.23976294696331024</v>
      </c>
      <c r="CJ56" s="10">
        <v>1.6937589645385742</v>
      </c>
      <c r="CK56" s="10">
        <v>-3.1850114464759827E-2</v>
      </c>
      <c r="CL56" s="10">
        <v>4.9655880779027939E-2</v>
      </c>
      <c r="CM56" s="10">
        <v>0.40540540218353271</v>
      </c>
      <c r="CN56" s="10">
        <v>0.50338602066040039</v>
      </c>
      <c r="CO56">
        <v>3.1401870250701904</v>
      </c>
      <c r="CP56">
        <v>0.12395543605089188</v>
      </c>
      <c r="CQ56">
        <v>0.83870148658752441</v>
      </c>
      <c r="CR56" s="9">
        <v>19.159221529560849</v>
      </c>
      <c r="CS56" s="10">
        <v>0.38171320359773875</v>
      </c>
      <c r="CT56">
        <v>3.6496350364963503</v>
      </c>
      <c r="CU56">
        <v>0.50192713662981991</v>
      </c>
      <c r="CV56">
        <v>1.0023270741105079</v>
      </c>
      <c r="CW56">
        <v>0.06</v>
      </c>
      <c r="CX56">
        <v>3.1435685366335635</v>
      </c>
      <c r="CY56">
        <v>1326229999.8919919</v>
      </c>
      <c r="CZ56">
        <v>0.50192713662981991</v>
      </c>
      <c r="DA56">
        <v>0.73759439681144867</v>
      </c>
      <c r="DB56">
        <v>5652286565.6553326</v>
      </c>
      <c r="DC56">
        <v>0.47683077979832889</v>
      </c>
      <c r="DD56">
        <v>0.22124778139623461</v>
      </c>
      <c r="DE56">
        <v>18843555735.067604</v>
      </c>
      <c r="DF56">
        <v>0.4416958802342415</v>
      </c>
      <c r="DG56">
        <v>7.0801924403079627E-2</v>
      </c>
      <c r="DH56">
        <v>58883920672.340645</v>
      </c>
      <c r="DI56">
        <v>0.40154170930385596</v>
      </c>
      <c r="DJ56">
        <v>7.5260852111084528E-3</v>
      </c>
      <c r="DK56">
        <v>553952657066.17871</v>
      </c>
      <c r="DL56">
        <v>0.35134899564087391</v>
      </c>
      <c r="DM56">
        <v>936000000</v>
      </c>
      <c r="DN56">
        <v>0.50192713662981991</v>
      </c>
      <c r="DO56">
        <v>4169094900</v>
      </c>
      <c r="DP56">
        <v>1757435600</v>
      </c>
      <c r="DQ56" s="11">
        <v>4026</v>
      </c>
      <c r="DR56">
        <v>-0.99786904179855118</v>
      </c>
      <c r="DS56">
        <v>-1.4087173537313609</v>
      </c>
      <c r="DT56">
        <v>0.14333333333333331</v>
      </c>
      <c r="DU56">
        <v>0.72833333333333317</v>
      </c>
      <c r="DV56">
        <v>0.87166666666666648</v>
      </c>
      <c r="DW56">
        <v>5.1507633587786259</v>
      </c>
      <c r="DX56">
        <v>0.79982806153845898</v>
      </c>
      <c r="DY56">
        <v>5.0482183527891955</v>
      </c>
      <c r="DZ56">
        <v>4879</v>
      </c>
      <c r="EA56">
        <v>5.0021797337562237</v>
      </c>
      <c r="EB56" s="12">
        <v>5</v>
      </c>
      <c r="EC56" s="12">
        <v>7.7592485957891533E-2</v>
      </c>
      <c r="ED56">
        <v>0.24260686148750346</v>
      </c>
      <c r="EE56">
        <v>-1.0156000000000001</v>
      </c>
      <c r="EF56">
        <v>-1.0125999999999999</v>
      </c>
      <c r="EG56">
        <v>48.319828061538459</v>
      </c>
      <c r="EH56" s="14" t="s">
        <v>551</v>
      </c>
      <c r="EI56" s="15">
        <v>1</v>
      </c>
      <c r="EJ56" s="15">
        <v>0</v>
      </c>
      <c r="EK56" s="15">
        <v>45470</v>
      </c>
      <c r="EL56" s="15">
        <v>-1.54</v>
      </c>
      <c r="EM56" s="15">
        <v>-1.25</v>
      </c>
      <c r="EN56" s="15">
        <v>2.5299999999999998</v>
      </c>
      <c r="EO56" s="15">
        <v>1.85</v>
      </c>
      <c r="EP56" s="15">
        <v>-0.3</v>
      </c>
    </row>
    <row r="57" spans="1:146" ht="96" x14ac:dyDescent="0.25">
      <c r="C57" s="8" t="str">
        <f>""&amp;CHAR(10)&amp;Basic_Fundamental_Information_Constructure(F57)&amp;CHAR(10)&amp;Basic_Fundamental_Information_Concatenate("")</f>
        <v xml:space="preserve">
市值27.658913亿, 利润5.11亿; PE35.38; 平均PE16.68; 平均PEG.24, PB1.57; ROIC9.7933%; ROE8.925%; 股利率1.5015%; 毛利28.42%; 净利14.4067%; 上一年度营收增291.88%, 利润增447.82%; 当季营收增-74.25%, 利润增-82.78%; 过往5年营收增68.56%, 利润增96.91%
Income profile:
</v>
      </c>
      <c r="D57" t="s">
        <v>944</v>
      </c>
      <c r="E57" t="s">
        <v>945</v>
      </c>
      <c r="F57">
        <v>13.32</v>
      </c>
      <c r="G57">
        <v>0.76</v>
      </c>
      <c r="H57" t="s">
        <v>2316</v>
      </c>
      <c r="I57">
        <v>2765891300</v>
      </c>
      <c r="J57">
        <v>35.380000000000003</v>
      </c>
      <c r="K57">
        <v>1.57</v>
      </c>
      <c r="L57" t="s">
        <v>82</v>
      </c>
      <c r="M57" t="s">
        <v>602</v>
      </c>
      <c r="N57" t="s">
        <v>2317</v>
      </c>
      <c r="O57" t="s">
        <v>886</v>
      </c>
      <c r="P57" s="5">
        <v>9.83</v>
      </c>
      <c r="Q57" t="s">
        <v>1725</v>
      </c>
      <c r="R57">
        <v>16790013</v>
      </c>
      <c r="S57">
        <v>6.3699999999999998E-3</v>
      </c>
      <c r="T57" t="s">
        <v>1547</v>
      </c>
      <c r="U57">
        <v>50234808</v>
      </c>
      <c r="V57">
        <v>207649500</v>
      </c>
      <c r="W57">
        <v>1.06</v>
      </c>
      <c r="X57">
        <v>0.08</v>
      </c>
      <c r="Y57">
        <v>10.91</v>
      </c>
      <c r="Z57" t="s">
        <v>208</v>
      </c>
      <c r="AA57" t="s">
        <v>1443</v>
      </c>
      <c r="AB57" t="s">
        <v>2318</v>
      </c>
      <c r="AC57" t="s">
        <v>2319</v>
      </c>
      <c r="AD57" t="s">
        <v>9</v>
      </c>
      <c r="AE57">
        <v>-1404170</v>
      </c>
      <c r="AF57" t="s">
        <v>2320</v>
      </c>
      <c r="AG57" t="s">
        <v>2321</v>
      </c>
      <c r="AH57" t="s">
        <v>2322</v>
      </c>
      <c r="AI57" t="s">
        <v>1211</v>
      </c>
      <c r="AJ57" t="s">
        <v>2323</v>
      </c>
      <c r="AK57" t="s">
        <v>9</v>
      </c>
      <c r="AL57" t="s">
        <v>2324</v>
      </c>
      <c r="AM57" t="s">
        <v>9</v>
      </c>
      <c r="AN57" t="s">
        <v>2325</v>
      </c>
      <c r="AO57" t="s">
        <v>9</v>
      </c>
      <c r="AP57" t="s">
        <v>2326</v>
      </c>
      <c r="AQ57" t="s">
        <v>2327</v>
      </c>
      <c r="AR57" t="s">
        <v>2328</v>
      </c>
      <c r="AS57" t="s">
        <v>2329</v>
      </c>
      <c r="AT57" t="s">
        <v>9</v>
      </c>
      <c r="AU57" t="s">
        <v>2330</v>
      </c>
      <c r="AV57" t="s">
        <v>552</v>
      </c>
      <c r="AW57" t="s">
        <v>2331</v>
      </c>
      <c r="AX57" t="s">
        <v>58</v>
      </c>
      <c r="AY57" t="s">
        <v>120</v>
      </c>
      <c r="AZ57" t="s">
        <v>711</v>
      </c>
      <c r="BA57" t="s">
        <v>476</v>
      </c>
      <c r="BB57" t="s">
        <v>948</v>
      </c>
      <c r="BC57" t="s">
        <v>947</v>
      </c>
      <c r="BD57" t="s">
        <v>949</v>
      </c>
      <c r="BE57" t="s">
        <v>599</v>
      </c>
      <c r="BF57" t="s">
        <v>50</v>
      </c>
      <c r="BG57" t="s">
        <v>950</v>
      </c>
      <c r="BH57" t="s">
        <v>378</v>
      </c>
      <c r="BI57" t="s">
        <v>1432</v>
      </c>
      <c r="BJ57" t="s">
        <v>58</v>
      </c>
      <c r="BK57" t="s">
        <v>2332</v>
      </c>
      <c r="BL57" t="s">
        <v>2333</v>
      </c>
      <c r="BM57" t="s">
        <v>947</v>
      </c>
      <c r="BN57">
        <v>4.91</v>
      </c>
      <c r="BO57">
        <v>11.77</v>
      </c>
      <c r="BP57">
        <v>12.7</v>
      </c>
      <c r="BQ57">
        <v>5.01</v>
      </c>
      <c r="BR57">
        <v>12.84</v>
      </c>
      <c r="BS57" t="s">
        <v>9</v>
      </c>
      <c r="BT57" t="s">
        <v>2334</v>
      </c>
      <c r="BU57" t="s">
        <v>500</v>
      </c>
      <c r="BV57">
        <v>24.08</v>
      </c>
      <c r="BW57">
        <v>27.68</v>
      </c>
      <c r="BX57">
        <v>33.5</v>
      </c>
      <c r="BY57">
        <v>12.12</v>
      </c>
      <c r="BZ57">
        <v>13.78</v>
      </c>
      <c r="CA57">
        <v>17.32</v>
      </c>
      <c r="CB57">
        <v>-4.45</v>
      </c>
      <c r="CC57" s="9">
        <v>-14.11</v>
      </c>
      <c r="CD57" s="10" t="s">
        <v>2335</v>
      </c>
      <c r="CE57" s="9" t="s">
        <v>2336</v>
      </c>
      <c r="CF57" s="9">
        <v>-0.74247491638795982</v>
      </c>
      <c r="CG57" s="9">
        <v>-0.82776788791688549</v>
      </c>
      <c r="CH57" s="9">
        <v>2.9187593460083008</v>
      </c>
      <c r="CI57" s="9">
        <v>0.30694979429244995</v>
      </c>
      <c r="CJ57" s="10">
        <v>0.21028037369251251</v>
      </c>
      <c r="CK57" s="10">
        <v>0.13527850806713104</v>
      </c>
      <c r="CL57" s="10">
        <v>-0.14318181574344635</v>
      </c>
      <c r="CM57" s="10">
        <v>4.4782061576843262</v>
      </c>
      <c r="CN57" s="10">
        <v>3.963906317949295E-2</v>
      </c>
      <c r="CO57">
        <v>-0.28222239017486572</v>
      </c>
      <c r="CP57">
        <v>0.22549019753932953</v>
      </c>
      <c r="CQ57">
        <v>0.38449078798294067</v>
      </c>
      <c r="CR57" s="9">
        <v>16.6842045365206</v>
      </c>
      <c r="CS57" s="10">
        <v>0.24334575521724849</v>
      </c>
      <c r="CT57">
        <v>1.5015015015015014</v>
      </c>
      <c r="CU57">
        <v>0.68561724126338963</v>
      </c>
      <c r="CV57">
        <v>0.96912076324224472</v>
      </c>
      <c r="CW57">
        <v>0.06</v>
      </c>
      <c r="CX57">
        <v>1.380628329422521</v>
      </c>
      <c r="CY57">
        <v>812594726.68452084</v>
      </c>
      <c r="CZ57">
        <v>0.68561724126338963</v>
      </c>
      <c r="DA57">
        <v>0.28271698874710333</v>
      </c>
      <c r="DB57">
        <v>3968248618.4215727</v>
      </c>
      <c r="DC57">
        <v>0.65133637920022014</v>
      </c>
      <c r="DD57">
        <v>6.7782952133847343E-2</v>
      </c>
      <c r="DE57">
        <v>16551231020.222633</v>
      </c>
      <c r="DF57">
        <v>0.60334317231178292</v>
      </c>
      <c r="DG57">
        <v>1.6009130696563029E-2</v>
      </c>
      <c r="DH57">
        <v>70078214817.801239</v>
      </c>
      <c r="DI57">
        <v>0.54849379301071177</v>
      </c>
      <c r="DJ57">
        <v>7.8758517204530697E-4</v>
      </c>
      <c r="DK57">
        <v>1424469809514.7246</v>
      </c>
      <c r="DL57">
        <v>0.47993206888437273</v>
      </c>
      <c r="DM57">
        <v>511000000.00000006</v>
      </c>
      <c r="DN57">
        <v>0.68561724126338963</v>
      </c>
      <c r="DO57">
        <v>1121891300</v>
      </c>
      <c r="DP57">
        <v>1102934000</v>
      </c>
      <c r="DQ57" s="11">
        <v>4052</v>
      </c>
      <c r="DR57">
        <v>-1.4280921576513494</v>
      </c>
      <c r="DS57">
        <v>-1.7968886511591302</v>
      </c>
      <c r="DT57">
        <v>0.14333333333333331</v>
      </c>
      <c r="DU57">
        <v>-5.6666666666666719E-2</v>
      </c>
      <c r="DV57">
        <v>8.6666666666666586E-2</v>
      </c>
      <c r="DW57">
        <v>-8.3153791637136791</v>
      </c>
      <c r="DX57">
        <v>0.28386631868369833</v>
      </c>
      <c r="DY57">
        <v>-8.0296034810873476</v>
      </c>
      <c r="DZ57">
        <v>1627</v>
      </c>
      <c r="EA57">
        <v>-8.0201778717470127</v>
      </c>
      <c r="EB57" s="12">
        <v>8</v>
      </c>
      <c r="EC57" s="12">
        <v>1.877538833466972E-2</v>
      </c>
      <c r="ED57">
        <v>0.20002263429480929</v>
      </c>
      <c r="EE57">
        <v>-2.0754000000000001</v>
      </c>
      <c r="EF57">
        <v>-2.0516000000000001</v>
      </c>
      <c r="EG57">
        <v>19.093866318683698</v>
      </c>
      <c r="EH57" s="14" t="s">
        <v>916</v>
      </c>
      <c r="EI57">
        <v>0</v>
      </c>
      <c r="EJ57">
        <v>0</v>
      </c>
      <c r="EK57">
        <v>45470</v>
      </c>
      <c r="EL57">
        <v>-0.76</v>
      </c>
      <c r="EM57">
        <v>-4.93</v>
      </c>
      <c r="EN57">
        <v>0.64</v>
      </c>
      <c r="EO57">
        <v>2.68</v>
      </c>
      <c r="EP57">
        <v>-2.38</v>
      </c>
    </row>
    <row r="58" spans="1:146" ht="96" x14ac:dyDescent="0.25">
      <c r="A58" s="7"/>
      <c r="B58" s="7"/>
      <c r="C58" s="8" t="str">
        <f>""&amp;CHAR(10)&amp;Basic_Fundamental_Information_Constructure(F58)&amp;CHAR(10)&amp;Basic_Fundamental_Information_Concatenate("")</f>
        <v xml:space="preserve">
市值78.11869亿, 利润8.01亿; PE10.29; 平均PE18.24; 平均PEG18.75, PB1.35; ROIC8.5467%; ROE11.8267%; 股利率4.2543%; 毛利31.4433%; 净利11.3067%; 上一年度营收增-25.55%, 利润增-.37%; 当季营收增64.65%, 利润增62.03%; 过往5年营收增.97%, 利润增48.21%
Income profile:
</v>
      </c>
      <c r="D58" t="s">
        <v>288</v>
      </c>
      <c r="E58" t="s">
        <v>289</v>
      </c>
      <c r="F58">
        <v>9.99</v>
      </c>
      <c r="G58">
        <v>0.6</v>
      </c>
      <c r="H58" t="s">
        <v>2337</v>
      </c>
      <c r="I58">
        <v>7811869000</v>
      </c>
      <c r="J58">
        <v>10.29</v>
      </c>
      <c r="K58">
        <v>1.35</v>
      </c>
      <c r="L58" t="s">
        <v>82</v>
      </c>
      <c r="M58" t="s">
        <v>2338</v>
      </c>
      <c r="N58" t="s">
        <v>868</v>
      </c>
      <c r="O58" t="s">
        <v>2339</v>
      </c>
      <c r="P58">
        <v>-10.1</v>
      </c>
      <c r="Q58" t="s">
        <v>2340</v>
      </c>
      <c r="R58">
        <v>226846970</v>
      </c>
      <c r="S58" s="5">
        <v>0.1023</v>
      </c>
      <c r="T58" t="s">
        <v>2341</v>
      </c>
      <c r="U58">
        <v>773446190</v>
      </c>
      <c r="V58">
        <v>781968870</v>
      </c>
      <c r="W58">
        <v>1.73</v>
      </c>
      <c r="X58">
        <v>0.13</v>
      </c>
      <c r="Y58">
        <v>16.48</v>
      </c>
      <c r="Z58" t="s">
        <v>935</v>
      </c>
      <c r="AA58" t="s">
        <v>2342</v>
      </c>
      <c r="AB58" t="s">
        <v>2343</v>
      </c>
      <c r="AC58" t="s">
        <v>2344</v>
      </c>
      <c r="AD58" t="s">
        <v>9</v>
      </c>
      <c r="AE58">
        <v>6425404</v>
      </c>
      <c r="AF58" t="s">
        <v>2345</v>
      </c>
      <c r="AG58" t="s">
        <v>2346</v>
      </c>
      <c r="AH58" t="s">
        <v>2347</v>
      </c>
      <c r="AI58" t="s">
        <v>2348</v>
      </c>
      <c r="AJ58" t="s">
        <v>2349</v>
      </c>
      <c r="AK58" t="s">
        <v>9</v>
      </c>
      <c r="AL58" t="s">
        <v>2350</v>
      </c>
      <c r="AM58" t="s">
        <v>9</v>
      </c>
      <c r="AN58" t="s">
        <v>2351</v>
      </c>
      <c r="AO58" t="s">
        <v>1236</v>
      </c>
      <c r="AP58" t="s">
        <v>2352</v>
      </c>
      <c r="AQ58" t="s">
        <v>2353</v>
      </c>
      <c r="AR58" t="s">
        <v>2354</v>
      </c>
      <c r="AS58" t="s">
        <v>2355</v>
      </c>
      <c r="AT58" t="s">
        <v>893</v>
      </c>
      <c r="AU58" t="s">
        <v>2356</v>
      </c>
      <c r="AV58" t="s">
        <v>1333</v>
      </c>
      <c r="AW58" t="s">
        <v>703</v>
      </c>
      <c r="AX58" t="s">
        <v>762</v>
      </c>
      <c r="AY58" t="s">
        <v>542</v>
      </c>
      <c r="AZ58" t="s">
        <v>290</v>
      </c>
      <c r="BA58" t="s">
        <v>292</v>
      </c>
      <c r="BB58" t="s">
        <v>293</v>
      </c>
      <c r="BC58" t="s">
        <v>763</v>
      </c>
      <c r="BD58" t="s">
        <v>477</v>
      </c>
      <c r="BE58" t="s">
        <v>59</v>
      </c>
      <c r="BF58" t="s">
        <v>64</v>
      </c>
      <c r="BG58" t="s">
        <v>295</v>
      </c>
      <c r="BH58" t="s">
        <v>2357</v>
      </c>
      <c r="BI58" t="s">
        <v>2358</v>
      </c>
      <c r="BJ58" t="s">
        <v>762</v>
      </c>
      <c r="BK58" t="s">
        <v>2359</v>
      </c>
      <c r="BL58" t="s">
        <v>575</v>
      </c>
      <c r="BM58" t="s">
        <v>763</v>
      </c>
      <c r="BN58">
        <v>7.03</v>
      </c>
      <c r="BO58">
        <v>12.19</v>
      </c>
      <c r="BP58">
        <v>6.42</v>
      </c>
      <c r="BQ58">
        <v>10.44</v>
      </c>
      <c r="BR58">
        <v>17.059999999999999</v>
      </c>
      <c r="BS58">
        <v>7.98</v>
      </c>
      <c r="BT58" t="s">
        <v>2360</v>
      </c>
      <c r="BU58" t="s">
        <v>574</v>
      </c>
      <c r="BV58">
        <v>34</v>
      </c>
      <c r="BW58">
        <v>33.44</v>
      </c>
      <c r="BX58">
        <v>26.89</v>
      </c>
      <c r="BY58">
        <v>13</v>
      </c>
      <c r="BZ58">
        <v>13.76</v>
      </c>
      <c r="CA58">
        <v>7.16</v>
      </c>
      <c r="CB58">
        <v>5.16</v>
      </c>
      <c r="CC58">
        <v>4.01</v>
      </c>
      <c r="CD58" t="s">
        <v>2361</v>
      </c>
      <c r="CE58" t="s">
        <v>1381</v>
      </c>
      <c r="CF58" s="9">
        <v>0.64650059311981023</v>
      </c>
      <c r="CG58" s="10">
        <v>0.62033550000000004</v>
      </c>
      <c r="CH58" s="9">
        <v>-0.25548663735389709</v>
      </c>
      <c r="CI58" s="9">
        <v>0.25372821092605591</v>
      </c>
      <c r="CJ58" s="9">
        <v>0.20929642021656036</v>
      </c>
      <c r="CK58" s="9">
        <v>-6.0157556086778641E-2</v>
      </c>
      <c r="CL58" s="9">
        <v>-9.8752163350582123E-2</v>
      </c>
      <c r="CM58" s="10">
        <v>-3.7313431967049837E-3</v>
      </c>
      <c r="CN58" s="10">
        <v>1.4071856737136841</v>
      </c>
      <c r="CO58" s="10">
        <v>1.2567567825317383</v>
      </c>
      <c r="CP58" s="10">
        <v>-0.43511450290679932</v>
      </c>
      <c r="CQ58" s="10">
        <v>0.18552036583423615</v>
      </c>
      <c r="CR58">
        <v>18.237826459143971</v>
      </c>
      <c r="CS58">
        <v>18.752286300937289</v>
      </c>
      <c r="CT58">
        <v>4.2542542542542545</v>
      </c>
      <c r="CU58" s="9">
        <v>9.7256548702716831E-3</v>
      </c>
      <c r="CV58" s="10">
        <v>0.48212339519523084</v>
      </c>
      <c r="CW58">
        <v>0.06</v>
      </c>
      <c r="CX58">
        <v>7.6026153176462099</v>
      </c>
      <c r="CY58">
        <v>763009669.38781857</v>
      </c>
      <c r="CZ58">
        <v>9.7256548702716831E-3</v>
      </c>
      <c r="DA58">
        <v>2.6608115447859157</v>
      </c>
      <c r="DB58">
        <v>2180112684.5556917</v>
      </c>
      <c r="DC58">
        <v>9.239372126758098E-3</v>
      </c>
      <c r="DD58">
        <v>1.431395686715017</v>
      </c>
      <c r="DE58">
        <v>4052596395.1398444</v>
      </c>
      <c r="DF58">
        <v>8.5585762858390816E-3</v>
      </c>
      <c r="DG58">
        <v>0.94616693313343936</v>
      </c>
      <c r="DH58">
        <v>6130914954.7101059</v>
      </c>
      <c r="DI58">
        <v>7.780523896217347E-3</v>
      </c>
      <c r="DJ58">
        <v>0.59515677078175755</v>
      </c>
      <c r="DK58">
        <v>9746791576.2436371</v>
      </c>
      <c r="DL58">
        <v>6.8079584091901776E-3</v>
      </c>
      <c r="DM58">
        <v>801000000</v>
      </c>
      <c r="DN58">
        <v>9.7256548702716831E-3</v>
      </c>
      <c r="DO58">
        <v>5800869000</v>
      </c>
      <c r="DP58">
        <v>2310625599.9999995</v>
      </c>
      <c r="DQ58">
        <v>4069</v>
      </c>
      <c r="DR58">
        <v>0.63677493824953857</v>
      </c>
      <c r="DS58">
        <v>0.1382121048047692</v>
      </c>
      <c r="DT58" s="11">
        <v>-0.32333333333333331</v>
      </c>
      <c r="DU58">
        <v>0.98999999999999988</v>
      </c>
      <c r="DV58">
        <v>0.66666666666666652</v>
      </c>
      <c r="DW58">
        <v>4.7771317829457365</v>
      </c>
      <c r="DX58">
        <v>0.44303259911894299</v>
      </c>
      <c r="DY58">
        <v>4.1655544035788683</v>
      </c>
      <c r="DZ58">
        <v>885</v>
      </c>
      <c r="EA58">
        <v>4.1368820655813536</v>
      </c>
      <c r="EB58">
        <v>4</v>
      </c>
      <c r="EC58">
        <v>6.1841848000931288E-2</v>
      </c>
      <c r="ED58">
        <v>0.29029288595593328</v>
      </c>
      <c r="EE58" s="12">
        <v>1.1032999999999999</v>
      </c>
      <c r="EF58">
        <v>1.0825</v>
      </c>
      <c r="EG58">
        <v>23.213032599118943</v>
      </c>
      <c r="EH58" t="s">
        <v>604</v>
      </c>
      <c r="EI58">
        <v>0</v>
      </c>
      <c r="EJ58">
        <v>1</v>
      </c>
      <c r="EK58" s="14">
        <v>45470</v>
      </c>
      <c r="EL58" s="15">
        <v>0.63</v>
      </c>
      <c r="EM58" s="15">
        <v>-2.2000000000000002</v>
      </c>
      <c r="EN58">
        <v>2.25</v>
      </c>
      <c r="EO58">
        <v>0.52</v>
      </c>
      <c r="EP58">
        <v>-2.08</v>
      </c>
    </row>
    <row r="59" spans="1:146" ht="96" x14ac:dyDescent="0.25">
      <c r="A59" s="7"/>
      <c r="B59" s="7"/>
      <c r="C59" s="8" t="str">
        <f>""&amp;CHAR(10)&amp;Basic_Fundamental_Information_Constructure(F59)&amp;CHAR(10)&amp;Basic_Fundamental_Information_Concatenate("")</f>
        <v xml:space="preserve">
市值43.466143亿, 利润14.12亿; PE41.49; 平均PE9.27; 平均PEG.05, PB1.8; ROIC20.2233%; ROE23.62%; 股利率.4577%; 毛利32.96%; 净利19.13%; 上一年度营收增753.02%, 利润增88.77%; 当季营收增-91.32%, 利润增-96.88%; 过往5年营收增173.86%, 利润增88.37%
Income profile:
</v>
      </c>
      <c r="D59" t="s">
        <v>592</v>
      </c>
      <c r="E59" t="s">
        <v>593</v>
      </c>
      <c r="F59">
        <v>11.36</v>
      </c>
      <c r="G59">
        <v>0.44</v>
      </c>
      <c r="H59" t="s">
        <v>2362</v>
      </c>
      <c r="I59">
        <v>4346614300</v>
      </c>
      <c r="J59">
        <v>41.49</v>
      </c>
      <c r="K59">
        <v>1.8</v>
      </c>
      <c r="L59" t="s">
        <v>82</v>
      </c>
      <c r="M59" t="s">
        <v>2363</v>
      </c>
      <c r="N59" t="s">
        <v>2364</v>
      </c>
      <c r="O59" t="s">
        <v>2365</v>
      </c>
      <c r="P59">
        <v>-20.399999999999999</v>
      </c>
      <c r="Q59" t="s">
        <v>2366</v>
      </c>
      <c r="R59">
        <v>10467004</v>
      </c>
      <c r="S59" s="5">
        <v>-0.89649999999999996</v>
      </c>
      <c r="T59" t="s">
        <v>2367</v>
      </c>
      <c r="U59">
        <v>382624500</v>
      </c>
      <c r="V59">
        <v>382624500</v>
      </c>
      <c r="W59">
        <v>1.33</v>
      </c>
      <c r="X59">
        <v>0.14000000000000001</v>
      </c>
      <c r="Y59">
        <v>1.67</v>
      </c>
      <c r="Z59" t="s">
        <v>903</v>
      </c>
      <c r="AA59" t="s">
        <v>2368</v>
      </c>
      <c r="AB59" t="s">
        <v>2369</v>
      </c>
      <c r="AC59" t="s">
        <v>2370</v>
      </c>
      <c r="AD59" t="s">
        <v>9</v>
      </c>
      <c r="AE59">
        <v>2659479</v>
      </c>
      <c r="AF59" t="s">
        <v>2371</v>
      </c>
      <c r="AG59" t="s">
        <v>2372</v>
      </c>
      <c r="AH59" t="s">
        <v>2373</v>
      </c>
      <c r="AI59" t="s">
        <v>615</v>
      </c>
      <c r="AJ59" t="s">
        <v>2374</v>
      </c>
      <c r="AK59" t="s">
        <v>932</v>
      </c>
      <c r="AL59" t="s">
        <v>2375</v>
      </c>
      <c r="AM59" t="s">
        <v>9</v>
      </c>
      <c r="AN59" t="s">
        <v>614</v>
      </c>
      <c r="AO59" t="s">
        <v>2376</v>
      </c>
      <c r="AP59" t="s">
        <v>2377</v>
      </c>
      <c r="AQ59" t="s">
        <v>870</v>
      </c>
      <c r="AR59" t="s">
        <v>9</v>
      </c>
      <c r="AS59" t="s">
        <v>1469</v>
      </c>
      <c r="AT59" t="s">
        <v>2378</v>
      </c>
      <c r="AU59" t="s">
        <v>2379</v>
      </c>
      <c r="AV59" t="s">
        <v>219</v>
      </c>
      <c r="AW59" t="s">
        <v>2380</v>
      </c>
      <c r="AX59" t="s">
        <v>764</v>
      </c>
      <c r="AY59" t="s">
        <v>594</v>
      </c>
      <c r="AZ59" t="s">
        <v>595</v>
      </c>
      <c r="BA59" t="s">
        <v>596</v>
      </c>
      <c r="BB59" t="s">
        <v>214</v>
      </c>
      <c r="BC59" t="s">
        <v>765</v>
      </c>
      <c r="BD59" t="s">
        <v>25</v>
      </c>
      <c r="BE59" t="s">
        <v>597</v>
      </c>
      <c r="BF59" t="s">
        <v>235</v>
      </c>
      <c r="BG59" t="s">
        <v>552</v>
      </c>
      <c r="BH59" t="s">
        <v>2381</v>
      </c>
      <c r="BI59" t="s">
        <v>2382</v>
      </c>
      <c r="BJ59" t="s">
        <v>764</v>
      </c>
      <c r="BK59" t="s">
        <v>891</v>
      </c>
      <c r="BL59" t="s">
        <v>1224</v>
      </c>
      <c r="BM59" t="s">
        <v>765</v>
      </c>
      <c r="BN59">
        <v>6.12</v>
      </c>
      <c r="BO59">
        <v>33.01</v>
      </c>
      <c r="BP59">
        <v>21.54</v>
      </c>
      <c r="BQ59">
        <v>7.49</v>
      </c>
      <c r="BR59">
        <v>39.18</v>
      </c>
      <c r="BS59">
        <v>24.19</v>
      </c>
      <c r="BT59" t="s">
        <v>2383</v>
      </c>
      <c r="BU59" t="s">
        <v>500</v>
      </c>
      <c r="BV59">
        <v>23.87</v>
      </c>
      <c r="BW59">
        <v>41.17</v>
      </c>
      <c r="BX59">
        <v>33.840000000000003</v>
      </c>
      <c r="BY59">
        <v>8.3800000000000008</v>
      </c>
      <c r="BZ59">
        <v>28.06</v>
      </c>
      <c r="CA59">
        <v>20.95</v>
      </c>
      <c r="CB59">
        <v>-3.32</v>
      </c>
      <c r="CC59">
        <v>-16.27</v>
      </c>
      <c r="CD59" t="s">
        <v>2384</v>
      </c>
      <c r="CE59" t="s">
        <v>2385</v>
      </c>
      <c r="CF59" s="9">
        <v>-0.91321686289403725</v>
      </c>
      <c r="CG59" s="10">
        <v>-0.96884820238095237</v>
      </c>
      <c r="CH59" s="9">
        <v>7.5302114486694336</v>
      </c>
      <c r="CI59" s="9">
        <v>0.65603494644165039</v>
      </c>
      <c r="CJ59" s="9">
        <v>0.58946329355239868</v>
      </c>
      <c r="CK59" s="9">
        <v>-0.13050989806652069</v>
      </c>
      <c r="CL59" s="9">
        <v>4.8007190227508545E-2</v>
      </c>
      <c r="CM59" s="10">
        <v>0.88770055770874023</v>
      </c>
      <c r="CN59" s="10">
        <v>1.2328357696533203</v>
      </c>
      <c r="CO59" s="10">
        <v>2.440894603729248</v>
      </c>
      <c r="CP59" s="10">
        <v>-9.8533332347869873E-2</v>
      </c>
      <c r="CQ59" s="10">
        <v>-4.4247787445783615E-2</v>
      </c>
      <c r="CR59">
        <v>9.2699479028338505</v>
      </c>
      <c r="CS59">
        <v>5.3317193086979055E-2</v>
      </c>
      <c r="CT59">
        <v>0.45774647887323949</v>
      </c>
      <c r="CU59" s="9">
        <v>1.7386413961648941</v>
      </c>
      <c r="CV59" s="10">
        <v>0.88372996225953104</v>
      </c>
      <c r="CW59">
        <v>0.06</v>
      </c>
      <c r="CX59">
        <v>0.77454896842004661</v>
      </c>
      <c r="CY59">
        <v>3648077029.6083302</v>
      </c>
      <c r="CZ59">
        <v>1.7386413961648941</v>
      </c>
      <c r="DA59">
        <v>8.1963905049643168E-2</v>
      </c>
      <c r="DB59">
        <v>34473885770.676826</v>
      </c>
      <c r="DC59">
        <v>1.6517093263566494</v>
      </c>
      <c r="DD59">
        <v>6.323222611212629E-3</v>
      </c>
      <c r="DE59">
        <v>446863011748.07458</v>
      </c>
      <c r="DF59">
        <v>1.5300044286251069</v>
      </c>
      <c r="DG59">
        <v>3.2689797416471269E-4</v>
      </c>
      <c r="DH59">
        <v>8643719213066.3672</v>
      </c>
      <c r="DI59">
        <v>1.3909131169319153</v>
      </c>
      <c r="DJ59">
        <v>4.0688002243054688E-7</v>
      </c>
      <c r="DK59">
        <v>6944588439414775</v>
      </c>
      <c r="DL59">
        <v>1.2170489773154258</v>
      </c>
      <c r="DM59">
        <v>1412000000</v>
      </c>
      <c r="DN59">
        <v>1.7386413961648941</v>
      </c>
      <c r="DO59">
        <v>2825614300</v>
      </c>
      <c r="DP59">
        <v>945077200</v>
      </c>
      <c r="DQ59">
        <v>4391</v>
      </c>
      <c r="DR59">
        <v>-2.6518582590589315</v>
      </c>
      <c r="DS59">
        <v>-1.8525781646404833</v>
      </c>
      <c r="DT59" s="11">
        <v>0.29333333333333339</v>
      </c>
      <c r="DU59">
        <v>0.65666666666666684</v>
      </c>
      <c r="DV59">
        <v>0.95000000000000018</v>
      </c>
      <c r="DW59">
        <v>-8.2040565457897969</v>
      </c>
      <c r="DX59">
        <v>0.36034693525296602</v>
      </c>
      <c r="DY59">
        <v>-8.0265981453620068</v>
      </c>
      <c r="DZ59">
        <v>375</v>
      </c>
      <c r="EA59">
        <v>-8.0246462266710576</v>
      </c>
      <c r="EB59">
        <v>8</v>
      </c>
      <c r="EC59">
        <v>1.6776238845134066E-2</v>
      </c>
      <c r="ED59">
        <v>0.12870451317152978</v>
      </c>
      <c r="EE59" s="12">
        <v>-1.09541</v>
      </c>
      <c r="EF59">
        <v>-1.13331</v>
      </c>
      <c r="EG59">
        <v>23.130346935252966</v>
      </c>
      <c r="EH59" t="s">
        <v>1366</v>
      </c>
      <c r="EI59">
        <v>0</v>
      </c>
      <c r="EJ59">
        <v>1</v>
      </c>
      <c r="EK59" s="14">
        <v>45470</v>
      </c>
      <c r="EL59" s="15">
        <v>-3.15</v>
      </c>
      <c r="EM59" s="15">
        <v>-3.66</v>
      </c>
      <c r="EN59">
        <v>1.07</v>
      </c>
      <c r="EO59">
        <v>1.06</v>
      </c>
      <c r="EP59">
        <v>-3.79</v>
      </c>
    </row>
  </sheetData>
  <autoFilter ref="BU1:BU59"/>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asic_Fundamental_Tabel_Update_Buttom &quot;化学原料&quot;,&quot;钛白粉&quot;'" altText="更新基本面按钮_x000a_">
                <anchor moveWithCells="1" sizeWithCells="1">
                  <from>
                    <xdr:col>147</xdr:col>
                    <xdr:colOff>241300</xdr:colOff>
                    <xdr:row>0</xdr:row>
                    <xdr:rowOff>101600</xdr:rowOff>
                  </from>
                  <to>
                    <xdr:col>147</xdr:col>
                    <xdr:colOff>1257300</xdr:colOff>
                    <xdr:row>0</xdr:row>
                    <xdr:rowOff>412750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4" sqref="A4"/>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化学原料</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2024-07-09T16:18:30Z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