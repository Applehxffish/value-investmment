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基础化工\"/>
    </mc:Choice>
  </mc:AlternateContent>
  <bookViews>
    <workbookView xWindow="-110" yWindow="-110" windowWidth="23260" windowHeight="12460"/>
  </bookViews>
  <sheets>
    <sheet name="化学制品" sheetId="15" r:id="rId1"/>
    <sheet name="估值-增速与年化收益" sheetId="14" r:id="rId2"/>
  </sheets>
  <functionGroups builtInGroupCount="18"/>
  <definedNames>
    <definedName name="_xlnm._FilterDatabase" localSheetId="0" hidden="1">化学制品!$BU$1:$BU$160</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2" i="15" l="1"/>
  <c r="C151" i="15"/>
  <c r="C136" i="15"/>
  <c r="C43" i="15"/>
  <c r="C108" i="15"/>
  <c r="C131" i="15"/>
  <c r="C139" i="15"/>
  <c r="EQ108" i="15"/>
  <c r="ER108" i="15"/>
  <c r="B5" i="14" l="1"/>
  <c r="B8"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89" i="15"/>
  <c r="C121" i="15"/>
  <c r="C34" i="15"/>
  <c r="C109" i="15"/>
  <c r="C82" i="15"/>
  <c r="C32" i="15"/>
  <c r="C149" i="15"/>
  <c r="C77" i="15"/>
  <c r="C141" i="15"/>
  <c r="C44" i="15"/>
  <c r="C111" i="15"/>
  <c r="C62" i="15"/>
  <c r="C102" i="15"/>
  <c r="C71" i="15"/>
  <c r="C23" i="15"/>
  <c r="C124" i="15"/>
  <c r="C66" i="15"/>
  <c r="C112" i="15"/>
  <c r="C25" i="15"/>
  <c r="C114" i="15"/>
  <c r="C39" i="15"/>
  <c r="C14" i="15"/>
  <c r="C132" i="15"/>
  <c r="C61" i="15"/>
  <c r="C18" i="15"/>
  <c r="C107" i="15"/>
  <c r="C97" i="15"/>
  <c r="C55" i="15"/>
  <c r="C16" i="15"/>
  <c r="C99" i="15"/>
  <c r="C27" i="15"/>
  <c r="C95" i="15"/>
  <c r="C5" i="15"/>
  <c r="C120" i="15"/>
  <c r="C94" i="15"/>
  <c r="C40" i="15"/>
  <c r="C90" i="15"/>
  <c r="C96" i="15"/>
  <c r="C103" i="15"/>
  <c r="C5" i="14" l="1"/>
  <c r="D5" i="14" l="1"/>
  <c r="C8" i="14"/>
  <c r="C153" i="15"/>
  <c r="C146" i="15"/>
  <c r="C126" i="15"/>
  <c r="C101" i="15"/>
  <c r="C83" i="15"/>
  <c r="C63" i="15"/>
  <c r="C47" i="15"/>
  <c r="C11" i="15"/>
  <c r="C156" i="15"/>
  <c r="C134" i="15"/>
  <c r="C115" i="15"/>
  <c r="C72" i="15"/>
  <c r="C158" i="15"/>
  <c r="C88" i="15"/>
  <c r="C145" i="15"/>
  <c r="C143" i="15"/>
  <c r="C100" i="15"/>
  <c r="C80" i="15"/>
  <c r="C59" i="15"/>
  <c r="C42" i="15"/>
  <c r="C117" i="15"/>
  <c r="C31" i="15"/>
  <c r="C137" i="15"/>
  <c r="C54" i="15"/>
  <c r="C41" i="15"/>
  <c r="C152" i="15"/>
  <c r="C10" i="15"/>
  <c r="C36" i="15"/>
  <c r="C76" i="15"/>
  <c r="C17" i="15"/>
  <c r="C15" i="15"/>
  <c r="C85" i="15"/>
  <c r="C21" i="15"/>
  <c r="C8" i="15"/>
  <c r="C12" i="15"/>
  <c r="C123" i="15"/>
  <c r="C78" i="15"/>
  <c r="C57" i="15"/>
  <c r="C19" i="15"/>
  <c r="C48" i="15"/>
  <c r="C91" i="15"/>
  <c r="C150" i="15"/>
  <c r="C129" i="15"/>
  <c r="C106" i="15"/>
  <c r="C86" i="15"/>
  <c r="C65" i="15"/>
  <c r="C50" i="15"/>
  <c r="C22" i="15"/>
  <c r="C142" i="15"/>
  <c r="C68" i="15"/>
  <c r="C33" i="15"/>
  <c r="C160" i="15"/>
  <c r="C138" i="15"/>
  <c r="C119" i="15"/>
  <c r="C75" i="15"/>
  <c r="C35" i="15"/>
  <c r="C98" i="15"/>
  <c r="C13" i="15"/>
  <c r="C38" i="15"/>
  <c r="C130" i="15"/>
  <c r="C24" i="15"/>
  <c r="C7" i="15"/>
  <c r="C56" i="15"/>
  <c r="C2" i="15"/>
  <c r="C26" i="15"/>
  <c r="C128" i="15"/>
  <c r="C64" i="15"/>
  <c r="C9" i="15"/>
  <c r="C147" i="15"/>
  <c r="C3" i="15"/>
  <c r="C6" i="15"/>
  <c r="C157" i="15"/>
  <c r="C135" i="15"/>
  <c r="C116" i="15"/>
  <c r="C92" i="15"/>
  <c r="C73" i="15"/>
  <c r="C53" i="15"/>
  <c r="C30" i="15"/>
  <c r="C70" i="15"/>
  <c r="C144" i="15"/>
  <c r="C125" i="15"/>
  <c r="C81" i="15"/>
  <c r="C60" i="15"/>
  <c r="C45" i="15"/>
  <c r="C4" i="15"/>
  <c r="C127" i="15"/>
  <c r="C51" i="15"/>
  <c r="C28" i="15"/>
  <c r="C155" i="15"/>
  <c r="C133" i="15"/>
  <c r="C113" i="15"/>
  <c r="C69" i="15"/>
  <c r="C52" i="15"/>
  <c r="C29" i="15"/>
  <c r="C79" i="15"/>
  <c r="C154" i="15"/>
  <c r="C93" i="15"/>
  <c r="C20" i="15"/>
  <c r="C159" i="15"/>
  <c r="C110" i="15"/>
  <c r="C87" i="15"/>
  <c r="C67" i="15"/>
  <c r="C84" i="15"/>
  <c r="C140" i="15"/>
  <c r="C104" i="15"/>
  <c r="C148" i="15"/>
  <c r="C105" i="15"/>
  <c r="C49" i="15"/>
  <c r="C58" i="15"/>
  <c r="C74" i="15"/>
  <c r="E5" i="14" l="1"/>
  <c r="D8" i="14"/>
  <c r="F5" i="14" l="1"/>
  <c r="E8" i="14"/>
  <c r="G5" i="14" l="1"/>
  <c r="F8" i="14"/>
  <c r="H5" i="14" l="1"/>
  <c r="G8" i="14"/>
  <c r="I5" i="14" l="1"/>
  <c r="H8" i="14"/>
  <c r="J5" i="14" l="1"/>
  <c r="I8" i="14"/>
  <c r="K5" i="14" l="1"/>
  <c r="J8" i="14"/>
  <c r="L5" i="14" l="1"/>
  <c r="K8" i="14"/>
  <c r="M5" i="14" l="1"/>
  <c r="L8" i="14"/>
  <c r="M8" i="14" l="1"/>
  <c r="N5" i="14"/>
  <c r="O5" i="14" s="1"/>
  <c r="P5" i="14" s="1"/>
  <c r="Q5" i="14" s="1"/>
  <c r="R5" i="14" s="1"/>
  <c r="S5" i="14" s="1"/>
  <c r="T5" i="14" s="1"/>
  <c r="U5" i="14" s="1"/>
  <c r="V5" i="14" s="1"/>
  <c r="W5" i="14" s="1"/>
  <c r="X5" i="14" s="1"/>
  <c r="Y5" i="14" s="1"/>
  <c r="Z5" i="14" s="1"/>
  <c r="AA5" i="14" s="1"/>
  <c r="AB5" i="14" s="1"/>
  <c r="AC5" i="14" s="1"/>
  <c r="AD5" i="14" s="1"/>
</calcChain>
</file>

<file path=xl/sharedStrings.xml><?xml version="1.0" encoding="utf-8"?>
<sst xmlns="http://schemas.openxmlformats.org/spreadsheetml/2006/main" count="9048" uniqueCount="5417">
  <si>
    <t>&lt;-增速</t>
    <phoneticPr fontId="1" type="noConversion"/>
  </si>
  <si>
    <t>&lt;-估值</t>
    <phoneticPr fontId="1" type="noConversion"/>
  </si>
  <si>
    <t>&lt;-折合年化收益</t>
    <phoneticPr fontId="1" type="noConversion"/>
  </si>
  <si>
    <t>现价</t>
  </si>
  <si>
    <t>市净率</t>
  </si>
  <si>
    <t>--</t>
  </si>
  <si>
    <t>1.26亿</t>
  </si>
  <si>
    <t>预期多</t>
    <phoneticPr fontId="1" type="noConversion"/>
  </si>
  <si>
    <t>预期空</t>
    <phoneticPr fontId="1" type="noConversion"/>
  </si>
  <si>
    <t>已知和基本信息</t>
    <phoneticPr fontId="1" type="noConversion"/>
  </si>
  <si>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</si>
  <si>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</si>
  <si>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</si>
  <si>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</si>
  <si>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</si>
  <si>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</si>
  <si>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</si>
  <si>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</si>
  <si>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</si>
  <si>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</si>
  <si>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</si>
  <si>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</si>
  <si>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</si>
  <si>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1.62亿</t>
  </si>
  <si>
    <t>1.79亿</t>
  </si>
  <si>
    <t>1.95亿</t>
  </si>
  <si>
    <t>1.28亿</t>
  </si>
  <si>
    <t>2.20亿</t>
  </si>
  <si>
    <t>3.14亿</t>
  </si>
  <si>
    <t>1.19亿</t>
  </si>
  <si>
    <t>1.94亿</t>
  </si>
  <si>
    <t>1.21亿</t>
  </si>
  <si>
    <t>0亿</t>
  </si>
  <si>
    <t>1.90亿</t>
  </si>
  <si>
    <t>4.66亿</t>
  </si>
  <si>
    <t>3.30亿</t>
  </si>
  <si>
    <t>2.70亿</t>
  </si>
  <si>
    <t>1.27亿</t>
  </si>
  <si>
    <t>1.29亿</t>
  </si>
  <si>
    <t>1.43亿</t>
  </si>
  <si>
    <t>1.16亿</t>
  </si>
  <si>
    <t>1.32亿</t>
  </si>
  <si>
    <t>1.05亿</t>
  </si>
  <si>
    <t>1.23亿</t>
  </si>
  <si>
    <t>3.00亿</t>
  </si>
  <si>
    <t>1.12亿</t>
  </si>
  <si>
    <t>1.36亿</t>
  </si>
  <si>
    <t>2.12亿</t>
  </si>
  <si>
    <t>1.37亿</t>
  </si>
  <si>
    <t>1.08亿</t>
  </si>
  <si>
    <t>1.33亿</t>
  </si>
  <si>
    <t>1.61亿</t>
  </si>
  <si>
    <t>2.18亿</t>
  </si>
  <si>
    <t>1.54亿</t>
  </si>
  <si>
    <t>1.31亿</t>
  </si>
  <si>
    <t>1.47亿</t>
  </si>
  <si>
    <t>1.30亿</t>
  </si>
  <si>
    <t>2.50亿</t>
  </si>
  <si>
    <t>1.44亿</t>
  </si>
  <si>
    <t>1.10亿</t>
  </si>
  <si>
    <t>1.20亿</t>
  </si>
  <si>
    <t>1.04亿</t>
  </si>
  <si>
    <t>2.16亿</t>
  </si>
  <si>
    <t>1.49亿</t>
  </si>
  <si>
    <t>2.06亿</t>
  </si>
  <si>
    <t>1.78亿</t>
  </si>
  <si>
    <t>1.57亿</t>
  </si>
  <si>
    <t>1.96亿</t>
  </si>
  <si>
    <t>1.35亿</t>
  </si>
  <si>
    <t>1.18亿</t>
  </si>
  <si>
    <t>2.00亿</t>
  </si>
  <si>
    <t>1.81亿</t>
  </si>
  <si>
    <t>6.08亿</t>
  </si>
  <si>
    <t>3.08亿</t>
  </si>
  <si>
    <t>1.14亿</t>
  </si>
  <si>
    <t>1.40亿</t>
  </si>
  <si>
    <t>1.58亿</t>
  </si>
  <si>
    <t>4.42亿</t>
  </si>
  <si>
    <t>1.76亿</t>
  </si>
  <si>
    <t>4.02亿</t>
  </si>
  <si>
    <t>3.73亿</t>
  </si>
  <si>
    <t>1.15亿</t>
  </si>
  <si>
    <t>1.55亿</t>
  </si>
  <si>
    <t>10.08亿</t>
  </si>
  <si>
    <t>1.17亿</t>
  </si>
  <si>
    <t>3.40亿</t>
  </si>
  <si>
    <t>1.42亿</t>
  </si>
  <si>
    <t>4.05亿</t>
  </si>
  <si>
    <t>3.52亿</t>
  </si>
  <si>
    <t>4.44亿</t>
  </si>
  <si>
    <t>1.85亿</t>
  </si>
  <si>
    <t>4.48亿</t>
  </si>
  <si>
    <t>2.67亿</t>
  </si>
  <si>
    <t>1.74亿</t>
  </si>
  <si>
    <t>1.06亿</t>
  </si>
  <si>
    <t>6.35亿</t>
  </si>
  <si>
    <t>4.58亿</t>
  </si>
  <si>
    <t>13.23亿</t>
  </si>
  <si>
    <t>2.09亿</t>
  </si>
  <si>
    <t>2.55亿</t>
  </si>
  <si>
    <t>1.45亿</t>
  </si>
  <si>
    <t>3.11亿</t>
  </si>
  <si>
    <t>3.04亿</t>
  </si>
  <si>
    <t>1.01亿</t>
  </si>
  <si>
    <t>5.63亿</t>
  </si>
  <si>
    <t>5.20亿</t>
  </si>
  <si>
    <t>5.25亿</t>
  </si>
  <si>
    <t>1.83亿</t>
  </si>
  <si>
    <t>1.63亿</t>
  </si>
  <si>
    <t>3.47亿</t>
  </si>
  <si>
    <t>1.46亿</t>
  </si>
  <si>
    <t>12.18亿</t>
  </si>
  <si>
    <t>1.02亿</t>
  </si>
  <si>
    <t>2.74亿</t>
  </si>
  <si>
    <t>2.66亿</t>
  </si>
  <si>
    <t>3.60亿</t>
  </si>
  <si>
    <t>2.96亿</t>
  </si>
  <si>
    <t>1.71亿</t>
  </si>
  <si>
    <t>8.22亿</t>
  </si>
  <si>
    <t>4.77亿</t>
  </si>
  <si>
    <t>2.56亿</t>
  </si>
  <si>
    <t>流动资产</t>
  </si>
  <si>
    <t>营业收入[20191231]</t>
  </si>
  <si>
    <t>营业收入[20181231]</t>
  </si>
  <si>
    <t>营业收入[20171231]</t>
  </si>
  <si>
    <t>净利润[20191231]</t>
  </si>
  <si>
    <t>净利润[20181231]</t>
  </si>
  <si>
    <t>净利润[20171231]</t>
  </si>
  <si>
    <t>3.13亿</t>
  </si>
  <si>
    <t>2.80亿</t>
  </si>
  <si>
    <t>1.03亿</t>
  </si>
  <si>
    <t>4.68亿</t>
  </si>
  <si>
    <t>1.24亿</t>
  </si>
  <si>
    <t>12.08亿</t>
  </si>
  <si>
    <t>2.51亿</t>
  </si>
  <si>
    <t>2.25亿</t>
  </si>
  <si>
    <t>2.10亿</t>
  </si>
  <si>
    <t>1.11亿</t>
  </si>
  <si>
    <t>4.93亿</t>
  </si>
  <si>
    <t>1.72亿</t>
  </si>
  <si>
    <t>2.58亿</t>
  </si>
  <si>
    <t>4.15亿</t>
  </si>
  <si>
    <t>2.91亿</t>
  </si>
  <si>
    <t>3.50亿</t>
  </si>
  <si>
    <t>5.00亿</t>
  </si>
  <si>
    <t>3.19亿</t>
  </si>
  <si>
    <t>2.31亿</t>
  </si>
  <si>
    <t>2.52亿</t>
  </si>
  <si>
    <t>1.87亿</t>
  </si>
  <si>
    <t>1.91亿</t>
  </si>
  <si>
    <t>2.43亿</t>
  </si>
  <si>
    <t>6.31亿</t>
  </si>
  <si>
    <t>2.83亿</t>
  </si>
  <si>
    <t>2.01亿</t>
  </si>
  <si>
    <t>9.31亿</t>
  </si>
  <si>
    <t>4.14亿</t>
  </si>
  <si>
    <t>2.57亿</t>
  </si>
  <si>
    <t>1.66亿</t>
  </si>
  <si>
    <t>1.59亿</t>
  </si>
  <si>
    <t>7.10亿</t>
  </si>
  <si>
    <t>1.00亿</t>
  </si>
  <si>
    <t>2.82亿</t>
  </si>
  <si>
    <t>3.72亿</t>
  </si>
  <si>
    <t>8.05亿</t>
  </si>
  <si>
    <t>1.77亿</t>
  </si>
  <si>
    <t>1.09亿</t>
  </si>
  <si>
    <t>2.73亿</t>
  </si>
  <si>
    <t>4.33亿</t>
  </si>
  <si>
    <t>3.54亿</t>
  </si>
  <si>
    <t>3.64亿</t>
  </si>
  <si>
    <t>7.14亿</t>
  </si>
  <si>
    <t>11.13亿</t>
  </si>
  <si>
    <t>1.93亿</t>
  </si>
  <si>
    <t>1.07亿</t>
  </si>
  <si>
    <t>7.19亿</t>
  </si>
  <si>
    <t>1.98亿</t>
  </si>
  <si>
    <t>1.97亿</t>
  </si>
  <si>
    <t>9.12亿</t>
  </si>
  <si>
    <t>2.14亿</t>
  </si>
  <si>
    <t>1.52亿</t>
  </si>
  <si>
    <t>5.34亿</t>
  </si>
  <si>
    <t>20.73亿</t>
  </si>
  <si>
    <t>4.57亿</t>
  </si>
  <si>
    <t>18.91亿</t>
  </si>
  <si>
    <t>1.50亿</t>
  </si>
  <si>
    <t>2.93亿</t>
  </si>
  <si>
    <t>1.73亿</t>
  </si>
  <si>
    <t>1.86亿</t>
  </si>
  <si>
    <t>1.13亿</t>
  </si>
  <si>
    <t>5.02亿</t>
  </si>
  <si>
    <t>1.41亿</t>
  </si>
  <si>
    <t>8.54亿</t>
  </si>
  <si>
    <t>3.89亿</t>
  </si>
  <si>
    <t>9.25亿</t>
  </si>
  <si>
    <t>1.64亿</t>
  </si>
  <si>
    <t>2.26亿</t>
  </si>
  <si>
    <t>6.71亿</t>
  </si>
  <si>
    <t>5.18亿</t>
  </si>
  <si>
    <t>2.41亿</t>
  </si>
  <si>
    <t>1.88亿</t>
  </si>
  <si>
    <t>2.81亿</t>
  </si>
  <si>
    <t>4.76亿</t>
  </si>
  <si>
    <t>5.66亿</t>
  </si>
  <si>
    <t>4.81亿</t>
  </si>
  <si>
    <t>4.86亿</t>
  </si>
  <si>
    <t>1.92亿</t>
  </si>
  <si>
    <t>13.18亿</t>
  </si>
  <si>
    <t>2.42亿</t>
  </si>
  <si>
    <t>3.31亿</t>
  </si>
  <si>
    <t>11.08亿</t>
  </si>
  <si>
    <t>5.84亿</t>
  </si>
  <si>
    <t>2.15亿</t>
  </si>
  <si>
    <t>1.75亿</t>
  </si>
  <si>
    <t>3.24亿</t>
  </si>
  <si>
    <t>8.14亿</t>
  </si>
  <si>
    <t>6.58亿</t>
  </si>
  <si>
    <t>6.66亿</t>
  </si>
  <si>
    <t>2.71亿</t>
  </si>
  <si>
    <t>3.07亿</t>
  </si>
  <si>
    <t>18.05亿</t>
  </si>
  <si>
    <t>2.22亿</t>
  </si>
  <si>
    <t>3.02亿</t>
  </si>
  <si>
    <t>3.65亿</t>
  </si>
  <si>
    <t>2.92亿</t>
  </si>
  <si>
    <t>2.11亿</t>
  </si>
  <si>
    <t>9.11亿</t>
  </si>
  <si>
    <t>7.88亿</t>
  </si>
  <si>
    <t>1.68亿</t>
  </si>
  <si>
    <t>2.02亿</t>
  </si>
  <si>
    <t>2.38亿</t>
  </si>
  <si>
    <t>4.32亿</t>
  </si>
  <si>
    <t>6.49亿</t>
  </si>
  <si>
    <t>4.03亿</t>
  </si>
  <si>
    <t>2.53亿</t>
  </si>
  <si>
    <t>10.02亿</t>
  </si>
  <si>
    <t>7.66亿</t>
  </si>
  <si>
    <t>5.35亿</t>
  </si>
  <si>
    <t>1.22亿</t>
  </si>
  <si>
    <t>3.58亿</t>
  </si>
  <si>
    <t>2.69亿</t>
  </si>
  <si>
    <t>2.78亿</t>
  </si>
  <si>
    <t>2.29亿</t>
  </si>
  <si>
    <t>3.28亿</t>
  </si>
  <si>
    <t>1.84亿</t>
  </si>
  <si>
    <t>2.03亿</t>
  </si>
  <si>
    <t>3.39亿</t>
  </si>
  <si>
    <t>3.18亿</t>
  </si>
  <si>
    <t>2.84亿</t>
  </si>
  <si>
    <t>9.95亿</t>
  </si>
  <si>
    <t>6.84亿</t>
  </si>
  <si>
    <t>1.51亿</t>
  </si>
  <si>
    <t>6.02亿</t>
  </si>
  <si>
    <t>4.09亿</t>
  </si>
  <si>
    <t>7.27亿</t>
  </si>
  <si>
    <t>5.30亿</t>
  </si>
  <si>
    <t>5.17亿</t>
  </si>
  <si>
    <t>4.39亿</t>
  </si>
  <si>
    <t>1.38亿</t>
  </si>
  <si>
    <t>7.25亿</t>
  </si>
  <si>
    <t>2.32亿</t>
  </si>
  <si>
    <t>3.67亿</t>
  </si>
  <si>
    <t>13.13亿</t>
  </si>
  <si>
    <t>1.48亿</t>
  </si>
  <si>
    <t>3.95亿</t>
  </si>
  <si>
    <t>17.29亿</t>
  </si>
  <si>
    <t>3.15亿</t>
  </si>
  <si>
    <t>18.32亿</t>
  </si>
  <si>
    <t>3.25亿</t>
  </si>
  <si>
    <t>1.70亿</t>
  </si>
  <si>
    <t>2.40亿</t>
  </si>
  <si>
    <t>6.56亿</t>
  </si>
  <si>
    <t>1.34亿</t>
  </si>
  <si>
    <t>1.80亿</t>
  </si>
  <si>
    <t>15.18亿</t>
  </si>
  <si>
    <t>3.42亿</t>
  </si>
  <si>
    <t>4.18亿</t>
  </si>
  <si>
    <t>6.87亿</t>
  </si>
  <si>
    <t>6.80亿</t>
  </si>
  <si>
    <t>4.22亿</t>
  </si>
  <si>
    <t>6.07亿</t>
  </si>
  <si>
    <t>3.62亿</t>
  </si>
  <si>
    <t>2.47亿</t>
  </si>
  <si>
    <t>12.26亿</t>
  </si>
  <si>
    <t>3.61亿</t>
  </si>
  <si>
    <t>4.87亿</t>
  </si>
  <si>
    <t>1.39亿</t>
  </si>
  <si>
    <t>2.34亿</t>
  </si>
  <si>
    <t>3.59亿</t>
  </si>
  <si>
    <t>3.84亿</t>
  </si>
  <si>
    <t>2.35亿</t>
  </si>
  <si>
    <t>7.12亿</t>
  </si>
  <si>
    <t>5.46亿</t>
  </si>
  <si>
    <t>4.31亿</t>
  </si>
  <si>
    <t>1.25亿</t>
  </si>
  <si>
    <t>10.66亿</t>
  </si>
  <si>
    <t>1.56亿</t>
  </si>
  <si>
    <t>3.80亿</t>
  </si>
  <si>
    <t>12.10亿</t>
  </si>
  <si>
    <t>4.21亿</t>
  </si>
  <si>
    <t>3.44亿</t>
  </si>
  <si>
    <t>2.86亿</t>
  </si>
  <si>
    <t>4.49亿</t>
  </si>
  <si>
    <t>8.78亿</t>
  </si>
  <si>
    <t>13.14亿</t>
  </si>
  <si>
    <t>2.49亿</t>
  </si>
  <si>
    <t>4.36亿</t>
  </si>
  <si>
    <t>11.24亿</t>
  </si>
  <si>
    <t>2.04亿</t>
  </si>
  <si>
    <t>1.99亿</t>
  </si>
  <si>
    <t>3.38亿</t>
  </si>
  <si>
    <t>6.22亿</t>
  </si>
  <si>
    <t>5.42亿</t>
  </si>
  <si>
    <t>4.43亿</t>
  </si>
  <si>
    <t>2.72亿</t>
  </si>
  <si>
    <t>2.77亿</t>
  </si>
  <si>
    <t>5.04亿</t>
  </si>
  <si>
    <t>3.98亿</t>
  </si>
  <si>
    <t>4.55亿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</si>
  <si>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</si>
  <si>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</si>
  <si>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</si>
  <si>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</si>
  <si>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</si>
  <si>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</si>
  <si>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</si>
  <si>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</si>
  <si>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</si>
  <si>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</si>
  <si>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</si>
  <si>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</si>
  <si>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</si>
  <si>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</si>
  <si>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</si>
  <si>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2.21亿</t>
  </si>
  <si>
    <t>销售毛利率%[20201231]</t>
  </si>
  <si>
    <t>销售净利率%[20201231]</t>
  </si>
  <si>
    <t>6.21亿</t>
  </si>
  <si>
    <t>3.20亿</t>
  </si>
  <si>
    <t>4.82亿</t>
  </si>
  <si>
    <t>5.79亿</t>
  </si>
  <si>
    <t>3.27亿</t>
  </si>
  <si>
    <t>1.65亿</t>
  </si>
  <si>
    <t>9.05亿</t>
  </si>
  <si>
    <t>10.18亿</t>
  </si>
  <si>
    <t>7.09亿</t>
  </si>
  <si>
    <t>4.04亿</t>
  </si>
  <si>
    <t>6.45亿</t>
  </si>
  <si>
    <t>-2.91亿</t>
  </si>
  <si>
    <t>3.93亿</t>
  </si>
  <si>
    <t>2.75亿</t>
  </si>
  <si>
    <t>4.47亿</t>
  </si>
  <si>
    <t>3.03亿</t>
  </si>
  <si>
    <t>5.53亿</t>
  </si>
  <si>
    <t>19.78亿</t>
  </si>
  <si>
    <t>2.28亿</t>
  </si>
  <si>
    <t>9.41亿</t>
  </si>
  <si>
    <t>2.36亿</t>
  </si>
  <si>
    <t>9.26亿</t>
  </si>
  <si>
    <t>4.37亿</t>
  </si>
  <si>
    <t>1.67亿</t>
  </si>
  <si>
    <t>5.33亿</t>
  </si>
  <si>
    <t>8.53亿</t>
  </si>
  <si>
    <t>10.14亿</t>
  </si>
  <si>
    <t>3.68亿</t>
  </si>
  <si>
    <t>5.44亿</t>
  </si>
  <si>
    <t>8.81亿</t>
  </si>
  <si>
    <t>4.06亿</t>
  </si>
  <si>
    <t>11.60亿</t>
  </si>
  <si>
    <t>7.03亿</t>
  </si>
  <si>
    <t>11.35亿</t>
  </si>
  <si>
    <t>2.60亿</t>
  </si>
  <si>
    <t>6.17亿</t>
  </si>
  <si>
    <t>4.79亿</t>
  </si>
  <si>
    <t>12.37亿</t>
  </si>
  <si>
    <t>4.99亿</t>
  </si>
  <si>
    <t>4.41亿</t>
  </si>
  <si>
    <t>5.39亿</t>
  </si>
  <si>
    <t>6.46亿</t>
  </si>
  <si>
    <t>4.73亿</t>
  </si>
  <si>
    <t>9.60亿</t>
  </si>
  <si>
    <t>4.63亿</t>
  </si>
  <si>
    <t>23.16亿</t>
  </si>
  <si>
    <t>2.27亿</t>
  </si>
  <si>
    <t>17.19亿</t>
  </si>
  <si>
    <t>12.58亿</t>
  </si>
  <si>
    <t>2.46亿</t>
  </si>
  <si>
    <t>3.92亿</t>
  </si>
  <si>
    <t>9.44亿</t>
  </si>
  <si>
    <t>4.46亿</t>
  </si>
  <si>
    <t>1.60亿</t>
  </si>
  <si>
    <t>2.45亿</t>
  </si>
  <si>
    <t>4.52亿</t>
  </si>
  <si>
    <t>8.00亿</t>
  </si>
  <si>
    <t>3.10亿</t>
  </si>
  <si>
    <t>8.16亿</t>
  </si>
  <si>
    <t>4.23亿</t>
  </si>
  <si>
    <t>24.61亿</t>
  </si>
  <si>
    <t>5.08亿</t>
  </si>
  <si>
    <t>3.33亿</t>
  </si>
  <si>
    <t>4.75亿</t>
  </si>
  <si>
    <t>7.61亿</t>
  </si>
  <si>
    <t>2.99亿</t>
  </si>
  <si>
    <t>5.45亿</t>
  </si>
  <si>
    <t>3.26亿</t>
  </si>
  <si>
    <t>21.91亿</t>
  </si>
  <si>
    <t>8.41亿</t>
  </si>
  <si>
    <t>2.19亿</t>
  </si>
  <si>
    <t>2.64亿</t>
  </si>
  <si>
    <t>2.08亿</t>
  </si>
  <si>
    <t>2.95亿</t>
  </si>
  <si>
    <t>9.29亿</t>
  </si>
  <si>
    <t>6.25亿</t>
  </si>
  <si>
    <t>6.06亿</t>
  </si>
  <si>
    <t>-4.11亿</t>
  </si>
  <si>
    <t>7.56亿</t>
  </si>
  <si>
    <t>5.92亿</t>
  </si>
  <si>
    <t>4.59亿</t>
  </si>
  <si>
    <t>11.30亿</t>
  </si>
  <si>
    <t>8.02亿</t>
  </si>
  <si>
    <t>2.62亿</t>
  </si>
  <si>
    <t>11.94亿</t>
  </si>
  <si>
    <t>8.91亿</t>
  </si>
  <si>
    <t>12.33亿</t>
  </si>
  <si>
    <t>4.70亿</t>
  </si>
  <si>
    <t>5.78亿</t>
  </si>
  <si>
    <t>4.91亿</t>
  </si>
  <si>
    <t>8.35亿</t>
  </si>
  <si>
    <t>6.48亿</t>
  </si>
  <si>
    <t>化学制品</t>
  </si>
  <si>
    <t>6.63亿</t>
  </si>
  <si>
    <t>5.51亿</t>
  </si>
  <si>
    <t>3.09亿</t>
  </si>
  <si>
    <t>6.37亿</t>
  </si>
  <si>
    <t>1.82亿</t>
  </si>
  <si>
    <t>8.61亿</t>
  </si>
  <si>
    <t>7.36亿</t>
  </si>
  <si>
    <t>3.53亿</t>
  </si>
  <si>
    <t>3.22亿</t>
  </si>
  <si>
    <t>3.69亿</t>
  </si>
  <si>
    <t>2.05亿</t>
  </si>
  <si>
    <t>SZ000565</t>
  </si>
  <si>
    <t>渝三峡Ａ</t>
  </si>
  <si>
    <t>6490.68万</t>
  </si>
  <si>
    <t>4522.16万</t>
  </si>
  <si>
    <t>2.23亿</t>
  </si>
  <si>
    <t>4.38亿</t>
  </si>
  <si>
    <t>4.27亿</t>
  </si>
  <si>
    <t>5.28亿</t>
  </si>
  <si>
    <t>3.41亿</t>
  </si>
  <si>
    <t>SZ000881</t>
  </si>
  <si>
    <t>中广核技</t>
  </si>
  <si>
    <t>70.22亿</t>
  </si>
  <si>
    <t>67.84亿</t>
  </si>
  <si>
    <t>3.12亿</t>
  </si>
  <si>
    <t>3.63亿</t>
  </si>
  <si>
    <t>4143.56万</t>
  </si>
  <si>
    <t>4.61亿</t>
  </si>
  <si>
    <t>9.55亿</t>
  </si>
  <si>
    <t>6.51亿</t>
  </si>
  <si>
    <t>13.70亿</t>
  </si>
  <si>
    <t>SZ002037</t>
  </si>
  <si>
    <t>保利联合</t>
  </si>
  <si>
    <t>6.10亿</t>
  </si>
  <si>
    <t>50.24亿</t>
  </si>
  <si>
    <t>60.35亿</t>
  </si>
  <si>
    <t>SZ002054</t>
  </si>
  <si>
    <t>德美化工</t>
  </si>
  <si>
    <t>8.74亿</t>
  </si>
  <si>
    <t>5.94亿</t>
  </si>
  <si>
    <t>3.87亿</t>
  </si>
  <si>
    <t>14.18亿</t>
  </si>
  <si>
    <t>15.71亿</t>
  </si>
  <si>
    <t>16.60亿</t>
  </si>
  <si>
    <t>4935.73万</t>
  </si>
  <si>
    <t>4.07亿</t>
  </si>
  <si>
    <t>SZ002096</t>
  </si>
  <si>
    <t>5.75亿</t>
  </si>
  <si>
    <t>5.09亿</t>
  </si>
  <si>
    <t>11.02亿</t>
  </si>
  <si>
    <t>4.84亿</t>
  </si>
  <si>
    <t>25.22亿</t>
  </si>
  <si>
    <t>21.74亿</t>
  </si>
  <si>
    <t>2386.64万</t>
  </si>
  <si>
    <t>2271.78万</t>
  </si>
  <si>
    <t>SZ002165</t>
  </si>
  <si>
    <t>红 宝 丽</t>
  </si>
  <si>
    <t>3.21亿</t>
  </si>
  <si>
    <t>13.52亿</t>
  </si>
  <si>
    <t>3.74亿</t>
  </si>
  <si>
    <t>23.83亿</t>
  </si>
  <si>
    <t>24.67亿</t>
  </si>
  <si>
    <t>8927.70万</t>
  </si>
  <si>
    <t>2907.84万</t>
  </si>
  <si>
    <t>8.66亿</t>
  </si>
  <si>
    <t>28.05亿</t>
  </si>
  <si>
    <t>5.88亿</t>
  </si>
  <si>
    <t>3.29亿</t>
  </si>
  <si>
    <t>SZ002226</t>
  </si>
  <si>
    <t>江南化工</t>
  </si>
  <si>
    <t>1.89亿</t>
  </si>
  <si>
    <t>5.16亿</t>
  </si>
  <si>
    <t>36.33亿</t>
  </si>
  <si>
    <t>28.85亿</t>
  </si>
  <si>
    <t>22.69亿</t>
  </si>
  <si>
    <t>5.76亿</t>
  </si>
  <si>
    <t>SZ002246</t>
  </si>
  <si>
    <t>北化股份</t>
  </si>
  <si>
    <t>23.63亿</t>
  </si>
  <si>
    <t>21.83亿</t>
  </si>
  <si>
    <t>5.29亿</t>
  </si>
  <si>
    <t>7.11亿</t>
  </si>
  <si>
    <t>6.38亿</t>
  </si>
  <si>
    <t>4.89亿</t>
  </si>
  <si>
    <t>5.26亿</t>
  </si>
  <si>
    <t>5.69亿</t>
  </si>
  <si>
    <t>4.94亿</t>
  </si>
  <si>
    <t>20.54亿</t>
  </si>
  <si>
    <t>6.69亿</t>
  </si>
  <si>
    <t>3.05亿</t>
  </si>
  <si>
    <t>10.39亿</t>
  </si>
  <si>
    <t>SZ002319</t>
  </si>
  <si>
    <t>乐通股份</t>
  </si>
  <si>
    <t>3.83亿</t>
  </si>
  <si>
    <t>5.32亿</t>
  </si>
  <si>
    <t>-3374.60万</t>
  </si>
  <si>
    <t>SZ002326</t>
  </si>
  <si>
    <t>永太科技</t>
  </si>
  <si>
    <t>13.51亿</t>
  </si>
  <si>
    <t>34.30亿</t>
  </si>
  <si>
    <t>32.95亿</t>
  </si>
  <si>
    <t>SZ002360</t>
  </si>
  <si>
    <t>同德化工</t>
  </si>
  <si>
    <t>6.50亿</t>
  </si>
  <si>
    <t>8.43亿</t>
  </si>
  <si>
    <t>8.97亿</t>
  </si>
  <si>
    <t>30.08亿</t>
  </si>
  <si>
    <t>33.77亿</t>
  </si>
  <si>
    <t>3.71亿</t>
  </si>
  <si>
    <t>SZ002407</t>
  </si>
  <si>
    <t>多氟多</t>
  </si>
  <si>
    <t>2.88亿</t>
  </si>
  <si>
    <t>11.36亿</t>
  </si>
  <si>
    <t>9.33亿</t>
  </si>
  <si>
    <t>-2.89亿</t>
  </si>
  <si>
    <t>39.61亿</t>
  </si>
  <si>
    <t>39.13亿</t>
  </si>
  <si>
    <t>6591.34万</t>
  </si>
  <si>
    <t>SZ002430</t>
  </si>
  <si>
    <t>杭氧股份</t>
  </si>
  <si>
    <t>3.76亿</t>
  </si>
  <si>
    <t>17.38亿</t>
  </si>
  <si>
    <t>81.87亿</t>
  </si>
  <si>
    <t>79.01亿</t>
  </si>
  <si>
    <t>7.41亿</t>
  </si>
  <si>
    <t>4.13亿</t>
  </si>
  <si>
    <t>SZ002440</t>
  </si>
  <si>
    <t>闰土股份</t>
  </si>
  <si>
    <t>65.13亿</t>
  </si>
  <si>
    <t>64.64亿</t>
  </si>
  <si>
    <t>45.22亿</t>
  </si>
  <si>
    <t>2.30亿</t>
  </si>
  <si>
    <t>SZ002455</t>
  </si>
  <si>
    <t>百川股份</t>
  </si>
  <si>
    <t>17.95亿</t>
  </si>
  <si>
    <t>25.75亿</t>
  </si>
  <si>
    <t>30.27亿</t>
  </si>
  <si>
    <t>6471.84万</t>
  </si>
  <si>
    <t>3.56亿</t>
  </si>
  <si>
    <t>13.63亿</t>
  </si>
  <si>
    <t>25.19亿</t>
  </si>
  <si>
    <t>4.08亿</t>
  </si>
  <si>
    <t>4.65亿</t>
  </si>
  <si>
    <t>3.16亿</t>
  </si>
  <si>
    <t>6.72亿</t>
  </si>
  <si>
    <t>13.42亿</t>
  </si>
  <si>
    <t>5.85亿</t>
  </si>
  <si>
    <t>2.89亿</t>
  </si>
  <si>
    <t>15.04亿</t>
  </si>
  <si>
    <t>18.51亿</t>
  </si>
  <si>
    <t>42.52亿</t>
  </si>
  <si>
    <t>3.35亿</t>
  </si>
  <si>
    <t>9.89亿</t>
  </si>
  <si>
    <t>2.13亿</t>
  </si>
  <si>
    <t>8.58亿</t>
  </si>
  <si>
    <t>3.96亿</t>
  </si>
  <si>
    <t>10.13亿</t>
  </si>
  <si>
    <t>44.69亿</t>
  </si>
  <si>
    <t>26.06亿</t>
  </si>
  <si>
    <t>6.30亿</t>
  </si>
  <si>
    <t>5.19亿</t>
  </si>
  <si>
    <t>SZ002562</t>
  </si>
  <si>
    <t>兄弟科技</t>
  </si>
  <si>
    <t>14.15亿</t>
  </si>
  <si>
    <t>4382.55万</t>
  </si>
  <si>
    <t>2181.73万</t>
  </si>
  <si>
    <t>15.89亿</t>
  </si>
  <si>
    <t>11.00亿</t>
  </si>
  <si>
    <t>SZ002597</t>
  </si>
  <si>
    <t>金禾实业</t>
  </si>
  <si>
    <t>6.90亿</t>
  </si>
  <si>
    <t>2.79亿</t>
  </si>
  <si>
    <t>39.72亿</t>
  </si>
  <si>
    <t>41.33亿</t>
  </si>
  <si>
    <t>8.09亿</t>
  </si>
  <si>
    <t>10.22亿</t>
  </si>
  <si>
    <t>SZ002637</t>
  </si>
  <si>
    <t>赞宇科技</t>
  </si>
  <si>
    <t>3.45亿</t>
  </si>
  <si>
    <t>65.80亿</t>
  </si>
  <si>
    <t>70.64亿</t>
  </si>
  <si>
    <t>SZ002666</t>
  </si>
  <si>
    <t>德联集团</t>
  </si>
  <si>
    <t>38.51亿</t>
  </si>
  <si>
    <t>37.29亿</t>
  </si>
  <si>
    <t>23.71亿</t>
  </si>
  <si>
    <t>SZ002669</t>
  </si>
  <si>
    <t>康达新材</t>
  </si>
  <si>
    <t>9.28亿</t>
  </si>
  <si>
    <t>8044.28万</t>
  </si>
  <si>
    <t>6.95亿</t>
  </si>
  <si>
    <t>SZ002683</t>
  </si>
  <si>
    <t>59.02亿</t>
  </si>
  <si>
    <t>45.80亿</t>
  </si>
  <si>
    <t>3.86亿</t>
  </si>
  <si>
    <t>9.32亿</t>
  </si>
  <si>
    <t>28.33亿</t>
  </si>
  <si>
    <t>8.65亿</t>
  </si>
  <si>
    <t>SZ002783</t>
  </si>
  <si>
    <t>凯龙股份</t>
  </si>
  <si>
    <t>9.66亿</t>
  </si>
  <si>
    <t>18.65亿</t>
  </si>
  <si>
    <t>9.54亿</t>
  </si>
  <si>
    <t>4997.55万</t>
  </si>
  <si>
    <t>8176.39万</t>
  </si>
  <si>
    <t>SZ002802</t>
  </si>
  <si>
    <t>洪汇新材</t>
  </si>
  <si>
    <t>5.38亿</t>
  </si>
  <si>
    <t>8829.03万</t>
  </si>
  <si>
    <t>7340.04万</t>
  </si>
  <si>
    <t>SZ002809</t>
  </si>
  <si>
    <t>红墙股份</t>
  </si>
  <si>
    <t>13.37亿</t>
  </si>
  <si>
    <t>11.58亿</t>
  </si>
  <si>
    <t>6831.14万</t>
  </si>
  <si>
    <t>SZ002810</t>
  </si>
  <si>
    <t>山东赫达</t>
  </si>
  <si>
    <t>9.13亿</t>
  </si>
  <si>
    <t>7340.68万</t>
  </si>
  <si>
    <t>SZ002827</t>
  </si>
  <si>
    <t>高争民爆</t>
  </si>
  <si>
    <t>4.50亿</t>
  </si>
  <si>
    <t>2398.68万</t>
  </si>
  <si>
    <t>6039.08万</t>
  </si>
  <si>
    <t>10.85亿</t>
  </si>
  <si>
    <t>SZ002909</t>
  </si>
  <si>
    <t>集泰股份</t>
  </si>
  <si>
    <t>12.59亿</t>
  </si>
  <si>
    <t>7.90亿</t>
  </si>
  <si>
    <t>10.16亿</t>
  </si>
  <si>
    <t>5.01亿</t>
  </si>
  <si>
    <t>5.06亿</t>
  </si>
  <si>
    <t>8541.56万</t>
  </si>
  <si>
    <t>1874.20万</t>
  </si>
  <si>
    <t>SZ002915</t>
  </si>
  <si>
    <t>中欣氟材</t>
  </si>
  <si>
    <t>4.01亿</t>
  </si>
  <si>
    <t>3.78亿</t>
  </si>
  <si>
    <t>-5469.73万</t>
  </si>
  <si>
    <t>3615.67万</t>
  </si>
  <si>
    <t>SZ002917</t>
  </si>
  <si>
    <t>金奥博</t>
  </si>
  <si>
    <t>6127.44万</t>
  </si>
  <si>
    <t>6511.43万</t>
  </si>
  <si>
    <t>9.67亿</t>
  </si>
  <si>
    <t>5.37亿</t>
  </si>
  <si>
    <t>SZ002971</t>
  </si>
  <si>
    <t>和远气体</t>
  </si>
  <si>
    <t>8.80亿</t>
  </si>
  <si>
    <t>8452.79万</t>
  </si>
  <si>
    <t>7535.92万</t>
  </si>
  <si>
    <t>SZ003002</t>
  </si>
  <si>
    <t>壶化股份</t>
  </si>
  <si>
    <t>5.56亿</t>
  </si>
  <si>
    <t>3.85亿</t>
  </si>
  <si>
    <t>7632.46万</t>
  </si>
  <si>
    <t>6585.70万</t>
  </si>
  <si>
    <t>13.67亿</t>
  </si>
  <si>
    <t>SZ300019</t>
  </si>
  <si>
    <t>硅宝科技</t>
  </si>
  <si>
    <t>8.71亿</t>
  </si>
  <si>
    <t>6.52亿</t>
  </si>
  <si>
    <t>6513.15万</t>
  </si>
  <si>
    <t>SZ300041</t>
  </si>
  <si>
    <t>回天新材</t>
  </si>
  <si>
    <t>21.64亿</t>
  </si>
  <si>
    <t>-1.99亿</t>
  </si>
  <si>
    <t>18.80亿</t>
  </si>
  <si>
    <t>17.40亿</t>
  </si>
  <si>
    <t>15.15亿</t>
  </si>
  <si>
    <t>SZ300067</t>
  </si>
  <si>
    <t>安诺其</t>
  </si>
  <si>
    <t>10.04亿</t>
  </si>
  <si>
    <t>SZ300107</t>
  </si>
  <si>
    <t>建新股份</t>
  </si>
  <si>
    <t>2.90亿</t>
  </si>
  <si>
    <t>5.36亿</t>
  </si>
  <si>
    <t>SZ300169</t>
  </si>
  <si>
    <t>天晟新材</t>
  </si>
  <si>
    <t>8.94亿</t>
  </si>
  <si>
    <t>7.72亿</t>
  </si>
  <si>
    <t>1619.38万</t>
  </si>
  <si>
    <t>SZ300174</t>
  </si>
  <si>
    <t>元力股份</t>
  </si>
  <si>
    <t>6.47亿</t>
  </si>
  <si>
    <t>12.82亿</t>
  </si>
  <si>
    <t>17.02亿</t>
  </si>
  <si>
    <t>6.53亿</t>
  </si>
  <si>
    <t>5354.92万</t>
  </si>
  <si>
    <t>8263.57万</t>
  </si>
  <si>
    <t>SZ300200</t>
  </si>
  <si>
    <t>高盟新材</t>
  </si>
  <si>
    <t>18.94亿</t>
  </si>
  <si>
    <t>8368.12万</t>
  </si>
  <si>
    <t>SZ300225</t>
  </si>
  <si>
    <t>金力泰</t>
  </si>
  <si>
    <t>8.85亿</t>
  </si>
  <si>
    <t>3008.08万</t>
  </si>
  <si>
    <t>1107.42万</t>
  </si>
  <si>
    <t>SZ300343</t>
  </si>
  <si>
    <t>联创股份</t>
  </si>
  <si>
    <t>35.14亿</t>
  </si>
  <si>
    <t>35.99亿</t>
  </si>
  <si>
    <t>-14.74亿</t>
  </si>
  <si>
    <t>-19.54亿</t>
  </si>
  <si>
    <t>3.32亿</t>
  </si>
  <si>
    <t>5.77亿</t>
  </si>
  <si>
    <t>4.97亿</t>
  </si>
  <si>
    <t>SZ300405</t>
  </si>
  <si>
    <t>科隆股份</t>
  </si>
  <si>
    <t>11.95亿</t>
  </si>
  <si>
    <t>11.27亿</t>
  </si>
  <si>
    <t>1077.60万</t>
  </si>
  <si>
    <t>-1.00亿</t>
  </si>
  <si>
    <t>SZ300437</t>
  </si>
  <si>
    <t>清水源</t>
  </si>
  <si>
    <t>4.60亿</t>
  </si>
  <si>
    <t>17.08亿</t>
  </si>
  <si>
    <t>17.12亿</t>
  </si>
  <si>
    <t>10.50亿</t>
  </si>
  <si>
    <t>SZ300522</t>
  </si>
  <si>
    <t>世名科技</t>
  </si>
  <si>
    <t>7365.17万</t>
  </si>
  <si>
    <t>6722.58万</t>
  </si>
  <si>
    <t>SZ300535</t>
  </si>
  <si>
    <t>达威股份</t>
  </si>
  <si>
    <t>3936.88万</t>
  </si>
  <si>
    <t>4140.67万</t>
  </si>
  <si>
    <t>7.87亿</t>
  </si>
  <si>
    <t>15.69亿</t>
  </si>
  <si>
    <t>12.95亿</t>
  </si>
  <si>
    <t>8.98亿</t>
  </si>
  <si>
    <t>SZ300596</t>
  </si>
  <si>
    <t>利安隆</t>
  </si>
  <si>
    <t>14.88亿</t>
  </si>
  <si>
    <t>SZ300610</t>
  </si>
  <si>
    <t>晨化股份</t>
  </si>
  <si>
    <t>9.00亿</t>
  </si>
  <si>
    <t>9532.40万</t>
  </si>
  <si>
    <t>8619.80万</t>
  </si>
  <si>
    <t>SZ300641</t>
  </si>
  <si>
    <t>正丹股份</t>
  </si>
  <si>
    <t>13.08亿</t>
  </si>
  <si>
    <t>4044.70万</t>
  </si>
  <si>
    <t>6033.68万</t>
  </si>
  <si>
    <t>7.33亿</t>
  </si>
  <si>
    <t>SZ300665</t>
  </si>
  <si>
    <t>飞鹿股份</t>
  </si>
  <si>
    <t>2119.82万</t>
  </si>
  <si>
    <t>2527.44万</t>
  </si>
  <si>
    <t>SZ300721</t>
  </si>
  <si>
    <t>怡达股份</t>
  </si>
  <si>
    <t>12.13亿</t>
  </si>
  <si>
    <t>655.35万</t>
  </si>
  <si>
    <t>3573.19万</t>
  </si>
  <si>
    <t>SZ300727</t>
  </si>
  <si>
    <t>润禾材料</t>
  </si>
  <si>
    <t>5115.91万</t>
  </si>
  <si>
    <t>6616.07万</t>
  </si>
  <si>
    <t>SZ300741</t>
  </si>
  <si>
    <t>华宝股份</t>
  </si>
  <si>
    <t>21.85亿</t>
  </si>
  <si>
    <t>21.69亿</t>
  </si>
  <si>
    <t>12.35亿</t>
  </si>
  <si>
    <t>11.76亿</t>
  </si>
  <si>
    <t>SZ300758</t>
  </si>
  <si>
    <t>七彩化学</t>
  </si>
  <si>
    <t>6.11亿</t>
  </si>
  <si>
    <t>4.34亿</t>
  </si>
  <si>
    <t>SZ300798</t>
  </si>
  <si>
    <t>锦鸡股份</t>
  </si>
  <si>
    <t>12.02亿</t>
  </si>
  <si>
    <t>9634.09万</t>
  </si>
  <si>
    <t>SZ300801</t>
  </si>
  <si>
    <t>泰和科技</t>
  </si>
  <si>
    <t>15.29亿</t>
  </si>
  <si>
    <t>12.45亿</t>
  </si>
  <si>
    <t>SZ300821</t>
  </si>
  <si>
    <t>东岳硅材</t>
  </si>
  <si>
    <t>27.33亿</t>
  </si>
  <si>
    <t>34.01亿</t>
  </si>
  <si>
    <t>24.41亿</t>
  </si>
  <si>
    <t>SZ300829</t>
  </si>
  <si>
    <t>金丹科技</t>
  </si>
  <si>
    <t>8349.77万</t>
  </si>
  <si>
    <t>SZ300847</t>
  </si>
  <si>
    <t>中船汉光</t>
  </si>
  <si>
    <t>6.94亿</t>
  </si>
  <si>
    <t>7720.37万</t>
  </si>
  <si>
    <t>6804.69万</t>
  </si>
  <si>
    <t>SZ300848</t>
  </si>
  <si>
    <t>美瑞新材</t>
  </si>
  <si>
    <t>8336.38万</t>
  </si>
  <si>
    <t>5537.37万</t>
  </si>
  <si>
    <t>SZ300858</t>
  </si>
  <si>
    <t>科拓生物</t>
  </si>
  <si>
    <t>9328.41万</t>
  </si>
  <si>
    <t>9191.93万</t>
  </si>
  <si>
    <t>SZ300905</t>
  </si>
  <si>
    <t>宝丽迪</t>
  </si>
  <si>
    <t>5.52亿</t>
  </si>
  <si>
    <t>6314.23万</t>
  </si>
  <si>
    <t>SZ300910</t>
  </si>
  <si>
    <t>瑞丰新材</t>
  </si>
  <si>
    <t>6.57亿</t>
  </si>
  <si>
    <t>9836.30万</t>
  </si>
  <si>
    <t>5660.44万</t>
  </si>
  <si>
    <t>SZ301036</t>
  </si>
  <si>
    <t>双乐股份</t>
  </si>
  <si>
    <t>9.92亿</t>
  </si>
  <si>
    <t>8516.78万</t>
  </si>
  <si>
    <t>7020.01万</t>
  </si>
  <si>
    <t>SZ301037</t>
  </si>
  <si>
    <t>保立佳</t>
  </si>
  <si>
    <t>17.21亿</t>
  </si>
  <si>
    <t>7190.22万</t>
  </si>
  <si>
    <t>4532.68万</t>
  </si>
  <si>
    <t>SZ301076</t>
  </si>
  <si>
    <t>新瀚新材</t>
  </si>
  <si>
    <t>7439.94万</t>
  </si>
  <si>
    <t>6281.19万</t>
  </si>
  <si>
    <t>SZ301077</t>
  </si>
  <si>
    <t>6531.67万</t>
  </si>
  <si>
    <t>3693.50万</t>
  </si>
  <si>
    <t>22.72亿</t>
  </si>
  <si>
    <t>33.10亿</t>
  </si>
  <si>
    <t>6.44亿</t>
  </si>
  <si>
    <t>15.11亿</t>
  </si>
  <si>
    <t>2.68亿</t>
  </si>
  <si>
    <t>SH600160</t>
  </si>
  <si>
    <t>巨化股份</t>
  </si>
  <si>
    <t>160.68亿</t>
  </si>
  <si>
    <t>156.56亿</t>
  </si>
  <si>
    <t>SH600165</t>
  </si>
  <si>
    <t>-4495.21万</t>
  </si>
  <si>
    <t>940.06万</t>
  </si>
  <si>
    <t>SH600230</t>
  </si>
  <si>
    <t>沧州大化</t>
  </si>
  <si>
    <t>16.53亿</t>
  </si>
  <si>
    <t>21.06亿</t>
  </si>
  <si>
    <t>44.32亿</t>
  </si>
  <si>
    <t>12.83亿</t>
  </si>
  <si>
    <t>5.83亿</t>
  </si>
  <si>
    <t>SH600273</t>
  </si>
  <si>
    <t>嘉化能源</t>
  </si>
  <si>
    <t>53.69亿</t>
  </si>
  <si>
    <t>56.04亿</t>
  </si>
  <si>
    <t>12.27亿</t>
  </si>
  <si>
    <t>SH600299</t>
  </si>
  <si>
    <t>安迪苏</t>
  </si>
  <si>
    <t>11.49亿</t>
  </si>
  <si>
    <t>111.35亿</t>
  </si>
  <si>
    <t>114.18亿</t>
  </si>
  <si>
    <t>SH600309</t>
  </si>
  <si>
    <t>万华化学</t>
  </si>
  <si>
    <t>680.51亿</t>
  </si>
  <si>
    <t>728.37亿</t>
  </si>
  <si>
    <t>101.30亿</t>
  </si>
  <si>
    <t>155.66亿</t>
  </si>
  <si>
    <t>SH600352</t>
  </si>
  <si>
    <t>浙江龙盛</t>
  </si>
  <si>
    <t>213.65亿</t>
  </si>
  <si>
    <t>190.76亿</t>
  </si>
  <si>
    <t>50.23亿</t>
  </si>
  <si>
    <t>41.11亿</t>
  </si>
  <si>
    <t>SH600378</t>
  </si>
  <si>
    <t>昊华科技</t>
  </si>
  <si>
    <t>49.25亿</t>
  </si>
  <si>
    <t>15.54亿</t>
  </si>
  <si>
    <t>8.04亿</t>
  </si>
  <si>
    <t>SH600500</t>
  </si>
  <si>
    <t>中化国际</t>
  </si>
  <si>
    <t>532.29亿</t>
  </si>
  <si>
    <t>599.57亿</t>
  </si>
  <si>
    <t>SH600596</t>
  </si>
  <si>
    <t>新安股份</t>
  </si>
  <si>
    <t>120.07亿</t>
  </si>
  <si>
    <t>110.01亿</t>
  </si>
  <si>
    <t>SH600727</t>
  </si>
  <si>
    <t>鲁北化工</t>
  </si>
  <si>
    <t>16.28亿</t>
  </si>
  <si>
    <t>27.67亿</t>
  </si>
  <si>
    <t>9407.48万</t>
  </si>
  <si>
    <t>20.26亿</t>
  </si>
  <si>
    <t>SH600866</t>
  </si>
  <si>
    <t>星湖科技</t>
  </si>
  <si>
    <t>11.16亿</t>
  </si>
  <si>
    <t>8.59亿</t>
  </si>
  <si>
    <t>4228.03万</t>
  </si>
  <si>
    <t>SH600873</t>
  </si>
  <si>
    <t>梅花生物</t>
  </si>
  <si>
    <t>145.54亿</t>
  </si>
  <si>
    <t>126.48亿</t>
  </si>
  <si>
    <t>SH603020</t>
  </si>
  <si>
    <t>爱普股份</t>
  </si>
  <si>
    <t>24.75亿</t>
  </si>
  <si>
    <t>25.00亿</t>
  </si>
  <si>
    <t>SH603041</t>
  </si>
  <si>
    <t>美思德</t>
  </si>
  <si>
    <t>7204.07万</t>
  </si>
  <si>
    <t>4082.36万</t>
  </si>
  <si>
    <t>SH603079</t>
  </si>
  <si>
    <t>圣达生物</t>
  </si>
  <si>
    <t>4703.03万</t>
  </si>
  <si>
    <t>4454.44万</t>
  </si>
  <si>
    <t>SH603110</t>
  </si>
  <si>
    <t>东方材料</t>
  </si>
  <si>
    <t>5252.84万</t>
  </si>
  <si>
    <t>3279.83万</t>
  </si>
  <si>
    <t>SH603155</t>
  </si>
  <si>
    <t>新亚强</t>
  </si>
  <si>
    <t>20.28亿</t>
  </si>
  <si>
    <t>SH603181</t>
  </si>
  <si>
    <t>皇马科技</t>
  </si>
  <si>
    <t>SH603188</t>
  </si>
  <si>
    <t>亚邦股份</t>
  </si>
  <si>
    <t>14.21亿</t>
  </si>
  <si>
    <t>20.76亿</t>
  </si>
  <si>
    <t>SH603192</t>
  </si>
  <si>
    <t>汇得科技</t>
  </si>
  <si>
    <t>14.98亿</t>
  </si>
  <si>
    <t>9.93亿</t>
  </si>
  <si>
    <t>14.40亿</t>
  </si>
  <si>
    <t>15.93亿</t>
  </si>
  <si>
    <t>SH603217</t>
  </si>
  <si>
    <t>元利科技</t>
  </si>
  <si>
    <t>11.67亿</t>
  </si>
  <si>
    <t>17.57亿</t>
  </si>
  <si>
    <t>12.73亿</t>
  </si>
  <si>
    <t>SH603260</t>
  </si>
  <si>
    <t>合盛硅业</t>
  </si>
  <si>
    <t>89.38亿</t>
  </si>
  <si>
    <t>110.76亿</t>
  </si>
  <si>
    <t>4.10亿</t>
  </si>
  <si>
    <t>SH603379</t>
  </si>
  <si>
    <t>三美股份</t>
  </si>
  <si>
    <t>39.35亿</t>
  </si>
  <si>
    <t>44.54亿</t>
  </si>
  <si>
    <t>SH603505</t>
  </si>
  <si>
    <t>金石资源</t>
  </si>
  <si>
    <t>8.79亿</t>
  </si>
  <si>
    <t>1.69亿</t>
  </si>
  <si>
    <t>18.13亿</t>
  </si>
  <si>
    <t>3.23亿</t>
  </si>
  <si>
    <t>4.69亿</t>
  </si>
  <si>
    <t>7.92亿</t>
  </si>
  <si>
    <t>SH603681</t>
  </si>
  <si>
    <t>永冠新材</t>
  </si>
  <si>
    <t>21.44亿</t>
  </si>
  <si>
    <t>17.01亿</t>
  </si>
  <si>
    <t>SH603683</t>
  </si>
  <si>
    <t>晶华新材</t>
  </si>
  <si>
    <t>347.00万</t>
  </si>
  <si>
    <t>2296.51万</t>
  </si>
  <si>
    <t>SH603725</t>
  </si>
  <si>
    <t>天安新材</t>
  </si>
  <si>
    <t>8.68亿</t>
  </si>
  <si>
    <t>649.91万</t>
  </si>
  <si>
    <t>4899.60万</t>
  </si>
  <si>
    <t>SH603790</t>
  </si>
  <si>
    <t>雅运股份</t>
  </si>
  <si>
    <t>9.57亿</t>
  </si>
  <si>
    <t>7.74亿</t>
  </si>
  <si>
    <t>13.17亿</t>
  </si>
  <si>
    <t>4.54亿</t>
  </si>
  <si>
    <t>SH603822</t>
  </si>
  <si>
    <t>10.75亿</t>
  </si>
  <si>
    <t>6218.31万</t>
  </si>
  <si>
    <t>5374.94万</t>
  </si>
  <si>
    <t>SH603823</t>
  </si>
  <si>
    <t>百合花</t>
  </si>
  <si>
    <t>19.81亿</t>
  </si>
  <si>
    <t>SH603867</t>
  </si>
  <si>
    <t>新化股份</t>
  </si>
  <si>
    <t>17.18亿</t>
  </si>
  <si>
    <t>22.32亿</t>
  </si>
  <si>
    <t>SH603916</t>
  </si>
  <si>
    <t>苏博特</t>
  </si>
  <si>
    <t>33.07亿</t>
  </si>
  <si>
    <t>11.04亿</t>
  </si>
  <si>
    <t>SH603948</t>
  </si>
  <si>
    <t>建业股份</t>
  </si>
  <si>
    <t>16.76亿</t>
  </si>
  <si>
    <t>SH603968</t>
  </si>
  <si>
    <t>醋化股份</t>
  </si>
  <si>
    <t>22.58亿</t>
  </si>
  <si>
    <t>16.61亿</t>
  </si>
  <si>
    <t>SH603977</t>
  </si>
  <si>
    <t>国泰集团</t>
  </si>
  <si>
    <t>14.39亿</t>
  </si>
  <si>
    <t>5.65亿</t>
  </si>
  <si>
    <t>7033.76万</t>
  </si>
  <si>
    <t>SH603980</t>
  </si>
  <si>
    <t>吉华集团</t>
  </si>
  <si>
    <t>26.34亿</t>
  </si>
  <si>
    <t>29.15亿</t>
  </si>
  <si>
    <t>SH605016</t>
  </si>
  <si>
    <t>百龙创园</t>
  </si>
  <si>
    <t>8278.32万</t>
  </si>
  <si>
    <t>6530.44万</t>
  </si>
  <si>
    <t>SH605020</t>
  </si>
  <si>
    <t>永和股份</t>
  </si>
  <si>
    <t>18.83亿</t>
  </si>
  <si>
    <t>SH605077</t>
  </si>
  <si>
    <t>华康股份</t>
  </si>
  <si>
    <t>14.00亿</t>
  </si>
  <si>
    <t>SH605366</t>
  </si>
  <si>
    <t>宏柏新材</t>
  </si>
  <si>
    <t>7.75亿</t>
  </si>
  <si>
    <t>SH605399</t>
  </si>
  <si>
    <t>晨光新材</t>
  </si>
  <si>
    <t>SH605566</t>
  </si>
  <si>
    <t>福莱蒽特</t>
  </si>
  <si>
    <t>9.98亿</t>
  </si>
  <si>
    <t>SH688065</t>
  </si>
  <si>
    <t>凯赛生物</t>
  </si>
  <si>
    <t>19.16亿</t>
  </si>
  <si>
    <t>SH688089</t>
  </si>
  <si>
    <t>嘉必优</t>
  </si>
  <si>
    <t>9698.60万</t>
  </si>
  <si>
    <t>SH688129</t>
  </si>
  <si>
    <t>东来技术</t>
  </si>
  <si>
    <t>8198.72万</t>
  </si>
  <si>
    <t>7813.67万</t>
  </si>
  <si>
    <t>SH688133</t>
  </si>
  <si>
    <t>泰坦科技</t>
  </si>
  <si>
    <t>7.38亿</t>
  </si>
  <si>
    <t>11.44亿</t>
  </si>
  <si>
    <t>6.64亿</t>
  </si>
  <si>
    <t>7411.79万</t>
  </si>
  <si>
    <t>5992.66万</t>
  </si>
  <si>
    <t>SH688157</t>
  </si>
  <si>
    <t>松井股份</t>
  </si>
  <si>
    <t>9287.37万</t>
  </si>
  <si>
    <t>5227.25万</t>
  </si>
  <si>
    <t>SH688179</t>
  </si>
  <si>
    <t>阿拉丁</t>
  </si>
  <si>
    <t>6369.10万</t>
  </si>
  <si>
    <t>5341.54万</t>
  </si>
  <si>
    <t>SH688196</t>
  </si>
  <si>
    <t>卓越新能</t>
  </si>
  <si>
    <t>SH688199</t>
  </si>
  <si>
    <t>久日新材</t>
  </si>
  <si>
    <t>13.35亿</t>
  </si>
  <si>
    <t>10.05亿</t>
  </si>
  <si>
    <t>6.39亿</t>
  </si>
  <si>
    <t>SH688350</t>
  </si>
  <si>
    <t>富淼科技</t>
  </si>
  <si>
    <t>8524.60万</t>
  </si>
  <si>
    <t>6661.99万</t>
  </si>
  <si>
    <t>SH688398</t>
  </si>
  <si>
    <t>赛特新材</t>
  </si>
  <si>
    <t>7432.57万</t>
  </si>
  <si>
    <t>4066.25万</t>
  </si>
  <si>
    <t>SH688571</t>
  </si>
  <si>
    <t>杭华股份</t>
  </si>
  <si>
    <t>9012.17万</t>
  </si>
  <si>
    <t>6691.85万</t>
  </si>
  <si>
    <t>SH688625</t>
  </si>
  <si>
    <t>呈和科技</t>
  </si>
  <si>
    <t>8927.69万</t>
  </si>
  <si>
    <t>5564.29万</t>
  </si>
  <si>
    <t>SH688639</t>
  </si>
  <si>
    <t>华恒生物</t>
  </si>
  <si>
    <t>7550.67万</t>
  </si>
  <si>
    <t>SH688659</t>
  </si>
  <si>
    <t>元琛科技</t>
  </si>
  <si>
    <t>5911.29万</t>
  </si>
  <si>
    <t>3786.06万</t>
  </si>
  <si>
    <r>
      <t>1.2018年、2019年、2020年公司纤维母粒产销量均在国内排名第1，纤维母粒的年产能达3.7万吨；2.公司2021年目标实现营业收入（含税）8.88亿元，</t>
    </r>
    <r>
      <rPr>
        <sz val="9"/>
        <color rgb="FFFF0000"/>
        <rFont val="宋体"/>
        <family val="3"/>
        <charset val="134"/>
        <scheme val="minor"/>
      </rPr>
      <t>实现净利润1.2亿元；</t>
    </r>
    <r>
      <rPr>
        <sz val="9"/>
        <rFont val="宋体"/>
        <family val="3"/>
        <charset val="134"/>
        <scheme val="minor"/>
      </rPr>
      <t>3.公司目前产能已经满负荷生产，急需扩充产能，目前主要计划是通过新建募投项目来增加产能，公司上市后，募集资金将用于“新建研发及生产色母项目”、“高品质原液着色研发中心项目”的施工建设。“新建研发及生产色母项目”设计产能为年产42500吨纤维色母粒该项目实施后，可大幅度提升公司产能，优化公司产品结构，巩固公司主营业务体系，提高公司产品的市场占有率和持续竞争力</t>
    </r>
    <phoneticPr fontId="1" type="noConversion"/>
  </si>
  <si>
    <r>
      <t>1.美联新材、道恩股份、红梅色母列为同行业可比公司。但该3家可比公司主要生产塑料用母粒，与发行人并无直接竞争关系，但</t>
    </r>
    <r>
      <rPr>
        <sz val="9"/>
        <color rgb="FFFF0000"/>
        <rFont val="宋体"/>
        <family val="3"/>
        <charset val="134"/>
        <scheme val="minor"/>
      </rPr>
      <t>塑料用母粒</t>
    </r>
    <r>
      <rPr>
        <sz val="9"/>
        <color theme="1"/>
        <rFont val="宋体"/>
        <family val="2"/>
        <charset val="134"/>
        <scheme val="minor"/>
      </rPr>
      <t>和</t>
    </r>
    <r>
      <rPr>
        <b/>
        <sz val="9"/>
        <color rgb="FFFF0000"/>
        <rFont val="宋体"/>
        <family val="3"/>
        <charset val="134"/>
        <scheme val="minor"/>
      </rPr>
      <t>纤维母粒</t>
    </r>
    <r>
      <rPr>
        <sz val="9"/>
        <color theme="1"/>
        <rFont val="宋体"/>
        <family val="2"/>
        <charset val="134"/>
        <scheme val="minor"/>
      </rPr>
      <t>在原材料种类、生产工艺等方面具有一定的可比性，因此将美联新材、道恩股份、红梅色母列为同行业可比公司；2.国内竞争对手：厦门鹭意彩色母粒有限，广东彩艳股份有限公司，常州富桐纤维新材料有限公司，浙江金彩新材料有限公司；国际对手为：瑞土科莱恩公司，美国普立万公司，美国奥美凯公司；</t>
    </r>
    <phoneticPr fontId="1" type="noConversion"/>
  </si>
  <si>
    <t>1.民爆行业对采矿业、基础设施建设等行业的依赖性较强</t>
    <phoneticPr fontId="1" type="noConversion"/>
  </si>
  <si>
    <t>1. 2021年上半年，公司胶粘剂新材料板块业务收入稳中有升，但主要产品原材料价格出现较大涨幅，使产品销售毛利下降，从而导致了公司净利润下降，影响了板块的利润贡献。公司军工科技板块围绕年度任务目标， 紧抓行业发展机遇，充分发挥市场牵引作用，电磁兼容与电源模块业务快速增长</t>
    <phoneticPr fontId="1" type="noConversion"/>
  </si>
  <si>
    <t>1.公司生产的集装箱用密封胶和水性底架漆产品以全球50%以上的市场份额始终维持领跑</t>
    <phoneticPr fontId="1" type="noConversion"/>
  </si>
  <si>
    <t>1.：公司主要产品的原材料出现较大幅度的涨幅，对产品的毛利率产生了较大影响，从而导致了公司净利润的下降</t>
    <phoneticPr fontId="1" type="noConversion"/>
  </si>
  <si>
    <t>1.公司生产的气体产品主要原材料为空气，能耗为电力。空气不需付出成本，电力能源在生产成本中占比较高，约占总成本的70%左右，电力为政府定价，价格较为稳定。其他还需采购一些辅助材料和周转材料，如水、气瓶、维修材料等。在尾气回收模式中，工业尾气也属于公司采购原材料；2.有运输半径限制；</t>
    <phoneticPr fontId="1" type="noConversion"/>
  </si>
  <si>
    <t>普通气体55.47%（毛利44.51%） 清洁能源30.86%（毛利3.42%） 特种气体5.28%（毛利42.45%） 氩气委托加工收入 5.09%
1. 营业收入增长的主要是报告期内公司液态
气体销量增加所致；</t>
    <phoneticPr fontId="1" type="noConversion"/>
  </si>
  <si>
    <t>1.上半年，工业胶在光伏、电子电器、汽车等行业持续发力；上半年，新进入中兴通讯、新能安、多氟多、赣锋锂业、英杰电气等知名客户的供应链体系；2.目前原材料价格高位运行，公司保持合理库存，保障生产。此外，公司关注到合盛石河子、河南恒星、东岳硅材、云南能投等在下半年都有投产计划，如果投产顺利将影响原材料价格走势。随着上游原材料产能的扩大，公司预计未来原材料会供应充足；3.公司将依托各方优势资源，围绕新材料行业实施相关多元化发展战略，加大外延并购力度，实现业绩持续增长，力争在公司的第三个 10 年实现产值 100 亿元</t>
    <phoneticPr fontId="1" type="noConversion"/>
  </si>
  <si>
    <t>1.军工领域部分关键高性能胶粘剂之前基本由外资企业供应，近几年国家提出解决关键技术卡脖子问题，供应链开始逐渐国产化。公司近几年先后取得国家武器装备质量管理体系认证和航空航天质量管理体系认证，具备相关行业准入资质。公司2018年开始与中国商飞上海飞机设计研究院进行产品开发合作，去年底合作项目完成在工信部立项答辩，目前也在加快速度推进中</t>
    <phoneticPr fontId="1" type="noConversion"/>
  </si>
  <si>
    <t>1.公司已陆续开发完成超级电容活性炭、室内空气净化活性炭、有机溶剂回收专用炭、天然气贮存专用炭、油气回收专用炭、特殊粒度区间粉状炭、特殊领域用高吸附力磷酸炭、丙酮吸附专用炭、液相用高分散性颗粒炭、催化剂载体用炭等新产品，拓宽了活性炭应用领域；2.公司拟发行拟向不特定对象发行可转换公司债券募集资金总额不超过人民币90,000.00万元（含90,000.00万元），用于“南平元力环保用活性炭建设项目”。本次募投项目拟建设年产10万吨活性炭产能，包括：磷酸法颗粒炭4万吨、物理法颗粒炭2万吨、物理法粉状炭3万吨、颗粒再生炭1万吨；3.2019年面对强烈的市场需求，公司在南平工业园区规划建设年产600吨超级电容炭生产线，首期年产150吨生产线2020年8月已投产；第二条年产150吨生产线已在试机，即将投产</t>
    <phoneticPr fontId="1" type="noConversion"/>
  </si>
  <si>
    <t>公司作为国内木质活性炭行业领军企业的地位得到不断巩固和加强，品牌影响力、市场号召力得到极大增强;
元禾化工生产的硅酸钠绝大部分供全球领先的特种化工企业-赢创工业集团 EWS用于沉淀法白炭黑的生产，EWS具备年产10万吨白炭黑生产规模，也是国内白炭黑行业少数取得轮胎认证的供应商之一，将在绿色轮胎高速增长中赢得发展先机。
活性炭 4.87亿 70.36%（毛利25.13%，增速16.49%）
硅酸钠 2.00亿 28.94%（毛利11.67%，增速87.6%）
其他 483.29万 0.70%（毛利22.82%）</t>
    <phoneticPr fontId="1" type="noConversion"/>
  </si>
  <si>
    <r>
      <t>1.公司控股子公司绍兴上虞新利化工有限公司“2000 吨/年光敏性中间体及 600 吨/年高性能</t>
    </r>
    <r>
      <rPr>
        <b/>
        <sz val="9"/>
        <color rgb="FFFF0000"/>
        <rFont val="宋体"/>
        <family val="3"/>
        <charset val="134"/>
        <scheme val="minor"/>
      </rPr>
      <t>光刻胶</t>
    </r>
    <r>
      <rPr>
        <sz val="9"/>
        <color theme="1"/>
        <rFont val="宋体"/>
        <family val="2"/>
        <charset val="134"/>
        <scheme val="minor"/>
      </rPr>
      <t>系列产品技改项目”目前正在安装设备阶段。2.七彩化学早在2014年，便推出了切实可行的含铅颜料替代方案，全部基于七彩化学现有产品线以及在建产品线，经过集装箱行业以及工程机械涂料行业的验证，得到了市场和客户的一致认可;3.由于对技术和环保要求较高，国内生产厂商数量较少，主要包括巴斯夫、科莱恩、普立万、DIC 等跨国知名生产厂商，我国少数企业在特定产品具有比较优势,七彩化学近年来，赢得了越来越多的国内外实力企业的认可，并逐步发展成为稳定的战略合作伙伴，包括德国巴斯夫（BASF）、瑞士科莱恩（CLARIANT）、德国朗盛（LANXESS）、大日本油墨（DIC）、宣伟涂料（Shervin Williams）、Akzo Nobel 涂料，Axalta 涂料，PPG 涂料、立邦涂料（NipponPaint）、美利肯（MILLIKEN）、Avient、A Shulman, 彼得索约、信凯化学（TRUSTCHEM）、中远关西、金力泰，湘江涂料，上海华谊等。;4.有机颜料</t>
    </r>
    <r>
      <rPr>
        <sz val="9"/>
        <color rgb="FFFF0000"/>
        <rFont val="宋体"/>
        <family val="3"/>
        <charset val="134"/>
        <scheme val="minor"/>
      </rPr>
      <t>主要应用于油墨、涂料、塑料和橡胶等众多领域，其周期性较弱</t>
    </r>
    <r>
      <rPr>
        <sz val="9"/>
        <color theme="1"/>
        <rFont val="宋体"/>
        <family val="2"/>
        <charset val="134"/>
        <scheme val="minor"/>
      </rPr>
      <t>。5.新材料研发工作取得了阶段性的突破。4G/5G 用覆铜板用聚合物完成中试，将进入批量生产；高阻隔尼龙材料 MXD6 以及聚氨酯弹性体已经进入到中试阶段</t>
    </r>
    <phoneticPr fontId="1" type="noConversion"/>
  </si>
  <si>
    <t>1.生产车间根据生产计划组织原料、安排人员和设备完成化学合成、颜料化及表面处理等生产过程，之后制造部对半成品进行粉碎、拼混、包装，并最终入库；2.中报业绩：净利润1.100亿元至1.150亿元，增长幅度为20.00%至25.00%</t>
    <phoneticPr fontId="1" type="noConversion"/>
  </si>
  <si>
    <t>公司主要从事二元羧酸 C4/C6/C10/C12 下游系列产品的综合开发利用，产品包括二元酸二甲酯系列（混合二元酸二甲酯、丁二酸二甲酯、戊二酸二甲酯、己二酸二甲酯等）、脂肪醇系列（1,6-己二醇、1,5-戊二醇）、特种增塑剂系列（DCP、DOM、DBM 等）及成膜助剂系列多个品类。二元酸二甲酯系列产品主要应用于涂料、铸造粘结剂、油墨、颜料、个人护理、医药中间体等方面中高端领域；脂肪醇系列产品主要应用于 UV 固化材料、聚氨酯等方面高端领域，如热敏基材（橡胶、塑料）等的涂装、大型风力发电机的叶片涂装、高档汽车内饰、食品包装袋封口胶黏剂等；
二元酸二甲酯系列 6.02亿 49.27%（毛利23.93%）
增塑剂系列产品 3.43亿 28.04%（毛利18.61%）
脂肪醇系列产品 2.76亿 22.61%（毛利18.88%）</t>
    <phoneticPr fontId="1" type="noConversion"/>
  </si>
  <si>
    <t>1.风电长期发展前景较好，尤其是海上风电，可以体现出风电较强的成长性。康达新材的风电结构胶作为行业龙头，将持续强化核心竞争优势，在国内占据领先的市场地位，打造紧跟客户需求的产品，保持稳定供应</t>
    <phoneticPr fontId="1" type="noConversion"/>
  </si>
  <si>
    <r>
      <t>1.</t>
    </r>
    <r>
      <rPr>
        <b/>
        <sz val="9"/>
        <color rgb="FFFF0000"/>
        <rFont val="宋体"/>
        <family val="3"/>
        <charset val="134"/>
        <scheme val="minor"/>
      </rPr>
      <t>防务装备板块</t>
    </r>
    <r>
      <rPr>
        <sz val="9"/>
        <color theme="1"/>
        <rFont val="宋体"/>
        <family val="2"/>
        <charset val="134"/>
        <scheme val="minor"/>
      </rPr>
      <t>是公司的战略转型重点板块，在防务装备领域，公司拥有军工“三证”，是业界资质最健全、资质等级最高的省属军工企业。公司依托现有军工平台——子公司广东明华机械有限公司，高起点、深度切入高端军品HD-1导弹项目，成功试飞并获得出口许可证，并取得JK出口资质，可见以明华公司为核心的装备板块初见成效。</t>
    </r>
    <phoneticPr fontId="1" type="noConversion"/>
  </si>
  <si>
    <t>1.民爆板块是公司另一个传统业务，公司目前合并产能41.5万吨，位居全国前三。</t>
    <phoneticPr fontId="1" type="noConversion"/>
  </si>
  <si>
    <t>1.国泰集团拥有军民融合行业从业经验和相关人才队伍，具有从事军民融合业务得天独厚的优势。当前和今后一个时期是军民融合发展的战略机遇期，也是军民融合由初步融合向深度融合过渡、进而实现跨越发展的关键期，国防科技工业领域军民融合潜力巨大。；2.基于钽铌稀有金属的市场前景，随着电子信息及军工航天的发展，公司打造了中高端钽铌化合物两大生产基地——拓泓新材、三石有色，分别位于宜春市和新余市。目前以拓泓新材为主的钽铌化合物年生产能力为500吨</t>
    <phoneticPr fontId="1" type="noConversion"/>
  </si>
  <si>
    <t>1.根据意向协议，南岭民爆拟以发行股份及/或支付现金方式购买易普力100%股份。若交易顺利实施，中国能建旗下民爆龙头有望借壳南岭民爆上市，南岭民爆有望升级为民爆行业核心央企控股上市公司。</t>
    <phoneticPr fontId="1" type="noConversion"/>
  </si>
  <si>
    <t>流通股本</t>
  </si>
  <si>
    <t>投入资本回报率roic%[20201231]</t>
  </si>
  <si>
    <t>净资产收益率%[20201231]</t>
  </si>
  <si>
    <t>6.29亿</t>
  </si>
  <si>
    <t>SZ001218</t>
  </si>
  <si>
    <t>丽臣实业</t>
  </si>
  <si>
    <t>19.93亿</t>
  </si>
  <si>
    <t>18.35亿</t>
  </si>
  <si>
    <t>8939.82万</t>
  </si>
  <si>
    <t>2.63亿</t>
  </si>
  <si>
    <t>13.95亿</t>
  </si>
  <si>
    <t>10.80亿</t>
  </si>
  <si>
    <t>SZ002648</t>
  </si>
  <si>
    <t>卫星化学</t>
  </si>
  <si>
    <t>107.79亿</t>
  </si>
  <si>
    <t>100.29亿</t>
  </si>
  <si>
    <t>广东宏大</t>
  </si>
  <si>
    <t>6.99亿</t>
  </si>
  <si>
    <t>11.81亿</t>
  </si>
  <si>
    <t>14.72亿</t>
  </si>
  <si>
    <t>SZ301090</t>
  </si>
  <si>
    <t>华润材料</t>
  </si>
  <si>
    <t>123.84亿</t>
  </si>
  <si>
    <t>144.81亿</t>
  </si>
  <si>
    <t>SZ301100</t>
  </si>
  <si>
    <t>风光股份</t>
  </si>
  <si>
    <t>5.97亿</t>
  </si>
  <si>
    <t>SZ301149</t>
  </si>
  <si>
    <t>隆华新材</t>
  </si>
  <si>
    <t>9331.61万</t>
  </si>
  <si>
    <t>5308.85万</t>
  </si>
  <si>
    <t>SZ301190</t>
  </si>
  <si>
    <t>善水科技</t>
  </si>
  <si>
    <t>SZ301206</t>
  </si>
  <si>
    <t>三元生物</t>
  </si>
  <si>
    <t>6808.85万</t>
  </si>
  <si>
    <t>SZ301212</t>
  </si>
  <si>
    <t>联盛化学</t>
  </si>
  <si>
    <t>5852.45万</t>
  </si>
  <si>
    <t>2898.16万</t>
  </si>
  <si>
    <t>SZ301216</t>
  </si>
  <si>
    <t>万凯新材</t>
  </si>
  <si>
    <t>96.82亿</t>
  </si>
  <si>
    <t>117.25亿</t>
  </si>
  <si>
    <t>10.52亿</t>
  </si>
  <si>
    <t>5.61亿</t>
  </si>
  <si>
    <t>SH603051</t>
  </si>
  <si>
    <t>鹿山新材</t>
  </si>
  <si>
    <t>7.95亿</t>
  </si>
  <si>
    <t>7194.28万</t>
  </si>
  <si>
    <t>4791.02万</t>
  </si>
  <si>
    <t>2.37亿</t>
  </si>
  <si>
    <t>15.21亿</t>
  </si>
  <si>
    <t>净利润?</t>
  </si>
  <si>
    <t>净利润[20201231]</t>
  </si>
  <si>
    <t>投入资本回报率roic%[20211231]</t>
  </si>
  <si>
    <t>净资产收益率%[20211231]</t>
  </si>
  <si>
    <t>36.23亿</t>
  </si>
  <si>
    <t>14.27亿</t>
  </si>
  <si>
    <t/>
  </si>
  <si>
    <t>1-0</t>
  </si>
  <si>
    <t>扭亏</t>
  </si>
  <si>
    <t>9.82亿</t>
  </si>
  <si>
    <t>7126.80万</t>
  </si>
  <si>
    <t>5507.49万</t>
  </si>
  <si>
    <t>2.48亿</t>
  </si>
  <si>
    <t>7.13亿</t>
  </si>
  <si>
    <t>12.52亿</t>
  </si>
  <si>
    <t>79.99亿</t>
  </si>
  <si>
    <t>66.52亿</t>
  </si>
  <si>
    <t>8.33亿</t>
  </si>
  <si>
    <t>10.34亿</t>
  </si>
  <si>
    <t>3.81亿</t>
  </si>
  <si>
    <t>27.49亿</t>
  </si>
  <si>
    <t>60.28亿</t>
  </si>
  <si>
    <t>10.06亿</t>
  </si>
  <si>
    <t>59.80亿</t>
  </si>
  <si>
    <t>19.97亿</t>
  </si>
  <si>
    <t>16.26亿</t>
  </si>
  <si>
    <t>5.05亿</t>
  </si>
  <si>
    <t>19.31亿</t>
  </si>
  <si>
    <t>4899.62万</t>
  </si>
  <si>
    <t>-1.64亿</t>
  </si>
  <si>
    <t>20.02亿</t>
  </si>
  <si>
    <t>5063.59万</t>
  </si>
  <si>
    <t>开始亏损</t>
  </si>
  <si>
    <t>34.29亿</t>
  </si>
  <si>
    <t>2973.68万</t>
  </si>
  <si>
    <t>26.11亿</t>
  </si>
  <si>
    <t>21.27亿</t>
  </si>
  <si>
    <t>SZ002211</t>
  </si>
  <si>
    <t>2.07亿</t>
  </si>
  <si>
    <t>1113.24万</t>
  </si>
  <si>
    <t>亏损</t>
  </si>
  <si>
    <t>41.31亿</t>
  </si>
  <si>
    <t>64.81亿</t>
  </si>
  <si>
    <t>10.53亿</t>
  </si>
  <si>
    <t>39.19亿</t>
  </si>
  <si>
    <t>13.32亿</t>
  </si>
  <si>
    <t>15.52亿</t>
  </si>
  <si>
    <t>26.33亿</t>
  </si>
  <si>
    <t>23.59亿</t>
  </si>
  <si>
    <t>9017.92万</t>
  </si>
  <si>
    <t>2.33亿</t>
  </si>
  <si>
    <t>7.06亿</t>
  </si>
  <si>
    <t>16.93亿</t>
  </si>
  <si>
    <t>10.81亿</t>
  </si>
  <si>
    <t>11.80亿</t>
  </si>
  <si>
    <t>6.12亿</t>
  </si>
  <si>
    <t>6.33亿</t>
  </si>
  <si>
    <t>7.59亿</t>
  </si>
  <si>
    <t>51.80亿</t>
  </si>
  <si>
    <t>3.88亿</t>
  </si>
  <si>
    <t>-3714.70万</t>
  </si>
  <si>
    <t>730.98万</t>
  </si>
  <si>
    <t>34.50亿</t>
  </si>
  <si>
    <t>9.63亿</t>
  </si>
  <si>
    <t>1.53亿</t>
  </si>
  <si>
    <t>4.90亿</t>
  </si>
  <si>
    <t>-1.38亿</t>
  </si>
  <si>
    <t>12.60亿</t>
  </si>
  <si>
    <t>15.24亿</t>
  </si>
  <si>
    <t>4862.23万</t>
  </si>
  <si>
    <t>26.54亿</t>
  </si>
  <si>
    <t>118.78亿</t>
  </si>
  <si>
    <t>100.21亿</t>
  </si>
  <si>
    <t>55.72亿</t>
  </si>
  <si>
    <t>8.36亿</t>
  </si>
  <si>
    <t>52.28亿</t>
  </si>
  <si>
    <t>21.87亿</t>
  </si>
  <si>
    <t>6645.53万</t>
  </si>
  <si>
    <t>-2.85亿</t>
  </si>
  <si>
    <t>51.93亿</t>
  </si>
  <si>
    <t>22.75亿</t>
  </si>
  <si>
    <t>2833.26万</t>
  </si>
  <si>
    <t>19.19亿</t>
  </si>
  <si>
    <t>2802.88万</t>
  </si>
  <si>
    <t>58.45亿</t>
  </si>
  <si>
    <t>11.77亿</t>
  </si>
  <si>
    <t>36.66亿</t>
  </si>
  <si>
    <t>112.01亿</t>
  </si>
  <si>
    <t>7.96亿</t>
  </si>
  <si>
    <t>11.93亿</t>
  </si>
  <si>
    <t>14.04亿</t>
  </si>
  <si>
    <t>3.79亿</t>
  </si>
  <si>
    <t>78.04亿</t>
  </si>
  <si>
    <t>285.57亿</t>
  </si>
  <si>
    <t>60.07亿</t>
  </si>
  <si>
    <t>107.73亿</t>
  </si>
  <si>
    <t>44.68亿</t>
  </si>
  <si>
    <t>2199.59万</t>
  </si>
  <si>
    <t>5.21亿</t>
  </si>
  <si>
    <t>19.32亿</t>
  </si>
  <si>
    <t>85.26亿</t>
  </si>
  <si>
    <t>4.80亿</t>
  </si>
  <si>
    <t>63.95亿</t>
  </si>
  <si>
    <t>2.39亿</t>
  </si>
  <si>
    <t>9.87亿</t>
  </si>
  <si>
    <t>20.11亿</t>
  </si>
  <si>
    <t>5034.26万</t>
  </si>
  <si>
    <t>7.49亿</t>
  </si>
  <si>
    <t>8593.23万</t>
  </si>
  <si>
    <t>9190.29万</t>
  </si>
  <si>
    <t>15.60亿</t>
  </si>
  <si>
    <t>13.09亿</t>
  </si>
  <si>
    <t>5258.75万</t>
  </si>
  <si>
    <t>3681.40万</t>
  </si>
  <si>
    <t>3.94亿</t>
  </si>
  <si>
    <t>20.61亿</t>
  </si>
  <si>
    <t>6.09亿</t>
  </si>
  <si>
    <t>5068.92万</t>
  </si>
  <si>
    <t>15.26亿</t>
  </si>
  <si>
    <t>8.15亿</t>
  </si>
  <si>
    <t>3989.95万</t>
  </si>
  <si>
    <t>6852.31万</t>
  </si>
  <si>
    <t>11.63亿</t>
  </si>
  <si>
    <t>9022.91万</t>
  </si>
  <si>
    <t>8.24亿</t>
  </si>
  <si>
    <t>8709.50万</t>
  </si>
  <si>
    <t>8121.01万</t>
  </si>
  <si>
    <t>3.51亿</t>
  </si>
  <si>
    <t>9691.03万</t>
  </si>
  <si>
    <t>15.68亿</t>
  </si>
  <si>
    <t>25.56亿</t>
  </si>
  <si>
    <t>6.70亿</t>
  </si>
  <si>
    <t>29.54亿</t>
  </si>
  <si>
    <t>2.65亿</t>
  </si>
  <si>
    <t>6.28亿</t>
  </si>
  <si>
    <t>1364.33万</t>
  </si>
  <si>
    <t>5.64亿</t>
  </si>
  <si>
    <t>4540.80万</t>
  </si>
  <si>
    <t>3.06亿</t>
  </si>
  <si>
    <t>3.90亿</t>
  </si>
  <si>
    <t>16.08亿</t>
  </si>
  <si>
    <t>-1.11亿</t>
  </si>
  <si>
    <t>9128.57万</t>
  </si>
  <si>
    <t>20.72亿</t>
  </si>
  <si>
    <t>3.77亿</t>
  </si>
  <si>
    <t>10.54亿</t>
  </si>
  <si>
    <t>5.11亿</t>
  </si>
  <si>
    <t>-8738.32万</t>
  </si>
  <si>
    <t>2.54亿</t>
  </si>
  <si>
    <t>10.89亿</t>
  </si>
  <si>
    <t>1192.44万</t>
  </si>
  <si>
    <t>-6073.73万</t>
  </si>
  <si>
    <t>16.38亿</t>
  </si>
  <si>
    <t>9005.73万</t>
  </si>
  <si>
    <t>-3.73亿</t>
  </si>
  <si>
    <t>9273.00万</t>
  </si>
  <si>
    <t>6583.65万</t>
  </si>
  <si>
    <t>5702.96万</t>
  </si>
  <si>
    <t>4.53亿</t>
  </si>
  <si>
    <t>34.45亿</t>
  </si>
  <si>
    <t>24.83亿</t>
  </si>
  <si>
    <t>10.11亿</t>
  </si>
  <si>
    <t>17.59亿</t>
  </si>
  <si>
    <t>4299.76万</t>
  </si>
  <si>
    <t>1261.50万</t>
  </si>
  <si>
    <t>2415.49万</t>
  </si>
  <si>
    <t>14.50亿</t>
  </si>
  <si>
    <t>-388.19万</t>
  </si>
  <si>
    <t>9302.90万</t>
  </si>
  <si>
    <t>5417.95万</t>
  </si>
  <si>
    <t>19.41亿</t>
  </si>
  <si>
    <t>20.94亿</t>
  </si>
  <si>
    <t>13.47亿</t>
  </si>
  <si>
    <t>13.84亿</t>
  </si>
  <si>
    <t>5243.88万</t>
  </si>
  <si>
    <t>7.54亿</t>
  </si>
  <si>
    <t>2289.22万</t>
  </si>
  <si>
    <t>22.09亿</t>
  </si>
  <si>
    <t>43.33亿</t>
  </si>
  <si>
    <t>11.51亿</t>
  </si>
  <si>
    <t>25.03亿</t>
  </si>
  <si>
    <t>10.27亿</t>
  </si>
  <si>
    <t>9063.97万</t>
  </si>
  <si>
    <t>12.98亿</t>
  </si>
  <si>
    <t>7.57亿</t>
  </si>
  <si>
    <t>9657.68万</t>
  </si>
  <si>
    <t>54.22亿</t>
  </si>
  <si>
    <t>13.36亿</t>
  </si>
  <si>
    <t>9526.84万</t>
  </si>
  <si>
    <t>13.54亿</t>
  </si>
  <si>
    <t>29.75亿</t>
  </si>
  <si>
    <t>5045.14万</t>
  </si>
  <si>
    <t>20.22亿</t>
  </si>
  <si>
    <t>8979.98万</t>
  </si>
  <si>
    <t>6629.43万</t>
  </si>
  <si>
    <t>7147.83万</t>
  </si>
  <si>
    <t>9823.31万</t>
  </si>
  <si>
    <t>4.95亿</t>
  </si>
  <si>
    <t>123.80亿</t>
  </si>
  <si>
    <t>42.75亿</t>
  </si>
  <si>
    <t>24.13亿</t>
  </si>
  <si>
    <t>16.75亿</t>
  </si>
  <si>
    <t>7.83亿</t>
  </si>
  <si>
    <t>8852.07万</t>
  </si>
  <si>
    <t>4.92亿</t>
  </si>
  <si>
    <t>9774.25万</t>
  </si>
  <si>
    <t>95.87亿</t>
  </si>
  <si>
    <t>92.98亿</t>
  </si>
  <si>
    <t>20.15亿</t>
  </si>
  <si>
    <t>160.54亿</t>
  </si>
  <si>
    <t>2090.60万</t>
  </si>
  <si>
    <t>55.68亿</t>
  </si>
  <si>
    <t>13.04亿</t>
  </si>
  <si>
    <t>119.10亿</t>
  </si>
  <si>
    <t>1455.38亿</t>
  </si>
  <si>
    <t>246.49亿</t>
  </si>
  <si>
    <t>734.33亿</t>
  </si>
  <si>
    <t>100.41亿</t>
  </si>
  <si>
    <t>166.60亿</t>
  </si>
  <si>
    <t>33.74亿</t>
  </si>
  <si>
    <t>156.05亿</t>
  </si>
  <si>
    <t>41.76亿</t>
  </si>
  <si>
    <t>74.24亿</t>
  </si>
  <si>
    <t>12.22亿</t>
  </si>
  <si>
    <t>541.62亿</t>
  </si>
  <si>
    <t>189.77亿</t>
  </si>
  <si>
    <t>125.30亿</t>
  </si>
  <si>
    <t>45.31亿</t>
  </si>
  <si>
    <t>29.31亿</t>
  </si>
  <si>
    <t>6.01亿</t>
  </si>
  <si>
    <t>170.50亿</t>
  </si>
  <si>
    <t>33.45亿</t>
  </si>
  <si>
    <t>26.68亿</t>
  </si>
  <si>
    <t>6381.61万</t>
  </si>
  <si>
    <t>10.12亿</t>
  </si>
  <si>
    <t>7575.65万</t>
  </si>
  <si>
    <t>8.67亿</t>
  </si>
  <si>
    <t>22.03亿</t>
  </si>
  <si>
    <t>18.96亿</t>
  </si>
  <si>
    <t>5569.21万</t>
  </si>
  <si>
    <t>4977.76万</t>
  </si>
  <si>
    <t>4.00亿</t>
  </si>
  <si>
    <t>23.36亿</t>
  </si>
  <si>
    <t>19.46亿</t>
  </si>
  <si>
    <t>-1.40亿</t>
  </si>
  <si>
    <t>-6.12亿</t>
  </si>
  <si>
    <t>31.91亿</t>
  </si>
  <si>
    <t>23.43亿</t>
  </si>
  <si>
    <t>89.68亿</t>
  </si>
  <si>
    <t>40.48亿</t>
  </si>
  <si>
    <t>27.21亿</t>
  </si>
  <si>
    <t>10.43亿</t>
  </si>
  <si>
    <t>15.59亿</t>
  </si>
  <si>
    <t>14.79亿</t>
  </si>
  <si>
    <t>7.46亿</t>
  </si>
  <si>
    <t>8.47亿</t>
  </si>
  <si>
    <t>7.22亿</t>
  </si>
  <si>
    <t>12.00亿</t>
  </si>
  <si>
    <t>38.40亿</t>
  </si>
  <si>
    <t>24.14亿</t>
  </si>
  <si>
    <t>3168.34万</t>
  </si>
  <si>
    <t>20.65亿</t>
  </si>
  <si>
    <t>-5770.50万</t>
  </si>
  <si>
    <t>8.69亿</t>
  </si>
  <si>
    <t>3828.66万</t>
  </si>
  <si>
    <t>9.30亿</t>
  </si>
  <si>
    <t>6842.91万</t>
  </si>
  <si>
    <t>5505.66万</t>
  </si>
  <si>
    <t>14.52亿</t>
  </si>
  <si>
    <t>2.59亿</t>
  </si>
  <si>
    <t>7.08亿</t>
  </si>
  <si>
    <t>12.30亿</t>
  </si>
  <si>
    <t>3716.50万</t>
  </si>
  <si>
    <t>24.57亿</t>
  </si>
  <si>
    <t>20.05亿</t>
  </si>
  <si>
    <t>25.55亿</t>
  </si>
  <si>
    <t>23.21亿</t>
  </si>
  <si>
    <t>4.35亿</t>
  </si>
  <si>
    <t>36.52亿</t>
  </si>
  <si>
    <t>27.99亿</t>
  </si>
  <si>
    <t>29.99亿</t>
  </si>
  <si>
    <t>24.24亿</t>
  </si>
  <si>
    <t>19.88亿</t>
  </si>
  <si>
    <t>17.55亿</t>
  </si>
  <si>
    <t>22.54亿</t>
  </si>
  <si>
    <t>100.00万</t>
  </si>
  <si>
    <t>9555.22万</t>
  </si>
  <si>
    <t>19.52亿</t>
  </si>
  <si>
    <t>15.94亿</t>
  </si>
  <si>
    <t>13.20亿</t>
  </si>
  <si>
    <t>16.97亿</t>
  </si>
  <si>
    <t>14.97亿</t>
  </si>
  <si>
    <t>6.61亿</t>
  </si>
  <si>
    <t>9392.62万</t>
  </si>
  <si>
    <t>7835.33万</t>
  </si>
  <si>
    <t>9739.49万</t>
  </si>
  <si>
    <t>4.26亿</t>
  </si>
  <si>
    <t>8717.99万</t>
  </si>
  <si>
    <t>8936.08万</t>
  </si>
  <si>
    <t>7443.21万</t>
  </si>
  <si>
    <t>30.83亿</t>
  </si>
  <si>
    <t>15.98亿</t>
  </si>
  <si>
    <t>9335.16万</t>
  </si>
  <si>
    <t>7044.72万</t>
  </si>
  <si>
    <t>6205.03万</t>
  </si>
  <si>
    <t>1.有电子烟的香精业务，这个即使风口也是暴跌的可能来源；</t>
    <phoneticPr fontId="1" type="noConversion"/>
  </si>
  <si>
    <t>1.大股东占57%,前10大占80%；2.公司主要竞争对手有哪些？答：主要有中国波顿、爱普股份等；3；资金炒作有两次：2020.6~2020.7爆拉1倍多然后回落一半；2021年11月不到半个月拉动90%，然后跌落到历史最低点22元左右；</t>
    <phoneticPr fontId="1" type="noConversion"/>
  </si>
  <si>
    <r>
      <t>1.主要是我们</t>
    </r>
    <r>
      <rPr>
        <b/>
        <sz val="9"/>
        <color theme="1"/>
        <rFont val="宋体"/>
        <family val="3"/>
        <charset val="134"/>
        <scheme val="minor"/>
      </rPr>
      <t>对应用不懂</t>
    </r>
    <r>
      <rPr>
        <sz val="9"/>
        <color theme="1"/>
        <rFont val="宋体"/>
        <family val="2"/>
        <charset val="134"/>
        <scheme val="minor"/>
      </rPr>
      <t>，早期来回跟厂家折腾，也有厂家不懂。但是我们也不知道怎么办，那就是说反复逼得我们自己建立了一个团队，那我们现在设置了一个蛮强的团队，我们被逼到这一步了，发现这个应用啊，你不能忽略了，不是简单地一个访问就是了，所以你最后</t>
    </r>
    <r>
      <rPr>
        <b/>
        <sz val="9"/>
        <color theme="1"/>
        <rFont val="宋体"/>
        <family val="3"/>
        <charset val="134"/>
        <scheme val="minor"/>
      </rPr>
      <t>逼得自己团队要变成个专家。</t>
    </r>
    <r>
      <rPr>
        <sz val="9"/>
        <color theme="1"/>
        <rFont val="宋体"/>
        <family val="3"/>
        <charset val="134"/>
        <scheme val="minor"/>
      </rPr>
      <t>2.目前，暂无与公司在业务模式、产品种类上均完全可比的同类企业。全球范围内，以生物材料作为主要研究方向的科技公司包括 Zymergen 和 Gingko Bioworks 等；使用生物法发酵制备产品的公司包括诺维信和杰能科等；致力于以生物工程技术推动研发平台型的公司包括药明生物和华大基因等。</t>
    </r>
    <phoneticPr fontId="1" type="noConversion"/>
  </si>
  <si>
    <t xml:space="preserve">1.六氟磷酸锂价格回落（产能过剩导致）；
2.行业内企业产能大量扩张，位于产业链中游，上游的原材料和下游的车厂和电池制造商均强势，一旦产能过剩或景气度下降，企业的盈利能力会立刻受到影响；
</t>
    <phoneticPr fontId="1" type="noConversion"/>
  </si>
  <si>
    <t xml:space="preserve">
</t>
    <phoneticPr fontId="1" type="noConversion"/>
  </si>
  <si>
    <r>
      <t xml:space="preserve">1.2021营收与利润均大增，2022Q1继续高增长
2.六氟磷酸锂全球市占率今年有望达到35%，明年有望40%；
</t>
    </r>
    <r>
      <rPr>
        <sz val="9"/>
        <color rgb="FFFF0000"/>
        <rFont val="宋体"/>
        <family val="3"/>
        <charset val="134"/>
        <scheme val="minor"/>
      </rPr>
      <t xml:space="preserve">3.成本相对对手有30%+的优势？
</t>
    </r>
    <r>
      <rPr>
        <sz val="9"/>
        <rFont val="宋体"/>
        <family val="3"/>
        <charset val="134"/>
        <scheme val="minor"/>
      </rPr>
      <t>4.氢氟酸具有较高技术壁垒；
5.大客户长单锁定；
6.电子级氢氟酸和电子级硅烷气供货台积电；是否会迎来第二极增长？
7.公司规划的年产10万吨锂离子电池电解液关键材料项目，其中包括8万吨六氟磷酸锂、</t>
    </r>
    <r>
      <rPr>
        <b/>
        <sz val="9"/>
        <color rgb="FFFF0000"/>
        <rFont val="宋体"/>
        <family val="3"/>
        <charset val="134"/>
        <scheme val="minor"/>
      </rPr>
      <t>1万吨LiFSI和1万吨二氟磷酸锂</t>
    </r>
    <r>
      <rPr>
        <sz val="9"/>
        <rFont val="宋体"/>
        <family val="3"/>
        <charset val="134"/>
        <scheme val="minor"/>
      </rPr>
      <t xml:space="preserve">。5月将开工建设1万吨LiFSI和1万吨二氟磷酸锂的产线。
</t>
    </r>
    <phoneticPr fontId="1" type="noConversion"/>
  </si>
  <si>
    <t>4.83亿</t>
  </si>
  <si>
    <t>4.71亿</t>
  </si>
  <si>
    <t>SZ301156</t>
  </si>
  <si>
    <t>美农生物</t>
  </si>
  <si>
    <t>7055.77万</t>
  </si>
  <si>
    <t>6671.40万</t>
  </si>
  <si>
    <t>3436.57万</t>
  </si>
  <si>
    <t>2413.04万</t>
  </si>
  <si>
    <t>SZ301220</t>
  </si>
  <si>
    <t>亚香股份</t>
  </si>
  <si>
    <t>9142.08万</t>
  </si>
  <si>
    <t>7818.43万</t>
  </si>
  <si>
    <t>8471.07万</t>
  </si>
  <si>
    <t>5295.33万</t>
  </si>
  <si>
    <t>SZ301286</t>
  </si>
  <si>
    <t>侨源股份</t>
  </si>
  <si>
    <t>7.79亿</t>
  </si>
  <si>
    <t>7.34亿</t>
  </si>
  <si>
    <t>7.18亿</t>
  </si>
  <si>
    <t>6.73亿</t>
  </si>
  <si>
    <t>SH603255</t>
  </si>
  <si>
    <t>鼎际得</t>
  </si>
  <si>
    <t>7083.16万</t>
  </si>
  <si>
    <t>嘉澳环保</t>
  </si>
  <si>
    <r>
      <t>1.问：2022年第一季度的毛利率下降，销售价格同比去年下降的幅度没有特别大，成本端主要是蒸汽和电费导致了毛利率的下降吗？答：2022年第一季度蒸汽涨幅约60%，电价涨幅约20%，对公司一季度的毛利率产生了冲击。2.阿洛酮糖是20年才新上市的代糖产品，国内目前有3-4个企业在供货（百龙创园、保龄宝、福洋生物），目前国内和欧洲尚未获批开放市场;3.问：目前赤藓糖醇市场的情况？答：去年高价供不应求</t>
    </r>
    <r>
      <rPr>
        <b/>
        <sz val="9"/>
        <color rgb="FFFF0000"/>
        <rFont val="宋体"/>
        <family val="3"/>
        <charset val="134"/>
        <scheme val="minor"/>
      </rPr>
      <t>刺激了产能</t>
    </r>
    <r>
      <rPr>
        <sz val="9"/>
        <color theme="1"/>
        <rFont val="宋体"/>
        <family val="2"/>
        <charset val="134"/>
        <scheme val="minor"/>
      </rPr>
      <t>，而今年国内饮料市场遇到了疫情的影响，导致赤藓糖醇销售不理想，新上企业产出的</t>
    </r>
    <r>
      <rPr>
        <sz val="9"/>
        <color rgb="FFFF0000"/>
        <rFont val="宋体"/>
        <family val="3"/>
        <charset val="134"/>
        <scheme val="minor"/>
      </rPr>
      <t>赤藓糖醇只能低价售卖</t>
    </r>
    <r>
      <rPr>
        <sz val="9"/>
        <color theme="1"/>
        <rFont val="宋体"/>
        <family val="2"/>
        <charset val="134"/>
        <scheme val="minor"/>
      </rPr>
      <t>，进一步导致了价格下跌。</t>
    </r>
    <phoneticPr fontId="1" type="noConversion"/>
  </si>
  <si>
    <r>
      <t>1.问：公司2021年的产能利用率是什么情况？2022年预计是什么情况？答：2021年国内需求旺季的时候，公司产能利用率超过了100%，国内淡季的时候由于有国外市场支撑，产能利用率也达到了百分之八九十。预计2022年国内需求旺季的时候也能接近满负荷甚至超负荷，国内淡季的时候产能利用率能保持在正常水平。2.大部分厂房设备可以实现共用，赤藓糖醇和阿洛酮糖约70%产线可以共用。2.问:</t>
    </r>
    <r>
      <rPr>
        <sz val="9"/>
        <color rgb="FFFF0000"/>
        <rFont val="宋体"/>
        <family val="3"/>
        <charset val="134"/>
        <scheme val="minor"/>
      </rPr>
      <t>5w吨赤藓糖醇和2w吨阿洛酮糖</t>
    </r>
    <r>
      <rPr>
        <sz val="9"/>
        <color theme="1"/>
        <rFont val="宋体"/>
        <family val="2"/>
        <charset val="134"/>
        <scheme val="minor"/>
      </rPr>
      <t>的进度和预投产节点？答：5万吨赤藓糖醇项目发酵车间已在试运行，提取车间正在设备调试阶段，预计今年年底陆续投产。阿洛酮糖项目的厂房尚在建设中；营收测算：1.8万元/吨赤藓糖醇能9亿元营收，2.7亿利润；按2万元/吨估计阿洛酮糖，4亿营收1.2亿利润，达产后增加4亿利润。3.根据 LP Information，Inc.研究数据，2019 年全球赤藓糖醇市场规模约为 2.256亿美元，约合人民币 15.79 亿元，</t>
    </r>
    <r>
      <rPr>
        <b/>
        <sz val="9"/>
        <color rgb="FFFF0000"/>
        <rFont val="宋体"/>
        <family val="3"/>
        <charset val="134"/>
        <scheme val="minor"/>
      </rPr>
      <t>相比于木糖醇，赤藓糖醇当前市场整体规模还较小。</t>
    </r>
    <phoneticPr fontId="1" type="noConversion"/>
  </si>
  <si>
    <r>
      <t>1.公司是我国硅基新材料行业中业务链最完整、生产规模最大的企业之一，也是行业内为数不多的能同时生产</t>
    </r>
    <r>
      <rPr>
        <sz val="9"/>
        <color rgb="FFFF0000"/>
        <rFont val="宋体"/>
        <family val="3"/>
        <charset val="134"/>
        <scheme val="minor"/>
      </rPr>
      <t>工业硅、有机硅和多晶硅</t>
    </r>
    <r>
      <rPr>
        <sz val="9"/>
        <color theme="1"/>
        <rFont val="宋体"/>
        <family val="2"/>
        <charset val="134"/>
        <scheme val="minor"/>
      </rPr>
      <t>的企业， “自备电-工业硅-有机硅”上下游一体化业务模式产生显著的协同效应，产业链优势突出，抗风险能力强； 公司的工业硅业务主要集中在新疆，当地具有原材料、能源等资源丰富/价格较低的优势，能源价格的优势使公司的工业硅、有机硅生产具备了明显的成本优势；</t>
    </r>
    <phoneticPr fontId="1" type="noConversion"/>
  </si>
  <si>
    <t>SH688357</t>
  </si>
  <si>
    <t>建龙微纳</t>
  </si>
  <si>
    <t>8600.34万</t>
  </si>
  <si>
    <t>4707.25万</t>
  </si>
  <si>
    <t>细分行业</t>
  </si>
  <si>
    <t>4.45亿</t>
  </si>
  <si>
    <t>涂料油墨</t>
  </si>
  <si>
    <t>其他化学制品</t>
  </si>
  <si>
    <t>民爆用品</t>
  </si>
  <si>
    <t>纺织化学用品</t>
  </si>
  <si>
    <t>聚氨酯</t>
  </si>
  <si>
    <t>有机硅</t>
  </si>
  <si>
    <t>19.76亿</t>
  </si>
  <si>
    <t>氟化工</t>
  </si>
  <si>
    <t>7.32亿</t>
  </si>
  <si>
    <t>SZ002453</t>
  </si>
  <si>
    <t>华软科技</t>
  </si>
  <si>
    <t>39.42亿</t>
  </si>
  <si>
    <t>-2.27亿</t>
  </si>
  <si>
    <t>27.39亿</t>
  </si>
  <si>
    <t>26.35亿</t>
  </si>
  <si>
    <t>3337.59万</t>
  </si>
  <si>
    <t>-3.14亿</t>
  </si>
  <si>
    <t>2447.13万</t>
  </si>
  <si>
    <t>6.88亿</t>
  </si>
  <si>
    <t>食品及饲料添加剂</t>
  </si>
  <si>
    <t>SZ002591</t>
  </si>
  <si>
    <t>恒大高新</t>
  </si>
  <si>
    <t>1838.49万</t>
  </si>
  <si>
    <t>-5.09亿</t>
  </si>
  <si>
    <t>8455.61万</t>
  </si>
  <si>
    <t>3490.87万</t>
  </si>
  <si>
    <t>5.72亿</t>
  </si>
  <si>
    <t>5.54亿</t>
  </si>
  <si>
    <t>7.53亿</t>
  </si>
  <si>
    <t>7.58亿</t>
  </si>
  <si>
    <t>14.11亿</t>
  </si>
  <si>
    <t>17.92亿</t>
  </si>
  <si>
    <t>SZ300214</t>
  </si>
  <si>
    <t>日科化学</t>
  </si>
  <si>
    <t>27.73亿</t>
  </si>
  <si>
    <t>24.20亿</t>
  </si>
  <si>
    <t>7.80亿</t>
  </si>
  <si>
    <t>SZ300637</t>
  </si>
  <si>
    <t>扬帆新材</t>
  </si>
  <si>
    <t>7.21亿</t>
  </si>
  <si>
    <t>660.01万</t>
  </si>
  <si>
    <t>5.12亿</t>
  </si>
  <si>
    <t>2764.92万</t>
  </si>
  <si>
    <t>14.75亿</t>
  </si>
  <si>
    <t>11.65亿</t>
  </si>
  <si>
    <t>SZ301209</t>
  </si>
  <si>
    <t>联合化学</t>
  </si>
  <si>
    <t>6721.32万</t>
  </si>
  <si>
    <t>5921.14万</t>
  </si>
  <si>
    <t>3828.40万</t>
  </si>
  <si>
    <t>2878.86万</t>
  </si>
  <si>
    <t>21.81亿</t>
  </si>
  <si>
    <t>27.96亿</t>
  </si>
  <si>
    <t>128.69亿</t>
  </si>
  <si>
    <t>SH603010</t>
  </si>
  <si>
    <t>万盛股份</t>
  </si>
  <si>
    <t>41.15亿</t>
  </si>
  <si>
    <t>23.22亿</t>
  </si>
  <si>
    <t>19.30亿</t>
  </si>
  <si>
    <t>17.33亿</t>
  </si>
  <si>
    <t>5.31亿</t>
  </si>
  <si>
    <t>SH603722</t>
  </si>
  <si>
    <t>阿科力</t>
  </si>
  <si>
    <t>5177.82万</t>
  </si>
  <si>
    <t>3920.70万</t>
  </si>
  <si>
    <t>3342.45万</t>
  </si>
  <si>
    <t>SH603739</t>
  </si>
  <si>
    <t>蔚蓝生物</t>
  </si>
  <si>
    <t>7775.29万</t>
  </si>
  <si>
    <t>8338.49万</t>
  </si>
  <si>
    <t>12.38亿</t>
  </si>
  <si>
    <t>SH688269</t>
  </si>
  <si>
    <t>凯立新材</t>
  </si>
  <si>
    <t>6533.07万</t>
  </si>
  <si>
    <t>4317.78万</t>
  </si>
  <si>
    <t>14.14亿</t>
  </si>
  <si>
    <t>SZ300072</t>
  </si>
  <si>
    <t>海新能科</t>
  </si>
  <si>
    <t>71.33亿</t>
  </si>
  <si>
    <t>84.83亿</t>
  </si>
  <si>
    <t>153.81亿</t>
  </si>
  <si>
    <t>-13.80亿</t>
  </si>
  <si>
    <t>星华新材</t>
  </si>
  <si>
    <t>SZ301283</t>
  </si>
  <si>
    <t>聚胶股份</t>
  </si>
  <si>
    <t>5477.30万</t>
  </si>
  <si>
    <t>7964.06万</t>
  </si>
  <si>
    <t>8000.32万</t>
  </si>
  <si>
    <t>6182.62万</t>
  </si>
  <si>
    <r>
      <t>1.华恒生物目标布局的营养品、新材料等业务均为合成生物学的优势领域；2.以华恒生物所采用的厌氧发酵法生产丙氨酸为例，其</t>
    </r>
    <r>
      <rPr>
        <sz val="9"/>
        <color rgb="FFFF0000"/>
        <rFont val="宋体"/>
        <family val="3"/>
        <charset val="134"/>
        <scheme val="minor"/>
      </rPr>
      <t>原材料为葡萄糖</t>
    </r>
    <r>
      <rPr>
        <sz val="9"/>
        <color theme="1"/>
        <rFont val="宋体"/>
        <family val="2"/>
        <charset val="134"/>
        <scheme val="minor"/>
      </rPr>
      <t>；而传统的酶 法丙氨酸生产采用L-天冬氨酸为原料，上游为石油化工；3.华恒生物的丙氨酸通过合成生物学的方法，突破传统的化学合成路线。传统的丙氨 酸是由“石油-丁烷-顺酐-马来酸-天冬氨酸-丙氨酸”路径实现人工合成，目前仍然为同业内才用的方法。在合成生物学技术全面进步的背景下，公司采用了</t>
    </r>
    <r>
      <rPr>
        <b/>
        <sz val="9"/>
        <color rgb="FFFF0000"/>
        <rFont val="宋体"/>
        <family val="3"/>
        <charset val="134"/>
        <scheme val="minor"/>
      </rPr>
      <t>基因测序、DNA片段编辑</t>
    </r>
    <r>
      <rPr>
        <sz val="9"/>
        <color theme="1"/>
        <rFont val="宋体"/>
        <family val="2"/>
        <charset val="134"/>
        <scheme val="minor"/>
      </rPr>
      <t>等一系列手段，创造性的实现了全球首例采用微生物厌氧发酵生产丙氨酸</t>
    </r>
    <phoneticPr fontId="1" type="noConversion"/>
  </si>
  <si>
    <t>1.如果未来出现革命性的新技术，且公司未能及时应对新技术的迭代趋势，公司的技术存在被替代的风险；</t>
    <phoneticPr fontId="1" type="noConversion"/>
  </si>
  <si>
    <t>1.公司生物法制备月桂二酸源于中科院第三代微生物发酵技术，具有转化率和环保优势。</t>
    <phoneticPr fontId="1" type="noConversion"/>
  </si>
  <si>
    <t>1.过往5年平均利润都是下降；2.受行业趋势、业务变动等因素的影响，公司近年来业绩波动较大；</t>
    <phoneticPr fontId="1" type="noConversion"/>
  </si>
  <si>
    <r>
      <t>1.公司食用益生菌制品板块业绩未来是否可以持续高增长？答：目前我国益生菌市场已形成了较大规模，并且还在保持高速增长，市场热度和关注度也不断升高。而这其中的主要份额仍掌握在跨国企业手中，作为</t>
    </r>
    <r>
      <rPr>
        <b/>
        <sz val="9"/>
        <color rgb="FFFF0000"/>
        <rFont val="宋体"/>
        <family val="3"/>
        <charset val="134"/>
        <scheme val="minor"/>
      </rPr>
      <t>我国目前唯一的益生菌上市公司</t>
    </r>
    <r>
      <rPr>
        <sz val="9"/>
        <color theme="1"/>
        <rFont val="宋体"/>
        <family val="2"/>
        <charset val="134"/>
        <scheme val="minor"/>
      </rPr>
      <t>，我们对公司食用益生菌板块的未来发展很有信心;2.公司核心菌株临床试验的样本均为中国人群或亚洲人群，而国外益生菌所做临床试验样本一般为欧美人群。因人种和饮食习惯存在差异，所以</t>
    </r>
    <r>
      <rPr>
        <sz val="9"/>
        <color rgb="FFFF0000"/>
        <rFont val="宋体"/>
        <family val="3"/>
        <charset val="134"/>
        <scheme val="minor"/>
      </rPr>
      <t>公司的益生菌更适合中国人肠道</t>
    </r>
    <r>
      <rPr>
        <sz val="9"/>
        <color theme="1"/>
        <rFont val="宋体"/>
        <family val="2"/>
        <charset val="134"/>
        <scheme val="minor"/>
      </rPr>
      <t>。</t>
    </r>
    <phoneticPr fontId="1" type="noConversion"/>
  </si>
  <si>
    <r>
      <t>1.益生菌行业不同于传统制造业，并非通过大规模的生产降低生产成本从而提高市场竞争力。在这个行业中最重要的还是菌株本身，所以</t>
    </r>
    <r>
      <rPr>
        <sz val="9"/>
        <color rgb="FFFF0000"/>
        <rFont val="宋体"/>
        <family val="3"/>
        <charset val="134"/>
        <scheme val="minor"/>
      </rPr>
      <t>研发出真正好的益生菌才是企业的核心竞争力</t>
    </r>
    <r>
      <rPr>
        <sz val="9"/>
        <color theme="1"/>
        <rFont val="宋体"/>
        <family val="2"/>
        <charset val="134"/>
        <scheme val="minor"/>
      </rPr>
      <t>;</t>
    </r>
    <phoneticPr fontId="1" type="noConversion"/>
  </si>
  <si>
    <t>1.2020年6月到8月，出过一次翻倍行情（8到21），随后就一直跌落到9块左右横盘；</t>
    <phoneticPr fontId="1" type="noConversion"/>
  </si>
  <si>
    <t>1.2020年6月到9月有过一倍的价格拉升，然后横盘到最近；2021年10月20日重大资产重组然后停牌；归属于湖南国资委</t>
    <phoneticPr fontId="1" type="noConversion"/>
  </si>
  <si>
    <r>
      <t>1.2021年2月6日公告披露，同德化工拟出资2.99亿元参与设立同德(长治)新能源材料合伙企业（有限合伙），合伙企业设立后主要投资于</t>
    </r>
    <r>
      <rPr>
        <b/>
        <sz val="9"/>
        <color rgb="FFFF0000"/>
        <rFont val="宋体"/>
        <family val="3"/>
        <charset val="134"/>
        <scheme val="minor"/>
      </rPr>
      <t>光伏行业生产多晶硅</t>
    </r>
    <r>
      <rPr>
        <sz val="9"/>
        <color theme="1"/>
        <rFont val="宋体"/>
        <family val="2"/>
        <charset val="134"/>
        <scheme val="minor"/>
      </rPr>
      <t>的山西落基山光伏能源科技有限公司。2.因并购光伏多晶硅业务，因此2021年年初和最近有拉升情况；</t>
    </r>
    <phoneticPr fontId="1" type="noConversion"/>
  </si>
  <si>
    <t>1.保利集团属于国资委控股；</t>
    <phoneticPr fontId="1" type="noConversion"/>
  </si>
  <si>
    <r>
      <t>1.</t>
    </r>
    <r>
      <rPr>
        <sz val="9"/>
        <color rgb="FFFF0000"/>
        <rFont val="宋体"/>
        <family val="3"/>
        <charset val="134"/>
        <scheme val="minor"/>
      </rPr>
      <t>兵器工业集团、北方特能集团首批资产注入</t>
    </r>
    <r>
      <rPr>
        <sz val="9"/>
        <color theme="1"/>
        <rFont val="宋体"/>
        <family val="2"/>
        <charset val="134"/>
        <scheme val="minor"/>
      </rPr>
      <t>；兵器集团带来的资源优势。兵器工业集团是我国民爆工业的源头；目前江南化工炸药许可产能是26.85万吨，北方爆破国内许可产能6.9万吨，金建华许可产能2.2万吨，重组完成后公司许可产能是35.95万吨；2.新增发股票为了继续扩大民爆行业，增发9亿股收购了包括北方爆破等公司，2021/9/30日新股上市；</t>
    </r>
    <phoneticPr fontId="1" type="noConversion"/>
  </si>
  <si>
    <r>
      <t>1.行业政策导向及行业规划要求，民爆行业的71个企业集团，在十四五期末只能保留到50家企业，力争减到35家企业以内。到2025年前</t>
    </r>
    <r>
      <rPr>
        <b/>
        <sz val="9"/>
        <color theme="1"/>
        <rFont val="宋体"/>
        <family val="3"/>
        <charset val="134"/>
        <scheme val="minor"/>
      </rPr>
      <t>前10家企业集团生产总值占比要达到60%，形成3-5家具有国际竞争力的大型一体化的民爆企业集团</t>
    </r>
    <r>
      <rPr>
        <sz val="9"/>
        <color theme="1"/>
        <rFont val="宋体"/>
        <family val="2"/>
        <charset val="134"/>
        <scheme val="minor"/>
      </rPr>
      <t>。</t>
    </r>
    <r>
      <rPr>
        <sz val="9"/>
        <color theme="1"/>
        <rFont val="宋体"/>
        <family val="3"/>
        <charset val="134"/>
        <scheme val="minor"/>
      </rPr>
      <t>2.</t>
    </r>
    <phoneticPr fontId="1" type="noConversion"/>
  </si>
  <si>
    <t>1.轨交自动化及信息化业务稳中有升，营业收入达到3.19亿元，占比约16%；新增军工新材料业务，实现营业收入1.41亿元，占比约11%</t>
    <phoneticPr fontId="1" type="noConversion"/>
  </si>
  <si>
    <t>1.战争防护器材是主营；</t>
    <phoneticPr fontId="1" type="noConversion"/>
  </si>
  <si>
    <r>
      <t>1.公司的合成氨产品第一道工序就是煤制氢，与氢能源行业存在一定的关联性，公司长期关注国内</t>
    </r>
    <r>
      <rPr>
        <b/>
        <sz val="9"/>
        <color rgb="FFFF0000"/>
        <rFont val="宋体"/>
        <family val="3"/>
        <charset val="134"/>
        <scheme val="minor"/>
      </rPr>
      <t>氢能源产业</t>
    </r>
    <r>
      <rPr>
        <sz val="9"/>
        <color theme="1"/>
        <rFont val="宋体"/>
        <family val="2"/>
        <charset val="134"/>
        <scheme val="minor"/>
      </rPr>
      <t>发展。公司于2017年通过基金投资的方式开始涉足氢能源产业；2.业内除一家民爆生产企业自产硝酸铵外，</t>
    </r>
    <r>
      <rPr>
        <sz val="9"/>
        <color rgb="FFFF0000"/>
        <rFont val="宋体"/>
        <family val="3"/>
        <charset val="134"/>
        <scheme val="minor"/>
      </rPr>
      <t>在产业链上延伸到合成氨的，我公司是唯一一家</t>
    </r>
    <r>
      <rPr>
        <sz val="9"/>
        <color theme="1"/>
        <rFont val="宋体"/>
        <family val="2"/>
        <charset val="134"/>
        <scheme val="minor"/>
      </rPr>
      <t>。公司以民爆产品为基点，向产业链上下游延伸，已经形成了集上游原材料生产、炸药研发、生产、销售、爆破服务、下游石料开采、危爆物品特种物流等业务于一体的完整产业链。</t>
    </r>
    <phoneticPr fontId="1" type="noConversion"/>
  </si>
  <si>
    <t>1.军工领域，取得“军工四证”，开展军用电雷管、军用电子雷管、TNT药块等军用产品的科研、生产和销售；</t>
    <phoneticPr fontId="1" type="noConversion"/>
  </si>
  <si>
    <t>5.24亿</t>
  </si>
  <si>
    <t>1.2022年上半年度，公司研制的汽油机油复合剂产品RF6188调制的API SP5W-30汽油机油通过全部发动机台架试验，这为公司加快进入主流市场奠定了坚实基础。复合剂方面，公司将持续加大认证力度，争取汽机油、柴机油、齿轮油、抗磨液压油等产品取得更高级别、更多品类的认证，进行整车厂或船公司的OEM认证以及客户定制；单剂方面，进一步丰富产品剂种，提升单剂产品质量，根据行业发展趋势，进行更多的特种单剂、创新单剂研发，从而形成公司的核心优势；对特种领域的添加剂产品进行研发；</t>
    <phoneticPr fontId="1" type="noConversion"/>
  </si>
  <si>
    <r>
      <t>1.2021年全球疫情反复，美国极端天气等事件的发生，导致国外添加剂公司受到不同程度的负面影响，瑞丰新材在一定程度上</t>
    </r>
    <r>
      <rPr>
        <sz val="9"/>
        <color rgb="FFFF0000"/>
        <rFont val="宋体"/>
        <family val="3"/>
        <charset val="134"/>
        <scheme val="minor"/>
      </rPr>
      <t>弥补了国外添加剂公司产量不足的缺口；</t>
    </r>
    <r>
      <rPr>
        <sz val="9"/>
        <rFont val="宋体"/>
        <family val="3"/>
        <charset val="134"/>
        <scheme val="minor"/>
      </rPr>
      <t>2.以四家国际知名润滑油添加剂公司路博润（Lubrizol）、润英联（Infineum）、雪佛龙奥伦耐（Chevron Oronite）、雅富顿（Afton）为主的市场竞争格局。3.复合剂产品认证不能顺利通过的风险；</t>
    </r>
    <phoneticPr fontId="1" type="noConversion"/>
  </si>
  <si>
    <t>8.25亿</t>
  </si>
  <si>
    <t>6.78亿</t>
  </si>
  <si>
    <t>2.17亿</t>
  </si>
  <si>
    <t>8.39亿</t>
  </si>
  <si>
    <t>2.24亿</t>
  </si>
  <si>
    <t>7.39亿</t>
  </si>
  <si>
    <t>3.75亿</t>
  </si>
  <si>
    <t>24.66亿</t>
  </si>
  <si>
    <t>6.81亿</t>
  </si>
  <si>
    <t>2.87亿</t>
  </si>
  <si>
    <t>29.91亿</t>
  </si>
  <si>
    <t>37.14亿</t>
  </si>
  <si>
    <t>10.30亿</t>
  </si>
  <si>
    <t>6.04亿</t>
  </si>
  <si>
    <t>9.18亿</t>
  </si>
  <si>
    <t>17.43亿</t>
  </si>
  <si>
    <t>16.95亿</t>
  </si>
  <si>
    <t>18.10亿</t>
  </si>
  <si>
    <t>9.68亿</t>
  </si>
  <si>
    <t>12.15亿</t>
  </si>
  <si>
    <t>24.68亿</t>
  </si>
  <si>
    <t>-1.88亿</t>
  </si>
  <si>
    <t>10.65亿</t>
  </si>
  <si>
    <t>23.81亿</t>
  </si>
  <si>
    <t>42.09亿</t>
  </si>
  <si>
    <t>5.10亿</t>
  </si>
  <si>
    <t>6.76亿</t>
  </si>
  <si>
    <t>5.91亿</t>
  </si>
  <si>
    <t>9.48亿</t>
  </si>
  <si>
    <t>2500.00万</t>
  </si>
  <si>
    <t>6.34亿</t>
  </si>
  <si>
    <t>12.89亿</t>
  </si>
  <si>
    <t>11.41亿</t>
  </si>
  <si>
    <t>5.62亿</t>
  </si>
  <si>
    <t>15.35亿</t>
  </si>
  <si>
    <t>-1.19亿</t>
  </si>
  <si>
    <t>6.41亿</t>
  </si>
  <si>
    <t>6.65亿</t>
  </si>
  <si>
    <t>19.48亿</t>
  </si>
  <si>
    <t>30.28亿</t>
  </si>
  <si>
    <t>12.20亿</t>
  </si>
  <si>
    <t>10.90亿</t>
  </si>
  <si>
    <t>1.2020年5月下旬至今，真空绝热板产能处于饱和状态，产能瓶颈制约着公司快速发展及业绩提升。年产350万平方米超低导热系数真空绝热板扩产项目预计于2021年一季度投产；（2020年550万平，2021年800万平）2.国内冰箱对真空绝热板需求52.5亿，目前真空绝热板在冰箱中的市场占有率仅为3%；2.我国系目前全球最大的冰箱生产国和出口国，真空绝热板的使用率还很低，主要采用硬质聚氨酯泡沫（用氢氯氟烃类化合物（HCFCs）作为发泡剂）。vip构成：芯材-》阻隔膜-》吸附剂;3. 公司真空绝热板在全球冰箱冷柜家电领域的市场占有率处于行业领先地位，尤其是全球前十大冰箱生产企业中绝大多数为公司客户；4.在目前的供需情况下，公司VIP以满足冰箱市场需求为主。保温箱将是公司下一个较有前景的应用领域。4.真空玻璃为公司下一个突破方向</t>
    <phoneticPr fontId="1" type="noConversion"/>
  </si>
  <si>
    <r>
      <t xml:space="preserve">1. </t>
    </r>
    <r>
      <rPr>
        <sz val="9"/>
        <color rgb="FFFF0000"/>
        <rFont val="宋体"/>
        <family val="3"/>
        <charset val="134"/>
        <scheme val="minor"/>
      </rPr>
      <t>纳米孔绝热材料、辐射绝热材料</t>
    </r>
    <r>
      <rPr>
        <sz val="9"/>
        <color theme="1"/>
        <rFont val="宋体"/>
        <family val="3"/>
        <charset val="134"/>
        <scheme val="minor"/>
      </rPr>
      <t>等新型绝热材料正处于不断发展阶段，会成为新技术冲击；</t>
    </r>
    <r>
      <rPr>
        <sz val="9"/>
        <color theme="1"/>
        <rFont val="宋体"/>
        <family val="2"/>
        <charset val="134"/>
        <scheme val="minor"/>
      </rPr>
      <t>2.</t>
    </r>
    <r>
      <rPr>
        <sz val="9"/>
        <color theme="1"/>
        <rFont val="宋体"/>
        <family val="3"/>
        <charset val="134"/>
        <scheme val="minor"/>
      </rPr>
      <t>国内竞争对手</t>
    </r>
    <r>
      <rPr>
        <sz val="9"/>
        <color theme="1"/>
        <rFont val="宋体"/>
        <family val="2"/>
        <charset val="134"/>
        <scheme val="minor"/>
      </rPr>
      <t>vip</t>
    </r>
    <r>
      <rPr>
        <sz val="9"/>
        <color theme="1"/>
        <rFont val="宋体"/>
        <family val="3"/>
        <charset val="134"/>
        <scheme val="minor"/>
      </rPr>
      <t>类主要有再升科技，重庆松下新材料公司、四川迈科隆、滁州银兴等公司，聚氨酯硬泡的红宝丽；欧洲主要有德国瓦克，松下电器，美国</t>
    </r>
    <r>
      <rPr>
        <sz val="9"/>
        <color theme="1"/>
        <rFont val="宋体"/>
        <family val="2"/>
        <charset val="134"/>
        <scheme val="minor"/>
      </rPr>
      <t>Nanopore</t>
    </r>
    <r>
      <rPr>
        <sz val="9"/>
        <color theme="1"/>
        <rFont val="宋体"/>
        <family val="3"/>
        <charset val="134"/>
        <scheme val="minor"/>
      </rPr>
      <t>。赛特新材多年来专注于真空绝热板全产业链技术研发、生产工艺研究、并汇聚行业技术人才，为行业隐形冠军；</t>
    </r>
    <phoneticPr fontId="1" type="noConversion"/>
  </si>
  <si>
    <r>
      <t>1.目前国际已知的253种分子筛结构类型中，仅有20余种得到工业规模化生产，印证了分子筛产品的研发难度。2.我国</t>
    </r>
    <r>
      <rPr>
        <b/>
        <sz val="9"/>
        <color theme="1"/>
        <rFont val="宋体"/>
        <family val="3"/>
        <charset val="134"/>
        <scheme val="minor"/>
      </rPr>
      <t>工业副产氢工艺成熟、成本较低</t>
    </r>
    <r>
      <rPr>
        <sz val="9"/>
        <color theme="1"/>
        <rFont val="宋体"/>
        <family val="2"/>
        <charset val="134"/>
        <scheme val="minor"/>
      </rPr>
      <t>，近期仍将是主要氢源。但从长远发展看，可再生能源制氢规模潜力更大，更加清洁可持续，随着成本下降，将成为重要氢源。3.Top9分子筛吸附剂2018年产能，霍尼韦尔 UOP（93000吨，全球占比21.24%）CECA(60000吨，13.7%）Zeochem(29000吨，6.62%）日本东曹（26000吨,5.94%）美国格瑞斯（22000吨,5.03%）建龙微纳（16500吨,3.77%）上海恒业（15000吨，3.43%）大连海鑫（12000吨,2.74%）德国CWK(10000吨，2.28%）；4.</t>
    </r>
    <r>
      <rPr>
        <sz val="9"/>
        <color theme="1"/>
        <rFont val="宋体"/>
        <family val="3"/>
        <charset val="134"/>
        <scheme val="minor"/>
      </rPr>
      <t>主要原材料有氢氧化钠、固体硅酸钠、氢氧化铝和锂盐；</t>
    </r>
    <r>
      <rPr>
        <sz val="9"/>
        <color theme="1"/>
        <rFont val="宋体"/>
        <family val="2"/>
        <charset val="134"/>
        <scheme val="minor"/>
      </rPr>
      <t>5.公司行业地位：截至2021年末，建龙微纳分子筛产能</t>
    </r>
    <r>
      <rPr>
        <sz val="9"/>
        <color rgb="FFFF0000"/>
        <rFont val="宋体"/>
        <family val="3"/>
        <charset val="134"/>
        <scheme val="minor"/>
      </rPr>
      <t>国内排名第一,全球排名第三</t>
    </r>
    <r>
      <rPr>
        <sz val="9"/>
        <color theme="1"/>
        <rFont val="宋体"/>
        <family val="2"/>
        <charset val="134"/>
        <scheme val="minor"/>
      </rPr>
      <t>；</t>
    </r>
    <phoneticPr fontId="1" type="noConversion"/>
  </si>
  <si>
    <r>
      <t>1.未来项目达产后，公司主营业务将从分子筛吸附剂领域延伸到分子筛催化领域，应用场景将延伸到柴油车尾气脱硝处理、烟道气脱硝处理、煤制丙烯催化反应和煤制乙醇催化反应等领域；2.制氢分子筛是目前公司重点培育的产品之一，2021年上半年公司利用超募资金投资的“9,000吨高效制氢、制氧分子筛生产线”已经建成投产，项目达产后公司也将成为国内少数具备万吨制氢分子筛材料产能的企业;3.高耗能行业面临前所未有的节能减排压力，纷纷加大节能减排设备的投入，分子筛作为这些行业不可替代的耗材，需求量也持续攀升，分子筛材料属于一种能够实现节能减排、环境治理与生态修复作用的战略新兴材料。据统计工业气体市场规模</t>
    </r>
    <r>
      <rPr>
        <b/>
        <sz val="9"/>
        <color rgb="FFFF0000"/>
        <rFont val="宋体"/>
        <family val="3"/>
        <charset val="134"/>
        <scheme val="minor"/>
      </rPr>
      <t>增速大致是GDP增速的1.4倍</t>
    </r>
    <r>
      <rPr>
        <sz val="9"/>
        <color theme="1"/>
        <rFont val="宋体"/>
        <family val="2"/>
        <charset val="134"/>
        <scheme val="minor"/>
      </rPr>
      <t>。</t>
    </r>
    <r>
      <rPr>
        <sz val="9"/>
        <color theme="1"/>
        <rFont val="宋体"/>
        <family val="3"/>
        <charset val="134"/>
        <scheme val="minor"/>
      </rPr>
      <t>4.分子筛的进口替代市场空间有多大？答：根据IHS Markit的研究统计，2021年全球分子筛消费量超170万吨，高价值消费领域主要包括催化剂及吸附干燥剂，其中分子筛吸附和干燥剂消费量为31万吨，按照公司2021年分子筛销量统计，占分子筛吸附和干燥剂消费量比例仅8%，</t>
    </r>
    <r>
      <rPr>
        <sz val="9"/>
        <color rgb="FFFF0000"/>
        <rFont val="宋体"/>
        <family val="3"/>
        <charset val="134"/>
        <scheme val="minor"/>
      </rPr>
      <t>市场占有率仍较低</t>
    </r>
    <r>
      <rPr>
        <sz val="9"/>
        <color theme="1"/>
        <rFont val="宋体"/>
        <family val="3"/>
        <charset val="134"/>
        <scheme val="minor"/>
      </rPr>
      <t>，市场空间广泛。</t>
    </r>
    <phoneticPr fontId="1" type="noConversion"/>
  </si>
  <si>
    <t>1.2022年11月2日投资者业绩说明会，公司加大相关新材料业务拓展，通过电子束技术与材料改性相结合，研发独特的新材料，开展多个新应用，如辐照淀粉、辐照碳纤维等。</t>
    <phoneticPr fontId="1" type="noConversion"/>
  </si>
  <si>
    <t>不分配不转增</t>
  </si>
  <si>
    <t>10派2元(含税)</t>
  </si>
  <si>
    <t>10派0.6元(含税)</t>
  </si>
  <si>
    <t>10派0.5元(含税)</t>
  </si>
  <si>
    <t>10派1元(含税)</t>
  </si>
  <si>
    <t>10派3元(含税)</t>
  </si>
  <si>
    <t>17.94亿</t>
  </si>
  <si>
    <t>10派4元(含税)</t>
  </si>
  <si>
    <t>10派2.5元(含税)</t>
  </si>
  <si>
    <t>10派0.7元(含税)</t>
  </si>
  <si>
    <t>10派2.2元(含税)</t>
  </si>
  <si>
    <t>10派1.5元(含税)</t>
  </si>
  <si>
    <t>10派5元(含税)</t>
  </si>
  <si>
    <t>10派3.8元(含税)</t>
  </si>
  <si>
    <t>10派0.75元(含税)</t>
  </si>
  <si>
    <t>10派8元(含税)</t>
  </si>
  <si>
    <t>10派10元(含税)</t>
  </si>
  <si>
    <t>10派1.1元(含税)</t>
  </si>
  <si>
    <t>10派0.15元(含税)</t>
  </si>
  <si>
    <t>10派1.8元(含税)</t>
  </si>
  <si>
    <t>10派7.5元(含税)</t>
  </si>
  <si>
    <t>-1-1</t>
  </si>
  <si>
    <t>-1-0</t>
  </si>
  <si>
    <t>1-1</t>
  </si>
  <si>
    <t>SH603281</t>
  </si>
  <si>
    <t>江瀚新材</t>
  </si>
  <si>
    <r>
      <t>1.α-烯烃和POE均是目前亟待国产突破的“卡脖子”新材料之一，α-烯烃是POE的原料，而POE在</t>
    </r>
    <r>
      <rPr>
        <b/>
        <sz val="9"/>
        <color rgb="FFFF0000"/>
        <rFont val="宋体"/>
        <family val="3"/>
        <charset val="134"/>
        <scheme val="minor"/>
      </rPr>
      <t>高端聚烯烃、光伏胶膜</t>
    </r>
    <r>
      <rPr>
        <sz val="9"/>
        <color theme="1"/>
        <rFont val="宋体"/>
        <family val="2"/>
        <charset val="134"/>
        <scheme val="minor"/>
      </rPr>
      <t>等领域都必不可少。</t>
    </r>
    <phoneticPr fontId="1" type="noConversion"/>
  </si>
  <si>
    <t>1.根据2021年年报数据显示，鲜味剂类产品包括谷氨酸钠、核苷酸占主营业务收入的35%左右；饲料氨基酸类产品包括赖氨酸、苏氨酸、色氨酸等占主营业务收入的37%左右；医药氨基酸类产品包括谷氨酰胺、脯氨酸、亮氨酸、异亮氨酸、腺苷等占主营业务收入的2.5%左右；大原料产品占主营业务收入的16%左右；其他的产品占比在8.4%左右。</t>
    <phoneticPr fontId="1" type="noConversion"/>
  </si>
  <si>
    <t>1.从产业链角度，公司仍将专注于有机硅行业。从有机硅产业链各环节的附加值看，越往产业链下游，附加值越高，而这个环节的产能往往都集中在国际厂商中，未来1-2年公司的产品布局也正是着眼于这个点，我们将花更多的资源在有机硅深加工（第三个环节）及深加工产品的具体应用场景产品开发（第四个环节);2.预计年报业绩：净利润8800万元至1.000亿元，增长幅度为62.42%至84.57% ,非经常性利润600万；</t>
    <phoneticPr fontId="1" type="noConversion"/>
  </si>
  <si>
    <t xml:space="preserve">
</t>
    <phoneticPr fontId="1" type="noConversion"/>
  </si>
  <si>
    <t xml:space="preserve">1.公司去年新增1.87万吨/年光伏单组分有机硅胶产能，年底建成投产后上线即满产，近期公司已经公告了，准备再新建1条年产3万吨产线，新增产线投产后，公司光伏单组分有机硅胶年产能将达到8.07万吨;
</t>
    <phoneticPr fontId="1" type="noConversion"/>
  </si>
  <si>
    <t>2-0</t>
  </si>
  <si>
    <t>SH603065</t>
  </si>
  <si>
    <t>宿迁联盛</t>
  </si>
  <si>
    <t>17.34亿</t>
  </si>
  <si>
    <r>
      <t>1.问：2.纤维素醚的市场情况？
答：</t>
    </r>
    <r>
      <rPr>
        <sz val="9"/>
        <color rgb="FFFF0000"/>
        <rFont val="宋体"/>
        <family val="3"/>
        <charset val="134"/>
        <scheme val="minor"/>
      </rPr>
      <t>建材级</t>
    </r>
    <r>
      <rPr>
        <sz val="9"/>
        <color theme="1"/>
        <rFont val="宋体"/>
        <family val="2"/>
        <charset val="134"/>
        <scheme val="minor"/>
      </rPr>
      <t>纤维素醚2019年市场开拓良好，对新增产能的消化起到了一定的积极作用；</t>
    </r>
    <r>
      <rPr>
        <sz val="9"/>
        <color rgb="FFFF0000"/>
        <rFont val="宋体"/>
        <family val="3"/>
        <charset val="134"/>
        <scheme val="minor"/>
      </rPr>
      <t>医药级</t>
    </r>
    <r>
      <rPr>
        <sz val="9"/>
        <color theme="1"/>
        <rFont val="宋体"/>
        <family val="2"/>
        <charset val="134"/>
        <scheme val="minor"/>
      </rPr>
      <t>纤维素醚随着药物一致性评价进程的加速及赫尔希年产50亿粒</t>
    </r>
    <r>
      <rPr>
        <sz val="9"/>
        <color rgb="FFFF0000"/>
        <rFont val="宋体"/>
        <family val="3"/>
        <charset val="134"/>
        <scheme val="minor"/>
      </rPr>
      <t>植物胶囊项目</t>
    </r>
    <r>
      <rPr>
        <sz val="9"/>
        <color theme="1"/>
        <rFont val="宋体"/>
        <family val="2"/>
        <charset val="134"/>
        <scheme val="minor"/>
      </rPr>
      <t>的建成，市场趋势良好。</t>
    </r>
    <phoneticPr fontId="1" type="noConversion"/>
  </si>
  <si>
    <t>2-1</t>
  </si>
  <si>
    <t>SH603125</t>
  </si>
  <si>
    <t>常青科技</t>
  </si>
  <si>
    <t>9.64亿</t>
  </si>
  <si>
    <t>-2-1</t>
  </si>
  <si>
    <t>2.94亿</t>
  </si>
  <si>
    <t>-2-0</t>
  </si>
  <si>
    <t>SH603172</t>
  </si>
  <si>
    <t>万丰股份</t>
  </si>
  <si>
    <t>6762.04万</t>
  </si>
  <si>
    <r>
      <t>1.营业收入变动原因说明：主要系本期</t>
    </r>
    <r>
      <rPr>
        <sz val="9"/>
        <color rgb="FFFF0000"/>
        <rFont val="宋体"/>
        <family val="3"/>
        <charset val="134"/>
        <scheme val="minor"/>
      </rPr>
      <t>上海大统项目及上虞高铁新城 J3 地块项目、天和苑项目确认房产销售收入</t>
    </r>
    <r>
      <rPr>
        <sz val="9"/>
        <color theme="1"/>
        <rFont val="宋体"/>
        <family val="2"/>
        <charset val="134"/>
        <scheme val="minor"/>
      </rPr>
      <t>所致。</t>
    </r>
    <phoneticPr fontId="1" type="noConversion"/>
  </si>
  <si>
    <t>4.28亿</t>
  </si>
  <si>
    <t>5244.54万</t>
  </si>
  <si>
    <t>7.82亿</t>
  </si>
  <si>
    <t>13.11亿</t>
  </si>
  <si>
    <t>69.45亿</t>
  </si>
  <si>
    <t>10.44亿</t>
  </si>
  <si>
    <t>10派0.4元(含税)</t>
  </si>
  <si>
    <t>11.34亿</t>
  </si>
  <si>
    <t>30.44亿</t>
  </si>
  <si>
    <t>63.64亿</t>
  </si>
  <si>
    <t>-7.86亿</t>
  </si>
  <si>
    <t>12.09亿</t>
  </si>
  <si>
    <t>-5924.02万</t>
  </si>
  <si>
    <t>9.38亿</t>
  </si>
  <si>
    <t>32.75亿</t>
  </si>
  <si>
    <t>3000.00万</t>
  </si>
  <si>
    <t>-7829.72万</t>
  </si>
  <si>
    <t>3959.93万</t>
  </si>
  <si>
    <t>-3.38亿</t>
  </si>
  <si>
    <t>25.59亿</t>
  </si>
  <si>
    <t>-1.85亿</t>
  </si>
  <si>
    <t>6.97亿</t>
  </si>
  <si>
    <t>9.81亿</t>
  </si>
  <si>
    <t>-3142.92万</t>
  </si>
  <si>
    <t>63.36亿</t>
  </si>
  <si>
    <t>123.58亿</t>
  </si>
  <si>
    <t>77.99亿</t>
  </si>
  <si>
    <t>128.03亿</t>
  </si>
  <si>
    <t>12.34亿</t>
  </si>
  <si>
    <t>62.68亿</t>
  </si>
  <si>
    <t>8.12亿</t>
  </si>
  <si>
    <t>26.97亿</t>
  </si>
  <si>
    <t>13.22亿</t>
  </si>
  <si>
    <t>-1.60亿</t>
  </si>
  <si>
    <t>12.80亿</t>
  </si>
  <si>
    <t>42.85亿</t>
  </si>
  <si>
    <t>27.64亿</t>
  </si>
  <si>
    <t>6.85亿</t>
  </si>
  <si>
    <t>7.51亿</t>
  </si>
  <si>
    <t>14.92亿</t>
  </si>
  <si>
    <t>15.07亿</t>
  </si>
  <si>
    <t>34.11亿</t>
  </si>
  <si>
    <t>72.50亿</t>
  </si>
  <si>
    <t>112.35亿</t>
  </si>
  <si>
    <t>48.82亿</t>
  </si>
  <si>
    <t>5.43亿</t>
  </si>
  <si>
    <t>101.69亿</t>
  </si>
  <si>
    <t>7.68亿</t>
  </si>
  <si>
    <t>-1.02亿</t>
  </si>
  <si>
    <t>-1.77亿</t>
  </si>
  <si>
    <t>16.48亿</t>
  </si>
  <si>
    <t>34.06亿</t>
  </si>
  <si>
    <t>27.59亿</t>
  </si>
  <si>
    <t>-3.95亿</t>
  </si>
  <si>
    <t>8994.59万</t>
  </si>
  <si>
    <t>17.23亿</t>
  </si>
  <si>
    <t>16.02亿</t>
  </si>
  <si>
    <t>-1.13亿</t>
  </si>
  <si>
    <t>2525.81万</t>
  </si>
  <si>
    <t>26.94亿</t>
  </si>
  <si>
    <t>7.20亿</t>
  </si>
  <si>
    <t>3128.76万</t>
  </si>
  <si>
    <t>86.48亿</t>
  </si>
  <si>
    <t>57.55亿</t>
  </si>
  <si>
    <t>8140.02万</t>
  </si>
  <si>
    <t>-1.76亿</t>
  </si>
  <si>
    <t>7.42亿</t>
  </si>
  <si>
    <t>6127.45万</t>
  </si>
  <si>
    <t>SZ300109</t>
  </si>
  <si>
    <t>新开源</t>
  </si>
  <si>
    <t>14.86亿</t>
  </si>
  <si>
    <t>9.79亿</t>
  </si>
  <si>
    <t>9.24亿</t>
  </si>
  <si>
    <t>6.98亿</t>
  </si>
  <si>
    <t>4457.50万</t>
  </si>
  <si>
    <t>8954.62万</t>
  </si>
  <si>
    <t>19.51亿</t>
  </si>
  <si>
    <t>27.60亿</t>
  </si>
  <si>
    <t>-1.06亿</t>
  </si>
  <si>
    <t>20.63亿</t>
  </si>
  <si>
    <t>10.40亿</t>
  </si>
  <si>
    <t>-4393.79万</t>
  </si>
  <si>
    <t>21.12亿</t>
  </si>
  <si>
    <t>4.20亿</t>
  </si>
  <si>
    <t>12.40亿</t>
  </si>
  <si>
    <t>8.34亿</t>
  </si>
  <si>
    <t>48.43亿</t>
  </si>
  <si>
    <t>10派3.44元(含税)</t>
  </si>
  <si>
    <t>10.78亿</t>
  </si>
  <si>
    <t>567.63万</t>
  </si>
  <si>
    <t>7.05亿</t>
  </si>
  <si>
    <t>19.24亿</t>
  </si>
  <si>
    <t>5583.50万</t>
  </si>
  <si>
    <t>11.83亿</t>
  </si>
  <si>
    <t>8.18亿</t>
  </si>
  <si>
    <t>757.83万</t>
  </si>
  <si>
    <t>10派0.2元(含税)</t>
  </si>
  <si>
    <t>27.27亿</t>
  </si>
  <si>
    <t>15.44亿</t>
  </si>
  <si>
    <t>67.34亿</t>
  </si>
  <si>
    <t>14.42亿</t>
  </si>
  <si>
    <t>4689.39万</t>
  </si>
  <si>
    <t>30.46亿</t>
  </si>
  <si>
    <t>12.71亿</t>
  </si>
  <si>
    <t>2865.92万</t>
  </si>
  <si>
    <t>31.63亿</t>
  </si>
  <si>
    <t>573.72万</t>
  </si>
  <si>
    <t>9814.50万</t>
  </si>
  <si>
    <t>173.27亿</t>
  </si>
  <si>
    <t>132.10亿</t>
  </si>
  <si>
    <t>31.68亿</t>
  </si>
  <si>
    <t>5249.20万</t>
  </si>
  <si>
    <t>12.47亿</t>
  </si>
  <si>
    <t>6.75亿</t>
  </si>
  <si>
    <t>6415.49万</t>
  </si>
  <si>
    <t>10.41亿</t>
  </si>
  <si>
    <t>193.86亿</t>
  </si>
  <si>
    <t>8729.21万</t>
  </si>
  <si>
    <t>16.09亿</t>
  </si>
  <si>
    <t>15.34亿</t>
  </si>
  <si>
    <t>214.89亿</t>
  </si>
  <si>
    <t>10派2.7元(含税)</t>
  </si>
  <si>
    <t>-1.41亿</t>
  </si>
  <si>
    <t>-1.66亿</t>
  </si>
  <si>
    <t>49.14亿</t>
  </si>
  <si>
    <t>115.03亿</t>
  </si>
  <si>
    <t>90.64亿</t>
  </si>
  <si>
    <t>145.29亿</t>
  </si>
  <si>
    <t>1655.65亿</t>
  </si>
  <si>
    <t>162.34亿</t>
  </si>
  <si>
    <t>212.26亿</t>
  </si>
  <si>
    <t>30.03亿</t>
  </si>
  <si>
    <t>90.68亿</t>
  </si>
  <si>
    <t>874.49亿</t>
  </si>
  <si>
    <t>807.82亿</t>
  </si>
  <si>
    <t>21.54亿</t>
  </si>
  <si>
    <t>218.03亿</t>
  </si>
  <si>
    <t>29.55亿</t>
  </si>
  <si>
    <t>48.98亿</t>
  </si>
  <si>
    <t>-8830.22万</t>
  </si>
  <si>
    <t>174.86亿</t>
  </si>
  <si>
    <t>14.19亿</t>
  </si>
  <si>
    <t>40.71亿</t>
  </si>
  <si>
    <t>279.37亿</t>
  </si>
  <si>
    <t>44.06亿</t>
  </si>
  <si>
    <t>230.61亿</t>
  </si>
  <si>
    <t>24.02亿</t>
  </si>
  <si>
    <t>35.64亿</t>
  </si>
  <si>
    <t>32.02亿</t>
  </si>
  <si>
    <t>6.74亿</t>
  </si>
  <si>
    <t>7893.06万</t>
  </si>
  <si>
    <t>26.18亿</t>
  </si>
  <si>
    <t>3360.74万</t>
  </si>
  <si>
    <t>-1.65亿</t>
  </si>
  <si>
    <t>1971.52万</t>
  </si>
  <si>
    <t>7743.59万</t>
  </si>
  <si>
    <t>4558.67万</t>
  </si>
  <si>
    <t>7505.25万</t>
  </si>
  <si>
    <t>8736.95万</t>
  </si>
  <si>
    <t>21.82亿</t>
  </si>
  <si>
    <t>-6.99亿</t>
  </si>
  <si>
    <t>11.39亿</t>
  </si>
  <si>
    <t>30.17亿</t>
  </si>
  <si>
    <t>8.89亿</t>
  </si>
  <si>
    <t>26.83亿</t>
  </si>
  <si>
    <t>236.57亿</t>
  </si>
  <si>
    <t>51.48亿</t>
  </si>
  <si>
    <t>213.85亿</t>
  </si>
  <si>
    <t>82.22亿</t>
  </si>
  <si>
    <t>33.12亿</t>
  </si>
  <si>
    <t>25.35亿</t>
  </si>
  <si>
    <t>15.06亿</t>
  </si>
  <si>
    <t>47.71亿</t>
  </si>
  <si>
    <t>50.27亿</t>
  </si>
  <si>
    <t>581.53万</t>
  </si>
  <si>
    <t>7.73亿</t>
  </si>
  <si>
    <t>22.00亿</t>
  </si>
  <si>
    <t>27.16亿</t>
  </si>
  <si>
    <t>4.96亿</t>
  </si>
  <si>
    <t>6984.20万</t>
  </si>
  <si>
    <t>32.11亿</t>
  </si>
  <si>
    <t>-3244.01万</t>
  </si>
  <si>
    <t>6.89亿</t>
  </si>
  <si>
    <t>3.49亿</t>
  </si>
  <si>
    <t>35.90亿</t>
  </si>
  <si>
    <t>21.52亿</t>
  </si>
  <si>
    <t>1.83万</t>
  </si>
  <si>
    <t>-2.10亿</t>
  </si>
  <si>
    <t>账面净赚</t>
  </si>
  <si>
    <t>10转4股派1.7元(含税)</t>
  </si>
  <si>
    <t>38.04亿</t>
  </si>
  <si>
    <t>16.98亿</t>
  </si>
  <si>
    <t>19.47亿</t>
  </si>
  <si>
    <t>4384.26万</t>
  </si>
  <si>
    <t>17.00亿</t>
  </si>
  <si>
    <t>5.95亿</t>
  </si>
  <si>
    <t>10转4股派3元(含税)</t>
  </si>
  <si>
    <t>26.08亿</t>
  </si>
  <si>
    <t>43.45亿</t>
  </si>
  <si>
    <t>18.82亿</t>
  </si>
  <si>
    <t>10派2.48元(含税)</t>
  </si>
  <si>
    <t>6386.17万</t>
  </si>
  <si>
    <t>7957.39万</t>
  </si>
  <si>
    <t>10转4.5股派9元(含税)</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</si>
  <si>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</si>
  <si>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</si>
  <si>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</si>
  <si>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</si>
  <si>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</si>
  <si>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</si>
  <si>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</si>
  <si>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</si>
  <si>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</si>
  <si>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</si>
  <si>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</si>
  <si>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</si>
  <si>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</si>
  <si>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</si>
  <si>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</si>
  <si>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</si>
  <si>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</si>
  <si>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</si>
  <si>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</si>
  <si>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</si>
  <si>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</si>
  <si>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</si>
  <si>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</si>
  <si>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</si>
  <si>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</si>
  <si>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</si>
  <si>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</si>
  <si>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</si>
  <si>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</si>
  <si>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</si>
  <si>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</si>
  <si>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</si>
  <si>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</si>
  <si>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</si>
  <si>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</si>
  <si>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</si>
  <si>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</si>
  <si>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</si>
  <si>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</si>
  <si>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</si>
  <si>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</si>
  <si>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</si>
  <si>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</si>
  <si>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</si>
  <si>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</si>
  <si>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</si>
  <si>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</si>
  <si>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</si>
  <si>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</si>
  <si>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</si>
  <si>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</si>
  <si>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</si>
  <si>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</si>
  <si>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</si>
  <si>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</si>
  <si>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</si>
  <si>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</si>
  <si>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</si>
  <si>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</si>
  <si>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</si>
  <si>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</si>
  <si>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</si>
  <si>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</si>
  <si>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</si>
  <si>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</si>
  <si>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</si>
  <si>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</si>
  <si>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</si>
  <si>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</si>
  <si>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</si>
  <si>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</si>
  <si>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</si>
  <si>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</si>
  <si>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</si>
  <si>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</si>
  <si>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</si>
  <si>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</si>
  <si>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</si>
  <si>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</si>
  <si>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</si>
  <si>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</si>
  <si>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</si>
  <si>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</si>
  <si>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</si>
  <si>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</si>
  <si>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</si>
  <si>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</si>
  <si>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</si>
  <si>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</si>
  <si>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</si>
  <si>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-182.79万</t>
  </si>
  <si>
    <t>37.15亿</t>
  </si>
  <si>
    <t>7.16亿</t>
  </si>
  <si>
    <r>
      <t>1.Q1营收和利润大增主要系因客户需求量增加及山梨糖醇、麦芽糖醇扩产项目完工</t>
    </r>
    <r>
      <rPr>
        <sz val="9"/>
        <color rgb="FFFF0000"/>
        <rFont val="宋体"/>
        <family val="3"/>
        <charset val="134"/>
        <scheme val="minor"/>
      </rPr>
      <t>产能增加所致</t>
    </r>
    <r>
      <rPr>
        <sz val="9"/>
        <color theme="1"/>
        <rFont val="宋体"/>
        <family val="2"/>
        <charset val="134"/>
        <scheme val="minor"/>
      </rPr>
      <t>；2.目前，公司“年产3万吨高纯度结晶</t>
    </r>
    <r>
      <rPr>
        <sz val="9"/>
        <color rgb="FFFF0000"/>
        <rFont val="宋体"/>
        <family val="3"/>
        <charset val="134"/>
        <scheme val="minor"/>
      </rPr>
      <t>赤藓糖醇</t>
    </r>
    <r>
      <rPr>
        <sz val="9"/>
        <color theme="1"/>
        <rFont val="宋体"/>
        <family val="2"/>
        <charset val="134"/>
        <scheme val="minor"/>
      </rPr>
      <t>项目”实施进度按计划正常进行，计划于2022年5月份之前正式投产。此项目达产预计需半年以上。赤藓糖醇因其天然、接近零热量、口味纯正的特性，主要用于饮料当中。其市场需求也有淡旺季之分，考虑到市场需求情况，公司将加快项目进度，</t>
    </r>
    <r>
      <rPr>
        <sz val="9"/>
        <color rgb="FFFF0000"/>
        <rFont val="宋体"/>
        <family val="3"/>
        <charset val="134"/>
        <scheme val="minor"/>
      </rPr>
      <t>争取今年产能能达到50%左右</t>
    </r>
    <r>
      <rPr>
        <sz val="9"/>
        <color theme="1"/>
        <rFont val="宋体"/>
        <family val="2"/>
        <charset val="134"/>
        <scheme val="minor"/>
      </rPr>
      <t>。</t>
    </r>
    <r>
      <rPr>
        <sz val="9"/>
        <color theme="1"/>
        <rFont val="宋体"/>
        <family val="3"/>
        <charset val="134"/>
        <scheme val="minor"/>
      </rPr>
      <t>3.公司传统产品主要是应用加氢醇化法，从赤藓糖醇开始应用了</t>
    </r>
    <r>
      <rPr>
        <b/>
        <sz val="9"/>
        <color rgb="FFFF0000"/>
        <rFont val="宋体"/>
        <family val="3"/>
        <charset val="134"/>
        <scheme val="minor"/>
      </rPr>
      <t>生物发酵法</t>
    </r>
    <r>
      <rPr>
        <sz val="9"/>
        <color theme="1"/>
        <rFont val="宋体"/>
        <family val="3"/>
        <charset val="134"/>
        <scheme val="minor"/>
      </rPr>
      <t>，公司在生物发酵法相关的技术积累;4.</t>
    </r>
    <r>
      <rPr>
        <sz val="9"/>
        <color rgb="FFFF0000"/>
        <rFont val="宋体"/>
        <family val="3"/>
        <charset val="134"/>
        <scheme val="minor"/>
      </rPr>
      <t>境外业务营收取得超 70%</t>
    </r>
    <r>
      <rPr>
        <sz val="9"/>
        <color theme="1"/>
        <rFont val="宋体"/>
        <family val="3"/>
        <charset val="134"/>
        <scheme val="minor"/>
      </rPr>
      <t>以上的增长。</t>
    </r>
    <phoneticPr fontId="1" type="noConversion"/>
  </si>
  <si>
    <t>6.60亿</t>
  </si>
  <si>
    <t>SZ301518</t>
  </si>
  <si>
    <t>长华化学</t>
  </si>
  <si>
    <t>23.12亿</t>
  </si>
  <si>
    <t>8754.89万</t>
  </si>
  <si>
    <t>6.00亿</t>
  </si>
  <si>
    <t>23.97亿</t>
  </si>
  <si>
    <t>22.84亿</t>
  </si>
  <si>
    <t>5.93亿</t>
  </si>
  <si>
    <t>-1.52亿</t>
  </si>
  <si>
    <t>-3-1</t>
  </si>
  <si>
    <t>11.86亿</t>
  </si>
  <si>
    <t>7.01亿</t>
  </si>
  <si>
    <t>-1.05亿</t>
  </si>
  <si>
    <t>3.66亿</t>
  </si>
  <si>
    <t>23.74亿</t>
  </si>
  <si>
    <t>2.98亿</t>
  </si>
  <si>
    <t>SZ001358</t>
  </si>
  <si>
    <t>兴欣新材</t>
  </si>
  <si>
    <t>7.23亿</t>
  </si>
  <si>
    <t>6262.15万</t>
  </si>
  <si>
    <t>11.78亿</t>
  </si>
  <si>
    <t>易普力</t>
  </si>
  <si>
    <t>18.14亿</t>
  </si>
  <si>
    <t>宏达新材</t>
  </si>
  <si>
    <t>-2.99亿</t>
  </si>
  <si>
    <t>5.60亿</t>
  </si>
  <si>
    <t>5.58亿</t>
  </si>
  <si>
    <t>8.62亿</t>
  </si>
  <si>
    <t>5.81亿</t>
  </si>
  <si>
    <t>9.72亿</t>
  </si>
  <si>
    <t>31.42亿</t>
  </si>
  <si>
    <t>-7.37亿</t>
  </si>
  <si>
    <t>11.14亿</t>
  </si>
  <si>
    <t>17.85亿</t>
  </si>
  <si>
    <t>21.29亿</t>
  </si>
  <si>
    <t>26.29亿</t>
  </si>
  <si>
    <t>13.75亿</t>
  </si>
  <si>
    <t>5.27亿</t>
  </si>
  <si>
    <t>25.71亿</t>
  </si>
  <si>
    <t>5.15亿</t>
  </si>
  <si>
    <t>9.88亿</t>
  </si>
  <si>
    <t>20.96亿</t>
  </si>
  <si>
    <t>5.96亿</t>
  </si>
  <si>
    <t>13.91亿</t>
  </si>
  <si>
    <t>11.25亿</t>
  </si>
  <si>
    <t>26.47亿</t>
  </si>
  <si>
    <t>3.57亿</t>
  </si>
  <si>
    <t>9.59亿</t>
  </si>
  <si>
    <t>10.46亿</t>
  </si>
  <si>
    <t>2.97亿</t>
  </si>
  <si>
    <t>8.38亿</t>
  </si>
  <si>
    <t>15.87亿</t>
  </si>
  <si>
    <t>5.90亿</t>
  </si>
  <si>
    <t>7.44亿</t>
  </si>
  <si>
    <t>-1.74亿</t>
  </si>
  <si>
    <t>7.04亿</t>
  </si>
  <si>
    <t>3-0</t>
  </si>
  <si>
    <t>500.00万</t>
  </si>
  <si>
    <t>1000.00万</t>
  </si>
  <si>
    <t>13.55亿</t>
  </si>
  <si>
    <t>16.13亿</t>
  </si>
  <si>
    <t>6.32亿</t>
  </si>
  <si>
    <t>5.55亿</t>
  </si>
  <si>
    <t>13.10亿</t>
  </si>
  <si>
    <t>11.53亿</t>
  </si>
  <si>
    <t>14.69亿</t>
  </si>
  <si>
    <t>8.55亿</t>
  </si>
  <si>
    <t>10.59亿</t>
  </si>
  <si>
    <t>9.09亿</t>
  </si>
  <si>
    <t>6.24亿</t>
  </si>
  <si>
    <t>2884.09万</t>
  </si>
  <si>
    <t>9338.84万</t>
  </si>
  <si>
    <t>16.40亿</t>
  </si>
  <si>
    <t>6.03亿</t>
  </si>
  <si>
    <t>14.25亿</t>
  </si>
  <si>
    <t>4.51亿</t>
  </si>
  <si>
    <t>4.64亿</t>
  </si>
  <si>
    <t>10.77亿</t>
  </si>
  <si>
    <t>5.87亿</t>
  </si>
  <si>
    <t>4.56亿</t>
  </si>
  <si>
    <t>6.14亿</t>
  </si>
  <si>
    <t>-1.35亿</t>
  </si>
  <si>
    <t>13.74亿</t>
  </si>
  <si>
    <t>15.56亿</t>
  </si>
  <si>
    <t>-3-0</t>
  </si>
  <si>
    <t>18.79亿</t>
  </si>
  <si>
    <t>7306.09万</t>
  </si>
  <si>
    <t>4481.64万</t>
  </si>
  <si>
    <t>1407.84万</t>
  </si>
  <si>
    <t>9.08亿</t>
  </si>
  <si>
    <t>12.81万</t>
  </si>
  <si>
    <t>17.14亿</t>
  </si>
  <si>
    <t>34.87亿</t>
  </si>
  <si>
    <t>6.91亿</t>
  </si>
  <si>
    <t>13.19亿</t>
  </si>
  <si>
    <t>7.15亿</t>
  </si>
  <si>
    <t>15.99亿</t>
  </si>
  <si>
    <t>33.19亿</t>
  </si>
  <si>
    <t>26.73亿</t>
  </si>
  <si>
    <t>7.69亿</t>
  </si>
  <si>
    <t>21.45亿</t>
  </si>
  <si>
    <t>SH603004</t>
  </si>
  <si>
    <t>鼎龙科技</t>
  </si>
  <si>
    <t>8.31亿</t>
  </si>
  <si>
    <t>10.63亿</t>
  </si>
  <si>
    <t>19.82亿</t>
  </si>
  <si>
    <t>2.76亿</t>
  </si>
  <si>
    <t>SH603062</t>
  </si>
  <si>
    <t>麦加芯彩</t>
  </si>
  <si>
    <t>13.87亿</t>
  </si>
  <si>
    <t>19.90亿</t>
  </si>
  <si>
    <t>2914.48万</t>
  </si>
  <si>
    <t>7.45亿</t>
  </si>
  <si>
    <t>3.55亿</t>
  </si>
  <si>
    <t>-1.75亿</t>
  </si>
  <si>
    <t>5.73亿</t>
  </si>
  <si>
    <t>4-0</t>
  </si>
  <si>
    <t>12.51亿</t>
  </si>
  <si>
    <t>6.62亿</t>
  </si>
  <si>
    <t>8.20亿</t>
  </si>
  <si>
    <t>14.17亿</t>
  </si>
  <si>
    <t>10.19亿</t>
  </si>
  <si>
    <t>-1.63亿</t>
  </si>
  <si>
    <t>11.31亿</t>
  </si>
  <si>
    <t>7.84亿</t>
  </si>
  <si>
    <t>25.76亿</t>
  </si>
  <si>
    <t>16.73亿</t>
  </si>
  <si>
    <t>13.44亿</t>
  </si>
  <si>
    <t>21.14亿</t>
  </si>
  <si>
    <t>16.14亿</t>
  </si>
  <si>
    <t>13.69亿</t>
  </si>
  <si>
    <t>9.90亿</t>
  </si>
  <si>
    <t>12.50亿</t>
  </si>
  <si>
    <t>25.38亿</t>
  </si>
  <si>
    <t>9.70亿</t>
  </si>
  <si>
    <t>17.56亿</t>
  </si>
  <si>
    <t>3502.58万</t>
  </si>
  <si>
    <t>8.60亿</t>
  </si>
  <si>
    <r>
      <t>0.高分子材料普遍表现出的老化速度快 、 机械强度差、耐热性低等不足，高分子材料化学助剂 行业应运而生;1.2020 年之前抗氧化剂+光稳定剂板块收入占比超过 90%，到 2022 年占比下降至73%，新增了</t>
    </r>
    <r>
      <rPr>
        <sz val="9"/>
        <color rgb="FFFF0000"/>
        <rFont val="宋体"/>
        <family val="3"/>
        <charset val="134"/>
        <scheme val="minor"/>
      </rPr>
      <t>润滑油添加剂以及生命科学</t>
    </r>
    <r>
      <rPr>
        <sz val="9"/>
        <color theme="1"/>
        <rFont val="宋体"/>
        <family val="2"/>
        <charset val="134"/>
        <scheme val="minor"/>
      </rPr>
      <t>板块。</t>
    </r>
    <phoneticPr fontId="1" type="noConversion"/>
  </si>
  <si>
    <r>
      <t>0.高分子材料按特性分为橡胶、纤维、塑料、高分子胶粘剂、高分子涂料和高分子基复合材料等；1.抗老化助剂在高分子材 料中的添</t>
    </r>
    <r>
      <rPr>
        <b/>
        <sz val="9"/>
        <color rgb="FFFF0000"/>
        <rFont val="宋体"/>
        <family val="3"/>
        <charset val="134"/>
        <scheme val="minor"/>
      </rPr>
      <t>加比例较小</t>
    </r>
    <r>
      <rPr>
        <sz val="9"/>
        <color theme="1"/>
        <rFont val="宋体"/>
        <family val="2"/>
        <charset val="134"/>
        <scheme val="minor"/>
      </rPr>
      <t xml:space="preserve"> ，但对高分子材料质量和性能影响较大；</t>
    </r>
    <phoneticPr fontId="1" type="noConversion"/>
  </si>
  <si>
    <t>-4-1</t>
  </si>
  <si>
    <t>-4-0</t>
  </si>
  <si>
    <t>15.83亿</t>
  </si>
  <si>
    <t>3-1</t>
  </si>
  <si>
    <t>6-1</t>
  </si>
  <si>
    <t>8-0</t>
  </si>
  <si>
    <t>1.2024年1月16日低空经济：公司参股河北建新飞行汽车科技有限公司是多元发展战略规划的尝试，也是未来新利润增长点的有效补充。</t>
    <phoneticPr fontId="1" type="noConversion"/>
  </si>
  <si>
    <r>
      <t>0.ISCC启动了更加严格的原料溯源审查，并对中国部分生物柴油及原料从业商家进行了突击诚信审计。1.2023年</t>
    </r>
    <r>
      <rPr>
        <sz val="9"/>
        <color rgb="FFFF0000"/>
        <rFont val="宋体"/>
        <family val="3"/>
        <charset val="134"/>
        <scheme val="minor"/>
      </rPr>
      <t>欧盟多机构对中国出口的生物柴油开展审查</t>
    </r>
    <r>
      <rPr>
        <sz val="9"/>
        <color theme="1"/>
        <rFont val="宋体"/>
        <family val="2"/>
        <charset val="134"/>
        <scheme val="minor"/>
      </rPr>
      <t>，这些调查造成欧洲客户出于对关税追溯调整的担忧，采购意愿下降，对公司的生物柴油出口价格造成较大的冲击。</t>
    </r>
    <phoneticPr fontId="1" type="noConversion"/>
  </si>
  <si>
    <t>-6-1</t>
  </si>
  <si>
    <t>8-1</t>
  </si>
  <si>
    <r>
      <t>0.按工艺划分代系。中国市场将</t>
    </r>
    <r>
      <rPr>
        <sz val="9"/>
        <color rgb="FFFF0000"/>
        <rFont val="宋体"/>
        <family val="3"/>
        <charset val="134"/>
        <scheme val="minor"/>
      </rPr>
      <t>酯基生物</t>
    </r>
    <r>
      <rPr>
        <sz val="9"/>
        <color theme="1"/>
        <rFont val="宋体"/>
        <family val="2"/>
        <charset val="134"/>
        <scheme val="minor"/>
      </rPr>
      <t>柴油称之为 一代，将</t>
    </r>
    <r>
      <rPr>
        <sz val="9"/>
        <color rgb="FFFF0000"/>
        <rFont val="宋体"/>
        <family val="3"/>
        <charset val="134"/>
        <scheme val="minor"/>
      </rPr>
      <t>氢化、异构生物柴油</t>
    </r>
    <r>
      <rPr>
        <sz val="9"/>
        <color theme="1"/>
        <rFont val="宋体"/>
        <family val="2"/>
        <charset val="134"/>
        <scheme val="minor"/>
      </rPr>
      <t>称之为二代（A为植物，B为废弃油脂和动物），将</t>
    </r>
    <r>
      <rPr>
        <sz val="9"/>
        <color rgb="FFFF0000"/>
        <rFont val="宋体"/>
        <family val="3"/>
        <charset val="134"/>
        <scheme val="minor"/>
      </rPr>
      <t>微生物油脂</t>
    </r>
    <r>
      <rPr>
        <sz val="9"/>
        <color theme="1"/>
        <rFont val="宋体"/>
        <family val="2"/>
        <charset val="134"/>
        <scheme val="minor"/>
      </rPr>
      <t>及非油脂类生物质气化称为三代。1.公司废油脂甲酯化转化率达 99%，生物柴油高品质产品得率高于90%，基于废弃油脂和生物柴油开发应用的产业链不断丰富，产品附加值和废弃油脂的 综合利用率不断提升，整体技术处于业内领先水平。</t>
    </r>
    <phoneticPr fontId="1" type="noConversion"/>
  </si>
  <si>
    <t>-5-0</t>
  </si>
  <si>
    <t>27.12亿</t>
  </si>
  <si>
    <t>5.86亿</t>
  </si>
  <si>
    <t>5-0</t>
  </si>
  <si>
    <t>5.80亿</t>
  </si>
  <si>
    <t>4.88亿</t>
  </si>
  <si>
    <r>
      <t>1.安赛蜜和三氯蔗糖的市占率已经比较高，再提升难度比较高；2.拥有 9500 吨/年三氯蔗糖产能的</t>
    </r>
    <r>
      <rPr>
        <sz val="9"/>
        <color rgb="FFFF0000"/>
        <rFont val="宋体"/>
        <family val="3"/>
        <charset val="134"/>
        <scheme val="minor"/>
      </rPr>
      <t>金禾实业</t>
    </r>
    <r>
      <rPr>
        <sz val="9"/>
        <color theme="1"/>
        <rFont val="宋体"/>
        <family val="2"/>
        <charset val="134"/>
        <scheme val="minor"/>
      </rPr>
      <t>位于安徽省， 5000 吨/年</t>
    </r>
    <r>
      <rPr>
        <sz val="9"/>
        <color rgb="FFFF0000"/>
        <rFont val="宋体"/>
        <family val="3"/>
        <charset val="134"/>
        <scheme val="minor"/>
      </rPr>
      <t>康宝生化</t>
    </r>
    <r>
      <rPr>
        <sz val="9"/>
        <color theme="1"/>
        <rFont val="宋体"/>
        <family val="2"/>
        <charset val="134"/>
        <scheme val="minor"/>
      </rPr>
      <t>和 1500 吨/年</t>
    </r>
    <r>
      <rPr>
        <sz val="9"/>
        <color rgb="FFFF0000"/>
        <rFont val="宋体"/>
        <family val="3"/>
        <charset val="134"/>
        <scheme val="minor"/>
      </rPr>
      <t>三和维信</t>
    </r>
    <r>
      <rPr>
        <sz val="9"/>
        <color theme="1"/>
        <rFont val="宋体"/>
        <family val="2"/>
        <charset val="134"/>
        <scheme val="minor"/>
      </rPr>
      <t>位于山东省，3000 吨/年的</t>
    </r>
    <r>
      <rPr>
        <sz val="9"/>
        <color rgb="FFFF0000"/>
        <rFont val="宋体"/>
        <family val="3"/>
        <charset val="134"/>
        <scheme val="minor"/>
      </rPr>
      <t>科宏生物</t>
    </r>
    <r>
      <rPr>
        <sz val="9"/>
        <color theme="1"/>
        <rFont val="宋体"/>
        <family val="2"/>
        <charset val="134"/>
        <scheme val="minor"/>
      </rPr>
      <t xml:space="preserve"> 位于福建省，1800 吨/年</t>
    </r>
    <r>
      <rPr>
        <sz val="9"/>
        <color rgb="FFFF0000"/>
        <rFont val="宋体"/>
        <family val="3"/>
        <charset val="134"/>
        <scheme val="minor"/>
      </rPr>
      <t>新琪安</t>
    </r>
    <r>
      <rPr>
        <sz val="9"/>
        <color theme="1"/>
        <rFont val="宋体"/>
        <family val="2"/>
        <charset val="134"/>
        <scheme val="minor"/>
      </rPr>
      <t>位于江西省。3.2023年营业总收入：</t>
    </r>
    <r>
      <rPr>
        <sz val="9"/>
        <color rgb="FFFF0000"/>
        <rFont val="宋体"/>
        <family val="3"/>
        <charset val="134"/>
        <scheme val="minor"/>
      </rPr>
      <t>53.11亿元同比下降26.75%，净利润：7.04亿元 同比下降58.46%</t>
    </r>
    <r>
      <rPr>
        <sz val="9"/>
        <color theme="1"/>
        <rFont val="宋体"/>
        <family val="2"/>
        <charset val="134"/>
        <scheme val="minor"/>
      </rPr>
      <t>；原因：（一）报告期内，受行业周期以及市场竞争等影响，公司主要产品的销售价格与2022年度相比均有不同程度的下降，导致公司2023年度业绩同比下滑；</t>
    </r>
    <phoneticPr fontId="1" type="noConversion"/>
  </si>
  <si>
    <r>
      <t>1. 今年公司三氯蔗糖、安赛蜜和甲乙基麦芽酚业务同比下滑。未来随着消费复苏、海外加息结束，</t>
    </r>
    <r>
      <rPr>
        <sz val="9"/>
        <color rgb="FFFF0000"/>
        <rFont val="宋体"/>
        <family val="3"/>
        <charset val="134"/>
        <scheme val="minor"/>
      </rPr>
      <t>需求有望回升带动食品添加剂景气度回升</t>
    </r>
    <r>
      <rPr>
        <sz val="9"/>
        <color theme="1"/>
        <rFont val="宋体"/>
        <family val="2"/>
        <charset val="134"/>
        <scheme val="minor"/>
      </rPr>
      <t>，预 计公司食品添加剂将在 23-25 年实现毛利润 9.27/12.30/16.71 亿元。2.目前公司</t>
    </r>
    <r>
      <rPr>
        <b/>
        <sz val="9"/>
        <color rgb="FFFF0000"/>
        <rFont val="宋体"/>
        <family val="3"/>
        <charset val="134"/>
        <scheme val="minor"/>
      </rPr>
      <t>年产1000吨阿洛酮糖项目已顺利投产</t>
    </r>
    <r>
      <rPr>
        <sz val="9"/>
        <color theme="1"/>
        <rFont val="宋体"/>
        <family val="2"/>
        <charset val="134"/>
        <scheme val="minor"/>
      </rPr>
      <t>，并产出合格产品，各项工艺指标基本达到预期，后续公司将进一步优化生产工艺，提升项目经济效益。</t>
    </r>
    <r>
      <rPr>
        <sz val="9"/>
        <color theme="1"/>
        <rFont val="宋体"/>
        <family val="3"/>
        <charset val="134"/>
        <scheme val="minor"/>
      </rPr>
      <t>3.</t>
    </r>
    <r>
      <rPr>
        <b/>
        <sz val="9"/>
        <color rgb="FFFF0000"/>
        <rFont val="宋体"/>
        <family val="3"/>
        <charset val="134"/>
        <scheme val="minor"/>
      </rPr>
      <t>回购</t>
    </r>
    <r>
      <rPr>
        <sz val="9"/>
        <color theme="1"/>
        <rFont val="宋体"/>
        <family val="3"/>
        <charset val="134"/>
        <scheme val="minor"/>
      </rPr>
      <t>：“不低
于人民币25,000万元（含）且不超过人民币50,000万元（含）”，最高成交价为25.10元/股，最低成交价为18.05元/股；4.高毅邓晓峰两个基金买入前十大；</t>
    </r>
    <phoneticPr fontId="1" type="noConversion"/>
  </si>
  <si>
    <t>17.76亿</t>
  </si>
  <si>
    <t>12.61亿</t>
  </si>
  <si>
    <t>7.47亿</t>
  </si>
  <si>
    <t>6865.73万</t>
  </si>
  <si>
    <t>-3481.32万</t>
  </si>
  <si>
    <t>20154612亿</t>
  </si>
  <si>
    <t>10601309亿</t>
  </si>
  <si>
    <t>101592518亿</t>
  </si>
  <si>
    <t>523798050亿</t>
  </si>
  <si>
    <t>8350.00万</t>
  </si>
  <si>
    <t>-1732.90万</t>
  </si>
  <si>
    <t>33.22亿</t>
  </si>
  <si>
    <t>9.75亿</t>
  </si>
  <si>
    <t>22.16亿</t>
  </si>
  <si>
    <t>52.54亿</t>
  </si>
  <si>
    <t>63.53亿</t>
  </si>
  <si>
    <t>1879918亿</t>
  </si>
  <si>
    <t>-75055745亿</t>
  </si>
  <si>
    <t>1964933100亿</t>
  </si>
  <si>
    <t>6158396200亿</t>
  </si>
  <si>
    <t>-2573.59万</t>
  </si>
  <si>
    <t>38.98亿</t>
  </si>
  <si>
    <t>24.22亿</t>
  </si>
  <si>
    <t>21.31亿</t>
  </si>
  <si>
    <t>32.49亿</t>
  </si>
  <si>
    <t>69900亿</t>
  </si>
  <si>
    <t>30844098亿</t>
  </si>
  <si>
    <t>370564690亿</t>
  </si>
  <si>
    <t>1574061800亿</t>
  </si>
  <si>
    <t>3865.73万</t>
  </si>
  <si>
    <t>10派6.5元(含税)</t>
  </si>
  <si>
    <t>4.12亿</t>
  </si>
  <si>
    <t>21193241亿</t>
  </si>
  <si>
    <t>42408551亿</t>
  </si>
  <si>
    <t>1239014220亿</t>
  </si>
  <si>
    <t>5127.62万</t>
  </si>
  <si>
    <t>5982.01万</t>
  </si>
  <si>
    <t>6174.25万</t>
  </si>
  <si>
    <t>5027.48万</t>
  </si>
  <si>
    <t>10转4股派12元(含税)</t>
  </si>
  <si>
    <t>136.04亿</t>
  </si>
  <si>
    <t>67.77亿</t>
  </si>
  <si>
    <t>-6.62亿</t>
  </si>
  <si>
    <t>417000亿</t>
  </si>
  <si>
    <t>-72204729亿</t>
  </si>
  <si>
    <t>5149550800亿</t>
  </si>
  <si>
    <t>9328786700亿</t>
  </si>
  <si>
    <t>31.66亿</t>
  </si>
  <si>
    <t>11.75亿</t>
  </si>
  <si>
    <t>-3665.60万</t>
  </si>
  <si>
    <t>41.57亿</t>
  </si>
  <si>
    <t>30.75亿</t>
  </si>
  <si>
    <t>30.77亿</t>
  </si>
  <si>
    <t>3033.14万</t>
  </si>
  <si>
    <t>9633373亿</t>
  </si>
  <si>
    <t>16833179亿</t>
  </si>
  <si>
    <t>681770340亿</t>
  </si>
  <si>
    <t>2453050900亿</t>
  </si>
  <si>
    <t>8642.01万</t>
  </si>
  <si>
    <t>-506.54万</t>
  </si>
  <si>
    <t>84.28亿</t>
  </si>
  <si>
    <t>4560731亿</t>
  </si>
  <si>
    <t>130918070亿</t>
  </si>
  <si>
    <t>1655492200亿</t>
  </si>
  <si>
    <t>5749500200亿</t>
  </si>
  <si>
    <t>10.49亿</t>
  </si>
  <si>
    <t>55.12亿</t>
  </si>
  <si>
    <t>10派2.05元(含税)</t>
  </si>
  <si>
    <t>28.32亿</t>
  </si>
  <si>
    <t>3828.35万</t>
  </si>
  <si>
    <t>1506417亿</t>
  </si>
  <si>
    <t>28514030亿</t>
  </si>
  <si>
    <t>548814020亿</t>
  </si>
  <si>
    <t>2729650000亿</t>
  </si>
  <si>
    <t>-1.62亿</t>
  </si>
  <si>
    <t>-2011.18万</t>
  </si>
  <si>
    <t>24.98亿</t>
  </si>
  <si>
    <t>11.98亿</t>
  </si>
  <si>
    <t>4616.57万</t>
  </si>
  <si>
    <t>-2936.22万</t>
  </si>
  <si>
    <t>7380亿</t>
  </si>
  <si>
    <t>-1519904亿</t>
  </si>
  <si>
    <t>15103928亿</t>
  </si>
  <si>
    <t>223656110亿</t>
  </si>
  <si>
    <t>5480.42万</t>
  </si>
  <si>
    <t>-345.98万</t>
  </si>
  <si>
    <t>11.99亿</t>
  </si>
  <si>
    <t>68.83亿</t>
  </si>
  <si>
    <t>88.95亿</t>
  </si>
  <si>
    <t>5970180亿</t>
  </si>
  <si>
    <t>126265343亿</t>
  </si>
  <si>
    <t>3810521800亿</t>
  </si>
  <si>
    <t>7713274000亿</t>
  </si>
  <si>
    <t>11.45亿</t>
  </si>
  <si>
    <t>-6.81亿</t>
  </si>
  <si>
    <t>78.19亿</t>
  </si>
  <si>
    <t>15.12亿</t>
  </si>
  <si>
    <t>21.59亿</t>
  </si>
  <si>
    <t>5551.46万</t>
  </si>
  <si>
    <t>348145亿</t>
  </si>
  <si>
    <t>-19876718亿</t>
  </si>
  <si>
    <t>605005920亿</t>
  </si>
  <si>
    <t>3023625700亿</t>
  </si>
  <si>
    <t>9326.88万</t>
  </si>
  <si>
    <t>887.63万</t>
  </si>
  <si>
    <t>0166543800</t>
  </si>
  <si>
    <t>0333087600</t>
  </si>
  <si>
    <t>0555146000</t>
  </si>
  <si>
    <t>01110292000</t>
  </si>
  <si>
    <t>64.42亿</t>
  </si>
  <si>
    <t>7.78亿</t>
  </si>
  <si>
    <t>9.39亿</t>
  </si>
  <si>
    <t>16.72亿</t>
  </si>
  <si>
    <t>19.95亿</t>
  </si>
  <si>
    <t>8980.35万</t>
  </si>
  <si>
    <t>363.36万</t>
  </si>
  <si>
    <t>-314800亿</t>
  </si>
  <si>
    <t>-7254165亿</t>
  </si>
  <si>
    <t>142018190亿</t>
  </si>
  <si>
    <t>264388200亿</t>
  </si>
  <si>
    <t>8191.61万</t>
  </si>
  <si>
    <t>25.69万</t>
  </si>
  <si>
    <t>010900800</t>
  </si>
  <si>
    <t>021801600</t>
  </si>
  <si>
    <t>036336000</t>
  </si>
  <si>
    <t>072672000</t>
  </si>
  <si>
    <t>80.25亿</t>
  </si>
  <si>
    <t>41.28亿</t>
  </si>
  <si>
    <t>-6.20亿</t>
  </si>
  <si>
    <t>7194560亿</t>
  </si>
  <si>
    <t>14311964亿</t>
  </si>
  <si>
    <t>735991670亿</t>
  </si>
  <si>
    <t>3483534700亿</t>
  </si>
  <si>
    <t>15.63亿</t>
  </si>
  <si>
    <t>2530.23万</t>
  </si>
  <si>
    <t>7.77亿</t>
  </si>
  <si>
    <t>-13223亿</t>
  </si>
  <si>
    <t>16353919亿</t>
  </si>
  <si>
    <t>184073870亿</t>
  </si>
  <si>
    <t>1026733780亿</t>
  </si>
  <si>
    <t>11.68亿</t>
  </si>
  <si>
    <t>-4.35亿</t>
  </si>
  <si>
    <t>2620.00万</t>
  </si>
  <si>
    <t>10派1.86元(含税)</t>
  </si>
  <si>
    <t>110.29亿</t>
  </si>
  <si>
    <t>119.37亿</t>
  </si>
  <si>
    <t>5713410亿</t>
  </si>
  <si>
    <t>8104912亿</t>
  </si>
  <si>
    <t>1417458300亿</t>
  </si>
  <si>
    <t>11673896100亿</t>
  </si>
  <si>
    <t>31.81亿</t>
  </si>
  <si>
    <t>24.72亿</t>
  </si>
  <si>
    <t>125.39亿</t>
  </si>
  <si>
    <t>33.05亿</t>
  </si>
  <si>
    <t>133.09亿</t>
  </si>
  <si>
    <t>12.16亿</t>
  </si>
  <si>
    <t>5804907亿</t>
  </si>
  <si>
    <t>195561110亿</t>
  </si>
  <si>
    <t>1834716000亿</t>
  </si>
  <si>
    <t>11630056800亿</t>
  </si>
  <si>
    <t>32.88亿</t>
  </si>
  <si>
    <t>55.88亿</t>
  </si>
  <si>
    <t>4577.15万</t>
  </si>
  <si>
    <t>22861989亿</t>
  </si>
  <si>
    <t>29744903亿</t>
  </si>
  <si>
    <t>1101291380亿</t>
  </si>
  <si>
    <t>6525467900亿</t>
  </si>
  <si>
    <t>13.43亿</t>
  </si>
  <si>
    <t>923.08万</t>
  </si>
  <si>
    <t>045771500</t>
  </si>
  <si>
    <t>0137314500</t>
  </si>
  <si>
    <t>0274629000</t>
  </si>
  <si>
    <t>0457715000</t>
  </si>
  <si>
    <t>0915430000</t>
  </si>
  <si>
    <t>7.29亿</t>
  </si>
  <si>
    <t>2950620亿</t>
  </si>
  <si>
    <t>-26404534亿</t>
  </si>
  <si>
    <t>171073030亿</t>
  </si>
  <si>
    <t>1136847700亿</t>
  </si>
  <si>
    <t>-2152.55万</t>
  </si>
  <si>
    <t>90.57亿</t>
  </si>
  <si>
    <t>41.12亿</t>
  </si>
  <si>
    <t>-4.66亿</t>
  </si>
  <si>
    <t>-20197亿</t>
  </si>
  <si>
    <t>28054577亿</t>
  </si>
  <si>
    <t>391435530亿</t>
  </si>
  <si>
    <t>3288656800亿</t>
  </si>
  <si>
    <t>-4791.15万</t>
  </si>
  <si>
    <t>1.30万</t>
  </si>
  <si>
    <t>1.67万</t>
  </si>
  <si>
    <t>10派1.2元(含税)</t>
  </si>
  <si>
    <t>25.40亿</t>
  </si>
  <si>
    <t>28.21亿</t>
  </si>
  <si>
    <t>648.8亿</t>
  </si>
  <si>
    <t>-25797516亿</t>
  </si>
  <si>
    <t>471304110亿</t>
  </si>
  <si>
    <t>1618639300亿</t>
  </si>
  <si>
    <t>1071.85万</t>
  </si>
  <si>
    <t>6.15亿</t>
  </si>
  <si>
    <t>-4060.34万</t>
  </si>
  <si>
    <t>305538亿</t>
  </si>
  <si>
    <t>492.45万</t>
  </si>
  <si>
    <t>-4245859亿</t>
  </si>
  <si>
    <t>213380770亿</t>
  </si>
  <si>
    <t>519739330亿</t>
  </si>
  <si>
    <t>543.01万</t>
  </si>
  <si>
    <t>-6240.61万</t>
  </si>
  <si>
    <t>6025.03万</t>
  </si>
  <si>
    <t>-219.78万</t>
  </si>
  <si>
    <t>53.11亿</t>
  </si>
  <si>
    <t>30779812亿</t>
  </si>
  <si>
    <t>120967313亿</t>
  </si>
  <si>
    <t>608452140亿</t>
  </si>
  <si>
    <t>5547058400亿</t>
  </si>
  <si>
    <t>40.97亿</t>
  </si>
  <si>
    <t>96.12亿</t>
  </si>
  <si>
    <t>8788.17万</t>
  </si>
  <si>
    <t>-5570454亿</t>
  </si>
  <si>
    <t>29804541亿</t>
  </si>
  <si>
    <t>708772860亿</t>
  </si>
  <si>
    <t>3698257600亿</t>
  </si>
  <si>
    <t>-6995.77万</t>
  </si>
  <si>
    <t>2262.05万</t>
  </si>
  <si>
    <t>390.89亿</t>
  </si>
  <si>
    <t>88.05亿</t>
  </si>
  <si>
    <t>414.87亿</t>
  </si>
  <si>
    <t>47.89亿</t>
  </si>
  <si>
    <t>21526206亿</t>
  </si>
  <si>
    <t>1063049340亿</t>
  </si>
  <si>
    <t>897315080亿</t>
  </si>
  <si>
    <t>13281154400亿</t>
  </si>
  <si>
    <t>2776.36万</t>
  </si>
  <si>
    <t>370.43亿</t>
  </si>
  <si>
    <t>30.96亿</t>
  </si>
  <si>
    <t>94.62亿</t>
  </si>
  <si>
    <t>18.15亿</t>
  </si>
  <si>
    <t>56.94亿</t>
  </si>
  <si>
    <t>4406.85万</t>
  </si>
  <si>
    <t>353461亿</t>
  </si>
  <si>
    <t>30662140亿</t>
  </si>
  <si>
    <t>760161660亿</t>
  </si>
  <si>
    <t>3243236200亿</t>
  </si>
  <si>
    <t>2944.33万</t>
  </si>
  <si>
    <t>10派0.67元(含税)</t>
  </si>
  <si>
    <t>38.14亿</t>
  </si>
  <si>
    <t>27.93亿</t>
  </si>
  <si>
    <t>3031.52万</t>
  </si>
  <si>
    <t>22.06亿</t>
  </si>
  <si>
    <t>2416518亿</t>
  </si>
  <si>
    <t>-26427485亿</t>
  </si>
  <si>
    <t>1428137200亿</t>
  </si>
  <si>
    <t>3715861900亿</t>
  </si>
  <si>
    <t>8.23亿</t>
  </si>
  <si>
    <t>4786.15万</t>
  </si>
  <si>
    <t>-1484.74万</t>
  </si>
  <si>
    <t>83.15亿</t>
  </si>
  <si>
    <t>115.43亿</t>
  </si>
  <si>
    <t>14402815亿</t>
  </si>
  <si>
    <t>56742436亿</t>
  </si>
  <si>
    <t>2282178100亿</t>
  </si>
  <si>
    <t>9439452600亿</t>
  </si>
  <si>
    <t>21.80亿</t>
  </si>
  <si>
    <t>5131.19万</t>
  </si>
  <si>
    <t>10派5.60元(含税)</t>
  </si>
  <si>
    <t>28.15亿</t>
  </si>
  <si>
    <t>49.60亿</t>
  </si>
  <si>
    <t>37.79亿</t>
  </si>
  <si>
    <t>52743226亿</t>
  </si>
  <si>
    <t>16717526亿</t>
  </si>
  <si>
    <t>700748990亿</t>
  </si>
  <si>
    <t>2268515800亿</t>
  </si>
  <si>
    <t>2935.10万</t>
  </si>
  <si>
    <t>5563.69万</t>
  </si>
  <si>
    <t>6951.32万</t>
  </si>
  <si>
    <t>5088.20万</t>
  </si>
  <si>
    <t>1022603亿</t>
  </si>
  <si>
    <t>2072715亿</t>
  </si>
  <si>
    <t>55445718亿</t>
  </si>
  <si>
    <t>501069420亿</t>
  </si>
  <si>
    <t>200.00万</t>
  </si>
  <si>
    <t>8456.05万</t>
  </si>
  <si>
    <t>8237.79万</t>
  </si>
  <si>
    <t>1047.79万</t>
  </si>
  <si>
    <t>050882000</t>
  </si>
  <si>
    <t>0152646000</t>
  </si>
  <si>
    <t>0305292000</t>
  </si>
  <si>
    <t>0508820000</t>
  </si>
  <si>
    <t>01017640000</t>
  </si>
  <si>
    <t>7.89亿</t>
  </si>
  <si>
    <t>8551.38万</t>
  </si>
  <si>
    <t>1887119亿</t>
  </si>
  <si>
    <t>11363528亿</t>
  </si>
  <si>
    <t>635453930亿</t>
  </si>
  <si>
    <t>1599999400亿</t>
  </si>
  <si>
    <t>2071.99万</t>
  </si>
  <si>
    <t>085513800</t>
  </si>
  <si>
    <t>0256541400</t>
  </si>
  <si>
    <t>0513082800</t>
  </si>
  <si>
    <t>0855138000</t>
  </si>
  <si>
    <t>01710276000</t>
  </si>
  <si>
    <t>16457657亿</t>
  </si>
  <si>
    <t>51231715亿</t>
  </si>
  <si>
    <t>405927030亿</t>
  </si>
  <si>
    <t>1125541040亿</t>
  </si>
  <si>
    <t>7280.18万</t>
  </si>
  <si>
    <t>15.53亿</t>
  </si>
  <si>
    <t>9776.43万</t>
  </si>
  <si>
    <t>-23797亿</t>
  </si>
  <si>
    <t>4815438亿</t>
  </si>
  <si>
    <t>754926370亿</t>
  </si>
  <si>
    <t>1789981200亿</t>
  </si>
  <si>
    <t>5343.53万</t>
  </si>
  <si>
    <t>466.48万</t>
  </si>
  <si>
    <t>4.67亿</t>
  </si>
  <si>
    <t>15.61亿</t>
  </si>
  <si>
    <t>1024.07万</t>
  </si>
  <si>
    <t>-11322280亿</t>
  </si>
  <si>
    <t>317850020亿</t>
  </si>
  <si>
    <t>986866550亿</t>
  </si>
  <si>
    <t>1019.09万</t>
  </si>
  <si>
    <t>76.19万</t>
  </si>
  <si>
    <t>1497531亿</t>
  </si>
  <si>
    <t>230317400亿</t>
  </si>
  <si>
    <t>1053614160亿</t>
  </si>
  <si>
    <t>2740.00万</t>
  </si>
  <si>
    <t>14.12亿</t>
  </si>
  <si>
    <t>499567亿</t>
  </si>
  <si>
    <t>12644827亿</t>
  </si>
  <si>
    <t>628327360亿</t>
  </si>
  <si>
    <t>1920971700亿</t>
  </si>
  <si>
    <t>524.58万</t>
  </si>
  <si>
    <t>36.97万</t>
  </si>
  <si>
    <t>13.01亿</t>
  </si>
  <si>
    <t>16.55亿</t>
  </si>
  <si>
    <t>8376.72万</t>
  </si>
  <si>
    <t>25004363亿</t>
  </si>
  <si>
    <t>284422050亿</t>
  </si>
  <si>
    <t>925984000亿</t>
  </si>
  <si>
    <t>7445.57万</t>
  </si>
  <si>
    <t>3062.15万</t>
  </si>
  <si>
    <t>10转3股派1元(含税)</t>
  </si>
  <si>
    <t>32.36亿</t>
  </si>
  <si>
    <t>10.69亿</t>
  </si>
  <si>
    <t>432596亿</t>
  </si>
  <si>
    <t>4361603亿</t>
  </si>
  <si>
    <t>232853600亿</t>
  </si>
  <si>
    <t>909054830亿</t>
  </si>
  <si>
    <t>1072.02万</t>
  </si>
  <si>
    <t>16.81亿</t>
  </si>
  <si>
    <t>17.30亿</t>
  </si>
  <si>
    <t>-2.74亿</t>
  </si>
  <si>
    <t>24.39亿</t>
  </si>
  <si>
    <t>1055436亿</t>
  </si>
  <si>
    <t>38266498亿</t>
  </si>
  <si>
    <t>475373920亿</t>
  </si>
  <si>
    <t>2022039500亿</t>
  </si>
  <si>
    <t>5499.06万</t>
  </si>
  <si>
    <t>39.02亿</t>
  </si>
  <si>
    <t>5824432亿</t>
  </si>
  <si>
    <t>58815037亿</t>
  </si>
  <si>
    <t>1058884770亿</t>
  </si>
  <si>
    <t>3712620400亿</t>
  </si>
  <si>
    <t>814.58万</t>
  </si>
  <si>
    <t>3895589亿</t>
  </si>
  <si>
    <t>326223970亿</t>
  </si>
  <si>
    <t>893.79万</t>
  </si>
  <si>
    <t>1280485890亿</t>
  </si>
  <si>
    <t>-3.04亿</t>
  </si>
  <si>
    <t>-753.32万</t>
  </si>
  <si>
    <t>08145800</t>
  </si>
  <si>
    <t>024437400</t>
  </si>
  <si>
    <t>048874800</t>
  </si>
  <si>
    <t>081458000</t>
  </si>
  <si>
    <t>0162916000</t>
  </si>
  <si>
    <t>76.54亿</t>
  </si>
  <si>
    <t>-8415.45万</t>
  </si>
  <si>
    <t>668136亿</t>
  </si>
  <si>
    <t>-80920291亿</t>
  </si>
  <si>
    <t>632092110亿</t>
  </si>
  <si>
    <t>5465843400亿</t>
  </si>
  <si>
    <t>-8.05亿</t>
  </si>
  <si>
    <t>19.68亿</t>
  </si>
  <si>
    <t>-1.39亿</t>
  </si>
  <si>
    <t>14.67亿</t>
  </si>
  <si>
    <t>1473.31万</t>
  </si>
  <si>
    <t>8252亿</t>
  </si>
  <si>
    <t>7598824亿</t>
  </si>
  <si>
    <t>74962781亿</t>
  </si>
  <si>
    <t>846162040亿</t>
  </si>
  <si>
    <t>361.34万</t>
  </si>
  <si>
    <t>014733100</t>
  </si>
  <si>
    <t>044199300</t>
  </si>
  <si>
    <t>088398600</t>
  </si>
  <si>
    <t>0147331000</t>
  </si>
  <si>
    <t>0294662000</t>
  </si>
  <si>
    <t>125863373亿</t>
  </si>
  <si>
    <t>371638500亿</t>
  </si>
  <si>
    <t>1164363230亿</t>
  </si>
  <si>
    <t>-1.84亿</t>
  </si>
  <si>
    <t>10送2股转3股派10元(含税)</t>
  </si>
  <si>
    <t>5.74亿</t>
  </si>
  <si>
    <t>75371亿</t>
  </si>
  <si>
    <t>-4641054亿</t>
  </si>
  <si>
    <t>307538950亿</t>
  </si>
  <si>
    <t>484234490亿</t>
  </si>
  <si>
    <t>253.20万</t>
  </si>
  <si>
    <t>-1397.82万</t>
  </si>
  <si>
    <t>28234755亿</t>
  </si>
  <si>
    <t>46977715亿</t>
  </si>
  <si>
    <t>199112280亿</t>
  </si>
  <si>
    <t>2272034700亿</t>
  </si>
  <si>
    <t>4253.12万</t>
  </si>
  <si>
    <t>4533.09万</t>
  </si>
  <si>
    <t>10.35亿</t>
  </si>
  <si>
    <t>-3.45亿</t>
  </si>
  <si>
    <t>284002亿</t>
  </si>
  <si>
    <t>47724827亿</t>
  </si>
  <si>
    <t>257520170亿</t>
  </si>
  <si>
    <t>791341080亿</t>
  </si>
  <si>
    <t>3744.84万</t>
  </si>
  <si>
    <t>8463.27万</t>
  </si>
  <si>
    <t>831355亿</t>
  </si>
  <si>
    <t>-9946331亿</t>
  </si>
  <si>
    <t>348890680亿</t>
  </si>
  <si>
    <t>1276911360亿</t>
  </si>
  <si>
    <t>70.00万</t>
  </si>
  <si>
    <t>3.34亿</t>
  </si>
  <si>
    <t>1772.78万</t>
  </si>
  <si>
    <t>7.35亿</t>
  </si>
  <si>
    <t>1433.32万</t>
  </si>
  <si>
    <t>-341091亿</t>
  </si>
  <si>
    <t>2107124亿</t>
  </si>
  <si>
    <t>239514080亿</t>
  </si>
  <si>
    <t>927834400亿</t>
  </si>
  <si>
    <t>-345.74万</t>
  </si>
  <si>
    <t>014333200</t>
  </si>
  <si>
    <t>042999600</t>
  </si>
  <si>
    <t>085999200</t>
  </si>
  <si>
    <t>0143332000</t>
  </si>
  <si>
    <t>0286664000</t>
  </si>
  <si>
    <t>14.85亿</t>
  </si>
  <si>
    <t>-2.34亿</t>
  </si>
  <si>
    <t>10.36亿</t>
  </si>
  <si>
    <t>1271.52万</t>
  </si>
  <si>
    <t>8.70亿</t>
  </si>
  <si>
    <t>1808309亿</t>
  </si>
  <si>
    <t>-20333038亿</t>
  </si>
  <si>
    <t>95081315亿</t>
  </si>
  <si>
    <t>1665120000亿</t>
  </si>
  <si>
    <t>938.29万</t>
  </si>
  <si>
    <t>038145600</t>
  </si>
  <si>
    <t>076291200</t>
  </si>
  <si>
    <t>0127152000</t>
  </si>
  <si>
    <t>0254304000</t>
  </si>
  <si>
    <t>13.72亿</t>
  </si>
  <si>
    <t>-381725亿</t>
  </si>
  <si>
    <t>-10382761亿</t>
  </si>
  <si>
    <t>299850610亿</t>
  </si>
  <si>
    <t>706933100亿</t>
  </si>
  <si>
    <t>-596.97万</t>
  </si>
  <si>
    <t>-5572.61万</t>
  </si>
  <si>
    <t>-27012亿</t>
  </si>
  <si>
    <t>3867815亿</t>
  </si>
  <si>
    <t>340432670亿</t>
  </si>
  <si>
    <t>1153098150亿</t>
  </si>
  <si>
    <t>730.17万</t>
  </si>
  <si>
    <t>11.10亿</t>
  </si>
  <si>
    <t>28.42亿</t>
  </si>
  <si>
    <t>-2.12亿</t>
  </si>
  <si>
    <t>6.82亿</t>
  </si>
  <si>
    <t>1800.85万</t>
  </si>
  <si>
    <t>15518773亿</t>
  </si>
  <si>
    <t>137229000亿</t>
  </si>
  <si>
    <t>466664690亿</t>
  </si>
  <si>
    <t>1117.28万</t>
  </si>
  <si>
    <t>2842.84万</t>
  </si>
  <si>
    <t>-1478932亿</t>
  </si>
  <si>
    <t>7157144亿</t>
  </si>
  <si>
    <t>239836850亿</t>
  </si>
  <si>
    <t>667101610亿</t>
  </si>
  <si>
    <t>368.57万</t>
  </si>
  <si>
    <t>18.54亿</t>
  </si>
  <si>
    <t>39.34亿</t>
  </si>
  <si>
    <t>52.78亿</t>
  </si>
  <si>
    <t>1158732亿</t>
  </si>
  <si>
    <t>37.26万</t>
  </si>
  <si>
    <t>98728341亿</t>
  </si>
  <si>
    <t>9.47亿</t>
  </si>
  <si>
    <t>1098780130亿</t>
  </si>
  <si>
    <t>4387337300亿</t>
  </si>
  <si>
    <t>8293.03万</t>
  </si>
  <si>
    <t>6050.77万</t>
  </si>
  <si>
    <t>12798952亿</t>
  </si>
  <si>
    <t>15603022亿</t>
  </si>
  <si>
    <t>72037535亿</t>
  </si>
  <si>
    <t>1112143290亿</t>
  </si>
  <si>
    <t>1502.74万</t>
  </si>
  <si>
    <t>-8773.20万</t>
  </si>
  <si>
    <t>107866亿</t>
  </si>
  <si>
    <t>-14355154亿</t>
  </si>
  <si>
    <t>55713214亿</t>
  </si>
  <si>
    <t>398602260亿</t>
  </si>
  <si>
    <t>-1503.73万</t>
  </si>
  <si>
    <t>15.38亿</t>
  </si>
  <si>
    <t>987.51万</t>
  </si>
  <si>
    <t>-995029亿</t>
  </si>
  <si>
    <t>58913330亿</t>
  </si>
  <si>
    <t>235699490亿</t>
  </si>
  <si>
    <t>1499867000亿</t>
  </si>
  <si>
    <t>1150.09万</t>
  </si>
  <si>
    <t>6825.50万</t>
  </si>
  <si>
    <t>2066.99万</t>
  </si>
  <si>
    <t>6.55亿</t>
  </si>
  <si>
    <t>-15971098亿</t>
  </si>
  <si>
    <t>467447580亿</t>
  </si>
  <si>
    <t>944281200亿</t>
  </si>
  <si>
    <t>365.15万</t>
  </si>
  <si>
    <t>13.85亿</t>
  </si>
  <si>
    <t>-3529.19万</t>
  </si>
  <si>
    <t>5107954亿</t>
  </si>
  <si>
    <t>118856993亿</t>
  </si>
  <si>
    <t>720133380亿</t>
  </si>
  <si>
    <t>5.98亿</t>
  </si>
  <si>
    <t>-2531.52万</t>
  </si>
  <si>
    <t>8221.03万</t>
  </si>
  <si>
    <t>759540亿</t>
  </si>
  <si>
    <t>16211702亿</t>
  </si>
  <si>
    <t>247336460亿</t>
  </si>
  <si>
    <t>996742640亿</t>
  </si>
  <si>
    <t>9013.82万</t>
  </si>
  <si>
    <t>1545.74万</t>
  </si>
  <si>
    <t>-460664亿</t>
  </si>
  <si>
    <t>45698000亿</t>
  </si>
  <si>
    <t>422722900亿</t>
  </si>
  <si>
    <t>5884920600亿</t>
  </si>
  <si>
    <t>3600.00万</t>
  </si>
  <si>
    <t>10派4.00元(含税)</t>
  </si>
  <si>
    <t>0379000000</t>
  </si>
  <si>
    <t>01137000000</t>
  </si>
  <si>
    <t>02274000000</t>
  </si>
  <si>
    <t>03790000000</t>
  </si>
  <si>
    <t>07580000000</t>
  </si>
  <si>
    <t>1100.25万</t>
  </si>
  <si>
    <t>2921132亿</t>
  </si>
  <si>
    <t>21069213亿</t>
  </si>
  <si>
    <t>201901010亿</t>
  </si>
  <si>
    <t>1083300870亿</t>
  </si>
  <si>
    <t>10.32亿</t>
  </si>
  <si>
    <t>-279.41万</t>
  </si>
  <si>
    <t>-1480.49万</t>
  </si>
  <si>
    <t>1584.86万</t>
  </si>
  <si>
    <t>3094663亿</t>
  </si>
  <si>
    <t>4333994亿</t>
  </si>
  <si>
    <t>295922510亿</t>
  </si>
  <si>
    <t>1058861920亿</t>
  </si>
  <si>
    <t>477.88万</t>
  </si>
  <si>
    <t>015848600</t>
  </si>
  <si>
    <t>047545800</t>
  </si>
  <si>
    <t>095091600</t>
  </si>
  <si>
    <t>0158486000</t>
  </si>
  <si>
    <t>0316972000</t>
  </si>
  <si>
    <t>3393654亿</t>
  </si>
  <si>
    <t>35477927亿</t>
  </si>
  <si>
    <t>257101470亿</t>
  </si>
  <si>
    <t>1531006600亿</t>
  </si>
  <si>
    <t>10派1.67元(含税)</t>
  </si>
  <si>
    <t>12.86亿</t>
  </si>
  <si>
    <t>14.43亿</t>
  </si>
  <si>
    <t>48.01亿</t>
  </si>
  <si>
    <t>-2.71亿</t>
  </si>
  <si>
    <t>52457172亿</t>
  </si>
  <si>
    <t>127814888亿</t>
  </si>
  <si>
    <t>2336596000亿</t>
  </si>
  <si>
    <t>8523.02万</t>
  </si>
  <si>
    <t>2151825亿</t>
  </si>
  <si>
    <t>10399385亿</t>
  </si>
  <si>
    <t>95345740亿</t>
  </si>
  <si>
    <t>1262298780亿</t>
  </si>
  <si>
    <t>9541.68万</t>
  </si>
  <si>
    <t>24689907亿</t>
  </si>
  <si>
    <t>134557330亿</t>
  </si>
  <si>
    <t>978965880亿</t>
  </si>
  <si>
    <t>8786.43万</t>
  </si>
  <si>
    <t>-357608亿</t>
  </si>
  <si>
    <t>10310546亿</t>
  </si>
  <si>
    <t>199429500亿</t>
  </si>
  <si>
    <t>1548580000亿</t>
  </si>
  <si>
    <t>2366.54万</t>
  </si>
  <si>
    <t>7709.97万</t>
  </si>
  <si>
    <t>5902.56万</t>
  </si>
  <si>
    <t>9347.99万</t>
  </si>
  <si>
    <t>280185亿</t>
  </si>
  <si>
    <t>15212085亿</t>
  </si>
  <si>
    <t>41494518亿</t>
  </si>
  <si>
    <t>901392890亿</t>
  </si>
  <si>
    <t>11.97亿</t>
  </si>
  <si>
    <t>9948.78万</t>
  </si>
  <si>
    <t>1172822亿</t>
  </si>
  <si>
    <t>24727532亿</t>
  </si>
  <si>
    <t>181326720亿</t>
  </si>
  <si>
    <t>996317790亿</t>
  </si>
  <si>
    <t>28.16亿</t>
  </si>
  <si>
    <t>-643692亿</t>
  </si>
  <si>
    <t>146331650亿</t>
  </si>
  <si>
    <t>313442670亿</t>
  </si>
  <si>
    <t>2272361900亿</t>
  </si>
  <si>
    <t>10派13元(含税)</t>
  </si>
  <si>
    <t>7.71亿</t>
  </si>
  <si>
    <t>14.33亿</t>
  </si>
  <si>
    <t>4727.72万</t>
  </si>
  <si>
    <t>17295266亿</t>
  </si>
  <si>
    <t>229385980亿</t>
  </si>
  <si>
    <t>604597620亿</t>
  </si>
  <si>
    <t>-3129.68万</t>
  </si>
  <si>
    <t>-27202743亿</t>
  </si>
  <si>
    <t>447810360亿</t>
  </si>
  <si>
    <t>1392488100亿</t>
  </si>
  <si>
    <t>-1525.13万</t>
  </si>
  <si>
    <t>10转4股</t>
  </si>
  <si>
    <t>9334.11万</t>
  </si>
  <si>
    <t>759169亿</t>
  </si>
  <si>
    <t>8.00万</t>
  </si>
  <si>
    <t>10310105亿</t>
  </si>
  <si>
    <t>101053518亿</t>
  </si>
  <si>
    <t>742373530亿</t>
  </si>
  <si>
    <t>9747.04万</t>
  </si>
  <si>
    <t>31147273亿</t>
  </si>
  <si>
    <t>120441671亿</t>
  </si>
  <si>
    <t>1481614600亿</t>
  </si>
  <si>
    <t>1572.43万</t>
  </si>
  <si>
    <t>10派5.67元(含税)</t>
  </si>
  <si>
    <t>172.25亿</t>
  </si>
  <si>
    <t>13922122亿</t>
  </si>
  <si>
    <t>-99109516亿</t>
  </si>
  <si>
    <t>1011781450亿</t>
  </si>
  <si>
    <t>7485507800亿</t>
  </si>
  <si>
    <t>10派0.39元(含税)</t>
  </si>
  <si>
    <t>1503.13万</t>
  </si>
  <si>
    <t>1016735亿</t>
  </si>
  <si>
    <t>-14048979亿</t>
  </si>
  <si>
    <t>290353340亿</t>
  </si>
  <si>
    <t>1646862200亿</t>
  </si>
  <si>
    <t>1000.85万</t>
  </si>
  <si>
    <t>9541.24万</t>
  </si>
  <si>
    <t>13.53亿</t>
  </si>
  <si>
    <t>50.21亿</t>
  </si>
  <si>
    <t>2576551亿</t>
  </si>
  <si>
    <t>44340164亿</t>
  </si>
  <si>
    <t>85736647亿</t>
  </si>
  <si>
    <t>1660545800亿</t>
  </si>
  <si>
    <t>3971.86万</t>
  </si>
  <si>
    <t>9790.62万</t>
  </si>
  <si>
    <t>6304.53万</t>
  </si>
  <si>
    <t>-364693亿</t>
  </si>
  <si>
    <t>8979945亿</t>
  </si>
  <si>
    <t>69823312亿</t>
  </si>
  <si>
    <t>20.00万</t>
  </si>
  <si>
    <t>557442490亿</t>
  </si>
  <si>
    <t>10转3股派5.5元(含税)</t>
  </si>
  <si>
    <t>20.24亿</t>
  </si>
  <si>
    <t>2105.45万</t>
  </si>
  <si>
    <t>43439亿</t>
  </si>
  <si>
    <t>19342277亿</t>
  </si>
  <si>
    <t>9014038亿</t>
  </si>
  <si>
    <t>1630008200亿</t>
  </si>
  <si>
    <t>5887.44万</t>
  </si>
  <si>
    <t>27857949亿</t>
  </si>
  <si>
    <t>23818567亿</t>
  </si>
  <si>
    <t>96765308亿</t>
  </si>
  <si>
    <t>351020610亿</t>
  </si>
  <si>
    <t>3382.98万</t>
  </si>
  <si>
    <t>37220亿</t>
  </si>
  <si>
    <t>13213523亿</t>
  </si>
  <si>
    <t>95507136亿</t>
  </si>
  <si>
    <t>711340650亿</t>
  </si>
  <si>
    <t>7111.28万</t>
  </si>
  <si>
    <t>60832亿</t>
  </si>
  <si>
    <t>6319799亿</t>
  </si>
  <si>
    <t>72232662亿</t>
  </si>
  <si>
    <t>921564660亿</t>
  </si>
  <si>
    <t>-2.41亿</t>
  </si>
  <si>
    <t>10派1.98元(含税)</t>
  </si>
  <si>
    <t>70.53亿</t>
  </si>
  <si>
    <t>42.48亿</t>
  </si>
  <si>
    <t>175.32亿</t>
  </si>
  <si>
    <t>19977907亿</t>
  </si>
  <si>
    <t>20702112亿</t>
  </si>
  <si>
    <t>1004482280亿</t>
  </si>
  <si>
    <t>7430002900亿</t>
  </si>
  <si>
    <t>8015.80万</t>
  </si>
  <si>
    <t>-771949亿</t>
  </si>
  <si>
    <t>17301163亿</t>
  </si>
  <si>
    <t>202893980亿</t>
  </si>
  <si>
    <t>1037135650亿</t>
  </si>
  <si>
    <t>15.37亿</t>
  </si>
  <si>
    <t>1894028亿</t>
  </si>
  <si>
    <t>28848350亿</t>
  </si>
  <si>
    <t>467091830亿</t>
  </si>
  <si>
    <t>1411046600亿</t>
  </si>
  <si>
    <t>23303656亿</t>
  </si>
  <si>
    <t>187978350亿</t>
  </si>
  <si>
    <t>552443630亿</t>
  </si>
  <si>
    <t>2114106亿</t>
  </si>
  <si>
    <t>19794819亿</t>
  </si>
  <si>
    <t>184115900亿</t>
  </si>
  <si>
    <t>1179965970亿</t>
  </si>
  <si>
    <t>8938.05万</t>
  </si>
  <si>
    <t>70.07亿</t>
  </si>
  <si>
    <t>54.70亿</t>
  </si>
  <si>
    <t>206.55亿</t>
  </si>
  <si>
    <t>28499595亿</t>
  </si>
  <si>
    <t>287967190亿</t>
  </si>
  <si>
    <t>1358676600亿</t>
  </si>
  <si>
    <t>6.92亿</t>
  </si>
  <si>
    <t>7638023700亿</t>
  </si>
  <si>
    <t>12.92亿</t>
  </si>
  <si>
    <t>*ST宁科</t>
  </si>
  <si>
    <t>5389.67万</t>
  </si>
  <si>
    <t>10410388亿</t>
  </si>
  <si>
    <t>-44563280亿</t>
  </si>
  <si>
    <t>202100530亿</t>
  </si>
  <si>
    <t>10.00万</t>
  </si>
  <si>
    <t>48.67亿</t>
  </si>
  <si>
    <t>-2645059亿</t>
  </si>
  <si>
    <t>21037691亿</t>
  </si>
  <si>
    <t>73373929亿</t>
  </si>
  <si>
    <t>1313570790亿</t>
  </si>
  <si>
    <t>10派1.38元(含税)</t>
  </si>
  <si>
    <t>20.92亿</t>
  </si>
  <si>
    <t>87.74亿</t>
  </si>
  <si>
    <t>7832821亿</t>
  </si>
  <si>
    <t>205170040亿</t>
  </si>
  <si>
    <t>757155100亿</t>
  </si>
  <si>
    <t>4051661200亿</t>
  </si>
  <si>
    <t>17.15亿</t>
  </si>
  <si>
    <t>64.48亿</t>
  </si>
  <si>
    <t>34.96亿</t>
  </si>
  <si>
    <t>131.84亿</t>
  </si>
  <si>
    <t>5216.55万</t>
  </si>
  <si>
    <t>-17736390亿</t>
  </si>
  <si>
    <t>378647510亿</t>
  </si>
  <si>
    <t>1857833800亿</t>
  </si>
  <si>
    <t>5726198300亿</t>
  </si>
  <si>
    <t>1585.86亿</t>
  </si>
  <si>
    <t>461.61亿</t>
  </si>
  <si>
    <t>1753.61亿</t>
  </si>
  <si>
    <t>168.16亿</t>
  </si>
  <si>
    <t>192215340亿</t>
  </si>
  <si>
    <t>4127075800亿</t>
  </si>
  <si>
    <t>11734858900亿</t>
  </si>
  <si>
    <t>79712307000亿</t>
  </si>
  <si>
    <t>10派16.25元(含税)</t>
  </si>
  <si>
    <t>320.93亿</t>
  </si>
  <si>
    <t>153.03亿</t>
  </si>
  <si>
    <t>96761819亿</t>
  </si>
  <si>
    <t>281958500亿</t>
  </si>
  <si>
    <t>2265270400亿</t>
  </si>
  <si>
    <t>55417972000亿</t>
  </si>
  <si>
    <t>72.04亿</t>
  </si>
  <si>
    <t>78.52亿</t>
  </si>
  <si>
    <t>1338919亿</t>
  </si>
  <si>
    <t>135934220亿</t>
  </si>
  <si>
    <t>1996496900亿</t>
  </si>
  <si>
    <t>7272002200亿</t>
  </si>
  <si>
    <t>10派3.46元(含税)</t>
  </si>
  <si>
    <t>25.26亿</t>
  </si>
  <si>
    <t>-5.43亿</t>
  </si>
  <si>
    <t>34.00亿</t>
  </si>
  <si>
    <t>323.20亿</t>
  </si>
  <si>
    <t>116.17亿</t>
  </si>
  <si>
    <t>542.72亿</t>
  </si>
  <si>
    <t>-18.48亿</t>
  </si>
  <si>
    <t>16.85亿</t>
  </si>
  <si>
    <t>-37047801亿</t>
  </si>
  <si>
    <t>-341404770亿</t>
  </si>
  <si>
    <t>3821119900亿</t>
  </si>
  <si>
    <t>16266107000亿</t>
  </si>
  <si>
    <t>79.06亿</t>
  </si>
  <si>
    <t>39.74亿</t>
  </si>
  <si>
    <t>146.31亿</t>
  </si>
  <si>
    <t>560675亿</t>
  </si>
  <si>
    <t>63870519亿</t>
  </si>
  <si>
    <t>1798483700亿</t>
  </si>
  <si>
    <t>11441056700亿</t>
  </si>
  <si>
    <t>6.13亿</t>
  </si>
  <si>
    <t>52.07亿</t>
  </si>
  <si>
    <t>49.94亿</t>
  </si>
  <si>
    <t>48540508亿</t>
  </si>
  <si>
    <t>191671140亿</t>
  </si>
  <si>
    <t>4397004700亿</t>
  </si>
  <si>
    <t>18.34亿</t>
  </si>
  <si>
    <t>67.25亿</t>
  </si>
  <si>
    <t>42.00亿</t>
  </si>
  <si>
    <t>173.74亿</t>
  </si>
  <si>
    <t>240276亿</t>
  </si>
  <si>
    <t>254289590亿</t>
  </si>
  <si>
    <t>832627860亿</t>
  </si>
  <si>
    <t>5360463500亿</t>
  </si>
  <si>
    <t>89.94亿</t>
  </si>
  <si>
    <t>64.87亿</t>
  </si>
  <si>
    <t>277.61亿</t>
  </si>
  <si>
    <t>3912130亿</t>
  </si>
  <si>
    <t>636707030亿</t>
  </si>
  <si>
    <t>766005060亿</t>
  </si>
  <si>
    <t>9608806600亿</t>
  </si>
  <si>
    <t>-347100亿</t>
  </si>
  <si>
    <t>43528545亿</t>
  </si>
  <si>
    <t>134394700亿</t>
  </si>
  <si>
    <t>1619755400亿</t>
  </si>
  <si>
    <t>9500.70万</t>
  </si>
  <si>
    <t>8321.19万</t>
  </si>
  <si>
    <t>9334.13万</t>
  </si>
  <si>
    <t>10派2.22元(含税)</t>
  </si>
  <si>
    <t>21.09亿</t>
  </si>
  <si>
    <t>28.50亿</t>
  </si>
  <si>
    <t>1672920亿</t>
  </si>
  <si>
    <t>46828818亿</t>
  </si>
  <si>
    <t>383278840亿</t>
  </si>
  <si>
    <t>2654877100亿</t>
  </si>
  <si>
    <t>10派1.85元(含税)</t>
  </si>
  <si>
    <t>27.83亿</t>
  </si>
  <si>
    <t>9076.93万</t>
  </si>
  <si>
    <t>1115076亿</t>
  </si>
  <si>
    <t>31854585亿</t>
  </si>
  <si>
    <t>415994200亿</t>
  </si>
  <si>
    <t>2597174900亿</t>
  </si>
  <si>
    <t>1149525亿</t>
  </si>
  <si>
    <t>29064432亿</t>
  </si>
  <si>
    <t>103701522亿</t>
  </si>
  <si>
    <t>1002008430亿</t>
  </si>
  <si>
    <t>13.16亿</t>
  </si>
  <si>
    <t>29.51亿</t>
  </si>
  <si>
    <t>-8630.99万</t>
  </si>
  <si>
    <t>1817195亿</t>
  </si>
  <si>
    <t>16227480亿</t>
  </si>
  <si>
    <t>723572100亿</t>
  </si>
  <si>
    <t>2165038300亿</t>
  </si>
  <si>
    <t>7484.04万</t>
  </si>
  <si>
    <t>7.07亿</t>
  </si>
  <si>
    <t>2455065亿</t>
  </si>
  <si>
    <t>22657208亿</t>
  </si>
  <si>
    <t>816089650亿</t>
  </si>
  <si>
    <t>2518192700亿</t>
  </si>
  <si>
    <t>-10.86亿</t>
  </si>
  <si>
    <t>10派13.0元(含税)</t>
  </si>
  <si>
    <t>7510.25万</t>
  </si>
  <si>
    <t>7604亿</t>
  </si>
  <si>
    <t>8528150亿</t>
  </si>
  <si>
    <t>399923690亿</t>
  </si>
  <si>
    <t>1169211160亿</t>
  </si>
  <si>
    <t>-5406.29万</t>
  </si>
  <si>
    <t>1691249亿</t>
  </si>
  <si>
    <t>1065905亿</t>
  </si>
  <si>
    <t>125888301亿</t>
  </si>
  <si>
    <t>676623400亿</t>
  </si>
  <si>
    <t>3148.44万</t>
  </si>
  <si>
    <t>25.97亿</t>
  </si>
  <si>
    <t>8846.54万</t>
  </si>
  <si>
    <t>5201.57万</t>
  </si>
  <si>
    <t>2464281亿</t>
  </si>
  <si>
    <t>129803187亿</t>
  </si>
  <si>
    <t>592025230亿</t>
  </si>
  <si>
    <t>3044817亿</t>
  </si>
  <si>
    <t>44338767亿</t>
  </si>
  <si>
    <t>199953790亿</t>
  </si>
  <si>
    <t>1900515500亿</t>
  </si>
  <si>
    <t>10转4.5股派2.3元(含税)</t>
  </si>
  <si>
    <t>22.77亿</t>
  </si>
  <si>
    <t>1155317亿</t>
  </si>
  <si>
    <t>26628487亿</t>
  </si>
  <si>
    <t>114105911亿</t>
  </si>
  <si>
    <t>1945028700亿</t>
  </si>
  <si>
    <t>10转4.0股</t>
  </si>
  <si>
    <t>9919.86万</t>
  </si>
  <si>
    <t>4045.23万</t>
  </si>
  <si>
    <t>6092969亿</t>
  </si>
  <si>
    <t>136575460亿</t>
  </si>
  <si>
    <t>967815470亿</t>
  </si>
  <si>
    <t>-179316亿</t>
  </si>
  <si>
    <t>81334946亿</t>
  </si>
  <si>
    <t>293335030亿</t>
  </si>
  <si>
    <t>1348529500亿</t>
  </si>
  <si>
    <t>-5.78亿</t>
  </si>
  <si>
    <t>3954007亿</t>
  </si>
  <si>
    <t>6248979亿</t>
  </si>
  <si>
    <t>86441854亿</t>
  </si>
  <si>
    <t>840846020亿</t>
  </si>
  <si>
    <t>4.72亿</t>
  </si>
  <si>
    <t>6387.58万</t>
  </si>
  <si>
    <t>14052837亿</t>
  </si>
  <si>
    <t>487916230亿</t>
  </si>
  <si>
    <t>1694352000亿</t>
  </si>
  <si>
    <t>6191.76万</t>
  </si>
  <si>
    <t>17.84亿</t>
  </si>
  <si>
    <t>5756482亿</t>
  </si>
  <si>
    <t>50413238亿</t>
  </si>
  <si>
    <t>177404350亿</t>
  </si>
  <si>
    <t>2369246800亿</t>
  </si>
  <si>
    <t>6136.43万</t>
  </si>
  <si>
    <t>103170亿</t>
  </si>
  <si>
    <t>3179329亿</t>
  </si>
  <si>
    <t>265452510亿</t>
  </si>
  <si>
    <t>1054075340亿</t>
  </si>
  <si>
    <t>10派0.46元(含税)</t>
  </si>
  <si>
    <t>509.21亿</t>
  </si>
  <si>
    <t>54.16亿</t>
  </si>
  <si>
    <t>265.84亿</t>
  </si>
  <si>
    <t>26.23亿</t>
  </si>
  <si>
    <t>-13589860亿</t>
  </si>
  <si>
    <t>519606110亿</t>
  </si>
  <si>
    <t>1108960450亿</t>
  </si>
  <si>
    <t>16951998000亿</t>
  </si>
  <si>
    <t>10派6.80元(含税)</t>
  </si>
  <si>
    <t>5780013亿</t>
  </si>
  <si>
    <t>144908060亿</t>
  </si>
  <si>
    <t>339550030亿</t>
  </si>
  <si>
    <t>4606481900亿</t>
  </si>
  <si>
    <t>33.34亿</t>
  </si>
  <si>
    <t>2572790亿</t>
  </si>
  <si>
    <t>154335460亿</t>
  </si>
  <si>
    <t>352531660亿</t>
  </si>
  <si>
    <t>4304652200亿</t>
  </si>
  <si>
    <t>10派2.3元(含税)</t>
  </si>
  <si>
    <t>28.99亿</t>
  </si>
  <si>
    <t>24733872亿</t>
  </si>
  <si>
    <t>61139168亿</t>
  </si>
  <si>
    <t>281865500亿</t>
  </si>
  <si>
    <t>1830274300亿</t>
  </si>
  <si>
    <t>19.26亿</t>
  </si>
  <si>
    <t>54.57亿</t>
  </si>
  <si>
    <t>8272.36万</t>
  </si>
  <si>
    <t>-4478186亿</t>
  </si>
  <si>
    <t>34112338亿</t>
  </si>
  <si>
    <t>877121590亿</t>
  </si>
  <si>
    <t>3423632700亿</t>
  </si>
  <si>
    <t>5656.89万</t>
  </si>
  <si>
    <t>201184亿</t>
  </si>
  <si>
    <t>21050467亿</t>
  </si>
  <si>
    <t>271198980亿</t>
  </si>
  <si>
    <t>1035070400亿</t>
  </si>
  <si>
    <t>10派0.26元(含税)</t>
  </si>
  <si>
    <t>2392.04万</t>
  </si>
  <si>
    <t>115272亿</t>
  </si>
  <si>
    <t>58909868亿</t>
  </si>
  <si>
    <t>470721620亿</t>
  </si>
  <si>
    <t>19.74亿</t>
  </si>
  <si>
    <t>30.23亿</t>
  </si>
  <si>
    <t>-761821亿</t>
  </si>
  <si>
    <t>10067669亿</t>
  </si>
  <si>
    <t>464341290亿</t>
  </si>
  <si>
    <t>1516945400亿</t>
  </si>
  <si>
    <t>812.39万</t>
  </si>
  <si>
    <t>8070.69万</t>
  </si>
  <si>
    <t>4575081亿</t>
  </si>
  <si>
    <t>3616328亿</t>
  </si>
  <si>
    <t>319440010亿</t>
  </si>
  <si>
    <t>1109221370亿</t>
  </si>
  <si>
    <t>10.88亿</t>
  </si>
  <si>
    <t>6206.03万</t>
  </si>
  <si>
    <t>4383.31万</t>
  </si>
  <si>
    <t>-430685亿</t>
  </si>
  <si>
    <t>21845458亿</t>
  </si>
  <si>
    <t>269060550亿</t>
  </si>
  <si>
    <t>847286960亿</t>
  </si>
  <si>
    <t>26.87万</t>
  </si>
  <si>
    <t>4126.99万</t>
  </si>
  <si>
    <t>11.96亿</t>
  </si>
  <si>
    <t>5003.92万</t>
  </si>
  <si>
    <t>21.56亿</t>
  </si>
  <si>
    <t>26.66亿</t>
  </si>
  <si>
    <t>208.88万</t>
  </si>
  <si>
    <t>-32758634亿</t>
  </si>
  <si>
    <t>119215352亿</t>
  </si>
  <si>
    <t>1403679400亿</t>
  </si>
  <si>
    <t>9.83亿</t>
  </si>
  <si>
    <t>-2291604亿</t>
  </si>
  <si>
    <t>36589555亿</t>
  </si>
  <si>
    <t>565660710亿</t>
  </si>
  <si>
    <t>1958916000亿</t>
  </si>
  <si>
    <t>1561.33万</t>
  </si>
  <si>
    <t>-145889亿</t>
  </si>
  <si>
    <t>72865686亿</t>
  </si>
  <si>
    <t>378747250亿</t>
  </si>
  <si>
    <t>1764998500亿</t>
  </si>
  <si>
    <t>-2.07亿</t>
  </si>
  <si>
    <t>10派4.5元(含税)</t>
  </si>
  <si>
    <t>32.48亿</t>
  </si>
  <si>
    <t>35.82亿</t>
  </si>
  <si>
    <t>2747713亿</t>
  </si>
  <si>
    <t>20450582亿</t>
  </si>
  <si>
    <t>2327892700亿</t>
  </si>
  <si>
    <t>4901550000亿</t>
  </si>
  <si>
    <t>26.50亿</t>
  </si>
  <si>
    <t>55308251亿</t>
  </si>
  <si>
    <t>176500550亿</t>
  </si>
  <si>
    <t>4.78亿</t>
  </si>
  <si>
    <t>1981808400亿</t>
  </si>
  <si>
    <t>14.62亿</t>
  </si>
  <si>
    <t>3270.37万</t>
  </si>
  <si>
    <t>-120404亿</t>
  </si>
  <si>
    <t>-28249083亿</t>
  </si>
  <si>
    <t>575567530亿</t>
  </si>
  <si>
    <t>2484807300亿</t>
  </si>
  <si>
    <t>10派2.8元(含税)</t>
  </si>
  <si>
    <t>25.41亿</t>
  </si>
  <si>
    <t>-3618391亿</t>
  </si>
  <si>
    <t>33867784亿</t>
  </si>
  <si>
    <t>793569410亿</t>
  </si>
  <si>
    <t>2521544600亿</t>
  </si>
  <si>
    <t>16.91亿</t>
  </si>
  <si>
    <t>11668958亿</t>
  </si>
  <si>
    <t>-11370158亿</t>
  </si>
  <si>
    <t>391145160亿</t>
  </si>
  <si>
    <t>2971020700亿</t>
  </si>
  <si>
    <t>1605568亿</t>
  </si>
  <si>
    <t>51248714亿</t>
  </si>
  <si>
    <t>196142150亿</t>
  </si>
  <si>
    <t>881853570亿</t>
  </si>
  <si>
    <t>10转3股派2.4元(含税)</t>
  </si>
  <si>
    <t>41.02亿</t>
  </si>
  <si>
    <t>43.69亿</t>
  </si>
  <si>
    <t>36678196亿</t>
  </si>
  <si>
    <t>309238210亿</t>
  </si>
  <si>
    <t>1844153900亿</t>
  </si>
  <si>
    <t>10016794亿</t>
  </si>
  <si>
    <t>73116615亿</t>
  </si>
  <si>
    <t>376151990亿</t>
  </si>
  <si>
    <t>3104143200亿</t>
  </si>
  <si>
    <t>10转3股派7元(含税)</t>
  </si>
  <si>
    <t>6497.09万</t>
  </si>
  <si>
    <t>13.49亿</t>
  </si>
  <si>
    <t>257574亿</t>
  </si>
  <si>
    <t>2650677亿</t>
  </si>
  <si>
    <t>354317550亿</t>
  </si>
  <si>
    <t>1123348760亿</t>
  </si>
  <si>
    <t>12619亿</t>
  </si>
  <si>
    <t>15169774亿</t>
  </si>
  <si>
    <t>114394746亿</t>
  </si>
  <si>
    <t>1891014000亿</t>
  </si>
  <si>
    <t>10派1.0元(含税)</t>
  </si>
  <si>
    <t>93.09万</t>
  </si>
  <si>
    <t>9.16亿</t>
  </si>
  <si>
    <t>2877.37万</t>
  </si>
  <si>
    <t>-114893亿</t>
  </si>
  <si>
    <t>12504116亿</t>
  </si>
  <si>
    <t>245079690亿</t>
  </si>
  <si>
    <t>1944674700亿</t>
  </si>
  <si>
    <t>40.60亿</t>
  </si>
  <si>
    <t>15.05亿</t>
  </si>
  <si>
    <t>-1664828亿</t>
  </si>
  <si>
    <t>102994927亿</t>
  </si>
  <si>
    <t>291690170亿</t>
  </si>
  <si>
    <t>7151482600亿</t>
  </si>
  <si>
    <t>10派1.9元(含税)</t>
  </si>
  <si>
    <t>9137.42万</t>
  </si>
  <si>
    <t>14293亿</t>
  </si>
  <si>
    <t>18851735亿</t>
  </si>
  <si>
    <t>244207190亿</t>
  </si>
  <si>
    <t>695345200亿</t>
  </si>
  <si>
    <t>6437.19万</t>
  </si>
  <si>
    <t>5167.36万</t>
  </si>
  <si>
    <t>2455821亿</t>
  </si>
  <si>
    <t>11716050亿</t>
  </si>
  <si>
    <t>104728846亿</t>
  </si>
  <si>
    <t>1265264540亿</t>
  </si>
  <si>
    <t>2147.20万</t>
  </si>
  <si>
    <t>27.70亿</t>
  </si>
  <si>
    <t>7257.15万</t>
  </si>
  <si>
    <t>-48180亿</t>
  </si>
  <si>
    <t>2094356亿</t>
  </si>
  <si>
    <t>804567170亿</t>
  </si>
  <si>
    <t>3203978500亿</t>
  </si>
  <si>
    <t>10转4股派1元(含税)</t>
  </si>
  <si>
    <t>8110.69万</t>
  </si>
  <si>
    <t>610408亿</t>
  </si>
  <si>
    <t>10154872亿</t>
  </si>
  <si>
    <t>272262370亿</t>
  </si>
  <si>
    <t>765210640亿</t>
  </si>
  <si>
    <t>8229.97万</t>
  </si>
  <si>
    <t>9847.36万</t>
  </si>
  <si>
    <t>8582.91万</t>
  </si>
  <si>
    <t>-125600亿</t>
  </si>
  <si>
    <t>16787774亿</t>
  </si>
  <si>
    <t>46308938亿</t>
  </si>
  <si>
    <t>1110306710亿</t>
  </si>
  <si>
    <t>9277.23万</t>
  </si>
  <si>
    <t>28.12亿</t>
  </si>
  <si>
    <t>7861.08万</t>
  </si>
  <si>
    <t>119093亿</t>
  </si>
  <si>
    <t>24082524亿</t>
  </si>
  <si>
    <t>89277701亿</t>
  </si>
  <si>
    <t>1487211300亿</t>
  </si>
  <si>
    <t>12.62亿</t>
  </si>
  <si>
    <t>-9613.77万</t>
  </si>
  <si>
    <t>-1920036亿</t>
  </si>
  <si>
    <t>-8927105亿</t>
  </si>
  <si>
    <t>270949420亿</t>
  </si>
  <si>
    <t>1749692400亿</t>
  </si>
  <si>
    <t>4336.33万</t>
  </si>
  <si>
    <t>10转4.9股</t>
  </si>
  <si>
    <t>8237700亿</t>
  </si>
  <si>
    <t>192179760亿</t>
  </si>
  <si>
    <t>773513530亿</t>
  </si>
  <si>
    <t>-2.35亿</t>
  </si>
  <si>
    <t>2720.76万</t>
  </si>
  <si>
    <t>1027887亿</t>
  </si>
  <si>
    <t>11827437亿</t>
  </si>
  <si>
    <t>268411520亿</t>
  </si>
  <si>
    <t>1318751310亿</t>
  </si>
  <si>
    <t>-3.51亿</t>
  </si>
  <si>
    <t>5002170亿</t>
  </si>
  <si>
    <t>27671451亿</t>
  </si>
  <si>
    <t>110122947亿</t>
  </si>
  <si>
    <t>1568324000亿</t>
  </si>
  <si>
    <t>1854.90万</t>
  </si>
  <si>
    <t>10转2股派6元(含税)</t>
  </si>
  <si>
    <t>8.40亿</t>
  </si>
  <si>
    <t>1494490亿</t>
  </si>
  <si>
    <t>27488945亿</t>
  </si>
  <si>
    <t>331520710亿</t>
  </si>
  <si>
    <t>1062648060亿</t>
  </si>
  <si>
    <t>10转4.5股派4元(含税)</t>
  </si>
  <si>
    <t>11.90亿</t>
  </si>
  <si>
    <t>1264793亿</t>
  </si>
  <si>
    <t>24866140亿</t>
  </si>
  <si>
    <t>274885720亿</t>
  </si>
  <si>
    <t>1511264700亿</t>
  </si>
  <si>
    <t>20.34亿</t>
  </si>
  <si>
    <t>47256亿</t>
  </si>
  <si>
    <t>60802862亿</t>
  </si>
  <si>
    <t>204712690亿</t>
  </si>
  <si>
    <t>1131033260亿</t>
  </si>
  <si>
    <t>19.38亿</t>
  </si>
  <si>
    <t>85910725亿</t>
  </si>
  <si>
    <t>257909100亿</t>
  </si>
  <si>
    <t>1208314140亿</t>
  </si>
  <si>
    <t>-2537.88万</t>
  </si>
  <si>
    <t>488132亿</t>
  </si>
  <si>
    <t>877120亿</t>
  </si>
  <si>
    <t>286674290亿</t>
  </si>
  <si>
    <t>661604730亿</t>
  </si>
  <si>
    <t>618.69万</t>
  </si>
  <si>
    <r>
      <t>1.做的和化学法不一样，只有（大类别下）同类的产品，但是没有和我们的产品性能有类似；2.从绝对成本来说呢，取决于原材料，我们跟化学法区别是化学法的原材料跟石油挂钩，我们</t>
    </r>
    <r>
      <rPr>
        <sz val="9"/>
        <color rgb="FFFF0000"/>
        <rFont val="宋体"/>
        <family val="3"/>
        <charset val="134"/>
        <scheme val="minor"/>
      </rPr>
      <t>跟农产品挂钩</t>
    </r>
    <r>
      <rPr>
        <sz val="9"/>
        <color theme="1"/>
        <rFont val="宋体"/>
        <family val="2"/>
        <charset val="134"/>
        <scheme val="minor"/>
      </rPr>
      <t>，过去生物法跟化学法没法竞争，因为生物法效率很低，生物法长链二元酸我们用了十年的时间，除了在性能上以外，我们在成本上面非常有竞争力，目前为止</t>
    </r>
    <r>
      <rPr>
        <sz val="9"/>
        <color rgb="FFFF0000"/>
        <rFont val="宋体"/>
        <family val="3"/>
        <charset val="134"/>
        <scheme val="minor"/>
      </rPr>
      <t>生物制造能够跟化学法竞争的就是我们这个生物基聚酰胺了</t>
    </r>
    <r>
      <rPr>
        <sz val="9"/>
        <color theme="1"/>
        <rFont val="宋体"/>
        <family val="2"/>
        <charset val="134"/>
        <scheme val="minor"/>
      </rPr>
      <t>，在工业上也是一个非常典型的案例;3.应用的成本，在机械性能上面，在制造过程当中有两个环节和成本有很大关系，因为制作过程非常困难，使用过程更困难，它融化不流动，比如说增强的话，纤维复合很难做成，这一块</t>
    </r>
    <r>
      <rPr>
        <sz val="9"/>
        <color rgb="FFFF0000"/>
        <rFont val="宋体"/>
        <family val="3"/>
        <charset val="134"/>
        <scheme val="minor"/>
      </rPr>
      <t>我们彻底解决了这个问题，生物基做出来的奇数碳的聚酰胺，解决了偶数碳所有的后面制造和使用的成本问题</t>
    </r>
    <r>
      <rPr>
        <sz val="9"/>
        <color theme="1"/>
        <rFont val="宋体"/>
        <family val="2"/>
        <charset val="134"/>
        <scheme val="minor"/>
      </rPr>
      <t>，我们可以做出跟常规的尼龙聚合一样的聚合材料。那我讲一个极端的情况下，即使它这个己二胺是免费的，做这一类材料还做不过我们，光它制作的工艺成本就远远高出我们的全成本;4.公司依托聚酰胺56产品打造的自有纺织材料“泰纶”，其在阻燃、吸湿排汗、染色能力等方面都有一定优势，在服装、箱包、地毯、工装等下游产业中都</t>
    </r>
    <r>
      <rPr>
        <b/>
        <sz val="9"/>
        <color theme="1"/>
        <rFont val="宋体"/>
        <family val="3"/>
        <charset val="134"/>
        <scheme val="minor"/>
      </rPr>
      <t>具备替代传统尼龙化纤等原料的潜力</t>
    </r>
    <r>
      <rPr>
        <sz val="9"/>
        <color theme="1"/>
        <rFont val="宋体"/>
        <family val="2"/>
        <charset val="134"/>
        <scheme val="minor"/>
      </rPr>
      <t>；</t>
    </r>
    <r>
      <rPr>
        <sz val="9"/>
        <color rgb="FFFF0000"/>
        <rFont val="宋体"/>
        <family val="3"/>
        <charset val="134"/>
        <scheme val="minor"/>
      </rPr>
      <t>生物基聚酰胺</t>
    </r>
    <r>
      <rPr>
        <sz val="9"/>
        <color theme="1"/>
        <rFont val="宋体"/>
        <family val="2"/>
        <charset val="134"/>
        <scheme val="minor"/>
      </rPr>
      <t>与</t>
    </r>
    <r>
      <rPr>
        <sz val="9"/>
        <color rgb="FFFF0000"/>
        <rFont val="宋体"/>
        <family val="3"/>
        <charset val="134"/>
        <scheme val="minor"/>
      </rPr>
      <t>玻璃纤维、碳纤维</t>
    </r>
    <r>
      <rPr>
        <sz val="9"/>
        <color theme="1"/>
        <rFont val="宋体"/>
        <family val="2"/>
        <charset val="134"/>
        <scheme val="minor"/>
      </rPr>
      <t>制备生物基热塑型纤维增强塑料，以塑代钢、以热塑型材料替代不可回收的热固性材料应用于风电/光伏等清洁能源设备、轻量化等需求应用于新能源汽车、高铁、集装箱等交通运输设施、综合阻燃保温建筑材料等众多复合材料类下游产业。5.公司生产的生物法长链二元酸系列产品在全球市场处于主导地位，于 2018年被工信部评为制造业单项冠军。传统石化产品通常由石油、天然气等化石能源提纯制造基本化工原料，并在此基础上进行化学合成。代表性的产品包括塑料、合成纤维、合成橡胶等，其全生产过程带来大量的碳排放。而生物基产品来源于玉米、秸秆等可再生的生物质原料，通过生物转化得到，可用于纺织材料、工程材料、生物燃料等，实现对石化基产品的替代。因而生物制造是通过植物的光合作用和工业微生物的“细胞工厂”间接地把空气中的 CO2转变成了生物基材料，用于人类的衣食住行用，实现碳的减排。</t>
    </r>
    <phoneticPr fontId="1" type="noConversion"/>
  </si>
  <si>
    <t>216.04万</t>
  </si>
  <si>
    <t>7786.18万</t>
  </si>
  <si>
    <t>5180.27万</t>
  </si>
  <si>
    <t>279.82万</t>
  </si>
  <si>
    <t>1966.20万</t>
  </si>
  <si>
    <t>1675.59万</t>
  </si>
  <si>
    <t>450.88万</t>
  </si>
  <si>
    <t>4014.57万</t>
  </si>
  <si>
    <t>2230.41万</t>
  </si>
  <si>
    <t>5792.84万</t>
  </si>
  <si>
    <t>-3418.47万</t>
  </si>
  <si>
    <t>-88.47万</t>
  </si>
  <si>
    <t>-154.35万</t>
  </si>
  <si>
    <t>1554.64万</t>
  </si>
  <si>
    <t>558.47万</t>
  </si>
  <si>
    <t>59.57亿</t>
  </si>
  <si>
    <t>13.98亿</t>
  </si>
  <si>
    <t>2612.76万</t>
  </si>
  <si>
    <t>76.82万</t>
  </si>
  <si>
    <t>123.91万</t>
  </si>
  <si>
    <t>-3804.21万</t>
  </si>
  <si>
    <t>-7867.54万</t>
  </si>
  <si>
    <t>4086.28万</t>
  </si>
  <si>
    <t>55.81万</t>
  </si>
  <si>
    <t>8.10亿</t>
  </si>
  <si>
    <t>1520.20万</t>
  </si>
  <si>
    <t>2898.90万</t>
  </si>
  <si>
    <t>10.07万</t>
  </si>
  <si>
    <t>6.59亿</t>
  </si>
  <si>
    <t>313.99万</t>
  </si>
  <si>
    <t>7700.99万</t>
  </si>
  <si>
    <t>7829.28万</t>
  </si>
  <si>
    <t>-1.16亿</t>
  </si>
  <si>
    <t>362.73万</t>
  </si>
  <si>
    <t>3011.66万</t>
  </si>
  <si>
    <t>76.25万</t>
  </si>
  <si>
    <t>8304.89万</t>
  </si>
  <si>
    <t>7119.91万</t>
  </si>
  <si>
    <t>122.98万</t>
  </si>
  <si>
    <t>1013.32万</t>
  </si>
  <si>
    <t>23.59万</t>
  </si>
  <si>
    <t>1824.56万</t>
  </si>
  <si>
    <t>1955.76万</t>
  </si>
  <si>
    <t>132.16万</t>
  </si>
  <si>
    <t>2214.54万</t>
  </si>
  <si>
    <t>7505.43万</t>
  </si>
  <si>
    <t>805.08万</t>
  </si>
  <si>
    <t>-1201.64万</t>
  </si>
  <si>
    <t>-2140.15万</t>
  </si>
  <si>
    <t>478.46万</t>
  </si>
  <si>
    <t>1051.41万</t>
  </si>
  <si>
    <t>28.52亿</t>
  </si>
  <si>
    <t>2995.76万</t>
  </si>
  <si>
    <t>115.55万</t>
  </si>
  <si>
    <t>28.02亿</t>
  </si>
  <si>
    <t>9.34亿</t>
  </si>
  <si>
    <t>285.70万</t>
  </si>
  <si>
    <t>100.67亿</t>
  </si>
  <si>
    <t>27.54亿</t>
  </si>
  <si>
    <t>-3.19亿</t>
  </si>
  <si>
    <t>-4309.72万</t>
  </si>
  <si>
    <t>7282.68万</t>
  </si>
  <si>
    <t>202.61万</t>
  </si>
  <si>
    <t>4304.08万</t>
  </si>
  <si>
    <t>3666.68万</t>
  </si>
  <si>
    <t>10.79万</t>
  </si>
  <si>
    <t>9.40亿</t>
  </si>
  <si>
    <t>137.57万</t>
  </si>
  <si>
    <t>14.60亿</t>
  </si>
  <si>
    <t>25.88亿</t>
  </si>
  <si>
    <t>1239.01万</t>
  </si>
  <si>
    <t>718.74万</t>
  </si>
  <si>
    <t>74.43亿</t>
  </si>
  <si>
    <t>16.19亿</t>
  </si>
  <si>
    <t>2486.58万</t>
  </si>
  <si>
    <t>300.42万</t>
  </si>
  <si>
    <t>23.75亿</t>
  </si>
  <si>
    <t>9265.62万</t>
  </si>
  <si>
    <t>6434.12万</t>
  </si>
  <si>
    <t>5000.00万</t>
  </si>
  <si>
    <t>21.92亿</t>
  </si>
  <si>
    <t>-2.48亿</t>
  </si>
  <si>
    <t>-4114.43万</t>
  </si>
  <si>
    <t>-568.55万</t>
  </si>
  <si>
    <t>4240.80万</t>
  </si>
  <si>
    <t>6594.50万</t>
  </si>
  <si>
    <t>20.74亿</t>
  </si>
  <si>
    <t>917.15万</t>
  </si>
  <si>
    <t>3832.31万</t>
  </si>
  <si>
    <t>57.48万</t>
  </si>
  <si>
    <t>8.75亿</t>
  </si>
  <si>
    <t>22.12亿</t>
  </si>
  <si>
    <t>2257.43万</t>
  </si>
  <si>
    <t>4310.05万</t>
  </si>
  <si>
    <t>1013.77万</t>
  </si>
  <si>
    <t>6155.77万</t>
  </si>
  <si>
    <t>4763.77万</t>
  </si>
  <si>
    <t>4128.49万</t>
  </si>
  <si>
    <t>163.44万</t>
  </si>
  <si>
    <t>339.39万</t>
  </si>
  <si>
    <t>17.47万</t>
  </si>
  <si>
    <t>230.27万</t>
  </si>
  <si>
    <t>553.22万</t>
  </si>
  <si>
    <t>1594.59万</t>
  </si>
  <si>
    <t>-342.46万</t>
  </si>
  <si>
    <t>130.21万</t>
  </si>
  <si>
    <t>-36.29万</t>
  </si>
  <si>
    <t>5721.95万</t>
  </si>
  <si>
    <t>1310.34万</t>
  </si>
  <si>
    <t>101.17亿</t>
  </si>
  <si>
    <t>3086.15万</t>
  </si>
  <si>
    <t>59.56万</t>
  </si>
  <si>
    <t>5083.25万</t>
  </si>
  <si>
    <t>12.17亿</t>
  </si>
  <si>
    <t>40.33亿</t>
  </si>
  <si>
    <t>25.83亿</t>
  </si>
  <si>
    <t>-4577.58万</t>
  </si>
  <si>
    <t>-1.79亿</t>
  </si>
  <si>
    <t>-8005.17万</t>
  </si>
  <si>
    <t>5095.38万</t>
  </si>
  <si>
    <t>967.12万</t>
  </si>
  <si>
    <t>1955.31万</t>
  </si>
  <si>
    <t>4593.62万</t>
  </si>
  <si>
    <t>439.39万</t>
  </si>
  <si>
    <t>3124.47万</t>
  </si>
  <si>
    <t>-1.23亿</t>
  </si>
  <si>
    <t>-2.51亿</t>
  </si>
  <si>
    <t>7.05万</t>
  </si>
  <si>
    <t>6025.80万</t>
  </si>
  <si>
    <t>11.32亿</t>
  </si>
  <si>
    <t>222.87万</t>
  </si>
  <si>
    <t>7325.04万</t>
  </si>
  <si>
    <t>9583.06万</t>
  </si>
  <si>
    <t>7342.03万</t>
  </si>
  <si>
    <t>241.97万</t>
  </si>
  <si>
    <t>1060.91万</t>
  </si>
  <si>
    <t>871.40万</t>
  </si>
  <si>
    <t>6341.55万</t>
  </si>
  <si>
    <t>6.50万</t>
  </si>
  <si>
    <t>7667.76万</t>
  </si>
  <si>
    <t>29.31万</t>
  </si>
  <si>
    <t>-564.06万</t>
  </si>
  <si>
    <t>-34.22万</t>
  </si>
  <si>
    <t>-281.35万</t>
  </si>
  <si>
    <t>1041.45万</t>
  </si>
  <si>
    <t>6239.10万</t>
  </si>
  <si>
    <t>524.97万</t>
  </si>
  <si>
    <t>34.18亿</t>
  </si>
  <si>
    <t>2195.73万</t>
  </si>
  <si>
    <t>79.83万</t>
  </si>
  <si>
    <t>-1.51亿</t>
  </si>
  <si>
    <t>-1.53亿</t>
  </si>
  <si>
    <t>2946.57万</t>
  </si>
  <si>
    <t>174.60万</t>
  </si>
  <si>
    <t>9936.78万</t>
  </si>
  <si>
    <t>120.22万</t>
  </si>
  <si>
    <t>2062.74万</t>
  </si>
  <si>
    <t>97.50万</t>
  </si>
  <si>
    <t>23.06亿</t>
  </si>
  <si>
    <t>9251.53万</t>
  </si>
  <si>
    <t>52.31万</t>
  </si>
  <si>
    <t>11.92亿</t>
  </si>
  <si>
    <t>3108.51万</t>
  </si>
  <si>
    <t>1225.09万</t>
  </si>
  <si>
    <t>672.35万</t>
  </si>
  <si>
    <t>117.34亿</t>
  </si>
  <si>
    <t>21.76亿</t>
  </si>
  <si>
    <t>1607.61万</t>
  </si>
  <si>
    <t>537.32万</t>
  </si>
  <si>
    <t>64.04亿</t>
  </si>
  <si>
    <t>23.08亿</t>
  </si>
  <si>
    <t>14.68亿</t>
  </si>
  <si>
    <t>57.69亿</t>
  </si>
  <si>
    <t>41.01亿</t>
  </si>
  <si>
    <t>-6.49亿</t>
  </si>
  <si>
    <t>-4.85亿</t>
  </si>
  <si>
    <t>9.46亿</t>
  </si>
  <si>
    <t>4182.27万</t>
  </si>
  <si>
    <t>762.60万</t>
  </si>
  <si>
    <t>103.29亿</t>
  </si>
  <si>
    <t>30.30亿</t>
  </si>
  <si>
    <t>4464.02万</t>
  </si>
  <si>
    <t>223.00万</t>
  </si>
  <si>
    <t>32.51亿</t>
  </si>
  <si>
    <t>17.36亿</t>
  </si>
  <si>
    <t>87.83亿</t>
  </si>
  <si>
    <t>25.10亿</t>
  </si>
  <si>
    <t>-4.13亿</t>
  </si>
  <si>
    <t>-157.47万</t>
  </si>
  <si>
    <t>4142.69万</t>
  </si>
  <si>
    <t>201.76万</t>
  </si>
  <si>
    <t>96.67亿</t>
  </si>
  <si>
    <t>10.38亿</t>
  </si>
  <si>
    <t>1329.53万</t>
  </si>
  <si>
    <t>9925.04万</t>
  </si>
  <si>
    <t>71.16万</t>
  </si>
  <si>
    <t>20.06亿</t>
  </si>
  <si>
    <t>3060.26万</t>
  </si>
  <si>
    <t>6975.61万</t>
  </si>
  <si>
    <t>-344.28万</t>
  </si>
  <si>
    <t>1516.25万</t>
  </si>
  <si>
    <t>1014.10万</t>
  </si>
  <si>
    <t>12.96亿</t>
  </si>
  <si>
    <t>452.61万</t>
  </si>
  <si>
    <t>2469.52万</t>
  </si>
  <si>
    <t>1.90万</t>
  </si>
  <si>
    <t>8643.32万</t>
  </si>
  <si>
    <t>7.24亿</t>
  </si>
  <si>
    <t>-629.29万</t>
  </si>
  <si>
    <t>3947.53万</t>
  </si>
  <si>
    <t>3132.34万</t>
  </si>
  <si>
    <t>4902.93万</t>
  </si>
  <si>
    <t>-9-1</t>
  </si>
  <si>
    <t>3670.88万</t>
  </si>
  <si>
    <t>23.80亿</t>
  </si>
  <si>
    <t>745.41万</t>
  </si>
  <si>
    <t>2148.03万</t>
  </si>
  <si>
    <t>26.48万</t>
  </si>
  <si>
    <t>34.05亿</t>
  </si>
  <si>
    <t>15.46亿</t>
  </si>
  <si>
    <t>66.76亿</t>
  </si>
  <si>
    <t>9508.42万</t>
  </si>
  <si>
    <t>3264.10万</t>
  </si>
  <si>
    <t>30.25亿</t>
  </si>
  <si>
    <t>676.91万</t>
  </si>
  <si>
    <t>4347.11万</t>
  </si>
  <si>
    <t>19.51万</t>
  </si>
  <si>
    <t>12.56亿</t>
  </si>
  <si>
    <t>40.43万</t>
  </si>
  <si>
    <t>26.21亿</t>
  </si>
  <si>
    <t>7501.43万</t>
  </si>
  <si>
    <t>-6465.93万</t>
  </si>
  <si>
    <t>-4032.43万</t>
  </si>
  <si>
    <t>8720.97万</t>
  </si>
  <si>
    <t>490.93万</t>
  </si>
  <si>
    <t>9257.40万</t>
  </si>
  <si>
    <t>331.97万</t>
  </si>
  <si>
    <t>1008.64万</t>
  </si>
  <si>
    <t>25.83万</t>
  </si>
  <si>
    <t>8874.64万</t>
  </si>
  <si>
    <t>237.11万</t>
  </si>
  <si>
    <t>145.93万</t>
  </si>
  <si>
    <t>75.68万</t>
  </si>
  <si>
    <t>5735.74万</t>
  </si>
  <si>
    <t>-3963.47万</t>
  </si>
  <si>
    <t>-3750.71万</t>
  </si>
  <si>
    <t>2859.47万</t>
  </si>
  <si>
    <t>283.83万</t>
  </si>
  <si>
    <t>72.49亿</t>
  </si>
  <si>
    <t>9.58亿</t>
  </si>
  <si>
    <t>1065.19万</t>
  </si>
  <si>
    <t>6686.48万</t>
  </si>
  <si>
    <t>24.29万</t>
  </si>
  <si>
    <t>24.12亿</t>
  </si>
  <si>
    <t>10.60亿</t>
  </si>
  <si>
    <t>871.65万</t>
  </si>
  <si>
    <t>-5.93亿</t>
  </si>
  <si>
    <t>1563.36万</t>
  </si>
  <si>
    <t>130.86万</t>
  </si>
  <si>
    <t>37.24亿</t>
  </si>
  <si>
    <t>23.86亿</t>
  </si>
  <si>
    <t>22.83亿</t>
  </si>
  <si>
    <t>1120.23万</t>
  </si>
  <si>
    <t>4638.87万</t>
  </si>
  <si>
    <t>9.75万</t>
  </si>
  <si>
    <t>14.31亿</t>
  </si>
  <si>
    <t>123.26万</t>
  </si>
  <si>
    <t>-4902.67万</t>
  </si>
  <si>
    <t>-5992.46万</t>
  </si>
  <si>
    <t>-2971.86万</t>
  </si>
  <si>
    <t>903.97万</t>
  </si>
  <si>
    <t>9764.60万</t>
  </si>
  <si>
    <t>1841.73万</t>
  </si>
  <si>
    <t>265.51亿</t>
  </si>
  <si>
    <t>77.32亿</t>
  </si>
  <si>
    <t>68.98亿</t>
  </si>
  <si>
    <t>2575.84万</t>
  </si>
  <si>
    <t>146.97万</t>
  </si>
  <si>
    <t>56.82亿</t>
  </si>
  <si>
    <t>42.31亿</t>
  </si>
  <si>
    <t>22.95亿</t>
  </si>
  <si>
    <t>55.29亿</t>
  </si>
  <si>
    <t>132.30亿</t>
  </si>
  <si>
    <t>96.99亿</t>
  </si>
  <si>
    <t>-9.58亿</t>
  </si>
  <si>
    <t>9137.07万</t>
  </si>
  <si>
    <t>415.97万</t>
  </si>
  <si>
    <t>34.31亿</t>
  </si>
  <si>
    <t>3608.95万</t>
  </si>
  <si>
    <t>4657.71万</t>
  </si>
  <si>
    <t>24.43万</t>
  </si>
  <si>
    <t>651.20万</t>
  </si>
  <si>
    <t>91.41万</t>
  </si>
  <si>
    <t>14.64亿</t>
  </si>
  <si>
    <t>-9287.07万</t>
  </si>
  <si>
    <t>-1.12亿</t>
  </si>
  <si>
    <t>2636.21万</t>
  </si>
  <si>
    <t>546.66万</t>
  </si>
  <si>
    <t>32.83亿</t>
  </si>
  <si>
    <t>1983.38万</t>
  </si>
  <si>
    <t>5526.38万</t>
  </si>
  <si>
    <t>4.29万</t>
  </si>
  <si>
    <t>94.40万</t>
  </si>
  <si>
    <t>28.81亿</t>
  </si>
  <si>
    <t>7340.02万</t>
  </si>
  <si>
    <t>2570.61万</t>
  </si>
  <si>
    <t>293.99万</t>
  </si>
  <si>
    <t>78.24亿</t>
  </si>
  <si>
    <t>1390.79万</t>
  </si>
  <si>
    <t>53.34万</t>
  </si>
  <si>
    <t>98.04万</t>
  </si>
  <si>
    <t>46.09亿</t>
  </si>
  <si>
    <t>37.00亿</t>
  </si>
  <si>
    <t>-4.25亿</t>
  </si>
  <si>
    <t>-9.75亿</t>
  </si>
  <si>
    <t>2073.57万</t>
  </si>
  <si>
    <t>193.80万</t>
  </si>
  <si>
    <t>25.42亿</t>
  </si>
  <si>
    <t>2132.32万</t>
  </si>
  <si>
    <t>8794.59万</t>
  </si>
  <si>
    <t>186.62万</t>
  </si>
  <si>
    <t>7968.67万</t>
  </si>
  <si>
    <t>38.31亿</t>
  </si>
  <si>
    <t>-8566.87万</t>
  </si>
  <si>
    <t>5389.58万</t>
  </si>
  <si>
    <t>1159.63万</t>
  </si>
  <si>
    <t>105.04万</t>
  </si>
  <si>
    <t>6766.59万</t>
  </si>
  <si>
    <t>5181.78万</t>
  </si>
  <si>
    <t>157.50万</t>
  </si>
  <si>
    <t>819.05万</t>
  </si>
  <si>
    <t>6162.19万</t>
  </si>
  <si>
    <t>2235.04万</t>
  </si>
  <si>
    <t>52.99万</t>
  </si>
  <si>
    <t>1632.30万</t>
  </si>
  <si>
    <t>3460.14万</t>
  </si>
  <si>
    <t>1507.21万</t>
  </si>
  <si>
    <t>-300.58万</t>
  </si>
  <si>
    <t>-1027.87万</t>
  </si>
  <si>
    <t>626.74万</t>
  </si>
  <si>
    <t>136.90万</t>
  </si>
  <si>
    <t>16.65亿</t>
  </si>
  <si>
    <t>8395.57万</t>
  </si>
  <si>
    <t>922.08万</t>
  </si>
  <si>
    <t>1228.47万</t>
  </si>
  <si>
    <t>44.80万</t>
  </si>
  <si>
    <t>3087.44万</t>
  </si>
  <si>
    <t>5159.91万</t>
  </si>
  <si>
    <t>2545.96万</t>
  </si>
  <si>
    <t>-5.55亿</t>
  </si>
  <si>
    <t>3633.13万</t>
  </si>
  <si>
    <t>739.27万</t>
  </si>
  <si>
    <t>6256.41万</t>
  </si>
  <si>
    <t>264.37万</t>
  </si>
  <si>
    <t>21.51亿</t>
  </si>
  <si>
    <t>798.43万</t>
  </si>
  <si>
    <t>2325.42万</t>
  </si>
  <si>
    <t>29.96万</t>
  </si>
  <si>
    <t>9213.33万</t>
  </si>
  <si>
    <t>8.45亿</t>
  </si>
  <si>
    <t>9670.00万</t>
  </si>
  <si>
    <t>5369.26万</t>
  </si>
  <si>
    <t>-1432.49万</t>
  </si>
  <si>
    <t>-1544.30万</t>
  </si>
  <si>
    <t>1269.33万</t>
  </si>
  <si>
    <t>9200.58万</t>
  </si>
  <si>
    <t>1531.63万</t>
  </si>
  <si>
    <t>911.71万</t>
  </si>
  <si>
    <t>4124.66万</t>
  </si>
  <si>
    <t>43.84万</t>
  </si>
  <si>
    <t>3195.59万</t>
  </si>
  <si>
    <t>4464.05万</t>
  </si>
  <si>
    <t>1155.00万</t>
  </si>
  <si>
    <t>725.70万</t>
  </si>
  <si>
    <t>-3778.00万</t>
  </si>
  <si>
    <t>6499.65万</t>
  </si>
  <si>
    <t>6701.01万</t>
  </si>
  <si>
    <t>377.21万</t>
  </si>
  <si>
    <t>2550.40万</t>
  </si>
  <si>
    <t>1593.55万</t>
  </si>
  <si>
    <t>30.79万</t>
  </si>
  <si>
    <t>2644.00万</t>
  </si>
  <si>
    <t>10.58亿</t>
  </si>
  <si>
    <t>1269.32万</t>
  </si>
  <si>
    <t>-8604.86万</t>
  </si>
  <si>
    <t>1778.04万</t>
  </si>
  <si>
    <t>284.75万</t>
  </si>
  <si>
    <t>229.49万</t>
  </si>
  <si>
    <t>2073.15万</t>
  </si>
  <si>
    <t>10.05万</t>
  </si>
  <si>
    <t>4191.75万</t>
  </si>
  <si>
    <t>717.92万</t>
  </si>
  <si>
    <t>1720.71万</t>
  </si>
  <si>
    <t>309.82万</t>
  </si>
  <si>
    <t>17.68亿</t>
  </si>
  <si>
    <t>1803.75万</t>
  </si>
  <si>
    <t>4225.17万</t>
  </si>
  <si>
    <t>2119.79万</t>
  </si>
  <si>
    <t>8225.46万</t>
  </si>
  <si>
    <t>2799.72万</t>
  </si>
  <si>
    <t>-1464.21万</t>
  </si>
  <si>
    <t>-1.44亿</t>
  </si>
  <si>
    <t>-6610.94万</t>
  </si>
  <si>
    <t>1771.71万</t>
  </si>
  <si>
    <t>125.31万</t>
  </si>
  <si>
    <t>13.34亿</t>
  </si>
  <si>
    <t>1334.05万</t>
  </si>
  <si>
    <t>1864.97万</t>
  </si>
  <si>
    <t>33.13万</t>
  </si>
  <si>
    <t>4384.18万</t>
  </si>
  <si>
    <t>18.36亿</t>
  </si>
  <si>
    <t>1805.00万</t>
  </si>
  <si>
    <t>12.06亿</t>
  </si>
  <si>
    <t>-3560.42万</t>
  </si>
  <si>
    <t>-2.64亿</t>
  </si>
  <si>
    <t>547.04万</t>
  </si>
  <si>
    <t>3863.70万</t>
  </si>
  <si>
    <t>115.92万</t>
  </si>
  <si>
    <t>1256.96万</t>
  </si>
  <si>
    <t>4052.27万</t>
  </si>
  <si>
    <t>17.13万</t>
  </si>
  <si>
    <t>135.42万</t>
  </si>
  <si>
    <t>9569.73万</t>
  </si>
  <si>
    <t>3.91亿</t>
  </si>
  <si>
    <t>-1053.99万</t>
  </si>
  <si>
    <t>-7387.77万</t>
  </si>
  <si>
    <t>-2382.53万</t>
  </si>
  <si>
    <t>617.10万</t>
  </si>
  <si>
    <t>6895.33万</t>
  </si>
  <si>
    <t>233.57万</t>
  </si>
  <si>
    <t>24.86亿</t>
  </si>
  <si>
    <t>2432.58万</t>
  </si>
  <si>
    <t>2190.79万</t>
  </si>
  <si>
    <t>10.15万</t>
  </si>
  <si>
    <t>9.49亿</t>
  </si>
  <si>
    <t>8044.87万</t>
  </si>
  <si>
    <t>2721.77万</t>
  </si>
  <si>
    <t>83.80万</t>
  </si>
  <si>
    <t>4084.78万</t>
  </si>
  <si>
    <t>810.45万</t>
  </si>
  <si>
    <t>1659.15万</t>
  </si>
  <si>
    <t>484.51万</t>
  </si>
  <si>
    <t>29.62亿</t>
  </si>
  <si>
    <t>9.01亿</t>
  </si>
  <si>
    <t>7.81亿</t>
  </si>
  <si>
    <t>2831.62万</t>
  </si>
  <si>
    <t>4104.07万</t>
  </si>
  <si>
    <t>8.81万</t>
  </si>
  <si>
    <t>23.89亿</t>
  </si>
  <si>
    <t>8830.63万</t>
  </si>
  <si>
    <t>-5991.43万</t>
  </si>
  <si>
    <t>2613.90万</t>
  </si>
  <si>
    <t>4332.46万</t>
  </si>
  <si>
    <t>457.56万</t>
  </si>
  <si>
    <t>1522.90万</t>
  </si>
  <si>
    <t>17.08万</t>
  </si>
  <si>
    <t>6259.42万</t>
  </si>
  <si>
    <t>-2135.25万</t>
  </si>
  <si>
    <t>-6407.95万</t>
  </si>
  <si>
    <t>1837.86万</t>
  </si>
  <si>
    <t>68.06亿</t>
  </si>
  <si>
    <t>2148.53万</t>
  </si>
  <si>
    <t>6477.50万</t>
  </si>
  <si>
    <t>7.04万</t>
  </si>
  <si>
    <t>5.14亿</t>
  </si>
  <si>
    <t>2185.16万</t>
  </si>
  <si>
    <t>4521.30万</t>
  </si>
  <si>
    <t>9406.20万</t>
  </si>
  <si>
    <t>4006.59万</t>
  </si>
  <si>
    <t>9306.73万</t>
  </si>
  <si>
    <t>-7648.40万</t>
  </si>
  <si>
    <t>-2244.88万</t>
  </si>
  <si>
    <t>3379.40万</t>
  </si>
  <si>
    <t>2927.24万</t>
  </si>
  <si>
    <t>48.02万</t>
  </si>
  <si>
    <t>682.45万</t>
  </si>
  <si>
    <t>1.55万</t>
  </si>
  <si>
    <t>8659.98万</t>
  </si>
  <si>
    <t>7913.81万</t>
  </si>
  <si>
    <t>296.90万</t>
  </si>
  <si>
    <t>4545.41万</t>
  </si>
  <si>
    <t>4781.70万</t>
  </si>
  <si>
    <t>7161.50万</t>
  </si>
  <si>
    <t>-4724.95万</t>
  </si>
  <si>
    <t>40.85万</t>
  </si>
  <si>
    <t>10派0.159264元(含税)</t>
  </si>
  <si>
    <t>544.10万</t>
  </si>
  <si>
    <t>36.48亿</t>
  </si>
  <si>
    <t>1209.81万</t>
  </si>
  <si>
    <t>3229.07万</t>
  </si>
  <si>
    <t>13.27万</t>
  </si>
  <si>
    <t>2062.13万</t>
  </si>
  <si>
    <t>1997.60万</t>
  </si>
  <si>
    <t>57.54万</t>
  </si>
  <si>
    <t>2711.45万</t>
  </si>
  <si>
    <t>-1072.99万</t>
  </si>
  <si>
    <t>2176.61万</t>
  </si>
  <si>
    <t>2612.16万</t>
  </si>
  <si>
    <t>9665.74万</t>
  </si>
  <si>
    <t>677.99万</t>
  </si>
  <si>
    <t>1832.59万</t>
  </si>
  <si>
    <t>16.62万</t>
  </si>
  <si>
    <t>2814.10万</t>
  </si>
  <si>
    <t>247.73万</t>
  </si>
  <si>
    <t>5054.67万</t>
  </si>
  <si>
    <t>8.32亿</t>
  </si>
  <si>
    <t>-209.35万</t>
  </si>
  <si>
    <t>-4401.18万</t>
  </si>
  <si>
    <t>7968.37万</t>
  </si>
  <si>
    <t>4-1</t>
  </si>
  <si>
    <t>164.61万</t>
  </si>
  <si>
    <t>32.19亿</t>
  </si>
  <si>
    <t>1037.79万</t>
  </si>
  <si>
    <t>3567.22万</t>
  </si>
  <si>
    <t>33.37万</t>
  </si>
  <si>
    <t>-9039.73万</t>
  </si>
  <si>
    <t>-6.69亿</t>
  </si>
  <si>
    <t>9376.56万</t>
  </si>
  <si>
    <t>1107.04万</t>
  </si>
  <si>
    <t>7704.49万</t>
  </si>
  <si>
    <t>646.15万</t>
  </si>
  <si>
    <t>15.64亿</t>
  </si>
  <si>
    <t>1362.14万</t>
  </si>
  <si>
    <t>1124.08万</t>
  </si>
  <si>
    <t>18.32万</t>
  </si>
  <si>
    <t>7288.56万</t>
  </si>
  <si>
    <t>150.00万</t>
  </si>
  <si>
    <t>1716.89万</t>
  </si>
  <si>
    <t>965.41万</t>
  </si>
  <si>
    <t>-9919.96万</t>
  </si>
  <si>
    <t>4099.41万</t>
  </si>
  <si>
    <t>269.66万</t>
  </si>
  <si>
    <t>25.72亿</t>
  </si>
  <si>
    <t>835.85万</t>
  </si>
  <si>
    <t>2531.55万</t>
  </si>
  <si>
    <t>35.68万</t>
  </si>
  <si>
    <t>8636.44万</t>
  </si>
  <si>
    <t>-1.22亿</t>
  </si>
  <si>
    <t>-1.83亿</t>
  </si>
  <si>
    <t>2073.02万</t>
  </si>
  <si>
    <t>459.78万</t>
  </si>
  <si>
    <t>1601.40万</t>
  </si>
  <si>
    <t>1435.34万</t>
  </si>
  <si>
    <t>488.13万</t>
  </si>
  <si>
    <t>8890.81万</t>
  </si>
  <si>
    <t>-6913.88万</t>
  </si>
  <si>
    <t>192.46万</t>
  </si>
  <si>
    <t>2823.08万</t>
  </si>
  <si>
    <t>2906.01万</t>
  </si>
  <si>
    <t>814.62万</t>
  </si>
  <si>
    <t>20.17亿</t>
  </si>
  <si>
    <t>446.99万</t>
  </si>
  <si>
    <t>1739.56万</t>
  </si>
  <si>
    <t>12.91万</t>
  </si>
  <si>
    <t>2010.17万</t>
  </si>
  <si>
    <t>-2728.22万</t>
  </si>
  <si>
    <t>-7747.18万</t>
  </si>
  <si>
    <t>-3655.50万</t>
  </si>
  <si>
    <t>6539.19万</t>
  </si>
  <si>
    <t>580.39万</t>
  </si>
  <si>
    <t>344.66万</t>
  </si>
  <si>
    <t>990.38万</t>
  </si>
  <si>
    <t>8.95万</t>
  </si>
  <si>
    <t>8869.67万</t>
  </si>
  <si>
    <t>7521.18万</t>
  </si>
  <si>
    <t>2550.64万</t>
  </si>
  <si>
    <t>247.76万</t>
  </si>
  <si>
    <t>7222.45万</t>
  </si>
  <si>
    <t>-3518.06万</t>
  </si>
  <si>
    <t>-165.56万</t>
  </si>
  <si>
    <t>-1386.22万</t>
  </si>
  <si>
    <t>3071.67万</t>
  </si>
  <si>
    <t>671.94万</t>
  </si>
  <si>
    <t>447.58万</t>
  </si>
  <si>
    <t>1300.59万</t>
  </si>
  <si>
    <t>2.40万</t>
  </si>
  <si>
    <t>914.13万</t>
  </si>
  <si>
    <t>-1388.79万</t>
  </si>
  <si>
    <t>-7.09万</t>
  </si>
  <si>
    <t>-4320.71万</t>
  </si>
  <si>
    <t>5089.50万</t>
  </si>
  <si>
    <t>296.13万</t>
  </si>
  <si>
    <t>381.35万</t>
  </si>
  <si>
    <t>1434.36万</t>
  </si>
  <si>
    <t>7.46万</t>
  </si>
  <si>
    <t>5478.15万</t>
  </si>
  <si>
    <t>7503.41万</t>
  </si>
  <si>
    <t>1387.53万</t>
  </si>
  <si>
    <t>6846.64万</t>
  </si>
  <si>
    <t>6666.72万</t>
  </si>
  <si>
    <t>2521.91万</t>
  </si>
  <si>
    <t>-1796.59万</t>
  </si>
  <si>
    <t>-361.48万</t>
  </si>
  <si>
    <t>1575.89万</t>
  </si>
  <si>
    <t>109.23万</t>
  </si>
  <si>
    <t>1275.65万</t>
  </si>
  <si>
    <t>1814.65万</t>
  </si>
  <si>
    <t>38.44万</t>
  </si>
  <si>
    <t>7126.33万</t>
  </si>
  <si>
    <t>7908.00万</t>
  </si>
  <si>
    <t>8716.59万</t>
  </si>
  <si>
    <t>-2182.43万</t>
  </si>
  <si>
    <t>-3361.36万</t>
  </si>
  <si>
    <t>5756.23万</t>
  </si>
  <si>
    <t>683.59万</t>
  </si>
  <si>
    <t>6012.44万</t>
  </si>
  <si>
    <t>201.72万</t>
  </si>
  <si>
    <t>3764.01万</t>
  </si>
  <si>
    <t>5563.05万</t>
  </si>
  <si>
    <t>5.42万</t>
  </si>
  <si>
    <t>67.21万</t>
  </si>
  <si>
    <t>28.56亿</t>
  </si>
  <si>
    <t>-2473.57万</t>
  </si>
  <si>
    <t>-2.73亿</t>
  </si>
  <si>
    <t>5.41亿</t>
  </si>
  <si>
    <t>890.95万</t>
  </si>
  <si>
    <t>7830.17万</t>
  </si>
  <si>
    <t>137.35万</t>
  </si>
  <si>
    <t>11.46亿</t>
  </si>
  <si>
    <t>585.84万</t>
  </si>
  <si>
    <t>1551.72万</t>
  </si>
  <si>
    <t>708.96万</t>
  </si>
  <si>
    <t>4200.00万</t>
  </si>
  <si>
    <t>7184.87万</t>
  </si>
  <si>
    <t>3.37亿</t>
  </si>
  <si>
    <t>-117.98万</t>
  </si>
  <si>
    <t>-9276.93万</t>
  </si>
  <si>
    <t>2023.60万</t>
  </si>
  <si>
    <t>1077.22万</t>
  </si>
  <si>
    <t>1503.59万</t>
  </si>
  <si>
    <t>157.31万</t>
  </si>
  <si>
    <t>1818.42万</t>
  </si>
  <si>
    <t>9634.85万</t>
  </si>
  <si>
    <t>198.77万</t>
  </si>
  <si>
    <t>2752.13万</t>
  </si>
  <si>
    <t>2482.84万</t>
  </si>
  <si>
    <t>4319.15万</t>
  </si>
  <si>
    <t>5590.00万</t>
  </si>
  <si>
    <t>508.62万</t>
  </si>
  <si>
    <t>43.53万</t>
  </si>
  <si>
    <t>-940.99万</t>
  </si>
  <si>
    <t>9441.12万</t>
  </si>
  <si>
    <t>13.60亿</t>
  </si>
  <si>
    <t>5-1</t>
  </si>
  <si>
    <t>6263.31万</t>
  </si>
  <si>
    <t>15.79亿</t>
  </si>
  <si>
    <t>187.29万</t>
  </si>
  <si>
    <t>702.98万</t>
  </si>
  <si>
    <t>1.28万</t>
  </si>
  <si>
    <t>1346.03万</t>
  </si>
  <si>
    <t>8646.93万</t>
  </si>
  <si>
    <t>7322.51万</t>
  </si>
  <si>
    <t>-1918.18万</t>
  </si>
  <si>
    <t>22.10亿</t>
  </si>
  <si>
    <t>9-1</t>
  </si>
  <si>
    <t>361.47万</t>
  </si>
  <si>
    <t>9372.37万</t>
  </si>
  <si>
    <t>6071.07万</t>
  </si>
  <si>
    <t>818.11万</t>
  </si>
  <si>
    <t>1069.79万</t>
  </si>
  <si>
    <t>16.06万</t>
  </si>
  <si>
    <t>6731.95万</t>
  </si>
  <si>
    <t>748.82万</t>
  </si>
  <si>
    <t>7.91亿</t>
  </si>
  <si>
    <t>-4383.48万</t>
  </si>
  <si>
    <t>-2498.14万</t>
  </si>
  <si>
    <t>1739.36万</t>
  </si>
  <si>
    <t>1840.19万</t>
  </si>
  <si>
    <t>436.16万</t>
  </si>
  <si>
    <t>12.54亿</t>
  </si>
  <si>
    <t>1013.27万</t>
  </si>
  <si>
    <t>3364.73万</t>
  </si>
  <si>
    <t>1087.00万</t>
  </si>
  <si>
    <t>-3127.65万</t>
  </si>
  <si>
    <t>-20.71万</t>
  </si>
  <si>
    <t>3202.24万</t>
  </si>
  <si>
    <t>165.77万</t>
  </si>
  <si>
    <t>2095.45万</t>
  </si>
  <si>
    <t>1380.13万</t>
  </si>
  <si>
    <t>3321.82万</t>
  </si>
  <si>
    <t>6354.87万</t>
  </si>
  <si>
    <t>-6386.56万</t>
  </si>
  <si>
    <t>119.49万</t>
  </si>
  <si>
    <t>-62.14万</t>
  </si>
  <si>
    <t>806.93万</t>
  </si>
  <si>
    <t>116.94万</t>
  </si>
  <si>
    <t>74.54亿</t>
  </si>
  <si>
    <t>2833.48万</t>
  </si>
  <si>
    <t>5797.26万</t>
  </si>
  <si>
    <t>2.04万</t>
  </si>
  <si>
    <t>14.03亿</t>
  </si>
  <si>
    <t>2403.30万</t>
  </si>
  <si>
    <t>2950.50万</t>
  </si>
  <si>
    <t>689.29万</t>
  </si>
  <si>
    <t>-3695.82万</t>
  </si>
  <si>
    <t>589.04万</t>
  </si>
  <si>
    <t>4321.71万</t>
  </si>
  <si>
    <t>631.53万</t>
  </si>
  <si>
    <t>757.55万</t>
  </si>
  <si>
    <t>3241.56万</t>
  </si>
  <si>
    <t>29.40万</t>
  </si>
  <si>
    <t>1460.00万</t>
  </si>
  <si>
    <t>1348.71万</t>
  </si>
  <si>
    <t>-1509.73万</t>
  </si>
  <si>
    <t>1317.78万</t>
  </si>
  <si>
    <t>3628.92万</t>
  </si>
  <si>
    <t>364.39万</t>
  </si>
  <si>
    <t>17.46亿</t>
  </si>
  <si>
    <t>375.99万</t>
  </si>
  <si>
    <t>956.17万</t>
  </si>
  <si>
    <t>44.77万</t>
  </si>
  <si>
    <t>357.67万</t>
  </si>
  <si>
    <t>10.15亿</t>
  </si>
  <si>
    <t>-3710.40万</t>
  </si>
  <si>
    <t>-2.46亿</t>
  </si>
  <si>
    <t>1633.84万</t>
  </si>
  <si>
    <t>184.24万</t>
  </si>
  <si>
    <t>23.88亿</t>
  </si>
  <si>
    <t>8243.24万</t>
  </si>
  <si>
    <t>474.85万</t>
  </si>
  <si>
    <t>1666.13万</t>
  </si>
  <si>
    <t>2.74万</t>
  </si>
  <si>
    <t>5.50亿</t>
  </si>
  <si>
    <t>439.56万</t>
  </si>
  <si>
    <t>-3437.45万</t>
  </si>
  <si>
    <t>2305.43万</t>
  </si>
  <si>
    <t>1335.79万</t>
  </si>
  <si>
    <t>9699.96万</t>
  </si>
  <si>
    <t>387.08万</t>
  </si>
  <si>
    <t>49.29亿</t>
  </si>
  <si>
    <t>4760.68万</t>
  </si>
  <si>
    <t>13.12亿</t>
  </si>
  <si>
    <t>508.96万</t>
  </si>
  <si>
    <t>1184.20万</t>
  </si>
  <si>
    <t>1.94万</t>
  </si>
  <si>
    <t>-2.52亿</t>
  </si>
  <si>
    <t>1185.42万</t>
  </si>
  <si>
    <t>2335.70万</t>
  </si>
  <si>
    <t>121.13万</t>
  </si>
  <si>
    <t>1265.58万</t>
  </si>
  <si>
    <t>3.43亿</t>
  </si>
  <si>
    <t>556.00万</t>
  </si>
  <si>
    <t>1530.37万</t>
  </si>
  <si>
    <t>3108.30万</t>
  </si>
  <si>
    <t>1448.50万</t>
  </si>
  <si>
    <t>6290.14万</t>
  </si>
  <si>
    <t>-1.21亿</t>
  </si>
  <si>
    <t>6022.86万</t>
  </si>
  <si>
    <t>-1916.30万</t>
  </si>
  <si>
    <t>954.43万</t>
  </si>
  <si>
    <t>7199.19万</t>
  </si>
  <si>
    <t>230.15万</t>
  </si>
  <si>
    <t>13.57亿</t>
  </si>
  <si>
    <t>433.83万</t>
  </si>
  <si>
    <t>731.84万</t>
  </si>
  <si>
    <t>6.22万</t>
  </si>
  <si>
    <t>5661.33万</t>
  </si>
  <si>
    <t>9135.42万</t>
  </si>
  <si>
    <t>968.75万</t>
  </si>
  <si>
    <t>-187.09万</t>
  </si>
  <si>
    <t>-57.08万</t>
  </si>
  <si>
    <t>1570.60万</t>
  </si>
  <si>
    <t>94.68万</t>
  </si>
  <si>
    <t>15.13亿</t>
  </si>
  <si>
    <t>-2387.49万</t>
  </si>
  <si>
    <t>399.72万</t>
  </si>
  <si>
    <t>850.71万</t>
  </si>
  <si>
    <t>7.06万</t>
  </si>
  <si>
    <t>8775.49万</t>
  </si>
  <si>
    <t>9200.42万</t>
  </si>
  <si>
    <t>10.47亿</t>
  </si>
  <si>
    <t>5096.96万</t>
  </si>
  <si>
    <t>-696.08万</t>
  </si>
  <si>
    <t>613.89万</t>
  </si>
  <si>
    <t>6288.14万</t>
  </si>
  <si>
    <t>84.14万</t>
  </si>
  <si>
    <t>17.52亿</t>
  </si>
  <si>
    <t>4046.76万</t>
  </si>
  <si>
    <t>2695.26万</t>
  </si>
  <si>
    <t>546.25万</t>
  </si>
  <si>
    <t>632.11万</t>
  </si>
  <si>
    <t>289.11万</t>
  </si>
  <si>
    <t>1579.22万</t>
  </si>
  <si>
    <t>4199.29万</t>
  </si>
  <si>
    <t>2871.42万</t>
  </si>
  <si>
    <t>5995.72万</t>
  </si>
  <si>
    <t>-347.03万</t>
  </si>
  <si>
    <t>1132.76万</t>
  </si>
  <si>
    <t>-1299.22万</t>
  </si>
  <si>
    <t>503.30万</t>
  </si>
  <si>
    <t>4402.88万</t>
  </si>
  <si>
    <t>0106000000</t>
  </si>
  <si>
    <t>0318000000</t>
  </si>
  <si>
    <t>0636000000</t>
  </si>
  <si>
    <t>01060000000</t>
  </si>
  <si>
    <t>02120000000</t>
  </si>
  <si>
    <t>360.64万</t>
  </si>
  <si>
    <t>18.58亿</t>
  </si>
  <si>
    <t>6063.33万</t>
  </si>
  <si>
    <t>341.76万</t>
  </si>
  <si>
    <t>1484.87万</t>
  </si>
  <si>
    <t>12.72万</t>
  </si>
  <si>
    <t>900.00万</t>
  </si>
  <si>
    <t>6520.00万</t>
  </si>
  <si>
    <t>7537.16万</t>
  </si>
  <si>
    <t>32.47万</t>
  </si>
  <si>
    <t>-408.26万</t>
  </si>
  <si>
    <t>-8961.03万</t>
  </si>
  <si>
    <t>-1130.22万</t>
  </si>
  <si>
    <t>1800.08万</t>
  </si>
  <si>
    <t>1107.91万</t>
  </si>
  <si>
    <t>2488.02万</t>
  </si>
  <si>
    <t>060633300</t>
  </si>
  <si>
    <t>0181899900</t>
  </si>
  <si>
    <t>0363799800</t>
  </si>
  <si>
    <t>0606333000</t>
  </si>
  <si>
    <t>01212666000</t>
  </si>
  <si>
    <t>14-0</t>
  </si>
  <si>
    <t>148.36万</t>
  </si>
  <si>
    <t>30.92亿</t>
  </si>
  <si>
    <t>1647.24万</t>
  </si>
  <si>
    <t>4399.29万</t>
  </si>
  <si>
    <t>10.58万</t>
  </si>
  <si>
    <t>1394.33万</t>
  </si>
  <si>
    <t>9979.62万</t>
  </si>
  <si>
    <t>90.65万</t>
  </si>
  <si>
    <t>9262.24万</t>
  </si>
  <si>
    <t>-1110.98万</t>
  </si>
  <si>
    <t>-2.15亿</t>
  </si>
  <si>
    <t>-2.06亿</t>
  </si>
  <si>
    <t>4069.54万</t>
  </si>
  <si>
    <t>639.11万</t>
  </si>
  <si>
    <t>4316.90万</t>
  </si>
  <si>
    <t>463.86万</t>
  </si>
  <si>
    <t>329.00万</t>
  </si>
  <si>
    <t>957.08万</t>
  </si>
  <si>
    <t>46.74万</t>
  </si>
  <si>
    <t>6797.51万</t>
  </si>
  <si>
    <t>1760.60万</t>
  </si>
  <si>
    <t>-297.70万</t>
  </si>
  <si>
    <t>-6500.00万</t>
  </si>
  <si>
    <t>2998.46万</t>
  </si>
  <si>
    <t>135.27万</t>
  </si>
  <si>
    <t>-2966.48万</t>
  </si>
  <si>
    <t>4.29亿</t>
  </si>
  <si>
    <t>3170.77万</t>
  </si>
  <si>
    <t>2191.30万</t>
  </si>
  <si>
    <t>3.25万</t>
  </si>
  <si>
    <t>9730.85万</t>
  </si>
  <si>
    <t>2540.00万</t>
  </si>
  <si>
    <t>-2377.02万</t>
  </si>
  <si>
    <t>6444.68万</t>
  </si>
  <si>
    <t>9975.51万</t>
  </si>
  <si>
    <t>-1336.16万</t>
  </si>
  <si>
    <t>878.05万</t>
  </si>
  <si>
    <t>6282.28万</t>
  </si>
  <si>
    <t>378.03万</t>
  </si>
  <si>
    <t>8940.72万</t>
  </si>
  <si>
    <t>7860.43万</t>
  </si>
  <si>
    <t>133.97万</t>
  </si>
  <si>
    <t>640.04万</t>
  </si>
  <si>
    <t>1402.02万</t>
  </si>
  <si>
    <t>5047.98万</t>
  </si>
  <si>
    <t>6003.98万</t>
  </si>
  <si>
    <t>-187.30万</t>
  </si>
  <si>
    <t>-2900.80万</t>
  </si>
  <si>
    <t>1527.65万</t>
  </si>
  <si>
    <t>99.42万</t>
  </si>
  <si>
    <t>12.64亿</t>
  </si>
  <si>
    <t>87.53亿</t>
  </si>
  <si>
    <t>546.42万</t>
  </si>
  <si>
    <t>961.40万</t>
  </si>
  <si>
    <t>2021.01万</t>
  </si>
  <si>
    <t>1941.27万</t>
  </si>
  <si>
    <t>-4411.44万</t>
  </si>
  <si>
    <t>759.26万</t>
  </si>
  <si>
    <t>551.99万</t>
  </si>
  <si>
    <t>5851.59万</t>
  </si>
  <si>
    <t>336.99万</t>
  </si>
  <si>
    <t>71.01亿</t>
  </si>
  <si>
    <t>37.23亿</t>
  </si>
  <si>
    <t>36.51亿</t>
  </si>
  <si>
    <t>2065.56万</t>
  </si>
  <si>
    <t>5055.17万</t>
  </si>
  <si>
    <t>10.60万</t>
  </si>
  <si>
    <t>379.51万</t>
  </si>
  <si>
    <t>10.20亿</t>
  </si>
  <si>
    <t>-12.78亿</t>
  </si>
  <si>
    <t>9433.49万</t>
  </si>
  <si>
    <t>-2825.31万</t>
  </si>
  <si>
    <t>1843.34万</t>
  </si>
  <si>
    <t>0486000000</t>
  </si>
  <si>
    <t>0972000000</t>
  </si>
  <si>
    <t>01620000000</t>
  </si>
  <si>
    <t>03240000000</t>
  </si>
  <si>
    <t>65.16万</t>
  </si>
  <si>
    <t>21.05亿</t>
  </si>
  <si>
    <t>788.36万</t>
  </si>
  <si>
    <t>1483.63万</t>
  </si>
  <si>
    <t>9942.39万</t>
  </si>
  <si>
    <t>6274.33万</t>
  </si>
  <si>
    <t>-4047.83万</t>
  </si>
  <si>
    <t>-3916.99万</t>
  </si>
  <si>
    <t>-7013.83万</t>
  </si>
  <si>
    <t>3505.07万</t>
  </si>
  <si>
    <t>342.90万</t>
  </si>
  <si>
    <t>5156.18万</t>
  </si>
  <si>
    <t>236.06万</t>
  </si>
  <si>
    <t>34.15亿</t>
  </si>
  <si>
    <t>5310.05万</t>
  </si>
  <si>
    <t>12.78亿</t>
  </si>
  <si>
    <t>761.82万</t>
  </si>
  <si>
    <t>1025.83万</t>
  </si>
  <si>
    <t>34.26万</t>
  </si>
  <si>
    <t>738.24万</t>
  </si>
  <si>
    <t>750.22万</t>
  </si>
  <si>
    <t>5008.33万</t>
  </si>
  <si>
    <t>-1.57亿</t>
  </si>
  <si>
    <t>4468.63万</t>
  </si>
  <si>
    <t>1759.09万</t>
  </si>
  <si>
    <t>747.32万</t>
  </si>
  <si>
    <t>8.03亿</t>
  </si>
  <si>
    <t>3780.66万</t>
  </si>
  <si>
    <t>8801.07万</t>
  </si>
  <si>
    <t>7004.22万</t>
  </si>
  <si>
    <t>799.63万</t>
  </si>
  <si>
    <t>660.00万</t>
  </si>
  <si>
    <t>35.00万</t>
  </si>
  <si>
    <t>1243.13万</t>
  </si>
  <si>
    <t>100.09万</t>
  </si>
  <si>
    <t>1502.09万</t>
  </si>
  <si>
    <t>2497.37万</t>
  </si>
  <si>
    <t>2085.50万</t>
  </si>
  <si>
    <t>55.32万</t>
  </si>
  <si>
    <t>-391.66万</t>
  </si>
  <si>
    <t>4387.43万</t>
  </si>
  <si>
    <t>448.39万</t>
  </si>
  <si>
    <t>3795.50万</t>
  </si>
  <si>
    <t>-8-1</t>
  </si>
  <si>
    <t>69.59万</t>
  </si>
  <si>
    <t>19.75亿</t>
  </si>
  <si>
    <t>20.75亿</t>
  </si>
  <si>
    <t>8077.52万</t>
  </si>
  <si>
    <t>7504.87万</t>
  </si>
  <si>
    <t>799.03万</t>
  </si>
  <si>
    <t>12.05亿</t>
  </si>
  <si>
    <t>7621.45万</t>
  </si>
  <si>
    <t>2957.56万</t>
  </si>
  <si>
    <t>-5225.16万</t>
  </si>
  <si>
    <t>-4276.74万</t>
  </si>
  <si>
    <t>-1812.86万</t>
  </si>
  <si>
    <t>5525.32万</t>
  </si>
  <si>
    <t>337.65万</t>
  </si>
  <si>
    <t>2093.05万</t>
  </si>
  <si>
    <t>44.15万</t>
  </si>
  <si>
    <t>45.62亿</t>
  </si>
  <si>
    <t>24.10亿</t>
  </si>
  <si>
    <t>123.39万</t>
  </si>
  <si>
    <t>494.06万</t>
  </si>
  <si>
    <t>6.77万</t>
  </si>
  <si>
    <t>291.99万</t>
  </si>
  <si>
    <t>5401.16万</t>
  </si>
  <si>
    <t>2215.87万</t>
  </si>
  <si>
    <t>-3222.47万</t>
  </si>
  <si>
    <t>9396.78万</t>
  </si>
  <si>
    <t>600.41万</t>
  </si>
  <si>
    <t>2680.85万</t>
  </si>
  <si>
    <t>130.94万</t>
  </si>
  <si>
    <t>6119.53万</t>
  </si>
  <si>
    <t>126.80万</t>
  </si>
  <si>
    <t>273.33万</t>
  </si>
  <si>
    <t>6400.31万</t>
  </si>
  <si>
    <t>735.74万</t>
  </si>
  <si>
    <t>4977.35万</t>
  </si>
  <si>
    <t>299.60万</t>
  </si>
  <si>
    <t>-56.95万</t>
  </si>
  <si>
    <t>1361.50万</t>
  </si>
  <si>
    <t>680.54万</t>
  </si>
  <si>
    <t>7661.22万</t>
  </si>
  <si>
    <t>60.19万</t>
  </si>
  <si>
    <t>13.86亿</t>
  </si>
  <si>
    <t>-208.51万</t>
  </si>
  <si>
    <t>167.81万</t>
  </si>
  <si>
    <t>583.72万</t>
  </si>
  <si>
    <t>4850.42万</t>
  </si>
  <si>
    <t>202.26万</t>
  </si>
  <si>
    <t>7145.76万</t>
  </si>
  <si>
    <t>1400.51万</t>
  </si>
  <si>
    <t>7884.83万</t>
  </si>
  <si>
    <t>4.48万</t>
  </si>
  <si>
    <t>950.82万</t>
  </si>
  <si>
    <t>142.79万</t>
  </si>
  <si>
    <t>361.56万</t>
  </si>
  <si>
    <t>4245.38万</t>
  </si>
  <si>
    <t>-5-1</t>
  </si>
  <si>
    <t>325.77万</t>
  </si>
  <si>
    <t>57.38亿</t>
  </si>
  <si>
    <t>37.85亿</t>
  </si>
  <si>
    <t>1720.02万</t>
  </si>
  <si>
    <t>41.67亿</t>
  </si>
  <si>
    <t>40.86亿</t>
  </si>
  <si>
    <t>1999.76万</t>
  </si>
  <si>
    <t>3316.07万</t>
  </si>
  <si>
    <t>91.28万</t>
  </si>
  <si>
    <t>20.18亿</t>
  </si>
  <si>
    <t>56.36亿</t>
  </si>
  <si>
    <t>-4.09亿</t>
  </si>
  <si>
    <t>2594.99万</t>
  </si>
  <si>
    <t>914.21万</t>
  </si>
  <si>
    <t>5735.50万</t>
  </si>
  <si>
    <t>86.87万</t>
  </si>
  <si>
    <t>15.80亿</t>
  </si>
  <si>
    <t>-1546.56万</t>
  </si>
  <si>
    <t>179.20万</t>
  </si>
  <si>
    <t>1751.74万</t>
  </si>
  <si>
    <t>4725.51万</t>
  </si>
  <si>
    <t>3003.73万</t>
  </si>
  <si>
    <t>778.82万</t>
  </si>
  <si>
    <t>-1785.50万</t>
  </si>
  <si>
    <t>5592.97万</t>
  </si>
  <si>
    <t>638.55万</t>
  </si>
  <si>
    <t>612.82万</t>
  </si>
  <si>
    <t>3672.25万</t>
  </si>
  <si>
    <t>62.09万</t>
  </si>
  <si>
    <t>3099.81万</t>
  </si>
  <si>
    <t>1326.18万</t>
  </si>
  <si>
    <t>1360.62万</t>
  </si>
  <si>
    <t>3.95万</t>
  </si>
  <si>
    <t>443.67万</t>
  </si>
  <si>
    <t>387.27万</t>
  </si>
  <si>
    <t>-6497.13万</t>
  </si>
  <si>
    <t>4662.83万</t>
  </si>
  <si>
    <t>-1914.62万</t>
  </si>
  <si>
    <t>-809.65万</t>
  </si>
  <si>
    <t>257.59万</t>
  </si>
  <si>
    <t>2125.54万</t>
  </si>
  <si>
    <t>54.91万</t>
  </si>
  <si>
    <t>17.27亿</t>
  </si>
  <si>
    <t>9692.29万</t>
  </si>
  <si>
    <t>675.79万</t>
  </si>
  <si>
    <t>1243.90万</t>
  </si>
  <si>
    <t>98.40万</t>
  </si>
  <si>
    <t>236.65万</t>
  </si>
  <si>
    <t>6168.80万</t>
  </si>
  <si>
    <t>5.73万</t>
  </si>
  <si>
    <t>-305.47万</t>
  </si>
  <si>
    <t>-344.84万</t>
  </si>
  <si>
    <t>-4736.06万</t>
  </si>
  <si>
    <t>2116.05万</t>
  </si>
  <si>
    <t>223.12万</t>
  </si>
  <si>
    <t>1386.43万</t>
  </si>
  <si>
    <t>096922900</t>
  </si>
  <si>
    <t>0290768700</t>
  </si>
  <si>
    <t>0581537400</t>
  </si>
  <si>
    <t>0969229000</t>
  </si>
  <si>
    <t>01938458000</t>
  </si>
  <si>
    <t>6-0</t>
  </si>
  <si>
    <t>55.04万</t>
  </si>
  <si>
    <t>6771.20万</t>
  </si>
  <si>
    <t>755.94万</t>
  </si>
  <si>
    <t>694.55万</t>
  </si>
  <si>
    <t>5.96万</t>
  </si>
  <si>
    <t>1807.03万</t>
  </si>
  <si>
    <t>1150.86万</t>
  </si>
  <si>
    <t>2702.72万</t>
  </si>
  <si>
    <t>501.68万</t>
  </si>
  <si>
    <t>-23.58万</t>
  </si>
  <si>
    <t>398.74万</t>
  </si>
  <si>
    <t>398.96万</t>
  </si>
  <si>
    <t>4233.60万</t>
  </si>
  <si>
    <t>067712000</t>
  </si>
  <si>
    <t>0203136000</t>
  </si>
  <si>
    <t>0406272000</t>
  </si>
  <si>
    <t>0677120000</t>
  </si>
  <si>
    <t>01354240000</t>
  </si>
  <si>
    <t>13-1</t>
  </si>
  <si>
    <t>1876.26万</t>
  </si>
  <si>
    <t>175.78亿</t>
  </si>
  <si>
    <t>1396.77万</t>
  </si>
  <si>
    <t>19.61亿</t>
  </si>
  <si>
    <t>21.61亿</t>
  </si>
  <si>
    <t>-13.34亿</t>
  </si>
  <si>
    <t>01110000000</t>
  </si>
  <si>
    <t>03330000000</t>
  </si>
  <si>
    <t>06660000000</t>
  </si>
  <si>
    <t>011100000000</t>
  </si>
  <si>
    <t>022200000000</t>
  </si>
  <si>
    <t>973.80万</t>
  </si>
  <si>
    <t>560.97亿</t>
  </si>
  <si>
    <t>5556.42万</t>
  </si>
  <si>
    <t>277.89万</t>
  </si>
  <si>
    <t>945.74万</t>
  </si>
  <si>
    <t>35.05万</t>
  </si>
  <si>
    <t>2158.75万</t>
  </si>
  <si>
    <t>7323.60万</t>
  </si>
  <si>
    <t>-33.37万</t>
  </si>
  <si>
    <t>177.27万</t>
  </si>
  <si>
    <t>-425.09万</t>
  </si>
  <si>
    <t>149.74亿</t>
  </si>
  <si>
    <t>190.29万</t>
  </si>
  <si>
    <t>43.43亿</t>
  </si>
  <si>
    <t>203.21亿</t>
  </si>
  <si>
    <t>138.09万</t>
  </si>
  <si>
    <t>5084.18万</t>
  </si>
  <si>
    <t>-1690.15万</t>
  </si>
  <si>
    <t>-2234.74万</t>
  </si>
  <si>
    <t>55.31亿</t>
  </si>
  <si>
    <t>4598.89万</t>
  </si>
  <si>
    <t>1209.58万</t>
  </si>
  <si>
    <t>442.95万</t>
  </si>
  <si>
    <t>100.84亿</t>
  </si>
  <si>
    <t>228.20亿</t>
  </si>
  <si>
    <t>43.02亿</t>
  </si>
  <si>
    <t>18.71亿</t>
  </si>
  <si>
    <t>17.35亿</t>
  </si>
  <si>
    <t>332.63万</t>
  </si>
  <si>
    <t>3898.71万</t>
  </si>
  <si>
    <t>41.60万</t>
  </si>
  <si>
    <t>21.19亿</t>
  </si>
  <si>
    <t>-1.09亿</t>
  </si>
  <si>
    <t>6104.05万</t>
  </si>
  <si>
    <t>54.92亿</t>
  </si>
  <si>
    <t>12.39亿</t>
  </si>
  <si>
    <t>3436.43万</t>
  </si>
  <si>
    <t>602.54万</t>
  </si>
  <si>
    <t>151.26亿</t>
  </si>
  <si>
    <t>40.36亿</t>
  </si>
  <si>
    <t>30.88亿</t>
  </si>
  <si>
    <t>23.78亿</t>
  </si>
  <si>
    <t>97.85万</t>
  </si>
  <si>
    <t>184.80万</t>
  </si>
  <si>
    <t>9.04亿</t>
  </si>
  <si>
    <t>35.66亿</t>
  </si>
  <si>
    <t>-4.18亿</t>
  </si>
  <si>
    <t>-6333.69万</t>
  </si>
  <si>
    <t>3604.36万</t>
  </si>
  <si>
    <t>3544.44万</t>
  </si>
  <si>
    <t>0209000000</t>
  </si>
  <si>
    <t>0627000000</t>
  </si>
  <si>
    <t>01254000000</t>
  </si>
  <si>
    <t>02090000000</t>
  </si>
  <si>
    <t>04180000000</t>
  </si>
  <si>
    <t>930.77万</t>
  </si>
  <si>
    <t>990.10亿</t>
  </si>
  <si>
    <t>167.16亿</t>
  </si>
  <si>
    <t>165.58万</t>
  </si>
  <si>
    <t>409.20亿</t>
  </si>
  <si>
    <t>380.24亿</t>
  </si>
  <si>
    <t>1302.55万</t>
  </si>
  <si>
    <t>334.75亿</t>
  </si>
  <si>
    <t>574.13亿</t>
  </si>
  <si>
    <t>535.71亿</t>
  </si>
  <si>
    <t>231.33亿</t>
  </si>
  <si>
    <t>189.27亿</t>
  </si>
  <si>
    <t>1234.46亿</t>
  </si>
  <si>
    <t>460.87亿</t>
  </si>
  <si>
    <t>30.84亿</t>
  </si>
  <si>
    <t>-108.74亿</t>
  </si>
  <si>
    <t>175.34亿</t>
  </si>
  <si>
    <t>59.29亿</t>
  </si>
  <si>
    <t>3340.88万</t>
  </si>
  <si>
    <t>5247.57万</t>
  </si>
  <si>
    <t>1041.15万</t>
  </si>
  <si>
    <t>359.05亿</t>
  </si>
  <si>
    <t>9271.32万</t>
  </si>
  <si>
    <t>31.31亿</t>
  </si>
  <si>
    <t>343.40万</t>
  </si>
  <si>
    <t>191.95亿</t>
  </si>
  <si>
    <t>7305.59万</t>
  </si>
  <si>
    <t>69.28亿</t>
  </si>
  <si>
    <t>17.50亿</t>
  </si>
  <si>
    <t>16.58亿</t>
  </si>
  <si>
    <t>256.26亿</t>
  </si>
  <si>
    <t>130.43亿</t>
  </si>
  <si>
    <t>-16.23亿</t>
  </si>
  <si>
    <t>75.92亿</t>
  </si>
  <si>
    <t>1822.47万</t>
  </si>
  <si>
    <t>5062.16万</t>
  </si>
  <si>
    <t>092713200</t>
  </si>
  <si>
    <t>0278139600</t>
  </si>
  <si>
    <t>0556279200</t>
  </si>
  <si>
    <t>0927132000</t>
  </si>
  <si>
    <t>01854264000</t>
  </si>
  <si>
    <t>347.02万</t>
  </si>
  <si>
    <t>87.03亿</t>
  </si>
  <si>
    <t>7062.92万</t>
  </si>
  <si>
    <t>14.78亿</t>
  </si>
  <si>
    <t>3496.32万</t>
  </si>
  <si>
    <t>5147.20万</t>
  </si>
  <si>
    <t>21.99亿</t>
  </si>
  <si>
    <t>15.23亿</t>
  </si>
  <si>
    <t>39.16亿</t>
  </si>
  <si>
    <t>20.88亿</t>
  </si>
  <si>
    <t>-3.71亿</t>
  </si>
  <si>
    <t>932.11万</t>
  </si>
  <si>
    <t>1594.25万</t>
  </si>
  <si>
    <t>6623.14万</t>
  </si>
  <si>
    <t>070629200</t>
  </si>
  <si>
    <t>0211887600</t>
  </si>
  <si>
    <t>0423775200</t>
  </si>
  <si>
    <t>0706292000</t>
  </si>
  <si>
    <t>01412584000</t>
  </si>
  <si>
    <t>1011.37万</t>
  </si>
  <si>
    <t>212.44亿</t>
  </si>
  <si>
    <t>38.18亿</t>
  </si>
  <si>
    <t>7194.20万</t>
  </si>
  <si>
    <t>119.68亿</t>
  </si>
  <si>
    <t>111.92亿</t>
  </si>
  <si>
    <t>198.04万</t>
  </si>
  <si>
    <t>22.96亿</t>
  </si>
  <si>
    <t>113.44亿</t>
  </si>
  <si>
    <t>31.48亿</t>
  </si>
  <si>
    <t>71.70亿</t>
  </si>
  <si>
    <t>146.47万</t>
  </si>
  <si>
    <t>213.13亿</t>
  </si>
  <si>
    <t>114.64亿</t>
  </si>
  <si>
    <t>-9.25亿</t>
  </si>
  <si>
    <t>10.91亿</t>
  </si>
  <si>
    <t>-1215.06万</t>
  </si>
  <si>
    <t>6352.48万</t>
  </si>
  <si>
    <t>0215826000</t>
  </si>
  <si>
    <t>0431652000</t>
  </si>
  <si>
    <t>0719420000</t>
  </si>
  <si>
    <t>01438840000</t>
  </si>
  <si>
    <t>461.71万</t>
  </si>
  <si>
    <t>140.48亿</t>
  </si>
  <si>
    <t>264.85亿</t>
  </si>
  <si>
    <t>39.33亿</t>
  </si>
  <si>
    <t>35.45亿</t>
  </si>
  <si>
    <t>6793.77万</t>
  </si>
  <si>
    <t>98.19万</t>
  </si>
  <si>
    <t>50.25亿</t>
  </si>
  <si>
    <t>296.86万</t>
  </si>
  <si>
    <t>29.30亿</t>
  </si>
  <si>
    <t>4.77万</t>
  </si>
  <si>
    <t>73.41亿</t>
  </si>
  <si>
    <t>-8357.59万</t>
  </si>
  <si>
    <t>9.86亿</t>
  </si>
  <si>
    <t>70.71亿</t>
  </si>
  <si>
    <t>2884.06万</t>
  </si>
  <si>
    <t>1035.25万</t>
  </si>
  <si>
    <t>62.28亿</t>
  </si>
  <si>
    <t>709.35万</t>
  </si>
  <si>
    <t>3316.57万</t>
  </si>
  <si>
    <t>96.88万</t>
  </si>
  <si>
    <t>23.56亿</t>
  </si>
  <si>
    <t>7.60亿</t>
  </si>
  <si>
    <t>24.16亿</t>
  </si>
  <si>
    <t>1995.04万</t>
  </si>
  <si>
    <t>51.20亿</t>
  </si>
  <si>
    <t>1394.55万</t>
  </si>
  <si>
    <t>-4290.31万</t>
  </si>
  <si>
    <t>13.50亿</t>
  </si>
  <si>
    <t>8691.30万</t>
  </si>
  <si>
    <t>2417.55万</t>
  </si>
  <si>
    <t>79.35亿</t>
  </si>
  <si>
    <t>38.71亿</t>
  </si>
  <si>
    <t>35.59亿</t>
  </si>
  <si>
    <t>7752.96万</t>
  </si>
  <si>
    <t>185.05万</t>
  </si>
  <si>
    <t>48.20亿</t>
  </si>
  <si>
    <t>16.94亿</t>
  </si>
  <si>
    <t>-1.95亿</t>
  </si>
  <si>
    <t>-4030.01万</t>
  </si>
  <si>
    <t>-8001.73万</t>
  </si>
  <si>
    <t>1191.93万</t>
  </si>
  <si>
    <t>148.65亿</t>
  </si>
  <si>
    <t>46.65亿</t>
  </si>
  <si>
    <t>52.33亿</t>
  </si>
  <si>
    <t>83.94万</t>
  </si>
  <si>
    <t>46.18亿</t>
  </si>
  <si>
    <t>21.38亿</t>
  </si>
  <si>
    <t>16.56亿</t>
  </si>
  <si>
    <t>-3040.24万</t>
  </si>
  <si>
    <t>-4.92亿</t>
  </si>
  <si>
    <t>9.77亿</t>
  </si>
  <si>
    <t>10派4.2元(含税)</t>
  </si>
  <si>
    <t>6999.86万</t>
  </si>
  <si>
    <t>243.06万</t>
  </si>
  <si>
    <t>19.25亿</t>
  </si>
  <si>
    <t>9850.65万</t>
  </si>
  <si>
    <t>7950.28万</t>
  </si>
  <si>
    <t>404.02万</t>
  </si>
  <si>
    <t>993.98万</t>
  </si>
  <si>
    <t>2.84万</t>
  </si>
  <si>
    <t>1129.30万</t>
  </si>
  <si>
    <t>600.00万</t>
  </si>
  <si>
    <t>1470.73万</t>
  </si>
  <si>
    <t>5240.45万</t>
  </si>
  <si>
    <t>6320.35万</t>
  </si>
  <si>
    <t>-6011.77万</t>
  </si>
  <si>
    <t>-479.17万</t>
  </si>
  <si>
    <t>2856.66万</t>
  </si>
  <si>
    <t>1035.72万</t>
  </si>
  <si>
    <t>8307.39万</t>
  </si>
  <si>
    <t>152.37万</t>
  </si>
  <si>
    <t>41.21亿</t>
  </si>
  <si>
    <t>17.66亿</t>
  </si>
  <si>
    <t>1663.54万</t>
  </si>
  <si>
    <t>775.68万</t>
  </si>
  <si>
    <t>3449.50万</t>
  </si>
  <si>
    <t>13.25亿</t>
  </si>
  <si>
    <t>16.88亿</t>
  </si>
  <si>
    <t>1921.82万</t>
  </si>
  <si>
    <t>734.20万</t>
  </si>
  <si>
    <t>9426.26万</t>
  </si>
  <si>
    <t>131.59万</t>
  </si>
  <si>
    <t>34.38亿</t>
  </si>
  <si>
    <t>-2.92亿</t>
  </si>
  <si>
    <t>2569.51万</t>
  </si>
  <si>
    <t>2766.24万</t>
  </si>
  <si>
    <t>356.95万</t>
  </si>
  <si>
    <t>6936.64万</t>
  </si>
  <si>
    <t>23.74万</t>
  </si>
  <si>
    <t>-1.18亿</t>
  </si>
  <si>
    <t>828.55万</t>
  </si>
  <si>
    <t>-4619.89万</t>
  </si>
  <si>
    <t>1102.09万</t>
  </si>
  <si>
    <t>8014.47万</t>
  </si>
  <si>
    <t>140.47万</t>
  </si>
  <si>
    <t>14.91亿</t>
  </si>
  <si>
    <t>-8420.21万</t>
  </si>
  <si>
    <t>8988.22万</t>
  </si>
  <si>
    <t>671.33万</t>
  </si>
  <si>
    <t>774.27万</t>
  </si>
  <si>
    <t>1999.54万</t>
  </si>
  <si>
    <t>675.45万</t>
  </si>
  <si>
    <t>-1.01亿</t>
  </si>
  <si>
    <t>1446.40万</t>
  </si>
  <si>
    <t>-1973.47万</t>
  </si>
  <si>
    <t>615.07万</t>
  </si>
  <si>
    <t>4954.85万</t>
  </si>
  <si>
    <t>78.69万</t>
  </si>
  <si>
    <t>9533.08万</t>
  </si>
  <si>
    <t>497.98万</t>
  </si>
  <si>
    <t>1659.00万</t>
  </si>
  <si>
    <t>3.17亿</t>
  </si>
  <si>
    <t>8553.95万</t>
  </si>
  <si>
    <t>9866.08万</t>
  </si>
  <si>
    <t>-6875.05万</t>
  </si>
  <si>
    <t>1863.51万</t>
  </si>
  <si>
    <t>457.40万</t>
  </si>
  <si>
    <t>4583.67万</t>
  </si>
  <si>
    <t>51.12万</t>
  </si>
  <si>
    <t>21.48亿</t>
  </si>
  <si>
    <t>37.52亿</t>
  </si>
  <si>
    <t>1023.08万</t>
  </si>
  <si>
    <t>873.23万</t>
  </si>
  <si>
    <t>2482.57万</t>
  </si>
  <si>
    <t>1036.99万</t>
  </si>
  <si>
    <t>-1.28亿</t>
  </si>
  <si>
    <t>3183.90万</t>
  </si>
  <si>
    <t>7847.28万</t>
  </si>
  <si>
    <t>398.61万</t>
  </si>
  <si>
    <t>4188.71万</t>
  </si>
  <si>
    <t>236.97万</t>
  </si>
  <si>
    <t>21.07亿</t>
  </si>
  <si>
    <t>15.73亿</t>
  </si>
  <si>
    <t>904.39万</t>
  </si>
  <si>
    <t>1949.68万</t>
  </si>
  <si>
    <t>317.58万</t>
  </si>
  <si>
    <t>9.10亿</t>
  </si>
  <si>
    <t>7605.93万</t>
  </si>
  <si>
    <t>3.06万</t>
  </si>
  <si>
    <t>-1590.82万</t>
  </si>
  <si>
    <t>-8142.31万</t>
  </si>
  <si>
    <t>4753.82万</t>
  </si>
  <si>
    <t>1263.97万</t>
  </si>
  <si>
    <t>5859.34万</t>
  </si>
  <si>
    <t>1490.66万</t>
  </si>
  <si>
    <t>276.96万</t>
  </si>
  <si>
    <t>1775.16万</t>
  </si>
  <si>
    <t>6.59万</t>
  </si>
  <si>
    <t>287.93万</t>
  </si>
  <si>
    <t>8485.95万</t>
  </si>
  <si>
    <t>7501.17万</t>
  </si>
  <si>
    <t>-778.70万</t>
  </si>
  <si>
    <t>-8457.03万</t>
  </si>
  <si>
    <t>3343.09万</t>
  </si>
  <si>
    <t>2550.87万</t>
  </si>
  <si>
    <t>4967.67万</t>
  </si>
  <si>
    <t>446.52万</t>
  </si>
  <si>
    <t>35.22亿</t>
  </si>
  <si>
    <t>8504.19万</t>
  </si>
  <si>
    <t>6401.62万</t>
  </si>
  <si>
    <t>572.60万</t>
  </si>
  <si>
    <t>1120.85万</t>
  </si>
  <si>
    <t>416.57万</t>
  </si>
  <si>
    <t>5101.63万</t>
  </si>
  <si>
    <t>7079.56万</t>
  </si>
  <si>
    <t>6471.42万</t>
  </si>
  <si>
    <t>2079.69万</t>
  </si>
  <si>
    <t>-700.57万</t>
  </si>
  <si>
    <t>-5999.03万</t>
  </si>
  <si>
    <t>3326.97万</t>
  </si>
  <si>
    <t>1743.39万</t>
  </si>
  <si>
    <t>311.37万</t>
  </si>
  <si>
    <t>30.67亿</t>
  </si>
  <si>
    <t>229.27万</t>
  </si>
  <si>
    <t>822.71万</t>
  </si>
  <si>
    <t>1.71万</t>
  </si>
  <si>
    <t>3317.14万</t>
  </si>
  <si>
    <t>7580.55万</t>
  </si>
  <si>
    <t>-2752.34万</t>
  </si>
  <si>
    <t>-8294.22万</t>
  </si>
  <si>
    <t>3471.88万</t>
  </si>
  <si>
    <t>1655.71万</t>
  </si>
  <si>
    <t>984.90万</t>
  </si>
  <si>
    <t>23.11亿</t>
  </si>
  <si>
    <t>61.62亿</t>
  </si>
  <si>
    <t>33.38万</t>
  </si>
  <si>
    <t>479.31万</t>
  </si>
  <si>
    <t>55.20万</t>
  </si>
  <si>
    <t>5158.29万</t>
  </si>
  <si>
    <t>3652.95万</t>
  </si>
  <si>
    <t>7906.61万</t>
  </si>
  <si>
    <t>3517.09万</t>
  </si>
  <si>
    <t>27.60万</t>
  </si>
  <si>
    <t>2131.81万</t>
  </si>
  <si>
    <t>1363.72万</t>
  </si>
  <si>
    <t>22.29亿</t>
  </si>
  <si>
    <t>2267.90万</t>
  </si>
  <si>
    <t>6709.62万</t>
  </si>
  <si>
    <t>1325.79万</t>
  </si>
  <si>
    <t>9100.73万</t>
  </si>
  <si>
    <t>7507.87万</t>
  </si>
  <si>
    <t>333.91万</t>
  </si>
  <si>
    <t>1121.99万</t>
  </si>
  <si>
    <t>2.00万</t>
  </si>
  <si>
    <t>8479.52万</t>
  </si>
  <si>
    <t>3807.99万</t>
  </si>
  <si>
    <t>3759.08万</t>
  </si>
  <si>
    <t>1816.80万</t>
  </si>
  <si>
    <t>7146.52万</t>
  </si>
  <si>
    <t>4274.94万</t>
  </si>
  <si>
    <t>-1584.47万</t>
  </si>
  <si>
    <t>-4892.32万</t>
  </si>
  <si>
    <t>-204.98万</t>
  </si>
  <si>
    <t>3524.72万</t>
  </si>
  <si>
    <t>4711.12万</t>
  </si>
  <si>
    <t>92.06万</t>
  </si>
  <si>
    <t>234.75万</t>
  </si>
  <si>
    <t>1392.69万</t>
  </si>
  <si>
    <t>71.61万</t>
  </si>
  <si>
    <t>5200.00万</t>
  </si>
  <si>
    <t>3557.82万</t>
  </si>
  <si>
    <t>699.94万</t>
  </si>
  <si>
    <t>-2097.94万</t>
  </si>
  <si>
    <t>1291.15万</t>
  </si>
  <si>
    <t>3095.50万</t>
  </si>
  <si>
    <t>710.73万</t>
  </si>
  <si>
    <t>5266.48万</t>
  </si>
  <si>
    <t>462.72万</t>
  </si>
  <si>
    <t>-8334.30万</t>
  </si>
  <si>
    <t>353.25万</t>
  </si>
  <si>
    <t>2491.04万</t>
  </si>
  <si>
    <t>6.05万</t>
  </si>
  <si>
    <t>7574.92万</t>
  </si>
  <si>
    <t>9650.00万</t>
  </si>
  <si>
    <t>-1773.56万</t>
  </si>
  <si>
    <t>-2.47亿</t>
  </si>
  <si>
    <t>6286.33万</t>
  </si>
  <si>
    <t>-1405.23万</t>
  </si>
  <si>
    <t>2439.98万</t>
  </si>
  <si>
    <t>214.26万</t>
  </si>
  <si>
    <t>14.59亿</t>
  </si>
  <si>
    <t>10.33亿</t>
  </si>
  <si>
    <t>1580.45万</t>
  </si>
  <si>
    <t>2447.80万</t>
  </si>
  <si>
    <t>13.09万</t>
  </si>
  <si>
    <t>3045.53万</t>
  </si>
  <si>
    <t>1426.29万</t>
  </si>
  <si>
    <t>9967.90万</t>
  </si>
  <si>
    <t>-1618.77万</t>
  </si>
  <si>
    <t>-3015.79万</t>
  </si>
  <si>
    <t>2112.34万</t>
  </si>
  <si>
    <t>838.85万</t>
  </si>
  <si>
    <t>3224.62万</t>
  </si>
  <si>
    <t>83.90万</t>
  </si>
  <si>
    <t>32.04亿</t>
  </si>
  <si>
    <t>46.56亿</t>
  </si>
  <si>
    <t>303.60万</t>
  </si>
  <si>
    <t>1499.40万</t>
  </si>
  <si>
    <t>1.92万</t>
  </si>
  <si>
    <t>9889.39万</t>
  </si>
  <si>
    <t>-6273.54万</t>
  </si>
  <si>
    <t>5889.39万</t>
  </si>
  <si>
    <t>10.73亿</t>
  </si>
  <si>
    <t>458.53万</t>
  </si>
  <si>
    <t>4173.89万</t>
  </si>
  <si>
    <t>171.92万</t>
  </si>
  <si>
    <t>-6309.45万</t>
  </si>
  <si>
    <t>261.75万</t>
  </si>
  <si>
    <t>1562.37万</t>
  </si>
  <si>
    <t>6279.10万</t>
  </si>
  <si>
    <t>-1595.58万</t>
  </si>
  <si>
    <t>-376.86万</t>
  </si>
  <si>
    <t>521.77万</t>
  </si>
  <si>
    <t>2411.79万</t>
  </si>
  <si>
    <t>95.41万</t>
  </si>
  <si>
    <t>325.34亿</t>
  </si>
  <si>
    <t>-6831.02万</t>
  </si>
  <si>
    <t>47.55亿</t>
  </si>
  <si>
    <t>41.75亿</t>
  </si>
  <si>
    <t>949.22万</t>
  </si>
  <si>
    <t>2713.67万</t>
  </si>
  <si>
    <t>427.80亿</t>
  </si>
  <si>
    <t>67.04亿</t>
  </si>
  <si>
    <t>157.15亿</t>
  </si>
  <si>
    <t>546.00万</t>
  </si>
  <si>
    <t>298.21亿</t>
  </si>
  <si>
    <t>233.80亿</t>
  </si>
  <si>
    <t>-25.94亿</t>
  </si>
  <si>
    <t>-5.96亿</t>
  </si>
  <si>
    <t>2424.31万</t>
  </si>
  <si>
    <t>-558.04万</t>
  </si>
  <si>
    <t>577.44万</t>
  </si>
  <si>
    <t>8363.85万</t>
  </si>
  <si>
    <t>53.50万</t>
  </si>
  <si>
    <t>1923.37万</t>
  </si>
  <si>
    <t>4.37万</t>
  </si>
  <si>
    <t>24.65亿</t>
  </si>
  <si>
    <t>2674.51万</t>
  </si>
  <si>
    <t>-5013.82万</t>
  </si>
  <si>
    <t>4100.39万</t>
  </si>
  <si>
    <t>10派10.055元(含税)</t>
  </si>
  <si>
    <t>370.52万</t>
  </si>
  <si>
    <t>2406.06万</t>
  </si>
  <si>
    <t>SH603285</t>
  </si>
  <si>
    <t>N键邦</t>
  </si>
  <si>
    <t>3016.54万</t>
  </si>
  <si>
    <t>7.62亿</t>
  </si>
  <si>
    <t>794.34万</t>
  </si>
  <si>
    <t>120.71万</t>
  </si>
  <si>
    <t>538.07万</t>
  </si>
  <si>
    <t>108784亿</t>
  </si>
  <si>
    <t>5.05万</t>
  </si>
  <si>
    <t>42971800亿</t>
  </si>
  <si>
    <t>93647493亿</t>
  </si>
  <si>
    <t>8231.23万</t>
  </si>
  <si>
    <t>781348140亿</t>
  </si>
  <si>
    <t>468.90万</t>
  </si>
  <si>
    <t>1966.61万</t>
  </si>
  <si>
    <t>2478.48万</t>
  </si>
  <si>
    <t>8128.30万</t>
  </si>
  <si>
    <t>4147.55万</t>
  </si>
  <si>
    <t>-702.17万</t>
  </si>
  <si>
    <t>7830.88万</t>
  </si>
  <si>
    <t>293.77万</t>
  </si>
  <si>
    <t>364.07万</t>
  </si>
  <si>
    <t>60.75亿</t>
  </si>
  <si>
    <t>19.17亿</t>
  </si>
  <si>
    <t>7.40亿</t>
  </si>
  <si>
    <t>983.18万</t>
  </si>
  <si>
    <t>3594.02万</t>
  </si>
  <si>
    <t>41.89万</t>
  </si>
  <si>
    <t>31.62亿</t>
  </si>
  <si>
    <t>272.17万</t>
  </si>
  <si>
    <t>-68.16万</t>
  </si>
  <si>
    <t>2222.42万</t>
  </si>
  <si>
    <t>2824.74万</t>
  </si>
  <si>
    <t>0133000000</t>
  </si>
  <si>
    <t>0399000000</t>
  </si>
  <si>
    <t>0798000000</t>
  </si>
  <si>
    <t>01330000000</t>
  </si>
  <si>
    <t>02660000000</t>
  </si>
  <si>
    <t>219.01万</t>
  </si>
  <si>
    <t>213.30万</t>
  </si>
  <si>
    <t>2613.85万</t>
  </si>
  <si>
    <t>7.51万</t>
  </si>
  <si>
    <t>1315.30万</t>
  </si>
  <si>
    <t>1814.48万</t>
  </si>
  <si>
    <t>5792.60万</t>
  </si>
  <si>
    <t>4032.80万</t>
  </si>
  <si>
    <t>1341.55万</t>
  </si>
  <si>
    <t>9891.43万</t>
  </si>
  <si>
    <t>127.98万</t>
  </si>
  <si>
    <t>24.78亿</t>
  </si>
  <si>
    <t>9883.55万</t>
  </si>
  <si>
    <t>1464.14万</t>
  </si>
  <si>
    <t>2464.06万</t>
  </si>
  <si>
    <t>123.47万</t>
  </si>
  <si>
    <t>2384.79万</t>
  </si>
  <si>
    <t>-3895.48万</t>
  </si>
  <si>
    <t>2318.37万</t>
  </si>
  <si>
    <t>1053.10万</t>
  </si>
  <si>
    <t>7324.74万</t>
  </si>
  <si>
    <t>238.60万</t>
  </si>
  <si>
    <t>12.99亿</t>
  </si>
  <si>
    <t>12.43亿</t>
  </si>
  <si>
    <t>8386.39万</t>
  </si>
  <si>
    <t>739.84万</t>
  </si>
  <si>
    <t>1844.84万</t>
  </si>
  <si>
    <t>6.07万</t>
  </si>
  <si>
    <t>1608.91万</t>
  </si>
  <si>
    <t>1092.98万</t>
  </si>
  <si>
    <t>6.86亿</t>
  </si>
  <si>
    <t>-338.15万</t>
  </si>
  <si>
    <t>-2163.36万</t>
  </si>
  <si>
    <t>5563.21万</t>
  </si>
  <si>
    <t>389.81万</t>
  </si>
  <si>
    <t>1272.32万</t>
  </si>
  <si>
    <t>22.44万</t>
  </si>
  <si>
    <t>7.64亿</t>
  </si>
  <si>
    <t>9052.27万</t>
  </si>
  <si>
    <t>77.83万</t>
  </si>
  <si>
    <t>932.84万</t>
  </si>
  <si>
    <t>6.35万</t>
  </si>
  <si>
    <t>5025.53万</t>
  </si>
  <si>
    <t>9852.00万</t>
  </si>
  <si>
    <t>3034.95万</t>
  </si>
  <si>
    <t>109.82万</t>
  </si>
  <si>
    <t>-3541.35万</t>
  </si>
  <si>
    <t>193.19万</t>
  </si>
  <si>
    <t>2533.41万</t>
  </si>
  <si>
    <t>287.38万</t>
  </si>
  <si>
    <t>16.31亿</t>
  </si>
  <si>
    <t>3977.05万</t>
  </si>
  <si>
    <t>3629.84万</t>
  </si>
  <si>
    <t>92.97万</t>
  </si>
  <si>
    <t>7620.55万</t>
  </si>
  <si>
    <t>772.30万</t>
  </si>
  <si>
    <t>8952.37万</t>
  </si>
  <si>
    <t>15.43亿</t>
  </si>
  <si>
    <t>1124.86万</t>
  </si>
  <si>
    <t>-2402.67万</t>
  </si>
  <si>
    <t>4533.53万</t>
  </si>
  <si>
    <t>1477.33万</t>
  </si>
  <si>
    <t>1757.25万</t>
  </si>
  <si>
    <t>560.56万</t>
  </si>
  <si>
    <t>18.41亿</t>
  </si>
  <si>
    <t>5643.06万</t>
  </si>
  <si>
    <t>4375.77万</t>
  </si>
  <si>
    <t>3563.47万</t>
  </si>
  <si>
    <t>2.12万</t>
  </si>
  <si>
    <t>630.66万</t>
  </si>
  <si>
    <t>8095.71万</t>
  </si>
  <si>
    <t>1478.01万</t>
  </si>
  <si>
    <t>10.68亿</t>
  </si>
  <si>
    <t>-1350.75万</t>
  </si>
  <si>
    <t>-6498.47万</t>
  </si>
  <si>
    <t>3928.00万</t>
  </si>
  <si>
    <t>7997.68万</t>
  </si>
  <si>
    <t>1065.95万</t>
  </si>
  <si>
    <t>4170.03万</t>
  </si>
  <si>
    <t>056430600</t>
  </si>
  <si>
    <t>0169291800</t>
  </si>
  <si>
    <t>0338583600</t>
  </si>
  <si>
    <t>0564306000</t>
  </si>
  <si>
    <t>01128612000</t>
  </si>
  <si>
    <t>109.84万</t>
  </si>
  <si>
    <t>13.73亿</t>
  </si>
  <si>
    <t>1261.91万</t>
  </si>
  <si>
    <t>1649.02万</t>
  </si>
  <si>
    <t>27.97万</t>
  </si>
  <si>
    <t>1150.92万</t>
  </si>
  <si>
    <t>3950.13万</t>
  </si>
  <si>
    <t>88.16万</t>
  </si>
  <si>
    <t>-8470.88万</t>
  </si>
  <si>
    <t>5439.59万</t>
  </si>
  <si>
    <t>6295.90万</t>
  </si>
  <si>
    <t>626.44万</t>
  </si>
  <si>
    <t>4465.44万</t>
  </si>
  <si>
    <t>201.12万</t>
  </si>
  <si>
    <t>16.41亿</t>
  </si>
  <si>
    <t>245.92万</t>
  </si>
  <si>
    <t>2467.04万</t>
  </si>
  <si>
    <t>14.17万</t>
  </si>
  <si>
    <t>288.40万</t>
  </si>
  <si>
    <t>23.29亿</t>
  </si>
  <si>
    <t>-2.82亿</t>
  </si>
  <si>
    <t>333.09万</t>
  </si>
  <si>
    <t>1962.06万</t>
  </si>
  <si>
    <t>533.18万</t>
  </si>
  <si>
    <t>24.29亿</t>
  </si>
  <si>
    <t>55.00亿</t>
  </si>
  <si>
    <t>-6.89亿</t>
  </si>
  <si>
    <t>432.69万</t>
  </si>
  <si>
    <t>2350.03万</t>
  </si>
  <si>
    <t>238.52万</t>
  </si>
  <si>
    <t>506.09万</t>
  </si>
  <si>
    <t>9085.25万</t>
  </si>
  <si>
    <t>1406.21万</t>
  </si>
  <si>
    <t>7613.73万</t>
  </si>
  <si>
    <t>-1252.59万</t>
  </si>
  <si>
    <t>-5263.03万</t>
  </si>
  <si>
    <t>-3057.33万</t>
  </si>
  <si>
    <t>327.07万</t>
  </si>
  <si>
    <t>3792.97万</t>
  </si>
  <si>
    <t>92.33万</t>
  </si>
  <si>
    <t>24.59亿</t>
  </si>
  <si>
    <t>50.60亿</t>
  </si>
  <si>
    <t>570.65万</t>
  </si>
  <si>
    <t>3324.63万</t>
  </si>
  <si>
    <t>21.38万</t>
  </si>
  <si>
    <t>500.47万</t>
  </si>
  <si>
    <t>-651.31万</t>
  </si>
  <si>
    <t>-7677.67万</t>
  </si>
  <si>
    <t>-4722.92万</t>
  </si>
  <si>
    <t>529.54万</t>
  </si>
  <si>
    <t>3622.27万</t>
  </si>
  <si>
    <t>187.75万</t>
  </si>
  <si>
    <t>4367.08万</t>
  </si>
  <si>
    <t>7078.60万</t>
  </si>
  <si>
    <t>7342.29万</t>
  </si>
  <si>
    <t>13.00万</t>
  </si>
  <si>
    <t>9457.77万</t>
  </si>
  <si>
    <t>20.25亿</t>
  </si>
  <si>
    <t>4558.01万</t>
  </si>
  <si>
    <t>1323.47万</t>
  </si>
  <si>
    <t>1142.86万</t>
  </si>
  <si>
    <t>043670800</t>
  </si>
  <si>
    <t>0131012400</t>
  </si>
  <si>
    <t>0262024800</t>
  </si>
  <si>
    <t>0436708000</t>
  </si>
  <si>
    <t>0873416000</t>
  </si>
  <si>
    <t>108.11万</t>
  </si>
  <si>
    <t>20.79亿</t>
  </si>
  <si>
    <t>7059.28万</t>
  </si>
  <si>
    <t>4.98亿</t>
  </si>
  <si>
    <t>381.17万</t>
  </si>
  <si>
    <t>2176.90万</t>
  </si>
  <si>
    <t>349.39万</t>
  </si>
  <si>
    <t>6794.27万</t>
  </si>
  <si>
    <t>2549.44万</t>
  </si>
  <si>
    <t>7048.34万</t>
  </si>
  <si>
    <t>-791.00万</t>
  </si>
  <si>
    <t>9886.99万</t>
  </si>
  <si>
    <t>1852.91万</t>
  </si>
  <si>
    <t>300.01万</t>
  </si>
  <si>
    <t>1793.77万</t>
  </si>
  <si>
    <t>070592800</t>
  </si>
  <si>
    <t>0211778400</t>
  </si>
  <si>
    <t>0423556800</t>
  </si>
  <si>
    <t>0705928000</t>
  </si>
  <si>
    <t>01411856000</t>
  </si>
  <si>
    <t>99.67万</t>
  </si>
  <si>
    <t>20.66亿</t>
  </si>
  <si>
    <t>675.12万</t>
  </si>
  <si>
    <t>4205.78万</t>
  </si>
  <si>
    <t>73.84万</t>
  </si>
  <si>
    <t>7.85亿</t>
  </si>
  <si>
    <t>2194.57万</t>
  </si>
  <si>
    <t>14.71亿</t>
  </si>
  <si>
    <t>3352.05万</t>
  </si>
  <si>
    <t>559.85万</t>
  </si>
  <si>
    <t>5216.21万</t>
  </si>
  <si>
    <t>485.44万</t>
  </si>
  <si>
    <t>2052.06万</t>
  </si>
  <si>
    <t>5690.95万</t>
  </si>
  <si>
    <t>13.79万</t>
  </si>
  <si>
    <t>1187.18万</t>
  </si>
  <si>
    <t>-3589.87万</t>
  </si>
  <si>
    <t>-7826.31万</t>
  </si>
  <si>
    <t>-4723.89万</t>
  </si>
  <si>
    <t>-1347.33万</t>
  </si>
  <si>
    <t>2510.77万</t>
  </si>
  <si>
    <t>526.70万</t>
  </si>
  <si>
    <t>39.92亿</t>
  </si>
  <si>
    <t>21.35亿</t>
  </si>
  <si>
    <t>-5.65亿</t>
  </si>
  <si>
    <t>538.80万</t>
  </si>
  <si>
    <t>2933.31万</t>
  </si>
  <si>
    <t>108.30万</t>
  </si>
  <si>
    <t>1541.35万</t>
  </si>
  <si>
    <t>7001.17万</t>
  </si>
  <si>
    <t>530.00万</t>
  </si>
  <si>
    <t>-4369.79万</t>
  </si>
  <si>
    <t>7330.83万</t>
  </si>
  <si>
    <t>927.41万</t>
  </si>
  <si>
    <t>-9940.52万</t>
  </si>
  <si>
    <t>2186.29万</t>
  </si>
  <si>
    <t>189.95万</t>
  </si>
  <si>
    <t>939.21万</t>
  </si>
  <si>
    <t>502.59万</t>
  </si>
  <si>
    <t>136.65万</t>
  </si>
  <si>
    <t>5.47亿</t>
  </si>
  <si>
    <t>6000.00万</t>
  </si>
  <si>
    <t>6911.28万</t>
  </si>
  <si>
    <t>2873.45万</t>
  </si>
  <si>
    <t>-5383.35万</t>
  </si>
  <si>
    <t>5929.37万</t>
  </si>
  <si>
    <t>40.56万</t>
  </si>
  <si>
    <t>771.79万</t>
  </si>
  <si>
    <t>3843.08万</t>
  </si>
  <si>
    <t>257.93万</t>
  </si>
  <si>
    <t>27.17亿</t>
  </si>
  <si>
    <t>1549.17万</t>
  </si>
  <si>
    <t>6806.14万</t>
  </si>
  <si>
    <t>126.60万</t>
  </si>
  <si>
    <t>27.90亿</t>
  </si>
  <si>
    <t>1285.26万</t>
  </si>
  <si>
    <t>-3.10亿</t>
  </si>
  <si>
    <t>8676.92万</t>
  </si>
  <si>
    <t>4056.27万</t>
  </si>
  <si>
    <t>1452.18万</t>
  </si>
  <si>
    <t>8520.08万</t>
  </si>
  <si>
    <t>0188000000</t>
  </si>
  <si>
    <t>0564000000</t>
  </si>
  <si>
    <t>01128000000</t>
  </si>
  <si>
    <t>01880000000</t>
  </si>
  <si>
    <t>03760000000</t>
  </si>
  <si>
    <t>114.39万</t>
  </si>
  <si>
    <t>31.90亿</t>
  </si>
  <si>
    <t>1057.57万</t>
  </si>
  <si>
    <t>2614.47万</t>
  </si>
  <si>
    <t>17.16亿</t>
  </si>
  <si>
    <t>1792.03万</t>
  </si>
  <si>
    <t>8104.58万</t>
  </si>
  <si>
    <t>5882.54万</t>
  </si>
  <si>
    <t>-3.77亿</t>
  </si>
  <si>
    <t>6720.87万</t>
  </si>
  <si>
    <t>906.92万</t>
  </si>
  <si>
    <t>3898.54万</t>
  </si>
  <si>
    <t>0131000000</t>
  </si>
  <si>
    <t>0393000000</t>
  </si>
  <si>
    <t>0786000000</t>
  </si>
  <si>
    <t>01310000000</t>
  </si>
  <si>
    <t>02620000000</t>
  </si>
  <si>
    <t>332.96万</t>
  </si>
  <si>
    <t>19.98亿</t>
  </si>
  <si>
    <t>49.47亿</t>
  </si>
  <si>
    <t>555.58万</t>
  </si>
  <si>
    <t>2301.70万</t>
  </si>
  <si>
    <t>1.40万</t>
  </si>
  <si>
    <t>559.94万</t>
  </si>
  <si>
    <t>1411.59万</t>
  </si>
  <si>
    <t>-3318.74万</t>
  </si>
  <si>
    <t>-3696.14万</t>
  </si>
  <si>
    <t>14.58亿</t>
  </si>
  <si>
    <t>1307.03万</t>
  </si>
  <si>
    <t>126.13万</t>
  </si>
  <si>
    <t>22.11亿</t>
  </si>
  <si>
    <t>7014.62万</t>
  </si>
  <si>
    <t>535.40万</t>
  </si>
  <si>
    <t>1470.96万</t>
  </si>
  <si>
    <t>4.93万</t>
  </si>
  <si>
    <t>2990.00万</t>
  </si>
  <si>
    <t>-583.43万</t>
  </si>
  <si>
    <t>1447.71万</t>
  </si>
  <si>
    <t>641.53万</t>
  </si>
  <si>
    <t>8523.14万</t>
  </si>
  <si>
    <t>59.15万</t>
  </si>
  <si>
    <t>20.43亿</t>
  </si>
  <si>
    <t>-3468.63万</t>
  </si>
  <si>
    <t>555.45万</t>
  </si>
  <si>
    <t>966.98万</t>
  </si>
  <si>
    <t>10.32万</t>
  </si>
  <si>
    <t>11.73亿</t>
  </si>
  <si>
    <t>8557.88万</t>
  </si>
  <si>
    <t>4926.30万</t>
  </si>
  <si>
    <t>-6526.88万</t>
  </si>
  <si>
    <t>843.01万</t>
  </si>
  <si>
    <t>295.84万</t>
  </si>
  <si>
    <t>2229.32万</t>
  </si>
  <si>
    <t>85.47万</t>
  </si>
  <si>
    <t>148.64亿</t>
  </si>
  <si>
    <t>18.19亿</t>
  </si>
  <si>
    <t>-3.74亿</t>
  </si>
  <si>
    <t>1229.06万</t>
  </si>
  <si>
    <t>4324.40万</t>
  </si>
  <si>
    <t>34.75万</t>
  </si>
  <si>
    <t>49.88亿</t>
  </si>
  <si>
    <t>7095.64万</t>
  </si>
  <si>
    <t>56.74亿</t>
  </si>
  <si>
    <t>101.65万</t>
  </si>
  <si>
    <t>-4.63亿</t>
  </si>
  <si>
    <t>2831.96万</t>
  </si>
  <si>
    <t>-8904.23万</t>
  </si>
  <si>
    <t>582.36万</t>
  </si>
  <si>
    <t>5899.44万</t>
  </si>
  <si>
    <t>175.38万</t>
  </si>
  <si>
    <t>4923.86万</t>
  </si>
  <si>
    <t>9574.02万</t>
  </si>
  <si>
    <t>6963.31万</t>
  </si>
  <si>
    <t>800.71万</t>
  </si>
  <si>
    <t>719.93万</t>
  </si>
  <si>
    <t>501.80万</t>
  </si>
  <si>
    <t>3292.00万</t>
  </si>
  <si>
    <t>1100.78万</t>
  </si>
  <si>
    <t>6397.00万</t>
  </si>
  <si>
    <t>9505.09万</t>
  </si>
  <si>
    <t>4338.66万</t>
  </si>
  <si>
    <t>-9144.99万</t>
  </si>
  <si>
    <t>-9.64万</t>
  </si>
  <si>
    <t>1032.99万</t>
  </si>
  <si>
    <t>1395.56万</t>
  </si>
  <si>
    <t>9469.12万</t>
  </si>
  <si>
    <t>55.38万</t>
  </si>
  <si>
    <t>-2035.10万</t>
  </si>
  <si>
    <t>6920.74万</t>
  </si>
  <si>
    <t>1303.25万</t>
  </si>
  <si>
    <t>831.73万</t>
  </si>
  <si>
    <t>7.35万</t>
  </si>
  <si>
    <t>1412.69万</t>
  </si>
  <si>
    <t>544.31万</t>
  </si>
  <si>
    <t>4150.09万</t>
  </si>
  <si>
    <t>-3630.17万</t>
  </si>
  <si>
    <t>4591.35万</t>
  </si>
  <si>
    <t>676.69万</t>
  </si>
  <si>
    <t>2928.41万</t>
  </si>
  <si>
    <t>296.35万</t>
  </si>
  <si>
    <t>10派2.0053元(含税)</t>
  </si>
  <si>
    <t>261.87万</t>
  </si>
  <si>
    <t>2050.66万</t>
  </si>
  <si>
    <t>226.05万</t>
  </si>
  <si>
    <t>28.54亿</t>
  </si>
  <si>
    <t>5.03亿</t>
  </si>
  <si>
    <t>2172.08万</t>
  </si>
  <si>
    <t>5343.34万</t>
  </si>
  <si>
    <t>3440.58万</t>
  </si>
  <si>
    <t>33.77万</t>
  </si>
  <si>
    <t>9.45亿</t>
  </si>
  <si>
    <t>-1.37亿</t>
  </si>
  <si>
    <t>630.15万</t>
  </si>
  <si>
    <t>904.81万</t>
  </si>
  <si>
    <t>4741.94万</t>
  </si>
  <si>
    <t>84.80万</t>
  </si>
  <si>
    <t>13.05亿</t>
  </si>
  <si>
    <t>-3.43亿</t>
  </si>
  <si>
    <t>6911.88万</t>
  </si>
  <si>
    <t>1929.19万</t>
  </si>
  <si>
    <t>1479.40万</t>
  </si>
  <si>
    <t>2452.56万</t>
  </si>
  <si>
    <t>4550.79万</t>
  </si>
  <si>
    <t>6889.03万</t>
  </si>
  <si>
    <t>-2253.01万</t>
  </si>
  <si>
    <t>-8195.67万</t>
  </si>
  <si>
    <t>4385.22万</t>
  </si>
  <si>
    <t>-9471.79万</t>
  </si>
  <si>
    <t>333.11万</t>
  </si>
  <si>
    <t>2216.76万</t>
  </si>
  <si>
    <t>162.77万</t>
  </si>
  <si>
    <t>10.55亿</t>
  </si>
  <si>
    <t>15.03亿</t>
  </si>
  <si>
    <t>-22.83亿</t>
  </si>
  <si>
    <t>7503.93万</t>
  </si>
  <si>
    <t>3491.32万</t>
  </si>
  <si>
    <t>851.60万</t>
  </si>
  <si>
    <t>1590.58万</t>
  </si>
  <si>
    <t>6064.22万</t>
  </si>
  <si>
    <t>16.80万</t>
  </si>
  <si>
    <t>4204.27万</t>
  </si>
  <si>
    <t>1598.22万</t>
  </si>
  <si>
    <t>8423.41万</t>
  </si>
  <si>
    <t>1463.87万</t>
  </si>
  <si>
    <t>-2290.96万</t>
  </si>
  <si>
    <t>-637.60万</t>
  </si>
  <si>
    <t>834.53万</t>
  </si>
  <si>
    <t>7578.62万</t>
  </si>
  <si>
    <t>19.86万</t>
  </si>
  <si>
    <t>27.03亿</t>
  </si>
  <si>
    <t>522.92万</t>
  </si>
  <si>
    <t>-1.86亿</t>
  </si>
  <si>
    <t>1046.66万</t>
  </si>
  <si>
    <t>1365.71万</t>
  </si>
  <si>
    <t>134.04万</t>
  </si>
  <si>
    <t>4593.98万</t>
  </si>
  <si>
    <t>3747.48万</t>
  </si>
  <si>
    <t>-1307.51万</t>
  </si>
  <si>
    <t>187.67万</t>
  </si>
  <si>
    <t>4927.59万</t>
  </si>
  <si>
    <t>-4708.76万</t>
  </si>
  <si>
    <t>118.89万</t>
  </si>
  <si>
    <t>1382.72万</t>
  </si>
  <si>
    <t>n/a</t>
  </si>
  <si>
    <t>178.58万</t>
  </si>
  <si>
    <t>27.10亿</t>
  </si>
  <si>
    <t>578.68万</t>
  </si>
  <si>
    <t>1743.60万</t>
  </si>
  <si>
    <t>198.47万</t>
  </si>
  <si>
    <t>2900.00万</t>
  </si>
  <si>
    <t>-3889.50万</t>
  </si>
  <si>
    <t>4798.56万</t>
  </si>
  <si>
    <t>6918.54万</t>
  </si>
  <si>
    <t>7469.09万</t>
  </si>
  <si>
    <t>989.03万</t>
  </si>
  <si>
    <t>7224.59万</t>
  </si>
  <si>
    <t>0756000000</t>
  </si>
  <si>
    <t>01512000000</t>
  </si>
  <si>
    <t>02520000000</t>
  </si>
  <si>
    <t>05040000000</t>
  </si>
  <si>
    <t>37.23万</t>
  </si>
  <si>
    <t>7248.04万</t>
  </si>
  <si>
    <t>191.33万</t>
  </si>
  <si>
    <t>601.96万</t>
  </si>
  <si>
    <t>5494.93万</t>
  </si>
  <si>
    <t>7388.83万</t>
  </si>
  <si>
    <t>8908.45万</t>
  </si>
  <si>
    <t>6700.00万</t>
  </si>
  <si>
    <t>-4475.64万</t>
  </si>
  <si>
    <t>-9384.90万</t>
  </si>
  <si>
    <t>3546.02万</t>
  </si>
  <si>
    <t>4165.97万</t>
  </si>
  <si>
    <t>724.03万</t>
  </si>
  <si>
    <t>280.87万</t>
  </si>
  <si>
    <t>2770.99万</t>
  </si>
  <si>
    <t>56.91万</t>
  </si>
  <si>
    <t>568.85万</t>
  </si>
  <si>
    <t>1295.93万</t>
  </si>
  <si>
    <t>1520.09万</t>
  </si>
  <si>
    <t>15.45万</t>
  </si>
  <si>
    <t>4949.25万</t>
  </si>
  <si>
    <t>193.73万</t>
  </si>
  <si>
    <t>33.33万</t>
  </si>
  <si>
    <t>3845.73万</t>
  </si>
  <si>
    <t>8683.45万</t>
  </si>
  <si>
    <t>-2134.26万</t>
  </si>
  <si>
    <t>5213.27万</t>
  </si>
  <si>
    <t>-932.61万</t>
  </si>
  <si>
    <t>286.63万</t>
  </si>
  <si>
    <t>1932.76万</t>
  </si>
  <si>
    <t>05688500</t>
  </si>
  <si>
    <t>017065500</t>
  </si>
  <si>
    <t>034131000</t>
  </si>
  <si>
    <t>056885000</t>
  </si>
  <si>
    <t>0113770000</t>
  </si>
  <si>
    <t>17.99亿</t>
  </si>
  <si>
    <t>755.31万</t>
  </si>
  <si>
    <t>1651.63万</t>
  </si>
  <si>
    <t>6377.22万</t>
  </si>
  <si>
    <t>-2959.36万</t>
  </si>
  <si>
    <t>-292.18万</t>
  </si>
  <si>
    <t>5251.39万</t>
  </si>
  <si>
    <t>374.96万</t>
  </si>
  <si>
    <t>1741.84万</t>
  </si>
  <si>
    <t>99.52万</t>
  </si>
  <si>
    <t>11.64亿</t>
  </si>
  <si>
    <t>1265.05万</t>
  </si>
  <si>
    <t>1228.99万</t>
  </si>
  <si>
    <t>2030.21万</t>
  </si>
  <si>
    <t>7583.65万</t>
  </si>
  <si>
    <t>2880.09万</t>
  </si>
  <si>
    <t>-7782.93万</t>
  </si>
  <si>
    <t>2369.52万</t>
  </si>
  <si>
    <t>9405.37万</t>
  </si>
  <si>
    <t>-1942.40万</t>
  </si>
  <si>
    <t>437.45万</t>
  </si>
  <si>
    <t>2456.91万</t>
  </si>
  <si>
    <t>174.46万</t>
  </si>
  <si>
    <t>5835.41万</t>
  </si>
  <si>
    <t>1356.53万</t>
  </si>
  <si>
    <t>1876.47万</t>
  </si>
  <si>
    <t>8349.57万</t>
  </si>
  <si>
    <t>3427.48万</t>
  </si>
  <si>
    <t>5005.86万</t>
  </si>
  <si>
    <t>5132.64万</t>
  </si>
  <si>
    <t>2002.83万</t>
  </si>
  <si>
    <t>1249.50万</t>
  </si>
  <si>
    <t>-2978.19万</t>
  </si>
  <si>
    <t>6984.42万</t>
  </si>
  <si>
    <t>-1789.43万</t>
  </si>
  <si>
    <t>921.52万</t>
  </si>
  <si>
    <t>058354100</t>
  </si>
  <si>
    <t>0175062300</t>
  </si>
  <si>
    <t>0350124600</t>
  </si>
  <si>
    <t>0583541000</t>
  </si>
  <si>
    <t>01167082000</t>
  </si>
  <si>
    <t>25.05万</t>
  </si>
  <si>
    <t>582.99万</t>
  </si>
  <si>
    <t>978.77万</t>
  </si>
  <si>
    <t>91.59万</t>
  </si>
  <si>
    <t>1568.45万</t>
  </si>
  <si>
    <t>3782.85万</t>
  </si>
  <si>
    <t>4221.11万</t>
  </si>
  <si>
    <t>-5.29亿</t>
  </si>
  <si>
    <t>3781.26万</t>
  </si>
  <si>
    <t>110.80万</t>
  </si>
  <si>
    <t>743.54万</t>
  </si>
  <si>
    <t>152.40万</t>
  </si>
  <si>
    <t>19.02亿</t>
  </si>
  <si>
    <t>1087.19万</t>
  </si>
  <si>
    <t>3235.21万</t>
  </si>
  <si>
    <t>35.83万</t>
  </si>
  <si>
    <t>4723.59万</t>
  </si>
  <si>
    <t>16.79亿</t>
  </si>
  <si>
    <t>19.43亿</t>
  </si>
  <si>
    <t>-1.03亿</t>
  </si>
  <si>
    <t>-1.98亿</t>
  </si>
  <si>
    <t>867.59万</t>
  </si>
  <si>
    <t>4729.07万</t>
  </si>
  <si>
    <t>294.19万</t>
  </si>
  <si>
    <t>101.14亿</t>
  </si>
  <si>
    <t>-12.71亿</t>
  </si>
  <si>
    <t>9306.10万</t>
  </si>
  <si>
    <t>720.63万</t>
  </si>
  <si>
    <t>1381.29万</t>
  </si>
  <si>
    <t>5.35万</t>
  </si>
  <si>
    <t>4426.60万</t>
  </si>
  <si>
    <t>6350.48万</t>
  </si>
  <si>
    <t>8787.64万</t>
  </si>
  <si>
    <t>5125.10万</t>
  </si>
  <si>
    <t>8128.41万</t>
  </si>
  <si>
    <t>-729.26万</t>
  </si>
  <si>
    <t>-1125.01万</t>
  </si>
  <si>
    <t>-1757.86万</t>
  </si>
  <si>
    <t>-1.67亿</t>
  </si>
  <si>
    <t>1606.38万</t>
  </si>
  <si>
    <t>9837.71万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</si>
</sst>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9"/>
      <color theme="1"/>
      <name val="宋体"/>
      <family val="2"/>
      <charset val="134"/>
      <scheme val="minor"/>
    </font>
    <font>
      <sz val="9"/>
      <color theme="1"/>
      <name val="宋体"/>
      <family val="3"/>
      <charset val="134"/>
      <scheme val="minor"/>
    </font>
    <font>
      <sz val="9"/>
      <color rgb="FFFF0000"/>
      <name val="宋体"/>
      <family val="3"/>
      <charset val="134"/>
      <scheme val="minor"/>
    </font>
    <font>
      <sz val="9"/>
      <name val="宋体"/>
      <family val="3"/>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b/>
      <sz val="9"/>
      <color theme="1"/>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3">
    <xf numFmtId="0" fontId="0" fillId="0" borderId="0" xfId="0">
      <alignment vertical="center"/>
    </xf>
    <xf numFmtId="0" fontId="0" fillId="2" borderId="0" xfId="0" applyFill="1">
      <alignment vertical="center"/>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2" fillId="0" borderId="0" xfId="0" applyFont="1" applyAlignment="1">
      <alignment vertical="center" wrapText="1"/>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8" fillId="0" borderId="0" xfId="0" applyFont="1">
      <alignment vertical="center"/>
    </xf>
    <xf numFmtId="0" fontId="7" fillId="0" borderId="0" xfId="0" applyFont="1">
      <alignment vertical="center"/>
    </xf>
    <xf numFmtId="14"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241300</xdr:colOff>
          <xdr:row>0</xdr:row>
          <xdr:rowOff>139700</xdr:rowOff>
        </xdr:from>
        <xdr:to>
          <xdr:col>147</xdr:col>
          <xdr:colOff>1193800</xdr:colOff>
          <xdr:row>0</xdr:row>
          <xdr:rowOff>444500</xdr:rowOff>
        </xdr:to>
        <xdr:sp macro="" textlink="">
          <xdr:nvSpPr>
            <xdr:cNvPr id="2050" name="Button 2" descr="更新基本面按钮&#10;" hidden="1">
              <a:extLst>
                <a:ext uri="{63B3BB69-23CF-44E3-9099-C40C66FF867C}">
                  <a14:compatExt spid="_x0000_s2050"/>
                </a:ext>
                <a:ext uri="{FF2B5EF4-FFF2-40B4-BE49-F238E27FC236}">
                  <a16:creationId xmlns=""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R160"/>
  <sheetViews>
    <sheetView tabSelected="1" zoomScale="85" zoomScaleNormal="85" workbookViewId="0">
      <pane xSplit="5" ySplit="1" topLeftCell="F2" activePane="bottomRight" state="frozen"/>
      <selection pane="topRight" activeCell="F1" sqref="F1"/>
      <selection pane="bottomLeft" activeCell="A2" sqref="A2"/>
      <selection pane="bottomRight" activeCell="C121" sqref="C121:C122"/>
    </sheetView>
  </sheetViews>
  <sheetFormatPr defaultRowHeight="14" x14ac:dyDescent="0.25"/>
  <cols>
    <col min="1" max="1" width="40.81640625" customWidth="1"/>
    <col min="2" max="2" width="47.1796875" customWidth="1"/>
    <col min="3" max="3" width="49.36328125" customWidth="1"/>
    <col min="9" max="9" width="11.54296875" customWidth="1"/>
    <col min="148" max="148" width="20.81640625" customWidth="1"/>
  </cols>
  <sheetData>
    <row r="1" spans="1:146" ht="43" customHeight="1" x14ac:dyDescent="0.25">
      <c r="A1" s="2" t="s">
        <v>7</v>
      </c>
      <c r="B1" s="3" t="s">
        <v>8</v>
      </c>
      <c r="C1" s="2" t="s">
        <v>9</v>
      </c>
      <c r="D1" t="s">
        <v>10</v>
      </c>
      <c r="E1" t="s">
        <v>11</v>
      </c>
      <c r="F1" t="s">
        <v>3</v>
      </c>
      <c r="G1" t="s">
        <v>1921</v>
      </c>
      <c r="H1" t="s">
        <v>1922</v>
      </c>
      <c r="I1" t="s">
        <v>12</v>
      </c>
      <c r="J1" t="s">
        <v>13</v>
      </c>
      <c r="K1" t="s">
        <v>4</v>
      </c>
      <c r="L1" t="s">
        <v>14</v>
      </c>
      <c r="M1" t="s">
        <v>15</v>
      </c>
      <c r="N1" t="s">
        <v>16</v>
      </c>
      <c r="O1" t="s">
        <v>17</v>
      </c>
      <c r="P1" t="s">
        <v>1923</v>
      </c>
      <c r="Q1" t="s">
        <v>1924</v>
      </c>
      <c r="R1" t="s">
        <v>1171</v>
      </c>
      <c r="S1" t="s">
        <v>18</v>
      </c>
      <c r="T1" t="s">
        <v>1925</v>
      </c>
      <c r="U1" t="s">
        <v>1118</v>
      </c>
      <c r="V1" t="s">
        <v>19</v>
      </c>
      <c r="W1" t="s">
        <v>1926</v>
      </c>
      <c r="X1" t="s">
        <v>1927</v>
      </c>
      <c r="Y1" t="s">
        <v>1928</v>
      </c>
      <c r="Z1" t="s">
        <v>1929</v>
      </c>
      <c r="AA1" t="s">
        <v>1930</v>
      </c>
      <c r="AB1" t="s">
        <v>1931</v>
      </c>
      <c r="AC1" t="s">
        <v>1932</v>
      </c>
      <c r="AD1" t="s">
        <v>1933</v>
      </c>
      <c r="AE1" t="s">
        <v>20</v>
      </c>
      <c r="AF1" t="s">
        <v>21</v>
      </c>
      <c r="AG1" t="s">
        <v>1934</v>
      </c>
      <c r="AH1" t="s">
        <v>1935</v>
      </c>
      <c r="AI1" t="s">
        <v>1936</v>
      </c>
      <c r="AJ1" t="s">
        <v>22</v>
      </c>
      <c r="AK1" t="s">
        <v>1937</v>
      </c>
      <c r="AL1" t="s">
        <v>121</v>
      </c>
      <c r="AM1" t="s">
        <v>1938</v>
      </c>
      <c r="AN1" t="s">
        <v>1939</v>
      </c>
      <c r="AO1" t="s">
        <v>1940</v>
      </c>
      <c r="AP1" t="s">
        <v>1941</v>
      </c>
      <c r="AQ1" t="s">
        <v>1942</v>
      </c>
      <c r="AR1" t="s">
        <v>1943</v>
      </c>
      <c r="AS1" t="s">
        <v>1944</v>
      </c>
      <c r="AT1" t="s">
        <v>1945</v>
      </c>
      <c r="AU1" t="s">
        <v>1946</v>
      </c>
      <c r="AV1" t="s">
        <v>1947</v>
      </c>
      <c r="AW1" t="s">
        <v>1948</v>
      </c>
      <c r="AX1" t="s">
        <v>1949</v>
      </c>
      <c r="AY1" t="s">
        <v>1950</v>
      </c>
      <c r="AZ1" t="s">
        <v>122</v>
      </c>
      <c r="BA1" t="s">
        <v>123</v>
      </c>
      <c r="BB1" t="s">
        <v>124</v>
      </c>
      <c r="BC1" t="s">
        <v>1951</v>
      </c>
      <c r="BD1" t="s">
        <v>1172</v>
      </c>
      <c r="BE1" t="s">
        <v>125</v>
      </c>
      <c r="BF1" t="s">
        <v>126</v>
      </c>
      <c r="BG1" t="s">
        <v>127</v>
      </c>
      <c r="BH1" t="s">
        <v>1952</v>
      </c>
      <c r="BI1" t="s">
        <v>1953</v>
      </c>
      <c r="BJ1" t="s">
        <v>1954</v>
      </c>
      <c r="BK1" t="s">
        <v>1955</v>
      </c>
      <c r="BL1" t="s">
        <v>1956</v>
      </c>
      <c r="BM1" t="s">
        <v>1957</v>
      </c>
      <c r="BN1" t="s">
        <v>1958</v>
      </c>
      <c r="BO1" t="s">
        <v>1173</v>
      </c>
      <c r="BP1" t="s">
        <v>1119</v>
      </c>
      <c r="BQ1" t="s">
        <v>1959</v>
      </c>
      <c r="BR1" t="s">
        <v>1174</v>
      </c>
      <c r="BS1" t="s">
        <v>1120</v>
      </c>
      <c r="BT1" t="s">
        <v>1960</v>
      </c>
      <c r="BU1" t="s">
        <v>1513</v>
      </c>
      <c r="BV1" t="s">
        <v>1961</v>
      </c>
      <c r="BW1" t="s">
        <v>1962</v>
      </c>
      <c r="BX1" t="s">
        <v>334</v>
      </c>
      <c r="BY1" t="s">
        <v>1963</v>
      </c>
      <c r="BZ1" t="s">
        <v>1964</v>
      </c>
      <c r="CA1" t="s">
        <v>335</v>
      </c>
      <c r="CB1" t="s">
        <v>1965</v>
      </c>
      <c r="CC1" t="s">
        <v>1966</v>
      </c>
      <c r="CD1" t="s">
        <v>1967</v>
      </c>
      <c r="CE1" t="s">
        <v>1968</v>
      </c>
      <c r="CF1" t="s">
        <v>318</v>
      </c>
      <c r="CG1" t="s">
        <v>319</v>
      </c>
      <c r="CH1" t="s">
        <v>320</v>
      </c>
      <c r="CI1" t="s">
        <v>321</v>
      </c>
      <c r="CJ1" t="s">
        <v>322</v>
      </c>
      <c r="CK1" t="s">
        <v>323</v>
      </c>
      <c r="CL1" t="s">
        <v>324</v>
      </c>
      <c r="CM1" t="s">
        <v>325</v>
      </c>
      <c r="CN1" t="s">
        <v>326</v>
      </c>
      <c r="CO1" t="s">
        <v>327</v>
      </c>
      <c r="CP1" t="s">
        <v>328</v>
      </c>
      <c r="CQ1" t="s">
        <v>329</v>
      </c>
      <c r="CR1" t="s">
        <v>1969</v>
      </c>
      <c r="CS1" t="s">
        <v>1970</v>
      </c>
      <c r="CT1" t="s">
        <v>1971</v>
      </c>
      <c r="CU1" t="s">
        <v>1972</v>
      </c>
      <c r="CV1" t="s">
        <v>1973</v>
      </c>
      <c r="CW1" t="s">
        <v>1974</v>
      </c>
      <c r="CX1">
        <v>1</v>
      </c>
      <c r="CY1" t="s">
        <v>1975</v>
      </c>
      <c r="CZ1" t="s">
        <v>1976</v>
      </c>
      <c r="DA1">
        <v>3</v>
      </c>
      <c r="DB1" t="s">
        <v>1977</v>
      </c>
      <c r="DC1" t="s">
        <v>1978</v>
      </c>
      <c r="DD1">
        <v>6</v>
      </c>
      <c r="DE1" t="s">
        <v>1979</v>
      </c>
      <c r="DF1" t="s">
        <v>1980</v>
      </c>
      <c r="DG1">
        <v>10</v>
      </c>
      <c r="DH1" t="s">
        <v>1981</v>
      </c>
      <c r="DI1" t="s">
        <v>1982</v>
      </c>
      <c r="DJ1">
        <v>20</v>
      </c>
      <c r="DK1" t="s">
        <v>1983</v>
      </c>
      <c r="DL1" t="s">
        <v>330</v>
      </c>
      <c r="DM1" t="s">
        <v>331</v>
      </c>
      <c r="DN1" s="1" t="s">
        <v>332</v>
      </c>
      <c r="DO1" t="s">
        <v>1984</v>
      </c>
      <c r="DP1" t="s">
        <v>1985</v>
      </c>
      <c r="DQ1" s="10" t="s">
        <v>1986</v>
      </c>
      <c r="DR1" t="s">
        <v>1987</v>
      </c>
      <c r="DS1" t="s">
        <v>1988</v>
      </c>
      <c r="DT1" t="s">
        <v>1989</v>
      </c>
      <c r="DU1" t="s">
        <v>1990</v>
      </c>
      <c r="DV1" t="s">
        <v>1991</v>
      </c>
      <c r="DW1" t="s">
        <v>1992</v>
      </c>
      <c r="DX1" t="s">
        <v>1993</v>
      </c>
      <c r="DY1" t="s">
        <v>1994</v>
      </c>
      <c r="DZ1" t="s">
        <v>1995</v>
      </c>
      <c r="EA1" t="s">
        <v>1996</v>
      </c>
      <c r="EB1" t="s">
        <v>1997</v>
      </c>
      <c r="EC1" t="s">
        <v>1998</v>
      </c>
      <c r="ED1" t="s">
        <v>1999</v>
      </c>
      <c r="EE1" t="s">
        <v>2000</v>
      </c>
      <c r="EF1" t="s">
        <v>2001</v>
      </c>
      <c r="EG1" t="s">
        <v>2002</v>
      </c>
      <c r="EH1" t="s">
        <v>2003</v>
      </c>
      <c r="EI1" t="s">
        <v>2004</v>
      </c>
      <c r="EK1" s="12" t="s">
        <v>2005</v>
      </c>
      <c r="EL1" t="s">
        <v>2006</v>
      </c>
      <c r="EM1" t="s">
        <v>2007</v>
      </c>
      <c r="EN1" t="s">
        <v>2008</v>
      </c>
      <c r="EO1" t="s">
        <v>2009</v>
      </c>
      <c r="EP1" t="s">
        <v>2010</v>
      </c>
    </row>
    <row r="2" spans="1:146" ht="96" x14ac:dyDescent="0.25">
      <c r="A2" s="6"/>
      <c r="B2" s="6"/>
      <c r="C2" s="6" t="str">
        <f>""&amp;CHAR(10)&amp;Basic_Fundamental_Information_Constructure(F2)&amp;CHAR(10)&amp;Basic_Fundamental_Information_Concatenate("")</f>
        <v xml:space="preserve">
市值17.560485亿, 利润-3481.32万; PE; 平均PE41.46; 平均PEG11.49, PB1.4; ROIC4.295%; ROE2.8833%; 股利率.3704%; 毛利25.6433%; 净利6.2633%; 上一年度营收增6.61%, 利润增-166.38%; 当季营收增-39.24%, 利润增164.68%; 过往5年营收增-3.61%, 利润增-27%
Income profile:
</v>
      </c>
      <c r="D2" t="s">
        <v>440</v>
      </c>
      <c r="E2" t="s">
        <v>441</v>
      </c>
      <c r="F2">
        <v>4.05</v>
      </c>
      <c r="G2">
        <v>1.76</v>
      </c>
      <c r="H2" t="s">
        <v>3318</v>
      </c>
      <c r="I2">
        <v>1756048500</v>
      </c>
      <c r="K2">
        <v>1.4</v>
      </c>
      <c r="L2" t="s">
        <v>428</v>
      </c>
      <c r="M2" t="s">
        <v>401</v>
      </c>
      <c r="N2" t="s">
        <v>1185</v>
      </c>
      <c r="O2" t="s">
        <v>2178</v>
      </c>
      <c r="P2">
        <v>-39.31</v>
      </c>
      <c r="Q2" t="s">
        <v>144</v>
      </c>
      <c r="R2">
        <v>11208867</v>
      </c>
      <c r="S2" s="4">
        <v>1.647</v>
      </c>
      <c r="T2" t="s">
        <v>2179</v>
      </c>
      <c r="U2">
        <v>433592220</v>
      </c>
      <c r="V2">
        <v>433592220</v>
      </c>
      <c r="W2">
        <v>1.22</v>
      </c>
      <c r="X2">
        <v>0.04</v>
      </c>
      <c r="Y2">
        <v>16.329999999999998</v>
      </c>
      <c r="Z2" t="s">
        <v>3319</v>
      </c>
      <c r="AA2" t="s">
        <v>3320</v>
      </c>
      <c r="AB2" t="s">
        <v>3321</v>
      </c>
      <c r="AC2" t="s">
        <v>3322</v>
      </c>
      <c r="AD2" t="s">
        <v>5</v>
      </c>
      <c r="AE2">
        <v>468526</v>
      </c>
      <c r="AF2" t="s">
        <v>2180</v>
      </c>
      <c r="AG2">
        <v>9894.02</v>
      </c>
      <c r="AH2" t="s">
        <v>2181</v>
      </c>
      <c r="AI2" t="s">
        <v>161</v>
      </c>
      <c r="AJ2" t="s">
        <v>2182</v>
      </c>
      <c r="AK2" t="s">
        <v>3323</v>
      </c>
      <c r="AL2" t="s">
        <v>2183</v>
      </c>
      <c r="AM2" t="s">
        <v>5</v>
      </c>
      <c r="AN2" t="s">
        <v>3324</v>
      </c>
      <c r="AO2" t="s">
        <v>3325</v>
      </c>
      <c r="AP2" t="s">
        <v>3326</v>
      </c>
      <c r="AQ2" t="s">
        <v>3327</v>
      </c>
      <c r="AR2" t="s">
        <v>5</v>
      </c>
      <c r="AS2" t="s">
        <v>65</v>
      </c>
      <c r="AT2" t="s">
        <v>2184</v>
      </c>
      <c r="AU2" t="s">
        <v>3328</v>
      </c>
      <c r="AV2" t="s">
        <v>3329</v>
      </c>
      <c r="AW2" t="s">
        <v>3330</v>
      </c>
      <c r="AX2" t="s">
        <v>973</v>
      </c>
      <c r="AY2" t="s">
        <v>512</v>
      </c>
      <c r="AZ2" t="s">
        <v>167</v>
      </c>
      <c r="BA2" t="s">
        <v>378</v>
      </c>
      <c r="BB2" t="s">
        <v>151</v>
      </c>
      <c r="BC2" t="s">
        <v>1718</v>
      </c>
      <c r="BD2" t="s">
        <v>1181</v>
      </c>
      <c r="BE2" t="s">
        <v>1182</v>
      </c>
      <c r="BF2" t="s">
        <v>442</v>
      </c>
      <c r="BG2" t="s">
        <v>443</v>
      </c>
      <c r="BH2" t="s">
        <v>144</v>
      </c>
      <c r="BI2" t="s">
        <v>188</v>
      </c>
      <c r="BJ2" t="s">
        <v>973</v>
      </c>
      <c r="BK2" t="s">
        <v>2179</v>
      </c>
      <c r="BL2" t="s">
        <v>2185</v>
      </c>
      <c r="BM2" t="s">
        <v>1718</v>
      </c>
      <c r="BN2" t="s">
        <v>5</v>
      </c>
      <c r="BO2">
        <v>3.69</v>
      </c>
      <c r="BP2">
        <v>4.9000000000000004</v>
      </c>
      <c r="BQ2">
        <v>-1.25</v>
      </c>
      <c r="BR2">
        <v>4.0999999999999996</v>
      </c>
      <c r="BS2">
        <v>5.8</v>
      </c>
      <c r="BT2" t="s">
        <v>1688</v>
      </c>
      <c r="BU2" t="s">
        <v>1515</v>
      </c>
      <c r="BV2">
        <v>25.74</v>
      </c>
      <c r="BW2">
        <v>23.43</v>
      </c>
      <c r="BX2">
        <v>27.76</v>
      </c>
      <c r="BY2">
        <v>-6.96</v>
      </c>
      <c r="BZ2">
        <v>11.19</v>
      </c>
      <c r="CA2">
        <v>14.56</v>
      </c>
      <c r="CB2">
        <v>0.5</v>
      </c>
      <c r="CC2">
        <v>-13.18</v>
      </c>
      <c r="CD2" t="s">
        <v>3331</v>
      </c>
      <c r="CE2" t="s">
        <v>93</v>
      </c>
      <c r="CF2" s="8">
        <v>-0.39241327433628309</v>
      </c>
      <c r="CG2" s="9">
        <v>1.6468271106238097</v>
      </c>
      <c r="CH2" s="8">
        <v>6.6098079085350037E-2</v>
      </c>
      <c r="CI2" s="8">
        <v>-4.0899794548749924E-2</v>
      </c>
      <c r="CJ2" s="8">
        <v>0.12933024764060974</v>
      </c>
      <c r="CK2" s="8">
        <v>-8.4566593170166016E-2</v>
      </c>
      <c r="CL2" s="8">
        <v>-0.25039619207382202</v>
      </c>
      <c r="CM2" s="9">
        <v>-1.6637989282608032</v>
      </c>
      <c r="CN2" s="9">
        <v>-0.26411011815071106</v>
      </c>
      <c r="CO2" s="9">
        <v>0.29401960968971252</v>
      </c>
      <c r="CP2" s="9">
        <v>-0.15147718787193298</v>
      </c>
      <c r="CQ2" s="9">
        <v>0.43530523777008057</v>
      </c>
      <c r="CR2">
        <v>41.464564636063649</v>
      </c>
      <c r="CS2">
        <v>11.490214283403756</v>
      </c>
      <c r="CT2">
        <v>0.37037037037037035</v>
      </c>
      <c r="CU2" s="8">
        <v>-3.6086850613355634E-2</v>
      </c>
      <c r="CV2" s="9">
        <v>-0.27001227736473082</v>
      </c>
      <c r="CW2">
        <v>0.06</v>
      </c>
      <c r="CX2" t="e">
        <v>#VALUE!</v>
      </c>
      <c r="CY2" t="s">
        <v>1179</v>
      </c>
      <c r="CZ2">
        <v>-3.6086850613355634E-2</v>
      </c>
      <c r="DA2" t="e">
        <v>#VALUE!</v>
      </c>
      <c r="DB2" t="s">
        <v>1179</v>
      </c>
      <c r="DC2">
        <v>-3.4282508082687853E-2</v>
      </c>
      <c r="DD2" t="e">
        <v>#VALUE!</v>
      </c>
      <c r="DE2" t="s">
        <v>1179</v>
      </c>
      <c r="DF2">
        <v>-3.1756428539752961E-2</v>
      </c>
      <c r="DG2" t="e">
        <v>#VALUE!</v>
      </c>
      <c r="DH2" t="s">
        <v>1179</v>
      </c>
      <c r="DI2">
        <v>-2.886948049068451E-2</v>
      </c>
      <c r="DJ2" t="e">
        <v>#VALUE!</v>
      </c>
      <c r="DK2" t="s">
        <v>1179</v>
      </c>
      <c r="DL2">
        <v>-2.5260795429348941E-2</v>
      </c>
      <c r="DM2">
        <v>-34813200</v>
      </c>
      <c r="DN2">
        <v>-3.6086850613355634E-2</v>
      </c>
      <c r="DO2">
        <v>803048500</v>
      </c>
      <c r="DP2">
        <v>345798050</v>
      </c>
      <c r="DQ2">
        <v>144</v>
      </c>
      <c r="DR2">
        <v>-0.35632642372292744</v>
      </c>
      <c r="DS2">
        <v>1.9168393879885406</v>
      </c>
      <c r="DT2" s="10">
        <v>-0.54</v>
      </c>
      <c r="DU2">
        <v>-1.0033333333333334</v>
      </c>
      <c r="DV2">
        <v>-1.5433333333333334</v>
      </c>
      <c r="DW2">
        <v>-2.1318000000000001</v>
      </c>
      <c r="DX2">
        <v>0.24934712643678111</v>
      </c>
      <c r="DY2">
        <v>-2.0117759512643678</v>
      </c>
      <c r="DZ2">
        <v>4053</v>
      </c>
      <c r="EA2">
        <v>-2.0024358474533144</v>
      </c>
      <c r="EB2">
        <v>2</v>
      </c>
      <c r="EC2">
        <v>3.5854886879658501E-2</v>
      </c>
      <c r="ED2">
        <v>0.40129871333945982</v>
      </c>
      <c r="EE2" s="11">
        <v>-2.0192100000000002</v>
      </c>
      <c r="EF2">
        <v>-2.0364100000000001</v>
      </c>
      <c r="EG2">
        <v>16.089347126436781</v>
      </c>
      <c r="EH2" t="s">
        <v>1710</v>
      </c>
      <c r="EI2">
        <v>0</v>
      </c>
      <c r="EJ2">
        <v>0</v>
      </c>
      <c r="EK2" s="12">
        <v>45470</v>
      </c>
      <c r="EL2">
        <v>0.5</v>
      </c>
      <c r="EM2">
        <v>-4.68</v>
      </c>
      <c r="EN2">
        <v>2.0699999999999998</v>
      </c>
      <c r="EO2">
        <v>3.04</v>
      </c>
      <c r="EP2">
        <v>-1.72</v>
      </c>
    </row>
    <row r="3" spans="1:146" ht="180" x14ac:dyDescent="0.25">
      <c r="A3" s="6" t="s">
        <v>1669</v>
      </c>
      <c r="B3" s="6"/>
      <c r="C3" s="6" t="str">
        <f>"公司主营业务包括远洋运输、工程承包、房地产、国际劳务合作、进出口贸易和远洋渔业等业务。主要产品是加速器、改性高分子材料、辐照加工服务。公司主要产品为改性高分子材料、进出口贸易、电子加速器及辐照加工。"&amp;CHAR(10)&amp;Basic_Fundamental_Information_Constructure(F3)&amp;CHAR(10)&amp;Basic_Fundamental_Information_Concatenate("改性高分子材料 24.41亿 56.58% 36.54% 9.68%
进出口贸易 10.38亿 24.06% 5.97% 3.72%
远洋运输 3.95亿 9.16% 39.04% 63.87%
其他 2.32亿 5.38% 6.25% 17.41%
电子加速器及辐照加工 2.08亿 4.82% 12.20% 37.89%")</f>
        <v>公司主营业务包括远洋运输、工程承包、房地产、国际劳务合作、进出口贸易和远洋渔业等业务。主要产品是加速器、改性高分子材料、辐照加工服务。公司主要产品为改性高分子材料、进出口贸易、电子加速器及辐照加工。
市值60.034539亿, 利润-7.37亿; PE; 平均PE107.85; 平均PEG167.87, PB1.09; ROIC5.04%; ROE1.49%; 股利率0%; 毛利16.52%; 净利-.5233%; 上一年度营收增-8.52%, 利润增-468.5%; 当季营收增6.85%, 利润增-153.27%; 过往5年营收增-.64%, 利润增-78.98%
Income profile:
改性高分子材料 24.41亿 56.58% 36.54% 9.68%
进出口贸易 10.38亿 24.06% 5.97% 3.72%
远洋运输 3.95亿 9.16% 39.04% 63.87%
其他 2.32亿 5.38% 6.25% 17.41%
电子加速器及辐照加工 2.08亿 4.82% 12.20% 37.89%</v>
      </c>
      <c r="D3" t="s">
        <v>449</v>
      </c>
      <c r="E3" t="s">
        <v>450</v>
      </c>
      <c r="F3">
        <v>6.35</v>
      </c>
      <c r="G3">
        <v>1.1100000000000001</v>
      </c>
      <c r="H3" t="s">
        <v>3332</v>
      </c>
      <c r="I3">
        <v>6003453900</v>
      </c>
      <c r="K3">
        <v>1.0900000000000001</v>
      </c>
      <c r="L3" t="s">
        <v>428</v>
      </c>
      <c r="M3" t="s">
        <v>2189</v>
      </c>
      <c r="N3" t="s">
        <v>3333</v>
      </c>
      <c r="O3" t="s">
        <v>2079</v>
      </c>
      <c r="P3">
        <v>6.81</v>
      </c>
      <c r="Q3" t="s">
        <v>2190</v>
      </c>
      <c r="R3">
        <v>-65181223</v>
      </c>
      <c r="S3" s="4">
        <v>-1.5329999999999999</v>
      </c>
      <c r="T3" t="s">
        <v>2047</v>
      </c>
      <c r="U3">
        <v>790344030</v>
      </c>
      <c r="V3">
        <v>945425820</v>
      </c>
      <c r="W3">
        <v>1.86</v>
      </c>
      <c r="X3">
        <v>0.12</v>
      </c>
      <c r="Y3">
        <v>-4.78</v>
      </c>
      <c r="Z3" t="s">
        <v>3334</v>
      </c>
      <c r="AA3" t="s">
        <v>1293</v>
      </c>
      <c r="AB3" t="s">
        <v>3335</v>
      </c>
      <c r="AC3" t="s">
        <v>48</v>
      </c>
      <c r="AD3" t="s">
        <v>5</v>
      </c>
      <c r="AE3">
        <v>23293018</v>
      </c>
      <c r="AF3" t="s">
        <v>2191</v>
      </c>
      <c r="AG3" t="s">
        <v>3336</v>
      </c>
      <c r="AH3" t="s">
        <v>2192</v>
      </c>
      <c r="AI3" t="s">
        <v>1008</v>
      </c>
      <c r="AJ3" t="s">
        <v>2193</v>
      </c>
      <c r="AK3" t="s">
        <v>1144</v>
      </c>
      <c r="AL3" t="s">
        <v>2194</v>
      </c>
      <c r="AM3" t="s">
        <v>5</v>
      </c>
      <c r="AN3" t="s">
        <v>204</v>
      </c>
      <c r="AO3" t="s">
        <v>1379</v>
      </c>
      <c r="AP3" t="s">
        <v>280</v>
      </c>
      <c r="AQ3" t="s">
        <v>2034</v>
      </c>
      <c r="AR3" t="s">
        <v>3337</v>
      </c>
      <c r="AS3" t="s">
        <v>1429</v>
      </c>
      <c r="AT3" t="s">
        <v>2619</v>
      </c>
      <c r="AU3" t="s">
        <v>3338</v>
      </c>
      <c r="AV3" t="s">
        <v>3339</v>
      </c>
      <c r="AW3" t="s">
        <v>433</v>
      </c>
      <c r="AX3" t="s">
        <v>1721</v>
      </c>
      <c r="AY3" t="s">
        <v>1186</v>
      </c>
      <c r="AZ3" t="s">
        <v>1187</v>
      </c>
      <c r="BA3" t="s">
        <v>451</v>
      </c>
      <c r="BB3" t="s">
        <v>452</v>
      </c>
      <c r="BC3" t="s">
        <v>70</v>
      </c>
      <c r="BD3" t="s">
        <v>164</v>
      </c>
      <c r="BE3" t="s">
        <v>217</v>
      </c>
      <c r="BF3" t="s">
        <v>130</v>
      </c>
      <c r="BG3" t="s">
        <v>337</v>
      </c>
      <c r="BH3" t="s">
        <v>2190</v>
      </c>
      <c r="BI3" t="s">
        <v>282</v>
      </c>
      <c r="BJ3" t="s">
        <v>1721</v>
      </c>
      <c r="BK3" t="s">
        <v>2047</v>
      </c>
      <c r="BL3" t="s">
        <v>2195</v>
      </c>
      <c r="BM3" t="s">
        <v>70</v>
      </c>
      <c r="BN3" t="s">
        <v>5</v>
      </c>
      <c r="BO3">
        <v>5.03</v>
      </c>
      <c r="BP3">
        <v>5.05</v>
      </c>
      <c r="BQ3">
        <v>-1.66</v>
      </c>
      <c r="BR3">
        <v>3.2</v>
      </c>
      <c r="BS3">
        <v>2.93</v>
      </c>
      <c r="BT3" t="s">
        <v>1670</v>
      </c>
      <c r="BU3" t="s">
        <v>1516</v>
      </c>
      <c r="BV3">
        <v>12.08</v>
      </c>
      <c r="BW3">
        <v>17.87</v>
      </c>
      <c r="BX3">
        <v>19.61</v>
      </c>
      <c r="BY3">
        <v>-11.71</v>
      </c>
      <c r="BZ3">
        <v>5.59</v>
      </c>
      <c r="CA3">
        <v>4.55</v>
      </c>
      <c r="CB3">
        <v>-1.4</v>
      </c>
      <c r="CC3">
        <v>-6.62</v>
      </c>
      <c r="CD3" t="s">
        <v>3340</v>
      </c>
      <c r="CE3" t="s">
        <v>1412</v>
      </c>
      <c r="CF3" s="8">
        <v>6.8515497553017946E-2</v>
      </c>
      <c r="CG3" s="9">
        <v>-1.5326964668031815</v>
      </c>
      <c r="CH3" s="8">
        <v>-8.5241183638572693E-2</v>
      </c>
      <c r="CI3" s="8">
        <v>-0.13176648318767548</v>
      </c>
      <c r="CJ3" s="8">
        <v>0.20249545574188232</v>
      </c>
      <c r="CK3" s="8">
        <v>-5.2691522985696793E-2</v>
      </c>
      <c r="CL3" s="8">
        <v>3.5082567483186722E-2</v>
      </c>
      <c r="CM3" s="9">
        <v>-4.684999942779541</v>
      </c>
      <c r="CN3" s="9">
        <v>0.12994350492954254</v>
      </c>
      <c r="CO3" s="9">
        <v>-0.34686347842216492</v>
      </c>
      <c r="CP3" s="9">
        <v>1.6310679912567139</v>
      </c>
      <c r="CQ3" s="9">
        <v>-0.67812502384185791</v>
      </c>
      <c r="CR3">
        <v>107.84647724550899</v>
      </c>
      <c r="CS3">
        <v>167.87447142342111</v>
      </c>
      <c r="CT3">
        <v>0</v>
      </c>
      <c r="CU3" s="8">
        <v>-6.4242333173751831E-3</v>
      </c>
      <c r="CV3" s="9">
        <v>-0.78979538977146146</v>
      </c>
      <c r="CW3">
        <v>0.06</v>
      </c>
      <c r="CX3" t="e">
        <v>#VALUE!</v>
      </c>
      <c r="CY3" t="s">
        <v>1211</v>
      </c>
      <c r="CZ3">
        <v>-6.4242333173751831E-3</v>
      </c>
      <c r="DA3" t="e">
        <v>#VALUE!</v>
      </c>
      <c r="DB3" t="s">
        <v>1179</v>
      </c>
      <c r="DC3">
        <v>-6.1030216515064236E-3</v>
      </c>
      <c r="DD3" t="e">
        <v>#VALUE!</v>
      </c>
      <c r="DE3" t="s">
        <v>1179</v>
      </c>
      <c r="DF3">
        <v>-5.653325319290161E-3</v>
      </c>
      <c r="DG3" t="e">
        <v>#VALUE!</v>
      </c>
      <c r="DH3" t="s">
        <v>1179</v>
      </c>
      <c r="DI3">
        <v>-5.1393866539001468E-3</v>
      </c>
      <c r="DJ3" t="e">
        <v>#VALUE!</v>
      </c>
      <c r="DK3" t="s">
        <v>1179</v>
      </c>
      <c r="DL3">
        <v>-4.4969633221626278E-3</v>
      </c>
      <c r="DM3">
        <v>-737000000</v>
      </c>
      <c r="DN3">
        <v>-6.4242333173751831E-3</v>
      </c>
      <c r="DO3">
        <v>5300453900</v>
      </c>
      <c r="DP3">
        <v>2318396200</v>
      </c>
      <c r="DQ3">
        <v>340</v>
      </c>
      <c r="DR3">
        <v>7.4939730870393129E-2</v>
      </c>
      <c r="DS3">
        <v>-0.74290107703172004</v>
      </c>
      <c r="DT3" s="10">
        <v>-0.3066666666666667</v>
      </c>
      <c r="DU3">
        <v>-1.7483333333333333</v>
      </c>
      <c r="DV3">
        <v>-2.0550000000000002</v>
      </c>
      <c r="DW3">
        <v>-2.0661999999999998</v>
      </c>
      <c r="DX3">
        <v>0.25215700000000008</v>
      </c>
      <c r="DY3">
        <v>-2.0067627934000001</v>
      </c>
      <c r="DZ3">
        <v>4417</v>
      </c>
      <c r="EA3">
        <v>-2.0009171459542467</v>
      </c>
      <c r="EB3">
        <v>2</v>
      </c>
      <c r="EC3">
        <v>4.3221582418808913E-2</v>
      </c>
      <c r="ED3">
        <v>0.42308977768345696</v>
      </c>
      <c r="EE3" s="11">
        <v>1.1500000000000002E-2</v>
      </c>
      <c r="EF3">
        <v>8.2099999999999985E-3</v>
      </c>
      <c r="EG3">
        <v>15.102157</v>
      </c>
      <c r="EH3">
        <v>-1</v>
      </c>
      <c r="EI3">
        <v>0</v>
      </c>
      <c r="EJ3">
        <v>0</v>
      </c>
      <c r="EK3" s="12">
        <v>45470</v>
      </c>
      <c r="EL3">
        <v>0.91</v>
      </c>
      <c r="EM3">
        <v>-1.95</v>
      </c>
      <c r="EN3">
        <v>-0.77</v>
      </c>
      <c r="EO3">
        <v>1.7</v>
      </c>
      <c r="EP3">
        <v>-1.97</v>
      </c>
    </row>
    <row r="4" spans="1:146" ht="96" x14ac:dyDescent="0.25">
      <c r="A4" s="6"/>
      <c r="B4" s="6"/>
      <c r="C4" s="6" t="str">
        <f>""&amp;CHAR(10)&amp;Basic_Fundamental_Information_Constructure(F4)&amp;CHAR(10)&amp;Basic_Fundamental_Information_Concatenate("")</f>
        <v xml:space="preserve">
市值19.498846亿, 利润1.36亿; PE15.05; 平均PE13.33; 平均PEG1.09, PB.893; ROIC6.9067%; ROE8.46%; 股利率4.3889%; 毛利13.5233%; 净利4.8767%; 上一年度营收增6.73%, 利润增13.33%; 当季营收增16.39%, 利润增-15.93%; 过往5年营收增12.2%, 利润增15.4%
Income profile:
</v>
      </c>
      <c r="D4" t="s">
        <v>1122</v>
      </c>
      <c r="E4" t="s">
        <v>1123</v>
      </c>
      <c r="F4">
        <v>14.81</v>
      </c>
      <c r="G4">
        <v>1.44</v>
      </c>
      <c r="H4" t="s">
        <v>3341</v>
      </c>
      <c r="I4">
        <v>1949884600</v>
      </c>
      <c r="J4">
        <v>15.05</v>
      </c>
      <c r="K4">
        <v>0.89300000000000002</v>
      </c>
      <c r="L4" t="s">
        <v>428</v>
      </c>
      <c r="M4" t="s">
        <v>2131</v>
      </c>
      <c r="N4" t="s">
        <v>508</v>
      </c>
      <c r="O4" t="s">
        <v>2066</v>
      </c>
      <c r="P4">
        <v>16.47</v>
      </c>
      <c r="Q4" t="s">
        <v>2199</v>
      </c>
      <c r="R4">
        <v>32498858</v>
      </c>
      <c r="S4" s="4">
        <v>-0.1593</v>
      </c>
      <c r="T4" t="s">
        <v>46</v>
      </c>
      <c r="U4">
        <v>74052750</v>
      </c>
      <c r="V4">
        <v>131660000</v>
      </c>
      <c r="W4">
        <v>1.25</v>
      </c>
      <c r="X4">
        <v>0.31</v>
      </c>
      <c r="Y4">
        <v>3.88</v>
      </c>
      <c r="Z4" t="s">
        <v>3342</v>
      </c>
      <c r="AA4" t="s">
        <v>1055</v>
      </c>
      <c r="AB4" t="s">
        <v>3343</v>
      </c>
      <c r="AC4" t="s">
        <v>3344</v>
      </c>
      <c r="AD4" t="s">
        <v>5</v>
      </c>
      <c r="AE4">
        <v>-5524147</v>
      </c>
      <c r="AF4" t="s">
        <v>2200</v>
      </c>
      <c r="AG4" t="s">
        <v>3345</v>
      </c>
      <c r="AH4" t="s">
        <v>2201</v>
      </c>
      <c r="AI4" t="s">
        <v>3346</v>
      </c>
      <c r="AJ4" t="s">
        <v>2202</v>
      </c>
      <c r="AK4" t="s">
        <v>3347</v>
      </c>
      <c r="AL4" t="s">
        <v>2203</v>
      </c>
      <c r="AM4" t="s">
        <v>5</v>
      </c>
      <c r="AN4" t="s">
        <v>1274</v>
      </c>
      <c r="AO4" t="s">
        <v>5</v>
      </c>
      <c r="AP4" t="s">
        <v>3348</v>
      </c>
      <c r="AQ4" t="s">
        <v>233</v>
      </c>
      <c r="AR4" t="s">
        <v>5</v>
      </c>
      <c r="AS4" t="s">
        <v>416</v>
      </c>
      <c r="AT4" t="s">
        <v>5</v>
      </c>
      <c r="AU4" t="s">
        <v>3349</v>
      </c>
      <c r="AV4" t="s">
        <v>3350</v>
      </c>
      <c r="AW4" t="s">
        <v>2896</v>
      </c>
      <c r="AX4" t="s">
        <v>1725</v>
      </c>
      <c r="AY4" t="s">
        <v>1191</v>
      </c>
      <c r="AZ4" t="s">
        <v>614</v>
      </c>
      <c r="BA4" t="s">
        <v>1124</v>
      </c>
      <c r="BB4" t="s">
        <v>1125</v>
      </c>
      <c r="BC4" t="s">
        <v>60</v>
      </c>
      <c r="BD4" t="s">
        <v>24</v>
      </c>
      <c r="BE4" t="s">
        <v>220</v>
      </c>
      <c r="BF4" t="s">
        <v>54</v>
      </c>
      <c r="BG4" t="s">
        <v>1126</v>
      </c>
      <c r="BH4" t="s">
        <v>2199</v>
      </c>
      <c r="BI4" t="s">
        <v>1777</v>
      </c>
      <c r="BJ4" t="s">
        <v>1725</v>
      </c>
      <c r="BK4" t="s">
        <v>46</v>
      </c>
      <c r="BL4" t="s">
        <v>2204</v>
      </c>
      <c r="BM4" t="s">
        <v>60</v>
      </c>
      <c r="BN4">
        <v>4.0599999999999996</v>
      </c>
      <c r="BO4">
        <v>5.16</v>
      </c>
      <c r="BP4">
        <v>11.5</v>
      </c>
      <c r="BQ4">
        <v>5.07</v>
      </c>
      <c r="BR4">
        <v>5.76</v>
      </c>
      <c r="BS4">
        <v>14.55</v>
      </c>
      <c r="BT4" t="s">
        <v>2205</v>
      </c>
      <c r="BU4" t="s">
        <v>1516</v>
      </c>
      <c r="BV4">
        <v>12.57</v>
      </c>
      <c r="BW4">
        <v>11.94</v>
      </c>
      <c r="BX4">
        <v>16.059999999999999</v>
      </c>
      <c r="BY4">
        <v>4.18</v>
      </c>
      <c r="BZ4">
        <v>3.94</v>
      </c>
      <c r="CA4">
        <v>6.51</v>
      </c>
      <c r="CB4">
        <v>-1.07</v>
      </c>
      <c r="CC4">
        <v>-18.18</v>
      </c>
      <c r="CD4" t="s">
        <v>3351</v>
      </c>
      <c r="CE4" t="s">
        <v>3352</v>
      </c>
      <c r="CF4" s="8">
        <v>0.16388888888888906</v>
      </c>
      <c r="CG4" s="9">
        <v>-0.1593086428695227</v>
      </c>
      <c r="CH4" s="8">
        <v>6.7345574498176575E-2</v>
      </c>
      <c r="CI4" s="8">
        <v>0.10731177777051926</v>
      </c>
      <c r="CJ4" s="8">
        <v>0.15942634642124176</v>
      </c>
      <c r="CK4" s="8">
        <v>0.18966388702392578</v>
      </c>
      <c r="CL4" s="8">
        <v>8.6103469133377075E-2</v>
      </c>
      <c r="CM4" s="9">
        <v>0.13333334028720856</v>
      </c>
      <c r="CN4" s="9">
        <v>-0.32960894703865051</v>
      </c>
      <c r="CO4" s="9">
        <v>-0.19369369745254517</v>
      </c>
      <c r="CP4" s="9">
        <v>0.69465649127960205</v>
      </c>
      <c r="CQ4" s="9">
        <v>0.46535387635231018</v>
      </c>
      <c r="CR4">
        <v>13.334091180036612</v>
      </c>
      <c r="CS4">
        <v>1.0932252288533488</v>
      </c>
      <c r="CT4">
        <v>4.3889264010803508</v>
      </c>
      <c r="CU4" s="8">
        <v>0.12197021096944809</v>
      </c>
      <c r="CV4" s="9">
        <v>0.15400821268558501</v>
      </c>
      <c r="CW4">
        <v>0.06</v>
      </c>
      <c r="CX4">
        <v>2.3611148789187117</v>
      </c>
      <c r="CY4">
        <v>143950894.99230653</v>
      </c>
      <c r="CZ4">
        <v>0.12197021096944809</v>
      </c>
      <c r="DA4">
        <v>0.7510565532349156</v>
      </c>
      <c r="DB4">
        <v>452541953.77973199</v>
      </c>
      <c r="DC4">
        <v>0.11587170042097568</v>
      </c>
      <c r="DD4">
        <v>0.35647486031908271</v>
      </c>
      <c r="DE4">
        <v>953460223.52254331</v>
      </c>
      <c r="DF4">
        <v>0.10733378565311431</v>
      </c>
      <c r="DG4">
        <v>0.20531109977856618</v>
      </c>
      <c r="DH4">
        <v>1655461396.7124774</v>
      </c>
      <c r="DI4">
        <v>9.7576168775558469E-2</v>
      </c>
      <c r="DJ4">
        <v>9.656822882226497E-2</v>
      </c>
      <c r="DK4">
        <v>3519631706.4648857</v>
      </c>
      <c r="DL4">
        <v>8.5379147678613654E-2</v>
      </c>
      <c r="DM4">
        <v>136000000</v>
      </c>
      <c r="DN4">
        <v>0.12197021096944809</v>
      </c>
      <c r="DO4">
        <v>339884600</v>
      </c>
      <c r="DP4">
        <v>1115061800</v>
      </c>
      <c r="DQ4">
        <v>443</v>
      </c>
      <c r="DR4">
        <v>4.1918677919440969E-2</v>
      </c>
      <c r="DS4">
        <v>-0.31331685555510769</v>
      </c>
      <c r="DT4" s="10">
        <v>-0.19000000000000003</v>
      </c>
      <c r="DU4">
        <v>-0.17</v>
      </c>
      <c r="DV4">
        <v>-0.36000000000000004</v>
      </c>
      <c r="DW4">
        <v>-3.0246547619047619</v>
      </c>
      <c r="DX4">
        <v>0.30044188254982301</v>
      </c>
      <c r="DY4">
        <v>-3.0029694659376274</v>
      </c>
      <c r="DZ4">
        <v>2596</v>
      </c>
      <c r="EA4">
        <v>-3.0014609075082572</v>
      </c>
      <c r="EB4">
        <v>3</v>
      </c>
      <c r="EC4">
        <v>2.7550508886525899E-2</v>
      </c>
      <c r="ED4">
        <v>0.2287452529241987</v>
      </c>
      <c r="EE4" s="11">
        <v>1.0846100000000001</v>
      </c>
      <c r="EF4">
        <v>1.09781</v>
      </c>
      <c r="EG4">
        <v>18.120441882549823</v>
      </c>
      <c r="EH4" t="s">
        <v>1693</v>
      </c>
      <c r="EI4">
        <v>0</v>
      </c>
      <c r="EJ4">
        <v>0</v>
      </c>
      <c r="EK4" s="12">
        <v>45470</v>
      </c>
      <c r="EL4">
        <v>-7.0000000000000007E-2</v>
      </c>
      <c r="EM4">
        <v>-4.82</v>
      </c>
      <c r="EN4">
        <v>1.37</v>
      </c>
      <c r="EO4">
        <v>2.23</v>
      </c>
      <c r="EP4">
        <v>-1.32</v>
      </c>
    </row>
    <row r="5" spans="1:146" ht="96" x14ac:dyDescent="0.25">
      <c r="C5" s="6" t="str">
        <f>""&amp;CHAR(10)&amp;Basic_Fundamental_Information_Constructure(F5)&amp;CHAR(10)&amp;Basic_Fundamental_Information_Concatenate("")</f>
        <v xml:space="preserve">
市值24.36896亿, 利润1.42亿; PE21.46; 平均PE22.85; 平均PEG1.23, PB1.58; ROIC30.54%; ROE32.915%; 股利率6.0667%; 毛利37.7933%; 净利24.0567%; 上一年度营收增-18.6%, 利润增-32.06%; 当季营收增-45.96%, 利润增-55.72%; 过往5年营收增18.56%, 利润增31.39%
Income profile:
</v>
      </c>
      <c r="D5" t="s">
        <v>2032</v>
      </c>
      <c r="E5" t="s">
        <v>2033</v>
      </c>
      <c r="F5">
        <v>19.78</v>
      </c>
      <c r="G5">
        <v>0.51</v>
      </c>
      <c r="H5" t="s">
        <v>3353</v>
      </c>
      <c r="I5">
        <v>2436896000</v>
      </c>
      <c r="J5">
        <v>21.46</v>
      </c>
      <c r="K5">
        <v>1.58</v>
      </c>
      <c r="L5" t="s">
        <v>428</v>
      </c>
      <c r="M5" t="s">
        <v>76</v>
      </c>
      <c r="N5" t="s">
        <v>2678</v>
      </c>
      <c r="O5" t="s">
        <v>173</v>
      </c>
      <c r="P5" s="4">
        <v>-45.91</v>
      </c>
      <c r="Q5" t="s">
        <v>588</v>
      </c>
      <c r="R5">
        <v>22262677</v>
      </c>
      <c r="S5">
        <v>-0.55720000000000003</v>
      </c>
      <c r="T5" t="s">
        <v>86</v>
      </c>
      <c r="U5">
        <v>30800000</v>
      </c>
      <c r="V5">
        <v>123200000</v>
      </c>
      <c r="W5">
        <v>1.05</v>
      </c>
      <c r="X5">
        <v>7.0000000000000007E-2</v>
      </c>
      <c r="Y5">
        <v>20.77</v>
      </c>
      <c r="Z5" t="s">
        <v>3354</v>
      </c>
      <c r="AA5" t="s">
        <v>3355</v>
      </c>
      <c r="AB5" t="s">
        <v>3356</v>
      </c>
      <c r="AC5" t="s">
        <v>3357</v>
      </c>
      <c r="AD5" t="s">
        <v>5</v>
      </c>
      <c r="AE5">
        <v>-5863967</v>
      </c>
      <c r="AF5" t="s">
        <v>32</v>
      </c>
      <c r="AG5" t="s">
        <v>3358</v>
      </c>
      <c r="AH5" t="s">
        <v>2207</v>
      </c>
      <c r="AI5" t="s">
        <v>2722</v>
      </c>
      <c r="AJ5" t="s">
        <v>2208</v>
      </c>
      <c r="AK5" t="s">
        <v>3359</v>
      </c>
      <c r="AL5" t="s">
        <v>2209</v>
      </c>
      <c r="AM5" t="s">
        <v>5</v>
      </c>
      <c r="AN5" t="s">
        <v>63</v>
      </c>
      <c r="AO5" t="s">
        <v>3360</v>
      </c>
      <c r="AP5" t="s">
        <v>3361</v>
      </c>
      <c r="AQ5" t="s">
        <v>3362</v>
      </c>
      <c r="AR5" t="s">
        <v>5</v>
      </c>
      <c r="AS5" t="s">
        <v>3363</v>
      </c>
      <c r="AT5" t="s">
        <v>5</v>
      </c>
      <c r="AU5" t="s">
        <v>3364</v>
      </c>
      <c r="AV5" t="s">
        <v>3365</v>
      </c>
      <c r="AW5" t="s">
        <v>3366</v>
      </c>
      <c r="AX5" t="s">
        <v>991</v>
      </c>
      <c r="AY5" t="s">
        <v>397</v>
      </c>
      <c r="AZ5" t="s">
        <v>488</v>
      </c>
      <c r="BA5" t="s">
        <v>101</v>
      </c>
      <c r="BB5" t="s">
        <v>221</v>
      </c>
      <c r="BC5" t="s">
        <v>98</v>
      </c>
      <c r="BD5" t="s">
        <v>40</v>
      </c>
      <c r="BE5" t="s">
        <v>2210</v>
      </c>
      <c r="BF5" t="s">
        <v>2211</v>
      </c>
      <c r="BG5" t="s">
        <v>2212</v>
      </c>
      <c r="BH5" t="s">
        <v>588</v>
      </c>
      <c r="BI5" t="s">
        <v>175</v>
      </c>
      <c r="BJ5" t="s">
        <v>991</v>
      </c>
      <c r="BK5" t="s">
        <v>86</v>
      </c>
      <c r="BL5" t="s">
        <v>2213</v>
      </c>
      <c r="BM5" t="s">
        <v>98</v>
      </c>
      <c r="BN5">
        <v>19.260000000000002</v>
      </c>
      <c r="BO5">
        <v>41.33</v>
      </c>
      <c r="BP5">
        <v>31.03</v>
      </c>
      <c r="BQ5">
        <v>20.48</v>
      </c>
      <c r="BR5">
        <v>45.35</v>
      </c>
      <c r="BS5" t="s">
        <v>5</v>
      </c>
      <c r="BT5" t="s">
        <v>2214</v>
      </c>
      <c r="BU5" t="s">
        <v>1516</v>
      </c>
      <c r="BV5">
        <v>34.56</v>
      </c>
      <c r="BW5">
        <v>40.69</v>
      </c>
      <c r="BX5">
        <v>38.130000000000003</v>
      </c>
      <c r="BY5">
        <v>22.46</v>
      </c>
      <c r="BZ5">
        <v>26.97</v>
      </c>
      <c r="CA5">
        <v>22.74</v>
      </c>
      <c r="CB5">
        <v>-3.61</v>
      </c>
      <c r="CC5" s="8">
        <v>-14.04</v>
      </c>
      <c r="CD5" s="9" t="s">
        <v>3367</v>
      </c>
      <c r="CE5" s="8" t="s">
        <v>130</v>
      </c>
      <c r="CF5" s="8">
        <v>-0.45959595959595961</v>
      </c>
      <c r="CG5" s="8">
        <v>-0.55718019763380455</v>
      </c>
      <c r="CH5" s="8">
        <v>-0.18604651093482971</v>
      </c>
      <c r="CI5" s="8">
        <v>0.52362203598022461</v>
      </c>
      <c r="CJ5" s="9">
        <v>0.35828876495361328</v>
      </c>
      <c r="CK5" s="9">
        <v>0.20257234573364258</v>
      </c>
      <c r="CL5" s="9">
        <v>2.9801324009895325E-2</v>
      </c>
      <c r="CM5" s="9">
        <v>-0.32057416439056396</v>
      </c>
      <c r="CN5" s="9">
        <v>0.8017241358757019</v>
      </c>
      <c r="CO5">
        <v>1.2622581720352173</v>
      </c>
      <c r="CP5">
        <v>-0.14282657206058502</v>
      </c>
      <c r="CQ5">
        <v>-3.1135765835642815E-2</v>
      </c>
      <c r="CR5" s="8">
        <v>22.851655760794749</v>
      </c>
      <c r="CS5" s="9">
        <v>1.2309158185651463</v>
      </c>
      <c r="CT5">
        <v>6.0667340748230529</v>
      </c>
      <c r="CU5">
        <v>0.18564759194850922</v>
      </c>
      <c r="CV5">
        <v>0.31388916112482546</v>
      </c>
      <c r="CW5">
        <v>0.06</v>
      </c>
      <c r="CX5">
        <v>6.6541739768955779</v>
      </c>
      <c r="CY5">
        <v>158832035.90253612</v>
      </c>
      <c r="CZ5">
        <v>0.18564759194850922</v>
      </c>
      <c r="DA5">
        <v>2.0071546971785055</v>
      </c>
      <c r="DB5">
        <v>526564295.95870125</v>
      </c>
      <c r="DC5">
        <v>0.17636521235108374</v>
      </c>
      <c r="DD5">
        <v>0.88446666259327067</v>
      </c>
      <c r="DE5">
        <v>1194952896.1342237</v>
      </c>
      <c r="DF5">
        <v>0.1633698809146881</v>
      </c>
      <c r="DG5">
        <v>0.46634362609932989</v>
      </c>
      <c r="DH5">
        <v>2266345975.0490599</v>
      </c>
      <c r="DI5">
        <v>0.14851807355880739</v>
      </c>
      <c r="DJ5">
        <v>0.17790754330173808</v>
      </c>
      <c r="DK5">
        <v>5940703695.7812605</v>
      </c>
      <c r="DL5">
        <v>0.12995331436395643</v>
      </c>
      <c r="DM5">
        <v>142000000</v>
      </c>
      <c r="DN5">
        <v>0.18564759194850922</v>
      </c>
      <c r="DO5">
        <v>1056896000</v>
      </c>
      <c r="DP5">
        <v>1163959920</v>
      </c>
      <c r="DQ5" s="10">
        <v>503</v>
      </c>
      <c r="DR5">
        <v>-0.64524355154446877</v>
      </c>
      <c r="DS5">
        <v>-0.87106935875863001</v>
      </c>
      <c r="DT5">
        <v>-0.20666666666666669</v>
      </c>
      <c r="DU5">
        <v>0.18000000000000005</v>
      </c>
      <c r="DV5">
        <v>-2.6666666666666644E-2</v>
      </c>
      <c r="DW5">
        <v>-8.2571225071225065</v>
      </c>
      <c r="DX5">
        <v>0.22645242718446595</v>
      </c>
      <c r="DY5">
        <v>-8.0119439645395953</v>
      </c>
      <c r="DZ5">
        <v>1775</v>
      </c>
      <c r="EA5">
        <v>-8.0077951314558806</v>
      </c>
      <c r="EB5" s="11">
        <v>8</v>
      </c>
      <c r="EC5" s="11">
        <v>3.883603896103896E-2</v>
      </c>
      <c r="ED5">
        <v>0.83603896103896103</v>
      </c>
      <c r="EE5">
        <v>2.0585</v>
      </c>
      <c r="EF5">
        <v>2.0362</v>
      </c>
      <c r="EG5">
        <v>18.046452427184466</v>
      </c>
      <c r="EH5" s="12" t="s">
        <v>1701</v>
      </c>
      <c r="EI5">
        <v>0</v>
      </c>
      <c r="EJ5">
        <v>0</v>
      </c>
      <c r="EK5">
        <v>45470</v>
      </c>
      <c r="EL5">
        <v>-0.8</v>
      </c>
      <c r="EM5">
        <v>-4.09</v>
      </c>
      <c r="EN5">
        <v>2.4300000000000002</v>
      </c>
      <c r="EO5">
        <v>2.23</v>
      </c>
      <c r="EP5">
        <v>-2.23</v>
      </c>
    </row>
    <row r="6" spans="1:146" ht="156" x14ac:dyDescent="0.25">
      <c r="A6" s="6" t="s">
        <v>1615</v>
      </c>
      <c r="B6" s="6" t="s">
        <v>1613</v>
      </c>
      <c r="C6" s="6" t="str">
        <f>"公司主营业务是民爆器材产品研发、生产、销售、爆破、配送、工程技术服务、设计及施工等一体化经营业务。主要产品为炸药、管索、爆破及工程施工。"&amp;CHAR(10)&amp;Basic_Fundamental_Information_Constructure(C6)&amp;CHAR(10)&amp;Basic_Fundamental_Information_Concatenate("爆破工程施工 15.43亿 56.62% 42.33% 14.54%
炸药 7.94亿 29.13% 27.26% 18.20%
管索 2.47亿 9.06% 20.94% 44.93%
其他 1.41亿 5.18% 9.47% 35.54%")</f>
        <v>公司主营业务是民爆器材产品研发、生产、销售、爆破、配送、工程技术服务、设计及施工等一体化经营业务。主要产品为炸药、管索、爆破及工程施工。
市值32.952471亿, 利润-6.62亿; PE; 平均PE-17.08; 平均PEG-5.64, PB1.74; ROIC2.46%; ROE-6.8633%; 股利率0%; 毛利19.0133%; 净利-9.13%; 上一年度营收增6.49%, 利润增15.78%; 当季营收增-16%, 利润增-81.12%; 过往5年营收增3.03%, 利润增-297.31%
Income profile:
爆破工程施工 15.43亿 56.62% 42.33% 14.54%
炸药 7.94亿 29.13% 27.26% 18.20%
管索 2.47亿 9.06% 20.94% 44.93%
其他 1.41亿 5.18% 9.47% 35.54%</v>
      </c>
      <c r="D6" t="s">
        <v>460</v>
      </c>
      <c r="E6" t="s">
        <v>461</v>
      </c>
      <c r="F6">
        <v>6.81</v>
      </c>
      <c r="G6">
        <v>-1.02</v>
      </c>
      <c r="H6" t="s">
        <v>3368</v>
      </c>
      <c r="I6">
        <v>3295247100</v>
      </c>
      <c r="K6">
        <v>1.74</v>
      </c>
      <c r="L6" t="s">
        <v>428</v>
      </c>
      <c r="M6" t="s">
        <v>2215</v>
      </c>
      <c r="N6" t="s">
        <v>3369</v>
      </c>
      <c r="O6" t="s">
        <v>1275</v>
      </c>
      <c r="P6">
        <v>-16.02</v>
      </c>
      <c r="Q6" t="s">
        <v>2216</v>
      </c>
      <c r="R6">
        <v>-66391754</v>
      </c>
      <c r="S6" s="4">
        <v>-0.81120000000000003</v>
      </c>
      <c r="T6" t="s">
        <v>2217</v>
      </c>
      <c r="U6">
        <v>483883570</v>
      </c>
      <c r="V6">
        <v>483883570</v>
      </c>
      <c r="W6">
        <v>5.81</v>
      </c>
      <c r="X6">
        <v>0.06</v>
      </c>
      <c r="Y6">
        <v>-8.6999999999999993</v>
      </c>
      <c r="Z6" t="s">
        <v>1129</v>
      </c>
      <c r="AA6" t="s">
        <v>1166</v>
      </c>
      <c r="AB6" t="s">
        <v>3370</v>
      </c>
      <c r="AC6" t="s">
        <v>76</v>
      </c>
      <c r="AD6" t="s">
        <v>5</v>
      </c>
      <c r="AE6">
        <v>68139493</v>
      </c>
      <c r="AF6" t="s">
        <v>2218</v>
      </c>
      <c r="AG6" t="s">
        <v>3371</v>
      </c>
      <c r="AH6" t="s">
        <v>2219</v>
      </c>
      <c r="AI6" t="s">
        <v>2075</v>
      </c>
      <c r="AJ6" t="s">
        <v>2220</v>
      </c>
      <c r="AK6" t="s">
        <v>2601</v>
      </c>
      <c r="AL6" t="s">
        <v>2221</v>
      </c>
      <c r="AM6" t="s">
        <v>5</v>
      </c>
      <c r="AN6" t="s">
        <v>247</v>
      </c>
      <c r="AO6" t="s">
        <v>3372</v>
      </c>
      <c r="AP6" t="s">
        <v>3373</v>
      </c>
      <c r="AQ6" t="s">
        <v>2251</v>
      </c>
      <c r="AR6" t="s">
        <v>3374</v>
      </c>
      <c r="AS6" t="s">
        <v>3375</v>
      </c>
      <c r="AT6" t="s">
        <v>3376</v>
      </c>
      <c r="AU6" t="s">
        <v>3377</v>
      </c>
      <c r="AV6" t="s">
        <v>3378</v>
      </c>
      <c r="AW6" t="s">
        <v>102</v>
      </c>
      <c r="AX6" t="s">
        <v>1726</v>
      </c>
      <c r="AY6" t="s">
        <v>1192</v>
      </c>
      <c r="AZ6" t="s">
        <v>1194</v>
      </c>
      <c r="BA6" t="s">
        <v>463</v>
      </c>
      <c r="BB6" t="s">
        <v>464</v>
      </c>
      <c r="BC6" t="s">
        <v>1727</v>
      </c>
      <c r="BD6" t="s">
        <v>1729</v>
      </c>
      <c r="BE6" t="s">
        <v>2035</v>
      </c>
      <c r="BF6" t="s">
        <v>59</v>
      </c>
      <c r="BG6" t="s">
        <v>164</v>
      </c>
      <c r="BH6" t="s">
        <v>2216</v>
      </c>
      <c r="BI6" t="s">
        <v>2223</v>
      </c>
      <c r="BJ6" t="s">
        <v>1726</v>
      </c>
      <c r="BK6" t="s">
        <v>2217</v>
      </c>
      <c r="BL6" t="s">
        <v>2224</v>
      </c>
      <c r="BM6" t="s">
        <v>1727</v>
      </c>
      <c r="BN6">
        <v>2.46</v>
      </c>
      <c r="BO6" t="s">
        <v>5</v>
      </c>
      <c r="BP6" t="s">
        <v>5</v>
      </c>
      <c r="BQ6">
        <v>2.86</v>
      </c>
      <c r="BR6">
        <v>-26.37</v>
      </c>
      <c r="BS6">
        <v>2.92</v>
      </c>
      <c r="BT6" t="s">
        <v>1670</v>
      </c>
      <c r="BU6" t="s">
        <v>1517</v>
      </c>
      <c r="BV6">
        <v>18.59</v>
      </c>
      <c r="BW6">
        <v>16.3</v>
      </c>
      <c r="BX6">
        <v>22.15</v>
      </c>
      <c r="BY6">
        <v>-12.56</v>
      </c>
      <c r="BZ6">
        <v>-14.25</v>
      </c>
      <c r="CA6">
        <v>-0.57999999999999996</v>
      </c>
      <c r="CB6">
        <v>-3.4</v>
      </c>
      <c r="CC6">
        <v>-6.2</v>
      </c>
      <c r="CD6" t="s">
        <v>3379</v>
      </c>
      <c r="CE6" t="s">
        <v>1463</v>
      </c>
      <c r="CF6" s="8">
        <v>-0.16000000000000011</v>
      </c>
      <c r="CG6" s="9">
        <v>-0.81121109777389788</v>
      </c>
      <c r="CH6" s="8">
        <v>6.4896240830421448E-2</v>
      </c>
      <c r="CI6" s="8">
        <v>5.5739879608154297E-2</v>
      </c>
      <c r="CJ6" s="8">
        <v>8.0267554149031639E-3</v>
      </c>
      <c r="CK6" s="8">
        <v>0.19028668105602264</v>
      </c>
      <c r="CL6" s="8">
        <v>-0.16752275824546814</v>
      </c>
      <c r="CM6" s="9">
        <v>0.15776081383228302</v>
      </c>
      <c r="CN6" s="9">
        <v>-12.268017768859863</v>
      </c>
      <c r="CO6" s="9">
        <v>-1.9460041522979736</v>
      </c>
      <c r="CP6" s="9">
        <v>-0.43071362376213074</v>
      </c>
      <c r="CQ6" s="9">
        <v>-0.3785310685634613</v>
      </c>
      <c r="CR6">
        <v>-17.079442997940514</v>
      </c>
      <c r="CS6">
        <v>-5.6395047470541257</v>
      </c>
      <c r="CT6">
        <v>0</v>
      </c>
      <c r="CU6" s="8">
        <v>3.0285359732806681E-2</v>
      </c>
      <c r="CV6" s="9">
        <v>-2.9731011599302293</v>
      </c>
      <c r="CW6">
        <v>0.06</v>
      </c>
      <c r="CX6" t="e">
        <v>#VALUE!</v>
      </c>
      <c r="CY6" t="s">
        <v>1211</v>
      </c>
      <c r="CZ6">
        <v>3.0285359732806681E-2</v>
      </c>
      <c r="DA6" t="e">
        <v>#VALUE!</v>
      </c>
      <c r="DB6" t="s">
        <v>1179</v>
      </c>
      <c r="DC6">
        <v>2.8771091746166346E-2</v>
      </c>
      <c r="DD6" t="e">
        <v>#VALUE!</v>
      </c>
      <c r="DE6" t="s">
        <v>1179</v>
      </c>
      <c r="DF6">
        <v>2.6651116564869879E-2</v>
      </c>
      <c r="DG6" t="e">
        <v>#VALUE!</v>
      </c>
      <c r="DH6" t="s">
        <v>1179</v>
      </c>
      <c r="DI6">
        <v>2.4228287786245348E-2</v>
      </c>
      <c r="DJ6" t="e">
        <v>#VALUE!</v>
      </c>
      <c r="DK6" t="s">
        <v>1179</v>
      </c>
      <c r="DL6">
        <v>2.1199751812964674E-2</v>
      </c>
      <c r="DM6">
        <v>-662000000</v>
      </c>
      <c r="DN6">
        <v>3.0285359732806681E-2</v>
      </c>
      <c r="DO6">
        <v>14047247100</v>
      </c>
      <c r="DP6">
        <v>-738213300</v>
      </c>
      <c r="DQ6">
        <v>555</v>
      </c>
      <c r="DR6">
        <v>-0.1902853597328068</v>
      </c>
      <c r="DS6">
        <v>2.1618900621563313</v>
      </c>
      <c r="DT6" s="10">
        <v>-0.42333333333333334</v>
      </c>
      <c r="DU6">
        <v>-2.7650000000000001</v>
      </c>
      <c r="DV6">
        <v>-3.1883333333333335</v>
      </c>
      <c r="DW6">
        <v>-8.5483870967741939</v>
      </c>
      <c r="DX6">
        <v>0.27017670196671861</v>
      </c>
      <c r="DY6">
        <v>-8.0604194817236827</v>
      </c>
      <c r="DZ6">
        <v>4961</v>
      </c>
      <c r="EA6">
        <v>-8.0017617422263854</v>
      </c>
      <c r="EB6">
        <v>8</v>
      </c>
      <c r="EC6">
        <v>0.1505048001526483</v>
      </c>
      <c r="ED6">
        <v>1.3660310888423015</v>
      </c>
      <c r="EE6" s="11">
        <v>-1.0871</v>
      </c>
      <c r="EF6">
        <v>-1.0722</v>
      </c>
      <c r="EG6">
        <v>16.110176701966719</v>
      </c>
      <c r="EH6" t="s">
        <v>1692</v>
      </c>
      <c r="EI6">
        <v>0</v>
      </c>
      <c r="EJ6">
        <v>0</v>
      </c>
      <c r="EK6" s="12">
        <v>45470</v>
      </c>
      <c r="EL6">
        <v>4.3</v>
      </c>
      <c r="EM6">
        <v>-5.03</v>
      </c>
      <c r="EN6">
        <v>3.8</v>
      </c>
      <c r="EO6">
        <v>-3.4</v>
      </c>
      <c r="EP6">
        <v>-1.49</v>
      </c>
    </row>
    <row r="7" spans="1:146" ht="96" x14ac:dyDescent="0.25">
      <c r="A7" s="6"/>
      <c r="B7" s="6"/>
      <c r="C7" s="6" t="str">
        <f>""&amp;CHAR(10)&amp;Basic_Fundamental_Information_Constructure(F7)&amp;CHAR(10)&amp;Basic_Fundamental_Information_Concatenate("")</f>
        <v xml:space="preserve">
市值23.623657亿, 利润3033.14万; PE44.48; 平均PE23.7; 平均PEG1.5, PB.956; ROIC4.24%; ROE4.5%; 股利率1.4286%; 毛利25.9167%; 净利3.5267%; 上一年度营收增-6.05%, 利润增-64.9%; 当季营收增-4.76%, 利润增449.8%; 过往5年营收增15.78%, 利润增16.59%
Income profile:
</v>
      </c>
      <c r="D7" t="s">
        <v>465</v>
      </c>
      <c r="E7" t="s">
        <v>466</v>
      </c>
      <c r="F7">
        <v>4.9000000000000004</v>
      </c>
      <c r="G7">
        <v>1.45</v>
      </c>
      <c r="H7" t="s">
        <v>3380</v>
      </c>
      <c r="I7">
        <v>2362365700</v>
      </c>
      <c r="J7">
        <v>44.48</v>
      </c>
      <c r="K7">
        <v>0.95599999999999996</v>
      </c>
      <c r="L7" t="s">
        <v>428</v>
      </c>
      <c r="M7" t="s">
        <v>2225</v>
      </c>
      <c r="N7" t="s">
        <v>1361</v>
      </c>
      <c r="O7" t="s">
        <v>277</v>
      </c>
      <c r="P7">
        <v>-4.76</v>
      </c>
      <c r="Q7" t="s">
        <v>2227</v>
      </c>
      <c r="R7">
        <v>17718598</v>
      </c>
      <c r="S7" s="4">
        <v>4.4980000000000002</v>
      </c>
      <c r="T7" t="s">
        <v>2228</v>
      </c>
      <c r="U7">
        <v>383094000</v>
      </c>
      <c r="V7">
        <v>482115450</v>
      </c>
      <c r="W7">
        <v>2.36</v>
      </c>
      <c r="X7">
        <v>0.1</v>
      </c>
      <c r="Y7">
        <v>-0.6</v>
      </c>
      <c r="Z7" t="s">
        <v>1754</v>
      </c>
      <c r="AA7" t="s">
        <v>2053</v>
      </c>
      <c r="AB7" t="s">
        <v>3381</v>
      </c>
      <c r="AC7" t="s">
        <v>3382</v>
      </c>
      <c r="AD7" t="s">
        <v>5</v>
      </c>
      <c r="AE7">
        <v>19804259</v>
      </c>
      <c r="AF7" t="s">
        <v>2229</v>
      </c>
      <c r="AG7" t="s">
        <v>3383</v>
      </c>
      <c r="AH7" t="s">
        <v>2230</v>
      </c>
      <c r="AI7" t="s">
        <v>1892</v>
      </c>
      <c r="AJ7" t="s">
        <v>2231</v>
      </c>
      <c r="AK7" t="s">
        <v>213</v>
      </c>
      <c r="AL7" t="s">
        <v>2232</v>
      </c>
      <c r="AM7" t="s">
        <v>5</v>
      </c>
      <c r="AN7" t="s">
        <v>3384</v>
      </c>
      <c r="AO7" t="s">
        <v>295</v>
      </c>
      <c r="AP7" t="s">
        <v>5</v>
      </c>
      <c r="AQ7" t="s">
        <v>2053</v>
      </c>
      <c r="AR7" t="s">
        <v>3385</v>
      </c>
      <c r="AS7" t="s">
        <v>3386</v>
      </c>
      <c r="AT7" t="s">
        <v>3387</v>
      </c>
      <c r="AU7" t="s">
        <v>66</v>
      </c>
      <c r="AV7" t="s">
        <v>2249</v>
      </c>
      <c r="AW7" t="s">
        <v>103</v>
      </c>
      <c r="AX7" t="s">
        <v>1731</v>
      </c>
      <c r="AY7" t="s">
        <v>1195</v>
      </c>
      <c r="AZ7" t="s">
        <v>1196</v>
      </c>
      <c r="BA7" t="s">
        <v>471</v>
      </c>
      <c r="BB7" t="s">
        <v>472</v>
      </c>
      <c r="BC7" t="s">
        <v>2233</v>
      </c>
      <c r="BD7" t="s">
        <v>64</v>
      </c>
      <c r="BE7" t="s">
        <v>40</v>
      </c>
      <c r="BF7" t="s">
        <v>59</v>
      </c>
      <c r="BG7" t="s">
        <v>473</v>
      </c>
      <c r="BH7" t="s">
        <v>2227</v>
      </c>
      <c r="BI7" t="s">
        <v>170</v>
      </c>
      <c r="BJ7" t="s">
        <v>1731</v>
      </c>
      <c r="BK7" t="s">
        <v>2228</v>
      </c>
      <c r="BL7" t="s">
        <v>2234</v>
      </c>
      <c r="BM7" t="s">
        <v>2233</v>
      </c>
      <c r="BN7" t="s">
        <v>5</v>
      </c>
      <c r="BO7">
        <v>2.5</v>
      </c>
      <c r="BP7">
        <v>5.98</v>
      </c>
      <c r="BQ7">
        <v>1.45</v>
      </c>
      <c r="BR7">
        <v>3.55</v>
      </c>
      <c r="BS7">
        <v>8.5</v>
      </c>
      <c r="BT7" t="s">
        <v>1679</v>
      </c>
      <c r="BU7" t="s">
        <v>1518</v>
      </c>
      <c r="BV7">
        <v>21.45</v>
      </c>
      <c r="BW7">
        <v>23.24</v>
      </c>
      <c r="BX7">
        <v>33.06</v>
      </c>
      <c r="BY7">
        <v>-3.37</v>
      </c>
      <c r="BZ7">
        <v>2.37</v>
      </c>
      <c r="CA7">
        <v>11.58</v>
      </c>
      <c r="CB7">
        <v>-0.2</v>
      </c>
      <c r="CC7">
        <v>-14.93</v>
      </c>
      <c r="CD7" t="s">
        <v>3388</v>
      </c>
      <c r="CE7" t="s">
        <v>173</v>
      </c>
      <c r="CF7" s="8">
        <v>-4.7619047619047616E-2</v>
      </c>
      <c r="CG7" s="9">
        <v>4.4979662020768352</v>
      </c>
      <c r="CH7" s="8">
        <v>-6.0458052903413773E-2</v>
      </c>
      <c r="CI7" s="8">
        <v>0.63996005058288574</v>
      </c>
      <c r="CJ7" s="8">
        <v>0.22816723585128784</v>
      </c>
      <c r="CK7" s="8">
        <v>3.5009507089853287E-2</v>
      </c>
      <c r="CL7" s="8">
        <v>-5.361441895365715E-2</v>
      </c>
      <c r="CM7" s="9">
        <v>-0.64902377128601074</v>
      </c>
      <c r="CN7" s="9">
        <v>-0.58048498630523682</v>
      </c>
      <c r="CO7" s="9">
        <v>0.77586209774017334</v>
      </c>
      <c r="CP7" s="9">
        <v>5.4545454680919647E-2</v>
      </c>
      <c r="CQ7" s="9">
        <v>1.228646993637085</v>
      </c>
      <c r="CR7">
        <v>23.698354212477732</v>
      </c>
      <c r="CS7">
        <v>1.5016744238551571</v>
      </c>
      <c r="CT7">
        <v>1.4285714285714284</v>
      </c>
      <c r="CU7" s="8">
        <v>0.1578128643333912</v>
      </c>
      <c r="CV7" s="9">
        <v>0.16590915769338607</v>
      </c>
      <c r="CW7">
        <v>0.06</v>
      </c>
      <c r="CX7">
        <v>106.98270221411801</v>
      </c>
      <c r="CY7">
        <v>33130268.974756431</v>
      </c>
      <c r="CZ7">
        <v>0.1578128643333912</v>
      </c>
      <c r="DA7">
        <v>33.024810702056833</v>
      </c>
      <c r="DB7">
        <v>107324330.54579936</v>
      </c>
      <c r="DC7">
        <v>0.14992222111672163</v>
      </c>
      <c r="DD7">
        <v>15.036312520942916</v>
      </c>
      <c r="DE7">
        <v>235720406.52010441</v>
      </c>
      <c r="DF7">
        <v>0.13887532061338426</v>
      </c>
      <c r="DG7">
        <v>8.2465487546144836</v>
      </c>
      <c r="DH7">
        <v>429799884.22631896</v>
      </c>
      <c r="DI7">
        <v>0.12625029146671296</v>
      </c>
      <c r="DJ7">
        <v>3.4593983746680186</v>
      </c>
      <c r="DK7">
        <v>1024561301.1655922</v>
      </c>
      <c r="DL7">
        <v>0.11046900503337383</v>
      </c>
      <c r="DM7">
        <v>30331400</v>
      </c>
      <c r="DN7">
        <v>0.1578128643333912</v>
      </c>
      <c r="DO7">
        <v>3544365700</v>
      </c>
      <c r="DP7">
        <v>993050900</v>
      </c>
      <c r="DQ7">
        <v>572</v>
      </c>
      <c r="DR7">
        <v>-0.20543191195243882</v>
      </c>
      <c r="DS7">
        <v>4.3320570443834487</v>
      </c>
      <c r="DT7" s="10">
        <v>-6.6666666666666714E-3</v>
      </c>
      <c r="DU7">
        <v>0.20333333333333334</v>
      </c>
      <c r="DV7">
        <v>0.19666666666666666</v>
      </c>
      <c r="DW7">
        <v>-2.1493000000000002</v>
      </c>
      <c r="DX7">
        <v>0.30579532710280205</v>
      </c>
      <c r="DY7">
        <v>-2.0172882423364484</v>
      </c>
      <c r="DZ7">
        <v>1267</v>
      </c>
      <c r="EA7">
        <v>-2.0130017055379592</v>
      </c>
      <c r="EB7">
        <v>2</v>
      </c>
      <c r="EC7">
        <v>2.5699446055918763E-2</v>
      </c>
      <c r="ED7">
        <v>0.221938541899041</v>
      </c>
      <c r="EE7" s="11">
        <v>-2.06101</v>
      </c>
      <c r="EF7">
        <v>-2.08311</v>
      </c>
      <c r="EG7">
        <v>19.115795327102802</v>
      </c>
      <c r="EH7" t="s">
        <v>1710</v>
      </c>
      <c r="EI7">
        <v>0</v>
      </c>
      <c r="EJ7">
        <v>1</v>
      </c>
      <c r="EK7" s="12">
        <v>45470</v>
      </c>
      <c r="EL7">
        <v>-0.4</v>
      </c>
      <c r="EM7">
        <v>-5.01</v>
      </c>
      <c r="EN7">
        <v>2.95</v>
      </c>
      <c r="EO7">
        <v>2.0499999999999998</v>
      </c>
      <c r="EP7">
        <v>-2.21</v>
      </c>
    </row>
    <row r="8" spans="1:146" ht="180" x14ac:dyDescent="0.25">
      <c r="A8" s="6" t="s">
        <v>1117</v>
      </c>
      <c r="B8" s="6" t="s">
        <v>1611</v>
      </c>
      <c r="C8" s="6" t="str">
        <f>"公司主营民爆器材、军品的生产、研发与销售，工程爆破服务等业务。主要产品为：工业炸药、工业雷管、工业导爆管及工业导爆索；军用火工品；爆破设计施工、安全评估、安全监理；民爆产品及其他产品的运输服务。"&amp;CHAR(10)&amp;Basic_Fundamental_Information_Constructure(C8)&amp;CHAR(10)&amp;Basic_Fundamental_Information_Concatenate("工业炸药 4.87亿 45.44% 52.58% 31.04%
其它业务 1.95亿 18.24% 12.41% 18.25%
工业雷管 1.86亿 17.35% 21.38% 33.06%
工程爆破 1.84亿 17.18% 11.11% 17.34%
工业导爆索(管) 1494.06万 1.39% 2.56% 49.33%")</f>
        <v>公司主营民爆器材、军品的生产、研发与销售，工程爆破服务等业务。主要产品为：工业炸药、工业雷管、工业导爆管及工业导爆索；军用火工品；爆破设计施工、安全评估、安全监理；民爆产品及其他产品的运输服务。
市值139.42554亿, 利润6.34亿; PE21.81; 平均PE59.11; 平均PEG1.28, PB1.96; ROIC5.4267%; ROE6.3367%; 股利率1.8238%; 毛利28.39%; 净利4.3667%; 上一年度营收增52.9%, 利润增-.16%; 当季营收增4.47%, 利润增4.48%; 过往5年营收增46.04%, 利润增261.97%
Income profile:
工业炸药 4.87亿 45.44% 52.58% 31.04%
其它业务 1.95亿 18.24% 12.41% 18.25%
工业雷管 1.86亿 17.35% 21.38% 33.06%
工程爆破 1.84亿 17.18% 11.11% 17.34%
工业导爆索(管) 1494.06万 1.39% 2.56% 49.33%</v>
      </c>
      <c r="D8" t="s">
        <v>475</v>
      </c>
      <c r="E8" t="s">
        <v>2037</v>
      </c>
      <c r="F8">
        <v>11.24</v>
      </c>
      <c r="G8">
        <v>-0.88</v>
      </c>
      <c r="H8" t="s">
        <v>3389</v>
      </c>
      <c r="I8">
        <v>13942554000</v>
      </c>
      <c r="J8">
        <v>21.81</v>
      </c>
      <c r="K8">
        <v>1.96</v>
      </c>
      <c r="L8" t="s">
        <v>428</v>
      </c>
      <c r="M8" t="s">
        <v>1417</v>
      </c>
      <c r="N8" t="s">
        <v>3390</v>
      </c>
      <c r="O8" t="s">
        <v>2175</v>
      </c>
      <c r="P8">
        <v>4.46</v>
      </c>
      <c r="Q8" t="s">
        <v>2235</v>
      </c>
      <c r="R8">
        <v>134781670</v>
      </c>
      <c r="S8" s="4">
        <v>4.2000000000000003E-2</v>
      </c>
      <c r="T8" t="s">
        <v>1653</v>
      </c>
      <c r="U8">
        <v>488434860</v>
      </c>
      <c r="V8">
        <v>1240440770</v>
      </c>
      <c r="W8">
        <v>1.4</v>
      </c>
      <c r="X8">
        <v>0.17</v>
      </c>
      <c r="Y8">
        <v>7.97</v>
      </c>
      <c r="Z8" t="s">
        <v>3391</v>
      </c>
      <c r="AA8" t="s">
        <v>3334</v>
      </c>
      <c r="AB8" t="s">
        <v>3392</v>
      </c>
      <c r="AC8" t="s">
        <v>250</v>
      </c>
      <c r="AD8" t="s">
        <v>5</v>
      </c>
      <c r="AE8">
        <v>439045</v>
      </c>
      <c r="AF8" t="s">
        <v>2236</v>
      </c>
      <c r="AG8" t="s">
        <v>3393</v>
      </c>
      <c r="AH8" t="s">
        <v>2237</v>
      </c>
      <c r="AI8" t="s">
        <v>3394</v>
      </c>
      <c r="AJ8" t="s">
        <v>2238</v>
      </c>
      <c r="AK8" t="s">
        <v>674</v>
      </c>
      <c r="AL8" t="s">
        <v>2239</v>
      </c>
      <c r="AM8" t="s">
        <v>5</v>
      </c>
      <c r="AN8" t="s">
        <v>3395</v>
      </c>
      <c r="AO8" t="s">
        <v>3396</v>
      </c>
      <c r="AP8" t="s">
        <v>3397</v>
      </c>
      <c r="AQ8" t="s">
        <v>658</v>
      </c>
      <c r="AR8" t="s">
        <v>5</v>
      </c>
      <c r="AS8" t="s">
        <v>3398</v>
      </c>
      <c r="AT8" t="s">
        <v>408</v>
      </c>
      <c r="AU8" t="s">
        <v>3399</v>
      </c>
      <c r="AV8" t="s">
        <v>3400</v>
      </c>
      <c r="AW8" t="s">
        <v>3401</v>
      </c>
      <c r="AX8" t="s">
        <v>2241</v>
      </c>
      <c r="AY8" t="s">
        <v>1198</v>
      </c>
      <c r="AZ8" t="s">
        <v>1201</v>
      </c>
      <c r="BA8" t="s">
        <v>480</v>
      </c>
      <c r="BB8" t="s">
        <v>481</v>
      </c>
      <c r="BC8" t="s">
        <v>95</v>
      </c>
      <c r="BD8" t="s">
        <v>1199</v>
      </c>
      <c r="BE8" t="s">
        <v>1202</v>
      </c>
      <c r="BF8" t="s">
        <v>482</v>
      </c>
      <c r="BG8" t="s">
        <v>483</v>
      </c>
      <c r="BH8" t="s">
        <v>2235</v>
      </c>
      <c r="BI8" t="s">
        <v>1911</v>
      </c>
      <c r="BJ8" t="s">
        <v>2241</v>
      </c>
      <c r="BK8" t="s">
        <v>1653</v>
      </c>
      <c r="BL8" t="s">
        <v>38</v>
      </c>
      <c r="BM8" t="s">
        <v>95</v>
      </c>
      <c r="BN8">
        <v>10.039999999999999</v>
      </c>
      <c r="BO8">
        <v>2.77</v>
      </c>
      <c r="BP8">
        <v>3.47</v>
      </c>
      <c r="BQ8">
        <v>13.8</v>
      </c>
      <c r="BR8">
        <v>2.54</v>
      </c>
      <c r="BS8">
        <v>2.67</v>
      </c>
      <c r="BT8" t="s">
        <v>2242</v>
      </c>
      <c r="BU8" t="s">
        <v>1517</v>
      </c>
      <c r="BV8">
        <v>25.69</v>
      </c>
      <c r="BW8">
        <v>27.55</v>
      </c>
      <c r="BX8">
        <v>31.93</v>
      </c>
      <c r="BY8">
        <v>8.01</v>
      </c>
      <c r="BZ8">
        <v>2.4</v>
      </c>
      <c r="CA8">
        <v>2.69</v>
      </c>
      <c r="CB8">
        <v>-5.55</v>
      </c>
      <c r="CC8">
        <v>-11.36</v>
      </c>
      <c r="CD8" t="s">
        <v>3402</v>
      </c>
      <c r="CE8" t="s">
        <v>129</v>
      </c>
      <c r="CF8" s="8">
        <v>4.4705882352941317E-2</v>
      </c>
      <c r="CG8" s="9">
        <v>4.4819147286821702E-2</v>
      </c>
      <c r="CH8" s="8">
        <v>0.52902764081954956</v>
      </c>
      <c r="CI8" s="8">
        <v>1.8544796705245972</v>
      </c>
      <c r="CJ8" s="8">
        <v>-3.5464566200971603E-2</v>
      </c>
      <c r="CK8" s="8">
        <v>-0.20618551969528198</v>
      </c>
      <c r="CL8" s="8">
        <v>0.16007347404956818</v>
      </c>
      <c r="CM8" s="9">
        <v>-1.5748031437397003E-3</v>
      </c>
      <c r="CN8" s="9">
        <v>11.960187911987305</v>
      </c>
      <c r="CO8" s="9">
        <v>-3.2382164150476456E-2</v>
      </c>
      <c r="CP8" s="9">
        <v>1.121639609336853</v>
      </c>
      <c r="CQ8" s="9">
        <v>5.0559472292661667E-2</v>
      </c>
      <c r="CR8">
        <v>59.111334429938374</v>
      </c>
      <c r="CS8">
        <v>1.2839512163168743</v>
      </c>
      <c r="CT8">
        <v>1.8238434163701065</v>
      </c>
      <c r="CU8" s="8">
        <v>0.46038613989949229</v>
      </c>
      <c r="CV8" s="9">
        <v>2.6196860052645206</v>
      </c>
      <c r="CW8">
        <v>0.06</v>
      </c>
      <c r="CX8">
        <v>11.094238828787836</v>
      </c>
      <c r="CY8">
        <v>873476238.3927151</v>
      </c>
      <c r="CZ8">
        <v>0.46038613989949229</v>
      </c>
      <c r="DA8">
        <v>2.6871411734520501</v>
      </c>
      <c r="DB8">
        <v>3606269032.5834198</v>
      </c>
      <c r="DC8">
        <v>0.43736683290451767</v>
      </c>
      <c r="DD8">
        <v>0.84824382838780354</v>
      </c>
      <c r="DE8">
        <v>11424255238.518085</v>
      </c>
      <c r="DF8">
        <v>0.40513980311155323</v>
      </c>
      <c r="DG8">
        <v>0.29071891719625215</v>
      </c>
      <c r="DH8">
        <v>33333069940.743877</v>
      </c>
      <c r="DI8">
        <v>0.36830891191959386</v>
      </c>
      <c r="DJ8">
        <v>3.6868051158742303E-2</v>
      </c>
      <c r="DK8">
        <v>262844215938.49655</v>
      </c>
      <c r="DL8">
        <v>0.32227029792964457</v>
      </c>
      <c r="DM8">
        <v>634000000</v>
      </c>
      <c r="DN8">
        <v>0.46038613989949229</v>
      </c>
      <c r="DO8">
        <v>9690554000</v>
      </c>
      <c r="DP8">
        <v>3557500200</v>
      </c>
      <c r="DQ8">
        <v>610</v>
      </c>
      <c r="DR8">
        <v>-0.41568025754655097</v>
      </c>
      <c r="DS8">
        <v>-2.5748668579776988</v>
      </c>
      <c r="DT8" s="10">
        <v>7.6666666666666661E-2</v>
      </c>
      <c r="DU8">
        <v>0.58333333333333337</v>
      </c>
      <c r="DV8">
        <v>0.66</v>
      </c>
      <c r="DW8">
        <v>-8.4885563380281681</v>
      </c>
      <c r="DX8">
        <v>0.35145714285714363</v>
      </c>
      <c r="DY8">
        <v>-8.0739953470824943</v>
      </c>
      <c r="DZ8">
        <v>506</v>
      </c>
      <c r="EA8">
        <v>-8.0666682148664979</v>
      </c>
      <c r="EB8">
        <v>8</v>
      </c>
      <c r="EC8">
        <v>3.41878475987209E-2</v>
      </c>
      <c r="ED8">
        <v>0.22572621504531812</v>
      </c>
      <c r="EE8" s="11">
        <v>2.0613000000000001</v>
      </c>
      <c r="EF8">
        <v>2.0310999999999999</v>
      </c>
      <c r="EG8">
        <v>20.151457142857144</v>
      </c>
      <c r="EH8" t="s">
        <v>1701</v>
      </c>
      <c r="EI8">
        <v>0</v>
      </c>
      <c r="EJ8">
        <v>1</v>
      </c>
      <c r="EK8" s="12">
        <v>45470</v>
      </c>
      <c r="EL8">
        <v>5.32</v>
      </c>
      <c r="EM8">
        <v>-1.82</v>
      </c>
      <c r="EN8">
        <v>0.76</v>
      </c>
      <c r="EO8">
        <v>-0.17</v>
      </c>
      <c r="EP8">
        <v>-3.02</v>
      </c>
    </row>
    <row r="9" spans="1:146" ht="96" x14ac:dyDescent="0.25">
      <c r="A9" s="6"/>
      <c r="B9" s="6"/>
      <c r="C9" s="6" t="str">
        <f>""&amp;CHAR(10)&amp;Basic_Fundamental_Information_Constructure(F9)&amp;CHAR(10)&amp;Basic_Fundamental_Information_Concatenate("")</f>
        <v xml:space="preserve">
市值27.572619亿, 利润3828.35万; PE31.61; 平均PE72.53; 平均PEG22.62, PB1.33; ROIC4.66%; ROE-.0067%; 股利率1.8667%; 毛利15.13%; 净利-.35%; 上一年度营收增5.08%, 利润增148.9%; 当季营收增6.23%, 利润增243.32%; 过往5年营收增3.21%, 利润增-9.64%
Income profile:
</v>
      </c>
      <c r="D9" t="s">
        <v>484</v>
      </c>
      <c r="E9" t="s">
        <v>485</v>
      </c>
      <c r="F9">
        <v>3.75</v>
      </c>
      <c r="G9">
        <v>9.9700000000000006</v>
      </c>
      <c r="H9" t="s">
        <v>3403</v>
      </c>
      <c r="I9">
        <v>2757261900</v>
      </c>
      <c r="J9">
        <v>31.61</v>
      </c>
      <c r="K9">
        <v>1.33</v>
      </c>
      <c r="L9" t="s">
        <v>428</v>
      </c>
      <c r="M9" t="s">
        <v>2243</v>
      </c>
      <c r="N9" t="s">
        <v>3404</v>
      </c>
      <c r="O9" t="s">
        <v>1144</v>
      </c>
      <c r="P9">
        <v>6.3</v>
      </c>
      <c r="Q9" t="s">
        <v>2061</v>
      </c>
      <c r="R9">
        <v>28824533</v>
      </c>
      <c r="S9" s="4">
        <v>2.4329999999999998</v>
      </c>
      <c r="T9" t="s">
        <v>2244</v>
      </c>
      <c r="U9">
        <v>727667000</v>
      </c>
      <c r="V9">
        <v>735269840</v>
      </c>
      <c r="W9">
        <v>2.5099999999999998</v>
      </c>
      <c r="X9">
        <v>0.12</v>
      </c>
      <c r="Y9">
        <v>4.82</v>
      </c>
      <c r="Z9" t="s">
        <v>210</v>
      </c>
      <c r="AA9" t="s">
        <v>1375</v>
      </c>
      <c r="AB9" t="s">
        <v>3405</v>
      </c>
      <c r="AC9" t="s">
        <v>3406</v>
      </c>
      <c r="AD9" t="s">
        <v>5</v>
      </c>
      <c r="AE9">
        <v>24889202</v>
      </c>
      <c r="AF9" t="s">
        <v>2245</v>
      </c>
      <c r="AG9" t="s">
        <v>3407</v>
      </c>
      <c r="AH9" t="s">
        <v>2246</v>
      </c>
      <c r="AI9" t="s">
        <v>1428</v>
      </c>
      <c r="AJ9" t="s">
        <v>2247</v>
      </c>
      <c r="AK9" t="s">
        <v>173</v>
      </c>
      <c r="AL9" t="s">
        <v>2248</v>
      </c>
      <c r="AM9" t="s">
        <v>5</v>
      </c>
      <c r="AN9" t="s">
        <v>3408</v>
      </c>
      <c r="AO9" t="s">
        <v>1344</v>
      </c>
      <c r="AP9" t="s">
        <v>110</v>
      </c>
      <c r="AQ9" t="s">
        <v>187</v>
      </c>
      <c r="AR9" t="s">
        <v>5</v>
      </c>
      <c r="AS9" t="s">
        <v>3409</v>
      </c>
      <c r="AT9" t="s">
        <v>2066</v>
      </c>
      <c r="AU9" t="s">
        <v>3410</v>
      </c>
      <c r="AV9" t="s">
        <v>3411</v>
      </c>
      <c r="AW9" t="s">
        <v>57</v>
      </c>
      <c r="AX9" t="s">
        <v>569</v>
      </c>
      <c r="AY9" t="s">
        <v>1204</v>
      </c>
      <c r="AZ9" t="s">
        <v>1206</v>
      </c>
      <c r="BA9" t="s">
        <v>489</v>
      </c>
      <c r="BB9" t="s">
        <v>490</v>
      </c>
      <c r="BC9" t="s">
        <v>1733</v>
      </c>
      <c r="BD9" t="s">
        <v>1205</v>
      </c>
      <c r="BE9" t="s">
        <v>60</v>
      </c>
      <c r="BF9" t="s">
        <v>491</v>
      </c>
      <c r="BG9" t="s">
        <v>492</v>
      </c>
      <c r="BH9" t="s">
        <v>2061</v>
      </c>
      <c r="BI9" t="s">
        <v>1656</v>
      </c>
      <c r="BJ9" t="s">
        <v>569</v>
      </c>
      <c r="BK9" t="s">
        <v>2244</v>
      </c>
      <c r="BL9" t="s">
        <v>2250</v>
      </c>
      <c r="BM9" t="s">
        <v>1733</v>
      </c>
      <c r="BN9">
        <v>1.82</v>
      </c>
      <c r="BO9" t="s">
        <v>5</v>
      </c>
      <c r="BP9">
        <v>7.5</v>
      </c>
      <c r="BQ9">
        <v>2.15</v>
      </c>
      <c r="BR9">
        <v>-3.76</v>
      </c>
      <c r="BS9">
        <v>1.59</v>
      </c>
      <c r="BT9" t="s">
        <v>1679</v>
      </c>
      <c r="BU9" t="s">
        <v>1519</v>
      </c>
      <c r="BV9">
        <v>19.38</v>
      </c>
      <c r="BW9">
        <v>12.93</v>
      </c>
      <c r="BX9">
        <v>13.08</v>
      </c>
      <c r="BY9">
        <v>1.45</v>
      </c>
      <c r="BZ9">
        <v>-3.3</v>
      </c>
      <c r="CA9">
        <v>0.8</v>
      </c>
      <c r="CB9">
        <v>13.64</v>
      </c>
      <c r="CC9">
        <v>5.04</v>
      </c>
      <c r="CD9" t="s">
        <v>173</v>
      </c>
      <c r="CE9" t="s">
        <v>716</v>
      </c>
      <c r="CF9" s="8">
        <v>6.2277580071174378E-2</v>
      </c>
      <c r="CG9" s="9">
        <v>2.4332149782714625</v>
      </c>
      <c r="CH9" s="8">
        <v>5.0813812762498856E-2</v>
      </c>
      <c r="CI9" s="8">
        <v>-0.26538345217704773</v>
      </c>
      <c r="CJ9" s="8">
        <v>0.31328988075256348</v>
      </c>
      <c r="CK9" s="8">
        <v>9.5677711069583893E-2</v>
      </c>
      <c r="CL9" s="8">
        <v>-3.4049451351165771E-2</v>
      </c>
      <c r="CM9" s="9">
        <v>1.4889510869979858</v>
      </c>
      <c r="CN9" s="9">
        <v>-3.6330068111419678</v>
      </c>
      <c r="CO9" s="9">
        <v>-0.75219333171844482</v>
      </c>
      <c r="CP9" s="9">
        <v>0.34413120150566101</v>
      </c>
      <c r="CQ9" s="9">
        <v>2.0702171325683594</v>
      </c>
      <c r="CR9">
        <v>72.53455016584202</v>
      </c>
      <c r="CS9">
        <v>22.617782420153201</v>
      </c>
      <c r="CT9">
        <v>1.8666666666666665</v>
      </c>
      <c r="CU9" s="8">
        <v>3.2069700211286543E-2</v>
      </c>
      <c r="CV9" s="9">
        <v>-9.6380144357681274E-2</v>
      </c>
      <c r="CW9">
        <v>0.06</v>
      </c>
      <c r="CX9">
        <v>94.306773953220613</v>
      </c>
      <c r="CY9">
        <v>37274755.064187542</v>
      </c>
      <c r="CZ9">
        <v>3.2069700211286543E-2</v>
      </c>
      <c r="DA9">
        <v>32.378254066654002</v>
      </c>
      <c r="DB9">
        <v>108568605.73036051</v>
      </c>
      <c r="DC9">
        <v>3.0466215200722215E-2</v>
      </c>
      <c r="DD9">
        <v>17.001042852002911</v>
      </c>
      <c r="DE9">
        <v>206767427.77492991</v>
      </c>
      <c r="DF9">
        <v>2.8221336185932158E-2</v>
      </c>
      <c r="DG9">
        <v>10.956648299809723</v>
      </c>
      <c r="DH9">
        <v>320833689.62943232</v>
      </c>
      <c r="DI9">
        <v>2.5655760169029235E-2</v>
      </c>
      <c r="DJ9">
        <v>6.5620390785724023</v>
      </c>
      <c r="DK9">
        <v>535696581.18597478</v>
      </c>
      <c r="DL9">
        <v>2.244879014790058E-2</v>
      </c>
      <c r="DM9">
        <v>38283500</v>
      </c>
      <c r="DN9">
        <v>3.2069700211286543E-2</v>
      </c>
      <c r="DO9">
        <v>3515261900</v>
      </c>
      <c r="DP9">
        <v>517650000</v>
      </c>
      <c r="DQ9">
        <v>675</v>
      </c>
      <c r="DR9">
        <v>3.0207879859887835E-2</v>
      </c>
      <c r="DS9">
        <v>2.5295951226291438</v>
      </c>
      <c r="DT9" s="10">
        <v>-0.45666666666666672</v>
      </c>
      <c r="DU9">
        <v>0.5133333333333332</v>
      </c>
      <c r="DV9">
        <v>5.6666666666666476E-2</v>
      </c>
      <c r="DW9">
        <v>5.3695014662756595</v>
      </c>
      <c r="DX9">
        <v>1.7638591117917373</v>
      </c>
      <c r="DY9">
        <v>5.0605461820696718</v>
      </c>
      <c r="DZ9">
        <v>1589</v>
      </c>
      <c r="EA9">
        <v>5.0417188076452666</v>
      </c>
      <c r="EB9">
        <v>5</v>
      </c>
      <c r="EC9">
        <v>0.1455248048797976</v>
      </c>
      <c r="ED9">
        <v>0.88810932323839098</v>
      </c>
      <c r="EE9" s="11">
        <v>-2.0961099999999999</v>
      </c>
      <c r="EF9">
        <v>-2.1228099999999999</v>
      </c>
      <c r="EG9">
        <v>160.16385911179174</v>
      </c>
      <c r="EH9" t="s">
        <v>1710</v>
      </c>
      <c r="EI9">
        <v>1</v>
      </c>
      <c r="EJ9">
        <v>0</v>
      </c>
      <c r="EK9" s="12">
        <v>45470</v>
      </c>
      <c r="EL9">
        <v>-0.59</v>
      </c>
      <c r="EM9">
        <v>-4.18</v>
      </c>
      <c r="EN9">
        <v>4.05</v>
      </c>
      <c r="EO9">
        <v>0.9</v>
      </c>
      <c r="EP9">
        <v>-2.67</v>
      </c>
    </row>
    <row r="10" spans="1:146" ht="96" x14ac:dyDescent="0.25">
      <c r="A10" s="6"/>
      <c r="B10" s="6"/>
      <c r="C10" s="6" t="str">
        <f>""&amp;CHAR(10)&amp;Basic_Fundamental_Information_Constructure(F10)&amp;CHAR(10)&amp;Basic_Fundamental_Information_Concatenate("")</f>
        <v xml:space="preserve">
市值10.8551421亿, 利润-2936.22万; PE; 平均PE-9.04; 平均PEG-.4, PB17.64; ROIC47.1%; ROE-46.0267%; 股利率0%; 毛利7.7233%; 净利-20.8867%; 上一年度营收增-35.62%, 利润增-174.15%; 当季营收增-15.76%, 利润增50.68%; 过往5年营收增-22.34%, 利润增-260.69%
Income profile:
</v>
      </c>
      <c r="D10" t="s">
        <v>1208</v>
      </c>
      <c r="E10" t="s">
        <v>2039</v>
      </c>
      <c r="F10">
        <v>2.5099999999999998</v>
      </c>
      <c r="G10">
        <v>2.87</v>
      </c>
      <c r="H10" t="s">
        <v>3412</v>
      </c>
      <c r="I10">
        <v>1085514210</v>
      </c>
      <c r="K10">
        <v>17.64</v>
      </c>
      <c r="L10" t="s">
        <v>428</v>
      </c>
      <c r="M10" t="s">
        <v>385</v>
      </c>
      <c r="N10" t="s">
        <v>3413</v>
      </c>
      <c r="O10" t="s">
        <v>2253</v>
      </c>
      <c r="P10">
        <v>-15.76</v>
      </c>
      <c r="Q10" t="s">
        <v>289</v>
      </c>
      <c r="R10">
        <v>-1706540</v>
      </c>
      <c r="S10" s="4">
        <v>0.50670000000000004</v>
      </c>
      <c r="T10" t="s">
        <v>2254</v>
      </c>
      <c r="U10">
        <v>432288130</v>
      </c>
      <c r="V10">
        <v>432475780</v>
      </c>
      <c r="W10">
        <v>5</v>
      </c>
      <c r="X10">
        <v>0.15</v>
      </c>
      <c r="Y10">
        <v>-3.7</v>
      </c>
      <c r="Z10" t="s">
        <v>3414</v>
      </c>
      <c r="AA10" t="s">
        <v>3415</v>
      </c>
      <c r="AB10" t="s">
        <v>3416</v>
      </c>
      <c r="AC10" t="s">
        <v>3417</v>
      </c>
      <c r="AD10" t="s">
        <v>5</v>
      </c>
      <c r="AE10">
        <v>-565662</v>
      </c>
      <c r="AF10" t="s">
        <v>2255</v>
      </c>
      <c r="AG10" t="s">
        <v>3418</v>
      </c>
      <c r="AH10" t="s">
        <v>2256</v>
      </c>
      <c r="AI10" t="s">
        <v>82</v>
      </c>
      <c r="AJ10" t="s">
        <v>2257</v>
      </c>
      <c r="AK10" t="s">
        <v>3419</v>
      </c>
      <c r="AL10" t="s">
        <v>2258</v>
      </c>
      <c r="AM10" t="s">
        <v>5</v>
      </c>
      <c r="AN10" t="s">
        <v>3420</v>
      </c>
      <c r="AO10" t="s">
        <v>5</v>
      </c>
      <c r="AP10" t="s">
        <v>173</v>
      </c>
      <c r="AQ10" t="s">
        <v>3421</v>
      </c>
      <c r="AR10" t="s">
        <v>5</v>
      </c>
      <c r="AS10" t="s">
        <v>229</v>
      </c>
      <c r="AT10" t="s">
        <v>5</v>
      </c>
      <c r="AU10" t="s">
        <v>3422</v>
      </c>
      <c r="AV10" t="s">
        <v>3423</v>
      </c>
      <c r="AW10" t="s">
        <v>3424</v>
      </c>
      <c r="AX10" t="s">
        <v>222</v>
      </c>
      <c r="AY10" t="s">
        <v>1542</v>
      </c>
      <c r="AZ10" t="s">
        <v>230</v>
      </c>
      <c r="BA10" t="s">
        <v>583</v>
      </c>
      <c r="BB10" t="s">
        <v>1129</v>
      </c>
      <c r="BC10" t="s">
        <v>1734</v>
      </c>
      <c r="BD10" t="s">
        <v>1735</v>
      </c>
      <c r="BE10" t="s">
        <v>2040</v>
      </c>
      <c r="BF10" t="s">
        <v>2028</v>
      </c>
      <c r="BG10" t="s">
        <v>1210</v>
      </c>
      <c r="BH10" t="s">
        <v>289</v>
      </c>
      <c r="BI10" t="s">
        <v>2259</v>
      </c>
      <c r="BJ10" t="s">
        <v>222</v>
      </c>
      <c r="BK10" t="s">
        <v>2254</v>
      </c>
      <c r="BL10" t="s">
        <v>2260</v>
      </c>
      <c r="BM10" t="s">
        <v>1734</v>
      </c>
      <c r="BN10" t="s">
        <v>5</v>
      </c>
      <c r="BO10">
        <v>47.1</v>
      </c>
      <c r="BP10" t="s">
        <v>5</v>
      </c>
      <c r="BQ10">
        <v>-18.23</v>
      </c>
      <c r="BR10">
        <v>54.37</v>
      </c>
      <c r="BS10">
        <v>-174.22</v>
      </c>
      <c r="BT10" t="s">
        <v>1670</v>
      </c>
      <c r="BU10" t="s">
        <v>1520</v>
      </c>
      <c r="BV10">
        <v>5.81</v>
      </c>
      <c r="BW10">
        <v>3.38</v>
      </c>
      <c r="BX10">
        <v>13.98</v>
      </c>
      <c r="BY10">
        <v>-12.5</v>
      </c>
      <c r="BZ10">
        <v>10.86</v>
      </c>
      <c r="CA10">
        <v>-61.02</v>
      </c>
      <c r="CB10">
        <v>-0.79</v>
      </c>
      <c r="CC10">
        <v>-19.03</v>
      </c>
      <c r="CD10" t="s">
        <v>3425</v>
      </c>
      <c r="CE10" t="s">
        <v>141</v>
      </c>
      <c r="CF10" s="8">
        <v>-0.15762478058251009</v>
      </c>
      <c r="CG10" s="9">
        <v>0.50675183536620616</v>
      </c>
      <c r="CH10" s="8">
        <v>-0.35616439580917358</v>
      </c>
      <c r="CI10" s="8">
        <v>-0.34115523099899292</v>
      </c>
      <c r="CJ10" s="8">
        <v>0.28240740299224854</v>
      </c>
      <c r="CK10" s="8">
        <v>-0.49650350213050842</v>
      </c>
      <c r="CL10" s="8">
        <v>-0.20555555820465088</v>
      </c>
      <c r="CM10" s="9">
        <v>-1.7414828538894653</v>
      </c>
      <c r="CN10" s="9">
        <v>1.1171576976776123</v>
      </c>
      <c r="CO10" s="9">
        <v>-0.1304347813129425</v>
      </c>
      <c r="CP10" s="9">
        <v>-1.8476190567016602</v>
      </c>
      <c r="CQ10" s="9">
        <v>-10.431928634643555</v>
      </c>
      <c r="CR10">
        <v>-9.0380371910431219</v>
      </c>
      <c r="CS10">
        <v>-0.40457786691948078</v>
      </c>
      <c r="CT10">
        <v>0</v>
      </c>
      <c r="CU10" s="8">
        <v>-0.22339425683021547</v>
      </c>
      <c r="CV10" s="9">
        <v>-2.606861525774002</v>
      </c>
      <c r="CW10">
        <v>0.06</v>
      </c>
      <c r="CX10" t="e">
        <v>#VALUE!</v>
      </c>
      <c r="CY10" t="s">
        <v>1211</v>
      </c>
      <c r="CZ10">
        <v>-0.22339425683021547</v>
      </c>
      <c r="DA10" t="e">
        <v>#VALUE!</v>
      </c>
      <c r="DB10" t="s">
        <v>1179</v>
      </c>
      <c r="DC10">
        <v>-0.21222454398870469</v>
      </c>
      <c r="DD10" t="e">
        <v>#VALUE!</v>
      </c>
      <c r="DE10" t="s">
        <v>1179</v>
      </c>
      <c r="DF10">
        <v>-0.1965869460105896</v>
      </c>
      <c r="DG10" t="e">
        <v>#VALUE!</v>
      </c>
      <c r="DH10" t="s">
        <v>1179</v>
      </c>
      <c r="DI10">
        <v>-0.17871540546417239</v>
      </c>
      <c r="DJ10" t="e">
        <v>#VALUE!</v>
      </c>
      <c r="DK10" t="s">
        <v>1179</v>
      </c>
      <c r="DL10">
        <v>-0.15637597978115081</v>
      </c>
      <c r="DM10">
        <v>-29362199.999999996</v>
      </c>
      <c r="DN10">
        <v>-0.22339425683021547</v>
      </c>
      <c r="DO10">
        <v>1269956510</v>
      </c>
      <c r="DP10">
        <v>-14343890</v>
      </c>
      <c r="DQ10">
        <v>721</v>
      </c>
      <c r="DR10">
        <v>6.5769476247705377E-2</v>
      </c>
      <c r="DS10">
        <v>3.1136133611402084</v>
      </c>
      <c r="DT10" s="10">
        <v>-0.84</v>
      </c>
      <c r="DU10">
        <v>-3.0316666666666663</v>
      </c>
      <c r="DV10">
        <v>-3.8716666666666661</v>
      </c>
      <c r="DW10">
        <v>-3.034267857142857</v>
      </c>
      <c r="DX10">
        <v>0.34787831325301166</v>
      </c>
      <c r="DY10">
        <v>-3.0047247943416524</v>
      </c>
      <c r="DZ10">
        <v>5060</v>
      </c>
      <c r="EA10">
        <v>-3.0000462308643998</v>
      </c>
      <c r="EB10">
        <v>3</v>
      </c>
      <c r="EC10">
        <v>0.13230683114786221</v>
      </c>
      <c r="ED10">
        <v>0.95959130936766002</v>
      </c>
      <c r="EE10" s="11">
        <v>-4.0249100000000002</v>
      </c>
      <c r="EF10">
        <v>-4.0129099999999998</v>
      </c>
      <c r="EG10">
        <v>21.137878313253012</v>
      </c>
      <c r="EH10" t="s">
        <v>2156</v>
      </c>
      <c r="EI10">
        <v>0</v>
      </c>
      <c r="EJ10">
        <v>0</v>
      </c>
      <c r="EK10" s="12">
        <v>45470</v>
      </c>
      <c r="EL10">
        <v>0.39</v>
      </c>
      <c r="EM10">
        <v>-4.3099999999999996</v>
      </c>
      <c r="EN10">
        <v>0.82</v>
      </c>
      <c r="EO10">
        <v>2.0299999999999998</v>
      </c>
      <c r="EP10">
        <v>1.2</v>
      </c>
    </row>
    <row r="11" spans="1:146" ht="180" x14ac:dyDescent="0.25">
      <c r="A11" s="6" t="s">
        <v>1614</v>
      </c>
      <c r="B11" s="6" t="s">
        <v>1100</v>
      </c>
      <c r="C11" s="6" t="str">
        <f>"公司主要从事工业炸药、工业雷管、工业索类等民用爆炸物品的研发、生产、销售，以及为客户提供工程施工服务；风力发电、光伏发电的项目开发、建设及运营。"&amp;CHAR(10)&amp;Basic_Fundamental_Information_Constructure(C11)&amp;CHAR(10)&amp;Basic_Fundamental_Information_Concatenate("爆破工程服务 32.95亿 50.84% 36.79% 25.17%
民用炸药 15.72亿 24.25% 34.52% 49.52%
风力发电 8.21亿 12.66% 18.98% 52.13%
其他民爆业务 3.90亿 6.02% 4.28% 24.71%
起爆器材 2.12亿 3.27% 3.26% 34.63%
光伏发电 7561.64万 1.17% 2.00% 59.69%")</f>
        <v>公司主要从事工业炸药、工业雷管、工业索类等民用爆炸物品的研发、生产、销售，以及为客户提供工程施工服务；风力发电、光伏发电的项目开发、建设及运营。
市值117.08239亿, 利润7.73亿; PE14.52; 平均PE20.81; 平均PEG.78, PB1.32; ROIC7.42%; ROE8.5767%; 股利率1.3575%; 毛利30.9767%; 净利12.86%; 上一年度营收增13.76%, 利润增61.38%; 当季营收增18.47%, 利润增30.2%; 过往5年营收增26.72%, 利润增47.55%
Income profile:
爆破工程服务 32.95亿 50.84% 36.79% 25.17%
民用炸药 15.72亿 24.25% 34.52% 49.52%
风力发电 8.21亿 12.66% 18.98% 52.13%
其他民爆业务 3.90亿 6.02% 4.28% 24.71%
起爆器材 2.12亿 3.27% 3.26% 34.63%
光伏发电 7561.64万 1.17% 2.00% 59.69%</v>
      </c>
      <c r="D11" t="s">
        <v>497</v>
      </c>
      <c r="E11" t="s">
        <v>498</v>
      </c>
      <c r="F11">
        <v>4.42</v>
      </c>
      <c r="G11">
        <v>-0.67</v>
      </c>
      <c r="H11" t="s">
        <v>3426</v>
      </c>
      <c r="I11">
        <v>11708239000</v>
      </c>
      <c r="J11">
        <v>14.52</v>
      </c>
      <c r="K11">
        <v>1.32</v>
      </c>
      <c r="L11" t="s">
        <v>428</v>
      </c>
      <c r="M11" t="s">
        <v>2262</v>
      </c>
      <c r="N11" t="s">
        <v>3427</v>
      </c>
      <c r="O11" t="s">
        <v>2121</v>
      </c>
      <c r="P11">
        <v>18.440000000000001</v>
      </c>
      <c r="Q11" t="s">
        <v>2263</v>
      </c>
      <c r="R11">
        <v>144517250</v>
      </c>
      <c r="S11" s="4">
        <v>0.29630000000000001</v>
      </c>
      <c r="T11" t="s">
        <v>1892</v>
      </c>
      <c r="U11">
        <v>1827666300</v>
      </c>
      <c r="V11">
        <v>2648922900</v>
      </c>
      <c r="W11">
        <v>1.67</v>
      </c>
      <c r="X11">
        <v>0.12</v>
      </c>
      <c r="Y11">
        <v>9.73</v>
      </c>
      <c r="Z11" t="s">
        <v>2151</v>
      </c>
      <c r="AA11" t="s">
        <v>3386</v>
      </c>
      <c r="AB11" t="s">
        <v>3428</v>
      </c>
      <c r="AC11" t="s">
        <v>65</v>
      </c>
      <c r="AD11" t="s">
        <v>5</v>
      </c>
      <c r="AE11">
        <v>32907957</v>
      </c>
      <c r="AF11" t="s">
        <v>2264</v>
      </c>
      <c r="AG11" t="s">
        <v>3429</v>
      </c>
      <c r="AH11" t="s">
        <v>2265</v>
      </c>
      <c r="AI11" t="s">
        <v>909</v>
      </c>
      <c r="AJ11" t="s">
        <v>2266</v>
      </c>
      <c r="AK11" t="s">
        <v>600</v>
      </c>
      <c r="AL11" t="s">
        <v>2267</v>
      </c>
      <c r="AM11" t="s">
        <v>5</v>
      </c>
      <c r="AN11" t="s">
        <v>140</v>
      </c>
      <c r="AO11" t="s">
        <v>1019</v>
      </c>
      <c r="AP11" t="s">
        <v>3430</v>
      </c>
      <c r="AQ11" t="s">
        <v>3431</v>
      </c>
      <c r="AR11" t="s">
        <v>5</v>
      </c>
      <c r="AS11" t="s">
        <v>3432</v>
      </c>
      <c r="AT11" t="s">
        <v>3433</v>
      </c>
      <c r="AU11" t="s">
        <v>3434</v>
      </c>
      <c r="AV11" t="s">
        <v>3435</v>
      </c>
      <c r="AW11" t="s">
        <v>3436</v>
      </c>
      <c r="AX11" t="s">
        <v>2270</v>
      </c>
      <c r="AY11" t="s">
        <v>1213</v>
      </c>
      <c r="AZ11" t="s">
        <v>1215</v>
      </c>
      <c r="BA11" t="s">
        <v>501</v>
      </c>
      <c r="BB11" t="s">
        <v>502</v>
      </c>
      <c r="BC11" t="s">
        <v>372</v>
      </c>
      <c r="BD11" t="s">
        <v>1214</v>
      </c>
      <c r="BE11" t="s">
        <v>350</v>
      </c>
      <c r="BF11" t="s">
        <v>87</v>
      </c>
      <c r="BG11" t="s">
        <v>406</v>
      </c>
      <c r="BH11" t="s">
        <v>2263</v>
      </c>
      <c r="BI11" t="s">
        <v>2142</v>
      </c>
      <c r="BJ11" t="s">
        <v>2270</v>
      </c>
      <c r="BK11" t="s">
        <v>1892</v>
      </c>
      <c r="BL11" t="s">
        <v>137</v>
      </c>
      <c r="BM11" t="s">
        <v>372</v>
      </c>
      <c r="BN11">
        <v>6.59</v>
      </c>
      <c r="BO11">
        <v>5.22</v>
      </c>
      <c r="BP11">
        <v>10.45</v>
      </c>
      <c r="BQ11">
        <v>7.43</v>
      </c>
      <c r="BR11">
        <v>5.23</v>
      </c>
      <c r="BS11">
        <v>13.07</v>
      </c>
      <c r="BT11" t="s">
        <v>1672</v>
      </c>
      <c r="BU11" t="s">
        <v>1517</v>
      </c>
      <c r="BV11">
        <v>29.48</v>
      </c>
      <c r="BW11">
        <v>28.66</v>
      </c>
      <c r="BX11">
        <v>34.79</v>
      </c>
      <c r="BY11">
        <v>11.24</v>
      </c>
      <c r="BZ11">
        <v>8.81</v>
      </c>
      <c r="CA11">
        <v>18.53</v>
      </c>
      <c r="CB11">
        <v>-1.34</v>
      </c>
      <c r="CC11">
        <v>-7.34</v>
      </c>
      <c r="CD11" t="s">
        <v>3437</v>
      </c>
      <c r="CE11" t="s">
        <v>2206</v>
      </c>
      <c r="CF11" s="8">
        <v>0.18469814704124327</v>
      </c>
      <c r="CG11" s="9">
        <v>0.30195720720720703</v>
      </c>
      <c r="CH11" s="8">
        <v>0.13761347532272339</v>
      </c>
      <c r="CI11" s="8">
        <v>0.20644959807395935</v>
      </c>
      <c r="CJ11" s="8">
        <v>0.65373814105987549</v>
      </c>
      <c r="CK11" s="8">
        <v>7.8722856938838959E-2</v>
      </c>
      <c r="CL11" s="8">
        <v>0.25927209854125977</v>
      </c>
      <c r="CM11" s="9">
        <v>0.61377871036529541</v>
      </c>
      <c r="CN11" s="9">
        <v>-0.54510921239852905</v>
      </c>
      <c r="CO11" s="9">
        <v>1.355704665184021</v>
      </c>
      <c r="CP11" s="9">
        <v>0.10370370000600815</v>
      </c>
      <c r="CQ11" s="9">
        <v>0.84931504726409912</v>
      </c>
      <c r="CR11">
        <v>20.808481635071093</v>
      </c>
      <c r="CS11">
        <v>0.77887937184525036</v>
      </c>
      <c r="CT11">
        <v>1.3574660633484164</v>
      </c>
      <c r="CU11" s="8">
        <v>0.26715923398733138</v>
      </c>
      <c r="CV11" s="9">
        <v>0.47547858208417892</v>
      </c>
      <c r="CW11">
        <v>0.06</v>
      </c>
      <c r="CX11">
        <v>9.170560639421792</v>
      </c>
      <c r="CY11">
        <v>924069894.21906328</v>
      </c>
      <c r="CZ11">
        <v>0.26715923398733138</v>
      </c>
      <c r="DA11">
        <v>2.5875116369182534</v>
      </c>
      <c r="DB11">
        <v>3275053483.4667974</v>
      </c>
      <c r="DC11">
        <v>0.25380127228796479</v>
      </c>
      <c r="DD11">
        <v>1.0343912382610794</v>
      </c>
      <c r="DE11">
        <v>8192489153.5683241</v>
      </c>
      <c r="DF11">
        <v>0.23510012590885163</v>
      </c>
      <c r="DG11">
        <v>0.483140724312911</v>
      </c>
      <c r="DH11">
        <v>17539897950.129272</v>
      </c>
      <c r="DI11">
        <v>0.21372738718986511</v>
      </c>
      <c r="DJ11">
        <v>0.13615029703486239</v>
      </c>
      <c r="DK11">
        <v>62241795901.701942</v>
      </c>
      <c r="DL11">
        <v>0.18701146379113195</v>
      </c>
      <c r="DM11">
        <v>773000000</v>
      </c>
      <c r="DN11">
        <v>0.26715923398733138</v>
      </c>
      <c r="DO11">
        <v>8474239000</v>
      </c>
      <c r="DP11">
        <v>3680274000</v>
      </c>
      <c r="DQ11">
        <v>735</v>
      </c>
      <c r="DR11">
        <v>-8.2461086946088114E-2</v>
      </c>
      <c r="DS11">
        <v>-0.17352137487697189</v>
      </c>
      <c r="DT11" s="10">
        <v>7.6666666666666661E-2</v>
      </c>
      <c r="DU11">
        <v>0.87</v>
      </c>
      <c r="DV11">
        <v>0.94666666666666666</v>
      </c>
      <c r="DW11">
        <v>-2.0733999999999999</v>
      </c>
      <c r="DX11">
        <v>0.46367427184466353</v>
      </c>
      <c r="DY11">
        <v>-2.0090776915533981</v>
      </c>
      <c r="DZ11">
        <v>234</v>
      </c>
      <c r="EA11">
        <v>-2.0086620007855909</v>
      </c>
      <c r="EB11">
        <v>2</v>
      </c>
      <c r="EC11">
        <v>1.9235667448078614E-2</v>
      </c>
      <c r="ED11">
        <v>0.15553491571989506</v>
      </c>
      <c r="EE11" s="11">
        <v>1.0169999999999999</v>
      </c>
      <c r="EF11">
        <v>1.0139100000000001</v>
      </c>
      <c r="EG11">
        <v>34.123674271844664</v>
      </c>
      <c r="EH11" t="s">
        <v>1693</v>
      </c>
      <c r="EI11">
        <v>0</v>
      </c>
      <c r="EJ11">
        <v>1</v>
      </c>
      <c r="EK11" s="12">
        <v>45470</v>
      </c>
      <c r="EL11">
        <v>1.1200000000000001</v>
      </c>
      <c r="EM11">
        <v>-1.77</v>
      </c>
      <c r="EN11">
        <v>2.0299999999999998</v>
      </c>
      <c r="EO11">
        <v>0</v>
      </c>
      <c r="EP11">
        <v>-3.09</v>
      </c>
    </row>
    <row r="12" spans="1:146" ht="192" x14ac:dyDescent="0.25">
      <c r="A12" s="6" t="s">
        <v>1617</v>
      </c>
      <c r="B12" s="6"/>
      <c r="C12" s="6" t="str">
        <f>"公司主营业务为以硝化棉系列产品为核心的纤维素及其衍生物产业和以活性炭为基础的环保器材及核生化防护装备制造产业及以渣浆泵为核心的特种工业泵系列产品环保装备制造产业“三箭齐发”的三大产业新格局。"&amp;CHAR(10)&amp;Basic_Fundamental_Information_Constructure(C12)&amp;CHAR(10)&amp;Basic_Fundamental_Information_Concatenate("硝化棉相关产品 4.10亿 31.42% 14.12% 7.67%
防护器材 3.95亿 30.25% 50.03% 28.22%
工业泵 1.81亿 13.87% 11.99% 14.76%
其他产品 1.43亿 10.95% 22.37% 34.87%
活性炭及催化剂 9731.00万 7.46%
备件 5672.08万 4.35%")</f>
        <v>公司主营业务为以硝化棉系列产品为核心的纤维素及其衍生物产业和以活性炭为基础的环保器材及核生化防护装备制造产业及以渣浆泵为核心的特种工业泵系列产品环保装备制造产业“三箭齐发”的三大产业新格局。
市值44.856143亿, 利润5551.46万; PE126.3; 平均PE43.27; 平均PEG31.71, PB1.56; ROIC1.65%; ROE2.7633%; 股利率.612%; 毛利20.2933%; 净利3.1833%; 上一年度营收增-15.63%, 利润增-40.48%; 当季营收增-23.85%, 利润增-225.3%; 过往5年营收增-1.36%, 利润增-10.49%
Income profile:
硝化棉相关产品 4.10亿 31.42% 14.12% 7.67%
防护器材 3.95亿 30.25% 50.03% 28.22%
工业泵 1.81亿 13.87% 11.99% 14.76%
其他产品 1.43亿 10.95% 22.37% 34.87%
活性炭及催化剂 9731.00万 7.46%
备件 5672.08万 4.35%</v>
      </c>
      <c r="D12" t="s">
        <v>505</v>
      </c>
      <c r="E12" t="s">
        <v>506</v>
      </c>
      <c r="F12">
        <v>8.17</v>
      </c>
      <c r="G12">
        <v>0.49</v>
      </c>
      <c r="H12" t="s">
        <v>3438</v>
      </c>
      <c r="I12">
        <v>4485614300</v>
      </c>
      <c r="J12">
        <v>126.3</v>
      </c>
      <c r="K12">
        <v>1.56</v>
      </c>
      <c r="L12" t="s">
        <v>428</v>
      </c>
      <c r="M12" t="s">
        <v>2271</v>
      </c>
      <c r="N12" t="s">
        <v>1819</v>
      </c>
      <c r="O12" t="s">
        <v>2065</v>
      </c>
      <c r="P12">
        <v>-23.91</v>
      </c>
      <c r="Q12" t="s">
        <v>2272</v>
      </c>
      <c r="R12">
        <v>-11121641</v>
      </c>
      <c r="S12" s="4">
        <v>-2.2530000000000001</v>
      </c>
      <c r="T12" t="s">
        <v>2273</v>
      </c>
      <c r="U12">
        <v>549034790</v>
      </c>
      <c r="V12">
        <v>549034790</v>
      </c>
      <c r="W12">
        <v>1.46</v>
      </c>
      <c r="X12">
        <v>7.0000000000000007E-2</v>
      </c>
      <c r="Y12">
        <v>-3.97</v>
      </c>
      <c r="Z12" t="s">
        <v>453</v>
      </c>
      <c r="AA12" t="s">
        <v>146</v>
      </c>
      <c r="AB12" t="s">
        <v>3439</v>
      </c>
      <c r="AC12" t="s">
        <v>3440</v>
      </c>
      <c r="AD12" t="s">
        <v>5</v>
      </c>
      <c r="AE12">
        <v>-6766011</v>
      </c>
      <c r="AF12" t="s">
        <v>2274</v>
      </c>
      <c r="AG12" t="s">
        <v>3441</v>
      </c>
      <c r="AH12" t="s">
        <v>2275</v>
      </c>
      <c r="AI12" t="s">
        <v>1801</v>
      </c>
      <c r="AJ12" t="s">
        <v>2276</v>
      </c>
      <c r="AK12" t="s">
        <v>356</v>
      </c>
      <c r="AL12" t="s">
        <v>2277</v>
      </c>
      <c r="AM12" t="s">
        <v>5</v>
      </c>
      <c r="AN12" t="s">
        <v>3442</v>
      </c>
      <c r="AO12" t="s">
        <v>5</v>
      </c>
      <c r="AP12" t="s">
        <v>229</v>
      </c>
      <c r="AQ12" t="s">
        <v>1912</v>
      </c>
      <c r="AR12" t="s">
        <v>5</v>
      </c>
      <c r="AS12" t="s">
        <v>957</v>
      </c>
      <c r="AT12" t="s">
        <v>5</v>
      </c>
      <c r="AU12" t="s">
        <v>3443</v>
      </c>
      <c r="AV12" t="s">
        <v>3444</v>
      </c>
      <c r="AW12" t="s">
        <v>3445</v>
      </c>
      <c r="AX12" t="s">
        <v>1736</v>
      </c>
      <c r="AY12" t="s">
        <v>1218</v>
      </c>
      <c r="AZ12" t="s">
        <v>1219</v>
      </c>
      <c r="BA12" t="s">
        <v>396</v>
      </c>
      <c r="BB12" t="s">
        <v>507</v>
      </c>
      <c r="BC12" t="s">
        <v>2278</v>
      </c>
      <c r="BD12" t="s">
        <v>237</v>
      </c>
      <c r="BE12" t="s">
        <v>1220</v>
      </c>
      <c r="BF12" t="s">
        <v>48</v>
      </c>
      <c r="BG12" t="s">
        <v>132</v>
      </c>
      <c r="BH12" t="s">
        <v>2272</v>
      </c>
      <c r="BI12" t="s">
        <v>1310</v>
      </c>
      <c r="BJ12" t="s">
        <v>1736</v>
      </c>
      <c r="BK12" t="s">
        <v>2273</v>
      </c>
      <c r="BL12" t="s">
        <v>2279</v>
      </c>
      <c r="BM12" t="s">
        <v>2278</v>
      </c>
      <c r="BN12">
        <v>-0.35</v>
      </c>
      <c r="BO12">
        <v>2.42</v>
      </c>
      <c r="BP12">
        <v>2.88</v>
      </c>
      <c r="BQ12">
        <v>0.4</v>
      </c>
      <c r="BR12">
        <v>3.34</v>
      </c>
      <c r="BS12">
        <v>4.55</v>
      </c>
      <c r="BT12" t="s">
        <v>1673</v>
      </c>
      <c r="BU12" t="s">
        <v>1517</v>
      </c>
      <c r="BV12">
        <v>21.48</v>
      </c>
      <c r="BW12">
        <v>18.89</v>
      </c>
      <c r="BX12">
        <v>20.51</v>
      </c>
      <c r="BY12">
        <v>2.4300000000000002</v>
      </c>
      <c r="BZ12">
        <v>3.47</v>
      </c>
      <c r="CA12">
        <v>3.65</v>
      </c>
      <c r="CB12">
        <v>-2.85</v>
      </c>
      <c r="CC12">
        <v>-25.93</v>
      </c>
      <c r="CD12" t="s">
        <v>3446</v>
      </c>
      <c r="CE12" t="s">
        <v>3447</v>
      </c>
      <c r="CF12" s="8">
        <v>-0.23846153846153847</v>
      </c>
      <c r="CG12" s="9">
        <v>-2.2529591158478195</v>
      </c>
      <c r="CH12" s="8">
        <v>-0.15631105005741119</v>
      </c>
      <c r="CI12" s="8">
        <v>-2.8104774653911591E-2</v>
      </c>
      <c r="CJ12" s="8">
        <v>0.11615085601806641</v>
      </c>
      <c r="CK12" s="8">
        <v>-4.1446514427661896E-2</v>
      </c>
      <c r="CL12" s="8">
        <v>4.1472647339105606E-2</v>
      </c>
      <c r="CM12" s="9">
        <v>-0.40478917956352234</v>
      </c>
      <c r="CN12" s="9">
        <v>-0.23550163209438324</v>
      </c>
      <c r="CO12" s="9">
        <v>0.35286185145378113</v>
      </c>
      <c r="CP12" s="9">
        <v>-0.34175765514373779</v>
      </c>
      <c r="CQ12" s="9">
        <v>0.10483870655298233</v>
      </c>
      <c r="CR12">
        <v>43.2721932154763</v>
      </c>
      <c r="CS12">
        <v>31.706426933949395</v>
      </c>
      <c r="CT12">
        <v>0.61199510403916768</v>
      </c>
      <c r="CU12" s="8">
        <v>-1.3647767156362534E-2</v>
      </c>
      <c r="CV12" s="9">
        <v>-0.10486958175897598</v>
      </c>
      <c r="CW12">
        <v>0.06</v>
      </c>
      <c r="CX12" t="e">
        <v>#VALUE!</v>
      </c>
      <c r="CY12" t="s">
        <v>1203</v>
      </c>
      <c r="CZ12">
        <v>-1.3647767156362534E-2</v>
      </c>
      <c r="DA12">
        <v>17.722751012046082</v>
      </c>
      <c r="DB12" t="s">
        <v>2280</v>
      </c>
      <c r="DC12">
        <v>-1.2965378798544407E-2</v>
      </c>
      <c r="DD12">
        <v>8.861375506023041</v>
      </c>
      <c r="DE12" t="s">
        <v>2281</v>
      </c>
      <c r="DF12">
        <v>-1.201003509759903E-2</v>
      </c>
      <c r="DG12">
        <v>5.3168253036138244</v>
      </c>
      <c r="DH12" t="s">
        <v>2282</v>
      </c>
      <c r="DI12">
        <v>-1.0918213725090027E-2</v>
      </c>
      <c r="DJ12">
        <v>2.6584126518069122</v>
      </c>
      <c r="DK12" t="s">
        <v>2283</v>
      </c>
      <c r="DL12">
        <v>-9.5534370094537725E-3</v>
      </c>
      <c r="DM12">
        <v>55514600</v>
      </c>
      <c r="DN12">
        <v>-1.3647767156362534E-2</v>
      </c>
      <c r="DO12">
        <v>2951614300</v>
      </c>
      <c r="DP12">
        <v>1750625700</v>
      </c>
      <c r="DQ12">
        <v>755</v>
      </c>
      <c r="DR12">
        <v>-0.22481377130517594</v>
      </c>
      <c r="DS12">
        <v>-2.1480895340888435</v>
      </c>
      <c r="DT12" s="10">
        <v>-0.60666666666666669</v>
      </c>
      <c r="DU12">
        <v>-1.1983333333333333</v>
      </c>
      <c r="DV12">
        <v>-1.8049999999999999</v>
      </c>
      <c r="DW12">
        <v>-8.1099112996529108</v>
      </c>
      <c r="DX12">
        <v>0.24323144876325259</v>
      </c>
      <c r="DY12">
        <v>-8.005850737715976</v>
      </c>
      <c r="DZ12">
        <v>4253</v>
      </c>
      <c r="EA12">
        <v>-8.0009812293977678</v>
      </c>
      <c r="EB12">
        <v>8</v>
      </c>
      <c r="EC12">
        <v>0.10975260784475971</v>
      </c>
      <c r="ED12">
        <v>2.061800127456404</v>
      </c>
      <c r="EE12" s="11">
        <v>-1.12191</v>
      </c>
      <c r="EF12">
        <v>-2.0171100000000002</v>
      </c>
      <c r="EG12">
        <v>19.053231448763253</v>
      </c>
      <c r="EH12" t="s">
        <v>1710</v>
      </c>
      <c r="EI12">
        <v>0</v>
      </c>
      <c r="EJ12">
        <v>0</v>
      </c>
      <c r="EK12" s="12">
        <v>45470</v>
      </c>
      <c r="EL12">
        <v>-2.88</v>
      </c>
      <c r="EM12">
        <v>-4.95</v>
      </c>
      <c r="EN12">
        <v>0</v>
      </c>
      <c r="EO12">
        <v>-0.12</v>
      </c>
      <c r="EP12">
        <v>-4.5199999999999996</v>
      </c>
    </row>
    <row r="13" spans="1:146" ht="84" x14ac:dyDescent="0.25">
      <c r="A13" s="6"/>
      <c r="B13" s="6"/>
      <c r="C13" s="6" t="str">
        <f>""&amp;CHAR(10)&amp;Basic_Fundamental_Information_Constructure(F13)&amp;CHAR(10)&amp;Basic_Fundamental_Information_Concatenate("")</f>
        <v xml:space="preserve">
市值16.84亿, 利润363.36万; PE; 平均PE-26.42; 平均PEG-8.24, PB22.99; ROIC4.96%; ROE-20.6733%; 股利率0%; 毛利21%; 净利-5.4767%; 上一年度营收增-3.97%, 利润增111.56%; 当季营收增9.63%, 利润增-2932.47%; 过往5年营收增-3.21%, 利润增-228.21%
Income profile:
</v>
      </c>
      <c r="D13" t="s">
        <v>520</v>
      </c>
      <c r="E13" t="s">
        <v>521</v>
      </c>
      <c r="F13">
        <v>8.42</v>
      </c>
      <c r="G13">
        <v>0.72</v>
      </c>
      <c r="H13" t="s">
        <v>3448</v>
      </c>
      <c r="I13">
        <v>1684000000</v>
      </c>
      <c r="K13">
        <v>22.99</v>
      </c>
      <c r="L13" t="s">
        <v>428</v>
      </c>
      <c r="M13" t="s">
        <v>447</v>
      </c>
      <c r="N13" t="s">
        <v>3449</v>
      </c>
      <c r="O13" t="s">
        <v>2289</v>
      </c>
      <c r="P13">
        <v>9.6300000000000008</v>
      </c>
      <c r="Q13" t="s">
        <v>469</v>
      </c>
      <c r="R13">
        <v>-7276624</v>
      </c>
      <c r="S13" s="4">
        <v>-29.33</v>
      </c>
      <c r="T13" t="s">
        <v>2290</v>
      </c>
      <c r="U13">
        <v>200000000</v>
      </c>
      <c r="V13">
        <v>200000000</v>
      </c>
      <c r="W13">
        <v>8.25</v>
      </c>
      <c r="X13">
        <v>0.15</v>
      </c>
      <c r="Y13">
        <v>-8.1</v>
      </c>
      <c r="Z13" t="s">
        <v>3450</v>
      </c>
      <c r="AA13" t="s">
        <v>3451</v>
      </c>
      <c r="AB13" t="s">
        <v>3452</v>
      </c>
      <c r="AC13" t="s">
        <v>3453</v>
      </c>
      <c r="AD13" t="s">
        <v>5</v>
      </c>
      <c r="AE13">
        <v>3719733</v>
      </c>
      <c r="AF13" t="s">
        <v>2291</v>
      </c>
      <c r="AG13">
        <v>2958.77</v>
      </c>
      <c r="AH13" t="s">
        <v>2292</v>
      </c>
      <c r="AI13" t="s">
        <v>3454</v>
      </c>
      <c r="AJ13" t="s">
        <v>2293</v>
      </c>
      <c r="AK13" t="s">
        <v>3455</v>
      </c>
      <c r="AL13" t="s">
        <v>2294</v>
      </c>
      <c r="AM13" t="s">
        <v>5</v>
      </c>
      <c r="AN13" t="s">
        <v>3456</v>
      </c>
      <c r="AO13" t="s">
        <v>25</v>
      </c>
      <c r="AP13" t="s">
        <v>5</v>
      </c>
      <c r="AQ13" t="s">
        <v>3457</v>
      </c>
      <c r="AR13" t="s">
        <v>3458</v>
      </c>
      <c r="AS13" t="s">
        <v>254</v>
      </c>
      <c r="AT13" t="s">
        <v>5</v>
      </c>
      <c r="AU13" t="s">
        <v>3459</v>
      </c>
      <c r="AV13" t="s">
        <v>3460</v>
      </c>
      <c r="AW13" t="s">
        <v>3461</v>
      </c>
      <c r="AX13" t="s">
        <v>232</v>
      </c>
      <c r="AY13" t="s">
        <v>1230</v>
      </c>
      <c r="AZ13" t="s">
        <v>265</v>
      </c>
      <c r="BA13" t="s">
        <v>522</v>
      </c>
      <c r="BB13" t="s">
        <v>284</v>
      </c>
      <c r="BC13" t="s">
        <v>1740</v>
      </c>
      <c r="BD13" t="s">
        <v>1231</v>
      </c>
      <c r="BE13" t="s">
        <v>1232</v>
      </c>
      <c r="BF13" t="s">
        <v>347</v>
      </c>
      <c r="BG13" t="s">
        <v>524</v>
      </c>
      <c r="BH13" t="s">
        <v>469</v>
      </c>
      <c r="BI13" t="s">
        <v>2295</v>
      </c>
      <c r="BJ13" t="s">
        <v>232</v>
      </c>
      <c r="BK13" t="s">
        <v>2290</v>
      </c>
      <c r="BL13" t="s">
        <v>2296</v>
      </c>
      <c r="BM13" t="s">
        <v>1740</v>
      </c>
      <c r="BN13">
        <v>4.96</v>
      </c>
      <c r="BO13" t="s">
        <v>5</v>
      </c>
      <c r="BP13" t="s">
        <v>5</v>
      </c>
      <c r="BQ13">
        <v>2.89</v>
      </c>
      <c r="BR13">
        <v>-34.97</v>
      </c>
      <c r="BS13">
        <v>-29.94</v>
      </c>
      <c r="BT13" t="s">
        <v>1670</v>
      </c>
      <c r="BU13" t="s">
        <v>1515</v>
      </c>
      <c r="BV13">
        <v>24.78</v>
      </c>
      <c r="BW13">
        <v>20</v>
      </c>
      <c r="BX13">
        <v>18.22</v>
      </c>
      <c r="BY13">
        <v>0.94</v>
      </c>
      <c r="BZ13">
        <v>-7.79</v>
      </c>
      <c r="CA13">
        <v>-9.58</v>
      </c>
      <c r="CB13">
        <v>-2.3199999999999998</v>
      </c>
      <c r="CC13">
        <v>-24.01</v>
      </c>
      <c r="CD13" t="s">
        <v>3462</v>
      </c>
      <c r="CE13" t="s">
        <v>3463</v>
      </c>
      <c r="CF13" s="8">
        <v>9.6286322224812954E-2</v>
      </c>
      <c r="CG13" s="9">
        <v>-29.324733359283769</v>
      </c>
      <c r="CH13" s="8">
        <v>-3.9702232927083969E-2</v>
      </c>
      <c r="CI13" s="8">
        <v>3.8659792393445969E-2</v>
      </c>
      <c r="CJ13" s="8">
        <v>0.23174603283405304</v>
      </c>
      <c r="CK13" s="8">
        <v>-0.1775456964969635</v>
      </c>
      <c r="CL13" s="8">
        <v>-0.21355235576629639</v>
      </c>
      <c r="CM13" s="9">
        <v>1.115612268447876</v>
      </c>
      <c r="CN13" s="9">
        <v>0.15392360091209412</v>
      </c>
      <c r="CO13" s="9">
        <v>-6.0818080902099609</v>
      </c>
      <c r="CP13" s="9">
        <v>1.0251195430755615</v>
      </c>
      <c r="CQ13" s="9">
        <v>-7.6232442855834961</v>
      </c>
      <c r="CR13">
        <v>-26.424059074404752</v>
      </c>
      <c r="CS13">
        <v>-8.2372106494594171</v>
      </c>
      <c r="CT13">
        <v>0</v>
      </c>
      <c r="CU13" s="8">
        <v>-3.207889199256897E-2</v>
      </c>
      <c r="CV13" s="9">
        <v>-2.282079392671585</v>
      </c>
      <c r="CW13">
        <v>0.06</v>
      </c>
      <c r="CX13" t="e">
        <v>#VALUE!</v>
      </c>
      <c r="CY13" t="s">
        <v>1203</v>
      </c>
      <c r="CZ13">
        <v>-3.207889199256897E-2</v>
      </c>
      <c r="DA13">
        <v>196.20115954792308</v>
      </c>
      <c r="DB13" t="s">
        <v>2297</v>
      </c>
      <c r="DC13">
        <v>-3.0474947392940519E-2</v>
      </c>
      <c r="DD13">
        <v>98.100579773961542</v>
      </c>
      <c r="DE13" t="s">
        <v>2298</v>
      </c>
      <c r="DF13">
        <v>-2.8229424953460692E-2</v>
      </c>
      <c r="DG13">
        <v>58.860347864376926</v>
      </c>
      <c r="DH13" t="s">
        <v>2299</v>
      </c>
      <c r="DI13">
        <v>-2.5663113594055178E-2</v>
      </c>
      <c r="DJ13">
        <v>29.430173932188463</v>
      </c>
      <c r="DK13" t="s">
        <v>2300</v>
      </c>
      <c r="DL13">
        <v>-2.2455224394798277E-2</v>
      </c>
      <c r="DM13">
        <v>3633600</v>
      </c>
      <c r="DN13">
        <v>-3.207889199256897E-2</v>
      </c>
      <c r="DO13">
        <v>2138749600</v>
      </c>
      <c r="DP13">
        <v>-265611800</v>
      </c>
      <c r="DQ13">
        <v>826</v>
      </c>
      <c r="DR13">
        <v>0.12836521421738192</v>
      </c>
      <c r="DS13">
        <v>-27.042653966612185</v>
      </c>
      <c r="DT13" s="10">
        <v>-0.52333333333333332</v>
      </c>
      <c r="DU13">
        <v>-1.8983333333333334</v>
      </c>
      <c r="DV13">
        <v>-2.4216666666666669</v>
      </c>
      <c r="DW13">
        <v>-3.0905892857142856</v>
      </c>
      <c r="DX13">
        <v>0.4369231139106593</v>
      </c>
      <c r="DY13">
        <v>-3.0151214456583713</v>
      </c>
      <c r="DZ13">
        <v>4627</v>
      </c>
      <c r="EA13">
        <v>-3.0014292873293531</v>
      </c>
      <c r="EB13">
        <v>3</v>
      </c>
      <c r="EC13">
        <v>5.2072500000000001E-2</v>
      </c>
      <c r="ED13">
        <v>0.31195499999999998</v>
      </c>
      <c r="EE13" s="11">
        <v>-2.0640100000000001</v>
      </c>
      <c r="EF13">
        <v>-2.0834100000000002</v>
      </c>
      <c r="EG13">
        <v>27.166923113910659</v>
      </c>
      <c r="EH13" t="s">
        <v>1710</v>
      </c>
      <c r="EI13">
        <v>0</v>
      </c>
      <c r="EJ13">
        <v>0</v>
      </c>
      <c r="EK13" s="12">
        <v>45470</v>
      </c>
      <c r="EL13">
        <v>0.22</v>
      </c>
      <c r="EM13">
        <v>-6.52</v>
      </c>
      <c r="EN13">
        <v>-0.95</v>
      </c>
      <c r="EO13">
        <v>4.7699999999999996</v>
      </c>
      <c r="EP13">
        <v>-1.94</v>
      </c>
    </row>
    <row r="14" spans="1:146" ht="168" x14ac:dyDescent="0.25">
      <c r="A14" s="6"/>
      <c r="B14" s="6"/>
      <c r="C14" s="6" t="str">
        <f>"公司具有完整垂直一体化产业链的含氟医药、农药与新能源材料制造商，且在含氟芳香类中间体方面产能全球领先，能够为国内外客户提供定制研发、生产及技术服务业务。主要产品类别包括液晶化学品、医药化学品、农药化学品和其他化学品，按照化学分子结构可划分为二氟、三氟、五氟、邻氟和对氟五个系列。"&amp;CHAR(10)&amp;Basic_Fundamental_Information_Constructure(F14)&amp;CHAR(10)&amp;Basic_Fundamental_Information_Concatenate("贸易 12.06亿 36.37% 18.14% 16.69%
锂电及其他材料 10.09亿 30.42% 43.22% 47.55%
医药类 7.94亿 23.94% 29.24% 40.87%
农药类 1.87亿 5.63% 3.40% 20.20%")</f>
        <v>公司具有完整垂直一体化产业链的含氟医药、农药与新能源材料制造商，且在含氟芳香类中间体方面产能全球领先，能够为国内外客户提供定制研发、生产及技术服务业务。主要产品类别包括液晶化学品、医药化学品、农药化学品和其他化学品，按照化学分子结构可划分为二氟、三氟、五氟、邻氟和对氟五个系列。
市值71.456094亿, 利润-6.20亿; PE; 平均PE40.91; 平均PEG4.97, PB2.23; ROIC8.435%; ROE7.0433%; 股利率0%; 毛利24.12%; 净利.1033%; 上一年度营收增-34.85%, 利润增-211.91%; 当季营收增-18.29%, 利润增-22.91%; 过往5年营收增8.23%, 利润增-15.01%
Income profile:
贸易 12.06亿 36.37% 18.14% 16.69%
锂电及其他材料 10.09亿 30.42% 43.22% 47.55%
医药类 7.94亿 23.94% 29.24% 40.87%
农药类 1.87亿 5.63% 3.40% 20.20%</v>
      </c>
      <c r="D14" t="s">
        <v>525</v>
      </c>
      <c r="E14" t="s">
        <v>526</v>
      </c>
      <c r="F14">
        <v>7.82</v>
      </c>
      <c r="G14">
        <v>1.69</v>
      </c>
      <c r="H14" t="s">
        <v>3464</v>
      </c>
      <c r="I14">
        <v>7145609400</v>
      </c>
      <c r="K14">
        <v>2.23</v>
      </c>
      <c r="L14" t="s">
        <v>428</v>
      </c>
      <c r="M14" t="s">
        <v>2301</v>
      </c>
      <c r="N14" t="s">
        <v>3465</v>
      </c>
      <c r="O14" t="s">
        <v>118</v>
      </c>
      <c r="P14">
        <v>-18.309999999999999</v>
      </c>
      <c r="Q14" t="s">
        <v>2302</v>
      </c>
      <c r="R14">
        <v>19505596</v>
      </c>
      <c r="S14" s="4">
        <v>-0.2291</v>
      </c>
      <c r="T14" t="s">
        <v>2303</v>
      </c>
      <c r="U14">
        <v>804032940</v>
      </c>
      <c r="V14">
        <v>913760800</v>
      </c>
      <c r="W14">
        <v>3.24</v>
      </c>
      <c r="X14">
        <v>7.0000000000000007E-2</v>
      </c>
      <c r="Y14">
        <v>2.4500000000000002</v>
      </c>
      <c r="Z14" t="s">
        <v>1802</v>
      </c>
      <c r="AA14" t="s">
        <v>2085</v>
      </c>
      <c r="AB14" t="s">
        <v>3466</v>
      </c>
      <c r="AC14" t="s">
        <v>41</v>
      </c>
      <c r="AD14" t="s">
        <v>5</v>
      </c>
      <c r="AE14">
        <v>28283894</v>
      </c>
      <c r="AF14" t="s">
        <v>2304</v>
      </c>
      <c r="AG14" t="s">
        <v>3467</v>
      </c>
      <c r="AH14" t="s">
        <v>2305</v>
      </c>
      <c r="AI14" t="s">
        <v>760</v>
      </c>
      <c r="AJ14" t="s">
        <v>2306</v>
      </c>
      <c r="AK14" t="s">
        <v>175</v>
      </c>
      <c r="AL14" t="s">
        <v>2307</v>
      </c>
      <c r="AM14" t="s">
        <v>5</v>
      </c>
      <c r="AN14" t="s">
        <v>2112</v>
      </c>
      <c r="AO14" t="s">
        <v>1125</v>
      </c>
      <c r="AP14" t="s">
        <v>1400</v>
      </c>
      <c r="AQ14" t="s">
        <v>270</v>
      </c>
      <c r="AR14" t="s">
        <v>5</v>
      </c>
      <c r="AS14" t="s">
        <v>1194</v>
      </c>
      <c r="AT14" t="s">
        <v>1858</v>
      </c>
      <c r="AU14" t="s">
        <v>3468</v>
      </c>
      <c r="AV14" t="s">
        <v>3469</v>
      </c>
      <c r="AW14" t="s">
        <v>68</v>
      </c>
      <c r="AX14" t="s">
        <v>1741</v>
      </c>
      <c r="AY14" t="s">
        <v>586</v>
      </c>
      <c r="AZ14" t="s">
        <v>1233</v>
      </c>
      <c r="BA14" t="s">
        <v>528</v>
      </c>
      <c r="BB14" t="s">
        <v>529</v>
      </c>
      <c r="BC14" t="s">
        <v>1542</v>
      </c>
      <c r="BD14" t="s">
        <v>129</v>
      </c>
      <c r="BE14" t="s">
        <v>60</v>
      </c>
      <c r="BF14" t="s">
        <v>313</v>
      </c>
      <c r="BG14" t="s">
        <v>77</v>
      </c>
      <c r="BH14" t="s">
        <v>2302</v>
      </c>
      <c r="BI14" t="s">
        <v>1193</v>
      </c>
      <c r="BJ14" t="s">
        <v>1741</v>
      </c>
      <c r="BK14" t="s">
        <v>2303</v>
      </c>
      <c r="BL14" t="s">
        <v>2309</v>
      </c>
      <c r="BM14" t="s">
        <v>1542</v>
      </c>
      <c r="BN14" t="s">
        <v>5</v>
      </c>
      <c r="BO14">
        <v>10.28</v>
      </c>
      <c r="BP14">
        <v>6.59</v>
      </c>
      <c r="BQ14">
        <v>-3</v>
      </c>
      <c r="BR14">
        <v>16.010000000000002</v>
      </c>
      <c r="BS14">
        <v>8.1199999999999992</v>
      </c>
      <c r="BT14" t="s">
        <v>1670</v>
      </c>
      <c r="BU14" t="s">
        <v>1522</v>
      </c>
      <c r="BV14">
        <v>8.26</v>
      </c>
      <c r="BW14">
        <v>29.76</v>
      </c>
      <c r="BX14">
        <v>34.340000000000003</v>
      </c>
      <c r="BY14">
        <v>-17.53</v>
      </c>
      <c r="BZ14">
        <v>10.41</v>
      </c>
      <c r="CA14">
        <v>7.43</v>
      </c>
      <c r="CB14">
        <v>0</v>
      </c>
      <c r="CC14">
        <v>-18.63</v>
      </c>
      <c r="CD14" t="s">
        <v>3470</v>
      </c>
      <c r="CE14" t="s">
        <v>156</v>
      </c>
      <c r="CF14" s="8">
        <v>-0.18290258449304164</v>
      </c>
      <c r="CG14" s="9">
        <v>-0.2290979080953115</v>
      </c>
      <c r="CH14" s="8">
        <v>-0.34848484396934509</v>
      </c>
      <c r="CI14" s="8">
        <v>0.41776677966117859</v>
      </c>
      <c r="CJ14" s="8">
        <v>0.29536241292953491</v>
      </c>
      <c r="CK14" s="8">
        <v>5.8309040032327175E-3</v>
      </c>
      <c r="CL14" s="8">
        <v>4.097110778093338E-2</v>
      </c>
      <c r="CM14" s="9">
        <v>-2.119133472442627</v>
      </c>
      <c r="CN14" s="9">
        <v>0.97857141494750977</v>
      </c>
      <c r="CO14" s="9">
        <v>1.3333333730697632</v>
      </c>
      <c r="CP14" s="9">
        <v>-0.55882352590560913</v>
      </c>
      <c r="CQ14" s="9">
        <v>-0.38461539149284363</v>
      </c>
      <c r="CR14">
        <v>40.909977480916034</v>
      </c>
      <c r="CS14">
        <v>4.9714836996727678</v>
      </c>
      <c r="CT14">
        <v>0</v>
      </c>
      <c r="CU14" s="8">
        <v>8.2289272081106896E-2</v>
      </c>
      <c r="CV14" s="9">
        <v>-0.15013352036476135</v>
      </c>
      <c r="CW14">
        <v>0.06</v>
      </c>
      <c r="CX14" t="e">
        <v>#VALUE!</v>
      </c>
      <c r="CY14" t="s">
        <v>1179</v>
      </c>
      <c r="CZ14">
        <v>8.2289272081106896E-2</v>
      </c>
      <c r="DA14" t="e">
        <v>#VALUE!</v>
      </c>
      <c r="DB14" t="s">
        <v>1179</v>
      </c>
      <c r="DC14">
        <v>7.8174808477051549E-2</v>
      </c>
      <c r="DD14" t="e">
        <v>#VALUE!</v>
      </c>
      <c r="DE14" t="s">
        <v>1179</v>
      </c>
      <c r="DF14">
        <v>7.2414559431374065E-2</v>
      </c>
      <c r="DG14" t="e">
        <v>#VALUE!</v>
      </c>
      <c r="DH14" t="s">
        <v>1179</v>
      </c>
      <c r="DI14">
        <v>6.5831417664885525E-2</v>
      </c>
      <c r="DJ14" t="e">
        <v>#VALUE!</v>
      </c>
      <c r="DK14" t="s">
        <v>1179</v>
      </c>
      <c r="DL14">
        <v>5.7602490456774826E-2</v>
      </c>
      <c r="DM14">
        <v>-620000000</v>
      </c>
      <c r="DN14">
        <v>8.2289272081106896E-2</v>
      </c>
      <c r="DO14">
        <v>11752609400</v>
      </c>
      <c r="DP14">
        <v>-2496465300</v>
      </c>
      <c r="DQ14">
        <v>833</v>
      </c>
      <c r="DR14">
        <v>-0.26519185657414857</v>
      </c>
      <c r="DS14">
        <v>-7.8964387730550145E-2</v>
      </c>
      <c r="DT14" s="10">
        <v>-0.32333333333333331</v>
      </c>
      <c r="DU14">
        <v>-0.61999999999999988</v>
      </c>
      <c r="DV14">
        <v>-0.94333333333333313</v>
      </c>
      <c r="DW14">
        <v>-3.0297440476190478</v>
      </c>
      <c r="DX14">
        <v>0.32465252918288012</v>
      </c>
      <c r="DY14">
        <v>-3.0034102302876597</v>
      </c>
      <c r="DZ14">
        <v>3502</v>
      </c>
      <c r="EA14">
        <v>-3.0010731213899327</v>
      </c>
      <c r="EB14">
        <v>3</v>
      </c>
      <c r="EC14">
        <v>3.2246622967411168E-2</v>
      </c>
      <c r="ED14">
        <v>0.28125522565642996</v>
      </c>
      <c r="EE14" s="11">
        <v>-3.0122100000000001</v>
      </c>
      <c r="EF14">
        <v>-3.0356100000000001</v>
      </c>
      <c r="EG14">
        <v>21.11465252918288</v>
      </c>
      <c r="EH14" t="s">
        <v>2025</v>
      </c>
      <c r="EI14">
        <v>0</v>
      </c>
      <c r="EJ14">
        <v>0</v>
      </c>
      <c r="EK14" s="12">
        <v>45470</v>
      </c>
      <c r="EL14">
        <v>0.49</v>
      </c>
      <c r="EM14">
        <v>-4.6100000000000003</v>
      </c>
      <c r="EN14">
        <v>-1.65</v>
      </c>
      <c r="EO14">
        <v>5.05</v>
      </c>
      <c r="EP14">
        <v>-2.34</v>
      </c>
    </row>
    <row r="15" spans="1:146" ht="156" x14ac:dyDescent="0.25">
      <c r="A15" s="6" t="s">
        <v>1612</v>
      </c>
      <c r="B15" s="6"/>
      <c r="C15" s="6" t="str">
        <f>"公司的主营业务是民用炸药的研发、生产、销售（流通），以及为客户提供爆破工程的整体解决方案等。公司主要产品为工业炸药、工程爆破、白炭黑、民爆器材。"&amp;CHAR(10)&amp;Basic_Fundamental_Information_Constructure(C15)&amp;CHAR(10)&amp;Basic_Fundamental_Information_Concatenate("工业炸药 2.29亿 49.90% 35.95% 26.36%
工程爆破 1.84亿 40.06% 64.05% 58.51%
其他民爆器材 3274.98万 7.14%
白炭黑 228.17万 0.50% ")</f>
        <v xml:space="preserve">公司的主营业务是民用炸药的研发、生产、销售（流通），以及为客户提供爆破工程的整体解决方案等。公司主要产品为工业炸药、工程爆破、白炭黑、民爆器材。
市值20.691374亿, 利润4.38亿; PE4.78; 平均PE10.42; 平均PEG4, PB.955; ROIC7.64%; ROE9.7667%; 股利率3.6117%; 毛利39.8567%; 净利25.6233%; 上一年度营收增-11.56%, 利润增138.04%; 当季营收增-12.92%, 利润增-18.87%; 过往5年营收增2.6%, 利润增35.2%
Income profile:
工业炸药 2.29亿 49.90% 35.95% 26.36%
工程爆破 1.84亿 40.06% 64.05% 58.51%
其他民爆器材 3274.98万 7.14%
白炭黑 228.17万 0.50% </v>
      </c>
      <c r="D15" t="s">
        <v>530</v>
      </c>
      <c r="E15" t="s">
        <v>531</v>
      </c>
      <c r="F15">
        <v>5.15</v>
      </c>
      <c r="G15">
        <v>1.18</v>
      </c>
      <c r="H15" t="s">
        <v>3471</v>
      </c>
      <c r="I15">
        <v>2069137400</v>
      </c>
      <c r="J15">
        <v>4.78</v>
      </c>
      <c r="K15">
        <v>0.95499999999999996</v>
      </c>
      <c r="L15" t="s">
        <v>428</v>
      </c>
      <c r="M15" t="s">
        <v>1772</v>
      </c>
      <c r="N15" t="s">
        <v>1408</v>
      </c>
      <c r="O15" t="s">
        <v>82</v>
      </c>
      <c r="P15">
        <v>-13.23</v>
      </c>
      <c r="Q15" t="s">
        <v>1709</v>
      </c>
      <c r="R15">
        <v>21255857</v>
      </c>
      <c r="S15" s="4">
        <v>-0.18870000000000001</v>
      </c>
      <c r="T15" t="s">
        <v>445</v>
      </c>
      <c r="U15">
        <v>328262520</v>
      </c>
      <c r="V15">
        <v>401774250</v>
      </c>
      <c r="W15">
        <v>1.93</v>
      </c>
      <c r="X15">
        <v>0.04</v>
      </c>
      <c r="Y15">
        <v>13.07</v>
      </c>
      <c r="Z15" t="s">
        <v>41</v>
      </c>
      <c r="AA15" t="s">
        <v>3472</v>
      </c>
      <c r="AB15" t="s">
        <v>3473</v>
      </c>
      <c r="AC15" t="s">
        <v>3474</v>
      </c>
      <c r="AD15" t="s">
        <v>5</v>
      </c>
      <c r="AE15">
        <v>6871666</v>
      </c>
      <c r="AF15" t="s">
        <v>2311</v>
      </c>
      <c r="AG15" t="s">
        <v>3475</v>
      </c>
      <c r="AH15" t="s">
        <v>2312</v>
      </c>
      <c r="AI15" t="s">
        <v>256</v>
      </c>
      <c r="AJ15" t="s">
        <v>2313</v>
      </c>
      <c r="AK15" t="s">
        <v>5</v>
      </c>
      <c r="AL15" t="s">
        <v>2314</v>
      </c>
      <c r="AM15" t="s">
        <v>5</v>
      </c>
      <c r="AN15" t="s">
        <v>3476</v>
      </c>
      <c r="AO15" t="s">
        <v>1329</v>
      </c>
      <c r="AP15" t="s">
        <v>3477</v>
      </c>
      <c r="AQ15" t="s">
        <v>250</v>
      </c>
      <c r="AR15" t="s">
        <v>3478</v>
      </c>
      <c r="AS15" t="s">
        <v>3479</v>
      </c>
      <c r="AT15" t="s">
        <v>1500</v>
      </c>
      <c r="AU15" t="s">
        <v>3480</v>
      </c>
      <c r="AV15" t="s">
        <v>2542</v>
      </c>
      <c r="AW15" t="s">
        <v>2129</v>
      </c>
      <c r="AX15" t="s">
        <v>1664</v>
      </c>
      <c r="AY15" t="s">
        <v>361</v>
      </c>
      <c r="AZ15" t="s">
        <v>1234</v>
      </c>
      <c r="BA15" t="s">
        <v>533</v>
      </c>
      <c r="BB15" t="s">
        <v>534</v>
      </c>
      <c r="BC15" t="s">
        <v>243</v>
      </c>
      <c r="BD15" t="s">
        <v>60</v>
      </c>
      <c r="BE15" t="s">
        <v>1235</v>
      </c>
      <c r="BF15" t="s">
        <v>179</v>
      </c>
      <c r="BG15" t="s">
        <v>58</v>
      </c>
      <c r="BH15" t="s">
        <v>1709</v>
      </c>
      <c r="BI15" t="s">
        <v>65</v>
      </c>
      <c r="BJ15" t="s">
        <v>1664</v>
      </c>
      <c r="BK15" t="s">
        <v>445</v>
      </c>
      <c r="BL15" t="s">
        <v>2317</v>
      </c>
      <c r="BM15" t="s">
        <v>243</v>
      </c>
      <c r="BN15">
        <v>6.08</v>
      </c>
      <c r="BO15">
        <v>9.2200000000000006</v>
      </c>
      <c r="BP15">
        <v>7.62</v>
      </c>
      <c r="BQ15">
        <v>8.49</v>
      </c>
      <c r="BR15">
        <v>11.81</v>
      </c>
      <c r="BS15">
        <v>9</v>
      </c>
      <c r="BT15" t="s">
        <v>2318</v>
      </c>
      <c r="BU15" t="s">
        <v>1517</v>
      </c>
      <c r="BV15">
        <v>40.32</v>
      </c>
      <c r="BW15">
        <v>39.880000000000003</v>
      </c>
      <c r="BX15">
        <v>39.369999999999997</v>
      </c>
      <c r="BY15">
        <v>45.56</v>
      </c>
      <c r="BZ15">
        <v>16.899999999999999</v>
      </c>
      <c r="CA15">
        <v>14.41</v>
      </c>
      <c r="CB15">
        <v>1.78</v>
      </c>
      <c r="CC15">
        <v>-11.66</v>
      </c>
      <c r="CD15" t="s">
        <v>3481</v>
      </c>
      <c r="CE15" t="s">
        <v>160</v>
      </c>
      <c r="CF15" s="8">
        <v>-0.12921348314606743</v>
      </c>
      <c r="CG15" s="9">
        <v>-0.18870774809160307</v>
      </c>
      <c r="CH15" s="8">
        <v>-0.11559633165597916</v>
      </c>
      <c r="CI15" s="8">
        <v>0.27784290909767151</v>
      </c>
      <c r="CJ15" s="8">
        <v>-0.11422637850046158</v>
      </c>
      <c r="CK15" s="8">
        <v>0.1423487514257431</v>
      </c>
      <c r="CL15" s="8">
        <v>-6.020066887140274E-2</v>
      </c>
      <c r="CM15" s="9">
        <v>1.3804347515106201</v>
      </c>
      <c r="CN15" s="9">
        <v>0.53333336114883423</v>
      </c>
      <c r="CO15" s="9">
        <v>-0.21568627655506134</v>
      </c>
      <c r="CP15" s="9">
        <v>6.5789474174380302E-3</v>
      </c>
      <c r="CQ15" s="9">
        <v>5.55555559694767E-2</v>
      </c>
      <c r="CR15">
        <v>10.423865994962217</v>
      </c>
      <c r="CS15">
        <v>4.0039961637339738</v>
      </c>
      <c r="CT15">
        <v>3.6116504854368929</v>
      </c>
      <c r="CU15" s="8">
        <v>2.6033656299114229E-2</v>
      </c>
      <c r="CV15" s="9">
        <v>0.35204326789826157</v>
      </c>
      <c r="CW15">
        <v>0.06</v>
      </c>
      <c r="CX15">
        <v>3.7482762978508322</v>
      </c>
      <c r="CY15">
        <v>423964850.43303013</v>
      </c>
      <c r="CZ15">
        <v>2.6033656299114229E-2</v>
      </c>
      <c r="DA15">
        <v>1.2935746617117043</v>
      </c>
      <c r="DB15">
        <v>1228485256.4267118</v>
      </c>
      <c r="DC15">
        <v>2.4731973484158516E-2</v>
      </c>
      <c r="DD15">
        <v>0.68371173546962005</v>
      </c>
      <c r="DE15">
        <v>2324279835.4316263</v>
      </c>
      <c r="DF15">
        <v>2.2909617543220521E-2</v>
      </c>
      <c r="DG15">
        <v>0.44370645294926919</v>
      </c>
      <c r="DH15">
        <v>3581506172.4641914</v>
      </c>
      <c r="DI15">
        <v>2.0826925039291386E-2</v>
      </c>
      <c r="DJ15">
        <v>0.26940451308674734</v>
      </c>
      <c r="DK15">
        <v>5898703706.8985662</v>
      </c>
      <c r="DL15">
        <v>1.8223559409379957E-2</v>
      </c>
      <c r="DM15">
        <v>438000000</v>
      </c>
      <c r="DN15">
        <v>2.6033656299114229E-2</v>
      </c>
      <c r="DO15">
        <v>1589137400</v>
      </c>
      <c r="DP15">
        <v>-165266220</v>
      </c>
      <c r="DQ15">
        <v>866</v>
      </c>
      <c r="DR15">
        <v>-0.15524713944518165</v>
      </c>
      <c r="DS15">
        <v>-0.54075101598986464</v>
      </c>
      <c r="DT15" s="10">
        <v>-0.28999999999999998</v>
      </c>
      <c r="DU15">
        <v>0.13</v>
      </c>
      <c r="DV15">
        <v>-0.15999999999999998</v>
      </c>
      <c r="DW15">
        <v>-2.1166</v>
      </c>
      <c r="DX15">
        <v>0.2825090000000009</v>
      </c>
      <c r="DY15">
        <v>-2.0142845494000001</v>
      </c>
      <c r="DZ15">
        <v>2105</v>
      </c>
      <c r="EA15">
        <v>-2.0084002095786695</v>
      </c>
      <c r="EB15">
        <v>2</v>
      </c>
      <c r="EC15">
        <v>3.049199892725828E-2</v>
      </c>
      <c r="ED15">
        <v>0.24889599072115748</v>
      </c>
      <c r="EE15" s="11">
        <v>-4.0714100000000002</v>
      </c>
      <c r="EF15">
        <v>-4.08901</v>
      </c>
      <c r="EG15">
        <v>16.122509000000001</v>
      </c>
      <c r="EH15" t="s">
        <v>2156</v>
      </c>
      <c r="EI15">
        <v>0</v>
      </c>
      <c r="EJ15">
        <v>0</v>
      </c>
      <c r="EK15" s="12">
        <v>45470</v>
      </c>
      <c r="EL15">
        <v>0.79</v>
      </c>
      <c r="EM15">
        <v>-2.36</v>
      </c>
      <c r="EN15">
        <v>0.8</v>
      </c>
      <c r="EO15">
        <v>2.2000000000000002</v>
      </c>
      <c r="EP15">
        <v>-1.76</v>
      </c>
    </row>
    <row r="16" spans="1:146" ht="192" x14ac:dyDescent="0.25">
      <c r="A16" s="7" t="s">
        <v>1481</v>
      </c>
      <c r="B16" s="7" t="s">
        <v>1479</v>
      </c>
      <c r="C16" s="6" t="str">
        <f>"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amp;CHAR(10)&amp;Basic_Fundamental_Information_Constructure(F16)&amp;CHAR(10)&amp;Basic_Fundamental_Information_Concatenate("新材料 40.69亿 52.18% 82.68% 50.78%
其他 14.11亿 18.10% 3.59% 6.36%
铝用氟化盐 13.32亿 17.07% 8.16% 15.32%
锂电池 9.87亿 12.65% 5.57% 14.11%")</f>
        <v>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
市值139.75678亿, 利润5.10亿; PE31.78; 平均PE24.51; 平均PEG.83, PB1.51; ROIC15.1867%; ROE23.6667%; 股利率2.5554%; 毛利26.2733%; 净利12.64%; 上一年度营收增-3.41%, 利润增-73.82%; 当季营收增-13.88%, 利润增-64.03%; 过往5年营收增29.57%, 利润增372.09%
Income profile:
新材料 40.69亿 52.18% 82.68% 50.78%
其他 14.11亿 18.10% 3.59% 6.36%
铝用氟化盐 13.32亿 17.07% 8.16% 15.32%
锂电池 9.87亿 12.65% 5.57% 14.11%</v>
      </c>
      <c r="D16" t="s">
        <v>538</v>
      </c>
      <c r="E16" t="s">
        <v>539</v>
      </c>
      <c r="F16">
        <v>11.74</v>
      </c>
      <c r="G16">
        <v>-0.34</v>
      </c>
      <c r="H16" t="s">
        <v>3482</v>
      </c>
      <c r="I16">
        <v>13975678000</v>
      </c>
      <c r="J16">
        <v>31.78</v>
      </c>
      <c r="K16">
        <v>1.51</v>
      </c>
      <c r="L16" t="s">
        <v>428</v>
      </c>
      <c r="M16" t="s">
        <v>2319</v>
      </c>
      <c r="N16" t="s">
        <v>3483</v>
      </c>
      <c r="O16" t="s">
        <v>2050</v>
      </c>
      <c r="P16">
        <v>-13.87</v>
      </c>
      <c r="Q16" t="s">
        <v>2320</v>
      </c>
      <c r="R16">
        <v>39566075</v>
      </c>
      <c r="S16" s="4">
        <v>-0.63919999999999999</v>
      </c>
      <c r="T16" t="s">
        <v>1648</v>
      </c>
      <c r="U16">
        <v>1080314580</v>
      </c>
      <c r="V16">
        <v>1190432570</v>
      </c>
      <c r="W16">
        <v>1.91</v>
      </c>
      <c r="X16">
        <v>0.09</v>
      </c>
      <c r="Y16">
        <v>2.8</v>
      </c>
      <c r="Z16" t="s">
        <v>3484</v>
      </c>
      <c r="AA16" t="s">
        <v>2556</v>
      </c>
      <c r="AB16" t="s">
        <v>3485</v>
      </c>
      <c r="AC16" t="s">
        <v>49</v>
      </c>
      <c r="AD16" t="s">
        <v>5</v>
      </c>
      <c r="AE16">
        <v>-10074670</v>
      </c>
      <c r="AF16" t="s">
        <v>2321</v>
      </c>
      <c r="AG16" t="s">
        <v>3486</v>
      </c>
      <c r="AH16" t="s">
        <v>2322</v>
      </c>
      <c r="AI16" t="s">
        <v>3487</v>
      </c>
      <c r="AJ16" t="s">
        <v>2323</v>
      </c>
      <c r="AK16" t="s">
        <v>576</v>
      </c>
      <c r="AL16" t="s">
        <v>2324</v>
      </c>
      <c r="AM16" t="s">
        <v>5</v>
      </c>
      <c r="AN16" t="s">
        <v>3121</v>
      </c>
      <c r="AO16" t="s">
        <v>1551</v>
      </c>
      <c r="AP16" t="s">
        <v>3488</v>
      </c>
      <c r="AQ16" t="s">
        <v>3489</v>
      </c>
      <c r="AR16" t="s">
        <v>5</v>
      </c>
      <c r="AS16" t="s">
        <v>3490</v>
      </c>
      <c r="AT16" t="s">
        <v>3491</v>
      </c>
      <c r="AU16" t="s">
        <v>3492</v>
      </c>
      <c r="AV16" t="s">
        <v>3493</v>
      </c>
      <c r="AW16" t="s">
        <v>3494</v>
      </c>
      <c r="AX16" t="s">
        <v>1742</v>
      </c>
      <c r="AY16" t="s">
        <v>1743</v>
      </c>
      <c r="AZ16" t="s">
        <v>1647</v>
      </c>
      <c r="BA16" t="s">
        <v>544</v>
      </c>
      <c r="BB16" t="s">
        <v>545</v>
      </c>
      <c r="BC16" t="s">
        <v>1661</v>
      </c>
      <c r="BD16" t="s">
        <v>1238</v>
      </c>
      <c r="BE16" t="s">
        <v>1240</v>
      </c>
      <c r="BF16" t="s">
        <v>413</v>
      </c>
      <c r="BG16" t="s">
        <v>546</v>
      </c>
      <c r="BH16" t="s">
        <v>2320</v>
      </c>
      <c r="BI16" t="s">
        <v>2326</v>
      </c>
      <c r="BJ16" t="s">
        <v>1742</v>
      </c>
      <c r="BK16" t="s">
        <v>1648</v>
      </c>
      <c r="BL16" t="s">
        <v>59</v>
      </c>
      <c r="BM16" t="s">
        <v>1661</v>
      </c>
      <c r="BN16">
        <v>4.75</v>
      </c>
      <c r="BO16">
        <v>22.34</v>
      </c>
      <c r="BP16">
        <v>18.47</v>
      </c>
      <c r="BQ16">
        <v>7.03</v>
      </c>
      <c r="BR16">
        <v>34.549999999999997</v>
      </c>
      <c r="BS16">
        <v>29.42</v>
      </c>
      <c r="BT16" t="s">
        <v>1675</v>
      </c>
      <c r="BU16" t="s">
        <v>1522</v>
      </c>
      <c r="BV16">
        <v>16.25</v>
      </c>
      <c r="BW16">
        <v>30.52</v>
      </c>
      <c r="BX16">
        <v>32.049999999999997</v>
      </c>
      <c r="BY16">
        <v>5.37</v>
      </c>
      <c r="BZ16">
        <v>16.37</v>
      </c>
      <c r="CA16">
        <v>16.18</v>
      </c>
      <c r="CB16">
        <v>-4.01</v>
      </c>
      <c r="CC16">
        <v>-11.26</v>
      </c>
      <c r="CD16" t="s">
        <v>3495</v>
      </c>
      <c r="CE16" t="s">
        <v>623</v>
      </c>
      <c r="CF16" s="8">
        <v>-0.13875404530744337</v>
      </c>
      <c r="CG16" s="9">
        <v>-0.64030840909090914</v>
      </c>
      <c r="CH16" s="8">
        <v>-3.4066934138536453E-2</v>
      </c>
      <c r="CI16" s="8">
        <v>0.58456206321716309</v>
      </c>
      <c r="CJ16" s="8">
        <v>0.85293424129486084</v>
      </c>
      <c r="CK16" s="8">
        <v>6.2610454857349396E-2</v>
      </c>
      <c r="CL16" s="8">
        <v>1.2266803532838821E-2</v>
      </c>
      <c r="CM16" s="9">
        <v>-0.73819303512573242</v>
      </c>
      <c r="CN16" s="9">
        <v>0.54603177309036255</v>
      </c>
      <c r="CO16" s="9">
        <v>24.914033889770508</v>
      </c>
      <c r="CP16" s="9">
        <v>1.1183024644851685</v>
      </c>
      <c r="CQ16" s="9">
        <v>-7.2354545593261719</v>
      </c>
      <c r="CR16">
        <v>24.507728503315047</v>
      </c>
      <c r="CS16">
        <v>0.82891221707539564</v>
      </c>
      <c r="CT16">
        <v>2.5553662691652468</v>
      </c>
      <c r="CU16" s="8">
        <v>0.29566132575273513</v>
      </c>
      <c r="CV16" s="9">
        <v>3.7209441065788269</v>
      </c>
      <c r="CW16">
        <v>0.06</v>
      </c>
      <c r="CX16">
        <v>21.288119774796677</v>
      </c>
      <c r="CY16">
        <v>623384222.76782537</v>
      </c>
      <c r="CZ16">
        <v>0.29566132575273513</v>
      </c>
      <c r="DA16">
        <v>5.8698471066965494</v>
      </c>
      <c r="DB16">
        <v>2260821748.6381025</v>
      </c>
      <c r="DC16">
        <v>0.28087825946509837</v>
      </c>
      <c r="DD16">
        <v>2.2669666110549116</v>
      </c>
      <c r="DE16">
        <v>5853936240.2980499</v>
      </c>
      <c r="DF16">
        <v>0.26018196666240689</v>
      </c>
      <c r="DG16">
        <v>1.0131916213826162</v>
      </c>
      <c r="DH16">
        <v>13097895521.372984</v>
      </c>
      <c r="DI16">
        <v>0.23652906060218812</v>
      </c>
      <c r="DJ16">
        <v>0.25509720454677903</v>
      </c>
      <c r="DK16">
        <v>52022044003.098663</v>
      </c>
      <c r="DL16">
        <v>0.20696292802691457</v>
      </c>
      <c r="DM16">
        <v>509999999.99999994</v>
      </c>
      <c r="DN16">
        <v>0.29566132575273513</v>
      </c>
      <c r="DO16">
        <v>13270678000</v>
      </c>
      <c r="DP16">
        <v>5904896100</v>
      </c>
      <c r="DQ16">
        <v>913</v>
      </c>
      <c r="DR16">
        <v>-0.43441537106017847</v>
      </c>
      <c r="DS16">
        <v>-4.3612525156697357</v>
      </c>
      <c r="DT16" s="10">
        <v>-2.3333333333333355E-2</v>
      </c>
      <c r="DU16">
        <v>-0.625</v>
      </c>
      <c r="DV16">
        <v>-0.64833333333333332</v>
      </c>
      <c r="DW16">
        <v>-8.356127886323268</v>
      </c>
      <c r="DX16">
        <v>0.29834896373057035</v>
      </c>
      <c r="DY16">
        <v>-8.0385860874386843</v>
      </c>
      <c r="DZ16">
        <v>3115</v>
      </c>
      <c r="EA16">
        <v>-8.0150644313972954</v>
      </c>
      <c r="EB16">
        <v>8</v>
      </c>
      <c r="EC16">
        <v>3.5132355291656717E-2</v>
      </c>
      <c r="ED16">
        <v>0.32425188097802127</v>
      </c>
      <c r="EE16" s="11">
        <v>-1.1169100000000001</v>
      </c>
      <c r="EF16">
        <v>-1.1453100000000001</v>
      </c>
      <c r="EG16">
        <v>19.10834896373057</v>
      </c>
      <c r="EH16" t="s">
        <v>1691</v>
      </c>
      <c r="EI16">
        <v>0</v>
      </c>
      <c r="EJ16">
        <v>0</v>
      </c>
      <c r="EK16" s="12">
        <v>45470</v>
      </c>
      <c r="EL16">
        <v>-1.06</v>
      </c>
      <c r="EM16">
        <v>-4.66</v>
      </c>
      <c r="EN16">
        <v>-0.32</v>
      </c>
      <c r="EO16">
        <v>1.85</v>
      </c>
      <c r="EP16">
        <v>-2.84</v>
      </c>
    </row>
    <row r="17" spans="1:146" ht="84" x14ac:dyDescent="0.25">
      <c r="A17" s="6" t="s">
        <v>1480</v>
      </c>
      <c r="B17" s="6"/>
      <c r="C17" s="6" t="str">
        <f>""&amp;CHAR(10)&amp;Basic_Fundamental_Information_Constructure(F17)&amp;CHAR(10)&amp;Basic_Fundamental_Information_Concatenate("")</f>
        <v xml:space="preserve">
市值197.67814亿, 利润12.16亿; PE17.28; 平均PE20.31; 平均PEG1.8, PB2.18; ROIC10.56%; ROE14.42%; 股利率3.9821%; 毛利24.3467%; 净利10.1133%; 上一年度营收增3.95%, 利润增.5%; 当季营收增.52%, 利润增-26.09%; 过往5年营收增11.26%, 利润增12.38%
Income profile:
</v>
      </c>
      <c r="D17" t="s">
        <v>547</v>
      </c>
      <c r="E17" t="s">
        <v>548</v>
      </c>
      <c r="F17">
        <v>20.09</v>
      </c>
      <c r="G17">
        <v>-0.35</v>
      </c>
      <c r="H17" t="s">
        <v>3496</v>
      </c>
      <c r="I17">
        <v>19767814000</v>
      </c>
      <c r="J17">
        <v>17.28</v>
      </c>
      <c r="K17">
        <v>2.1800000000000002</v>
      </c>
      <c r="L17" t="s">
        <v>428</v>
      </c>
      <c r="M17" t="s">
        <v>2327</v>
      </c>
      <c r="N17" t="s">
        <v>3497</v>
      </c>
      <c r="O17" t="s">
        <v>2328</v>
      </c>
      <c r="P17">
        <v>0.51</v>
      </c>
      <c r="Q17" t="s">
        <v>2329</v>
      </c>
      <c r="R17">
        <v>204002890</v>
      </c>
      <c r="S17" s="4">
        <v>-0.26150000000000001</v>
      </c>
      <c r="T17" t="s">
        <v>2330</v>
      </c>
      <c r="U17">
        <v>971610690</v>
      </c>
      <c r="V17">
        <v>983962880</v>
      </c>
      <c r="W17">
        <v>2.23</v>
      </c>
      <c r="X17">
        <v>0.14000000000000001</v>
      </c>
      <c r="Y17">
        <v>6.72</v>
      </c>
      <c r="Z17" t="s">
        <v>3498</v>
      </c>
      <c r="AA17" t="s">
        <v>2061</v>
      </c>
      <c r="AB17" t="s">
        <v>3499</v>
      </c>
      <c r="AC17" t="s">
        <v>30</v>
      </c>
      <c r="AD17" t="s">
        <v>5</v>
      </c>
      <c r="AE17">
        <v>16469006</v>
      </c>
      <c r="AF17" t="s">
        <v>2331</v>
      </c>
      <c r="AG17" t="s">
        <v>3500</v>
      </c>
      <c r="AH17" t="s">
        <v>2332</v>
      </c>
      <c r="AI17" t="s">
        <v>3501</v>
      </c>
      <c r="AJ17" t="s">
        <v>2333</v>
      </c>
      <c r="AK17" t="s">
        <v>990</v>
      </c>
      <c r="AL17" t="s">
        <v>2334</v>
      </c>
      <c r="AM17" t="s">
        <v>5</v>
      </c>
      <c r="AN17" t="s">
        <v>1450</v>
      </c>
      <c r="AO17" t="s">
        <v>2055</v>
      </c>
      <c r="AP17" t="s">
        <v>354</v>
      </c>
      <c r="AQ17" t="s">
        <v>3502</v>
      </c>
      <c r="AR17" t="s">
        <v>5</v>
      </c>
      <c r="AS17" t="s">
        <v>3503</v>
      </c>
      <c r="AT17" t="s">
        <v>3504</v>
      </c>
      <c r="AU17" t="s">
        <v>576</v>
      </c>
      <c r="AV17" t="s">
        <v>3505</v>
      </c>
      <c r="AW17" t="s">
        <v>3506</v>
      </c>
      <c r="AX17" t="s">
        <v>1744</v>
      </c>
      <c r="AY17" t="s">
        <v>1242</v>
      </c>
      <c r="AZ17" t="s">
        <v>1243</v>
      </c>
      <c r="BA17" t="s">
        <v>551</v>
      </c>
      <c r="BB17" t="s">
        <v>552</v>
      </c>
      <c r="BC17" t="s">
        <v>297</v>
      </c>
      <c r="BD17" t="s">
        <v>420</v>
      </c>
      <c r="BE17" t="s">
        <v>533</v>
      </c>
      <c r="BF17" t="s">
        <v>95</v>
      </c>
      <c r="BG17" t="s">
        <v>553</v>
      </c>
      <c r="BH17" t="s">
        <v>2329</v>
      </c>
      <c r="BI17" t="s">
        <v>2335</v>
      </c>
      <c r="BJ17" t="s">
        <v>1744</v>
      </c>
      <c r="BK17" t="s">
        <v>2330</v>
      </c>
      <c r="BL17" t="s">
        <v>2122</v>
      </c>
      <c r="BM17" t="s">
        <v>297</v>
      </c>
      <c r="BN17">
        <v>6.57</v>
      </c>
      <c r="BO17">
        <v>11.36</v>
      </c>
      <c r="BP17">
        <v>13.75</v>
      </c>
      <c r="BQ17">
        <v>10.01</v>
      </c>
      <c r="BR17">
        <v>15.79</v>
      </c>
      <c r="BS17">
        <v>17.46</v>
      </c>
      <c r="BT17" t="s">
        <v>1685</v>
      </c>
      <c r="BU17" t="s">
        <v>1516</v>
      </c>
      <c r="BV17">
        <v>22.91</v>
      </c>
      <c r="BW17">
        <v>25.49</v>
      </c>
      <c r="BX17">
        <v>24.64</v>
      </c>
      <c r="BY17">
        <v>9.58</v>
      </c>
      <c r="BZ17">
        <v>10.029999999999999</v>
      </c>
      <c r="CA17">
        <v>10.73</v>
      </c>
      <c r="CB17">
        <v>-9.7100000000000009</v>
      </c>
      <c r="CC17">
        <v>-23.14</v>
      </c>
      <c r="CD17" t="s">
        <v>3507</v>
      </c>
      <c r="CE17" t="s">
        <v>184</v>
      </c>
      <c r="CF17" s="8">
        <v>5.1703163017028722E-3</v>
      </c>
      <c r="CG17" s="9">
        <v>-0.26085909420289854</v>
      </c>
      <c r="CH17" s="8">
        <v>3.9521936327219009E-2</v>
      </c>
      <c r="CI17" s="8">
        <v>7.7875122427940369E-2</v>
      </c>
      <c r="CJ17" s="8">
        <v>0.18531078100204468</v>
      </c>
      <c r="CK17" s="8">
        <v>0.22401373088359833</v>
      </c>
      <c r="CL17" s="8">
        <v>3.6197900772094727E-2</v>
      </c>
      <c r="CM17" s="9">
        <v>4.9586775712668896E-3</v>
      </c>
      <c r="CN17" s="9">
        <v>1.3400334864854813E-2</v>
      </c>
      <c r="CO17" s="9">
        <v>0.41637009382247925</v>
      </c>
      <c r="CP17" s="9">
        <v>0.32755905389785767</v>
      </c>
      <c r="CQ17" s="9">
        <v>-0.1430499255657196</v>
      </c>
      <c r="CR17">
        <v>20.312876177427643</v>
      </c>
      <c r="CS17">
        <v>1.8042435205202116</v>
      </c>
      <c r="CT17">
        <v>3.9820806371329018</v>
      </c>
      <c r="CU17" s="8">
        <v>0.11258389428257942</v>
      </c>
      <c r="CV17" s="9">
        <v>0.1238476469181478</v>
      </c>
      <c r="CW17">
        <v>0.06</v>
      </c>
      <c r="CX17">
        <v>17.219637914643954</v>
      </c>
      <c r="CY17">
        <v>1276322656.0826571</v>
      </c>
      <c r="CZ17">
        <v>0.11258389428257942</v>
      </c>
      <c r="DA17">
        <v>5.5208986218543261</v>
      </c>
      <c r="DB17">
        <v>3980839987.3530416</v>
      </c>
      <c r="DC17">
        <v>0.10695469956845044</v>
      </c>
      <c r="DD17">
        <v>2.6487842648471633</v>
      </c>
      <c r="DE17">
        <v>8297321262.3143301</v>
      </c>
      <c r="DF17">
        <v>9.9073826968669898E-2</v>
      </c>
      <c r="DG17">
        <v>1.5446843711643523</v>
      </c>
      <c r="DH17">
        <v>14228028981.372786</v>
      </c>
      <c r="DI17">
        <v>9.0067115426063549E-2</v>
      </c>
      <c r="DJ17">
        <v>0.7474540383139533</v>
      </c>
      <c r="DK17">
        <v>29403565802.622173</v>
      </c>
      <c r="DL17">
        <v>7.8808725997805584E-2</v>
      </c>
      <c r="DM17">
        <v>1216000000</v>
      </c>
      <c r="DN17">
        <v>0.11258389428257942</v>
      </c>
      <c r="DO17">
        <v>21977814000</v>
      </c>
      <c r="DP17">
        <v>2847056800</v>
      </c>
      <c r="DQ17">
        <v>934</v>
      </c>
      <c r="DR17">
        <v>-0.10741357798087656</v>
      </c>
      <c r="DS17">
        <v>-0.38470674112104636</v>
      </c>
      <c r="DT17" s="10">
        <v>-0.19000000000000003</v>
      </c>
      <c r="DU17">
        <v>2.9999999999999988E-2</v>
      </c>
      <c r="DV17">
        <v>-0.16000000000000003</v>
      </c>
      <c r="DW17">
        <v>-9.4196197061365599</v>
      </c>
      <c r="DX17">
        <v>0.49617933333333153</v>
      </c>
      <c r="DY17">
        <v>-9.115890290694324</v>
      </c>
      <c r="DZ17">
        <v>2106</v>
      </c>
      <c r="EA17">
        <v>-9.0681280691283259</v>
      </c>
      <c r="EB17">
        <v>9</v>
      </c>
      <c r="EC17">
        <v>4.2102096371765561E-2</v>
      </c>
      <c r="ED17">
        <v>0.15244477515249355</v>
      </c>
      <c r="EE17" s="11">
        <v>3.0239099999999999</v>
      </c>
      <c r="EF17">
        <v>3.0422099999999999</v>
      </c>
      <c r="EG17">
        <v>22.276179333333332</v>
      </c>
      <c r="EH17" t="s">
        <v>2159</v>
      </c>
      <c r="EI17">
        <v>0</v>
      </c>
      <c r="EJ17">
        <v>0</v>
      </c>
      <c r="EK17" s="12">
        <v>45470</v>
      </c>
      <c r="EL17">
        <v>-0.26</v>
      </c>
      <c r="EM17">
        <v>-1.33</v>
      </c>
      <c r="EN17">
        <v>-0.95</v>
      </c>
      <c r="EO17">
        <v>0.39</v>
      </c>
      <c r="EP17">
        <v>-1.83</v>
      </c>
    </row>
    <row r="18" spans="1:146" ht="180" x14ac:dyDescent="0.25">
      <c r="A18" s="6"/>
      <c r="B18" s="6"/>
      <c r="C18" s="6" t="str">
        <f>"公司主要从事纺织染料、印染助剂和化工原料的研发、生产和销售。主要产品有染料、助剂、其他化工原料。公司染料年总产能近23万吨，其中分散染料产能11万吨，活性染料产能10万吨，其他染料产能近2万吨，染料产品销售市场占有率稳居国内染料市场份额前二位。"&amp;CHAR(10)&amp;Basic_Fundamental_Information_Constructure(F18)&amp;CHAR(10)&amp;Basic_Fundamental_Information_Concatenate("染料 19.43亿 56.82% 44.23% 19.33%
其他化工原料 10.89亿 31.85% 43.46% 33.89%
其他 2.02亿 5.90% 6.79% 28.60%
助剂 1.86亿 5.43% 5.52% 25.26%")</f>
        <v>公司主要从事纺织染料、印染助剂和化工原料的研发、生产和销售。主要产品有染料、助剂、其他化工原料。公司染料年总产能近23万吨，其中分散染料产能11万吨，活性染料产能10万吨，其他染料产能近2万吨，染料产品销售市场占有率稳居国内染料市场份额前二位。
市值62.47215亿, 利润4577.15万; PE165; 平均PE7.56; 平均PEG3.52, PB.664; ROIC4.7733%; ROE5.5%; 股利率2.7624%; 毛利21.2567%; 净利8.5367%; 上一年度营收增-10.85%, 利润增-92.46%; 当季营收增-6.85%, 利润增-85.79%; 过往5年营收增-2.15%, 利润增-30.38%
Income profile:
染料 19.43亿 56.82% 44.23% 19.33%
其他化工原料 10.89亿 31.85% 43.46% 33.89%
其他 2.02亿 5.90% 6.79% 28.60%
助剂 1.86亿 5.43% 5.52% 25.26%</v>
      </c>
      <c r="D18" t="s">
        <v>555</v>
      </c>
      <c r="E18" t="s">
        <v>556</v>
      </c>
      <c r="F18">
        <v>5.43</v>
      </c>
      <c r="G18">
        <v>0</v>
      </c>
      <c r="H18" t="s">
        <v>3508</v>
      </c>
      <c r="I18">
        <v>6247215000</v>
      </c>
      <c r="J18">
        <v>165</v>
      </c>
      <c r="K18">
        <v>0.66400000000000003</v>
      </c>
      <c r="L18" t="s">
        <v>428</v>
      </c>
      <c r="M18" t="s">
        <v>1799</v>
      </c>
      <c r="N18" t="s">
        <v>3509</v>
      </c>
      <c r="O18" t="s">
        <v>2133</v>
      </c>
      <c r="P18">
        <v>-6.89</v>
      </c>
      <c r="Q18" t="s">
        <v>2336</v>
      </c>
      <c r="R18">
        <v>1311970</v>
      </c>
      <c r="S18" s="4">
        <v>-0.8579</v>
      </c>
      <c r="T18" t="s">
        <v>2337</v>
      </c>
      <c r="U18">
        <v>972859520</v>
      </c>
      <c r="V18">
        <v>1150500000</v>
      </c>
      <c r="W18">
        <v>1.22</v>
      </c>
      <c r="X18">
        <v>0.11</v>
      </c>
      <c r="Y18">
        <v>0.55000000000000004</v>
      </c>
      <c r="Z18" t="s">
        <v>3297</v>
      </c>
      <c r="AA18" t="s">
        <v>3510</v>
      </c>
      <c r="AB18" t="s">
        <v>3511</v>
      </c>
      <c r="AC18" t="s">
        <v>3512</v>
      </c>
      <c r="AD18" t="s">
        <v>5</v>
      </c>
      <c r="AE18">
        <v>-11035329</v>
      </c>
      <c r="AF18" t="s">
        <v>2338</v>
      </c>
      <c r="AG18" t="s">
        <v>3513</v>
      </c>
      <c r="AH18" t="s">
        <v>2339</v>
      </c>
      <c r="AI18" t="s">
        <v>3514</v>
      </c>
      <c r="AJ18" t="s">
        <v>2340</v>
      </c>
      <c r="AK18" t="s">
        <v>5</v>
      </c>
      <c r="AL18" t="s">
        <v>2341</v>
      </c>
      <c r="AM18" t="s">
        <v>5</v>
      </c>
      <c r="AN18" t="s">
        <v>3515</v>
      </c>
      <c r="AO18" t="s">
        <v>274</v>
      </c>
      <c r="AP18" t="s">
        <v>140</v>
      </c>
      <c r="AQ18" t="s">
        <v>716</v>
      </c>
      <c r="AR18" t="s">
        <v>5</v>
      </c>
      <c r="AS18" t="s">
        <v>1676</v>
      </c>
      <c r="AT18" t="s">
        <v>44</v>
      </c>
      <c r="AU18" t="s">
        <v>3516</v>
      </c>
      <c r="AV18" t="s">
        <v>71</v>
      </c>
      <c r="AW18" t="s">
        <v>3517</v>
      </c>
      <c r="AX18" t="s">
        <v>1746</v>
      </c>
      <c r="AY18" t="s">
        <v>1244</v>
      </c>
      <c r="AZ18" t="s">
        <v>1246</v>
      </c>
      <c r="BA18" t="s">
        <v>557</v>
      </c>
      <c r="BB18" t="s">
        <v>558</v>
      </c>
      <c r="BC18" t="s">
        <v>279</v>
      </c>
      <c r="BD18" t="s">
        <v>1245</v>
      </c>
      <c r="BE18" t="s">
        <v>226</v>
      </c>
      <c r="BF18" t="s">
        <v>459</v>
      </c>
      <c r="BG18" t="s">
        <v>261</v>
      </c>
      <c r="BH18" t="s">
        <v>2336</v>
      </c>
      <c r="BI18" t="s">
        <v>2342</v>
      </c>
      <c r="BJ18" t="s">
        <v>1746</v>
      </c>
      <c r="BK18" t="s">
        <v>2337</v>
      </c>
      <c r="BL18" t="s">
        <v>2343</v>
      </c>
      <c r="BM18" t="s">
        <v>279</v>
      </c>
      <c r="BN18">
        <v>0.9</v>
      </c>
      <c r="BO18">
        <v>5.74</v>
      </c>
      <c r="BP18">
        <v>7.68</v>
      </c>
      <c r="BQ18">
        <v>1.07</v>
      </c>
      <c r="BR18">
        <v>6.38</v>
      </c>
      <c r="BS18">
        <v>9.0500000000000007</v>
      </c>
      <c r="BT18" t="s">
        <v>1681</v>
      </c>
      <c r="BU18" t="s">
        <v>1518</v>
      </c>
      <c r="BV18">
        <v>15.78</v>
      </c>
      <c r="BW18">
        <v>20.62</v>
      </c>
      <c r="BX18">
        <v>27.37</v>
      </c>
      <c r="BY18">
        <v>1.18</v>
      </c>
      <c r="BZ18">
        <v>10.06</v>
      </c>
      <c r="CA18">
        <v>14.37</v>
      </c>
      <c r="CB18">
        <v>0</v>
      </c>
      <c r="CC18">
        <v>-12.98</v>
      </c>
      <c r="CD18" t="s">
        <v>3518</v>
      </c>
      <c r="CE18" t="s">
        <v>38</v>
      </c>
      <c r="CF18" s="8">
        <v>-6.8503350707371555E-2</v>
      </c>
      <c r="CG18" s="9">
        <v>-0.85787039043203195</v>
      </c>
      <c r="CH18" s="8">
        <v>-0.10848763585090637</v>
      </c>
      <c r="CI18" s="8">
        <v>0.12491036206483841</v>
      </c>
      <c r="CJ18" s="8">
        <v>6.5799437463283539E-2</v>
      </c>
      <c r="CK18" s="8">
        <v>-0.19729766249656677</v>
      </c>
      <c r="CL18" s="8">
        <v>7.5804358348250389E-3</v>
      </c>
      <c r="CM18" s="9">
        <v>-0.92459386587142944</v>
      </c>
      <c r="CN18" s="9">
        <v>-0.27392345666885376</v>
      </c>
      <c r="CO18" s="9">
        <v>6.0913704335689545E-2</v>
      </c>
      <c r="CP18" s="9">
        <v>-0.4248175323009491</v>
      </c>
      <c r="CQ18" s="9">
        <v>4.3412085622549057E-2</v>
      </c>
      <c r="CR18">
        <v>7.5574630807084553</v>
      </c>
      <c r="CS18">
        <v>3.5152605481966863</v>
      </c>
      <c r="CT18">
        <v>2.7624309392265194</v>
      </c>
      <c r="CU18" s="8">
        <v>-2.1499012596905231E-2</v>
      </c>
      <c r="CV18" s="9">
        <v>-0.30380181297659875</v>
      </c>
      <c r="CW18">
        <v>0.06</v>
      </c>
      <c r="CX18" t="s">
        <v>1905</v>
      </c>
      <c r="CY18" t="s">
        <v>2344</v>
      </c>
      <c r="CZ18">
        <v>-2.1499012596905231E-2</v>
      </c>
      <c r="DA18" t="s">
        <v>1905</v>
      </c>
      <c r="DB18" t="s">
        <v>2345</v>
      </c>
      <c r="DC18">
        <v>-2.0424061967059971E-2</v>
      </c>
      <c r="DD18" t="s">
        <v>1905</v>
      </c>
      <c r="DE18" t="s">
        <v>2346</v>
      </c>
      <c r="DF18">
        <v>-1.8919131085276604E-2</v>
      </c>
      <c r="DG18" t="s">
        <v>1905</v>
      </c>
      <c r="DH18" t="s">
        <v>2347</v>
      </c>
      <c r="DI18">
        <v>-1.7199210077524184E-2</v>
      </c>
      <c r="DJ18" t="s">
        <v>1905</v>
      </c>
      <c r="DK18" t="s">
        <v>2348</v>
      </c>
      <c r="DL18">
        <v>-1.5049308817833661E-2</v>
      </c>
      <c r="DM18">
        <v>45771500</v>
      </c>
      <c r="DN18">
        <v>-2.1499012596905231E-2</v>
      </c>
      <c r="DO18">
        <v>-1307785000</v>
      </c>
      <c r="DP18">
        <v>4731467900</v>
      </c>
      <c r="DQ18">
        <v>943</v>
      </c>
      <c r="DR18">
        <v>-4.7004338110466323E-2</v>
      </c>
      <c r="DS18">
        <v>-0.55406857745543325</v>
      </c>
      <c r="DT18" s="10">
        <v>-0.55666666666666664</v>
      </c>
      <c r="DU18">
        <v>-1.04</v>
      </c>
      <c r="DV18">
        <v>-1.5966666666666667</v>
      </c>
      <c r="DW18">
        <v>-2.1297999999999999</v>
      </c>
      <c r="DX18">
        <v>0.26753875968992313</v>
      </c>
      <c r="DY18">
        <v>-2.0152565310077519</v>
      </c>
      <c r="DZ18">
        <v>4091</v>
      </c>
      <c r="EA18">
        <v>-2.0030423493340312</v>
      </c>
      <c r="EB18">
        <v>2</v>
      </c>
      <c r="EC18">
        <v>1.3179052585832247E-2</v>
      </c>
      <c r="ED18">
        <v>0.1121251629726206</v>
      </c>
      <c r="EE18" s="11">
        <v>3.6610000000000011E-2</v>
      </c>
      <c r="EF18">
        <v>4.7310000000000005E-2</v>
      </c>
      <c r="EG18">
        <v>15.117538759689923</v>
      </c>
      <c r="EH18">
        <v>-1</v>
      </c>
      <c r="EI18">
        <v>0</v>
      </c>
      <c r="EJ18">
        <v>0</v>
      </c>
      <c r="EK18" s="12">
        <v>45470</v>
      </c>
      <c r="EL18">
        <v>0.71</v>
      </c>
      <c r="EM18">
        <v>-2.99</v>
      </c>
      <c r="EN18">
        <v>1.63</v>
      </c>
      <c r="EO18">
        <v>2.94</v>
      </c>
      <c r="EP18">
        <v>-1.07</v>
      </c>
    </row>
    <row r="19" spans="1:146" ht="84" x14ac:dyDescent="0.25">
      <c r="A19" s="6"/>
      <c r="B19" s="6"/>
      <c r="C19" s="6" t="str">
        <f>""&amp;CHAR(10)&amp;Basic_Fundamental_Information_Constructure(F19)&amp;CHAR(10)&amp;Basic_Fundamental_Information_Concatenate("")</f>
        <v xml:space="preserve">
市值34.688076亿, 利润-1.76亿; PE; 平均PE-24.66; 平均PEG-3.48, PB2.8; ROIC6.39%; ROE-4.88%; 股利率0%; 毛利6.6633%; 净利-15.3667%; 上一年度营收增-79.57%, 利润增4.86%; 当季营收增-1.55%, 利润增-14.25%; 过往5年营收增-7.09%, 利润增-405.85%
Income profile:
</v>
      </c>
      <c r="D19" t="s">
        <v>1524</v>
      </c>
      <c r="E19" t="s">
        <v>1525</v>
      </c>
      <c r="F19">
        <v>4.2699999999999996</v>
      </c>
      <c r="G19">
        <v>2.89</v>
      </c>
      <c r="H19" t="s">
        <v>3519</v>
      </c>
      <c r="I19">
        <v>3468807600</v>
      </c>
      <c r="K19">
        <v>2.8</v>
      </c>
      <c r="L19" t="s">
        <v>428</v>
      </c>
      <c r="M19" t="s">
        <v>2349</v>
      </c>
      <c r="N19" t="s">
        <v>3520</v>
      </c>
      <c r="O19" t="s">
        <v>37</v>
      </c>
      <c r="P19">
        <v>-1.91</v>
      </c>
      <c r="Q19" t="s">
        <v>430</v>
      </c>
      <c r="R19">
        <v>-24593709</v>
      </c>
      <c r="S19" s="4">
        <v>-0.14249999999999999</v>
      </c>
      <c r="T19" t="s">
        <v>1782</v>
      </c>
      <c r="U19">
        <v>608295050</v>
      </c>
      <c r="V19">
        <v>812367130</v>
      </c>
      <c r="W19">
        <v>1.58</v>
      </c>
      <c r="X19">
        <v>0.06</v>
      </c>
      <c r="Y19">
        <v>-19.989999999999998</v>
      </c>
      <c r="Z19" t="s">
        <v>1235</v>
      </c>
      <c r="AA19" t="s">
        <v>84</v>
      </c>
      <c r="AB19" t="s">
        <v>3521</v>
      </c>
      <c r="AC19" t="s">
        <v>3522</v>
      </c>
      <c r="AD19" t="s">
        <v>5</v>
      </c>
      <c r="AE19">
        <v>169548</v>
      </c>
      <c r="AF19" t="s">
        <v>2350</v>
      </c>
      <c r="AG19" t="s">
        <v>3523</v>
      </c>
      <c r="AH19" t="s">
        <v>2351</v>
      </c>
      <c r="AI19" t="s">
        <v>229</v>
      </c>
      <c r="AJ19" t="s">
        <v>2352</v>
      </c>
      <c r="AK19" t="s">
        <v>194</v>
      </c>
      <c r="AL19" t="s">
        <v>2353</v>
      </c>
      <c r="AM19" t="s">
        <v>5</v>
      </c>
      <c r="AN19" t="s">
        <v>227</v>
      </c>
      <c r="AO19" t="s">
        <v>233</v>
      </c>
      <c r="AP19" t="s">
        <v>3524</v>
      </c>
      <c r="AQ19" t="s">
        <v>68</v>
      </c>
      <c r="AR19" t="s">
        <v>5</v>
      </c>
      <c r="AS19" t="s">
        <v>3525</v>
      </c>
      <c r="AT19" t="s">
        <v>5</v>
      </c>
      <c r="AU19" t="s">
        <v>3526</v>
      </c>
      <c r="AV19" t="s">
        <v>3527</v>
      </c>
      <c r="AW19" t="s">
        <v>3528</v>
      </c>
      <c r="AX19" t="s">
        <v>1748</v>
      </c>
      <c r="AY19" t="s">
        <v>1526</v>
      </c>
      <c r="AZ19" t="s">
        <v>1528</v>
      </c>
      <c r="BA19" t="s">
        <v>1529</v>
      </c>
      <c r="BB19" t="s">
        <v>1286</v>
      </c>
      <c r="BC19" t="s">
        <v>1737</v>
      </c>
      <c r="BD19" t="s">
        <v>1527</v>
      </c>
      <c r="BE19" t="s">
        <v>1530</v>
      </c>
      <c r="BF19" t="s">
        <v>1531</v>
      </c>
      <c r="BG19" t="s">
        <v>1532</v>
      </c>
      <c r="BH19" t="s">
        <v>430</v>
      </c>
      <c r="BI19" t="s">
        <v>38</v>
      </c>
      <c r="BJ19" t="s">
        <v>1748</v>
      </c>
      <c r="BK19" t="s">
        <v>1782</v>
      </c>
      <c r="BL19" t="s">
        <v>2354</v>
      </c>
      <c r="BM19" t="s">
        <v>1737</v>
      </c>
      <c r="BN19">
        <v>6.39</v>
      </c>
      <c r="BO19" t="s">
        <v>5</v>
      </c>
      <c r="BP19" t="s">
        <v>5</v>
      </c>
      <c r="BQ19">
        <v>8.9</v>
      </c>
      <c r="BR19">
        <v>-9.61</v>
      </c>
      <c r="BS19">
        <v>-13.93</v>
      </c>
      <c r="BT19" t="s">
        <v>1670</v>
      </c>
      <c r="BU19" t="s">
        <v>1516</v>
      </c>
      <c r="BV19">
        <v>3.56</v>
      </c>
      <c r="BW19">
        <v>7.95</v>
      </c>
      <c r="BX19">
        <v>8.48</v>
      </c>
      <c r="BY19">
        <v>-33.65</v>
      </c>
      <c r="BZ19">
        <v>-6.95</v>
      </c>
      <c r="CA19">
        <v>-5.5</v>
      </c>
      <c r="CB19">
        <v>-0.47</v>
      </c>
      <c r="CC19">
        <v>-21.65</v>
      </c>
      <c r="CD19" t="s">
        <v>3529</v>
      </c>
      <c r="CE19" t="s">
        <v>993</v>
      </c>
      <c r="CF19" s="8">
        <v>-1.5503875968992248E-2</v>
      </c>
      <c r="CG19" s="9">
        <v>-0.14253833824998258</v>
      </c>
      <c r="CH19" s="8">
        <v>-0.79569888114929199</v>
      </c>
      <c r="CI19" s="8">
        <v>-0.3158295750617981</v>
      </c>
      <c r="CJ19" s="8">
        <v>0.4392113983631134</v>
      </c>
      <c r="CK19" s="8">
        <v>3.9468690752983093E-2</v>
      </c>
      <c r="CL19" s="8">
        <v>0.27850565314292908</v>
      </c>
      <c r="CM19" s="9">
        <v>4.8648647964000702E-2</v>
      </c>
      <c r="CN19" s="9">
        <v>0.1850220263004303</v>
      </c>
      <c r="CO19" s="9">
        <v>-7.8013148307800293</v>
      </c>
      <c r="CP19" s="9">
        <v>1.106292724609375</v>
      </c>
      <c r="CQ19" s="9">
        <v>-13.831357002258301</v>
      </c>
      <c r="CR19">
        <v>-24.655306006211195</v>
      </c>
      <c r="CS19">
        <v>-3.4790197505721201</v>
      </c>
      <c r="CT19">
        <v>0</v>
      </c>
      <c r="CU19" s="8">
        <v>-7.0868542790412908E-2</v>
      </c>
      <c r="CV19" s="9">
        <v>-4.0585416868329052</v>
      </c>
      <c r="CW19">
        <v>0.06</v>
      </c>
      <c r="CX19" t="e">
        <v>#VALUE!</v>
      </c>
      <c r="CY19" t="s">
        <v>1211</v>
      </c>
      <c r="CZ19">
        <v>-7.0868542790412908E-2</v>
      </c>
      <c r="DA19" t="e">
        <v>#VALUE!</v>
      </c>
      <c r="DB19" t="s">
        <v>1179</v>
      </c>
      <c r="DC19">
        <v>-6.7325115650892262E-2</v>
      </c>
      <c r="DD19" t="e">
        <v>#VALUE!</v>
      </c>
      <c r="DE19" t="s">
        <v>1179</v>
      </c>
      <c r="DF19">
        <v>-6.2364317655563363E-2</v>
      </c>
      <c r="DG19" t="e">
        <v>#VALUE!</v>
      </c>
      <c r="DH19" t="s">
        <v>1179</v>
      </c>
      <c r="DI19">
        <v>-5.6694834232330328E-2</v>
      </c>
      <c r="DJ19" t="e">
        <v>#VALUE!</v>
      </c>
      <c r="DK19" t="s">
        <v>1179</v>
      </c>
      <c r="DL19">
        <v>-4.9607979953289034E-2</v>
      </c>
      <c r="DM19">
        <v>-176000000</v>
      </c>
      <c r="DN19">
        <v>-7.0868542790412908E-2</v>
      </c>
      <c r="DO19">
        <v>2901807600</v>
      </c>
      <c r="DP19">
        <v>412847700</v>
      </c>
      <c r="DQ19">
        <v>954</v>
      </c>
      <c r="DR19">
        <v>5.5364666821420661E-2</v>
      </c>
      <c r="DS19">
        <v>3.9160033485829224</v>
      </c>
      <c r="DT19" s="10">
        <v>-0.69</v>
      </c>
      <c r="DU19">
        <v>-2.6483333333333334</v>
      </c>
      <c r="DV19">
        <v>-3.3383333333333334</v>
      </c>
      <c r="DW19">
        <v>-3.0638988095238093</v>
      </c>
      <c r="DX19">
        <v>0.36799405286343601</v>
      </c>
      <c r="DY19">
        <v>-3.0069006914136249</v>
      </c>
      <c r="DZ19">
        <v>4994</v>
      </c>
      <c r="EA19">
        <v>-3.0001566497463759</v>
      </c>
      <c r="EB19">
        <v>3</v>
      </c>
      <c r="EC19">
        <v>6.0353623613500954E-2</v>
      </c>
      <c r="ED19">
        <v>0.55886062253651247</v>
      </c>
      <c r="EE19" s="11">
        <v>-9.0053999999999998</v>
      </c>
      <c r="EF19">
        <v>-9.0320099999999996</v>
      </c>
      <c r="EG19">
        <v>26.107994052863436</v>
      </c>
      <c r="EH19" t="s">
        <v>3530</v>
      </c>
      <c r="EI19">
        <v>0</v>
      </c>
      <c r="EJ19">
        <v>0</v>
      </c>
      <c r="EK19" s="12">
        <v>45470</v>
      </c>
      <c r="EL19">
        <v>-1.08</v>
      </c>
      <c r="EM19">
        <v>-5.68</v>
      </c>
      <c r="EN19">
        <v>-0.46</v>
      </c>
      <c r="EO19">
        <v>5.58</v>
      </c>
      <c r="EP19">
        <v>-3.74</v>
      </c>
    </row>
    <row r="20" spans="1:146" ht="84" x14ac:dyDescent="0.25">
      <c r="A20" s="6"/>
      <c r="B20" s="6"/>
      <c r="C20" s="6" t="str">
        <f>""&amp;CHAR(10)&amp;Basic_Fundamental_Information_Constructure(F20)&amp;CHAR(10)&amp;Basic_Fundamental_Information_Concatenate("")</f>
        <v xml:space="preserve">
市值54.314198亿, 利润-4.66亿; PE; 平均PE244.71; 平均PEG19.77, PB3.23; ROIC4.43%; ROE5.84%; 股利率0%; 毛利8.1267%; 净利-1.64%; 上一年度营收增-.46%, 利润增-442.65%; 当季营收增52.2%, 利润增174.75%; 过往5年营收增12.38%, 利润增-55.73%
Income profile:
</v>
      </c>
      <c r="D20" t="s">
        <v>561</v>
      </c>
      <c r="E20" t="s">
        <v>562</v>
      </c>
      <c r="F20">
        <v>9.14</v>
      </c>
      <c r="G20">
        <v>2.7</v>
      </c>
      <c r="H20" t="s">
        <v>3531</v>
      </c>
      <c r="I20">
        <v>5431419800</v>
      </c>
      <c r="K20">
        <v>3.23</v>
      </c>
      <c r="L20" t="s">
        <v>428</v>
      </c>
      <c r="M20" t="s">
        <v>2355</v>
      </c>
      <c r="N20" t="s">
        <v>3532</v>
      </c>
      <c r="O20" t="s">
        <v>2036</v>
      </c>
      <c r="P20">
        <v>52.24</v>
      </c>
      <c r="Q20" t="s">
        <v>2356</v>
      </c>
      <c r="R20">
        <v>35811766</v>
      </c>
      <c r="S20" s="4">
        <v>1.7470000000000001</v>
      </c>
      <c r="T20" t="s">
        <v>2357</v>
      </c>
      <c r="U20">
        <v>507601020</v>
      </c>
      <c r="V20">
        <v>594247250</v>
      </c>
      <c r="W20">
        <v>5.17</v>
      </c>
      <c r="X20">
        <v>0.1</v>
      </c>
      <c r="Y20">
        <v>-0.43</v>
      </c>
      <c r="Z20" t="s">
        <v>1293</v>
      </c>
      <c r="AA20" t="s">
        <v>1214</v>
      </c>
      <c r="AB20" t="s">
        <v>3533</v>
      </c>
      <c r="AC20" t="s">
        <v>3534</v>
      </c>
      <c r="AD20" t="s">
        <v>5</v>
      </c>
      <c r="AE20">
        <v>40908960</v>
      </c>
      <c r="AF20" t="s">
        <v>2358</v>
      </c>
      <c r="AG20" t="s">
        <v>3535</v>
      </c>
      <c r="AH20" t="s">
        <v>2359</v>
      </c>
      <c r="AI20" t="s">
        <v>2059</v>
      </c>
      <c r="AJ20" t="s">
        <v>2360</v>
      </c>
      <c r="AK20" t="s">
        <v>5</v>
      </c>
      <c r="AL20" t="s">
        <v>2361</v>
      </c>
      <c r="AM20" t="s">
        <v>5</v>
      </c>
      <c r="AN20" t="s">
        <v>2114</v>
      </c>
      <c r="AO20" t="s">
        <v>3536</v>
      </c>
      <c r="AP20" t="s">
        <v>1899</v>
      </c>
      <c r="AQ20" t="s">
        <v>3537</v>
      </c>
      <c r="AR20" t="s">
        <v>5</v>
      </c>
      <c r="AS20" t="s">
        <v>3538</v>
      </c>
      <c r="AT20" t="s">
        <v>1311</v>
      </c>
      <c r="AU20" t="s">
        <v>3539</v>
      </c>
      <c r="AV20" t="s">
        <v>2316</v>
      </c>
      <c r="AW20" t="s">
        <v>203</v>
      </c>
      <c r="AX20" t="s">
        <v>1212</v>
      </c>
      <c r="AY20" t="s">
        <v>1752</v>
      </c>
      <c r="AZ20" t="s">
        <v>1247</v>
      </c>
      <c r="BA20" t="s">
        <v>564</v>
      </c>
      <c r="BB20" t="s">
        <v>565</v>
      </c>
      <c r="BC20" t="s">
        <v>46</v>
      </c>
      <c r="BD20" t="s">
        <v>195</v>
      </c>
      <c r="BE20" t="s">
        <v>1248</v>
      </c>
      <c r="BF20" t="s">
        <v>566</v>
      </c>
      <c r="BG20" t="s">
        <v>94</v>
      </c>
      <c r="BH20" t="s">
        <v>2356</v>
      </c>
      <c r="BI20" t="s">
        <v>991</v>
      </c>
      <c r="BJ20" t="s">
        <v>1212</v>
      </c>
      <c r="BK20" t="s">
        <v>2357</v>
      </c>
      <c r="BL20" t="s">
        <v>2362</v>
      </c>
      <c r="BM20" t="s">
        <v>46</v>
      </c>
      <c r="BN20" t="s">
        <v>5</v>
      </c>
      <c r="BO20">
        <v>2.93</v>
      </c>
      <c r="BP20">
        <v>5.93</v>
      </c>
      <c r="BQ20">
        <v>-2.68</v>
      </c>
      <c r="BR20">
        <v>6.47</v>
      </c>
      <c r="BS20">
        <v>13.73</v>
      </c>
      <c r="BT20" t="s">
        <v>1670</v>
      </c>
      <c r="BU20" t="s">
        <v>1516</v>
      </c>
      <c r="BV20">
        <v>1.78</v>
      </c>
      <c r="BW20">
        <v>10.06</v>
      </c>
      <c r="BX20">
        <v>12.54</v>
      </c>
      <c r="BY20">
        <v>-13.86</v>
      </c>
      <c r="BZ20">
        <v>3.14</v>
      </c>
      <c r="CA20">
        <v>5.8</v>
      </c>
      <c r="CB20">
        <v>-0.44</v>
      </c>
      <c r="CC20">
        <v>-23.06</v>
      </c>
      <c r="CD20" t="s">
        <v>433</v>
      </c>
      <c r="CE20" t="s">
        <v>2030</v>
      </c>
      <c r="CF20" s="8">
        <v>0.52196382428940569</v>
      </c>
      <c r="CG20" s="9">
        <v>1.7474565814052994</v>
      </c>
      <c r="CH20" s="8">
        <v>-4.5993858948349953E-3</v>
      </c>
      <c r="CI20" s="8">
        <v>-3.5939294844865799E-2</v>
      </c>
      <c r="CJ20" s="8">
        <v>0.95930486917495728</v>
      </c>
      <c r="CK20" s="8">
        <v>-0.15067960321903229</v>
      </c>
      <c r="CL20" s="8">
        <v>-0.1493227630853653</v>
      </c>
      <c r="CM20" s="9">
        <v>-4.4264707565307617</v>
      </c>
      <c r="CN20" s="9">
        <v>-0.39823007583618164</v>
      </c>
      <c r="CO20" s="9">
        <v>2.4007823467254639</v>
      </c>
      <c r="CP20" s="9">
        <v>2.6837809011340141E-2</v>
      </c>
      <c r="CQ20" s="9">
        <v>-0.38944905996322632</v>
      </c>
      <c r="CR20">
        <v>244.70686629567248</v>
      </c>
      <c r="CS20">
        <v>19.773850501873781</v>
      </c>
      <c r="CT20">
        <v>0</v>
      </c>
      <c r="CU20" s="8">
        <v>0.12375276442617178</v>
      </c>
      <c r="CV20" s="9">
        <v>-0.55730594731867311</v>
      </c>
      <c r="CW20">
        <v>0.06</v>
      </c>
      <c r="CX20" t="e">
        <v>#VALUE!</v>
      </c>
      <c r="CY20" t="s">
        <v>1179</v>
      </c>
      <c r="CZ20">
        <v>0.12375276442617178</v>
      </c>
      <c r="DA20" t="e">
        <v>#VALUE!</v>
      </c>
      <c r="DB20" t="s">
        <v>1179</v>
      </c>
      <c r="DC20">
        <v>0.11756512620486319</v>
      </c>
      <c r="DD20" t="e">
        <v>#VALUE!</v>
      </c>
      <c r="DE20" t="s">
        <v>1179</v>
      </c>
      <c r="DF20">
        <v>0.10890243269503116</v>
      </c>
      <c r="DG20" t="e">
        <v>#VALUE!</v>
      </c>
      <c r="DH20" t="s">
        <v>1179</v>
      </c>
      <c r="DI20">
        <v>9.9002211540937426E-2</v>
      </c>
      <c r="DJ20" t="e">
        <v>#VALUE!</v>
      </c>
      <c r="DK20" t="s">
        <v>1179</v>
      </c>
      <c r="DL20">
        <v>8.6626935098320243E-2</v>
      </c>
      <c r="DM20">
        <v>-466000000</v>
      </c>
      <c r="DN20">
        <v>0.12375276442617178</v>
      </c>
      <c r="DO20">
        <v>12108419800</v>
      </c>
      <c r="DP20">
        <v>-3387343200.000001</v>
      </c>
      <c r="DQ20">
        <v>956</v>
      </c>
      <c r="DR20">
        <v>0.39821105986323391</v>
      </c>
      <c r="DS20">
        <v>2.3047625287239724</v>
      </c>
      <c r="DT20" s="10">
        <v>-0.28999999999999998</v>
      </c>
      <c r="DU20">
        <v>-0.91000000000000014</v>
      </c>
      <c r="DV20">
        <v>-1.2000000000000002</v>
      </c>
      <c r="DW20">
        <v>-3.0798452380952379</v>
      </c>
      <c r="DX20">
        <v>0.32666385433320499</v>
      </c>
      <c r="DY20">
        <v>-3.0061212437025335</v>
      </c>
      <c r="DZ20">
        <v>3760</v>
      </c>
      <c r="EA20">
        <v>-3.0016171583167162</v>
      </c>
      <c r="EB20">
        <v>3</v>
      </c>
      <c r="EC20">
        <v>0.30626982287255011</v>
      </c>
      <c r="ED20">
        <v>3.9949701071397468</v>
      </c>
      <c r="EE20" s="11">
        <v>2.05341</v>
      </c>
      <c r="EF20">
        <v>2.1158100000000002</v>
      </c>
      <c r="EG20">
        <v>25.076663854333205</v>
      </c>
      <c r="EH20" t="s">
        <v>1706</v>
      </c>
      <c r="EI20">
        <v>0</v>
      </c>
      <c r="EJ20">
        <v>0</v>
      </c>
      <c r="EK20" s="12">
        <v>45470</v>
      </c>
      <c r="EL20">
        <v>-3.78</v>
      </c>
      <c r="EM20">
        <v>-0.4</v>
      </c>
      <c r="EN20">
        <v>0.71</v>
      </c>
      <c r="EO20">
        <v>-1.71</v>
      </c>
      <c r="EP20">
        <v>-6.24</v>
      </c>
    </row>
    <row r="21" spans="1:146" ht="84" x14ac:dyDescent="0.25">
      <c r="A21" s="7"/>
      <c r="B21" s="7"/>
      <c r="C21" s="6" t="str">
        <f>""&amp;CHAR(10)&amp;Basic_Fundamental_Information_Constructure(F21)&amp;CHAR(10)&amp;Basic_Fundamental_Information_Concatenate("")</f>
        <v xml:space="preserve">
市值35.421228亿, 利润-1.75亿; PE; 平均PE84; 平均PEG4.6, PB1.17; ROIC3.07%; ROE3.5267%; 股利率0%; 毛利16.69%; 净利1.26%; 上一年度营收增-17.3%, 利润增-157.19%; 当季营收增21.3%, 利润增-335.15%; 过往5年营收增18.28%, 利润增177.75%
Income profile:
</v>
      </c>
      <c r="D21" t="s">
        <v>590</v>
      </c>
      <c r="E21" t="s">
        <v>591</v>
      </c>
      <c r="F21">
        <v>3.33</v>
      </c>
      <c r="G21">
        <v>-0.3</v>
      </c>
      <c r="H21" t="s">
        <v>3540</v>
      </c>
      <c r="I21">
        <v>3542122800</v>
      </c>
      <c r="K21">
        <v>1.17</v>
      </c>
      <c r="L21" t="s">
        <v>428</v>
      </c>
      <c r="M21" t="s">
        <v>625</v>
      </c>
      <c r="N21" t="s">
        <v>3541</v>
      </c>
      <c r="O21" t="s">
        <v>2135</v>
      </c>
      <c r="P21">
        <v>21.31</v>
      </c>
      <c r="Q21" t="s">
        <v>2367</v>
      </c>
      <c r="R21">
        <v>-25204722</v>
      </c>
      <c r="S21" s="5">
        <v>-3.3519999999999999</v>
      </c>
      <c r="T21" t="s">
        <v>2130</v>
      </c>
      <c r="U21">
        <v>700820780</v>
      </c>
      <c r="V21">
        <v>1063700540</v>
      </c>
      <c r="W21">
        <v>1.93</v>
      </c>
      <c r="X21">
        <v>0.14000000000000001</v>
      </c>
      <c r="Y21">
        <v>-3.07</v>
      </c>
      <c r="Z21" t="s">
        <v>1290</v>
      </c>
      <c r="AA21" t="s">
        <v>2027</v>
      </c>
      <c r="AB21" t="s">
        <v>3542</v>
      </c>
      <c r="AC21" t="s">
        <v>3543</v>
      </c>
      <c r="AD21" t="s">
        <v>5</v>
      </c>
      <c r="AE21">
        <v>15537056</v>
      </c>
      <c r="AF21" t="s">
        <v>2368</v>
      </c>
      <c r="AG21" t="s">
        <v>3544</v>
      </c>
      <c r="AH21" t="s">
        <v>2369</v>
      </c>
      <c r="AI21" t="s">
        <v>2129</v>
      </c>
      <c r="AJ21" t="s">
        <v>2370</v>
      </c>
      <c r="AK21" t="s">
        <v>5</v>
      </c>
      <c r="AL21" t="s">
        <v>2371</v>
      </c>
      <c r="AM21" t="s">
        <v>5</v>
      </c>
      <c r="AN21" t="s">
        <v>1523</v>
      </c>
      <c r="AO21" t="s">
        <v>3545</v>
      </c>
      <c r="AP21" t="s">
        <v>580</v>
      </c>
      <c r="AQ21" t="s">
        <v>509</v>
      </c>
      <c r="AR21" t="s">
        <v>3546</v>
      </c>
      <c r="AS21" t="s">
        <v>3547</v>
      </c>
      <c r="AT21" t="s">
        <v>3548</v>
      </c>
      <c r="AU21" t="s">
        <v>3549</v>
      </c>
      <c r="AV21" t="s">
        <v>3550</v>
      </c>
      <c r="AW21" t="s">
        <v>3551</v>
      </c>
      <c r="AX21" t="s">
        <v>1758</v>
      </c>
      <c r="AY21" t="s">
        <v>808</v>
      </c>
      <c r="AZ21" t="s">
        <v>1253</v>
      </c>
      <c r="BA21" t="s">
        <v>384</v>
      </c>
      <c r="BB21" t="s">
        <v>592</v>
      </c>
      <c r="BC21" t="s">
        <v>1309</v>
      </c>
      <c r="BD21" t="s">
        <v>1252</v>
      </c>
      <c r="BE21" t="s">
        <v>1254</v>
      </c>
      <c r="BF21" t="s">
        <v>593</v>
      </c>
      <c r="BG21" t="s">
        <v>594</v>
      </c>
      <c r="BH21" t="s">
        <v>2367</v>
      </c>
      <c r="BI21" t="s">
        <v>1649</v>
      </c>
      <c r="BJ21" t="s">
        <v>1758</v>
      </c>
      <c r="BK21" t="s">
        <v>2130</v>
      </c>
      <c r="BL21" t="s">
        <v>2372</v>
      </c>
      <c r="BM21" t="s">
        <v>1309</v>
      </c>
      <c r="BN21">
        <v>0.13</v>
      </c>
      <c r="BO21">
        <v>7.55</v>
      </c>
      <c r="BP21">
        <v>1.53</v>
      </c>
      <c r="BQ21">
        <v>0.08</v>
      </c>
      <c r="BR21">
        <v>9.56</v>
      </c>
      <c r="BS21">
        <v>0.94</v>
      </c>
      <c r="BT21" t="s">
        <v>1670</v>
      </c>
      <c r="BU21" t="s">
        <v>1534</v>
      </c>
      <c r="BV21">
        <v>11</v>
      </c>
      <c r="BW21">
        <v>25.27</v>
      </c>
      <c r="BX21">
        <v>13.8</v>
      </c>
      <c r="BY21">
        <v>-6.22</v>
      </c>
      <c r="BZ21">
        <v>8.9600000000000009</v>
      </c>
      <c r="CA21">
        <v>1.04</v>
      </c>
      <c r="CB21">
        <v>11.74</v>
      </c>
      <c r="CC21">
        <v>-3.48</v>
      </c>
      <c r="CD21" t="s">
        <v>2031</v>
      </c>
      <c r="CE21" t="s">
        <v>2013</v>
      </c>
      <c r="CF21" s="8">
        <v>0.21301775147928975</v>
      </c>
      <c r="CG21" s="9">
        <v>-3.3515157904557542</v>
      </c>
      <c r="CH21" s="8">
        <v>-0.17296983301639557</v>
      </c>
      <c r="CI21" s="8">
        <v>0.2480790913105011</v>
      </c>
      <c r="CJ21" s="8">
        <v>0.42417916655540466</v>
      </c>
      <c r="CK21" s="8">
        <v>0.52543723583221436</v>
      </c>
      <c r="CL21" s="8">
        <v>-0.11095410585403442</v>
      </c>
      <c r="CM21" s="9">
        <v>-1.5718954801559448</v>
      </c>
      <c r="CN21" s="9">
        <v>9.8002796173095703</v>
      </c>
      <c r="CO21" s="9">
        <v>1.083885133266449E-2</v>
      </c>
      <c r="CP21" s="9">
        <v>-0.36044541001319885</v>
      </c>
      <c r="CQ21" s="9">
        <v>1.0087499618530273</v>
      </c>
      <c r="CR21">
        <v>84.001517761365236</v>
      </c>
      <c r="CS21">
        <v>4.5964178528847617</v>
      </c>
      <c r="CT21">
        <v>0</v>
      </c>
      <c r="CU21" s="8">
        <v>0.18275431096553801</v>
      </c>
      <c r="CV21" s="9">
        <v>1.7775055080652238</v>
      </c>
      <c r="CW21">
        <v>0.06</v>
      </c>
      <c r="CX21" t="e">
        <v>#VALUE!</v>
      </c>
      <c r="CY21" t="s">
        <v>1211</v>
      </c>
      <c r="CZ21">
        <v>0.18275431096553801</v>
      </c>
      <c r="DA21" t="e">
        <v>#VALUE!</v>
      </c>
      <c r="DB21" t="s">
        <v>1179</v>
      </c>
      <c r="DC21">
        <v>0.1736165954172611</v>
      </c>
      <c r="DD21" t="e">
        <v>#VALUE!</v>
      </c>
      <c r="DE21" t="s">
        <v>1179</v>
      </c>
      <c r="DF21">
        <v>0.16082379364967345</v>
      </c>
      <c r="DG21" t="e">
        <v>#VALUE!</v>
      </c>
      <c r="DH21" t="s">
        <v>1179</v>
      </c>
      <c r="DI21">
        <v>0.14620344877243041</v>
      </c>
      <c r="DJ21" t="e">
        <v>#VALUE!</v>
      </c>
      <c r="DK21" t="s">
        <v>1179</v>
      </c>
      <c r="DL21">
        <v>0.12792801767587661</v>
      </c>
      <c r="DM21">
        <v>-175000000</v>
      </c>
      <c r="DN21">
        <v>0.18275431096553801</v>
      </c>
      <c r="DO21">
        <v>3350122800</v>
      </c>
      <c r="DP21">
        <v>-1002360700</v>
      </c>
      <c r="DQ21">
        <v>1055</v>
      </c>
      <c r="DR21">
        <v>3.0263440513751738E-2</v>
      </c>
      <c r="DS21">
        <v>-5.1290212985209784</v>
      </c>
      <c r="DT21" s="10">
        <v>-0.20666666666666669</v>
      </c>
      <c r="DU21">
        <v>-1.29</v>
      </c>
      <c r="DV21">
        <v>-1.4966666666666668</v>
      </c>
      <c r="DW21">
        <v>5.2964224872231682</v>
      </c>
      <c r="DX21">
        <v>0.53620111731843501</v>
      </c>
      <c r="DY21">
        <v>5.1233713703805925</v>
      </c>
      <c r="DZ21">
        <v>4016</v>
      </c>
      <c r="EA21">
        <v>5.0264125790990937</v>
      </c>
      <c r="EB21">
        <v>5</v>
      </c>
      <c r="EC21">
        <v>0.28015403658627458</v>
      </c>
      <c r="ED21">
        <v>0.67312177918044491</v>
      </c>
      <c r="EE21" s="11">
        <v>-3.0137</v>
      </c>
      <c r="EF21">
        <v>-3.0403099999999998</v>
      </c>
      <c r="EG21">
        <v>12.416201117318435</v>
      </c>
      <c r="EH21" t="s">
        <v>2025</v>
      </c>
      <c r="EI21">
        <v>1</v>
      </c>
      <c r="EJ21">
        <v>0</v>
      </c>
      <c r="EK21" s="12">
        <v>45470</v>
      </c>
      <c r="EL21">
        <v>-0.7</v>
      </c>
      <c r="EM21">
        <v>-2.4700000000000002</v>
      </c>
      <c r="EN21">
        <v>10.14</v>
      </c>
      <c r="EO21">
        <v>3.62</v>
      </c>
      <c r="EP21">
        <v>-5.4</v>
      </c>
    </row>
    <row r="22" spans="1:146" ht="96" x14ac:dyDescent="0.25">
      <c r="A22" s="7"/>
      <c r="B22" s="7"/>
      <c r="C22" s="6" t="str">
        <f>""&amp;CHAR(10)&amp;Basic_Fundamental_Information_Constructure(F22)&amp;CHAR(10)&amp;Basic_Fundamental_Information_Concatenate("")</f>
        <v xml:space="preserve">
市值10.9572812亿, 利润-4060.34万; PE; 平均PE-13.87; 平均PEG-1.66, PB1.64; ROIC2.21%; ROE-2.3667%; 股利率0%; 毛利17.3%; 净利-7.9667%; 上一年度营收增8.02%, 利润增34.94%; 当季营收增72.61%, 利润增-87.01%; 过往5年营收增8.37%, 利润增-172.13%
Income profile:
</v>
      </c>
      <c r="D22" t="s">
        <v>1535</v>
      </c>
      <c r="E22" t="s">
        <v>1536</v>
      </c>
      <c r="F22">
        <v>3.65</v>
      </c>
      <c r="G22">
        <v>1.67</v>
      </c>
      <c r="H22" t="s">
        <v>3552</v>
      </c>
      <c r="I22">
        <v>1095728120</v>
      </c>
      <c r="K22">
        <v>1.64</v>
      </c>
      <c r="L22" t="s">
        <v>428</v>
      </c>
      <c r="M22" t="s">
        <v>309</v>
      </c>
      <c r="N22" t="s">
        <v>1866</v>
      </c>
      <c r="O22" t="s">
        <v>61</v>
      </c>
      <c r="P22">
        <v>71.930000000000007</v>
      </c>
      <c r="Q22" t="s">
        <v>345</v>
      </c>
      <c r="R22">
        <v>-4110135</v>
      </c>
      <c r="S22" s="4">
        <v>-0.87019999999999997</v>
      </c>
      <c r="T22" t="s">
        <v>2374</v>
      </c>
      <c r="U22">
        <v>223399460</v>
      </c>
      <c r="V22">
        <v>300199480</v>
      </c>
      <c r="W22">
        <v>1.48</v>
      </c>
      <c r="X22">
        <v>0.1</v>
      </c>
      <c r="Y22">
        <v>-4.0999999999999996</v>
      </c>
      <c r="Z22" t="s">
        <v>137</v>
      </c>
      <c r="AA22" t="s">
        <v>3553</v>
      </c>
      <c r="AB22" t="s">
        <v>3554</v>
      </c>
      <c r="AC22" t="s">
        <v>3555</v>
      </c>
      <c r="AD22" t="s">
        <v>5</v>
      </c>
      <c r="AE22">
        <v>879550</v>
      </c>
      <c r="AF22" t="s">
        <v>2375</v>
      </c>
      <c r="AG22" t="s">
        <v>3556</v>
      </c>
      <c r="AH22" t="s">
        <v>2377</v>
      </c>
      <c r="AI22" t="s">
        <v>3557</v>
      </c>
      <c r="AJ22" t="s">
        <v>2378</v>
      </c>
      <c r="AK22" t="s">
        <v>3558</v>
      </c>
      <c r="AL22" t="s">
        <v>2379</v>
      </c>
      <c r="AM22" t="s">
        <v>5</v>
      </c>
      <c r="AN22" t="s">
        <v>3559</v>
      </c>
      <c r="AO22" t="s">
        <v>94</v>
      </c>
      <c r="AP22" t="s">
        <v>5</v>
      </c>
      <c r="AQ22" t="s">
        <v>6</v>
      </c>
      <c r="AR22" t="s">
        <v>3560</v>
      </c>
      <c r="AS22" t="s">
        <v>351</v>
      </c>
      <c r="AT22" t="s">
        <v>2380</v>
      </c>
      <c r="AU22" t="s">
        <v>3561</v>
      </c>
      <c r="AV22" t="s">
        <v>3562</v>
      </c>
      <c r="AW22" t="s">
        <v>3563</v>
      </c>
      <c r="AX22" t="s">
        <v>488</v>
      </c>
      <c r="AY22" t="s">
        <v>447</v>
      </c>
      <c r="AZ22" t="s">
        <v>246</v>
      </c>
      <c r="BA22" t="s">
        <v>666</v>
      </c>
      <c r="BB22" t="s">
        <v>580</v>
      </c>
      <c r="BC22" t="s">
        <v>2381</v>
      </c>
      <c r="BD22" t="s">
        <v>1537</v>
      </c>
      <c r="BE22" t="s">
        <v>1538</v>
      </c>
      <c r="BF22" t="s">
        <v>1539</v>
      </c>
      <c r="BG22" t="s">
        <v>1540</v>
      </c>
      <c r="BH22" t="s">
        <v>345</v>
      </c>
      <c r="BI22" t="s">
        <v>2382</v>
      </c>
      <c r="BJ22" t="s">
        <v>488</v>
      </c>
      <c r="BK22" t="s">
        <v>2374</v>
      </c>
      <c r="BL22" t="s">
        <v>2383</v>
      </c>
      <c r="BM22" t="s">
        <v>2381</v>
      </c>
      <c r="BN22" t="s">
        <v>5</v>
      </c>
      <c r="BO22" t="s">
        <v>5</v>
      </c>
      <c r="BP22">
        <v>2.21</v>
      </c>
      <c r="BQ22">
        <v>-1.1200000000000001</v>
      </c>
      <c r="BR22">
        <v>-8.3800000000000008</v>
      </c>
      <c r="BS22">
        <v>2.4</v>
      </c>
      <c r="BT22" t="s">
        <v>1670</v>
      </c>
      <c r="BU22" t="s">
        <v>1516</v>
      </c>
      <c r="BV22">
        <v>14.82</v>
      </c>
      <c r="BW22">
        <v>16.510000000000002</v>
      </c>
      <c r="BX22">
        <v>20.57</v>
      </c>
      <c r="BY22">
        <v>-10.24</v>
      </c>
      <c r="BZ22">
        <v>-16.97</v>
      </c>
      <c r="CA22">
        <v>3.31</v>
      </c>
      <c r="CB22">
        <v>-0.27</v>
      </c>
      <c r="CC22">
        <v>-18.16</v>
      </c>
      <c r="CD22" t="s">
        <v>3564</v>
      </c>
      <c r="CE22" t="s">
        <v>198</v>
      </c>
      <c r="CF22" s="8">
        <v>0.72613248398763164</v>
      </c>
      <c r="CG22" s="9">
        <v>-0.87011329511329516</v>
      </c>
      <c r="CH22" s="8">
        <v>8.021390438079834E-2</v>
      </c>
      <c r="CI22" s="8">
        <v>-0.2916666567325592</v>
      </c>
      <c r="CJ22" s="8">
        <v>0.6603773832321167</v>
      </c>
      <c r="CK22" s="8">
        <v>-0.1587301641702652</v>
      </c>
      <c r="CL22" s="8">
        <v>0.12835821509361267</v>
      </c>
      <c r="CM22" s="9">
        <v>0.34936809539794922</v>
      </c>
      <c r="CN22" s="9">
        <v>-4.3944215774536133</v>
      </c>
      <c r="CO22" s="9">
        <v>1.0361195802688599</v>
      </c>
      <c r="CP22" s="9">
        <v>-7.0196723937988281</v>
      </c>
      <c r="CQ22" s="9">
        <v>1.4222069978713989</v>
      </c>
      <c r="CR22">
        <v>-13.865301782226162</v>
      </c>
      <c r="CS22">
        <v>-1.6563389012913838</v>
      </c>
      <c r="CT22">
        <v>0</v>
      </c>
      <c r="CU22" s="8">
        <v>8.3710536360740662E-2</v>
      </c>
      <c r="CV22" s="9">
        <v>-1.7212798595428467</v>
      </c>
      <c r="CW22">
        <v>0.06</v>
      </c>
      <c r="CX22" t="e">
        <v>#VALUE!</v>
      </c>
      <c r="CY22" t="s">
        <v>1211</v>
      </c>
      <c r="CZ22">
        <v>8.3710536360740662E-2</v>
      </c>
      <c r="DA22" t="e">
        <v>#VALUE!</v>
      </c>
      <c r="DB22" t="s">
        <v>1179</v>
      </c>
      <c r="DC22">
        <v>7.9525009542703626E-2</v>
      </c>
      <c r="DD22" t="e">
        <v>#VALUE!</v>
      </c>
      <c r="DE22" t="s">
        <v>1179</v>
      </c>
      <c r="DF22">
        <v>7.3665271997451778E-2</v>
      </c>
      <c r="DG22" t="e">
        <v>#VALUE!</v>
      </c>
      <c r="DH22" t="s">
        <v>1179</v>
      </c>
      <c r="DI22">
        <v>6.6968429088592532E-2</v>
      </c>
      <c r="DJ22" t="e">
        <v>#VALUE!</v>
      </c>
      <c r="DK22" t="s">
        <v>1179</v>
      </c>
      <c r="DL22">
        <v>5.859737545251846E-2</v>
      </c>
      <c r="DM22">
        <v>-40603400</v>
      </c>
      <c r="DN22">
        <v>8.3710536360740662E-2</v>
      </c>
      <c r="DO22">
        <v>759728120</v>
      </c>
      <c r="DP22">
        <v>216739330</v>
      </c>
      <c r="DQ22">
        <v>1084</v>
      </c>
      <c r="DR22">
        <v>0.64242194762689098</v>
      </c>
      <c r="DS22">
        <v>0.85116656442955152</v>
      </c>
      <c r="DT22" s="10">
        <v>-0.44</v>
      </c>
      <c r="DU22">
        <v>-2.0483333333333333</v>
      </c>
      <c r="DV22">
        <v>-2.4883333333333333</v>
      </c>
      <c r="DW22">
        <v>-3.0244285714285715</v>
      </c>
      <c r="DX22">
        <v>0.31865020746887823</v>
      </c>
      <c r="DY22">
        <v>-3.0028984550681685</v>
      </c>
      <c r="DZ22">
        <v>4670</v>
      </c>
      <c r="EA22">
        <v>-3.0002495734305272</v>
      </c>
      <c r="EB22">
        <v>3</v>
      </c>
      <c r="EC22">
        <v>9.5252330217227552E-2</v>
      </c>
      <c r="ED22">
        <v>0.80279952516906428</v>
      </c>
      <c r="EE22" s="11">
        <v>-4.0766999999999998</v>
      </c>
      <c r="EF22">
        <v>-4.0606999999999998</v>
      </c>
      <c r="EG22">
        <v>20.118650207468878</v>
      </c>
      <c r="EH22" t="s">
        <v>2157</v>
      </c>
      <c r="EI22">
        <v>0</v>
      </c>
      <c r="EJ22">
        <v>0</v>
      </c>
      <c r="EK22" s="12">
        <v>45470</v>
      </c>
      <c r="EL22">
        <v>0</v>
      </c>
      <c r="EM22">
        <v>-5.05</v>
      </c>
      <c r="EN22">
        <v>0.56000000000000005</v>
      </c>
      <c r="EO22">
        <v>4.74</v>
      </c>
      <c r="EP22">
        <v>-1.6</v>
      </c>
    </row>
    <row r="23" spans="1:146" ht="204" x14ac:dyDescent="0.25">
      <c r="A23" s="6" t="s">
        <v>2174</v>
      </c>
      <c r="B23" s="6" t="s">
        <v>2173</v>
      </c>
      <c r="C23" s="6" t="str">
        <f>"公司主营业务是精细化工产品和基础化工产品的生产、研发和销售。主要产品是甜味剂安赛蜜、三氯蔗糖；为全球领先的甜味剂产品安赛蜜和三氯蔗糖的生产企业，公司生产的安赛蜜和三氯蔗糖属于第四代、第五代高倍甜味剂，均具有无能量、甜度高、口感纯正、安全性高等特点;"&amp;CHAR(10)&amp;Basic_Fundamental_Information_Constructure(F23)&amp;CHAR(10)&amp;Basic_Fundamental_Information_Concatenate("食品添加剂 22.20亿 61.66% 80.44% 43.60%
大宗化学品 10.52亿 29.21% 19.56% 22.39%
功能性化工品及中间体 1.25亿 3.47%
其他业务 9519.21万 2.64%
电 7943.77万 2.21%
医药中间体 2880.64万 0.80%")</f>
        <v>公司主营业务是精细化工产品和基础化工产品的生产、研发和销售。主要产品是甜味剂安赛蜜、三氯蔗糖；为全球领先的甜味剂产品安赛蜜和三氯蔗糖的生产企业，公司生产的安赛蜜和三氯蔗糖属于第四代、第五代高倍甜味剂，均具有无能量、甜度高、口感纯正、安全性高等特点;
市值112.627075亿, 利润7.04亿; PE19.15; 平均PE11.23; 平均PEG1.24, PB1.55; ROIC15.5667%; ROE19.0533%; 股利率1.0121%; 毛利28.9367%; 净利18.92%; 上一年度营收增-26.74%, 利润增-58.47%; 当季营收增-12.36%, 利润增-47.28%; 过往5年营收增9.03%, 利润增5.37%
Income profile:
食品添加剂 22.20亿 61.66% 80.44% 43.60%
大宗化学品 10.52亿 29.21% 19.56% 22.39%
功能性化工品及中间体 1.25亿 3.47%
其他业务 9519.21万 2.64%
电 7943.77万 2.21%
医药中间体 2880.64万 0.80%</v>
      </c>
      <c r="D23" t="s">
        <v>597</v>
      </c>
      <c r="E23" t="s">
        <v>598</v>
      </c>
      <c r="F23">
        <v>19.760000000000002</v>
      </c>
      <c r="G23">
        <v>1.75</v>
      </c>
      <c r="H23" t="s">
        <v>3565</v>
      </c>
      <c r="I23">
        <v>11262707500</v>
      </c>
      <c r="J23">
        <v>19.149999999999999</v>
      </c>
      <c r="K23">
        <v>1.55</v>
      </c>
      <c r="L23" t="s">
        <v>428</v>
      </c>
      <c r="M23" t="s">
        <v>2054</v>
      </c>
      <c r="N23" t="s">
        <v>3566</v>
      </c>
      <c r="O23" t="s">
        <v>781</v>
      </c>
      <c r="P23">
        <v>-12.3</v>
      </c>
      <c r="Q23" t="s">
        <v>2384</v>
      </c>
      <c r="R23">
        <v>129171600</v>
      </c>
      <c r="S23" s="4">
        <v>-0.47339999999999999</v>
      </c>
      <c r="T23" t="s">
        <v>2071</v>
      </c>
      <c r="U23">
        <v>566678770</v>
      </c>
      <c r="V23">
        <v>569975080</v>
      </c>
      <c r="W23">
        <v>1.42</v>
      </c>
      <c r="X23">
        <v>0.12</v>
      </c>
      <c r="Y23">
        <v>10.64</v>
      </c>
      <c r="Z23" t="s">
        <v>1664</v>
      </c>
      <c r="AA23" t="s">
        <v>3567</v>
      </c>
      <c r="AB23" t="s">
        <v>3568</v>
      </c>
      <c r="AC23" t="s">
        <v>3569</v>
      </c>
      <c r="AD23" t="s">
        <v>5</v>
      </c>
      <c r="AE23">
        <v>-4439118</v>
      </c>
      <c r="AF23" t="s">
        <v>2385</v>
      </c>
      <c r="AG23" t="s">
        <v>3570</v>
      </c>
      <c r="AH23" t="s">
        <v>2386</v>
      </c>
      <c r="AI23" t="s">
        <v>3571</v>
      </c>
      <c r="AJ23" t="s">
        <v>2387</v>
      </c>
      <c r="AK23" t="s">
        <v>5</v>
      </c>
      <c r="AL23" t="s">
        <v>2388</v>
      </c>
      <c r="AM23" t="s">
        <v>5</v>
      </c>
      <c r="AN23" t="s">
        <v>3572</v>
      </c>
      <c r="AO23" t="s">
        <v>650</v>
      </c>
      <c r="AP23" t="s">
        <v>474</v>
      </c>
      <c r="AQ23" t="s">
        <v>2575</v>
      </c>
      <c r="AR23" t="s">
        <v>5</v>
      </c>
      <c r="AS23" t="s">
        <v>2834</v>
      </c>
      <c r="AT23" t="s">
        <v>725</v>
      </c>
      <c r="AU23" t="s">
        <v>3573</v>
      </c>
      <c r="AV23" t="s">
        <v>3574</v>
      </c>
      <c r="AW23" t="s">
        <v>833</v>
      </c>
      <c r="AX23" t="s">
        <v>1759</v>
      </c>
      <c r="AY23" t="s">
        <v>1255</v>
      </c>
      <c r="AZ23" t="s">
        <v>1257</v>
      </c>
      <c r="BA23" t="s">
        <v>601</v>
      </c>
      <c r="BB23" t="s">
        <v>602</v>
      </c>
      <c r="BC23" t="s">
        <v>1639</v>
      </c>
      <c r="BD23" t="s">
        <v>1256</v>
      </c>
      <c r="BE23" t="s">
        <v>174</v>
      </c>
      <c r="BF23" t="s">
        <v>603</v>
      </c>
      <c r="BG23" t="s">
        <v>177</v>
      </c>
      <c r="BH23" t="s">
        <v>2384</v>
      </c>
      <c r="BI23" t="s">
        <v>1344</v>
      </c>
      <c r="BJ23" t="s">
        <v>1759</v>
      </c>
      <c r="BK23" t="s">
        <v>2071</v>
      </c>
      <c r="BL23" t="s">
        <v>390</v>
      </c>
      <c r="BM23" t="s">
        <v>1639</v>
      </c>
      <c r="BN23">
        <v>6.41</v>
      </c>
      <c r="BO23">
        <v>21.85</v>
      </c>
      <c r="BP23">
        <v>18.440000000000001</v>
      </c>
      <c r="BQ23">
        <v>8.0399999999999991</v>
      </c>
      <c r="BR23">
        <v>27.03</v>
      </c>
      <c r="BS23">
        <v>22.09</v>
      </c>
      <c r="BT23" t="s">
        <v>1671</v>
      </c>
      <c r="BU23" t="s">
        <v>1534</v>
      </c>
      <c r="BV23">
        <v>23.47</v>
      </c>
      <c r="BW23">
        <v>35.17</v>
      </c>
      <c r="BX23">
        <v>28.17</v>
      </c>
      <c r="BY23">
        <v>13.26</v>
      </c>
      <c r="BZ23">
        <v>23.37</v>
      </c>
      <c r="CA23">
        <v>20.13</v>
      </c>
      <c r="CB23">
        <v>-0.65</v>
      </c>
      <c r="CC23">
        <v>-12.87</v>
      </c>
      <c r="CD23" t="s">
        <v>3575</v>
      </c>
      <c r="CE23" t="s">
        <v>69</v>
      </c>
      <c r="CF23" s="8">
        <v>-0.12355491329479769</v>
      </c>
      <c r="CG23" s="9">
        <v>-0.47276897959183678</v>
      </c>
      <c r="CH23" s="8">
        <v>-0.26744824647903442</v>
      </c>
      <c r="CI23" s="8">
        <v>0.24037632346153259</v>
      </c>
      <c r="CJ23" s="8">
        <v>0.59438091516494751</v>
      </c>
      <c r="CK23" s="8">
        <v>-7.7039308845996857E-2</v>
      </c>
      <c r="CL23" s="8">
        <v>-3.8954738527536392E-2</v>
      </c>
      <c r="CM23" s="9">
        <v>-0.58466076850891113</v>
      </c>
      <c r="CN23" s="9">
        <v>0.44010210037231445</v>
      </c>
      <c r="CO23" s="9">
        <v>0.63699573278427124</v>
      </c>
      <c r="CP23" s="9">
        <v>-0.11124845594167709</v>
      </c>
      <c r="CQ23" s="9">
        <v>-0.11293859779834747</v>
      </c>
      <c r="CR23">
        <v>11.23275349069149</v>
      </c>
      <c r="CS23">
        <v>1.2444473222927031</v>
      </c>
      <c r="CT23">
        <v>1.0121457489878543</v>
      </c>
      <c r="CU23" s="8">
        <v>9.0262988954782492E-2</v>
      </c>
      <c r="CV23" s="9">
        <v>5.3650002181530002E-2</v>
      </c>
      <c r="CW23">
        <v>0.06</v>
      </c>
      <c r="CX23">
        <v>9.0936539726991032</v>
      </c>
      <c r="CY23">
        <v>724099192.66430831</v>
      </c>
      <c r="CZ23">
        <v>9.0262988954782492E-2</v>
      </c>
      <c r="DA23">
        <v>2.9710595929170891</v>
      </c>
      <c r="DB23">
        <v>2216282539.6359377</v>
      </c>
      <c r="DC23">
        <v>8.574983950704336E-2</v>
      </c>
      <c r="DD23">
        <v>1.4621483013013603</v>
      </c>
      <c r="DE23">
        <v>4503447081.3524141</v>
      </c>
      <c r="DF23">
        <v>7.943143028020859E-2</v>
      </c>
      <c r="DG23">
        <v>0.87775041578520641</v>
      </c>
      <c r="DH23">
        <v>7501799351.5953398</v>
      </c>
      <c r="DI23">
        <v>7.2210391163825993E-2</v>
      </c>
      <c r="DJ23">
        <v>0.45309736096841763</v>
      </c>
      <c r="DK23">
        <v>14532654716.695595</v>
      </c>
      <c r="DL23">
        <v>6.3184092268347744E-2</v>
      </c>
      <c r="DM23">
        <v>704000000</v>
      </c>
      <c r="DN23">
        <v>9.0262988954782492E-2</v>
      </c>
      <c r="DO23">
        <v>6584707500.000001</v>
      </c>
      <c r="DP23">
        <v>3523058400</v>
      </c>
      <c r="DQ23">
        <v>1090</v>
      </c>
      <c r="DR23">
        <v>-0.21381790224958019</v>
      </c>
      <c r="DS23">
        <v>-0.52641898177336677</v>
      </c>
      <c r="DT23" s="10">
        <v>-0.32333333333333331</v>
      </c>
      <c r="DU23">
        <v>2.9999999999999988E-2</v>
      </c>
      <c r="DV23">
        <v>-0.29333333333333333</v>
      </c>
      <c r="DW23">
        <v>-2.1286999999999998</v>
      </c>
      <c r="DX23">
        <v>0.35248813559322056</v>
      </c>
      <c r="DY23">
        <v>-2.0170512230508475</v>
      </c>
      <c r="DZ23">
        <v>2428</v>
      </c>
      <c r="EA23">
        <v>-2.0089493894760024</v>
      </c>
      <c r="EB23">
        <v>2</v>
      </c>
      <c r="EC23">
        <v>2.7428567578779053E-2</v>
      </c>
      <c r="ED23">
        <v>0.20702659491709707</v>
      </c>
      <c r="EE23" s="11">
        <v>1.1041099999999999</v>
      </c>
      <c r="EF23">
        <v>1.1444099999999999</v>
      </c>
      <c r="EG23">
        <v>22.132488135593221</v>
      </c>
      <c r="EH23" t="s">
        <v>1693</v>
      </c>
      <c r="EI23">
        <v>0</v>
      </c>
      <c r="EJ23">
        <v>0</v>
      </c>
      <c r="EK23" s="12">
        <v>45470</v>
      </c>
      <c r="EL23">
        <v>-1.33</v>
      </c>
      <c r="EM23">
        <v>-3.79</v>
      </c>
      <c r="EN23">
        <v>0.6</v>
      </c>
      <c r="EO23">
        <v>2.33</v>
      </c>
      <c r="EP23">
        <v>-4.03</v>
      </c>
    </row>
    <row r="24" spans="1:146" ht="96" x14ac:dyDescent="0.25">
      <c r="A24" s="6"/>
      <c r="B24" s="6"/>
      <c r="C24" s="6" t="str">
        <f>""&amp;CHAR(10)&amp;Basic_Fundamental_Information_Constructure(F24)&amp;CHAR(10)&amp;Basic_Fundamental_Information_Concatenate("")</f>
        <v xml:space="preserve">
市值40.031125亿, 利润8788.17万; PE34.39; 平均PE14.2; 平均PEG1.73, PB1.09; ROIC8.105%; ROE7.7167%; 股利率1.1751%; 毛利8.6967%; 净利2.1567%; 上一年度营收增-14.45%, 利润增225.62%; 当季营收增-11.69%, 利润增126.15%; 过往5年营收增8.23%, 利润增68.78%
Income profile:
</v>
      </c>
      <c r="D24" t="s">
        <v>605</v>
      </c>
      <c r="E24" t="s">
        <v>606</v>
      </c>
      <c r="F24">
        <v>8.51</v>
      </c>
      <c r="G24">
        <v>1.07</v>
      </c>
      <c r="H24" t="s">
        <v>3576</v>
      </c>
      <c r="I24">
        <v>4003112500</v>
      </c>
      <c r="J24">
        <v>34.39</v>
      </c>
      <c r="K24">
        <v>1.0900000000000001</v>
      </c>
      <c r="L24" t="s">
        <v>428</v>
      </c>
      <c r="M24" t="s">
        <v>2389</v>
      </c>
      <c r="N24" t="s">
        <v>3577</v>
      </c>
      <c r="O24" t="s">
        <v>810</v>
      </c>
      <c r="P24">
        <v>-11.68</v>
      </c>
      <c r="Q24" t="s">
        <v>2390</v>
      </c>
      <c r="R24">
        <v>51156608</v>
      </c>
      <c r="S24" s="4">
        <v>1.262</v>
      </c>
      <c r="T24" t="s">
        <v>2391</v>
      </c>
      <c r="U24">
        <v>442490160</v>
      </c>
      <c r="V24">
        <v>470401000</v>
      </c>
      <c r="W24">
        <v>2.14</v>
      </c>
      <c r="X24">
        <v>0.31</v>
      </c>
      <c r="Y24">
        <v>1.96</v>
      </c>
      <c r="Z24" t="s">
        <v>3578</v>
      </c>
      <c r="AA24" t="s">
        <v>3579</v>
      </c>
      <c r="AB24" t="s">
        <v>3580</v>
      </c>
      <c r="AC24" t="s">
        <v>3581</v>
      </c>
      <c r="AD24" t="s">
        <v>5</v>
      </c>
      <c r="AE24">
        <v>16784194</v>
      </c>
      <c r="AF24" t="s">
        <v>2392</v>
      </c>
      <c r="AG24" t="s">
        <v>3582</v>
      </c>
      <c r="AH24" t="s">
        <v>2393</v>
      </c>
      <c r="AI24" t="s">
        <v>2089</v>
      </c>
      <c r="AJ24" t="s">
        <v>2394</v>
      </c>
      <c r="AK24" t="s">
        <v>5</v>
      </c>
      <c r="AL24" t="s">
        <v>2395</v>
      </c>
      <c r="AM24" t="s">
        <v>5</v>
      </c>
      <c r="AN24" t="s">
        <v>222</v>
      </c>
      <c r="AO24" t="s">
        <v>3583</v>
      </c>
      <c r="AP24" t="s">
        <v>522</v>
      </c>
      <c r="AQ24" t="s">
        <v>409</v>
      </c>
      <c r="AR24" t="s">
        <v>3584</v>
      </c>
      <c r="AS24" t="s">
        <v>3501</v>
      </c>
      <c r="AT24" t="s">
        <v>2119</v>
      </c>
      <c r="AU24" t="s">
        <v>3585</v>
      </c>
      <c r="AV24" t="s">
        <v>3586</v>
      </c>
      <c r="AW24" t="s">
        <v>3587</v>
      </c>
      <c r="AX24" t="s">
        <v>1760</v>
      </c>
      <c r="AY24" t="s">
        <v>1258</v>
      </c>
      <c r="AZ24" t="s">
        <v>1263</v>
      </c>
      <c r="BA24" t="s">
        <v>608</v>
      </c>
      <c r="BB24" t="s">
        <v>609</v>
      </c>
      <c r="BC24" t="s">
        <v>2396</v>
      </c>
      <c r="BD24" t="s">
        <v>1259</v>
      </c>
      <c r="BE24" t="s">
        <v>607</v>
      </c>
      <c r="BF24" t="s">
        <v>168</v>
      </c>
      <c r="BG24" t="s">
        <v>65</v>
      </c>
      <c r="BH24" t="s">
        <v>2390</v>
      </c>
      <c r="BI24" t="s">
        <v>1753</v>
      </c>
      <c r="BJ24" t="s">
        <v>1760</v>
      </c>
      <c r="BK24" t="s">
        <v>2391</v>
      </c>
      <c r="BL24" t="s">
        <v>2397</v>
      </c>
      <c r="BM24" t="s">
        <v>2396</v>
      </c>
      <c r="BN24">
        <v>1.69</v>
      </c>
      <c r="BO24" t="s">
        <v>5</v>
      </c>
      <c r="BP24">
        <v>14.52</v>
      </c>
      <c r="BQ24">
        <v>3.14</v>
      </c>
      <c r="BR24">
        <v>-1.87</v>
      </c>
      <c r="BS24">
        <v>21.88</v>
      </c>
      <c r="BT24" t="s">
        <v>1674</v>
      </c>
      <c r="BU24" t="s">
        <v>1516</v>
      </c>
      <c r="BV24">
        <v>6.18</v>
      </c>
      <c r="BW24">
        <v>5.1100000000000003</v>
      </c>
      <c r="BX24">
        <v>14.8</v>
      </c>
      <c r="BY24">
        <v>0.47</v>
      </c>
      <c r="BZ24">
        <v>-1.18</v>
      </c>
      <c r="CA24">
        <v>7.18</v>
      </c>
      <c r="CB24">
        <v>0.59</v>
      </c>
      <c r="CC24">
        <v>-10.33</v>
      </c>
      <c r="CD24" t="s">
        <v>3588</v>
      </c>
      <c r="CE24" t="s">
        <v>3589</v>
      </c>
      <c r="CF24" s="8">
        <v>-0.11685962373371925</v>
      </c>
      <c r="CG24" s="9">
        <v>1.2615153511195596</v>
      </c>
      <c r="CH24" s="8">
        <v>-0.14445927739143372</v>
      </c>
      <c r="CI24" s="8">
        <v>3.0354317277669907E-3</v>
      </c>
      <c r="CJ24" s="8">
        <v>0.43528959155082703</v>
      </c>
      <c r="CK24" s="8">
        <v>0.18601831793785095</v>
      </c>
      <c r="CL24" s="8">
        <v>-6.8516455590724945E-2</v>
      </c>
      <c r="CM24" s="9">
        <v>2.2562119960784912</v>
      </c>
      <c r="CN24" s="9">
        <v>-1.0878865718841553</v>
      </c>
      <c r="CO24" s="9">
        <v>1.3072463274002075</v>
      </c>
      <c r="CP24" s="9">
        <v>-2.5423727929592133E-2</v>
      </c>
      <c r="CQ24" s="9">
        <v>0.98876404762268066</v>
      </c>
      <c r="CR24">
        <v>14.204467498243563</v>
      </c>
      <c r="CS24">
        <v>1.72649319172375</v>
      </c>
      <c r="CT24">
        <v>1.1750881316098707</v>
      </c>
      <c r="CU24" s="8">
        <v>8.2273521646857264E-2</v>
      </c>
      <c r="CV24" s="9">
        <v>0.6877824142575264</v>
      </c>
      <c r="CW24">
        <v>0.06</v>
      </c>
      <c r="CX24">
        <v>48.770685592293638</v>
      </c>
      <c r="CY24">
        <v>89728336.742747754</v>
      </c>
      <c r="CZ24">
        <v>8.2273521646857264E-2</v>
      </c>
      <c r="DA24">
        <v>16.042514003450414</v>
      </c>
      <c r="DB24">
        <v>272782214.74880987</v>
      </c>
      <c r="DC24">
        <v>7.8159845564514399E-2</v>
      </c>
      <c r="DD24">
        <v>7.9666148909836352</v>
      </c>
      <c r="DE24">
        <v>549306394.23185205</v>
      </c>
      <c r="DF24">
        <v>7.2400699049234393E-2</v>
      </c>
      <c r="DG24">
        <v>4.831255328813727</v>
      </c>
      <c r="DH24">
        <v>905792015.15199506</v>
      </c>
      <c r="DI24">
        <v>6.5818817317485817E-2</v>
      </c>
      <c r="DJ24">
        <v>2.5497401042503709</v>
      </c>
      <c r="DK24">
        <v>1716297473.8896325</v>
      </c>
      <c r="DL24">
        <v>5.759146515280008E-2</v>
      </c>
      <c r="DM24">
        <v>87881700</v>
      </c>
      <c r="DN24">
        <v>8.2273521646857264E-2</v>
      </c>
      <c r="DO24">
        <v>4376112500</v>
      </c>
      <c r="DP24">
        <v>447257600</v>
      </c>
      <c r="DQ24">
        <v>1127</v>
      </c>
      <c r="DR24">
        <v>-0.19913314538057653</v>
      </c>
      <c r="DS24">
        <v>0.57373293686203319</v>
      </c>
      <c r="DT24" s="10">
        <v>-0.19000000000000003</v>
      </c>
      <c r="DU24">
        <v>0.49</v>
      </c>
      <c r="DV24">
        <v>0.29999999999999993</v>
      </c>
      <c r="DW24">
        <v>-2.1032999999999999</v>
      </c>
      <c r="DX24">
        <v>0.25257624480265395</v>
      </c>
      <c r="DY24">
        <v>-2.0095631260881142</v>
      </c>
      <c r="DZ24">
        <v>1044</v>
      </c>
      <c r="EA24">
        <v>-2.0076093288990746</v>
      </c>
      <c r="EB24">
        <v>2</v>
      </c>
      <c r="EC24">
        <v>1.9217008467243904E-2</v>
      </c>
      <c r="ED24">
        <v>0.20758034102818659</v>
      </c>
      <c r="EE24" s="11">
        <v>-5.0477999999999996</v>
      </c>
      <c r="EF24">
        <v>-5.0202</v>
      </c>
      <c r="EG24">
        <v>16.092576244802654</v>
      </c>
      <c r="EH24" t="s">
        <v>2167</v>
      </c>
      <c r="EI24">
        <v>0</v>
      </c>
      <c r="EJ24">
        <v>1</v>
      </c>
      <c r="EK24" s="12">
        <v>45470</v>
      </c>
      <c r="EL24">
        <v>-1.04</v>
      </c>
      <c r="EM24">
        <v>-3.03</v>
      </c>
      <c r="EN24">
        <v>1.92</v>
      </c>
      <c r="EO24">
        <v>2.59</v>
      </c>
      <c r="EP24">
        <v>-2.76</v>
      </c>
    </row>
    <row r="25" spans="1:146" ht="156" x14ac:dyDescent="0.25">
      <c r="A25" s="6" t="s">
        <v>1696</v>
      </c>
      <c r="B25" s="6"/>
      <c r="C25" s="6" t="str">
        <f>"公司主要业务为(聚)丙烯、丙烯酸及酯、乙二醇、环氧乙烷和聚乙烯等产品的生产和销售。公司形成以轻烃一体化为核心打造化学新材料科技型企业的战略"&amp;CHAR(10)&amp;Basic_Fundamental_Information_Constructure(F25)&amp;CHAR(10)&amp;Basic_Fundamental_Information_Concatenate("功能化学品 110.73亿 58.86% 74.25% 30.89%
其他业务 47.85亿 25.43% 3.26% 3.14%
高分子新材料 28.46亿 15.13% 21.58% 34.93%
新能源材料 1.09亿 0.58% 0.90% 38.02%")</f>
        <v>公司主要业务为(聚)丙烯、丙烯酸及酯、乙二醇、环氧乙烷和聚乙烯等产品的生产和销售。公司形成以轻烃一体化为核心打造化学新材料科技型企业的战略
市值611.74606亿, 利润47.89亿; PE11.96; 平均PE20.66; 平均PEG.48, PB2.31; ROIC13.6367%; ROE22.0567%; 股利率2.2026%; 毛利22.6933%; 净利13.6333%; 上一年度营收增12%, 利润增54.68%; 当季营收增-6.94%, 利润增46.51%; 过往5年营收增42.84%, 利润增66.73%
Income profile:
功能化学品 110.73亿 58.86% 74.25% 30.89%
其他业务 47.85亿 25.43% 3.26% 3.14%
高分子新材料 28.46亿 15.13% 21.58% 34.93%
新能源材料 1.09亿 0.58% 0.90% 38.02%</v>
      </c>
      <c r="D25" t="s">
        <v>1130</v>
      </c>
      <c r="E25" t="s">
        <v>1131</v>
      </c>
      <c r="F25">
        <v>18.16</v>
      </c>
      <c r="G25">
        <v>-1.25</v>
      </c>
      <c r="H25" t="s">
        <v>3590</v>
      </c>
      <c r="I25">
        <v>61174606000</v>
      </c>
      <c r="J25">
        <v>11.96</v>
      </c>
      <c r="K25">
        <v>2.31</v>
      </c>
      <c r="L25" t="s">
        <v>428</v>
      </c>
      <c r="M25" t="s">
        <v>2398</v>
      </c>
      <c r="N25" t="s">
        <v>3591</v>
      </c>
      <c r="O25" t="s">
        <v>2399</v>
      </c>
      <c r="P25">
        <v>-6.95</v>
      </c>
      <c r="Q25" t="s">
        <v>2400</v>
      </c>
      <c r="R25">
        <v>1022615450</v>
      </c>
      <c r="S25" s="4">
        <v>0.46550000000000002</v>
      </c>
      <c r="T25" t="s">
        <v>2401</v>
      </c>
      <c r="U25">
        <v>3366380900</v>
      </c>
      <c r="V25">
        <v>3368645700</v>
      </c>
      <c r="W25">
        <v>2.48</v>
      </c>
      <c r="X25">
        <v>0.14000000000000001</v>
      </c>
      <c r="Y25">
        <v>11.59</v>
      </c>
      <c r="Z25" t="s">
        <v>3592</v>
      </c>
      <c r="AA25" t="s">
        <v>3593</v>
      </c>
      <c r="AB25" t="s">
        <v>3594</v>
      </c>
      <c r="AC25" t="s">
        <v>173</v>
      </c>
      <c r="AD25" t="s">
        <v>5</v>
      </c>
      <c r="AE25">
        <v>283481300</v>
      </c>
      <c r="AF25" t="s">
        <v>2402</v>
      </c>
      <c r="AG25" t="s">
        <v>3595</v>
      </c>
      <c r="AH25" t="s">
        <v>2403</v>
      </c>
      <c r="AI25" t="s">
        <v>3596</v>
      </c>
      <c r="AJ25" t="s">
        <v>2404</v>
      </c>
      <c r="AK25" t="s">
        <v>5</v>
      </c>
      <c r="AL25" t="s">
        <v>2405</v>
      </c>
      <c r="AM25" t="s">
        <v>5</v>
      </c>
      <c r="AN25" t="s">
        <v>3597</v>
      </c>
      <c r="AO25" t="s">
        <v>3598</v>
      </c>
      <c r="AP25" t="s">
        <v>72</v>
      </c>
      <c r="AQ25" t="s">
        <v>3599</v>
      </c>
      <c r="AR25" t="s">
        <v>2406</v>
      </c>
      <c r="AS25" t="s">
        <v>3600</v>
      </c>
      <c r="AT25" t="s">
        <v>3601</v>
      </c>
      <c r="AU25" t="s">
        <v>1463</v>
      </c>
      <c r="AV25" t="s">
        <v>3602</v>
      </c>
      <c r="AW25" t="s">
        <v>3278</v>
      </c>
      <c r="AX25" t="s">
        <v>2407</v>
      </c>
      <c r="AY25" t="s">
        <v>1264</v>
      </c>
      <c r="AZ25" t="s">
        <v>1266</v>
      </c>
      <c r="BA25" t="s">
        <v>1132</v>
      </c>
      <c r="BB25" t="s">
        <v>1133</v>
      </c>
      <c r="BC25" t="s">
        <v>2408</v>
      </c>
      <c r="BD25" t="s">
        <v>1265</v>
      </c>
      <c r="BE25" t="s">
        <v>1015</v>
      </c>
      <c r="BF25" t="s">
        <v>957</v>
      </c>
      <c r="BG25" t="s">
        <v>355</v>
      </c>
      <c r="BH25" t="s">
        <v>2400</v>
      </c>
      <c r="BI25" t="s">
        <v>2409</v>
      </c>
      <c r="BJ25" t="s">
        <v>2407</v>
      </c>
      <c r="BK25" t="s">
        <v>2401</v>
      </c>
      <c r="BL25" t="s">
        <v>1790</v>
      </c>
      <c r="BM25" t="s">
        <v>2408</v>
      </c>
      <c r="BN25">
        <v>10.34</v>
      </c>
      <c r="BO25">
        <v>9.9600000000000009</v>
      </c>
      <c r="BP25">
        <v>20.61</v>
      </c>
      <c r="BQ25">
        <v>14.83</v>
      </c>
      <c r="BR25">
        <v>14.92</v>
      </c>
      <c r="BS25">
        <v>36.42</v>
      </c>
      <c r="BT25" t="s">
        <v>1677</v>
      </c>
      <c r="BU25" t="s">
        <v>1516</v>
      </c>
      <c r="BV25">
        <v>19.84</v>
      </c>
      <c r="BW25">
        <v>16.52</v>
      </c>
      <c r="BX25">
        <v>31.72</v>
      </c>
      <c r="BY25">
        <v>11.53</v>
      </c>
      <c r="BZ25">
        <v>8.31</v>
      </c>
      <c r="CA25">
        <v>21.06</v>
      </c>
      <c r="CB25">
        <v>1</v>
      </c>
      <c r="CC25">
        <v>-2.1</v>
      </c>
      <c r="CD25" t="s">
        <v>3603</v>
      </c>
      <c r="CE25" t="s">
        <v>2091</v>
      </c>
      <c r="CF25" s="8">
        <v>-6.9435637285986049E-2</v>
      </c>
      <c r="CG25" s="9">
        <v>0.46506511461318051</v>
      </c>
      <c r="CH25" s="8">
        <v>0.11996869742870331</v>
      </c>
      <c r="CI25" s="8">
        <v>0.29715999960899353</v>
      </c>
      <c r="CJ25" s="8">
        <v>1.6507936716079712</v>
      </c>
      <c r="CK25" s="8">
        <v>-5.5660231737419963E-4</v>
      </c>
      <c r="CL25" s="8">
        <v>7.4783146381378174E-2</v>
      </c>
      <c r="CM25" s="9">
        <v>0.54683470726013184</v>
      </c>
      <c r="CN25" s="9">
        <v>-0.48460131883621216</v>
      </c>
      <c r="CO25" s="9">
        <v>2.6164963245391846</v>
      </c>
      <c r="CP25" s="9">
        <v>0.30479183793067932</v>
      </c>
      <c r="CQ25" s="9">
        <v>0.35281607508659363</v>
      </c>
      <c r="CR25">
        <v>20.658954015872123</v>
      </c>
      <c r="CS25">
        <v>0.48220163157891666</v>
      </c>
      <c r="CT25">
        <v>2.2026431718061672</v>
      </c>
      <c r="CU25" s="8">
        <v>0.42842978254193442</v>
      </c>
      <c r="CV25" s="9">
        <v>0.66726752519607546</v>
      </c>
      <c r="CW25">
        <v>0.06</v>
      </c>
      <c r="CX25">
        <v>11.422045791615918</v>
      </c>
      <c r="CY25">
        <v>6453537951.5031357</v>
      </c>
      <c r="CZ25">
        <v>0.42842978254193442</v>
      </c>
      <c r="DA25">
        <v>2.8357020660333188</v>
      </c>
      <c r="DB25">
        <v>25994481889.668976</v>
      </c>
      <c r="DC25">
        <v>0.40700829341483769</v>
      </c>
      <c r="DD25">
        <v>0.93099746744106648</v>
      </c>
      <c r="DE25">
        <v>79175946850.431274</v>
      </c>
      <c r="DF25">
        <v>0.37701820863690227</v>
      </c>
      <c r="DG25">
        <v>0.33627580468005008</v>
      </c>
      <c r="DH25">
        <v>219202823914.53625</v>
      </c>
      <c r="DI25">
        <v>0.34274382603354758</v>
      </c>
      <c r="DJ25">
        <v>4.8835315888758592E-2</v>
      </c>
      <c r="DK25">
        <v>1509411880695.2964</v>
      </c>
      <c r="DL25">
        <v>0.29990084777935405</v>
      </c>
      <c r="DM25">
        <v>4789000000</v>
      </c>
      <c r="DN25">
        <v>0.42842978254193442</v>
      </c>
      <c r="DO25">
        <v>73712606000</v>
      </c>
      <c r="DP25">
        <v>51154399.999998093</v>
      </c>
      <c r="DQ25">
        <v>1138</v>
      </c>
      <c r="DR25">
        <v>-0.49786541982792049</v>
      </c>
      <c r="DS25">
        <v>-0.20220241058289495</v>
      </c>
      <c r="DT25" s="10">
        <v>-2.3333333333333355E-2</v>
      </c>
      <c r="DU25">
        <v>0.85499999999999998</v>
      </c>
      <c r="DV25">
        <v>0.83166666666666667</v>
      </c>
      <c r="DW25">
        <v>-2.1000000000000001E-2</v>
      </c>
      <c r="DX25">
        <v>0.45259579600886823</v>
      </c>
      <c r="DY25">
        <v>-4.2545117161862534E-3</v>
      </c>
      <c r="DZ25">
        <v>317</v>
      </c>
      <c r="EA25">
        <v>-3.9905821243993566E-3</v>
      </c>
      <c r="EB25">
        <v>0</v>
      </c>
      <c r="EC25">
        <v>2.7123867612435466E-2</v>
      </c>
      <c r="ED25">
        <v>0.13388169613681841</v>
      </c>
      <c r="EE25" s="11">
        <v>3.0161099999999998</v>
      </c>
      <c r="EF25">
        <v>3.0474100000000002</v>
      </c>
      <c r="EG25">
        <v>25.202595796008868</v>
      </c>
      <c r="EH25" t="s">
        <v>2159</v>
      </c>
      <c r="EI25">
        <v>0</v>
      </c>
      <c r="EJ25">
        <v>1</v>
      </c>
      <c r="EK25" s="12">
        <v>45470</v>
      </c>
      <c r="EL25">
        <v>1</v>
      </c>
      <c r="EM25">
        <v>-0.11</v>
      </c>
      <c r="EN25">
        <v>2.04</v>
      </c>
      <c r="EO25">
        <v>-1.57</v>
      </c>
      <c r="EP25">
        <v>-3.13</v>
      </c>
    </row>
    <row r="26" spans="1:146" ht="96" x14ac:dyDescent="0.25">
      <c r="A26" s="6"/>
      <c r="B26" s="6"/>
      <c r="C26" s="6" t="str">
        <f>""&amp;CHAR(10)&amp;Basic_Fundamental_Information_Constructure(F26)&amp;CHAR(10)&amp;Basic_Fundamental_Information_Concatenate("")</f>
        <v xml:space="preserve">
市值27.080421亿, 利润4406.85万; PE73.8; 平均PE17.46; 平均PEG1.89, PB.795; ROIC3.3933%; ROE3.4433%; 股利率1.8663%; 毛利11.4767%; 净利2.1133%; 上一年度营收增16.63%, 利润增6.35%; 当季营收增-2.59%, 利润增-25.05%; 过往5年营收增9.23%, 利润增-2.58%
Income profile:
</v>
      </c>
      <c r="D26" t="s">
        <v>610</v>
      </c>
      <c r="E26" t="s">
        <v>611</v>
      </c>
      <c r="F26">
        <v>3.59</v>
      </c>
      <c r="G26">
        <v>0.84</v>
      </c>
      <c r="H26" t="s">
        <v>3604</v>
      </c>
      <c r="I26">
        <v>2708042100</v>
      </c>
      <c r="J26">
        <v>73.8</v>
      </c>
      <c r="K26">
        <v>0.79500000000000004</v>
      </c>
      <c r="L26" t="s">
        <v>428</v>
      </c>
      <c r="M26" t="s">
        <v>2410</v>
      </c>
      <c r="N26" t="s">
        <v>3605</v>
      </c>
      <c r="O26" t="s">
        <v>1788</v>
      </c>
      <c r="P26">
        <v>-2.63</v>
      </c>
      <c r="Q26" t="s">
        <v>2411</v>
      </c>
      <c r="R26">
        <v>22067444</v>
      </c>
      <c r="S26" s="4">
        <v>-0.2505</v>
      </c>
      <c r="T26" t="s">
        <v>2412</v>
      </c>
      <c r="U26">
        <v>445804750</v>
      </c>
      <c r="V26">
        <v>754329270</v>
      </c>
      <c r="W26">
        <v>1.47</v>
      </c>
      <c r="X26">
        <v>0.19</v>
      </c>
      <c r="Y26">
        <v>2.2200000000000002</v>
      </c>
      <c r="Z26" t="s">
        <v>990</v>
      </c>
      <c r="AA26" t="s">
        <v>1802</v>
      </c>
      <c r="AB26" t="s">
        <v>3606</v>
      </c>
      <c r="AC26" t="s">
        <v>3607</v>
      </c>
      <c r="AD26" t="s">
        <v>5</v>
      </c>
      <c r="AE26">
        <v>13203391</v>
      </c>
      <c r="AF26" t="s">
        <v>2413</v>
      </c>
      <c r="AG26" t="s">
        <v>3608</v>
      </c>
      <c r="AH26" t="s">
        <v>2414</v>
      </c>
      <c r="AI26" t="s">
        <v>514</v>
      </c>
      <c r="AJ26" t="s">
        <v>2415</v>
      </c>
      <c r="AK26" t="s">
        <v>3609</v>
      </c>
      <c r="AL26" t="s">
        <v>2416</v>
      </c>
      <c r="AM26" t="s">
        <v>5</v>
      </c>
      <c r="AN26" t="s">
        <v>40</v>
      </c>
      <c r="AO26" t="s">
        <v>1811</v>
      </c>
      <c r="AP26" t="s">
        <v>158</v>
      </c>
      <c r="AQ26" t="s">
        <v>363</v>
      </c>
      <c r="AR26" t="s">
        <v>3610</v>
      </c>
      <c r="AS26" t="s">
        <v>3611</v>
      </c>
      <c r="AT26" t="s">
        <v>160</v>
      </c>
      <c r="AU26" t="s">
        <v>186</v>
      </c>
      <c r="AV26" t="s">
        <v>3612</v>
      </c>
      <c r="AW26" t="s">
        <v>3613</v>
      </c>
      <c r="AX26" t="s">
        <v>1761</v>
      </c>
      <c r="AY26" t="s">
        <v>1250</v>
      </c>
      <c r="AZ26" t="s">
        <v>1267</v>
      </c>
      <c r="BA26" t="s">
        <v>612</v>
      </c>
      <c r="BB26" t="s">
        <v>613</v>
      </c>
      <c r="BC26" t="s">
        <v>455</v>
      </c>
      <c r="BD26" t="s">
        <v>304</v>
      </c>
      <c r="BE26" t="s">
        <v>1221</v>
      </c>
      <c r="BF26" t="s">
        <v>52</v>
      </c>
      <c r="BG26" t="s">
        <v>100</v>
      </c>
      <c r="BH26" t="s">
        <v>2411</v>
      </c>
      <c r="BI26" t="s">
        <v>1073</v>
      </c>
      <c r="BJ26" t="s">
        <v>1761</v>
      </c>
      <c r="BK26" t="s">
        <v>2412</v>
      </c>
      <c r="BL26" t="s">
        <v>2417</v>
      </c>
      <c r="BM26" t="s">
        <v>455</v>
      </c>
      <c r="BN26">
        <v>1.6</v>
      </c>
      <c r="BO26">
        <v>1.42</v>
      </c>
      <c r="BP26">
        <v>7.16</v>
      </c>
      <c r="BQ26">
        <v>1.52</v>
      </c>
      <c r="BR26">
        <v>1.2</v>
      </c>
      <c r="BS26">
        <v>7.61</v>
      </c>
      <c r="BT26" t="s">
        <v>2418</v>
      </c>
      <c r="BU26" t="s">
        <v>1516</v>
      </c>
      <c r="BV26">
        <v>9.86</v>
      </c>
      <c r="BW26">
        <v>11.13</v>
      </c>
      <c r="BX26">
        <v>13.44</v>
      </c>
      <c r="BY26">
        <v>0.72</v>
      </c>
      <c r="BZ26">
        <v>0.86</v>
      </c>
      <c r="CA26">
        <v>4.76</v>
      </c>
      <c r="CB26">
        <v>-0.83</v>
      </c>
      <c r="CC26">
        <v>-17.66</v>
      </c>
      <c r="CD26" t="s">
        <v>3614</v>
      </c>
      <c r="CE26" t="s">
        <v>244</v>
      </c>
      <c r="CF26" s="8">
        <v>-2.5870646766169389E-2</v>
      </c>
      <c r="CG26" s="9">
        <v>-0.25051050663478619</v>
      </c>
      <c r="CH26" s="8">
        <v>0.16632533073425293</v>
      </c>
      <c r="CI26" s="8">
        <v>-5.98883256316185E-2</v>
      </c>
      <c r="CJ26" s="8">
        <v>0.16226504743099213</v>
      </c>
      <c r="CK26" s="8">
        <v>0.16021804511547089</v>
      </c>
      <c r="CL26" s="8">
        <v>3.2716579735279083E-2</v>
      </c>
      <c r="CM26" s="9">
        <v>6.3541978597640991E-2</v>
      </c>
      <c r="CN26" s="9">
        <v>-0.8335919976234436</v>
      </c>
      <c r="CO26" s="9">
        <v>6.8669527769088745E-2</v>
      </c>
      <c r="CP26" s="9">
        <v>6.8807341158390045E-2</v>
      </c>
      <c r="CQ26" s="9">
        <v>0.5034482479095459</v>
      </c>
      <c r="CR26">
        <v>17.461774322112067</v>
      </c>
      <c r="CS26">
        <v>1.8912897498797219</v>
      </c>
      <c r="CT26">
        <v>1.8662952646239557</v>
      </c>
      <c r="CU26" s="8">
        <v>9.23273354768753E-2</v>
      </c>
      <c r="CV26" s="9">
        <v>-2.5824980437755586E-2</v>
      </c>
      <c r="CW26">
        <v>0.06</v>
      </c>
      <c r="CX26">
        <v>24.047181230199232</v>
      </c>
      <c r="CY26">
        <v>45412478.47496479</v>
      </c>
      <c r="CZ26">
        <v>9.23273354768753E-2</v>
      </c>
      <c r="DA26">
        <v>7.8429269144110121</v>
      </c>
      <c r="DB26">
        <v>139239101.92168483</v>
      </c>
      <c r="DC26">
        <v>8.7710968703031536E-2</v>
      </c>
      <c r="DD26">
        <v>3.8507227858970006</v>
      </c>
      <c r="DE26">
        <v>283594057.71808004</v>
      </c>
      <c r="DF26">
        <v>8.124805521965027E-2</v>
      </c>
      <c r="DG26">
        <v>2.3055507743030144</v>
      </c>
      <c r="DH26">
        <v>473657796.72760957</v>
      </c>
      <c r="DI26">
        <v>7.3861868381500245E-2</v>
      </c>
      <c r="DJ26">
        <v>1.183240338874272</v>
      </c>
      <c r="DK26">
        <v>922925008.65797269</v>
      </c>
      <c r="DL26">
        <v>6.4629134833812704E-2</v>
      </c>
      <c r="DM26">
        <v>44068500</v>
      </c>
      <c r="DN26">
        <v>9.23273354768753E-2</v>
      </c>
      <c r="DO26">
        <v>1092042100</v>
      </c>
      <c r="DP26">
        <v>1779236200</v>
      </c>
      <c r="DQ26">
        <v>1156</v>
      </c>
      <c r="DR26">
        <v>-0.11819798224304469</v>
      </c>
      <c r="DS26">
        <v>-0.22468552619703061</v>
      </c>
      <c r="DT26" s="10">
        <v>-2.3333333333333355E-2</v>
      </c>
      <c r="DU26">
        <v>-0.42</v>
      </c>
      <c r="DV26">
        <v>-0.44333333333333336</v>
      </c>
      <c r="DW26">
        <v>-3.0187738095238097</v>
      </c>
      <c r="DX26">
        <v>0.30986256157635622</v>
      </c>
      <c r="DY26">
        <v>-3.0024380149953083</v>
      </c>
      <c r="DZ26">
        <v>2777</v>
      </c>
      <c r="EA26">
        <v>-3.0011130898207541</v>
      </c>
      <c r="EB26">
        <v>3</v>
      </c>
      <c r="EC26">
        <v>3.4947735754705632E-2</v>
      </c>
      <c r="ED26">
        <v>0.26911324811776161</v>
      </c>
      <c r="EE26" s="11">
        <v>-3.0630000000000002</v>
      </c>
      <c r="EF26">
        <v>-3.0362999999999998</v>
      </c>
      <c r="EG26">
        <v>18.129862561576356</v>
      </c>
      <c r="EH26" t="s">
        <v>2100</v>
      </c>
      <c r="EI26">
        <v>0</v>
      </c>
      <c r="EJ26">
        <v>0</v>
      </c>
      <c r="EK26" s="12">
        <v>45470</v>
      </c>
      <c r="EL26">
        <v>-0.8</v>
      </c>
      <c r="EM26">
        <v>-5.14</v>
      </c>
      <c r="EN26">
        <v>2.2799999999999998</v>
      </c>
      <c r="EO26">
        <v>4.18</v>
      </c>
      <c r="EP26">
        <v>-2.67</v>
      </c>
    </row>
    <row r="27" spans="1:146" ht="168" x14ac:dyDescent="0.25">
      <c r="A27" s="6" t="s">
        <v>1113</v>
      </c>
      <c r="B27" s="6" t="s">
        <v>1101</v>
      </c>
      <c r="C27" s="6" t="str">
        <f>""&amp;CHAR(10)&amp;Basic_Fundamental_Information_Constructure(F27)&amp;CHAR(10)&amp;Basic_Fundamental_Information_Concatenate("环氧胶类 11.78亿 60.97%（毛利29.16%）
聚氨酯胶类 2.34亿 12.11%（毛利13.83%）
其他胶粘剂产品 1.14亿 5.92%（毛利20.76%）
电源模块 9956.05万 5.15%（毛利56.59%）
滤波器及滤波组件 8471.92万 4.38%（毛利75.67%）
丙烯酸胶类 8424.14万 4.36%（毛利46.25%）
SBS胶粘剂类 7868.80万 4.07%（毛利38.35%）")</f>
        <v xml:space="preserve">
市值24.81812亿, 利润3031.52万; PE121.8; 平均PE27.8; 平均PEG1.03, PB.845; ROIC1.7667%; ROE1.3767%; 股利率.8557%; 毛利18.9367%; 净利1.4033%; 上一年度营收增13.26%, 利润增-36.66%; 当季营收增-15.06%, 利润增-66.99%; 过往5年营收增27.1%, 利润增23.75%
Income profile:
环氧胶类 11.78亿 60.97%（毛利29.16%）
聚氨酯胶类 2.34亿 12.11%（毛利13.83%）
其他胶粘剂产品 1.14亿 5.92%（毛利20.76%）
电源模块 9956.05万 5.15%（毛利56.59%）
滤波器及滤波组件 8471.92万 4.38%（毛利75.67%）
丙烯酸胶类 8424.14万 4.36%（毛利46.25%）
SBS胶粘剂类 7868.80万 4.07%（毛利38.35%）</v>
      </c>
      <c r="D27" t="s">
        <v>615</v>
      </c>
      <c r="E27" t="s">
        <v>616</v>
      </c>
      <c r="F27">
        <v>8.18</v>
      </c>
      <c r="G27">
        <v>2.5099999999999998</v>
      </c>
      <c r="H27" t="s">
        <v>3615</v>
      </c>
      <c r="I27">
        <v>2481812000</v>
      </c>
      <c r="J27">
        <v>121.8</v>
      </c>
      <c r="K27">
        <v>0.84499999999999997</v>
      </c>
      <c r="L27" t="s">
        <v>428</v>
      </c>
      <c r="M27" t="s">
        <v>2419</v>
      </c>
      <c r="N27" t="s">
        <v>3616</v>
      </c>
      <c r="O27" t="s">
        <v>705</v>
      </c>
      <c r="P27">
        <v>-15.11</v>
      </c>
      <c r="Q27" t="s">
        <v>2420</v>
      </c>
      <c r="R27">
        <v>-24793536</v>
      </c>
      <c r="S27" s="4">
        <v>-0.66990000000000005</v>
      </c>
      <c r="T27" t="s">
        <v>2421</v>
      </c>
      <c r="U27">
        <v>301898350</v>
      </c>
      <c r="V27">
        <v>303400000</v>
      </c>
      <c r="W27">
        <v>2.2000000000000002</v>
      </c>
      <c r="X27">
        <v>7.0000000000000007E-2</v>
      </c>
      <c r="Y27">
        <v>-5.56</v>
      </c>
      <c r="Z27" t="s">
        <v>2171</v>
      </c>
      <c r="AA27" t="s">
        <v>358</v>
      </c>
      <c r="AB27" t="s">
        <v>3617</v>
      </c>
      <c r="AC27" t="s">
        <v>3618</v>
      </c>
      <c r="AD27" t="s">
        <v>5</v>
      </c>
      <c r="AE27">
        <v>23307605</v>
      </c>
      <c r="AF27" t="s">
        <v>2423</v>
      </c>
      <c r="AG27" t="s">
        <v>3619</v>
      </c>
      <c r="AH27" t="s">
        <v>2424</v>
      </c>
      <c r="AI27" t="s">
        <v>2094</v>
      </c>
      <c r="AJ27" t="s">
        <v>2425</v>
      </c>
      <c r="AK27" t="s">
        <v>146</v>
      </c>
      <c r="AL27" t="s">
        <v>2426</v>
      </c>
      <c r="AM27" t="s">
        <v>5</v>
      </c>
      <c r="AN27" t="s">
        <v>969</v>
      </c>
      <c r="AO27" t="s">
        <v>781</v>
      </c>
      <c r="AP27" t="s">
        <v>242</v>
      </c>
      <c r="AQ27" t="s">
        <v>2697</v>
      </c>
      <c r="AR27" t="s">
        <v>3620</v>
      </c>
      <c r="AS27" t="s">
        <v>3621</v>
      </c>
      <c r="AT27" t="s">
        <v>434</v>
      </c>
      <c r="AU27" t="s">
        <v>3622</v>
      </c>
      <c r="AV27" t="s">
        <v>2070</v>
      </c>
      <c r="AW27" t="s">
        <v>212</v>
      </c>
      <c r="AX27" t="s">
        <v>1630</v>
      </c>
      <c r="AY27" t="s">
        <v>853</v>
      </c>
      <c r="AZ27" t="s">
        <v>1270</v>
      </c>
      <c r="BA27" t="s">
        <v>294</v>
      </c>
      <c r="BB27" t="s">
        <v>617</v>
      </c>
      <c r="BC27" t="s">
        <v>2428</v>
      </c>
      <c r="BD27" t="s">
        <v>1268</v>
      </c>
      <c r="BE27" t="s">
        <v>211</v>
      </c>
      <c r="BF27" t="s">
        <v>75</v>
      </c>
      <c r="BG27" t="s">
        <v>618</v>
      </c>
      <c r="BH27" t="s">
        <v>2420</v>
      </c>
      <c r="BI27" t="s">
        <v>151</v>
      </c>
      <c r="BJ27" t="s">
        <v>1630</v>
      </c>
      <c r="BK27" t="s">
        <v>2421</v>
      </c>
      <c r="BL27" t="s">
        <v>2429</v>
      </c>
      <c r="BM27" t="s">
        <v>2428</v>
      </c>
      <c r="BN27">
        <v>1.4</v>
      </c>
      <c r="BO27">
        <v>2.19</v>
      </c>
      <c r="BP27">
        <v>1.71</v>
      </c>
      <c r="BQ27">
        <v>1.07</v>
      </c>
      <c r="BR27">
        <v>2.1</v>
      </c>
      <c r="BS27">
        <v>0.96</v>
      </c>
      <c r="BT27" t="s">
        <v>1679</v>
      </c>
      <c r="BU27" t="s">
        <v>1516</v>
      </c>
      <c r="BV27">
        <v>20.99</v>
      </c>
      <c r="BW27">
        <v>19.86</v>
      </c>
      <c r="BX27">
        <v>15.96</v>
      </c>
      <c r="BY27">
        <v>1.22</v>
      </c>
      <c r="BZ27">
        <v>2.0499999999999998</v>
      </c>
      <c r="CA27">
        <v>0.94</v>
      </c>
      <c r="CB27">
        <v>-0.61</v>
      </c>
      <c r="CC27">
        <v>-19.649999999999999</v>
      </c>
      <c r="CD27" t="s">
        <v>3623</v>
      </c>
      <c r="CE27" t="s">
        <v>345</v>
      </c>
      <c r="CF27" s="8">
        <v>-0.15055467511885887</v>
      </c>
      <c r="CG27" s="9">
        <v>-0.66989075528375341</v>
      </c>
      <c r="CH27" s="8">
        <v>0.13260343670845032</v>
      </c>
      <c r="CI27" s="8">
        <v>8.5387267172336578E-2</v>
      </c>
      <c r="CJ27" s="8">
        <v>0.17598344385623932</v>
      </c>
      <c r="CK27" s="8">
        <v>0.81238275766372681</v>
      </c>
      <c r="CL27" s="8">
        <v>0.14870689809322357</v>
      </c>
      <c r="CM27" s="9">
        <v>-0.3666057288646698</v>
      </c>
      <c r="CN27" s="9">
        <v>1.1759282350540161</v>
      </c>
      <c r="CO27" s="9">
        <v>-0.8976934552192688</v>
      </c>
      <c r="CP27" s="9">
        <v>0.53571426868438721</v>
      </c>
      <c r="CQ27" s="9">
        <v>0.74036705493927002</v>
      </c>
      <c r="CR27">
        <v>27.801426172585778</v>
      </c>
      <c r="CS27">
        <v>1.0258345806633213</v>
      </c>
      <c r="CT27">
        <v>0.85574572127139359</v>
      </c>
      <c r="CU27" s="8">
        <v>0.27101276069879532</v>
      </c>
      <c r="CV27" s="9">
        <v>0.23754207491874696</v>
      </c>
      <c r="CW27">
        <v>0.06</v>
      </c>
      <c r="CX27">
        <v>82.883398279939343</v>
      </c>
      <c r="CY27">
        <v>36350005.701071806</v>
      </c>
      <c r="CZ27">
        <v>0.27101276069879532</v>
      </c>
      <c r="DA27">
        <v>23.312990624197631</v>
      </c>
      <c r="DB27">
        <v>129233183.70286062</v>
      </c>
      <c r="DC27">
        <v>0.25746212266385554</v>
      </c>
      <c r="DD27">
        <v>9.276400459851752</v>
      </c>
      <c r="DE27">
        <v>324782442.61224449</v>
      </c>
      <c r="DF27">
        <v>0.23849122941493989</v>
      </c>
      <c r="DG27">
        <v>4.3072463823975786</v>
      </c>
      <c r="DH27">
        <v>699475194.24764204</v>
      </c>
      <c r="DI27">
        <v>0.21681020855903627</v>
      </c>
      <c r="DJ27">
        <v>1.1956455602224081</v>
      </c>
      <c r="DK27">
        <v>2519820338.2610912</v>
      </c>
      <c r="DL27">
        <v>0.18970893248915671</v>
      </c>
      <c r="DM27">
        <v>30315200</v>
      </c>
      <c r="DN27">
        <v>0.27101276069879532</v>
      </c>
      <c r="DO27">
        <v>3012812000</v>
      </c>
      <c r="DP27">
        <v>834861900</v>
      </c>
      <c r="DQ27">
        <v>1159</v>
      </c>
      <c r="DR27">
        <v>-0.42156743581765421</v>
      </c>
      <c r="DS27">
        <v>-0.90743283020250032</v>
      </c>
      <c r="DT27" s="10">
        <v>-7.333333333333332E-2</v>
      </c>
      <c r="DU27">
        <v>-0.71500000000000019</v>
      </c>
      <c r="DV27">
        <v>-0.78833333333333355</v>
      </c>
      <c r="DW27">
        <v>-3.0412797619047618</v>
      </c>
      <c r="DX27">
        <v>0.33362896039603784</v>
      </c>
      <c r="DY27">
        <v>-3.0026265883353962</v>
      </c>
      <c r="DZ27">
        <v>3323</v>
      </c>
      <c r="EA27">
        <v>-3.0009185349032004</v>
      </c>
      <c r="EB27">
        <v>3</v>
      </c>
      <c r="EC27">
        <v>8.4726763348714568E-2</v>
      </c>
      <c r="ED27">
        <v>1.3315754779169413</v>
      </c>
      <c r="EE27" s="11">
        <v>-1.07131</v>
      </c>
      <c r="EF27">
        <v>-1.08931</v>
      </c>
      <c r="EG27">
        <v>27.063628960396038</v>
      </c>
      <c r="EH27" t="s">
        <v>1691</v>
      </c>
      <c r="EI27">
        <v>0</v>
      </c>
      <c r="EJ27">
        <v>0</v>
      </c>
      <c r="EK27" s="12">
        <v>45470</v>
      </c>
      <c r="EL27">
        <v>-0.59</v>
      </c>
      <c r="EM27">
        <v>-5.21</v>
      </c>
      <c r="EN27">
        <v>0.37</v>
      </c>
      <c r="EO27">
        <v>3.61</v>
      </c>
      <c r="EP27">
        <v>-1.8</v>
      </c>
    </row>
    <row r="28" spans="1:146" ht="192" x14ac:dyDescent="0.25">
      <c r="A28" s="6" t="s">
        <v>1114</v>
      </c>
      <c r="B28" s="6" t="s">
        <v>1115</v>
      </c>
      <c r="C28" s="6" t="str">
        <f>"公司是广东省环保下属的国有控股公司，其传统业务是矿服和民爆，主要是为客户提供矿山民爆一体化服务，是公司持续经营壮大的基本盘，为军工业务转型发展奠定坚实基础。军工板块是公司战略转型的核心，公司近年来围绕军工板块进行的战略布局也已初见成效"&amp;CHAR(10)&amp;Basic_Fundamental_Information_Constructure(C28)&amp;CHAR(10)&amp;Basic_Fundamental_Information_Concatenate("露天矿山开采 25.20亿 57.78% 47.31% 16.30%
工业炸药 9.50亿 21.79% 32.43% 29.63%
地下矿山开采 6.69亿 15.34% 15.37% 19.94%
其他 1.17亿 2.69% 2.33% 17.23%
起爆器材 7174.92万 1.65% 2.14% 25.84%")</f>
        <v>公司是广东省环保下属的国有控股公司，其传统业务是矿服和民爆，主要是为客户提供矿山民爆一体化服务，是公司持续经营壮大的基本盘，为军工业务转型发展奠定坚实基础。军工板块是公司战略转型的核心，公司近年来围绕军工板块进行的战略布局也已初见成效
市值150.79106亿, 利润7.16亿; PE20.37; 平均PE33.73; 平均PEG1.63, PB2.33; ROIC7.7233%; ROE8.92%; 股利率2.8212%; 毛利19.9667%; 净利8.24%; 上一年度营收增13.51%, 利润增27.63%; 当季营收增10.88%, 利润增46.99%; 过往5年营收增20.66%, 利润增27.67%
Income profile:
露天矿山开采 25.20亿 57.78% 47.31% 16.30%
工业炸药 9.50亿 21.79% 32.43% 29.63%
地下矿山开采 6.69亿 15.34% 15.37% 19.94%
其他 1.17亿 2.69% 2.33% 17.23%
起爆器材 7174.92万 1.65% 2.14% 25.84%</v>
      </c>
      <c r="D28" t="s">
        <v>620</v>
      </c>
      <c r="E28" t="s">
        <v>1134</v>
      </c>
      <c r="F28">
        <v>19.850000000000001</v>
      </c>
      <c r="G28">
        <v>1.22</v>
      </c>
      <c r="H28" t="s">
        <v>3624</v>
      </c>
      <c r="I28">
        <v>15079106000</v>
      </c>
      <c r="J28">
        <v>20.37</v>
      </c>
      <c r="K28">
        <v>2.33</v>
      </c>
      <c r="L28" t="s">
        <v>428</v>
      </c>
      <c r="M28" t="s">
        <v>2430</v>
      </c>
      <c r="N28" t="s">
        <v>3625</v>
      </c>
      <c r="O28" t="s">
        <v>404</v>
      </c>
      <c r="P28">
        <v>10.89</v>
      </c>
      <c r="Q28" t="s">
        <v>2431</v>
      </c>
      <c r="R28">
        <v>75425054</v>
      </c>
      <c r="S28" s="4">
        <v>0.46989999999999998</v>
      </c>
      <c r="T28" t="s">
        <v>2013</v>
      </c>
      <c r="U28">
        <v>660323970</v>
      </c>
      <c r="V28">
        <v>759652710</v>
      </c>
      <c r="W28">
        <v>2.12</v>
      </c>
      <c r="X28">
        <v>0.13</v>
      </c>
      <c r="Y28">
        <v>4.8099999999999996</v>
      </c>
      <c r="Z28" t="s">
        <v>1314</v>
      </c>
      <c r="AA28" t="s">
        <v>971</v>
      </c>
      <c r="AB28" t="s">
        <v>3626</v>
      </c>
      <c r="AC28" t="s">
        <v>84</v>
      </c>
      <c r="AD28" t="s">
        <v>5</v>
      </c>
      <c r="AE28">
        <v>27919274</v>
      </c>
      <c r="AF28" t="s">
        <v>2432</v>
      </c>
      <c r="AG28" t="s">
        <v>3627</v>
      </c>
      <c r="AH28" t="s">
        <v>2433</v>
      </c>
      <c r="AI28" t="s">
        <v>2940</v>
      </c>
      <c r="AJ28" t="s">
        <v>2434</v>
      </c>
      <c r="AK28" t="s">
        <v>1892</v>
      </c>
      <c r="AL28" t="s">
        <v>2435</v>
      </c>
      <c r="AM28" t="s">
        <v>5</v>
      </c>
      <c r="AN28" t="s">
        <v>88</v>
      </c>
      <c r="AO28" t="s">
        <v>674</v>
      </c>
      <c r="AP28" t="s">
        <v>109</v>
      </c>
      <c r="AQ28" t="s">
        <v>2101</v>
      </c>
      <c r="AR28" t="s">
        <v>3628</v>
      </c>
      <c r="AS28" t="s">
        <v>3629</v>
      </c>
      <c r="AT28" t="s">
        <v>3630</v>
      </c>
      <c r="AU28" t="s">
        <v>3631</v>
      </c>
      <c r="AV28" t="s">
        <v>3632</v>
      </c>
      <c r="AW28" t="s">
        <v>1436</v>
      </c>
      <c r="AX28" t="s">
        <v>1763</v>
      </c>
      <c r="AY28" t="s">
        <v>1271</v>
      </c>
      <c r="AZ28" t="s">
        <v>1273</v>
      </c>
      <c r="BA28" t="s">
        <v>621</v>
      </c>
      <c r="BB28" t="s">
        <v>622</v>
      </c>
      <c r="BC28" t="s">
        <v>1163</v>
      </c>
      <c r="BD28" t="s">
        <v>1272</v>
      </c>
      <c r="BE28" t="s">
        <v>345</v>
      </c>
      <c r="BF28" t="s">
        <v>218</v>
      </c>
      <c r="BG28" t="s">
        <v>178</v>
      </c>
      <c r="BH28" t="s">
        <v>2431</v>
      </c>
      <c r="BI28" t="s">
        <v>1521</v>
      </c>
      <c r="BJ28" t="s">
        <v>1763</v>
      </c>
      <c r="BK28" t="s">
        <v>2013</v>
      </c>
      <c r="BL28" t="s">
        <v>2437</v>
      </c>
      <c r="BM28" t="s">
        <v>1163</v>
      </c>
      <c r="BN28">
        <v>6.4</v>
      </c>
      <c r="BO28">
        <v>8.5299999999999994</v>
      </c>
      <c r="BP28">
        <v>8.24</v>
      </c>
      <c r="BQ28">
        <v>8.1999999999999993</v>
      </c>
      <c r="BR28">
        <v>9.73</v>
      </c>
      <c r="BS28">
        <v>8.83</v>
      </c>
      <c r="BT28" t="s">
        <v>2438</v>
      </c>
      <c r="BU28" t="s">
        <v>1517</v>
      </c>
      <c r="BV28">
        <v>20.67</v>
      </c>
      <c r="BW28">
        <v>18.93</v>
      </c>
      <c r="BX28">
        <v>20.3</v>
      </c>
      <c r="BY28">
        <v>8.42</v>
      </c>
      <c r="BZ28">
        <v>8.25</v>
      </c>
      <c r="CA28">
        <v>8.0500000000000007</v>
      </c>
      <c r="CB28">
        <v>-1.39</v>
      </c>
      <c r="CC28">
        <v>-7.03</v>
      </c>
      <c r="CD28" t="s">
        <v>3633</v>
      </c>
      <c r="CE28" t="s">
        <v>39</v>
      </c>
      <c r="CF28" s="8">
        <v>0.10880566801619419</v>
      </c>
      <c r="CG28" s="9">
        <v>0.46993297850985855</v>
      </c>
      <c r="CH28" s="8">
        <v>0.13511654734611511</v>
      </c>
      <c r="CI28" s="8">
        <v>0.19270464777946472</v>
      </c>
      <c r="CJ28" s="8">
        <v>0.33322915434837341</v>
      </c>
      <c r="CK28" s="8">
        <v>8.353094756603241E-2</v>
      </c>
      <c r="CL28" s="8">
        <v>0.288646399974823</v>
      </c>
      <c r="CM28" s="9">
        <v>0.27629232406616211</v>
      </c>
      <c r="CN28" s="9">
        <v>0.16875000298023224</v>
      </c>
      <c r="CO28" s="9">
        <v>0.18811881542205811</v>
      </c>
      <c r="CP28" s="9">
        <v>0.31596091389656067</v>
      </c>
      <c r="CQ28" s="9">
        <v>0.43457943201065063</v>
      </c>
      <c r="CR28">
        <v>33.734017897091725</v>
      </c>
      <c r="CS28">
        <v>1.632458072627927</v>
      </c>
      <c r="CT28">
        <v>2.8211586901763219</v>
      </c>
      <c r="CU28" s="8">
        <v>0.20664553940296174</v>
      </c>
      <c r="CV28" s="9">
        <v>0.27674029767513275</v>
      </c>
      <c r="CW28">
        <v>0.06</v>
      </c>
      <c r="CX28">
        <v>19.103137444984451</v>
      </c>
      <c r="CY28">
        <v>815054911.52124584</v>
      </c>
      <c r="CZ28">
        <v>0.20664553940296174</v>
      </c>
      <c r="DA28">
        <v>5.6632158906769474</v>
      </c>
      <c r="DB28">
        <v>2749340004.0835881</v>
      </c>
      <c r="DC28">
        <v>0.19631326243281363</v>
      </c>
      <c r="DD28">
        <v>2.4342243006036628</v>
      </c>
      <c r="DE28">
        <v>6396331675.8191814</v>
      </c>
      <c r="DF28">
        <v>0.18184807467460634</v>
      </c>
      <c r="DG28">
        <v>1.2449878996593426</v>
      </c>
      <c r="DH28">
        <v>12506230786.869768</v>
      </c>
      <c r="DI28">
        <v>0.16531643152236941</v>
      </c>
      <c r="DJ28">
        <v>0.44073596803326109</v>
      </c>
      <c r="DK28">
        <v>35327513816.219711</v>
      </c>
      <c r="DL28">
        <v>0.14465187758207321</v>
      </c>
      <c r="DM28">
        <v>716000000</v>
      </c>
      <c r="DN28">
        <v>0.20664553940296174</v>
      </c>
      <c r="DO28">
        <v>15570106000</v>
      </c>
      <c r="DP28">
        <v>4830452600</v>
      </c>
      <c r="DQ28">
        <v>1172</v>
      </c>
      <c r="DR28">
        <v>-9.7839871386767543E-2</v>
      </c>
      <c r="DS28">
        <v>0.19319268083472579</v>
      </c>
      <c r="DT28" s="10">
        <v>-5.6666666666666719E-2</v>
      </c>
      <c r="DU28">
        <v>0.8866666666666666</v>
      </c>
      <c r="DV28">
        <v>0.82999999999999985</v>
      </c>
      <c r="DW28">
        <v>-2.0703</v>
      </c>
      <c r="DX28">
        <v>0.30500489510489348</v>
      </c>
      <c r="DY28">
        <v>-2.0101938441258742</v>
      </c>
      <c r="DZ28">
        <v>323</v>
      </c>
      <c r="EA28">
        <v>-2.0095494974228103</v>
      </c>
      <c r="EB28">
        <v>2</v>
      </c>
      <c r="EC28">
        <v>2.7296289116114651E-2</v>
      </c>
      <c r="ED28">
        <v>0.18824391477521354</v>
      </c>
      <c r="EE28" s="11">
        <v>6.2710000000000002E-2</v>
      </c>
      <c r="EF28">
        <v>8.2210000000000005E-2</v>
      </c>
      <c r="EG28">
        <v>16.145004895104893</v>
      </c>
      <c r="EH28">
        <v>-1</v>
      </c>
      <c r="EI28">
        <v>0</v>
      </c>
      <c r="EJ28">
        <v>1</v>
      </c>
      <c r="EK28" s="12">
        <v>45470</v>
      </c>
      <c r="EL28">
        <v>0.59</v>
      </c>
      <c r="EM28">
        <v>-1.72</v>
      </c>
      <c r="EN28">
        <v>-0.7</v>
      </c>
      <c r="EO28">
        <v>0.96</v>
      </c>
      <c r="EP28">
        <v>-1.95</v>
      </c>
    </row>
    <row r="29" spans="1:146" ht="168" x14ac:dyDescent="0.25">
      <c r="A29" s="6" t="s">
        <v>1618</v>
      </c>
      <c r="B29" s="6"/>
      <c r="C29" s="6" t="str">
        <f>"公司的主营业务是事民用爆炸物品生产，纸塑包装制品、精细化工、农业化肥、化工建材（不含危化品）的生产、运输、销售，化工机械制造及安装服务（不含特种设备），化工相关技术咨询服务。"&amp;CHAR(10)&amp;Basic_Fundamental_Information_Constructure(C29)&amp;CHAR(10)&amp;Basic_Fundamental_Information_Concatenate("硝酸铵及复合肥 6.78亿 41.63% 26.11% 14.84%
民爆器材 5.08亿 31.17% 44.28% 33.62%
爆破服务 2.26亿 13.86% 16.40% 28.00%
纳米碳酸钙、石料 1.37亿 8.38% 10.86% 30.65%
其他 8079.97万 4.96% 2.34% 11.18%")</f>
        <v>公司的主营业务是事民用爆炸物品生产，纸塑包装制品、精细化工、农业化肥、化工建材（不含危化品）的生产、运输、销售，化工机械制造及安装服务（不含特种设备），化工相关技术咨询服务。
市值35.935308亿, 利润1.75亿; PE20.8; 平均PE226.76; 平均PEG14.29, PB1.48; ROIC5.67%; ROE-1.91%; 股利率1.3908%; 毛利24.69%; 净利-2.21%; 上一年度营收增10.95%, 利润增31.58%; 当季营收增-13.9%, 利润增-8.75%; 过往5年营收增15.87%, 利润增-151.5%
Income profile:
硝酸铵及复合肥 6.78亿 41.63% 26.11% 14.84%
民爆器材 5.08亿 31.17% 44.28% 33.62%
爆破服务 2.26亿 13.86% 16.40% 28.00%
纳米碳酸钙、石料 1.37亿 8.38% 10.86% 30.65%
其他 8079.97万 4.96% 2.34% 11.18%</v>
      </c>
      <c r="D29" t="s">
        <v>627</v>
      </c>
      <c r="E29" t="s">
        <v>628</v>
      </c>
      <c r="F29">
        <v>7.19</v>
      </c>
      <c r="G29">
        <v>0.56000000000000005</v>
      </c>
      <c r="H29" t="s">
        <v>3634</v>
      </c>
      <c r="I29">
        <v>3593530800</v>
      </c>
      <c r="J29">
        <v>20.8</v>
      </c>
      <c r="K29">
        <v>1.48</v>
      </c>
      <c r="L29" t="s">
        <v>428</v>
      </c>
      <c r="M29" t="s">
        <v>2440</v>
      </c>
      <c r="N29" t="s">
        <v>3635</v>
      </c>
      <c r="O29" t="s">
        <v>1830</v>
      </c>
      <c r="P29">
        <v>-13.92</v>
      </c>
      <c r="Q29" t="s">
        <v>2441</v>
      </c>
      <c r="R29">
        <v>26783704</v>
      </c>
      <c r="S29" s="4">
        <v>-8.7499999999999994E-2</v>
      </c>
      <c r="T29" t="s">
        <v>212</v>
      </c>
      <c r="U29">
        <v>343857130</v>
      </c>
      <c r="V29">
        <v>499795670</v>
      </c>
      <c r="W29">
        <v>2.93</v>
      </c>
      <c r="X29">
        <v>0.09</v>
      </c>
      <c r="Y29">
        <v>5.47</v>
      </c>
      <c r="Z29" t="s">
        <v>532</v>
      </c>
      <c r="AA29" t="s">
        <v>425</v>
      </c>
      <c r="AB29" t="s">
        <v>3636</v>
      </c>
      <c r="AC29" t="s">
        <v>3637</v>
      </c>
      <c r="AD29" t="s">
        <v>5</v>
      </c>
      <c r="AE29">
        <v>29393253</v>
      </c>
      <c r="AF29" t="s">
        <v>2442</v>
      </c>
      <c r="AG29" t="s">
        <v>3638</v>
      </c>
      <c r="AH29" t="s">
        <v>2443</v>
      </c>
      <c r="AI29" t="s">
        <v>336</v>
      </c>
      <c r="AJ29" t="s">
        <v>2444</v>
      </c>
      <c r="AK29" t="s">
        <v>149</v>
      </c>
      <c r="AL29" t="s">
        <v>2445</v>
      </c>
      <c r="AM29" t="s">
        <v>5</v>
      </c>
      <c r="AN29" t="s">
        <v>3639</v>
      </c>
      <c r="AO29" t="s">
        <v>3223</v>
      </c>
      <c r="AP29" t="s">
        <v>401</v>
      </c>
      <c r="AQ29" t="s">
        <v>2069</v>
      </c>
      <c r="AR29" t="s">
        <v>5</v>
      </c>
      <c r="AS29" t="s">
        <v>3640</v>
      </c>
      <c r="AT29" t="s">
        <v>1912</v>
      </c>
      <c r="AU29" t="s">
        <v>61</v>
      </c>
      <c r="AV29" t="s">
        <v>3641</v>
      </c>
      <c r="AW29" t="s">
        <v>3642</v>
      </c>
      <c r="AX29" t="s">
        <v>1768</v>
      </c>
      <c r="AY29" t="s">
        <v>1769</v>
      </c>
      <c r="AZ29" t="s">
        <v>1276</v>
      </c>
      <c r="BA29" t="s">
        <v>183</v>
      </c>
      <c r="BB29" t="s">
        <v>630</v>
      </c>
      <c r="BC29" t="s">
        <v>50</v>
      </c>
      <c r="BD29" t="s">
        <v>1770</v>
      </c>
      <c r="BE29" t="s">
        <v>1277</v>
      </c>
      <c r="BF29" t="s">
        <v>632</v>
      </c>
      <c r="BG29" t="s">
        <v>633</v>
      </c>
      <c r="BH29" t="s">
        <v>2441</v>
      </c>
      <c r="BI29" t="s">
        <v>2140</v>
      </c>
      <c r="BJ29" t="s">
        <v>1768</v>
      </c>
      <c r="BK29" t="s">
        <v>212</v>
      </c>
      <c r="BL29" t="s">
        <v>2446</v>
      </c>
      <c r="BM29" t="s">
        <v>50</v>
      </c>
      <c r="BN29">
        <v>5.97</v>
      </c>
      <c r="BO29">
        <v>5.37</v>
      </c>
      <c r="BP29" t="s">
        <v>5</v>
      </c>
      <c r="BQ29">
        <v>11.33</v>
      </c>
      <c r="BR29">
        <v>9.85</v>
      </c>
      <c r="BS29">
        <v>-26.91</v>
      </c>
      <c r="BT29" t="s">
        <v>1674</v>
      </c>
      <c r="BU29" t="s">
        <v>1517</v>
      </c>
      <c r="BV29">
        <v>27.28</v>
      </c>
      <c r="BW29">
        <v>23.91</v>
      </c>
      <c r="BX29">
        <v>22.88</v>
      </c>
      <c r="BY29">
        <v>6.54</v>
      </c>
      <c r="BZ29">
        <v>4.57</v>
      </c>
      <c r="CA29">
        <v>-17.739999999999998</v>
      </c>
      <c r="CB29">
        <v>-1.78</v>
      </c>
      <c r="CC29">
        <v>-10.9</v>
      </c>
      <c r="CD29" t="s">
        <v>3643</v>
      </c>
      <c r="CE29" t="s">
        <v>257</v>
      </c>
      <c r="CF29" s="8">
        <v>-0.13903061224489796</v>
      </c>
      <c r="CG29" s="9">
        <v>-8.7468774488092399E-2</v>
      </c>
      <c r="CH29" s="8">
        <v>0.10951260477304459</v>
      </c>
      <c r="CI29" s="8">
        <v>0.23450526595115662</v>
      </c>
      <c r="CJ29" s="8">
        <v>0.37195423245429993</v>
      </c>
      <c r="CK29" s="8">
        <v>6.3458487391471863E-2</v>
      </c>
      <c r="CL29" s="8">
        <v>1.3941087760031223E-2</v>
      </c>
      <c r="CM29" s="9">
        <v>0.31578946113586426</v>
      </c>
      <c r="CN29" s="9">
        <v>1.3367089033126831</v>
      </c>
      <c r="CO29" s="9">
        <v>-8.8462371826171875</v>
      </c>
      <c r="CP29" s="9">
        <v>7.3455991223454475E-3</v>
      </c>
      <c r="CQ29" s="9">
        <v>-0.38878285884857178</v>
      </c>
      <c r="CR29">
        <v>226.76410677099767</v>
      </c>
      <c r="CS29">
        <v>14.291164719184415</v>
      </c>
      <c r="CT29">
        <v>1.3908205841446453</v>
      </c>
      <c r="CU29" s="8">
        <v>0.15867433566600084</v>
      </c>
      <c r="CV29" s="9">
        <v>-1.5150352155789732</v>
      </c>
      <c r="CW29">
        <v>0.06</v>
      </c>
      <c r="CX29">
        <v>31.426173623483624</v>
      </c>
      <c r="CY29">
        <v>191290574.28448126</v>
      </c>
      <c r="CZ29">
        <v>0.15867433566600084</v>
      </c>
      <c r="DA29">
        <v>9.6940781325814758</v>
      </c>
      <c r="DB29">
        <v>620124030.13293695</v>
      </c>
      <c r="DC29">
        <v>0.15074061888270079</v>
      </c>
      <c r="DD29">
        <v>4.4093060555515953</v>
      </c>
      <c r="DE29">
        <v>1363373447.9445133</v>
      </c>
      <c r="DF29">
        <v>0.13963341538608073</v>
      </c>
      <c r="DG29">
        <v>2.4153455296473516</v>
      </c>
      <c r="DH29">
        <v>2488890606.420897</v>
      </c>
      <c r="DI29">
        <v>0.12693946853280066</v>
      </c>
      <c r="DJ29">
        <v>1.0103326219858955</v>
      </c>
      <c r="DK29">
        <v>5950051170.4589128</v>
      </c>
      <c r="DL29">
        <v>0.11107203496620058</v>
      </c>
      <c r="DM29">
        <v>175000000</v>
      </c>
      <c r="DN29">
        <v>0.15867433566600084</v>
      </c>
      <c r="DO29">
        <v>6011530800</v>
      </c>
      <c r="DP29">
        <v>-1562484200</v>
      </c>
      <c r="DQ29">
        <v>1258</v>
      </c>
      <c r="DR29">
        <v>-0.2977049479108988</v>
      </c>
      <c r="DS29">
        <v>1.4275664410908808</v>
      </c>
      <c r="DT29" s="10">
        <v>-0.15666666666666665</v>
      </c>
      <c r="DU29">
        <v>-0.75666666666666671</v>
      </c>
      <c r="DV29">
        <v>-0.91333333333333333</v>
      </c>
      <c r="DW29">
        <v>-2.109</v>
      </c>
      <c r="DX29">
        <v>0.28403115942029161</v>
      </c>
      <c r="DY29">
        <v>-2.0091593963768117</v>
      </c>
      <c r="DZ29">
        <v>3473</v>
      </c>
      <c r="EA29">
        <v>-2.0029342332424345</v>
      </c>
      <c r="EB29">
        <v>2</v>
      </c>
      <c r="EC29">
        <v>2.3202081762733161E-2</v>
      </c>
      <c r="ED29">
        <v>0.27611283627167077</v>
      </c>
      <c r="EE29" s="11">
        <v>-3.0116000000000001</v>
      </c>
      <c r="EF29">
        <v>-3.0005099999999998</v>
      </c>
      <c r="EG29">
        <v>20.084031159420292</v>
      </c>
      <c r="EH29" t="s">
        <v>2025</v>
      </c>
      <c r="EI29">
        <v>0</v>
      </c>
      <c r="EJ29">
        <v>0</v>
      </c>
      <c r="EK29" s="12">
        <v>45470</v>
      </c>
      <c r="EL29">
        <v>0.14000000000000001</v>
      </c>
      <c r="EM29">
        <v>-2.06</v>
      </c>
      <c r="EN29">
        <v>2.42</v>
      </c>
      <c r="EO29">
        <v>3.47</v>
      </c>
      <c r="EP29">
        <v>-1.21</v>
      </c>
    </row>
    <row r="30" spans="1:146" ht="96" x14ac:dyDescent="0.25">
      <c r="A30" s="6"/>
      <c r="B30" s="6"/>
      <c r="C30" s="6" t="str">
        <f>""&amp;CHAR(10)&amp;Basic_Fundamental_Information_Constructure(F30)&amp;CHAR(10)&amp;Basic_Fundamental_Information_Concatenate("")</f>
        <v xml:space="preserve">
市值15.823813亿, 利润5088.20万; PE35.81; 平均PE19.99; 平均PEG6.16, PB2.4; ROIC10.82%; ROE10.9833%; 股利率2.8802%; 毛利28.1633%; 净利13.8233%; 上一年度营收增-27.71%, 利润增-39.83%; 当季营收增-15.62%, 利润增-63.85%; 过往5年营收增-3.25%, 利润增-4.71%
Income profile:
</v>
      </c>
      <c r="D30" t="s">
        <v>634</v>
      </c>
      <c r="E30" t="s">
        <v>635</v>
      </c>
      <c r="F30">
        <v>8.68</v>
      </c>
      <c r="G30">
        <v>2.12</v>
      </c>
      <c r="H30" t="s">
        <v>3644</v>
      </c>
      <c r="I30">
        <v>1582381300</v>
      </c>
      <c r="J30">
        <v>35.81</v>
      </c>
      <c r="K30">
        <v>2.4</v>
      </c>
      <c r="L30" t="s">
        <v>428</v>
      </c>
      <c r="M30" t="s">
        <v>2447</v>
      </c>
      <c r="N30" t="s">
        <v>2015</v>
      </c>
      <c r="O30" t="s">
        <v>2448</v>
      </c>
      <c r="P30">
        <v>-15.62</v>
      </c>
      <c r="Q30" t="s">
        <v>80</v>
      </c>
      <c r="R30">
        <v>3787892</v>
      </c>
      <c r="S30" s="4">
        <v>-0.63849999999999996</v>
      </c>
      <c r="T30" t="s">
        <v>2449</v>
      </c>
      <c r="U30">
        <v>180828440</v>
      </c>
      <c r="V30">
        <v>182301990</v>
      </c>
      <c r="W30">
        <v>1.06</v>
      </c>
      <c r="X30">
        <v>0.1</v>
      </c>
      <c r="Y30">
        <v>5.45</v>
      </c>
      <c r="Z30" t="s">
        <v>3645</v>
      </c>
      <c r="AA30" t="s">
        <v>3646</v>
      </c>
      <c r="AB30" t="s">
        <v>3647</v>
      </c>
      <c r="AC30" t="s">
        <v>3648</v>
      </c>
      <c r="AD30" t="s">
        <v>5</v>
      </c>
      <c r="AE30">
        <v>-487772</v>
      </c>
      <c r="AF30" t="s">
        <v>2450</v>
      </c>
      <c r="AG30" t="s">
        <v>5</v>
      </c>
      <c r="AH30" t="s">
        <v>2451</v>
      </c>
      <c r="AI30" t="s">
        <v>3649</v>
      </c>
      <c r="AJ30" t="s">
        <v>2452</v>
      </c>
      <c r="AK30" t="s">
        <v>3650</v>
      </c>
      <c r="AL30" t="s">
        <v>2453</v>
      </c>
      <c r="AM30" t="s">
        <v>5</v>
      </c>
      <c r="AN30" t="s">
        <v>3651</v>
      </c>
      <c r="AO30" t="s">
        <v>5</v>
      </c>
      <c r="AP30" t="s">
        <v>2454</v>
      </c>
      <c r="AQ30" t="s">
        <v>3652</v>
      </c>
      <c r="AR30" t="s">
        <v>5</v>
      </c>
      <c r="AS30" t="s">
        <v>3653</v>
      </c>
      <c r="AT30" t="s">
        <v>5</v>
      </c>
      <c r="AU30" t="s">
        <v>3654</v>
      </c>
      <c r="AV30" t="s">
        <v>3655</v>
      </c>
      <c r="AW30" t="s">
        <v>3656</v>
      </c>
      <c r="AX30" t="s">
        <v>500</v>
      </c>
      <c r="AY30" t="s">
        <v>1278</v>
      </c>
      <c r="AZ30" t="s">
        <v>402</v>
      </c>
      <c r="BA30" t="s">
        <v>636</v>
      </c>
      <c r="BB30" t="s">
        <v>197</v>
      </c>
      <c r="BC30" t="s">
        <v>2455</v>
      </c>
      <c r="BD30" t="s">
        <v>1279</v>
      </c>
      <c r="BE30" t="s">
        <v>1280</v>
      </c>
      <c r="BF30" t="s">
        <v>637</v>
      </c>
      <c r="BG30" t="s">
        <v>638</v>
      </c>
      <c r="BH30" t="s">
        <v>80</v>
      </c>
      <c r="BI30" t="s">
        <v>2456</v>
      </c>
      <c r="BJ30" t="s">
        <v>500</v>
      </c>
      <c r="BK30" t="s">
        <v>2449</v>
      </c>
      <c r="BL30" t="s">
        <v>2457</v>
      </c>
      <c r="BM30" t="s">
        <v>2455</v>
      </c>
      <c r="BN30">
        <v>5.46</v>
      </c>
      <c r="BO30">
        <v>12.82</v>
      </c>
      <c r="BP30">
        <v>14.18</v>
      </c>
      <c r="BQ30">
        <v>5.61</v>
      </c>
      <c r="BR30">
        <v>12.96</v>
      </c>
      <c r="BS30">
        <v>14.38</v>
      </c>
      <c r="BT30" t="s">
        <v>1678</v>
      </c>
      <c r="BU30" t="s">
        <v>1516</v>
      </c>
      <c r="BV30">
        <v>32.06</v>
      </c>
      <c r="BW30">
        <v>30.35</v>
      </c>
      <c r="BX30">
        <v>22.08</v>
      </c>
      <c r="BY30">
        <v>13.65</v>
      </c>
      <c r="BZ30">
        <v>16.37</v>
      </c>
      <c r="CA30">
        <v>11.45</v>
      </c>
      <c r="CB30">
        <v>-2.25</v>
      </c>
      <c r="CC30">
        <v>-25.24</v>
      </c>
      <c r="CD30" t="s">
        <v>3657</v>
      </c>
      <c r="CE30" t="s">
        <v>103</v>
      </c>
      <c r="CF30" s="8">
        <v>-0.15616688456491379</v>
      </c>
      <c r="CG30" s="9">
        <v>-0.63848748317888127</v>
      </c>
      <c r="CH30" s="8">
        <v>-0.27713179588317871</v>
      </c>
      <c r="CI30" s="8">
        <v>-0.31108143925666809</v>
      </c>
      <c r="CJ30" s="8">
        <v>0.37431192398071289</v>
      </c>
      <c r="CK30" s="8">
        <v>1.3011152856051922E-2</v>
      </c>
      <c r="CL30" s="8">
        <v>3.8610037416219711E-2</v>
      </c>
      <c r="CM30" s="9">
        <v>-0.39827695488929749</v>
      </c>
      <c r="CN30" s="9">
        <v>-1.5963822603225708E-2</v>
      </c>
      <c r="CO30" s="9">
        <v>-6.4966388046741486E-2</v>
      </c>
      <c r="CP30" s="9">
        <v>4.0917288511991501E-2</v>
      </c>
      <c r="CQ30" s="9">
        <v>0.20285862684249878</v>
      </c>
      <c r="CR30">
        <v>19.989304130548476</v>
      </c>
      <c r="CS30">
        <v>6.1588887231864122</v>
      </c>
      <c r="CT30">
        <v>2.8801843317972353</v>
      </c>
      <c r="CU30" s="8">
        <v>-3.2456024177372457E-2</v>
      </c>
      <c r="CV30" s="9">
        <v>-4.708625003695488E-2</v>
      </c>
      <c r="CW30">
        <v>0.06</v>
      </c>
      <c r="CX30">
        <v>19.221300263354429</v>
      </c>
      <c r="CY30" t="s">
        <v>2458</v>
      </c>
      <c r="CZ30">
        <v>-3.2456024177372457E-2</v>
      </c>
      <c r="DA30">
        <v>6.4071000877848094</v>
      </c>
      <c r="DB30" t="s">
        <v>2459</v>
      </c>
      <c r="DC30">
        <v>-3.0833222968503833E-2</v>
      </c>
      <c r="DD30">
        <v>3.2035500438924047</v>
      </c>
      <c r="DE30" t="s">
        <v>2460</v>
      </c>
      <c r="DF30">
        <v>-2.8561301276087761E-2</v>
      </c>
      <c r="DG30">
        <v>1.9221300263354428</v>
      </c>
      <c r="DH30" t="s">
        <v>2461</v>
      </c>
      <c r="DI30">
        <v>-2.5964819341897968E-2</v>
      </c>
      <c r="DJ30">
        <v>0.96106501316772142</v>
      </c>
      <c r="DK30" t="s">
        <v>2462</v>
      </c>
      <c r="DL30">
        <v>-2.2719216924160717E-2</v>
      </c>
      <c r="DM30">
        <v>50882000</v>
      </c>
      <c r="DN30">
        <v>-3.2456024177372457E-2</v>
      </c>
      <c r="DO30">
        <v>978018200</v>
      </c>
      <c r="DP30">
        <v>466468020</v>
      </c>
      <c r="DQ30">
        <v>1275</v>
      </c>
      <c r="DR30">
        <v>-0.12371086038754134</v>
      </c>
      <c r="DS30">
        <v>-0.59140123314192639</v>
      </c>
      <c r="DT30" s="10">
        <v>-0.62333333333333341</v>
      </c>
      <c r="DU30">
        <v>-0.50666666666666671</v>
      </c>
      <c r="DV30">
        <v>-1.1300000000000001</v>
      </c>
      <c r="DW30">
        <v>-3.1044999999999998</v>
      </c>
      <c r="DX30">
        <v>0.26205346534653345</v>
      </c>
      <c r="DY30">
        <v>-3.0064845871287127</v>
      </c>
      <c r="DZ30">
        <v>3691</v>
      </c>
      <c r="EA30">
        <v>-3.0018007102026698</v>
      </c>
      <c r="EB30">
        <v>3</v>
      </c>
      <c r="EC30">
        <v>3.4379218789657752E-2</v>
      </c>
      <c r="ED30">
        <v>0.55402576790302727</v>
      </c>
      <c r="EE30" s="11">
        <v>-2.0804100000000001</v>
      </c>
      <c r="EF30">
        <v>-2.0838100000000002</v>
      </c>
      <c r="EG30">
        <v>20.062053465346533</v>
      </c>
      <c r="EH30" t="s">
        <v>1710</v>
      </c>
      <c r="EI30">
        <v>0</v>
      </c>
      <c r="EJ30">
        <v>0</v>
      </c>
      <c r="EK30" s="12">
        <v>45470</v>
      </c>
      <c r="EL30">
        <v>0.34</v>
      </c>
      <c r="EM30">
        <v>-2.5099999999999998</v>
      </c>
      <c r="EN30">
        <v>1.99</v>
      </c>
      <c r="EO30">
        <v>1.49</v>
      </c>
      <c r="EP30">
        <v>-0.34</v>
      </c>
    </row>
    <row r="31" spans="1:146" ht="96" x14ac:dyDescent="0.25">
      <c r="A31" s="6"/>
      <c r="B31" s="6"/>
      <c r="C31" s="6" t="str">
        <f>""&amp;CHAR(10)&amp;Basic_Fundamental_Information_Constructure(F31)&amp;CHAR(10)&amp;Basic_Fundamental_Information_Concatenate("")</f>
        <v xml:space="preserve">
市值14.863151亿, 利润8551.38万; PE19.09; 平均PE14.23; 平均PEG26.9, PB.926; ROIC5.56%; ROE6.1933%; 股利率2.1216%; 毛利28.7%; 净利9.3667%; 上一年度营收增-18.87%, 利润增-4.93%; 当季营收增-23.31%, 利润增-37.02%; 过往5年营收增-.53%, 利润增10.51%
Income profile:
</v>
      </c>
      <c r="D31" t="s">
        <v>639</v>
      </c>
      <c r="E31" t="s">
        <v>640</v>
      </c>
      <c r="F31">
        <v>7.07</v>
      </c>
      <c r="G31">
        <v>1.58</v>
      </c>
      <c r="H31" t="s">
        <v>3658</v>
      </c>
      <c r="I31">
        <v>1486315100</v>
      </c>
      <c r="J31">
        <v>19.09</v>
      </c>
      <c r="K31">
        <v>0.92600000000000005</v>
      </c>
      <c r="L31" t="s">
        <v>428</v>
      </c>
      <c r="M31" t="s">
        <v>2463</v>
      </c>
      <c r="N31" t="s">
        <v>3659</v>
      </c>
      <c r="O31" t="s">
        <v>293</v>
      </c>
      <c r="P31">
        <v>-23.55</v>
      </c>
      <c r="Q31" t="s">
        <v>400</v>
      </c>
      <c r="R31">
        <v>13048983</v>
      </c>
      <c r="S31" s="4">
        <v>-0.37019999999999997</v>
      </c>
      <c r="T31" t="s">
        <v>2464</v>
      </c>
      <c r="U31">
        <v>137734580</v>
      </c>
      <c r="V31">
        <v>210228440</v>
      </c>
      <c r="W31">
        <v>1.48</v>
      </c>
      <c r="X31">
        <v>0.05</v>
      </c>
      <c r="Y31">
        <v>10.45</v>
      </c>
      <c r="Z31" t="s">
        <v>45</v>
      </c>
      <c r="AA31" t="s">
        <v>3660</v>
      </c>
      <c r="AB31" t="s">
        <v>3661</v>
      </c>
      <c r="AC31" t="s">
        <v>3662</v>
      </c>
      <c r="AD31" t="s">
        <v>5</v>
      </c>
      <c r="AE31">
        <v>-1099785</v>
      </c>
      <c r="AF31" t="s">
        <v>2465</v>
      </c>
      <c r="AG31" t="s">
        <v>3663</v>
      </c>
      <c r="AH31" t="s">
        <v>2466</v>
      </c>
      <c r="AI31" t="s">
        <v>130</v>
      </c>
      <c r="AJ31" t="s">
        <v>2467</v>
      </c>
      <c r="AK31" t="s">
        <v>3664</v>
      </c>
      <c r="AL31" t="s">
        <v>2468</v>
      </c>
      <c r="AM31" t="s">
        <v>5</v>
      </c>
      <c r="AN31" t="s">
        <v>430</v>
      </c>
      <c r="AO31" t="s">
        <v>5</v>
      </c>
      <c r="AP31" t="s">
        <v>188</v>
      </c>
      <c r="AQ31" t="s">
        <v>3665</v>
      </c>
      <c r="AR31" t="s">
        <v>5</v>
      </c>
      <c r="AS31" t="s">
        <v>1625</v>
      </c>
      <c r="AT31" t="s">
        <v>453</v>
      </c>
      <c r="AU31" t="s">
        <v>3666</v>
      </c>
      <c r="AV31" t="s">
        <v>3667</v>
      </c>
      <c r="AW31" t="s">
        <v>3668</v>
      </c>
      <c r="AX31" t="s">
        <v>1730</v>
      </c>
      <c r="AY31" t="s">
        <v>1217</v>
      </c>
      <c r="AZ31" t="s">
        <v>641</v>
      </c>
      <c r="BA31" t="s">
        <v>642</v>
      </c>
      <c r="BB31" t="s">
        <v>624</v>
      </c>
      <c r="BC31" t="s">
        <v>1771</v>
      </c>
      <c r="BD31" t="s">
        <v>188</v>
      </c>
      <c r="BE31" t="s">
        <v>86</v>
      </c>
      <c r="BF31" t="s">
        <v>26</v>
      </c>
      <c r="BG31" t="s">
        <v>643</v>
      </c>
      <c r="BH31" t="s">
        <v>400</v>
      </c>
      <c r="BI31" t="s">
        <v>108</v>
      </c>
      <c r="BJ31" t="s">
        <v>1730</v>
      </c>
      <c r="BK31" t="s">
        <v>2464</v>
      </c>
      <c r="BL31" t="s">
        <v>2469</v>
      </c>
      <c r="BM31" t="s">
        <v>1771</v>
      </c>
      <c r="BN31">
        <v>3.67</v>
      </c>
      <c r="BO31">
        <v>5.32</v>
      </c>
      <c r="BP31">
        <v>7.69</v>
      </c>
      <c r="BQ31">
        <v>4.24</v>
      </c>
      <c r="BR31">
        <v>6.1</v>
      </c>
      <c r="BS31">
        <v>8.24</v>
      </c>
      <c r="BT31" t="s">
        <v>1681</v>
      </c>
      <c r="BU31" t="s">
        <v>1516</v>
      </c>
      <c r="BV31">
        <v>32.89</v>
      </c>
      <c r="BW31">
        <v>27.87</v>
      </c>
      <c r="BX31">
        <v>25.34</v>
      </c>
      <c r="BY31">
        <v>11.24</v>
      </c>
      <c r="BZ31">
        <v>9.59</v>
      </c>
      <c r="CA31">
        <v>7.27</v>
      </c>
      <c r="CB31">
        <v>-1.39</v>
      </c>
      <c r="CC31">
        <v>-12.5</v>
      </c>
      <c r="CD31" t="s">
        <v>3669</v>
      </c>
      <c r="CE31" t="s">
        <v>3670</v>
      </c>
      <c r="CF31" s="8">
        <v>-0.23312883435582821</v>
      </c>
      <c r="CG31" s="9">
        <v>-0.37021978870554384</v>
      </c>
      <c r="CH31" s="8">
        <v>-0.18869936466217041</v>
      </c>
      <c r="CI31" s="8">
        <v>-0.39561855792999268</v>
      </c>
      <c r="CJ31" s="8">
        <v>0.16080783307552338</v>
      </c>
      <c r="CK31" s="8">
        <v>0.15457680821418762</v>
      </c>
      <c r="CL31" s="8">
        <v>0.24248926341533661</v>
      </c>
      <c r="CM31" s="9">
        <v>-4.9275219440460205E-2</v>
      </c>
      <c r="CN31" s="9">
        <v>-0.20401854813098907</v>
      </c>
      <c r="CO31" s="9">
        <v>-0.20422534644603729</v>
      </c>
      <c r="CP31" s="9">
        <v>0.109375</v>
      </c>
      <c r="CQ31" s="9">
        <v>0.87377214431762695</v>
      </c>
      <c r="CR31">
        <v>14.228305357410385</v>
      </c>
      <c r="CS31">
        <v>26.902691977725048</v>
      </c>
      <c r="CT31">
        <v>2.1216407355021216</v>
      </c>
      <c r="CU31" s="8">
        <v>-5.2888035774230954E-3</v>
      </c>
      <c r="CV31" s="9">
        <v>0.10512560606002808</v>
      </c>
      <c r="CW31">
        <v>0.06</v>
      </c>
      <c r="CX31">
        <v>7.1370363613826102</v>
      </c>
      <c r="CY31" t="s">
        <v>2470</v>
      </c>
      <c r="CZ31">
        <v>-5.2888035774230954E-3</v>
      </c>
      <c r="DA31">
        <v>2.3790121204608701</v>
      </c>
      <c r="DB31" t="s">
        <v>2471</v>
      </c>
      <c r="DC31">
        <v>-5.0243633985519402E-3</v>
      </c>
      <c r="DD31">
        <v>1.189506060230435</v>
      </c>
      <c r="DE31" t="s">
        <v>2472</v>
      </c>
      <c r="DF31">
        <v>-4.6541471481323241E-3</v>
      </c>
      <c r="DG31">
        <v>0.71370363613826104</v>
      </c>
      <c r="DH31" t="s">
        <v>2473</v>
      </c>
      <c r="DI31">
        <v>-4.2310428619384763E-3</v>
      </c>
      <c r="DJ31">
        <v>0.35685181806913052</v>
      </c>
      <c r="DK31" t="s">
        <v>2474</v>
      </c>
      <c r="DL31">
        <v>-3.7021625041961663E-3</v>
      </c>
      <c r="DM31">
        <v>85513799.999999985</v>
      </c>
      <c r="DN31">
        <v>-5.2888035774230954E-3</v>
      </c>
      <c r="DO31">
        <v>610315100.00000024</v>
      </c>
      <c r="DP31">
        <v>1382999400</v>
      </c>
      <c r="DQ31">
        <v>1281</v>
      </c>
      <c r="DR31">
        <v>-0.22784003077840512</v>
      </c>
      <c r="DS31">
        <v>-0.47534539476557192</v>
      </c>
      <c r="DT31" s="10">
        <v>-0.40666666666666673</v>
      </c>
      <c r="DU31">
        <v>-0.30333333333333334</v>
      </c>
      <c r="DV31">
        <v>-0.71000000000000008</v>
      </c>
      <c r="DW31">
        <v>-2.125</v>
      </c>
      <c r="DX31">
        <v>0.33816201303942717</v>
      </c>
      <c r="DY31">
        <v>-2.0147702516299284</v>
      </c>
      <c r="DZ31">
        <v>3218</v>
      </c>
      <c r="EA31">
        <v>-2.0054687507013353</v>
      </c>
      <c r="EB31">
        <v>2</v>
      </c>
      <c r="EC31">
        <v>3.5165080423942639E-2</v>
      </c>
      <c r="ED31">
        <v>0.29760055299844301</v>
      </c>
      <c r="EE31" s="11">
        <v>-5.0547000000000004</v>
      </c>
      <c r="EF31">
        <v>-5.0449999999999999</v>
      </c>
      <c r="EG31">
        <v>22.118162013039427</v>
      </c>
      <c r="EH31" t="s">
        <v>2167</v>
      </c>
      <c r="EI31">
        <v>0</v>
      </c>
      <c r="EJ31">
        <v>0</v>
      </c>
      <c r="EK31" s="12">
        <v>45470</v>
      </c>
      <c r="EL31">
        <v>-0.14000000000000001</v>
      </c>
      <c r="EM31">
        <v>-5.01</v>
      </c>
      <c r="EN31">
        <v>2.0499999999999998</v>
      </c>
      <c r="EO31">
        <v>4.0199999999999996</v>
      </c>
      <c r="EP31">
        <v>-0.97</v>
      </c>
    </row>
    <row r="32" spans="1:146" ht="156" x14ac:dyDescent="0.25">
      <c r="A32" s="6"/>
      <c r="B32" s="6" t="s">
        <v>1705</v>
      </c>
      <c r="C32" s="6" t="str">
        <f>"公司致力于非离子型纤维素醚产品的研发、生产和销售。公司主要产品有：纤维素醚、羟丙甲植物空心胶囊。公司在纤维素醚的产销规模、生产技术、产品种类、产品质量稳定性和生产环保措施等方面具有较强竞争实力,现已成长为国内第一、全球第四的纤维素醚供应商"&amp;CHAR(10)&amp;Basic_Fundamental_Information_Constructure(F32)&amp;CHAR(10)&amp;Basic_Fundamental_Information_Concatenate("出口 5.64亿 62.21% 69.12% 41.78%
内销 3.43亿 37.79% 30.88% 30.72%")</f>
        <v>公司致力于非离子型纤维素醚产品的研发、生产和销售。公司主要产品有：纤维素醚、羟丙甲植物空心胶囊。公司在纤维素醚的产销规模、生产技术、产品种类、产品质量稳定性和生产环保措施等方面具有较强竞争实力,现已成长为国内第一、全球第四的纤维素醚供应商
市值38.885931亿, 利润2.20亿; PE19.35; 平均PE16.82; 平均PEG1.41, PB1.89; ROIC14.8733%; ROE18.7267%; 股利率1.7575%; 毛利33.3467%; 净利18.6%; 上一年度营收增-9.69%, 利润增-37.85%; 当季营收增16%, 利润增-26.37%; 过往5年营收增11.89%, 利润增35.02%
Income profile:
出口 5.64亿 62.21% 69.12% 41.78%
内销 3.43亿 37.79% 30.88% 30.72%</v>
      </c>
      <c r="D32" t="s">
        <v>644</v>
      </c>
      <c r="E32" t="s">
        <v>645</v>
      </c>
      <c r="F32">
        <v>11.38</v>
      </c>
      <c r="G32">
        <v>2.06</v>
      </c>
      <c r="H32" t="s">
        <v>3671</v>
      </c>
      <c r="I32">
        <v>3888593100</v>
      </c>
      <c r="J32">
        <v>19.350000000000001</v>
      </c>
      <c r="K32">
        <v>1.89</v>
      </c>
      <c r="L32" t="s">
        <v>428</v>
      </c>
      <c r="M32" t="s">
        <v>1908</v>
      </c>
      <c r="N32" t="s">
        <v>3672</v>
      </c>
      <c r="O32" t="s">
        <v>1448</v>
      </c>
      <c r="P32">
        <v>16.100000000000001</v>
      </c>
      <c r="Q32" t="s">
        <v>2099</v>
      </c>
      <c r="R32">
        <v>53602901</v>
      </c>
      <c r="S32" s="4">
        <v>-0.26369999999999999</v>
      </c>
      <c r="T32" t="s">
        <v>27</v>
      </c>
      <c r="U32">
        <v>319999550</v>
      </c>
      <c r="V32">
        <v>341704140</v>
      </c>
      <c r="W32">
        <v>1.79</v>
      </c>
      <c r="X32">
        <v>0.11</v>
      </c>
      <c r="Y32">
        <v>12.31</v>
      </c>
      <c r="Z32" t="s">
        <v>1230</v>
      </c>
      <c r="AA32" t="s">
        <v>403</v>
      </c>
      <c r="AB32" t="s">
        <v>3673</v>
      </c>
      <c r="AC32" t="s">
        <v>3674</v>
      </c>
      <c r="AD32" t="s">
        <v>5</v>
      </c>
      <c r="AE32">
        <v>7427548</v>
      </c>
      <c r="AF32" t="s">
        <v>2475</v>
      </c>
      <c r="AG32" t="s">
        <v>3675</v>
      </c>
      <c r="AH32" t="s">
        <v>2476</v>
      </c>
      <c r="AI32" t="s">
        <v>166</v>
      </c>
      <c r="AJ32" t="s">
        <v>2477</v>
      </c>
      <c r="AK32" t="s">
        <v>2376</v>
      </c>
      <c r="AL32" t="s">
        <v>2478</v>
      </c>
      <c r="AM32" t="s">
        <v>5</v>
      </c>
      <c r="AN32" t="s">
        <v>93</v>
      </c>
      <c r="AO32" t="s">
        <v>227</v>
      </c>
      <c r="AP32" t="s">
        <v>3676</v>
      </c>
      <c r="AQ32" t="s">
        <v>2488</v>
      </c>
      <c r="AR32" t="s">
        <v>5</v>
      </c>
      <c r="AS32" t="s">
        <v>3677</v>
      </c>
      <c r="AT32" t="s">
        <v>3678</v>
      </c>
      <c r="AU32" t="s">
        <v>3679</v>
      </c>
      <c r="AV32" t="s">
        <v>3680</v>
      </c>
      <c r="AW32" t="s">
        <v>3681</v>
      </c>
      <c r="AX32" t="s">
        <v>1772</v>
      </c>
      <c r="AY32" t="s">
        <v>1281</v>
      </c>
      <c r="AZ32" t="s">
        <v>1282</v>
      </c>
      <c r="BA32" t="s">
        <v>171</v>
      </c>
      <c r="BB32" t="s">
        <v>646</v>
      </c>
      <c r="BC32" t="s">
        <v>168</v>
      </c>
      <c r="BD32" t="s">
        <v>35</v>
      </c>
      <c r="BE32" t="s">
        <v>147</v>
      </c>
      <c r="BF32" t="s">
        <v>76</v>
      </c>
      <c r="BG32" t="s">
        <v>647</v>
      </c>
      <c r="BH32" t="s">
        <v>2099</v>
      </c>
      <c r="BI32" t="s">
        <v>1629</v>
      </c>
      <c r="BJ32" t="s">
        <v>1772</v>
      </c>
      <c r="BK32" t="s">
        <v>27</v>
      </c>
      <c r="BL32" t="s">
        <v>2479</v>
      </c>
      <c r="BM32" t="s">
        <v>168</v>
      </c>
      <c r="BN32">
        <v>8.57</v>
      </c>
      <c r="BO32">
        <v>16.2</v>
      </c>
      <c r="BP32">
        <v>19.850000000000001</v>
      </c>
      <c r="BQ32">
        <v>11.58</v>
      </c>
      <c r="BR32">
        <v>20.65</v>
      </c>
      <c r="BS32">
        <v>23.95</v>
      </c>
      <c r="BT32" t="s">
        <v>1671</v>
      </c>
      <c r="BU32" t="s">
        <v>1516</v>
      </c>
      <c r="BV32">
        <v>29.29</v>
      </c>
      <c r="BW32">
        <v>34.200000000000003</v>
      </c>
      <c r="BX32">
        <v>36.549999999999997</v>
      </c>
      <c r="BY32">
        <v>14.15</v>
      </c>
      <c r="BZ32">
        <v>20.53</v>
      </c>
      <c r="CA32">
        <v>21.12</v>
      </c>
      <c r="CB32">
        <v>-1.73</v>
      </c>
      <c r="CC32">
        <v>-22.53</v>
      </c>
      <c r="CD32" t="s">
        <v>3682</v>
      </c>
      <c r="CE32" t="s">
        <v>3683</v>
      </c>
      <c r="CF32" s="8">
        <v>0.15999999999999984</v>
      </c>
      <c r="CG32" s="9">
        <v>-0.2637146196934691</v>
      </c>
      <c r="CH32" s="8">
        <v>-9.6924006938934326E-2</v>
      </c>
      <c r="CI32" s="8">
        <v>0.10448721796274185</v>
      </c>
      <c r="CJ32" s="8">
        <v>0.19174948334693909</v>
      </c>
      <c r="CK32" s="8">
        <v>0.17610064148902893</v>
      </c>
      <c r="CL32" s="8">
        <v>0.21905797719955444</v>
      </c>
      <c r="CM32" s="9">
        <v>-0.3785310685634613</v>
      </c>
      <c r="CN32" s="9">
        <v>7.2727270424365997E-2</v>
      </c>
      <c r="CO32" s="9">
        <v>0.3095238208770752</v>
      </c>
      <c r="CP32" s="9">
        <v>0.59493672847747803</v>
      </c>
      <c r="CQ32" s="9">
        <v>1.1523891687393188</v>
      </c>
      <c r="CR32">
        <v>16.816667324969146</v>
      </c>
      <c r="CS32">
        <v>1.4144221054524453</v>
      </c>
      <c r="CT32">
        <v>1.7574692442882249</v>
      </c>
      <c r="CU32" s="8">
        <v>0.118894262611866</v>
      </c>
      <c r="CV32" s="9">
        <v>0.35020918399095535</v>
      </c>
      <c r="CW32">
        <v>0.06</v>
      </c>
      <c r="CX32">
        <v>14.794348994560083</v>
      </c>
      <c r="CY32">
        <v>232223337.52321753</v>
      </c>
      <c r="CZ32">
        <v>0.118894262611866</v>
      </c>
      <c r="DA32">
        <v>4.7181816708731983</v>
      </c>
      <c r="DB32">
        <v>728160410.01748276</v>
      </c>
      <c r="DC32">
        <v>0.1129495494812727</v>
      </c>
      <c r="DD32">
        <v>2.2473311379460275</v>
      </c>
      <c r="DE32">
        <v>1528743602.5738502</v>
      </c>
      <c r="DF32">
        <v>0.10462695109844208</v>
      </c>
      <c r="DG32">
        <v>1.2996630554406552</v>
      </c>
      <c r="DH32">
        <v>2643449073.6794472</v>
      </c>
      <c r="DI32">
        <v>9.5115410089492813E-2</v>
      </c>
      <c r="DJ32">
        <v>0.61705481051677868</v>
      </c>
      <c r="DK32">
        <v>5567727601.2526617</v>
      </c>
      <c r="DL32">
        <v>8.3225983828306191E-2</v>
      </c>
      <c r="DM32">
        <v>220000000.00000003</v>
      </c>
      <c r="DN32">
        <v>0.118894262611866</v>
      </c>
      <c r="DO32">
        <v>3435593100</v>
      </c>
      <c r="DP32">
        <v>280541040.00000012</v>
      </c>
      <c r="DQ32">
        <v>1282</v>
      </c>
      <c r="DR32">
        <v>4.1105737388133834E-2</v>
      </c>
      <c r="DS32">
        <v>-0.61392380368442445</v>
      </c>
      <c r="DT32" s="10">
        <v>-9.000000000000008E-2</v>
      </c>
      <c r="DU32">
        <v>6.3333333333333353E-2</v>
      </c>
      <c r="DV32">
        <v>-2.6666666666666727E-2</v>
      </c>
      <c r="DW32">
        <v>-3.0738511904761903</v>
      </c>
      <c r="DX32">
        <v>0.39796195457242889</v>
      </c>
      <c r="DY32">
        <v>-3.0101886545855958</v>
      </c>
      <c r="DZ32">
        <v>1778</v>
      </c>
      <c r="EA32">
        <v>-3.0066435610722517</v>
      </c>
      <c r="EB32">
        <v>3</v>
      </c>
      <c r="EC32">
        <v>3.7147047735505929E-2</v>
      </c>
      <c r="ED32">
        <v>0.26925573684884241</v>
      </c>
      <c r="EE32" s="11">
        <v>1.12731</v>
      </c>
      <c r="EF32">
        <v>9.1099999999999966E-3</v>
      </c>
      <c r="EG32">
        <v>26.137961954572429</v>
      </c>
      <c r="EH32">
        <v>-1</v>
      </c>
      <c r="EI32">
        <v>0</v>
      </c>
      <c r="EJ32">
        <v>0</v>
      </c>
      <c r="EK32" s="12">
        <v>45470</v>
      </c>
      <c r="EL32">
        <v>-1.7</v>
      </c>
      <c r="EM32">
        <v>-5.2</v>
      </c>
      <c r="EN32">
        <v>-0.25</v>
      </c>
      <c r="EO32">
        <v>2.25</v>
      </c>
      <c r="EP32">
        <v>-3.18</v>
      </c>
    </row>
    <row r="33" spans="1:146" ht="133" customHeight="1" x14ac:dyDescent="0.25">
      <c r="A33" s="6"/>
      <c r="B33" s="6" t="s">
        <v>1610</v>
      </c>
      <c r="C33" s="6" t="str">
        <f>"公司的主营业务为民用爆破器材的科研、生产、销售、储运以及爆破工程设计、施工服务。公司的主要产品是工业炸药、工业管、工业索、运输服务、爆破服务。"&amp;CHAR(10)&amp;Basic_Fundamental_Information_Constructure(C33)&amp;CHAR(10)&amp;Basic_Fundamental_Information_Concatenate("爆破服务 3.82亿 76.22% 53.58% 17.09%
民爆器材 1.13亿 22.54% 45.19% 48.74%
其他收入 315.88万 0.63% 1.40% 54.17%")</f>
        <v>公司的主营业务为民用爆破器材的科研、生产、销售、储运以及爆破工程设计、施工服务。公司的主要产品是工业炸药、工业管、工业索、运输服务、爆破服务。
市值57.6288亿, 利润9776.43万; PE56.4; 平均PE106.4; 平均PEG2.78, PB6.94; ROIC5.9667%; ROE8.04%; 股利率.7184%; 毛利30.83%; 净利7.23%; 上一年度营收增36.95%, 利润增82.96%; 当季营收增-1.15%, 利润增1089.76%; 过往5年营收增38.25%, 利润增24.12%
Income profile:
爆破服务 3.82亿 76.22% 53.58% 17.09%
民爆器材 1.13亿 22.54% 45.19% 48.74%
其他收入 315.88万 0.63% 1.40% 54.17%</v>
      </c>
      <c r="D33" t="s">
        <v>648</v>
      </c>
      <c r="E33" t="s">
        <v>649</v>
      </c>
      <c r="F33">
        <v>20.88</v>
      </c>
      <c r="G33">
        <v>-5.22</v>
      </c>
      <c r="H33" t="s">
        <v>3684</v>
      </c>
      <c r="I33">
        <v>5762880000</v>
      </c>
      <c r="J33">
        <v>56.4</v>
      </c>
      <c r="K33">
        <v>6.94</v>
      </c>
      <c r="L33" t="s">
        <v>428</v>
      </c>
      <c r="M33" t="s">
        <v>1300</v>
      </c>
      <c r="N33" t="s">
        <v>2120</v>
      </c>
      <c r="O33" t="s">
        <v>1440</v>
      </c>
      <c r="P33">
        <v>-0.96</v>
      </c>
      <c r="Q33" t="s">
        <v>2480</v>
      </c>
      <c r="R33">
        <v>55500000</v>
      </c>
      <c r="S33" s="4">
        <v>0.94479999999999997</v>
      </c>
      <c r="T33" t="s">
        <v>2481</v>
      </c>
      <c r="U33">
        <v>275998880</v>
      </c>
      <c r="V33">
        <v>276000000</v>
      </c>
      <c r="W33">
        <v>2.4900000000000002</v>
      </c>
      <c r="X33">
        <v>0.1</v>
      </c>
      <c r="Y33">
        <v>0.68</v>
      </c>
      <c r="Z33" t="s">
        <v>1127</v>
      </c>
      <c r="AA33" t="s">
        <v>70</v>
      </c>
      <c r="AB33" t="s">
        <v>3685</v>
      </c>
      <c r="AC33" t="s">
        <v>3686</v>
      </c>
      <c r="AD33" t="s">
        <v>5</v>
      </c>
      <c r="AE33">
        <v>2610285</v>
      </c>
      <c r="AF33" t="s">
        <v>2482</v>
      </c>
      <c r="AG33" t="s">
        <v>3687</v>
      </c>
      <c r="AH33" t="s">
        <v>2483</v>
      </c>
      <c r="AI33" t="s">
        <v>1892</v>
      </c>
      <c r="AJ33" t="s">
        <v>2484</v>
      </c>
      <c r="AK33" t="s">
        <v>3688</v>
      </c>
      <c r="AL33" t="s">
        <v>2485</v>
      </c>
      <c r="AM33" t="s">
        <v>5</v>
      </c>
      <c r="AN33" t="s">
        <v>3689</v>
      </c>
      <c r="AO33" t="s">
        <v>1319</v>
      </c>
      <c r="AP33" t="s">
        <v>3690</v>
      </c>
      <c r="AQ33" t="s">
        <v>1627</v>
      </c>
      <c r="AR33" t="s">
        <v>5</v>
      </c>
      <c r="AS33" t="s">
        <v>2782</v>
      </c>
      <c r="AT33" t="s">
        <v>1551</v>
      </c>
      <c r="AU33" t="s">
        <v>3691</v>
      </c>
      <c r="AV33" t="s">
        <v>3692</v>
      </c>
      <c r="AW33" t="s">
        <v>3693</v>
      </c>
      <c r="AX33" t="s">
        <v>1724</v>
      </c>
      <c r="AY33" t="s">
        <v>542</v>
      </c>
      <c r="AZ33" t="s">
        <v>414</v>
      </c>
      <c r="BA33" t="s">
        <v>169</v>
      </c>
      <c r="BB33" t="s">
        <v>238</v>
      </c>
      <c r="BC33" t="s">
        <v>2486</v>
      </c>
      <c r="BD33" t="s">
        <v>1283</v>
      </c>
      <c r="BE33" t="s">
        <v>1284</v>
      </c>
      <c r="BF33" t="s">
        <v>651</v>
      </c>
      <c r="BG33" t="s">
        <v>652</v>
      </c>
      <c r="BH33" t="s">
        <v>2480</v>
      </c>
      <c r="BI33" t="s">
        <v>419</v>
      </c>
      <c r="BJ33" t="s">
        <v>1724</v>
      </c>
      <c r="BK33" t="s">
        <v>2481</v>
      </c>
      <c r="BL33" t="s">
        <v>2487</v>
      </c>
      <c r="BM33" t="s">
        <v>2486</v>
      </c>
      <c r="BN33">
        <v>6.01</v>
      </c>
      <c r="BO33">
        <v>5.38</v>
      </c>
      <c r="BP33">
        <v>6.51</v>
      </c>
      <c r="BQ33">
        <v>10.35</v>
      </c>
      <c r="BR33">
        <v>6.91</v>
      </c>
      <c r="BS33">
        <v>6.86</v>
      </c>
      <c r="BT33" t="s">
        <v>1681</v>
      </c>
      <c r="BU33" t="s">
        <v>1517</v>
      </c>
      <c r="BV33">
        <v>31.05</v>
      </c>
      <c r="BW33">
        <v>28.23</v>
      </c>
      <c r="BX33">
        <v>33.21</v>
      </c>
      <c r="BY33">
        <v>7.87</v>
      </c>
      <c r="BZ33">
        <v>5.85</v>
      </c>
      <c r="CA33">
        <v>7.97</v>
      </c>
      <c r="CB33">
        <v>-4.6100000000000003</v>
      </c>
      <c r="CC33">
        <v>-10.73</v>
      </c>
      <c r="CD33" t="s">
        <v>3694</v>
      </c>
      <c r="CE33" t="s">
        <v>232</v>
      </c>
      <c r="CF33" s="8">
        <v>-1.1450381679389313E-2</v>
      </c>
      <c r="CG33" s="9">
        <v>10.897616189332876</v>
      </c>
      <c r="CH33" s="8">
        <v>0.36948847770690918</v>
      </c>
      <c r="CI33" s="8">
        <v>0.21543408930301666</v>
      </c>
      <c r="CJ33" s="8">
        <v>0.2341269850730896</v>
      </c>
      <c r="CK33" s="8">
        <v>1.076923131942749</v>
      </c>
      <c r="CL33" s="8">
        <v>1.6759777441620827E-2</v>
      </c>
      <c r="CM33" s="9">
        <v>0.82958275079727173</v>
      </c>
      <c r="CN33" s="9">
        <v>1.6121702268719673E-2</v>
      </c>
      <c r="CO33" s="9">
        <v>0.42846471071243286</v>
      </c>
      <c r="CP33" s="9">
        <v>0.53476077318191528</v>
      </c>
      <c r="CQ33" s="9">
        <v>-0.60280704498291016</v>
      </c>
      <c r="CR33">
        <v>106.39860397004482</v>
      </c>
      <c r="CS33">
        <v>2.7813247830911836</v>
      </c>
      <c r="CT33">
        <v>0.71839080459770122</v>
      </c>
      <c r="CU33" s="8">
        <v>0.38254649229347704</v>
      </c>
      <c r="CV33" s="9">
        <v>0.24122457839548589</v>
      </c>
      <c r="CW33">
        <v>0.06</v>
      </c>
      <c r="CX33">
        <v>49.154863989023319</v>
      </c>
      <c r="CY33">
        <v>127512915.12879923</v>
      </c>
      <c r="CZ33">
        <v>0.38254649229347704</v>
      </c>
      <c r="DA33">
        <v>12.648727780162972</v>
      </c>
      <c r="DB33">
        <v>495534421.24273801</v>
      </c>
      <c r="DC33">
        <v>0.36341916767880317</v>
      </c>
      <c r="DD33">
        <v>4.3933804402321437</v>
      </c>
      <c r="DE33">
        <v>1426664520.6962337</v>
      </c>
      <c r="DF33">
        <v>0.33664091321825979</v>
      </c>
      <c r="DG33">
        <v>1.7100004844482783</v>
      </c>
      <c r="DH33">
        <v>3665425862.1583343</v>
      </c>
      <c r="DI33">
        <v>0.30603719383478167</v>
      </c>
      <c r="DJ33">
        <v>0.30130386908074852</v>
      </c>
      <c r="DK33">
        <v>20802520787.810486</v>
      </c>
      <c r="DL33">
        <v>0.26778254460543388</v>
      </c>
      <c r="DM33">
        <v>97764300</v>
      </c>
      <c r="DN33">
        <v>0.38254649229347704</v>
      </c>
      <c r="DO33">
        <v>6267880000</v>
      </c>
      <c r="DP33">
        <v>1018981200</v>
      </c>
      <c r="DQ33">
        <v>1298</v>
      </c>
      <c r="DR33">
        <v>-0.39399687397286637</v>
      </c>
      <c r="DS33">
        <v>10.656391610937391</v>
      </c>
      <c r="DT33" s="10">
        <v>0.24333333333333326</v>
      </c>
      <c r="DU33">
        <v>0.60333333333333328</v>
      </c>
      <c r="DV33">
        <v>0.84666666666666657</v>
      </c>
      <c r="DW33">
        <v>-8.4296365330848086</v>
      </c>
      <c r="DX33">
        <v>0.45627816377171099</v>
      </c>
      <c r="DY33">
        <v>-8.0714391738105871</v>
      </c>
      <c r="DZ33">
        <v>306</v>
      </c>
      <c r="EA33">
        <v>-8.0671612115432598</v>
      </c>
      <c r="EB33">
        <v>8</v>
      </c>
      <c r="EC33">
        <v>0.24279021739130435</v>
      </c>
      <c r="ED33">
        <v>1.4601449275362319</v>
      </c>
      <c r="EE33" s="11">
        <v>3.1137000000000001</v>
      </c>
      <c r="EF33">
        <v>3.0861000000000001</v>
      </c>
      <c r="EG33">
        <v>29.166278163771711</v>
      </c>
      <c r="EH33" t="s">
        <v>2072</v>
      </c>
      <c r="EI33">
        <v>0</v>
      </c>
      <c r="EJ33">
        <v>1</v>
      </c>
      <c r="EK33" s="12">
        <v>45470</v>
      </c>
      <c r="EL33">
        <v>9.98</v>
      </c>
      <c r="EM33">
        <v>3.8</v>
      </c>
      <c r="EN33">
        <v>-2.72</v>
      </c>
      <c r="EO33">
        <v>1.42</v>
      </c>
      <c r="EP33">
        <v>-2.76</v>
      </c>
    </row>
    <row r="34" spans="1:146" ht="84" x14ac:dyDescent="0.25">
      <c r="A34" s="6" t="s">
        <v>1102</v>
      </c>
      <c r="B34" s="6" t="s">
        <v>1103</v>
      </c>
      <c r="C34" s="6" t="str">
        <f>""&amp;CHAR(10)&amp;Basic_Fundamental_Information_Constructure(F34)&amp;CHAR(10)&amp;Basic_Fundamental_Information_Concatenate("")</f>
        <v xml:space="preserve">
市值16.073458亿, 利润1024.07万; PE; 平均PE33.57; 平均PEG3.79, PB1.65; ROIC3.3133%; ROE3.0067%; 股利率1.2407%; 毛利22.5367%; 净利1.5%; 上一年度营收增-8.14%, 利润增.49%; 当季营收增-11.28%, 利润增-1388.1%; 过往5年营收增8.86%, 利润增50.54%
Income profile:
</v>
      </c>
      <c r="D34" t="s">
        <v>654</v>
      </c>
      <c r="E34" t="s">
        <v>655</v>
      </c>
      <c r="F34">
        <v>4.03</v>
      </c>
      <c r="G34">
        <v>1.51</v>
      </c>
      <c r="H34" t="s">
        <v>3695</v>
      </c>
      <c r="I34">
        <v>1607345800</v>
      </c>
      <c r="K34">
        <v>1.65</v>
      </c>
      <c r="L34" t="s">
        <v>428</v>
      </c>
      <c r="M34" t="s">
        <v>2048</v>
      </c>
      <c r="N34" t="s">
        <v>2187</v>
      </c>
      <c r="O34" t="s">
        <v>354</v>
      </c>
      <c r="P34">
        <v>-11.45</v>
      </c>
      <c r="Q34" t="s">
        <v>1216</v>
      </c>
      <c r="R34">
        <v>-9814009</v>
      </c>
      <c r="S34" s="4">
        <v>-13.88</v>
      </c>
      <c r="T34" t="s">
        <v>2490</v>
      </c>
      <c r="U34">
        <v>362909480</v>
      </c>
      <c r="V34">
        <v>398845120</v>
      </c>
      <c r="W34">
        <v>2.2599999999999998</v>
      </c>
      <c r="X34">
        <v>0.11</v>
      </c>
      <c r="Y34">
        <v>-4.3099999999999996</v>
      </c>
      <c r="Z34" t="s">
        <v>1169</v>
      </c>
      <c r="AA34" t="s">
        <v>186</v>
      </c>
      <c r="AB34" t="s">
        <v>3696</v>
      </c>
      <c r="AC34" t="s">
        <v>3697</v>
      </c>
      <c r="AD34" t="s">
        <v>5</v>
      </c>
      <c r="AE34">
        <v>7293531</v>
      </c>
      <c r="AF34" t="s">
        <v>32</v>
      </c>
      <c r="AG34" t="s">
        <v>3698</v>
      </c>
      <c r="AH34" t="s">
        <v>2491</v>
      </c>
      <c r="AI34" t="s">
        <v>116</v>
      </c>
      <c r="AJ34" t="s">
        <v>2492</v>
      </c>
      <c r="AK34" t="s">
        <v>250</v>
      </c>
      <c r="AL34" t="s">
        <v>2493</v>
      </c>
      <c r="AM34" t="s">
        <v>5</v>
      </c>
      <c r="AN34" t="s">
        <v>560</v>
      </c>
      <c r="AO34" t="s">
        <v>1375</v>
      </c>
      <c r="AP34" t="s">
        <v>3699</v>
      </c>
      <c r="AQ34" t="s">
        <v>240</v>
      </c>
      <c r="AR34" t="s">
        <v>5</v>
      </c>
      <c r="AS34" t="s">
        <v>3700</v>
      </c>
      <c r="AT34" t="s">
        <v>45</v>
      </c>
      <c r="AU34" t="s">
        <v>3701</v>
      </c>
      <c r="AV34" t="s">
        <v>3702</v>
      </c>
      <c r="AW34" t="s">
        <v>582</v>
      </c>
      <c r="AX34" t="s">
        <v>1337</v>
      </c>
      <c r="AY34" t="s">
        <v>1011</v>
      </c>
      <c r="AZ34" t="s">
        <v>656</v>
      </c>
      <c r="BA34" t="s">
        <v>658</v>
      </c>
      <c r="BB34" t="s">
        <v>542</v>
      </c>
      <c r="BC34" t="s">
        <v>2494</v>
      </c>
      <c r="BD34" t="s">
        <v>1288</v>
      </c>
      <c r="BE34" t="s">
        <v>45</v>
      </c>
      <c r="BF34" t="s">
        <v>661</v>
      </c>
      <c r="BG34" t="s">
        <v>662</v>
      </c>
      <c r="BH34" t="s">
        <v>1216</v>
      </c>
      <c r="BI34" t="s">
        <v>156</v>
      </c>
      <c r="BJ34" t="s">
        <v>1337</v>
      </c>
      <c r="BK34" t="s">
        <v>2490</v>
      </c>
      <c r="BL34" t="s">
        <v>2495</v>
      </c>
      <c r="BM34" t="s">
        <v>2494</v>
      </c>
      <c r="BN34">
        <v>2.62</v>
      </c>
      <c r="BO34">
        <v>2.2400000000000002</v>
      </c>
      <c r="BP34">
        <v>5.08</v>
      </c>
      <c r="BQ34">
        <v>1.97</v>
      </c>
      <c r="BR34">
        <v>1.2</v>
      </c>
      <c r="BS34">
        <v>5.85</v>
      </c>
      <c r="BT34" t="s">
        <v>1673</v>
      </c>
      <c r="BU34" t="s">
        <v>1520</v>
      </c>
      <c r="BV34">
        <v>25.08</v>
      </c>
      <c r="BW34">
        <v>21.49</v>
      </c>
      <c r="BX34">
        <v>21.04</v>
      </c>
      <c r="BY34">
        <v>0.77</v>
      </c>
      <c r="BZ34">
        <v>0.7</v>
      </c>
      <c r="CA34">
        <v>3.03</v>
      </c>
      <c r="CB34">
        <v>-0.49</v>
      </c>
      <c r="CC34">
        <v>-22.05</v>
      </c>
      <c r="CD34" t="s">
        <v>3703</v>
      </c>
      <c r="CE34" t="s">
        <v>179</v>
      </c>
      <c r="CF34" s="8">
        <v>-0.11284046692607005</v>
      </c>
      <c r="CG34" s="9">
        <v>-13.880967318545741</v>
      </c>
      <c r="CH34" s="8">
        <v>-8.1379309296607971E-2</v>
      </c>
      <c r="CI34" s="8">
        <v>-0.13484486937522888</v>
      </c>
      <c r="CJ34" s="8">
        <v>0.33121517300605774</v>
      </c>
      <c r="CK34" s="8">
        <v>0.2391732931137085</v>
      </c>
      <c r="CL34" s="8">
        <v>8.8960342109203339E-2</v>
      </c>
      <c r="CM34" s="9">
        <v>4.8867128789424896E-3</v>
      </c>
      <c r="CN34" s="9">
        <v>-0.79895323514938354</v>
      </c>
      <c r="CO34" s="9">
        <v>-0.54741787910461426</v>
      </c>
      <c r="CP34" s="9">
        <v>0.31123587489128113</v>
      </c>
      <c r="CQ34" s="9">
        <v>3.5574431419372559</v>
      </c>
      <c r="CR34">
        <v>33.570483544881895</v>
      </c>
      <c r="CS34">
        <v>3.7879279671762864</v>
      </c>
      <c r="CT34">
        <v>1.2406947890818858</v>
      </c>
      <c r="CU34" s="8">
        <v>8.8624925911426539E-2</v>
      </c>
      <c r="CV34" s="9">
        <v>0.50543892309069638</v>
      </c>
      <c r="CW34">
        <v>0.06</v>
      </c>
      <c r="CX34">
        <v>166.04591342015243</v>
      </c>
      <c r="CY34">
        <v>10517246.489416173</v>
      </c>
      <c r="CZ34">
        <v>8.8624925911426539E-2</v>
      </c>
      <c r="DA34">
        <v>54.325484505952218</v>
      </c>
      <c r="DB34">
        <v>32145977.452049419</v>
      </c>
      <c r="DC34">
        <v>8.4193679615855208E-2</v>
      </c>
      <c r="DD34">
        <v>26.784839318395321</v>
      </c>
      <c r="DE34">
        <v>65199039.622412175</v>
      </c>
      <c r="DF34">
        <v>7.798993480205535E-2</v>
      </c>
      <c r="DG34">
        <v>16.113001862390675</v>
      </c>
      <c r="DH34">
        <v>108381157.95642911</v>
      </c>
      <c r="DI34">
        <v>7.0899940729141228E-2</v>
      </c>
      <c r="DJ34">
        <v>8.3557867123908203</v>
      </c>
      <c r="DK34">
        <v>208998369.6460728</v>
      </c>
      <c r="DL34">
        <v>6.2037448137998573E-2</v>
      </c>
      <c r="DM34">
        <v>10240700</v>
      </c>
      <c r="DN34">
        <v>8.8624925911426539E-2</v>
      </c>
      <c r="DO34">
        <v>1746345800</v>
      </c>
      <c r="DP34">
        <v>-71133450</v>
      </c>
      <c r="DQ34">
        <v>1374</v>
      </c>
      <c r="DR34">
        <v>-0.20146539283749659</v>
      </c>
      <c r="DS34">
        <v>-14.386406241636438</v>
      </c>
      <c r="DT34" s="10">
        <v>-0.19000000000000003</v>
      </c>
      <c r="DU34">
        <v>-0.7466666666666667</v>
      </c>
      <c r="DV34">
        <v>-0.93666666666666676</v>
      </c>
      <c r="DW34">
        <v>-3.0684226190476189</v>
      </c>
      <c r="DX34">
        <v>0.37697631578947211</v>
      </c>
      <c r="DY34">
        <v>-3.0080038258928572</v>
      </c>
      <c r="DZ34">
        <v>3492</v>
      </c>
      <c r="EA34">
        <v>-3.0025342838149984</v>
      </c>
      <c r="EB34">
        <v>3</v>
      </c>
      <c r="EC34">
        <v>4.457971054027187E-2</v>
      </c>
      <c r="ED34">
        <v>0.38110031282318307</v>
      </c>
      <c r="EE34" s="11">
        <v>-5.0556000000000001</v>
      </c>
      <c r="EF34">
        <v>-5.0414000000000003</v>
      </c>
      <c r="EG34">
        <v>26.116976315789472</v>
      </c>
      <c r="EH34" t="s">
        <v>2167</v>
      </c>
      <c r="EI34">
        <v>0</v>
      </c>
      <c r="EJ34">
        <v>0</v>
      </c>
      <c r="EK34" s="12">
        <v>45470</v>
      </c>
      <c r="EL34">
        <v>1.45</v>
      </c>
      <c r="EM34">
        <v>-4.29</v>
      </c>
      <c r="EN34">
        <v>1.74</v>
      </c>
      <c r="EO34">
        <v>3.67</v>
      </c>
      <c r="EP34">
        <v>-1.42</v>
      </c>
    </row>
    <row r="35" spans="1:146" ht="84" x14ac:dyDescent="0.25">
      <c r="A35" s="6"/>
      <c r="B35" s="6"/>
      <c r="C35" s="6" t="str">
        <f>""&amp;CHAR(10)&amp;Basic_Fundamental_Information_Constructure(F35)&amp;CHAR(10)&amp;Basic_Fundamental_Information_Concatenate("")</f>
        <v xml:space="preserve">
市值31.680702亿, 利润-1.88亿; PE; 平均PE70.28; 平均PEG2.44, PB2.13; ROIC9.935%; ROE7.7433%; 股利率0%; 毛利20.3233%; 净利3.4233%; 上一年度营收增-16.1%, 利润增-201.62%; 当季营收增8.9%, 利润增-90.68%; 过往5年营收增28.76%, 利润增-16.68%
Income profile:
</v>
      </c>
      <c r="D35" t="s">
        <v>663</v>
      </c>
      <c r="E35" t="s">
        <v>664</v>
      </c>
      <c r="F35">
        <v>9.66</v>
      </c>
      <c r="G35">
        <v>0.52</v>
      </c>
      <c r="H35" t="s">
        <v>3704</v>
      </c>
      <c r="I35">
        <v>3168070200</v>
      </c>
      <c r="K35">
        <v>2.13</v>
      </c>
      <c r="L35" t="s">
        <v>428</v>
      </c>
      <c r="M35" t="s">
        <v>2081</v>
      </c>
      <c r="N35" t="s">
        <v>2524</v>
      </c>
      <c r="O35" t="s">
        <v>246</v>
      </c>
      <c r="P35">
        <v>8.76</v>
      </c>
      <c r="Q35" t="s">
        <v>2143</v>
      </c>
      <c r="R35">
        <v>2553569</v>
      </c>
      <c r="S35" s="4">
        <v>-0.90680000000000005</v>
      </c>
      <c r="T35" t="s">
        <v>1644</v>
      </c>
      <c r="U35">
        <v>288306380</v>
      </c>
      <c r="V35">
        <v>327957580</v>
      </c>
      <c r="W35">
        <v>1.86</v>
      </c>
      <c r="X35">
        <v>0.1</v>
      </c>
      <c r="Y35">
        <v>2.5</v>
      </c>
      <c r="Z35" t="s">
        <v>351</v>
      </c>
      <c r="AA35" t="s">
        <v>114</v>
      </c>
      <c r="AB35" t="s">
        <v>3705</v>
      </c>
      <c r="AC35" t="s">
        <v>3706</v>
      </c>
      <c r="AD35" t="s">
        <v>5</v>
      </c>
      <c r="AE35">
        <v>5838469</v>
      </c>
      <c r="AF35" t="s">
        <v>32</v>
      </c>
      <c r="AG35" t="s">
        <v>3707</v>
      </c>
      <c r="AH35" t="s">
        <v>2496</v>
      </c>
      <c r="AI35" t="s">
        <v>259</v>
      </c>
      <c r="AJ35" t="s">
        <v>2497</v>
      </c>
      <c r="AK35" t="s">
        <v>5</v>
      </c>
      <c r="AL35" t="s">
        <v>2498</v>
      </c>
      <c r="AM35" t="s">
        <v>5</v>
      </c>
      <c r="AN35" t="s">
        <v>142</v>
      </c>
      <c r="AO35" t="s">
        <v>1653</v>
      </c>
      <c r="AP35" t="s">
        <v>3708</v>
      </c>
      <c r="AQ35" t="s">
        <v>259</v>
      </c>
      <c r="AR35" t="s">
        <v>5</v>
      </c>
      <c r="AS35" t="s">
        <v>1788</v>
      </c>
      <c r="AT35" t="s">
        <v>2091</v>
      </c>
      <c r="AU35" t="s">
        <v>3709</v>
      </c>
      <c r="AV35" t="s">
        <v>2024</v>
      </c>
      <c r="AW35" t="s">
        <v>75</v>
      </c>
      <c r="AX35" t="s">
        <v>1773</v>
      </c>
      <c r="AY35" t="s">
        <v>1289</v>
      </c>
      <c r="AZ35" t="s">
        <v>1189</v>
      </c>
      <c r="BA35" t="s">
        <v>344</v>
      </c>
      <c r="BB35" t="s">
        <v>256</v>
      </c>
      <c r="BC35" t="s">
        <v>90</v>
      </c>
      <c r="BD35" t="s">
        <v>93</v>
      </c>
      <c r="BE35" t="s">
        <v>69</v>
      </c>
      <c r="BF35" t="s">
        <v>667</v>
      </c>
      <c r="BG35" t="s">
        <v>668</v>
      </c>
      <c r="BH35" t="s">
        <v>2143</v>
      </c>
      <c r="BI35" t="s">
        <v>223</v>
      </c>
      <c r="BJ35" t="s">
        <v>1773</v>
      </c>
      <c r="BK35" t="s">
        <v>1644</v>
      </c>
      <c r="BL35" t="s">
        <v>2499</v>
      </c>
      <c r="BM35" t="s">
        <v>90</v>
      </c>
      <c r="BN35" t="s">
        <v>5</v>
      </c>
      <c r="BO35">
        <v>8.77</v>
      </c>
      <c r="BP35">
        <v>11.1</v>
      </c>
      <c r="BQ35">
        <v>-1.97</v>
      </c>
      <c r="BR35">
        <v>11.1</v>
      </c>
      <c r="BS35">
        <v>14.1</v>
      </c>
      <c r="BT35" t="s">
        <v>1670</v>
      </c>
      <c r="BU35" t="s">
        <v>1522</v>
      </c>
      <c r="BV35">
        <v>13.56</v>
      </c>
      <c r="BW35">
        <v>22.63</v>
      </c>
      <c r="BX35">
        <v>24.78</v>
      </c>
      <c r="BY35">
        <v>-12.81</v>
      </c>
      <c r="BZ35">
        <v>11.7</v>
      </c>
      <c r="CA35">
        <v>11.38</v>
      </c>
      <c r="CB35">
        <v>-2.91</v>
      </c>
      <c r="CC35">
        <v>-21.4</v>
      </c>
      <c r="CD35" t="s">
        <v>3710</v>
      </c>
      <c r="CE35" t="s">
        <v>194</v>
      </c>
      <c r="CF35" s="8">
        <v>8.9041095890410954E-2</v>
      </c>
      <c r="CG35" s="9">
        <v>-0.90680405109489048</v>
      </c>
      <c r="CH35" s="8">
        <v>-0.16104869544506073</v>
      </c>
      <c r="CI35" s="8">
        <v>4.9803406000137329E-2</v>
      </c>
      <c r="CJ35" s="8">
        <v>0.47582206130027771</v>
      </c>
      <c r="CK35" s="8">
        <v>0.45839211344718933</v>
      </c>
      <c r="CL35" s="8">
        <v>0.61503416299819946</v>
      </c>
      <c r="CM35" s="9">
        <v>-2.0162162780761719</v>
      </c>
      <c r="CN35" s="9">
        <v>6.3218392431735992E-2</v>
      </c>
      <c r="CO35" s="9">
        <v>0.47457626461982727</v>
      </c>
      <c r="CP35" s="9">
        <v>3.1573276519775391</v>
      </c>
      <c r="CQ35" s="9">
        <v>-2.5127847194671631</v>
      </c>
      <c r="CR35">
        <v>70.281976518471907</v>
      </c>
      <c r="CS35">
        <v>2.4437353106282558</v>
      </c>
      <c r="CT35">
        <v>0</v>
      </c>
      <c r="CU35" s="8">
        <v>0.28760060966014861</v>
      </c>
      <c r="CV35" s="9">
        <v>-0.16677573770284654</v>
      </c>
      <c r="CW35">
        <v>0.06</v>
      </c>
      <c r="CX35" t="e">
        <v>#VALUE!</v>
      </c>
      <c r="CY35" t="s">
        <v>1179</v>
      </c>
      <c r="CZ35">
        <v>0.28760060966014861</v>
      </c>
      <c r="DA35" t="e">
        <v>#VALUE!</v>
      </c>
      <c r="DB35" t="s">
        <v>1179</v>
      </c>
      <c r="DC35">
        <v>0.27322057917714115</v>
      </c>
      <c r="DD35" t="e">
        <v>#VALUE!</v>
      </c>
      <c r="DE35" t="s">
        <v>1179</v>
      </c>
      <c r="DF35">
        <v>0.25308853650093077</v>
      </c>
      <c r="DG35" t="e">
        <v>#VALUE!</v>
      </c>
      <c r="DH35" t="s">
        <v>1179</v>
      </c>
      <c r="DI35">
        <v>0.2300804877281189</v>
      </c>
      <c r="DJ35" t="e">
        <v>#VALUE!</v>
      </c>
      <c r="DK35" t="s">
        <v>1179</v>
      </c>
      <c r="DL35">
        <v>0.20132042676210402</v>
      </c>
      <c r="DM35">
        <v>-188000000</v>
      </c>
      <c r="DN35">
        <v>0.28760060966014861</v>
      </c>
      <c r="DO35">
        <v>2907070200</v>
      </c>
      <c r="DP35">
        <v>74614160.000000119</v>
      </c>
      <c r="DQ35">
        <v>1379</v>
      </c>
      <c r="DR35">
        <v>-0.19855951376973766</v>
      </c>
      <c r="DS35">
        <v>-0.740028313392044</v>
      </c>
      <c r="DT35" s="10">
        <v>-0.15666666666666665</v>
      </c>
      <c r="DU35">
        <v>-1.2849999999999999</v>
      </c>
      <c r="DV35">
        <v>-1.4416666666666667</v>
      </c>
      <c r="DW35">
        <v>-8.1359813084112158</v>
      </c>
      <c r="DX35">
        <v>0.29492134146341314</v>
      </c>
      <c r="DY35">
        <v>-8.0142673412924541</v>
      </c>
      <c r="DZ35">
        <v>3978</v>
      </c>
      <c r="EA35">
        <v>-8.003160593022125</v>
      </c>
      <c r="EB35">
        <v>8</v>
      </c>
      <c r="EC35">
        <v>5.2467456309440996E-2</v>
      </c>
      <c r="ED35">
        <v>0.50006467299825785</v>
      </c>
      <c r="EE35" s="11">
        <v>0.10099999999999999</v>
      </c>
      <c r="EF35">
        <v>7.0700000000000013E-2</v>
      </c>
      <c r="EG35">
        <v>19.104921341463413</v>
      </c>
      <c r="EH35" t="s">
        <v>1177</v>
      </c>
      <c r="EI35">
        <v>0</v>
      </c>
      <c r="EJ35">
        <v>0</v>
      </c>
      <c r="EK35" s="12">
        <v>45470</v>
      </c>
      <c r="EL35">
        <v>-2.56</v>
      </c>
      <c r="EM35">
        <v>-4.68</v>
      </c>
      <c r="EN35">
        <v>1.94</v>
      </c>
      <c r="EO35">
        <v>2.71</v>
      </c>
      <c r="EP35">
        <v>-3.03</v>
      </c>
    </row>
    <row r="36" spans="1:146" ht="144" x14ac:dyDescent="0.25">
      <c r="A36" s="6"/>
      <c r="B36" s="6"/>
      <c r="C36" s="6" t="str">
        <f>"公司主营业务是为客户提供生产民爆器材的成套工艺技术、智能装备、软件系统、关键原辅材料及工业炸药的一站式综合服务。"&amp;CHAR(10)&amp;Basic_Fundamental_Information_Constructure(C36)&amp;CHAR(10)&amp;Basic_Fundamental_Information_Concatenate("民爆产品 2.98亿 53.25% 56.63% 25.87%
化工材料 1.72亿 30.70% 11.58% 9.17%
专用设备 6506.95万 11.63% 24.09% 50.38%
工程爆破 2142.07万 3.83% 6.53% 41.47%")</f>
        <v>公司主营业务是为客户提供生产民爆器材的成套工艺技术、智能装备、软件系统、关键原辅材料及工业炸药的一站式综合服务。
市值29.025785亿, 利润1.02亿; PE26.18; 平均PE48.1; 平均PEG1.61, PB1.91; ROIC4.305%; ROE4.1367%; 股利率1.1976%; 毛利28.2833%; 净利3.1067%; 上一年度营收增26.32%, 利润增303.83%; 当季营收增29.8%, 利润增175.69%; 过往5年营收增29.93%, 利润增46.26%
Income profile:
民爆产品 2.98亿 53.25% 56.63% 25.87%
化工材料 1.72亿 30.70% 11.58% 9.17%
专用设备 6506.95万 11.63% 24.09% 50.38%
工程爆破 2142.07万 3.83% 6.53% 41.47%</v>
      </c>
      <c r="D36" t="s">
        <v>669</v>
      </c>
      <c r="E36" t="s">
        <v>670</v>
      </c>
      <c r="F36">
        <v>8.35</v>
      </c>
      <c r="G36">
        <v>0</v>
      </c>
      <c r="H36" t="s">
        <v>3711</v>
      </c>
      <c r="I36">
        <v>2902578500</v>
      </c>
      <c r="J36">
        <v>26.18</v>
      </c>
      <c r="K36">
        <v>1.91</v>
      </c>
      <c r="L36" t="s">
        <v>428</v>
      </c>
      <c r="M36" t="s">
        <v>2500</v>
      </c>
      <c r="N36" t="s">
        <v>3712</v>
      </c>
      <c r="O36" t="s">
        <v>246</v>
      </c>
      <c r="P36">
        <v>29.74</v>
      </c>
      <c r="Q36" t="s">
        <v>1757</v>
      </c>
      <c r="R36">
        <v>14462075</v>
      </c>
      <c r="S36" s="4">
        <v>1.7569999999999999</v>
      </c>
      <c r="T36" t="s">
        <v>112</v>
      </c>
      <c r="U36">
        <v>260545230</v>
      </c>
      <c r="V36">
        <v>347614200</v>
      </c>
      <c r="W36">
        <v>1.8</v>
      </c>
      <c r="X36">
        <v>0.1</v>
      </c>
      <c r="Y36">
        <v>5.78</v>
      </c>
      <c r="Z36" t="s">
        <v>221</v>
      </c>
      <c r="AA36" t="s">
        <v>178</v>
      </c>
      <c r="AB36" t="s">
        <v>3713</v>
      </c>
      <c r="AC36" t="s">
        <v>3714</v>
      </c>
      <c r="AD36" t="s">
        <v>5</v>
      </c>
      <c r="AE36">
        <v>4898517</v>
      </c>
      <c r="AF36" t="s">
        <v>2501</v>
      </c>
      <c r="AG36" t="s">
        <v>5</v>
      </c>
      <c r="AH36" t="s">
        <v>2502</v>
      </c>
      <c r="AI36" t="s">
        <v>1209</v>
      </c>
      <c r="AJ36" t="s">
        <v>2503</v>
      </c>
      <c r="AK36" t="s">
        <v>3715</v>
      </c>
      <c r="AL36" t="s">
        <v>2504</v>
      </c>
      <c r="AM36" t="s">
        <v>5</v>
      </c>
      <c r="AN36" t="s">
        <v>3716</v>
      </c>
      <c r="AO36" t="s">
        <v>104</v>
      </c>
      <c r="AP36" t="s">
        <v>3717</v>
      </c>
      <c r="AQ36" t="s">
        <v>576</v>
      </c>
      <c r="AR36" t="s">
        <v>5</v>
      </c>
      <c r="AS36" t="s">
        <v>656</v>
      </c>
      <c r="AT36" t="s">
        <v>3397</v>
      </c>
      <c r="AU36" t="s">
        <v>3718</v>
      </c>
      <c r="AV36" t="s">
        <v>3719</v>
      </c>
      <c r="AW36" t="s">
        <v>3720</v>
      </c>
      <c r="AX36" t="s">
        <v>1260</v>
      </c>
      <c r="AY36" t="s">
        <v>1290</v>
      </c>
      <c r="AZ36" t="s">
        <v>1227</v>
      </c>
      <c r="BA36" t="s">
        <v>391</v>
      </c>
      <c r="BB36" t="s">
        <v>275</v>
      </c>
      <c r="BC36" t="s">
        <v>1775</v>
      </c>
      <c r="BD36" t="s">
        <v>1291</v>
      </c>
      <c r="BE36" t="s">
        <v>1292</v>
      </c>
      <c r="BF36" t="s">
        <v>671</v>
      </c>
      <c r="BG36" t="s">
        <v>672</v>
      </c>
      <c r="BH36" t="s">
        <v>1757</v>
      </c>
      <c r="BI36" t="s">
        <v>390</v>
      </c>
      <c r="BJ36" t="s">
        <v>1260</v>
      </c>
      <c r="BK36" t="s">
        <v>112</v>
      </c>
      <c r="BL36" t="s">
        <v>2505</v>
      </c>
      <c r="BM36" t="s">
        <v>1775</v>
      </c>
      <c r="BN36">
        <v>4.2699999999999996</v>
      </c>
      <c r="BO36" t="s">
        <v>5</v>
      </c>
      <c r="BP36">
        <v>4.34</v>
      </c>
      <c r="BQ36">
        <v>5.41</v>
      </c>
      <c r="BR36">
        <v>1.8</v>
      </c>
      <c r="BS36">
        <v>5.2</v>
      </c>
      <c r="BT36" t="s">
        <v>1674</v>
      </c>
      <c r="BU36" t="s">
        <v>1517</v>
      </c>
      <c r="BV36">
        <v>32.22</v>
      </c>
      <c r="BW36">
        <v>26.91</v>
      </c>
      <c r="BX36">
        <v>25.72</v>
      </c>
      <c r="BY36">
        <v>7.09</v>
      </c>
      <c r="BZ36">
        <v>-1.7</v>
      </c>
      <c r="CA36">
        <v>3.93</v>
      </c>
      <c r="CB36">
        <v>-5.97</v>
      </c>
      <c r="CC36">
        <v>-18.22</v>
      </c>
      <c r="CD36" t="s">
        <v>3721</v>
      </c>
      <c r="CE36" t="s">
        <v>199</v>
      </c>
      <c r="CF36" s="8">
        <v>0.29795918367346924</v>
      </c>
      <c r="CG36" s="9">
        <v>1.7568864615501925</v>
      </c>
      <c r="CH36" s="8">
        <v>0.26320213079452515</v>
      </c>
      <c r="CI36" s="8">
        <v>0.46380358934402466</v>
      </c>
      <c r="CJ36" s="8">
        <v>0.28751975297927856</v>
      </c>
      <c r="CK36" s="8">
        <v>0.40044248104095459</v>
      </c>
      <c r="CL36" s="8">
        <v>8.1339709460735321E-2</v>
      </c>
      <c r="CM36" s="9">
        <v>3.0383086204528809</v>
      </c>
      <c r="CN36" s="9">
        <v>-0.36695697903633118</v>
      </c>
      <c r="CO36" s="9">
        <v>-0.41772192716598511</v>
      </c>
      <c r="CP36" s="9">
        <v>0.11829905956983566</v>
      </c>
      <c r="CQ36" s="9">
        <v>-5.897168442606926E-2</v>
      </c>
      <c r="CR36">
        <v>48.099814565936803</v>
      </c>
      <c r="CS36">
        <v>1.6072835732721222</v>
      </c>
      <c r="CT36">
        <v>1.1976047904191618</v>
      </c>
      <c r="CU36" s="8">
        <v>0.29926153272390366</v>
      </c>
      <c r="CV36" s="9">
        <v>0.46259141787886621</v>
      </c>
      <c r="CW36">
        <v>0.06</v>
      </c>
      <c r="CX36">
        <v>20.368834579294731</v>
      </c>
      <c r="CY36">
        <v>125023279.56399825</v>
      </c>
      <c r="CZ36">
        <v>0.29926153272390366</v>
      </c>
      <c r="DA36">
        <v>5.6001319177092634</v>
      </c>
      <c r="DB36">
        <v>454735448.63237417</v>
      </c>
      <c r="DC36">
        <v>0.28429845608770848</v>
      </c>
      <c r="DD36">
        <v>2.1533684517086398</v>
      </c>
      <c r="DE36">
        <v>1182602307.5518537</v>
      </c>
      <c r="DF36">
        <v>0.26335014879703522</v>
      </c>
      <c r="DG36">
        <v>0.95702713945856233</v>
      </c>
      <c r="DH36">
        <v>2660926106.4850531</v>
      </c>
      <c r="DI36">
        <v>0.23940922617912294</v>
      </c>
      <c r="DJ36">
        <v>0.23750590325471405</v>
      </c>
      <c r="DK36">
        <v>10722169281.278507</v>
      </c>
      <c r="DL36">
        <v>0.20948307290673254</v>
      </c>
      <c r="DM36">
        <v>102000000</v>
      </c>
      <c r="DN36">
        <v>0.29926153272390366</v>
      </c>
      <c r="DO36">
        <v>2546578500</v>
      </c>
      <c r="DP36">
        <v>661971700</v>
      </c>
      <c r="DQ36">
        <v>1381</v>
      </c>
      <c r="DR36">
        <v>-1.3023490504344148E-3</v>
      </c>
      <c r="DS36">
        <v>1.2942950436713263</v>
      </c>
      <c r="DT36" s="10">
        <v>0.12666666666666662</v>
      </c>
      <c r="DU36">
        <v>0.23666666666666661</v>
      </c>
      <c r="DV36">
        <v>0.36333333333333323</v>
      </c>
      <c r="DW36">
        <v>-8.3276619099890237</v>
      </c>
      <c r="DX36">
        <v>0.30423989361702208</v>
      </c>
      <c r="DY36">
        <v>-8.0308788235397159</v>
      </c>
      <c r="DZ36">
        <v>931</v>
      </c>
      <c r="EA36">
        <v>-8.0252529556893286</v>
      </c>
      <c r="EB36">
        <v>8</v>
      </c>
      <c r="EC36">
        <v>5.0967710755199298E-2</v>
      </c>
      <c r="ED36">
        <v>0.54082945978616526</v>
      </c>
      <c r="EE36" s="11">
        <v>1.12181</v>
      </c>
      <c r="EF36">
        <v>1.14191</v>
      </c>
      <c r="EG36">
        <v>21.094239893617022</v>
      </c>
      <c r="EH36" t="s">
        <v>1693</v>
      </c>
      <c r="EI36">
        <v>0</v>
      </c>
      <c r="EJ36">
        <v>1</v>
      </c>
      <c r="EK36" s="12">
        <v>45470</v>
      </c>
      <c r="EL36">
        <v>0.87</v>
      </c>
      <c r="EM36">
        <v>-5.0599999999999996</v>
      </c>
      <c r="EN36">
        <v>-1.02</v>
      </c>
      <c r="EO36">
        <v>2.75</v>
      </c>
      <c r="EP36">
        <v>-2.0099999999999998</v>
      </c>
    </row>
    <row r="37" spans="1:146" ht="123" customHeight="1" x14ac:dyDescent="0.25">
      <c r="A37" s="6"/>
      <c r="B37" s="6" t="s">
        <v>1104</v>
      </c>
      <c r="C37" s="6" t="s">
        <v>1105</v>
      </c>
      <c r="D37" t="s">
        <v>675</v>
      </c>
      <c r="E37" t="s">
        <v>676</v>
      </c>
      <c r="F37">
        <v>17.649999999999999</v>
      </c>
      <c r="G37">
        <v>-1.01</v>
      </c>
      <c r="H37" t="s">
        <v>3722</v>
      </c>
      <c r="I37">
        <v>3671200000</v>
      </c>
      <c r="J37">
        <v>44.07</v>
      </c>
      <c r="K37">
        <v>2.77</v>
      </c>
      <c r="L37" t="s">
        <v>428</v>
      </c>
      <c r="M37" t="s">
        <v>1549</v>
      </c>
      <c r="N37" t="s">
        <v>3723</v>
      </c>
      <c r="O37" t="s">
        <v>2062</v>
      </c>
      <c r="P37">
        <v>-11.97</v>
      </c>
      <c r="Q37" t="s">
        <v>2508</v>
      </c>
      <c r="R37">
        <v>30166104</v>
      </c>
      <c r="S37" s="4">
        <v>-1.49E-2</v>
      </c>
      <c r="T37" t="s">
        <v>2509</v>
      </c>
      <c r="U37">
        <v>162220740</v>
      </c>
      <c r="V37">
        <v>208000000</v>
      </c>
      <c r="W37">
        <v>3.32</v>
      </c>
      <c r="X37">
        <v>0.08</v>
      </c>
      <c r="Y37">
        <v>8.4499999999999993</v>
      </c>
      <c r="Z37" t="s">
        <v>496</v>
      </c>
      <c r="AA37" t="s">
        <v>349</v>
      </c>
      <c r="AB37" t="s">
        <v>3724</v>
      </c>
      <c r="AC37" t="s">
        <v>3725</v>
      </c>
      <c r="AD37" t="s">
        <v>5</v>
      </c>
      <c r="AE37">
        <v>12647070</v>
      </c>
      <c r="AF37" t="s">
        <v>32</v>
      </c>
      <c r="AG37" t="s">
        <v>3726</v>
      </c>
      <c r="AH37" t="s">
        <v>2510</v>
      </c>
      <c r="AI37" t="s">
        <v>51</v>
      </c>
      <c r="AJ37" t="s">
        <v>2511</v>
      </c>
      <c r="AK37" t="s">
        <v>3727</v>
      </c>
      <c r="AL37" t="s">
        <v>2512</v>
      </c>
      <c r="AM37" t="s">
        <v>5</v>
      </c>
      <c r="AN37" t="s">
        <v>3728</v>
      </c>
      <c r="AO37" t="s">
        <v>1653</v>
      </c>
      <c r="AP37" t="s">
        <v>3729</v>
      </c>
      <c r="AQ37" t="s">
        <v>103</v>
      </c>
      <c r="AR37" t="s">
        <v>5</v>
      </c>
      <c r="AS37" t="s">
        <v>3730</v>
      </c>
      <c r="AT37" t="s">
        <v>287</v>
      </c>
      <c r="AU37" t="s">
        <v>3731</v>
      </c>
      <c r="AV37" t="s">
        <v>3732</v>
      </c>
      <c r="AW37" t="s">
        <v>2129</v>
      </c>
      <c r="AX37" t="s">
        <v>1749</v>
      </c>
      <c r="AY37" t="s">
        <v>838</v>
      </c>
      <c r="AZ37" t="s">
        <v>1295</v>
      </c>
      <c r="BA37" t="s">
        <v>216</v>
      </c>
      <c r="BB37" t="s">
        <v>411</v>
      </c>
      <c r="BC37" t="s">
        <v>2513</v>
      </c>
      <c r="BD37" t="s">
        <v>1294</v>
      </c>
      <c r="BE37" t="s">
        <v>1296</v>
      </c>
      <c r="BF37" t="s">
        <v>678</v>
      </c>
      <c r="BG37" t="s">
        <v>679</v>
      </c>
      <c r="BH37" t="s">
        <v>2508</v>
      </c>
      <c r="BI37" t="s">
        <v>366</v>
      </c>
      <c r="BJ37" t="s">
        <v>1749</v>
      </c>
      <c r="BK37" t="s">
        <v>2509</v>
      </c>
      <c r="BL37" t="s">
        <v>2514</v>
      </c>
      <c r="BM37" t="s">
        <v>2513</v>
      </c>
      <c r="BN37">
        <v>2.94</v>
      </c>
      <c r="BO37">
        <v>4.4400000000000004</v>
      </c>
      <c r="BP37">
        <v>6.62</v>
      </c>
      <c r="BQ37">
        <v>4.93</v>
      </c>
      <c r="BR37">
        <v>6.4</v>
      </c>
      <c r="BS37">
        <v>8.1</v>
      </c>
      <c r="BT37" t="s">
        <v>2515</v>
      </c>
      <c r="BU37" t="s">
        <v>1516</v>
      </c>
      <c r="BV37">
        <v>18.329999999999998</v>
      </c>
      <c r="BW37">
        <v>22.11</v>
      </c>
      <c r="BX37">
        <v>28.72</v>
      </c>
      <c r="BY37">
        <v>5.0599999999999996</v>
      </c>
      <c r="BZ37">
        <v>5.69</v>
      </c>
      <c r="CA37">
        <v>9.1</v>
      </c>
      <c r="CB37">
        <v>-7.03</v>
      </c>
      <c r="CC37">
        <v>-16.96</v>
      </c>
      <c r="CD37" t="s">
        <v>3733</v>
      </c>
      <c r="CE37" t="s">
        <v>3734</v>
      </c>
      <c r="CF37" s="8">
        <v>-0.12068965517241366</v>
      </c>
      <c r="CG37" s="9">
        <v>-1.4871773100599252E-2</v>
      </c>
      <c r="CH37" s="8">
        <v>0.25189113616943359</v>
      </c>
      <c r="CI37" s="8">
        <v>0.33266130089759827</v>
      </c>
      <c r="CJ37" s="8">
        <v>0.20388349890708923</v>
      </c>
      <c r="CK37" s="8">
        <v>0.23723722994327545</v>
      </c>
      <c r="CL37" s="8">
        <v>6.5600000321865082E-2</v>
      </c>
      <c r="CM37" s="9">
        <v>0.12506100535392761</v>
      </c>
      <c r="CN37" s="9">
        <v>-0.17481507360935211</v>
      </c>
      <c r="CO37" s="9">
        <v>3.5984888672828674E-2</v>
      </c>
      <c r="CP37" s="9">
        <v>3.0369805172085762E-2</v>
      </c>
      <c r="CQ37" s="9">
        <v>0.12166668474674225</v>
      </c>
      <c r="CR37">
        <v>44.460403512798173</v>
      </c>
      <c r="CS37">
        <v>2.0370886450922878</v>
      </c>
      <c r="CT37">
        <v>0.56657223796033995</v>
      </c>
      <c r="CU37" s="8">
        <v>0.21825463324785233</v>
      </c>
      <c r="CV37" s="9">
        <v>2.7653462067246438E-2</v>
      </c>
      <c r="CW37">
        <v>0.06</v>
      </c>
      <c r="CX37">
        <v>53.080095084833474</v>
      </c>
      <c r="CY37">
        <v>96273376.900188193</v>
      </c>
      <c r="CZ37">
        <v>0.21825463324785233</v>
      </c>
      <c r="DA37">
        <v>15.586371420011396</v>
      </c>
      <c r="DB37">
        <v>327863353.32924229</v>
      </c>
      <c r="DC37">
        <v>0.2073419015854597</v>
      </c>
      <c r="DD37">
        <v>6.6075362615259241</v>
      </c>
      <c r="DE37">
        <v>773389626.2901274</v>
      </c>
      <c r="DF37">
        <v>0.19206407725811006</v>
      </c>
      <c r="DG37">
        <v>3.3222116327096494</v>
      </c>
      <c r="DH37">
        <v>1538192193.9247556</v>
      </c>
      <c r="DI37">
        <v>0.17460370659828187</v>
      </c>
      <c r="DJ37">
        <v>1.1272716729040189</v>
      </c>
      <c r="DK37">
        <v>4533246175.5517797</v>
      </c>
      <c r="DL37">
        <v>0.15277824327349662</v>
      </c>
      <c r="DM37">
        <v>83767200</v>
      </c>
      <c r="DN37">
        <v>0.21825463324785233</v>
      </c>
      <c r="DO37">
        <v>5110200000</v>
      </c>
      <c r="DP37">
        <v>-280016000</v>
      </c>
      <c r="DQ37">
        <v>1430</v>
      </c>
      <c r="DR37">
        <v>-0.33894428842026597</v>
      </c>
      <c r="DS37">
        <v>-4.252523516784569E-2</v>
      </c>
      <c r="DT37" s="10">
        <v>0.12666666666666662</v>
      </c>
      <c r="DU37">
        <v>-0.15</v>
      </c>
      <c r="DV37">
        <v>-2.3333333333333373E-2</v>
      </c>
      <c r="DW37">
        <v>-9.4145047169811313</v>
      </c>
      <c r="DX37">
        <v>0.4315844915495512</v>
      </c>
      <c r="DY37">
        <v>-9.0586874395986641</v>
      </c>
      <c r="DZ37">
        <v>1766</v>
      </c>
      <c r="EA37">
        <v>-9.0384052442305158</v>
      </c>
      <c r="EB37">
        <v>9</v>
      </c>
      <c r="EC37">
        <v>2.63E-2</v>
      </c>
      <c r="ED37">
        <v>0.18575480769230771</v>
      </c>
      <c r="EE37" s="11">
        <v>1.06901</v>
      </c>
      <c r="EF37">
        <v>1.08091</v>
      </c>
      <c r="EG37">
        <v>29.141584491549551</v>
      </c>
      <c r="EH37" t="s">
        <v>1693</v>
      </c>
      <c r="EI37">
        <v>0</v>
      </c>
      <c r="EJ37">
        <v>0</v>
      </c>
      <c r="EK37" s="12">
        <v>45470</v>
      </c>
      <c r="EL37">
        <v>0.54</v>
      </c>
      <c r="EM37">
        <v>-4.01</v>
      </c>
      <c r="EN37">
        <v>0.6</v>
      </c>
      <c r="EO37">
        <v>3.27</v>
      </c>
      <c r="EP37">
        <v>-1.19</v>
      </c>
    </row>
    <row r="38" spans="1:146" ht="132" x14ac:dyDescent="0.25">
      <c r="A38" s="6" t="s">
        <v>1619</v>
      </c>
      <c r="B38" s="6"/>
      <c r="C38" s="6" t="str">
        <f>"公司主营业务为致力于各类民爆物品的研发、生产与销售,并为客户提供特定的工程爆破解决方案及爆破服务。公司主要产品为工业炸药、工业雷管、工业索类、起爆具、爆破服务。"&amp;CHAR(10)&amp;Basic_Fundamental_Information_Constructure(C38)&amp;CHAR(10)&amp;Basic_Fundamental_Information_Concatenate("炸药、雷管 3.25亿 79.20% 77.85% 37.89%
爆破服务 5897.60万 14.37% 18.41% 49.41%
其他 2639.79万 6.43% 3.74% 22.43%")</f>
        <v>公司主营业务为致力于各类民爆物品的研发、生产与销售,并为客户提供特定的工程爆破解决方案及爆破服务。公司主要产品为工业炸药、工业雷管、工业索类、起爆具、爆破服务。
市值20.76亿, 利润2.05亿; PE10; 平均PE19.27; 平均PEG.8, PB1.61; ROIC9.7%; ROE10.6067%; 股利率2.4085%; 毛利39.0067%; 净利13.6667%; 上一年度营收增36.31%, 利润增69.42%; 当季营收增-13.59%, 利润增28.17%; 过往5年营收增24.05%, 利润增29.02%
Income profile:
炸药、雷管 3.25亿 79.20% 77.85% 37.89%
爆破服务 5897.60万 14.37% 18.41% 49.41%
其他 2639.79万 6.43% 3.74% 22.43%</v>
      </c>
      <c r="D38" t="s">
        <v>680</v>
      </c>
      <c r="E38" t="s">
        <v>681</v>
      </c>
      <c r="F38">
        <v>10.38</v>
      </c>
      <c r="G38">
        <v>0.97</v>
      </c>
      <c r="H38" t="s">
        <v>3735</v>
      </c>
      <c r="I38">
        <v>2076000000</v>
      </c>
      <c r="J38">
        <v>10</v>
      </c>
      <c r="K38">
        <v>1.61</v>
      </c>
      <c r="L38" t="s">
        <v>428</v>
      </c>
      <c r="M38" t="s">
        <v>374</v>
      </c>
      <c r="N38" t="s">
        <v>3583</v>
      </c>
      <c r="O38" t="s">
        <v>65</v>
      </c>
      <c r="P38">
        <v>-13.64</v>
      </c>
      <c r="Q38" t="s">
        <v>303</v>
      </c>
      <c r="R38">
        <v>13740590</v>
      </c>
      <c r="S38" s="4">
        <v>0.28170000000000001</v>
      </c>
      <c r="T38" t="s">
        <v>439</v>
      </c>
      <c r="U38">
        <v>182874500</v>
      </c>
      <c r="V38">
        <v>200000000</v>
      </c>
      <c r="W38">
        <v>1.32</v>
      </c>
      <c r="X38">
        <v>0.09</v>
      </c>
      <c r="Y38">
        <v>6.8</v>
      </c>
      <c r="Z38" t="s">
        <v>65</v>
      </c>
      <c r="AA38" t="s">
        <v>137</v>
      </c>
      <c r="AB38" t="s">
        <v>3736</v>
      </c>
      <c r="AC38" t="s">
        <v>3737</v>
      </c>
      <c r="AD38" t="s">
        <v>5</v>
      </c>
      <c r="AE38">
        <v>-380017</v>
      </c>
      <c r="AF38" t="s">
        <v>2518</v>
      </c>
      <c r="AG38" t="s">
        <v>3738</v>
      </c>
      <c r="AH38" t="s">
        <v>2519</v>
      </c>
      <c r="AI38" t="s">
        <v>128</v>
      </c>
      <c r="AJ38" t="s">
        <v>2520</v>
      </c>
      <c r="AK38" t="s">
        <v>3739</v>
      </c>
      <c r="AL38" t="s">
        <v>2521</v>
      </c>
      <c r="AM38" t="s">
        <v>5</v>
      </c>
      <c r="AN38" t="s">
        <v>3740</v>
      </c>
      <c r="AO38" t="s">
        <v>2073</v>
      </c>
      <c r="AP38" t="s">
        <v>2454</v>
      </c>
      <c r="AQ38" t="s">
        <v>268</v>
      </c>
      <c r="AR38" t="s">
        <v>5</v>
      </c>
      <c r="AS38" t="s">
        <v>3741</v>
      </c>
      <c r="AT38" t="s">
        <v>5</v>
      </c>
      <c r="AU38" t="s">
        <v>3742</v>
      </c>
      <c r="AV38" t="s">
        <v>3743</v>
      </c>
      <c r="AW38" t="s">
        <v>3744</v>
      </c>
      <c r="AX38" t="s">
        <v>1709</v>
      </c>
      <c r="AY38" t="s">
        <v>1055</v>
      </c>
      <c r="AZ38" t="s">
        <v>682</v>
      </c>
      <c r="BA38" t="s">
        <v>144</v>
      </c>
      <c r="BB38" t="s">
        <v>182</v>
      </c>
      <c r="BC38" t="s">
        <v>31</v>
      </c>
      <c r="BD38" t="s">
        <v>1297</v>
      </c>
      <c r="BE38" t="s">
        <v>1299</v>
      </c>
      <c r="BF38" t="s">
        <v>684</v>
      </c>
      <c r="BG38" t="s">
        <v>685</v>
      </c>
      <c r="BH38" t="s">
        <v>303</v>
      </c>
      <c r="BI38" t="s">
        <v>64</v>
      </c>
      <c r="BJ38" t="s">
        <v>1709</v>
      </c>
      <c r="BK38" t="s">
        <v>439</v>
      </c>
      <c r="BL38" t="s">
        <v>2522</v>
      </c>
      <c r="BM38" t="s">
        <v>31</v>
      </c>
      <c r="BN38">
        <v>12.06</v>
      </c>
      <c r="BO38">
        <v>9.73</v>
      </c>
      <c r="BP38">
        <v>7.31</v>
      </c>
      <c r="BQ38">
        <v>12.77</v>
      </c>
      <c r="BR38">
        <v>11.22</v>
      </c>
      <c r="BS38">
        <v>7.83</v>
      </c>
      <c r="BT38" t="s">
        <v>1678</v>
      </c>
      <c r="BU38" t="s">
        <v>1517</v>
      </c>
      <c r="BV38">
        <v>40.369999999999997</v>
      </c>
      <c r="BW38">
        <v>38.479999999999997</v>
      </c>
      <c r="BX38">
        <v>38.17</v>
      </c>
      <c r="BY38">
        <v>16.41</v>
      </c>
      <c r="BZ38">
        <v>13.05</v>
      </c>
      <c r="CA38">
        <v>11.54</v>
      </c>
      <c r="CB38">
        <v>-5.38</v>
      </c>
      <c r="CC38">
        <v>-17.16</v>
      </c>
      <c r="CD38" t="s">
        <v>3745</v>
      </c>
      <c r="CE38" t="s">
        <v>3746</v>
      </c>
      <c r="CF38" s="8">
        <v>-0.13592233009708737</v>
      </c>
      <c r="CG38" s="9">
        <v>0.28174754202346969</v>
      </c>
      <c r="CH38" s="8">
        <v>0.36307054758071899</v>
      </c>
      <c r="CI38" s="8">
        <v>0.30623304843902588</v>
      </c>
      <c r="CJ38" s="8">
        <v>0.32733812928199768</v>
      </c>
      <c r="CK38" s="8">
        <v>0.1120000034570694</v>
      </c>
      <c r="CL38" s="8">
        <v>9.4091907143592834E-2</v>
      </c>
      <c r="CM38" s="9">
        <v>0.69421488046646118</v>
      </c>
      <c r="CN38" s="9">
        <v>0.48996251821517944</v>
      </c>
      <c r="CO38" s="9">
        <v>-0.16200762987136841</v>
      </c>
      <c r="CP38" s="9">
        <v>0.26971256732940674</v>
      </c>
      <c r="CQ38" s="9">
        <v>0.15894438326358795</v>
      </c>
      <c r="CR38">
        <v>19.272723896877931</v>
      </c>
      <c r="CS38">
        <v>0.80120499342390583</v>
      </c>
      <c r="CT38">
        <v>2.4084778420038533</v>
      </c>
      <c r="CU38" s="8">
        <v>0.24054672718048095</v>
      </c>
      <c r="CV38" s="9">
        <v>0.2901653438806534</v>
      </c>
      <c r="CW38">
        <v>0.06</v>
      </c>
      <c r="CX38">
        <v>4.7683146015910962</v>
      </c>
      <c r="CY38">
        <v>239917055.72830048</v>
      </c>
      <c r="CZ38">
        <v>0.24054672718048095</v>
      </c>
      <c r="DA38">
        <v>1.3748427391923366</v>
      </c>
      <c r="DB38">
        <v>832095167.96957648</v>
      </c>
      <c r="DC38">
        <v>0.22851939082145689</v>
      </c>
      <c r="DD38">
        <v>0.56749997173356592</v>
      </c>
      <c r="DE38">
        <v>2015859131.2443159</v>
      </c>
      <c r="DF38">
        <v>0.21168111991882324</v>
      </c>
      <c r="DG38">
        <v>0.27600161514141375</v>
      </c>
      <c r="DH38">
        <v>4144903280.4168687</v>
      </c>
      <c r="DI38">
        <v>0.19243738174438477</v>
      </c>
      <c r="DJ38">
        <v>8.6164344517425204E-2</v>
      </c>
      <c r="DK38">
        <v>13276953552.042009</v>
      </c>
      <c r="DL38">
        <v>0.16838270902633665</v>
      </c>
      <c r="DM38">
        <v>204999999.99999997</v>
      </c>
      <c r="DN38">
        <v>0.24054672718048095</v>
      </c>
      <c r="DO38">
        <v>1144000000</v>
      </c>
      <c r="DP38">
        <v>518054830</v>
      </c>
      <c r="DQ38">
        <v>1459</v>
      </c>
      <c r="DR38">
        <v>-0.3764690572775683</v>
      </c>
      <c r="DS38">
        <v>-8.4178018571837154E-3</v>
      </c>
      <c r="DT38" s="10">
        <v>1.0000000000000011E-2</v>
      </c>
      <c r="DU38">
        <v>0.78666666666666663</v>
      </c>
      <c r="DV38">
        <v>0.79666666666666663</v>
      </c>
      <c r="DW38">
        <v>-8.3135198135198127</v>
      </c>
      <c r="DX38">
        <v>0.31949535929362893</v>
      </c>
      <c r="DY38">
        <v>-8.0280585683566272</v>
      </c>
      <c r="DZ38">
        <v>354</v>
      </c>
      <c r="EA38">
        <v>-8.0261147849518828</v>
      </c>
      <c r="EB38">
        <v>8</v>
      </c>
      <c r="EC38">
        <v>3.0855E-2</v>
      </c>
      <c r="ED38">
        <v>0.34476649999999998</v>
      </c>
      <c r="EE38" s="11">
        <v>3.0999999999999986E-3</v>
      </c>
      <c r="EF38">
        <v>1.601E-2</v>
      </c>
      <c r="EG38">
        <v>23.089495359293629</v>
      </c>
      <c r="EH38">
        <v>-1</v>
      </c>
      <c r="EI38">
        <v>0</v>
      </c>
      <c r="EJ38">
        <v>1</v>
      </c>
      <c r="EK38" s="12">
        <v>45470</v>
      </c>
      <c r="EL38">
        <v>1.63</v>
      </c>
      <c r="EM38">
        <v>-4.74</v>
      </c>
      <c r="EN38">
        <v>0.56000000000000005</v>
      </c>
      <c r="EO38">
        <v>2.8</v>
      </c>
      <c r="EP38">
        <v>-1.91</v>
      </c>
    </row>
    <row r="39" spans="1:146" ht="132" x14ac:dyDescent="0.25">
      <c r="A39" s="6" t="s">
        <v>1106</v>
      </c>
      <c r="B39" s="6" t="s">
        <v>1699</v>
      </c>
      <c r="C39" s="6" t="str">
        <f>"国内有机硅新材料下游龙头企业；"&amp;CHAR(10)&amp;Basic_Fundamental_Information_Constructure(F39)&amp;CHAR(10)&amp;Basic_Fundamental_Information_Concatenate("建筑类用胶 10.86亿 71.29%（毛利31.79%，增速74%）
工业类用胶 3.02亿 19.79%（毛利35.59%，增速117%）
硅烷偶联剂 1.24亿 8.13%（毛利22.33%，增速139%）
其他产品 1196.18万 0.79%（毛利40.29%）")</f>
        <v>国内有机硅新材料下游龙头企业；
市值50.447346亿, 利润3.15亿; PE16.8; 平均PE24.59; 平均PEG.9, PB2.03; ROIC11.52%; ROE12.0933%; 股利率2.3256%; 毛利22.18%; 净利10.62%; 上一年度营收增-3.27%, 利润增26%; 当季营收增-10.55%, 利润增-27.04%; 过往5年营收增27.29%, 利润增41.51%
Income profile:
建筑类用胶 10.86亿 71.29%（毛利31.79%，增速74%）
工业类用胶 3.02亿 19.79%（毛利35.59%，增速117%）
硅烷偶联剂 1.24亿 8.13%（毛利22.33%，增速139%）
其他产品 1196.18万 0.79%（毛利40.29%）</v>
      </c>
      <c r="D39" t="s">
        <v>687</v>
      </c>
      <c r="E39" t="s">
        <v>688</v>
      </c>
      <c r="F39">
        <v>12.9</v>
      </c>
      <c r="G39">
        <v>0.47</v>
      </c>
      <c r="H39" t="s">
        <v>3747</v>
      </c>
      <c r="I39">
        <v>5044734600</v>
      </c>
      <c r="J39">
        <v>16.8</v>
      </c>
      <c r="K39">
        <v>2.0299999999999998</v>
      </c>
      <c r="L39" t="s">
        <v>428</v>
      </c>
      <c r="M39" t="s">
        <v>1719</v>
      </c>
      <c r="N39" t="s">
        <v>3748</v>
      </c>
      <c r="O39" t="s">
        <v>399</v>
      </c>
      <c r="P39">
        <v>-10.59</v>
      </c>
      <c r="Q39" t="s">
        <v>587</v>
      </c>
      <c r="R39">
        <v>40123596</v>
      </c>
      <c r="S39" s="4">
        <v>-0.27039999999999997</v>
      </c>
      <c r="T39" t="s">
        <v>265</v>
      </c>
      <c r="U39">
        <v>343602310</v>
      </c>
      <c r="V39">
        <v>391064700</v>
      </c>
      <c r="W39">
        <v>1.29</v>
      </c>
      <c r="X39">
        <v>0.15</v>
      </c>
      <c r="Y39">
        <v>8.4600000000000009</v>
      </c>
      <c r="Z39" t="s">
        <v>305</v>
      </c>
      <c r="AA39" t="s">
        <v>438</v>
      </c>
      <c r="AB39" t="s">
        <v>3749</v>
      </c>
      <c r="AC39" t="s">
        <v>3750</v>
      </c>
      <c r="AD39" t="s">
        <v>5</v>
      </c>
      <c r="AE39">
        <v>-4045658</v>
      </c>
      <c r="AF39" t="s">
        <v>2527</v>
      </c>
      <c r="AG39" t="s">
        <v>3751</v>
      </c>
      <c r="AH39" t="s">
        <v>2528</v>
      </c>
      <c r="AI39" t="s">
        <v>3752</v>
      </c>
      <c r="AJ39" t="s">
        <v>2529</v>
      </c>
      <c r="AK39" t="s">
        <v>3753</v>
      </c>
      <c r="AL39" t="s">
        <v>2530</v>
      </c>
      <c r="AM39" t="s">
        <v>5</v>
      </c>
      <c r="AN39" t="s">
        <v>1625</v>
      </c>
      <c r="AO39" t="s">
        <v>349</v>
      </c>
      <c r="AP39" t="s">
        <v>81</v>
      </c>
      <c r="AQ39" t="s">
        <v>164</v>
      </c>
      <c r="AR39" t="s">
        <v>5</v>
      </c>
      <c r="AS39" t="s">
        <v>429</v>
      </c>
      <c r="AT39" t="s">
        <v>3754</v>
      </c>
      <c r="AU39" t="s">
        <v>3755</v>
      </c>
      <c r="AV39" t="s">
        <v>3756</v>
      </c>
      <c r="AW39" t="s">
        <v>3757</v>
      </c>
      <c r="AX39" t="s">
        <v>1776</v>
      </c>
      <c r="AY39" t="s">
        <v>1301</v>
      </c>
      <c r="AZ39" t="s">
        <v>1239</v>
      </c>
      <c r="BA39" t="s">
        <v>343</v>
      </c>
      <c r="BB39" t="s">
        <v>689</v>
      </c>
      <c r="BC39" t="s">
        <v>57</v>
      </c>
      <c r="BD39" t="s">
        <v>857</v>
      </c>
      <c r="BE39" t="s">
        <v>153</v>
      </c>
      <c r="BF39" t="s">
        <v>41</v>
      </c>
      <c r="BG39" t="s">
        <v>691</v>
      </c>
      <c r="BH39" t="s">
        <v>587</v>
      </c>
      <c r="BI39" t="s">
        <v>1575</v>
      </c>
      <c r="BJ39" t="s">
        <v>1776</v>
      </c>
      <c r="BK39" t="s">
        <v>265</v>
      </c>
      <c r="BL39" t="s">
        <v>2531</v>
      </c>
      <c r="BM39" t="s">
        <v>57</v>
      </c>
      <c r="BN39">
        <v>8.92</v>
      </c>
      <c r="BO39">
        <v>10.63</v>
      </c>
      <c r="BP39">
        <v>15.01</v>
      </c>
      <c r="BQ39">
        <v>9.84</v>
      </c>
      <c r="BR39">
        <v>11.76</v>
      </c>
      <c r="BS39">
        <v>14.68</v>
      </c>
      <c r="BT39" t="s">
        <v>1675</v>
      </c>
      <c r="BU39" t="s">
        <v>1520</v>
      </c>
      <c r="BV39">
        <v>25.26</v>
      </c>
      <c r="BW39">
        <v>19.48</v>
      </c>
      <c r="BX39">
        <v>21.8</v>
      </c>
      <c r="BY39">
        <v>12.1</v>
      </c>
      <c r="BZ39">
        <v>9.2899999999999991</v>
      </c>
      <c r="CA39">
        <v>10.47</v>
      </c>
      <c r="CB39">
        <v>-2.64</v>
      </c>
      <c r="CC39">
        <v>-2.2000000000000002</v>
      </c>
      <c r="CD39" t="s">
        <v>3758</v>
      </c>
      <c r="CE39" t="s">
        <v>229</v>
      </c>
      <c r="CF39" s="8">
        <v>-0.10546139359698671</v>
      </c>
      <c r="CG39" s="9">
        <v>-0.27035536982684322</v>
      </c>
      <c r="CH39" s="8">
        <v>-3.2665181905031204E-2</v>
      </c>
      <c r="CI39" s="8">
        <v>5.3990662097930908E-2</v>
      </c>
      <c r="CJ39" s="8">
        <v>0.67716532945632935</v>
      </c>
      <c r="CK39" s="8">
        <v>0.49705305695533752</v>
      </c>
      <c r="CL39" s="8">
        <v>0.16877152025699615</v>
      </c>
      <c r="CM39" s="9">
        <v>0.25999999046325684</v>
      </c>
      <c r="CN39" s="9">
        <v>-6.7164182662963867E-2</v>
      </c>
      <c r="CO39" s="9">
        <v>0.3333333432674408</v>
      </c>
      <c r="CP39" s="9">
        <v>0.52272725105285645</v>
      </c>
      <c r="CQ39" s="9">
        <v>1.0266691446304321</v>
      </c>
      <c r="CR39">
        <v>24.585844485337269</v>
      </c>
      <c r="CS39">
        <v>0.90103229510201222</v>
      </c>
      <c r="CT39">
        <v>2.3255813953488373</v>
      </c>
      <c r="CU39" s="8">
        <v>0.27286307737231252</v>
      </c>
      <c r="CV39" s="9">
        <v>0.41511310935020446</v>
      </c>
      <c r="CW39">
        <v>0.06</v>
      </c>
      <c r="CX39">
        <v>8.831929581832334</v>
      </c>
      <c r="CY39">
        <v>378256480.53988534</v>
      </c>
      <c r="CZ39">
        <v>0.27286307737231252</v>
      </c>
      <c r="DA39">
        <v>2.4804782970823109</v>
      </c>
      <c r="DB39">
        <v>1346810654.9972942</v>
      </c>
      <c r="DC39">
        <v>0.25921992350369688</v>
      </c>
      <c r="DD39">
        <v>0.98479524892143178</v>
      </c>
      <c r="DE39">
        <v>3392313888.2512298</v>
      </c>
      <c r="DF39">
        <v>0.24011950808763502</v>
      </c>
      <c r="DG39">
        <v>0.45596403298222848</v>
      </c>
      <c r="DH39">
        <v>7326750266.1338367</v>
      </c>
      <c r="DI39">
        <v>0.21829046189785004</v>
      </c>
      <c r="DJ39">
        <v>0.12565605472156116</v>
      </c>
      <c r="DK39">
        <v>26586340048.656387</v>
      </c>
      <c r="DL39">
        <v>0.19100415416061875</v>
      </c>
      <c r="DM39">
        <v>315000000</v>
      </c>
      <c r="DN39">
        <v>0.27286307737231252</v>
      </c>
      <c r="DO39">
        <v>3340734600</v>
      </c>
      <c r="DP39">
        <v>1359039500</v>
      </c>
      <c r="DQ39">
        <v>1517</v>
      </c>
      <c r="DR39">
        <v>-0.37832447096929922</v>
      </c>
      <c r="DS39">
        <v>-0.68546847917704767</v>
      </c>
      <c r="DT39" s="10">
        <v>4.33333333333333E-2</v>
      </c>
      <c r="DU39">
        <v>0.39666666666666672</v>
      </c>
      <c r="DV39">
        <v>0.44</v>
      </c>
      <c r="DW39">
        <v>-4.833333333333333</v>
      </c>
      <c r="DX39">
        <v>0.22971218487394993</v>
      </c>
      <c r="DY39">
        <v>-4.0580934873949577</v>
      </c>
      <c r="DZ39">
        <v>804</v>
      </c>
      <c r="EA39">
        <v>-4.0489531422157903</v>
      </c>
      <c r="EB39">
        <v>4</v>
      </c>
      <c r="EC39">
        <v>4.2426483392645771E-2</v>
      </c>
      <c r="ED39">
        <v>0.60859494605368369</v>
      </c>
      <c r="EE39" s="11">
        <v>8.5309999999999997E-2</v>
      </c>
      <c r="EF39">
        <v>0.11771</v>
      </c>
      <c r="EG39">
        <v>16.06971218487395</v>
      </c>
      <c r="EH39">
        <v>-1</v>
      </c>
      <c r="EI39">
        <v>0</v>
      </c>
      <c r="EJ39">
        <v>1</v>
      </c>
      <c r="EK39" s="12">
        <v>45470</v>
      </c>
      <c r="EL39">
        <v>-1.36</v>
      </c>
      <c r="EM39">
        <v>-4.07</v>
      </c>
      <c r="EN39">
        <v>0.91</v>
      </c>
      <c r="EO39">
        <v>1.95</v>
      </c>
      <c r="EP39">
        <v>-3.24</v>
      </c>
    </row>
    <row r="40" spans="1:146" ht="180" x14ac:dyDescent="0.25">
      <c r="A40" s="6" t="s">
        <v>1107</v>
      </c>
      <c r="B40" s="6" t="s">
        <v>1700</v>
      </c>
      <c r="C40" s="6" t="str">
        <f>"公司主要从事胶粘剂等新材料研发、生产销售。主要产品是高性能有机硅胶、聚氨酯胶、厌氧胶、环氧树脂胶、耐高温无机胶、UV系胶、高分子液体密封胶、硅烷改性密封胶、轨道防寒材粘接、丙烯酸酯胶、汽车制动液、太阳能电池背膜、精密电子保护膜、三防漆。"&amp;CHAR(10)&amp;Basic_Fundamental_Information_Constructure(F40)&amp;CHAR(10)&amp;Basic_Fundamental_Information_Concatenate("有机硅胶 10.56亿 48.80%（毛利33.87%）
非胶类产品 5.29亿 24.46%（毛利15.41%）
聚氨酯胶 3.45亿 15.94%（毛利36.07%）
其他胶类产品 1.80亿 8.31%")</f>
        <v>公司主要从事胶粘剂等新材料研发、生产销售。主要产品是高性能有机硅胶、聚氨酯胶、厌氧胶、环氧树脂胶、耐高温无机胶、UV系胶、高分子液体密封胶、硅烷改性密封胶、轨道防寒材粘接、丙烯酸酯胶、汽车制动液、太阳能电池背膜、精密电子保护膜、三防漆。
市值42.348275亿, 利润2.99亿; PE16.41; 平均PE19.35; 平均PEG1.07, PB1.53; ROIC8.3167%; ROE11.2333%; 股利率1.321%; 毛利22.9233%; 净利7.69%; 上一年度营收增5.06%, 利润增2.4%; 当季营收增-10.02%, 利润增-33.86%; 过往5年营收增18.09%, 利润增21.18%
Income profile:
有机硅胶 10.56亿 48.80%（毛利33.87%）
非胶类产品 5.29亿 24.46%（毛利15.41%）
聚氨酯胶 3.45亿 15.94%（毛利36.07%）
其他胶类产品 1.80亿 8.31%</v>
      </c>
      <c r="D40" t="s">
        <v>692</v>
      </c>
      <c r="E40" t="s">
        <v>693</v>
      </c>
      <c r="F40">
        <v>7.57</v>
      </c>
      <c r="G40">
        <v>0.93</v>
      </c>
      <c r="H40" t="s">
        <v>3759</v>
      </c>
      <c r="I40">
        <v>4234827500</v>
      </c>
      <c r="J40">
        <v>16.41</v>
      </c>
      <c r="K40">
        <v>1.53</v>
      </c>
      <c r="L40" t="s">
        <v>428</v>
      </c>
      <c r="M40" t="s">
        <v>854</v>
      </c>
      <c r="N40" t="s">
        <v>3760</v>
      </c>
      <c r="O40" t="s">
        <v>2150</v>
      </c>
      <c r="P40">
        <v>-10.029999999999999</v>
      </c>
      <c r="Q40" t="s">
        <v>2532</v>
      </c>
      <c r="R40">
        <v>79366263</v>
      </c>
      <c r="S40" s="4">
        <v>-0.33900000000000002</v>
      </c>
      <c r="T40" t="s">
        <v>401</v>
      </c>
      <c r="U40">
        <v>544422590</v>
      </c>
      <c r="V40">
        <v>559422390</v>
      </c>
      <c r="W40">
        <v>2.19</v>
      </c>
      <c r="X40">
        <v>0.15</v>
      </c>
      <c r="Y40">
        <v>8.11</v>
      </c>
      <c r="Z40" t="s">
        <v>3761</v>
      </c>
      <c r="AA40" t="s">
        <v>3762</v>
      </c>
      <c r="AB40" t="s">
        <v>3763</v>
      </c>
      <c r="AC40" t="s">
        <v>3764</v>
      </c>
      <c r="AD40" t="s">
        <v>5</v>
      </c>
      <c r="AE40">
        <v>11476257</v>
      </c>
      <c r="AF40" t="s">
        <v>2533</v>
      </c>
      <c r="AG40" t="s">
        <v>3765</v>
      </c>
      <c r="AH40" t="s">
        <v>2534</v>
      </c>
      <c r="AI40" t="s">
        <v>1637</v>
      </c>
      <c r="AJ40" t="s">
        <v>2535</v>
      </c>
      <c r="AK40" t="s">
        <v>2023</v>
      </c>
      <c r="AL40" t="s">
        <v>2536</v>
      </c>
      <c r="AM40" t="s">
        <v>5</v>
      </c>
      <c r="AN40" t="s">
        <v>317</v>
      </c>
      <c r="AO40" t="s">
        <v>1500</v>
      </c>
      <c r="AP40" t="s">
        <v>1441</v>
      </c>
      <c r="AQ40" t="s">
        <v>138</v>
      </c>
      <c r="AR40" t="s">
        <v>5</v>
      </c>
      <c r="AS40" t="s">
        <v>3766</v>
      </c>
      <c r="AT40" t="s">
        <v>1711</v>
      </c>
      <c r="AU40" t="s">
        <v>3767</v>
      </c>
      <c r="AV40" t="s">
        <v>3768</v>
      </c>
      <c r="AW40" t="s">
        <v>173</v>
      </c>
      <c r="AX40" t="s">
        <v>1634</v>
      </c>
      <c r="AY40" t="s">
        <v>1303</v>
      </c>
      <c r="AZ40" t="s">
        <v>694</v>
      </c>
      <c r="BA40" t="s">
        <v>696</v>
      </c>
      <c r="BB40" t="s">
        <v>697</v>
      </c>
      <c r="BC40" t="s">
        <v>223</v>
      </c>
      <c r="BD40" t="s">
        <v>382</v>
      </c>
      <c r="BE40" t="s">
        <v>52</v>
      </c>
      <c r="BF40" t="s">
        <v>76</v>
      </c>
      <c r="BG40" t="s">
        <v>29</v>
      </c>
      <c r="BH40" t="s">
        <v>2532</v>
      </c>
      <c r="BI40" t="s">
        <v>1805</v>
      </c>
      <c r="BJ40" t="s">
        <v>1634</v>
      </c>
      <c r="BK40" t="s">
        <v>401</v>
      </c>
      <c r="BL40" t="s">
        <v>60</v>
      </c>
      <c r="BM40" t="s">
        <v>223</v>
      </c>
      <c r="BN40">
        <v>7.16</v>
      </c>
      <c r="BO40">
        <v>8.69</v>
      </c>
      <c r="BP40">
        <v>9.1</v>
      </c>
      <c r="BQ40">
        <v>10.43</v>
      </c>
      <c r="BR40">
        <v>12.38</v>
      </c>
      <c r="BS40">
        <v>10.89</v>
      </c>
      <c r="BT40" t="s">
        <v>1674</v>
      </c>
      <c r="BU40" t="s">
        <v>1520</v>
      </c>
      <c r="BV40">
        <v>22.82</v>
      </c>
      <c r="BW40">
        <v>23.49</v>
      </c>
      <c r="BX40">
        <v>22.46</v>
      </c>
      <c r="BY40">
        <v>7.64</v>
      </c>
      <c r="BZ40">
        <v>7.82</v>
      </c>
      <c r="CA40">
        <v>7.61</v>
      </c>
      <c r="CB40">
        <v>-4.66</v>
      </c>
      <c r="CC40">
        <v>-10.199999999999999</v>
      </c>
      <c r="CD40" t="s">
        <v>3769</v>
      </c>
      <c r="CE40" t="s">
        <v>512</v>
      </c>
      <c r="CF40" s="8">
        <v>-0.10018552875695744</v>
      </c>
      <c r="CG40" s="9">
        <v>-0.33861447500000003</v>
      </c>
      <c r="CH40" s="8">
        <v>5.0619348883628845E-2</v>
      </c>
      <c r="CI40" s="8">
        <v>0.25727826356887817</v>
      </c>
      <c r="CJ40" s="8">
        <v>0.36506462097167969</v>
      </c>
      <c r="CK40" s="8">
        <v>0.15106382966041565</v>
      </c>
      <c r="CL40" s="8">
        <v>8.0459773540496826E-2</v>
      </c>
      <c r="CM40" s="9">
        <v>2.3972602561116219E-2</v>
      </c>
      <c r="CN40" s="9">
        <v>0.28634360432624817</v>
      </c>
      <c r="CO40" s="9">
        <v>4.1284404695034027E-2</v>
      </c>
      <c r="CP40" s="9">
        <v>0.37974682450294495</v>
      </c>
      <c r="CQ40" s="9">
        <v>0.32773110270500183</v>
      </c>
      <c r="CR40">
        <v>19.351839299314545</v>
      </c>
      <c r="CS40">
        <v>1.0697701675198092</v>
      </c>
      <c r="CT40">
        <v>1.321003963011889</v>
      </c>
      <c r="CU40" s="8">
        <v>0.18089716732501984</v>
      </c>
      <c r="CV40" s="9">
        <v>0.21181570775806904</v>
      </c>
      <c r="CW40">
        <v>0.06</v>
      </c>
      <c r="CX40">
        <v>13.758025389716861</v>
      </c>
      <c r="CY40">
        <v>333102125.50017065</v>
      </c>
      <c r="CZ40">
        <v>0.18089716732501984</v>
      </c>
      <c r="DA40">
        <v>4.1663084918025346</v>
      </c>
      <c r="DB40">
        <v>1099973155.8565555</v>
      </c>
      <c r="DC40">
        <v>0.17185230895876885</v>
      </c>
      <c r="DD40">
        <v>1.8462294070109835</v>
      </c>
      <c r="DE40">
        <v>2482263299.7811069</v>
      </c>
      <c r="DF40">
        <v>0.15918950724601746</v>
      </c>
      <c r="DG40">
        <v>0.98008668591433479</v>
      </c>
      <c r="DH40">
        <v>4675940981.4088278</v>
      </c>
      <c r="DI40">
        <v>0.14471773386001588</v>
      </c>
      <c r="DJ40">
        <v>0.3801391399532828</v>
      </c>
      <c r="DK40">
        <v>12055658095.515255</v>
      </c>
      <c r="DL40">
        <v>0.12662801712751387</v>
      </c>
      <c r="DM40">
        <v>299000000</v>
      </c>
      <c r="DN40">
        <v>0.18089716732501984</v>
      </c>
      <c r="DO40">
        <v>4582827500</v>
      </c>
      <c r="DP40">
        <v>1323620400</v>
      </c>
      <c r="DQ40">
        <v>1536</v>
      </c>
      <c r="DR40">
        <v>-0.28108269608197728</v>
      </c>
      <c r="DS40">
        <v>-0.5504301827580691</v>
      </c>
      <c r="DT40" s="10">
        <v>-4.0000000000000036E-2</v>
      </c>
      <c r="DU40">
        <v>0.14666666666666661</v>
      </c>
      <c r="DV40">
        <v>0.10666666666666658</v>
      </c>
      <c r="DW40">
        <v>-8.4568627450980394</v>
      </c>
      <c r="DX40">
        <v>0.27345398773006235</v>
      </c>
      <c r="DY40">
        <v>-8.0244211355707922</v>
      </c>
      <c r="DZ40">
        <v>1469</v>
      </c>
      <c r="EA40">
        <v>-8.0174006564800884</v>
      </c>
      <c r="EB40">
        <v>8</v>
      </c>
      <c r="EC40">
        <v>4.6724980028060727E-2</v>
      </c>
      <c r="ED40">
        <v>0.87411588942659224</v>
      </c>
      <c r="EE40" s="11">
        <v>-3.03241</v>
      </c>
      <c r="EF40">
        <v>-3.0611100000000002</v>
      </c>
      <c r="EG40">
        <v>22.053453987730062</v>
      </c>
      <c r="EH40" t="s">
        <v>2025</v>
      </c>
      <c r="EI40">
        <v>0</v>
      </c>
      <c r="EJ40">
        <v>1</v>
      </c>
      <c r="EK40" s="12">
        <v>45470</v>
      </c>
      <c r="EL40">
        <v>-1.08</v>
      </c>
      <c r="EM40">
        <v>-4.87</v>
      </c>
      <c r="EN40">
        <v>0</v>
      </c>
      <c r="EO40">
        <v>2.56</v>
      </c>
      <c r="EP40">
        <v>-2.87</v>
      </c>
    </row>
    <row r="41" spans="1:146" ht="96" x14ac:dyDescent="0.25">
      <c r="A41" s="6"/>
      <c r="B41" s="6"/>
      <c r="C41" s="6" t="str">
        <f>""&amp;CHAR(10)&amp;Basic_Fundamental_Information_Constructure(F41)&amp;CHAR(10)&amp;Basic_Fundamental_Information_Concatenate("")</f>
        <v xml:space="preserve">
市值46.29042亿, 利润814.58万; PE221.9; 平均PE49.91; 平均PEG8.39, PB1.78; ROIC3.125%; ROE1.9833%; 股利率.9975%; 毛利20.8333%; 净利5.4633%; 上一年度营收增7.72%, 利润增-73.96%; 当季营收增17.54%, 利润增168.8%; 过往5年营收增-5.95%, 利润增-33.13%
Income profile:
</v>
      </c>
      <c r="D41" t="s">
        <v>699</v>
      </c>
      <c r="E41" t="s">
        <v>700</v>
      </c>
      <c r="F41">
        <v>4.01</v>
      </c>
      <c r="G41">
        <v>1.52</v>
      </c>
      <c r="H41" t="s">
        <v>3770</v>
      </c>
      <c r="I41">
        <v>4629042000</v>
      </c>
      <c r="J41">
        <v>221.9</v>
      </c>
      <c r="K41">
        <v>1.78</v>
      </c>
      <c r="L41" t="s">
        <v>428</v>
      </c>
      <c r="M41" t="s">
        <v>1259</v>
      </c>
      <c r="N41" t="s">
        <v>2051</v>
      </c>
      <c r="O41" t="s">
        <v>153</v>
      </c>
      <c r="P41">
        <v>17.71</v>
      </c>
      <c r="Q41" t="s">
        <v>603</v>
      </c>
      <c r="R41">
        <v>5182484</v>
      </c>
      <c r="S41" s="4">
        <v>1.6879999999999999</v>
      </c>
      <c r="T41" t="s">
        <v>2537</v>
      </c>
      <c r="U41">
        <v>771607550</v>
      </c>
      <c r="V41">
        <v>1154374570</v>
      </c>
      <c r="W41">
        <v>1.29</v>
      </c>
      <c r="X41">
        <v>0.06</v>
      </c>
      <c r="Y41">
        <v>3.16</v>
      </c>
      <c r="Z41" t="s">
        <v>176</v>
      </c>
      <c r="AA41" t="s">
        <v>359</v>
      </c>
      <c r="AB41" t="s">
        <v>3771</v>
      </c>
      <c r="AC41" t="s">
        <v>3772</v>
      </c>
      <c r="AD41" t="s">
        <v>5</v>
      </c>
      <c r="AE41">
        <v>2263876</v>
      </c>
      <c r="AF41" t="s">
        <v>32</v>
      </c>
      <c r="AG41" t="s">
        <v>3773</v>
      </c>
      <c r="AH41" t="s">
        <v>2538</v>
      </c>
      <c r="AI41" t="s">
        <v>496</v>
      </c>
      <c r="AJ41" t="s">
        <v>2539</v>
      </c>
      <c r="AK41" t="s">
        <v>2540</v>
      </c>
      <c r="AL41" t="s">
        <v>2541</v>
      </c>
      <c r="AM41" t="s">
        <v>5</v>
      </c>
      <c r="AN41" t="s">
        <v>306</v>
      </c>
      <c r="AO41" t="s">
        <v>102</v>
      </c>
      <c r="AP41" t="s">
        <v>56</v>
      </c>
      <c r="AQ41" t="s">
        <v>3774</v>
      </c>
      <c r="AR41" t="s">
        <v>5</v>
      </c>
      <c r="AS41" t="s">
        <v>427</v>
      </c>
      <c r="AT41" t="s">
        <v>42</v>
      </c>
      <c r="AU41" t="s">
        <v>3775</v>
      </c>
      <c r="AV41" t="s">
        <v>3776</v>
      </c>
      <c r="AW41" t="s">
        <v>54</v>
      </c>
      <c r="AX41" t="s">
        <v>1755</v>
      </c>
      <c r="AY41" t="s">
        <v>1162</v>
      </c>
      <c r="AZ41" t="s">
        <v>248</v>
      </c>
      <c r="BA41" t="s">
        <v>306</v>
      </c>
      <c r="BB41" t="s">
        <v>367</v>
      </c>
      <c r="BC41" t="s">
        <v>1778</v>
      </c>
      <c r="BD41" t="s">
        <v>61</v>
      </c>
      <c r="BE41" t="s">
        <v>81</v>
      </c>
      <c r="BF41" t="s">
        <v>389</v>
      </c>
      <c r="BG41" t="s">
        <v>257</v>
      </c>
      <c r="BH41" t="s">
        <v>603</v>
      </c>
      <c r="BI41" t="s">
        <v>117</v>
      </c>
      <c r="BJ41" t="s">
        <v>1755</v>
      </c>
      <c r="BK41" t="s">
        <v>2537</v>
      </c>
      <c r="BL41" t="s">
        <v>2543</v>
      </c>
      <c r="BM41" t="s">
        <v>1778</v>
      </c>
      <c r="BN41" t="s">
        <v>5</v>
      </c>
      <c r="BO41">
        <v>1.49</v>
      </c>
      <c r="BP41">
        <v>4.76</v>
      </c>
      <c r="BQ41">
        <v>-0.39</v>
      </c>
      <c r="BR41">
        <v>1.36</v>
      </c>
      <c r="BS41">
        <v>4.9800000000000004</v>
      </c>
      <c r="BT41" t="s">
        <v>1723</v>
      </c>
      <c r="BU41" t="s">
        <v>1518</v>
      </c>
      <c r="BV41">
        <v>14.58</v>
      </c>
      <c r="BW41">
        <v>23.72</v>
      </c>
      <c r="BX41">
        <v>24.2</v>
      </c>
      <c r="BY41">
        <v>1.52</v>
      </c>
      <c r="BZ41">
        <v>4.79</v>
      </c>
      <c r="CA41">
        <v>10.08</v>
      </c>
      <c r="CB41">
        <v>-0.74</v>
      </c>
      <c r="CC41">
        <v>-14.32</v>
      </c>
      <c r="CD41" t="s">
        <v>406</v>
      </c>
      <c r="CE41" t="s">
        <v>843</v>
      </c>
      <c r="CF41" s="8">
        <v>0.17543859649122789</v>
      </c>
      <c r="CG41" s="9">
        <v>1.6879525301332765</v>
      </c>
      <c r="CH41" s="8">
        <v>7.7230356633663177E-2</v>
      </c>
      <c r="CI41" s="8">
        <v>-0.286121666431427</v>
      </c>
      <c r="CJ41" s="8">
        <v>5.728643387556076E-2</v>
      </c>
      <c r="CK41" s="8">
        <v>-0.11476868391036987</v>
      </c>
      <c r="CL41" s="8">
        <v>-3.1034482643008232E-2</v>
      </c>
      <c r="CM41" s="9">
        <v>-0.73964762687683105</v>
      </c>
      <c r="CN41" s="9">
        <v>-0.69915771484375</v>
      </c>
      <c r="CO41" s="9">
        <v>-9.5652170479297638E-2</v>
      </c>
      <c r="CP41" s="9">
        <v>-0.28125</v>
      </c>
      <c r="CQ41" s="9">
        <v>0.15942029654979706</v>
      </c>
      <c r="CR41">
        <v>49.914782254264395</v>
      </c>
      <c r="CS41">
        <v>8.3916328957988195</v>
      </c>
      <c r="CT41">
        <v>0.99750623441396524</v>
      </c>
      <c r="CU41" s="8">
        <v>-5.9481608495116231E-2</v>
      </c>
      <c r="CV41" s="9">
        <v>-0.33125744313001632</v>
      </c>
      <c r="CW41">
        <v>0.06</v>
      </c>
      <c r="CX41">
        <v>343.24952736379481</v>
      </c>
      <c r="CY41" t="s">
        <v>2544</v>
      </c>
      <c r="CZ41">
        <v>-5.9481608495116231E-2</v>
      </c>
      <c r="DA41">
        <v>114.41650912126495</v>
      </c>
      <c r="DB41" t="s">
        <v>2545</v>
      </c>
      <c r="DC41">
        <v>-5.650752807036042E-2</v>
      </c>
      <c r="DD41">
        <v>57.208254560632476</v>
      </c>
      <c r="DE41" t="s">
        <v>2546</v>
      </c>
      <c r="DF41">
        <v>-5.2343815475702285E-2</v>
      </c>
      <c r="DG41">
        <v>34.324952736379487</v>
      </c>
      <c r="DH41" t="s">
        <v>2547</v>
      </c>
      <c r="DI41">
        <v>-4.7585286796092988E-2</v>
      </c>
      <c r="DJ41">
        <v>17.162476368189743</v>
      </c>
      <c r="DK41" t="s">
        <v>2548</v>
      </c>
      <c r="DL41">
        <v>-4.1637125946581359E-2</v>
      </c>
      <c r="DM41">
        <v>8145800</v>
      </c>
      <c r="DN41">
        <v>-5.9481608495116231E-2</v>
      </c>
      <c r="DO41">
        <v>2796042000</v>
      </c>
      <c r="DP41">
        <v>632485890</v>
      </c>
      <c r="DQ41">
        <v>1560</v>
      </c>
      <c r="DR41">
        <v>0.23492020498634414</v>
      </c>
      <c r="DS41">
        <v>2.0192099732632927</v>
      </c>
      <c r="DT41" s="10">
        <v>-0.59</v>
      </c>
      <c r="DU41">
        <v>-0.87</v>
      </c>
      <c r="DV41">
        <v>-1.46</v>
      </c>
      <c r="DW41">
        <v>-2.1432000000000002</v>
      </c>
      <c r="DX41">
        <v>0.36725160264038492</v>
      </c>
      <c r="DY41">
        <v>-2.018222429498103</v>
      </c>
      <c r="DZ41">
        <v>3988</v>
      </c>
      <c r="EA41">
        <v>-2.0040010892166089</v>
      </c>
      <c r="EB41">
        <v>2</v>
      </c>
      <c r="EC41">
        <v>0.18971311885361439</v>
      </c>
      <c r="ED41">
        <v>1.490850582406714</v>
      </c>
      <c r="EE41" s="11">
        <v>-3.0451999999999999</v>
      </c>
      <c r="EF41">
        <v>-3.0036100000000001</v>
      </c>
      <c r="EG41">
        <v>24.127251602640385</v>
      </c>
      <c r="EH41" t="s">
        <v>2025</v>
      </c>
      <c r="EI41">
        <v>0</v>
      </c>
      <c r="EJ41">
        <v>0</v>
      </c>
      <c r="EK41" s="12">
        <v>45470</v>
      </c>
      <c r="EL41">
        <v>-2.29</v>
      </c>
      <c r="EM41">
        <v>-3.65</v>
      </c>
      <c r="EN41">
        <v>0.81</v>
      </c>
      <c r="EO41">
        <v>15.28</v>
      </c>
      <c r="EP41">
        <v>-4.88</v>
      </c>
    </row>
    <row r="42" spans="1:146" ht="96" x14ac:dyDescent="0.25">
      <c r="C42" s="6" t="str">
        <f>""&amp;CHAR(10)&amp;Basic_Fundamental_Information_Constructure(F42)&amp;CHAR(10)&amp;Basic_Fundamental_Information_Concatenate("")</f>
        <v xml:space="preserve">
市值44.644686亿, 利润-8415.45万; PE; 平均PE-17.36; 平均PEG-2.1, PB.656; ROIC.95%; ROE-4.69%; 股利率0%; 毛利6.6967%; 净利-4.88%; 上一年度营收增-11.49%, 利润增89.55%; 当季营收增-73.53%, 利润增15.32%; 过往5年营收增-8.26%, 利润增-411.77%
Income profile:
</v>
      </c>
      <c r="D42" t="s">
        <v>1591</v>
      </c>
      <c r="E42" t="s">
        <v>1592</v>
      </c>
      <c r="F42">
        <v>1.9</v>
      </c>
      <c r="G42">
        <v>3.26</v>
      </c>
      <c r="H42" t="s">
        <v>3777</v>
      </c>
      <c r="I42">
        <v>4464468600</v>
      </c>
      <c r="K42">
        <v>0.65600000000000003</v>
      </c>
      <c r="L42" t="s">
        <v>428</v>
      </c>
      <c r="M42" t="s">
        <v>2196</v>
      </c>
      <c r="N42" t="s">
        <v>3778</v>
      </c>
      <c r="O42" t="s">
        <v>1269</v>
      </c>
      <c r="P42" s="4">
        <v>-73.53</v>
      </c>
      <c r="Q42" t="s">
        <v>2549</v>
      </c>
      <c r="R42">
        <v>-117698859</v>
      </c>
      <c r="S42">
        <v>0.15440000000000001</v>
      </c>
      <c r="T42" t="s">
        <v>2550</v>
      </c>
      <c r="U42">
        <v>2323494200</v>
      </c>
      <c r="V42">
        <v>2349720300</v>
      </c>
      <c r="W42">
        <v>1.56</v>
      </c>
      <c r="X42">
        <v>0.05</v>
      </c>
      <c r="Y42">
        <v>-26.64</v>
      </c>
      <c r="Z42" t="s">
        <v>1866</v>
      </c>
      <c r="AA42" t="s">
        <v>255</v>
      </c>
      <c r="AB42" t="s">
        <v>3779</v>
      </c>
      <c r="AC42" t="s">
        <v>3780</v>
      </c>
      <c r="AD42" t="s">
        <v>5</v>
      </c>
      <c r="AE42">
        <v>28729141</v>
      </c>
      <c r="AF42" t="s">
        <v>2551</v>
      </c>
      <c r="AG42" t="s">
        <v>3781</v>
      </c>
      <c r="AH42" t="s">
        <v>2552</v>
      </c>
      <c r="AI42" t="s">
        <v>3782</v>
      </c>
      <c r="AJ42" t="s">
        <v>2553</v>
      </c>
      <c r="AK42" t="s">
        <v>3783</v>
      </c>
      <c r="AL42" t="s">
        <v>2554</v>
      </c>
      <c r="AM42" t="s">
        <v>5</v>
      </c>
      <c r="AN42" t="s">
        <v>3784</v>
      </c>
      <c r="AO42" t="s">
        <v>3785</v>
      </c>
      <c r="AP42" t="s">
        <v>3786</v>
      </c>
      <c r="AQ42" t="s">
        <v>553</v>
      </c>
      <c r="AR42" t="s">
        <v>5</v>
      </c>
      <c r="AS42" t="s">
        <v>2222</v>
      </c>
      <c r="AT42" t="s">
        <v>3787</v>
      </c>
      <c r="AU42" t="s">
        <v>3788</v>
      </c>
      <c r="AV42" t="s">
        <v>3789</v>
      </c>
      <c r="AW42" t="s">
        <v>3790</v>
      </c>
      <c r="AX42" t="s">
        <v>1779</v>
      </c>
      <c r="AY42" t="s">
        <v>1780</v>
      </c>
      <c r="AZ42" t="s">
        <v>1593</v>
      </c>
      <c r="BA42" t="s">
        <v>1594</v>
      </c>
      <c r="BB42" t="s">
        <v>1595</v>
      </c>
      <c r="BC42" t="s">
        <v>2555</v>
      </c>
      <c r="BD42" t="s">
        <v>1781</v>
      </c>
      <c r="BE42" t="s">
        <v>1596</v>
      </c>
      <c r="BF42" t="s">
        <v>285</v>
      </c>
      <c r="BG42" t="s">
        <v>660</v>
      </c>
      <c r="BH42" t="s">
        <v>2549</v>
      </c>
      <c r="BI42" t="s">
        <v>2556</v>
      </c>
      <c r="BJ42" t="s">
        <v>1779</v>
      </c>
      <c r="BK42" t="s">
        <v>2550</v>
      </c>
      <c r="BL42" t="s">
        <v>2557</v>
      </c>
      <c r="BM42" t="s">
        <v>2555</v>
      </c>
      <c r="BN42" t="s">
        <v>5</v>
      </c>
      <c r="BO42" t="s">
        <v>5</v>
      </c>
      <c r="BP42">
        <v>0.95</v>
      </c>
      <c r="BQ42">
        <v>-4.43</v>
      </c>
      <c r="BR42">
        <v>-10.66</v>
      </c>
      <c r="BS42">
        <v>1.02</v>
      </c>
      <c r="BT42" t="s">
        <v>1670</v>
      </c>
      <c r="BU42" t="s">
        <v>1516</v>
      </c>
      <c r="BV42">
        <v>2.85</v>
      </c>
      <c r="BW42">
        <v>4.46</v>
      </c>
      <c r="BX42">
        <v>12.78</v>
      </c>
      <c r="BY42">
        <v>-4.1500000000000004</v>
      </c>
      <c r="BZ42">
        <v>-11.49</v>
      </c>
      <c r="CA42">
        <v>1</v>
      </c>
      <c r="CB42">
        <v>5.56</v>
      </c>
      <c r="CC42" s="8">
        <v>-20.5</v>
      </c>
      <c r="CD42" s="9" t="s">
        <v>61</v>
      </c>
      <c r="CE42" s="8" t="s">
        <v>735</v>
      </c>
      <c r="CF42" s="8">
        <v>-0.73526422764227639</v>
      </c>
      <c r="CG42" s="8">
        <v>0.15324561870503597</v>
      </c>
      <c r="CH42" s="8">
        <v>-0.11493980139493942</v>
      </c>
      <c r="CI42" s="8">
        <v>0.5026932954788208</v>
      </c>
      <c r="CJ42" s="9">
        <v>-0.19318664073944092</v>
      </c>
      <c r="CK42" s="9">
        <v>-0.15914176404476166</v>
      </c>
      <c r="CL42" s="9">
        <v>-0.4484754204750061</v>
      </c>
      <c r="CM42" s="9">
        <v>0.89546024799346924</v>
      </c>
      <c r="CN42" s="9">
        <v>-10.889410018920898</v>
      </c>
      <c r="CO42">
        <v>1.0589855909347534</v>
      </c>
      <c r="CP42">
        <v>-10.928057670593262</v>
      </c>
      <c r="CQ42">
        <v>-0.72529643774032593</v>
      </c>
      <c r="CR42" s="8">
        <v>-17.362979704545307</v>
      </c>
      <c r="CS42" s="9">
        <v>-2.1017995137710286</v>
      </c>
      <c r="CT42">
        <v>0</v>
      </c>
      <c r="CU42">
        <v>-8.2610066235065463E-2</v>
      </c>
      <c r="CV42">
        <v>-4.1176636576652523</v>
      </c>
      <c r="CW42">
        <v>0.06</v>
      </c>
      <c r="CX42" t="e">
        <v>#VALUE!</v>
      </c>
      <c r="CY42" t="s">
        <v>1211</v>
      </c>
      <c r="CZ42">
        <v>-8.2610066235065463E-2</v>
      </c>
      <c r="DA42" t="e">
        <v>#VALUE!</v>
      </c>
      <c r="DB42" t="s">
        <v>1179</v>
      </c>
      <c r="DC42">
        <v>-7.8479562923312179E-2</v>
      </c>
      <c r="DD42" t="e">
        <v>#VALUE!</v>
      </c>
      <c r="DE42" t="s">
        <v>1179</v>
      </c>
      <c r="DF42">
        <v>-7.269685828685761E-2</v>
      </c>
      <c r="DG42" t="e">
        <v>#VALUE!</v>
      </c>
      <c r="DH42" t="s">
        <v>1179</v>
      </c>
      <c r="DI42">
        <v>-6.608805298805237E-2</v>
      </c>
      <c r="DJ42" t="e">
        <v>#VALUE!</v>
      </c>
      <c r="DK42" t="s">
        <v>1179</v>
      </c>
      <c r="DL42">
        <v>-5.7827046364545817E-2</v>
      </c>
      <c r="DM42">
        <v>-84154500</v>
      </c>
      <c r="DN42">
        <v>-8.2610066235065463E-2</v>
      </c>
      <c r="DO42">
        <v>1556468600</v>
      </c>
      <c r="DP42">
        <v>2299843400</v>
      </c>
      <c r="DQ42" s="10">
        <v>1565</v>
      </c>
      <c r="DR42">
        <v>-0.65265416140721089</v>
      </c>
      <c r="DS42">
        <v>4.2709092763702881</v>
      </c>
      <c r="DT42">
        <v>-0.64</v>
      </c>
      <c r="DU42">
        <v>-2.2816666666666667</v>
      </c>
      <c r="DV42">
        <v>-2.9216666666666669</v>
      </c>
      <c r="DW42">
        <v>6.2133537989255565</v>
      </c>
      <c r="DX42">
        <v>0.39024263431542305</v>
      </c>
      <c r="DY42">
        <v>6.038455450759546</v>
      </c>
      <c r="DZ42">
        <v>4882</v>
      </c>
      <c r="EA42">
        <v>6.0017158205035575</v>
      </c>
      <c r="EB42" s="11">
        <v>6</v>
      </c>
      <c r="EC42">
        <v>4.4260587100515753E-2</v>
      </c>
      <c r="ED42">
        <v>0.24556114189420758</v>
      </c>
      <c r="EE42">
        <v>-4.0812100000000004</v>
      </c>
      <c r="EF42">
        <v>-4.1182100000000004</v>
      </c>
      <c r="EG42">
        <v>21.180242634315423</v>
      </c>
      <c r="EH42" s="12" t="s">
        <v>2156</v>
      </c>
      <c r="EI42">
        <v>0</v>
      </c>
      <c r="EJ42">
        <v>0</v>
      </c>
      <c r="EK42">
        <v>45470</v>
      </c>
      <c r="EL42">
        <v>0</v>
      </c>
      <c r="EM42">
        <v>-6.19</v>
      </c>
      <c r="EN42">
        <v>-1.1000000000000001</v>
      </c>
      <c r="EO42">
        <v>5</v>
      </c>
      <c r="EP42">
        <v>-3.7</v>
      </c>
    </row>
    <row r="43" spans="1:146" ht="132" x14ac:dyDescent="0.25">
      <c r="A43" s="6"/>
      <c r="B43" s="6" t="s">
        <v>2162</v>
      </c>
      <c r="C43" s="6" t="str">
        <f>"公司主营业务是苯系中间体产品的生产与销售。主要产品是医药及农药类中间体、复合材料类中间体、染料类中间体、纸张化学品。"&amp;CHAR(10)&amp;Basic_Fundamental_Information_Constructure(F43)&amp;CHAR(10)&amp;Basic_Fundamental_Information_Concatenate("染料中间体 1.49亿 53.08% 3931.38万 105.33% 26.39%
纸张化学品 6482.49万 23.10% -195.79万 -5.25% -3.02%
医药及农药中间体 3530.47万 12.58% -3.28万 -0.09% -0.09%")</f>
        <v>公司主营业务是苯系中间体产品的生产与销售。主要产品是医药及农药类中间体、复合材料类中间体、染料类中间体、纸张化学品。
市值50.199436亿, 利润1473.31万; PE260.8; 平均PE26.96; 平均PEG2.42, PB3.38; ROIC.9733%; ROE1.9667%; 股利率.1774%; 毛利13.0767%; 净利4.22%; 上一年度营收增-11.32%, 利润增-75.96%; 当季营收增22.22%, 利润增124.95%; 过往5年营收增-11.12%, 利润增13.37%
Income profile:
染料中间体 1.49亿 53.08% 3931.38万 105.33% 26.39%
纸张化学品 6482.49万 23.10% -195.79万 -5.25% -3.02%
医药及农药中间体 3530.47万 12.58% -3.28万 -0.09% -0.09%</v>
      </c>
      <c r="D43" t="s">
        <v>702</v>
      </c>
      <c r="E43" t="s">
        <v>703</v>
      </c>
      <c r="F43">
        <v>8.98</v>
      </c>
      <c r="G43">
        <v>0.56000000000000005</v>
      </c>
      <c r="H43" t="s">
        <v>3791</v>
      </c>
      <c r="I43">
        <v>5019943600</v>
      </c>
      <c r="J43">
        <v>260.8</v>
      </c>
      <c r="K43">
        <v>3.38</v>
      </c>
      <c r="L43" t="s">
        <v>428</v>
      </c>
      <c r="M43" t="s">
        <v>244</v>
      </c>
      <c r="N43" t="s">
        <v>1424</v>
      </c>
      <c r="O43" t="s">
        <v>53</v>
      </c>
      <c r="P43">
        <v>21.77</v>
      </c>
      <c r="Q43" t="s">
        <v>215</v>
      </c>
      <c r="R43">
        <v>8128491</v>
      </c>
      <c r="S43" s="4">
        <v>1.25</v>
      </c>
      <c r="T43" t="s">
        <v>2559</v>
      </c>
      <c r="U43">
        <v>344028130</v>
      </c>
      <c r="V43">
        <v>559013770</v>
      </c>
      <c r="W43">
        <v>1.1399999999999999</v>
      </c>
      <c r="X43">
        <v>0.09</v>
      </c>
      <c r="Y43">
        <v>5.28</v>
      </c>
      <c r="Z43" t="s">
        <v>110</v>
      </c>
      <c r="AA43" t="s">
        <v>50</v>
      </c>
      <c r="AB43" t="s">
        <v>3792</v>
      </c>
      <c r="AC43" t="s">
        <v>3793</v>
      </c>
      <c r="AD43" t="s">
        <v>5</v>
      </c>
      <c r="AE43">
        <v>-4358312</v>
      </c>
      <c r="AF43" t="s">
        <v>2560</v>
      </c>
      <c r="AG43" t="s">
        <v>3794</v>
      </c>
      <c r="AH43" t="s">
        <v>2561</v>
      </c>
      <c r="AI43" t="s">
        <v>636</v>
      </c>
      <c r="AJ43" t="s">
        <v>2562</v>
      </c>
      <c r="AK43" t="s">
        <v>3795</v>
      </c>
      <c r="AL43" t="s">
        <v>2563</v>
      </c>
      <c r="AM43" t="s">
        <v>5</v>
      </c>
      <c r="AN43" t="s">
        <v>3796</v>
      </c>
      <c r="AO43" t="s">
        <v>3797</v>
      </c>
      <c r="AP43" t="s">
        <v>3798</v>
      </c>
      <c r="AQ43" t="s">
        <v>3799</v>
      </c>
      <c r="AR43" t="s">
        <v>5</v>
      </c>
      <c r="AS43" t="s">
        <v>164</v>
      </c>
      <c r="AT43" t="s">
        <v>5</v>
      </c>
      <c r="AU43" t="s">
        <v>3800</v>
      </c>
      <c r="AV43" t="s">
        <v>3801</v>
      </c>
      <c r="AW43" t="s">
        <v>3802</v>
      </c>
      <c r="AX43" t="s">
        <v>1783</v>
      </c>
      <c r="AY43" t="s">
        <v>1305</v>
      </c>
      <c r="AZ43" t="s">
        <v>1307</v>
      </c>
      <c r="BA43" t="s">
        <v>193</v>
      </c>
      <c r="BB43" t="s">
        <v>470</v>
      </c>
      <c r="BC43" t="s">
        <v>1784</v>
      </c>
      <c r="BD43" t="s">
        <v>1306</v>
      </c>
      <c r="BE43" t="s">
        <v>1308</v>
      </c>
      <c r="BF43" t="s">
        <v>403</v>
      </c>
      <c r="BG43" t="s">
        <v>270</v>
      </c>
      <c r="BH43" t="s">
        <v>215</v>
      </c>
      <c r="BI43" t="s">
        <v>6</v>
      </c>
      <c r="BJ43" t="s">
        <v>1783</v>
      </c>
      <c r="BK43" t="s">
        <v>2559</v>
      </c>
      <c r="BL43" t="s">
        <v>2564</v>
      </c>
      <c r="BM43" t="s">
        <v>1784</v>
      </c>
      <c r="BN43">
        <v>-0.48</v>
      </c>
      <c r="BO43">
        <v>3.41</v>
      </c>
      <c r="BP43">
        <v>-0.01</v>
      </c>
      <c r="BQ43">
        <v>0.73</v>
      </c>
      <c r="BR43">
        <v>4.2300000000000004</v>
      </c>
      <c r="BS43">
        <v>0.94</v>
      </c>
      <c r="BT43" t="s">
        <v>3803</v>
      </c>
      <c r="BU43" t="s">
        <v>1518</v>
      </c>
      <c r="BV43">
        <v>11.94</v>
      </c>
      <c r="BW43">
        <v>15.78</v>
      </c>
      <c r="BX43">
        <v>11.51</v>
      </c>
      <c r="BY43">
        <v>2.2400000000000002</v>
      </c>
      <c r="BZ43">
        <v>8.25</v>
      </c>
      <c r="CA43">
        <v>2.17</v>
      </c>
      <c r="CB43">
        <v>-8.83</v>
      </c>
      <c r="CC43">
        <v>-22.08</v>
      </c>
      <c r="CD43" t="s">
        <v>47</v>
      </c>
      <c r="CE43" t="s">
        <v>746</v>
      </c>
      <c r="CF43" s="8">
        <v>0.22222222222222221</v>
      </c>
      <c r="CG43" s="9">
        <v>1.2495408756296011</v>
      </c>
      <c r="CH43" s="8">
        <v>-0.11320754885673523</v>
      </c>
      <c r="CI43" s="8">
        <v>0.18152865767478943</v>
      </c>
      <c r="CJ43" s="8">
        <v>0.11347517371177673</v>
      </c>
      <c r="CK43" s="8">
        <v>-0.39027026295661926</v>
      </c>
      <c r="CL43" s="8">
        <v>-0.34767279028892517</v>
      </c>
      <c r="CM43" s="9">
        <v>-0.75955575704574585</v>
      </c>
      <c r="CN43" s="9">
        <v>3.4911787509918213</v>
      </c>
      <c r="CO43" s="9">
        <v>-0.69953972101211548</v>
      </c>
      <c r="CP43" s="9">
        <v>-0.86071163415908813</v>
      </c>
      <c r="CQ43" s="9">
        <v>-0.50304877758026123</v>
      </c>
      <c r="CR43">
        <v>26.963360302666224</v>
      </c>
      <c r="CS43">
        <v>2.4241227066702802</v>
      </c>
      <c r="CT43">
        <v>0.17735412026726055</v>
      </c>
      <c r="CU43" s="8">
        <v>-0.11122935414314269</v>
      </c>
      <c r="CV43" s="9">
        <v>0.13366457223892211</v>
      </c>
      <c r="CW43">
        <v>0.06</v>
      </c>
      <c r="CX43">
        <v>254.11784349525897</v>
      </c>
      <c r="CY43" t="s">
        <v>2565</v>
      </c>
      <c r="CZ43">
        <v>-0.11122935414314269</v>
      </c>
      <c r="DA43">
        <v>84.705947831752994</v>
      </c>
      <c r="DB43" t="s">
        <v>2566</v>
      </c>
      <c r="DC43">
        <v>-0.10566788643598556</v>
      </c>
      <c r="DD43">
        <v>42.352973915876497</v>
      </c>
      <c r="DE43" t="s">
        <v>2567</v>
      </c>
      <c r="DF43">
        <v>-9.7881831645965575E-2</v>
      </c>
      <c r="DG43">
        <v>25.411784349525899</v>
      </c>
      <c r="DH43" t="s">
        <v>2568</v>
      </c>
      <c r="DI43">
        <v>-8.8983483314514167E-2</v>
      </c>
      <c r="DJ43">
        <v>12.705892174762949</v>
      </c>
      <c r="DK43" t="s">
        <v>2569</v>
      </c>
      <c r="DL43">
        <v>-7.7860547900199875E-2</v>
      </c>
      <c r="DM43">
        <v>14733100</v>
      </c>
      <c r="DN43">
        <v>-0.11122935414314269</v>
      </c>
      <c r="DO43">
        <v>3743943600</v>
      </c>
      <c r="DP43">
        <v>669162040</v>
      </c>
      <c r="DQ43">
        <v>1597</v>
      </c>
      <c r="DR43">
        <v>0.33345157636536493</v>
      </c>
      <c r="DS43">
        <v>1.1158763033906791</v>
      </c>
      <c r="DT43" s="10">
        <v>-0.50666666666666671</v>
      </c>
      <c r="DU43">
        <v>-0.6166666666666667</v>
      </c>
      <c r="DV43">
        <v>-1.1233333333333335</v>
      </c>
      <c r="DW43">
        <v>-9.3999094202898554</v>
      </c>
      <c r="DX43">
        <v>0.28412177985948606</v>
      </c>
      <c r="DY43">
        <v>-9.0496374690289514</v>
      </c>
      <c r="DZ43">
        <v>3686</v>
      </c>
      <c r="EA43">
        <v>-9.0138324375532726</v>
      </c>
      <c r="EB43">
        <v>9</v>
      </c>
      <c r="EC43">
        <v>0.3792393164125456</v>
      </c>
      <c r="ED43">
        <v>3.0553809077010747</v>
      </c>
      <c r="EE43" s="11">
        <v>9.0919100000000004</v>
      </c>
      <c r="EF43">
        <v>8.0122099999999996</v>
      </c>
      <c r="EG43">
        <v>16.124121779859486</v>
      </c>
      <c r="EH43" t="s">
        <v>2165</v>
      </c>
      <c r="EI43">
        <v>0</v>
      </c>
      <c r="EJ43">
        <v>0</v>
      </c>
      <c r="EK43" s="12">
        <v>45470</v>
      </c>
      <c r="EL43">
        <v>-3.03</v>
      </c>
      <c r="EM43">
        <v>-5.78</v>
      </c>
      <c r="EN43">
        <v>2.21</v>
      </c>
      <c r="EO43">
        <v>-1.97</v>
      </c>
      <c r="EP43">
        <v>-7.03</v>
      </c>
    </row>
    <row r="44" spans="1:146" ht="96" x14ac:dyDescent="0.25">
      <c r="C44" s="6" t="str">
        <f>""&amp;CHAR(10)&amp;Basic_Fundamental_Information_Constructure(F44)&amp;CHAR(10)&amp;Basic_Fundamental_Information_Concatenate("")</f>
        <v xml:space="preserve">
市值56.095218亿, 利润4.93亿; PE11.35; 平均PE26.97; 平均PEG1.48, PB1.53; ROIC9.08%; ROE9.9633%; 股利率.8481%; 毛利47.7867%; 净利24.2133%; 上一年度营收增6.53%, 利润增69.42%; 当季营收增8.82%, 利润增1.16%; 过往5年营收增18.26%, 利润增89.6%
Income profile:
</v>
      </c>
      <c r="D44" t="s">
        <v>1785</v>
      </c>
      <c r="E44" t="s">
        <v>1786</v>
      </c>
      <c r="F44">
        <v>11.56</v>
      </c>
      <c r="G44">
        <v>2.66</v>
      </c>
      <c r="H44" t="s">
        <v>3804</v>
      </c>
      <c r="I44">
        <v>5609521800</v>
      </c>
      <c r="J44">
        <v>11.35</v>
      </c>
      <c r="K44">
        <v>1.53</v>
      </c>
      <c r="L44" t="s">
        <v>428</v>
      </c>
      <c r="M44" t="s">
        <v>144</v>
      </c>
      <c r="N44" t="s">
        <v>3805</v>
      </c>
      <c r="O44" t="s">
        <v>263</v>
      </c>
      <c r="P44" s="4">
        <v>8.73</v>
      </c>
      <c r="Q44" t="s">
        <v>2158</v>
      </c>
      <c r="R44">
        <v>121387401</v>
      </c>
      <c r="S44">
        <v>1.17E-2</v>
      </c>
      <c r="T44" t="s">
        <v>138</v>
      </c>
      <c r="U44">
        <v>449498020</v>
      </c>
      <c r="V44">
        <v>485252760</v>
      </c>
      <c r="W44">
        <v>1.1299999999999999</v>
      </c>
      <c r="X44">
        <v>0.1</v>
      </c>
      <c r="Y44">
        <v>30.64</v>
      </c>
      <c r="Z44" t="s">
        <v>150</v>
      </c>
      <c r="AA44" t="s">
        <v>243</v>
      </c>
      <c r="AB44" t="s">
        <v>3806</v>
      </c>
      <c r="AC44" t="s">
        <v>3807</v>
      </c>
      <c r="AD44" t="s">
        <v>5</v>
      </c>
      <c r="AE44">
        <v>-2846566</v>
      </c>
      <c r="AF44" t="s">
        <v>32</v>
      </c>
      <c r="AG44" t="s">
        <v>3808</v>
      </c>
      <c r="AH44" t="s">
        <v>2570</v>
      </c>
      <c r="AI44" t="s">
        <v>99</v>
      </c>
      <c r="AJ44" t="s">
        <v>2571</v>
      </c>
      <c r="AK44" t="s">
        <v>3809</v>
      </c>
      <c r="AL44" t="s">
        <v>2572</v>
      </c>
      <c r="AM44" t="s">
        <v>5</v>
      </c>
      <c r="AN44" t="s">
        <v>1375</v>
      </c>
      <c r="AO44" t="s">
        <v>3810</v>
      </c>
      <c r="AP44" t="s">
        <v>84</v>
      </c>
      <c r="AQ44" t="s">
        <v>237</v>
      </c>
      <c r="AR44" t="s">
        <v>3811</v>
      </c>
      <c r="AS44" t="s">
        <v>584</v>
      </c>
      <c r="AT44" t="s">
        <v>3812</v>
      </c>
      <c r="AU44" t="s">
        <v>38</v>
      </c>
      <c r="AV44" t="s">
        <v>1237</v>
      </c>
      <c r="AW44" t="s">
        <v>3813</v>
      </c>
      <c r="AX44" t="s">
        <v>1787</v>
      </c>
      <c r="AY44" t="s">
        <v>1663</v>
      </c>
      <c r="AZ44" t="s">
        <v>1788</v>
      </c>
      <c r="BA44" t="s">
        <v>1789</v>
      </c>
      <c r="BB44" t="s">
        <v>1790</v>
      </c>
      <c r="BC44" t="s">
        <v>142</v>
      </c>
      <c r="BD44" t="s">
        <v>1209</v>
      </c>
      <c r="BE44" t="s">
        <v>1791</v>
      </c>
      <c r="BF44" t="s">
        <v>43</v>
      </c>
      <c r="BG44" t="s">
        <v>1792</v>
      </c>
      <c r="BH44" t="s">
        <v>2158</v>
      </c>
      <c r="BI44" t="s">
        <v>454</v>
      </c>
      <c r="BJ44" t="s">
        <v>1787</v>
      </c>
      <c r="BK44" t="s">
        <v>138</v>
      </c>
      <c r="BL44" t="s">
        <v>60</v>
      </c>
      <c r="BM44" t="s">
        <v>142</v>
      </c>
      <c r="BN44">
        <v>11.64</v>
      </c>
      <c r="BO44">
        <v>8.07</v>
      </c>
      <c r="BP44">
        <v>7.53</v>
      </c>
      <c r="BQ44">
        <v>12.27</v>
      </c>
      <c r="BR44">
        <v>8.59</v>
      </c>
      <c r="BS44">
        <v>9.0299999999999994</v>
      </c>
      <c r="BT44" t="s">
        <v>2574</v>
      </c>
      <c r="BU44" t="s">
        <v>1516</v>
      </c>
      <c r="BV44">
        <v>56.48</v>
      </c>
      <c r="BW44">
        <v>46.49</v>
      </c>
      <c r="BX44">
        <v>40.39</v>
      </c>
      <c r="BY44">
        <v>30.68</v>
      </c>
      <c r="BZ44">
        <v>18.940000000000001</v>
      </c>
      <c r="CA44">
        <v>23.02</v>
      </c>
      <c r="CB44">
        <v>-0.17</v>
      </c>
      <c r="CC44" s="8">
        <v>-12.64</v>
      </c>
      <c r="CD44" s="9" t="s">
        <v>3814</v>
      </c>
      <c r="CE44" s="8" t="s">
        <v>295</v>
      </c>
      <c r="CF44" s="8">
        <v>8.8154269972451793E-2</v>
      </c>
      <c r="CG44" s="8">
        <v>1.1561675E-2</v>
      </c>
      <c r="CH44" s="8">
        <v>6.5275952219963074E-2</v>
      </c>
      <c r="CI44" s="8">
        <v>0.21803279221057892</v>
      </c>
      <c r="CJ44" s="9">
        <v>0.2461695671081543</v>
      </c>
      <c r="CK44" s="9">
        <v>5.95238097012043E-2</v>
      </c>
      <c r="CL44" s="9">
        <v>0.32378223538398743</v>
      </c>
      <c r="CM44" s="9">
        <v>0.69415807723999023</v>
      </c>
      <c r="CN44" s="9">
        <v>0.40579709410667419</v>
      </c>
      <c r="CO44">
        <v>3.6438584327697754</v>
      </c>
      <c r="CP44">
        <v>-0.63760161399841309</v>
      </c>
      <c r="CQ44">
        <v>0.37359261512756348</v>
      </c>
      <c r="CR44" s="8">
        <v>26.966235971314326</v>
      </c>
      <c r="CS44" s="9">
        <v>1.4771416586856418</v>
      </c>
      <c r="CT44">
        <v>0.84809010109234007</v>
      </c>
      <c r="CU44">
        <v>0.1825568713247776</v>
      </c>
      <c r="CV44">
        <v>0.89596092104911806</v>
      </c>
      <c r="CW44">
        <v>0.06</v>
      </c>
      <c r="CX44">
        <v>4.4754900551314307</v>
      </c>
      <c r="CY44">
        <v>550000507.13501441</v>
      </c>
      <c r="CZ44">
        <v>0.1825568713247776</v>
      </c>
      <c r="DA44">
        <v>1.3534391223508706</v>
      </c>
      <c r="DB44">
        <v>1818716305.2627249</v>
      </c>
      <c r="DC44">
        <v>0.17342902775853872</v>
      </c>
      <c r="DD44">
        <v>0.59858132397164288</v>
      </c>
      <c r="DE44">
        <v>4112259606.8777652</v>
      </c>
      <c r="DF44">
        <v>0.1606500467658043</v>
      </c>
      <c r="DG44">
        <v>0.31700886837110925</v>
      </c>
      <c r="DH44">
        <v>7764835768.3116865</v>
      </c>
      <c r="DI44">
        <v>0.14604549705982209</v>
      </c>
      <c r="DJ44">
        <v>0.12224873698276732</v>
      </c>
      <c r="DK44">
        <v>20135355675.265476</v>
      </c>
      <c r="DL44">
        <v>0.12778980992734432</v>
      </c>
      <c r="DM44">
        <v>493000000</v>
      </c>
      <c r="DN44">
        <v>0.1825568713247776</v>
      </c>
      <c r="DO44">
        <v>2461521800.0000005</v>
      </c>
      <c r="DP44">
        <v>768363230</v>
      </c>
      <c r="DQ44" s="10">
        <v>1599</v>
      </c>
      <c r="DR44">
        <v>-9.440260135232581E-2</v>
      </c>
      <c r="DS44">
        <v>-0.88439924604911802</v>
      </c>
      <c r="DT44">
        <v>-5.6666666666666719E-2</v>
      </c>
      <c r="DU44">
        <v>0.79833333333333345</v>
      </c>
      <c r="DV44">
        <v>0.7416666666666667</v>
      </c>
      <c r="DW44">
        <v>-2.1263999999999998</v>
      </c>
      <c r="DX44">
        <v>0.46952628205128549</v>
      </c>
      <c r="DY44">
        <v>-2.017636122051282</v>
      </c>
      <c r="DZ44">
        <v>416</v>
      </c>
      <c r="EA44">
        <v>-2.0162003829566961</v>
      </c>
      <c r="EB44" s="11">
        <v>2</v>
      </c>
      <c r="EC44" s="11">
        <v>4.4855180215770438E-2</v>
      </c>
      <c r="ED44">
        <v>0.32148194273021757</v>
      </c>
      <c r="EE44">
        <v>1.07321</v>
      </c>
      <c r="EF44">
        <v>1.1045100000000001</v>
      </c>
      <c r="EG44">
        <v>33.139526282051285</v>
      </c>
      <c r="EH44" s="12" t="s">
        <v>1693</v>
      </c>
      <c r="EI44">
        <v>0</v>
      </c>
      <c r="EJ44">
        <v>1</v>
      </c>
      <c r="EK44">
        <v>45470</v>
      </c>
      <c r="EL44">
        <v>1.1000000000000001</v>
      </c>
      <c r="EM44">
        <v>-3.51</v>
      </c>
      <c r="EN44">
        <v>0.52</v>
      </c>
      <c r="EO44">
        <v>1.98</v>
      </c>
      <c r="EP44">
        <v>-3.13</v>
      </c>
    </row>
    <row r="45" spans="1:146" ht="96" x14ac:dyDescent="0.25">
      <c r="A45" s="6"/>
      <c r="B45" s="6"/>
      <c r="C45" s="6" t="str">
        <f>""&amp;CHAR(10)&amp;Basic_Fundamental_Information_Constructure(F45)&amp;CHAR(10)&amp;Basic_Fundamental_Information_Concatenate("")</f>
        <v xml:space="preserve">
市值15.19087亿, 利润-1.60亿; PE; 平均PE-8.52; 平均PEG-1.04, PB13.92; ROIC0%; ROE-32.2967%; 股利率0%; 毛利16.15%; 净利-27.2133%; 上一年度营收增-1.88%, 利润增14.89%; 当季营收增20%, 利润增71.13%; 过往5年营收增-8.22%, 利润增-368.11%
Income profile:
</v>
      </c>
      <c r="D45" t="s">
        <v>706</v>
      </c>
      <c r="E45" t="s">
        <v>707</v>
      </c>
      <c r="F45">
        <v>4.66</v>
      </c>
      <c r="G45">
        <v>4.4800000000000004</v>
      </c>
      <c r="H45" t="s">
        <v>3815</v>
      </c>
      <c r="I45">
        <v>1519087000</v>
      </c>
      <c r="K45">
        <v>13.92</v>
      </c>
      <c r="L45" t="s">
        <v>428</v>
      </c>
      <c r="M45" t="s">
        <v>2240</v>
      </c>
      <c r="N45" t="s">
        <v>49</v>
      </c>
      <c r="O45" t="s">
        <v>6</v>
      </c>
      <c r="P45">
        <v>19.309999999999999</v>
      </c>
      <c r="Q45" t="s">
        <v>2575</v>
      </c>
      <c r="R45">
        <v>-4035417</v>
      </c>
      <c r="S45" s="4">
        <v>0.71130000000000004</v>
      </c>
      <c r="T45" t="s">
        <v>1750</v>
      </c>
      <c r="U45">
        <v>301735780</v>
      </c>
      <c r="V45">
        <v>325984340</v>
      </c>
      <c r="W45">
        <v>9.01</v>
      </c>
      <c r="X45">
        <v>0.12</v>
      </c>
      <c r="Y45">
        <v>-3.32</v>
      </c>
      <c r="Z45" t="s">
        <v>50</v>
      </c>
      <c r="AA45" t="s">
        <v>3816</v>
      </c>
      <c r="AB45" t="s">
        <v>3817</v>
      </c>
      <c r="AC45" t="s">
        <v>3818</v>
      </c>
      <c r="AD45" t="s">
        <v>5</v>
      </c>
      <c r="AE45">
        <v>6710127</v>
      </c>
      <c r="AF45" t="s">
        <v>2576</v>
      </c>
      <c r="AG45" t="s">
        <v>3819</v>
      </c>
      <c r="AH45" t="s">
        <v>2577</v>
      </c>
      <c r="AI45" t="s">
        <v>3820</v>
      </c>
      <c r="AJ45" t="s">
        <v>2578</v>
      </c>
      <c r="AK45" t="s">
        <v>3821</v>
      </c>
      <c r="AL45" t="s">
        <v>2579</v>
      </c>
      <c r="AM45" t="s">
        <v>5</v>
      </c>
      <c r="AN45" t="s">
        <v>3822</v>
      </c>
      <c r="AO45" t="s">
        <v>232</v>
      </c>
      <c r="AP45" t="s">
        <v>2580</v>
      </c>
      <c r="AQ45" t="s">
        <v>147</v>
      </c>
      <c r="AR45" t="s">
        <v>5</v>
      </c>
      <c r="AS45" t="s">
        <v>3823</v>
      </c>
      <c r="AT45" t="s">
        <v>5</v>
      </c>
      <c r="AU45" t="s">
        <v>3613</v>
      </c>
      <c r="AV45" t="s">
        <v>3824</v>
      </c>
      <c r="AW45" t="s">
        <v>3825</v>
      </c>
      <c r="AX45" t="s">
        <v>575</v>
      </c>
      <c r="AY45" t="s">
        <v>400</v>
      </c>
      <c r="AZ45" t="s">
        <v>708</v>
      </c>
      <c r="BA45" t="s">
        <v>708</v>
      </c>
      <c r="BB45" t="s">
        <v>342</v>
      </c>
      <c r="BC45" t="s">
        <v>1644</v>
      </c>
      <c r="BD45" t="s">
        <v>1200</v>
      </c>
      <c r="BE45" t="s">
        <v>1249</v>
      </c>
      <c r="BF45" t="s">
        <v>543</v>
      </c>
      <c r="BG45" t="s">
        <v>710</v>
      </c>
      <c r="BH45" t="s">
        <v>2575</v>
      </c>
      <c r="BI45" t="s">
        <v>42</v>
      </c>
      <c r="BJ45" t="s">
        <v>575</v>
      </c>
      <c r="BK45" t="s">
        <v>1750</v>
      </c>
      <c r="BL45" t="s">
        <v>2581</v>
      </c>
      <c r="BM45" t="s">
        <v>1644</v>
      </c>
      <c r="BN45" t="s">
        <v>5</v>
      </c>
      <c r="BO45" t="s">
        <v>5</v>
      </c>
      <c r="BP45" t="s">
        <v>5</v>
      </c>
      <c r="BQ45">
        <v>-14.11</v>
      </c>
      <c r="BR45">
        <v>-52.22</v>
      </c>
      <c r="BS45">
        <v>-30.56</v>
      </c>
      <c r="BT45" t="s">
        <v>1670</v>
      </c>
      <c r="BU45" t="s">
        <v>1516</v>
      </c>
      <c r="BV45">
        <v>16.489999999999998</v>
      </c>
      <c r="BW45">
        <v>14.19</v>
      </c>
      <c r="BX45">
        <v>17.77</v>
      </c>
      <c r="BY45">
        <v>-27.92</v>
      </c>
      <c r="BZ45">
        <v>-32.11</v>
      </c>
      <c r="CA45">
        <v>-21.61</v>
      </c>
      <c r="CB45">
        <v>0.65</v>
      </c>
      <c r="CC45">
        <v>-9.51</v>
      </c>
      <c r="CD45" t="s">
        <v>3826</v>
      </c>
      <c r="CE45" t="s">
        <v>104</v>
      </c>
      <c r="CF45" s="8">
        <v>0.2</v>
      </c>
      <c r="CG45" s="9">
        <v>0.71130639138086449</v>
      </c>
      <c r="CH45" s="8">
        <v>-1.8803419545292854E-2</v>
      </c>
      <c r="CI45" s="8">
        <v>-0.23127463459968567</v>
      </c>
      <c r="CJ45" s="8">
        <v>-0.1487695723772049</v>
      </c>
      <c r="CK45" s="8">
        <v>0</v>
      </c>
      <c r="CL45" s="8">
        <v>-1.2154696509242058E-2</v>
      </c>
      <c r="CM45" s="9">
        <v>0.14893616735935211</v>
      </c>
      <c r="CN45" s="9">
        <v>-0.14634145796298981</v>
      </c>
      <c r="CO45" s="9">
        <v>0.42456141114234924</v>
      </c>
      <c r="CP45" s="9">
        <v>1.3840830884873867E-2</v>
      </c>
      <c r="CQ45" s="9">
        <v>-18.846336364746094</v>
      </c>
      <c r="CR45">
        <v>-8.5197879765512656</v>
      </c>
      <c r="CS45">
        <v>-1.0364646985097257</v>
      </c>
      <c r="CT45">
        <v>0</v>
      </c>
      <c r="CU45" s="8">
        <v>-8.2200464606285092E-2</v>
      </c>
      <c r="CV45" s="9">
        <v>-3.6810678826645016</v>
      </c>
      <c r="CW45">
        <v>0.06</v>
      </c>
      <c r="CX45" t="e">
        <v>#VALUE!</v>
      </c>
      <c r="CY45" t="s">
        <v>1211</v>
      </c>
      <c r="CZ45">
        <v>-8.2200464606285092E-2</v>
      </c>
      <c r="DA45" t="e">
        <v>#VALUE!</v>
      </c>
      <c r="DB45" t="s">
        <v>1179</v>
      </c>
      <c r="DC45">
        <v>-7.8090441375970834E-2</v>
      </c>
      <c r="DD45" t="e">
        <v>#VALUE!</v>
      </c>
      <c r="DE45" t="s">
        <v>1179</v>
      </c>
      <c r="DF45">
        <v>-7.2336408853530876E-2</v>
      </c>
      <c r="DG45" t="e">
        <v>#VALUE!</v>
      </c>
      <c r="DH45" t="s">
        <v>1179</v>
      </c>
      <c r="DI45">
        <v>-6.5760371685028074E-2</v>
      </c>
      <c r="DJ45" t="e">
        <v>#VALUE!</v>
      </c>
      <c r="DK45" t="s">
        <v>1179</v>
      </c>
      <c r="DL45">
        <v>-5.7540325224399558E-2</v>
      </c>
      <c r="DM45">
        <v>-160000000</v>
      </c>
      <c r="DN45">
        <v>-8.2200464606285092E-2</v>
      </c>
      <c r="DO45">
        <v>2460087000</v>
      </c>
      <c r="DP45">
        <v>-347765510</v>
      </c>
      <c r="DQ45">
        <v>1658</v>
      </c>
      <c r="DR45">
        <v>0.28220046460628512</v>
      </c>
      <c r="DS45">
        <v>4.3923742740453662</v>
      </c>
      <c r="DT45" s="10">
        <v>-0.59</v>
      </c>
      <c r="DU45">
        <v>-2.168333333333333</v>
      </c>
      <c r="DV45">
        <v>-2.7583333333333329</v>
      </c>
      <c r="DW45">
        <v>-2.0951</v>
      </c>
      <c r="DX45">
        <v>0.62153409591474285</v>
      </c>
      <c r="DY45">
        <v>-2.0134598925214919</v>
      </c>
      <c r="DZ45">
        <v>4816</v>
      </c>
      <c r="EA45">
        <v>-2.0007744047752092</v>
      </c>
      <c r="EB45">
        <v>2</v>
      </c>
      <c r="EC45">
        <v>0.24444026973811073</v>
      </c>
      <c r="ED45">
        <v>1.727076828291813</v>
      </c>
      <c r="EE45" s="11">
        <v>4.0481100000000003</v>
      </c>
      <c r="EF45">
        <v>4.0851100000000002</v>
      </c>
      <c r="EG45">
        <v>48.141534095914743</v>
      </c>
      <c r="EH45" t="s">
        <v>3827</v>
      </c>
      <c r="EI45">
        <v>0</v>
      </c>
      <c r="EJ45">
        <v>0</v>
      </c>
      <c r="EK45" s="12">
        <v>45470</v>
      </c>
      <c r="EL45">
        <v>0.6</v>
      </c>
      <c r="EM45">
        <v>1</v>
      </c>
      <c r="EN45">
        <v>-7.11</v>
      </c>
      <c r="EO45">
        <v>3.62</v>
      </c>
      <c r="EP45">
        <v>-3.7</v>
      </c>
    </row>
    <row r="46" spans="1:146" ht="168" x14ac:dyDescent="0.25">
      <c r="A46" s="6" t="s">
        <v>1108</v>
      </c>
      <c r="B46" s="6"/>
      <c r="C46" s="6" t="s">
        <v>1109</v>
      </c>
      <c r="D46" t="s">
        <v>711</v>
      </c>
      <c r="E46" t="s">
        <v>712</v>
      </c>
      <c r="F46">
        <v>13.21</v>
      </c>
      <c r="G46">
        <v>0.3</v>
      </c>
      <c r="H46" t="s">
        <v>3828</v>
      </c>
      <c r="I46">
        <v>4832916300</v>
      </c>
      <c r="J46">
        <v>17.940000000000001</v>
      </c>
      <c r="K46">
        <v>1.52</v>
      </c>
      <c r="L46" t="s">
        <v>428</v>
      </c>
      <c r="M46" t="s">
        <v>174</v>
      </c>
      <c r="N46" t="s">
        <v>3829</v>
      </c>
      <c r="O46" t="s">
        <v>2488</v>
      </c>
      <c r="P46">
        <v>2.15</v>
      </c>
      <c r="Q46" t="s">
        <v>1379</v>
      </c>
      <c r="R46">
        <v>77630815</v>
      </c>
      <c r="S46" s="4">
        <v>0.71250000000000002</v>
      </c>
      <c r="T46" t="s">
        <v>1169</v>
      </c>
      <c r="U46">
        <v>364533460</v>
      </c>
      <c r="V46">
        <v>365852860</v>
      </c>
      <c r="W46">
        <v>1.2</v>
      </c>
      <c r="X46">
        <v>0.12</v>
      </c>
      <c r="Y46">
        <v>16.71</v>
      </c>
      <c r="Z46" t="s">
        <v>298</v>
      </c>
      <c r="AA46" t="s">
        <v>280</v>
      </c>
      <c r="AB46" t="s">
        <v>3830</v>
      </c>
      <c r="AC46" t="s">
        <v>3831</v>
      </c>
      <c r="AD46" t="s">
        <v>5</v>
      </c>
      <c r="AE46">
        <v>-9859525</v>
      </c>
      <c r="AF46" t="s">
        <v>2582</v>
      </c>
      <c r="AG46" t="s">
        <v>3832</v>
      </c>
      <c r="AH46" t="s">
        <v>2583</v>
      </c>
      <c r="AI46" t="s">
        <v>1239</v>
      </c>
      <c r="AJ46" t="s">
        <v>2584</v>
      </c>
      <c r="AK46" t="s">
        <v>50</v>
      </c>
      <c r="AL46" t="s">
        <v>2585</v>
      </c>
      <c r="AM46" t="s">
        <v>5</v>
      </c>
      <c r="AN46" t="s">
        <v>176</v>
      </c>
      <c r="AO46" t="s">
        <v>44</v>
      </c>
      <c r="AP46" t="s">
        <v>5</v>
      </c>
      <c r="AQ46" t="s">
        <v>173</v>
      </c>
      <c r="AR46" t="s">
        <v>5</v>
      </c>
      <c r="AS46" t="s">
        <v>2053</v>
      </c>
      <c r="AT46" t="s">
        <v>2586</v>
      </c>
      <c r="AU46" t="s">
        <v>3833</v>
      </c>
      <c r="AV46" t="s">
        <v>3834</v>
      </c>
      <c r="AW46" t="s">
        <v>3835</v>
      </c>
      <c r="AX46" t="s">
        <v>1793</v>
      </c>
      <c r="AY46" t="s">
        <v>1311</v>
      </c>
      <c r="AZ46" t="s">
        <v>793</v>
      </c>
      <c r="BA46" t="s">
        <v>714</v>
      </c>
      <c r="BB46" t="s">
        <v>715</v>
      </c>
      <c r="BC46" t="s">
        <v>1627</v>
      </c>
      <c r="BD46" t="s">
        <v>179</v>
      </c>
      <c r="BE46" t="s">
        <v>137</v>
      </c>
      <c r="BF46" t="s">
        <v>717</v>
      </c>
      <c r="BG46" t="s">
        <v>718</v>
      </c>
      <c r="BH46" t="s">
        <v>1379</v>
      </c>
      <c r="BI46" t="s">
        <v>182</v>
      </c>
      <c r="BJ46" t="s">
        <v>1793</v>
      </c>
      <c r="BK46" t="s">
        <v>1169</v>
      </c>
      <c r="BL46" t="s">
        <v>2587</v>
      </c>
      <c r="BM46" t="s">
        <v>1627</v>
      </c>
      <c r="BN46">
        <v>5.01</v>
      </c>
      <c r="BO46">
        <v>7.46</v>
      </c>
      <c r="BP46">
        <v>6.11</v>
      </c>
      <c r="BQ46">
        <v>5.89</v>
      </c>
      <c r="BR46">
        <v>11.02</v>
      </c>
      <c r="BS46">
        <v>8.68</v>
      </c>
      <c r="BT46" t="s">
        <v>1674</v>
      </c>
      <c r="BU46" t="s">
        <v>1516</v>
      </c>
      <c r="BV46">
        <v>22.12</v>
      </c>
      <c r="BW46">
        <v>24.19</v>
      </c>
      <c r="BX46">
        <v>23.47</v>
      </c>
      <c r="BY46">
        <v>13.75</v>
      </c>
      <c r="BZ46">
        <v>13.12</v>
      </c>
      <c r="CA46">
        <v>10.96</v>
      </c>
      <c r="CB46">
        <v>-3.22</v>
      </c>
      <c r="CC46">
        <v>-11.46</v>
      </c>
      <c r="CD46" t="s">
        <v>3836</v>
      </c>
      <c r="CE46" t="s">
        <v>3837</v>
      </c>
      <c r="CF46" s="8">
        <v>2.1881838074398249E-2</v>
      </c>
      <c r="CG46" s="9">
        <v>0.71253637143758453</v>
      </c>
      <c r="CH46" s="8">
        <v>3.2803624868392944E-2</v>
      </c>
      <c r="CI46" s="8">
        <v>0.21330849826335907</v>
      </c>
      <c r="CJ46" s="8">
        <v>0.36734694242477417</v>
      </c>
      <c r="CK46" s="8">
        <v>-8.268330991268158E-2</v>
      </c>
      <c r="CL46" s="8">
        <v>-0.24676850438117981</v>
      </c>
      <c r="CM46" s="9">
        <v>5.8035712689161301E-2</v>
      </c>
      <c r="CN46" s="9">
        <v>0.47368422150611877</v>
      </c>
      <c r="CO46" s="9">
        <v>0.36936935782432556</v>
      </c>
      <c r="CP46" s="9">
        <v>1.0728601217269897</v>
      </c>
      <c r="CQ46" s="9">
        <v>-0.3519846498966217</v>
      </c>
      <c r="CR46">
        <v>33.710772881504894</v>
      </c>
      <c r="CS46">
        <v>5.9348436935378466</v>
      </c>
      <c r="CT46">
        <v>0.75700227100681294</v>
      </c>
      <c r="CU46" s="8">
        <v>5.6801450252532956E-2</v>
      </c>
      <c r="CV46" s="9">
        <v>0.32439295276999475</v>
      </c>
      <c r="CW46">
        <v>0.06</v>
      </c>
      <c r="CX46">
        <v>9.8733214370672666</v>
      </c>
      <c r="CY46">
        <v>236284852.55646253</v>
      </c>
      <c r="CZ46">
        <v>5.6801450252532956E-2</v>
      </c>
      <c r="DA46">
        <v>3.3188465225022243</v>
      </c>
      <c r="DB46">
        <v>702929853.5447526</v>
      </c>
      <c r="DC46">
        <v>5.3961377739906308E-2</v>
      </c>
      <c r="DD46">
        <v>1.6957888949740318</v>
      </c>
      <c r="DE46">
        <v>1375711509.2062945</v>
      </c>
      <c r="DF46">
        <v>4.9985276222229001E-2</v>
      </c>
      <c r="DG46">
        <v>1.0613110976045326</v>
      </c>
      <c r="DH46">
        <v>2198145581.691915</v>
      </c>
      <c r="DI46">
        <v>4.5441160202026369E-2</v>
      </c>
      <c r="DJ46">
        <v>0.59889453884929111</v>
      </c>
      <c r="DK46">
        <v>3895370801.8150201</v>
      </c>
      <c r="DL46">
        <v>3.9761015176773065E-2</v>
      </c>
      <c r="DM46">
        <v>237000000</v>
      </c>
      <c r="DN46">
        <v>5.6801450252532956E-2</v>
      </c>
      <c r="DO46">
        <v>2332916300</v>
      </c>
      <c r="DP46">
        <v>1745034700</v>
      </c>
      <c r="DQ46">
        <v>1663</v>
      </c>
      <c r="DR46">
        <v>-3.4919612178134704E-2</v>
      </c>
      <c r="DS46">
        <v>0.38814341866758978</v>
      </c>
      <c r="DT46" s="10">
        <v>-0.25666666666666665</v>
      </c>
      <c r="DU46">
        <v>0.6366666666666666</v>
      </c>
      <c r="DV46">
        <v>0.37999999999999995</v>
      </c>
      <c r="DW46">
        <v>-8.2809773123909256</v>
      </c>
      <c r="DX46">
        <v>0.31368764934149429</v>
      </c>
      <c r="DY46">
        <v>-8.0403729695357438</v>
      </c>
      <c r="DZ46">
        <v>905</v>
      </c>
      <c r="EA46">
        <v>-8.0332227665162037</v>
      </c>
      <c r="EB46">
        <v>8</v>
      </c>
      <c r="EC46">
        <v>3.025915937899187E-2</v>
      </c>
      <c r="ED46">
        <v>0.21058985298078578</v>
      </c>
      <c r="EE46" s="11">
        <v>1.0537099999999999</v>
      </c>
      <c r="EF46">
        <v>1.07321</v>
      </c>
      <c r="EG46">
        <v>17.143687649341494</v>
      </c>
      <c r="EH46" t="s">
        <v>1693</v>
      </c>
      <c r="EI46">
        <v>0</v>
      </c>
      <c r="EJ46">
        <v>1</v>
      </c>
      <c r="EK46" s="12">
        <v>45470</v>
      </c>
      <c r="EL46">
        <v>-1.19</v>
      </c>
      <c r="EM46">
        <v>-3.27</v>
      </c>
      <c r="EN46">
        <v>-0.28999999999999998</v>
      </c>
      <c r="EO46">
        <v>2.21</v>
      </c>
      <c r="EP46">
        <v>-1.95</v>
      </c>
    </row>
    <row r="47" spans="1:146" ht="96" x14ac:dyDescent="0.25">
      <c r="C47" s="6" t="str">
        <f>""&amp;CHAR(10)&amp;Basic_Fundamental_Information_Constructure(F47)&amp;CHAR(10)&amp;Basic_Fundamental_Information_Concatenate("")</f>
        <v xml:space="preserve">
市值32.32299亿, 利润-3.45亿; PE; 平均PE42.37; 平均PEG64.1, PB2.1; ROIC6.68%; ROE7.1167%; 股利率0%; 毛利28.7667%; 净利-1.9167%; 上一年度营收增1.87%, 利润增-344.68%; 当季营收增33.74%, 利润增40.64%; 过往5年营收增.66%, 利润增-48.04%
Income profile:
</v>
      </c>
      <c r="D47" t="s">
        <v>719</v>
      </c>
      <c r="E47" t="s">
        <v>720</v>
      </c>
      <c r="F47">
        <v>7.5</v>
      </c>
      <c r="G47">
        <v>0.67</v>
      </c>
      <c r="H47" t="s">
        <v>3838</v>
      </c>
      <c r="I47">
        <v>3232299000</v>
      </c>
      <c r="K47">
        <v>2.1</v>
      </c>
      <c r="L47" t="s">
        <v>428</v>
      </c>
      <c r="M47" t="s">
        <v>105</v>
      </c>
      <c r="N47" t="s">
        <v>3839</v>
      </c>
      <c r="O47" t="s">
        <v>267</v>
      </c>
      <c r="P47">
        <v>33.479999999999997</v>
      </c>
      <c r="Q47" t="s">
        <v>2588</v>
      </c>
      <c r="R47">
        <v>52666311</v>
      </c>
      <c r="S47" s="4">
        <v>0.40639999999999998</v>
      </c>
      <c r="T47" t="s">
        <v>2589</v>
      </c>
      <c r="U47">
        <v>423819530</v>
      </c>
      <c r="V47">
        <v>430973210</v>
      </c>
      <c r="W47">
        <v>1.28</v>
      </c>
      <c r="X47">
        <v>0.16</v>
      </c>
      <c r="Y47">
        <v>16.21</v>
      </c>
      <c r="Z47" t="s">
        <v>36</v>
      </c>
      <c r="AA47" t="s">
        <v>146</v>
      </c>
      <c r="AB47" t="s">
        <v>3840</v>
      </c>
      <c r="AC47" t="s">
        <v>3841</v>
      </c>
      <c r="AD47" t="s">
        <v>5</v>
      </c>
      <c r="AE47">
        <v>-5591426</v>
      </c>
      <c r="AF47" t="s">
        <v>2590</v>
      </c>
      <c r="AG47" t="s">
        <v>3842</v>
      </c>
      <c r="AH47" t="s">
        <v>2591</v>
      </c>
      <c r="AI47" t="s">
        <v>94</v>
      </c>
      <c r="AJ47" t="s">
        <v>2592</v>
      </c>
      <c r="AK47" t="s">
        <v>3843</v>
      </c>
      <c r="AL47" t="s">
        <v>2593</v>
      </c>
      <c r="AM47" t="s">
        <v>5</v>
      </c>
      <c r="AN47" t="s">
        <v>94</v>
      </c>
      <c r="AO47" t="s">
        <v>3844</v>
      </c>
      <c r="AP47" t="s">
        <v>158</v>
      </c>
      <c r="AQ47" t="s">
        <v>165</v>
      </c>
      <c r="AR47" t="s">
        <v>5</v>
      </c>
      <c r="AS47" t="s">
        <v>446</v>
      </c>
      <c r="AT47" t="s">
        <v>5</v>
      </c>
      <c r="AU47" t="s">
        <v>3845</v>
      </c>
      <c r="AV47" t="s">
        <v>3846</v>
      </c>
      <c r="AW47" t="s">
        <v>3847</v>
      </c>
      <c r="AX47" t="s">
        <v>658</v>
      </c>
      <c r="AY47" t="s">
        <v>596</v>
      </c>
      <c r="AZ47" t="s">
        <v>379</v>
      </c>
      <c r="BA47" t="s">
        <v>379</v>
      </c>
      <c r="BB47" t="s">
        <v>658</v>
      </c>
      <c r="BC47" t="s">
        <v>190</v>
      </c>
      <c r="BD47" t="s">
        <v>158</v>
      </c>
      <c r="BE47" t="s">
        <v>1221</v>
      </c>
      <c r="BF47" t="s">
        <v>187</v>
      </c>
      <c r="BG47" t="s">
        <v>722</v>
      </c>
      <c r="BH47" t="s">
        <v>2588</v>
      </c>
      <c r="BI47" t="s">
        <v>150</v>
      </c>
      <c r="BJ47" t="s">
        <v>658</v>
      </c>
      <c r="BK47" t="s">
        <v>2589</v>
      </c>
      <c r="BL47" t="s">
        <v>2594</v>
      </c>
      <c r="BM47" t="s">
        <v>190</v>
      </c>
      <c r="BN47">
        <v>4.29</v>
      </c>
      <c r="BO47">
        <v>7.14</v>
      </c>
      <c r="BP47">
        <v>8.61</v>
      </c>
      <c r="BQ47">
        <v>5.05</v>
      </c>
      <c r="BR47">
        <v>7.5</v>
      </c>
      <c r="BS47">
        <v>8.8000000000000007</v>
      </c>
      <c r="BT47" t="s">
        <v>1670</v>
      </c>
      <c r="BU47" t="s">
        <v>1519</v>
      </c>
      <c r="BV47">
        <v>27.79</v>
      </c>
      <c r="BW47">
        <v>31.27</v>
      </c>
      <c r="BX47">
        <v>27.24</v>
      </c>
      <c r="BY47">
        <v>-33.799999999999997</v>
      </c>
      <c r="BZ47">
        <v>13.57</v>
      </c>
      <c r="CA47">
        <v>14.48</v>
      </c>
      <c r="CB47">
        <v>-3.6</v>
      </c>
      <c r="CC47">
        <v>1.08</v>
      </c>
      <c r="CD47" t="s">
        <v>3848</v>
      </c>
      <c r="CE47" t="s">
        <v>2096</v>
      </c>
      <c r="CF47" s="8">
        <v>0.33744855967078174</v>
      </c>
      <c r="CG47" s="9">
        <v>0.40637012529240235</v>
      </c>
      <c r="CH47" s="8">
        <v>1.8700787797570229E-2</v>
      </c>
      <c r="CI47" s="8">
        <v>-7.6363638043403625E-2</v>
      </c>
      <c r="CJ47" s="8">
        <v>0.1458333283662796</v>
      </c>
      <c r="CK47" s="8">
        <v>0</v>
      </c>
      <c r="CL47" s="8">
        <v>-5.5118110030889511E-2</v>
      </c>
      <c r="CM47" s="9">
        <v>-3.4468085765838623</v>
      </c>
      <c r="CN47" s="9">
        <v>-0.11320754885673523</v>
      </c>
      <c r="CO47" s="9">
        <v>-0.31759655475616455</v>
      </c>
      <c r="CP47" s="9">
        <v>0.25268816947937012</v>
      </c>
      <c r="CQ47" s="9">
        <v>1.2227214574813843</v>
      </c>
      <c r="CR47">
        <v>42.374023665381053</v>
      </c>
      <c r="CS47">
        <v>64.101342981790239</v>
      </c>
      <c r="CT47">
        <v>0</v>
      </c>
      <c r="CU47" s="8">
        <v>6.6104736179113388E-3</v>
      </c>
      <c r="CV47" s="9">
        <v>-0.48044061064720156</v>
      </c>
      <c r="CW47">
        <v>0.06</v>
      </c>
      <c r="CX47" t="e">
        <v>#VALUE!</v>
      </c>
      <c r="CY47" t="s">
        <v>1179</v>
      </c>
      <c r="CZ47">
        <v>6.6104736179113388E-3</v>
      </c>
      <c r="DA47" t="e">
        <v>#VALUE!</v>
      </c>
      <c r="DB47" t="s">
        <v>1179</v>
      </c>
      <c r="DC47">
        <v>6.2799499370157713E-3</v>
      </c>
      <c r="DD47" t="e">
        <v>#VALUE!</v>
      </c>
      <c r="DE47" t="s">
        <v>1179</v>
      </c>
      <c r="DF47">
        <v>5.8172167837619781E-3</v>
      </c>
      <c r="DG47" t="e">
        <v>#VALUE!</v>
      </c>
      <c r="DH47" t="s">
        <v>1179</v>
      </c>
      <c r="DI47">
        <v>5.2883788943290716E-3</v>
      </c>
      <c r="DJ47" t="e">
        <v>#VALUE!</v>
      </c>
      <c r="DK47" t="s">
        <v>1179</v>
      </c>
      <c r="DL47">
        <v>4.6273315325379366E-3</v>
      </c>
      <c r="DM47">
        <v>-345000000</v>
      </c>
      <c r="DN47">
        <v>6.6104736179113388E-3</v>
      </c>
      <c r="DO47">
        <v>2188299000</v>
      </c>
      <c r="DP47">
        <v>364341080.00000006</v>
      </c>
      <c r="DQ47">
        <v>1687</v>
      </c>
      <c r="DR47">
        <v>0.33083808605287041</v>
      </c>
      <c r="DS47">
        <v>0.88681073593960391</v>
      </c>
      <c r="DT47" s="10">
        <v>-0.44</v>
      </c>
      <c r="DU47">
        <v>-0.34666666666666673</v>
      </c>
      <c r="DV47">
        <v>-0.78666666666666674</v>
      </c>
      <c r="DW47">
        <v>-4.3</v>
      </c>
      <c r="DX47">
        <v>0.24676563517915212</v>
      </c>
      <c r="DY47">
        <v>-4.0200296905537458</v>
      </c>
      <c r="DZ47">
        <v>3319</v>
      </c>
      <c r="EA47">
        <v>-4.007020190955334</v>
      </c>
      <c r="EB47">
        <v>4</v>
      </c>
      <c r="EC47">
        <v>9.5119833550674757E-2</v>
      </c>
      <c r="ED47">
        <v>1.4246825226097</v>
      </c>
      <c r="EE47" s="11">
        <v>3.0112000000000001</v>
      </c>
      <c r="EF47">
        <v>3.03701</v>
      </c>
      <c r="EG47">
        <v>18.066765635179152</v>
      </c>
      <c r="EH47" t="s">
        <v>2159</v>
      </c>
      <c r="EI47">
        <v>0</v>
      </c>
      <c r="EJ47">
        <v>0</v>
      </c>
      <c r="EK47" s="12">
        <v>45470</v>
      </c>
      <c r="EL47">
        <v>-6.27</v>
      </c>
      <c r="EM47">
        <v>-5.96</v>
      </c>
      <c r="EN47">
        <v>-0.91</v>
      </c>
      <c r="EO47">
        <v>3</v>
      </c>
      <c r="EP47">
        <v>-4.82</v>
      </c>
    </row>
    <row r="48" spans="1:146" ht="96" x14ac:dyDescent="0.25">
      <c r="C48" s="6" t="str">
        <f>""&amp;CHAR(10)&amp;Basic_Fundamental_Information_Constructure(F48)&amp;CHAR(10)&amp;Basic_Fundamental_Information_Concatenate("")</f>
        <v xml:space="preserve">
市值24.93328亿, 利润8463.27万; PE42.85; 平均PE15.61; 平均PEG1.27, PB.979; ROIC6.4533%; ROE6.7233%; 股利率.7477%; 毛利12.0033%; 净利5.7667%; 上一年度营收增-8.04%, 利润增-56.82%; 当季营收增4.12%, 利润增-149.15%; 过往5年营收增12.32%, 利润增5.45%
Income profile:
</v>
      </c>
      <c r="D48" t="s">
        <v>1547</v>
      </c>
      <c r="E48" t="s">
        <v>1548</v>
      </c>
      <c r="F48">
        <v>5.35</v>
      </c>
      <c r="G48">
        <v>2.29</v>
      </c>
      <c r="H48" t="s">
        <v>3849</v>
      </c>
      <c r="I48">
        <v>2493328000</v>
      </c>
      <c r="J48">
        <v>42.85</v>
      </c>
      <c r="K48">
        <v>0.97899999999999998</v>
      </c>
      <c r="L48" t="s">
        <v>428</v>
      </c>
      <c r="M48" t="s">
        <v>568</v>
      </c>
      <c r="N48" t="s">
        <v>3850</v>
      </c>
      <c r="O48" t="s">
        <v>279</v>
      </c>
      <c r="P48">
        <v>4.03</v>
      </c>
      <c r="Q48" t="s">
        <v>2149</v>
      </c>
      <c r="R48">
        <v>-8713724</v>
      </c>
      <c r="S48" s="4">
        <v>-1.492</v>
      </c>
      <c r="T48" t="s">
        <v>2595</v>
      </c>
      <c r="U48">
        <v>403563840</v>
      </c>
      <c r="V48">
        <v>466042610</v>
      </c>
      <c r="W48">
        <v>1.71</v>
      </c>
      <c r="X48">
        <v>0.15</v>
      </c>
      <c r="Y48">
        <v>-1.36</v>
      </c>
      <c r="Z48" t="s">
        <v>1226</v>
      </c>
      <c r="AA48" t="s">
        <v>202</v>
      </c>
      <c r="AB48" t="s">
        <v>3851</v>
      </c>
      <c r="AC48" t="s">
        <v>3852</v>
      </c>
      <c r="AD48" t="s">
        <v>5</v>
      </c>
      <c r="AE48">
        <v>1681135</v>
      </c>
      <c r="AF48" t="s">
        <v>2596</v>
      </c>
      <c r="AG48" t="s">
        <v>3853</v>
      </c>
      <c r="AH48" t="s">
        <v>2597</v>
      </c>
      <c r="AI48" t="s">
        <v>3854</v>
      </c>
      <c r="AJ48" t="s">
        <v>2598</v>
      </c>
      <c r="AK48" t="s">
        <v>540</v>
      </c>
      <c r="AL48" t="s">
        <v>2599</v>
      </c>
      <c r="AM48" t="s">
        <v>5</v>
      </c>
      <c r="AN48" t="s">
        <v>1638</v>
      </c>
      <c r="AO48" t="s">
        <v>366</v>
      </c>
      <c r="AP48" t="s">
        <v>2600</v>
      </c>
      <c r="AQ48" t="s">
        <v>180</v>
      </c>
      <c r="AR48" t="s">
        <v>5</v>
      </c>
      <c r="AS48" t="s">
        <v>3141</v>
      </c>
      <c r="AT48" t="s">
        <v>128</v>
      </c>
      <c r="AU48" t="s">
        <v>3855</v>
      </c>
      <c r="AV48" t="s">
        <v>3856</v>
      </c>
      <c r="AW48" t="s">
        <v>2031</v>
      </c>
      <c r="AX48" t="s">
        <v>1794</v>
      </c>
      <c r="AY48" t="s">
        <v>1549</v>
      </c>
      <c r="AZ48" t="s">
        <v>1251</v>
      </c>
      <c r="BA48" t="s">
        <v>1550</v>
      </c>
      <c r="BB48" t="s">
        <v>758</v>
      </c>
      <c r="BC48" t="s">
        <v>67</v>
      </c>
      <c r="BD48" t="s">
        <v>33</v>
      </c>
      <c r="BE48" t="s">
        <v>1209</v>
      </c>
      <c r="BF48" t="s">
        <v>65</v>
      </c>
      <c r="BG48" t="s">
        <v>130</v>
      </c>
      <c r="BH48" t="s">
        <v>2149</v>
      </c>
      <c r="BI48" t="s">
        <v>871</v>
      </c>
      <c r="BJ48" t="s">
        <v>1794</v>
      </c>
      <c r="BK48" t="s">
        <v>2595</v>
      </c>
      <c r="BL48" t="s">
        <v>2602</v>
      </c>
      <c r="BM48" t="s">
        <v>67</v>
      </c>
      <c r="BN48">
        <v>2.82</v>
      </c>
      <c r="BO48">
        <v>7.8</v>
      </c>
      <c r="BP48">
        <v>8.74</v>
      </c>
      <c r="BQ48">
        <v>3.21</v>
      </c>
      <c r="BR48">
        <v>8.0399999999999991</v>
      </c>
      <c r="BS48">
        <v>8.92</v>
      </c>
      <c r="BT48" t="s">
        <v>1723</v>
      </c>
      <c r="BU48" t="s">
        <v>1516</v>
      </c>
      <c r="BV48">
        <v>9.09</v>
      </c>
      <c r="BW48">
        <v>13.38</v>
      </c>
      <c r="BX48">
        <v>13.54</v>
      </c>
      <c r="BY48">
        <v>3.32</v>
      </c>
      <c r="BZ48">
        <v>7.12</v>
      </c>
      <c r="CA48">
        <v>6.86</v>
      </c>
      <c r="CB48">
        <v>-0.74</v>
      </c>
      <c r="CC48">
        <v>-1.29</v>
      </c>
      <c r="CD48" t="s">
        <v>3857</v>
      </c>
      <c r="CE48" t="s">
        <v>242</v>
      </c>
      <c r="CF48" s="8">
        <v>4.1166380789022301E-2</v>
      </c>
      <c r="CG48" s="9">
        <v>-1.491528785297668</v>
      </c>
      <c r="CH48" s="8">
        <v>-8.0434828996658325E-2</v>
      </c>
      <c r="CI48" s="8">
        <v>-4.6880403533577919E-3</v>
      </c>
      <c r="CJ48" s="8">
        <v>0.21890103816986084</v>
      </c>
      <c r="CK48" s="8">
        <v>-5.9917330741882324E-2</v>
      </c>
      <c r="CL48" s="8">
        <v>0.54238373041152954</v>
      </c>
      <c r="CM48" s="9">
        <v>-0.56820046901702881</v>
      </c>
      <c r="CN48" s="9">
        <v>3.1578946858644485E-2</v>
      </c>
      <c r="CO48" s="9">
        <v>-8.2125604152679443E-2</v>
      </c>
      <c r="CP48" s="9">
        <v>0.16292135417461395</v>
      </c>
      <c r="CQ48" s="9">
        <v>0.72815531492233276</v>
      </c>
      <c r="CR48">
        <v>15.605526496227387</v>
      </c>
      <c r="CS48">
        <v>1.2661796382626851</v>
      </c>
      <c r="CT48">
        <v>0.74766355140186924</v>
      </c>
      <c r="CU48" s="8">
        <v>0.12324891369789839</v>
      </c>
      <c r="CV48" s="9">
        <v>5.446590855717659E-2</v>
      </c>
      <c r="CW48">
        <v>0.06</v>
      </c>
      <c r="CX48">
        <v>14.320810983433333</v>
      </c>
      <c r="CY48">
        <v>89682630.507849187</v>
      </c>
      <c r="CZ48">
        <v>0.12324891369789839</v>
      </c>
      <c r="DA48">
        <v>4.550471672913492</v>
      </c>
      <c r="DB48">
        <v>282240631.81074464</v>
      </c>
      <c r="DC48">
        <v>0.11708646801300347</v>
      </c>
      <c r="DD48">
        <v>2.1566190769631022</v>
      </c>
      <c r="DE48">
        <v>595528442.51408505</v>
      </c>
      <c r="DF48">
        <v>0.10845904405415059</v>
      </c>
      <c r="DG48">
        <v>1.2399803996231067</v>
      </c>
      <c r="DH48">
        <v>1035764759.1771393</v>
      </c>
      <c r="DI48">
        <v>9.8599130958318723E-2</v>
      </c>
      <c r="DJ48">
        <v>0.58094486669250833</v>
      </c>
      <c r="DK48">
        <v>2210757119.3666978</v>
      </c>
      <c r="DL48">
        <v>8.6274239588528867E-2</v>
      </c>
      <c r="DM48">
        <v>84632700</v>
      </c>
      <c r="DN48">
        <v>0.12324891369789839</v>
      </c>
      <c r="DO48">
        <v>1284328000</v>
      </c>
      <c r="DP48">
        <v>80911360</v>
      </c>
      <c r="DQ48">
        <v>1700</v>
      </c>
      <c r="DR48">
        <v>-8.2082532908876099E-2</v>
      </c>
      <c r="DS48">
        <v>-1.5459946938548446</v>
      </c>
      <c r="DT48" s="10">
        <v>-0.20666666666666669</v>
      </c>
      <c r="DU48">
        <v>-0.74833333333333341</v>
      </c>
      <c r="DV48">
        <v>-0.95500000000000007</v>
      </c>
      <c r="DW48">
        <v>-1.29E-2</v>
      </c>
      <c r="DX48">
        <v>0.20320182926829256</v>
      </c>
      <c r="DY48">
        <v>-8.1530359756097561E-4</v>
      </c>
      <c r="DZ48">
        <v>3516</v>
      </c>
      <c r="EA48">
        <v>-2.5432366624504799E-4</v>
      </c>
      <c r="EB48">
        <v>0</v>
      </c>
      <c r="EC48">
        <v>4.4481340450822728E-2</v>
      </c>
      <c r="ED48">
        <v>0.70379830719770453</v>
      </c>
      <c r="EE48" s="11">
        <v>0.10751000000000001</v>
      </c>
      <c r="EF48">
        <v>0.10561</v>
      </c>
      <c r="EG48">
        <v>14.063201829268293</v>
      </c>
      <c r="EH48">
        <v>-1</v>
      </c>
      <c r="EI48">
        <v>0</v>
      </c>
      <c r="EJ48">
        <v>0</v>
      </c>
      <c r="EK48" s="12">
        <v>45470</v>
      </c>
      <c r="EL48">
        <v>-4.22</v>
      </c>
      <c r="EM48">
        <v>-6.88</v>
      </c>
      <c r="EN48">
        <v>-1.89</v>
      </c>
      <c r="EO48">
        <v>3.86</v>
      </c>
      <c r="EP48">
        <v>0.19</v>
      </c>
    </row>
    <row r="49" spans="1:146" ht="96" x14ac:dyDescent="0.25">
      <c r="C49" s="6" t="str">
        <f>""&amp;CHAR(10)&amp;Basic_Fundamental_Information_Constructure(F49)&amp;CHAR(10)&amp;Basic_Fundamental_Information_Concatenate("")</f>
        <v xml:space="preserve">
市值23.248507亿, 利润1433.32万; PE113.8; 平均PE-198.63; 平均PEG-259.96, PB2.81; ROIC.92%; ROE-7.79%; 股利率0%; 毛利16.0333%; 净利-9.53%; 上一年度营收增16.11%, 利润增113.52%; 当季营收增-1.25%, 利润增176.2%; 过往5年营收增-.76%, 利润增54.31%
Income profile:
</v>
      </c>
      <c r="D49" t="s">
        <v>723</v>
      </c>
      <c r="E49" t="s">
        <v>724</v>
      </c>
      <c r="F49">
        <v>4.8899999999999997</v>
      </c>
      <c r="G49">
        <v>1.03</v>
      </c>
      <c r="H49" t="s">
        <v>3858</v>
      </c>
      <c r="I49">
        <v>2324850700</v>
      </c>
      <c r="J49">
        <v>113.8</v>
      </c>
      <c r="K49">
        <v>2.81</v>
      </c>
      <c r="L49" t="s">
        <v>428</v>
      </c>
      <c r="M49" t="s">
        <v>388</v>
      </c>
      <c r="N49" t="s">
        <v>2066</v>
      </c>
      <c r="O49" t="s">
        <v>76</v>
      </c>
      <c r="P49">
        <v>-0.86</v>
      </c>
      <c r="Q49" t="s">
        <v>2603</v>
      </c>
      <c r="R49">
        <v>2634559</v>
      </c>
      <c r="S49" s="4">
        <v>1.762</v>
      </c>
      <c r="T49" t="s">
        <v>2604</v>
      </c>
      <c r="U49">
        <v>475057090</v>
      </c>
      <c r="V49">
        <v>475429590</v>
      </c>
      <c r="W49">
        <v>1.52</v>
      </c>
      <c r="X49">
        <v>0.12</v>
      </c>
      <c r="Y49">
        <v>1.27</v>
      </c>
      <c r="Z49" t="s">
        <v>53</v>
      </c>
      <c r="AA49" t="s">
        <v>59</v>
      </c>
      <c r="AB49" t="s">
        <v>3859</v>
      </c>
      <c r="AC49" t="s">
        <v>3860</v>
      </c>
      <c r="AD49" t="s">
        <v>5</v>
      </c>
      <c r="AE49">
        <v>1258589</v>
      </c>
      <c r="AF49" t="s">
        <v>2605</v>
      </c>
      <c r="AG49">
        <v>569.61</v>
      </c>
      <c r="AH49" t="s">
        <v>2606</v>
      </c>
      <c r="AI49" t="s">
        <v>66</v>
      </c>
      <c r="AJ49" t="s">
        <v>2607</v>
      </c>
      <c r="AK49" t="s">
        <v>173</v>
      </c>
      <c r="AL49" t="s">
        <v>2608</v>
      </c>
      <c r="AM49" t="s">
        <v>5</v>
      </c>
      <c r="AN49" t="s">
        <v>3861</v>
      </c>
      <c r="AO49" t="s">
        <v>190</v>
      </c>
      <c r="AP49" t="s">
        <v>42</v>
      </c>
      <c r="AQ49" t="s">
        <v>3862</v>
      </c>
      <c r="AR49" t="s">
        <v>5</v>
      </c>
      <c r="AS49" t="s">
        <v>298</v>
      </c>
      <c r="AT49" t="s">
        <v>5</v>
      </c>
      <c r="AU49" t="s">
        <v>3863</v>
      </c>
      <c r="AV49" t="s">
        <v>3864</v>
      </c>
      <c r="AW49" t="s">
        <v>3865</v>
      </c>
      <c r="AX49" t="s">
        <v>1227</v>
      </c>
      <c r="AY49" t="s">
        <v>583</v>
      </c>
      <c r="AZ49" t="s">
        <v>725</v>
      </c>
      <c r="BA49" t="s">
        <v>214</v>
      </c>
      <c r="BB49" t="s">
        <v>603</v>
      </c>
      <c r="BC49" t="s">
        <v>1795</v>
      </c>
      <c r="BD49" t="s">
        <v>1312</v>
      </c>
      <c r="BE49" t="s">
        <v>1313</v>
      </c>
      <c r="BF49" t="s">
        <v>726</v>
      </c>
      <c r="BG49" t="s">
        <v>727</v>
      </c>
      <c r="BH49" t="s">
        <v>2603</v>
      </c>
      <c r="BI49" t="s">
        <v>389</v>
      </c>
      <c r="BJ49" t="s">
        <v>1227</v>
      </c>
      <c r="BK49" t="s">
        <v>2604</v>
      </c>
      <c r="BL49" t="s">
        <v>2609</v>
      </c>
      <c r="BM49" t="s">
        <v>1795</v>
      </c>
      <c r="BN49">
        <v>0.92</v>
      </c>
      <c r="BO49" t="s">
        <v>5</v>
      </c>
      <c r="BP49" t="s">
        <v>5</v>
      </c>
      <c r="BQ49">
        <v>0.8</v>
      </c>
      <c r="BR49">
        <v>-12.61</v>
      </c>
      <c r="BS49">
        <v>-11.56</v>
      </c>
      <c r="BT49" t="s">
        <v>1670</v>
      </c>
      <c r="BU49" t="s">
        <v>1515</v>
      </c>
      <c r="BV49">
        <v>26.47</v>
      </c>
      <c r="BW49">
        <v>12.78</v>
      </c>
      <c r="BX49">
        <v>8.85</v>
      </c>
      <c r="BY49">
        <v>2.02</v>
      </c>
      <c r="BZ49">
        <v>-16.75</v>
      </c>
      <c r="CA49">
        <v>-13.86</v>
      </c>
      <c r="CB49">
        <v>-0.41</v>
      </c>
      <c r="CC49">
        <v>-10.44</v>
      </c>
      <c r="CD49" t="s">
        <v>3866</v>
      </c>
      <c r="CE49" t="s">
        <v>233</v>
      </c>
      <c r="CF49" s="8">
        <v>-1.2500000000000001E-2</v>
      </c>
      <c r="CG49" s="9">
        <v>1.7620058425406375</v>
      </c>
      <c r="CH49" s="8">
        <v>0.16113744676113129</v>
      </c>
      <c r="CI49" s="8">
        <v>-0.26223775744438171</v>
      </c>
      <c r="CJ49" s="8">
        <v>-3.0508475378155708E-2</v>
      </c>
      <c r="CK49" s="8">
        <v>8.7223589420318604E-2</v>
      </c>
      <c r="CL49" s="8">
        <v>6.1804698780179024E-3</v>
      </c>
      <c r="CM49" s="9">
        <v>1.1352188587188721</v>
      </c>
      <c r="CN49" s="9">
        <v>4.5045044273138046E-2</v>
      </c>
      <c r="CO49" s="9">
        <v>-2.2159626483917236</v>
      </c>
      <c r="CP49" s="9">
        <v>2.0346832275390625</v>
      </c>
      <c r="CQ49" s="9">
        <v>1.7162954807281494</v>
      </c>
      <c r="CR49">
        <v>-198.63133792137111</v>
      </c>
      <c r="CS49">
        <v>-259.95649589801138</v>
      </c>
      <c r="CT49">
        <v>0</v>
      </c>
      <c r="CU49" s="8">
        <v>-7.6409453526139256E-3</v>
      </c>
      <c r="CV49" s="9">
        <v>0.54305599257349968</v>
      </c>
      <c r="CW49">
        <v>0.06</v>
      </c>
      <c r="CX49">
        <v>134.85130326793737</v>
      </c>
      <c r="CY49" t="s">
        <v>2610</v>
      </c>
      <c r="CZ49">
        <v>-7.6409453526139256E-3</v>
      </c>
      <c r="DA49">
        <v>44.950434422645792</v>
      </c>
      <c r="DB49" t="s">
        <v>2611</v>
      </c>
      <c r="DC49">
        <v>-7.2588980849832294E-3</v>
      </c>
      <c r="DD49">
        <v>22.475217211322896</v>
      </c>
      <c r="DE49" t="s">
        <v>2612</v>
      </c>
      <c r="DF49">
        <v>-6.7240319103002546E-3</v>
      </c>
      <c r="DG49">
        <v>13.485130326793737</v>
      </c>
      <c r="DH49" t="s">
        <v>2613</v>
      </c>
      <c r="DI49">
        <v>-6.1127562820911408E-3</v>
      </c>
      <c r="DJ49">
        <v>6.7425651633968684</v>
      </c>
      <c r="DK49" t="s">
        <v>2614</v>
      </c>
      <c r="DL49">
        <v>-5.3486617468297476E-3</v>
      </c>
      <c r="DM49">
        <v>14333200</v>
      </c>
      <c r="DN49">
        <v>-7.6409453526139256E-3</v>
      </c>
      <c r="DO49">
        <v>1932850700</v>
      </c>
      <c r="DP49">
        <v>506834400</v>
      </c>
      <c r="DQ49">
        <v>1710</v>
      </c>
      <c r="DR49">
        <v>-4.8590546473860751E-3</v>
      </c>
      <c r="DS49">
        <v>1.2189498499671378</v>
      </c>
      <c r="DT49" s="10">
        <v>-0.42333333333333334</v>
      </c>
      <c r="DU49">
        <v>2.6666666666666578E-2</v>
      </c>
      <c r="DV49">
        <v>-0.39666666666666678</v>
      </c>
      <c r="DW49">
        <v>-2.1044</v>
      </c>
      <c r="DX49">
        <v>0.29486205533596915</v>
      </c>
      <c r="DY49">
        <v>-2.0119915985770751</v>
      </c>
      <c r="DZ49">
        <v>2675</v>
      </c>
      <c r="EA49">
        <v>-2.0057141961908371</v>
      </c>
      <c r="EB49">
        <v>2</v>
      </c>
      <c r="EC49">
        <v>6.1123877459962062E-2</v>
      </c>
      <c r="ED49">
        <v>0.53215030221404602</v>
      </c>
      <c r="EE49" s="11">
        <v>-2.0005099999999998</v>
      </c>
      <c r="EF49">
        <v>-2.0352100000000002</v>
      </c>
      <c r="EG49">
        <v>18.114862055335969</v>
      </c>
      <c r="EH49" t="s">
        <v>1710</v>
      </c>
      <c r="EI49">
        <v>0</v>
      </c>
      <c r="EJ49">
        <v>0</v>
      </c>
      <c r="EK49" s="12">
        <v>45470</v>
      </c>
      <c r="EL49">
        <v>-1.37</v>
      </c>
      <c r="EM49">
        <v>-3.58</v>
      </c>
      <c r="EN49">
        <v>7.63</v>
      </c>
      <c r="EO49">
        <v>-0.77</v>
      </c>
      <c r="EP49">
        <v>-3.47</v>
      </c>
    </row>
    <row r="50" spans="1:146" ht="96" x14ac:dyDescent="0.25">
      <c r="C50" s="6" t="str">
        <f>""&amp;CHAR(10)&amp;Basic_Fundamental_Information_Constructure(F50)&amp;CHAR(10)&amp;Basic_Fundamental_Information_Concatenate("")</f>
        <v xml:space="preserve">
市值50.88293亿, 利润1271.52万; PE; 平均PE-11.89; 平均PEG-.7, PB2.73; ROIC18.8467%; ROE29.12%; 股利率0%; 毛利38.3133%; 净利18.2067%; 上一年度营收增-49.78%, 利润增-98.04%; 当季营收增-38.1%, 利润增-265.77%; 过往5年营收增-16.94%, 利润增115.04%
Income profile:
</v>
      </c>
      <c r="D50" t="s">
        <v>728</v>
      </c>
      <c r="E50" t="s">
        <v>729</v>
      </c>
      <c r="F50">
        <v>4.76</v>
      </c>
      <c r="G50">
        <v>1.06</v>
      </c>
      <c r="H50" t="s">
        <v>3867</v>
      </c>
      <c r="I50">
        <v>5088293000</v>
      </c>
      <c r="K50">
        <v>2.73</v>
      </c>
      <c r="L50" t="s">
        <v>428</v>
      </c>
      <c r="M50" t="s">
        <v>1880</v>
      </c>
      <c r="N50" t="s">
        <v>3868</v>
      </c>
      <c r="O50" t="s">
        <v>39</v>
      </c>
      <c r="P50">
        <v>-38.130000000000003</v>
      </c>
      <c r="Q50" t="s">
        <v>2617</v>
      </c>
      <c r="R50">
        <v>-15554394</v>
      </c>
      <c r="S50" s="5">
        <v>-2.6579999999999999</v>
      </c>
      <c r="T50" t="s">
        <v>2618</v>
      </c>
      <c r="U50">
        <v>1066219390</v>
      </c>
      <c r="V50">
        <v>1068969120</v>
      </c>
      <c r="W50">
        <v>1.41</v>
      </c>
      <c r="X50">
        <v>0.05</v>
      </c>
      <c r="Y50">
        <v>-10.81</v>
      </c>
      <c r="Z50" t="s">
        <v>157</v>
      </c>
      <c r="AA50" t="s">
        <v>50</v>
      </c>
      <c r="AB50" t="s">
        <v>3869</v>
      </c>
      <c r="AC50" t="s">
        <v>3870</v>
      </c>
      <c r="AD50" t="s">
        <v>5</v>
      </c>
      <c r="AE50">
        <v>-759454</v>
      </c>
      <c r="AF50" t="s">
        <v>2620</v>
      </c>
      <c r="AG50" t="s">
        <v>3871</v>
      </c>
      <c r="AH50" t="s">
        <v>2621</v>
      </c>
      <c r="AI50" t="s">
        <v>797</v>
      </c>
      <c r="AJ50" t="s">
        <v>2622</v>
      </c>
      <c r="AK50" t="s">
        <v>134</v>
      </c>
      <c r="AL50" t="s">
        <v>2623</v>
      </c>
      <c r="AM50" t="s">
        <v>5</v>
      </c>
      <c r="AN50" t="s">
        <v>308</v>
      </c>
      <c r="AO50" t="s">
        <v>389</v>
      </c>
      <c r="AP50" t="s">
        <v>580</v>
      </c>
      <c r="AQ50" t="s">
        <v>188</v>
      </c>
      <c r="AR50" t="s">
        <v>5</v>
      </c>
      <c r="AS50" t="s">
        <v>709</v>
      </c>
      <c r="AT50" t="s">
        <v>3872</v>
      </c>
      <c r="AU50" t="s">
        <v>3873</v>
      </c>
      <c r="AV50" t="s">
        <v>3874</v>
      </c>
      <c r="AW50" t="s">
        <v>3875</v>
      </c>
      <c r="AX50" t="s">
        <v>1796</v>
      </c>
      <c r="AY50" t="s">
        <v>1125</v>
      </c>
      <c r="AZ50" t="s">
        <v>550</v>
      </c>
      <c r="BA50" t="s">
        <v>730</v>
      </c>
      <c r="BB50" t="s">
        <v>731</v>
      </c>
      <c r="BC50" t="s">
        <v>427</v>
      </c>
      <c r="BD50" t="s">
        <v>540</v>
      </c>
      <c r="BE50" t="s">
        <v>1318</v>
      </c>
      <c r="BF50" t="s">
        <v>732</v>
      </c>
      <c r="BG50" t="s">
        <v>733</v>
      </c>
      <c r="BH50" t="s">
        <v>2617</v>
      </c>
      <c r="BI50" t="s">
        <v>146</v>
      </c>
      <c r="BJ50" t="s">
        <v>1796</v>
      </c>
      <c r="BK50" t="s">
        <v>2618</v>
      </c>
      <c r="BL50" t="s">
        <v>2624</v>
      </c>
      <c r="BM50" t="s">
        <v>427</v>
      </c>
      <c r="BN50">
        <v>0.91</v>
      </c>
      <c r="BO50">
        <v>35.46</v>
      </c>
      <c r="BP50">
        <v>20.170000000000002</v>
      </c>
      <c r="BQ50">
        <v>1.7</v>
      </c>
      <c r="BR50">
        <v>55.99</v>
      </c>
      <c r="BS50">
        <v>29.67</v>
      </c>
      <c r="BT50" t="s">
        <v>1670</v>
      </c>
      <c r="BU50" t="s">
        <v>1522</v>
      </c>
      <c r="BV50">
        <v>15.96</v>
      </c>
      <c r="BW50">
        <v>59.44</v>
      </c>
      <c r="BX50">
        <v>39.54</v>
      </c>
      <c r="BY50">
        <v>1.1200000000000001</v>
      </c>
      <c r="BZ50">
        <v>35.21</v>
      </c>
      <c r="CA50">
        <v>18.29</v>
      </c>
      <c r="CB50">
        <v>0</v>
      </c>
      <c r="CC50">
        <v>-12.34</v>
      </c>
      <c r="CD50" t="s">
        <v>3876</v>
      </c>
      <c r="CE50" t="s">
        <v>3062</v>
      </c>
      <c r="CF50" s="8">
        <v>-0.38095238095238093</v>
      </c>
      <c r="CG50" s="9">
        <v>-2.6577384390753394</v>
      </c>
      <c r="CH50" s="8">
        <v>-0.49781873822212219</v>
      </c>
      <c r="CI50" s="8">
        <v>0.12425068020820618</v>
      </c>
      <c r="CJ50" s="8">
        <v>5.5811315774917603E-2</v>
      </c>
      <c r="CK50" s="8">
        <v>-0.50540691614151001</v>
      </c>
      <c r="CL50" s="8">
        <v>-2.361772395670414E-2</v>
      </c>
      <c r="CM50" s="9">
        <v>-0.98037779331207275</v>
      </c>
      <c r="CN50" s="9">
        <v>1.25</v>
      </c>
      <c r="CO50" s="9">
        <v>4.2958278656005859</v>
      </c>
      <c r="CP50" s="9">
        <v>0.94071698188781738</v>
      </c>
      <c r="CQ50" s="9">
        <v>0.24564994871616364</v>
      </c>
      <c r="CR50">
        <v>-11.894704730023516</v>
      </c>
      <c r="CS50">
        <v>-0.70234803091636144</v>
      </c>
      <c r="CT50">
        <v>0</v>
      </c>
      <c r="CU50" s="8">
        <v>-0.1693562764674425</v>
      </c>
      <c r="CV50" s="9">
        <v>1.1503634005784988</v>
      </c>
      <c r="CW50">
        <v>0.06</v>
      </c>
      <c r="CX50" t="e">
        <v>#VALUE!</v>
      </c>
      <c r="CY50" t="s">
        <v>1203</v>
      </c>
      <c r="CZ50">
        <v>-0.1693562764674425</v>
      </c>
      <c r="DA50">
        <v>103.82044062749046</v>
      </c>
      <c r="DB50" t="s">
        <v>2625</v>
      </c>
      <c r="DC50">
        <v>-0.16088846264407036</v>
      </c>
      <c r="DD50">
        <v>51.910220313745228</v>
      </c>
      <c r="DE50" t="s">
        <v>2626</v>
      </c>
      <c r="DF50">
        <v>-0.14903352329134939</v>
      </c>
      <c r="DG50">
        <v>31.146132188247137</v>
      </c>
      <c r="DH50" t="s">
        <v>2627</v>
      </c>
      <c r="DI50">
        <v>-0.135485021173954</v>
      </c>
      <c r="DJ50">
        <v>15.573066094123568</v>
      </c>
      <c r="DK50" t="s">
        <v>2628</v>
      </c>
      <c r="DL50">
        <v>-0.11854939352720974</v>
      </c>
      <c r="DM50">
        <v>12715200</v>
      </c>
      <c r="DN50">
        <v>-0.1693562764674425</v>
      </c>
      <c r="DO50">
        <v>3960293000</v>
      </c>
      <c r="DP50">
        <v>893120000</v>
      </c>
      <c r="DQ50">
        <v>1821</v>
      </c>
      <c r="DR50">
        <v>-0.21159610448493843</v>
      </c>
      <c r="DS50">
        <v>-3.8081018396538382</v>
      </c>
      <c r="DT50" s="10">
        <v>-0.72333333333333327</v>
      </c>
      <c r="DU50">
        <v>-1.0349999999999999</v>
      </c>
      <c r="DV50">
        <v>-1.7583333333333333</v>
      </c>
      <c r="DW50">
        <v>-2.1234000000000002</v>
      </c>
      <c r="DX50">
        <v>0.2785421610169484</v>
      </c>
      <c r="DY50">
        <v>-2.0170961026694916</v>
      </c>
      <c r="DZ50">
        <v>4222</v>
      </c>
      <c r="EA50">
        <v>-2.0029709078611564</v>
      </c>
      <c r="EB50">
        <v>2</v>
      </c>
      <c r="EC50">
        <v>6.1172861569658808E-2</v>
      </c>
      <c r="ED50">
        <v>0.44154689894129029</v>
      </c>
      <c r="EE50" s="11">
        <v>-1.03491</v>
      </c>
      <c r="EF50">
        <v>-1.06931</v>
      </c>
      <c r="EG50">
        <v>14.138542161016948</v>
      </c>
      <c r="EH50" t="s">
        <v>1691</v>
      </c>
      <c r="EI50">
        <v>0</v>
      </c>
      <c r="EJ50">
        <v>0</v>
      </c>
      <c r="EK50" s="12">
        <v>45470</v>
      </c>
      <c r="EL50">
        <v>-1.42</v>
      </c>
      <c r="EM50">
        <v>-3.09</v>
      </c>
      <c r="EN50">
        <v>3.4</v>
      </c>
      <c r="EO50">
        <v>1.65</v>
      </c>
      <c r="EP50">
        <v>-3.44</v>
      </c>
    </row>
    <row r="51" spans="1:146" ht="84" x14ac:dyDescent="0.25">
      <c r="C51" s="6" t="str">
        <f>""&amp;CHAR(10)&amp;Basic_Fundamental_Information_Constructure(F51)&amp;CHAR(10)&amp;Basic_Fundamental_Information_Concatenate("")</f>
        <v xml:space="preserve">
市值10.2089789亿, 利润-1.00亿; PE; 平均PE-17.16; 平均PEG-1.38, PB2.09; ROIC5.59%; ROE-6.33%; 股利率0%; 毛利8.26%; 净利-10.59%; 上一年度营收增-28.46%, 利润增15.97%; 当季营收增-6.71%, 利润增-51.23%; 过往5年营收增-12.44%, 利润增-303.04%
Income profile:
</v>
      </c>
      <c r="D51" t="s">
        <v>737</v>
      </c>
      <c r="E51" t="s">
        <v>738</v>
      </c>
      <c r="F51">
        <v>3.59</v>
      </c>
      <c r="G51">
        <v>1.99</v>
      </c>
      <c r="H51" t="s">
        <v>3877</v>
      </c>
      <c r="I51">
        <v>1020897890</v>
      </c>
      <c r="K51">
        <v>2.09</v>
      </c>
      <c r="L51" t="s">
        <v>428</v>
      </c>
      <c r="M51" t="s">
        <v>2177</v>
      </c>
      <c r="N51" t="s">
        <v>659</v>
      </c>
      <c r="O51" t="s">
        <v>285</v>
      </c>
      <c r="P51">
        <v>-6.44</v>
      </c>
      <c r="Q51" t="s">
        <v>2042</v>
      </c>
      <c r="R51">
        <v>-9027818</v>
      </c>
      <c r="S51" s="4">
        <v>-0.51229999999999998</v>
      </c>
      <c r="T51" t="s">
        <v>742</v>
      </c>
      <c r="U51">
        <v>218827500</v>
      </c>
      <c r="V51">
        <v>284372670</v>
      </c>
      <c r="W51">
        <v>2.34</v>
      </c>
      <c r="X51">
        <v>0.11</v>
      </c>
      <c r="Y51">
        <v>-6.55</v>
      </c>
      <c r="Z51" t="s">
        <v>1235</v>
      </c>
      <c r="AA51" t="s">
        <v>38</v>
      </c>
      <c r="AB51" t="s">
        <v>3878</v>
      </c>
      <c r="AC51" t="s">
        <v>3879</v>
      </c>
      <c r="AD51" t="s">
        <v>5</v>
      </c>
      <c r="AE51">
        <v>6713794</v>
      </c>
      <c r="AF51" t="s">
        <v>2630</v>
      </c>
      <c r="AG51" t="s">
        <v>3880</v>
      </c>
      <c r="AH51" t="s">
        <v>2631</v>
      </c>
      <c r="AI51" t="s">
        <v>3881</v>
      </c>
      <c r="AJ51" t="s">
        <v>2632</v>
      </c>
      <c r="AK51" t="s">
        <v>3882</v>
      </c>
      <c r="AL51" t="s">
        <v>2633</v>
      </c>
      <c r="AM51" t="s">
        <v>5</v>
      </c>
      <c r="AN51" t="s">
        <v>3883</v>
      </c>
      <c r="AO51" t="s">
        <v>1269</v>
      </c>
      <c r="AP51" t="s">
        <v>3884</v>
      </c>
      <c r="AQ51" t="s">
        <v>3885</v>
      </c>
      <c r="AR51" t="s">
        <v>5</v>
      </c>
      <c r="AS51" t="s">
        <v>690</v>
      </c>
      <c r="AT51" t="s">
        <v>5</v>
      </c>
      <c r="AU51" t="s">
        <v>3886</v>
      </c>
      <c r="AV51" t="s">
        <v>3887</v>
      </c>
      <c r="AW51" t="s">
        <v>3888</v>
      </c>
      <c r="AX51" t="s">
        <v>1551</v>
      </c>
      <c r="AY51" t="s">
        <v>1320</v>
      </c>
      <c r="AZ51" t="s">
        <v>410</v>
      </c>
      <c r="BA51" t="s">
        <v>387</v>
      </c>
      <c r="BB51" t="s">
        <v>739</v>
      </c>
      <c r="BC51" t="s">
        <v>1658</v>
      </c>
      <c r="BD51" t="s">
        <v>1321</v>
      </c>
      <c r="BE51" t="s">
        <v>1322</v>
      </c>
      <c r="BF51" t="s">
        <v>741</v>
      </c>
      <c r="BG51" t="s">
        <v>742</v>
      </c>
      <c r="BH51" t="s">
        <v>2042</v>
      </c>
      <c r="BI51" t="s">
        <v>63</v>
      </c>
      <c r="BJ51" t="s">
        <v>1551</v>
      </c>
      <c r="BK51" t="s">
        <v>742</v>
      </c>
      <c r="BL51" t="s">
        <v>2634</v>
      </c>
      <c r="BM51" t="s">
        <v>1658</v>
      </c>
      <c r="BN51" t="s">
        <v>5</v>
      </c>
      <c r="BO51" t="s">
        <v>5</v>
      </c>
      <c r="BP51">
        <v>5.59</v>
      </c>
      <c r="BQ51">
        <v>-3.76</v>
      </c>
      <c r="BR51">
        <v>-16.8</v>
      </c>
      <c r="BS51">
        <v>1.57</v>
      </c>
      <c r="BT51" t="s">
        <v>1670</v>
      </c>
      <c r="BU51" t="s">
        <v>1516</v>
      </c>
      <c r="BV51">
        <v>6.41</v>
      </c>
      <c r="BW51">
        <v>4.12</v>
      </c>
      <c r="BX51">
        <v>14.25</v>
      </c>
      <c r="BY51">
        <v>-17.97</v>
      </c>
      <c r="BZ51">
        <v>-15.22</v>
      </c>
      <c r="CA51">
        <v>1.42</v>
      </c>
      <c r="CB51">
        <v>1.1299999999999999</v>
      </c>
      <c r="CC51">
        <v>-18.04</v>
      </c>
      <c r="CD51" t="s">
        <v>3889</v>
      </c>
      <c r="CE51" t="s">
        <v>232</v>
      </c>
      <c r="CF51" s="8">
        <v>-6.7114093959731544E-2</v>
      </c>
      <c r="CG51" s="9">
        <v>-0.51227331356684591</v>
      </c>
      <c r="CH51" s="8">
        <v>-0.28461539745330811</v>
      </c>
      <c r="CI51" s="8">
        <v>-0.28374651074409485</v>
      </c>
      <c r="CJ51" s="8">
        <v>0.1722281277179718</v>
      </c>
      <c r="CK51" s="8">
        <v>-1.5889830887317657E-2</v>
      </c>
      <c r="CL51" s="8">
        <v>-0.21004188060760498</v>
      </c>
      <c r="CM51" s="9">
        <v>0.15966387093067169</v>
      </c>
      <c r="CN51" s="9">
        <v>-10.979537963867188</v>
      </c>
      <c r="CO51" s="9">
        <v>1.1963274478912354</v>
      </c>
      <c r="CP51" s="9">
        <v>-6.6363487243652344</v>
      </c>
      <c r="CQ51" s="9">
        <v>1.107759952545166</v>
      </c>
      <c r="CR51">
        <v>-17.156174445834591</v>
      </c>
      <c r="CS51">
        <v>-1.3789685063049517</v>
      </c>
      <c r="CT51">
        <v>0</v>
      </c>
      <c r="CU51" s="8">
        <v>-0.12441309839487076</v>
      </c>
      <c r="CV51" s="9">
        <v>-3.0304270833730698</v>
      </c>
      <c r="CW51">
        <v>0.06</v>
      </c>
      <c r="CX51" t="e">
        <v>#VALUE!</v>
      </c>
      <c r="CY51" t="s">
        <v>1211</v>
      </c>
      <c r="CZ51">
        <v>-0.12441309839487076</v>
      </c>
      <c r="DA51" t="e">
        <v>#VALUE!</v>
      </c>
      <c r="DB51" t="s">
        <v>1179</v>
      </c>
      <c r="DC51">
        <v>-0.11819244347512722</v>
      </c>
      <c r="DD51" t="e">
        <v>#VALUE!</v>
      </c>
      <c r="DE51" t="s">
        <v>1179</v>
      </c>
      <c r="DF51">
        <v>-0.10948352658748627</v>
      </c>
      <c r="DG51" t="e">
        <v>#VALUE!</v>
      </c>
      <c r="DH51" t="s">
        <v>1179</v>
      </c>
      <c r="DI51">
        <v>-9.9530478715896611E-2</v>
      </c>
      <c r="DJ51" t="e">
        <v>#VALUE!</v>
      </c>
      <c r="DK51" t="s">
        <v>1179</v>
      </c>
      <c r="DL51">
        <v>-8.7089168876409523E-2</v>
      </c>
      <c r="DM51">
        <v>-100000000</v>
      </c>
      <c r="DN51">
        <v>-0.12441309839487076</v>
      </c>
      <c r="DO51">
        <v>1266897890</v>
      </c>
      <c r="DP51">
        <v>54933100</v>
      </c>
      <c r="DQ51">
        <v>1877</v>
      </c>
      <c r="DR51">
        <v>5.7299004435139217E-2</v>
      </c>
      <c r="DS51">
        <v>2.518153769806224</v>
      </c>
      <c r="DT51" s="10">
        <v>-0.72333333333333327</v>
      </c>
      <c r="DU51">
        <v>-2.0483333333333333</v>
      </c>
      <c r="DV51">
        <v>-2.7716666666666665</v>
      </c>
      <c r="DW51">
        <v>-3.0230714285714284</v>
      </c>
      <c r="DX51">
        <v>0.30622009925558258</v>
      </c>
      <c r="DY51">
        <v>-3.0017585065756824</v>
      </c>
      <c r="DZ51">
        <v>4820</v>
      </c>
      <c r="EA51">
        <v>-3.0000997978291482</v>
      </c>
      <c r="EB51">
        <v>3</v>
      </c>
      <c r="EC51">
        <v>0.10801565424694293</v>
      </c>
      <c r="ED51">
        <v>1.417154468465623</v>
      </c>
      <c r="EE51" s="11">
        <v>-5.0564999999999998</v>
      </c>
      <c r="EF51">
        <v>-5.0427</v>
      </c>
      <c r="EG51">
        <v>23.076220099255583</v>
      </c>
      <c r="EH51" t="s">
        <v>2167</v>
      </c>
      <c r="EI51">
        <v>0</v>
      </c>
      <c r="EJ51">
        <v>0</v>
      </c>
      <c r="EK51" s="12">
        <v>45470</v>
      </c>
      <c r="EL51">
        <v>-0.27</v>
      </c>
      <c r="EM51">
        <v>-6.28</v>
      </c>
      <c r="EN51">
        <v>0.87</v>
      </c>
      <c r="EO51">
        <v>4.91</v>
      </c>
      <c r="EP51">
        <v>-1.38</v>
      </c>
    </row>
    <row r="52" spans="1:146" ht="96" x14ac:dyDescent="0.25">
      <c r="C52" s="6" t="str">
        <f>""&amp;CHAR(10)&amp;Basic_Fundamental_Information_Constructure(F52)&amp;CHAR(10)&amp;Basic_Fundamental_Information_Concatenate("")</f>
        <v xml:space="preserve">
市值22.467315亿, 利润-5572.61万; PE; 平均PE-654.18; 平均PEG-145.13, PB1.46; ROIC4.41%; ROE.86%; 股利率0%; 毛利16.4867%; 净利-.8667%; 上一年度营收增-37.34%, 利润增-26.83%; 当季营收增6.32%, 利润增-57.4%; 过往5年营收增-4.51%, 利润增-105.85%
Income profile:
</v>
      </c>
      <c r="D52" t="s">
        <v>743</v>
      </c>
      <c r="E52" t="s">
        <v>744</v>
      </c>
      <c r="F52">
        <v>8.74</v>
      </c>
      <c r="G52">
        <v>1.98</v>
      </c>
      <c r="H52" t="s">
        <v>3890</v>
      </c>
      <c r="I52">
        <v>2246731500</v>
      </c>
      <c r="K52">
        <v>1.46</v>
      </c>
      <c r="L52" t="s">
        <v>428</v>
      </c>
      <c r="M52" t="s">
        <v>1745</v>
      </c>
      <c r="N52" t="s">
        <v>1300</v>
      </c>
      <c r="O52" t="s">
        <v>300</v>
      </c>
      <c r="P52">
        <v>6.33</v>
      </c>
      <c r="Q52" t="s">
        <v>2139</v>
      </c>
      <c r="R52">
        <v>3110756</v>
      </c>
      <c r="S52" s="4">
        <v>-0.57399999999999995</v>
      </c>
      <c r="T52" t="s">
        <v>2635</v>
      </c>
      <c r="U52">
        <v>175810600</v>
      </c>
      <c r="V52">
        <v>257063100</v>
      </c>
      <c r="W52">
        <v>1.76</v>
      </c>
      <c r="X52">
        <v>0.1</v>
      </c>
      <c r="Y52">
        <v>1.33</v>
      </c>
      <c r="Z52" t="s">
        <v>129</v>
      </c>
      <c r="AA52" t="s">
        <v>99</v>
      </c>
      <c r="AB52" t="s">
        <v>3891</v>
      </c>
      <c r="AC52" t="s">
        <v>3892</v>
      </c>
      <c r="AD52" t="s">
        <v>5</v>
      </c>
      <c r="AE52">
        <v>1799280</v>
      </c>
      <c r="AF52" t="s">
        <v>2636</v>
      </c>
      <c r="AG52" t="s">
        <v>3893</v>
      </c>
      <c r="AH52" t="s">
        <v>2637</v>
      </c>
      <c r="AI52" t="s">
        <v>398</v>
      </c>
      <c r="AJ52" t="s">
        <v>2638</v>
      </c>
      <c r="AK52" t="s">
        <v>51</v>
      </c>
      <c r="AL52" t="s">
        <v>2639</v>
      </c>
      <c r="AM52" t="s">
        <v>5</v>
      </c>
      <c r="AN52" t="s">
        <v>3894</v>
      </c>
      <c r="AO52" t="s">
        <v>69</v>
      </c>
      <c r="AP52" t="s">
        <v>178</v>
      </c>
      <c r="AQ52" t="s">
        <v>2029</v>
      </c>
      <c r="AR52" t="s">
        <v>5</v>
      </c>
      <c r="AS52" t="s">
        <v>1719</v>
      </c>
      <c r="AT52" t="s">
        <v>296</v>
      </c>
      <c r="AU52" t="s">
        <v>3895</v>
      </c>
      <c r="AV52" t="s">
        <v>3896</v>
      </c>
      <c r="AW52" t="s">
        <v>3897</v>
      </c>
      <c r="AX52" t="s">
        <v>219</v>
      </c>
      <c r="AY52" t="s">
        <v>1323</v>
      </c>
      <c r="AZ52" t="s">
        <v>373</v>
      </c>
      <c r="BA52" t="s">
        <v>746</v>
      </c>
      <c r="BB52" t="s">
        <v>747</v>
      </c>
      <c r="BC52" t="s">
        <v>1798</v>
      </c>
      <c r="BD52" t="s">
        <v>1324</v>
      </c>
      <c r="BE52" t="s">
        <v>1325</v>
      </c>
      <c r="BF52" t="s">
        <v>81</v>
      </c>
      <c r="BG52" t="s">
        <v>281</v>
      </c>
      <c r="BH52" t="s">
        <v>2139</v>
      </c>
      <c r="BI52" t="s">
        <v>239</v>
      </c>
      <c r="BJ52" t="s">
        <v>219</v>
      </c>
      <c r="BK52" t="s">
        <v>2635</v>
      </c>
      <c r="BL52" t="s">
        <v>2640</v>
      </c>
      <c r="BM52" t="s">
        <v>1798</v>
      </c>
      <c r="BN52" t="s">
        <v>5</v>
      </c>
      <c r="BO52" t="s">
        <v>5</v>
      </c>
      <c r="BP52">
        <v>4.41</v>
      </c>
      <c r="BQ52">
        <v>-0.53</v>
      </c>
      <c r="BR52">
        <v>-2.75</v>
      </c>
      <c r="BS52">
        <v>5.86</v>
      </c>
      <c r="BT52" t="s">
        <v>1670</v>
      </c>
      <c r="BU52" t="s">
        <v>1516</v>
      </c>
      <c r="BV52">
        <v>10.93</v>
      </c>
      <c r="BW52">
        <v>16.57</v>
      </c>
      <c r="BX52">
        <v>21.96</v>
      </c>
      <c r="BY52">
        <v>-4.8600000000000003</v>
      </c>
      <c r="BZ52">
        <v>-2.66</v>
      </c>
      <c r="CA52">
        <v>4.92</v>
      </c>
      <c r="CB52">
        <v>8.44</v>
      </c>
      <c r="CC52">
        <v>-8.1</v>
      </c>
      <c r="CD52" t="s">
        <v>3898</v>
      </c>
      <c r="CE52" t="s">
        <v>54</v>
      </c>
      <c r="CF52" s="8">
        <v>6.3197026022304828E-2</v>
      </c>
      <c r="CG52" s="9">
        <v>-0.57396825396825402</v>
      </c>
      <c r="CH52" s="8">
        <v>-0.37340715527534485</v>
      </c>
      <c r="CI52" s="8">
        <v>0.10195356607437134</v>
      </c>
      <c r="CJ52" s="8">
        <v>0.32417145371437073</v>
      </c>
      <c r="CK52" s="8">
        <v>-0.27576115727424622</v>
      </c>
      <c r="CL52" s="8">
        <v>-2.3364485241472721E-3</v>
      </c>
      <c r="CM52" s="9">
        <v>-0.26829230785369873</v>
      </c>
      <c r="CN52" s="9">
        <v>-1.4878883361816406</v>
      </c>
      <c r="CO52" s="9">
        <v>1.2414404153823853</v>
      </c>
      <c r="CP52" s="9">
        <v>-4.2434782981872559</v>
      </c>
      <c r="CQ52" s="9">
        <v>-0.53441298007965088</v>
      </c>
      <c r="CR52">
        <v>-654.17504986242432</v>
      </c>
      <c r="CS52">
        <v>-145.12729629838591</v>
      </c>
      <c r="CT52">
        <v>0</v>
      </c>
      <c r="CU52" s="8">
        <v>-4.5075948256999253E-2</v>
      </c>
      <c r="CV52" s="9">
        <v>-1.0585263013839721</v>
      </c>
      <c r="CW52">
        <v>0.06</v>
      </c>
      <c r="CX52" t="e">
        <v>#VALUE!</v>
      </c>
      <c r="CY52" t="s">
        <v>1179</v>
      </c>
      <c r="CZ52">
        <v>-4.5075948256999253E-2</v>
      </c>
      <c r="DA52" t="e">
        <v>#VALUE!</v>
      </c>
      <c r="DB52" t="s">
        <v>1179</v>
      </c>
      <c r="DC52">
        <v>-4.2822150844149288E-2</v>
      </c>
      <c r="DD52" t="e">
        <v>#VALUE!</v>
      </c>
      <c r="DE52" t="s">
        <v>1179</v>
      </c>
      <c r="DF52">
        <v>-3.9666834466159345E-2</v>
      </c>
      <c r="DG52" t="e">
        <v>#VALUE!</v>
      </c>
      <c r="DH52" t="s">
        <v>1179</v>
      </c>
      <c r="DI52">
        <v>-3.6060758605599402E-2</v>
      </c>
      <c r="DJ52" t="e">
        <v>#VALUE!</v>
      </c>
      <c r="DK52" t="s">
        <v>1179</v>
      </c>
      <c r="DL52">
        <v>-3.1553163779899474E-2</v>
      </c>
      <c r="DM52">
        <v>-55726100</v>
      </c>
      <c r="DN52">
        <v>-4.5075948256999253E-2</v>
      </c>
      <c r="DO52">
        <v>1912731500</v>
      </c>
      <c r="DP52">
        <v>371098150</v>
      </c>
      <c r="DQ52">
        <v>1908</v>
      </c>
      <c r="DR52">
        <v>0.10827297427930407</v>
      </c>
      <c r="DS52">
        <v>0.48455804741571806</v>
      </c>
      <c r="DT52" s="10">
        <v>-0.59</v>
      </c>
      <c r="DU52">
        <v>-2.2233333333333332</v>
      </c>
      <c r="DV52">
        <v>-2.813333333333333</v>
      </c>
      <c r="DW52">
        <v>5.959715639810427</v>
      </c>
      <c r="DX52">
        <v>0.5385114503816798</v>
      </c>
      <c r="DY52">
        <v>5.3728605151767299</v>
      </c>
      <c r="DZ52">
        <v>4840</v>
      </c>
      <c r="EA52">
        <v>5.0197010448332131</v>
      </c>
      <c r="EB52">
        <v>5</v>
      </c>
      <c r="EC52">
        <v>0.19798640878445797</v>
      </c>
      <c r="ED52">
        <v>0.50960250615510361</v>
      </c>
      <c r="EE52" s="11">
        <v>-1.1371</v>
      </c>
      <c r="EF52">
        <v>-1.1105</v>
      </c>
      <c r="EG52">
        <v>15.38851145038168</v>
      </c>
      <c r="EH52" t="s">
        <v>1692</v>
      </c>
      <c r="EI52">
        <v>1</v>
      </c>
      <c r="EJ52">
        <v>0</v>
      </c>
      <c r="EK52" s="12">
        <v>45470</v>
      </c>
      <c r="EL52">
        <v>0.37</v>
      </c>
      <c r="EM52">
        <v>-4.1500000000000004</v>
      </c>
      <c r="EN52">
        <v>1.65</v>
      </c>
      <c r="EO52">
        <v>3.5</v>
      </c>
      <c r="EP52">
        <v>-2.66</v>
      </c>
    </row>
    <row r="53" spans="1:146" ht="96" x14ac:dyDescent="0.25">
      <c r="C53" s="6" t="str">
        <f>""&amp;CHAR(10)&amp;Basic_Fundamental_Information_Constructure(F53)&amp;CHAR(10)&amp;Basic_Fundamental_Information_Concatenate("")</f>
        <v xml:space="preserve">
市值34.018634亿, 利润1800.85万; PE143.2; 平均PE54.6; 平均PEG3.26, PB4.19; ROIC6.5033%; ROE6.82%; 股利率.4739%; 毛利28.7633%; 净利7.0633%; 上一年度营收增9.29%, 利润增-37.56%; 当季营收增17.93%, 利润增51.4%; 过往5年营收增16.75%, 利润增-14.1%
Income profile:
</v>
      </c>
      <c r="D53" t="s">
        <v>749</v>
      </c>
      <c r="E53" t="s">
        <v>750</v>
      </c>
      <c r="F53">
        <v>10.55</v>
      </c>
      <c r="G53">
        <v>-1.22</v>
      </c>
      <c r="H53" t="s">
        <v>3899</v>
      </c>
      <c r="I53">
        <v>3401863400</v>
      </c>
      <c r="J53">
        <v>143.19999999999999</v>
      </c>
      <c r="K53">
        <v>4.1900000000000004</v>
      </c>
      <c r="L53" t="s">
        <v>428</v>
      </c>
      <c r="M53" t="s">
        <v>2122</v>
      </c>
      <c r="N53" t="s">
        <v>1802</v>
      </c>
      <c r="O53" t="s">
        <v>117</v>
      </c>
      <c r="P53">
        <v>17.73</v>
      </c>
      <c r="Q53" t="s">
        <v>2644</v>
      </c>
      <c r="R53">
        <v>16915155</v>
      </c>
      <c r="S53" s="4">
        <v>0.51400000000000001</v>
      </c>
      <c r="T53" t="s">
        <v>2645</v>
      </c>
      <c r="U53">
        <v>218488930</v>
      </c>
      <c r="V53">
        <v>322451510</v>
      </c>
      <c r="W53">
        <v>1.32</v>
      </c>
      <c r="X53">
        <v>0.16</v>
      </c>
      <c r="Y53">
        <v>9.9499999999999993</v>
      </c>
      <c r="Z53" t="s">
        <v>295</v>
      </c>
      <c r="AA53" t="s">
        <v>132</v>
      </c>
      <c r="AB53" t="s">
        <v>3900</v>
      </c>
      <c r="AC53" t="s">
        <v>3901</v>
      </c>
      <c r="AD53" t="s">
        <v>5</v>
      </c>
      <c r="AE53">
        <v>668666</v>
      </c>
      <c r="AF53" t="s">
        <v>32</v>
      </c>
      <c r="AG53" t="s">
        <v>3902</v>
      </c>
      <c r="AH53" t="s">
        <v>2646</v>
      </c>
      <c r="AI53" t="s">
        <v>49</v>
      </c>
      <c r="AJ53" t="s">
        <v>2647</v>
      </c>
      <c r="AK53" t="s">
        <v>5</v>
      </c>
      <c r="AL53" t="s">
        <v>2648</v>
      </c>
      <c r="AM53" t="s">
        <v>5</v>
      </c>
      <c r="AN53" t="s">
        <v>3903</v>
      </c>
      <c r="AO53" t="s">
        <v>3904</v>
      </c>
      <c r="AP53" t="s">
        <v>3905</v>
      </c>
      <c r="AQ53" t="s">
        <v>3906</v>
      </c>
      <c r="AR53" t="s">
        <v>5</v>
      </c>
      <c r="AS53" t="s">
        <v>30</v>
      </c>
      <c r="AT53" t="s">
        <v>3907</v>
      </c>
      <c r="AU53" t="s">
        <v>3908</v>
      </c>
      <c r="AV53" t="s">
        <v>3909</v>
      </c>
      <c r="AW53" t="s">
        <v>3910</v>
      </c>
      <c r="AX53" t="s">
        <v>2085</v>
      </c>
      <c r="AY53" t="s">
        <v>1302</v>
      </c>
      <c r="AZ53" t="s">
        <v>317</v>
      </c>
      <c r="BA53" t="s">
        <v>537</v>
      </c>
      <c r="BB53" t="s">
        <v>398</v>
      </c>
      <c r="BC53" t="s">
        <v>2086</v>
      </c>
      <c r="BD53" t="s">
        <v>2087</v>
      </c>
      <c r="BE53" t="s">
        <v>1326</v>
      </c>
      <c r="BF53" t="s">
        <v>751</v>
      </c>
      <c r="BG53" t="s">
        <v>752</v>
      </c>
      <c r="BH53" t="s">
        <v>2644</v>
      </c>
      <c r="BI53" t="s">
        <v>100</v>
      </c>
      <c r="BJ53" t="s">
        <v>2085</v>
      </c>
      <c r="BK53" t="s">
        <v>2645</v>
      </c>
      <c r="BL53" t="s">
        <v>2649</v>
      </c>
      <c r="BM53" t="s">
        <v>2086</v>
      </c>
      <c r="BN53">
        <v>4.04</v>
      </c>
      <c r="BO53">
        <v>3.65</v>
      </c>
      <c r="BP53">
        <v>11.82</v>
      </c>
      <c r="BQ53">
        <v>4.4000000000000004</v>
      </c>
      <c r="BR53">
        <v>3.68</v>
      </c>
      <c r="BS53">
        <v>12.38</v>
      </c>
      <c r="BT53" t="s">
        <v>1673</v>
      </c>
      <c r="BU53" t="s">
        <v>1515</v>
      </c>
      <c r="BV53">
        <v>25.95</v>
      </c>
      <c r="BW53">
        <v>26.07</v>
      </c>
      <c r="BX53">
        <v>34.270000000000003</v>
      </c>
      <c r="BY53">
        <v>2.57</v>
      </c>
      <c r="BZ53">
        <v>4.7</v>
      </c>
      <c r="CA53">
        <v>13.92</v>
      </c>
      <c r="CB53">
        <v>-4.5199999999999996</v>
      </c>
      <c r="CC53">
        <v>-11.49</v>
      </c>
      <c r="CD53" t="s">
        <v>3911</v>
      </c>
      <c r="CE53" t="s">
        <v>39</v>
      </c>
      <c r="CF53" s="8">
        <v>0.1793103448275862</v>
      </c>
      <c r="CG53" s="9">
        <v>0.51395845267077189</v>
      </c>
      <c r="CH53" s="8">
        <v>9.294871985912323E-2</v>
      </c>
      <c r="CI53" s="8">
        <v>-6.8656712770462036E-2</v>
      </c>
      <c r="CJ53" s="8">
        <v>0.47252747416496277</v>
      </c>
      <c r="CK53" s="8">
        <v>0.22641509771347046</v>
      </c>
      <c r="CL53" s="8">
        <v>0.11411411315202713</v>
      </c>
      <c r="CM53" s="9">
        <v>-0.37559160590171814</v>
      </c>
      <c r="CN53" s="9">
        <v>-0.69117254018783569</v>
      </c>
      <c r="CO53" s="9">
        <v>7.100183516740799E-3</v>
      </c>
      <c r="CP53" s="9">
        <v>0.25903415679931641</v>
      </c>
      <c r="CQ53" s="9">
        <v>9.5586754381656647E-2</v>
      </c>
      <c r="CR53">
        <v>54.597932353302291</v>
      </c>
      <c r="CS53">
        <v>3.2601670526963198</v>
      </c>
      <c r="CT53">
        <v>0.47393364928909948</v>
      </c>
      <c r="CU53" s="8">
        <v>0.16746973842382432</v>
      </c>
      <c r="CV53" s="9">
        <v>-0.141008610278368</v>
      </c>
      <c r="CW53">
        <v>0.06</v>
      </c>
      <c r="CX53">
        <v>143.3809405220554</v>
      </c>
      <c r="CY53">
        <v>19834319.607929662</v>
      </c>
      <c r="CZ53">
        <v>0.16746973842382432</v>
      </c>
      <c r="DA53">
        <v>43.906331640811871</v>
      </c>
      <c r="DB53">
        <v>64771145.612095915</v>
      </c>
      <c r="DC53">
        <v>0.1590962515026331</v>
      </c>
      <c r="DD53">
        <v>19.765966464012966</v>
      </c>
      <c r="DE53">
        <v>143876769.45509839</v>
      </c>
      <c r="DF53">
        <v>0.14737336981296539</v>
      </c>
      <c r="DG53">
        <v>10.694752307827651</v>
      </c>
      <c r="DH53">
        <v>265912039.67562047</v>
      </c>
      <c r="DI53">
        <v>0.13397579073905946</v>
      </c>
      <c r="DJ53">
        <v>4.3434880040649375</v>
      </c>
      <c r="DK53">
        <v>654741856.62272239</v>
      </c>
      <c r="DL53">
        <v>0.11722881689667701</v>
      </c>
      <c r="DM53">
        <v>18008500</v>
      </c>
      <c r="DN53">
        <v>0.16746973842382432</v>
      </c>
      <c r="DO53">
        <v>2843863400</v>
      </c>
      <c r="DP53">
        <v>272664690</v>
      </c>
      <c r="DQ53">
        <v>1993</v>
      </c>
      <c r="DR53">
        <v>1.1840606403761889E-2</v>
      </c>
      <c r="DS53">
        <v>0.65496706294913987</v>
      </c>
      <c r="DT53" s="10">
        <v>-0.19000000000000003</v>
      </c>
      <c r="DU53">
        <v>9.0000000000000011E-2</v>
      </c>
      <c r="DV53">
        <v>-0.10000000000000002</v>
      </c>
      <c r="DW53">
        <v>-8.3933855526544825</v>
      </c>
      <c r="DX53">
        <v>0.34020209790209632</v>
      </c>
      <c r="DY53">
        <v>-8.0433519131868998</v>
      </c>
      <c r="DZ53">
        <v>1943</v>
      </c>
      <c r="EA53">
        <v>-8.026868005687458</v>
      </c>
      <c r="EB53">
        <v>8</v>
      </c>
      <c r="EC53">
        <v>4.8872154451998072E-2</v>
      </c>
      <c r="ED53">
        <v>0.4434775324823258</v>
      </c>
      <c r="EE53" s="11">
        <v>8.1114999999999995</v>
      </c>
      <c r="EF53">
        <v>8.0838000000000001</v>
      </c>
      <c r="EG53">
        <v>23.110202097902096</v>
      </c>
      <c r="EH53" t="s">
        <v>2161</v>
      </c>
      <c r="EI53">
        <v>0</v>
      </c>
      <c r="EJ53">
        <v>0</v>
      </c>
      <c r="EK53" s="12">
        <v>45470</v>
      </c>
      <c r="EL53">
        <v>-1.81</v>
      </c>
      <c r="EM53">
        <v>-4.6399999999999997</v>
      </c>
      <c r="EN53">
        <v>-0.09</v>
      </c>
      <c r="EO53">
        <v>3.03</v>
      </c>
      <c r="EP53">
        <v>-2.77</v>
      </c>
    </row>
    <row r="54" spans="1:146" ht="96" x14ac:dyDescent="0.25">
      <c r="C54" s="6" t="str">
        <f>""&amp;CHAR(10)&amp;Basic_Fundamental_Information_Constructure(F54)&amp;CHAR(10)&amp;Basic_Fundamental_Information_Concatenate("")</f>
        <v xml:space="preserve">
市值12.0731285亿, 利润2842.84万; PE36.92; 平均PE31.46; 平均PEG1.81, PB1.28; ROIC4.63%; ROE3.69%; 股利率.6076%; 毛利32.2833%; 净利2.5167%; 上一年度营收增42.16%, 利润增1655.25%; 当季营收增35.25%, 利润增115.81%; 过往5年营收增17.41%, 利润增321.57%
Income profile:
</v>
      </c>
      <c r="D54" t="s">
        <v>753</v>
      </c>
      <c r="E54" t="s">
        <v>754</v>
      </c>
      <c r="F54">
        <v>11.52</v>
      </c>
      <c r="G54">
        <v>1.32</v>
      </c>
      <c r="H54" t="s">
        <v>3912</v>
      </c>
      <c r="I54">
        <v>1207312850</v>
      </c>
      <c r="J54">
        <v>36.92</v>
      </c>
      <c r="K54">
        <v>1.28</v>
      </c>
      <c r="L54" t="s">
        <v>428</v>
      </c>
      <c r="M54" t="s">
        <v>292</v>
      </c>
      <c r="N54" t="s">
        <v>2147</v>
      </c>
      <c r="O54" t="s">
        <v>341</v>
      </c>
      <c r="P54">
        <v>34.94</v>
      </c>
      <c r="Q54" t="s">
        <v>258</v>
      </c>
      <c r="R54">
        <v>7954256</v>
      </c>
      <c r="S54" s="4">
        <v>1.1579999999999999</v>
      </c>
      <c r="T54" t="s">
        <v>2650</v>
      </c>
      <c r="U54">
        <v>76445046</v>
      </c>
      <c r="V54">
        <v>104801463</v>
      </c>
      <c r="W54">
        <v>1.5</v>
      </c>
      <c r="X54">
        <v>0.11</v>
      </c>
      <c r="Y54">
        <v>2.81</v>
      </c>
      <c r="Z54" t="s">
        <v>1235</v>
      </c>
      <c r="AA54" t="s">
        <v>94</v>
      </c>
      <c r="AB54" t="s">
        <v>3913</v>
      </c>
      <c r="AC54" t="s">
        <v>3914</v>
      </c>
      <c r="AD54" t="s">
        <v>5</v>
      </c>
      <c r="AE54">
        <v>2574011</v>
      </c>
      <c r="AF54" t="s">
        <v>2651</v>
      </c>
      <c r="AG54" t="s">
        <v>3915</v>
      </c>
      <c r="AH54" t="s">
        <v>2652</v>
      </c>
      <c r="AI54" t="s">
        <v>3916</v>
      </c>
      <c r="AJ54" t="s">
        <v>2653</v>
      </c>
      <c r="AK54" t="s">
        <v>3917</v>
      </c>
      <c r="AL54" t="s">
        <v>2654</v>
      </c>
      <c r="AM54" t="s">
        <v>5</v>
      </c>
      <c r="AN54" t="s">
        <v>51</v>
      </c>
      <c r="AO54" t="s">
        <v>208</v>
      </c>
      <c r="AP54" t="s">
        <v>5</v>
      </c>
      <c r="AQ54" t="s">
        <v>3918</v>
      </c>
      <c r="AR54" t="s">
        <v>5</v>
      </c>
      <c r="AS54" t="s">
        <v>3170</v>
      </c>
      <c r="AT54" t="s">
        <v>5</v>
      </c>
      <c r="AU54" t="s">
        <v>3919</v>
      </c>
      <c r="AV54" t="s">
        <v>3920</v>
      </c>
      <c r="AW54" t="s">
        <v>3921</v>
      </c>
      <c r="AX54" t="s">
        <v>1648</v>
      </c>
      <c r="AY54" t="s">
        <v>588</v>
      </c>
      <c r="AZ54" t="s">
        <v>423</v>
      </c>
      <c r="BA54" t="s">
        <v>584</v>
      </c>
      <c r="BB54" t="s">
        <v>567</v>
      </c>
      <c r="BC54" t="s">
        <v>2011</v>
      </c>
      <c r="BD54" t="s">
        <v>1327</v>
      </c>
      <c r="BE54" t="s">
        <v>1328</v>
      </c>
      <c r="BF54" t="s">
        <v>755</v>
      </c>
      <c r="BG54" t="s">
        <v>756</v>
      </c>
      <c r="BH54" t="s">
        <v>258</v>
      </c>
      <c r="BI54" t="s">
        <v>237</v>
      </c>
      <c r="BJ54" t="s">
        <v>1648</v>
      </c>
      <c r="BK54" t="s">
        <v>2650</v>
      </c>
      <c r="BL54" t="s">
        <v>2655</v>
      </c>
      <c r="BM54" t="s">
        <v>2011</v>
      </c>
      <c r="BN54">
        <v>2.41</v>
      </c>
      <c r="BO54" t="s">
        <v>5</v>
      </c>
      <c r="BP54">
        <v>6.85</v>
      </c>
      <c r="BQ54">
        <v>3.64</v>
      </c>
      <c r="BR54">
        <v>-0.2</v>
      </c>
      <c r="BS54">
        <v>7.63</v>
      </c>
      <c r="BT54" t="s">
        <v>1679</v>
      </c>
      <c r="BU54" t="s">
        <v>1516</v>
      </c>
      <c r="BV54">
        <v>31.7</v>
      </c>
      <c r="BW54">
        <v>28.26</v>
      </c>
      <c r="BX54">
        <v>36.89</v>
      </c>
      <c r="BY54">
        <v>0.49</v>
      </c>
      <c r="BZ54">
        <v>-3.37</v>
      </c>
      <c r="CA54">
        <v>10.43</v>
      </c>
      <c r="CB54">
        <v>-2.37</v>
      </c>
      <c r="CC54">
        <v>-11.93</v>
      </c>
      <c r="CD54" t="s">
        <v>3922</v>
      </c>
      <c r="CE54" t="s">
        <v>3923</v>
      </c>
      <c r="CF54" s="8">
        <v>0.35245901639344263</v>
      </c>
      <c r="CG54" s="9">
        <v>1.158139837751309</v>
      </c>
      <c r="CH54" s="8">
        <v>0.42156863212585449</v>
      </c>
      <c r="CI54" s="8">
        <v>-0.190476194024086</v>
      </c>
      <c r="CJ54" s="8">
        <v>0.3404255211353302</v>
      </c>
      <c r="CK54" s="8">
        <v>0.18686868250370026</v>
      </c>
      <c r="CL54" s="8">
        <v>0.11235955357551575</v>
      </c>
      <c r="CM54" s="9">
        <v>16.552492141723633</v>
      </c>
      <c r="CN54" s="9">
        <v>-1.0277642011642456</v>
      </c>
      <c r="CO54" s="9">
        <v>0.15442682802677155</v>
      </c>
      <c r="CP54" s="9">
        <v>0.44859889149665833</v>
      </c>
      <c r="CQ54" s="9">
        <v>-4.9216672778129578E-2</v>
      </c>
      <c r="CR54">
        <v>31.462000650619498</v>
      </c>
      <c r="CS54">
        <v>1.8066114339546635</v>
      </c>
      <c r="CT54">
        <v>0.60763888888888884</v>
      </c>
      <c r="CU54" s="8">
        <v>0.17414923906326293</v>
      </c>
      <c r="CV54" s="9">
        <v>3.2157073974609376</v>
      </c>
      <c r="CW54">
        <v>0.06</v>
      </c>
      <c r="CX54">
        <v>20.588029243325238</v>
      </c>
      <c r="CY54">
        <v>31489796.441307604</v>
      </c>
      <c r="CZ54">
        <v>0.17414923906326293</v>
      </c>
      <c r="DA54">
        <v>6.2696115148696858</v>
      </c>
      <c r="DB54">
        <v>103405585.57135342</v>
      </c>
      <c r="DC54">
        <v>0.16544177711009977</v>
      </c>
      <c r="DD54">
        <v>2.8004307496055545</v>
      </c>
      <c r="DE54">
        <v>231504689.0880326</v>
      </c>
      <c r="DF54">
        <v>0.15325133037567137</v>
      </c>
      <c r="DG54">
        <v>1.5009837921692473</v>
      </c>
      <c r="DH54">
        <v>431925283.52557844</v>
      </c>
      <c r="DI54">
        <v>0.13931939125061035</v>
      </c>
      <c r="DJ54">
        <v>0.59588491290919132</v>
      </c>
      <c r="DK54">
        <v>1087983326.9059429</v>
      </c>
      <c r="DL54">
        <v>0.12190446734428405</v>
      </c>
      <c r="DM54">
        <v>28428400</v>
      </c>
      <c r="DN54">
        <v>0.17414923906326293</v>
      </c>
      <c r="DO54">
        <v>648312850</v>
      </c>
      <c r="DP54">
        <v>189101610</v>
      </c>
      <c r="DQ54">
        <v>2004</v>
      </c>
      <c r="DR54">
        <v>0.17830977733017969</v>
      </c>
      <c r="DS54">
        <v>-2.0575675597096286</v>
      </c>
      <c r="DT54" s="10">
        <v>-0.17333333333333334</v>
      </c>
      <c r="DU54">
        <v>0.27333333333333337</v>
      </c>
      <c r="DV54">
        <v>0.10000000000000003</v>
      </c>
      <c r="DW54">
        <v>-2.1193</v>
      </c>
      <c r="DX54">
        <v>0.30369593709043358</v>
      </c>
      <c r="DY54">
        <v>-2.0135639252948887</v>
      </c>
      <c r="DZ54">
        <v>1477</v>
      </c>
      <c r="EA54">
        <v>-2.0096433934630782</v>
      </c>
      <c r="EB54">
        <v>2</v>
      </c>
      <c r="EC54">
        <v>6.5227142869179217E-2</v>
      </c>
      <c r="ED54">
        <v>0.57369809808857342</v>
      </c>
      <c r="EE54" s="11">
        <v>-3.1030000000000002</v>
      </c>
      <c r="EF54">
        <v>-3.0937999999999999</v>
      </c>
      <c r="EG54">
        <v>19.113695937090434</v>
      </c>
      <c r="EH54" t="s">
        <v>2100</v>
      </c>
      <c r="EI54">
        <v>0</v>
      </c>
      <c r="EJ54">
        <v>1</v>
      </c>
      <c r="EK54" s="12">
        <v>45470</v>
      </c>
      <c r="EL54">
        <v>-1.82</v>
      </c>
      <c r="EM54">
        <v>-5.71</v>
      </c>
      <c r="EN54">
        <v>1.78</v>
      </c>
      <c r="EO54">
        <v>4.9000000000000004</v>
      </c>
      <c r="EP54">
        <v>-0.92</v>
      </c>
    </row>
    <row r="55" spans="1:146" ht="204" x14ac:dyDescent="0.25">
      <c r="A55" s="6" t="s">
        <v>2154</v>
      </c>
      <c r="B55" s="6" t="s">
        <v>2155</v>
      </c>
      <c r="C55" s="6" t="str">
        <f>"公司的主营业务为高分子材料抗老化助剂的研发、生产和销售，目前公司的产品覆盖了抗氧化剂、光稳定剂和为客户提供一站式解决材料抗老化问题的U-pack产品的全产品系列。目前公司是国内唯一覆盖了主抗氧化剂(PrimaryAntioxdants)、辅抗氧化剂(SecondaryAntioxdants)、紫外线吸收剂(UVA)、受阻胺类光稳定剂(HALS)、复配定制(U-pack)系列共五个系列、几百个品种的全系列产品供应商。"&amp;CHAR(10)&amp;Basic_Fundamental_Information_Constructure(F55)&amp;CHAR(10)&amp;Basic_Fundamental_Information_Concatenate("光稳定剂 9.24亿 36.88% 58.07% 30.39%
抗氧化剂 7.64亿 30.49% 25.41% 16.09%
润滑油添加剂 4.13亿 16.47% 12.41% 14.54%
U-pack 2.74亿 10.95% 3.67% 6.47%")</f>
        <v>公司的主营业务为高分子材料抗老化助剂的研发、生产和销售，目前公司的产品覆盖了抗氧化剂、光稳定剂和为客户提供一站式解决材料抗老化问题的U-pack产品的全产品系列。目前公司是国内唯一覆盖了主抗氧化剂(PrimaryAntioxdants)、辅抗氧化剂(SecondaryAntioxdants)、紫外线吸收剂(UVA)、受阻胺类光稳定剂(HALS)、复配定制(U-pack)系列共五个系列、几百个品种的全系列产品供应商。
市值59.609266亿, 利润3.62亿; PE15.42; 平均PE17.41; 平均PEG.59, PB1.41; ROIC9.7133%; ROE13.7633%; 股利率1.3251%; 毛利23.6267%; 净利10%; 上一年度营收增8.98%, 利润增-31.18%; 当季营收增14.17%, 利润增29.19%; 过往5年营收增29.35%, 利润增16.98%
Income profile:
光稳定剂 9.24亿 36.88% 58.07% 30.39%
抗氧化剂 7.64亿 30.49% 25.41% 16.09%
润滑油添加剂 4.13亿 16.47% 12.41% 14.54%
U-pack 2.74亿 10.95% 3.67% 6.47%</v>
      </c>
      <c r="D55" t="s">
        <v>761</v>
      </c>
      <c r="E55" t="s">
        <v>762</v>
      </c>
      <c r="F55">
        <v>25.96</v>
      </c>
      <c r="G55">
        <v>0.85</v>
      </c>
      <c r="H55" t="s">
        <v>3924</v>
      </c>
      <c r="I55">
        <v>5960926600</v>
      </c>
      <c r="J55">
        <v>15.42</v>
      </c>
      <c r="K55">
        <v>1.41</v>
      </c>
      <c r="L55" t="s">
        <v>428</v>
      </c>
      <c r="M55" t="s">
        <v>2657</v>
      </c>
      <c r="N55" t="s">
        <v>586</v>
      </c>
      <c r="O55" t="s">
        <v>1360</v>
      </c>
      <c r="P55">
        <v>14.17</v>
      </c>
      <c r="Q55" t="s">
        <v>2658</v>
      </c>
      <c r="R55">
        <v>107137289</v>
      </c>
      <c r="S55" s="4">
        <v>0.29189999999999999</v>
      </c>
      <c r="T55" t="s">
        <v>280</v>
      </c>
      <c r="U55">
        <v>214429090</v>
      </c>
      <c r="V55">
        <v>229619670</v>
      </c>
      <c r="W55">
        <v>2.0299999999999998</v>
      </c>
      <c r="X55">
        <v>0.16</v>
      </c>
      <c r="Y55">
        <v>7.7</v>
      </c>
      <c r="Z55" t="s">
        <v>1585</v>
      </c>
      <c r="AA55" t="s">
        <v>1645</v>
      </c>
      <c r="AB55" t="s">
        <v>3925</v>
      </c>
      <c r="AC55" t="s">
        <v>3926</v>
      </c>
      <c r="AD55" t="s">
        <v>5</v>
      </c>
      <c r="AE55">
        <v>10583765</v>
      </c>
      <c r="AF55" t="s">
        <v>2659</v>
      </c>
      <c r="AG55" t="s">
        <v>3927</v>
      </c>
      <c r="AH55" t="s">
        <v>2661</v>
      </c>
      <c r="AI55" t="s">
        <v>420</v>
      </c>
      <c r="AJ55" t="s">
        <v>2663</v>
      </c>
      <c r="AK55" t="s">
        <v>201</v>
      </c>
      <c r="AL55" t="s">
        <v>2664</v>
      </c>
      <c r="AM55" t="s">
        <v>5</v>
      </c>
      <c r="AN55" t="s">
        <v>213</v>
      </c>
      <c r="AO55" t="s">
        <v>311</v>
      </c>
      <c r="AP55" t="s">
        <v>278</v>
      </c>
      <c r="AQ55" t="s">
        <v>346</v>
      </c>
      <c r="AR55" t="s">
        <v>3928</v>
      </c>
      <c r="AS55" t="s">
        <v>3929</v>
      </c>
      <c r="AT55" t="s">
        <v>2523</v>
      </c>
      <c r="AU55" t="s">
        <v>3930</v>
      </c>
      <c r="AV55" t="s">
        <v>3931</v>
      </c>
      <c r="AW55" t="s">
        <v>3932</v>
      </c>
      <c r="AX55" t="s">
        <v>1803</v>
      </c>
      <c r="AY55" t="s">
        <v>1330</v>
      </c>
      <c r="AZ55" t="s">
        <v>1331</v>
      </c>
      <c r="BA55" t="s">
        <v>353</v>
      </c>
      <c r="BB55" t="s">
        <v>763</v>
      </c>
      <c r="BC55" t="s">
        <v>513</v>
      </c>
      <c r="BD55" t="s">
        <v>275</v>
      </c>
      <c r="BE55" t="s">
        <v>185</v>
      </c>
      <c r="BF55" t="s">
        <v>419</v>
      </c>
      <c r="BG55" t="s">
        <v>172</v>
      </c>
      <c r="BH55" t="s">
        <v>2658</v>
      </c>
      <c r="BI55" t="s">
        <v>2026</v>
      </c>
      <c r="BJ55" t="s">
        <v>1803</v>
      </c>
      <c r="BK55" t="s">
        <v>280</v>
      </c>
      <c r="BL55" t="s">
        <v>2665</v>
      </c>
      <c r="BM55" t="s">
        <v>513</v>
      </c>
      <c r="BN55">
        <v>4.95</v>
      </c>
      <c r="BO55">
        <v>11.46</v>
      </c>
      <c r="BP55">
        <v>12.73</v>
      </c>
      <c r="BQ55">
        <v>7.14</v>
      </c>
      <c r="BR55">
        <v>16.29</v>
      </c>
      <c r="BS55">
        <v>17.86</v>
      </c>
      <c r="BT55" t="s">
        <v>1804</v>
      </c>
      <c r="BU55" t="s">
        <v>1516</v>
      </c>
      <c r="BV55">
        <v>19.78</v>
      </c>
      <c r="BW55">
        <v>24.26</v>
      </c>
      <c r="BX55">
        <v>26.84</v>
      </c>
      <c r="BY55">
        <v>6.77</v>
      </c>
      <c r="BZ55">
        <v>10.86</v>
      </c>
      <c r="CA55">
        <v>12.37</v>
      </c>
      <c r="CB55">
        <v>-3.08</v>
      </c>
      <c r="CC55">
        <v>-15.43</v>
      </c>
      <c r="CD55" t="s">
        <v>3933</v>
      </c>
      <c r="CE55" t="s">
        <v>3934</v>
      </c>
      <c r="CF55" s="8">
        <v>0.14165261382799327</v>
      </c>
      <c r="CG55" s="9">
        <v>0.29189559184037678</v>
      </c>
      <c r="CH55" s="8">
        <v>8.9820429682731628E-2</v>
      </c>
      <c r="CI55" s="8">
        <v>0.40580549836158752</v>
      </c>
      <c r="CJ55" s="8">
        <v>0.38743448257446289</v>
      </c>
      <c r="CK55" s="8">
        <v>0.25530841946601868</v>
      </c>
      <c r="CL55" s="8">
        <v>0.32930108904838562</v>
      </c>
      <c r="CM55" s="9">
        <v>-0.31178706884384155</v>
      </c>
      <c r="CN55" s="9">
        <v>0.2583732008934021</v>
      </c>
      <c r="CO55" s="9">
        <v>0.42662116885185242</v>
      </c>
      <c r="CP55" s="9">
        <v>0.11832061409950256</v>
      </c>
      <c r="CQ55" s="9">
        <v>0.3575129508972168</v>
      </c>
      <c r="CR55">
        <v>17.412638558909446</v>
      </c>
      <c r="CS55">
        <v>0.59320690340214377</v>
      </c>
      <c r="CT55">
        <v>1.3251155624036979</v>
      </c>
      <c r="CU55" s="8">
        <v>0.29353398382663726</v>
      </c>
      <c r="CV55" s="9">
        <v>0.16980817317962646</v>
      </c>
      <c r="CW55">
        <v>0.06</v>
      </c>
      <c r="CX55">
        <v>12.282686472325604</v>
      </c>
      <c r="CY55">
        <v>441754058.62758744</v>
      </c>
      <c r="CZ55">
        <v>0.29353398382663726</v>
      </c>
      <c r="DA55">
        <v>3.3925511933152221</v>
      </c>
      <c r="DB55">
        <v>1599364693.6533773</v>
      </c>
      <c r="DC55">
        <v>0.2788572846353054</v>
      </c>
      <c r="DD55">
        <v>1.313608228969541</v>
      </c>
      <c r="DE55">
        <v>4130551621.3584962</v>
      </c>
      <c r="DF55">
        <v>0.25830990576744078</v>
      </c>
      <c r="DG55">
        <v>0.58905000108983974</v>
      </c>
      <c r="DH55">
        <v>9211317528.1574402</v>
      </c>
      <c r="DI55">
        <v>0.23482718706130981</v>
      </c>
      <c r="DJ55">
        <v>0.14957513179058712</v>
      </c>
      <c r="DK55">
        <v>36275592974.884193</v>
      </c>
      <c r="DL55">
        <v>0.20547378867864607</v>
      </c>
      <c r="DM55">
        <v>362000000</v>
      </c>
      <c r="DN55">
        <v>0.29353398382663726</v>
      </c>
      <c r="DO55">
        <v>5425926600</v>
      </c>
      <c r="DP55">
        <v>1531337300</v>
      </c>
      <c r="DQ55">
        <v>2063</v>
      </c>
      <c r="DR55">
        <v>-0.15188136999864399</v>
      </c>
      <c r="DS55">
        <v>0.12208741866075032</v>
      </c>
      <c r="DT55" s="10">
        <v>5.9999999999999908E-2</v>
      </c>
      <c r="DU55">
        <v>0.43666666666666659</v>
      </c>
      <c r="DV55">
        <v>0.49666666666666648</v>
      </c>
      <c r="DW55">
        <v>-8.1996111471160074</v>
      </c>
      <c r="DX55">
        <v>0.40378425315334082</v>
      </c>
      <c r="DY55">
        <v>-8.022712605295677</v>
      </c>
      <c r="DZ55">
        <v>717</v>
      </c>
      <c r="EA55">
        <v>-8.0195257289753243</v>
      </c>
      <c r="EB55">
        <v>8</v>
      </c>
      <c r="EC55">
        <v>3.8801118388507395E-2</v>
      </c>
      <c r="ED55">
        <v>0.34100606450658166</v>
      </c>
      <c r="EE55" s="11">
        <v>1.3909999999999995E-2</v>
      </c>
      <c r="EF55">
        <v>4.9010000000000005E-2</v>
      </c>
      <c r="EG55">
        <v>29.113784253153341</v>
      </c>
      <c r="EH55">
        <v>-1</v>
      </c>
      <c r="EI55">
        <v>0</v>
      </c>
      <c r="EJ55">
        <v>1</v>
      </c>
      <c r="EK55" s="12">
        <v>45470</v>
      </c>
      <c r="EL55">
        <v>0.04</v>
      </c>
      <c r="EM55">
        <v>-3.24</v>
      </c>
      <c r="EN55">
        <v>0.85</v>
      </c>
      <c r="EO55">
        <v>2.99</v>
      </c>
      <c r="EP55">
        <v>-3.51</v>
      </c>
    </row>
    <row r="56" spans="1:146" ht="96" x14ac:dyDescent="0.25">
      <c r="C56" s="6" t="str">
        <f>""&amp;CHAR(10)&amp;Basic_Fundamental_Information_Constructure(F56)&amp;CHAR(10)&amp;Basic_Fundamental_Information_Concatenate("")</f>
        <v xml:space="preserve">
市值18.454822亿, 利润6050.77万; PE27.36; 平均PE16.96; 平均PEG3.64, PB1.64; ROIC9.5467%; ROE10.0167%; 股利率2.0761%; 毛利21.2067%; 净利9.9567%; 上一年度营收增-13.73%, 利润增-49.15%; 当季营收增-4.24%, 利润增46.13%; 过往5年营收增4.66%, 利润增-.99%
Income profile:
</v>
      </c>
      <c r="D56" t="s">
        <v>764</v>
      </c>
      <c r="E56" t="s">
        <v>765</v>
      </c>
      <c r="F56">
        <v>8.67</v>
      </c>
      <c r="G56">
        <v>1.05</v>
      </c>
      <c r="H56" t="s">
        <v>3935</v>
      </c>
      <c r="I56">
        <v>1845482200</v>
      </c>
      <c r="J56">
        <v>27.36</v>
      </c>
      <c r="K56">
        <v>1.64</v>
      </c>
      <c r="L56" t="s">
        <v>428</v>
      </c>
      <c r="M56" t="s">
        <v>109</v>
      </c>
      <c r="N56" t="s">
        <v>3936</v>
      </c>
      <c r="O56" t="s">
        <v>195</v>
      </c>
      <c r="P56">
        <v>-4.12</v>
      </c>
      <c r="Q56" t="s">
        <v>1436</v>
      </c>
      <c r="R56">
        <v>21959767</v>
      </c>
      <c r="S56" s="4">
        <v>0.46129999999999999</v>
      </c>
      <c r="T56" t="s">
        <v>2666</v>
      </c>
      <c r="U56">
        <v>159137820</v>
      </c>
      <c r="V56">
        <v>212858380</v>
      </c>
      <c r="W56">
        <v>1.35</v>
      </c>
      <c r="X56">
        <v>0.15</v>
      </c>
      <c r="Y56">
        <v>9.4700000000000006</v>
      </c>
      <c r="Z56" t="s">
        <v>582</v>
      </c>
      <c r="AA56" t="s">
        <v>71</v>
      </c>
      <c r="AB56" t="s">
        <v>3937</v>
      </c>
      <c r="AC56" t="s">
        <v>3938</v>
      </c>
      <c r="AD56" t="s">
        <v>5</v>
      </c>
      <c r="AE56">
        <v>-115354</v>
      </c>
      <c r="AF56" t="s">
        <v>2667</v>
      </c>
      <c r="AG56">
        <v>8590.83</v>
      </c>
      <c r="AH56" t="s">
        <v>2668</v>
      </c>
      <c r="AI56" t="s">
        <v>293</v>
      </c>
      <c r="AJ56" t="s">
        <v>2669</v>
      </c>
      <c r="AK56" t="s">
        <v>257</v>
      </c>
      <c r="AL56" t="s">
        <v>2670</v>
      </c>
      <c r="AM56" t="s">
        <v>5</v>
      </c>
      <c r="AN56" t="s">
        <v>3939</v>
      </c>
      <c r="AO56" t="s">
        <v>3397</v>
      </c>
      <c r="AP56" t="s">
        <v>3940</v>
      </c>
      <c r="AQ56" t="s">
        <v>3941</v>
      </c>
      <c r="AR56" t="s">
        <v>5</v>
      </c>
      <c r="AS56" t="s">
        <v>3942</v>
      </c>
      <c r="AT56" t="s">
        <v>1732</v>
      </c>
      <c r="AU56" t="s">
        <v>3943</v>
      </c>
      <c r="AV56" t="s">
        <v>3944</v>
      </c>
      <c r="AW56" t="s">
        <v>3945</v>
      </c>
      <c r="AX56" t="s">
        <v>1805</v>
      </c>
      <c r="AY56" t="s">
        <v>1260</v>
      </c>
      <c r="AZ56" t="s">
        <v>766</v>
      </c>
      <c r="BA56" t="s">
        <v>163</v>
      </c>
      <c r="BB56" t="s">
        <v>757</v>
      </c>
      <c r="BC56" t="s">
        <v>29</v>
      </c>
      <c r="BD56" t="s">
        <v>82</v>
      </c>
      <c r="BE56" t="s">
        <v>48</v>
      </c>
      <c r="BF56" t="s">
        <v>767</v>
      </c>
      <c r="BG56" t="s">
        <v>768</v>
      </c>
      <c r="BH56" t="s">
        <v>1436</v>
      </c>
      <c r="BI56" t="s">
        <v>356</v>
      </c>
      <c r="BJ56" t="s">
        <v>1805</v>
      </c>
      <c r="BK56" t="s">
        <v>2666</v>
      </c>
      <c r="BL56" t="s">
        <v>2671</v>
      </c>
      <c r="BM56" t="s">
        <v>29</v>
      </c>
      <c r="BN56">
        <v>3.19</v>
      </c>
      <c r="BO56">
        <v>10.59</v>
      </c>
      <c r="BP56">
        <v>14.86</v>
      </c>
      <c r="BQ56">
        <v>3.37</v>
      </c>
      <c r="BR56">
        <v>11.14</v>
      </c>
      <c r="BS56">
        <v>15.54</v>
      </c>
      <c r="BT56" t="s">
        <v>1689</v>
      </c>
      <c r="BU56" t="s">
        <v>1516</v>
      </c>
      <c r="BV56">
        <v>16.690000000000001</v>
      </c>
      <c r="BW56">
        <v>23.13</v>
      </c>
      <c r="BX56">
        <v>23.8</v>
      </c>
      <c r="BY56">
        <v>6.26</v>
      </c>
      <c r="BZ56">
        <v>10.83</v>
      </c>
      <c r="CA56">
        <v>12.78</v>
      </c>
      <c r="CB56">
        <v>-1.1399999999999999</v>
      </c>
      <c r="CC56">
        <v>-7.07</v>
      </c>
      <c r="CD56" t="s">
        <v>3946</v>
      </c>
      <c r="CE56" t="s">
        <v>59</v>
      </c>
      <c r="CF56" s="8">
        <v>-4.2372881355932326E-2</v>
      </c>
      <c r="CG56" s="9">
        <v>0.46131513102732341</v>
      </c>
      <c r="CH56" s="8">
        <v>-0.13729128241539001</v>
      </c>
      <c r="CI56" s="8">
        <v>-9.6395589411258698E-2</v>
      </c>
      <c r="CJ56" s="8">
        <v>0.3255554735660553</v>
      </c>
      <c r="CK56" s="8">
        <v>0.11801242083311081</v>
      </c>
      <c r="CL56" s="8">
        <v>2.2871663793921471E-2</v>
      </c>
      <c r="CM56" s="9">
        <v>-0.49153193831443787</v>
      </c>
      <c r="CN56" s="9">
        <v>-0.23225806653499603</v>
      </c>
      <c r="CO56" s="9">
        <v>0.13138686120510101</v>
      </c>
      <c r="CP56" s="9">
        <v>0.43720364570617676</v>
      </c>
      <c r="CQ56" s="9">
        <v>0.10587252676486969</v>
      </c>
      <c r="CR56">
        <v>16.956186219401662</v>
      </c>
      <c r="CS56">
        <v>3.6425328712868965</v>
      </c>
      <c r="CT56">
        <v>2.0761245674740487</v>
      </c>
      <c r="CU56" s="8">
        <v>4.655053727328777E-2</v>
      </c>
      <c r="CV56" s="9">
        <v>-9.8653942346572879E-3</v>
      </c>
      <c r="CW56">
        <v>0.06</v>
      </c>
      <c r="CX56">
        <v>17.51728762634551</v>
      </c>
      <c r="CY56">
        <v>59739967.871859349</v>
      </c>
      <c r="CZ56">
        <v>4.655053727328777E-2</v>
      </c>
      <c r="DA56">
        <v>5.9400842535450256</v>
      </c>
      <c r="DB56">
        <v>176172955.69089991</v>
      </c>
      <c r="DC56">
        <v>4.4223010409623377E-2</v>
      </c>
      <c r="DD56">
        <v>3.0697771209816209</v>
      </c>
      <c r="DE56">
        <v>340898429.67666882</v>
      </c>
      <c r="DF56">
        <v>4.0964472800493236E-2</v>
      </c>
      <c r="DG56">
        <v>1.9450147979436287</v>
      </c>
      <c r="DH56">
        <v>538033027.36122918</v>
      </c>
      <c r="DI56">
        <v>3.7240429818630218E-2</v>
      </c>
      <c r="DJ56">
        <v>1.1257294569025695</v>
      </c>
      <c r="DK56">
        <v>929603639.29658794</v>
      </c>
      <c r="DL56">
        <v>3.2585376091301438E-2</v>
      </c>
      <c r="DM56">
        <v>60507700.000000007</v>
      </c>
      <c r="DN56">
        <v>4.655053727328777E-2</v>
      </c>
      <c r="DO56">
        <v>1046482200</v>
      </c>
      <c r="DP56">
        <v>775143290</v>
      </c>
      <c r="DQ56">
        <v>2077</v>
      </c>
      <c r="DR56">
        <v>-8.8923418629220097E-2</v>
      </c>
      <c r="DS56">
        <v>0.47118052526198068</v>
      </c>
      <c r="DT56" s="10">
        <v>-0.3066666666666667</v>
      </c>
      <c r="DU56">
        <v>-0.20000000000000004</v>
      </c>
      <c r="DV56">
        <v>-0.50666666666666671</v>
      </c>
      <c r="DW56">
        <v>-2.0707</v>
      </c>
      <c r="DX56">
        <v>0.23792909090909065</v>
      </c>
      <c r="DY56">
        <v>-2.0069235867272726</v>
      </c>
      <c r="DZ56">
        <v>2888</v>
      </c>
      <c r="EA56">
        <v>-2.0030106085534247</v>
      </c>
      <c r="EB56">
        <v>2</v>
      </c>
      <c r="EC56">
        <v>5.0607356872677506E-2</v>
      </c>
      <c r="ED56">
        <v>0.51677551994899151</v>
      </c>
      <c r="EE56" s="11">
        <v>6.6100000000000013E-3</v>
      </c>
      <c r="EF56">
        <v>1.8009999999999998E-2</v>
      </c>
      <c r="EG56">
        <v>14.097929090909091</v>
      </c>
      <c r="EH56">
        <v>-1</v>
      </c>
      <c r="EI56">
        <v>0</v>
      </c>
      <c r="EJ56">
        <v>0</v>
      </c>
      <c r="EK56" s="12">
        <v>45470</v>
      </c>
      <c r="EL56">
        <v>0</v>
      </c>
      <c r="EM56">
        <v>-4.5599999999999996</v>
      </c>
      <c r="EN56">
        <v>1.91</v>
      </c>
      <c r="EO56">
        <v>3.17</v>
      </c>
      <c r="EP56">
        <v>-1.1399999999999999</v>
      </c>
    </row>
    <row r="57" spans="1:146" ht="96" x14ac:dyDescent="0.25">
      <c r="C57" s="6" t="str">
        <f>""&amp;CHAR(10)&amp;Basic_Fundamental_Information_Constructure(F57)&amp;CHAR(10)&amp;Basic_Fundamental_Information_Concatenate("")</f>
        <v xml:space="preserve">
市值20.258936亿, 利润-8773.20万; PE; 平均PE63.91; 平均PEG8.67, PB2.9; ROIC3.17%; ROE.2333%; 股利率0%; 毛利17.9733%; 净利-3.6833%; 上一年度营收增-12.75%, 利润增-1645.58%; 当季营收增-15.82%, 利润增10.66%; 过往5年营收增7.37%, 利润增-366.92%
Income profile:
</v>
      </c>
      <c r="D57" t="s">
        <v>1552</v>
      </c>
      <c r="E57" t="s">
        <v>1553</v>
      </c>
      <c r="F57">
        <v>8.6300000000000008</v>
      </c>
      <c r="G57">
        <v>-1.82</v>
      </c>
      <c r="H57" t="s">
        <v>3947</v>
      </c>
      <c r="I57">
        <v>2025893600</v>
      </c>
      <c r="K57">
        <v>2.9</v>
      </c>
      <c r="L57" t="s">
        <v>428</v>
      </c>
      <c r="M57" t="s">
        <v>2077</v>
      </c>
      <c r="N57" t="s">
        <v>1135</v>
      </c>
      <c r="O57" t="s">
        <v>50</v>
      </c>
      <c r="P57">
        <v>-15.98</v>
      </c>
      <c r="Q57" t="s">
        <v>2109</v>
      </c>
      <c r="R57">
        <v>-13434632</v>
      </c>
      <c r="S57" s="4">
        <v>0.1066</v>
      </c>
      <c r="T57" t="s">
        <v>2672</v>
      </c>
      <c r="U57">
        <v>234204070</v>
      </c>
      <c r="V57">
        <v>234750130</v>
      </c>
      <c r="W57">
        <v>1.9</v>
      </c>
      <c r="X57">
        <v>0.1</v>
      </c>
      <c r="Y57">
        <v>-10.11</v>
      </c>
      <c r="Z57" t="s">
        <v>250</v>
      </c>
      <c r="AA57" t="s">
        <v>84</v>
      </c>
      <c r="AB57" t="s">
        <v>3948</v>
      </c>
      <c r="AC57" t="s">
        <v>3949</v>
      </c>
      <c r="AD57" t="s">
        <v>5</v>
      </c>
      <c r="AE57">
        <v>3892800</v>
      </c>
      <c r="AF57" t="s">
        <v>2673</v>
      </c>
      <c r="AG57">
        <v>2311.77</v>
      </c>
      <c r="AH57" t="s">
        <v>2674</v>
      </c>
      <c r="AI57" t="s">
        <v>3950</v>
      </c>
      <c r="AJ57" t="s">
        <v>2675</v>
      </c>
      <c r="AK57" t="s">
        <v>3951</v>
      </c>
      <c r="AL57" t="s">
        <v>2676</v>
      </c>
      <c r="AM57" t="s">
        <v>5</v>
      </c>
      <c r="AN57" t="s">
        <v>3952</v>
      </c>
      <c r="AO57" t="s">
        <v>114</v>
      </c>
      <c r="AP57" t="s">
        <v>3953</v>
      </c>
      <c r="AQ57" t="s">
        <v>3954</v>
      </c>
      <c r="AR57" t="s">
        <v>5</v>
      </c>
      <c r="AS57" t="s">
        <v>1163</v>
      </c>
      <c r="AT57" t="s">
        <v>3955</v>
      </c>
      <c r="AU57" t="s">
        <v>3956</v>
      </c>
      <c r="AV57" t="s">
        <v>3957</v>
      </c>
      <c r="AW57" t="s">
        <v>3958</v>
      </c>
      <c r="AX57" t="s">
        <v>974</v>
      </c>
      <c r="AY57" t="s">
        <v>1554</v>
      </c>
      <c r="AZ57" t="s">
        <v>515</v>
      </c>
      <c r="BA57" t="s">
        <v>1556</v>
      </c>
      <c r="BB57" t="s">
        <v>513</v>
      </c>
      <c r="BC57" t="s">
        <v>1806</v>
      </c>
      <c r="BD57" t="s">
        <v>1555</v>
      </c>
      <c r="BE57" t="s">
        <v>1557</v>
      </c>
      <c r="BF57" t="s">
        <v>103</v>
      </c>
      <c r="BG57" t="s">
        <v>48</v>
      </c>
      <c r="BH57" t="s">
        <v>2109</v>
      </c>
      <c r="BI57" t="s">
        <v>76</v>
      </c>
      <c r="BJ57" t="s">
        <v>974</v>
      </c>
      <c r="BK57" t="s">
        <v>2672</v>
      </c>
      <c r="BL57" t="s">
        <v>2677</v>
      </c>
      <c r="BM57" t="s">
        <v>1806</v>
      </c>
      <c r="BN57" t="s">
        <v>5</v>
      </c>
      <c r="BO57" t="s">
        <v>5</v>
      </c>
      <c r="BP57">
        <v>3.17</v>
      </c>
      <c r="BQ57">
        <v>-0.91</v>
      </c>
      <c r="BR57">
        <v>0.74</v>
      </c>
      <c r="BS57">
        <v>0.87</v>
      </c>
      <c r="BT57" t="s">
        <v>1670</v>
      </c>
      <c r="BU57" t="s">
        <v>1516</v>
      </c>
      <c r="BV57">
        <v>15.28</v>
      </c>
      <c r="BW57">
        <v>19.87</v>
      </c>
      <c r="BX57">
        <v>18.77</v>
      </c>
      <c r="BY57">
        <v>-12.69</v>
      </c>
      <c r="BZ57">
        <v>0.72</v>
      </c>
      <c r="CA57">
        <v>0.92</v>
      </c>
      <c r="CB57">
        <v>-8.39</v>
      </c>
      <c r="CC57">
        <v>14.3</v>
      </c>
      <c r="CD57" t="s">
        <v>3959</v>
      </c>
      <c r="CE57" t="s">
        <v>3960</v>
      </c>
      <c r="CF57" s="8">
        <v>-0.15822784810126583</v>
      </c>
      <c r="CG57" s="9">
        <v>0.10657950562933505</v>
      </c>
      <c r="CH57" s="8">
        <v>-0.12752525508403778</v>
      </c>
      <c r="CI57" s="8">
        <v>9.847433865070343E-2</v>
      </c>
      <c r="CJ57" s="8">
        <v>0.45951417088508606</v>
      </c>
      <c r="CK57" s="8">
        <v>-3.515625E-2</v>
      </c>
      <c r="CL57" s="8">
        <v>-2.6615969836711884E-2</v>
      </c>
      <c r="CM57" s="9">
        <v>-16.455842971801758</v>
      </c>
      <c r="CN57" s="9">
        <v>-0.13996757566928864</v>
      </c>
      <c r="CO57" s="9">
        <v>-0.76129144430160522</v>
      </c>
      <c r="CP57" s="9">
        <v>-0.72624552249908447</v>
      </c>
      <c r="CQ57" s="9">
        <v>-0.26277372241020203</v>
      </c>
      <c r="CR57">
        <v>63.910465967309101</v>
      </c>
      <c r="CS57">
        <v>8.6672118341634921</v>
      </c>
      <c r="CT57">
        <v>0</v>
      </c>
      <c r="CU57" s="8">
        <v>7.3738206923007962E-2</v>
      </c>
      <c r="CV57" s="9">
        <v>-3.6692242473363876</v>
      </c>
      <c r="CW57">
        <v>0.06</v>
      </c>
      <c r="CX57" t="e">
        <v>#VALUE!</v>
      </c>
      <c r="CY57" t="s">
        <v>1211</v>
      </c>
      <c r="CZ57">
        <v>7.3738206923007962E-2</v>
      </c>
      <c r="DA57" t="e">
        <v>#VALUE!</v>
      </c>
      <c r="DB57" t="s">
        <v>1179</v>
      </c>
      <c r="DC57">
        <v>7.0051296576857561E-2</v>
      </c>
      <c r="DD57" t="e">
        <v>#VALUE!</v>
      </c>
      <c r="DE57" t="s">
        <v>1179</v>
      </c>
      <c r="DF57">
        <v>6.488962209224701E-2</v>
      </c>
      <c r="DG57" t="e">
        <v>#VALUE!</v>
      </c>
      <c r="DH57" t="s">
        <v>1179</v>
      </c>
      <c r="DI57">
        <v>5.899056553840637E-2</v>
      </c>
      <c r="DJ57" t="e">
        <v>#VALUE!</v>
      </c>
      <c r="DK57" t="s">
        <v>1179</v>
      </c>
      <c r="DL57">
        <v>5.1616744846105574E-2</v>
      </c>
      <c r="DM57">
        <v>-87732000</v>
      </c>
      <c r="DN57">
        <v>7.3738206923007962E-2</v>
      </c>
      <c r="DO57">
        <v>1958893600</v>
      </c>
      <c r="DP57">
        <v>-162397740</v>
      </c>
      <c r="DQ57">
        <v>2104</v>
      </c>
      <c r="DR57">
        <v>-0.23196605502427381</v>
      </c>
      <c r="DS57">
        <v>3.7758037529657225</v>
      </c>
      <c r="DT57" s="10">
        <v>-0.3066666666666667</v>
      </c>
      <c r="DU57">
        <v>-2.2483333333333335</v>
      </c>
      <c r="DV57">
        <v>-2.5550000000000002</v>
      </c>
      <c r="DW57">
        <v>-7.3697664169237553</v>
      </c>
      <c r="DX57">
        <v>0.24942000000000092</v>
      </c>
      <c r="DY57">
        <v>-7.0256691846628474</v>
      </c>
      <c r="DZ57">
        <v>4706</v>
      </c>
      <c r="EA57">
        <v>-7.0020294228187456</v>
      </c>
      <c r="EB57">
        <v>7</v>
      </c>
      <c r="EC57">
        <v>0.40217741306469146</v>
      </c>
      <c r="ED57">
        <v>5.7933940228275915</v>
      </c>
      <c r="EE57" s="11">
        <v>5.0019099999999996</v>
      </c>
      <c r="EF57">
        <v>5.0459100000000001</v>
      </c>
      <c r="EG57">
        <v>18.069420000000001</v>
      </c>
      <c r="EH57" t="s">
        <v>3961</v>
      </c>
      <c r="EI57">
        <v>0</v>
      </c>
      <c r="EJ57">
        <v>0</v>
      </c>
      <c r="EK57" s="12">
        <v>45470</v>
      </c>
      <c r="EL57">
        <v>-8.32</v>
      </c>
      <c r="EM57">
        <v>-3.71</v>
      </c>
      <c r="EN57">
        <v>4.3899999999999997</v>
      </c>
      <c r="EO57">
        <v>0.31</v>
      </c>
      <c r="EP57">
        <v>-4.4000000000000004</v>
      </c>
    </row>
    <row r="58" spans="1:146" ht="96" x14ac:dyDescent="0.25">
      <c r="C58" s="6" t="str">
        <f>""&amp;CHAR(10)&amp;Basic_Fundamental_Information_Constructure(F58)&amp;CHAR(10)&amp;Basic_Fundamental_Information_Concatenate("")</f>
        <v xml:space="preserve">
市值160.71026亿, 利润987.51万; PE280.1; 平均PE307.59; 平均PEG48.61, PB9.65; ROIC3.19%; ROE4.22%; 股利率.0663%; 毛利7.6767%; 净利3.16%; 上一年度营收增-20.06%, 利润增-82.31%; 当季营收增28.86%, 利润增412.94%; 过往5年营收增6.33%, 利润增-2.68%
Income profile:
</v>
      </c>
      <c r="D58" t="s">
        <v>769</v>
      </c>
      <c r="E58" t="s">
        <v>770</v>
      </c>
      <c r="F58">
        <v>30.17</v>
      </c>
      <c r="G58">
        <v>2.58</v>
      </c>
      <c r="H58" t="s">
        <v>3962</v>
      </c>
      <c r="I58">
        <v>16071026000</v>
      </c>
      <c r="J58">
        <v>280.10000000000002</v>
      </c>
      <c r="K58">
        <v>9.65</v>
      </c>
      <c r="L58" t="s">
        <v>428</v>
      </c>
      <c r="M58" t="s">
        <v>1830</v>
      </c>
      <c r="N58" t="s">
        <v>3963</v>
      </c>
      <c r="O58" t="s">
        <v>197</v>
      </c>
      <c r="P58">
        <v>28.8</v>
      </c>
      <c r="Q58" t="s">
        <v>2678</v>
      </c>
      <c r="R58">
        <v>58992456</v>
      </c>
      <c r="S58" s="4">
        <v>4.1289999999999996</v>
      </c>
      <c r="T58" t="s">
        <v>2679</v>
      </c>
      <c r="U58">
        <v>532386450</v>
      </c>
      <c r="V58">
        <v>532682320</v>
      </c>
      <c r="W58">
        <v>1.42</v>
      </c>
      <c r="X58">
        <v>0.23</v>
      </c>
      <c r="Y58">
        <v>11.39</v>
      </c>
      <c r="Z58" t="s">
        <v>993</v>
      </c>
      <c r="AA58" t="s">
        <v>89</v>
      </c>
      <c r="AB58" t="s">
        <v>3964</v>
      </c>
      <c r="AC58" t="s">
        <v>3965</v>
      </c>
      <c r="AD58" t="s">
        <v>5</v>
      </c>
      <c r="AE58">
        <v>-3578804</v>
      </c>
      <c r="AF58" t="s">
        <v>2680</v>
      </c>
      <c r="AG58" t="s">
        <v>3966</v>
      </c>
      <c r="AH58" t="s">
        <v>2681</v>
      </c>
      <c r="AI58" t="s">
        <v>513</v>
      </c>
      <c r="AJ58" t="s">
        <v>2682</v>
      </c>
      <c r="AK58" t="s">
        <v>3967</v>
      </c>
      <c r="AL58" t="s">
        <v>2683</v>
      </c>
      <c r="AM58" t="s">
        <v>5</v>
      </c>
      <c r="AN58" t="s">
        <v>39</v>
      </c>
      <c r="AO58" t="s">
        <v>46</v>
      </c>
      <c r="AP58" t="s">
        <v>3968</v>
      </c>
      <c r="AQ58" t="s">
        <v>3969</v>
      </c>
      <c r="AR58" t="s">
        <v>5</v>
      </c>
      <c r="AS58" t="s">
        <v>208</v>
      </c>
      <c r="AT58" t="s">
        <v>5</v>
      </c>
      <c r="AU58" t="s">
        <v>2130</v>
      </c>
      <c r="AV58" t="s">
        <v>3613</v>
      </c>
      <c r="AW58" t="s">
        <v>3970</v>
      </c>
      <c r="AX58" t="s">
        <v>1808</v>
      </c>
      <c r="AY58" t="s">
        <v>1333</v>
      </c>
      <c r="AZ58" t="s">
        <v>206</v>
      </c>
      <c r="BA58" t="s">
        <v>771</v>
      </c>
      <c r="BB58" t="s">
        <v>297</v>
      </c>
      <c r="BC58" t="s">
        <v>1809</v>
      </c>
      <c r="BD58" t="s">
        <v>61</v>
      </c>
      <c r="BE58" t="s">
        <v>1334</v>
      </c>
      <c r="BF58" t="s">
        <v>772</v>
      </c>
      <c r="BG58" t="s">
        <v>773</v>
      </c>
      <c r="BH58" t="s">
        <v>2678</v>
      </c>
      <c r="BI58" t="s">
        <v>79</v>
      </c>
      <c r="BJ58" t="s">
        <v>1808</v>
      </c>
      <c r="BK58" t="s">
        <v>2679</v>
      </c>
      <c r="BL58" t="s">
        <v>2684</v>
      </c>
      <c r="BM58" t="s">
        <v>1809</v>
      </c>
      <c r="BN58">
        <v>0.51</v>
      </c>
      <c r="BO58">
        <v>2.8</v>
      </c>
      <c r="BP58">
        <v>6.26</v>
      </c>
      <c r="BQ58">
        <v>1.75</v>
      </c>
      <c r="BR58">
        <v>3.67</v>
      </c>
      <c r="BS58">
        <v>7.24</v>
      </c>
      <c r="BT58" t="s">
        <v>1813</v>
      </c>
      <c r="BU58" t="s">
        <v>1516</v>
      </c>
      <c r="BV58">
        <v>3.85</v>
      </c>
      <c r="BW58">
        <v>6.18</v>
      </c>
      <c r="BX58">
        <v>13</v>
      </c>
      <c r="BY58">
        <v>0.64</v>
      </c>
      <c r="BZ58">
        <v>2.9</v>
      </c>
      <c r="CA58">
        <v>5.94</v>
      </c>
      <c r="CB58">
        <v>13.46</v>
      </c>
      <c r="CC58">
        <v>7.83</v>
      </c>
      <c r="CD58" t="s">
        <v>102</v>
      </c>
      <c r="CE58" t="s">
        <v>3971</v>
      </c>
      <c r="CF58" s="8">
        <v>0.28855721393034844</v>
      </c>
      <c r="CG58" s="9">
        <v>4.1293773530767162</v>
      </c>
      <c r="CH58" s="8">
        <v>-0.20062370598316193</v>
      </c>
      <c r="CI58" s="8">
        <v>9.3803256750106812E-2</v>
      </c>
      <c r="CJ58" s="8">
        <v>0.33459791541099548</v>
      </c>
      <c r="CK58" s="8">
        <v>7.645260076969862E-3</v>
      </c>
      <c r="CL58" s="8">
        <v>8.0991737544536591E-2</v>
      </c>
      <c r="CM58" s="9">
        <v>-0.82313781976699829</v>
      </c>
      <c r="CN58" s="9">
        <v>-0.46312499046325684</v>
      </c>
      <c r="CO58" s="9">
        <v>1.4187396764755249</v>
      </c>
      <c r="CP58" s="9">
        <v>6.3060298562049866E-2</v>
      </c>
      <c r="CQ58" s="9">
        <v>-0.32964625954627991</v>
      </c>
      <c r="CR58">
        <v>307.58778467677752</v>
      </c>
      <c r="CS58">
        <v>48.605202964384091</v>
      </c>
      <c r="CT58">
        <v>6.6291017567119651E-2</v>
      </c>
      <c r="CU58" s="8">
        <v>6.3282892759889367E-2</v>
      </c>
      <c r="CV58" s="9">
        <v>-2.6821818947792054E-2</v>
      </c>
      <c r="CW58">
        <v>0.06</v>
      </c>
      <c r="CX58">
        <v>1531.1437565008016</v>
      </c>
      <c r="CY58">
        <v>9905683.8625407405</v>
      </c>
      <c r="CZ58">
        <v>6.3282892759889367E-2</v>
      </c>
      <c r="DA58">
        <v>511.8472484307141</v>
      </c>
      <c r="DB58">
        <v>29631938.134865396</v>
      </c>
      <c r="DC58">
        <v>6.0118748121894897E-2</v>
      </c>
      <c r="DD58">
        <v>259.65206415142256</v>
      </c>
      <c r="DE58">
        <v>58412884.371121243</v>
      </c>
      <c r="DF58">
        <v>5.5688945628702642E-2</v>
      </c>
      <c r="DG58">
        <v>161.22572848748729</v>
      </c>
      <c r="DH58">
        <v>94073235.967279941</v>
      </c>
      <c r="DI58">
        <v>5.0626314207911499E-2</v>
      </c>
      <c r="DJ58">
        <v>89.490473875114688</v>
      </c>
      <c r="DK58">
        <v>169482016.83640444</v>
      </c>
      <c r="DL58">
        <v>4.4298024931922551E-2</v>
      </c>
      <c r="DM58">
        <v>9875100</v>
      </c>
      <c r="DN58">
        <v>6.3282892759889367E-2</v>
      </c>
      <c r="DO58">
        <v>15167026000</v>
      </c>
      <c r="DP58">
        <v>1168867000</v>
      </c>
      <c r="DQ58">
        <v>2108</v>
      </c>
      <c r="DR58">
        <v>0.22527432117045909</v>
      </c>
      <c r="DS58">
        <v>4.1561991720245084</v>
      </c>
      <c r="DT58" s="10">
        <v>-0.47333333333333333</v>
      </c>
      <c r="DU58">
        <v>0.28333333333333333</v>
      </c>
      <c r="DV58">
        <v>-0.19</v>
      </c>
      <c r="DW58">
        <v>5.5817236255572062</v>
      </c>
      <c r="DX58">
        <v>0.38755656905305003</v>
      </c>
      <c r="DY58">
        <v>5.0800199060687508</v>
      </c>
      <c r="DZ58">
        <v>2167</v>
      </c>
      <c r="EA58">
        <v>5.0460858284853884</v>
      </c>
      <c r="EB58">
        <v>5</v>
      </c>
      <c r="EC58">
        <v>0.57069662083021644</v>
      </c>
      <c r="ED58">
        <v>4.1488142501144019</v>
      </c>
      <c r="EE58" s="11">
        <v>10.07741</v>
      </c>
      <c r="EF58">
        <v>9.02121</v>
      </c>
      <c r="EG58">
        <v>25.13755656905305</v>
      </c>
      <c r="EH58" t="s">
        <v>3972</v>
      </c>
      <c r="EI58">
        <v>1</v>
      </c>
      <c r="EJ58">
        <v>0</v>
      </c>
      <c r="EK58" s="12">
        <v>45470</v>
      </c>
      <c r="EL58">
        <v>-8.06</v>
      </c>
      <c r="EM58">
        <v>11.79</v>
      </c>
      <c r="EN58">
        <v>-3.92</v>
      </c>
      <c r="EO58">
        <v>-1.87</v>
      </c>
      <c r="EP58">
        <v>-9.3800000000000008</v>
      </c>
    </row>
    <row r="59" spans="1:146" ht="96" x14ac:dyDescent="0.25">
      <c r="C59" s="6" t="str">
        <f>""&amp;CHAR(10)&amp;Basic_Fundamental_Information_Constructure(F59)&amp;CHAR(10)&amp;Basic_Fundamental_Information_Concatenate("")</f>
        <v xml:space="preserve">
市值9.4938656亿, 利润2066.99万; PE274.3; 平均PE2978.62; 平均PEG174.49, PB1.87; ROIC2.32%; ROE-6.8%; 股利率.998%; 毛利17.4367%; 净利-4.02%; 上一年度营收增24.25%, 利润增120.26%; 当季营收增-35.61%, 利润增-471.27%; 过往5年营收增17.07%, 利润增-167.65%
Income profile:
</v>
      </c>
      <c r="D59" t="s">
        <v>775</v>
      </c>
      <c r="E59" t="s">
        <v>776</v>
      </c>
      <c r="F59">
        <v>5.01</v>
      </c>
      <c r="G59">
        <v>1.62</v>
      </c>
      <c r="H59" t="s">
        <v>3973</v>
      </c>
      <c r="I59">
        <v>949386560</v>
      </c>
      <c r="J59">
        <v>274.3</v>
      </c>
      <c r="K59">
        <v>1.87</v>
      </c>
      <c r="L59" t="s">
        <v>428</v>
      </c>
      <c r="M59" t="s">
        <v>2176</v>
      </c>
      <c r="N59" t="s">
        <v>430</v>
      </c>
      <c r="O59" t="s">
        <v>2685</v>
      </c>
      <c r="P59">
        <v>-35.68</v>
      </c>
      <c r="Q59" t="s">
        <v>1623</v>
      </c>
      <c r="R59">
        <v>-13556950</v>
      </c>
      <c r="S59" s="4">
        <v>-4.7130000000000001</v>
      </c>
      <c r="T59" t="s">
        <v>2686</v>
      </c>
      <c r="U59">
        <v>150653700</v>
      </c>
      <c r="V59">
        <v>189498320</v>
      </c>
      <c r="W59">
        <v>3.23</v>
      </c>
      <c r="X59">
        <v>0.04</v>
      </c>
      <c r="Y59">
        <v>-20.440000000000001</v>
      </c>
      <c r="Z59" t="s">
        <v>3974</v>
      </c>
      <c r="AA59" t="s">
        <v>3975</v>
      </c>
      <c r="AB59" t="s">
        <v>3976</v>
      </c>
      <c r="AC59" t="s">
        <v>3977</v>
      </c>
      <c r="AD59" t="s">
        <v>5</v>
      </c>
      <c r="AE59">
        <v>8519314</v>
      </c>
      <c r="AF59" t="s">
        <v>32</v>
      </c>
      <c r="AG59" t="s">
        <v>3978</v>
      </c>
      <c r="AH59" t="s">
        <v>2688</v>
      </c>
      <c r="AI59" t="s">
        <v>3979</v>
      </c>
      <c r="AJ59" t="s">
        <v>2689</v>
      </c>
      <c r="AK59" t="s">
        <v>1874</v>
      </c>
      <c r="AL59" t="s">
        <v>2690</v>
      </c>
      <c r="AM59" t="s">
        <v>5</v>
      </c>
      <c r="AN59" t="s">
        <v>45</v>
      </c>
      <c r="AO59" t="s">
        <v>136</v>
      </c>
      <c r="AP59" t="s">
        <v>3980</v>
      </c>
      <c r="AQ59" t="s">
        <v>2031</v>
      </c>
      <c r="AR59" t="s">
        <v>5</v>
      </c>
      <c r="AS59" t="s">
        <v>3981</v>
      </c>
      <c r="AT59" t="s">
        <v>1711</v>
      </c>
      <c r="AU59" t="s">
        <v>3982</v>
      </c>
      <c r="AV59" t="s">
        <v>3983</v>
      </c>
      <c r="AW59" t="s">
        <v>3984</v>
      </c>
      <c r="AX59" t="s">
        <v>1057</v>
      </c>
      <c r="AY59" t="s">
        <v>411</v>
      </c>
      <c r="AZ59" t="s">
        <v>412</v>
      </c>
      <c r="BA59" t="s">
        <v>374</v>
      </c>
      <c r="BB59" t="s">
        <v>522</v>
      </c>
      <c r="BC59" t="s">
        <v>1765</v>
      </c>
      <c r="BD59" t="s">
        <v>1335</v>
      </c>
      <c r="BE59" t="s">
        <v>1336</v>
      </c>
      <c r="BF59" t="s">
        <v>777</v>
      </c>
      <c r="BG59" t="s">
        <v>778</v>
      </c>
      <c r="BH59" t="s">
        <v>1623</v>
      </c>
      <c r="BI59" t="s">
        <v>94</v>
      </c>
      <c r="BJ59" t="s">
        <v>1057</v>
      </c>
      <c r="BK59" t="s">
        <v>2686</v>
      </c>
      <c r="BL59" t="s">
        <v>2691</v>
      </c>
      <c r="BM59" t="s">
        <v>1765</v>
      </c>
      <c r="BN59" t="s">
        <v>5</v>
      </c>
      <c r="BO59" t="s">
        <v>5</v>
      </c>
      <c r="BP59">
        <v>2.3199999999999998</v>
      </c>
      <c r="BQ59">
        <v>-2.99</v>
      </c>
      <c r="BR59">
        <v>-19.739999999999998</v>
      </c>
      <c r="BS59">
        <v>2.33</v>
      </c>
      <c r="BT59" t="s">
        <v>1673</v>
      </c>
      <c r="BU59" t="s">
        <v>1515</v>
      </c>
      <c r="BV59">
        <v>20.57</v>
      </c>
      <c r="BW59">
        <v>11.14</v>
      </c>
      <c r="BX59">
        <v>20.6</v>
      </c>
      <c r="BY59">
        <v>2.5299999999999998</v>
      </c>
      <c r="BZ59">
        <v>-16.53</v>
      </c>
      <c r="CA59">
        <v>1.94</v>
      </c>
      <c r="CB59">
        <v>-1.18</v>
      </c>
      <c r="CC59">
        <v>-16.78</v>
      </c>
      <c r="CD59" t="s">
        <v>3985</v>
      </c>
      <c r="CE59" t="s">
        <v>63</v>
      </c>
      <c r="CF59" s="8">
        <v>-0.35608490566037737</v>
      </c>
      <c r="CG59" s="9">
        <v>-4.7127071066684927</v>
      </c>
      <c r="CH59" s="8">
        <v>0.24246987700462341</v>
      </c>
      <c r="CI59" s="8">
        <v>6.2399998307228088E-2</v>
      </c>
      <c r="CJ59" s="8">
        <v>3.1353134661912918E-2</v>
      </c>
      <c r="CK59" s="8">
        <v>0.2144288569688797</v>
      </c>
      <c r="CL59" s="8">
        <v>0.30287206172943115</v>
      </c>
      <c r="CM59" s="9">
        <v>1.2026461362838745</v>
      </c>
      <c r="CN59" s="9">
        <v>-9.0856122970581055</v>
      </c>
      <c r="CO59" s="9">
        <v>-0.47774571180343628</v>
      </c>
      <c r="CP59" s="9">
        <v>0.13947881758213043</v>
      </c>
      <c r="CQ59" s="9">
        <v>-0.16127781569957733</v>
      </c>
      <c r="CR59">
        <v>2978.6233842292463</v>
      </c>
      <c r="CS59">
        <v>174.48974095333398</v>
      </c>
      <c r="CT59">
        <v>0.99800399201596812</v>
      </c>
      <c r="CU59" s="8">
        <v>0.17070478573441505</v>
      </c>
      <c r="CV59" s="9">
        <v>-1.6765021741390229</v>
      </c>
      <c r="CW59">
        <v>0.06</v>
      </c>
      <c r="CX59">
        <v>72.688827617053207</v>
      </c>
      <c r="CY59">
        <v>22828632.877973378</v>
      </c>
      <c r="CZ59">
        <v>0.17070478573441505</v>
      </c>
      <c r="DA59">
        <v>22.199118912657642</v>
      </c>
      <c r="DB59">
        <v>74750109.070943341</v>
      </c>
      <c r="DC59">
        <v>0.1621695464476943</v>
      </c>
      <c r="DD59">
        <v>9.9558360976717264</v>
      </c>
      <c r="DE59">
        <v>166674756.7678484</v>
      </c>
      <c r="DF59">
        <v>0.15022021144628525</v>
      </c>
      <c r="DG59">
        <v>5.3622559205766018</v>
      </c>
      <c r="DH59">
        <v>309456800.37993538</v>
      </c>
      <c r="DI59">
        <v>0.13656382858753205</v>
      </c>
      <c r="DJ59">
        <v>2.1539977132994301</v>
      </c>
      <c r="DK59">
        <v>770375265.37491095</v>
      </c>
      <c r="DL59">
        <v>0.11949335001409053</v>
      </c>
      <c r="DM59">
        <v>20669899.999999996</v>
      </c>
      <c r="DN59">
        <v>0.17070478573441505</v>
      </c>
      <c r="DO59">
        <v>1659386560</v>
      </c>
      <c r="DP59">
        <v>153281200</v>
      </c>
      <c r="DQ59">
        <v>2131</v>
      </c>
      <c r="DR59">
        <v>-0.52678969139479248</v>
      </c>
      <c r="DS59">
        <v>-3.0362049325294698</v>
      </c>
      <c r="DT59" s="10">
        <v>-5.6666666666666719E-2</v>
      </c>
      <c r="DU59">
        <v>-1.5149999999999999</v>
      </c>
      <c r="DV59">
        <v>-1.5716666666666665</v>
      </c>
      <c r="DW59">
        <v>-3.0088214285714288</v>
      </c>
      <c r="DX59">
        <v>0.36350268456375701</v>
      </c>
      <c r="DY59">
        <v>-3.0010894701102591</v>
      </c>
      <c r="DZ59">
        <v>4072</v>
      </c>
      <c r="EA59">
        <v>-3.0002213052787572</v>
      </c>
      <c r="EB59">
        <v>3</v>
      </c>
      <c r="EC59">
        <v>9.7108512624280788E-2</v>
      </c>
      <c r="ED59">
        <v>0.78628665415081256</v>
      </c>
      <c r="EE59" s="11">
        <v>-4.0198</v>
      </c>
      <c r="EF59">
        <v>-4.0016100000000003</v>
      </c>
      <c r="EG59">
        <v>24.123502684563757</v>
      </c>
      <c r="EH59" t="s">
        <v>2156</v>
      </c>
      <c r="EI59">
        <v>0</v>
      </c>
      <c r="EJ59">
        <v>0</v>
      </c>
      <c r="EK59" s="12">
        <v>45470</v>
      </c>
      <c r="EL59">
        <v>1.76</v>
      </c>
      <c r="EM59">
        <v>-6.36</v>
      </c>
      <c r="EN59">
        <v>1.44</v>
      </c>
      <c r="EO59">
        <v>4.46</v>
      </c>
      <c r="EP59">
        <v>-2.14</v>
      </c>
    </row>
    <row r="60" spans="1:146" ht="96" x14ac:dyDescent="0.25">
      <c r="C60" s="6" t="str">
        <f>""&amp;CHAR(10)&amp;Basic_Fundamental_Information_Constructure(F60)&amp;CHAR(10)&amp;Basic_Fundamental_Information_Concatenate("")</f>
        <v xml:space="preserve">
市值21.463045亿, 利润-3529.19万; PE; 平均PE52.54; 平均PEG4.51, PB1.75; ROIC7.315%; ROE6.4233%; 股利率.768%; 毛利17.16%; 净利4.2633%; 上一年度营收增16.73%, 利润增-132.08%; 当季营收增7.8%, 利润增119.45%; 过往5年营收增11.64%, 利润增622.15%
Income profile:
</v>
      </c>
      <c r="D60" t="s">
        <v>779</v>
      </c>
      <c r="E60" t="s">
        <v>780</v>
      </c>
      <c r="F60">
        <v>13.02</v>
      </c>
      <c r="G60">
        <v>1.01</v>
      </c>
      <c r="H60" t="s">
        <v>3986</v>
      </c>
      <c r="I60">
        <v>2146304500</v>
      </c>
      <c r="K60">
        <v>1.75</v>
      </c>
      <c r="L60" t="s">
        <v>428</v>
      </c>
      <c r="M60" t="s">
        <v>2692</v>
      </c>
      <c r="N60" t="s">
        <v>3987</v>
      </c>
      <c r="O60" t="s">
        <v>665</v>
      </c>
      <c r="P60">
        <v>7.9</v>
      </c>
      <c r="Q60" t="s">
        <v>2038</v>
      </c>
      <c r="R60">
        <v>4924878</v>
      </c>
      <c r="S60" s="4">
        <v>1.1950000000000001</v>
      </c>
      <c r="T60" t="s">
        <v>2693</v>
      </c>
      <c r="U60">
        <v>137160880</v>
      </c>
      <c r="V60">
        <v>164846740</v>
      </c>
      <c r="W60">
        <v>2.0699999999999998</v>
      </c>
      <c r="X60">
        <v>0.15</v>
      </c>
      <c r="Y60">
        <v>0.22</v>
      </c>
      <c r="Z60" t="s">
        <v>79</v>
      </c>
      <c r="AA60" t="s">
        <v>448</v>
      </c>
      <c r="AB60" t="s">
        <v>3988</v>
      </c>
      <c r="AC60" t="s">
        <v>3989</v>
      </c>
      <c r="AD60" t="s">
        <v>5</v>
      </c>
      <c r="AE60">
        <v>10942842</v>
      </c>
      <c r="AF60" t="s">
        <v>32</v>
      </c>
      <c r="AG60">
        <v>1200</v>
      </c>
      <c r="AH60" t="s">
        <v>2694</v>
      </c>
      <c r="AI60" t="s">
        <v>48</v>
      </c>
      <c r="AJ60" t="s">
        <v>2695</v>
      </c>
      <c r="AK60" t="s">
        <v>5</v>
      </c>
      <c r="AL60" t="s">
        <v>2696</v>
      </c>
      <c r="AM60" t="s">
        <v>5</v>
      </c>
      <c r="AN60" t="s">
        <v>1636</v>
      </c>
      <c r="AO60" t="s">
        <v>617</v>
      </c>
      <c r="AP60" t="s">
        <v>5</v>
      </c>
      <c r="AQ60" t="s">
        <v>272</v>
      </c>
      <c r="AR60" t="s">
        <v>5</v>
      </c>
      <c r="AS60" t="s">
        <v>1654</v>
      </c>
      <c r="AT60" t="s">
        <v>5</v>
      </c>
      <c r="AU60" t="s">
        <v>3990</v>
      </c>
      <c r="AV60" t="s">
        <v>3991</v>
      </c>
      <c r="AW60" t="s">
        <v>3992</v>
      </c>
      <c r="AX60" t="s">
        <v>897</v>
      </c>
      <c r="AY60" t="s">
        <v>1337</v>
      </c>
      <c r="AZ60" t="s">
        <v>701</v>
      </c>
      <c r="BA60" t="s">
        <v>631</v>
      </c>
      <c r="BB60" t="s">
        <v>740</v>
      </c>
      <c r="BC60" t="s">
        <v>59</v>
      </c>
      <c r="BD60" t="s">
        <v>41</v>
      </c>
      <c r="BE60" t="s">
        <v>1338</v>
      </c>
      <c r="BF60" t="s">
        <v>782</v>
      </c>
      <c r="BG60" t="s">
        <v>783</v>
      </c>
      <c r="BH60" t="s">
        <v>2038</v>
      </c>
      <c r="BI60" t="s">
        <v>162</v>
      </c>
      <c r="BJ60" t="s">
        <v>897</v>
      </c>
      <c r="BK60" t="s">
        <v>2693</v>
      </c>
      <c r="BL60" t="s">
        <v>2698</v>
      </c>
      <c r="BM60" t="s">
        <v>59</v>
      </c>
      <c r="BN60" t="s">
        <v>5</v>
      </c>
      <c r="BO60">
        <v>6.26</v>
      </c>
      <c r="BP60">
        <v>8.3699999999999992</v>
      </c>
      <c r="BQ60">
        <v>-3.86</v>
      </c>
      <c r="BR60">
        <v>9.67</v>
      </c>
      <c r="BS60">
        <v>13.46</v>
      </c>
      <c r="BT60" t="s">
        <v>1674</v>
      </c>
      <c r="BU60" t="s">
        <v>1516</v>
      </c>
      <c r="BV60">
        <v>11.32</v>
      </c>
      <c r="BW60">
        <v>19.37</v>
      </c>
      <c r="BX60">
        <v>20.79</v>
      </c>
      <c r="BY60">
        <v>-2.9</v>
      </c>
      <c r="BZ60">
        <v>6.66</v>
      </c>
      <c r="CA60">
        <v>9.0299999999999994</v>
      </c>
      <c r="CB60">
        <v>1.56</v>
      </c>
      <c r="CC60">
        <v>2.2000000000000002</v>
      </c>
      <c r="CD60" t="s">
        <v>3993</v>
      </c>
      <c r="CE60" t="s">
        <v>436</v>
      </c>
      <c r="CF60" s="8">
        <v>7.7956989247311828E-2</v>
      </c>
      <c r="CG60" s="9">
        <v>1.1945423302995828</v>
      </c>
      <c r="CH60" s="8">
        <v>0.16731016337871552</v>
      </c>
      <c r="CI60" s="8">
        <v>7.1724139153957367E-2</v>
      </c>
      <c r="CJ60" s="8">
        <v>0.44422310590744019</v>
      </c>
      <c r="CK60" s="8">
        <v>5.2410900592803955E-2</v>
      </c>
      <c r="CL60" s="8">
        <v>-0.15350492298603058</v>
      </c>
      <c r="CM60" s="9">
        <v>-1.3208354711532593</v>
      </c>
      <c r="CN60" s="9">
        <v>-0.1666666716337204</v>
      </c>
      <c r="CO60" s="9">
        <v>35.00396728515625</v>
      </c>
      <c r="CP60" s="9">
        <v>-1.5923399925231934</v>
      </c>
      <c r="CQ60" s="9">
        <v>-0.81659245491027832</v>
      </c>
      <c r="CR60">
        <v>52.538627302828587</v>
      </c>
      <c r="CS60">
        <v>4.5123610108483545</v>
      </c>
      <c r="CT60">
        <v>0.76804915514592942</v>
      </c>
      <c r="CU60" s="8">
        <v>0.11643267720937729</v>
      </c>
      <c r="CV60" s="9">
        <v>6.2215065389871596</v>
      </c>
      <c r="CW60">
        <v>0.06</v>
      </c>
      <c r="CX60" t="e">
        <v>#VALUE!</v>
      </c>
      <c r="CY60" t="s">
        <v>1179</v>
      </c>
      <c r="CZ60">
        <v>0.11643267720937729</v>
      </c>
      <c r="DA60" t="e">
        <v>#VALUE!</v>
      </c>
      <c r="DB60" t="s">
        <v>1179</v>
      </c>
      <c r="DC60">
        <v>0.11061104334890842</v>
      </c>
      <c r="DD60" t="e">
        <v>#VALUE!</v>
      </c>
      <c r="DE60" t="s">
        <v>1179</v>
      </c>
      <c r="DF60">
        <v>0.10246075594425201</v>
      </c>
      <c r="DG60" t="e">
        <v>#VALUE!</v>
      </c>
      <c r="DH60" t="s">
        <v>1179</v>
      </c>
      <c r="DI60">
        <v>9.3146141767501842E-2</v>
      </c>
      <c r="DJ60" t="e">
        <v>#VALUE!</v>
      </c>
      <c r="DK60" t="s">
        <v>1179</v>
      </c>
      <c r="DL60">
        <v>8.1502874046564103E-2</v>
      </c>
      <c r="DM60">
        <v>-35291900</v>
      </c>
      <c r="DN60">
        <v>0.11643267720937729</v>
      </c>
      <c r="DO60">
        <v>2277304500</v>
      </c>
      <c r="DP60">
        <v>-568866620</v>
      </c>
      <c r="DQ60">
        <v>2185</v>
      </c>
      <c r="DR60">
        <v>-3.8475687962065463E-2</v>
      </c>
      <c r="DS60">
        <v>-5.026964208687577</v>
      </c>
      <c r="DT60" s="10">
        <v>-0.24</v>
      </c>
      <c r="DU60">
        <v>-1.0000000000000002</v>
      </c>
      <c r="DV60">
        <v>-1.2400000000000002</v>
      </c>
      <c r="DW60">
        <v>2.2000000000000002E-2</v>
      </c>
      <c r="DX60">
        <v>0.24071501416430649</v>
      </c>
      <c r="DY60">
        <v>1.9957303116147312E-3</v>
      </c>
      <c r="DZ60">
        <v>3811</v>
      </c>
      <c r="EA60">
        <v>5.0732948625979181E-4</v>
      </c>
      <c r="EB60">
        <v>0</v>
      </c>
      <c r="EC60">
        <v>0.19425558552143643</v>
      </c>
      <c r="ED60">
        <v>2.1413829597115477</v>
      </c>
      <c r="EE60" s="11">
        <v>-2.04521</v>
      </c>
      <c r="EF60">
        <v>-2.1026099999999999</v>
      </c>
      <c r="EG60">
        <v>15.090715014164306</v>
      </c>
      <c r="EH60" t="s">
        <v>1710</v>
      </c>
      <c r="EI60">
        <v>0</v>
      </c>
      <c r="EJ60">
        <v>0</v>
      </c>
      <c r="EK60" s="12">
        <v>45470</v>
      </c>
      <c r="EL60">
        <v>-6.27</v>
      </c>
      <c r="EM60">
        <v>-5.66</v>
      </c>
      <c r="EN60">
        <v>0.93</v>
      </c>
      <c r="EO60">
        <v>4.78</v>
      </c>
      <c r="EP60">
        <v>-5.74</v>
      </c>
    </row>
    <row r="61" spans="1:146" ht="168" x14ac:dyDescent="0.25">
      <c r="A61" s="6" t="s">
        <v>1698</v>
      </c>
      <c r="B61" s="6" t="s">
        <v>1699</v>
      </c>
      <c r="C61" s="6" t="str">
        <f>"公司主营业务为有机硅应用材料的研发、生产、销售、应用服务。公司主要产品为有机硅深加工产品及纺织印染助剂产品，有机硅深加工产品主要包括硅油、硅橡胶、硅树脂、硅烷偶联剂及其下游应用产品；纺织印染助剂产品主要包括前处理助剂、染色印花助剂和后整理助剂三大类别。"&amp;CHAR(10)&amp;Basic_Fundamental_Information_Constructure(F61)&amp;CHAR(10)&amp;Basic_Fundamental_Information_Concatenate("有机硅深加工产品 3.26亿 64.68% 利润占比58.97% 19.43%
纺织印染助剂产品 1.74亿 34.52% 利润占比40.18% 24.80%
其他业务 404.42万 0.80% 利润占比0.85% 22.60%")</f>
        <v>公司主营业务为有机硅应用材料的研发、生产、销售、应用服务。公司主要产品为有机硅深加工产品及纺织印染助剂产品，有机硅深加工产品主要包括硅油、硅橡胶、硅树脂、硅烷偶联剂及其下游应用产品；纺织印染助剂产品主要包括前处理助剂、染色印花助剂和后整理助剂三大类别。
市值27.179亿, 利润8221.03万; PE31.38; 平均PE37.33; 平均PEG2.75, PB3.15; ROIC10.27%; ROE11.25%; 股利率.9398%; 毛利23.9067%; 净利7.7633%; 上一年度营收增-4.06%, 利润增-8.8%; 当季营收增11.19%, 利润增28.46%; 过往5年营收增13.55%, 利润增8.61%
Income profile:
有机硅深加工产品 3.26亿 64.68% 利润占比58.97% 19.43%
纺织印染助剂产品 1.74亿 34.52% 利润占比40.18% 24.80%
其他业务 404.42万 0.80% 利润占比0.85% 22.60%</v>
      </c>
      <c r="D61" t="s">
        <v>784</v>
      </c>
      <c r="E61" t="s">
        <v>785</v>
      </c>
      <c r="F61">
        <v>21.28</v>
      </c>
      <c r="G61">
        <v>1.92</v>
      </c>
      <c r="H61" t="s">
        <v>3994</v>
      </c>
      <c r="I61">
        <v>2717900000</v>
      </c>
      <c r="J61">
        <v>31.38</v>
      </c>
      <c r="K61">
        <v>3.15</v>
      </c>
      <c r="L61" t="s">
        <v>428</v>
      </c>
      <c r="M61" t="s">
        <v>159</v>
      </c>
      <c r="N61" t="s">
        <v>1637</v>
      </c>
      <c r="O61" t="s">
        <v>2031</v>
      </c>
      <c r="P61">
        <v>11.16</v>
      </c>
      <c r="Q61" t="s">
        <v>369</v>
      </c>
      <c r="R61">
        <v>19857159</v>
      </c>
      <c r="S61" s="4">
        <v>0.28460000000000002</v>
      </c>
      <c r="T61" t="s">
        <v>2699</v>
      </c>
      <c r="U61">
        <v>113884049</v>
      </c>
      <c r="V61">
        <v>127720867</v>
      </c>
      <c r="W61">
        <v>1.68</v>
      </c>
      <c r="X61">
        <v>0.19</v>
      </c>
      <c r="Y61">
        <v>6.66</v>
      </c>
      <c r="Z61" t="s">
        <v>600</v>
      </c>
      <c r="AA61" t="s">
        <v>241</v>
      </c>
      <c r="AB61" t="s">
        <v>3995</v>
      </c>
      <c r="AC61" t="s">
        <v>3996</v>
      </c>
      <c r="AD61" t="s">
        <v>5</v>
      </c>
      <c r="AE61">
        <v>1886301</v>
      </c>
      <c r="AF61" t="s">
        <v>2700</v>
      </c>
      <c r="AG61">
        <v>8798.6299999999992</v>
      </c>
      <c r="AH61" t="s">
        <v>2701</v>
      </c>
      <c r="AI61" t="s">
        <v>241</v>
      </c>
      <c r="AJ61" t="s">
        <v>2702</v>
      </c>
      <c r="AK61" t="s">
        <v>136</v>
      </c>
      <c r="AL61" t="s">
        <v>2703</v>
      </c>
      <c r="AM61" t="s">
        <v>5</v>
      </c>
      <c r="AN61" t="s">
        <v>3997</v>
      </c>
      <c r="AO61" t="s">
        <v>5</v>
      </c>
      <c r="AP61" t="s">
        <v>40</v>
      </c>
      <c r="AQ61" t="s">
        <v>3998</v>
      </c>
      <c r="AR61" t="s">
        <v>5</v>
      </c>
      <c r="AS61" t="s">
        <v>436</v>
      </c>
      <c r="AT61" t="s">
        <v>5</v>
      </c>
      <c r="AU61" t="s">
        <v>3999</v>
      </c>
      <c r="AV61" t="s">
        <v>4000</v>
      </c>
      <c r="AW61" t="s">
        <v>4001</v>
      </c>
      <c r="AX61" t="s">
        <v>1810</v>
      </c>
      <c r="AY61" t="s">
        <v>1008</v>
      </c>
      <c r="AZ61" t="s">
        <v>290</v>
      </c>
      <c r="BA61" t="s">
        <v>151</v>
      </c>
      <c r="BB61" t="s">
        <v>690</v>
      </c>
      <c r="BC61" t="s">
        <v>2704</v>
      </c>
      <c r="BD61" t="s">
        <v>1339</v>
      </c>
      <c r="BE61" t="s">
        <v>1340</v>
      </c>
      <c r="BF61" t="s">
        <v>786</v>
      </c>
      <c r="BG61" t="s">
        <v>787</v>
      </c>
      <c r="BH61" t="s">
        <v>369</v>
      </c>
      <c r="BI61" t="s">
        <v>857</v>
      </c>
      <c r="BJ61" t="s">
        <v>1810</v>
      </c>
      <c r="BK61" t="s">
        <v>2699</v>
      </c>
      <c r="BL61" t="s">
        <v>2705</v>
      </c>
      <c r="BM61" t="s">
        <v>2704</v>
      </c>
      <c r="BN61">
        <v>5.93</v>
      </c>
      <c r="BO61">
        <v>10.66</v>
      </c>
      <c r="BP61">
        <v>14.22</v>
      </c>
      <c r="BQ61">
        <v>7.09</v>
      </c>
      <c r="BR61">
        <v>12.02</v>
      </c>
      <c r="BS61">
        <v>14.64</v>
      </c>
      <c r="BT61" t="s">
        <v>1671</v>
      </c>
      <c r="BU61" t="s">
        <v>1520</v>
      </c>
      <c r="BV61">
        <v>26.14</v>
      </c>
      <c r="BW61">
        <v>23.08</v>
      </c>
      <c r="BX61">
        <v>22.5</v>
      </c>
      <c r="BY61">
        <v>7.24</v>
      </c>
      <c r="BZ61">
        <v>7.62</v>
      </c>
      <c r="CA61">
        <v>8.43</v>
      </c>
      <c r="CB61">
        <v>-3.1</v>
      </c>
      <c r="CC61">
        <v>-12.28</v>
      </c>
      <c r="CD61" t="s">
        <v>4002</v>
      </c>
      <c r="CE61" t="s">
        <v>63</v>
      </c>
      <c r="CF61" s="8">
        <v>0.11194029850746257</v>
      </c>
      <c r="CG61" s="9">
        <v>0.28463771397518339</v>
      </c>
      <c r="CH61" s="8">
        <v>-4.0574807673692703E-2</v>
      </c>
      <c r="CI61" s="8">
        <v>7.155802845954895E-2</v>
      </c>
      <c r="CJ61" s="8">
        <v>0.55056178569793701</v>
      </c>
      <c r="CK61" s="8">
        <v>0.12836767733097076</v>
      </c>
      <c r="CL61" s="8">
        <v>-3.2208587974309921E-2</v>
      </c>
      <c r="CM61" s="9">
        <v>-8.7952673435211182E-2</v>
      </c>
      <c r="CN61" s="9">
        <v>-3.1074181199073792E-2</v>
      </c>
      <c r="CO61" s="9">
        <v>0.71705162525177002</v>
      </c>
      <c r="CP61" s="9">
        <v>5.9039350599050522E-2</v>
      </c>
      <c r="CQ61" s="9">
        <v>-0.2267448753118515</v>
      </c>
      <c r="CR61">
        <v>37.327228179660722</v>
      </c>
      <c r="CS61">
        <v>2.7539473649904238</v>
      </c>
      <c r="CT61">
        <v>0.93984962406015038</v>
      </c>
      <c r="CU61" s="8">
        <v>0.13554081916809083</v>
      </c>
      <c r="CV61" s="9">
        <v>8.6063849180936819E-2</v>
      </c>
      <c r="CW61">
        <v>0.06</v>
      </c>
      <c r="CX61">
        <v>28.499241428152274</v>
      </c>
      <c r="CY61">
        <v>88069010.760428771</v>
      </c>
      <c r="CZ61">
        <v>0.13554081916809083</v>
      </c>
      <c r="DA61">
        <v>8.9627814486251118</v>
      </c>
      <c r="DB61">
        <v>280035836.46291161</v>
      </c>
      <c r="DC61">
        <v>0.12876377820968629</v>
      </c>
      <c r="DD61">
        <v>4.1878962097665831</v>
      </c>
      <c r="DE61">
        <v>599322398.23581779</v>
      </c>
      <c r="DF61">
        <v>0.11927592086791992</v>
      </c>
      <c r="DG61">
        <v>2.3683245588219832</v>
      </c>
      <c r="DH61">
        <v>1059778732.8812894</v>
      </c>
      <c r="DI61">
        <v>0.10843265533447266</v>
      </c>
      <c r="DJ61">
        <v>1.0678937325547708</v>
      </c>
      <c r="DK61">
        <v>2350327493.724916</v>
      </c>
      <c r="DL61">
        <v>9.4878573417663578E-2</v>
      </c>
      <c r="DM61">
        <v>82210300</v>
      </c>
      <c r="DN61">
        <v>0.13554081916809083</v>
      </c>
      <c r="DO61">
        <v>2509900000</v>
      </c>
      <c r="DP61">
        <v>643742640</v>
      </c>
      <c r="DQ61">
        <v>2191</v>
      </c>
      <c r="DR61">
        <v>-2.360052066062826E-2</v>
      </c>
      <c r="DS61">
        <v>0.19857386479424657</v>
      </c>
      <c r="DT61" s="10">
        <v>-0.3066666666666667</v>
      </c>
      <c r="DU61">
        <v>0.16666666666666666</v>
      </c>
      <c r="DV61">
        <v>-0.14000000000000004</v>
      </c>
      <c r="DW61">
        <v>-8.2524429967426709</v>
      </c>
      <c r="DX61">
        <v>0.30415637583892519</v>
      </c>
      <c r="DY61">
        <v>-8.0136713978095013</v>
      </c>
      <c r="DZ61">
        <v>2046</v>
      </c>
      <c r="EA61">
        <v>-8.0081974878450701</v>
      </c>
      <c r="EB61">
        <v>8</v>
      </c>
      <c r="EC61">
        <v>6.317918277206809E-2</v>
      </c>
      <c r="ED61">
        <v>1.1666065498913345</v>
      </c>
      <c r="EE61" s="11">
        <v>-1.0095000000000001</v>
      </c>
      <c r="EF61">
        <v>-1.01481</v>
      </c>
      <c r="EG61">
        <v>25.054156375838925</v>
      </c>
      <c r="EH61" t="s">
        <v>1691</v>
      </c>
      <c r="EI61">
        <v>0</v>
      </c>
      <c r="EJ61">
        <v>0</v>
      </c>
      <c r="EK61" s="12">
        <v>45470</v>
      </c>
      <c r="EL61">
        <v>-5.84</v>
      </c>
      <c r="EM61">
        <v>-4.18</v>
      </c>
      <c r="EN61">
        <v>1.27</v>
      </c>
      <c r="EO61">
        <v>2.68</v>
      </c>
      <c r="EP61">
        <v>-2.4300000000000002</v>
      </c>
    </row>
    <row r="62" spans="1:146" ht="156" x14ac:dyDescent="0.25">
      <c r="A62" s="6" t="s">
        <v>1476</v>
      </c>
      <c r="B62" s="6" t="s">
        <v>1477</v>
      </c>
      <c r="C62" s="6" t="str">
        <f>"公司的主营业务是香精与食品配料的研发、生产和销售。公司的主要产品是食用香精、日用香精、食品配料"&amp;CHAR(10)&amp;Basic_Fundamental_Information_Constructure(F62)&amp;CHAR(10)&amp;Basic_Fundamental_Information_Concatenate("食用香精 17.05亿 87.81% 94.17% 77.07%
日用香精 1.05亿 5.42% 3.37% 44.68%
食品配料 8342.44万 4.30% 1.69% 28.34%
其他 4189.79万 2.16% 0.50% 16.60%
其他业务 606.26万 0.31% 0.27% 62.11%")</f>
        <v>公司的主营业务是香精与食品配料的研发、生产和销售。公司的主要产品是食用香精、日用香精、食品配料
市值90.472772亿, 利润3.79亿; PE25.64; 平均PE9.53; 平均PEG1.37, PB1.24; ROIC8.2767%; ROE9.1233%; 股利率2.7229%; 毛利63.3333%; 净利38.8867%; 上一年度营收增-21.59%, 利润增-47.72%; 当季营收增-2.92%, 利润增-25.46%; 过往5年营收增-6.95%, 利润增-17.97%
Income profile:
食用香精 17.05亿 87.81% 94.17% 77.07%
日用香精 1.05亿 5.42% 3.37% 44.68%
食品配料 8342.44万 4.30% 1.69% 28.34%
其他 4189.79万 2.16% 0.50% 16.60%
其他业务 606.26万 0.31% 0.27% 62.11%</v>
      </c>
      <c r="D62" t="s">
        <v>788</v>
      </c>
      <c r="E62" t="s">
        <v>789</v>
      </c>
      <c r="F62">
        <v>14.69</v>
      </c>
      <c r="G62">
        <v>0</v>
      </c>
      <c r="H62" t="s">
        <v>4003</v>
      </c>
      <c r="I62">
        <v>9047277200</v>
      </c>
      <c r="J62">
        <v>25.64</v>
      </c>
      <c r="K62">
        <v>1.24</v>
      </c>
      <c r="L62" t="s">
        <v>428</v>
      </c>
      <c r="M62" t="s">
        <v>302</v>
      </c>
      <c r="N62" t="s">
        <v>4004</v>
      </c>
      <c r="O62" t="s">
        <v>734</v>
      </c>
      <c r="P62">
        <v>-2.77</v>
      </c>
      <c r="Q62" t="s">
        <v>2615</v>
      </c>
      <c r="R62">
        <v>76777132</v>
      </c>
      <c r="S62" s="4">
        <v>-0.25359999999999999</v>
      </c>
      <c r="T62" t="s">
        <v>1262</v>
      </c>
      <c r="U62">
        <v>615877150</v>
      </c>
      <c r="V62">
        <v>615880000</v>
      </c>
      <c r="W62">
        <v>1.1000000000000001</v>
      </c>
      <c r="X62">
        <v>0.04</v>
      </c>
      <c r="Y62">
        <v>24.49</v>
      </c>
      <c r="Z62" t="s">
        <v>313</v>
      </c>
      <c r="AA62" t="s">
        <v>110</v>
      </c>
      <c r="AB62" t="s">
        <v>4005</v>
      </c>
      <c r="AC62" t="s">
        <v>4006</v>
      </c>
      <c r="AD62" t="s">
        <v>5</v>
      </c>
      <c r="AE62">
        <v>-1403760</v>
      </c>
      <c r="AF62" t="s">
        <v>2706</v>
      </c>
      <c r="AG62" t="s">
        <v>4007</v>
      </c>
      <c r="AH62" t="s">
        <v>2707</v>
      </c>
      <c r="AI62" t="s">
        <v>4008</v>
      </c>
      <c r="AJ62" t="s">
        <v>2708</v>
      </c>
      <c r="AK62" t="s">
        <v>4009</v>
      </c>
      <c r="AL62" t="s">
        <v>2709</v>
      </c>
      <c r="AM62" t="s">
        <v>5</v>
      </c>
      <c r="AN62" t="s">
        <v>4010</v>
      </c>
      <c r="AO62" t="s">
        <v>229</v>
      </c>
      <c r="AP62" t="s">
        <v>5</v>
      </c>
      <c r="AQ62" t="s">
        <v>293</v>
      </c>
      <c r="AR62" t="s">
        <v>5</v>
      </c>
      <c r="AS62" t="s">
        <v>3932</v>
      </c>
      <c r="AT62" t="s">
        <v>2710</v>
      </c>
      <c r="AU62" t="s">
        <v>4011</v>
      </c>
      <c r="AV62" t="s">
        <v>51</v>
      </c>
      <c r="AW62" t="s">
        <v>4012</v>
      </c>
      <c r="AX62" t="s">
        <v>721</v>
      </c>
      <c r="AY62" t="s">
        <v>1341</v>
      </c>
      <c r="AZ62" t="s">
        <v>1342</v>
      </c>
      <c r="BA62" t="s">
        <v>790</v>
      </c>
      <c r="BB62" t="s">
        <v>791</v>
      </c>
      <c r="BC62" t="s">
        <v>258</v>
      </c>
      <c r="BD62" t="s">
        <v>701</v>
      </c>
      <c r="BE62" t="s">
        <v>1225</v>
      </c>
      <c r="BF62" t="s">
        <v>792</v>
      </c>
      <c r="BG62" t="s">
        <v>793</v>
      </c>
      <c r="BH62" t="s">
        <v>2615</v>
      </c>
      <c r="BI62" t="s">
        <v>274</v>
      </c>
      <c r="BJ62" t="s">
        <v>721</v>
      </c>
      <c r="BK62" t="s">
        <v>1262</v>
      </c>
      <c r="BL62" t="s">
        <v>130</v>
      </c>
      <c r="BM62" t="s">
        <v>258</v>
      </c>
      <c r="BN62">
        <v>3.92</v>
      </c>
      <c r="BO62">
        <v>8.75</v>
      </c>
      <c r="BP62">
        <v>12.16</v>
      </c>
      <c r="BQ62">
        <v>4.37</v>
      </c>
      <c r="BR62">
        <v>9.6999999999999993</v>
      </c>
      <c r="BS62">
        <v>13.3</v>
      </c>
      <c r="BT62" t="s">
        <v>2711</v>
      </c>
      <c r="BU62" t="s">
        <v>1534</v>
      </c>
      <c r="BV62">
        <v>55.07</v>
      </c>
      <c r="BW62">
        <v>63.06</v>
      </c>
      <c r="BX62">
        <v>71.87</v>
      </c>
      <c r="BY62">
        <v>25.24</v>
      </c>
      <c r="BZ62">
        <v>38.71</v>
      </c>
      <c r="CA62">
        <v>52.71</v>
      </c>
      <c r="CB62">
        <v>-3.61</v>
      </c>
      <c r="CC62">
        <v>-20.98</v>
      </c>
      <c r="CD62" t="s">
        <v>4013</v>
      </c>
      <c r="CE62" t="s">
        <v>4014</v>
      </c>
      <c r="CF62" s="8">
        <v>-2.9239766081871343E-2</v>
      </c>
      <c r="CG62" s="9">
        <v>-0.25459095145631067</v>
      </c>
      <c r="CH62" s="8">
        <v>-0.21594512462615967</v>
      </c>
      <c r="CI62" s="8">
        <v>-2.4214290082454681E-2</v>
      </c>
      <c r="CJ62" s="8">
        <v>-7.306593656539917E-2</v>
      </c>
      <c r="CK62" s="8">
        <v>-4.1647568345069885E-2</v>
      </c>
      <c r="CL62" s="8">
        <v>7.3766713030636311E-3</v>
      </c>
      <c r="CM62" s="9">
        <v>-0.47724136710166931</v>
      </c>
      <c r="CN62" s="9">
        <v>-0.27788844704627991</v>
      </c>
      <c r="CO62" s="9">
        <v>-0.14915254712104797</v>
      </c>
      <c r="CP62" s="9">
        <v>-4.4534463435411453E-2</v>
      </c>
      <c r="CQ62" s="9">
        <v>5.017012357711792E-2</v>
      </c>
      <c r="CR62">
        <v>9.5251207580277235</v>
      </c>
      <c r="CS62">
        <v>1.3705357689740287</v>
      </c>
      <c r="CT62">
        <v>2.7229407760381212</v>
      </c>
      <c r="CU62" s="8">
        <v>-6.9499249663203949E-2</v>
      </c>
      <c r="CV62" s="9">
        <v>-0.17972934022545814</v>
      </c>
      <c r="CW62">
        <v>0.06</v>
      </c>
      <c r="CX62">
        <v>6.5205203166226884</v>
      </c>
      <c r="CY62" t="s">
        <v>2712</v>
      </c>
      <c r="CZ62">
        <v>-6.9499249663203949E-2</v>
      </c>
      <c r="DA62">
        <v>2.1735067722075629</v>
      </c>
      <c r="DB62" t="s">
        <v>2713</v>
      </c>
      <c r="DC62">
        <v>-6.6024287180043745E-2</v>
      </c>
      <c r="DD62">
        <v>1.0867533861037815</v>
      </c>
      <c r="DE62" t="s">
        <v>2714</v>
      </c>
      <c r="DF62">
        <v>-6.1159339703619475E-2</v>
      </c>
      <c r="DG62">
        <v>0.65205203166226888</v>
      </c>
      <c r="DH62" t="s">
        <v>2715</v>
      </c>
      <c r="DI62">
        <v>-5.5599399730563159E-2</v>
      </c>
      <c r="DJ62">
        <v>0.32602601583113444</v>
      </c>
      <c r="DK62" t="s">
        <v>2716</v>
      </c>
      <c r="DL62">
        <v>-4.8649474764242764E-2</v>
      </c>
      <c r="DM62">
        <v>379000000</v>
      </c>
      <c r="DN62">
        <v>-6.9499249663203949E-2</v>
      </c>
      <c r="DO62">
        <v>2471277199.999999</v>
      </c>
      <c r="DP62">
        <v>5343920600</v>
      </c>
      <c r="DQ62">
        <v>2203</v>
      </c>
      <c r="DR62">
        <v>4.0259483581332606E-2</v>
      </c>
      <c r="DS62">
        <v>-7.4861611230852526E-2</v>
      </c>
      <c r="DT62" s="10">
        <v>-0.60666666666666669</v>
      </c>
      <c r="DU62">
        <v>-0.53666666666666663</v>
      </c>
      <c r="DV62">
        <v>-1.1433333333333333</v>
      </c>
      <c r="DW62">
        <v>-8.1720686367969488</v>
      </c>
      <c r="DX62">
        <v>0.37629790059952994</v>
      </c>
      <c r="DY62">
        <v>-8.0234525939544472</v>
      </c>
      <c r="DZ62">
        <v>3703</v>
      </c>
      <c r="EA62">
        <v>-8.0064574950477319</v>
      </c>
      <c r="EB62">
        <v>8</v>
      </c>
      <c r="EC62">
        <v>9.5642008183412352E-3</v>
      </c>
      <c r="ED62">
        <v>7.0171299603818932E-2</v>
      </c>
      <c r="EE62" s="11">
        <v>-4.0294100000000004</v>
      </c>
      <c r="EF62">
        <v>-4.0583099999999996</v>
      </c>
      <c r="EG62">
        <v>24.13629790059953</v>
      </c>
      <c r="EH62" t="s">
        <v>2156</v>
      </c>
      <c r="EI62">
        <v>0</v>
      </c>
      <c r="EJ62">
        <v>0</v>
      </c>
      <c r="EK62" s="12">
        <v>45470</v>
      </c>
      <c r="EL62">
        <v>-0.06</v>
      </c>
      <c r="EM62">
        <v>-3.7</v>
      </c>
      <c r="EN62">
        <v>0.72</v>
      </c>
      <c r="EO62">
        <v>2.71</v>
      </c>
      <c r="EP62">
        <v>-2.89</v>
      </c>
    </row>
    <row r="63" spans="1:146" ht="264" x14ac:dyDescent="0.25">
      <c r="A63" s="6" t="s">
        <v>1110</v>
      </c>
      <c r="B63" s="6" t="s">
        <v>1111</v>
      </c>
      <c r="C63" s="6" t="str">
        <f>"公司的主营业务为高性能有机颜料、溶剂染料及相关中间体的研发、生产与销售。高性能有机颜料产品主要包括苯并咪唑酮系列、偶氮缩合系列和异吲哚啉系列，溶剂染料主要包括溶剂红195和溶剂绿5，相关中间体主要包括AABI、氨氧化中间体及1,8-萘酐等，主要应用于环境要求苛刻、安全性要求较高的油墨、塑料和涂料的着色，如食品包装油墨、UV 油墨、户外喷墨、汽车漆、户外涂料、儿童玩具着色、彩色复印碳粉等。"&amp;CHAR(10)&amp;Basic_Fundamental_Information_Constructure(F63)&amp;CHAR(10)&amp;Basic_Fundamental_Information_Concatenate("有机颜料 4.35亿 68.76% 66.23% 26.53%
中间体及材料单体 1.11亿 17.49% 12.47% 19.64%
溶剂染料 6162.38万 9.73% 12.38% 35.02%")</f>
        <v>公司的主营业务为高性能有机颜料、溶剂染料及相关中间体的研发、生产与销售。高性能有机颜料产品主要包括苯并咪唑酮系列、偶氮缩合系列和异吲哚啉系列，溶剂染料主要包括溶剂红195和溶剂绿5，相关中间体主要包括AABI、氨氧化中间体及1,8-萘酐等，主要应用于环境要求苛刻、安全性要求较高的油墨、塑料和涂料的着色，如食品包装油墨、UV 油墨、户外喷墨、汽车漆、户外涂料、儿童玩具着色、彩色复印碳粉等。
市值42.796468亿, 利润1100.25万; PE90.28; 平均PE44.56; 平均PEG2.69, PB2.65; ROIC10.9%; ROE3.6433%; 股利率0%; 毛利27.97%; 净利5.7367%; 上一年度营收增.74%, 利润增493.78%; 当季营收增22.35%, 利润增245.86%; 过往5年营收增16.58%, 利润增92%
Income profile:
有机颜料 4.35亿 68.76% 66.23% 26.53%
中间体及材料单体 1.11亿 17.49% 12.47% 19.64%
溶剂染料 6162.38万 9.73% 12.38% 35.02%</v>
      </c>
      <c r="D63" t="s">
        <v>794</v>
      </c>
      <c r="E63" t="s">
        <v>795</v>
      </c>
      <c r="F63">
        <v>10.54</v>
      </c>
      <c r="G63">
        <v>1.1499999999999999</v>
      </c>
      <c r="H63" t="s">
        <v>4015</v>
      </c>
      <c r="I63">
        <v>4279646800</v>
      </c>
      <c r="J63">
        <v>90.28</v>
      </c>
      <c r="K63">
        <v>2.65</v>
      </c>
      <c r="L63" t="s">
        <v>428</v>
      </c>
      <c r="M63" t="s">
        <v>2287</v>
      </c>
      <c r="N63" t="s">
        <v>3068</v>
      </c>
      <c r="O63" t="s">
        <v>972</v>
      </c>
      <c r="P63">
        <v>22.37</v>
      </c>
      <c r="Q63" t="s">
        <v>111</v>
      </c>
      <c r="R63">
        <v>21594789</v>
      </c>
      <c r="S63" s="4">
        <v>2.4590000000000001</v>
      </c>
      <c r="T63" t="s">
        <v>2717</v>
      </c>
      <c r="U63">
        <v>352893750</v>
      </c>
      <c r="V63">
        <v>406038600</v>
      </c>
      <c r="W63">
        <v>1.95</v>
      </c>
      <c r="X63">
        <v>0.09</v>
      </c>
      <c r="Y63">
        <v>6.93</v>
      </c>
      <c r="Z63" t="s">
        <v>116</v>
      </c>
      <c r="AA63" t="s">
        <v>135</v>
      </c>
      <c r="AB63" t="s">
        <v>4016</v>
      </c>
      <c r="AC63" t="s">
        <v>4017</v>
      </c>
      <c r="AD63" t="s">
        <v>5</v>
      </c>
      <c r="AE63">
        <v>9987979</v>
      </c>
      <c r="AF63" t="s">
        <v>2718</v>
      </c>
      <c r="AG63" t="s">
        <v>4018</v>
      </c>
      <c r="AH63" t="s">
        <v>2719</v>
      </c>
      <c r="AI63" t="s">
        <v>92</v>
      </c>
      <c r="AJ63" t="s">
        <v>2720</v>
      </c>
      <c r="AK63" t="s">
        <v>172</v>
      </c>
      <c r="AL63" t="s">
        <v>2721</v>
      </c>
      <c r="AM63" t="s">
        <v>5</v>
      </c>
      <c r="AN63" t="s">
        <v>280</v>
      </c>
      <c r="AO63" t="s">
        <v>272</v>
      </c>
      <c r="AP63" t="s">
        <v>4019</v>
      </c>
      <c r="AQ63" t="s">
        <v>6</v>
      </c>
      <c r="AR63" t="s">
        <v>5</v>
      </c>
      <c r="AS63" t="s">
        <v>3216</v>
      </c>
      <c r="AT63" t="s">
        <v>972</v>
      </c>
      <c r="AU63" t="s">
        <v>4020</v>
      </c>
      <c r="AV63" t="s">
        <v>4021</v>
      </c>
      <c r="AW63" t="s">
        <v>4022</v>
      </c>
      <c r="AX63" t="s">
        <v>1728</v>
      </c>
      <c r="AY63" t="s">
        <v>1343</v>
      </c>
      <c r="AZ63" t="s">
        <v>83</v>
      </c>
      <c r="BA63" t="s">
        <v>619</v>
      </c>
      <c r="BB63" t="s">
        <v>796</v>
      </c>
      <c r="BC63" t="s">
        <v>2723</v>
      </c>
      <c r="BD63" t="s">
        <v>272</v>
      </c>
      <c r="BE63" t="s">
        <v>212</v>
      </c>
      <c r="BF63" t="s">
        <v>49</v>
      </c>
      <c r="BG63" t="s">
        <v>42</v>
      </c>
      <c r="BH63" t="s">
        <v>111</v>
      </c>
      <c r="BI63" t="s">
        <v>407</v>
      </c>
      <c r="BJ63" t="s">
        <v>1728</v>
      </c>
      <c r="BK63" t="s">
        <v>2717</v>
      </c>
      <c r="BL63" t="s">
        <v>2724</v>
      </c>
      <c r="BM63" t="s">
        <v>2723</v>
      </c>
      <c r="BN63" t="s">
        <v>5</v>
      </c>
      <c r="BO63" t="s">
        <v>5</v>
      </c>
      <c r="BP63">
        <v>10.9</v>
      </c>
      <c r="BQ63">
        <v>-0.24</v>
      </c>
      <c r="BR63">
        <v>-0.17</v>
      </c>
      <c r="BS63">
        <v>11.34</v>
      </c>
      <c r="BT63" t="s">
        <v>1670</v>
      </c>
      <c r="BU63" t="s">
        <v>1515</v>
      </c>
      <c r="BV63">
        <v>26.13</v>
      </c>
      <c r="BW63">
        <v>26.17</v>
      </c>
      <c r="BX63">
        <v>31.61</v>
      </c>
      <c r="BY63">
        <v>1.4</v>
      </c>
      <c r="BZ63">
        <v>0.94</v>
      </c>
      <c r="CA63">
        <v>14.87</v>
      </c>
      <c r="CB63">
        <v>-1.95</v>
      </c>
      <c r="CC63">
        <v>-14.17</v>
      </c>
      <c r="CD63" t="s">
        <v>4023</v>
      </c>
      <c r="CE63" t="s">
        <v>1656</v>
      </c>
      <c r="CF63" s="8">
        <v>0.22348484848484848</v>
      </c>
      <c r="CG63" s="9">
        <v>2.4586244419077468</v>
      </c>
      <c r="CH63" s="8">
        <v>7.4442219920456409E-3</v>
      </c>
      <c r="CI63" s="8">
        <v>-0.10244997590780258</v>
      </c>
      <c r="CJ63" s="8">
        <v>0.33630958199501038</v>
      </c>
      <c r="CK63" s="8">
        <v>0.45035970211029053</v>
      </c>
      <c r="CL63" s="8">
        <v>0.13747954368591309</v>
      </c>
      <c r="CM63" s="9">
        <v>4.9377617835998535</v>
      </c>
      <c r="CN63" s="9">
        <v>-1.0155227184295654</v>
      </c>
      <c r="CO63" s="9">
        <v>2.857142873108387E-2</v>
      </c>
      <c r="CP63" s="9">
        <v>0.62037038803100586</v>
      </c>
      <c r="CQ63" s="9">
        <v>2.857142873108387E-2</v>
      </c>
      <c r="CR63">
        <v>44.563530833635888</v>
      </c>
      <c r="CS63">
        <v>2.6873245545755853</v>
      </c>
      <c r="CT63">
        <v>0</v>
      </c>
      <c r="CU63" s="8">
        <v>0.16582861477509142</v>
      </c>
      <c r="CV63" s="9">
        <v>0.91995046213269238</v>
      </c>
      <c r="CW63">
        <v>0.06</v>
      </c>
      <c r="CX63">
        <v>344.40597997764917</v>
      </c>
      <c r="CY63">
        <v>12100971.069870699</v>
      </c>
      <c r="CZ63">
        <v>0.16582861477509142</v>
      </c>
      <c r="DA63">
        <v>105.60855785882013</v>
      </c>
      <c r="DB63">
        <v>39463154.165701255</v>
      </c>
      <c r="DC63">
        <v>0.15753718403633685</v>
      </c>
      <c r="DD63">
        <v>47.634951844736619</v>
      </c>
      <c r="DE63">
        <v>87491361.670401275</v>
      </c>
      <c r="DF63">
        <v>0.14592918100208044</v>
      </c>
      <c r="DG63">
        <v>25.833408437927581</v>
      </c>
      <c r="DH63">
        <v>161327794.2016055</v>
      </c>
      <c r="DI63">
        <v>0.13266289182007315</v>
      </c>
      <c r="DJ63">
        <v>10.550137591282526</v>
      </c>
      <c r="DK63">
        <v>395032459.42912489</v>
      </c>
      <c r="DL63">
        <v>0.11608003034256399</v>
      </c>
      <c r="DM63">
        <v>11002500</v>
      </c>
      <c r="DN63">
        <v>0.16582861477509142</v>
      </c>
      <c r="DO63">
        <v>4167646800</v>
      </c>
      <c r="DP63">
        <v>167300870</v>
      </c>
      <c r="DQ63">
        <v>2217</v>
      </c>
      <c r="DR63">
        <v>5.765623370975706E-2</v>
      </c>
      <c r="DS63">
        <v>1.5386739797750544</v>
      </c>
      <c r="DT63" s="10">
        <v>-0.19000000000000003</v>
      </c>
      <c r="DU63">
        <v>0.41666666666666652</v>
      </c>
      <c r="DV63">
        <v>0.22666666666666649</v>
      </c>
      <c r="DW63">
        <v>-2.1417000000000002</v>
      </c>
      <c r="DX63">
        <v>0.27457153024911118</v>
      </c>
      <c r="DY63">
        <v>-2.009149785836299</v>
      </c>
      <c r="DZ63">
        <v>1987</v>
      </c>
      <c r="EA63">
        <v>-2.0055919336921257</v>
      </c>
      <c r="EB63">
        <v>2</v>
      </c>
      <c r="EC63">
        <v>8.9373768897833855E-2</v>
      </c>
      <c r="ED63">
        <v>1.3841048609664204</v>
      </c>
      <c r="EE63" s="11">
        <v>2.0358100000000001</v>
      </c>
      <c r="EF63">
        <v>2.0757099999999999</v>
      </c>
      <c r="EG63">
        <v>21.064571530249111</v>
      </c>
      <c r="EH63" t="s">
        <v>1706</v>
      </c>
      <c r="EI63">
        <v>0</v>
      </c>
      <c r="EJ63">
        <v>0</v>
      </c>
      <c r="EK63" s="12">
        <v>45470</v>
      </c>
      <c r="EL63">
        <v>-0.76</v>
      </c>
      <c r="EM63">
        <v>-3.72</v>
      </c>
      <c r="EN63">
        <v>-4.04</v>
      </c>
      <c r="EO63">
        <v>2.77</v>
      </c>
      <c r="EP63">
        <v>-3.99</v>
      </c>
    </row>
    <row r="64" spans="1:146" ht="96" x14ac:dyDescent="0.25">
      <c r="A64" s="6"/>
      <c r="B64" s="6" t="s">
        <v>1480</v>
      </c>
      <c r="C64" s="6" t="str">
        <f>""&amp;CHAR(10)&amp;Basic_Fundamental_Information_Constructure(F64)&amp;CHAR(10)&amp;Basic_Fundamental_Information_Concatenate("")</f>
        <v xml:space="preserve">
市值28.362587亿, 利润1584.86万; PE157.6; 平均PE56.9; 平均PEG24.23, PB1.66; ROIC1.6867%; ROE2.2833%; 股利率.3306%; 毛利12.97%; 净利2.5967%; 上一年度营收增5.33%, 利润增109.13%; 当季营收增3.37%, 利润增44.98%; 过往5年营收增-2.35%, 利润增13.81%
Income profile:
</v>
      </c>
      <c r="D64" t="s">
        <v>798</v>
      </c>
      <c r="E64" t="s">
        <v>799</v>
      </c>
      <c r="F64">
        <v>6.05</v>
      </c>
      <c r="G64">
        <v>1.17</v>
      </c>
      <c r="H64" t="s">
        <v>4024</v>
      </c>
      <c r="I64">
        <v>2836258700</v>
      </c>
      <c r="J64">
        <v>157.6</v>
      </c>
      <c r="K64">
        <v>1.66</v>
      </c>
      <c r="L64" t="s">
        <v>428</v>
      </c>
      <c r="M64" t="s">
        <v>1899</v>
      </c>
      <c r="N64" t="s">
        <v>4025</v>
      </c>
      <c r="O64" t="s">
        <v>211</v>
      </c>
      <c r="P64">
        <v>3.52</v>
      </c>
      <c r="Q64" t="s">
        <v>1651</v>
      </c>
      <c r="R64">
        <v>6928148</v>
      </c>
      <c r="S64" s="4">
        <v>0.44979999999999998</v>
      </c>
      <c r="T64" t="s">
        <v>2725</v>
      </c>
      <c r="U64">
        <v>372360650</v>
      </c>
      <c r="V64">
        <v>468803090</v>
      </c>
      <c r="W64">
        <v>1.42</v>
      </c>
      <c r="X64">
        <v>0.09</v>
      </c>
      <c r="Y64">
        <v>3.22</v>
      </c>
      <c r="Z64" t="s">
        <v>1209</v>
      </c>
      <c r="AA64" t="s">
        <v>199</v>
      </c>
      <c r="AB64" t="s">
        <v>4026</v>
      </c>
      <c r="AC64" t="s">
        <v>4027</v>
      </c>
      <c r="AD64" t="s">
        <v>5</v>
      </c>
      <c r="AE64">
        <v>340705</v>
      </c>
      <c r="AF64" t="s">
        <v>2726</v>
      </c>
      <c r="AG64" t="s">
        <v>4028</v>
      </c>
      <c r="AH64" t="s">
        <v>2727</v>
      </c>
      <c r="AI64" t="s">
        <v>271</v>
      </c>
      <c r="AJ64" t="s">
        <v>2728</v>
      </c>
      <c r="AK64" t="s">
        <v>4029</v>
      </c>
      <c r="AL64" t="s">
        <v>2729</v>
      </c>
      <c r="AM64" t="s">
        <v>5</v>
      </c>
      <c r="AN64" t="s">
        <v>4030</v>
      </c>
      <c r="AO64" t="s">
        <v>135</v>
      </c>
      <c r="AP64" t="s">
        <v>190</v>
      </c>
      <c r="AQ64" t="s">
        <v>86</v>
      </c>
      <c r="AR64" t="s">
        <v>5</v>
      </c>
      <c r="AS64" t="s">
        <v>364</v>
      </c>
      <c r="AT64" t="s">
        <v>5</v>
      </c>
      <c r="AU64" t="s">
        <v>4031</v>
      </c>
      <c r="AV64" t="s">
        <v>4032</v>
      </c>
      <c r="AW64" t="s">
        <v>57</v>
      </c>
      <c r="AX64" t="s">
        <v>766</v>
      </c>
      <c r="AY64" t="s">
        <v>950</v>
      </c>
      <c r="AZ64" t="s">
        <v>1346</v>
      </c>
      <c r="BA64" t="s">
        <v>306</v>
      </c>
      <c r="BB64" t="s">
        <v>800</v>
      </c>
      <c r="BC64" t="s">
        <v>1812</v>
      </c>
      <c r="BD64" t="s">
        <v>1345</v>
      </c>
      <c r="BE64" t="s">
        <v>1347</v>
      </c>
      <c r="BF64" t="s">
        <v>801</v>
      </c>
      <c r="BG64" t="s">
        <v>61</v>
      </c>
      <c r="BH64" t="s">
        <v>1651</v>
      </c>
      <c r="BI64" t="s">
        <v>408</v>
      </c>
      <c r="BJ64" t="s">
        <v>766</v>
      </c>
      <c r="BK64" t="s">
        <v>2725</v>
      </c>
      <c r="BL64" t="s">
        <v>2730</v>
      </c>
      <c r="BM64" t="s">
        <v>1812</v>
      </c>
      <c r="BN64">
        <v>1.31</v>
      </c>
      <c r="BO64">
        <v>0.3</v>
      </c>
      <c r="BP64">
        <v>3.45</v>
      </c>
      <c r="BQ64">
        <v>2.12</v>
      </c>
      <c r="BR64">
        <v>0.55000000000000004</v>
      </c>
      <c r="BS64">
        <v>4.18</v>
      </c>
      <c r="BT64" t="s">
        <v>1813</v>
      </c>
      <c r="BU64" t="s">
        <v>1518</v>
      </c>
      <c r="BV64">
        <v>13.12</v>
      </c>
      <c r="BW64">
        <v>10.11</v>
      </c>
      <c r="BX64">
        <v>15.68</v>
      </c>
      <c r="BY64">
        <v>1.67</v>
      </c>
      <c r="BZ64">
        <v>0.84</v>
      </c>
      <c r="CA64">
        <v>5.28</v>
      </c>
      <c r="CB64">
        <v>-2.58</v>
      </c>
      <c r="CC64">
        <v>-15.03</v>
      </c>
      <c r="CD64" t="s">
        <v>4033</v>
      </c>
      <c r="CE64" t="s">
        <v>48</v>
      </c>
      <c r="CF64" s="8">
        <v>3.3653846153846152E-2</v>
      </c>
      <c r="CG64" s="9">
        <v>0.44976730559973216</v>
      </c>
      <c r="CH64" s="8">
        <v>5.3333334624767303E-2</v>
      </c>
      <c r="CI64" s="8">
        <v>-9.3655586242675781E-2</v>
      </c>
      <c r="CJ64" s="8">
        <v>0.31697613000869751</v>
      </c>
      <c r="CK64" s="8">
        <v>-0.3291814923286438</v>
      </c>
      <c r="CL64" s="8">
        <v>-6.4891844987869263E-2</v>
      </c>
      <c r="CM64" s="9">
        <v>1.091313362121582</v>
      </c>
      <c r="CN64" s="9">
        <v>-0.85548293590545654</v>
      </c>
      <c r="CO64" s="9">
        <v>1.2906841039657593</v>
      </c>
      <c r="CP64" s="9">
        <v>-0.76238334178924561</v>
      </c>
      <c r="CQ64" s="9">
        <v>-7.3645234107971191E-2</v>
      </c>
      <c r="CR64">
        <v>56.896089853921183</v>
      </c>
      <c r="CS64">
        <v>24.22770909288209</v>
      </c>
      <c r="CT64">
        <v>0.33057851239669422</v>
      </c>
      <c r="CU64" s="8">
        <v>-2.3483891785144807E-2</v>
      </c>
      <c r="CV64" s="9">
        <v>0.13809719085693359</v>
      </c>
      <c r="CW64">
        <v>0.06</v>
      </c>
      <c r="CX64">
        <v>112.26598563911008</v>
      </c>
      <c r="CY64" t="s">
        <v>2731</v>
      </c>
      <c r="CZ64">
        <v>-2.3483891785144807E-2</v>
      </c>
      <c r="DA64">
        <v>37.421995213036695</v>
      </c>
      <c r="DB64" t="s">
        <v>2732</v>
      </c>
      <c r="DC64">
        <v>-2.2309697195887566E-2</v>
      </c>
      <c r="DD64">
        <v>18.710997606518347</v>
      </c>
      <c r="DE64" t="s">
        <v>2733</v>
      </c>
      <c r="DF64">
        <v>-2.0665824770927429E-2</v>
      </c>
      <c r="DG64">
        <v>11.226598563911008</v>
      </c>
      <c r="DH64" t="s">
        <v>2734</v>
      </c>
      <c r="DI64">
        <v>-1.8787113428115846E-2</v>
      </c>
      <c r="DJ64">
        <v>5.6132992819555039</v>
      </c>
      <c r="DK64" t="s">
        <v>2735</v>
      </c>
      <c r="DL64">
        <v>-1.6438724249601362E-2</v>
      </c>
      <c r="DM64">
        <v>15848599.999999998</v>
      </c>
      <c r="DN64">
        <v>-2.3483891785144807E-2</v>
      </c>
      <c r="DO64">
        <v>1779258700</v>
      </c>
      <c r="DP64">
        <v>514861920</v>
      </c>
      <c r="DQ64">
        <v>2255</v>
      </c>
      <c r="DR64">
        <v>5.7137737938990962E-2</v>
      </c>
      <c r="DS64">
        <v>0.3116701147427986</v>
      </c>
      <c r="DT64" s="10">
        <v>-0.42333333333333334</v>
      </c>
      <c r="DU64">
        <v>0.50666666666666671</v>
      </c>
      <c r="DV64">
        <v>8.333333333333337E-2</v>
      </c>
      <c r="DW64">
        <v>-8.171656686626747</v>
      </c>
      <c r="DX64">
        <v>0.39925839416058539</v>
      </c>
      <c r="DY64">
        <v>-8.0204715007940326</v>
      </c>
      <c r="DZ64">
        <v>899</v>
      </c>
      <c r="EA64">
        <v>-8.0168699588735173</v>
      </c>
      <c r="EB64">
        <v>8</v>
      </c>
      <c r="EC64">
        <v>3.4851306120870493E-2</v>
      </c>
      <c r="ED64">
        <v>0.29223356868232248</v>
      </c>
      <c r="EE64" s="11">
        <v>-2.0186099999999998</v>
      </c>
      <c r="EF64">
        <v>-2.0379100000000001</v>
      </c>
      <c r="EG64">
        <v>28.119258394160585</v>
      </c>
      <c r="EH64" t="s">
        <v>1710</v>
      </c>
      <c r="EI64">
        <v>0</v>
      </c>
      <c r="EJ64">
        <v>1</v>
      </c>
      <c r="EK64" s="12">
        <v>45470</v>
      </c>
      <c r="EL64">
        <v>-1.33</v>
      </c>
      <c r="EM64">
        <v>-6.11</v>
      </c>
      <c r="EN64">
        <v>-0.77</v>
      </c>
      <c r="EO64">
        <v>3.67</v>
      </c>
      <c r="EP64">
        <v>-1.93</v>
      </c>
    </row>
    <row r="65" spans="1:146" ht="96" x14ac:dyDescent="0.25">
      <c r="A65" s="6"/>
      <c r="B65" s="6"/>
      <c r="C65" s="6" t="str">
        <f>""&amp;CHAR(10)&amp;Basic_Fundamental_Information_Constructure(F65)&amp;CHAR(10)&amp;Basic_Fundamental_Information_Concatenate("")</f>
        <v xml:space="preserve">
市值33.026616亿, 利润8243.24万; PE21.79; 平均PE15.11; 平均PEG6.68, PB1.38; ROIC11.7567%; ROE12.23%; 股利率1.1045%; 毛利20.9133%; 净利11.2%; 上一年度营收增-79.43%, 利润增-79.29%; 当季营收增285.93%, 利润增81.63%; 过往5年营收增2.26%, 利润增2.46%
Income profile:
</v>
      </c>
      <c r="D65" t="s">
        <v>802</v>
      </c>
      <c r="E65" t="s">
        <v>803</v>
      </c>
      <c r="F65">
        <v>15.12</v>
      </c>
      <c r="G65">
        <v>0.47</v>
      </c>
      <c r="H65" t="s">
        <v>4034</v>
      </c>
      <c r="I65">
        <v>3302661600</v>
      </c>
      <c r="J65">
        <v>21.79</v>
      </c>
      <c r="K65">
        <v>1.38</v>
      </c>
      <c r="L65" t="s">
        <v>428</v>
      </c>
      <c r="M65" t="s">
        <v>1425</v>
      </c>
      <c r="N65" t="s">
        <v>4035</v>
      </c>
      <c r="O65" t="s">
        <v>1269</v>
      </c>
      <c r="P65">
        <v>0.67</v>
      </c>
      <c r="Q65" t="s">
        <v>1163</v>
      </c>
      <c r="R65">
        <v>41873867</v>
      </c>
      <c r="S65" s="4">
        <v>0.3029</v>
      </c>
      <c r="T65" t="s">
        <v>4036</v>
      </c>
      <c r="U65">
        <v>135731540</v>
      </c>
      <c r="V65">
        <v>218430000</v>
      </c>
      <c r="W65">
        <v>1.29</v>
      </c>
      <c r="X65">
        <v>0.17</v>
      </c>
      <c r="Y65">
        <v>8.0399999999999991</v>
      </c>
      <c r="Z65" t="s">
        <v>3170</v>
      </c>
      <c r="AA65" t="s">
        <v>77</v>
      </c>
      <c r="AB65" t="s">
        <v>4037</v>
      </c>
      <c r="AC65" t="s">
        <v>4038</v>
      </c>
      <c r="AD65" t="s">
        <v>5</v>
      </c>
      <c r="AE65">
        <v>-1971101</v>
      </c>
      <c r="AF65" t="s">
        <v>2736</v>
      </c>
      <c r="AG65" t="s">
        <v>4039</v>
      </c>
      <c r="AH65" t="s">
        <v>2737</v>
      </c>
      <c r="AI65" t="s">
        <v>1650</v>
      </c>
      <c r="AJ65" t="s">
        <v>2738</v>
      </c>
      <c r="AK65" t="s">
        <v>257</v>
      </c>
      <c r="AL65" t="s">
        <v>2739</v>
      </c>
      <c r="AM65" t="s">
        <v>5</v>
      </c>
      <c r="AN65" t="s">
        <v>2020</v>
      </c>
      <c r="AO65" t="s">
        <v>5</v>
      </c>
      <c r="AP65" t="s">
        <v>134</v>
      </c>
      <c r="AQ65" t="s">
        <v>130</v>
      </c>
      <c r="AR65" t="s">
        <v>5</v>
      </c>
      <c r="AS65" t="s">
        <v>4040</v>
      </c>
      <c r="AT65" t="s">
        <v>5</v>
      </c>
      <c r="AU65" t="s">
        <v>4041</v>
      </c>
      <c r="AV65" t="s">
        <v>110</v>
      </c>
      <c r="AW65" t="s">
        <v>4042</v>
      </c>
      <c r="AX65" t="s">
        <v>1814</v>
      </c>
      <c r="AY65" t="s">
        <v>1348</v>
      </c>
      <c r="AZ65" t="s">
        <v>804</v>
      </c>
      <c r="BA65" t="s">
        <v>805</v>
      </c>
      <c r="BB65" t="s">
        <v>805</v>
      </c>
      <c r="BC65" t="s">
        <v>316</v>
      </c>
      <c r="BD65" t="s">
        <v>240</v>
      </c>
      <c r="BE65" t="s">
        <v>25</v>
      </c>
      <c r="BF65" t="s">
        <v>139</v>
      </c>
      <c r="BG65" t="s">
        <v>187</v>
      </c>
      <c r="BH65" t="s">
        <v>2422</v>
      </c>
      <c r="BI65" t="s">
        <v>68</v>
      </c>
      <c r="BJ65" t="s">
        <v>1814</v>
      </c>
      <c r="BK65" t="s">
        <v>86</v>
      </c>
      <c r="BL65" t="s">
        <v>4043</v>
      </c>
      <c r="BM65" t="s">
        <v>316</v>
      </c>
      <c r="BN65">
        <v>4.67</v>
      </c>
      <c r="BO65">
        <v>17.11</v>
      </c>
      <c r="BP65">
        <v>13.49</v>
      </c>
      <c r="BQ65">
        <v>4.93</v>
      </c>
      <c r="BR65">
        <v>17.64</v>
      </c>
      <c r="BS65">
        <v>14.12</v>
      </c>
      <c r="BT65" t="s">
        <v>2740</v>
      </c>
      <c r="BU65" t="s">
        <v>1516</v>
      </c>
      <c r="BV65">
        <v>17.3</v>
      </c>
      <c r="BW65">
        <v>23.21</v>
      </c>
      <c r="BX65">
        <v>22.23</v>
      </c>
      <c r="BY65">
        <v>6.43</v>
      </c>
      <c r="BZ65">
        <v>14.57</v>
      </c>
      <c r="CA65">
        <v>12.6</v>
      </c>
      <c r="CB65">
        <v>0.47</v>
      </c>
      <c r="CC65">
        <v>-0.4</v>
      </c>
      <c r="CD65" t="s">
        <v>4044</v>
      </c>
      <c r="CE65" t="s">
        <v>4045</v>
      </c>
      <c r="CF65" s="8">
        <v>2.8592592592592592</v>
      </c>
      <c r="CG65" s="9">
        <v>0.8163148306389697</v>
      </c>
      <c r="CH65" s="8">
        <v>-0.79427945613861084</v>
      </c>
      <c r="CI65" s="8">
        <v>0.23449531197547913</v>
      </c>
      <c r="CJ65" s="8">
        <v>0.44473513960838318</v>
      </c>
      <c r="CK65" s="8">
        <v>0.22811245918273926</v>
      </c>
      <c r="CL65" s="8">
        <v>0</v>
      </c>
      <c r="CM65" s="9">
        <v>-0.79288345575332642</v>
      </c>
      <c r="CN65" s="9">
        <v>0.4316546618938446</v>
      </c>
      <c r="CO65" s="9">
        <v>0.42564103007316589</v>
      </c>
      <c r="CP65" s="9">
        <v>0.13372093439102173</v>
      </c>
      <c r="CQ65" s="9">
        <v>-7.526881992816925E-2</v>
      </c>
      <c r="CR65">
        <v>15.110172358102485</v>
      </c>
      <c r="CS65">
        <v>6.682164633930137</v>
      </c>
      <c r="CT65">
        <v>1.1044973544973544</v>
      </c>
      <c r="CU65" s="8">
        <v>2.2612690925598145E-2</v>
      </c>
      <c r="CV65" s="9">
        <v>2.4572870135307311E-2</v>
      </c>
      <c r="CW65">
        <v>0.06</v>
      </c>
      <c r="CX65">
        <v>20.882278627694241</v>
      </c>
      <c r="CY65">
        <v>79524923.003259689</v>
      </c>
      <c r="CZ65">
        <v>2.2612690925598145E-2</v>
      </c>
      <c r="DA65">
        <v>7.227928979454882</v>
      </c>
      <c r="DB65">
        <v>229756214.36242229</v>
      </c>
      <c r="DC65">
        <v>2.1482056379318236E-2</v>
      </c>
      <c r="DD65">
        <v>3.8345165864092721</v>
      </c>
      <c r="DE65">
        <v>433082387.98233521</v>
      </c>
      <c r="DF65">
        <v>1.9899168014526368E-2</v>
      </c>
      <c r="DG65">
        <v>2.4982149142277401</v>
      </c>
      <c r="DH65">
        <v>664739286.65714955</v>
      </c>
      <c r="DI65">
        <v>1.8090152740478517E-2</v>
      </c>
      <c r="DJ65">
        <v>1.5284334667073229</v>
      </c>
      <c r="DK65">
        <v>1086512194.4611261</v>
      </c>
      <c r="DL65">
        <v>1.58288836479187E-2</v>
      </c>
      <c r="DM65">
        <v>82432400</v>
      </c>
      <c r="DN65">
        <v>2.2612690925598145E-2</v>
      </c>
      <c r="DO65">
        <v>1660661600</v>
      </c>
      <c r="DP65">
        <v>981006600</v>
      </c>
      <c r="DQ65">
        <v>2258</v>
      </c>
      <c r="DR65">
        <v>2.836646568333661</v>
      </c>
      <c r="DS65">
        <v>0.79174196050366241</v>
      </c>
      <c r="DT65" s="10">
        <v>-0.37333333333333335</v>
      </c>
      <c r="DU65">
        <v>-4.9999999999999968E-2</v>
      </c>
      <c r="DV65">
        <v>-0.42333333333333334</v>
      </c>
      <c r="DW65">
        <v>-4.0000000000000001E-3</v>
      </c>
      <c r="DX65">
        <v>0.28771087715825561</v>
      </c>
      <c r="DY65">
        <v>-5.5084350863302532E-4</v>
      </c>
      <c r="DZ65">
        <v>2967</v>
      </c>
      <c r="EA65">
        <v>-2.3100932270069926E-4</v>
      </c>
      <c r="EB65">
        <v>0</v>
      </c>
      <c r="EC65">
        <v>6.1154145492835231E-2</v>
      </c>
      <c r="ED65">
        <v>0.44407636313693166</v>
      </c>
      <c r="EE65" s="11">
        <v>8.3699999999999997E-2</v>
      </c>
      <c r="EF65">
        <v>7.9799999999999996E-2</v>
      </c>
      <c r="EG65">
        <v>15.137710877158256</v>
      </c>
      <c r="EH65" t="s">
        <v>1177</v>
      </c>
      <c r="EI65">
        <v>0</v>
      </c>
      <c r="EJ65">
        <v>0</v>
      </c>
      <c r="EK65" s="12">
        <v>45470</v>
      </c>
      <c r="EL65">
        <v>-0.1</v>
      </c>
      <c r="EM65">
        <v>-4.67</v>
      </c>
      <c r="EN65">
        <v>1.36</v>
      </c>
      <c r="EO65">
        <v>5.76</v>
      </c>
      <c r="EP65">
        <v>-0.39</v>
      </c>
    </row>
    <row r="66" spans="1:146" ht="168" x14ac:dyDescent="0.25">
      <c r="A66" s="6"/>
      <c r="B66" s="6"/>
      <c r="C66" s="6" t="str">
        <f>"公司专业从事有机硅材料的研发、生产和销售。主要产品包括硅橡胶、硅油、气相白炭黑等有机硅下游深加工产品以及有机硅中间体等。公司深耕有机硅行业十余年，是我国较早从事有机硅工业化生产的企业之一。"&amp;CHAR(10)&amp;Basic_Fundamental_Information_Constructure(F66)&amp;CHAR(10)&amp;Basic_Fundamental_Information_Concatenate("深加工产品 37.74亿 87.09% 92.71% 39.80%
其他 2.54亿 5.86% 0.23% 1.47%
中间体 1.84亿 4.25% 4.76% 41.82%
其他业务收入 6508.59万 1.50% 1.45% 36.06%
液体胶 5602.11万 1.29% 0.85% 24.70%")</f>
        <v>公司专业从事有机硅材料的研发、生产和销售。主要产品包括硅橡胶、硅油、气相白炭黑等有机硅下游深加工产品以及有机硅中间体等。公司深耕有机硅行业十余年，是我国较早从事有机硅工业化生产的企业之一。
市值80.4亿, 利润4760.68万; PE; 平均PE15.04; 平均PEG5.64, PB1.63; ROIC16.825%; ROE9.8267%; 股利率0%; 毛利17.46%; 净利9.4933%; 上一年度营收增-87.13%, 利润增-90.68%; 当季营收增503.81%, 利润增286.89%; 过往5年营收增2.67%, 利润增19.51%
Income profile:
深加工产品 37.74亿 87.09% 92.71% 39.80%
其他 2.54亿 5.86% 0.23% 1.47%
中间体 1.84亿 4.25% 4.76% 41.82%
其他业务收入 6508.59万 1.50% 1.45% 36.06%
液体胶 5602.11万 1.29% 0.85% 24.70%</v>
      </c>
      <c r="D66" t="s">
        <v>806</v>
      </c>
      <c r="E66" t="s">
        <v>807</v>
      </c>
      <c r="F66">
        <v>6.7</v>
      </c>
      <c r="G66">
        <v>0.45</v>
      </c>
      <c r="H66" t="s">
        <v>4046</v>
      </c>
      <c r="I66">
        <v>8040000000</v>
      </c>
      <c r="K66">
        <v>1.63</v>
      </c>
      <c r="L66" t="s">
        <v>428</v>
      </c>
      <c r="M66" t="s">
        <v>2742</v>
      </c>
      <c r="N66" t="s">
        <v>4047</v>
      </c>
      <c r="O66" t="s">
        <v>2090</v>
      </c>
      <c r="P66">
        <v>1.56</v>
      </c>
      <c r="Q66" t="s">
        <v>1407</v>
      </c>
      <c r="R66">
        <v>45862728</v>
      </c>
      <c r="S66" s="4">
        <v>1.66</v>
      </c>
      <c r="T66" t="s">
        <v>4048</v>
      </c>
      <c r="U66">
        <v>1200000000</v>
      </c>
      <c r="V66">
        <v>1200000000</v>
      </c>
      <c r="W66">
        <v>1.26</v>
      </c>
      <c r="X66">
        <v>0.23</v>
      </c>
      <c r="Y66">
        <v>3.21</v>
      </c>
      <c r="Z66" t="s">
        <v>2629</v>
      </c>
      <c r="AA66" t="s">
        <v>4049</v>
      </c>
      <c r="AB66" t="s">
        <v>4050</v>
      </c>
      <c r="AC66" t="s">
        <v>4051</v>
      </c>
      <c r="AD66" t="s">
        <v>5</v>
      </c>
      <c r="AE66">
        <v>-3890176</v>
      </c>
      <c r="AF66" t="s">
        <v>32</v>
      </c>
      <c r="AG66" t="s">
        <v>4052</v>
      </c>
      <c r="AH66" t="s">
        <v>2745</v>
      </c>
      <c r="AI66" t="s">
        <v>3942</v>
      </c>
      <c r="AJ66" t="s">
        <v>2746</v>
      </c>
      <c r="AK66" t="s">
        <v>995</v>
      </c>
      <c r="AL66" t="s">
        <v>2747</v>
      </c>
      <c r="AM66" t="s">
        <v>5</v>
      </c>
      <c r="AN66" t="s">
        <v>158</v>
      </c>
      <c r="AO66" t="s">
        <v>5</v>
      </c>
      <c r="AP66" t="s">
        <v>5</v>
      </c>
      <c r="AQ66" t="s">
        <v>2020</v>
      </c>
      <c r="AR66" t="s">
        <v>5</v>
      </c>
      <c r="AS66" t="s">
        <v>3267</v>
      </c>
      <c r="AT66" t="s">
        <v>5</v>
      </c>
      <c r="AU66" t="s">
        <v>4053</v>
      </c>
      <c r="AV66">
        <v>0</v>
      </c>
      <c r="AW66" t="s">
        <v>5</v>
      </c>
      <c r="AX66" t="s">
        <v>1816</v>
      </c>
      <c r="AY66" t="s">
        <v>1349</v>
      </c>
      <c r="AZ66" t="s">
        <v>1351</v>
      </c>
      <c r="BA66" t="s">
        <v>808</v>
      </c>
      <c r="BB66" t="s">
        <v>809</v>
      </c>
      <c r="BC66" t="s">
        <v>1317</v>
      </c>
      <c r="BD66" t="s">
        <v>1350</v>
      </c>
      <c r="BE66" t="s">
        <v>200</v>
      </c>
      <c r="BF66" t="s">
        <v>352</v>
      </c>
      <c r="BG66" t="s">
        <v>429</v>
      </c>
      <c r="BH66" t="s">
        <v>2743</v>
      </c>
      <c r="BI66" t="s">
        <v>356</v>
      </c>
      <c r="BJ66" t="s">
        <v>1816</v>
      </c>
      <c r="BK66" t="s">
        <v>2744</v>
      </c>
      <c r="BL66" t="s">
        <v>4054</v>
      </c>
      <c r="BM66" t="s">
        <v>1317</v>
      </c>
      <c r="BN66" t="s">
        <v>5</v>
      </c>
      <c r="BO66">
        <v>9.33</v>
      </c>
      <c r="BP66">
        <v>24.32</v>
      </c>
      <c r="BQ66">
        <v>-5.67</v>
      </c>
      <c r="BR66">
        <v>10.01</v>
      </c>
      <c r="BS66">
        <v>25.14</v>
      </c>
      <c r="BT66" t="s">
        <v>1670</v>
      </c>
      <c r="BU66" t="s">
        <v>1520</v>
      </c>
      <c r="BV66">
        <v>0.79</v>
      </c>
      <c r="BW66">
        <v>14.2</v>
      </c>
      <c r="BX66">
        <v>37.39</v>
      </c>
      <c r="BY66">
        <v>-5.66</v>
      </c>
      <c r="BZ66">
        <v>7.59</v>
      </c>
      <c r="CA66">
        <v>26.55</v>
      </c>
      <c r="CB66">
        <v>-2.0499999999999998</v>
      </c>
      <c r="CC66">
        <v>-16.25</v>
      </c>
      <c r="CD66" t="s">
        <v>4055</v>
      </c>
      <c r="CE66" t="s">
        <v>150</v>
      </c>
      <c r="CF66" s="8">
        <v>5.0381355932203391</v>
      </c>
      <c r="CG66" s="9">
        <v>2.8689011489598624</v>
      </c>
      <c r="CH66" s="8">
        <v>-0.87125039100646973</v>
      </c>
      <c r="CI66" s="8">
        <v>0.5541195273399353</v>
      </c>
      <c r="CJ66" s="8">
        <v>0.73112267255783081</v>
      </c>
      <c r="CK66" s="8">
        <v>-8.415655791759491E-2</v>
      </c>
      <c r="CL66" s="8">
        <v>-0.1964128166437149</v>
      </c>
      <c r="CM66" s="9">
        <v>-0.90683603286743164</v>
      </c>
      <c r="CN66" s="9">
        <v>-0.5560382604598999</v>
      </c>
      <c r="CO66" s="9">
        <v>3.0960855484008789</v>
      </c>
      <c r="CP66" s="9">
        <v>-0.49186256527900696</v>
      </c>
      <c r="CQ66" s="9">
        <v>-0.16591252386569977</v>
      </c>
      <c r="CR66">
        <v>15.043939905572456</v>
      </c>
      <c r="CS66">
        <v>5.6377100227256696</v>
      </c>
      <c r="CT66">
        <v>0</v>
      </c>
      <c r="CU66" s="8">
        <v>2.6684486865997316E-2</v>
      </c>
      <c r="CV66" s="9">
        <v>0.19508723318576812</v>
      </c>
      <c r="CW66">
        <v>0.06</v>
      </c>
      <c r="CX66">
        <v>98.762687946988194</v>
      </c>
      <c r="CY66">
        <v>46110531.159747317</v>
      </c>
      <c r="CZ66">
        <v>2.6684486865997316E-2</v>
      </c>
      <c r="DA66">
        <v>34.065136528484189</v>
      </c>
      <c r="DB66">
        <v>133685065.26289979</v>
      </c>
      <c r="DC66">
        <v>2.535026252269745E-2</v>
      </c>
      <c r="DD66">
        <v>17.992186143243465</v>
      </c>
      <c r="DE66">
        <v>253109875.79517376</v>
      </c>
      <c r="DF66">
        <v>2.3482348442077638E-2</v>
      </c>
      <c r="DG66">
        <v>11.667629433671909</v>
      </c>
      <c r="DH66">
        <v>390310647.58171833</v>
      </c>
      <c r="DI66">
        <v>2.1347589492797855E-2</v>
      </c>
      <c r="DJ66">
        <v>7.0738733531788203</v>
      </c>
      <c r="DK66">
        <v>643777428.94612992</v>
      </c>
      <c r="DL66">
        <v>1.8679140806198119E-2</v>
      </c>
      <c r="DM66">
        <v>47606800</v>
      </c>
      <c r="DN66">
        <v>2.6684486865997316E-2</v>
      </c>
      <c r="DO66">
        <v>4554000000</v>
      </c>
      <c r="DP66">
        <v>1074596000</v>
      </c>
      <c r="DQ66">
        <v>2278</v>
      </c>
      <c r="DR66">
        <v>5.0114511063543414</v>
      </c>
      <c r="DS66">
        <v>2.6738139157740943</v>
      </c>
      <c r="DT66" s="10">
        <v>-0.45666666666666672</v>
      </c>
      <c r="DU66">
        <v>-0.1283333333333333</v>
      </c>
      <c r="DV66">
        <v>-0.58499999999999996</v>
      </c>
      <c r="DW66">
        <v>-3.0028273809523811</v>
      </c>
      <c r="DX66">
        <v>0.2861193415637851</v>
      </c>
      <c r="DY66">
        <v>-3.0002717659954929</v>
      </c>
      <c r="DZ66">
        <v>215</v>
      </c>
      <c r="EA66">
        <v>-3.0002603316140779</v>
      </c>
      <c r="EB66">
        <v>3</v>
      </c>
      <c r="EC66">
        <v>1.9464166666666668E-2</v>
      </c>
      <c r="ED66">
        <v>0.20250000000000001</v>
      </c>
      <c r="EE66" s="11">
        <v>-4.0008999999999997</v>
      </c>
      <c r="EF66">
        <v>-4.0191100000000004</v>
      </c>
      <c r="EG66">
        <v>19.096119341563785</v>
      </c>
      <c r="EH66" t="s">
        <v>2156</v>
      </c>
      <c r="EI66">
        <v>0</v>
      </c>
      <c r="EJ66">
        <v>1</v>
      </c>
      <c r="EK66" s="12">
        <v>45470</v>
      </c>
      <c r="EL66">
        <v>-4.95</v>
      </c>
      <c r="EM66">
        <v>-1.69</v>
      </c>
      <c r="EN66">
        <v>-2.64</v>
      </c>
      <c r="EO66">
        <v>1.31</v>
      </c>
      <c r="EP66">
        <v>-2</v>
      </c>
    </row>
    <row r="67" spans="1:146" ht="96" x14ac:dyDescent="0.25">
      <c r="A67" s="6"/>
      <c r="B67" s="6"/>
      <c r="C67" s="6" t="str">
        <f>""&amp;CHAR(10)&amp;Basic_Fundamental_Information_Constructure(F67)&amp;CHAR(10)&amp;Basic_Fundamental_Information_Concatenate("")</f>
        <v xml:space="preserve">
市值26.866594亿, 利润1265.58万; PE30.96; 平均PE27.22; 平均PEG21.27, PB1.62; ROIC6.58%; ROE8.2367%; 股利率.693%; 毛利19.7367%; 净利7.2667%; 上一年度营收增-66.91%, 利润增-90.41%; 当季营收增481.12%, 利润增189.22%; 过往5年营收增1.28%, 利润增-7.7%
Income profile:
</v>
      </c>
      <c r="D67" t="s">
        <v>811</v>
      </c>
      <c r="E67" t="s">
        <v>812</v>
      </c>
      <c r="F67">
        <v>14.43</v>
      </c>
      <c r="G67">
        <v>0.91</v>
      </c>
      <c r="H67" t="s">
        <v>4056</v>
      </c>
      <c r="I67">
        <v>2686659400</v>
      </c>
      <c r="J67">
        <v>30.96</v>
      </c>
      <c r="K67">
        <v>1.62</v>
      </c>
      <c r="L67" t="s">
        <v>428</v>
      </c>
      <c r="M67" t="s">
        <v>1911</v>
      </c>
      <c r="N67" t="s">
        <v>2909</v>
      </c>
      <c r="O67" t="s">
        <v>143</v>
      </c>
      <c r="P67">
        <v>7.96</v>
      </c>
      <c r="Q67" t="s">
        <v>397</v>
      </c>
      <c r="R67">
        <v>17096693</v>
      </c>
      <c r="S67" s="4">
        <v>9.9900000000000003E-2</v>
      </c>
      <c r="T67" t="s">
        <v>4057</v>
      </c>
      <c r="U67">
        <v>125917410</v>
      </c>
      <c r="V67">
        <v>186185690</v>
      </c>
      <c r="W67">
        <v>2.0699999999999998</v>
      </c>
      <c r="X67">
        <v>0.1</v>
      </c>
      <c r="Y67">
        <v>4.4400000000000004</v>
      </c>
      <c r="Z67" t="s">
        <v>4058</v>
      </c>
      <c r="AA67" t="s">
        <v>704</v>
      </c>
      <c r="AB67" t="s">
        <v>4059</v>
      </c>
      <c r="AC67" t="s">
        <v>4060</v>
      </c>
      <c r="AD67" t="s">
        <v>5</v>
      </c>
      <c r="AE67">
        <v>11670316</v>
      </c>
      <c r="AF67" t="s">
        <v>2749</v>
      </c>
      <c r="AG67" t="s">
        <v>1903</v>
      </c>
      <c r="AH67" t="s">
        <v>2750</v>
      </c>
      <c r="AI67" t="s">
        <v>704</v>
      </c>
      <c r="AJ67" t="s">
        <v>2751</v>
      </c>
      <c r="AK67" t="s">
        <v>4061</v>
      </c>
      <c r="AL67" t="s">
        <v>2752</v>
      </c>
      <c r="AM67" t="s">
        <v>5</v>
      </c>
      <c r="AN67" t="s">
        <v>458</v>
      </c>
      <c r="AO67" t="s">
        <v>208</v>
      </c>
      <c r="AP67" t="s">
        <v>4062</v>
      </c>
      <c r="AQ67" t="s">
        <v>308</v>
      </c>
      <c r="AR67" t="s">
        <v>5</v>
      </c>
      <c r="AS67" t="s">
        <v>1789</v>
      </c>
      <c r="AT67" t="s">
        <v>164</v>
      </c>
      <c r="AU67" t="s">
        <v>4063</v>
      </c>
      <c r="AV67" t="s">
        <v>4064</v>
      </c>
      <c r="AW67" t="s">
        <v>86</v>
      </c>
      <c r="AX67" t="s">
        <v>1657</v>
      </c>
      <c r="AY67" t="s">
        <v>1817</v>
      </c>
      <c r="AZ67" t="s">
        <v>1352</v>
      </c>
      <c r="BA67" t="s">
        <v>302</v>
      </c>
      <c r="BB67" t="s">
        <v>418</v>
      </c>
      <c r="BC67" t="s">
        <v>41</v>
      </c>
      <c r="BD67" t="s">
        <v>38</v>
      </c>
      <c r="BE67" t="s">
        <v>60</v>
      </c>
      <c r="BF67" t="s">
        <v>81</v>
      </c>
      <c r="BG67" t="s">
        <v>813</v>
      </c>
      <c r="BH67" t="s">
        <v>470</v>
      </c>
      <c r="BI67" t="s">
        <v>4065</v>
      </c>
      <c r="BJ67" t="s">
        <v>1657</v>
      </c>
      <c r="BK67" t="s">
        <v>2748</v>
      </c>
      <c r="BL67" t="s">
        <v>4066</v>
      </c>
      <c r="BM67" t="s">
        <v>41</v>
      </c>
      <c r="BN67">
        <v>4.1399999999999997</v>
      </c>
      <c r="BO67">
        <v>7</v>
      </c>
      <c r="BP67">
        <v>8.6</v>
      </c>
      <c r="BQ67">
        <v>5.96</v>
      </c>
      <c r="BR67">
        <v>9.0299999999999994</v>
      </c>
      <c r="BS67">
        <v>9.7200000000000006</v>
      </c>
      <c r="BT67" t="s">
        <v>1674</v>
      </c>
      <c r="BU67" t="s">
        <v>1534</v>
      </c>
      <c r="BV67">
        <v>18.899999999999999</v>
      </c>
      <c r="BW67">
        <v>20.87</v>
      </c>
      <c r="BX67">
        <v>19.440000000000001</v>
      </c>
      <c r="BY67">
        <v>4.66</v>
      </c>
      <c r="BZ67">
        <v>8.08</v>
      </c>
      <c r="CA67">
        <v>9.06</v>
      </c>
      <c r="CB67">
        <v>-0.35</v>
      </c>
      <c r="CC67">
        <v>-14.46</v>
      </c>
      <c r="CD67" t="s">
        <v>4067</v>
      </c>
      <c r="CE67" t="s">
        <v>4068</v>
      </c>
      <c r="CF67" s="8">
        <v>4.8111926891875285</v>
      </c>
      <c r="CG67" s="9">
        <v>1.8921720503052757</v>
      </c>
      <c r="CH67" s="8">
        <v>-0.66905540227890015</v>
      </c>
      <c r="CI67" s="8">
        <v>6.4493805170059204E-2</v>
      </c>
      <c r="CJ67" s="8">
        <v>0.40408957004547119</v>
      </c>
      <c r="CK67" s="8">
        <v>0.16970387101173401</v>
      </c>
      <c r="CL67" s="8">
        <v>9.4763092696666718E-2</v>
      </c>
      <c r="CM67" s="9">
        <v>-0.90412271022796631</v>
      </c>
      <c r="CN67" s="9">
        <v>2.3255813866853714E-2</v>
      </c>
      <c r="CO67" s="9">
        <v>7.5000002980232239E-2</v>
      </c>
      <c r="CP67" s="9">
        <v>4.3478261679410934E-2</v>
      </c>
      <c r="CQ67" s="9">
        <v>0.37728351354598999</v>
      </c>
      <c r="CR67">
        <v>27.222597519055448</v>
      </c>
      <c r="CS67">
        <v>21.269337033689528</v>
      </c>
      <c r="CT67">
        <v>0.693000693000693</v>
      </c>
      <c r="CU67" s="8">
        <v>1.2798987329006195E-2</v>
      </c>
      <c r="CV67" s="9">
        <v>-7.7021023631095892E-2</v>
      </c>
      <c r="CW67">
        <v>0.06</v>
      </c>
      <c r="CX67">
        <v>220.93987019728229</v>
      </c>
      <c r="CY67">
        <v>12092246.626262674</v>
      </c>
      <c r="CZ67">
        <v>1.2798987329006195E-2</v>
      </c>
      <c r="DA67">
        <v>77.12154766522481</v>
      </c>
      <c r="DB67">
        <v>34642191.201833062</v>
      </c>
      <c r="DC67">
        <v>1.2159037962555885E-2</v>
      </c>
      <c r="DD67">
        <v>41.350807023290628</v>
      </c>
      <c r="DE67">
        <v>64609607.219883315</v>
      </c>
      <c r="DF67">
        <v>1.1263108849525453E-2</v>
      </c>
      <c r="DG67">
        <v>27.239993423605835</v>
      </c>
      <c r="DH67">
        <v>98078562.591897458</v>
      </c>
      <c r="DI67">
        <v>1.0239189863204956E-2</v>
      </c>
      <c r="DJ67">
        <v>17.023818660914049</v>
      </c>
      <c r="DK67">
        <v>156936551.85214198</v>
      </c>
      <c r="DL67">
        <v>8.9592911303043362E-3</v>
      </c>
      <c r="DM67">
        <v>12655800</v>
      </c>
      <c r="DN67">
        <v>1.2798987329006195E-2</v>
      </c>
      <c r="DO67">
        <v>2671659400</v>
      </c>
      <c r="DP67">
        <v>338298780</v>
      </c>
      <c r="DQ67">
        <v>2286</v>
      </c>
      <c r="DR67">
        <v>4.7983937018585223</v>
      </c>
      <c r="DS67">
        <v>1.9691930739363717</v>
      </c>
      <c r="DT67" s="10">
        <v>-0.52333333333333332</v>
      </c>
      <c r="DU67">
        <v>-0.23333333333333331</v>
      </c>
      <c r="DV67">
        <v>-0.7566666666666666</v>
      </c>
      <c r="DW67">
        <v>-2.1446000000000001</v>
      </c>
      <c r="DX67">
        <v>0.2725746295027841</v>
      </c>
      <c r="DY67">
        <v>-2.0191702914261027</v>
      </c>
      <c r="DZ67">
        <v>2348</v>
      </c>
      <c r="EA67">
        <v>-2.0103617113344217</v>
      </c>
      <c r="EB67">
        <v>2</v>
      </c>
      <c r="EC67">
        <v>5.1262264033288485E-2</v>
      </c>
      <c r="ED67">
        <v>0.3866672030487413</v>
      </c>
      <c r="EE67" s="11">
        <v>1.0348999999999999</v>
      </c>
      <c r="EF67">
        <v>1.0706</v>
      </c>
      <c r="EG67">
        <v>14.132574629502784</v>
      </c>
      <c r="EH67" t="s">
        <v>1178</v>
      </c>
      <c r="EI67">
        <v>0</v>
      </c>
      <c r="EJ67">
        <v>0</v>
      </c>
      <c r="EK67" s="12">
        <v>45470</v>
      </c>
      <c r="EL67">
        <v>11.02</v>
      </c>
      <c r="EM67">
        <v>-9.3000000000000007</v>
      </c>
      <c r="EN67">
        <v>-2.87</v>
      </c>
      <c r="EO67">
        <v>2.77</v>
      </c>
      <c r="EP67">
        <v>3.57</v>
      </c>
    </row>
    <row r="68" spans="1:146" ht="96" x14ac:dyDescent="0.25">
      <c r="A68" s="6"/>
      <c r="B68" s="6"/>
      <c r="C68" s="6" t="str">
        <f>""&amp;CHAR(10)&amp;Basic_Fundamental_Information_Constructure(F68)&amp;CHAR(10)&amp;Basic_Fundamental_Information_Concatenate("")</f>
        <v xml:space="preserve">
市值41.204592亿, 利润8786.43万; PE41.78; 平均PE45.55; 平均PEG2.72, PB3.07; ROIC7.8033%; ROE8.14%; 股利率.7184%; 毛利19.2467%; 净利10.26%; 上一年度营收增35.94%, 利润增-19.39%; 当季营收增-14.15%, 利润增5.89%; 过往5年营收增16.72%, 利润增6.38%
Income profile:
</v>
      </c>
      <c r="D68" t="s">
        <v>814</v>
      </c>
      <c r="E68" t="s">
        <v>815</v>
      </c>
      <c r="F68">
        <v>13.92</v>
      </c>
      <c r="G68">
        <v>1.24</v>
      </c>
      <c r="H68" t="s">
        <v>4069</v>
      </c>
      <c r="I68">
        <v>4120459200</v>
      </c>
      <c r="J68">
        <v>41.78</v>
      </c>
      <c r="K68">
        <v>3.07</v>
      </c>
      <c r="L68" t="s">
        <v>428</v>
      </c>
      <c r="M68" t="s">
        <v>293</v>
      </c>
      <c r="N68" t="s">
        <v>4070</v>
      </c>
      <c r="O68" t="s">
        <v>166</v>
      </c>
      <c r="P68">
        <v>8.3800000000000008</v>
      </c>
      <c r="Q68" t="s">
        <v>1558</v>
      </c>
      <c r="R68">
        <v>25059097</v>
      </c>
      <c r="S68" s="4">
        <v>0.14660000000000001</v>
      </c>
      <c r="T68" t="s">
        <v>2757</v>
      </c>
      <c r="U68">
        <v>296010000</v>
      </c>
      <c r="V68">
        <v>296010000</v>
      </c>
      <c r="W68">
        <v>1.1000000000000001</v>
      </c>
      <c r="X68">
        <v>0.18</v>
      </c>
      <c r="Y68">
        <v>9.51</v>
      </c>
      <c r="Z68" t="s">
        <v>385</v>
      </c>
      <c r="AA68" t="s">
        <v>27</v>
      </c>
      <c r="AB68" t="s">
        <v>4071</v>
      </c>
      <c r="AC68" t="s">
        <v>4072</v>
      </c>
      <c r="AD68" t="s">
        <v>5</v>
      </c>
      <c r="AE68">
        <v>-933208</v>
      </c>
      <c r="AF68" t="s">
        <v>32</v>
      </c>
      <c r="AG68" t="s">
        <v>4073</v>
      </c>
      <c r="AH68" t="s">
        <v>2754</v>
      </c>
      <c r="AI68" t="s">
        <v>589</v>
      </c>
      <c r="AJ68" t="s">
        <v>2755</v>
      </c>
      <c r="AK68" t="s">
        <v>4074</v>
      </c>
      <c r="AL68" t="s">
        <v>2756</v>
      </c>
      <c r="AM68" t="s">
        <v>5</v>
      </c>
      <c r="AN68">
        <v>0</v>
      </c>
      <c r="AO68" t="s">
        <v>5</v>
      </c>
      <c r="AP68" t="s">
        <v>5</v>
      </c>
      <c r="AQ68" t="s">
        <v>4075</v>
      </c>
      <c r="AR68" t="s">
        <v>5</v>
      </c>
      <c r="AS68" t="s">
        <v>37</v>
      </c>
      <c r="AT68" t="s">
        <v>5</v>
      </c>
      <c r="AU68" t="s">
        <v>4076</v>
      </c>
      <c r="AV68" t="s">
        <v>4077</v>
      </c>
      <c r="AW68" t="s">
        <v>4078</v>
      </c>
      <c r="AX68" t="s">
        <v>653</v>
      </c>
      <c r="AY68" t="s">
        <v>1193</v>
      </c>
      <c r="AZ68" t="s">
        <v>467</v>
      </c>
      <c r="BA68" t="s">
        <v>394</v>
      </c>
      <c r="BB68" t="s">
        <v>816</v>
      </c>
      <c r="BC68" t="s">
        <v>165</v>
      </c>
      <c r="BD68" t="s">
        <v>59</v>
      </c>
      <c r="BE68" t="s">
        <v>1353</v>
      </c>
      <c r="BF68" t="s">
        <v>817</v>
      </c>
      <c r="BG68" t="s">
        <v>818</v>
      </c>
      <c r="BH68" t="s">
        <v>2517</v>
      </c>
      <c r="BI68" t="s">
        <v>246</v>
      </c>
      <c r="BJ68" t="s">
        <v>653</v>
      </c>
      <c r="BK68" t="s">
        <v>2753</v>
      </c>
      <c r="BL68" t="s">
        <v>2762</v>
      </c>
      <c r="BM68" t="s">
        <v>165</v>
      </c>
      <c r="BN68">
        <v>5.37</v>
      </c>
      <c r="BO68">
        <v>8.58</v>
      </c>
      <c r="BP68">
        <v>9.4600000000000009</v>
      </c>
      <c r="BQ68">
        <v>5.67</v>
      </c>
      <c r="BR68">
        <v>8.98</v>
      </c>
      <c r="BS68">
        <v>9.77</v>
      </c>
      <c r="BT68" t="s">
        <v>1674</v>
      </c>
      <c r="BU68" t="s">
        <v>1516</v>
      </c>
      <c r="BV68">
        <v>18.940000000000001</v>
      </c>
      <c r="BW68">
        <v>18.97</v>
      </c>
      <c r="BX68">
        <v>19.829999999999998</v>
      </c>
      <c r="BY68">
        <v>9.14</v>
      </c>
      <c r="BZ68">
        <v>10.37</v>
      </c>
      <c r="CA68">
        <v>11.27</v>
      </c>
      <c r="CB68">
        <v>-3.93</v>
      </c>
      <c r="CC68">
        <v>-16.3</v>
      </c>
      <c r="CD68" t="s">
        <v>4079</v>
      </c>
      <c r="CE68" t="s">
        <v>250</v>
      </c>
      <c r="CF68" s="8">
        <v>-0.14150943396226415</v>
      </c>
      <c r="CG68" s="9">
        <v>5.8891757587025785E-2</v>
      </c>
      <c r="CH68" s="8">
        <v>0.35944715142250061</v>
      </c>
      <c r="CI68" s="8">
        <v>7.8528761863708496E-2</v>
      </c>
      <c r="CJ68" s="8">
        <v>0.15102975070476532</v>
      </c>
      <c r="CK68" s="8">
        <v>7.1078434586524963E-2</v>
      </c>
      <c r="CL68" s="8">
        <v>0.17579250037670135</v>
      </c>
      <c r="CM68" s="9">
        <v>-0.19390547275543213</v>
      </c>
      <c r="CN68" s="9">
        <v>-9.0909088030457497E-3</v>
      </c>
      <c r="CO68" s="9">
        <v>0.21359629929065704</v>
      </c>
      <c r="CP68" s="9">
        <v>0.17403312027454376</v>
      </c>
      <c r="CQ68" s="9">
        <v>0.13456602394580841</v>
      </c>
      <c r="CR68">
        <v>45.550521727498946</v>
      </c>
      <c r="CS68">
        <v>2.7247156927523188</v>
      </c>
      <c r="CT68">
        <v>0.7183908045977011</v>
      </c>
      <c r="CU68" s="8">
        <v>0.16717531979084016</v>
      </c>
      <c r="CV68" s="9">
        <v>6.3839812390506262E-2</v>
      </c>
      <c r="CW68">
        <v>0.06</v>
      </c>
      <c r="CX68">
        <v>29.855445326957746</v>
      </c>
      <c r="CY68">
        <v>96748153.255375758</v>
      </c>
      <c r="CZ68">
        <v>0.16717531979084016</v>
      </c>
      <c r="DA68">
        <v>9.144618569591243</v>
      </c>
      <c r="DB68">
        <v>315864371.81809235</v>
      </c>
      <c r="DC68">
        <v>0.15881655380129814</v>
      </c>
      <c r="DD68">
        <v>4.1181907833254332</v>
      </c>
      <c r="DE68">
        <v>701390331.8164326</v>
      </c>
      <c r="DF68">
        <v>0.14711428141593935</v>
      </c>
      <c r="DG68">
        <v>2.2291498368911027</v>
      </c>
      <c r="DH68">
        <v>1295767180.9214976</v>
      </c>
      <c r="DI68">
        <v>0.13374025583267213</v>
      </c>
      <c r="DJ68">
        <v>0.90623287592790491</v>
      </c>
      <c r="DK68">
        <v>3187325550.3365679</v>
      </c>
      <c r="DL68">
        <v>0.1170227238535881</v>
      </c>
      <c r="DM68">
        <v>87864300</v>
      </c>
      <c r="DN68">
        <v>0.16717531979084016</v>
      </c>
      <c r="DO68">
        <v>2888459200</v>
      </c>
      <c r="DP68">
        <v>851965880</v>
      </c>
      <c r="DQ68">
        <v>2304</v>
      </c>
      <c r="DR68">
        <v>-0.30868475375310434</v>
      </c>
      <c r="DS68">
        <v>-4.9480548034804769E-3</v>
      </c>
      <c r="DT68" s="10">
        <v>-4.0000000000000036E-2</v>
      </c>
      <c r="DU68">
        <v>8.3333333333333329E-2</v>
      </c>
      <c r="DV68">
        <v>4.3333333333333293E-2</v>
      </c>
      <c r="DW68">
        <v>-8.2411042944785269</v>
      </c>
      <c r="DX68">
        <v>0.2740132450331122</v>
      </c>
      <c r="DY68">
        <v>-8.02507804006013</v>
      </c>
      <c r="DZ68">
        <v>4739</v>
      </c>
      <c r="EA68">
        <v>-8.0018207344153254</v>
      </c>
      <c r="EB68">
        <v>8</v>
      </c>
      <c r="EC68">
        <v>5.3059018276409582E-2</v>
      </c>
      <c r="ED68">
        <v>0.51011790142224922</v>
      </c>
      <c r="EE68" s="11">
        <v>2.0276999999999998</v>
      </c>
      <c r="EF68">
        <v>2.0091999999999999</v>
      </c>
      <c r="EG68">
        <v>17.104013245033112</v>
      </c>
      <c r="EH68" t="s">
        <v>1701</v>
      </c>
      <c r="EI68">
        <v>0</v>
      </c>
      <c r="EJ68">
        <v>0</v>
      </c>
      <c r="EK68" s="12">
        <v>45470</v>
      </c>
      <c r="EL68">
        <v>-1.49</v>
      </c>
      <c r="EM68">
        <v>-4.3099999999999996</v>
      </c>
      <c r="EN68">
        <v>-0.9</v>
      </c>
      <c r="EO68">
        <v>10.57</v>
      </c>
      <c r="EP68">
        <v>-1.85</v>
      </c>
    </row>
    <row r="69" spans="1:146" ht="96" x14ac:dyDescent="0.25">
      <c r="A69" s="6"/>
      <c r="B69" s="6"/>
      <c r="C69" s="6" t="str">
        <f>""&amp;CHAR(10)&amp;Basic_Fundamental_Information_Constructure(F69)&amp;CHAR(10)&amp;Basic_Fundamental_Information_Concatenate("")</f>
        <v xml:space="preserve">
市值67.968383亿, 利润-2387.49万; PE88.82; 平均PE91.26; 平均PEG15.74, PB5.28; ROIC8.51%; ROE11.0833%; 股利率.6094%; 毛利14.45%; 净利7.5567%; 上一年度营收增-82.37%, 利润增-121.51%; 当季营收增657.31%, 利润增277.11%; 过往5年营收增5.8%, 利润增-7.73%
Income profile:
</v>
      </c>
      <c r="D69" t="s">
        <v>819</v>
      </c>
      <c r="E69" t="s">
        <v>820</v>
      </c>
      <c r="F69">
        <v>16.41</v>
      </c>
      <c r="G69">
        <v>0.49</v>
      </c>
      <c r="H69" t="s">
        <v>4080</v>
      </c>
      <c r="I69">
        <v>6796838300</v>
      </c>
      <c r="J69">
        <v>88.82</v>
      </c>
      <c r="K69">
        <v>5.28</v>
      </c>
      <c r="L69" t="s">
        <v>428</v>
      </c>
      <c r="M69" t="s">
        <v>2656</v>
      </c>
      <c r="N69" t="s">
        <v>4081</v>
      </c>
      <c r="O69" t="s">
        <v>623</v>
      </c>
      <c r="P69">
        <v>21.47</v>
      </c>
      <c r="Q69" t="s">
        <v>370</v>
      </c>
      <c r="R69">
        <v>12327996</v>
      </c>
      <c r="S69" s="4">
        <v>-0.47910000000000003</v>
      </c>
      <c r="T69" t="s">
        <v>4082</v>
      </c>
      <c r="U69">
        <v>239423690</v>
      </c>
      <c r="V69">
        <v>414188800</v>
      </c>
      <c r="W69">
        <v>2.34</v>
      </c>
      <c r="X69">
        <v>0.11</v>
      </c>
      <c r="Y69">
        <v>3.19</v>
      </c>
      <c r="Z69" t="s">
        <v>438</v>
      </c>
      <c r="AA69" t="s">
        <v>448</v>
      </c>
      <c r="AB69" t="s">
        <v>4083</v>
      </c>
      <c r="AC69" t="s">
        <v>4084</v>
      </c>
      <c r="AD69" t="s">
        <v>5</v>
      </c>
      <c r="AE69">
        <v>-5317839</v>
      </c>
      <c r="AF69" t="s">
        <v>2758</v>
      </c>
      <c r="AG69" t="s">
        <v>4085</v>
      </c>
      <c r="AH69" t="s">
        <v>2759</v>
      </c>
      <c r="AI69" t="s">
        <v>216</v>
      </c>
      <c r="AJ69" t="s">
        <v>2760</v>
      </c>
      <c r="AK69" t="s">
        <v>4086</v>
      </c>
      <c r="AL69" t="s">
        <v>2761</v>
      </c>
      <c r="AM69" t="s">
        <v>5</v>
      </c>
      <c r="AN69" t="s">
        <v>133</v>
      </c>
      <c r="AO69" t="s">
        <v>4087</v>
      </c>
      <c r="AP69" t="s">
        <v>360</v>
      </c>
      <c r="AQ69" t="s">
        <v>200</v>
      </c>
      <c r="AR69" t="s">
        <v>5</v>
      </c>
      <c r="AS69" t="s">
        <v>4088</v>
      </c>
      <c r="AT69" t="s">
        <v>2310</v>
      </c>
      <c r="AU69" t="s">
        <v>2249</v>
      </c>
      <c r="AV69" t="s">
        <v>1249</v>
      </c>
      <c r="AW69" t="s">
        <v>172</v>
      </c>
      <c r="AX69" t="s">
        <v>1558</v>
      </c>
      <c r="AY69" t="s">
        <v>1354</v>
      </c>
      <c r="AZ69" t="s">
        <v>1355</v>
      </c>
      <c r="BA69" t="s">
        <v>231</v>
      </c>
      <c r="BB69" t="s">
        <v>415</v>
      </c>
      <c r="BC69" t="s">
        <v>137</v>
      </c>
      <c r="BD69" t="s">
        <v>29</v>
      </c>
      <c r="BE69" t="s">
        <v>112</v>
      </c>
      <c r="BF69" t="s">
        <v>821</v>
      </c>
      <c r="BG69" t="s">
        <v>822</v>
      </c>
      <c r="BH69" t="s">
        <v>1558</v>
      </c>
      <c r="BI69" t="s">
        <v>4089</v>
      </c>
      <c r="BJ69" t="s">
        <v>1558</v>
      </c>
      <c r="BK69" t="s">
        <v>2757</v>
      </c>
      <c r="BL69" t="s">
        <v>4090</v>
      </c>
      <c r="BM69" t="s">
        <v>137</v>
      </c>
      <c r="BN69">
        <v>3.89</v>
      </c>
      <c r="BO69">
        <v>8.98</v>
      </c>
      <c r="BP69">
        <v>12.66</v>
      </c>
      <c r="BQ69">
        <v>6.95</v>
      </c>
      <c r="BR69">
        <v>12.01</v>
      </c>
      <c r="BS69">
        <v>14.29</v>
      </c>
      <c r="BT69" t="s">
        <v>2515</v>
      </c>
      <c r="BU69" t="s">
        <v>1519</v>
      </c>
      <c r="BV69">
        <v>14.04</v>
      </c>
      <c r="BW69">
        <v>13.58</v>
      </c>
      <c r="BX69">
        <v>15.73</v>
      </c>
      <c r="BY69">
        <v>5.97</v>
      </c>
      <c r="BZ69">
        <v>7.51</v>
      </c>
      <c r="CA69">
        <v>9.19</v>
      </c>
      <c r="CB69">
        <v>-0.18</v>
      </c>
      <c r="CC69">
        <v>-7.85</v>
      </c>
      <c r="CD69" t="s">
        <v>4091</v>
      </c>
      <c r="CE69" t="s">
        <v>4092</v>
      </c>
      <c r="CF69" s="8">
        <v>6.573141637368157</v>
      </c>
      <c r="CG69" s="9">
        <v>2.7710602229628778</v>
      </c>
      <c r="CH69" s="8">
        <v>-0.82372879981994629</v>
      </c>
      <c r="CI69" s="8">
        <v>0.136363685131073</v>
      </c>
      <c r="CJ69" s="8">
        <v>0.71466314792633057</v>
      </c>
      <c r="CK69" s="8">
        <v>0.16640986502170563</v>
      </c>
      <c r="CL69" s="8">
        <v>9.6283785998821259E-2</v>
      </c>
      <c r="CM69" s="9">
        <v>-1.2150892019271851</v>
      </c>
      <c r="CN69" s="9">
        <v>-6.7226894199848175E-2</v>
      </c>
      <c r="CO69" s="9">
        <v>0.1666666716337204</v>
      </c>
      <c r="CP69" s="9">
        <v>0.22355267405509949</v>
      </c>
      <c r="CQ69" s="9">
        <v>0.50547641515731812</v>
      </c>
      <c r="CR69">
        <v>91.260780830617733</v>
      </c>
      <c r="CS69">
        <v>15.735068587247792</v>
      </c>
      <c r="CT69">
        <v>0.60938452163315049</v>
      </c>
      <c r="CU69" s="8">
        <v>5.7998336851596832E-2</v>
      </c>
      <c r="CV69" s="9">
        <v>-7.7324067056179044E-2</v>
      </c>
      <c r="CW69">
        <v>0.06</v>
      </c>
      <c r="CX69" t="e">
        <v>#VALUE!</v>
      </c>
      <c r="CY69" t="s">
        <v>1179</v>
      </c>
      <c r="CZ69">
        <v>5.7998336851596832E-2</v>
      </c>
      <c r="DA69" t="e">
        <v>#VALUE!</v>
      </c>
      <c r="DB69" t="s">
        <v>1179</v>
      </c>
      <c r="DC69">
        <v>5.5098420009016991E-2</v>
      </c>
      <c r="DD69" t="e">
        <v>#VALUE!</v>
      </c>
      <c r="DE69" t="s">
        <v>1179</v>
      </c>
      <c r="DF69">
        <v>5.1038536429405215E-2</v>
      </c>
      <c r="DG69" t="e">
        <v>#VALUE!</v>
      </c>
      <c r="DH69" t="s">
        <v>1179</v>
      </c>
      <c r="DI69">
        <v>4.6398669481277466E-2</v>
      </c>
      <c r="DJ69" t="e">
        <v>#VALUE!</v>
      </c>
      <c r="DK69" t="s">
        <v>1179</v>
      </c>
      <c r="DL69">
        <v>4.0598835796117783E-2</v>
      </c>
      <c r="DM69">
        <v>-23874899.999999996</v>
      </c>
      <c r="DN69">
        <v>5.7998336851596832E-2</v>
      </c>
      <c r="DO69">
        <v>7137838300</v>
      </c>
      <c r="DP69">
        <v>501579999.99999988</v>
      </c>
      <c r="DQ69">
        <v>2305</v>
      </c>
      <c r="DR69">
        <v>6.5151433005165602</v>
      </c>
      <c r="DS69">
        <v>2.848384290019057</v>
      </c>
      <c r="DT69" s="10">
        <v>-0.39000000000000007</v>
      </c>
      <c r="DU69">
        <v>-0.40000000000000008</v>
      </c>
      <c r="DV69">
        <v>-0.79000000000000015</v>
      </c>
      <c r="DW69">
        <v>-2.0785</v>
      </c>
      <c r="DX69">
        <v>0.27762664317270264</v>
      </c>
      <c r="DY69">
        <v>-2.0076636914890571</v>
      </c>
      <c r="DZ69">
        <v>1606</v>
      </c>
      <c r="EA69">
        <v>-2.0052551027353536</v>
      </c>
      <c r="EB69">
        <v>2</v>
      </c>
      <c r="EC69">
        <v>1.4821501691982014E-2</v>
      </c>
      <c r="ED69">
        <v>0.15181820464483831</v>
      </c>
      <c r="EE69" s="11">
        <v>9.7109999999999988E-2</v>
      </c>
      <c r="EF69">
        <v>9.9210000000000007E-2</v>
      </c>
      <c r="EG69">
        <v>18.097626643172703</v>
      </c>
      <c r="EH69">
        <v>-1</v>
      </c>
      <c r="EI69">
        <v>0</v>
      </c>
      <c r="EJ69">
        <v>0</v>
      </c>
      <c r="EK69" s="12">
        <v>45470</v>
      </c>
      <c r="EL69">
        <v>0.55000000000000004</v>
      </c>
      <c r="EM69">
        <v>-4.5999999999999996</v>
      </c>
      <c r="EN69">
        <v>-0.79</v>
      </c>
      <c r="EO69">
        <v>3.05</v>
      </c>
      <c r="EP69">
        <v>-0.21</v>
      </c>
    </row>
    <row r="70" spans="1:146" ht="156" x14ac:dyDescent="0.25">
      <c r="A70" s="6" t="s">
        <v>1608</v>
      </c>
      <c r="B70" s="6" t="s">
        <v>1609</v>
      </c>
      <c r="C70" s="6" t="str">
        <f>"公司的主营业务是从事复配食品添加剂、食用益生菌制品以及动植物微生态制剂研发、生产与销售。公司的主要产品分为复配食品添加剂、食用益生菌制品以及动植物微生态制剂。"&amp;CHAR(10)&amp;Basic_Fundamental_Information_Constructure(C70)&amp;CHAR(10)&amp;Basic_Fundamental_Information_Concatenate("复配食品添加剂 8120.12万 51.77% 46.48% 45.66%
食用益生菌制品 5373.09万 34.25% 43.15% 64.06%
动植物微生态制剂 1768.55万 11.27% 9.24% 41.67%
其他 423.86万 2.70% 1.12% 21.10%")</f>
        <v>公司的主营业务是从事复配食品添加剂、食用益生菌制品以及动植物微生态制剂研发、生产与销售。公司的主要产品分为复配食品添加剂、食用益生菌制品以及动植物微生态制剂。
市值38.470287亿, 利润1.06亿; PE41.84; 平均PE37.98; 平均PEG114.5, PB2.2; ROIC7.4333%; ROE8.9233%; 股利率1.0274%; 毛利52.29%; 净利30.35%; 上一年度营收增-17.34%, 利润增-3.64%; 当季营收增421.08%, 利润增242.52%; 过往5年营收增-.33%, 利润增3.06%
Income profile:
复配食品添加剂 8120.12万 51.77% 46.48% 45.66%
食用益生菌制品 5373.09万 34.25% 43.15% 64.06%
动植物微生态制剂 1768.55万 11.27% 9.24% 41.67%
其他 423.86万 2.70% 1.12% 21.10%</v>
      </c>
      <c r="D70" t="s">
        <v>823</v>
      </c>
      <c r="E70" t="s">
        <v>824</v>
      </c>
      <c r="F70">
        <v>14.6</v>
      </c>
      <c r="G70">
        <v>1.88</v>
      </c>
      <c r="H70" t="s">
        <v>4093</v>
      </c>
      <c r="I70">
        <v>3847028700</v>
      </c>
      <c r="J70">
        <v>41.84</v>
      </c>
      <c r="K70">
        <v>2.2000000000000002</v>
      </c>
      <c r="L70" t="s">
        <v>428</v>
      </c>
      <c r="M70" t="s">
        <v>2763</v>
      </c>
      <c r="N70" t="s">
        <v>4094</v>
      </c>
      <c r="O70" t="s">
        <v>2764</v>
      </c>
      <c r="P70">
        <v>-18.190000000000001</v>
      </c>
      <c r="Q70" t="s">
        <v>518</v>
      </c>
      <c r="R70">
        <v>18516445</v>
      </c>
      <c r="S70" s="4">
        <v>-7.6600000000000001E-2</v>
      </c>
      <c r="T70" t="s">
        <v>94</v>
      </c>
      <c r="U70">
        <v>178985150</v>
      </c>
      <c r="V70">
        <v>263495120</v>
      </c>
      <c r="W70">
        <v>1.03</v>
      </c>
      <c r="X70">
        <v>0.03</v>
      </c>
      <c r="Y70">
        <v>31.37</v>
      </c>
      <c r="Z70" t="s">
        <v>4095</v>
      </c>
      <c r="AA70" t="s">
        <v>4096</v>
      </c>
      <c r="AB70" t="s">
        <v>4097</v>
      </c>
      <c r="AC70" t="s">
        <v>4098</v>
      </c>
      <c r="AD70" t="s">
        <v>5</v>
      </c>
      <c r="AE70">
        <v>-6865481</v>
      </c>
      <c r="AF70" t="s">
        <v>2766</v>
      </c>
      <c r="AG70">
        <v>4691.54</v>
      </c>
      <c r="AH70" t="s">
        <v>2767</v>
      </c>
      <c r="AI70" t="s">
        <v>113</v>
      </c>
      <c r="AJ70" t="s">
        <v>2768</v>
      </c>
      <c r="AK70" t="s">
        <v>4099</v>
      </c>
      <c r="AL70" t="s">
        <v>2769</v>
      </c>
      <c r="AM70" t="s">
        <v>5</v>
      </c>
      <c r="AN70" t="s">
        <v>439</v>
      </c>
      <c r="AO70" t="s">
        <v>5</v>
      </c>
      <c r="AP70" t="s">
        <v>5</v>
      </c>
      <c r="AQ70" t="s">
        <v>4100</v>
      </c>
      <c r="AR70" t="s">
        <v>5</v>
      </c>
      <c r="AS70" t="s">
        <v>4101</v>
      </c>
      <c r="AT70" t="s">
        <v>5</v>
      </c>
      <c r="AU70" t="s">
        <v>4102</v>
      </c>
      <c r="AV70" t="s">
        <v>4103</v>
      </c>
      <c r="AW70" t="s">
        <v>4104</v>
      </c>
      <c r="AX70" t="s">
        <v>438</v>
      </c>
      <c r="AY70" t="s">
        <v>222</v>
      </c>
      <c r="AZ70" t="s">
        <v>245</v>
      </c>
      <c r="BA70" t="s">
        <v>73</v>
      </c>
      <c r="BB70" t="s">
        <v>246</v>
      </c>
      <c r="BC70" t="s">
        <v>59</v>
      </c>
      <c r="BD70" t="s">
        <v>59</v>
      </c>
      <c r="BE70" t="s">
        <v>1356</v>
      </c>
      <c r="BF70" t="s">
        <v>825</v>
      </c>
      <c r="BG70" t="s">
        <v>826</v>
      </c>
      <c r="BH70" t="s">
        <v>401</v>
      </c>
      <c r="BI70" t="s">
        <v>4105</v>
      </c>
      <c r="BJ70" t="s">
        <v>438</v>
      </c>
      <c r="BK70" t="s">
        <v>2765</v>
      </c>
      <c r="BL70" t="s">
        <v>4106</v>
      </c>
      <c r="BM70" t="s">
        <v>59</v>
      </c>
      <c r="BN70">
        <v>3.33</v>
      </c>
      <c r="BO70">
        <v>8.0299999999999994</v>
      </c>
      <c r="BP70">
        <v>10.94</v>
      </c>
      <c r="BQ70">
        <v>4.2</v>
      </c>
      <c r="BR70">
        <v>11.11</v>
      </c>
      <c r="BS70">
        <v>11.46</v>
      </c>
      <c r="BT70" t="s">
        <v>1681</v>
      </c>
      <c r="BU70" t="s">
        <v>1534</v>
      </c>
      <c r="BV70">
        <v>54.58</v>
      </c>
      <c r="BW70">
        <v>51.98</v>
      </c>
      <c r="BX70">
        <v>50.31</v>
      </c>
      <c r="BY70">
        <v>31.24</v>
      </c>
      <c r="BZ70">
        <v>29.77</v>
      </c>
      <c r="CA70">
        <v>30.04</v>
      </c>
      <c r="CB70">
        <v>0.21</v>
      </c>
      <c r="CC70">
        <v>-8.41</v>
      </c>
      <c r="CD70" t="s">
        <v>4107</v>
      </c>
      <c r="CE70" t="s">
        <v>4108</v>
      </c>
      <c r="CF70" s="8">
        <v>4.21077721670963</v>
      </c>
      <c r="CG70" s="9">
        <v>2.4251970413017041</v>
      </c>
      <c r="CH70" s="8">
        <v>-0.17344173789024353</v>
      </c>
      <c r="CI70" s="8">
        <v>1.0958904400467873E-2</v>
      </c>
      <c r="CJ70" s="8">
        <v>7.6696164906024933E-2</v>
      </c>
      <c r="CK70" s="8">
        <v>0.10064934939146042</v>
      </c>
      <c r="CL70" s="8">
        <v>-3.1446542590856552E-2</v>
      </c>
      <c r="CM70" s="9">
        <v>-3.6363635212182999E-2</v>
      </c>
      <c r="CN70" s="9">
        <v>0</v>
      </c>
      <c r="CO70" s="9">
        <v>0.1389898955821991</v>
      </c>
      <c r="CP70" s="9">
        <v>3.5297591239213943E-2</v>
      </c>
      <c r="CQ70" s="9">
        <v>1.4847807586193085E-2</v>
      </c>
      <c r="CR70">
        <v>37.977828497868146</v>
      </c>
      <c r="CS70">
        <v>114.50236680235311</v>
      </c>
      <c r="CT70">
        <v>1.0273972602739727</v>
      </c>
      <c r="CU70" s="8">
        <v>-3.3167723566293718E-3</v>
      </c>
      <c r="CV70" s="9">
        <v>3.0554331839084625E-2</v>
      </c>
      <c r="CW70">
        <v>0.06</v>
      </c>
      <c r="CX70">
        <v>20.491777358490566</v>
      </c>
      <c r="CY70" t="s">
        <v>4109</v>
      </c>
      <c r="CZ70">
        <v>-3.3167723566293718E-3</v>
      </c>
      <c r="DA70">
        <v>6.8305924528301887</v>
      </c>
      <c r="DB70" t="s">
        <v>4110</v>
      </c>
      <c r="DC70">
        <v>-3.1509337387979029E-3</v>
      </c>
      <c r="DD70">
        <v>3.4152962264150943</v>
      </c>
      <c r="DE70" t="s">
        <v>4111</v>
      </c>
      <c r="DF70">
        <v>-2.9187596738338472E-3</v>
      </c>
      <c r="DG70">
        <v>2.0491777358490566</v>
      </c>
      <c r="DH70" t="s">
        <v>4112</v>
      </c>
      <c r="DI70">
        <v>-2.6534178853034975E-3</v>
      </c>
      <c r="DJ70">
        <v>1.0245888679245283</v>
      </c>
      <c r="DK70" t="s">
        <v>4113</v>
      </c>
      <c r="DL70">
        <v>-2.3217406496405602E-3</v>
      </c>
      <c r="DM70">
        <v>106000000</v>
      </c>
      <c r="DN70">
        <v>-3.3167723566293718E-3</v>
      </c>
      <c r="DO70">
        <v>2172128400</v>
      </c>
      <c r="DP70">
        <v>859399990</v>
      </c>
      <c r="DQ70">
        <v>2315</v>
      </c>
      <c r="DR70">
        <v>4.2140939890662592</v>
      </c>
      <c r="DS70">
        <v>2.3946427094626195</v>
      </c>
      <c r="DT70" s="10">
        <v>-0.60666666666666669</v>
      </c>
      <c r="DU70">
        <v>0</v>
      </c>
      <c r="DV70">
        <v>-0.60666666666666669</v>
      </c>
      <c r="DW70">
        <v>-2.0840999999999998</v>
      </c>
      <c r="DX70">
        <v>0.31431154153644841</v>
      </c>
      <c r="DY70">
        <v>-2.0096136006432155</v>
      </c>
      <c r="DZ70">
        <v>163</v>
      </c>
      <c r="EA70">
        <v>-2.0093069437146744</v>
      </c>
      <c r="EB70">
        <v>2</v>
      </c>
      <c r="EC70">
        <v>1.9100923007606366E-2</v>
      </c>
      <c r="ED70">
        <v>0.1670953147063976</v>
      </c>
      <c r="EE70" s="11">
        <v>1.9310000000000001E-2</v>
      </c>
      <c r="EF70">
        <v>5.4609999999999999E-2</v>
      </c>
      <c r="EG70">
        <v>20.114311541536448</v>
      </c>
      <c r="EH70">
        <v>-1</v>
      </c>
      <c r="EI70">
        <v>0</v>
      </c>
      <c r="EJ70">
        <v>1</v>
      </c>
      <c r="EK70" s="12">
        <v>45470</v>
      </c>
      <c r="EL70">
        <v>0.49</v>
      </c>
      <c r="EM70">
        <v>-2.95</v>
      </c>
      <c r="EN70">
        <v>-4.8099999999999996</v>
      </c>
      <c r="EO70">
        <v>2.29</v>
      </c>
      <c r="EP70">
        <v>-3.53</v>
      </c>
    </row>
    <row r="71" spans="1:146" ht="216" x14ac:dyDescent="0.25">
      <c r="A71" s="6" t="s">
        <v>1098</v>
      </c>
      <c r="B71" s="6" t="s">
        <v>1099</v>
      </c>
      <c r="C71" s="6" t="str">
        <f>"纤维母粒属于化学纤维原液着色和功能改性的核心原材料，相较于化纤传统印染方式而言，化学纤维原液着色可以省略大部分的染整工序，同时减少废气废水排放，进而从生产上节约大量的人力和能源；同时，由于纤维母粒是将着色剂与PET切片精确计量、均匀混合后形成，制成的涤纶纤维从结构上看，着色剂与涤纶形成表里一致的均匀固溶体，耐光、耐洗、耐磨擦等牢度远比常规印染高。纤维母粒的年产量达4.43万吨，在行业内处于领导地位；"&amp;CHAR(10)&amp;Basic_Fundamental_Information_Constructure(F71)&amp;CHAR(10)&amp;Basic_Fundamental_Information_Concatenate("黑母粒 3.89亿 57.96%（毛利19.54%，半年报增速19.61%）
彩色母粒 1.52亿 22.60%（毛利35.72%，半年报增速36.42%）
功能母粒 6614.29万 9.85%（毛利33.53%）
白母粒 6287.02万 9.37%（毛利21.57%，半年报增速16.83%）
其他 145.90万 0.22%(毛利15.79%)")</f>
        <v>纤维母粒属于化学纤维原液着色和功能改性的核心原材料，相较于化纤传统印染方式而言，化学纤维原液着色可以省略大部分的染整工序，同时减少废气废水排放，进而从生产上节约大量的人力和能源；同时，由于纤维母粒是将着色剂与PET切片精确计量、均匀混合后形成，制成的涤纶纤维从结构上看，着色剂与涤纶形成表里一致的均匀固溶体，耐光、耐洗、耐磨擦等牢度远比常规印染高。纤维母粒的年产量达4.43万吨，在行业内处于领导地位；
市值47.107295亿, 利润6063.33万; PE41.91; 平均PE59.05; 平均PEG5.54, PB2.56; ROIC5.4467%; ROE5.5767%; 股利率1.8713%; 毛利16.7333%; 净利9.2033%; 上一年度营收增-80.56%, 利润增29.3%; 当季营收增1716.59%, 利润增132.98%; 过往5年营收增-10.65%, 利润增7.36%
Income profile:
黑母粒 3.89亿 57.96%（毛利19.54%，半年报增速19.61%）
彩色母粒 1.52亿 22.60%（毛利35.72%，半年报增速36.42%）
功能母粒 6614.29万 9.85%（毛利33.53%）
白母粒 6287.02万 9.37%（毛利21.57%，半年报增速16.83%）
其他 145.90万 0.22%(毛利15.79%)</v>
      </c>
      <c r="D71" t="s">
        <v>827</v>
      </c>
      <c r="E71" t="s">
        <v>828</v>
      </c>
      <c r="F71">
        <v>26.72</v>
      </c>
      <c r="G71">
        <v>-0.15</v>
      </c>
      <c r="H71" t="s">
        <v>4114</v>
      </c>
      <c r="I71">
        <v>4710729500</v>
      </c>
      <c r="J71">
        <v>41.91</v>
      </c>
      <c r="K71">
        <v>2.56</v>
      </c>
      <c r="L71" t="s">
        <v>428</v>
      </c>
      <c r="M71" t="s">
        <v>244</v>
      </c>
      <c r="N71" t="s">
        <v>4115</v>
      </c>
      <c r="O71" t="s">
        <v>340</v>
      </c>
      <c r="P71">
        <v>76.8</v>
      </c>
      <c r="Q71" t="s">
        <v>53</v>
      </c>
      <c r="R71">
        <v>25812616</v>
      </c>
      <c r="S71" s="4">
        <v>0.99970000000000003</v>
      </c>
      <c r="T71" t="s">
        <v>4116</v>
      </c>
      <c r="U71">
        <v>123286217</v>
      </c>
      <c r="V71">
        <v>176299760</v>
      </c>
      <c r="W71">
        <v>1.0900000000000001</v>
      </c>
      <c r="X71">
        <v>0.16</v>
      </c>
      <c r="Y71">
        <v>7.72</v>
      </c>
      <c r="Z71" t="s">
        <v>2065</v>
      </c>
      <c r="AA71" t="s">
        <v>92</v>
      </c>
      <c r="AB71" t="s">
        <v>4117</v>
      </c>
      <c r="AC71" t="s">
        <v>4118</v>
      </c>
      <c r="AD71" t="s">
        <v>5</v>
      </c>
      <c r="AE71">
        <v>-1533882</v>
      </c>
      <c r="AF71" t="s">
        <v>2772</v>
      </c>
      <c r="AG71" t="s">
        <v>4119</v>
      </c>
      <c r="AH71" t="s">
        <v>2773</v>
      </c>
      <c r="AI71" t="s">
        <v>401</v>
      </c>
      <c r="AJ71" t="s">
        <v>2774</v>
      </c>
      <c r="AK71" t="s">
        <v>5</v>
      </c>
      <c r="AL71" t="s">
        <v>2775</v>
      </c>
      <c r="AM71" t="s">
        <v>5</v>
      </c>
      <c r="AN71" t="s">
        <v>194</v>
      </c>
      <c r="AO71" t="s">
        <v>4120</v>
      </c>
      <c r="AP71" t="s">
        <v>4121</v>
      </c>
      <c r="AQ71" t="s">
        <v>4122</v>
      </c>
      <c r="AR71" t="s">
        <v>4123</v>
      </c>
      <c r="AS71" t="s">
        <v>970</v>
      </c>
      <c r="AT71" t="s">
        <v>5</v>
      </c>
      <c r="AU71" t="s">
        <v>4124</v>
      </c>
      <c r="AV71" t="s">
        <v>4125</v>
      </c>
      <c r="AW71" t="s">
        <v>4126</v>
      </c>
      <c r="AX71" t="s">
        <v>974</v>
      </c>
      <c r="AY71" t="s">
        <v>709</v>
      </c>
      <c r="AZ71" t="s">
        <v>196</v>
      </c>
      <c r="BA71" t="s">
        <v>290</v>
      </c>
      <c r="BB71" t="s">
        <v>371</v>
      </c>
      <c r="BC71" t="s">
        <v>1818</v>
      </c>
      <c r="BD71" t="s">
        <v>130</v>
      </c>
      <c r="BE71" t="s">
        <v>61</v>
      </c>
      <c r="BF71" t="s">
        <v>103</v>
      </c>
      <c r="BG71" t="s">
        <v>830</v>
      </c>
      <c r="BH71" t="s">
        <v>2770</v>
      </c>
      <c r="BI71" t="s">
        <v>4127</v>
      </c>
      <c r="BJ71" t="s">
        <v>974</v>
      </c>
      <c r="BK71" t="s">
        <v>2771</v>
      </c>
      <c r="BL71" t="s">
        <v>4128</v>
      </c>
      <c r="BM71" t="s">
        <v>1818</v>
      </c>
      <c r="BN71">
        <v>4.76</v>
      </c>
      <c r="BO71">
        <v>3.62</v>
      </c>
      <c r="BP71">
        <v>7.96</v>
      </c>
      <c r="BQ71">
        <v>5.0199999999999996</v>
      </c>
      <c r="BR71">
        <v>3.58</v>
      </c>
      <c r="BS71">
        <v>8.1300000000000008</v>
      </c>
      <c r="BT71" t="s">
        <v>1682</v>
      </c>
      <c r="BU71" t="s">
        <v>1518</v>
      </c>
      <c r="BV71">
        <v>17.23</v>
      </c>
      <c r="BW71">
        <v>13.44</v>
      </c>
      <c r="BX71">
        <v>19.53</v>
      </c>
      <c r="BY71">
        <v>8.24</v>
      </c>
      <c r="BZ71">
        <v>6</v>
      </c>
      <c r="CA71">
        <v>13.37</v>
      </c>
      <c r="CB71">
        <v>-5.95</v>
      </c>
      <c r="CC71">
        <v>-23.66</v>
      </c>
      <c r="CD71" t="s">
        <v>4129</v>
      </c>
      <c r="CE71" t="s">
        <v>73</v>
      </c>
      <c r="CF71" s="8">
        <v>17.16585929514244</v>
      </c>
      <c r="CG71" s="9">
        <v>1.3298477313139154</v>
      </c>
      <c r="CH71" s="8">
        <v>-0.80555558204650879</v>
      </c>
      <c r="CI71" s="8">
        <v>2.590673603117466E-2</v>
      </c>
      <c r="CJ71" s="8">
        <v>0.15052160620689392</v>
      </c>
      <c r="CK71" s="8">
        <v>-5.7584270834922791E-2</v>
      </c>
      <c r="CL71" s="8">
        <v>0.15397082269191742</v>
      </c>
      <c r="CM71" s="9">
        <v>0.29298907518386841</v>
      </c>
      <c r="CN71" s="9">
        <v>-0.544719398021698</v>
      </c>
      <c r="CO71" s="9">
        <v>-9.6153849735856056E-3</v>
      </c>
      <c r="CP71" s="9">
        <v>2.9702970758080482E-2</v>
      </c>
      <c r="CQ71" s="9">
        <v>0.59956163167953491</v>
      </c>
      <c r="CR71">
        <v>59.047791848028751</v>
      </c>
      <c r="CS71">
        <v>5.5418886883866483</v>
      </c>
      <c r="CT71">
        <v>1.8712574850299402</v>
      </c>
      <c r="CU71" s="8">
        <v>-0.10654813759028911</v>
      </c>
      <c r="CV71" s="9">
        <v>7.358377892524004E-2</v>
      </c>
      <c r="CW71">
        <v>0.06</v>
      </c>
      <c r="CX71">
        <v>50.396885869645885</v>
      </c>
      <c r="CY71" t="s">
        <v>4130</v>
      </c>
      <c r="CZ71">
        <v>-0.10654813759028911</v>
      </c>
      <c r="DA71">
        <v>16.798961956548631</v>
      </c>
      <c r="DB71" t="s">
        <v>4131</v>
      </c>
      <c r="DC71">
        <v>-0.10122073071077466</v>
      </c>
      <c r="DD71">
        <v>8.3994809782743154</v>
      </c>
      <c r="DE71" t="s">
        <v>4132</v>
      </c>
      <c r="DF71">
        <v>-9.3762361079454418E-2</v>
      </c>
      <c r="DG71">
        <v>5.0396885869645889</v>
      </c>
      <c r="DH71" t="s">
        <v>4133</v>
      </c>
      <c r="DI71">
        <v>-8.5238510072231294E-2</v>
      </c>
      <c r="DJ71">
        <v>2.5198442934822944</v>
      </c>
      <c r="DK71" t="s">
        <v>4134</v>
      </c>
      <c r="DL71">
        <v>-7.4583696313202372E-2</v>
      </c>
      <c r="DM71">
        <v>60633300</v>
      </c>
      <c r="DN71">
        <v>-0.10654813759028911</v>
      </c>
      <c r="DO71">
        <v>3055729500</v>
      </c>
      <c r="DP71">
        <v>827317790</v>
      </c>
      <c r="DQ71">
        <v>2361</v>
      </c>
      <c r="DR71">
        <v>17.272407432732727</v>
      </c>
      <c r="DS71">
        <v>1.2562639523886754</v>
      </c>
      <c r="DT71" s="10">
        <v>-0.54</v>
      </c>
      <c r="DU71">
        <v>0.55666666666666664</v>
      </c>
      <c r="DV71">
        <v>1.6666666666666607E-2</v>
      </c>
      <c r="DW71">
        <v>-8.2514792899408285</v>
      </c>
      <c r="DX71">
        <v>0.24077987012987009</v>
      </c>
      <c r="DY71">
        <v>-8.0203144643817712</v>
      </c>
      <c r="DZ71">
        <v>1599</v>
      </c>
      <c r="EA71">
        <v>-8.0139577464666143</v>
      </c>
      <c r="EB71">
        <v>8</v>
      </c>
      <c r="EC71">
        <v>0.14112441219432176</v>
      </c>
      <c r="ED71">
        <v>1.7470244996363014</v>
      </c>
      <c r="EE71" s="11">
        <v>14.123900000000001</v>
      </c>
      <c r="EF71">
        <v>14.1159</v>
      </c>
      <c r="EG71">
        <v>16.08077987012987</v>
      </c>
      <c r="EH71" t="s">
        <v>4135</v>
      </c>
      <c r="EI71">
        <v>0</v>
      </c>
      <c r="EJ71">
        <v>0</v>
      </c>
      <c r="EK71" s="12">
        <v>45470</v>
      </c>
      <c r="EL71">
        <v>-1.87</v>
      </c>
      <c r="EM71">
        <v>-6.33</v>
      </c>
      <c r="EN71">
        <v>7.65</v>
      </c>
      <c r="EO71">
        <v>0.76</v>
      </c>
      <c r="EP71">
        <v>-0.8</v>
      </c>
    </row>
    <row r="72" spans="1:146" ht="132" x14ac:dyDescent="0.25">
      <c r="A72" s="6" t="s">
        <v>1621</v>
      </c>
      <c r="B72" s="6" t="s">
        <v>1622</v>
      </c>
      <c r="C72" s="6" t="str">
        <f>"公司主要从事油品添加剂、无碳纸显色剂等精细化工系列产品的研发、生产和销售。公司产品为精细化工品，按用途可以分为润滑油添加剂、无碳纸显色剂两大类，其中主导产品为润滑油添加剂。"&amp;CHAR(10)&amp;Basic_Fundamental_Information_Constructure(F72)&amp;CHAR(10)&amp;Basic_Fundamental_Information_Concatenate("润滑油添加剂 9.58亿 93.83% 95.34% 26.12%
其他业务 6295.97万 6.17% 4.66% 19.42%")</f>
        <v>公司主要从事油品添加剂、无碳纸显色剂等精细化工系列产品的研发、生产和销售。公司产品为精细化工品，按用途可以分为润滑油添加剂、无碳纸显色剂两大类，其中主导产品为润滑油添加剂。
市值127.512202亿, 利润1.79亿; PE19.25; 平均PE58.58; 平均PEG1.45, PB4.1; ROIC15.2367%; ROE16.4567%; 股利率2.9748%; 毛利31.8633%; 净利19.8433%; 上一年度营收增-59.72%, 利润增-69.56%; 当季营收增213.16%, 利润增275.42%; 过往5年营收增40.52%, 利润增58.53%
Income profile:
润滑油添加剂 9.58亿 93.83% 95.34% 26.12%
其他业务 6295.97万 6.17% 4.66% 19.42%</v>
      </c>
      <c r="D72" t="s">
        <v>831</v>
      </c>
      <c r="E72" t="s">
        <v>832</v>
      </c>
      <c r="F72">
        <v>43.7</v>
      </c>
      <c r="G72">
        <v>2.41</v>
      </c>
      <c r="H72" t="s">
        <v>4136</v>
      </c>
      <c r="I72">
        <v>12751220200</v>
      </c>
      <c r="J72">
        <v>19.25</v>
      </c>
      <c r="K72">
        <v>4.0999999999999996</v>
      </c>
      <c r="L72" t="s">
        <v>428</v>
      </c>
      <c r="M72" t="s">
        <v>411</v>
      </c>
      <c r="N72" t="s">
        <v>4137</v>
      </c>
      <c r="O72" t="s">
        <v>170</v>
      </c>
      <c r="P72">
        <v>14.41</v>
      </c>
      <c r="Q72" t="s">
        <v>876</v>
      </c>
      <c r="R72">
        <v>152780260</v>
      </c>
      <c r="S72" s="4">
        <v>0.57769999999999999</v>
      </c>
      <c r="T72" t="s">
        <v>24</v>
      </c>
      <c r="U72">
        <v>204568020</v>
      </c>
      <c r="V72">
        <v>291789940</v>
      </c>
      <c r="W72">
        <v>1.18</v>
      </c>
      <c r="X72">
        <v>0.19</v>
      </c>
      <c r="Y72">
        <v>21.5</v>
      </c>
      <c r="Z72" t="s">
        <v>636</v>
      </c>
      <c r="AA72" t="s">
        <v>456</v>
      </c>
      <c r="AB72" t="s">
        <v>4138</v>
      </c>
      <c r="AC72" t="s">
        <v>4139</v>
      </c>
      <c r="AD72" t="s">
        <v>5</v>
      </c>
      <c r="AE72">
        <v>-7974175</v>
      </c>
      <c r="AF72" t="s">
        <v>2777</v>
      </c>
      <c r="AG72" t="s">
        <v>4140</v>
      </c>
      <c r="AH72" t="s">
        <v>2778</v>
      </c>
      <c r="AI72" t="s">
        <v>2285</v>
      </c>
      <c r="AJ72" t="s">
        <v>2779</v>
      </c>
      <c r="AK72" t="s">
        <v>4141</v>
      </c>
      <c r="AL72" t="s">
        <v>2780</v>
      </c>
      <c r="AM72" t="s">
        <v>5</v>
      </c>
      <c r="AN72" t="s">
        <v>382</v>
      </c>
      <c r="AO72" t="s">
        <v>5</v>
      </c>
      <c r="AP72" t="s">
        <v>153</v>
      </c>
      <c r="AQ72" t="s">
        <v>4142</v>
      </c>
      <c r="AR72" t="s">
        <v>4143</v>
      </c>
      <c r="AS72" t="s">
        <v>256</v>
      </c>
      <c r="AT72" t="s">
        <v>4144</v>
      </c>
      <c r="AU72" t="s">
        <v>4145</v>
      </c>
      <c r="AV72" t="s">
        <v>4146</v>
      </c>
      <c r="AW72" t="s">
        <v>4147</v>
      </c>
      <c r="AX72" t="s">
        <v>1819</v>
      </c>
      <c r="AY72" t="s">
        <v>1224</v>
      </c>
      <c r="AZ72" t="s">
        <v>434</v>
      </c>
      <c r="BA72" t="s">
        <v>833</v>
      </c>
      <c r="BB72" t="s">
        <v>254</v>
      </c>
      <c r="BC72" t="s">
        <v>495</v>
      </c>
      <c r="BD72" t="s">
        <v>153</v>
      </c>
      <c r="BE72" t="s">
        <v>107</v>
      </c>
      <c r="BF72" t="s">
        <v>834</v>
      </c>
      <c r="BG72" t="s">
        <v>835</v>
      </c>
      <c r="BH72" t="s">
        <v>2776</v>
      </c>
      <c r="BI72" t="s">
        <v>354</v>
      </c>
      <c r="BJ72" t="s">
        <v>1819</v>
      </c>
      <c r="BK72" t="s">
        <v>412</v>
      </c>
      <c r="BL72" t="s">
        <v>4148</v>
      </c>
      <c r="BM72" t="s">
        <v>495</v>
      </c>
      <c r="BN72">
        <v>14.87</v>
      </c>
      <c r="BO72">
        <v>23</v>
      </c>
      <c r="BP72">
        <v>7.84</v>
      </c>
      <c r="BQ72">
        <v>15.71</v>
      </c>
      <c r="BR72">
        <v>24.12</v>
      </c>
      <c r="BS72">
        <v>9.5399999999999991</v>
      </c>
      <c r="BT72" t="s">
        <v>2781</v>
      </c>
      <c r="BU72" t="s">
        <v>1516</v>
      </c>
      <c r="BV72">
        <v>35</v>
      </c>
      <c r="BW72">
        <v>30.13</v>
      </c>
      <c r="BX72">
        <v>30.46</v>
      </c>
      <c r="BY72">
        <v>21.63</v>
      </c>
      <c r="BZ72">
        <v>19.3</v>
      </c>
      <c r="CA72">
        <v>18.600000000000001</v>
      </c>
      <c r="CB72">
        <v>-0.05</v>
      </c>
      <c r="CC72">
        <v>-5.6</v>
      </c>
      <c r="CD72" t="s">
        <v>4149</v>
      </c>
      <c r="CE72" t="s">
        <v>4150</v>
      </c>
      <c r="CF72" s="8">
        <v>2.1315789473684212</v>
      </c>
      <c r="CG72" s="9">
        <v>2.7542390540454202</v>
      </c>
      <c r="CH72" s="8">
        <v>-0.59717661142349243</v>
      </c>
      <c r="CI72" s="8">
        <v>1.8177616596221924</v>
      </c>
      <c r="CJ72" s="8">
        <v>0.25551676750183105</v>
      </c>
      <c r="CK72" s="8">
        <v>0.31050229072570801</v>
      </c>
      <c r="CL72" s="8">
        <v>0.23962263762950897</v>
      </c>
      <c r="CM72" s="9">
        <v>-0.69557821750640869</v>
      </c>
      <c r="CN72" s="9">
        <v>1.9253730773925781</v>
      </c>
      <c r="CO72" s="9">
        <v>9.8360657691955566E-2</v>
      </c>
      <c r="CP72" s="9">
        <v>0.86045563220977783</v>
      </c>
      <c r="CQ72" s="9">
        <v>0.73772710561752319</v>
      </c>
      <c r="CR72">
        <v>58.58287212988624</v>
      </c>
      <c r="CS72">
        <v>1.4456149170310832</v>
      </c>
      <c r="CT72">
        <v>2.9748283752860409</v>
      </c>
      <c r="CU72" s="8">
        <v>0.4052453488111496</v>
      </c>
      <c r="CV72" s="9">
        <v>0.58526765108108525</v>
      </c>
      <c r="CW72">
        <v>0.06</v>
      </c>
      <c r="CX72">
        <v>43.338317279360275</v>
      </c>
      <c r="CY72">
        <v>237300865.50678846</v>
      </c>
      <c r="CZ72">
        <v>0.4052453488111496</v>
      </c>
      <c r="DA72">
        <v>10.955403654422689</v>
      </c>
      <c r="DB72">
        <v>938734940.71104062</v>
      </c>
      <c r="DC72">
        <v>0.38498308137059212</v>
      </c>
      <c r="DD72">
        <v>3.7007030424450154</v>
      </c>
      <c r="DE72">
        <v>2778990932.8161941</v>
      </c>
      <c r="DF72">
        <v>0.35661590695381162</v>
      </c>
      <c r="DG72">
        <v>1.3882775776022183</v>
      </c>
      <c r="DH72">
        <v>7407899087.2722483</v>
      </c>
      <c r="DI72">
        <v>0.32419627904891968</v>
      </c>
      <c r="DJ72">
        <v>0.2223585962759039</v>
      </c>
      <c r="DK72">
        <v>46250607677.156212</v>
      </c>
      <c r="DL72">
        <v>0.28367174416780472</v>
      </c>
      <c r="DM72">
        <v>179000000</v>
      </c>
      <c r="DN72">
        <v>0.4052453488111496</v>
      </c>
      <c r="DO72">
        <v>10284220200</v>
      </c>
      <c r="DP72">
        <v>1833361900</v>
      </c>
      <c r="DQ72">
        <v>2366</v>
      </c>
      <c r="DR72">
        <v>1.7263335985572716</v>
      </c>
      <c r="DS72">
        <v>2.1689714029643348</v>
      </c>
      <c r="DT72" s="10">
        <v>7.6666666666666508E-2</v>
      </c>
      <c r="DU72">
        <v>0.63666666666666649</v>
      </c>
      <c r="DV72">
        <v>0.71333333333333304</v>
      </c>
      <c r="DW72">
        <v>-1.056</v>
      </c>
      <c r="DX72">
        <v>0.4480483680418807</v>
      </c>
      <c r="DY72">
        <v>-1.0082907086103454</v>
      </c>
      <c r="DZ72">
        <v>831</v>
      </c>
      <c r="EA72">
        <v>-1.0069424544312462</v>
      </c>
      <c r="EB72">
        <v>1</v>
      </c>
      <c r="EC72">
        <v>2.1903085486771751E-2</v>
      </c>
      <c r="ED72">
        <v>0.14794547063548524</v>
      </c>
      <c r="EE72" s="11">
        <v>-1.0318000000000001</v>
      </c>
      <c r="EF72">
        <v>-1.0286</v>
      </c>
      <c r="EG72">
        <v>30.148048368041881</v>
      </c>
      <c r="EH72" t="s">
        <v>1692</v>
      </c>
      <c r="EI72">
        <v>0</v>
      </c>
      <c r="EJ72">
        <v>1</v>
      </c>
      <c r="EK72" s="12">
        <v>45470</v>
      </c>
      <c r="EL72">
        <v>-1.1599999999999999</v>
      </c>
      <c r="EM72">
        <v>-5.69</v>
      </c>
      <c r="EN72">
        <v>-3.11</v>
      </c>
      <c r="EO72">
        <v>6.87</v>
      </c>
      <c r="EP72">
        <v>-0.32</v>
      </c>
    </row>
    <row r="73" spans="1:146" ht="96" x14ac:dyDescent="0.25">
      <c r="A73" s="6"/>
      <c r="B73" s="6"/>
      <c r="C73" s="6" t="str">
        <f>""&amp;CHAR(10)&amp;Basic_Fundamental_Information_Constructure(F73)&amp;CHAR(10)&amp;Basic_Fundamental_Information_Concatenate("")</f>
        <v xml:space="preserve">
市值24.09亿, 利润-3129.68万; PE36.49; 平均PE35.6; 平均PEG1.68, PB1.52; ROIC3.73%; ROE3.5%; 股利率1.2453%; 毛利13.7467%; 净利4.23%; 上一年度营收增78.52%, 利润增-209.2%; 当季营收增-34.59%, 利润增222.09%; 过往5年营收增21.21%, 利润增-42.4%
Income profile:
</v>
      </c>
      <c r="D73" t="s">
        <v>836</v>
      </c>
      <c r="E73" t="s">
        <v>837</v>
      </c>
      <c r="F73">
        <v>24.09</v>
      </c>
      <c r="G73">
        <v>0.21</v>
      </c>
      <c r="H73" t="s">
        <v>4151</v>
      </c>
      <c r="I73">
        <v>2409000000</v>
      </c>
      <c r="J73">
        <v>36.49</v>
      </c>
      <c r="K73">
        <v>1.52</v>
      </c>
      <c r="L73" t="s">
        <v>428</v>
      </c>
      <c r="M73" t="s">
        <v>152</v>
      </c>
      <c r="N73" t="s">
        <v>2067</v>
      </c>
      <c r="O73" t="s">
        <v>222</v>
      </c>
      <c r="P73">
        <v>16.100000000000001</v>
      </c>
      <c r="Q73" t="s">
        <v>503</v>
      </c>
      <c r="R73">
        <v>18620279</v>
      </c>
      <c r="S73" s="4">
        <v>149.9</v>
      </c>
      <c r="T73" t="s">
        <v>2788</v>
      </c>
      <c r="U73">
        <v>43461432</v>
      </c>
      <c r="V73">
        <v>100000000</v>
      </c>
      <c r="W73">
        <v>1.1399999999999999</v>
      </c>
      <c r="X73">
        <v>0.2</v>
      </c>
      <c r="Y73">
        <v>5.1100000000000003</v>
      </c>
      <c r="Z73" t="s">
        <v>299</v>
      </c>
      <c r="AA73" t="s">
        <v>28</v>
      </c>
      <c r="AB73" t="s">
        <v>4152</v>
      </c>
      <c r="AC73" t="s">
        <v>4153</v>
      </c>
      <c r="AD73" t="s">
        <v>5</v>
      </c>
      <c r="AE73">
        <v>1152445</v>
      </c>
      <c r="AF73" t="s">
        <v>32</v>
      </c>
      <c r="AG73" t="s">
        <v>4154</v>
      </c>
      <c r="AH73" t="s">
        <v>2785</v>
      </c>
      <c r="AI73" t="s">
        <v>4155</v>
      </c>
      <c r="AJ73" t="s">
        <v>2786</v>
      </c>
      <c r="AK73" t="s">
        <v>5</v>
      </c>
      <c r="AL73" t="s">
        <v>2787</v>
      </c>
      <c r="AM73" t="s">
        <v>5</v>
      </c>
      <c r="AN73" t="s">
        <v>4156</v>
      </c>
      <c r="AO73" t="s">
        <v>1652</v>
      </c>
      <c r="AP73" t="s">
        <v>5</v>
      </c>
      <c r="AQ73" t="s">
        <v>63</v>
      </c>
      <c r="AR73" t="s">
        <v>5</v>
      </c>
      <c r="AS73" t="s">
        <v>70</v>
      </c>
      <c r="AT73" t="s">
        <v>5</v>
      </c>
      <c r="AU73" t="s">
        <v>137</v>
      </c>
      <c r="AV73" t="s">
        <v>4157</v>
      </c>
      <c r="AW73" t="s">
        <v>4158</v>
      </c>
      <c r="AX73" t="s">
        <v>1820</v>
      </c>
      <c r="AY73" t="s">
        <v>1358</v>
      </c>
      <c r="AZ73" t="s">
        <v>1360</v>
      </c>
      <c r="BA73" t="s">
        <v>541</v>
      </c>
      <c r="BB73" t="s">
        <v>838</v>
      </c>
      <c r="BC73" t="s">
        <v>1821</v>
      </c>
      <c r="BD73" t="s">
        <v>1359</v>
      </c>
      <c r="BE73" t="s">
        <v>76</v>
      </c>
      <c r="BF73" t="s">
        <v>839</v>
      </c>
      <c r="BG73" t="s">
        <v>840</v>
      </c>
      <c r="BH73" t="s">
        <v>2783</v>
      </c>
      <c r="BI73" t="s">
        <v>2042</v>
      </c>
      <c r="BJ73" t="s">
        <v>1820</v>
      </c>
      <c r="BK73" t="s">
        <v>2784</v>
      </c>
      <c r="BL73" t="s">
        <v>2792</v>
      </c>
      <c r="BM73" t="s">
        <v>1821</v>
      </c>
      <c r="BN73">
        <v>1.76</v>
      </c>
      <c r="BO73">
        <v>2.2599999999999998</v>
      </c>
      <c r="BP73">
        <v>7.17</v>
      </c>
      <c r="BQ73">
        <v>1.46</v>
      </c>
      <c r="BR73">
        <v>1.84</v>
      </c>
      <c r="BS73">
        <v>7.2</v>
      </c>
      <c r="BT73" t="s">
        <v>1675</v>
      </c>
      <c r="BU73" t="s">
        <v>1515</v>
      </c>
      <c r="BV73">
        <v>13.09</v>
      </c>
      <c r="BW73">
        <v>10.199999999999999</v>
      </c>
      <c r="BX73">
        <v>17.95</v>
      </c>
      <c r="BY73">
        <v>3.3</v>
      </c>
      <c r="BZ73">
        <v>2.2599999999999998</v>
      </c>
      <c r="CA73">
        <v>7.13</v>
      </c>
      <c r="CB73">
        <v>-7.42</v>
      </c>
      <c r="CC73">
        <v>17</v>
      </c>
      <c r="CD73" t="s">
        <v>4159</v>
      </c>
      <c r="CE73" t="s">
        <v>280</v>
      </c>
      <c r="CF73" s="8">
        <v>-0.34587813620071683</v>
      </c>
      <c r="CG73" s="9">
        <v>2.2208978251034335</v>
      </c>
      <c r="CH73" s="8">
        <v>0.78520834445953369</v>
      </c>
      <c r="CI73" s="8">
        <v>-4.8652645200490952E-2</v>
      </c>
      <c r="CJ73" s="8">
        <v>-1.3293944299221039E-2</v>
      </c>
      <c r="CK73" s="8">
        <v>0.19190141558647156</v>
      </c>
      <c r="CL73" s="8">
        <v>0.14516128599643707</v>
      </c>
      <c r="CM73" s="9">
        <v>-2.0920333862304687</v>
      </c>
      <c r="CN73" s="9">
        <v>-0.69917410612106323</v>
      </c>
      <c r="CO73" s="9">
        <v>-0.39703544974327087</v>
      </c>
      <c r="CP73" s="9">
        <v>0.85516124963760376</v>
      </c>
      <c r="CQ73" s="9">
        <v>0.21321485936641693</v>
      </c>
      <c r="CR73">
        <v>35.601099215342316</v>
      </c>
      <c r="CS73">
        <v>1.6787832722175646</v>
      </c>
      <c r="CT73">
        <v>1.2453300124533002</v>
      </c>
      <c r="CU73" s="8">
        <v>0.21206489130854606</v>
      </c>
      <c r="CV73" s="9">
        <v>-0.42397336661815643</v>
      </c>
      <c r="CW73">
        <v>0.06</v>
      </c>
      <c r="CX73" t="e">
        <v>#VALUE!</v>
      </c>
      <c r="CY73" t="s">
        <v>1179</v>
      </c>
      <c r="CZ73">
        <v>0.21206489130854606</v>
      </c>
      <c r="DA73" t="e">
        <v>#VALUE!</v>
      </c>
      <c r="DB73" t="s">
        <v>1179</v>
      </c>
      <c r="DC73">
        <v>0.20146164674311876</v>
      </c>
      <c r="DD73" t="e">
        <v>#VALUE!</v>
      </c>
      <c r="DE73" t="s">
        <v>1179</v>
      </c>
      <c r="DF73">
        <v>0.18661710435152054</v>
      </c>
      <c r="DG73" t="e">
        <v>#VALUE!</v>
      </c>
      <c r="DH73" t="s">
        <v>1179</v>
      </c>
      <c r="DI73">
        <v>0.16965191304683686</v>
      </c>
      <c r="DJ73" t="e">
        <v>#VALUE!</v>
      </c>
      <c r="DK73" t="s">
        <v>1179</v>
      </c>
      <c r="DL73">
        <v>0.14844542391598223</v>
      </c>
      <c r="DM73">
        <v>-31296800</v>
      </c>
      <c r="DN73">
        <v>0.21206489130854606</v>
      </c>
      <c r="DO73">
        <v>1105000000</v>
      </c>
      <c r="DP73">
        <v>404597620</v>
      </c>
      <c r="DQ73">
        <v>2484</v>
      </c>
      <c r="DR73">
        <v>-0.55794302750926295</v>
      </c>
      <c r="DS73">
        <v>2.6448711917215899</v>
      </c>
      <c r="DT73" s="10">
        <v>1.0000000000000011E-2</v>
      </c>
      <c r="DU73">
        <v>-0.40999999999999992</v>
      </c>
      <c r="DV73">
        <v>-0.39999999999999991</v>
      </c>
      <c r="DW73">
        <v>-7.3038493038493035</v>
      </c>
      <c r="DX73">
        <v>0.26283038674032994</v>
      </c>
      <c r="DY73">
        <v>-7.0251679553486186</v>
      </c>
      <c r="DZ73">
        <v>1510</v>
      </c>
      <c r="EA73">
        <v>-7.0177308491692809</v>
      </c>
      <c r="EB73">
        <v>7</v>
      </c>
      <c r="EC73">
        <v>0.299846</v>
      </c>
      <c r="ED73">
        <v>3.62</v>
      </c>
      <c r="EE73" s="11">
        <v>1.07081</v>
      </c>
      <c r="EF73">
        <v>1.09321</v>
      </c>
      <c r="EG73">
        <v>18.08283038674033</v>
      </c>
      <c r="EH73" t="s">
        <v>1693</v>
      </c>
      <c r="EI73">
        <v>0</v>
      </c>
      <c r="EJ73">
        <v>0</v>
      </c>
      <c r="EK73" s="12">
        <v>45470</v>
      </c>
      <c r="EL73">
        <v>-1.84</v>
      </c>
      <c r="EM73">
        <v>-2.85</v>
      </c>
      <c r="EN73">
        <v>-0.59</v>
      </c>
      <c r="EO73">
        <v>1.1200000000000001</v>
      </c>
      <c r="EP73">
        <v>-2.2400000000000002</v>
      </c>
    </row>
    <row r="74" spans="1:146" ht="96" x14ac:dyDescent="0.25">
      <c r="A74" s="6"/>
      <c r="B74" s="6"/>
      <c r="C74" s="6" t="str">
        <f>""&amp;CHAR(10)&amp;Basic_Fundamental_Information_Constructure(F74)&amp;CHAR(10)&amp;Basic_Fundamental_Information_Concatenate("")</f>
        <v xml:space="preserve">
市值12.2117363亿, 利润-2966.48万; PE; 平均PE31.37; 平均PEG35.29, PB1.58; ROIC4.1133%; ROE3.09%; 股利率0%; 毛利11.9633%; 净利.1633%; 上一年度营收增-75.69%, 利润增-617.06%; 当季营收增385.19%, 利润增-102.54%; 过往5年营收增-.89%, 利润增-133.2%
Income profile:
</v>
      </c>
      <c r="D74" t="s">
        <v>841</v>
      </c>
      <c r="E74" t="s">
        <v>842</v>
      </c>
      <c r="F74">
        <v>8.7200000000000006</v>
      </c>
      <c r="G74">
        <v>2.23</v>
      </c>
      <c r="H74" t="s">
        <v>4160</v>
      </c>
      <c r="I74">
        <v>1221173630</v>
      </c>
      <c r="K74">
        <v>1.58</v>
      </c>
      <c r="L74" t="s">
        <v>428</v>
      </c>
      <c r="M74" t="s">
        <v>2145</v>
      </c>
      <c r="N74" t="s">
        <v>2285</v>
      </c>
      <c r="O74" t="s">
        <v>479</v>
      </c>
      <c r="P74">
        <v>-13.25</v>
      </c>
      <c r="Q74" t="s">
        <v>2115</v>
      </c>
      <c r="R74">
        <v>-27062759</v>
      </c>
      <c r="S74" s="4">
        <v>-0.77449999999999997</v>
      </c>
      <c r="T74" t="s">
        <v>4161</v>
      </c>
      <c r="U74">
        <v>39586186</v>
      </c>
      <c r="V74">
        <v>140042850</v>
      </c>
      <c r="W74">
        <v>3.05</v>
      </c>
      <c r="X74">
        <v>0.2</v>
      </c>
      <c r="Y74">
        <v>-5.59</v>
      </c>
      <c r="Z74" t="s">
        <v>477</v>
      </c>
      <c r="AA74" t="s">
        <v>4162</v>
      </c>
      <c r="AB74" t="s">
        <v>4163</v>
      </c>
      <c r="AC74" t="s">
        <v>4164</v>
      </c>
      <c r="AD74" t="s">
        <v>5</v>
      </c>
      <c r="AE74">
        <v>9086239</v>
      </c>
      <c r="AF74" t="s">
        <v>32</v>
      </c>
      <c r="AG74" t="s">
        <v>4165</v>
      </c>
      <c r="AH74" t="s">
        <v>2789</v>
      </c>
      <c r="AI74" t="s">
        <v>224</v>
      </c>
      <c r="AJ74" t="s">
        <v>2790</v>
      </c>
      <c r="AK74" t="s">
        <v>734</v>
      </c>
      <c r="AL74" t="s">
        <v>2791</v>
      </c>
      <c r="AM74" t="s">
        <v>5</v>
      </c>
      <c r="AN74" t="s">
        <v>4166</v>
      </c>
      <c r="AO74" t="s">
        <v>357</v>
      </c>
      <c r="AP74" t="s">
        <v>4167</v>
      </c>
      <c r="AQ74" t="s">
        <v>262</v>
      </c>
      <c r="AR74" t="s">
        <v>5</v>
      </c>
      <c r="AS74" t="s">
        <v>1176</v>
      </c>
      <c r="AT74" t="s">
        <v>262</v>
      </c>
      <c r="AU74" t="s">
        <v>2028</v>
      </c>
      <c r="AV74" t="s">
        <v>4168</v>
      </c>
      <c r="AW74" t="s">
        <v>4169</v>
      </c>
      <c r="AX74" t="s">
        <v>1822</v>
      </c>
      <c r="AY74" t="s">
        <v>1361</v>
      </c>
      <c r="AZ74" t="s">
        <v>1363</v>
      </c>
      <c r="BA74" t="s">
        <v>516</v>
      </c>
      <c r="BB74" t="s">
        <v>843</v>
      </c>
      <c r="BC74" t="s">
        <v>1823</v>
      </c>
      <c r="BD74" t="s">
        <v>1362</v>
      </c>
      <c r="BE74" t="s">
        <v>1364</v>
      </c>
      <c r="BF74" t="s">
        <v>844</v>
      </c>
      <c r="BG74" t="s">
        <v>845</v>
      </c>
      <c r="BH74" t="s">
        <v>503</v>
      </c>
      <c r="BI74" t="s">
        <v>4170</v>
      </c>
      <c r="BJ74" t="s">
        <v>1822</v>
      </c>
      <c r="BK74" t="s">
        <v>2788</v>
      </c>
      <c r="BL74" t="s">
        <v>4171</v>
      </c>
      <c r="BM74" t="s">
        <v>1823</v>
      </c>
      <c r="BN74">
        <v>1.1299999999999999</v>
      </c>
      <c r="BO74">
        <v>5.17</v>
      </c>
      <c r="BP74">
        <v>6.04</v>
      </c>
      <c r="BQ74">
        <v>0.64</v>
      </c>
      <c r="BR74">
        <v>0.69</v>
      </c>
      <c r="BS74">
        <v>7.94</v>
      </c>
      <c r="BT74" t="s">
        <v>2793</v>
      </c>
      <c r="BU74" t="s">
        <v>1515</v>
      </c>
      <c r="BV74">
        <v>13.06</v>
      </c>
      <c r="BW74">
        <v>10.54</v>
      </c>
      <c r="BX74">
        <v>12.29</v>
      </c>
      <c r="BY74">
        <v>-1.39</v>
      </c>
      <c r="BZ74">
        <v>0.18</v>
      </c>
      <c r="CA74">
        <v>1.7</v>
      </c>
      <c r="CB74">
        <v>-1.58</v>
      </c>
      <c r="CC74">
        <v>-11.09</v>
      </c>
      <c r="CD74" t="s">
        <v>4172</v>
      </c>
      <c r="CE74" t="s">
        <v>4173</v>
      </c>
      <c r="CF74" s="8">
        <v>3.8518822596538924</v>
      </c>
      <c r="CG74" s="9">
        <v>-1.025413049335409</v>
      </c>
      <c r="CH74" s="8">
        <v>-0.75687640905380249</v>
      </c>
      <c r="CI74" s="8">
        <v>6.3193276524543762E-2</v>
      </c>
      <c r="CJ74" s="8">
        <v>0.47131556272506714</v>
      </c>
      <c r="CK74" s="8">
        <v>-1.5579357743263245E-2</v>
      </c>
      <c r="CL74" s="8">
        <v>0.19349220395088196</v>
      </c>
      <c r="CM74" s="9">
        <v>-6.1706056594848633</v>
      </c>
      <c r="CN74" s="9">
        <v>-0.88628262281417847</v>
      </c>
      <c r="CO74" s="9">
        <v>-0.4381791353225708</v>
      </c>
      <c r="CP74" s="9">
        <v>0.248915895819664</v>
      </c>
      <c r="CQ74" s="9">
        <v>0.58630657196044922</v>
      </c>
      <c r="CR74">
        <v>31.372126792850946</v>
      </c>
      <c r="CS74">
        <v>35.285481783165899</v>
      </c>
      <c r="CT74">
        <v>0</v>
      </c>
      <c r="CU74" s="8">
        <v>-8.8909447193145745E-3</v>
      </c>
      <c r="CV74" s="9">
        <v>-1.3319689899682998</v>
      </c>
      <c r="CW74">
        <v>0.06</v>
      </c>
      <c r="CX74" t="e">
        <v>#VALUE!</v>
      </c>
      <c r="CY74" t="s">
        <v>1211</v>
      </c>
      <c r="CZ74">
        <v>-8.8909447193145745E-3</v>
      </c>
      <c r="DA74" t="e">
        <v>#VALUE!</v>
      </c>
      <c r="DB74" t="s">
        <v>1179</v>
      </c>
      <c r="DC74">
        <v>-8.4463974833488449E-3</v>
      </c>
      <c r="DD74" t="e">
        <v>#VALUE!</v>
      </c>
      <c r="DE74" t="s">
        <v>1179</v>
      </c>
      <c r="DF74">
        <v>-7.8240313529968249E-3</v>
      </c>
      <c r="DG74" t="e">
        <v>#VALUE!</v>
      </c>
      <c r="DH74" t="s">
        <v>1179</v>
      </c>
      <c r="DI74">
        <v>-7.1127557754516596E-3</v>
      </c>
      <c r="DJ74" t="e">
        <v>#VALUE!</v>
      </c>
      <c r="DK74" t="s">
        <v>1179</v>
      </c>
      <c r="DL74">
        <v>-6.2236613035202022E-3</v>
      </c>
      <c r="DM74">
        <v>-29664800</v>
      </c>
      <c r="DN74">
        <v>-8.8909447193145745E-3</v>
      </c>
      <c r="DO74">
        <v>2057173630</v>
      </c>
      <c r="DP74">
        <v>-34511900</v>
      </c>
      <c r="DQ74">
        <v>2485</v>
      </c>
      <c r="DR74">
        <v>3.8607732043732068</v>
      </c>
      <c r="DS74">
        <v>0.30655594063289082</v>
      </c>
      <c r="DT74" s="10">
        <v>-0.54</v>
      </c>
      <c r="DU74">
        <v>-1.8650000000000002</v>
      </c>
      <c r="DV74">
        <v>-2.4050000000000002</v>
      </c>
      <c r="DW74">
        <v>-2.1109</v>
      </c>
      <c r="DX74">
        <v>0.31976613586150321</v>
      </c>
      <c r="DY74">
        <v>-2.0155000644670404</v>
      </c>
      <c r="DZ74">
        <v>1920</v>
      </c>
      <c r="EA74">
        <v>-2.0096761654892092</v>
      </c>
      <c r="EB74">
        <v>2</v>
      </c>
      <c r="EC74">
        <v>6.269866687231801E-2</v>
      </c>
      <c r="ED74">
        <v>0.44859698299484763</v>
      </c>
      <c r="EE74" s="11">
        <v>-1.0697099999999999</v>
      </c>
      <c r="EF74">
        <v>-1.1389100000000001</v>
      </c>
      <c r="EG74">
        <v>18.139766135861503</v>
      </c>
      <c r="EH74" t="s">
        <v>1691</v>
      </c>
      <c r="EI74">
        <v>0</v>
      </c>
      <c r="EJ74">
        <v>0</v>
      </c>
      <c r="EK74" s="12">
        <v>45470</v>
      </c>
      <c r="EL74">
        <v>-7.07</v>
      </c>
      <c r="EM74">
        <v>0.9</v>
      </c>
      <c r="EN74">
        <v>-0.43</v>
      </c>
      <c r="EO74">
        <v>1.68</v>
      </c>
      <c r="EP74">
        <v>-6.92</v>
      </c>
    </row>
    <row r="75" spans="1:146" ht="96" x14ac:dyDescent="0.25">
      <c r="A75" s="6"/>
      <c r="B75" s="6"/>
      <c r="C75" s="6" t="str">
        <f>""&amp;CHAR(10)&amp;Basic_Fundamental_Information_Constructure(F75)&amp;CHAR(10)&amp;Basic_Fundamental_Information_Concatenate("")</f>
        <v xml:space="preserve">
市值25.465393亿, 利润9747.04万; PE32.66; 平均PE31.87; 平均PEG1.34, PB2.26; ROIC8.2867%; ROE9.5067%; 股利率.7924%; 毛利33.31%; 净利22.5633%; 上一年度营收增75.38%, 利润增-8.91%; 当季营收增-38.32%, 利润增-30.37%; 过往5年营收增23.7%, 利润增11.95%
Income profile:
</v>
      </c>
      <c r="D75" t="s">
        <v>846</v>
      </c>
      <c r="E75" t="s">
        <v>847</v>
      </c>
      <c r="F75">
        <v>18.93</v>
      </c>
      <c r="G75">
        <v>-1.76</v>
      </c>
      <c r="H75" t="s">
        <v>4174</v>
      </c>
      <c r="I75">
        <v>2546539300</v>
      </c>
      <c r="J75">
        <v>32.659999999999997</v>
      </c>
      <c r="K75">
        <v>2.2599999999999998</v>
      </c>
      <c r="L75" t="s">
        <v>428</v>
      </c>
      <c r="M75" t="s">
        <v>160</v>
      </c>
      <c r="N75" t="s">
        <v>2060</v>
      </c>
      <c r="O75" t="s">
        <v>130</v>
      </c>
      <c r="P75">
        <v>-8.5299999999999994</v>
      </c>
      <c r="Q75" t="s">
        <v>1790</v>
      </c>
      <c r="R75">
        <v>10948940</v>
      </c>
      <c r="S75" s="4">
        <v>-0.58409999999999995</v>
      </c>
      <c r="T75" t="s">
        <v>2800</v>
      </c>
      <c r="U75">
        <v>69327275</v>
      </c>
      <c r="V75">
        <v>134524000</v>
      </c>
      <c r="W75">
        <v>1.06</v>
      </c>
      <c r="X75">
        <v>0.09</v>
      </c>
      <c r="Y75">
        <v>10.64</v>
      </c>
      <c r="Z75" t="s">
        <v>4175</v>
      </c>
      <c r="AA75" t="s">
        <v>4176</v>
      </c>
      <c r="AB75" t="s">
        <v>4177</v>
      </c>
      <c r="AC75" t="s">
        <v>4178</v>
      </c>
      <c r="AD75" t="s">
        <v>5</v>
      </c>
      <c r="AE75">
        <v>-1457163</v>
      </c>
      <c r="AF75" t="s">
        <v>2795</v>
      </c>
      <c r="AG75" t="s">
        <v>5</v>
      </c>
      <c r="AH75" t="s">
        <v>2797</v>
      </c>
      <c r="AI75" t="s">
        <v>147</v>
      </c>
      <c r="AJ75" t="s">
        <v>2798</v>
      </c>
      <c r="AK75" t="s">
        <v>5</v>
      </c>
      <c r="AL75" t="s">
        <v>2799</v>
      </c>
      <c r="AM75" t="s">
        <v>5</v>
      </c>
      <c r="AN75" t="s">
        <v>4179</v>
      </c>
      <c r="AO75" t="s">
        <v>5</v>
      </c>
      <c r="AP75" t="s">
        <v>5</v>
      </c>
      <c r="AQ75" t="s">
        <v>4180</v>
      </c>
      <c r="AR75" t="s">
        <v>5</v>
      </c>
      <c r="AS75" t="s">
        <v>4181</v>
      </c>
      <c r="AT75" t="s">
        <v>5</v>
      </c>
      <c r="AU75" t="s">
        <v>4182</v>
      </c>
      <c r="AV75" t="s">
        <v>4183</v>
      </c>
      <c r="AW75" t="s">
        <v>5</v>
      </c>
      <c r="AX75" t="s">
        <v>316</v>
      </c>
      <c r="AY75" t="s">
        <v>274</v>
      </c>
      <c r="AZ75" t="s">
        <v>540</v>
      </c>
      <c r="BA75" t="s">
        <v>223</v>
      </c>
      <c r="BB75" t="s">
        <v>92</v>
      </c>
      <c r="BC75" t="s">
        <v>173</v>
      </c>
      <c r="BD75" t="s">
        <v>1365</v>
      </c>
      <c r="BE75" t="s">
        <v>1366</v>
      </c>
      <c r="BF75" t="s">
        <v>848</v>
      </c>
      <c r="BG75" t="s">
        <v>849</v>
      </c>
      <c r="BH75" t="s">
        <v>1448</v>
      </c>
      <c r="BI75" t="s">
        <v>359</v>
      </c>
      <c r="BJ75" t="s">
        <v>316</v>
      </c>
      <c r="BK75" t="s">
        <v>2794</v>
      </c>
      <c r="BL75" t="s">
        <v>2804</v>
      </c>
      <c r="BM75" t="s">
        <v>173</v>
      </c>
      <c r="BN75">
        <v>5.79</v>
      </c>
      <c r="BO75">
        <v>10.06</v>
      </c>
      <c r="BP75">
        <v>9.01</v>
      </c>
      <c r="BQ75">
        <v>6.51</v>
      </c>
      <c r="BR75">
        <v>10.24</v>
      </c>
      <c r="BS75">
        <v>11.77</v>
      </c>
      <c r="BT75" t="s">
        <v>1681</v>
      </c>
      <c r="BU75" t="s">
        <v>1516</v>
      </c>
      <c r="BV75">
        <v>31.81</v>
      </c>
      <c r="BW75">
        <v>36.11</v>
      </c>
      <c r="BX75">
        <v>32.01</v>
      </c>
      <c r="BY75">
        <v>21.44</v>
      </c>
      <c r="BZ75">
        <v>26.87</v>
      </c>
      <c r="CA75">
        <v>19.38</v>
      </c>
      <c r="CB75">
        <v>-2.27</v>
      </c>
      <c r="CC75">
        <v>-22.83</v>
      </c>
      <c r="CD75" t="s">
        <v>4184</v>
      </c>
      <c r="CE75" t="s">
        <v>56</v>
      </c>
      <c r="CF75" s="8">
        <v>-0.38323353293413176</v>
      </c>
      <c r="CG75" s="9">
        <v>-0.30369301018169331</v>
      </c>
      <c r="CH75" s="8">
        <v>0.75376886129379272</v>
      </c>
      <c r="CI75" s="8">
        <v>0.16374269127845764</v>
      </c>
      <c r="CJ75" s="8">
        <v>0.1875</v>
      </c>
      <c r="CK75" s="8">
        <v>-1.3698630034923553E-2</v>
      </c>
      <c r="CL75" s="8">
        <v>9.3632958829402924E-2</v>
      </c>
      <c r="CM75" s="9">
        <v>-8.9061684906482697E-2</v>
      </c>
      <c r="CN75" s="9">
        <v>0.61401510238647461</v>
      </c>
      <c r="CO75" s="9">
        <v>-7.2525560855865479E-2</v>
      </c>
      <c r="CP75" s="9">
        <v>-3.9262358099222183E-2</v>
      </c>
      <c r="CQ75" s="9">
        <v>0.18447937071323395</v>
      </c>
      <c r="CR75">
        <v>31.867971149700818</v>
      </c>
      <c r="CS75">
        <v>1.3447015450589164</v>
      </c>
      <c r="CT75">
        <v>0.79239302694136293</v>
      </c>
      <c r="CU75" s="8">
        <v>0.23698917627334595</v>
      </c>
      <c r="CV75" s="9">
        <v>0.11952897384762765</v>
      </c>
      <c r="CW75">
        <v>0.06</v>
      </c>
      <c r="CX75">
        <v>13.376743258087554</v>
      </c>
      <c r="CY75">
        <v>113745122.45946562</v>
      </c>
      <c r="CZ75">
        <v>0.23698917627334595</v>
      </c>
      <c r="DA75">
        <v>3.8681227376944274</v>
      </c>
      <c r="DB75">
        <v>393353417.9701094</v>
      </c>
      <c r="DC75">
        <v>0.22513971745967865</v>
      </c>
      <c r="DD75">
        <v>1.6034887791399179</v>
      </c>
      <c r="DE75">
        <v>948893013.65496671</v>
      </c>
      <c r="DF75">
        <v>0.20855047512054445</v>
      </c>
      <c r="DG75">
        <v>0.78403124743661801</v>
      </c>
      <c r="DH75">
        <v>1940661555.2309387</v>
      </c>
      <c r="DI75">
        <v>0.18959134101867678</v>
      </c>
      <c r="DJ75">
        <v>0.24808083891634153</v>
      </c>
      <c r="DK75">
        <v>6133239901.3415842</v>
      </c>
      <c r="DL75">
        <v>0.16589242339134216</v>
      </c>
      <c r="DM75">
        <v>97470400.000000015</v>
      </c>
      <c r="DN75">
        <v>0.23698917627334595</v>
      </c>
      <c r="DO75">
        <v>1521539300</v>
      </c>
      <c r="DP75">
        <v>682333730</v>
      </c>
      <c r="DQ75">
        <v>2520</v>
      </c>
      <c r="DR75">
        <v>-0.62022270920747768</v>
      </c>
      <c r="DS75">
        <v>-0.42322198402932099</v>
      </c>
      <c r="DT75" s="10">
        <v>0.17666666666666667</v>
      </c>
      <c r="DU75">
        <v>0.17999999999999997</v>
      </c>
      <c r="DV75">
        <v>0.35666666666666663</v>
      </c>
      <c r="DW75">
        <v>-3.0772440476190477</v>
      </c>
      <c r="DX75">
        <v>0.43751153846153529</v>
      </c>
      <c r="DY75">
        <v>-3.0090770668727105</v>
      </c>
      <c r="DZ75">
        <v>3802</v>
      </c>
      <c r="EA75">
        <v>-3.0023234449059699</v>
      </c>
      <c r="EB75">
        <v>3</v>
      </c>
      <c r="EC75">
        <v>0.11355966221640748</v>
      </c>
      <c r="ED75">
        <v>0.96637031310398147</v>
      </c>
      <c r="EE75" s="11">
        <v>-2.012</v>
      </c>
      <c r="EF75">
        <v>-2.0070100000000002</v>
      </c>
      <c r="EG75">
        <v>32.117511538461535</v>
      </c>
      <c r="EH75" t="s">
        <v>1710</v>
      </c>
      <c r="EI75">
        <v>0</v>
      </c>
      <c r="EJ75">
        <v>0</v>
      </c>
      <c r="EK75" s="12">
        <v>45470</v>
      </c>
      <c r="EL75">
        <v>0.12</v>
      </c>
      <c r="EM75">
        <v>-6.27</v>
      </c>
      <c r="EN75">
        <v>1.92</v>
      </c>
      <c r="EO75">
        <v>5.78</v>
      </c>
      <c r="EP75">
        <v>-1.9</v>
      </c>
    </row>
    <row r="76" spans="1:146" ht="96" x14ac:dyDescent="0.25">
      <c r="A76" s="6"/>
      <c r="B76" s="6"/>
      <c r="C76" s="6" t="str">
        <f>""&amp;CHAR(10)&amp;Basic_Fundamental_Information_Constructure(F76)&amp;CHAR(10)&amp;Basic_Fundamental_Information_Concatenate("")</f>
        <v xml:space="preserve">
市值20.736亿, 利润1.05亿; PE18.31; 平均PE23.1; 平均PEG.1, PB1.64; ROIC8.24%; ROE12.6733%; 股利率3.2812%; 毛利26.23%; 净利14.8%; 上一年度营收增1094.13%, 利润增6.98%; 当季营收增-91.36%, 利润增314.58%; 过往5年营收增229.17%, 利润增28.87%
Income profile:
</v>
      </c>
      <c r="D76" t="s">
        <v>850</v>
      </c>
      <c r="E76" t="s">
        <v>1597</v>
      </c>
      <c r="F76">
        <v>17.28</v>
      </c>
      <c r="G76">
        <v>1.83</v>
      </c>
      <c r="H76" t="s">
        <v>4185</v>
      </c>
      <c r="I76">
        <v>2073600000</v>
      </c>
      <c r="J76">
        <v>18.309999999999999</v>
      </c>
      <c r="K76">
        <v>1.64</v>
      </c>
      <c r="L76" t="s">
        <v>428</v>
      </c>
      <c r="M76" t="s">
        <v>402</v>
      </c>
      <c r="N76" t="s">
        <v>4186</v>
      </c>
      <c r="O76" t="s">
        <v>71</v>
      </c>
      <c r="P76">
        <v>8.59</v>
      </c>
      <c r="Q76" t="s">
        <v>4187</v>
      </c>
      <c r="R76">
        <v>31477380</v>
      </c>
      <c r="S76" s="4">
        <v>1.002</v>
      </c>
      <c r="T76" t="s">
        <v>42</v>
      </c>
      <c r="U76">
        <v>42870002</v>
      </c>
      <c r="V76">
        <v>120000000</v>
      </c>
      <c r="W76">
        <v>1.52</v>
      </c>
      <c r="X76">
        <v>0.1</v>
      </c>
      <c r="Y76">
        <v>17.399999999999999</v>
      </c>
      <c r="Z76" t="s">
        <v>55</v>
      </c>
      <c r="AA76" t="s">
        <v>132</v>
      </c>
      <c r="AB76" t="s">
        <v>4188</v>
      </c>
      <c r="AC76" t="s">
        <v>4189</v>
      </c>
      <c r="AD76" t="s">
        <v>5</v>
      </c>
      <c r="AE76">
        <v>-2572831</v>
      </c>
      <c r="AF76" t="s">
        <v>32</v>
      </c>
      <c r="AG76">
        <v>10000</v>
      </c>
      <c r="AH76" t="s">
        <v>2801</v>
      </c>
      <c r="AI76" t="s">
        <v>1655</v>
      </c>
      <c r="AJ76" t="s">
        <v>2802</v>
      </c>
      <c r="AK76" t="s">
        <v>4190</v>
      </c>
      <c r="AL76" t="s">
        <v>2803</v>
      </c>
      <c r="AM76" t="s">
        <v>5</v>
      </c>
      <c r="AN76" t="s">
        <v>271</v>
      </c>
      <c r="AO76" t="s">
        <v>395</v>
      </c>
      <c r="AP76" t="s">
        <v>2074</v>
      </c>
      <c r="AQ76" t="s">
        <v>69</v>
      </c>
      <c r="AR76" t="s">
        <v>5</v>
      </c>
      <c r="AS76" t="s">
        <v>690</v>
      </c>
      <c r="AT76" t="s">
        <v>2073</v>
      </c>
      <c r="AU76" t="s">
        <v>4191</v>
      </c>
      <c r="AV76" t="s">
        <v>4192</v>
      </c>
      <c r="AW76" t="s">
        <v>60</v>
      </c>
      <c r="AX76" t="s">
        <v>774</v>
      </c>
      <c r="AY76" t="s">
        <v>974</v>
      </c>
      <c r="AZ76" t="s">
        <v>310</v>
      </c>
      <c r="BA76" t="s">
        <v>376</v>
      </c>
      <c r="BB76" t="s">
        <v>380</v>
      </c>
      <c r="BC76" t="s">
        <v>1824</v>
      </c>
      <c r="BD76" t="s">
        <v>68</v>
      </c>
      <c r="BE76" t="s">
        <v>1367</v>
      </c>
      <c r="BF76" t="s">
        <v>851</v>
      </c>
      <c r="BG76" t="s">
        <v>852</v>
      </c>
      <c r="BH76" t="s">
        <v>1790</v>
      </c>
      <c r="BI76" t="s">
        <v>2057</v>
      </c>
      <c r="BJ76" t="s">
        <v>774</v>
      </c>
      <c r="BK76" t="s">
        <v>2800</v>
      </c>
      <c r="BL76" t="s">
        <v>4193</v>
      </c>
      <c r="BM76" t="s">
        <v>1824</v>
      </c>
      <c r="BN76">
        <v>3.07</v>
      </c>
      <c r="BO76">
        <v>5.73</v>
      </c>
      <c r="BP76">
        <v>15.92</v>
      </c>
      <c r="BQ76">
        <v>5.23</v>
      </c>
      <c r="BR76">
        <v>8.0500000000000007</v>
      </c>
      <c r="BS76">
        <v>24.74</v>
      </c>
      <c r="BT76" t="s">
        <v>2805</v>
      </c>
      <c r="BU76" t="s">
        <v>1516</v>
      </c>
      <c r="BV76">
        <v>27.54</v>
      </c>
      <c r="BW76">
        <v>24.98</v>
      </c>
      <c r="BX76">
        <v>26.17</v>
      </c>
      <c r="BY76">
        <v>13.97</v>
      </c>
      <c r="BZ76">
        <v>13.38</v>
      </c>
      <c r="CA76">
        <v>17.05</v>
      </c>
      <c r="CB76">
        <v>-3.25</v>
      </c>
      <c r="CC76">
        <v>-18.41</v>
      </c>
      <c r="CD76" t="s">
        <v>4194</v>
      </c>
      <c r="CE76" t="s">
        <v>4195</v>
      </c>
      <c r="CF76" s="8">
        <v>-0.91364503816793896</v>
      </c>
      <c r="CG76" s="9">
        <v>3.1457972236124649</v>
      </c>
      <c r="CH76" s="8">
        <v>10.941337585449219</v>
      </c>
      <c r="CI76" s="8">
        <v>-7.4494950473308563E-2</v>
      </c>
      <c r="CJ76" s="8">
        <v>0.27331188321113586</v>
      </c>
      <c r="CK76" s="8">
        <v>0.15398886799812317</v>
      </c>
      <c r="CL76" s="8">
        <v>0.16414687037467957</v>
      </c>
      <c r="CM76" s="9">
        <v>6.9845639169216156E-2</v>
      </c>
      <c r="CN76" s="9">
        <v>-0.27300000190734863</v>
      </c>
      <c r="CO76" s="9">
        <v>0.3742821216583252</v>
      </c>
      <c r="CP76" s="9">
        <v>0.50395083427429199</v>
      </c>
      <c r="CQ76" s="9">
        <v>0.76842290163040161</v>
      </c>
      <c r="CR76">
        <v>23.098610585600724</v>
      </c>
      <c r="CS76">
        <v>0.1007943160297271</v>
      </c>
      <c r="CT76">
        <v>3.2812499999999996</v>
      </c>
      <c r="CU76" s="8">
        <v>2.2916580513119698</v>
      </c>
      <c r="CV76" s="9">
        <v>0.28870029896497729</v>
      </c>
      <c r="CW76">
        <v>0.06</v>
      </c>
      <c r="CX76">
        <v>4.1544441465780499</v>
      </c>
      <c r="CY76">
        <v>326060467.3469404</v>
      </c>
      <c r="CZ76">
        <v>2.2916580513119698</v>
      </c>
      <c r="DA76">
        <v>0.33159065757156703</v>
      </c>
      <c r="DB76">
        <v>4085157313.9018173</v>
      </c>
      <c r="DC76">
        <v>2.1770751487463711</v>
      </c>
      <c r="DD76">
        <v>1.5779989811476419E-2</v>
      </c>
      <c r="DE76">
        <v>85842894462.126389</v>
      </c>
      <c r="DF76">
        <v>2.0166590851545334</v>
      </c>
      <c r="DG76">
        <v>4.3374020771912402E-4</v>
      </c>
      <c r="DH76">
        <v>3123067624104.5991</v>
      </c>
      <c r="DI76">
        <v>1.833326441049576</v>
      </c>
      <c r="DJ76">
        <v>1.192362732779031E-7</v>
      </c>
      <c r="DK76">
        <v>1.1360636849516788E+16</v>
      </c>
      <c r="DL76">
        <v>1.6041606359183787</v>
      </c>
      <c r="DM76">
        <v>105000000</v>
      </c>
      <c r="DN76">
        <v>2.2916580513119698</v>
      </c>
      <c r="DO76">
        <v>1354600000</v>
      </c>
      <c r="DP76">
        <v>829614600</v>
      </c>
      <c r="DQ76">
        <v>2521</v>
      </c>
      <c r="DR76">
        <v>-3.2053030894799086</v>
      </c>
      <c r="DS76">
        <v>2.8570969246474878</v>
      </c>
      <c r="DT76" s="10">
        <v>0.20999999999999988</v>
      </c>
      <c r="DU76">
        <v>0.52</v>
      </c>
      <c r="DV76">
        <v>0.72999999999999987</v>
      </c>
      <c r="DW76">
        <v>-8.1765344921238459</v>
      </c>
      <c r="DX76">
        <v>0.30433162610504194</v>
      </c>
      <c r="DY76">
        <v>-8.01665278570567</v>
      </c>
      <c r="DZ76">
        <v>1667</v>
      </c>
      <c r="EA76">
        <v>-8.0112202624627447</v>
      </c>
      <c r="EB76">
        <v>8</v>
      </c>
      <c r="EC76">
        <v>4.5999166666666667E-2</v>
      </c>
      <c r="ED76">
        <v>0.48763250000000002</v>
      </c>
      <c r="EE76" s="11">
        <v>-2.0943000000000001</v>
      </c>
      <c r="EF76">
        <v>-2.0533000000000001</v>
      </c>
      <c r="EG76">
        <v>21.094331626105042</v>
      </c>
      <c r="EH76" t="s">
        <v>1712</v>
      </c>
      <c r="EI76">
        <v>0</v>
      </c>
      <c r="EJ76">
        <v>0</v>
      </c>
      <c r="EK76" s="12">
        <v>45470</v>
      </c>
      <c r="EL76">
        <v>-3.29</v>
      </c>
      <c r="EM76">
        <v>-4.3099999999999996</v>
      </c>
      <c r="EN76">
        <v>1.1499999999999999</v>
      </c>
      <c r="EO76">
        <v>3.57</v>
      </c>
      <c r="EP76">
        <v>-4.0999999999999996</v>
      </c>
    </row>
    <row r="77" spans="1:146" ht="144" x14ac:dyDescent="0.25">
      <c r="A77" s="6"/>
      <c r="B77" s="6"/>
      <c r="C77" s="6" t="str">
        <f>"公司主要从事聚酯材料及新材料的研发、生产和销售，是全球聚酯材料的领军企业。公司聚酯瓶片产品主要用于生产饮用水瓶、热灌装饮料瓶、碳酸饮料瓶、食用油瓶以及医用采血管、膜、片材等领域。"&amp;CHAR(10)&amp;Basic_Fundamental_Information_Constructure(F77)&amp;CHAR(10)&amp;Basic_Fundamental_Information_Concatenate("聚酯瓶片 99.71亿 79.23% 71.66% 5.86%
原料 25.95亿 20.62% 26.20% 8.24%")</f>
        <v>公司主要从事聚酯材料及新材料的研发、生产和销售，是全球聚酯材料的领军企业。公司聚酯瓶片产品主要用于生产饮用水瓶、热灌装饮料瓶、碳酸饮料瓶、食用油瓶以及医用采血管、膜、片材等领域。
市值98.694228亿, 利润1.62亿; PE71.3; 平均PE20.41; 平均PEG1.49, PB1.39; ROIC9.28%; ROE10.2433%; 股利率.5873%; 毛利6.0967%; 净利3.5933%; 上一年度营收增-91.81%, 利润增-80.34%; 当季营收增1448.29%, 利润增-177.85%; 过往5年营收增-13.69%, 利润增4.98%
Income profile:
聚酯瓶片 99.71亿 79.23% 71.66% 5.86%
原料 25.95亿 20.62% 26.20% 8.24%</v>
      </c>
      <c r="D77" t="s">
        <v>1138</v>
      </c>
      <c r="E77" t="s">
        <v>1139</v>
      </c>
      <c r="F77">
        <v>6.64</v>
      </c>
      <c r="G77">
        <v>1.53</v>
      </c>
      <c r="H77" t="s">
        <v>4196</v>
      </c>
      <c r="I77">
        <v>9869422800</v>
      </c>
      <c r="J77">
        <v>71.3</v>
      </c>
      <c r="K77">
        <v>1.39</v>
      </c>
      <c r="L77" t="s">
        <v>428</v>
      </c>
      <c r="M77" t="s">
        <v>2113</v>
      </c>
      <c r="N77" t="s">
        <v>4197</v>
      </c>
      <c r="O77" t="s">
        <v>1175</v>
      </c>
      <c r="P77">
        <v>-18.29</v>
      </c>
      <c r="Q77" t="s">
        <v>1858</v>
      </c>
      <c r="R77">
        <v>-78501593</v>
      </c>
      <c r="S77" s="4">
        <v>-1.478</v>
      </c>
      <c r="T77" t="s">
        <v>23</v>
      </c>
      <c r="U77">
        <v>221904980</v>
      </c>
      <c r="V77">
        <v>1486358900</v>
      </c>
      <c r="W77">
        <v>1.43</v>
      </c>
      <c r="X77">
        <v>0.35</v>
      </c>
      <c r="Y77">
        <v>-2.17</v>
      </c>
      <c r="Z77" t="s">
        <v>4198</v>
      </c>
      <c r="AA77" t="s">
        <v>4199</v>
      </c>
      <c r="AB77" t="s">
        <v>4200</v>
      </c>
      <c r="AC77" t="s">
        <v>4201</v>
      </c>
      <c r="AD77" t="s">
        <v>5</v>
      </c>
      <c r="AE77">
        <v>-19029950</v>
      </c>
      <c r="AF77" t="s">
        <v>2807</v>
      </c>
      <c r="AG77" t="s">
        <v>4202</v>
      </c>
      <c r="AH77" t="s">
        <v>2808</v>
      </c>
      <c r="AI77" t="s">
        <v>677</v>
      </c>
      <c r="AJ77" t="s">
        <v>2809</v>
      </c>
      <c r="AK77" t="s">
        <v>5</v>
      </c>
      <c r="AL77" t="s">
        <v>2810</v>
      </c>
      <c r="AM77" t="s">
        <v>5</v>
      </c>
      <c r="AN77" t="s">
        <v>4203</v>
      </c>
      <c r="AO77" t="s">
        <v>179</v>
      </c>
      <c r="AP77" t="s">
        <v>4204</v>
      </c>
      <c r="AQ77" t="s">
        <v>1500</v>
      </c>
      <c r="AR77" t="s">
        <v>5</v>
      </c>
      <c r="AS77" t="s">
        <v>2642</v>
      </c>
      <c r="AT77" t="s">
        <v>5</v>
      </c>
      <c r="AU77" t="s">
        <v>4205</v>
      </c>
      <c r="AV77" t="s">
        <v>4206</v>
      </c>
      <c r="AW77" t="s">
        <v>1632</v>
      </c>
      <c r="AX77" t="s">
        <v>1825</v>
      </c>
      <c r="AY77" t="s">
        <v>1826</v>
      </c>
      <c r="AZ77" t="s">
        <v>1369</v>
      </c>
      <c r="BA77" t="s">
        <v>1140</v>
      </c>
      <c r="BB77" t="s">
        <v>1141</v>
      </c>
      <c r="BC77" t="s">
        <v>1295</v>
      </c>
      <c r="BD77" t="s">
        <v>230</v>
      </c>
      <c r="BE77" t="s">
        <v>1121</v>
      </c>
      <c r="BF77" t="s">
        <v>155</v>
      </c>
      <c r="BG77" t="s">
        <v>375</v>
      </c>
      <c r="BH77" t="s">
        <v>2806</v>
      </c>
      <c r="BI77" t="s">
        <v>286</v>
      </c>
      <c r="BJ77" t="s">
        <v>1825</v>
      </c>
      <c r="BK77" t="s">
        <v>1190</v>
      </c>
      <c r="BL77" t="s">
        <v>4207</v>
      </c>
      <c r="BM77" t="s">
        <v>1295</v>
      </c>
      <c r="BN77">
        <v>5.78</v>
      </c>
      <c r="BO77">
        <v>12.23</v>
      </c>
      <c r="BP77">
        <v>9.83</v>
      </c>
      <c r="BQ77">
        <v>6.18</v>
      </c>
      <c r="BR77">
        <v>12.6</v>
      </c>
      <c r="BS77">
        <v>11.95</v>
      </c>
      <c r="BT77" t="s">
        <v>2811</v>
      </c>
      <c r="BU77" t="s">
        <v>1519</v>
      </c>
      <c r="BV77">
        <v>4.66</v>
      </c>
      <c r="BW77">
        <v>7.15</v>
      </c>
      <c r="BX77">
        <v>6.48</v>
      </c>
      <c r="BY77">
        <v>2.2000000000000002</v>
      </c>
      <c r="BZ77">
        <v>4.75</v>
      </c>
      <c r="CA77">
        <v>3.83</v>
      </c>
      <c r="CB77">
        <v>0.91</v>
      </c>
      <c r="CC77">
        <v>-19.82</v>
      </c>
      <c r="CD77" t="s">
        <v>4208</v>
      </c>
      <c r="CE77" t="s">
        <v>59</v>
      </c>
      <c r="CF77" s="8">
        <v>14.482905982905981</v>
      </c>
      <c r="CG77" s="9">
        <v>-1.7785125526048469</v>
      </c>
      <c r="CH77" s="8">
        <v>-0.91810470819473267</v>
      </c>
      <c r="CI77" s="8">
        <v>0.31165775656700134</v>
      </c>
      <c r="CJ77" s="8">
        <v>6.7043624818325043E-2</v>
      </c>
      <c r="CK77" s="8">
        <v>-3.2297673169523478E-4</v>
      </c>
      <c r="CL77" s="8">
        <v>-0.14481046795845032</v>
      </c>
      <c r="CM77" s="9">
        <v>-0.80339807271957397</v>
      </c>
      <c r="CN77" s="9">
        <v>0.90740740299224854</v>
      </c>
      <c r="CO77" s="9">
        <v>-0.31319555640220642</v>
      </c>
      <c r="CP77" s="9">
        <v>0.51932364702224731</v>
      </c>
      <c r="CQ77" s="9">
        <v>-6.1224490404129028E-2</v>
      </c>
      <c r="CR77">
        <v>20.405422742935905</v>
      </c>
      <c r="CS77">
        <v>1.4904548296387075</v>
      </c>
      <c r="CT77">
        <v>0.58734939759036153</v>
      </c>
      <c r="CU77" s="8">
        <v>-0.13690735429991036</v>
      </c>
      <c r="CV77" s="9">
        <v>4.9782586097717282E-2</v>
      </c>
      <c r="CW77">
        <v>0.06</v>
      </c>
      <c r="CX77" t="e">
        <v>#VALUE!</v>
      </c>
      <c r="CY77" t="s">
        <v>1203</v>
      </c>
      <c r="CZ77">
        <v>-0.13690735429991036</v>
      </c>
      <c r="DA77">
        <v>12.525561316872427</v>
      </c>
      <c r="DB77" t="s">
        <v>4209</v>
      </c>
      <c r="DC77">
        <v>-0.13006198658491483</v>
      </c>
      <c r="DD77">
        <v>6.2627806584362133</v>
      </c>
      <c r="DE77" t="s">
        <v>4210</v>
      </c>
      <c r="DF77">
        <v>-0.12047847178392111</v>
      </c>
      <c r="DG77">
        <v>3.757668395061728</v>
      </c>
      <c r="DH77" t="s">
        <v>4211</v>
      </c>
      <c r="DI77">
        <v>-0.10952588343992829</v>
      </c>
      <c r="DJ77">
        <v>1.878834197530864</v>
      </c>
      <c r="DK77" t="s">
        <v>4212</v>
      </c>
      <c r="DL77">
        <v>-9.583514800993724E-2</v>
      </c>
      <c r="DM77">
        <v>162000000</v>
      </c>
      <c r="DN77">
        <v>-0.13690735429991036</v>
      </c>
      <c r="DO77">
        <v>6087422799.999999</v>
      </c>
      <c r="DP77">
        <v>4643507800</v>
      </c>
      <c r="DQ77">
        <v>2533</v>
      </c>
      <c r="DR77">
        <v>14.619813337205892</v>
      </c>
      <c r="DS77">
        <v>-1.8282951387025641</v>
      </c>
      <c r="DT77" s="10">
        <v>-0.62333333333333341</v>
      </c>
      <c r="DU77">
        <v>-0.94833333333333336</v>
      </c>
      <c r="DV77">
        <v>-1.5716666666666668</v>
      </c>
      <c r="DW77">
        <v>-3.0432023809523812</v>
      </c>
      <c r="DX77">
        <v>0.38757636363636405</v>
      </c>
      <c r="DY77">
        <v>-3.0072396979004328</v>
      </c>
      <c r="DZ77">
        <v>2570</v>
      </c>
      <c r="EA77">
        <v>-3.0035985973908219</v>
      </c>
      <c r="EB77">
        <v>3</v>
      </c>
      <c r="EC77">
        <v>1.2401715359594509E-2</v>
      </c>
      <c r="ED77">
        <v>7.4006352032473466E-2</v>
      </c>
      <c r="EE77" s="11">
        <v>-1.0092099999999999</v>
      </c>
      <c r="EF77">
        <v>-1.0495099999999999</v>
      </c>
      <c r="EG77">
        <v>22.167576363636364</v>
      </c>
      <c r="EH77" t="s">
        <v>1691</v>
      </c>
      <c r="EI77">
        <v>0</v>
      </c>
      <c r="EJ77">
        <v>0</v>
      </c>
      <c r="EK77" s="12">
        <v>45470</v>
      </c>
      <c r="EL77">
        <v>-1.97</v>
      </c>
      <c r="EM77">
        <v>-5.64</v>
      </c>
      <c r="EN77">
        <v>-0.77</v>
      </c>
      <c r="EO77">
        <v>3.42</v>
      </c>
      <c r="EP77">
        <v>-4.03</v>
      </c>
    </row>
    <row r="78" spans="1:146" ht="84" x14ac:dyDescent="0.25">
      <c r="A78" s="6"/>
      <c r="B78" s="6"/>
      <c r="C78" s="6" t="str">
        <f>""&amp;CHAR(10)&amp;Basic_Fundamental_Information_Constructure(F78)&amp;CHAR(10)&amp;Basic_Fundamental_Information_Concatenate("")</f>
        <v xml:space="preserve">
市值24.84亿, 利润1.58亿; PE; 平均PE19.25; 平均PEG3.89, PB1.18; ROIC3.7933%; ROE6.5367%; 股利率.6039%; 毛利23.3467%; 净利9.5433%; 上一年度营收增-10.3%, 利润增65.6%; 当季营收增41.28%, 利润增-136.37%; 过往5年营收增4.95%, 利润增7.48%
Income profile:
</v>
      </c>
      <c r="D78" t="s">
        <v>1142</v>
      </c>
      <c r="E78" t="s">
        <v>1143</v>
      </c>
      <c r="F78">
        <v>12.42</v>
      </c>
      <c r="G78">
        <v>0.89</v>
      </c>
      <c r="H78" t="s">
        <v>4213</v>
      </c>
      <c r="I78">
        <v>2484000000</v>
      </c>
      <c r="K78">
        <v>1.18</v>
      </c>
      <c r="L78" t="s">
        <v>428</v>
      </c>
      <c r="M78" t="s">
        <v>522</v>
      </c>
      <c r="N78" t="s">
        <v>4214</v>
      </c>
      <c r="O78" t="s">
        <v>150</v>
      </c>
      <c r="P78">
        <v>37.28</v>
      </c>
      <c r="Q78" t="s">
        <v>1278</v>
      </c>
      <c r="R78">
        <v>-12746865</v>
      </c>
      <c r="S78" s="4">
        <v>-1.7549999999999999</v>
      </c>
      <c r="T78" t="s">
        <v>76</v>
      </c>
      <c r="U78">
        <v>50000000</v>
      </c>
      <c r="V78">
        <v>200000000</v>
      </c>
      <c r="W78">
        <v>1.2</v>
      </c>
      <c r="X78">
        <v>0.1</v>
      </c>
      <c r="Y78">
        <v>-5.25</v>
      </c>
      <c r="Z78" t="s">
        <v>134</v>
      </c>
      <c r="AA78" t="s">
        <v>220</v>
      </c>
      <c r="AB78" t="s">
        <v>4215</v>
      </c>
      <c r="AC78" t="s">
        <v>4216</v>
      </c>
      <c r="AD78" t="s">
        <v>5</v>
      </c>
      <c r="AE78">
        <v>-3104379</v>
      </c>
      <c r="AF78" t="s">
        <v>2813</v>
      </c>
      <c r="AG78" t="s">
        <v>5</v>
      </c>
      <c r="AH78" t="s">
        <v>2814</v>
      </c>
      <c r="AI78" t="s">
        <v>339</v>
      </c>
      <c r="AJ78" t="s">
        <v>2815</v>
      </c>
      <c r="AK78" t="s">
        <v>37</v>
      </c>
      <c r="AL78" t="s">
        <v>2816</v>
      </c>
      <c r="AM78" t="s">
        <v>5</v>
      </c>
      <c r="AN78" t="s">
        <v>4217</v>
      </c>
      <c r="AO78" t="s">
        <v>4218</v>
      </c>
      <c r="AP78" t="s">
        <v>56</v>
      </c>
      <c r="AQ78" t="s">
        <v>139</v>
      </c>
      <c r="AR78" t="s">
        <v>5</v>
      </c>
      <c r="AS78" t="s">
        <v>683</v>
      </c>
      <c r="AT78" t="s">
        <v>2817</v>
      </c>
      <c r="AU78" t="s">
        <v>4219</v>
      </c>
      <c r="AV78" t="s">
        <v>4220</v>
      </c>
      <c r="AW78" t="s">
        <v>4221</v>
      </c>
      <c r="AX78" t="s">
        <v>426</v>
      </c>
      <c r="AY78" t="s">
        <v>1346</v>
      </c>
      <c r="AZ78" t="s">
        <v>1222</v>
      </c>
      <c r="BA78" t="s">
        <v>855</v>
      </c>
      <c r="BB78" t="s">
        <v>1144</v>
      </c>
      <c r="BC78" t="s">
        <v>2818</v>
      </c>
      <c r="BD78" t="s">
        <v>69</v>
      </c>
      <c r="BE78" t="s">
        <v>58</v>
      </c>
      <c r="BF78" t="s">
        <v>6</v>
      </c>
      <c r="BG78" t="s">
        <v>50</v>
      </c>
      <c r="BH78" t="s">
        <v>1543</v>
      </c>
      <c r="BI78" t="s">
        <v>139</v>
      </c>
      <c r="BJ78" t="s">
        <v>426</v>
      </c>
      <c r="BK78" t="s">
        <v>2812</v>
      </c>
      <c r="BL78" t="s">
        <v>4222</v>
      </c>
      <c r="BM78" t="s">
        <v>2818</v>
      </c>
      <c r="BN78">
        <v>1.18</v>
      </c>
      <c r="BO78">
        <v>3.64</v>
      </c>
      <c r="BP78">
        <v>6.56</v>
      </c>
      <c r="BQ78">
        <v>1.76</v>
      </c>
      <c r="BR78">
        <v>4.37</v>
      </c>
      <c r="BS78">
        <v>13.48</v>
      </c>
      <c r="BT78" t="s">
        <v>1684</v>
      </c>
      <c r="BU78" t="s">
        <v>1516</v>
      </c>
      <c r="BV78">
        <v>18.440000000000001</v>
      </c>
      <c r="BW78">
        <v>23.18</v>
      </c>
      <c r="BX78">
        <v>28.42</v>
      </c>
      <c r="BY78">
        <v>2</v>
      </c>
      <c r="BZ78">
        <v>11.33</v>
      </c>
      <c r="CA78">
        <v>15.3</v>
      </c>
      <c r="CB78">
        <v>-4.3899999999999997</v>
      </c>
      <c r="CC78">
        <v>-21.02</v>
      </c>
      <c r="CD78" t="s">
        <v>4223</v>
      </c>
      <c r="CE78" t="s">
        <v>4224</v>
      </c>
      <c r="CF78" s="8">
        <v>0.41279069767441878</v>
      </c>
      <c r="CG78" s="9">
        <v>-1.3636693418391073</v>
      </c>
      <c r="CH78" s="8">
        <v>-0.10299400985240936</v>
      </c>
      <c r="CI78" s="8">
        <v>0.10742705315351486</v>
      </c>
      <c r="CJ78" s="8">
        <v>6.7988671362400055E-2</v>
      </c>
      <c r="CK78" s="8">
        <v>9.627329558134079E-2</v>
      </c>
      <c r="CL78" s="8">
        <v>7.8726969659328461E-2</v>
      </c>
      <c r="CM78" s="9">
        <v>0.65596926212310791</v>
      </c>
      <c r="CN78" s="9">
        <v>-0.19142033159732819</v>
      </c>
      <c r="CO78" s="9">
        <v>-0.1805555522441864</v>
      </c>
      <c r="CP78" s="9">
        <v>0.1428571492433548</v>
      </c>
      <c r="CQ78" s="9">
        <v>-5.2631579339504242E-2</v>
      </c>
      <c r="CR78">
        <v>19.245559601060108</v>
      </c>
      <c r="CS78">
        <v>3.8892178472813552</v>
      </c>
      <c r="CT78">
        <v>0.60386473429951693</v>
      </c>
      <c r="CU78" s="8">
        <v>4.9484395980834962E-2</v>
      </c>
      <c r="CV78" s="9">
        <v>7.4843789637088778E-2</v>
      </c>
      <c r="CW78">
        <v>0.06</v>
      </c>
      <c r="CX78">
        <v>4.8711080586924069</v>
      </c>
      <c r="CY78">
        <v>156432579.77827537</v>
      </c>
      <c r="CZ78">
        <v>4.9484395980834962E-2</v>
      </c>
      <c r="DA78">
        <v>1.6476484178510555</v>
      </c>
      <c r="DB78">
        <v>462477305.07570177</v>
      </c>
      <c r="DC78">
        <v>4.7010176181793213E-2</v>
      </c>
      <c r="DD78">
        <v>0.84873319210104092</v>
      </c>
      <c r="DE78">
        <v>897808648.3381983</v>
      </c>
      <c r="DF78">
        <v>4.3546268463134766E-2</v>
      </c>
      <c r="DG78">
        <v>0.53587955932303077</v>
      </c>
      <c r="DH78">
        <v>1421961309.6693294</v>
      </c>
      <c r="DI78">
        <v>3.9587516784667973E-2</v>
      </c>
      <c r="DJ78">
        <v>0.30794307323073122</v>
      </c>
      <c r="DK78">
        <v>2474483325.7835917</v>
      </c>
      <c r="DL78">
        <v>3.4639077186584474E-2</v>
      </c>
      <c r="DM78">
        <v>158000000</v>
      </c>
      <c r="DN78">
        <v>4.9484395980834962E-2</v>
      </c>
      <c r="DO78">
        <v>762000000</v>
      </c>
      <c r="DP78">
        <v>1261862200</v>
      </c>
      <c r="DQ78">
        <v>2542</v>
      </c>
      <c r="DR78">
        <v>0.3633063016935838</v>
      </c>
      <c r="DS78">
        <v>-1.4385131314761961</v>
      </c>
      <c r="DT78" s="10">
        <v>-0.44</v>
      </c>
      <c r="DU78">
        <v>-0.84833333333333327</v>
      </c>
      <c r="DV78">
        <v>-1.2883333333333333</v>
      </c>
      <c r="DW78">
        <v>-8.2088487155090384</v>
      </c>
      <c r="DX78">
        <v>0.29650272100663555</v>
      </c>
      <c r="DY78">
        <v>-8.013889007860092</v>
      </c>
      <c r="DZ78">
        <v>1094</v>
      </c>
      <c r="EA78">
        <v>-8.0109155098955238</v>
      </c>
      <c r="EB78">
        <v>8</v>
      </c>
      <c r="EC78">
        <v>1.7145000000000001E-2</v>
      </c>
      <c r="ED78">
        <v>0.25780900000000001</v>
      </c>
      <c r="EE78" s="11">
        <v>2.0962999999999998</v>
      </c>
      <c r="EF78">
        <v>2.0701000000000001</v>
      </c>
      <c r="EG78">
        <v>23.066502721006636</v>
      </c>
      <c r="EH78" t="s">
        <v>1701</v>
      </c>
      <c r="EI78">
        <v>0</v>
      </c>
      <c r="EJ78">
        <v>1</v>
      </c>
      <c r="EK78" s="12">
        <v>45470</v>
      </c>
      <c r="EL78">
        <v>1.71</v>
      </c>
      <c r="EM78">
        <v>-6.86</v>
      </c>
      <c r="EN78">
        <v>-0.7</v>
      </c>
      <c r="EO78">
        <v>2.62</v>
      </c>
      <c r="EP78">
        <v>-2.62</v>
      </c>
    </row>
    <row r="79" spans="1:146" ht="96" x14ac:dyDescent="0.25">
      <c r="A79" s="6"/>
      <c r="B79" s="6"/>
      <c r="C79" s="6" t="str">
        <f>""&amp;CHAR(10)&amp;Basic_Fundamental_Information_Constructure(F79)&amp;CHAR(10)&amp;Basic_Fundamental_Information_Concatenate("")</f>
        <v xml:space="preserve">
市值37.539002亿, 利润5310.05万; PE14.73; 平均PE35.89; 平均PEG1.97, PB1.98; ROIC11.3333%; ROE13.78%; 股利率1.7182%; 毛利7.01%; 净利4.4967%; 上一年度营收增7.8%, 利润增-58.19%; 当季营收增81.37%, 利润增6.95%; 过往5年营收增18.21%, 利润增15.8%
Income profile:
</v>
      </c>
      <c r="D79" t="s">
        <v>1145</v>
      </c>
      <c r="E79" t="s">
        <v>1146</v>
      </c>
      <c r="F79">
        <v>8.73</v>
      </c>
      <c r="G79">
        <v>1.99</v>
      </c>
      <c r="H79" t="s">
        <v>4225</v>
      </c>
      <c r="I79">
        <v>3753900200</v>
      </c>
      <c r="J79">
        <v>14.73</v>
      </c>
      <c r="K79">
        <v>1.98</v>
      </c>
      <c r="L79" t="s">
        <v>428</v>
      </c>
      <c r="M79" t="s">
        <v>418</v>
      </c>
      <c r="N79" t="s">
        <v>183</v>
      </c>
      <c r="O79" t="s">
        <v>2819</v>
      </c>
      <c r="P79">
        <v>63.32</v>
      </c>
      <c r="Q79" t="s">
        <v>4226</v>
      </c>
      <c r="R79">
        <v>47793752</v>
      </c>
      <c r="S79" s="4">
        <v>0.16880000000000001</v>
      </c>
      <c r="T79" t="s">
        <v>4227</v>
      </c>
      <c r="U79">
        <v>185161420</v>
      </c>
      <c r="V79">
        <v>430000020</v>
      </c>
      <c r="W79">
        <v>1.62</v>
      </c>
      <c r="X79">
        <v>0.47</v>
      </c>
      <c r="Y79">
        <v>3.53</v>
      </c>
      <c r="Z79" t="s">
        <v>2507</v>
      </c>
      <c r="AA79" t="s">
        <v>4228</v>
      </c>
      <c r="AB79" t="s">
        <v>4229</v>
      </c>
      <c r="AC79" t="s">
        <v>4230</v>
      </c>
      <c r="AD79" t="s">
        <v>5</v>
      </c>
      <c r="AE79">
        <v>-174090</v>
      </c>
      <c r="AF79" t="s">
        <v>2821</v>
      </c>
      <c r="AG79" t="s">
        <v>4231</v>
      </c>
      <c r="AH79" t="s">
        <v>2822</v>
      </c>
      <c r="AI79" t="s">
        <v>270</v>
      </c>
      <c r="AJ79" t="s">
        <v>2823</v>
      </c>
      <c r="AK79" t="s">
        <v>158</v>
      </c>
      <c r="AL79" t="s">
        <v>2824</v>
      </c>
      <c r="AM79" t="s">
        <v>5</v>
      </c>
      <c r="AN79" t="s">
        <v>495</v>
      </c>
      <c r="AO79" t="s">
        <v>4232</v>
      </c>
      <c r="AP79" t="s">
        <v>5</v>
      </c>
      <c r="AQ79" t="s">
        <v>23</v>
      </c>
      <c r="AR79" t="s">
        <v>4233</v>
      </c>
      <c r="AS79" t="s">
        <v>973</v>
      </c>
      <c r="AT79" t="s">
        <v>1738</v>
      </c>
      <c r="AU79" t="s">
        <v>4234</v>
      </c>
      <c r="AV79" t="s">
        <v>4235</v>
      </c>
      <c r="AW79" t="s">
        <v>486</v>
      </c>
      <c r="AX79" t="s">
        <v>1827</v>
      </c>
      <c r="AY79" t="s">
        <v>1370</v>
      </c>
      <c r="AZ79" t="s">
        <v>1371</v>
      </c>
      <c r="BA79" t="s">
        <v>912</v>
      </c>
      <c r="BB79" t="s">
        <v>563</v>
      </c>
      <c r="BC79" t="s">
        <v>37</v>
      </c>
      <c r="BD79" t="s">
        <v>30</v>
      </c>
      <c r="BE79" t="s">
        <v>173</v>
      </c>
      <c r="BF79" t="s">
        <v>1147</v>
      </c>
      <c r="BG79" t="s">
        <v>1148</v>
      </c>
      <c r="BH79" t="s">
        <v>2820</v>
      </c>
      <c r="BI79" t="s">
        <v>1425</v>
      </c>
      <c r="BJ79" t="s">
        <v>1827</v>
      </c>
      <c r="BK79" t="s">
        <v>1183</v>
      </c>
      <c r="BL79" t="s">
        <v>4236</v>
      </c>
      <c r="BM79" t="s">
        <v>37</v>
      </c>
      <c r="BN79">
        <v>9.2899999999999991</v>
      </c>
      <c r="BO79">
        <v>7.46</v>
      </c>
      <c r="BP79">
        <v>17.25</v>
      </c>
      <c r="BQ79">
        <v>10.29</v>
      </c>
      <c r="BR79">
        <v>8.0500000000000007</v>
      </c>
      <c r="BS79">
        <v>23</v>
      </c>
      <c r="BT79" t="s">
        <v>1681</v>
      </c>
      <c r="BU79" t="s">
        <v>1516</v>
      </c>
      <c r="BV79">
        <v>7.61</v>
      </c>
      <c r="BW79">
        <v>6.65</v>
      </c>
      <c r="BX79">
        <v>6.77</v>
      </c>
      <c r="BY79">
        <v>4.9400000000000004</v>
      </c>
      <c r="BZ79">
        <v>4.01</v>
      </c>
      <c r="CA79">
        <v>4.54</v>
      </c>
      <c r="CB79">
        <v>-5.52</v>
      </c>
      <c r="CC79">
        <v>-17.25</v>
      </c>
      <c r="CD79" t="s">
        <v>4237</v>
      </c>
      <c r="CE79" t="s">
        <v>112</v>
      </c>
      <c r="CF79" s="8">
        <v>0.81367292225201071</v>
      </c>
      <c r="CG79" s="9">
        <v>6.9539254760407551E-2</v>
      </c>
      <c r="CH79" s="8">
        <v>7.7967189252376556E-2</v>
      </c>
      <c r="CI79" s="8">
        <v>-0.25894737243652344</v>
      </c>
      <c r="CJ79" s="8">
        <v>0.77165359258651733</v>
      </c>
      <c r="CK79" s="8">
        <v>0.19101674854755402</v>
      </c>
      <c r="CL79" s="8">
        <v>0.12869076430797577</v>
      </c>
      <c r="CM79" s="9">
        <v>-0.58188587427139282</v>
      </c>
      <c r="CN79" s="9">
        <v>-0.34536081552505493</v>
      </c>
      <c r="CO79" s="9">
        <v>0.81308412551879883</v>
      </c>
      <c r="CP79" s="9">
        <v>0.146640345454216</v>
      </c>
      <c r="CQ79" s="9">
        <v>0.75774598121643066</v>
      </c>
      <c r="CR79">
        <v>35.89357472951216</v>
      </c>
      <c r="CS79">
        <v>1.9713492370034491</v>
      </c>
      <c r="CT79">
        <v>1.7182130584192439</v>
      </c>
      <c r="CU79" s="8">
        <v>0.18207618445158005</v>
      </c>
      <c r="CV79" s="9">
        <v>0.15804475247859956</v>
      </c>
      <c r="CW79">
        <v>0.06</v>
      </c>
      <c r="CX79">
        <v>45.003131690022819</v>
      </c>
      <c r="CY79">
        <v>59215883.42685955</v>
      </c>
      <c r="CZ79">
        <v>0.18207618445158005</v>
      </c>
      <c r="DA79">
        <v>13.614879428864088</v>
      </c>
      <c r="DB79">
        <v>195734395.88089964</v>
      </c>
      <c r="DC79">
        <v>0.17297237522900105</v>
      </c>
      <c r="DD79">
        <v>6.0248246095308717</v>
      </c>
      <c r="DE79">
        <v>442319963.27068263</v>
      </c>
      <c r="DF79">
        <v>0.16022704231739046</v>
      </c>
      <c r="DG79">
        <v>3.1929440664383151</v>
      </c>
      <c r="DH79">
        <v>834621635.87872028</v>
      </c>
      <c r="DI79">
        <v>0.14566094756126405</v>
      </c>
      <c r="DJ79">
        <v>1.2333620460532002</v>
      </c>
      <c r="DK79">
        <v>2160679590.0099001</v>
      </c>
      <c r="DL79">
        <v>0.12745332911610602</v>
      </c>
      <c r="DM79">
        <v>53100500</v>
      </c>
      <c r="DN79">
        <v>0.18207618445158005</v>
      </c>
      <c r="DO79">
        <v>2664900200</v>
      </c>
      <c r="DP79">
        <v>1191545800</v>
      </c>
      <c r="DQ79">
        <v>2580</v>
      </c>
      <c r="DR79">
        <v>0.63159673780043069</v>
      </c>
      <c r="DS79">
        <v>-8.8505497718192008E-2</v>
      </c>
      <c r="DT79" s="10">
        <v>-0.20666666666666669</v>
      </c>
      <c r="DU79">
        <v>0.15</v>
      </c>
      <c r="DV79">
        <v>-5.6666666666666698E-2</v>
      </c>
      <c r="DW79">
        <v>-8.32</v>
      </c>
      <c r="DX79">
        <v>0.32245980392156925</v>
      </c>
      <c r="DY79">
        <v>-8.0551871372549027</v>
      </c>
      <c r="DZ79">
        <v>3417</v>
      </c>
      <c r="EA79">
        <v>-8.0182841141629257</v>
      </c>
      <c r="EB79">
        <v>8</v>
      </c>
      <c r="EC79">
        <v>4.0909067864694518E-2</v>
      </c>
      <c r="ED79">
        <v>0.23720929129259111</v>
      </c>
      <c r="EE79" s="11">
        <v>1.0115000000000001</v>
      </c>
      <c r="EF79">
        <v>1.0356099999999999</v>
      </c>
      <c r="EG79">
        <v>15.172459803921569</v>
      </c>
      <c r="EH79" t="s">
        <v>1693</v>
      </c>
      <c r="EI79">
        <v>0</v>
      </c>
      <c r="EJ79">
        <v>0</v>
      </c>
      <c r="EK79" s="12">
        <v>45470</v>
      </c>
      <c r="EL79">
        <v>1.1100000000000001</v>
      </c>
      <c r="EM79">
        <v>8.7899999999999991</v>
      </c>
      <c r="EN79">
        <v>3.82</v>
      </c>
      <c r="EO79">
        <v>-1.3</v>
      </c>
      <c r="EP79">
        <v>-4.71</v>
      </c>
    </row>
    <row r="80" spans="1:146" ht="96" x14ac:dyDescent="0.25">
      <c r="A80" s="6"/>
      <c r="B80" s="6"/>
      <c r="C80" s="6" t="str">
        <f>""&amp;CHAR(10)&amp;Basic_Fundamental_Information_Constructure(F80)&amp;CHAR(10)&amp;Basic_Fundamental_Information_Concatenate("")</f>
        <v xml:space="preserve">
市值18.729696亿, 利润3780.66万; PE29.69; 平均PE39.28; 平均PEG6.11, PB2.33; ROIC11.5367%; ROE13.4167%; 股利率4.2636%; 毛利29.5133%; 净利12.0933%; 上一年度营收增-41.61%, 利润增-27.98%; 当季营收增123.15%, 利润增113.74%; 过往5年营收增6.43%, 利润增17.75%
Income profile:
</v>
      </c>
      <c r="D80" t="s">
        <v>1484</v>
      </c>
      <c r="E80" t="s">
        <v>1485</v>
      </c>
      <c r="F80">
        <v>12.9</v>
      </c>
      <c r="G80">
        <v>-7.39</v>
      </c>
      <c r="H80" t="s">
        <v>4238</v>
      </c>
      <c r="I80">
        <v>1872969600</v>
      </c>
      <c r="J80">
        <v>29.69</v>
      </c>
      <c r="K80">
        <v>2.33</v>
      </c>
      <c r="L80" t="s">
        <v>428</v>
      </c>
      <c r="M80" t="s">
        <v>2825</v>
      </c>
      <c r="N80" t="s">
        <v>4239</v>
      </c>
      <c r="O80" t="s">
        <v>2826</v>
      </c>
      <c r="P80">
        <v>7.57</v>
      </c>
      <c r="Q80" t="s">
        <v>161</v>
      </c>
      <c r="R80">
        <v>9583923</v>
      </c>
      <c r="S80" s="4">
        <v>4.7099999999999998E-3</v>
      </c>
      <c r="T80" t="s">
        <v>4240</v>
      </c>
      <c r="U80">
        <v>68782036</v>
      </c>
      <c r="V80">
        <v>145191440</v>
      </c>
      <c r="W80">
        <v>1.03</v>
      </c>
      <c r="X80">
        <v>0.12</v>
      </c>
      <c r="Y80">
        <v>9.7899999999999991</v>
      </c>
      <c r="Z80" t="s">
        <v>4241</v>
      </c>
      <c r="AA80" t="s">
        <v>4242</v>
      </c>
      <c r="AB80" t="s">
        <v>4243</v>
      </c>
      <c r="AC80" t="s">
        <v>4244</v>
      </c>
      <c r="AD80" t="s">
        <v>5</v>
      </c>
      <c r="AE80">
        <v>-1306295</v>
      </c>
      <c r="AF80" t="s">
        <v>2828</v>
      </c>
      <c r="AG80">
        <v>0</v>
      </c>
      <c r="AH80" t="s">
        <v>2829</v>
      </c>
      <c r="AI80" t="s">
        <v>666</v>
      </c>
      <c r="AJ80" t="s">
        <v>2830</v>
      </c>
      <c r="AK80" t="s">
        <v>4245</v>
      </c>
      <c r="AL80" t="s">
        <v>2832</v>
      </c>
      <c r="AM80" t="s">
        <v>5</v>
      </c>
      <c r="AN80" t="s">
        <v>4246</v>
      </c>
      <c r="AO80" t="s">
        <v>4247</v>
      </c>
      <c r="AP80" t="s">
        <v>5</v>
      </c>
      <c r="AQ80" t="s">
        <v>4248</v>
      </c>
      <c r="AR80" t="s">
        <v>5</v>
      </c>
      <c r="AS80" t="s">
        <v>4249</v>
      </c>
      <c r="AT80" t="s">
        <v>5</v>
      </c>
      <c r="AU80" t="s">
        <v>4250</v>
      </c>
      <c r="AV80" t="s">
        <v>4251</v>
      </c>
      <c r="AW80" t="s">
        <v>4252</v>
      </c>
      <c r="AX80" t="s">
        <v>1482</v>
      </c>
      <c r="AY80" t="s">
        <v>291</v>
      </c>
      <c r="AZ80" t="s">
        <v>298</v>
      </c>
      <c r="BA80" t="s">
        <v>129</v>
      </c>
      <c r="BB80" t="s">
        <v>114</v>
      </c>
      <c r="BC80" t="s">
        <v>1828</v>
      </c>
      <c r="BD80" t="s">
        <v>1486</v>
      </c>
      <c r="BE80" t="s">
        <v>1487</v>
      </c>
      <c r="BF80" t="s">
        <v>1488</v>
      </c>
      <c r="BG80" t="s">
        <v>1489</v>
      </c>
      <c r="BH80" t="s">
        <v>315</v>
      </c>
      <c r="BI80" t="s">
        <v>4253</v>
      </c>
      <c r="BJ80" t="s">
        <v>1482</v>
      </c>
      <c r="BK80" t="s">
        <v>2827</v>
      </c>
      <c r="BL80" t="s">
        <v>4254</v>
      </c>
      <c r="BM80" t="s">
        <v>1828</v>
      </c>
      <c r="BN80">
        <v>5.89</v>
      </c>
      <c r="BO80">
        <v>8.33</v>
      </c>
      <c r="BP80">
        <v>20.39</v>
      </c>
      <c r="BQ80">
        <v>6.34</v>
      </c>
      <c r="BR80">
        <v>9.49</v>
      </c>
      <c r="BS80">
        <v>24.42</v>
      </c>
      <c r="BT80" t="s">
        <v>2833</v>
      </c>
      <c r="BU80" t="s">
        <v>1534</v>
      </c>
      <c r="BV80">
        <v>29.93</v>
      </c>
      <c r="BW80">
        <v>29.04</v>
      </c>
      <c r="BX80">
        <v>29.57</v>
      </c>
      <c r="BY80">
        <v>12.5</v>
      </c>
      <c r="BZ80">
        <v>10.86</v>
      </c>
      <c r="CA80">
        <v>12.92</v>
      </c>
      <c r="CB80">
        <v>5.56</v>
      </c>
      <c r="CC80">
        <v>-8.25</v>
      </c>
      <c r="CD80" t="s">
        <v>4255</v>
      </c>
      <c r="CE80" t="s">
        <v>82</v>
      </c>
      <c r="CF80" s="8">
        <v>1.2315159444139283</v>
      </c>
      <c r="CG80" s="9">
        <v>1.1374078369276746</v>
      </c>
      <c r="CH80" s="8">
        <v>-0.4161490797996521</v>
      </c>
      <c r="CI80" s="8">
        <v>-0.11538461595773697</v>
      </c>
      <c r="CJ80" s="8">
        <v>0.29691210389137268</v>
      </c>
      <c r="CK80" s="8">
        <v>0.50357145071029663</v>
      </c>
      <c r="CL80" s="8">
        <v>5.2631579339504242E-2</v>
      </c>
      <c r="CM80" s="9">
        <v>-0.27976453304290771</v>
      </c>
      <c r="CN80" s="9">
        <v>-0.25604146718978882</v>
      </c>
      <c r="CO80" s="9">
        <v>5.7614535093307495E-2</v>
      </c>
      <c r="CP80" s="9">
        <v>0.94129610061645508</v>
      </c>
      <c r="CQ80" s="9">
        <v>0.42416620254516602</v>
      </c>
      <c r="CR80">
        <v>39.283948062407887</v>
      </c>
      <c r="CS80">
        <v>6.1079315218369397</v>
      </c>
      <c r="CT80">
        <v>4.2635658914728678</v>
      </c>
      <c r="CU80" s="8">
        <v>6.4316287636756897E-2</v>
      </c>
      <c r="CV80" s="9">
        <v>0.17745416760444641</v>
      </c>
      <c r="CW80">
        <v>0.06</v>
      </c>
      <c r="CX80">
        <v>29.23267124203597</v>
      </c>
      <c r="CY80">
        <v>37960547.320913032</v>
      </c>
      <c r="CZ80">
        <v>6.4316287636756897E-2</v>
      </c>
      <c r="DA80">
        <v>9.7636150690303598</v>
      </c>
      <c r="DB80">
        <v>113655463.89880413</v>
      </c>
      <c r="DC80">
        <v>6.1100473254919047E-2</v>
      </c>
      <c r="DD80">
        <v>4.9472215065336691</v>
      </c>
      <c r="DE80">
        <v>224305339.57989615</v>
      </c>
      <c r="DF80">
        <v>5.6598333120346067E-2</v>
      </c>
      <c r="DG80">
        <v>3.0679895076082864</v>
      </c>
      <c r="DH80">
        <v>361698824.99535668</v>
      </c>
      <c r="DI80">
        <v>5.1453030109405523E-2</v>
      </c>
      <c r="DJ80">
        <v>1.6983967101629653</v>
      </c>
      <c r="DK80">
        <v>653373969.32046735</v>
      </c>
      <c r="DL80">
        <v>4.5021401345729822E-2</v>
      </c>
      <c r="DM80">
        <v>37806600</v>
      </c>
      <c r="DN80">
        <v>6.4316287636756897E-2</v>
      </c>
      <c r="DO80">
        <v>1109688200</v>
      </c>
      <c r="DP80">
        <v>532468790</v>
      </c>
      <c r="DQ80">
        <v>2586</v>
      </c>
      <c r="DR80">
        <v>1.1671996567771714</v>
      </c>
      <c r="DS80">
        <v>0.95995366932322812</v>
      </c>
      <c r="DT80" s="10">
        <v>-0.35666666666666669</v>
      </c>
      <c r="DU80">
        <v>0.23666666666666669</v>
      </c>
      <c r="DV80">
        <v>-0.12</v>
      </c>
      <c r="DW80">
        <v>6.4026068066618391</v>
      </c>
      <c r="DX80">
        <v>0.48487096774193517</v>
      </c>
      <c r="DY80">
        <v>6.098586718366775</v>
      </c>
      <c r="DZ80">
        <v>2123</v>
      </c>
      <c r="EA80">
        <v>6.0576278919298545</v>
      </c>
      <c r="EB80">
        <v>6</v>
      </c>
      <c r="EC80">
        <v>0.26141348277832355</v>
      </c>
      <c r="ED80">
        <v>1.0675560487587974</v>
      </c>
      <c r="EE80" s="11">
        <v>-8.0228099999999998</v>
      </c>
      <c r="EF80">
        <v>-8.0350099999999998</v>
      </c>
      <c r="EG80">
        <v>24.244870967741935</v>
      </c>
      <c r="EH80" t="s">
        <v>4256</v>
      </c>
      <c r="EI80">
        <v>0</v>
      </c>
      <c r="EJ80">
        <v>0</v>
      </c>
      <c r="EK80" s="12">
        <v>45470</v>
      </c>
      <c r="EL80">
        <v>-1.36</v>
      </c>
      <c r="EM80">
        <v>-3.83</v>
      </c>
      <c r="EN80">
        <v>-2.77</v>
      </c>
      <c r="EO80">
        <v>3.72</v>
      </c>
      <c r="EP80">
        <v>-1.22</v>
      </c>
    </row>
    <row r="81" spans="1:146" ht="96" x14ac:dyDescent="0.25">
      <c r="A81" s="6"/>
      <c r="B81" s="6"/>
      <c r="C81" s="6" t="str">
        <f>""&amp;CHAR(10)&amp;Basic_Fundamental_Information_Constructure(F81)&amp;CHAR(10)&amp;Basic_Fundamental_Information_Concatenate("")</f>
        <v xml:space="preserve">
市值28.868609亿, 利润1.44亿; PE221.8; 平均PE22.18; 平均PEG.27, PB1.46; ROIC4.91%; ROE10.9267%; 股利率1.1152%; 毛利36.43%; 净利18.37%; 上一年度营收增418.75%, 利润增44%; 当季营收增-79.41%, 利润增-66.37%; 过往5年营收增82.76%, 利润增3.57%
Income profile:
</v>
      </c>
      <c r="D81" t="s">
        <v>1149</v>
      </c>
      <c r="E81" t="s">
        <v>1150</v>
      </c>
      <c r="F81">
        <v>13.45</v>
      </c>
      <c r="G81">
        <v>2.13</v>
      </c>
      <c r="H81" t="s">
        <v>4257</v>
      </c>
      <c r="I81">
        <v>2886860900</v>
      </c>
      <c r="J81">
        <v>221.8</v>
      </c>
      <c r="K81">
        <v>1.46</v>
      </c>
      <c r="L81" t="s">
        <v>428</v>
      </c>
      <c r="M81" t="s">
        <v>1717</v>
      </c>
      <c r="N81" t="s">
        <v>4258</v>
      </c>
      <c r="O81" t="s">
        <v>61</v>
      </c>
      <c r="P81">
        <v>25.32</v>
      </c>
      <c r="Q81" t="s">
        <v>4259</v>
      </c>
      <c r="R81">
        <v>18581100</v>
      </c>
      <c r="S81" s="4">
        <v>-0.3019</v>
      </c>
      <c r="T81" t="s">
        <v>58</v>
      </c>
      <c r="U81">
        <v>71046900</v>
      </c>
      <c r="V81">
        <v>214636500</v>
      </c>
      <c r="W81">
        <v>1.1599999999999999</v>
      </c>
      <c r="X81">
        <v>0.04</v>
      </c>
      <c r="Y81">
        <v>17.86</v>
      </c>
      <c r="Z81" t="s">
        <v>4260</v>
      </c>
      <c r="AA81" t="s">
        <v>4261</v>
      </c>
      <c r="AB81" t="s">
        <v>2660</v>
      </c>
      <c r="AC81" t="s">
        <v>4262</v>
      </c>
      <c r="AD81" t="s">
        <v>5</v>
      </c>
      <c r="AE81">
        <v>-7042441</v>
      </c>
      <c r="AF81" t="s">
        <v>2836</v>
      </c>
      <c r="AG81">
        <v>6000</v>
      </c>
      <c r="AH81" t="s">
        <v>2837</v>
      </c>
      <c r="AI81" t="s">
        <v>4263</v>
      </c>
      <c r="AJ81" t="s">
        <v>2838</v>
      </c>
      <c r="AK81" t="s">
        <v>31</v>
      </c>
      <c r="AL81" t="s">
        <v>2839</v>
      </c>
      <c r="AM81" t="s">
        <v>5</v>
      </c>
      <c r="AN81" t="s">
        <v>372</v>
      </c>
      <c r="AO81" t="s">
        <v>3142</v>
      </c>
      <c r="AP81" t="s">
        <v>4264</v>
      </c>
      <c r="AQ81" t="s">
        <v>4265</v>
      </c>
      <c r="AR81" t="s">
        <v>5</v>
      </c>
      <c r="AS81" t="s">
        <v>337</v>
      </c>
      <c r="AT81" t="s">
        <v>5</v>
      </c>
      <c r="AU81" t="s">
        <v>4266</v>
      </c>
      <c r="AV81" t="s">
        <v>4267</v>
      </c>
      <c r="AW81" t="s">
        <v>4268</v>
      </c>
      <c r="AX81" t="s">
        <v>1412</v>
      </c>
      <c r="AY81" t="s">
        <v>829</v>
      </c>
      <c r="AZ81" t="s">
        <v>288</v>
      </c>
      <c r="BA81" t="s">
        <v>350</v>
      </c>
      <c r="BB81" t="s">
        <v>203</v>
      </c>
      <c r="BC81" t="s">
        <v>160</v>
      </c>
      <c r="BD81" t="s">
        <v>86</v>
      </c>
      <c r="BE81" t="s">
        <v>59</v>
      </c>
      <c r="BF81" t="s">
        <v>285</v>
      </c>
      <c r="BG81" t="s">
        <v>110</v>
      </c>
      <c r="BH81" t="s">
        <v>1368</v>
      </c>
      <c r="BI81" t="s">
        <v>1197</v>
      </c>
      <c r="BJ81" t="s">
        <v>1412</v>
      </c>
      <c r="BK81" t="s">
        <v>2835</v>
      </c>
      <c r="BL81" t="s">
        <v>4269</v>
      </c>
      <c r="BM81" t="s">
        <v>160</v>
      </c>
      <c r="BN81">
        <v>-0.65</v>
      </c>
      <c r="BO81">
        <v>3.91</v>
      </c>
      <c r="BP81">
        <v>11.47</v>
      </c>
      <c r="BQ81">
        <v>0.39</v>
      </c>
      <c r="BR81">
        <v>4.96</v>
      </c>
      <c r="BS81">
        <v>27.43</v>
      </c>
      <c r="BT81" t="s">
        <v>1681</v>
      </c>
      <c r="BU81" t="s">
        <v>1518</v>
      </c>
      <c r="BV81">
        <v>35.85</v>
      </c>
      <c r="BW81">
        <v>34.89</v>
      </c>
      <c r="BX81">
        <v>38.549999999999997</v>
      </c>
      <c r="BY81">
        <v>4.25</v>
      </c>
      <c r="BZ81">
        <v>25.08</v>
      </c>
      <c r="CA81">
        <v>25.78</v>
      </c>
      <c r="CB81">
        <v>-3.1</v>
      </c>
      <c r="CC81">
        <v>-21.62</v>
      </c>
      <c r="CD81" t="s">
        <v>4270</v>
      </c>
      <c r="CE81" t="s">
        <v>4271</v>
      </c>
      <c r="CF81" s="8">
        <v>-0.7940594059405941</v>
      </c>
      <c r="CG81" s="9">
        <v>-0.66370997516885899</v>
      </c>
      <c r="CH81" s="8">
        <v>4.1875</v>
      </c>
      <c r="CI81" s="8">
        <v>-0.27536231279373169</v>
      </c>
      <c r="CJ81" s="8">
        <v>0.4375</v>
      </c>
      <c r="CK81" s="8">
        <v>-0.14093959331512451</v>
      </c>
      <c r="CL81" s="8">
        <v>-7.0686072111129761E-2</v>
      </c>
      <c r="CM81" s="9">
        <v>0.43999999761581421</v>
      </c>
      <c r="CN81" s="9">
        <v>-0.29577463865280151</v>
      </c>
      <c r="CO81" s="9">
        <v>0.29090908169746399</v>
      </c>
      <c r="CP81" s="9">
        <v>-0.20863309502601624</v>
      </c>
      <c r="CQ81" s="9">
        <v>-4.7945205122232437E-2</v>
      </c>
      <c r="CR81">
        <v>22.178188732394364</v>
      </c>
      <c r="CS81">
        <v>0.2679812022737208</v>
      </c>
      <c r="CT81">
        <v>1.1152416356877324</v>
      </c>
      <c r="CU81" s="8">
        <v>0.82760240435600285</v>
      </c>
      <c r="CV81" s="9">
        <v>3.5711228102445605E-2</v>
      </c>
      <c r="CW81">
        <v>0.06</v>
      </c>
      <c r="CX81">
        <v>5.3966141294330034</v>
      </c>
      <c r="CY81">
        <v>248278062.4785513</v>
      </c>
      <c r="CZ81">
        <v>0.82760240435600285</v>
      </c>
      <c r="DA81">
        <v>0.99943969022317181</v>
      </c>
      <c r="DB81">
        <v>1340612058.0430553</v>
      </c>
      <c r="DC81">
        <v>0.78622228413820272</v>
      </c>
      <c r="DD81">
        <v>0.20227175857003296</v>
      </c>
      <c r="DE81">
        <v>6624063138.9779367</v>
      </c>
      <c r="DF81">
        <v>0.72829011583328251</v>
      </c>
      <c r="DG81">
        <v>3.7939885355445881E-2</v>
      </c>
      <c r="DH81">
        <v>35315365016.19072</v>
      </c>
      <c r="DI81">
        <v>0.66208192348480233</v>
      </c>
      <c r="DJ81">
        <v>1.0532170923683664E-3</v>
      </c>
      <c r="DK81">
        <v>1272160231455.282</v>
      </c>
      <c r="DL81">
        <v>0.57932168304920195</v>
      </c>
      <c r="DM81">
        <v>144000000</v>
      </c>
      <c r="DN81">
        <v>0.82760240435600285</v>
      </c>
      <c r="DO81">
        <v>1339860900</v>
      </c>
      <c r="DP81">
        <v>1310008200</v>
      </c>
      <c r="DQ81">
        <v>2616</v>
      </c>
      <c r="DR81">
        <v>-1.621661810296597</v>
      </c>
      <c r="DS81">
        <v>-0.69942120327130464</v>
      </c>
      <c r="DT81" s="10">
        <v>-0.1566666666666667</v>
      </c>
      <c r="DU81">
        <v>-0.40666666666666668</v>
      </c>
      <c r="DV81">
        <v>-0.56333333333333335</v>
      </c>
      <c r="DW81">
        <v>-8.1433857539315451</v>
      </c>
      <c r="DX81">
        <v>0.41131960536059964</v>
      </c>
      <c r="DY81">
        <v>-8.0231309332385692</v>
      </c>
      <c r="DZ81">
        <v>4038</v>
      </c>
      <c r="EA81">
        <v>-8.0048525167185414</v>
      </c>
      <c r="EB81">
        <v>8</v>
      </c>
      <c r="EC81">
        <v>1.5731247947110581E-2</v>
      </c>
      <c r="ED81">
        <v>9.7516032920775361E-2</v>
      </c>
      <c r="EE81" s="11">
        <v>-4.08901</v>
      </c>
      <c r="EF81">
        <v>-4.1364099999999997</v>
      </c>
      <c r="EG81">
        <v>25.1613196053606</v>
      </c>
      <c r="EH81" t="s">
        <v>2156</v>
      </c>
      <c r="EI81">
        <v>0</v>
      </c>
      <c r="EJ81">
        <v>0</v>
      </c>
      <c r="EK81" s="12">
        <v>45470</v>
      </c>
      <c r="EL81">
        <v>-8.86</v>
      </c>
      <c r="EM81">
        <v>-7.06</v>
      </c>
      <c r="EN81">
        <v>-1.0900000000000001</v>
      </c>
      <c r="EO81">
        <v>-2.57</v>
      </c>
      <c r="EP81">
        <v>-4.74</v>
      </c>
    </row>
    <row r="82" spans="1:146" ht="204" x14ac:dyDescent="0.25">
      <c r="A82" s="6" t="s">
        <v>1507</v>
      </c>
      <c r="B82" s="6" t="s">
        <v>1506</v>
      </c>
      <c r="C82" s="6" t="str">
        <f>"公司主营业务是赤藓糖醇产品的研发、生产和销售。公司的主要产品是赤藓糖醇、复配糖。"&amp;CHAR(10)&amp;Basic_Fundamental_Information_Constructure(F82)&amp;CHAR(10)&amp;Basic_Fundamental_Information_Concatenate("（国外：国内=6：4）
赤藓糖醇 15.67亿 93.54% 92.59% 41.56%
复配糖 7424.32万 4.43% 4.35% 41.24%
其他业务 3392.87万 2.03% 3.06% 63.39%")</f>
        <v>公司主营业务是赤藓糖醇产品的研发、生产和销售。公司的主要产品是赤藓糖醇、复配糖。
市值49.448401亿, 利润8.60亿; PE65.66; 平均PE14.86; 平均PEG.17, PB1.08; ROIC24.8533%; ROE24.5267%; 股利率1.0229%; 毛利19.7%; 净利22.6667%; 上一年度营收增257.04%, 利润增424.39%; 当季营收增32.41%, 利润增-74.2%; 过往5年营收增87.75%, 利润增131.14%
Income profile:
（国外：国内=6：4）
赤藓糖醇 15.67亿 93.54% 92.59% 41.56%
复配糖 7424.32万 4.43% 4.35% 41.24%
其他业务 3392.87万 2.03% 3.06% 63.39%</v>
      </c>
      <c r="D82" t="s">
        <v>1151</v>
      </c>
      <c r="E82" t="s">
        <v>1152</v>
      </c>
      <c r="F82">
        <v>24.44</v>
      </c>
      <c r="G82">
        <v>0.7</v>
      </c>
      <c r="H82" t="s">
        <v>4272</v>
      </c>
      <c r="I82">
        <v>4944840100</v>
      </c>
      <c r="J82">
        <v>65.66</v>
      </c>
      <c r="K82">
        <v>1.08</v>
      </c>
      <c r="L82" t="s">
        <v>428</v>
      </c>
      <c r="M82" t="s">
        <v>313</v>
      </c>
      <c r="N82" t="s">
        <v>4273</v>
      </c>
      <c r="O82" t="s">
        <v>205</v>
      </c>
      <c r="P82">
        <v>65.03</v>
      </c>
      <c r="Q82" t="s">
        <v>4274</v>
      </c>
      <c r="R82">
        <v>24247672</v>
      </c>
      <c r="S82" s="4">
        <v>2.105</v>
      </c>
      <c r="T82" t="s">
        <v>2153</v>
      </c>
      <c r="U82">
        <v>103439325</v>
      </c>
      <c r="V82">
        <v>202325700</v>
      </c>
      <c r="W82">
        <v>1.07</v>
      </c>
      <c r="X82">
        <v>0.04</v>
      </c>
      <c r="Y82">
        <v>12.64</v>
      </c>
      <c r="Z82" t="s">
        <v>25</v>
      </c>
      <c r="AA82" t="s">
        <v>212</v>
      </c>
      <c r="AB82" t="s">
        <v>4275</v>
      </c>
      <c r="AC82" t="s">
        <v>4276</v>
      </c>
      <c r="AD82" t="s">
        <v>5</v>
      </c>
      <c r="AE82">
        <v>-2986488</v>
      </c>
      <c r="AF82" t="s">
        <v>2841</v>
      </c>
      <c r="AG82" t="s">
        <v>4277</v>
      </c>
      <c r="AH82" t="s">
        <v>2842</v>
      </c>
      <c r="AI82" t="s">
        <v>112</v>
      </c>
      <c r="AJ82" t="s">
        <v>2843</v>
      </c>
      <c r="AK82" t="s">
        <v>4278</v>
      </c>
      <c r="AL82" t="s">
        <v>2844</v>
      </c>
      <c r="AM82" t="s">
        <v>5</v>
      </c>
      <c r="AN82" t="s">
        <v>293</v>
      </c>
      <c r="AO82" t="s">
        <v>5</v>
      </c>
      <c r="AP82" t="s">
        <v>308</v>
      </c>
      <c r="AQ82" t="s">
        <v>4279</v>
      </c>
      <c r="AR82" t="s">
        <v>5</v>
      </c>
      <c r="AS82" t="s">
        <v>217</v>
      </c>
      <c r="AT82" t="s">
        <v>5</v>
      </c>
      <c r="AU82" t="s">
        <v>4280</v>
      </c>
      <c r="AV82" t="s">
        <v>4281</v>
      </c>
      <c r="AW82" t="s">
        <v>5</v>
      </c>
      <c r="AX82" t="s">
        <v>1830</v>
      </c>
      <c r="AY82" t="s">
        <v>1372</v>
      </c>
      <c r="AZ82" t="s">
        <v>1373</v>
      </c>
      <c r="BA82" t="s">
        <v>119</v>
      </c>
      <c r="BB82" t="s">
        <v>223</v>
      </c>
      <c r="BC82" t="s">
        <v>194</v>
      </c>
      <c r="BD82" t="s">
        <v>236</v>
      </c>
      <c r="BE82" t="s">
        <v>1221</v>
      </c>
      <c r="BF82" t="s">
        <v>46</v>
      </c>
      <c r="BG82" t="s">
        <v>1153</v>
      </c>
      <c r="BH82" t="s">
        <v>144</v>
      </c>
      <c r="BI82" t="s">
        <v>100</v>
      </c>
      <c r="BJ82" t="s">
        <v>1830</v>
      </c>
      <c r="BK82" t="s">
        <v>2840</v>
      </c>
      <c r="BL82" t="s">
        <v>4282</v>
      </c>
      <c r="BM82" t="s">
        <v>194</v>
      </c>
      <c r="BN82">
        <v>0.76</v>
      </c>
      <c r="BO82">
        <v>5.34</v>
      </c>
      <c r="BP82">
        <v>68.459999999999994</v>
      </c>
      <c r="BQ82">
        <v>0.93</v>
      </c>
      <c r="BR82">
        <v>3.8</v>
      </c>
      <c r="BS82">
        <v>68.849999999999994</v>
      </c>
      <c r="BT82" t="s">
        <v>1678</v>
      </c>
      <c r="BU82" t="s">
        <v>1534</v>
      </c>
      <c r="BV82">
        <v>3.05</v>
      </c>
      <c r="BW82">
        <v>14.06</v>
      </c>
      <c r="BX82">
        <v>41.99</v>
      </c>
      <c r="BY82">
        <v>11.79</v>
      </c>
      <c r="BZ82">
        <v>24.25</v>
      </c>
      <c r="CA82">
        <v>31.96</v>
      </c>
      <c r="CB82">
        <v>-0.56999999999999995</v>
      </c>
      <c r="CC82">
        <v>-11.93</v>
      </c>
      <c r="CD82" t="s">
        <v>4283</v>
      </c>
      <c r="CE82" t="s">
        <v>4284</v>
      </c>
      <c r="CF82" s="8">
        <v>0.32413793103448274</v>
      </c>
      <c r="CG82" s="9">
        <v>-0.74195764932242747</v>
      </c>
      <c r="CH82" s="8">
        <v>2.5703701972961426</v>
      </c>
      <c r="CI82" s="8">
        <v>-0.59701496362686157</v>
      </c>
      <c r="CJ82" s="8">
        <v>1.139208197593689</v>
      </c>
      <c r="CK82" s="8">
        <v>0.64150941371917725</v>
      </c>
      <c r="CL82" s="8">
        <v>0.63356167078018188</v>
      </c>
      <c r="CM82" s="9">
        <v>4.2439022064208984</v>
      </c>
      <c r="CN82" s="9">
        <v>-0.6934579610824585</v>
      </c>
      <c r="CO82" s="9">
        <v>1.2961373329162598</v>
      </c>
      <c r="CP82" s="9">
        <v>0.71323531866073608</v>
      </c>
      <c r="CQ82" s="9">
        <v>0.99740058183670044</v>
      </c>
      <c r="CR82">
        <v>14.863589765684235</v>
      </c>
      <c r="CS82">
        <v>0.16938044534347185</v>
      </c>
      <c r="CT82">
        <v>1.0229132569558101</v>
      </c>
      <c r="CU82" s="8">
        <v>0.87752690315246584</v>
      </c>
      <c r="CV82" s="9">
        <v>1.3114434957504273</v>
      </c>
      <c r="CW82">
        <v>0.06</v>
      </c>
      <c r="CX82">
        <v>0.42988917708376179</v>
      </c>
      <c r="CY82">
        <v>1523276544.0670948</v>
      </c>
      <c r="CZ82">
        <v>0.87752690315246584</v>
      </c>
      <c r="DA82">
        <v>7.6923257235423939E-2</v>
      </c>
      <c r="DB82">
        <v>8512901345.2441206</v>
      </c>
      <c r="DC82">
        <v>0.83365055799484256</v>
      </c>
      <c r="DD82">
        <v>1.4682921353879627E-2</v>
      </c>
      <c r="DE82">
        <v>44598760983.417885</v>
      </c>
      <c r="DF82">
        <v>0.77222367477416998</v>
      </c>
      <c r="DG82">
        <v>2.5436579504964194E-3</v>
      </c>
      <c r="DH82">
        <v>257440313416.43307</v>
      </c>
      <c r="DI82">
        <v>0.7020215225219727</v>
      </c>
      <c r="DJ82">
        <v>5.8086868354659397E-5</v>
      </c>
      <c r="DK82">
        <v>11273461946713.34</v>
      </c>
      <c r="DL82">
        <v>0.61426883220672601</v>
      </c>
      <c r="DM82">
        <v>860000000</v>
      </c>
      <c r="DN82">
        <v>0.87752690315246584</v>
      </c>
      <c r="DO82">
        <v>654840100</v>
      </c>
      <c r="DP82">
        <v>80020610</v>
      </c>
      <c r="DQ82">
        <v>2630</v>
      </c>
      <c r="DR82">
        <v>-0.5533889721179831</v>
      </c>
      <c r="DS82">
        <v>-2.0534011450728546</v>
      </c>
      <c r="DT82" s="10">
        <v>0.40999999999999992</v>
      </c>
      <c r="DU82">
        <v>0.25999999999999984</v>
      </c>
      <c r="DV82">
        <v>0.66999999999999971</v>
      </c>
      <c r="DW82">
        <v>-2.1193</v>
      </c>
      <c r="DX82">
        <v>0.29396254919148807</v>
      </c>
      <c r="DY82">
        <v>-2.0267187321185447</v>
      </c>
      <c r="DZ82">
        <v>3747</v>
      </c>
      <c r="EA82">
        <v>-2.0071267381365119</v>
      </c>
      <c r="EB82">
        <v>2</v>
      </c>
      <c r="EC82">
        <v>2.9675419385673692E-2</v>
      </c>
      <c r="ED82">
        <v>0.13250170393578276</v>
      </c>
      <c r="EE82" s="11">
        <v>4.0465099999999996</v>
      </c>
      <c r="EF82">
        <v>4.0663099999999996</v>
      </c>
      <c r="EG82">
        <v>7.2239625491914881</v>
      </c>
      <c r="EH82" t="s">
        <v>3827</v>
      </c>
      <c r="EI82">
        <v>0</v>
      </c>
      <c r="EJ82">
        <v>0</v>
      </c>
      <c r="EK82" s="12">
        <v>45470</v>
      </c>
      <c r="EL82">
        <v>-2.1</v>
      </c>
      <c r="EM82">
        <v>-6.27</v>
      </c>
      <c r="EN82">
        <v>-5.05</v>
      </c>
      <c r="EO82">
        <v>6.29</v>
      </c>
      <c r="EP82">
        <v>-1.98</v>
      </c>
    </row>
    <row r="83" spans="1:146" ht="96" x14ac:dyDescent="0.25">
      <c r="A83" s="6"/>
      <c r="B83" s="6"/>
      <c r="C83" s="6" t="str">
        <f>""&amp;CHAR(10)&amp;Basic_Fundamental_Information_Constructure(F83)&amp;CHAR(10)&amp;Basic_Fundamental_Information_Concatenate("")</f>
        <v xml:space="preserve">
市值16.288亿, 利润6119.53万; PE42.51; 平均PE30.65; 平均PEG1.24, PB2.32; ROIC11.93%; ROE12.9967%; 股利率.5894%; 毛利17.7767%; 净利10.64%; 上一年度营收增104.8%, 利润增-4.61%; 当季营收增-42.67%, 利润增3%; 过往5年营收增24.63%, 利润增18.4%
Income profile:
</v>
      </c>
      <c r="D83" t="s">
        <v>1560</v>
      </c>
      <c r="E83" t="s">
        <v>1561</v>
      </c>
      <c r="F83">
        <v>20.36</v>
      </c>
      <c r="G83">
        <v>0.1</v>
      </c>
      <c r="H83" t="s">
        <v>4285</v>
      </c>
      <c r="I83">
        <v>1628800000</v>
      </c>
      <c r="J83">
        <v>42.51</v>
      </c>
      <c r="K83">
        <v>2.3199999999999998</v>
      </c>
      <c r="L83" t="s">
        <v>428</v>
      </c>
      <c r="M83" t="s">
        <v>43</v>
      </c>
      <c r="N83" t="s">
        <v>368</v>
      </c>
      <c r="O83" t="s">
        <v>38</v>
      </c>
      <c r="P83">
        <v>26.83</v>
      </c>
      <c r="Q83" t="s">
        <v>2641</v>
      </c>
      <c r="R83">
        <v>14022785</v>
      </c>
      <c r="S83" s="4">
        <v>0.46989999999999998</v>
      </c>
      <c r="T83" t="s">
        <v>4286</v>
      </c>
      <c r="U83">
        <v>24500000</v>
      </c>
      <c r="V83">
        <v>80000000</v>
      </c>
      <c r="W83">
        <v>1.18</v>
      </c>
      <c r="X83">
        <v>0.16</v>
      </c>
      <c r="Y83">
        <v>10.84</v>
      </c>
      <c r="Z83" t="s">
        <v>74</v>
      </c>
      <c r="AA83" t="s">
        <v>94</v>
      </c>
      <c r="AB83" t="s">
        <v>4287</v>
      </c>
      <c r="AC83" t="s">
        <v>4288</v>
      </c>
      <c r="AD83" t="s">
        <v>5</v>
      </c>
      <c r="AE83">
        <v>-2376081</v>
      </c>
      <c r="AF83" t="s">
        <v>2846</v>
      </c>
      <c r="AG83">
        <v>547.86</v>
      </c>
      <c r="AH83" t="s">
        <v>2847</v>
      </c>
      <c r="AI83" t="s">
        <v>683</v>
      </c>
      <c r="AJ83" t="s">
        <v>2848</v>
      </c>
      <c r="AK83" t="s">
        <v>4289</v>
      </c>
      <c r="AL83" t="s">
        <v>2849</v>
      </c>
      <c r="AM83" t="s">
        <v>5</v>
      </c>
      <c r="AN83" t="s">
        <v>4290</v>
      </c>
      <c r="AO83" t="s">
        <v>5</v>
      </c>
      <c r="AP83" t="s">
        <v>1456</v>
      </c>
      <c r="AQ83" t="s">
        <v>4291</v>
      </c>
      <c r="AR83" t="s">
        <v>5</v>
      </c>
      <c r="AS83" t="s">
        <v>237</v>
      </c>
      <c r="AT83" t="s">
        <v>5</v>
      </c>
      <c r="AU83" t="s">
        <v>4292</v>
      </c>
      <c r="AV83" t="s">
        <v>4293</v>
      </c>
      <c r="AW83" t="s">
        <v>5</v>
      </c>
      <c r="AX83" t="s">
        <v>311</v>
      </c>
      <c r="AY83" t="s">
        <v>829</v>
      </c>
      <c r="AZ83" t="s">
        <v>378</v>
      </c>
      <c r="BA83" t="s">
        <v>89</v>
      </c>
      <c r="BB83" t="s">
        <v>96</v>
      </c>
      <c r="BC83" t="s">
        <v>1831</v>
      </c>
      <c r="BD83" t="s">
        <v>1562</v>
      </c>
      <c r="BE83" t="s">
        <v>1563</v>
      </c>
      <c r="BF83" t="s">
        <v>1564</v>
      </c>
      <c r="BG83" t="s">
        <v>1565</v>
      </c>
      <c r="BH83" t="s">
        <v>1717</v>
      </c>
      <c r="BI83" t="s">
        <v>135</v>
      </c>
      <c r="BJ83" t="s">
        <v>311</v>
      </c>
      <c r="BK83" t="s">
        <v>2845</v>
      </c>
      <c r="BL83" t="s">
        <v>4294</v>
      </c>
      <c r="BM83" t="s">
        <v>1831</v>
      </c>
      <c r="BN83">
        <v>2.7</v>
      </c>
      <c r="BO83">
        <v>11.09</v>
      </c>
      <c r="BP83">
        <v>22</v>
      </c>
      <c r="BQ83">
        <v>3.55</v>
      </c>
      <c r="BR83">
        <v>13.86</v>
      </c>
      <c r="BS83">
        <v>21.58</v>
      </c>
      <c r="BT83" t="s">
        <v>2365</v>
      </c>
      <c r="BU83" t="s">
        <v>1515</v>
      </c>
      <c r="BV83">
        <v>15.59</v>
      </c>
      <c r="BW83">
        <v>17.27</v>
      </c>
      <c r="BX83">
        <v>20.47</v>
      </c>
      <c r="BY83">
        <v>7.9</v>
      </c>
      <c r="BZ83">
        <v>11.84</v>
      </c>
      <c r="CA83">
        <v>12.18</v>
      </c>
      <c r="CB83">
        <v>-7.03</v>
      </c>
      <c r="CC83">
        <v>-19.11</v>
      </c>
      <c r="CD83" t="s">
        <v>4295</v>
      </c>
      <c r="CE83" t="s">
        <v>4296</v>
      </c>
      <c r="CF83" s="8">
        <v>-0.42666666666666669</v>
      </c>
      <c r="CG83" s="9">
        <v>2.9951156812339331E-2</v>
      </c>
      <c r="CH83" s="8">
        <v>1.0479705333709717</v>
      </c>
      <c r="CI83" s="8">
        <v>-1.8115941435098648E-2</v>
      </c>
      <c r="CJ83" s="8">
        <v>0.16701902449131012</v>
      </c>
      <c r="CK83" s="8">
        <v>6.5315313637256622E-2</v>
      </c>
      <c r="CL83" s="8">
        <v>-3.0567685142159462E-2</v>
      </c>
      <c r="CM83" s="9">
        <v>-4.6132095158100128E-2</v>
      </c>
      <c r="CN83" s="9">
        <v>-4.5501478016376495E-2</v>
      </c>
      <c r="CO83" s="9">
        <v>0.13513951003551483</v>
      </c>
      <c r="CP83" s="9">
        <v>0.54663568735122681</v>
      </c>
      <c r="CQ83" s="9">
        <v>0.32983195781707764</v>
      </c>
      <c r="CR83">
        <v>30.650398905557957</v>
      </c>
      <c r="CS83">
        <v>1.2443110668934632</v>
      </c>
      <c r="CT83">
        <v>0.58939096267190572</v>
      </c>
      <c r="CU83" s="8">
        <v>0.24632424898445607</v>
      </c>
      <c r="CV83" s="9">
        <v>0.18399471640586854</v>
      </c>
      <c r="CW83">
        <v>0.06</v>
      </c>
      <c r="CX83">
        <v>14.576371582421118</v>
      </c>
      <c r="CY83">
        <v>71952062.560262725</v>
      </c>
      <c r="CZ83">
        <v>0.24632424898445607</v>
      </c>
      <c r="DA83">
        <v>4.1830296813694048</v>
      </c>
      <c r="DB83">
        <v>250727362.6747618</v>
      </c>
      <c r="DC83">
        <v>0.23400803653523325</v>
      </c>
      <c r="DD83">
        <v>1.7147120536346889</v>
      </c>
      <c r="DE83">
        <v>611647884.42283952</v>
      </c>
      <c r="DF83">
        <v>0.21676533910632134</v>
      </c>
      <c r="DG83">
        <v>0.82671043745109674</v>
      </c>
      <c r="DH83">
        <v>1268642504.6642051</v>
      </c>
      <c r="DI83">
        <v>0.19705939918756488</v>
      </c>
      <c r="DJ83">
        <v>0.25247935931054066</v>
      </c>
      <c r="DK83">
        <v>4154002936.5727801</v>
      </c>
      <c r="DL83">
        <v>0.17242697428911924</v>
      </c>
      <c r="DM83">
        <v>61195300</v>
      </c>
      <c r="DN83">
        <v>0.24632424898445607</v>
      </c>
      <c r="DO83">
        <v>1048800000</v>
      </c>
      <c r="DP83">
        <v>589340650</v>
      </c>
      <c r="DQ83">
        <v>2633</v>
      </c>
      <c r="DR83">
        <v>-0.67299091565112279</v>
      </c>
      <c r="DS83">
        <v>-0.15404355959352919</v>
      </c>
      <c r="DT83" s="10">
        <v>2.6666666666666616E-2</v>
      </c>
      <c r="DU83">
        <v>0.21666666666666665</v>
      </c>
      <c r="DV83">
        <v>0.24333333333333326</v>
      </c>
      <c r="DW83">
        <v>-9.3678702250130819</v>
      </c>
      <c r="DX83">
        <v>0.31882919430586609</v>
      </c>
      <c r="DY83">
        <v>-9.0326776156970308</v>
      </c>
      <c r="DZ83">
        <v>2055</v>
      </c>
      <c r="EA83">
        <v>-9.0195362262141732</v>
      </c>
      <c r="EB83">
        <v>9</v>
      </c>
      <c r="EC83">
        <v>8.5067500000000004E-2</v>
      </c>
      <c r="ED83">
        <v>0.95765250000000002</v>
      </c>
      <c r="EE83" s="11">
        <v>-2.0162100000000001</v>
      </c>
      <c r="EF83">
        <v>-2.0577100000000002</v>
      </c>
      <c r="EG83">
        <v>23.088829194305866</v>
      </c>
      <c r="EH83" t="s">
        <v>1710</v>
      </c>
      <c r="EI83">
        <v>0</v>
      </c>
      <c r="EJ83">
        <v>0</v>
      </c>
      <c r="EK83" s="12">
        <v>45470</v>
      </c>
      <c r="EL83">
        <v>2.2400000000000002</v>
      </c>
      <c r="EM83">
        <v>4.41</v>
      </c>
      <c r="EN83">
        <v>-10.44</v>
      </c>
      <c r="EO83">
        <v>5.07</v>
      </c>
      <c r="EP83">
        <v>-4.1500000000000004</v>
      </c>
    </row>
    <row r="84" spans="1:146" ht="96" x14ac:dyDescent="0.25">
      <c r="A84" s="6"/>
      <c r="B84" s="6"/>
      <c r="C84" s="6" t="str">
        <f>""&amp;CHAR(10)&amp;Basic_Fundamental_Information_Constructure(F84)&amp;CHAR(10)&amp;Basic_Fundamental_Information_Concatenate("")</f>
        <v xml:space="preserve">
市值21.3084亿, 利润-208.51万; PE47.02; 平均PE28.12; 平均PEG565.63, PB1.58; ROIC14.2267%; ROE15.5433%; 股利率1.0035%; 毛利21.6367%; 净利13.4467%; 上一年度营收增-90.2%, 利润增-101.14%; 当季营收增1319.83%, 利润增460.37%; 过往5年营收增.05%, 利润增33.02%
Income profile:
</v>
      </c>
      <c r="D84" t="s">
        <v>1154</v>
      </c>
      <c r="E84" t="s">
        <v>1155</v>
      </c>
      <c r="F84">
        <v>19.73</v>
      </c>
      <c r="G84">
        <v>1.18</v>
      </c>
      <c r="H84" t="s">
        <v>4297</v>
      </c>
      <c r="I84">
        <v>2130840000</v>
      </c>
      <c r="J84">
        <v>47.02</v>
      </c>
      <c r="K84">
        <v>1.58</v>
      </c>
      <c r="L84" t="s">
        <v>428</v>
      </c>
      <c r="M84" t="s">
        <v>218</v>
      </c>
      <c r="N84" t="s">
        <v>4298</v>
      </c>
      <c r="O84" t="s">
        <v>68</v>
      </c>
      <c r="P84">
        <v>-42.34</v>
      </c>
      <c r="Q84" t="s">
        <v>112</v>
      </c>
      <c r="R84">
        <v>8001566</v>
      </c>
      <c r="S84" s="4">
        <v>-0.76319999999999999</v>
      </c>
      <c r="T84" t="s">
        <v>4299</v>
      </c>
      <c r="U84">
        <v>27000000</v>
      </c>
      <c r="V84">
        <v>108000000</v>
      </c>
      <c r="W84">
        <v>1.2</v>
      </c>
      <c r="X84">
        <v>0.08</v>
      </c>
      <c r="Y84">
        <v>6.52</v>
      </c>
      <c r="Z84" t="s">
        <v>6</v>
      </c>
      <c r="AA84" t="s">
        <v>69</v>
      </c>
      <c r="AB84" t="s">
        <v>4300</v>
      </c>
      <c r="AC84" t="s">
        <v>4301</v>
      </c>
      <c r="AD84" t="s">
        <v>5</v>
      </c>
      <c r="AE84">
        <v>-4229315</v>
      </c>
      <c r="AF84" t="s">
        <v>2851</v>
      </c>
      <c r="AG84">
        <v>352.15</v>
      </c>
      <c r="AH84" t="s">
        <v>2852</v>
      </c>
      <c r="AI84" t="s">
        <v>2053</v>
      </c>
      <c r="AJ84" t="s">
        <v>2853</v>
      </c>
      <c r="AK84" t="s">
        <v>4302</v>
      </c>
      <c r="AL84" t="s">
        <v>2854</v>
      </c>
      <c r="AM84" t="s">
        <v>5</v>
      </c>
      <c r="AN84" t="s">
        <v>274</v>
      </c>
      <c r="AO84" t="s">
        <v>4303</v>
      </c>
      <c r="AP84" t="s">
        <v>58</v>
      </c>
      <c r="AQ84" t="s">
        <v>4304</v>
      </c>
      <c r="AR84" t="s">
        <v>5</v>
      </c>
      <c r="AS84" t="s">
        <v>1319</v>
      </c>
      <c r="AT84" t="s">
        <v>5</v>
      </c>
      <c r="AU84" t="s">
        <v>4305</v>
      </c>
      <c r="AV84" t="s">
        <v>4306</v>
      </c>
      <c r="AW84" t="s">
        <v>4307</v>
      </c>
      <c r="AX84" t="s">
        <v>1832</v>
      </c>
      <c r="AY84" t="s">
        <v>1188</v>
      </c>
      <c r="AZ84" t="s">
        <v>277</v>
      </c>
      <c r="BA84" t="s">
        <v>291</v>
      </c>
      <c r="BB84" t="s">
        <v>456</v>
      </c>
      <c r="BC84" t="s">
        <v>107</v>
      </c>
      <c r="BD84" t="s">
        <v>1374</v>
      </c>
      <c r="BE84" t="s">
        <v>1376</v>
      </c>
      <c r="BF84" t="s">
        <v>1156</v>
      </c>
      <c r="BG84" t="s">
        <v>1157</v>
      </c>
      <c r="BH84" t="s">
        <v>2134</v>
      </c>
      <c r="BI84" t="s">
        <v>4308</v>
      </c>
      <c r="BJ84" t="s">
        <v>1832</v>
      </c>
      <c r="BK84" t="s">
        <v>2850</v>
      </c>
      <c r="BL84" t="s">
        <v>4309</v>
      </c>
      <c r="BM84" t="s">
        <v>107</v>
      </c>
      <c r="BN84">
        <v>3.75</v>
      </c>
      <c r="BO84">
        <v>19.329999999999998</v>
      </c>
      <c r="BP84">
        <v>19.600000000000001</v>
      </c>
      <c r="BQ84">
        <v>4.99</v>
      </c>
      <c r="BR84">
        <v>18.47</v>
      </c>
      <c r="BS84">
        <v>23.17</v>
      </c>
      <c r="BT84" t="s">
        <v>2856</v>
      </c>
      <c r="BU84" t="s">
        <v>1516</v>
      </c>
      <c r="BV84">
        <v>19.079999999999998</v>
      </c>
      <c r="BW84">
        <v>24.23</v>
      </c>
      <c r="BX84">
        <v>21.6</v>
      </c>
      <c r="BY84">
        <v>10.84</v>
      </c>
      <c r="BZ84">
        <v>18.36</v>
      </c>
      <c r="CA84">
        <v>11.14</v>
      </c>
      <c r="CB84">
        <v>-3.66</v>
      </c>
      <c r="CC84">
        <v>-21.46</v>
      </c>
      <c r="CD84" t="s">
        <v>4310</v>
      </c>
      <c r="CE84" t="s">
        <v>4311</v>
      </c>
      <c r="CF84" s="8">
        <v>13.19827096611346</v>
      </c>
      <c r="CG84" s="9">
        <v>4.6037299530779467</v>
      </c>
      <c r="CH84" s="8">
        <v>-0.90201729536056519</v>
      </c>
      <c r="CI84" s="8">
        <v>0.24969987571239471</v>
      </c>
      <c r="CJ84" s="8">
        <v>0.22499999403953552</v>
      </c>
      <c r="CK84" s="8">
        <v>0.24542124569416046</v>
      </c>
      <c r="CL84" s="8">
        <v>0.18438178300857544</v>
      </c>
      <c r="CM84" s="9">
        <v>-1.0113940238952637</v>
      </c>
      <c r="CN84" s="9">
        <v>1.0673129558563232</v>
      </c>
      <c r="CO84" s="9">
        <v>-9.4347827136516571E-2</v>
      </c>
      <c r="CP84" s="9">
        <v>0.67011243104934692</v>
      </c>
      <c r="CQ84" s="9">
        <v>1.0193674564361572</v>
      </c>
      <c r="CR84">
        <v>28.118505107500987</v>
      </c>
      <c r="CS84">
        <v>565.62741602298161</v>
      </c>
      <c r="CT84">
        <v>1.003547896604156</v>
      </c>
      <c r="CU84" s="8">
        <v>4.9712061882019039E-4</v>
      </c>
      <c r="CV84" s="9">
        <v>0.33021019846200944</v>
      </c>
      <c r="CW84">
        <v>0.06</v>
      </c>
      <c r="CX84" t="e">
        <v>#VALUE!</v>
      </c>
      <c r="CY84" t="s">
        <v>1179</v>
      </c>
      <c r="CZ84">
        <v>4.9712061882019039E-4</v>
      </c>
      <c r="DA84" t="e">
        <v>#VALUE!</v>
      </c>
      <c r="DB84" t="s">
        <v>1179</v>
      </c>
      <c r="DC84">
        <v>4.7226458787918085E-4</v>
      </c>
      <c r="DD84" t="e">
        <v>#VALUE!</v>
      </c>
      <c r="DE84" t="s">
        <v>1179</v>
      </c>
      <c r="DF84">
        <v>4.3746614456176752E-4</v>
      </c>
      <c r="DG84" t="e">
        <v>#VALUE!</v>
      </c>
      <c r="DH84" t="s">
        <v>1179</v>
      </c>
      <c r="DI84">
        <v>3.9769649505615233E-4</v>
      </c>
      <c r="DJ84" t="e">
        <v>#VALUE!</v>
      </c>
      <c r="DK84" t="s">
        <v>1179</v>
      </c>
      <c r="DL84">
        <v>3.4798443317413325E-4</v>
      </c>
      <c r="DM84">
        <v>-2085100</v>
      </c>
      <c r="DN84">
        <v>4.9712061882019039E-4</v>
      </c>
      <c r="DO84">
        <v>1051840000</v>
      </c>
      <c r="DP84">
        <v>667564660</v>
      </c>
      <c r="DQ84">
        <v>2636</v>
      </c>
      <c r="DR84">
        <v>13.197773845494639</v>
      </c>
      <c r="DS84">
        <v>4.2735197546159371</v>
      </c>
      <c r="DT84" s="10">
        <v>-0.27333333333333343</v>
      </c>
      <c r="DU84">
        <v>0.20333333333333325</v>
      </c>
      <c r="DV84">
        <v>-7.0000000000000173E-2</v>
      </c>
      <c r="DW84">
        <v>-8.1705498602050319</v>
      </c>
      <c r="DX84">
        <v>0.27516552110765119</v>
      </c>
      <c r="DY84">
        <v>-8.0145249677191988</v>
      </c>
      <c r="DZ84">
        <v>1063</v>
      </c>
      <c r="EA84">
        <v>-8.0115034333384738</v>
      </c>
      <c r="EB84">
        <v>8</v>
      </c>
      <c r="EC84">
        <v>3.347777777777778E-2</v>
      </c>
      <c r="ED84">
        <v>0.39309074074074074</v>
      </c>
      <c r="EE84" s="11">
        <v>-5.0340100000000003</v>
      </c>
      <c r="EF84">
        <v>-5.0580100000000003</v>
      </c>
      <c r="EG84">
        <v>19.085165521107651</v>
      </c>
      <c r="EH84" t="s">
        <v>4312</v>
      </c>
      <c r="EI84">
        <v>0</v>
      </c>
      <c r="EJ84">
        <v>1</v>
      </c>
      <c r="EK84" s="12">
        <v>45470</v>
      </c>
      <c r="EL84">
        <v>-2.4300000000000002</v>
      </c>
      <c r="EM84">
        <v>-4.58</v>
      </c>
      <c r="EN84">
        <v>0.96</v>
      </c>
      <c r="EO84">
        <v>1.9</v>
      </c>
      <c r="EP84">
        <v>-2.4</v>
      </c>
    </row>
    <row r="85" spans="1:146" ht="96" x14ac:dyDescent="0.25">
      <c r="A85" s="6"/>
      <c r="B85" s="6"/>
      <c r="C85" s="6" t="str">
        <f>""&amp;CHAR(10)&amp;Basic_Fundamental_Information_Constructure(F85)&amp;CHAR(10)&amp;Basic_Fundamental_Information_Concatenate("")</f>
        <v xml:space="preserve">
市值59.905328亿, 利润1720.02万; PE21.56; 平均PE16.51; 平均PEG23.9, PB1.04; ROIC10.81%; ROE19.4167%; 股利率1.2898%; 毛利6.3233%; 净利4.0133%; 上一年度营收增-80.48%, 利润增-98.2%; 当季营收增397.42%, 利润增74.5%; 过往5年营收增.69%, 利润增35.95%
Income profile:
</v>
      </c>
      <c r="D85" t="s">
        <v>1158</v>
      </c>
      <c r="E85" t="s">
        <v>1159</v>
      </c>
      <c r="F85">
        <v>11.63</v>
      </c>
      <c r="G85">
        <v>3.84</v>
      </c>
      <c r="H85" t="s">
        <v>4313</v>
      </c>
      <c r="I85">
        <v>5990532800</v>
      </c>
      <c r="J85">
        <v>21.56</v>
      </c>
      <c r="K85">
        <v>1.04</v>
      </c>
      <c r="L85" t="s">
        <v>428</v>
      </c>
      <c r="M85" t="s">
        <v>2857</v>
      </c>
      <c r="N85" t="s">
        <v>4314</v>
      </c>
      <c r="O85" t="s">
        <v>2858</v>
      </c>
      <c r="P85">
        <v>-3.23</v>
      </c>
      <c r="Q85" t="s">
        <v>4315</v>
      </c>
      <c r="R85">
        <v>45281863</v>
      </c>
      <c r="S85" s="4">
        <v>-0.77800000000000002</v>
      </c>
      <c r="T85" t="s">
        <v>4316</v>
      </c>
      <c r="U85">
        <v>284696850</v>
      </c>
      <c r="V85">
        <v>515093100</v>
      </c>
      <c r="W85">
        <v>2.34</v>
      </c>
      <c r="X85">
        <v>0.32</v>
      </c>
      <c r="Y85">
        <v>1.08</v>
      </c>
      <c r="Z85" t="s">
        <v>4317</v>
      </c>
      <c r="AA85" t="s">
        <v>4318</v>
      </c>
      <c r="AB85" t="s">
        <v>4319</v>
      </c>
      <c r="AC85" t="s">
        <v>4320</v>
      </c>
      <c r="AD85" t="s">
        <v>5</v>
      </c>
      <c r="AE85">
        <v>2922176</v>
      </c>
      <c r="AF85" t="s">
        <v>2860</v>
      </c>
      <c r="AG85" t="s">
        <v>4321</v>
      </c>
      <c r="AH85" t="s">
        <v>2861</v>
      </c>
      <c r="AI85" t="s">
        <v>4322</v>
      </c>
      <c r="AJ85" t="s">
        <v>2862</v>
      </c>
      <c r="AK85" t="s">
        <v>5</v>
      </c>
      <c r="AL85" t="s">
        <v>2863</v>
      </c>
      <c r="AM85" t="s">
        <v>5</v>
      </c>
      <c r="AN85" t="s">
        <v>1170</v>
      </c>
      <c r="AO85" t="s">
        <v>2942</v>
      </c>
      <c r="AP85" t="s">
        <v>1800</v>
      </c>
      <c r="AQ85" t="s">
        <v>1575</v>
      </c>
      <c r="AR85" t="s">
        <v>5</v>
      </c>
      <c r="AS85" t="s">
        <v>4323</v>
      </c>
      <c r="AT85" t="s">
        <v>1880</v>
      </c>
      <c r="AU85" t="s">
        <v>2138</v>
      </c>
      <c r="AV85" t="s">
        <v>4324</v>
      </c>
      <c r="AW85" t="s">
        <v>3346</v>
      </c>
      <c r="AX85" t="s">
        <v>1833</v>
      </c>
      <c r="AY85" t="s">
        <v>1377</v>
      </c>
      <c r="AZ85" t="s">
        <v>1378</v>
      </c>
      <c r="BA85" t="s">
        <v>1160</v>
      </c>
      <c r="BB85" t="s">
        <v>1161</v>
      </c>
      <c r="BC85" t="s">
        <v>457</v>
      </c>
      <c r="BD85" t="s">
        <v>375</v>
      </c>
      <c r="BE85" t="s">
        <v>153</v>
      </c>
      <c r="BF85" t="s">
        <v>260</v>
      </c>
      <c r="BG85" t="s">
        <v>67</v>
      </c>
      <c r="BH85" t="s">
        <v>2859</v>
      </c>
      <c r="BI85" t="s">
        <v>191</v>
      </c>
      <c r="BJ85" t="s">
        <v>1833</v>
      </c>
      <c r="BK85" t="s">
        <v>358</v>
      </c>
      <c r="BL85" t="s">
        <v>4325</v>
      </c>
      <c r="BM85" t="s">
        <v>457</v>
      </c>
      <c r="BN85">
        <v>5.19</v>
      </c>
      <c r="BO85">
        <v>14.35</v>
      </c>
      <c r="BP85">
        <v>12.89</v>
      </c>
      <c r="BQ85">
        <v>8.42</v>
      </c>
      <c r="BR85">
        <v>21.67</v>
      </c>
      <c r="BS85">
        <v>28.16</v>
      </c>
      <c r="BT85" t="s">
        <v>1681</v>
      </c>
      <c r="BU85" t="s">
        <v>1519</v>
      </c>
      <c r="BV85">
        <v>4</v>
      </c>
      <c r="BW85">
        <v>7.59</v>
      </c>
      <c r="BX85">
        <v>7.38</v>
      </c>
      <c r="BY85">
        <v>2.4900000000000002</v>
      </c>
      <c r="BZ85">
        <v>4.9400000000000004</v>
      </c>
      <c r="CA85">
        <v>4.6100000000000003</v>
      </c>
      <c r="CB85">
        <v>3.93</v>
      </c>
      <c r="CC85">
        <v>-1.36</v>
      </c>
      <c r="CD85" t="s">
        <v>4326</v>
      </c>
      <c r="CE85" t="s">
        <v>4327</v>
      </c>
      <c r="CF85" s="8">
        <v>3.9742388758782203</v>
      </c>
      <c r="CG85" s="9">
        <v>0.74497254324679507</v>
      </c>
      <c r="CH85" s="8">
        <v>-0.80475598573684692</v>
      </c>
      <c r="CI85" s="8">
        <v>1.0221130847930908</v>
      </c>
      <c r="CJ85" s="8">
        <v>3.1082002446055412E-2</v>
      </c>
      <c r="CK85" s="8">
        <v>-3.9661228656768799E-2</v>
      </c>
      <c r="CL85" s="8">
        <v>-0.17424306273460388</v>
      </c>
      <c r="CM85" s="9">
        <v>-0.98198932409286499</v>
      </c>
      <c r="CN85" s="9">
        <v>1.1655328273773193</v>
      </c>
      <c r="CO85" s="9">
        <v>1.1940298080444336</v>
      </c>
      <c r="CP85" s="9">
        <v>-0.45231607556343079</v>
      </c>
      <c r="CQ85" s="9">
        <v>0.87244898080825806</v>
      </c>
      <c r="CR85">
        <v>16.508907540978548</v>
      </c>
      <c r="CS85">
        <v>23.901836274691458</v>
      </c>
      <c r="CT85">
        <v>1.2897678417884779</v>
      </c>
      <c r="CU85" s="8">
        <v>6.9069620221853256E-3</v>
      </c>
      <c r="CV85" s="9">
        <v>0.35954124331474302</v>
      </c>
      <c r="CW85">
        <v>0.06</v>
      </c>
      <c r="CX85">
        <v>447.13114288112905</v>
      </c>
      <c r="CY85">
        <v>16338680.309598105</v>
      </c>
      <c r="CZ85">
        <v>6.9069620221853256E-3</v>
      </c>
      <c r="DA85">
        <v>156.87034848655816</v>
      </c>
      <c r="DB85">
        <v>46570514.252577141</v>
      </c>
      <c r="DC85">
        <v>6.5616139210760592E-3</v>
      </c>
      <c r="DD85">
        <v>84.645091075058531</v>
      </c>
      <c r="DE85">
        <v>86307814.277402833</v>
      </c>
      <c r="DF85">
        <v>6.0781265795230863E-3</v>
      </c>
      <c r="DG85">
        <v>56.125943672245818</v>
      </c>
      <c r="DH85">
        <v>130163206.56738594</v>
      </c>
      <c r="DI85">
        <v>5.5255696177482607E-3</v>
      </c>
      <c r="DJ85">
        <v>35.511996584220114</v>
      </c>
      <c r="DK85">
        <v>205720136.93102911</v>
      </c>
      <c r="DL85">
        <v>4.8348734155297278E-3</v>
      </c>
      <c r="DM85">
        <v>17200200</v>
      </c>
      <c r="DN85">
        <v>6.9069620221853256E-3</v>
      </c>
      <c r="DO85">
        <v>7305532800</v>
      </c>
      <c r="DP85">
        <v>1794002900</v>
      </c>
      <c r="DQ85">
        <v>2639</v>
      </c>
      <c r="DR85">
        <v>3.967331913856035</v>
      </c>
      <c r="DS85">
        <v>0.38543129993205205</v>
      </c>
      <c r="DT85" s="10">
        <v>-0.57333333333333336</v>
      </c>
      <c r="DU85">
        <v>0.53666666666666674</v>
      </c>
      <c r="DV85">
        <v>-3.6666666666666625E-2</v>
      </c>
      <c r="DW85">
        <v>4.3460559796437659</v>
      </c>
      <c r="DX85">
        <v>0.70939499607706158</v>
      </c>
      <c r="DY85">
        <v>4.0551595915177625</v>
      </c>
      <c r="DZ85">
        <v>3001</v>
      </c>
      <c r="EA85">
        <v>4.0227654752467634</v>
      </c>
      <c r="EB85">
        <v>4</v>
      </c>
      <c r="EC85">
        <v>1.7748441980682716E-2</v>
      </c>
      <c r="ED85">
        <v>0.11134880276982938</v>
      </c>
      <c r="EE85" s="11">
        <v>1.0084</v>
      </c>
      <c r="EF85">
        <v>1.0013000000000001</v>
      </c>
      <c r="EG85">
        <v>55.159394996077062</v>
      </c>
      <c r="EH85" t="s">
        <v>1178</v>
      </c>
      <c r="EI85">
        <v>0</v>
      </c>
      <c r="EJ85">
        <v>0</v>
      </c>
      <c r="EK85" s="12">
        <v>45470</v>
      </c>
      <c r="EL85">
        <v>6.13</v>
      </c>
      <c r="EM85">
        <v>-4.7300000000000004</v>
      </c>
      <c r="EN85">
        <v>1.47</v>
      </c>
      <c r="EO85">
        <v>1.63</v>
      </c>
      <c r="EP85">
        <v>-0.71</v>
      </c>
    </row>
    <row r="86" spans="1:146" ht="96" x14ac:dyDescent="0.25">
      <c r="A86" s="6"/>
      <c r="B86" s="6"/>
      <c r="C86" s="6" t="str">
        <f>""&amp;CHAR(10)&amp;Basic_Fundamental_Information_Constructure(F86)&amp;CHAR(10)&amp;Basic_Fundamental_Information_Concatenate("")</f>
        <v xml:space="preserve">
市值19.89296亿, 利润-1546.56万; PE25.71; 平均PE28.16; 平均PEG3.66, PB1.27; ROIC8.3733%; ROE9.6833%; 股利率.8123%; 毛利33.8567%; 净利15.2633%; 上一年度营收增-9.36%, 利润增-111.72%; 当季营收增52.63%, 利润增178.7%; 过往5年营收增7.7%, 利润增.37%
Income profile:
</v>
      </c>
      <c r="D86" t="s">
        <v>1490</v>
      </c>
      <c r="E86" t="s">
        <v>1491</v>
      </c>
      <c r="F86">
        <v>24.62</v>
      </c>
      <c r="G86">
        <v>1.78</v>
      </c>
      <c r="H86" t="s">
        <v>4328</v>
      </c>
      <c r="I86">
        <v>1989296000</v>
      </c>
      <c r="J86">
        <v>25.71</v>
      </c>
      <c r="K86">
        <v>1.27</v>
      </c>
      <c r="L86" t="s">
        <v>428</v>
      </c>
      <c r="M86" t="s">
        <v>419</v>
      </c>
      <c r="N86" t="s">
        <v>4329</v>
      </c>
      <c r="O86" t="s">
        <v>93</v>
      </c>
      <c r="P86">
        <v>39.409999999999997</v>
      </c>
      <c r="Q86" t="s">
        <v>1074</v>
      </c>
      <c r="R86">
        <v>17796689</v>
      </c>
      <c r="S86" s="4">
        <v>-0.13550000000000001</v>
      </c>
      <c r="T86" t="s">
        <v>4330</v>
      </c>
      <c r="U86">
        <v>47409999</v>
      </c>
      <c r="V86">
        <v>80800000</v>
      </c>
      <c r="W86">
        <v>1.17</v>
      </c>
      <c r="X86">
        <v>0.09</v>
      </c>
      <c r="Y86">
        <v>10.11</v>
      </c>
      <c r="Z86" t="s">
        <v>179</v>
      </c>
      <c r="AA86" t="s">
        <v>26</v>
      </c>
      <c r="AB86" t="s">
        <v>4331</v>
      </c>
      <c r="AC86" t="s">
        <v>4332</v>
      </c>
      <c r="AD86" t="s">
        <v>5</v>
      </c>
      <c r="AE86">
        <v>-2845035</v>
      </c>
      <c r="AF86" t="s">
        <v>2865</v>
      </c>
      <c r="AG86" t="s">
        <v>5</v>
      </c>
      <c r="AH86" t="s">
        <v>2866</v>
      </c>
      <c r="AI86" t="s">
        <v>488</v>
      </c>
      <c r="AJ86" t="s">
        <v>2867</v>
      </c>
      <c r="AK86" t="s">
        <v>5</v>
      </c>
      <c r="AL86" t="s">
        <v>2868</v>
      </c>
      <c r="AM86" t="s">
        <v>5</v>
      </c>
      <c r="AN86" t="s">
        <v>98</v>
      </c>
      <c r="AO86" t="s">
        <v>970</v>
      </c>
      <c r="AP86" t="s">
        <v>5</v>
      </c>
      <c r="AQ86" t="s">
        <v>4333</v>
      </c>
      <c r="AR86" t="s">
        <v>5</v>
      </c>
      <c r="AS86" t="s">
        <v>198</v>
      </c>
      <c r="AT86" t="s">
        <v>4334</v>
      </c>
      <c r="AU86" t="s">
        <v>4335</v>
      </c>
      <c r="AV86" t="s">
        <v>4336</v>
      </c>
      <c r="AW86" t="s">
        <v>4337</v>
      </c>
      <c r="AX86" t="s">
        <v>1807</v>
      </c>
      <c r="AY86" t="s">
        <v>336</v>
      </c>
      <c r="AZ86" t="s">
        <v>476</v>
      </c>
      <c r="BA86" t="s">
        <v>1317</v>
      </c>
      <c r="BB86" t="s">
        <v>301</v>
      </c>
      <c r="BC86" t="s">
        <v>41</v>
      </c>
      <c r="BD86" t="s">
        <v>1492</v>
      </c>
      <c r="BE86" t="s">
        <v>1493</v>
      </c>
      <c r="BF86" t="s">
        <v>1494</v>
      </c>
      <c r="BG86" t="s">
        <v>1495</v>
      </c>
      <c r="BH86" t="s">
        <v>588</v>
      </c>
      <c r="BI86" t="s">
        <v>74</v>
      </c>
      <c r="BJ86" t="s">
        <v>1807</v>
      </c>
      <c r="BK86" t="s">
        <v>2864</v>
      </c>
      <c r="BL86" t="s">
        <v>4338</v>
      </c>
      <c r="BM86" t="s">
        <v>41</v>
      </c>
      <c r="BN86">
        <v>3.8</v>
      </c>
      <c r="BO86">
        <v>10.47</v>
      </c>
      <c r="BP86">
        <v>10.85</v>
      </c>
      <c r="BQ86">
        <v>4.4000000000000004</v>
      </c>
      <c r="BR86">
        <v>11.55</v>
      </c>
      <c r="BS86">
        <v>13.1</v>
      </c>
      <c r="BT86" t="s">
        <v>1671</v>
      </c>
      <c r="BU86" t="s">
        <v>1534</v>
      </c>
      <c r="BV86">
        <v>32.17</v>
      </c>
      <c r="BW86">
        <v>35.450000000000003</v>
      </c>
      <c r="BX86">
        <v>33.950000000000003</v>
      </c>
      <c r="BY86">
        <v>12.61</v>
      </c>
      <c r="BZ86">
        <v>18.59</v>
      </c>
      <c r="CA86">
        <v>14.59</v>
      </c>
      <c r="CB86">
        <v>-3.53</v>
      </c>
      <c r="CC86">
        <v>-9.15</v>
      </c>
      <c r="CD86" t="s">
        <v>4339</v>
      </c>
      <c r="CE86" t="s">
        <v>4340</v>
      </c>
      <c r="CF86" s="8">
        <v>0.5263157894736844</v>
      </c>
      <c r="CG86" s="9">
        <v>1.7870470597447341</v>
      </c>
      <c r="CH86" s="8">
        <v>-9.3617022037506104E-2</v>
      </c>
      <c r="CI86" s="8">
        <v>0.13526569306850433</v>
      </c>
      <c r="CJ86" s="8">
        <v>7.9999998211860657E-2</v>
      </c>
      <c r="CK86" s="8">
        <v>0.1252446174621582</v>
      </c>
      <c r="CL86" s="8">
        <v>0.13808463513851166</v>
      </c>
      <c r="CM86" s="9">
        <v>-1.1171636581420898</v>
      </c>
      <c r="CN86" s="9">
        <v>0.44387272000312805</v>
      </c>
      <c r="CO86" s="9">
        <v>0.16929863393306732</v>
      </c>
      <c r="CP86" s="9">
        <v>-7.7043391764163971E-2</v>
      </c>
      <c r="CQ86" s="9">
        <v>0.59972470998764038</v>
      </c>
      <c r="CR86">
        <v>28.16346726725947</v>
      </c>
      <c r="CS86">
        <v>3.6578029114493336</v>
      </c>
      <c r="CT86">
        <v>0.81234768480909825</v>
      </c>
      <c r="CU86" s="8">
        <v>7.6995584368705752E-2</v>
      </c>
      <c r="CV86" s="9">
        <v>3.7378028035163881E-3</v>
      </c>
      <c r="CW86">
        <v>0.06</v>
      </c>
      <c r="CX86" t="e">
        <v>#VALUE!</v>
      </c>
      <c r="CY86" t="s">
        <v>1179</v>
      </c>
      <c r="CZ86">
        <v>7.6995584368705752E-2</v>
      </c>
      <c r="DA86" t="e">
        <v>#VALUE!</v>
      </c>
      <c r="DB86" t="s">
        <v>1179</v>
      </c>
      <c r="DC86">
        <v>7.3145805150270457E-2</v>
      </c>
      <c r="DD86" t="e">
        <v>#VALUE!</v>
      </c>
      <c r="DE86" t="s">
        <v>1179</v>
      </c>
      <c r="DF86">
        <v>6.7756114244461069E-2</v>
      </c>
      <c r="DG86" t="e">
        <v>#VALUE!</v>
      </c>
      <c r="DH86" t="s">
        <v>1179</v>
      </c>
      <c r="DI86">
        <v>6.1596467494964606E-2</v>
      </c>
      <c r="DJ86" t="e">
        <v>#VALUE!</v>
      </c>
      <c r="DK86" t="s">
        <v>1179</v>
      </c>
      <c r="DL86">
        <v>5.3896909058094022E-2</v>
      </c>
      <c r="DM86">
        <v>-15465600</v>
      </c>
      <c r="DN86">
        <v>7.6995584368705752E-2</v>
      </c>
      <c r="DO86">
        <v>671296000</v>
      </c>
      <c r="DP86">
        <v>796135650</v>
      </c>
      <c r="DQ86">
        <v>2643</v>
      </c>
      <c r="DR86">
        <v>0.44932020510497866</v>
      </c>
      <c r="DS86">
        <v>1.7833092569412177</v>
      </c>
      <c r="DT86" s="10">
        <v>-0.44</v>
      </c>
      <c r="DU86">
        <v>-0.3666666666666667</v>
      </c>
      <c r="DV86">
        <v>-0.80666666666666664</v>
      </c>
      <c r="DW86">
        <v>-8.3857923497267759</v>
      </c>
      <c r="DX86">
        <v>0.32687861665191764</v>
      </c>
      <c r="DY86">
        <v>-8.0643804936372963</v>
      </c>
      <c r="DZ86">
        <v>167</v>
      </c>
      <c r="EA86">
        <v>-8.062276473590833</v>
      </c>
      <c r="EB86">
        <v>8</v>
      </c>
      <c r="EC86">
        <v>7.5844059405940606E-2</v>
      </c>
      <c r="ED86">
        <v>0.45448638613861386</v>
      </c>
      <c r="EE86" s="11">
        <v>3.0337999999999998</v>
      </c>
      <c r="EF86">
        <v>3.01891</v>
      </c>
      <c r="EG86">
        <v>16.166878616651918</v>
      </c>
      <c r="EH86" t="s">
        <v>2159</v>
      </c>
      <c r="EI86">
        <v>0</v>
      </c>
      <c r="EJ86">
        <v>1</v>
      </c>
      <c r="EK86" s="12">
        <v>45470</v>
      </c>
      <c r="EL86">
        <v>-1.24</v>
      </c>
      <c r="EM86">
        <v>-2.62</v>
      </c>
      <c r="EN86">
        <v>0.28000000000000003</v>
      </c>
      <c r="EO86">
        <v>3.22</v>
      </c>
      <c r="EP86">
        <v>-5.27</v>
      </c>
    </row>
    <row r="87" spans="1:146" ht="84" x14ac:dyDescent="0.25">
      <c r="C87" s="6" t="str">
        <f>""&amp;CHAR(10)&amp;Basic_Fundamental_Information_Constructure(F87)&amp;CHAR(10)&amp;Basic_Fundamental_Information_Concatenate("")</f>
        <v xml:space="preserve">
市值21.536亿, 利润3099.81万; PE17.35; 平均PE32.75; 平均PEG3.47, PB1.4; ROIC9.5033%; ROE11.21%; 股利率2.4146%; 毛利14.7667%; 净利6.0767%; 上一年度营收增-46.63%, 利润增-64.49%; 当季营收增313.79%, 利润增486.09%; 过往5年营收增9.45%, 利润增-1.48%
Income profile:
</v>
      </c>
      <c r="D87" t="s">
        <v>1598</v>
      </c>
      <c r="E87" t="s">
        <v>1599</v>
      </c>
      <c r="F87">
        <v>26.92</v>
      </c>
      <c r="G87">
        <v>0.52</v>
      </c>
      <c r="H87" t="s">
        <v>4341</v>
      </c>
      <c r="I87">
        <v>2153600000</v>
      </c>
      <c r="J87">
        <v>17.350000000000001</v>
      </c>
      <c r="K87">
        <v>1.4</v>
      </c>
      <c r="L87" t="s">
        <v>428</v>
      </c>
      <c r="M87" t="s">
        <v>1304</v>
      </c>
      <c r="N87" t="s">
        <v>2869</v>
      </c>
      <c r="O87" t="s">
        <v>1272</v>
      </c>
      <c r="P87" s="4">
        <v>24.66</v>
      </c>
      <c r="Q87" t="s">
        <v>1554</v>
      </c>
      <c r="R87">
        <v>31259833</v>
      </c>
      <c r="S87">
        <v>1.0529999999999999</v>
      </c>
      <c r="T87" t="s">
        <v>4342</v>
      </c>
      <c r="U87">
        <v>45456179</v>
      </c>
      <c r="V87">
        <v>80000000</v>
      </c>
      <c r="W87">
        <v>1.1499999999999999</v>
      </c>
      <c r="X87">
        <v>0.27</v>
      </c>
      <c r="Y87">
        <v>6.53</v>
      </c>
      <c r="Z87" t="s">
        <v>312</v>
      </c>
      <c r="AA87" t="s">
        <v>87</v>
      </c>
      <c r="AB87" t="s">
        <v>4343</v>
      </c>
      <c r="AC87" t="s">
        <v>4344</v>
      </c>
      <c r="AD87" t="s">
        <v>5</v>
      </c>
      <c r="AE87">
        <v>-1587109</v>
      </c>
      <c r="AF87" t="s">
        <v>2870</v>
      </c>
      <c r="AG87" t="s">
        <v>4345</v>
      </c>
      <c r="AH87" t="s">
        <v>2871</v>
      </c>
      <c r="AI87" t="s">
        <v>187</v>
      </c>
      <c r="AJ87" t="s">
        <v>2872</v>
      </c>
      <c r="AK87" t="s">
        <v>4346</v>
      </c>
      <c r="AL87" t="s">
        <v>2873</v>
      </c>
      <c r="AM87" t="s">
        <v>5</v>
      </c>
      <c r="AN87" t="s">
        <v>69</v>
      </c>
      <c r="AO87" t="s">
        <v>4347</v>
      </c>
      <c r="AP87" t="s">
        <v>5</v>
      </c>
      <c r="AQ87" t="s">
        <v>65</v>
      </c>
      <c r="AR87" t="s">
        <v>5</v>
      </c>
      <c r="AS87" t="s">
        <v>241</v>
      </c>
      <c r="AT87" t="s">
        <v>5</v>
      </c>
      <c r="AU87" t="s">
        <v>4348</v>
      </c>
      <c r="AV87" t="s">
        <v>4349</v>
      </c>
      <c r="AW87" t="s">
        <v>4350</v>
      </c>
      <c r="AX87" t="s">
        <v>527</v>
      </c>
      <c r="AY87" t="s">
        <v>1316</v>
      </c>
      <c r="AZ87" t="s">
        <v>969</v>
      </c>
      <c r="BA87" t="s">
        <v>1228</v>
      </c>
      <c r="BB87" t="s">
        <v>210</v>
      </c>
      <c r="BC87" t="s">
        <v>1834</v>
      </c>
      <c r="BD87" t="s">
        <v>1600</v>
      </c>
      <c r="BE87" t="s">
        <v>1601</v>
      </c>
      <c r="BF87" t="s">
        <v>1602</v>
      </c>
      <c r="BG87" t="s">
        <v>1603</v>
      </c>
      <c r="BH87" t="s">
        <v>909</v>
      </c>
      <c r="BI87" t="s">
        <v>40</v>
      </c>
      <c r="BJ87" t="s">
        <v>527</v>
      </c>
      <c r="BK87" t="s">
        <v>49</v>
      </c>
      <c r="BL87" t="s">
        <v>4351</v>
      </c>
      <c r="BM87" t="s">
        <v>1834</v>
      </c>
      <c r="BN87">
        <v>4.7300000000000004</v>
      </c>
      <c r="BO87">
        <v>9.42</v>
      </c>
      <c r="BP87">
        <v>14.36</v>
      </c>
      <c r="BQ87">
        <v>5.53</v>
      </c>
      <c r="BR87">
        <v>12.05</v>
      </c>
      <c r="BS87">
        <v>16.05</v>
      </c>
      <c r="BT87" t="s">
        <v>2205</v>
      </c>
      <c r="BU87" t="s">
        <v>1516</v>
      </c>
      <c r="BV87">
        <v>15.02</v>
      </c>
      <c r="BW87">
        <v>15.67</v>
      </c>
      <c r="BX87">
        <v>13.61</v>
      </c>
      <c r="BY87">
        <v>6.64</v>
      </c>
      <c r="BZ87">
        <v>6.39</v>
      </c>
      <c r="CA87">
        <v>5.2</v>
      </c>
      <c r="CB87">
        <v>-5.1100000000000003</v>
      </c>
      <c r="CC87" s="8">
        <v>-19.98</v>
      </c>
      <c r="CD87" s="9" t="s">
        <v>4352</v>
      </c>
      <c r="CE87" s="8" t="s">
        <v>4353</v>
      </c>
      <c r="CF87" s="8">
        <v>3.1379310344827589</v>
      </c>
      <c r="CG87" s="8">
        <v>4.8609069350954117</v>
      </c>
      <c r="CH87" s="8">
        <v>-0.46632125973701477</v>
      </c>
      <c r="CI87" s="8">
        <v>0.28178372979164124</v>
      </c>
      <c r="CJ87" s="9">
        <v>0.19908986985683441</v>
      </c>
      <c r="CK87" s="9">
        <v>0.15810276567935944</v>
      </c>
      <c r="CL87" s="9">
        <v>0.29965752363204956</v>
      </c>
      <c r="CM87" s="9">
        <v>-0.64489227533340454</v>
      </c>
      <c r="CN87" s="9">
        <v>0.59370666742324829</v>
      </c>
      <c r="CO87">
        <v>-0.31224778294563293</v>
      </c>
      <c r="CP87">
        <v>-4.5323185622692108E-3</v>
      </c>
      <c r="CQ87">
        <v>0.29400157928466797</v>
      </c>
      <c r="CR87" s="8">
        <v>32.75161634052597</v>
      </c>
      <c r="CS87" s="9">
        <v>3.4671544136364267</v>
      </c>
      <c r="CT87">
        <v>2.414561664190193</v>
      </c>
      <c r="CU87">
        <v>9.4462525844573972E-2</v>
      </c>
      <c r="CV87">
        <v>-1.4792826026678085E-2</v>
      </c>
      <c r="CW87">
        <v>0.06</v>
      </c>
      <c r="CX87">
        <v>27.544917489796159</v>
      </c>
      <c r="CY87">
        <v>32005904.549417626</v>
      </c>
      <c r="CZ87">
        <v>9.4462525844573972E-2</v>
      </c>
      <c r="DA87">
        <v>8.9674889388665431</v>
      </c>
      <c r="DB87">
        <v>98310687.195721358</v>
      </c>
      <c r="DC87">
        <v>8.9739399552345264E-2</v>
      </c>
      <c r="DD87">
        <v>4.392208213453622</v>
      </c>
      <c r="DE87">
        <v>200719081.87312281</v>
      </c>
      <c r="DF87">
        <v>8.3127022743225101E-2</v>
      </c>
      <c r="DG87">
        <v>2.6225581437386558</v>
      </c>
      <c r="DH87">
        <v>336160325.78908324</v>
      </c>
      <c r="DI87">
        <v>7.5570020675659183E-2</v>
      </c>
      <c r="DJ87">
        <v>1.3378224019928493</v>
      </c>
      <c r="DK87">
        <v>658981340.63740408</v>
      </c>
      <c r="DL87">
        <v>6.6123768091201782E-2</v>
      </c>
      <c r="DM87">
        <v>30998100</v>
      </c>
      <c r="DN87">
        <v>9.4462525844573972E-2</v>
      </c>
      <c r="DO87">
        <v>881600000</v>
      </c>
      <c r="DP87">
        <v>1182046600</v>
      </c>
      <c r="DQ87" s="10">
        <v>2690</v>
      </c>
      <c r="DR87">
        <v>3.0434685086381847</v>
      </c>
      <c r="DS87">
        <v>4.8756997611220898</v>
      </c>
      <c r="DT87">
        <v>-0.10666666666666676</v>
      </c>
      <c r="DU87">
        <v>-0.21666666666666667</v>
      </c>
      <c r="DV87">
        <v>-0.32333333333333342</v>
      </c>
      <c r="DW87">
        <v>-8.2557557557557555</v>
      </c>
      <c r="DX87">
        <v>0.43118802751300706</v>
      </c>
      <c r="DY87">
        <v>-8.0309945355651386</v>
      </c>
      <c r="DZ87">
        <v>1738</v>
      </c>
      <c r="EA87">
        <v>-8.0204527541928865</v>
      </c>
      <c r="EB87" s="11">
        <v>8</v>
      </c>
      <c r="EC87">
        <v>3.2198749999999991E-2</v>
      </c>
      <c r="ED87">
        <v>0.2656925</v>
      </c>
      <c r="EE87">
        <v>-2.0483099999999999</v>
      </c>
      <c r="EF87">
        <v>-2.0944099999999999</v>
      </c>
      <c r="EG87">
        <v>31.121188027513007</v>
      </c>
      <c r="EH87" s="12" t="s">
        <v>1710</v>
      </c>
      <c r="EI87">
        <v>0</v>
      </c>
      <c r="EJ87">
        <v>0</v>
      </c>
      <c r="EK87">
        <v>45470</v>
      </c>
      <c r="EL87">
        <v>-5.7</v>
      </c>
      <c r="EM87">
        <v>5.65</v>
      </c>
      <c r="EN87">
        <v>-7.5</v>
      </c>
      <c r="EO87">
        <v>7.32</v>
      </c>
      <c r="EP87">
        <v>-4.6100000000000003</v>
      </c>
    </row>
    <row r="88" spans="1:146" ht="96" x14ac:dyDescent="0.25">
      <c r="A88" s="6"/>
      <c r="B88" s="6"/>
      <c r="C88" s="6" t="str">
        <f>""&amp;CHAR(10)&amp;Basic_Fundamental_Information_Constructure(F88)&amp;CHAR(10)&amp;Basic_Fundamental_Information_Concatenate("")</f>
        <v xml:space="preserve">
市值108.90722亿, 利润9692.29万; PE59.64; 平均PE58.4; 平均PEG30.46, PB6.31; ROIC11.69%; ROE14.6967%; 股利率.1837%; 毛利34.7367%; 净利18.0867%; 上一年度营收增-33.66%, 利润增-17.16%; 当季营收增38.92%, 利润增28.65%; 过往5年营收增-1.92%, 利润增-14.19%
Income profile:
</v>
      </c>
      <c r="D88" t="s">
        <v>1496</v>
      </c>
      <c r="E88" t="s">
        <v>1497</v>
      </c>
      <c r="F88">
        <v>27.22</v>
      </c>
      <c r="G88">
        <v>2.76</v>
      </c>
      <c r="H88" t="s">
        <v>4354</v>
      </c>
      <c r="I88">
        <v>10890722000</v>
      </c>
      <c r="J88">
        <v>59.64</v>
      </c>
      <c r="K88">
        <v>6.31</v>
      </c>
      <c r="L88" t="s">
        <v>428</v>
      </c>
      <c r="M88" t="s">
        <v>129</v>
      </c>
      <c r="N88" t="s">
        <v>4355</v>
      </c>
      <c r="O88" t="s">
        <v>259</v>
      </c>
      <c r="P88">
        <v>-4.74</v>
      </c>
      <c r="Q88" t="s">
        <v>1287</v>
      </c>
      <c r="R88">
        <v>27222987</v>
      </c>
      <c r="S88" s="4">
        <v>-0.42509999999999998</v>
      </c>
      <c r="T88" t="s">
        <v>4356</v>
      </c>
      <c r="U88">
        <v>39725000</v>
      </c>
      <c r="V88">
        <v>400100000</v>
      </c>
      <c r="W88">
        <v>1.1299999999999999</v>
      </c>
      <c r="X88">
        <v>0.12</v>
      </c>
      <c r="Y88">
        <v>11.72</v>
      </c>
      <c r="Z88" t="s">
        <v>308</v>
      </c>
      <c r="AA88" t="s">
        <v>24</v>
      </c>
      <c r="AB88" t="s">
        <v>4357</v>
      </c>
      <c r="AC88" t="s">
        <v>4358</v>
      </c>
      <c r="AD88" t="s">
        <v>5</v>
      </c>
      <c r="AE88">
        <v>441229</v>
      </c>
      <c r="AF88" t="s">
        <v>32</v>
      </c>
      <c r="AG88" t="s">
        <v>4359</v>
      </c>
      <c r="AH88" t="s">
        <v>2874</v>
      </c>
      <c r="AI88" t="s">
        <v>186</v>
      </c>
      <c r="AJ88" t="s">
        <v>2875</v>
      </c>
      <c r="AK88" t="s">
        <v>4360</v>
      </c>
      <c r="AL88" t="s">
        <v>2876</v>
      </c>
      <c r="AM88" t="s">
        <v>5</v>
      </c>
      <c r="AN88" t="s">
        <v>147</v>
      </c>
      <c r="AO88" t="s">
        <v>5</v>
      </c>
      <c r="AP88" t="s">
        <v>5</v>
      </c>
      <c r="AQ88" t="s">
        <v>4361</v>
      </c>
      <c r="AR88" t="s">
        <v>4362</v>
      </c>
      <c r="AS88" t="s">
        <v>45</v>
      </c>
      <c r="AT88" t="s">
        <v>173</v>
      </c>
      <c r="AU88" t="s">
        <v>4363</v>
      </c>
      <c r="AV88" t="s">
        <v>4364</v>
      </c>
      <c r="AW88" t="s">
        <v>4365</v>
      </c>
      <c r="AX88" t="s">
        <v>1637</v>
      </c>
      <c r="AY88" t="s">
        <v>1188</v>
      </c>
      <c r="AZ88" t="s">
        <v>774</v>
      </c>
      <c r="BA88" t="s">
        <v>1498</v>
      </c>
      <c r="BB88" t="s">
        <v>1499</v>
      </c>
      <c r="BC88" t="s">
        <v>84</v>
      </c>
      <c r="BD88" t="s">
        <v>71</v>
      </c>
      <c r="BE88" t="s">
        <v>286</v>
      </c>
      <c r="BF88" t="s">
        <v>419</v>
      </c>
      <c r="BG88" t="s">
        <v>354</v>
      </c>
      <c r="BH88" t="s">
        <v>604</v>
      </c>
      <c r="BI88" t="s">
        <v>359</v>
      </c>
      <c r="BJ88" t="s">
        <v>1637</v>
      </c>
      <c r="BK88" t="s">
        <v>244</v>
      </c>
      <c r="BL88" t="s">
        <v>4366</v>
      </c>
      <c r="BM88" t="s">
        <v>84</v>
      </c>
      <c r="BN88">
        <v>8.92</v>
      </c>
      <c r="BO88">
        <v>8.5399999999999991</v>
      </c>
      <c r="BP88">
        <v>17.61</v>
      </c>
      <c r="BQ88">
        <v>9.3800000000000008</v>
      </c>
      <c r="BR88">
        <v>9.85</v>
      </c>
      <c r="BS88">
        <v>24.86</v>
      </c>
      <c r="BT88" t="s">
        <v>1673</v>
      </c>
      <c r="BU88" t="s">
        <v>1516</v>
      </c>
      <c r="BV88">
        <v>34.17</v>
      </c>
      <c r="BW88">
        <v>30.74</v>
      </c>
      <c r="BX88">
        <v>39.299999999999997</v>
      </c>
      <c r="BY88">
        <v>19.84</v>
      </c>
      <c r="BZ88">
        <v>12.74</v>
      </c>
      <c r="CA88">
        <v>21.68</v>
      </c>
      <c r="CB88">
        <v>-4.8600000000000003</v>
      </c>
      <c r="CC88">
        <v>-10.75</v>
      </c>
      <c r="CD88" t="s">
        <v>4367</v>
      </c>
      <c r="CE88" t="s">
        <v>4368</v>
      </c>
      <c r="CF88" s="8">
        <v>0.38922155688622739</v>
      </c>
      <c r="CG88" s="9">
        <v>0.28650017721698445</v>
      </c>
      <c r="CH88" s="8">
        <v>-0.33660131692886353</v>
      </c>
      <c r="CI88" s="8">
        <v>0.10204081982374191</v>
      </c>
      <c r="CJ88" s="8">
        <v>0.13642564415931702</v>
      </c>
      <c r="CK88" s="8">
        <v>-5.9050064533948898E-2</v>
      </c>
      <c r="CL88" s="8">
        <v>6.1307903379201889E-2</v>
      </c>
      <c r="CM88" s="9">
        <v>-0.17159910500049591</v>
      </c>
      <c r="CN88" s="9">
        <v>-0.35359117388725281</v>
      </c>
      <c r="CO88" s="9">
        <v>-0.22649572789669037</v>
      </c>
      <c r="CP88" s="9">
        <v>-0.10687022656202316</v>
      </c>
      <c r="CQ88" s="9">
        <v>0.14912280440330505</v>
      </c>
      <c r="CR88">
        <v>58.399315985042399</v>
      </c>
      <c r="CS88">
        <v>30.455326823067185</v>
      </c>
      <c r="CT88">
        <v>0.18368846436443792</v>
      </c>
      <c r="CU88" s="8">
        <v>-1.9175402820110321E-2</v>
      </c>
      <c r="CV88" s="9">
        <v>-0.14188668578863145</v>
      </c>
      <c r="CW88">
        <v>0.06</v>
      </c>
      <c r="CX88">
        <v>97.43540484240566</v>
      </c>
      <c r="CY88" t="s">
        <v>4369</v>
      </c>
      <c r="CZ88">
        <v>-1.9175402820110321E-2</v>
      </c>
      <c r="DA88">
        <v>32.478468280801891</v>
      </c>
      <c r="DB88" t="s">
        <v>4370</v>
      </c>
      <c r="DC88">
        <v>-1.8216632679104804E-2</v>
      </c>
      <c r="DD88">
        <v>16.239234140400946</v>
      </c>
      <c r="DE88" t="s">
        <v>4371</v>
      </c>
      <c r="DF88">
        <v>-1.6874354481697083E-2</v>
      </c>
      <c r="DG88">
        <v>9.7435404842405671</v>
      </c>
      <c r="DH88" t="s">
        <v>4372</v>
      </c>
      <c r="DI88">
        <v>-1.5340322256088258E-2</v>
      </c>
      <c r="DJ88">
        <v>4.8717702421202835</v>
      </c>
      <c r="DK88" t="s">
        <v>4373</v>
      </c>
      <c r="DL88">
        <v>-1.3422781974077223E-2</v>
      </c>
      <c r="DM88">
        <v>96922900.000000015</v>
      </c>
      <c r="DN88">
        <v>-1.9175402820110321E-2</v>
      </c>
      <c r="DO88">
        <v>9443722000</v>
      </c>
      <c r="DP88">
        <v>440443630</v>
      </c>
      <c r="DQ88">
        <v>2692</v>
      </c>
      <c r="DR88">
        <v>0.40839695970633771</v>
      </c>
      <c r="DS88">
        <v>0.4283868630056159</v>
      </c>
      <c r="DT88" s="10">
        <v>-0.60666666666666669</v>
      </c>
      <c r="DU88">
        <v>-0.45</v>
      </c>
      <c r="DV88">
        <v>-1.0566666666666666</v>
      </c>
      <c r="DW88">
        <v>-8.4520930232558147</v>
      </c>
      <c r="DX88">
        <v>0.48093131279617268</v>
      </c>
      <c r="DY88">
        <v>-8.0727559237385496</v>
      </c>
      <c r="DZ88">
        <v>2343</v>
      </c>
      <c r="EA88">
        <v>-8.0393964072376836</v>
      </c>
      <c r="EB88">
        <v>8</v>
      </c>
      <c r="EC88">
        <v>5.5766058485378659E-3</v>
      </c>
      <c r="ED88">
        <v>3.4652086978255434E-2</v>
      </c>
      <c r="EE88" s="11">
        <v>6.0324</v>
      </c>
      <c r="EF88">
        <v>6.0624000000000002</v>
      </c>
      <c r="EG88">
        <v>32.160931312796173</v>
      </c>
      <c r="EH88" t="s">
        <v>4374</v>
      </c>
      <c r="EI88">
        <v>0</v>
      </c>
      <c r="EJ88">
        <v>0</v>
      </c>
      <c r="EK88" s="12">
        <v>45470</v>
      </c>
      <c r="EL88">
        <v>1.37</v>
      </c>
      <c r="EM88">
        <v>-1.59</v>
      </c>
      <c r="EN88">
        <v>0.97</v>
      </c>
      <c r="EO88">
        <v>0.24</v>
      </c>
      <c r="EP88">
        <v>3</v>
      </c>
    </row>
    <row r="89" spans="1:146" ht="84" x14ac:dyDescent="0.25">
      <c r="C89" s="6" t="str">
        <f>""&amp;CHAR(10)&amp;Basic_Fundamental_Information_Constructure(F89)&amp;CHAR(10)&amp;Basic_Fundamental_Information_Concatenate("")</f>
        <v xml:space="preserve">
市值23.339671亿, 利润6771.20万; PE19.73; 平均PE37.19; 平均PEG28.7, PB1.59; ROIC13.0767%; ROE15.21%; 股利率3.003%; 毛利6.9933%; 净利3.6833%; 上一年度营收增-69.55%, 利润增-24.24%; 当季营收增542.72%, 利润增452.3%; 过往5年营收增-1.3%, 利润增55.81%
Income profile:
</v>
      </c>
      <c r="D89" t="s">
        <v>2016</v>
      </c>
      <c r="E89" t="s">
        <v>2017</v>
      </c>
      <c r="F89">
        <v>16.649999999999999</v>
      </c>
      <c r="G89">
        <v>0.97</v>
      </c>
      <c r="H89" t="s">
        <v>4375</v>
      </c>
      <c r="I89">
        <v>2333967100</v>
      </c>
      <c r="J89">
        <v>19.73</v>
      </c>
      <c r="K89">
        <v>1.59</v>
      </c>
      <c r="L89" t="s">
        <v>428</v>
      </c>
      <c r="M89" t="s">
        <v>152</v>
      </c>
      <c r="N89" t="s">
        <v>3489</v>
      </c>
      <c r="O89" t="s">
        <v>2134</v>
      </c>
      <c r="P89" s="4">
        <v>23.35</v>
      </c>
      <c r="Q89" t="s">
        <v>2071</v>
      </c>
      <c r="R89">
        <v>22022583</v>
      </c>
      <c r="S89">
        <v>0.1116</v>
      </c>
      <c r="T89" t="s">
        <v>4376</v>
      </c>
      <c r="U89">
        <v>35050000</v>
      </c>
      <c r="V89">
        <v>140178200</v>
      </c>
      <c r="W89">
        <v>1.1599999999999999</v>
      </c>
      <c r="X89">
        <v>0.39</v>
      </c>
      <c r="Y89">
        <v>3.33</v>
      </c>
      <c r="Z89" t="s">
        <v>511</v>
      </c>
      <c r="AA89" t="s">
        <v>336</v>
      </c>
      <c r="AB89" t="s">
        <v>4377</v>
      </c>
      <c r="AC89" t="s">
        <v>4378</v>
      </c>
      <c r="AD89" t="s">
        <v>5</v>
      </c>
      <c r="AE89">
        <v>-952681</v>
      </c>
      <c r="AF89" t="s">
        <v>2877</v>
      </c>
      <c r="AG89" t="s">
        <v>4379</v>
      </c>
      <c r="AH89" t="s">
        <v>2878</v>
      </c>
      <c r="AI89" t="s">
        <v>1541</v>
      </c>
      <c r="AJ89" t="s">
        <v>2879</v>
      </c>
      <c r="AK89" t="s">
        <v>4380</v>
      </c>
      <c r="AL89" t="s">
        <v>2880</v>
      </c>
      <c r="AM89" t="s">
        <v>5</v>
      </c>
      <c r="AN89" t="s">
        <v>4381</v>
      </c>
      <c r="AO89" t="s">
        <v>4382</v>
      </c>
      <c r="AP89" t="s">
        <v>5</v>
      </c>
      <c r="AQ89" t="s">
        <v>37</v>
      </c>
      <c r="AR89" t="s">
        <v>4383</v>
      </c>
      <c r="AS89" t="s">
        <v>136</v>
      </c>
      <c r="AT89" t="s">
        <v>5</v>
      </c>
      <c r="AU89" t="s">
        <v>3468</v>
      </c>
      <c r="AV89" t="s">
        <v>88</v>
      </c>
      <c r="AW89" t="s">
        <v>4384</v>
      </c>
      <c r="AX89" t="s">
        <v>2018</v>
      </c>
      <c r="AY89" t="s">
        <v>1662</v>
      </c>
      <c r="AZ89" t="s">
        <v>2101</v>
      </c>
      <c r="BA89" t="s">
        <v>698</v>
      </c>
      <c r="BB89" t="s">
        <v>1756</v>
      </c>
      <c r="BC89" t="s">
        <v>2881</v>
      </c>
      <c r="BD89" t="s">
        <v>2019</v>
      </c>
      <c r="BE89" t="s">
        <v>2102</v>
      </c>
      <c r="BF89" t="s">
        <v>2103</v>
      </c>
      <c r="BG89" t="s">
        <v>2104</v>
      </c>
      <c r="BH89" t="s">
        <v>2168</v>
      </c>
      <c r="BI89" t="s">
        <v>130</v>
      </c>
      <c r="BJ89" t="s">
        <v>2018</v>
      </c>
      <c r="BK89" t="s">
        <v>40</v>
      </c>
      <c r="BL89" t="s">
        <v>4385</v>
      </c>
      <c r="BM89" t="s">
        <v>2881</v>
      </c>
      <c r="BN89">
        <v>7.73</v>
      </c>
      <c r="BO89">
        <v>15.71</v>
      </c>
      <c r="BP89">
        <v>15.79</v>
      </c>
      <c r="BQ89">
        <v>10.92</v>
      </c>
      <c r="BR89">
        <v>19.5</v>
      </c>
      <c r="BS89" t="s">
        <v>5</v>
      </c>
      <c r="BT89" t="s">
        <v>1682</v>
      </c>
      <c r="BU89" t="s">
        <v>1516</v>
      </c>
      <c r="BV89">
        <v>7.96</v>
      </c>
      <c r="BW89">
        <v>6.9</v>
      </c>
      <c r="BX89">
        <v>6.12</v>
      </c>
      <c r="BY89">
        <v>4.28</v>
      </c>
      <c r="BZ89">
        <v>3.87</v>
      </c>
      <c r="CA89">
        <v>2.9</v>
      </c>
      <c r="CB89">
        <v>-3.92</v>
      </c>
      <c r="CC89" s="8">
        <v>-15.4</v>
      </c>
      <c r="CD89" s="9" t="s">
        <v>4386</v>
      </c>
      <c r="CE89" s="8" t="s">
        <v>4387</v>
      </c>
      <c r="CF89" s="8">
        <v>5.4271844660194173</v>
      </c>
      <c r="CG89" s="8">
        <v>4.5230433365100069</v>
      </c>
      <c r="CH89" s="8">
        <v>-0.69550174474716187</v>
      </c>
      <c r="CI89" s="8">
        <v>-0.23645970225334167</v>
      </c>
      <c r="CJ89" s="9">
        <v>0.61149543523788452</v>
      </c>
      <c r="CK89" s="9">
        <v>0.24026401340961456</v>
      </c>
      <c r="CL89" s="9">
        <v>1.541559211909771E-2</v>
      </c>
      <c r="CM89" s="9">
        <v>-0.24242980778217316</v>
      </c>
      <c r="CN89" s="9">
        <v>2.0920880138874054E-2</v>
      </c>
      <c r="CO89">
        <v>0.19830033183097839</v>
      </c>
      <c r="CP89">
        <v>0.63022679090499878</v>
      </c>
      <c r="CQ89">
        <v>2.1833446025848389</v>
      </c>
      <c r="CR89" s="8">
        <v>37.185104718012965</v>
      </c>
      <c r="CS89" s="9">
        <v>28.698230755197912</v>
      </c>
      <c r="CT89">
        <v>3.0030030030030033</v>
      </c>
      <c r="CU89">
        <v>-1.295728124678135E-2</v>
      </c>
      <c r="CV89">
        <v>0.55807255953550339</v>
      </c>
      <c r="CW89">
        <v>0.06</v>
      </c>
      <c r="CX89">
        <v>16.968441339792061</v>
      </c>
      <c r="CY89" t="s">
        <v>4388</v>
      </c>
      <c r="CZ89">
        <v>-1.295728124678135E-2</v>
      </c>
      <c r="DA89">
        <v>5.6561471132640202</v>
      </c>
      <c r="DB89" t="s">
        <v>4389</v>
      </c>
      <c r="DC89">
        <v>-1.2309417184442282E-2</v>
      </c>
      <c r="DD89">
        <v>2.8280735566320101</v>
      </c>
      <c r="DE89" t="s">
        <v>4390</v>
      </c>
      <c r="DF89">
        <v>-1.1402407497167588E-2</v>
      </c>
      <c r="DG89">
        <v>1.696844133979206</v>
      </c>
      <c r="DH89" t="s">
        <v>4391</v>
      </c>
      <c r="DI89">
        <v>-1.0365824997425081E-2</v>
      </c>
      <c r="DJ89">
        <v>0.84842206698960299</v>
      </c>
      <c r="DK89" t="s">
        <v>4392</v>
      </c>
      <c r="DL89">
        <v>-9.0700968727469439E-3</v>
      </c>
      <c r="DM89">
        <v>67712000</v>
      </c>
      <c r="DN89">
        <v>-1.295728124678135E-2</v>
      </c>
      <c r="DO89">
        <v>1148967100</v>
      </c>
      <c r="DP89">
        <v>969965970</v>
      </c>
      <c r="DQ89" s="10">
        <v>2818</v>
      </c>
      <c r="DR89">
        <v>5.4401417472661988</v>
      </c>
      <c r="DS89">
        <v>3.9649707769745035</v>
      </c>
      <c r="DT89">
        <v>-0.54</v>
      </c>
      <c r="DU89">
        <v>0.94000000000000006</v>
      </c>
      <c r="DV89">
        <v>0.4</v>
      </c>
      <c r="DW89">
        <v>-8.254545454545454</v>
      </c>
      <c r="DX89">
        <v>0.25423658352229939</v>
      </c>
      <c r="DY89">
        <v>-8.0239874939874944</v>
      </c>
      <c r="DZ89">
        <v>1456</v>
      </c>
      <c r="EA89">
        <v>-8.0171527011800983</v>
      </c>
      <c r="EB89" s="11">
        <v>8</v>
      </c>
      <c r="EC89" s="11">
        <v>2.8460916176695092E-2</v>
      </c>
      <c r="ED89">
        <v>0.30201557731516027</v>
      </c>
      <c r="EE89">
        <v>13.024010000000001</v>
      </c>
      <c r="EF89">
        <v>13.04651</v>
      </c>
      <c r="EG89">
        <v>16.094236583522299</v>
      </c>
      <c r="EH89" s="12" t="s">
        <v>4393</v>
      </c>
      <c r="EI89">
        <v>0</v>
      </c>
      <c r="EJ89">
        <v>1</v>
      </c>
      <c r="EK89">
        <v>45470</v>
      </c>
      <c r="EL89">
        <v>-2.4</v>
      </c>
      <c r="EM89">
        <v>-5.17</v>
      </c>
      <c r="EN89">
        <v>1.01</v>
      </c>
      <c r="EO89">
        <v>3.07</v>
      </c>
      <c r="EP89">
        <v>-2.25</v>
      </c>
    </row>
    <row r="90" spans="1:146" ht="204" x14ac:dyDescent="0.25">
      <c r="A90" s="6"/>
      <c r="B90" s="6"/>
      <c r="C90" s="6" t="str">
        <f>"公司主要业务为基本化工原料、食品包装材料、氟化工原料及后续产品的研发、生产与销售。拥有氯碱化工、硫酸化工、煤化工、基础氟化工等氟化工必需的产业自我配套体系，并以此为基础，形成了包括基础配套原料、氟致冷剂、有机氟单体、含氟聚合物、精细化学品等在内的完整的氟化工产业链，并涉足石油化工产业。"&amp;CHAR(10)&amp;Basic_Fundamental_Information_Constructure(F90)&amp;CHAR(10)&amp;Basic_Fundamental_Information_Concatenate("致冷剂 34.32亿 32.67% 20.54% 11.67%
基础化工产品及其它 25.17亿 23.96% 40.89% 31.68%
氟化工原料 22.52亿 21.44% 14.39% 12.46%
含氟聚合物材料 16.07亿 15.29% 19.30% 23.43%
石化材料 8.96亿 8.53% 3.52% 7.67%
食品包装材料 8.62亿 8.20% 12.73% 28.81%")</f>
        <v>公司主要业务为基本化工原料、食品包装材料、氟化工原料及后续产品的研发、生产与销售。拥有氯碱化工、硫酸化工、煤化工、基础氟化工等氟化工必需的产业自我配套体系，并以此为基础，形成了包括基础配套原料、氟致冷剂、有机氟单体、含氟聚合物、精细化学品等在内的完整的氟化工产业链，并涉足石油化工产业。
市值676.01642亿, 利润11.10亿; PE61.39; 平均PE38.73; 平均PEG1.58, PB4.12; ROIC9.0567%; ROE9.99%; 股利率.4393%; 毛利15.47%; 净利7.2767%; 上一年度营收增-75.89%, 利润增-53.38%; 当季营收增323.37%, 利润增18.44%; 过往5年营收增-24.45%, 利润增-53.38%
Income profile:
致冷剂 34.32亿 32.67% 20.54% 11.67%
基础化工产品及其它 25.17亿 23.96% 40.89% 31.68%
氟化工原料 22.52亿 21.44% 14.39% 12.46%
含氟聚合物材料 16.07亿 15.29% 19.30% 23.43%
石化材料 8.96亿 8.53% 3.52% 7.67%
食品包装材料 8.62亿 8.20% 12.73% 28.81%</v>
      </c>
      <c r="D90" t="s">
        <v>858</v>
      </c>
      <c r="E90" t="s">
        <v>859</v>
      </c>
      <c r="F90">
        <v>25.04</v>
      </c>
      <c r="G90">
        <v>1.79</v>
      </c>
      <c r="H90" t="s">
        <v>4394</v>
      </c>
      <c r="I90">
        <v>67601642000</v>
      </c>
      <c r="J90">
        <v>61.39</v>
      </c>
      <c r="K90">
        <v>4.12</v>
      </c>
      <c r="L90" t="s">
        <v>428</v>
      </c>
      <c r="M90" t="s">
        <v>2882</v>
      </c>
      <c r="N90" t="s">
        <v>4395</v>
      </c>
      <c r="O90" t="s">
        <v>2883</v>
      </c>
      <c r="P90">
        <v>19.52</v>
      </c>
      <c r="Q90" t="s">
        <v>1229</v>
      </c>
      <c r="R90">
        <v>310313860</v>
      </c>
      <c r="S90" s="4">
        <v>1.0329999999999999</v>
      </c>
      <c r="T90" t="s">
        <v>2641</v>
      </c>
      <c r="U90">
        <v>2699746100</v>
      </c>
      <c r="V90">
        <v>2699746100</v>
      </c>
      <c r="W90">
        <v>1.51</v>
      </c>
      <c r="X90" t="s">
        <v>5</v>
      </c>
      <c r="Y90">
        <v>6.04</v>
      </c>
      <c r="Z90" t="s">
        <v>5</v>
      </c>
      <c r="AA90" t="s">
        <v>5</v>
      </c>
      <c r="AB90" t="s">
        <v>5</v>
      </c>
      <c r="AC90" t="s">
        <v>5</v>
      </c>
      <c r="AD90" t="s">
        <v>5</v>
      </c>
      <c r="AE90">
        <v>-13431139</v>
      </c>
      <c r="AF90" t="s">
        <v>2885</v>
      </c>
      <c r="AG90" t="s">
        <v>4396</v>
      </c>
      <c r="AH90" t="s">
        <v>2886</v>
      </c>
      <c r="AI90" t="s">
        <v>4397</v>
      </c>
      <c r="AJ90" t="s">
        <v>2887</v>
      </c>
      <c r="AK90" t="s">
        <v>5</v>
      </c>
      <c r="AL90" t="s">
        <v>2889</v>
      </c>
      <c r="AM90" t="s">
        <v>5</v>
      </c>
      <c r="AN90" t="s">
        <v>1451</v>
      </c>
      <c r="AO90" t="s">
        <v>5</v>
      </c>
      <c r="AP90" t="s">
        <v>2146</v>
      </c>
      <c r="AQ90" t="s">
        <v>4398</v>
      </c>
      <c r="AR90" t="s">
        <v>5</v>
      </c>
      <c r="AS90" t="s">
        <v>5</v>
      </c>
      <c r="AT90" t="s">
        <v>5</v>
      </c>
      <c r="AU90" t="s">
        <v>571</v>
      </c>
      <c r="AV90" t="s">
        <v>4399</v>
      </c>
      <c r="AW90" t="s">
        <v>432</v>
      </c>
      <c r="AX90" t="s">
        <v>1837</v>
      </c>
      <c r="AY90" t="s">
        <v>5</v>
      </c>
      <c r="AZ90" t="s">
        <v>1380</v>
      </c>
      <c r="BA90" t="s">
        <v>860</v>
      </c>
      <c r="BB90" t="s">
        <v>861</v>
      </c>
      <c r="BC90" t="s">
        <v>1646</v>
      </c>
      <c r="BD90" t="s">
        <v>5</v>
      </c>
      <c r="BE90" t="s">
        <v>5</v>
      </c>
      <c r="BF90" t="s">
        <v>5</v>
      </c>
      <c r="BG90" t="s">
        <v>5</v>
      </c>
      <c r="BH90" t="s">
        <v>2884</v>
      </c>
      <c r="BI90" t="s">
        <v>2890</v>
      </c>
      <c r="BJ90" t="s">
        <v>1837</v>
      </c>
      <c r="BK90" t="s">
        <v>387</v>
      </c>
      <c r="BL90" t="s">
        <v>419</v>
      </c>
      <c r="BM90" t="s">
        <v>1646</v>
      </c>
      <c r="BN90">
        <v>4.24</v>
      </c>
      <c r="BO90">
        <v>15.11</v>
      </c>
      <c r="BP90">
        <v>7.82</v>
      </c>
      <c r="BQ90">
        <v>4.8099999999999996</v>
      </c>
      <c r="BR90">
        <v>16.57</v>
      </c>
      <c r="BS90">
        <v>8.59</v>
      </c>
      <c r="BT90" t="s">
        <v>1687</v>
      </c>
      <c r="BU90" t="s">
        <v>1522</v>
      </c>
      <c r="BV90">
        <v>13.22</v>
      </c>
      <c r="BW90">
        <v>19.059999999999999</v>
      </c>
      <c r="BX90">
        <v>14.13</v>
      </c>
      <c r="BY90">
        <v>4.6900000000000004</v>
      </c>
      <c r="BZ90">
        <v>11.15</v>
      </c>
      <c r="CA90">
        <v>5.99</v>
      </c>
      <c r="CB90">
        <v>3.77</v>
      </c>
      <c r="CC90">
        <v>5.34</v>
      </c>
      <c r="CD90" t="s">
        <v>160</v>
      </c>
      <c r="CE90" t="s">
        <v>1222</v>
      </c>
      <c r="CF90" s="8">
        <v>3.2337461300309598</v>
      </c>
      <c r="CG90" s="9">
        <v>0.18440404580152672</v>
      </c>
      <c r="CH90" s="8">
        <v>-0.75894641876220703</v>
      </c>
      <c r="CI90" s="8" t="s">
        <v>5</v>
      </c>
      <c r="CJ90" s="8" t="s">
        <v>5</v>
      </c>
      <c r="CK90" s="8">
        <v>-8.7130494648590684E-4</v>
      </c>
      <c r="CL90" s="8">
        <v>2.6315806433558464E-2</v>
      </c>
      <c r="CM90" s="9">
        <v>-0.53380930423736572</v>
      </c>
      <c r="CN90" s="9" t="s">
        <v>5</v>
      </c>
      <c r="CO90" s="9" t="s">
        <v>5</v>
      </c>
      <c r="CP90" s="9" t="s">
        <v>5</v>
      </c>
      <c r="CQ90" s="9" t="s">
        <v>5</v>
      </c>
      <c r="CR90">
        <v>38.729098825551418</v>
      </c>
      <c r="CS90">
        <v>1.584008081509523</v>
      </c>
      <c r="CT90">
        <v>0.43929712460063902</v>
      </c>
      <c r="CU90" s="8">
        <v>-0.24450063909171149</v>
      </c>
      <c r="CV90" s="9">
        <v>-0.53380930423736572</v>
      </c>
      <c r="CW90">
        <v>0.06</v>
      </c>
      <c r="CX90">
        <v>51.378956756756757</v>
      </c>
      <c r="CY90" t="s">
        <v>4400</v>
      </c>
      <c r="CZ90">
        <v>-0.24450063909171149</v>
      </c>
      <c r="DA90">
        <v>17.126318918918919</v>
      </c>
      <c r="DB90" t="s">
        <v>4401</v>
      </c>
      <c r="DC90">
        <v>-0.23227560713712592</v>
      </c>
      <c r="DD90">
        <v>8.5631594594594596</v>
      </c>
      <c r="DE90" t="s">
        <v>4402</v>
      </c>
      <c r="DF90">
        <v>-0.21516056240070611</v>
      </c>
      <c r="DG90">
        <v>5.1378956756756757</v>
      </c>
      <c r="DH90" t="s">
        <v>4403</v>
      </c>
      <c r="DI90">
        <v>-0.19560051127336919</v>
      </c>
      <c r="DJ90">
        <v>2.5689478378378379</v>
      </c>
      <c r="DK90" t="s">
        <v>4404</v>
      </c>
      <c r="DL90">
        <v>-0.17115044736419804</v>
      </c>
      <c r="DM90">
        <v>1110000000</v>
      </c>
      <c r="DN90">
        <v>-0.24450063909171149</v>
      </c>
      <c r="DO90">
        <v>57030642000</v>
      </c>
      <c r="DP90">
        <v>7638023700</v>
      </c>
      <c r="DQ90">
        <v>2966</v>
      </c>
      <c r="DR90">
        <v>3.4782467691226713</v>
      </c>
      <c r="DS90">
        <v>0.71821335003889242</v>
      </c>
      <c r="DT90" s="10">
        <v>-1.1599999999999999</v>
      </c>
      <c r="DU90">
        <v>-1.1599999999999999</v>
      </c>
      <c r="DV90">
        <v>-2.3199999999999998</v>
      </c>
      <c r="DW90">
        <v>8.7059925093632966</v>
      </c>
      <c r="DX90">
        <v>0.37164305949008591</v>
      </c>
      <c r="DY90">
        <v>8.0999989390032994</v>
      </c>
      <c r="DZ90">
        <v>4856</v>
      </c>
      <c r="EA90">
        <v>8.0049705930541766</v>
      </c>
      <c r="EB90">
        <v>8</v>
      </c>
      <c r="EC90">
        <v>3.7040520217808633E-2</v>
      </c>
      <c r="ED90">
        <v>0.26150607273772891</v>
      </c>
      <c r="EE90" s="11">
        <v>5.0517000000000003</v>
      </c>
      <c r="EF90">
        <v>5.0834999999999999</v>
      </c>
      <c r="EG90">
        <v>23.141643059490086</v>
      </c>
      <c r="EH90" t="s">
        <v>2170</v>
      </c>
      <c r="EI90">
        <v>0</v>
      </c>
      <c r="EJ90">
        <v>0</v>
      </c>
      <c r="EK90" s="12">
        <v>45470</v>
      </c>
      <c r="EL90">
        <v>0.45</v>
      </c>
      <c r="EM90">
        <v>-4.07</v>
      </c>
      <c r="EN90">
        <v>3.77</v>
      </c>
      <c r="EO90">
        <v>0</v>
      </c>
      <c r="EP90">
        <v>3.18</v>
      </c>
    </row>
    <row r="91" spans="1:146" ht="120" x14ac:dyDescent="0.25">
      <c r="A91" s="6" t="s">
        <v>1606</v>
      </c>
      <c r="B91" s="6" t="s">
        <v>1607</v>
      </c>
      <c r="C91" s="6" t="str">
        <f>"公司的主要业务为活性炭制品生产和销售、干细胞制备和存储、贸易等业务，月桂二酸生产和销售业务。公司主要产品包括活性炭等。"&amp;CHAR(10)&amp;Basic_Fundamental_Information_Constructure(C91)&amp;CHAR(10)&amp;Basic_Fundamental_Information_Concatenate("化学原料及化学制品制造 1.90亿 98.99% 99.59% 12.50%
其他业务 194.97万 1.01% 0.41% 5.02%")</f>
        <v>公司的主要业务为活性炭制品生产和销售、干细胞制备和存储、贸易等业务，月桂二酸生产和销售业务。公司主要产品包括活性炭等。
市值12.4648847亿, 利润9.09亿; PE; 平均PE12.73; 平均PEG.01, PB10.72; ROIC0%; ROE-21.69%; 股利率0%; 毛利-3.8%; 净利-73.7367%; 上一年度营收增8137.45%, 利润增744.68%; 当季营收增-99.64%, 利润增-117.27%; 过往5年营收增1662.62%, 利润增-113.19%
Income profile:
化学原料及化学制品制造 1.90亿 98.99% 99.59% 12.50%
其他业务 194.97万 1.01% 0.41% 5.02%</v>
      </c>
      <c r="D91" t="s">
        <v>862</v>
      </c>
      <c r="E91" t="s">
        <v>2891</v>
      </c>
      <c r="F91">
        <v>1.82</v>
      </c>
      <c r="G91">
        <v>5.2</v>
      </c>
      <c r="H91" t="s">
        <v>4405</v>
      </c>
      <c r="I91">
        <v>1246488470</v>
      </c>
      <c r="K91">
        <v>10.72</v>
      </c>
      <c r="L91" t="s">
        <v>428</v>
      </c>
      <c r="M91" t="s">
        <v>2141</v>
      </c>
      <c r="N91" t="s">
        <v>213</v>
      </c>
      <c r="O91" t="s">
        <v>2892</v>
      </c>
      <c r="P91">
        <v>16.89</v>
      </c>
      <c r="Q91" t="s">
        <v>4406</v>
      </c>
      <c r="R91">
        <v>-51454551</v>
      </c>
      <c r="S91" s="4">
        <v>0.11940000000000001</v>
      </c>
      <c r="T91" t="s">
        <v>2084</v>
      </c>
      <c r="U91">
        <v>684883780</v>
      </c>
      <c r="V91">
        <v>684883780</v>
      </c>
      <c r="W91">
        <v>9.06</v>
      </c>
      <c r="X91">
        <v>0.02</v>
      </c>
      <c r="Y91">
        <v>-107.56</v>
      </c>
      <c r="Z91" t="s">
        <v>173</v>
      </c>
      <c r="AA91" t="s">
        <v>4407</v>
      </c>
      <c r="AB91" t="s">
        <v>4408</v>
      </c>
      <c r="AC91" t="s">
        <v>4409</v>
      </c>
      <c r="AD91" t="s">
        <v>5</v>
      </c>
      <c r="AE91">
        <v>34707875</v>
      </c>
      <c r="AF91" t="s">
        <v>2893</v>
      </c>
      <c r="AG91" t="s">
        <v>4410</v>
      </c>
      <c r="AH91" t="s">
        <v>2894</v>
      </c>
      <c r="AI91" t="s">
        <v>4411</v>
      </c>
      <c r="AJ91" t="s">
        <v>5</v>
      </c>
      <c r="AK91" t="s">
        <v>5</v>
      </c>
      <c r="AL91" t="s">
        <v>2895</v>
      </c>
      <c r="AM91" t="s">
        <v>5</v>
      </c>
      <c r="AN91" t="s">
        <v>4412</v>
      </c>
      <c r="AO91" t="s">
        <v>109</v>
      </c>
      <c r="AP91" t="s">
        <v>5</v>
      </c>
      <c r="AQ91" t="s">
        <v>1305</v>
      </c>
      <c r="AR91" t="s">
        <v>2106</v>
      </c>
      <c r="AS91" t="s">
        <v>2965</v>
      </c>
      <c r="AT91" t="s">
        <v>178</v>
      </c>
      <c r="AU91" t="s">
        <v>4413</v>
      </c>
      <c r="AV91" t="s">
        <v>4414</v>
      </c>
      <c r="AW91" t="s">
        <v>4415</v>
      </c>
      <c r="AX91" t="s">
        <v>1631</v>
      </c>
      <c r="AY91" t="s">
        <v>304</v>
      </c>
      <c r="AZ91" t="s">
        <v>29</v>
      </c>
      <c r="BA91" t="s">
        <v>114</v>
      </c>
      <c r="BB91" t="s">
        <v>829</v>
      </c>
      <c r="BC91" t="s">
        <v>1839</v>
      </c>
      <c r="BD91" t="s">
        <v>1840</v>
      </c>
      <c r="BE91" t="s">
        <v>1381</v>
      </c>
      <c r="BF91" t="s">
        <v>863</v>
      </c>
      <c r="BG91" t="s">
        <v>864</v>
      </c>
      <c r="BH91" t="s">
        <v>300</v>
      </c>
      <c r="BI91" t="s">
        <v>4416</v>
      </c>
      <c r="BJ91" t="s">
        <v>1631</v>
      </c>
      <c r="BK91" t="s">
        <v>2357</v>
      </c>
      <c r="BL91" t="s">
        <v>2031</v>
      </c>
      <c r="BM91" t="s">
        <v>1839</v>
      </c>
      <c r="BN91" t="s">
        <v>5</v>
      </c>
      <c r="BO91" t="s">
        <v>5</v>
      </c>
      <c r="BP91" t="s">
        <v>5</v>
      </c>
      <c r="BQ91">
        <v>-42.42</v>
      </c>
      <c r="BR91">
        <v>-20.22</v>
      </c>
      <c r="BS91">
        <v>-2.4300000000000002</v>
      </c>
      <c r="BT91" t="s">
        <v>1670</v>
      </c>
      <c r="BU91" t="s">
        <v>1516</v>
      </c>
      <c r="BV91">
        <v>-34.93</v>
      </c>
      <c r="BW91">
        <v>11.11</v>
      </c>
      <c r="BX91">
        <v>12.42</v>
      </c>
      <c r="BY91">
        <v>-180.67</v>
      </c>
      <c r="BZ91">
        <v>-24.97</v>
      </c>
      <c r="CA91">
        <v>-15.57</v>
      </c>
      <c r="CB91">
        <v>18.18</v>
      </c>
      <c r="CC91">
        <v>-7.61</v>
      </c>
      <c r="CD91" t="s">
        <v>59</v>
      </c>
      <c r="CE91" t="s">
        <v>1654</v>
      </c>
      <c r="CF91" s="8">
        <v>-0.99640064778950177</v>
      </c>
      <c r="CG91" s="9">
        <v>-1.17266627852349</v>
      </c>
      <c r="CH91" s="8">
        <v>81.37445068359375</v>
      </c>
      <c r="CI91" s="8">
        <v>1.7349398136138916</v>
      </c>
      <c r="CJ91" s="8">
        <v>1.0924370288848877</v>
      </c>
      <c r="CK91" s="8">
        <v>-0.55263155698776245</v>
      </c>
      <c r="CL91" s="8">
        <v>-0.51811593770980835</v>
      </c>
      <c r="CM91" s="9">
        <v>7.4468083381652832</v>
      </c>
      <c r="CN91" s="9">
        <v>0.15060241520404816</v>
      </c>
      <c r="CO91" s="9">
        <v>-8.9403038024902344</v>
      </c>
      <c r="CP91" s="9">
        <v>1.4650728702545166</v>
      </c>
      <c r="CQ91" s="9">
        <v>-5.7818331718444824</v>
      </c>
      <c r="CR91">
        <v>12.733248523676927</v>
      </c>
      <c r="CS91">
        <v>7.6585366861997572E-3</v>
      </c>
      <c r="CT91">
        <v>0</v>
      </c>
      <c r="CU91" s="8">
        <v>16.626216006278991</v>
      </c>
      <c r="CV91" s="9">
        <v>-1.1319306701421739</v>
      </c>
      <c r="CW91">
        <v>0.06</v>
      </c>
      <c r="CX91">
        <v>0.23145328067684887</v>
      </c>
      <c r="CY91">
        <v>15115311650.667549</v>
      </c>
      <c r="CZ91">
        <v>16.626216006278991</v>
      </c>
      <c r="DA91">
        <v>9.0677024984808254E-4</v>
      </c>
      <c r="DB91">
        <v>3858186206027.52</v>
      </c>
      <c r="DC91">
        <v>15.794905205965041</v>
      </c>
      <c r="DD91">
        <v>3.4891711446084738E-7</v>
      </c>
      <c r="DE91">
        <v>1.0026703549368518E+16</v>
      </c>
      <c r="DF91">
        <v>14.631070085525511</v>
      </c>
      <c r="DG91">
        <v>1.7835024953821392E-11</v>
      </c>
      <c r="DH91">
        <v>1.9615831651810512E+20</v>
      </c>
      <c r="DI91">
        <v>13.300972805023193</v>
      </c>
      <c r="DJ91">
        <v>1.0461206474324552E-21</v>
      </c>
      <c r="DK91">
        <v>3.344249517095863E+30</v>
      </c>
      <c r="DL91">
        <v>11.638351204395294</v>
      </c>
      <c r="DM91">
        <v>909000000</v>
      </c>
      <c r="DN91">
        <v>16.626216006278991</v>
      </c>
      <c r="DO91">
        <v>3498488470</v>
      </c>
      <c r="DP91">
        <v>-1631899470</v>
      </c>
      <c r="DQ91">
        <v>2970</v>
      </c>
      <c r="DR91">
        <v>-17.622616654068494</v>
      </c>
      <c r="DS91">
        <v>-4.073560838131618E-2</v>
      </c>
      <c r="DT91" s="10">
        <v>0.21000000000000005</v>
      </c>
      <c r="DU91">
        <v>-1.9316666666666669</v>
      </c>
      <c r="DV91">
        <v>-1.7216666666666669</v>
      </c>
      <c r="DW91">
        <v>5.418591859185919</v>
      </c>
      <c r="DX91">
        <v>0.17533747514476175</v>
      </c>
      <c r="DY91">
        <v>5.035721572379078</v>
      </c>
      <c r="DZ91">
        <v>1109</v>
      </c>
      <c r="EA91">
        <v>5.027969082404832</v>
      </c>
      <c r="EB91">
        <v>5</v>
      </c>
      <c r="EC91">
        <v>0.16061119158056278</v>
      </c>
      <c r="ED91">
        <v>1.8820711449758674</v>
      </c>
      <c r="EE91" s="11">
        <v>5.11E-3</v>
      </c>
      <c r="EF91">
        <v>2.8309999999999998E-2</v>
      </c>
      <c r="EG91">
        <v>9.0853374751447618</v>
      </c>
      <c r="EH91">
        <v>-1</v>
      </c>
      <c r="EI91">
        <v>1</v>
      </c>
      <c r="EJ91">
        <v>1</v>
      </c>
      <c r="EK91" s="12">
        <v>45470</v>
      </c>
      <c r="EL91">
        <v>-0.21</v>
      </c>
      <c r="EM91">
        <v>-0.64</v>
      </c>
      <c r="EN91">
        <v>1.71</v>
      </c>
      <c r="EO91">
        <v>0</v>
      </c>
      <c r="EP91">
        <v>-2.3199999999999998</v>
      </c>
    </row>
    <row r="92" spans="1:146" ht="96" x14ac:dyDescent="0.25">
      <c r="A92" s="6"/>
      <c r="B92" s="6"/>
      <c r="C92" s="6" t="str">
        <f>""&amp;CHAR(10)&amp;Basic_Fundamental_Information_Constructure(F92)&amp;CHAR(10)&amp;Basic_Fundamental_Information_Concatenate("")</f>
        <v xml:space="preserve">
市值41.281578亿, 利润-6.81亿; PE29.7; 平均PE-31.63; 平均PEG-.4, PB1.03; ROIC5.6133%; ROE7.2333%; 股利率1.3911%; 毛利15.84%; 净利6.9567%; 上一年度营收增313.53%, 利润增-262.14%; 当季营收增-77.49%, 利润增-55.89%; 过往5年营收增79.85%, 利润增-262.14%
Income profile:
</v>
      </c>
      <c r="D92" t="s">
        <v>865</v>
      </c>
      <c r="E92" t="s">
        <v>866</v>
      </c>
      <c r="F92">
        <v>9.92</v>
      </c>
      <c r="G92">
        <v>-0.2</v>
      </c>
      <c r="H92" t="s">
        <v>4417</v>
      </c>
      <c r="I92">
        <v>4128157800</v>
      </c>
      <c r="J92">
        <v>29.7</v>
      </c>
      <c r="K92">
        <v>1.03</v>
      </c>
      <c r="L92" t="s">
        <v>428</v>
      </c>
      <c r="M92" t="s">
        <v>1342</v>
      </c>
      <c r="N92" t="s">
        <v>4418</v>
      </c>
      <c r="O92" t="s">
        <v>805</v>
      </c>
      <c r="P92">
        <v>8.2799999999999994</v>
      </c>
      <c r="Q92" t="s">
        <v>4419</v>
      </c>
      <c r="R92">
        <v>20285501</v>
      </c>
      <c r="S92" s="4">
        <v>-0.71709999999999996</v>
      </c>
      <c r="T92" t="s">
        <v>2269</v>
      </c>
      <c r="U92">
        <v>413961020</v>
      </c>
      <c r="V92">
        <v>416144940</v>
      </c>
      <c r="W92">
        <v>1.47</v>
      </c>
      <c r="X92" t="s">
        <v>5</v>
      </c>
      <c r="Y92">
        <v>1.88</v>
      </c>
      <c r="Z92" t="s">
        <v>5</v>
      </c>
      <c r="AA92" t="s">
        <v>5</v>
      </c>
      <c r="AB92" t="s">
        <v>5</v>
      </c>
      <c r="AC92" t="s">
        <v>5</v>
      </c>
      <c r="AD92" t="s">
        <v>5</v>
      </c>
      <c r="AE92">
        <v>3037319</v>
      </c>
      <c r="AF92" t="s">
        <v>2898</v>
      </c>
      <c r="AG92" t="s">
        <v>4420</v>
      </c>
      <c r="AH92" t="s">
        <v>2899</v>
      </c>
      <c r="AI92" t="s">
        <v>198</v>
      </c>
      <c r="AJ92" t="s">
        <v>2900</v>
      </c>
      <c r="AK92" t="s">
        <v>5</v>
      </c>
      <c r="AL92" t="s">
        <v>2901</v>
      </c>
      <c r="AM92" t="s">
        <v>5</v>
      </c>
      <c r="AN92" t="s">
        <v>4421</v>
      </c>
      <c r="AO92" t="s">
        <v>5</v>
      </c>
      <c r="AP92" t="s">
        <v>589</v>
      </c>
      <c r="AQ92" t="s">
        <v>2065</v>
      </c>
      <c r="AR92" t="s">
        <v>5</v>
      </c>
      <c r="AS92" t="s">
        <v>5</v>
      </c>
      <c r="AT92" t="s">
        <v>5</v>
      </c>
      <c r="AU92" t="s">
        <v>112</v>
      </c>
      <c r="AV92" t="s">
        <v>4422</v>
      </c>
      <c r="AW92" t="s">
        <v>4423</v>
      </c>
      <c r="AX92" t="s">
        <v>1841</v>
      </c>
      <c r="AY92" t="s">
        <v>5</v>
      </c>
      <c r="AZ92" t="s">
        <v>867</v>
      </c>
      <c r="BA92" t="s">
        <v>868</v>
      </c>
      <c r="BB92" t="s">
        <v>869</v>
      </c>
      <c r="BC92" t="s">
        <v>1800</v>
      </c>
      <c r="BD92" t="s">
        <v>5</v>
      </c>
      <c r="BE92" t="s">
        <v>5</v>
      </c>
      <c r="BF92" t="s">
        <v>5</v>
      </c>
      <c r="BG92" t="s">
        <v>5</v>
      </c>
      <c r="BH92" t="s">
        <v>2897</v>
      </c>
      <c r="BI92" t="s">
        <v>4424</v>
      </c>
      <c r="BJ92" t="s">
        <v>1841</v>
      </c>
      <c r="BK92" t="s">
        <v>33</v>
      </c>
      <c r="BL92" t="s">
        <v>4425</v>
      </c>
      <c r="BM92" t="s">
        <v>1800</v>
      </c>
      <c r="BN92">
        <v>4.28</v>
      </c>
      <c r="BO92">
        <v>8.82</v>
      </c>
      <c r="BP92">
        <v>3.74</v>
      </c>
      <c r="BQ92">
        <v>5.08</v>
      </c>
      <c r="BR92">
        <v>10.63</v>
      </c>
      <c r="BS92">
        <v>5.99</v>
      </c>
      <c r="BT92" t="s">
        <v>2902</v>
      </c>
      <c r="BU92" t="s">
        <v>1519</v>
      </c>
      <c r="BV92">
        <v>13.42</v>
      </c>
      <c r="BW92">
        <v>16.11</v>
      </c>
      <c r="BX92">
        <v>17.989999999999998</v>
      </c>
      <c r="BY92">
        <v>3.98</v>
      </c>
      <c r="BZ92">
        <v>8.57</v>
      </c>
      <c r="CA92">
        <v>8.32</v>
      </c>
      <c r="CB92">
        <v>-2.0699999999999998</v>
      </c>
      <c r="CC92">
        <v>-18.03</v>
      </c>
      <c r="CD92" t="s">
        <v>4426</v>
      </c>
      <c r="CE92" t="s">
        <v>70</v>
      </c>
      <c r="CF92" s="8">
        <v>-0.77490508045561379</v>
      </c>
      <c r="CG92" s="9">
        <v>-0.55890440954230258</v>
      </c>
      <c r="CH92" s="8">
        <v>3.1353275775909424</v>
      </c>
      <c r="CI92" s="8" t="s">
        <v>5</v>
      </c>
      <c r="CJ92" s="8" t="s">
        <v>5</v>
      </c>
      <c r="CK92" s="8">
        <v>-0.2150997519493103</v>
      </c>
      <c r="CL92" s="8">
        <v>-0.52481955289840698</v>
      </c>
      <c r="CM92" s="9">
        <v>-2.6214284896850586</v>
      </c>
      <c r="CN92" s="9" t="s">
        <v>5</v>
      </c>
      <c r="CO92" s="9" t="s">
        <v>5</v>
      </c>
      <c r="CP92" s="9" t="s">
        <v>5</v>
      </c>
      <c r="CQ92" s="9" t="s">
        <v>5</v>
      </c>
      <c r="CR92">
        <v>-31.633393103448277</v>
      </c>
      <c r="CS92">
        <v>-0.39617538433924254</v>
      </c>
      <c r="CT92">
        <v>1.3911290322580645</v>
      </c>
      <c r="CU92" s="8">
        <v>0.7984694242477417</v>
      </c>
      <c r="CV92" s="9">
        <v>-2.6214284896850586</v>
      </c>
      <c r="CW92">
        <v>0.06</v>
      </c>
      <c r="CX92" t="e">
        <v>#VALUE!</v>
      </c>
      <c r="CY92" t="s">
        <v>1179</v>
      </c>
      <c r="CZ92">
        <v>0.7984694242477417</v>
      </c>
      <c r="DA92" t="e">
        <v>#VALUE!</v>
      </c>
      <c r="DB92" t="s">
        <v>1179</v>
      </c>
      <c r="DC92">
        <v>0.75854595303535455</v>
      </c>
      <c r="DD92" t="e">
        <v>#VALUE!</v>
      </c>
      <c r="DE92" t="s">
        <v>1179</v>
      </c>
      <c r="DF92">
        <v>0.70265309333801274</v>
      </c>
      <c r="DG92" t="e">
        <v>#VALUE!</v>
      </c>
      <c r="DH92" t="s">
        <v>1179</v>
      </c>
      <c r="DI92">
        <v>0.63877553939819343</v>
      </c>
      <c r="DJ92" t="e">
        <v>#VALUE!</v>
      </c>
      <c r="DK92" t="s">
        <v>1179</v>
      </c>
      <c r="DL92">
        <v>0.55892859697341912</v>
      </c>
      <c r="DM92">
        <v>-681000000</v>
      </c>
      <c r="DN92">
        <v>0.7984694242477417</v>
      </c>
      <c r="DO92">
        <v>1879157800</v>
      </c>
      <c r="DP92">
        <v>1313570790</v>
      </c>
      <c r="DQ92">
        <v>3026</v>
      </c>
      <c r="DR92">
        <v>-1.5733745047033554</v>
      </c>
      <c r="DS92">
        <v>2.0625240801427562</v>
      </c>
      <c r="DT92" s="10">
        <v>-0.21000000000000008</v>
      </c>
      <c r="DU92">
        <v>-3.57</v>
      </c>
      <c r="DV92">
        <v>-3.78</v>
      </c>
      <c r="DW92">
        <v>-3.0229583333333334</v>
      </c>
      <c r="DX92">
        <v>0.24047900000000083</v>
      </c>
      <c r="DY92">
        <v>-3.0013884970416669</v>
      </c>
      <c r="DZ92">
        <v>2286</v>
      </c>
      <c r="EA92">
        <v>-3.0007673416136336</v>
      </c>
      <c r="EB92">
        <v>3</v>
      </c>
      <c r="EC92">
        <v>2.9066315212195059E-2</v>
      </c>
      <c r="ED92">
        <v>0.4806017826385201</v>
      </c>
      <c r="EE92" s="11">
        <v>4.0610000000000014E-2</v>
      </c>
      <c r="EF92">
        <v>5.0709999999999998E-2</v>
      </c>
      <c r="EG92">
        <v>18.060479000000001</v>
      </c>
      <c r="EH92">
        <v>-1</v>
      </c>
      <c r="EI92">
        <v>0</v>
      </c>
      <c r="EJ92">
        <v>0</v>
      </c>
      <c r="EK92" s="12">
        <v>45470</v>
      </c>
      <c r="EL92">
        <v>-0.14000000000000001</v>
      </c>
      <c r="EM92">
        <v>-3.91</v>
      </c>
      <c r="EN92">
        <v>-0.15</v>
      </c>
      <c r="EO92">
        <v>4.68</v>
      </c>
      <c r="EP92">
        <v>-1.01</v>
      </c>
    </row>
    <row r="93" spans="1:146" ht="96" x14ac:dyDescent="0.25">
      <c r="A93" s="6"/>
      <c r="B93" s="6"/>
      <c r="C93" s="6" t="str">
        <f>""&amp;CHAR(10)&amp;Basic_Fundamental_Information_Constructure(F93)&amp;CHAR(10)&amp;Basic_Fundamental_Information_Concatenate("")</f>
        <v xml:space="preserve">
市值96.538537亿, 利润43.02亿; PE9.6; 平均PE5.11; 平均PEG.14, PB.96; ROIC15.3633%; ROE15.8167%; 股利率2.8818%; 毛利23.5733%; 净利15.8433%; 上一年度营收增98.38%, 利润增169.04%; 当季营收增-61.91%, 利润增-83.01%; 过往5年营收增37.52%, 利润增42.8%
Income profile:
</v>
      </c>
      <c r="D93" t="s">
        <v>872</v>
      </c>
      <c r="E93" t="s">
        <v>873</v>
      </c>
      <c r="F93">
        <v>6.94</v>
      </c>
      <c r="G93">
        <v>0.57999999999999996</v>
      </c>
      <c r="H93" t="s">
        <v>4427</v>
      </c>
      <c r="I93">
        <v>9653853700</v>
      </c>
      <c r="J93">
        <v>9.6</v>
      </c>
      <c r="K93">
        <v>0.96</v>
      </c>
      <c r="L93" t="s">
        <v>428</v>
      </c>
      <c r="M93" t="s">
        <v>578</v>
      </c>
      <c r="N93" t="s">
        <v>4428</v>
      </c>
      <c r="O93" t="s">
        <v>2903</v>
      </c>
      <c r="P93">
        <v>-10.06</v>
      </c>
      <c r="Q93" t="s">
        <v>4429</v>
      </c>
      <c r="R93">
        <v>210488750</v>
      </c>
      <c r="S93" s="4">
        <v>-0.45279999999999998</v>
      </c>
      <c r="T93" t="s">
        <v>4430</v>
      </c>
      <c r="U93">
        <v>1391045200</v>
      </c>
      <c r="V93">
        <v>1391045200</v>
      </c>
      <c r="W93">
        <v>1.23</v>
      </c>
      <c r="X93">
        <v>0.17</v>
      </c>
      <c r="Y93">
        <v>10.06</v>
      </c>
      <c r="Z93" t="s">
        <v>4431</v>
      </c>
      <c r="AA93" t="s">
        <v>4432</v>
      </c>
      <c r="AB93" t="s">
        <v>4433</v>
      </c>
      <c r="AC93" t="s">
        <v>4434</v>
      </c>
      <c r="AD93" t="s">
        <v>5</v>
      </c>
      <c r="AE93">
        <v>11499705</v>
      </c>
      <c r="AF93" t="s">
        <v>2905</v>
      </c>
      <c r="AG93" t="s">
        <v>4435</v>
      </c>
      <c r="AH93" t="s">
        <v>2906</v>
      </c>
      <c r="AI93" t="s">
        <v>2252</v>
      </c>
      <c r="AJ93" t="s">
        <v>2907</v>
      </c>
      <c r="AK93" t="s">
        <v>5</v>
      </c>
      <c r="AL93" t="s">
        <v>2908</v>
      </c>
      <c r="AM93" t="s">
        <v>5</v>
      </c>
      <c r="AN93" t="s">
        <v>1467</v>
      </c>
      <c r="AO93" t="s">
        <v>1019</v>
      </c>
      <c r="AP93" t="s">
        <v>436</v>
      </c>
      <c r="AQ93" t="s">
        <v>1227</v>
      </c>
      <c r="AR93" t="s">
        <v>5</v>
      </c>
      <c r="AS93" t="s">
        <v>4436</v>
      </c>
      <c r="AT93" t="s">
        <v>37</v>
      </c>
      <c r="AU93" t="s">
        <v>233</v>
      </c>
      <c r="AV93" t="s">
        <v>4437</v>
      </c>
      <c r="AW93" t="s">
        <v>4438</v>
      </c>
      <c r="AX93" t="s">
        <v>1842</v>
      </c>
      <c r="AY93" t="s">
        <v>1843</v>
      </c>
      <c r="AZ93" t="s">
        <v>1382</v>
      </c>
      <c r="BA93" t="s">
        <v>874</v>
      </c>
      <c r="BB93" t="s">
        <v>875</v>
      </c>
      <c r="BC93" t="s">
        <v>2112</v>
      </c>
      <c r="BD93" t="s">
        <v>1640</v>
      </c>
      <c r="BE93" t="s">
        <v>1383</v>
      </c>
      <c r="BF93" t="s">
        <v>876</v>
      </c>
      <c r="BG93" t="s">
        <v>596</v>
      </c>
      <c r="BH93" t="s">
        <v>2904</v>
      </c>
      <c r="BI93" t="s">
        <v>4439</v>
      </c>
      <c r="BJ93" t="s">
        <v>1842</v>
      </c>
      <c r="BK93" t="s">
        <v>1225</v>
      </c>
      <c r="BL93" t="s">
        <v>4440</v>
      </c>
      <c r="BM93" t="s">
        <v>2112</v>
      </c>
      <c r="BN93">
        <v>9.11</v>
      </c>
      <c r="BO93">
        <v>16.36</v>
      </c>
      <c r="BP93">
        <v>20.62</v>
      </c>
      <c r="BQ93">
        <v>9.19</v>
      </c>
      <c r="BR93">
        <v>16.88</v>
      </c>
      <c r="BS93">
        <v>21.38</v>
      </c>
      <c r="BT93" t="s">
        <v>1671</v>
      </c>
      <c r="BU93" t="s">
        <v>1516</v>
      </c>
      <c r="BV93">
        <v>20.010000000000002</v>
      </c>
      <c r="BW93">
        <v>21.77</v>
      </c>
      <c r="BX93">
        <v>28.94</v>
      </c>
      <c r="BY93">
        <v>13.45</v>
      </c>
      <c r="BZ93">
        <v>13.89</v>
      </c>
      <c r="CA93">
        <v>20.190000000000001</v>
      </c>
      <c r="CB93">
        <v>-2.8</v>
      </c>
      <c r="CC93">
        <v>-9.64</v>
      </c>
      <c r="CD93" t="s">
        <v>4441</v>
      </c>
      <c r="CE93" t="s">
        <v>129</v>
      </c>
      <c r="CF93" s="8">
        <v>-0.6190823015294975</v>
      </c>
      <c r="CG93" s="9">
        <v>-0.83011400322841</v>
      </c>
      <c r="CH93" s="8">
        <v>0.98383033275604248</v>
      </c>
      <c r="CI93" s="8">
        <v>0.26908650994300842</v>
      </c>
      <c r="CJ93" s="8">
        <v>0.62787348031997681</v>
      </c>
      <c r="CK93" s="8">
        <v>3.7064641714096069E-2</v>
      </c>
      <c r="CL93" s="8">
        <v>-4.19343002140522E-2</v>
      </c>
      <c r="CM93" s="9">
        <v>1.6904314756393433</v>
      </c>
      <c r="CN93" s="9">
        <v>-0.11657454818487167</v>
      </c>
      <c r="CO93" s="9">
        <v>0.3880368173122406</v>
      </c>
      <c r="CP93" s="9">
        <v>6.2754631042480469E-2</v>
      </c>
      <c r="CQ93" s="9">
        <v>0.11545460671186447</v>
      </c>
      <c r="CR93">
        <v>5.106958402398166</v>
      </c>
      <c r="CS93">
        <v>0.13611872023669597</v>
      </c>
      <c r="CT93">
        <v>2.8818443804034581</v>
      </c>
      <c r="CU93" s="8">
        <v>0.3751841329038143</v>
      </c>
      <c r="CV93" s="9">
        <v>0.42802059650421143</v>
      </c>
      <c r="CW93">
        <v>0.06</v>
      </c>
      <c r="CX93">
        <v>0.25457981644178801</v>
      </c>
      <c r="CY93">
        <v>5581171829.9549141</v>
      </c>
      <c r="CZ93">
        <v>0.3751841329038143</v>
      </c>
      <c r="DA93">
        <v>6.5890062113393447E-2</v>
      </c>
      <c r="DB93">
        <v>21564006079.623707</v>
      </c>
      <c r="DC93">
        <v>0.3564249262586236</v>
      </c>
      <c r="DD93">
        <v>2.3093592134121033E-2</v>
      </c>
      <c r="DE93">
        <v>61525885264.972412</v>
      </c>
      <c r="DF93">
        <v>0.33016203695535656</v>
      </c>
      <c r="DG93">
        <v>9.0961363114337359E-3</v>
      </c>
      <c r="DH93">
        <v>156204090544.90573</v>
      </c>
      <c r="DI93">
        <v>0.30014730632305148</v>
      </c>
      <c r="DJ93">
        <v>1.6528895618302519E-3</v>
      </c>
      <c r="DK93">
        <v>859618048786.44312</v>
      </c>
      <c r="DL93">
        <v>0.26262889303267001</v>
      </c>
      <c r="DM93">
        <v>4302000000</v>
      </c>
      <c r="DN93">
        <v>0.3751841329038143</v>
      </c>
      <c r="DO93">
        <v>1420853700</v>
      </c>
      <c r="DP93">
        <v>1932661199.9999998</v>
      </c>
      <c r="DQ93">
        <v>3058</v>
      </c>
      <c r="DR93">
        <v>-0.99426643443331186</v>
      </c>
      <c r="DS93">
        <v>-1.2581345997326214</v>
      </c>
      <c r="DT93" s="10">
        <v>0.31</v>
      </c>
      <c r="DU93">
        <v>2.6666666666666616E-2</v>
      </c>
      <c r="DV93">
        <v>0.33666666666666661</v>
      </c>
      <c r="DW93">
        <v>-8.2904564315352705</v>
      </c>
      <c r="DX93">
        <v>0.26272964285714318</v>
      </c>
      <c r="DY93">
        <v>-8.0356476141078836</v>
      </c>
      <c r="DZ93">
        <v>920</v>
      </c>
      <c r="EA93">
        <v>-8.0292296483585197</v>
      </c>
      <c r="EB93">
        <v>8</v>
      </c>
      <c r="EC93">
        <v>2.4703942043004787E-2</v>
      </c>
      <c r="ED93">
        <v>0.20128749231153667</v>
      </c>
      <c r="EE93" s="11">
        <v>3.0377000000000001</v>
      </c>
      <c r="EF93">
        <v>3.0205000000000002</v>
      </c>
      <c r="EG93">
        <v>14.122729642857143</v>
      </c>
      <c r="EH93" t="s">
        <v>2072</v>
      </c>
      <c r="EI93">
        <v>0</v>
      </c>
      <c r="EJ93">
        <v>1</v>
      </c>
      <c r="EK93" s="12">
        <v>45470</v>
      </c>
      <c r="EL93">
        <v>-0.56999999999999995</v>
      </c>
      <c r="EM93">
        <v>-4.0199999999999996</v>
      </c>
      <c r="EN93">
        <v>0.96</v>
      </c>
      <c r="EO93">
        <v>3.32</v>
      </c>
      <c r="EP93">
        <v>-1.72</v>
      </c>
    </row>
    <row r="94" spans="1:146" ht="192" x14ac:dyDescent="0.25">
      <c r="A94" s="6"/>
      <c r="B94" s="6"/>
      <c r="C94" s="6" t="str">
        <f>"公司是专注于研发、生产和销售动物营养添加剂的全球行业领军企业，拥有超过80年生产和研发经验，安迪苏产品分为三类：功能性产品（蛋氨酸、维生素、硫酸铵和硫酸钠）、特种产品（包括消化性能类产品-酶制剂、反刍动物添加剂-过瘤胃保护性蛋氨酸、营养健康类产品-有机硒、益生菌等、饲料保鲜类产品、霉菌毒素管理产品、适口性产品和水产产品添加剂）和其他产品（二硫化碳、硫酸和制剂服务等）。"&amp;CHAR(10)&amp;Basic_Fundamental_Information_Constructure(F94)&amp;CHAR(10)&amp;Basic_Fundamental_Information_Concatenate("功能性产品 77.55亿 71.80% 61.84% 25.10%
特种产品 23.75亿 21.99% 34.83% 46.17%
其他产品 6.70亿 6.21% 3.33% 15.63%")</f>
        <v>公司是专注于研发、生产和销售动物营养添加剂的全球行业领军企业，拥有超过80年生产和研发经验，安迪苏产品分为三类：功能性产品（蛋氨酸、维生素、硫酸铵和硫酸钠）、特种产品（包括消化性能类产品-酶制剂、反刍动物添加剂-过瘤胃保护性蛋氨酸、营养健康类产品-有机硒、益生菌等、饲料保鲜类产品、霉菌毒素管理产品、适口性产品和水产产品添加剂）和其他产品（二硫化碳、硫酸和制剂服务等）。
市值259.60804亿, 利润2.09亿; PE79.25; 平均PE25.13; 平均PEG2.69, PB1.72; ROIC8.51%; ROE6.34%; 股利率.6198%; 毛利27.68%; 净利6.9767%; 上一年度营收增-72.22%, 利润增-83.24%; 当季营收增217.82%, 利润增668.24%; 过往5年营收增-9.36%, 利润增-9.25%
Income profile:
功能性产品 77.55亿 71.80% 61.84% 25.10%
特种产品 23.75亿 21.99% 34.83% 46.17%
其他产品 6.70亿 6.21% 3.33% 15.63%</v>
      </c>
      <c r="D94" t="s">
        <v>877</v>
      </c>
      <c r="E94" t="s">
        <v>878</v>
      </c>
      <c r="F94">
        <v>9.68</v>
      </c>
      <c r="G94">
        <v>1.1499999999999999</v>
      </c>
      <c r="H94" t="s">
        <v>4442</v>
      </c>
      <c r="I94">
        <v>25960804000</v>
      </c>
      <c r="J94">
        <v>79.25</v>
      </c>
      <c r="K94">
        <v>1.72</v>
      </c>
      <c r="L94" t="s">
        <v>428</v>
      </c>
      <c r="M94" t="s">
        <v>2910</v>
      </c>
      <c r="N94" t="s">
        <v>4443</v>
      </c>
      <c r="O94" t="s">
        <v>2911</v>
      </c>
      <c r="P94">
        <v>10.9</v>
      </c>
      <c r="Q94" t="s">
        <v>4444</v>
      </c>
      <c r="R94">
        <v>276900090</v>
      </c>
      <c r="S94" s="4">
        <v>185.12</v>
      </c>
      <c r="T94" t="s">
        <v>98</v>
      </c>
      <c r="U94">
        <v>2681901300</v>
      </c>
      <c r="V94">
        <v>2681901300</v>
      </c>
      <c r="W94">
        <v>1.42</v>
      </c>
      <c r="X94">
        <v>0.16</v>
      </c>
      <c r="Y94">
        <v>7.92</v>
      </c>
      <c r="Z94" t="s">
        <v>4445</v>
      </c>
      <c r="AA94" t="s">
        <v>4446</v>
      </c>
      <c r="AB94" t="s">
        <v>102</v>
      </c>
      <c r="AC94" t="s">
        <v>221</v>
      </c>
      <c r="AD94" t="s">
        <v>5</v>
      </c>
      <c r="AE94">
        <v>-675070</v>
      </c>
      <c r="AF94" t="s">
        <v>2914</v>
      </c>
      <c r="AG94" t="s">
        <v>4447</v>
      </c>
      <c r="AH94" t="s">
        <v>2915</v>
      </c>
      <c r="AI94" t="s">
        <v>2268</v>
      </c>
      <c r="AJ94" t="s">
        <v>2916</v>
      </c>
      <c r="AK94" t="s">
        <v>4448</v>
      </c>
      <c r="AL94" t="s">
        <v>2917</v>
      </c>
      <c r="AM94" t="s">
        <v>5</v>
      </c>
      <c r="AN94" t="s">
        <v>1533</v>
      </c>
      <c r="AO94" t="s">
        <v>4449</v>
      </c>
      <c r="AP94" t="s">
        <v>5</v>
      </c>
      <c r="AQ94" t="s">
        <v>1858</v>
      </c>
      <c r="AR94" t="s">
        <v>5</v>
      </c>
      <c r="AS94" t="s">
        <v>4450</v>
      </c>
      <c r="AT94" t="s">
        <v>599</v>
      </c>
      <c r="AU94" t="s">
        <v>1659</v>
      </c>
      <c r="AV94" t="s">
        <v>4451</v>
      </c>
      <c r="AW94" t="s">
        <v>4452</v>
      </c>
      <c r="AX94" t="s">
        <v>1844</v>
      </c>
      <c r="AY94" t="s">
        <v>1568</v>
      </c>
      <c r="AZ94" t="s">
        <v>1384</v>
      </c>
      <c r="BA94" t="s">
        <v>880</v>
      </c>
      <c r="BB94" t="s">
        <v>881</v>
      </c>
      <c r="BC94" t="s">
        <v>1829</v>
      </c>
      <c r="BD94" t="s">
        <v>1137</v>
      </c>
      <c r="BE94" t="s">
        <v>487</v>
      </c>
      <c r="BF94" t="s">
        <v>838</v>
      </c>
      <c r="BG94" t="s">
        <v>357</v>
      </c>
      <c r="BH94" t="s">
        <v>2912</v>
      </c>
      <c r="BI94" t="s">
        <v>596</v>
      </c>
      <c r="BJ94" t="s">
        <v>1844</v>
      </c>
      <c r="BK94" t="s">
        <v>2913</v>
      </c>
      <c r="BL94" t="s">
        <v>4453</v>
      </c>
      <c r="BM94" t="s">
        <v>1829</v>
      </c>
      <c r="BN94" t="s">
        <v>5</v>
      </c>
      <c r="BO94">
        <v>7.65</v>
      </c>
      <c r="BP94">
        <v>9.3699999999999992</v>
      </c>
      <c r="BQ94">
        <v>-0.23</v>
      </c>
      <c r="BR94">
        <v>8.7100000000000009</v>
      </c>
      <c r="BS94">
        <v>10.54</v>
      </c>
      <c r="BT94" t="s">
        <v>1672</v>
      </c>
      <c r="BU94" t="s">
        <v>1534</v>
      </c>
      <c r="BV94">
        <v>21.38</v>
      </c>
      <c r="BW94">
        <v>27.51</v>
      </c>
      <c r="BX94">
        <v>34.15</v>
      </c>
      <c r="BY94">
        <v>0.4</v>
      </c>
      <c r="BZ94">
        <v>8.6</v>
      </c>
      <c r="CA94">
        <v>11.93</v>
      </c>
      <c r="CB94">
        <v>-0.21</v>
      </c>
      <c r="CC94">
        <v>-1.93</v>
      </c>
      <c r="CD94" t="s">
        <v>4454</v>
      </c>
      <c r="CE94" t="s">
        <v>64</v>
      </c>
      <c r="CF94" s="8">
        <v>2.1781818181818182</v>
      </c>
      <c r="CG94" s="9">
        <v>6.6823649690929869</v>
      </c>
      <c r="CH94" s="8">
        <v>-0.72221076488494873</v>
      </c>
      <c r="CI94" s="8">
        <v>0.12899217009544373</v>
      </c>
      <c r="CJ94" s="8">
        <v>8.0520622432231903E-2</v>
      </c>
      <c r="CK94" s="8">
        <v>6.9600366055965424E-2</v>
      </c>
      <c r="CL94" s="8">
        <v>-2.4785498157143593E-2</v>
      </c>
      <c r="CM94" s="9">
        <v>-0.83239775896072388</v>
      </c>
      <c r="CN94" s="9">
        <v>-0.15285322070121765</v>
      </c>
      <c r="CO94" s="9">
        <v>8.875739574432373E-2</v>
      </c>
      <c r="CP94" s="9">
        <v>0.36290323734283447</v>
      </c>
      <c r="CQ94" s="9">
        <v>7.1274295449256897E-2</v>
      </c>
      <c r="CR94">
        <v>25.131465634075507</v>
      </c>
      <c r="CS94">
        <v>2.6856564593376144</v>
      </c>
      <c r="CT94">
        <v>0.6198347107438017</v>
      </c>
      <c r="CU94" s="8">
        <v>-9.3576620891690249E-2</v>
      </c>
      <c r="CV94" s="9">
        <v>-9.2463210225105286E-2</v>
      </c>
      <c r="CW94">
        <v>0.06</v>
      </c>
      <c r="CX94">
        <v>82.692842105263153</v>
      </c>
      <c r="CY94" t="s">
        <v>4455</v>
      </c>
      <c r="CZ94">
        <v>-9.3576620891690249E-2</v>
      </c>
      <c r="DA94">
        <v>27.564280701754384</v>
      </c>
      <c r="DB94" t="s">
        <v>4456</v>
      </c>
      <c r="DC94">
        <v>-8.8897789847105738E-2</v>
      </c>
      <c r="DD94">
        <v>13.782140350877192</v>
      </c>
      <c r="DE94" t="s">
        <v>4457</v>
      </c>
      <c r="DF94">
        <v>-8.2347426384687422E-2</v>
      </c>
      <c r="DG94">
        <v>8.2692842105263153</v>
      </c>
      <c r="DH94" t="s">
        <v>4458</v>
      </c>
      <c r="DI94">
        <v>-7.4861296713352204E-2</v>
      </c>
      <c r="DJ94">
        <v>4.1346421052631577</v>
      </c>
      <c r="DK94" t="s">
        <v>4459</v>
      </c>
      <c r="DL94">
        <v>-6.5503634624183169E-2</v>
      </c>
      <c r="DM94">
        <v>209000000</v>
      </c>
      <c r="DN94">
        <v>-9.3576620891690249E-2</v>
      </c>
      <c r="DO94">
        <v>17282804000</v>
      </c>
      <c r="DP94">
        <v>2160198300.0000005</v>
      </c>
      <c r="DQ94">
        <v>3077</v>
      </c>
      <c r="DR94">
        <v>2.2717584390735084</v>
      </c>
      <c r="DS94">
        <v>6.7748281793180922</v>
      </c>
      <c r="DT94" s="10">
        <v>-0.77333333333333332</v>
      </c>
      <c r="DU94">
        <v>-0.3666666666666667</v>
      </c>
      <c r="DV94">
        <v>-1.1400000000000001</v>
      </c>
      <c r="DW94">
        <v>-1.9299999999999998E-2</v>
      </c>
      <c r="DX94">
        <v>0.37206019417475816</v>
      </c>
      <c r="DY94">
        <v>-3.3207617475728155E-3</v>
      </c>
      <c r="DZ94">
        <v>1533</v>
      </c>
      <c r="EA94">
        <v>-2.3245332233009708E-3</v>
      </c>
      <c r="EB94">
        <v>0</v>
      </c>
      <c r="EC94">
        <v>1.3216146321268423E-2</v>
      </c>
      <c r="ED94">
        <v>7.6811178696248067E-2</v>
      </c>
      <c r="EE94" s="11">
        <v>2.0097999999999998</v>
      </c>
      <c r="EF94">
        <v>2.0012099999999999</v>
      </c>
      <c r="EG94">
        <v>20.172060194174758</v>
      </c>
      <c r="EH94" t="s">
        <v>1706</v>
      </c>
      <c r="EI94">
        <v>0</v>
      </c>
      <c r="EJ94">
        <v>0</v>
      </c>
      <c r="EK94" s="12">
        <v>45470</v>
      </c>
      <c r="EL94">
        <v>-0.1</v>
      </c>
      <c r="EM94">
        <v>-0.52</v>
      </c>
      <c r="EN94">
        <v>0.21</v>
      </c>
      <c r="EO94">
        <v>-1.0900000000000001</v>
      </c>
      <c r="EP94">
        <v>-1.1000000000000001</v>
      </c>
    </row>
    <row r="95" spans="1:146" ht="180" x14ac:dyDescent="0.25">
      <c r="A95" s="6"/>
      <c r="B95" s="6"/>
      <c r="C95" s="6" t="str">
        <f>"公司的主营业务是聚氨酯、石化、新材料及精细化学品的研发、生产和销售。公司主要产品是聚氨酯、石化、精细化学品及新材料。公司脂肪/环族异氰酸酯(ADI)全产业链制造技术还荣获中国石油和化学工业联合会科技进步特等奖,表面材料水性化的关键树脂及应用解决方案获得山东省科技进步一等奖。"&amp;CHAR(10)&amp;Basic_Fundamental_Information_Constructure(F95)&amp;CHAR(10)&amp;Basic_Fundamental_Information_Concatenate("石化系列 614.09亿 42.19% 利润占比27.45% 17.09%
聚氨酯系列 604.92亿 41.56% 利润占比55.51% 35.07%
其他 184.37亿 12.67% 利润占比8.51% 17.63%
精细化学品及新材料系列 154.64亿 10.63% 利润占比8.60% 21.25%")</f>
        <v>公司的主营业务是聚氨酯、石化、新材料及精细化学品的研发、生产和销售。公司主要产品是聚氨酯、石化、精细化学品及新材料。公司脂肪/环族异氰酸酯(ADI)全产业链制造技术还荣获中国石油和化学工业联合会科技进步特等奖,表面材料水性化的关键树脂及应用解决方案获得山东省科技进步一等奖。
市值2546.3345亿, 利润165.58万; PE15.05; 平均PE19.94; 平均PEG4.26, PB2.76; ROIC14.0167%; ROE26.9933%; 股利率2.0037%; 毛利19.8733%; 净利12.6433%; 上一年度营收增-89.9%, 利润增-99.99%; 当季营收增678.56%, 利润增12343.96%; 过往5年营收增4.68%, 利润增-4.89%
Income profile:
石化系列 614.09亿 42.19% 利润占比27.45% 17.09%
聚氨酯系列 604.92亿 41.56% 利润占比55.51% 35.07%
其他 184.37亿 12.67% 利润占比8.51% 17.63%
精细化学品及新材料系列 154.64亿 10.63% 利润占比8.60% 21.25%</v>
      </c>
      <c r="D95" t="s">
        <v>882</v>
      </c>
      <c r="E95" t="s">
        <v>883</v>
      </c>
      <c r="F95">
        <v>81.099999999999994</v>
      </c>
      <c r="G95">
        <v>0.11</v>
      </c>
      <c r="H95" t="s">
        <v>4460</v>
      </c>
      <c r="I95">
        <v>254633450000</v>
      </c>
      <c r="J95">
        <v>15.05</v>
      </c>
      <c r="K95">
        <v>2.76</v>
      </c>
      <c r="L95" t="s">
        <v>428</v>
      </c>
      <c r="M95" t="s">
        <v>2918</v>
      </c>
      <c r="N95" t="s">
        <v>4461</v>
      </c>
      <c r="O95" t="s">
        <v>2919</v>
      </c>
      <c r="P95">
        <v>10.07</v>
      </c>
      <c r="Q95" t="s">
        <v>4462</v>
      </c>
      <c r="R95">
        <v>4157379200</v>
      </c>
      <c r="S95" s="4">
        <v>2.5700000000000001E-2</v>
      </c>
      <c r="T95" t="s">
        <v>4463</v>
      </c>
      <c r="U95">
        <v>3139746600</v>
      </c>
      <c r="V95">
        <v>3139746600</v>
      </c>
      <c r="W95">
        <v>2.82</v>
      </c>
      <c r="X95">
        <v>0.17</v>
      </c>
      <c r="Y95">
        <v>9.89</v>
      </c>
      <c r="Z95" t="s">
        <v>4464</v>
      </c>
      <c r="AA95" t="s">
        <v>4465</v>
      </c>
      <c r="AB95" t="s">
        <v>3741</v>
      </c>
      <c r="AC95" t="s">
        <v>276</v>
      </c>
      <c r="AD95" t="s">
        <v>5</v>
      </c>
      <c r="AE95">
        <v>514784390</v>
      </c>
      <c r="AF95" t="s">
        <v>2922</v>
      </c>
      <c r="AG95" t="s">
        <v>4466</v>
      </c>
      <c r="AH95" t="s">
        <v>2923</v>
      </c>
      <c r="AI95" t="s">
        <v>4467</v>
      </c>
      <c r="AJ95" t="s">
        <v>2924</v>
      </c>
      <c r="AK95" t="s">
        <v>5</v>
      </c>
      <c r="AL95" t="s">
        <v>2925</v>
      </c>
      <c r="AM95" t="s">
        <v>5</v>
      </c>
      <c r="AN95" t="s">
        <v>4468</v>
      </c>
      <c r="AO95" t="s">
        <v>4469</v>
      </c>
      <c r="AP95" t="s">
        <v>4470</v>
      </c>
      <c r="AQ95" t="s">
        <v>4471</v>
      </c>
      <c r="AR95" t="s">
        <v>5</v>
      </c>
      <c r="AS95" t="s">
        <v>4472</v>
      </c>
      <c r="AT95" t="s">
        <v>4473</v>
      </c>
      <c r="AU95" t="s">
        <v>4474</v>
      </c>
      <c r="AV95" t="s">
        <v>4475</v>
      </c>
      <c r="AW95" t="s">
        <v>4476</v>
      </c>
      <c r="AX95" t="s">
        <v>1845</v>
      </c>
      <c r="AY95" t="s">
        <v>1385</v>
      </c>
      <c r="AZ95" t="s">
        <v>1387</v>
      </c>
      <c r="BA95" t="s">
        <v>884</v>
      </c>
      <c r="BB95" t="s">
        <v>885</v>
      </c>
      <c r="BC95" t="s">
        <v>1846</v>
      </c>
      <c r="BD95" t="s">
        <v>1386</v>
      </c>
      <c r="BE95" t="s">
        <v>1388</v>
      </c>
      <c r="BF95" t="s">
        <v>886</v>
      </c>
      <c r="BG95" t="s">
        <v>887</v>
      </c>
      <c r="BH95" t="s">
        <v>2920</v>
      </c>
      <c r="BI95" t="s">
        <v>4477</v>
      </c>
      <c r="BJ95" t="s">
        <v>1845</v>
      </c>
      <c r="BK95" t="s">
        <v>2921</v>
      </c>
      <c r="BL95" t="s">
        <v>4478</v>
      </c>
      <c r="BM95" t="s">
        <v>1846</v>
      </c>
      <c r="BN95">
        <v>8.4499999999999993</v>
      </c>
      <c r="BO95">
        <v>12.42</v>
      </c>
      <c r="BP95">
        <v>21.18</v>
      </c>
      <c r="BQ95">
        <v>15.7</v>
      </c>
      <c r="BR95">
        <v>22.75</v>
      </c>
      <c r="BS95">
        <v>42.53</v>
      </c>
      <c r="BT95" t="s">
        <v>2926</v>
      </c>
      <c r="BU95" t="s">
        <v>1519</v>
      </c>
      <c r="BV95">
        <v>16.79</v>
      </c>
      <c r="BW95">
        <v>16.57</v>
      </c>
      <c r="BX95">
        <v>26.26</v>
      </c>
      <c r="BY95">
        <v>10.44</v>
      </c>
      <c r="BZ95">
        <v>10.29</v>
      </c>
      <c r="CA95">
        <v>17.2</v>
      </c>
      <c r="CB95">
        <v>0.3</v>
      </c>
      <c r="CC95">
        <v>-8.9700000000000006</v>
      </c>
      <c r="CD95" t="s">
        <v>4479</v>
      </c>
      <c r="CE95" t="s">
        <v>337</v>
      </c>
      <c r="CF95" s="8">
        <v>6.7856299544611236</v>
      </c>
      <c r="CG95" s="9">
        <v>123.43964464452479</v>
      </c>
      <c r="CH95" s="8">
        <v>-0.89903658628463745</v>
      </c>
      <c r="CI95" s="8">
        <v>0.1376066654920578</v>
      </c>
      <c r="CJ95" s="8">
        <v>0.98191565275192261</v>
      </c>
      <c r="CK95" s="8">
        <v>7.9087689518928528E-2</v>
      </c>
      <c r="CL95" s="8">
        <v>-6.5708309412002563E-2</v>
      </c>
      <c r="CM95" s="9">
        <v>-0.99989801645278931</v>
      </c>
      <c r="CN95" s="9">
        <v>-0.34139317274093628</v>
      </c>
      <c r="CO95" s="9">
        <v>1.4548352956771851</v>
      </c>
      <c r="CP95" s="9">
        <v>-8.7857786566019058E-3</v>
      </c>
      <c r="CQ95" s="9">
        <v>-0.34922268986701965</v>
      </c>
      <c r="CR95">
        <v>19.939541687638656</v>
      </c>
      <c r="CS95">
        <v>4.2630432370751628</v>
      </c>
      <c r="CT95">
        <v>2.0036991368680641</v>
      </c>
      <c r="CU95" s="8">
        <v>4.6773022413253783E-2</v>
      </c>
      <c r="CV95" s="9">
        <v>-4.8892872408032417E-2</v>
      </c>
      <c r="CW95">
        <v>0.06</v>
      </c>
      <c r="CX95">
        <v>192160.76017937102</v>
      </c>
      <c r="CY95">
        <v>1635138.4627470435</v>
      </c>
      <c r="CZ95">
        <v>4.6773022413253783E-2</v>
      </c>
      <c r="DA95">
        <v>65149.014155610748</v>
      </c>
      <c r="DB95">
        <v>4822934.8375019077</v>
      </c>
      <c r="DC95">
        <v>4.4434371292591091E-2</v>
      </c>
      <c r="DD95">
        <v>33660.102818719759</v>
      </c>
      <c r="DE95">
        <v>9334773.9218804557</v>
      </c>
      <c r="DF95">
        <v>4.1160259723663328E-2</v>
      </c>
      <c r="DG95">
        <v>21321.43876117219</v>
      </c>
      <c r="DH95">
        <v>14736784.58192029</v>
      </c>
      <c r="DI95">
        <v>3.7418417930603028E-2</v>
      </c>
      <c r="DJ95">
        <v>12333.692407178425</v>
      </c>
      <c r="DK95">
        <v>25475700.189922411</v>
      </c>
      <c r="DL95">
        <v>3.2741115689277643E-2</v>
      </c>
      <c r="DM95">
        <v>1655800.0000000002</v>
      </c>
      <c r="DN95">
        <v>4.6773022413253783E-2</v>
      </c>
      <c r="DO95">
        <v>314209450000</v>
      </c>
      <c r="DP95">
        <v>-43733693000</v>
      </c>
      <c r="DQ95">
        <v>3085</v>
      </c>
      <c r="DR95">
        <v>6.7388569320478702</v>
      </c>
      <c r="DS95">
        <v>123.48853751693282</v>
      </c>
      <c r="DT95" s="10">
        <v>-0.50666666666666671</v>
      </c>
      <c r="DU95">
        <v>-0.31666666666666665</v>
      </c>
      <c r="DV95">
        <v>-0.82333333333333336</v>
      </c>
      <c r="DW95">
        <v>-2.0897000000000001</v>
      </c>
      <c r="DX95">
        <v>0.37398656249999984</v>
      </c>
      <c r="DY95">
        <v>-2.0147095946562499</v>
      </c>
      <c r="DZ95">
        <v>2866</v>
      </c>
      <c r="EA95">
        <v>-2.0064595558529597</v>
      </c>
      <c r="EB95">
        <v>2</v>
      </c>
      <c r="EC95">
        <v>1.6713355147832631E-2</v>
      </c>
      <c r="ED95">
        <v>0.10191905295796801</v>
      </c>
      <c r="EE95" s="11">
        <v>1.0900099999999999</v>
      </c>
      <c r="EF95">
        <v>1.10571</v>
      </c>
      <c r="EG95">
        <v>21.1639865625</v>
      </c>
      <c r="EH95" t="s">
        <v>1693</v>
      </c>
      <c r="EI95">
        <v>0</v>
      </c>
      <c r="EJ95">
        <v>0</v>
      </c>
      <c r="EK95" s="12">
        <v>45470</v>
      </c>
      <c r="EL95">
        <v>0.31</v>
      </c>
      <c r="EM95">
        <v>-3.12</v>
      </c>
      <c r="EN95">
        <v>1.93</v>
      </c>
      <c r="EO95">
        <v>2.21</v>
      </c>
      <c r="EP95">
        <v>-1.57</v>
      </c>
    </row>
    <row r="96" spans="1:146" ht="168" x14ac:dyDescent="0.25">
      <c r="A96" s="6"/>
      <c r="B96" s="6" t="s">
        <v>1716</v>
      </c>
      <c r="C96" s="6" t="str">
        <f>"公司的主营业务为化工产品的研发、生产、销售；汽车配件的生产、销售；房地产开发。公司的主要产品包括染料、中间体、助剂、减水剂、无机化学品、汽车配件、房地产。"&amp;CHAR(10)&amp;Basic_Fundamental_Information_Constructure(F96)&amp;CHAR(10)&amp;Basic_Fundamental_Information_Concatenate("染料 86.73亿 40.86% 43.29% 31.91%
房产业务 44.98亿 21.19% 17.04% 24.22%
中间体 39.75亿 18.73% 28.96% 46.57%
无机产品 16.79亿 7.91% 3.56% 13.55%
助剂 9.99亿 4.71% 3.71% 23.70%")</f>
        <v>公司的主营业务为化工产品的研发、生产、销售；汽车配件的生产、销售；房地产开发。公司的主要产品包括染料、中间体、助剂、减水剂、无机化学品、汽车配件、房地产。
市值281.73854亿, 利润9271.32万; PE20.3; 平均PE8.55; 平均PEG.57, PB.851; ROIC5.4633%; ROE8.01%; 股利率2.8868%; 毛利30.01%; 净利16.55%; 上一年度营收增-93.8%, 利润增-96.91%; 当季营收增1262.11%, 利润增983.83%; 过往5年营收增-14.92%, 利润增-24.36%
Income profile:
染料 86.73亿 40.86% 43.29% 31.91%
房产业务 44.98亿 21.19% 17.04% 24.22%
中间体 39.75亿 18.73% 28.96% 46.57%
无机产品 16.79亿 7.91% 3.56% 13.55%
助剂 9.99亿 4.71% 3.71% 23.70%</v>
      </c>
      <c r="D96" t="s">
        <v>888</v>
      </c>
      <c r="E96" t="s">
        <v>889</v>
      </c>
      <c r="F96">
        <v>8.66</v>
      </c>
      <c r="G96">
        <v>0.57999999999999996</v>
      </c>
      <c r="H96" t="s">
        <v>4480</v>
      </c>
      <c r="I96">
        <v>28173854000</v>
      </c>
      <c r="J96">
        <v>20.3</v>
      </c>
      <c r="K96">
        <v>0.85099999999999998</v>
      </c>
      <c r="L96" t="s">
        <v>428</v>
      </c>
      <c r="M96" t="s">
        <v>2927</v>
      </c>
      <c r="N96" t="s">
        <v>4481</v>
      </c>
      <c r="O96" t="s">
        <v>2108</v>
      </c>
      <c r="P96">
        <v>-6.98</v>
      </c>
      <c r="Q96" t="s">
        <v>992</v>
      </c>
      <c r="R96">
        <v>197523990</v>
      </c>
      <c r="S96" s="4">
        <v>-0.42530000000000001</v>
      </c>
      <c r="T96" t="s">
        <v>4482</v>
      </c>
      <c r="U96">
        <v>3253331900</v>
      </c>
      <c r="V96">
        <v>3253331900</v>
      </c>
      <c r="W96">
        <v>2.1</v>
      </c>
      <c r="X96">
        <v>0.05</v>
      </c>
      <c r="Y96">
        <v>7.08</v>
      </c>
      <c r="Z96" t="s">
        <v>4483</v>
      </c>
      <c r="AA96" t="s">
        <v>2366</v>
      </c>
      <c r="AB96" t="s">
        <v>117</v>
      </c>
      <c r="AC96" t="s">
        <v>164</v>
      </c>
      <c r="AD96" t="s">
        <v>5</v>
      </c>
      <c r="AE96">
        <v>91062073</v>
      </c>
      <c r="AF96" t="s">
        <v>2929</v>
      </c>
      <c r="AG96" t="s">
        <v>4484</v>
      </c>
      <c r="AH96" t="s">
        <v>2930</v>
      </c>
      <c r="AI96" t="s">
        <v>4485</v>
      </c>
      <c r="AJ96" t="s">
        <v>2931</v>
      </c>
      <c r="AK96" t="s">
        <v>4486</v>
      </c>
      <c r="AL96" t="s">
        <v>2932</v>
      </c>
      <c r="AM96" t="s">
        <v>5</v>
      </c>
      <c r="AN96" t="s">
        <v>426</v>
      </c>
      <c r="AO96" t="s">
        <v>4487</v>
      </c>
      <c r="AP96" t="s">
        <v>4488</v>
      </c>
      <c r="AQ96" t="s">
        <v>4489</v>
      </c>
      <c r="AR96" t="s">
        <v>40</v>
      </c>
      <c r="AS96" t="s">
        <v>4490</v>
      </c>
      <c r="AT96" t="s">
        <v>4491</v>
      </c>
      <c r="AU96" t="s">
        <v>1766</v>
      </c>
      <c r="AV96" t="s">
        <v>4492</v>
      </c>
      <c r="AW96" t="s">
        <v>4493</v>
      </c>
      <c r="AX96" t="s">
        <v>1847</v>
      </c>
      <c r="AY96" t="s">
        <v>1389</v>
      </c>
      <c r="AZ96" t="s">
        <v>1391</v>
      </c>
      <c r="BA96" t="s">
        <v>890</v>
      </c>
      <c r="BB96" t="s">
        <v>891</v>
      </c>
      <c r="BC96" t="s">
        <v>1848</v>
      </c>
      <c r="BD96" t="s">
        <v>1390</v>
      </c>
      <c r="BE96" t="s">
        <v>1392</v>
      </c>
      <c r="BF96" t="s">
        <v>892</v>
      </c>
      <c r="BG96" t="s">
        <v>893</v>
      </c>
      <c r="BH96" t="s">
        <v>2928</v>
      </c>
      <c r="BI96" t="s">
        <v>120</v>
      </c>
      <c r="BJ96" t="s">
        <v>1847</v>
      </c>
      <c r="BK96" t="s">
        <v>1836</v>
      </c>
      <c r="BL96" t="s">
        <v>4494</v>
      </c>
      <c r="BM96" t="s">
        <v>1848</v>
      </c>
      <c r="BN96">
        <v>1.7</v>
      </c>
      <c r="BO96">
        <v>6.55</v>
      </c>
      <c r="BP96">
        <v>8.14</v>
      </c>
      <c r="BQ96">
        <v>2.78</v>
      </c>
      <c r="BR96">
        <v>9.61</v>
      </c>
      <c r="BS96">
        <v>11.64</v>
      </c>
      <c r="BT96" t="s">
        <v>1678</v>
      </c>
      <c r="BU96" t="s">
        <v>1518</v>
      </c>
      <c r="BV96">
        <v>26.13</v>
      </c>
      <c r="BW96">
        <v>30.11</v>
      </c>
      <c r="BX96">
        <v>33.79</v>
      </c>
      <c r="BY96">
        <v>11.32</v>
      </c>
      <c r="BZ96">
        <v>15.67</v>
      </c>
      <c r="CA96">
        <v>22.66</v>
      </c>
      <c r="CB96">
        <v>0.81</v>
      </c>
      <c r="CC96">
        <v>-1.1399999999999999</v>
      </c>
      <c r="CD96" t="s">
        <v>4495</v>
      </c>
      <c r="CE96" t="s">
        <v>168</v>
      </c>
      <c r="CF96" s="8">
        <v>12.621093749999998</v>
      </c>
      <c r="CG96" s="9">
        <v>9.8382574198752248</v>
      </c>
      <c r="CH96" s="8">
        <v>-0.93795347213745117</v>
      </c>
      <c r="CI96" s="8">
        <v>0.27406966686248779</v>
      </c>
      <c r="CJ96" s="8">
        <v>6.7606508731842041E-2</v>
      </c>
      <c r="CK96" s="8">
        <v>-0.26959982514381409</v>
      </c>
      <c r="CL96" s="8">
        <v>0.11999373137950897</v>
      </c>
      <c r="CM96" s="9">
        <v>-0.96912646293640137</v>
      </c>
      <c r="CN96" s="9">
        <v>-0.10995852202177048</v>
      </c>
      <c r="CO96" s="9">
        <v>-0.1920497715473175</v>
      </c>
      <c r="CP96" s="9">
        <v>-0.16862434148788452</v>
      </c>
      <c r="CQ96" s="9">
        <v>0.22184382379055023</v>
      </c>
      <c r="CR96">
        <v>8.5462879208986706</v>
      </c>
      <c r="CS96">
        <v>0.57289705280715508</v>
      </c>
      <c r="CT96">
        <v>2.8868360277136258</v>
      </c>
      <c r="CU96" s="8">
        <v>-0.1491766780614853</v>
      </c>
      <c r="CV96" s="9">
        <v>-0.24358305484056472</v>
      </c>
      <c r="CW96">
        <v>0.06</v>
      </c>
      <c r="CX96">
        <v>262.76575503811756</v>
      </c>
      <c r="CY96" t="s">
        <v>4496</v>
      </c>
      <c r="CZ96">
        <v>-0.1491766780614853</v>
      </c>
      <c r="DA96">
        <v>87.588585012705849</v>
      </c>
      <c r="DB96" t="s">
        <v>4497</v>
      </c>
      <c r="DC96">
        <v>-0.14171784415841102</v>
      </c>
      <c r="DD96">
        <v>43.794292506352924</v>
      </c>
      <c r="DE96" t="s">
        <v>4498</v>
      </c>
      <c r="DF96">
        <v>-0.13127547669410705</v>
      </c>
      <c r="DG96">
        <v>26.276575503811756</v>
      </c>
      <c r="DH96" t="s">
        <v>4499</v>
      </c>
      <c r="DI96">
        <v>-0.11934134244918825</v>
      </c>
      <c r="DJ96">
        <v>13.138287751905878</v>
      </c>
      <c r="DK96" t="s">
        <v>4500</v>
      </c>
      <c r="DL96">
        <v>-0.1044236746430397</v>
      </c>
      <c r="DM96">
        <v>92713200</v>
      </c>
      <c r="DN96">
        <v>-0.1491766780614853</v>
      </c>
      <c r="DO96">
        <v>24361854000</v>
      </c>
      <c r="DP96">
        <v>29791972000</v>
      </c>
      <c r="DQ96">
        <v>3118</v>
      </c>
      <c r="DR96">
        <v>12.770270428061483</v>
      </c>
      <c r="DS96">
        <v>10.08184047471579</v>
      </c>
      <c r="DT96" s="10">
        <v>-0.73999999999999988</v>
      </c>
      <c r="DU96">
        <v>-0.70333333333333325</v>
      </c>
      <c r="DV96">
        <v>-1.4433333333333331</v>
      </c>
      <c r="DW96">
        <v>-1.1399999999999999E-2</v>
      </c>
      <c r="DX96">
        <v>0.39299887005649836</v>
      </c>
      <c r="DY96">
        <v>-1.6301871186440676E-3</v>
      </c>
      <c r="DZ96">
        <v>1038</v>
      </c>
      <c r="EA96">
        <v>-1.2990453908255661E-3</v>
      </c>
      <c r="EB96">
        <v>0</v>
      </c>
      <c r="EC96">
        <v>1.5559924888081661E-2</v>
      </c>
      <c r="ED96">
        <v>0.10881152334933918</v>
      </c>
      <c r="EE96" s="11">
        <v>-5.0057</v>
      </c>
      <c r="EF96">
        <v>-5.0085100000000002</v>
      </c>
      <c r="EG96">
        <v>25.142998870056498</v>
      </c>
      <c r="EH96" t="s">
        <v>4312</v>
      </c>
      <c r="EI96">
        <v>0</v>
      </c>
      <c r="EJ96">
        <v>1</v>
      </c>
      <c r="EK96" s="12">
        <v>45470</v>
      </c>
      <c r="EL96">
        <v>0.88</v>
      </c>
      <c r="EM96">
        <v>-3.33</v>
      </c>
      <c r="EN96">
        <v>-0.18</v>
      </c>
      <c r="EO96">
        <v>2.54</v>
      </c>
      <c r="EP96">
        <v>-1.42</v>
      </c>
    </row>
    <row r="97" spans="1:148" ht="180" x14ac:dyDescent="0.25">
      <c r="A97" s="6"/>
      <c r="B97" s="6"/>
      <c r="C97" s="6" t="str">
        <f>"公司的主要业务为催化剂、变压吸附气体分离技术及装置、特种气体、有机化工产品、特种阀门、吸附剂等的研制、生产、销售,化工产品开发设计与技术咨询。主要产品有氟材料、特种气体、特种橡塑制品、精细化学品、工程咨询及技术服务。"&amp;CHAR(10)&amp;Basic_Fundamental_Information_Constructure(F97)&amp;CHAR(10)&amp;Basic_Fundamental_Information_Concatenate("航空化工材料 16.86亿 41.71%
高端氟材料 11.44亿 28.31%
工程技术服务 5.59亿 13.84%
电子化学品 3.57亿 8.83%
贸易及其他 3.23亿 7.99% ")</f>
        <v xml:space="preserve">公司的主要业务为催化剂、变压吸附气体分离技术及装置、特种气体、有机化工产品、特种阀门、吸附剂等的研制、生产、销售,化工产品开发设计与技术咨询。主要产品有氟材料、特种气体、特种橡塑制品、精细化学品、工程咨询及技术服务。
市值249.74382亿, 利润7062.92万; PE30.87; 平均PE38.93; 平均PEG1428.8, PB2.88; ROIC10.2833%; ROE12.19%; 股利率1.2628%; 毛利26.04%; 净利12.1733%; 上一年度营收增-85.12%, 利润增-93.94%; 当季营收增348.06%, 利润增1369.65%; 过往5年营收增-.03%, 利润增-.75%
Income profile:
航空化工材料 16.86亿 41.71%
高端氟材料 11.44亿 28.31%
工程技术服务 5.59亿 13.84%
电子化学品 3.57亿 8.83%
贸易及其他 3.23亿 7.99% </v>
      </c>
      <c r="D97" t="s">
        <v>894</v>
      </c>
      <c r="E97" t="s">
        <v>895</v>
      </c>
      <c r="F97">
        <v>27.4</v>
      </c>
      <c r="G97">
        <v>1.86</v>
      </c>
      <c r="H97" t="s">
        <v>4501</v>
      </c>
      <c r="I97">
        <v>24974382000</v>
      </c>
      <c r="J97">
        <v>30.87</v>
      </c>
      <c r="K97">
        <v>2.88</v>
      </c>
      <c r="L97" t="s">
        <v>428</v>
      </c>
      <c r="M97" t="s">
        <v>2933</v>
      </c>
      <c r="N97" t="s">
        <v>4502</v>
      </c>
      <c r="O97" t="s">
        <v>2076</v>
      </c>
      <c r="P97">
        <v>-21.62</v>
      </c>
      <c r="Q97" t="s">
        <v>3205</v>
      </c>
      <c r="R97">
        <v>136987210</v>
      </c>
      <c r="S97" s="4">
        <v>-0.3987</v>
      </c>
      <c r="T97" t="s">
        <v>4503</v>
      </c>
      <c r="U97">
        <v>903946880</v>
      </c>
      <c r="V97">
        <v>911473810</v>
      </c>
      <c r="W97">
        <v>1.8</v>
      </c>
      <c r="X97">
        <v>0.1</v>
      </c>
      <c r="Y97">
        <v>8.5</v>
      </c>
      <c r="Z97" t="s">
        <v>4504</v>
      </c>
      <c r="AA97" t="s">
        <v>1136</v>
      </c>
      <c r="AB97" t="s">
        <v>4505</v>
      </c>
      <c r="AC97" t="s">
        <v>69</v>
      </c>
      <c r="AD97" t="s">
        <v>5</v>
      </c>
      <c r="AE97">
        <v>5074150</v>
      </c>
      <c r="AF97" t="s">
        <v>2935</v>
      </c>
      <c r="AG97" t="s">
        <v>4506</v>
      </c>
      <c r="AH97" t="s">
        <v>2936</v>
      </c>
      <c r="AI97" t="s">
        <v>1207</v>
      </c>
      <c r="AJ97" t="s">
        <v>2937</v>
      </c>
      <c r="AK97" t="s">
        <v>159</v>
      </c>
      <c r="AL97" t="s">
        <v>2938</v>
      </c>
      <c r="AM97" t="s">
        <v>5</v>
      </c>
      <c r="AN97" t="s">
        <v>4507</v>
      </c>
      <c r="AO97" t="s">
        <v>1717</v>
      </c>
      <c r="AP97" t="s">
        <v>1262</v>
      </c>
      <c r="AQ97" t="s">
        <v>4508</v>
      </c>
      <c r="AR97" t="s">
        <v>5</v>
      </c>
      <c r="AS97" t="s">
        <v>4509</v>
      </c>
      <c r="AT97" t="s">
        <v>4510</v>
      </c>
      <c r="AU97" t="s">
        <v>3284</v>
      </c>
      <c r="AV97" t="s">
        <v>4511</v>
      </c>
      <c r="AW97" t="s">
        <v>23</v>
      </c>
      <c r="AX97" t="s">
        <v>1849</v>
      </c>
      <c r="AY97" t="s">
        <v>1393</v>
      </c>
      <c r="AZ97" t="s">
        <v>1357</v>
      </c>
      <c r="BA97" t="s">
        <v>896</v>
      </c>
      <c r="BB97" t="s">
        <v>579</v>
      </c>
      <c r="BC97" t="s">
        <v>1559</v>
      </c>
      <c r="BD97" t="s">
        <v>421</v>
      </c>
      <c r="BE97" t="s">
        <v>427</v>
      </c>
      <c r="BF97" t="s">
        <v>402</v>
      </c>
      <c r="BG97" t="s">
        <v>509</v>
      </c>
      <c r="BH97" t="s">
        <v>2934</v>
      </c>
      <c r="BI97" t="s">
        <v>115</v>
      </c>
      <c r="BJ97" t="s">
        <v>1849</v>
      </c>
      <c r="BK97" t="s">
        <v>766</v>
      </c>
      <c r="BL97" t="s">
        <v>4512</v>
      </c>
      <c r="BM97" t="s">
        <v>1559</v>
      </c>
      <c r="BN97">
        <v>6.56</v>
      </c>
      <c r="BO97">
        <v>12.59</v>
      </c>
      <c r="BP97">
        <v>11.7</v>
      </c>
      <c r="BQ97">
        <v>8.27</v>
      </c>
      <c r="BR97">
        <v>15.16</v>
      </c>
      <c r="BS97">
        <v>13.14</v>
      </c>
      <c r="BT97" t="s">
        <v>2939</v>
      </c>
      <c r="BU97" t="s">
        <v>1522</v>
      </c>
      <c r="BV97">
        <v>26.65</v>
      </c>
      <c r="BW97">
        <v>24.29</v>
      </c>
      <c r="BX97">
        <v>27.18</v>
      </c>
      <c r="BY97">
        <v>11.46</v>
      </c>
      <c r="BZ97">
        <v>12.9</v>
      </c>
      <c r="CA97">
        <v>12.16</v>
      </c>
      <c r="CB97">
        <v>-5.19</v>
      </c>
      <c r="CC97">
        <v>-8.4700000000000006</v>
      </c>
      <c r="CD97" t="s">
        <v>4513</v>
      </c>
      <c r="CE97" t="s">
        <v>4514</v>
      </c>
      <c r="CF97" s="8">
        <v>3.4805555555555556</v>
      </c>
      <c r="CG97" s="9">
        <v>13.696463936659836</v>
      </c>
      <c r="CH97" s="8">
        <v>-0.85123509168624878</v>
      </c>
      <c r="CI97" s="8">
        <v>0.22144399583339691</v>
      </c>
      <c r="CJ97" s="8">
        <v>0.36923640966415405</v>
      </c>
      <c r="CK97" s="8">
        <v>0.10091368854045868</v>
      </c>
      <c r="CL97" s="8">
        <v>0.15827849507331848</v>
      </c>
      <c r="CM97" s="9">
        <v>-0.93937402963638306</v>
      </c>
      <c r="CN97" s="9">
        <v>0.30751955509185791</v>
      </c>
      <c r="CO97" s="9">
        <v>0.375</v>
      </c>
      <c r="CP97" s="9">
        <v>0.18899083137512207</v>
      </c>
      <c r="CQ97" s="9">
        <v>3.0245747417211533E-2</v>
      </c>
      <c r="CR97">
        <v>38.934977679845076</v>
      </c>
      <c r="CS97">
        <v>1428.803820136357</v>
      </c>
      <c r="CT97">
        <v>1.2627737226277373</v>
      </c>
      <c r="CU97" s="8">
        <v>-2.7250051498413087E-4</v>
      </c>
      <c r="CV97" s="9">
        <v>-7.5235791504383084E-3</v>
      </c>
      <c r="CW97">
        <v>0.06</v>
      </c>
      <c r="CX97">
        <v>332.37502336144257</v>
      </c>
      <c r="CY97" t="s">
        <v>4515</v>
      </c>
      <c r="CZ97">
        <v>-2.7250051498413087E-4</v>
      </c>
      <c r="DA97">
        <v>110.7916744538142</v>
      </c>
      <c r="DB97" t="s">
        <v>4516</v>
      </c>
      <c r="DC97">
        <v>-2.5887548923492432E-4</v>
      </c>
      <c r="DD97">
        <v>55.395837226907098</v>
      </c>
      <c r="DE97" t="s">
        <v>4517</v>
      </c>
      <c r="DF97">
        <v>-2.3980045318603517E-4</v>
      </c>
      <c r="DG97">
        <v>33.23750233614426</v>
      </c>
      <c r="DH97" t="s">
        <v>4518</v>
      </c>
      <c r="DI97">
        <v>-2.1800041198730472E-4</v>
      </c>
      <c r="DJ97">
        <v>16.61875116807213</v>
      </c>
      <c r="DK97" t="s">
        <v>4519</v>
      </c>
      <c r="DL97">
        <v>-1.9075036048889159E-4</v>
      </c>
      <c r="DM97">
        <v>70629200</v>
      </c>
      <c r="DN97">
        <v>-2.7250051498413087E-4</v>
      </c>
      <c r="DO97">
        <v>23475382000</v>
      </c>
      <c r="DP97">
        <v>3356002200.0000005</v>
      </c>
      <c r="DQ97">
        <v>3141</v>
      </c>
      <c r="DR97">
        <v>3.4808280560705396</v>
      </c>
      <c r="DS97">
        <v>13.703987515810274</v>
      </c>
      <c r="DT97" s="10">
        <v>-0.39000000000000007</v>
      </c>
      <c r="DU97">
        <v>6.6666666666666652E-2</v>
      </c>
      <c r="DV97">
        <v>-0.32333333333333342</v>
      </c>
      <c r="DW97">
        <v>-8.6127508854781585</v>
      </c>
      <c r="DX97">
        <v>0.51070908964630179</v>
      </c>
      <c r="DY97">
        <v>-8.1474947078234123</v>
      </c>
      <c r="DZ97">
        <v>1646</v>
      </c>
      <c r="EA97">
        <v>-8.0999846708219767</v>
      </c>
      <c r="EB97">
        <v>8</v>
      </c>
      <c r="EC97">
        <v>1.7490903002468059E-2</v>
      </c>
      <c r="ED97">
        <v>7.2664073584297495E-2</v>
      </c>
      <c r="EE97" s="11">
        <v>7.2410000000000002E-2</v>
      </c>
      <c r="EF97">
        <v>6.8409999999999999E-2</v>
      </c>
      <c r="EG97">
        <v>27.240709089646302</v>
      </c>
      <c r="EH97">
        <v>-1</v>
      </c>
      <c r="EI97">
        <v>0</v>
      </c>
      <c r="EJ97">
        <v>0</v>
      </c>
      <c r="EK97" s="12">
        <v>45470</v>
      </c>
      <c r="EL97">
        <v>-0.24</v>
      </c>
      <c r="EM97">
        <v>1.62</v>
      </c>
      <c r="EN97">
        <v>1.04</v>
      </c>
      <c r="EO97">
        <v>-0.63</v>
      </c>
      <c r="EP97">
        <v>0.4</v>
      </c>
    </row>
    <row r="98" spans="1:148" ht="96" x14ac:dyDescent="0.25">
      <c r="A98" s="6"/>
      <c r="B98" s="6"/>
      <c r="C98" s="6" t="str">
        <f>""&amp;CHAR(10)&amp;Basic_Fundamental_Information_Constructure(F98)&amp;CHAR(10)&amp;Basic_Fundamental_Information_Concatenate("")</f>
        <v xml:space="preserve">
市值124.880621亿, 利润7194.20万; PE; 平均PE14.32; 平均PEG1.5, PB.823; ROIC11.14%; ROE8.31%; 股利率0%; 毛利7.8233%; 净利2.41%; 上一年度营收增-95.63%, 利润增-94.51%; 当季营收增2151.36%, 利润增-2252.19%; 过往5年营收增-9.54%, 利润增76.95%
Income profile:
</v>
      </c>
      <c r="D98" t="s">
        <v>899</v>
      </c>
      <c r="E98" t="s">
        <v>900</v>
      </c>
      <c r="F98">
        <v>3.48</v>
      </c>
      <c r="G98">
        <v>0.87</v>
      </c>
      <c r="H98" t="s">
        <v>4520</v>
      </c>
      <c r="I98">
        <v>12488062100</v>
      </c>
      <c r="K98">
        <v>0.82299999999999995</v>
      </c>
      <c r="L98" t="s">
        <v>428</v>
      </c>
      <c r="M98" t="s">
        <v>2943</v>
      </c>
      <c r="N98" t="s">
        <v>4521</v>
      </c>
      <c r="O98" t="s">
        <v>2944</v>
      </c>
      <c r="P98">
        <v>-21.33</v>
      </c>
      <c r="Q98" t="s">
        <v>4522</v>
      </c>
      <c r="R98">
        <v>-285805680</v>
      </c>
      <c r="S98" s="4">
        <v>-3.53</v>
      </c>
      <c r="T98" t="s">
        <v>4523</v>
      </c>
      <c r="U98">
        <v>3586722800</v>
      </c>
      <c r="V98">
        <v>3588523600</v>
      </c>
      <c r="W98">
        <v>2.61</v>
      </c>
      <c r="X98">
        <v>0.21</v>
      </c>
      <c r="Y98">
        <v>-2.5</v>
      </c>
      <c r="Z98" t="s">
        <v>4524</v>
      </c>
      <c r="AA98" t="s">
        <v>4525</v>
      </c>
      <c r="AB98" t="s">
        <v>45</v>
      </c>
      <c r="AC98" t="s">
        <v>403</v>
      </c>
      <c r="AD98" t="s">
        <v>5</v>
      </c>
      <c r="AE98">
        <v>147083080</v>
      </c>
      <c r="AF98" t="s">
        <v>2948</v>
      </c>
      <c r="AG98" t="s">
        <v>4526</v>
      </c>
      <c r="AH98" t="s">
        <v>2949</v>
      </c>
      <c r="AI98" t="s">
        <v>4527</v>
      </c>
      <c r="AJ98" t="s">
        <v>2950</v>
      </c>
      <c r="AK98" t="s">
        <v>79</v>
      </c>
      <c r="AL98" t="s">
        <v>2951</v>
      </c>
      <c r="AM98" t="s">
        <v>5</v>
      </c>
      <c r="AN98" t="s">
        <v>4528</v>
      </c>
      <c r="AO98" t="s">
        <v>4529</v>
      </c>
      <c r="AP98" t="s">
        <v>2107</v>
      </c>
      <c r="AQ98" t="s">
        <v>4530</v>
      </c>
      <c r="AR98" t="s">
        <v>4531</v>
      </c>
      <c r="AS98" t="s">
        <v>4532</v>
      </c>
      <c r="AT98" t="s">
        <v>4533</v>
      </c>
      <c r="AU98" t="s">
        <v>1183</v>
      </c>
      <c r="AV98" t="s">
        <v>4534</v>
      </c>
      <c r="AW98" t="s">
        <v>4535</v>
      </c>
      <c r="AX98" t="s">
        <v>1850</v>
      </c>
      <c r="AY98" t="s">
        <v>1851</v>
      </c>
      <c r="AZ98" t="s">
        <v>1395</v>
      </c>
      <c r="BA98" t="s">
        <v>901</v>
      </c>
      <c r="BB98" t="s">
        <v>902</v>
      </c>
      <c r="BC98" t="s">
        <v>1720</v>
      </c>
      <c r="BD98" t="s">
        <v>1852</v>
      </c>
      <c r="BE98" t="s">
        <v>218</v>
      </c>
      <c r="BF98" t="s">
        <v>201</v>
      </c>
      <c r="BG98" t="s">
        <v>225</v>
      </c>
      <c r="BH98" t="s">
        <v>2945</v>
      </c>
      <c r="BI98" t="s">
        <v>500</v>
      </c>
      <c r="BJ98" t="s">
        <v>1850</v>
      </c>
      <c r="BK98" t="s">
        <v>2946</v>
      </c>
      <c r="BL98" t="s">
        <v>4536</v>
      </c>
      <c r="BM98" t="s">
        <v>1720</v>
      </c>
      <c r="BN98" t="s">
        <v>5</v>
      </c>
      <c r="BO98">
        <v>5.75</v>
      </c>
      <c r="BP98">
        <v>16.53</v>
      </c>
      <c r="BQ98">
        <v>-3.2</v>
      </c>
      <c r="BR98">
        <v>10.36</v>
      </c>
      <c r="BS98">
        <v>17.77</v>
      </c>
      <c r="BT98" t="s">
        <v>1670</v>
      </c>
      <c r="BU98" t="s">
        <v>1516</v>
      </c>
      <c r="BV98">
        <v>4.68</v>
      </c>
      <c r="BW98">
        <v>8.66</v>
      </c>
      <c r="BX98">
        <v>10.130000000000001</v>
      </c>
      <c r="BY98">
        <v>-3.41</v>
      </c>
      <c r="BZ98">
        <v>2.4900000000000002</v>
      </c>
      <c r="CA98">
        <v>8.15</v>
      </c>
      <c r="CB98">
        <v>-0.28999999999999998</v>
      </c>
      <c r="CC98">
        <v>-14.29</v>
      </c>
      <c r="CD98" t="s">
        <v>4537</v>
      </c>
      <c r="CE98" t="s">
        <v>1262</v>
      </c>
      <c r="CF98" s="8">
        <v>21.513565891472869</v>
      </c>
      <c r="CG98" s="9">
        <v>-22.521939657300873</v>
      </c>
      <c r="CH98" s="8">
        <v>-0.95634031295776367</v>
      </c>
      <c r="CI98" s="8">
        <v>8.2530781626701355E-2</v>
      </c>
      <c r="CJ98" s="8">
        <v>0.49148845672607422</v>
      </c>
      <c r="CK98" s="8">
        <v>1.7528101801872253E-2</v>
      </c>
      <c r="CL98" s="8">
        <v>-0.11221374571323395</v>
      </c>
      <c r="CM98" s="9">
        <v>-0.94512432813644409</v>
      </c>
      <c r="CN98" s="9">
        <v>-0.39136484265327454</v>
      </c>
      <c r="CO98" s="9">
        <v>6.0162858963012695</v>
      </c>
      <c r="CP98" s="9">
        <v>-0.35504201054573059</v>
      </c>
      <c r="CQ98" s="9">
        <v>-0.47749724984169006</v>
      </c>
      <c r="CR98">
        <v>14.324068705024832</v>
      </c>
      <c r="CS98">
        <v>1.5014535591424656</v>
      </c>
      <c r="CT98">
        <v>0</v>
      </c>
      <c r="CU98" s="8">
        <v>-9.5401343703269956E-2</v>
      </c>
      <c r="CV98" s="9">
        <v>0.76945149302482607</v>
      </c>
      <c r="CW98">
        <v>0.06</v>
      </c>
      <c r="CX98" t="e">
        <v>#VALUE!</v>
      </c>
      <c r="CY98" t="s">
        <v>1203</v>
      </c>
      <c r="CZ98">
        <v>-9.5401343703269956E-2</v>
      </c>
      <c r="DA98">
        <v>109.18083131782083</v>
      </c>
      <c r="DB98" t="s">
        <v>4538</v>
      </c>
      <c r="DC98">
        <v>-9.0631276518106457E-2</v>
      </c>
      <c r="DD98">
        <v>54.590415658910416</v>
      </c>
      <c r="DE98" t="s">
        <v>4539</v>
      </c>
      <c r="DF98">
        <v>-8.3953182458877562E-2</v>
      </c>
      <c r="DG98">
        <v>32.75424939534625</v>
      </c>
      <c r="DH98" t="s">
        <v>4540</v>
      </c>
      <c r="DI98">
        <v>-7.6321074962615976E-2</v>
      </c>
      <c r="DJ98">
        <v>16.377124697673125</v>
      </c>
      <c r="DK98" t="s">
        <v>4541</v>
      </c>
      <c r="DL98">
        <v>-6.6780940592288965E-2</v>
      </c>
      <c r="DM98">
        <v>71942000</v>
      </c>
      <c r="DN98">
        <v>-9.5401343703269956E-2</v>
      </c>
      <c r="DO98">
        <v>23564062100</v>
      </c>
      <c r="DP98">
        <v>-5046893000</v>
      </c>
      <c r="DQ98">
        <v>3221</v>
      </c>
      <c r="DR98">
        <v>21.608967235176138</v>
      </c>
      <c r="DS98">
        <v>-23.291391150325698</v>
      </c>
      <c r="DT98" s="10">
        <v>-0.64</v>
      </c>
      <c r="DU98">
        <v>-1.2466666666666666</v>
      </c>
      <c r="DV98">
        <v>-1.8866666666666667</v>
      </c>
      <c r="DW98">
        <v>-2.1429</v>
      </c>
      <c r="DX98">
        <v>0.3476116094986817</v>
      </c>
      <c r="DY98">
        <v>-2.0239516989973616</v>
      </c>
      <c r="DZ98">
        <v>776</v>
      </c>
      <c r="EA98">
        <v>-2.0203144155488384</v>
      </c>
      <c r="EB98">
        <v>2</v>
      </c>
      <c r="EC98">
        <v>1.7702210457804984E-2</v>
      </c>
      <c r="ED98">
        <v>0.10561446495712053</v>
      </c>
      <c r="EE98" s="11">
        <v>3.0417000000000001</v>
      </c>
      <c r="EF98">
        <v>3.0346000000000002</v>
      </c>
      <c r="EG98">
        <v>18.167611609498682</v>
      </c>
      <c r="EH98" t="s">
        <v>2072</v>
      </c>
      <c r="EI98">
        <v>0</v>
      </c>
      <c r="EJ98">
        <v>1</v>
      </c>
      <c r="EK98" s="12">
        <v>45470</v>
      </c>
      <c r="EL98">
        <v>-2.2799999999999998</v>
      </c>
      <c r="EM98">
        <v>-3.04</v>
      </c>
      <c r="EN98">
        <v>-1.33</v>
      </c>
      <c r="EO98">
        <v>2.81</v>
      </c>
      <c r="EP98">
        <v>-0.71</v>
      </c>
    </row>
    <row r="99" spans="1:148" ht="156" x14ac:dyDescent="0.25">
      <c r="A99" s="6"/>
      <c r="B99" s="6"/>
      <c r="C99" s="6" t="str">
        <f>"公司主营农药、有机硅材料及精细化工,共100余个产品,主要产品有以除草剂草甘膦为主的农药原药及制剂,以高品质磷酸为主的磷化工系列产品,以及以有机硅单体为主的有机硅系列产品。"&amp;CHAR(10)&amp;Basic_Fundamental_Information_Constructure(F99)&amp;CHAR(10)&amp;Basic_Fundamental_Information_Concatenate("农化自产产品 47.01亿 35.23% 52.16% 40.00%
硅基材料基础产品 27.39亿 20.53% 27.52% 36.22%
农化贸易产品 24.51亿 18.37% 3.53% 5.19%
硅基终端及特种硅烷产品 17.06亿 12.78% 10.15% 21.45%")</f>
        <v>公司主营农药、有机硅材料及精细化工,共100余个产品,主要产品有以除草剂草甘膦为主的农药原药及制剂,以高品质磷酸为主的磷化工系列产品,以及以有机硅单体为主的有机硅系列产品。
市值103.784013亿, 利润9.67亿; PE71.75; 平均PE7.03; 平均PEG.35, PB.814; ROIC16.66%; ROE21.6467%; 股利率1.3004%; 毛利20.8167%; 净利9.7833%; 上一年度营收增21.47%, 利润增-67.28%; 当季营收增-43.8%, 利润增-40.84%; 过往5年营收增20.26%, 利润增52.52%
Income profile:
农化自产产品 47.01亿 35.23% 52.16% 40.00%
硅基材料基础产品 27.39亿 20.53% 27.52% 36.22%
农化贸易产品 24.51亿 18.37% 3.53% 5.19%
硅基终端及特种硅烷产品 17.06亿 12.78% 10.15% 21.45%</v>
      </c>
      <c r="D99" t="s">
        <v>903</v>
      </c>
      <c r="E99" t="s">
        <v>904</v>
      </c>
      <c r="F99">
        <v>7.69</v>
      </c>
      <c r="G99">
        <v>0.92</v>
      </c>
      <c r="H99" t="s">
        <v>4542</v>
      </c>
      <c r="I99">
        <v>10378401300</v>
      </c>
      <c r="J99">
        <v>71.75</v>
      </c>
      <c r="K99">
        <v>0.81399999999999995</v>
      </c>
      <c r="L99" t="s">
        <v>428</v>
      </c>
      <c r="M99" t="s">
        <v>2952</v>
      </c>
      <c r="N99" t="s">
        <v>4543</v>
      </c>
      <c r="O99" t="s">
        <v>2953</v>
      </c>
      <c r="P99">
        <v>2.42</v>
      </c>
      <c r="Q99" t="s">
        <v>4544</v>
      </c>
      <c r="R99">
        <v>110632322</v>
      </c>
      <c r="S99" s="4">
        <v>4.1799999999999997E-2</v>
      </c>
      <c r="T99" t="s">
        <v>673</v>
      </c>
      <c r="U99">
        <v>1292971910</v>
      </c>
      <c r="V99">
        <v>1349597000</v>
      </c>
      <c r="W99">
        <v>1.71</v>
      </c>
      <c r="X99">
        <v>0.17</v>
      </c>
      <c r="Y99">
        <v>2.92</v>
      </c>
      <c r="Z99" t="s">
        <v>4545</v>
      </c>
      <c r="AA99" t="s">
        <v>4546</v>
      </c>
      <c r="AB99" t="s">
        <v>4547</v>
      </c>
      <c r="AC99" t="s">
        <v>212</v>
      </c>
      <c r="AD99" t="s">
        <v>5</v>
      </c>
      <c r="AE99">
        <v>-2570405</v>
      </c>
      <c r="AF99" t="s">
        <v>2955</v>
      </c>
      <c r="AG99" t="s">
        <v>4548</v>
      </c>
      <c r="AH99" t="s">
        <v>2956</v>
      </c>
      <c r="AI99" t="s">
        <v>4549</v>
      </c>
      <c r="AJ99" t="s">
        <v>2957</v>
      </c>
      <c r="AK99" t="s">
        <v>4550</v>
      </c>
      <c r="AL99" t="s">
        <v>2958</v>
      </c>
      <c r="AM99" t="s">
        <v>5</v>
      </c>
      <c r="AN99" t="s">
        <v>2186</v>
      </c>
      <c r="AO99" t="s">
        <v>1835</v>
      </c>
      <c r="AP99" t="s">
        <v>3583</v>
      </c>
      <c r="AQ99" t="s">
        <v>4551</v>
      </c>
      <c r="AR99" t="s">
        <v>4552</v>
      </c>
      <c r="AS99" t="s">
        <v>4553</v>
      </c>
      <c r="AT99" t="s">
        <v>2021</v>
      </c>
      <c r="AU99" t="s">
        <v>3159</v>
      </c>
      <c r="AV99" t="s">
        <v>4554</v>
      </c>
      <c r="AW99" t="s">
        <v>4555</v>
      </c>
      <c r="AX99" t="s">
        <v>1853</v>
      </c>
      <c r="AY99" t="s">
        <v>1396</v>
      </c>
      <c r="AZ99" t="s">
        <v>1397</v>
      </c>
      <c r="BA99" t="s">
        <v>905</v>
      </c>
      <c r="BB99" t="s">
        <v>906</v>
      </c>
      <c r="BC99" t="s">
        <v>1854</v>
      </c>
      <c r="BD99" t="s">
        <v>1241</v>
      </c>
      <c r="BE99" t="s">
        <v>210</v>
      </c>
      <c r="BF99" t="s">
        <v>456</v>
      </c>
      <c r="BG99" t="s">
        <v>422</v>
      </c>
      <c r="BH99" t="s">
        <v>2954</v>
      </c>
      <c r="BI99" t="s">
        <v>4556</v>
      </c>
      <c r="BJ99" t="s">
        <v>1853</v>
      </c>
      <c r="BK99" t="s">
        <v>75</v>
      </c>
      <c r="BL99" t="s">
        <v>148</v>
      </c>
      <c r="BM99" t="s">
        <v>1854</v>
      </c>
      <c r="BN99">
        <v>1.3</v>
      </c>
      <c r="BO99">
        <v>22.61</v>
      </c>
      <c r="BP99">
        <v>26.07</v>
      </c>
      <c r="BQ99">
        <v>1.55</v>
      </c>
      <c r="BR99">
        <v>29.03</v>
      </c>
      <c r="BS99">
        <v>34.36</v>
      </c>
      <c r="BT99" t="s">
        <v>1674</v>
      </c>
      <c r="BU99" t="s">
        <v>1520</v>
      </c>
      <c r="BV99">
        <v>12.54</v>
      </c>
      <c r="BW99">
        <v>24.33</v>
      </c>
      <c r="BX99">
        <v>25.58</v>
      </c>
      <c r="BY99">
        <v>1.19</v>
      </c>
      <c r="BZ99">
        <v>13.87</v>
      </c>
      <c r="CA99">
        <v>14.29</v>
      </c>
      <c r="CB99">
        <v>1.18</v>
      </c>
      <c r="CC99">
        <v>-11.91</v>
      </c>
      <c r="CD99" t="s">
        <v>4557</v>
      </c>
      <c r="CE99" t="s">
        <v>314</v>
      </c>
      <c r="CF99" s="8">
        <v>-0.43798614057417612</v>
      </c>
      <c r="CG99" s="9">
        <v>-0.40838330481283425</v>
      </c>
      <c r="CH99" s="8">
        <v>0.21474111080169678</v>
      </c>
      <c r="CI99" s="8">
        <v>0.14891713857650757</v>
      </c>
      <c r="CJ99" s="8">
        <v>0.51452511548995972</v>
      </c>
      <c r="CK99" s="8">
        <v>4.355790838599205E-2</v>
      </c>
      <c r="CL99" s="8">
        <v>9.1446243226528168E-2</v>
      </c>
      <c r="CM99" s="9">
        <v>-0.67275804281234741</v>
      </c>
      <c r="CN99" s="9">
        <v>0.11341368407011032</v>
      </c>
      <c r="CO99" s="9">
        <v>3.5445208549499512</v>
      </c>
      <c r="CP99" s="9">
        <v>0.26681128144264221</v>
      </c>
      <c r="CQ99" s="9">
        <v>-0.62611514329910278</v>
      </c>
      <c r="CR99">
        <v>7.0330255025976953</v>
      </c>
      <c r="CS99">
        <v>0.34707422802774807</v>
      </c>
      <c r="CT99">
        <v>1.3003901170351104</v>
      </c>
      <c r="CU99" s="8">
        <v>0.20263750329613686</v>
      </c>
      <c r="CV99" s="9">
        <v>0.52517452687025068</v>
      </c>
      <c r="CW99">
        <v>0.06</v>
      </c>
      <c r="CX99">
        <v>3.8613728705511385</v>
      </c>
      <c r="CY99">
        <v>1097123080.8371363</v>
      </c>
      <c r="CZ99">
        <v>0.20263750329613686</v>
      </c>
      <c r="DA99">
        <v>1.1485081365303409</v>
      </c>
      <c r="DB99">
        <v>3688612353.0637136</v>
      </c>
      <c r="DC99">
        <v>0.19250562813133001</v>
      </c>
      <c r="DD99">
        <v>0.49602003068259376</v>
      </c>
      <c r="DE99">
        <v>8540786738.3301315</v>
      </c>
      <c r="DF99">
        <v>0.17832100290060043</v>
      </c>
      <c r="DG99">
        <v>0.25518019148261684</v>
      </c>
      <c r="DH99">
        <v>16601607183.481522</v>
      </c>
      <c r="DI99">
        <v>0.1621100026369095</v>
      </c>
      <c r="DJ99">
        <v>9.1652338298819747E-2</v>
      </c>
      <c r="DK99">
        <v>46222511925.312836</v>
      </c>
      <c r="DL99">
        <v>0.14184625230729581</v>
      </c>
      <c r="DM99">
        <v>967000000</v>
      </c>
      <c r="DN99">
        <v>0.20263750329613686</v>
      </c>
      <c r="DO99">
        <v>4236401300.0000019</v>
      </c>
      <c r="DP99">
        <v>4100056700</v>
      </c>
      <c r="DQ99">
        <v>3303</v>
      </c>
      <c r="DR99">
        <v>-0.64062364387031301</v>
      </c>
      <c r="DS99">
        <v>-0.93355783168308493</v>
      </c>
      <c r="DT99" s="10">
        <v>-0.14000000000000001</v>
      </c>
      <c r="DU99">
        <v>-0.27</v>
      </c>
      <c r="DV99">
        <v>-0.41000000000000003</v>
      </c>
      <c r="DW99">
        <v>-2.1191</v>
      </c>
      <c r="DX99">
        <v>0.29411768953068546</v>
      </c>
      <c r="DY99">
        <v>-2.0124004168231049</v>
      </c>
      <c r="DZ99">
        <v>2527</v>
      </c>
      <c r="EA99">
        <v>-2.0062681559009943</v>
      </c>
      <c r="EB99">
        <v>2</v>
      </c>
      <c r="EC99">
        <v>2.1369786684469511E-2</v>
      </c>
      <c r="ED99">
        <v>0.20524645505287875</v>
      </c>
      <c r="EE99" s="11">
        <v>1.0448999999999999</v>
      </c>
      <c r="EF99">
        <v>1.0096000000000001</v>
      </c>
      <c r="EG99">
        <v>19.104117689530685</v>
      </c>
      <c r="EH99" t="s">
        <v>1178</v>
      </c>
      <c r="EI99">
        <v>0</v>
      </c>
      <c r="EJ99">
        <v>0</v>
      </c>
      <c r="EK99" s="12">
        <v>45470</v>
      </c>
      <c r="EL99">
        <v>-0.37</v>
      </c>
      <c r="EM99">
        <v>-4.78</v>
      </c>
      <c r="EN99">
        <v>-1.54</v>
      </c>
      <c r="EO99">
        <v>0</v>
      </c>
      <c r="EP99">
        <v>-3.53</v>
      </c>
    </row>
    <row r="100" spans="1:148" ht="96" x14ac:dyDescent="0.25">
      <c r="A100" s="6"/>
      <c r="B100" s="6"/>
      <c r="C100" s="6" t="str">
        <f>""&amp;CHAR(10)&amp;Basic_Fundamental_Information_Constructure(F100)&amp;CHAR(10)&amp;Basic_Fundamental_Information_Concatenate("")</f>
        <v xml:space="preserve">
市值34.357904亿, 利润3.95亿; PE22.84; 平均PE15.27; 平均PEG.18, PB1.13; ROIC6.8567%; ROE5.24%; 股利率1.5385%; 毛利13.73%; 净利5.65%; 上一年度营收增27.15%, 利润增547.33%; 当季营收增41.36%, 利润增-96.26%; 过往5年营收增83.26%, 利润增136.93%
Income profile:
</v>
      </c>
      <c r="D100" t="s">
        <v>907</v>
      </c>
      <c r="E100" t="s">
        <v>908</v>
      </c>
      <c r="F100">
        <v>6.5</v>
      </c>
      <c r="G100">
        <v>1.0900000000000001</v>
      </c>
      <c r="H100" t="s">
        <v>4558</v>
      </c>
      <c r="I100">
        <v>3435790400</v>
      </c>
      <c r="J100">
        <v>22.84</v>
      </c>
      <c r="K100">
        <v>1.1299999999999999</v>
      </c>
      <c r="L100" t="s">
        <v>428</v>
      </c>
      <c r="M100" t="s">
        <v>2960</v>
      </c>
      <c r="N100" t="s">
        <v>536</v>
      </c>
      <c r="O100" t="s">
        <v>2678</v>
      </c>
      <c r="P100">
        <v>39.08</v>
      </c>
      <c r="Q100" t="s">
        <v>4559</v>
      </c>
      <c r="R100">
        <v>50541439</v>
      </c>
      <c r="S100" s="4">
        <v>31.31</v>
      </c>
      <c r="T100" t="s">
        <v>263</v>
      </c>
      <c r="U100">
        <v>528523140</v>
      </c>
      <c r="V100">
        <v>528583140</v>
      </c>
      <c r="W100">
        <v>2.57</v>
      </c>
      <c r="X100">
        <v>0.18</v>
      </c>
      <c r="Y100">
        <v>4.2699999999999996</v>
      </c>
      <c r="Z100" t="s">
        <v>3611</v>
      </c>
      <c r="AA100" t="s">
        <v>1128</v>
      </c>
      <c r="AB100" t="s">
        <v>4560</v>
      </c>
      <c r="AC100" t="s">
        <v>4561</v>
      </c>
      <c r="AD100" t="s">
        <v>5</v>
      </c>
      <c r="AE100">
        <v>11811694</v>
      </c>
      <c r="AF100" t="s">
        <v>32</v>
      </c>
      <c r="AG100" t="s">
        <v>4562</v>
      </c>
      <c r="AH100" t="s">
        <v>2962</v>
      </c>
      <c r="AI100" t="s">
        <v>4563</v>
      </c>
      <c r="AJ100" t="s">
        <v>2963</v>
      </c>
      <c r="AK100" t="s">
        <v>4564</v>
      </c>
      <c r="AL100" t="s">
        <v>2964</v>
      </c>
      <c r="AM100" t="s">
        <v>5</v>
      </c>
      <c r="AN100" t="s">
        <v>439</v>
      </c>
      <c r="AO100" t="s">
        <v>4565</v>
      </c>
      <c r="AP100" t="s">
        <v>518</v>
      </c>
      <c r="AQ100" t="s">
        <v>2064</v>
      </c>
      <c r="AR100" t="s">
        <v>4566</v>
      </c>
      <c r="AS100" t="s">
        <v>4567</v>
      </c>
      <c r="AT100" t="s">
        <v>5</v>
      </c>
      <c r="AU100" t="s">
        <v>4568</v>
      </c>
      <c r="AV100" t="s">
        <v>4569</v>
      </c>
      <c r="AW100" t="s">
        <v>1312</v>
      </c>
      <c r="AX100" t="s">
        <v>1855</v>
      </c>
      <c r="AY100" t="s">
        <v>1398</v>
      </c>
      <c r="AZ100" t="s">
        <v>1399</v>
      </c>
      <c r="BA100" t="s">
        <v>910</v>
      </c>
      <c r="BB100" t="s">
        <v>215</v>
      </c>
      <c r="BC100" t="s">
        <v>1856</v>
      </c>
      <c r="BD100" t="s">
        <v>138</v>
      </c>
      <c r="BE100" t="s">
        <v>146</v>
      </c>
      <c r="BF100" t="s">
        <v>135</v>
      </c>
      <c r="BG100" t="s">
        <v>911</v>
      </c>
      <c r="BH100" t="s">
        <v>2961</v>
      </c>
      <c r="BI100" t="s">
        <v>3132</v>
      </c>
      <c r="BJ100" t="s">
        <v>1855</v>
      </c>
      <c r="BK100" t="s">
        <v>103</v>
      </c>
      <c r="BL100" t="s">
        <v>4570</v>
      </c>
      <c r="BM100" t="s">
        <v>1856</v>
      </c>
      <c r="BN100">
        <v>2.3199999999999998</v>
      </c>
      <c r="BO100">
        <v>0.63</v>
      </c>
      <c r="BP100">
        <v>17.62</v>
      </c>
      <c r="BQ100">
        <v>1.35</v>
      </c>
      <c r="BR100">
        <v>-2.99</v>
      </c>
      <c r="BS100">
        <v>17.36</v>
      </c>
      <c r="BT100" t="s">
        <v>1674</v>
      </c>
      <c r="BU100" t="s">
        <v>1516</v>
      </c>
      <c r="BV100">
        <v>7.96</v>
      </c>
      <c r="BW100">
        <v>11.63</v>
      </c>
      <c r="BX100">
        <v>21.6</v>
      </c>
      <c r="BY100">
        <v>3.15</v>
      </c>
      <c r="BZ100">
        <v>0.52</v>
      </c>
      <c r="CA100">
        <v>13.28</v>
      </c>
      <c r="CB100">
        <v>3.17</v>
      </c>
      <c r="CC100">
        <v>-10.84</v>
      </c>
      <c r="CD100" t="s">
        <v>4571</v>
      </c>
      <c r="CE100" t="s">
        <v>2169</v>
      </c>
      <c r="CF100" s="8">
        <v>0.41360294117647056</v>
      </c>
      <c r="CG100" s="9">
        <v>-0.96256189703703698</v>
      </c>
      <c r="CH100" s="8">
        <v>0.27153939008712769</v>
      </c>
      <c r="CI100" s="8">
        <v>8.0997586250305176E-2</v>
      </c>
      <c r="CJ100" s="8">
        <v>0.54588866233825684</v>
      </c>
      <c r="CK100" s="8">
        <v>5.9269964694976807E-2</v>
      </c>
      <c r="CL100" s="8">
        <v>3.205167293548584</v>
      </c>
      <c r="CM100" s="9">
        <v>5.4732747077941895</v>
      </c>
      <c r="CN100" s="9">
        <v>-1.1791119575500488</v>
      </c>
      <c r="CO100" s="9">
        <v>1.1341991424560547</v>
      </c>
      <c r="CP100" s="9">
        <v>2.6666667312383652E-2</v>
      </c>
      <c r="CQ100" s="9">
        <v>1.3917138576507568</v>
      </c>
      <c r="CR100">
        <v>15.272752165809264</v>
      </c>
      <c r="CS100">
        <v>0.18344048968213617</v>
      </c>
      <c r="CT100">
        <v>1.5384615384615385</v>
      </c>
      <c r="CU100" s="8">
        <v>0.8325725793838501</v>
      </c>
      <c r="CV100" s="9">
        <v>1.3693484835326672</v>
      </c>
      <c r="CW100">
        <v>0.06</v>
      </c>
      <c r="CX100">
        <v>7.7110080069311797</v>
      </c>
      <c r="CY100">
        <v>682892612.12888753</v>
      </c>
      <c r="CZ100">
        <v>0.8325725793838501</v>
      </c>
      <c r="DA100">
        <v>1.4231485058491931</v>
      </c>
      <c r="DB100">
        <v>3700099025.7569089</v>
      </c>
      <c r="DC100">
        <v>0.79094395041465759</v>
      </c>
      <c r="DD100">
        <v>0.28634297661172087</v>
      </c>
      <c r="DE100">
        <v>18389801147.944256</v>
      </c>
      <c r="DF100">
        <v>0.73266386985778809</v>
      </c>
      <c r="DG100">
        <v>5.3283620951108938E-2</v>
      </c>
      <c r="DH100">
        <v>98825686130.296829</v>
      </c>
      <c r="DI100">
        <v>0.66605806350708008</v>
      </c>
      <c r="DJ100">
        <v>1.450479341778497E-3</v>
      </c>
      <c r="DK100">
        <v>3630379453418.0552</v>
      </c>
      <c r="DL100">
        <v>0.58280080556869507</v>
      </c>
      <c r="DM100">
        <v>395000000</v>
      </c>
      <c r="DN100">
        <v>0.8325725793838501</v>
      </c>
      <c r="DO100">
        <v>5265790400</v>
      </c>
      <c r="DP100">
        <v>-722995300</v>
      </c>
      <c r="DQ100">
        <v>3411</v>
      </c>
      <c r="DR100">
        <v>-0.41896963820737954</v>
      </c>
      <c r="DS100">
        <v>-2.3319103805697043</v>
      </c>
      <c r="DT100" s="10">
        <v>0.39000000000000007</v>
      </c>
      <c r="DU100">
        <v>-0.39000000000000007</v>
      </c>
      <c r="DV100">
        <v>0</v>
      </c>
      <c r="DW100">
        <v>6.2262669521770162</v>
      </c>
      <c r="DX100">
        <v>0.27831569965870273</v>
      </c>
      <c r="DY100">
        <v>6.0335589413217763</v>
      </c>
      <c r="DZ100">
        <v>3352</v>
      </c>
      <c r="EA100">
        <v>6.0115453265838905</v>
      </c>
      <c r="EB100">
        <v>6</v>
      </c>
      <c r="EC100">
        <v>0.16442635684520698</v>
      </c>
      <c r="ED100">
        <v>1.1086240851344595</v>
      </c>
      <c r="EE100" s="11">
        <v>-1.0375099999999999</v>
      </c>
      <c r="EF100">
        <v>-1.05731</v>
      </c>
      <c r="EG100">
        <v>13.148315699658703</v>
      </c>
      <c r="EH100" t="s">
        <v>1691</v>
      </c>
      <c r="EI100">
        <v>0</v>
      </c>
      <c r="EJ100">
        <v>0</v>
      </c>
      <c r="EK100" s="12">
        <v>45470</v>
      </c>
      <c r="EL100">
        <v>0.98</v>
      </c>
      <c r="EM100">
        <v>-3.38</v>
      </c>
      <c r="EN100">
        <v>0</v>
      </c>
      <c r="EO100">
        <v>1</v>
      </c>
      <c r="EP100">
        <v>-1.98</v>
      </c>
    </row>
    <row r="101" spans="1:148" ht="86" customHeight="1" x14ac:dyDescent="0.25">
      <c r="A101" s="6"/>
      <c r="B101" s="6"/>
      <c r="C101" s="6" t="str">
        <f>""&amp;CHAR(10)&amp;Basic_Fundamental_Information_Constructure(F101)&amp;CHAR(10)&amp;Basic_Fundamental_Information_Concatenate("")</f>
        <v xml:space="preserve">
市值92.710172亿, 利润11.68亿; PE11.46; 平均PE24.51; 平均PEG.23, PB1.18; ROIC6.18%; ROE8.7933%; 股利率6.81%; 毛利18.8333%; 净利6.4467%; 上一年度营收增-82.41%, 利润增92.11%; 当季营收增531.58%, 利润增.59%; 过往5年营收增108.08%, 利润增129.65%
Income profile:
</v>
      </c>
      <c r="D101" t="s">
        <v>913</v>
      </c>
      <c r="E101" t="s">
        <v>914</v>
      </c>
      <c r="F101">
        <v>5.58</v>
      </c>
      <c r="G101">
        <v>2.0099999999999998</v>
      </c>
      <c r="H101" t="s">
        <v>4572</v>
      </c>
      <c r="I101">
        <v>9271017200</v>
      </c>
      <c r="J101">
        <v>11.46</v>
      </c>
      <c r="K101">
        <v>1.18</v>
      </c>
      <c r="L101" t="s">
        <v>428</v>
      </c>
      <c r="M101" t="s">
        <v>2966</v>
      </c>
      <c r="N101" t="s">
        <v>4573</v>
      </c>
      <c r="O101" t="s">
        <v>2967</v>
      </c>
      <c r="P101">
        <v>0.87</v>
      </c>
      <c r="Q101" t="s">
        <v>2226</v>
      </c>
      <c r="R101">
        <v>251484280</v>
      </c>
      <c r="S101" s="4">
        <v>1.087</v>
      </c>
      <c r="T101" t="s">
        <v>2315</v>
      </c>
      <c r="U101">
        <v>1109373960</v>
      </c>
      <c r="V101">
        <v>1661472600</v>
      </c>
      <c r="W101">
        <v>1.85</v>
      </c>
      <c r="X101">
        <v>0.28999999999999998</v>
      </c>
      <c r="Y101">
        <v>6.04</v>
      </c>
      <c r="Z101" t="s">
        <v>4574</v>
      </c>
      <c r="AA101" t="s">
        <v>4575</v>
      </c>
      <c r="AB101" t="s">
        <v>4576</v>
      </c>
      <c r="AC101" t="s">
        <v>184</v>
      </c>
      <c r="AD101" t="s">
        <v>5</v>
      </c>
      <c r="AE101">
        <v>19229753</v>
      </c>
      <c r="AF101" t="s">
        <v>2969</v>
      </c>
      <c r="AG101" t="s">
        <v>4577</v>
      </c>
      <c r="AH101" t="s">
        <v>2970</v>
      </c>
      <c r="AI101" t="s">
        <v>1214</v>
      </c>
      <c r="AJ101" t="s">
        <v>2971</v>
      </c>
      <c r="AK101" t="s">
        <v>358</v>
      </c>
      <c r="AL101" t="s">
        <v>2972</v>
      </c>
      <c r="AM101" t="s">
        <v>5</v>
      </c>
      <c r="AN101" t="s">
        <v>108</v>
      </c>
      <c r="AO101" t="s">
        <v>3005</v>
      </c>
      <c r="AP101" t="s">
        <v>28</v>
      </c>
      <c r="AQ101" t="s">
        <v>2043</v>
      </c>
      <c r="AR101" t="s">
        <v>5</v>
      </c>
      <c r="AS101" t="s">
        <v>4578</v>
      </c>
      <c r="AT101" t="s">
        <v>4579</v>
      </c>
      <c r="AU101" t="s">
        <v>4580</v>
      </c>
      <c r="AV101" t="s">
        <v>4581</v>
      </c>
      <c r="AW101" t="s">
        <v>4582</v>
      </c>
      <c r="AX101" t="s">
        <v>1857</v>
      </c>
      <c r="AY101" t="s">
        <v>1859</v>
      </c>
      <c r="AZ101" t="s">
        <v>915</v>
      </c>
      <c r="BA101" t="s">
        <v>748</v>
      </c>
      <c r="BB101" t="s">
        <v>916</v>
      </c>
      <c r="BC101" t="s">
        <v>72</v>
      </c>
      <c r="BD101" t="s">
        <v>179</v>
      </c>
      <c r="BE101" t="s">
        <v>63</v>
      </c>
      <c r="BF101" t="s">
        <v>184</v>
      </c>
      <c r="BG101" t="s">
        <v>917</v>
      </c>
      <c r="BH101" t="s">
        <v>2968</v>
      </c>
      <c r="BI101" t="s">
        <v>1660</v>
      </c>
      <c r="BJ101" t="s">
        <v>1857</v>
      </c>
      <c r="BK101" t="s">
        <v>1624</v>
      </c>
      <c r="BL101" t="s">
        <v>57</v>
      </c>
      <c r="BM101" t="s">
        <v>72</v>
      </c>
      <c r="BN101">
        <v>5.23</v>
      </c>
      <c r="BO101">
        <v>11.6</v>
      </c>
      <c r="BP101">
        <v>1.71</v>
      </c>
      <c r="BQ101">
        <v>6.74</v>
      </c>
      <c r="BR101">
        <v>13.46</v>
      </c>
      <c r="BS101">
        <v>6.18</v>
      </c>
      <c r="BT101" t="s">
        <v>1683</v>
      </c>
      <c r="BU101" t="s">
        <v>1534</v>
      </c>
      <c r="BV101">
        <v>14.05</v>
      </c>
      <c r="BW101">
        <v>17.649999999999999</v>
      </c>
      <c r="BX101">
        <v>24.8</v>
      </c>
      <c r="BY101">
        <v>3.95</v>
      </c>
      <c r="BZ101">
        <v>6.77</v>
      </c>
      <c r="CA101">
        <v>8.6199999999999992</v>
      </c>
      <c r="CB101">
        <v>1.0900000000000001</v>
      </c>
      <c r="CC101">
        <v>-15.33</v>
      </c>
      <c r="CD101" t="s">
        <v>76</v>
      </c>
      <c r="CE101" t="s">
        <v>763</v>
      </c>
      <c r="CF101" s="8">
        <v>5.3157894736842106</v>
      </c>
      <c r="CG101" s="9">
        <v>5.9371199999999997E-3</v>
      </c>
      <c r="CH101" s="8">
        <v>-0.82414501905441284</v>
      </c>
      <c r="CI101" s="8">
        <v>3.2952589988708496</v>
      </c>
      <c r="CJ101" s="8">
        <v>2.6478495597839355</v>
      </c>
      <c r="CK101" s="8">
        <v>6.2857143580913544E-2</v>
      </c>
      <c r="CL101" s="8">
        <v>0.2223515659570694</v>
      </c>
      <c r="CM101" s="9">
        <v>0.92105263471603394</v>
      </c>
      <c r="CN101" s="9">
        <v>3</v>
      </c>
      <c r="CO101" s="9">
        <v>2.0134227350354195E-2</v>
      </c>
      <c r="CP101" s="9">
        <v>-6.6666668280959129E-3</v>
      </c>
      <c r="CQ101" s="9">
        <v>2.5477514266967773</v>
      </c>
      <c r="CR101">
        <v>24.512662979535847</v>
      </c>
      <c r="CS101">
        <v>0.22679387193333969</v>
      </c>
      <c r="CT101">
        <v>6.8100358422939067</v>
      </c>
      <c r="CU101" s="8">
        <v>1.080834449827671</v>
      </c>
      <c r="CV101" s="9">
        <v>1.2964543243870139</v>
      </c>
      <c r="CW101">
        <v>0.06</v>
      </c>
      <c r="CX101">
        <v>3.5157285923629051</v>
      </c>
      <c r="CY101">
        <v>2292843997.5459619</v>
      </c>
      <c r="CZ101">
        <v>1.080834449827671</v>
      </c>
      <c r="DA101">
        <v>0.54954774596972233</v>
      </c>
      <c r="DB101">
        <v>14668456488.299614</v>
      </c>
      <c r="DC101">
        <v>1.0267927273362873</v>
      </c>
      <c r="DD101">
        <v>8.3181589671646988E-2</v>
      </c>
      <c r="DE101">
        <v>96908669716.703598</v>
      </c>
      <c r="DF101">
        <v>0.9511343158483504</v>
      </c>
      <c r="DG101">
        <v>1.0532701326392415E-2</v>
      </c>
      <c r="DH101">
        <v>765332363484.09802</v>
      </c>
      <c r="DI101">
        <v>0.86466755986213684</v>
      </c>
      <c r="DJ101">
        <v>1.1220383730446222E-4</v>
      </c>
      <c r="DK101">
        <v>71842616025035.203</v>
      </c>
      <c r="DL101">
        <v>0.75658411487936961</v>
      </c>
      <c r="DM101">
        <v>1168000000</v>
      </c>
      <c r="DN101">
        <v>1.080834449827671</v>
      </c>
      <c r="DO101">
        <v>8061017200.000001</v>
      </c>
      <c r="DP101">
        <v>540463500</v>
      </c>
      <c r="DQ101">
        <v>3531</v>
      </c>
      <c r="DR101">
        <v>4.2349550238565392</v>
      </c>
      <c r="DS101">
        <v>-1.2905172043870139</v>
      </c>
      <c r="DT101" s="10">
        <v>6.6666666666665257E-3</v>
      </c>
      <c r="DU101">
        <v>1.2533333333333332</v>
      </c>
      <c r="DV101">
        <v>1.2599999999999998</v>
      </c>
      <c r="DW101">
        <v>-2.1532999999999998</v>
      </c>
      <c r="DX101">
        <v>0.28618279569892408</v>
      </c>
      <c r="DY101">
        <v>-2.016277822580645</v>
      </c>
      <c r="DZ101">
        <v>3353</v>
      </c>
      <c r="EA101">
        <v>-2.0055968951612901</v>
      </c>
      <c r="EB101">
        <v>2</v>
      </c>
      <c r="EC101">
        <v>9.5096362106723883E-2</v>
      </c>
      <c r="ED101">
        <v>0.89559105578990594</v>
      </c>
      <c r="EE101" s="11">
        <v>-1.0518000000000001</v>
      </c>
      <c r="EF101">
        <v>-1.0457000000000001</v>
      </c>
      <c r="EG101">
        <v>18.106182795698924</v>
      </c>
      <c r="EH101" t="s">
        <v>1692</v>
      </c>
      <c r="EI101">
        <v>0</v>
      </c>
      <c r="EJ101">
        <v>0</v>
      </c>
      <c r="EK101" s="12">
        <v>45470</v>
      </c>
      <c r="EL101">
        <v>0.45</v>
      </c>
      <c r="EM101">
        <v>-4.22</v>
      </c>
      <c r="EN101">
        <v>1.57</v>
      </c>
      <c r="EO101">
        <v>2.3199999999999998</v>
      </c>
      <c r="EP101">
        <v>-0.61</v>
      </c>
    </row>
    <row r="102" spans="1:148" ht="192" x14ac:dyDescent="0.25">
      <c r="A102" s="6" t="s">
        <v>1697</v>
      </c>
      <c r="B102" s="6"/>
      <c r="C102" s="6" t="str">
        <f>"公司主要从事氨基酸系列产品研发、生产及销售的公司。公司的主要产品有动物营养氨基酸类产品：赖氨酸、苏氨酸、色氨酸、饲料级缬氨酸、味精渣，淀粉附产品饲料纤维、玉米胚芽、菌体蛋白等"&amp;CHAR(10)&amp;Basic_Fundamental_Information_Constructure(F102)&amp;CHAR(10)&amp;Basic_Fundamental_Information_Concatenate("饲料氨基酸(赖氨酸、苏氨酸、色氨酸等) 78.95亿 37.92%
鲜味剂(谷氨酸钠、核苷酸) 69.37亿 33.32%
大原料副产品(肥料、蛋白粉、胚芽、玉米皮粉、饲料纤维等) 37.75亿 18.13%
其他(黄原胶、海藻糖等) 18.03亿 8.66%
医药氨基酸(谷氨酰胺、脯氨酸、亮氨酸、异亮氨酸、腺苷等) 4.11亿 1.97%")</f>
        <v>公司主要从事氨基酸系列产品研发、生产及销售的公司。公司的主要产品有动物营养氨基酸类产品：赖氨酸、苏氨酸、色氨酸、饲料级缬氨酸、味精渣，淀粉附产品饲料纤维、玉米胚芽、菌体蛋白等
市值282.42609亿, 利润8.65亿; PE9.02; 平均PE15.92; 平均PEG14.97, PB1.96; ROIC17.5833%; ROE26.0267%; 股利率4.2424%; 毛利21.3833%; 净利12.5433%; 上一年度营收增-83.3%, 利润增-80.37%; 当季营收增563.97%, 利润增261.4%; 过往5年营收增1.06%, 利润增29.13%
Income profile:
饲料氨基酸(赖氨酸、苏氨酸、色氨酸等) 78.95亿 37.92%
鲜味剂(谷氨酸钠、核苷酸) 69.37亿 33.32%
大原料副产品(肥料、蛋白粉、胚芽、玉米皮粉、饲料纤维等) 37.75亿 18.13%
其他(黄原胶、海藻糖等) 18.03亿 8.66%
医药氨基酸(谷氨酰胺、脯氨酸、亮氨酸、异亮氨酸、腺苷等) 4.11亿 1.97%</v>
      </c>
      <c r="D102" t="s">
        <v>918</v>
      </c>
      <c r="E102" t="s">
        <v>919</v>
      </c>
      <c r="F102">
        <v>9.9</v>
      </c>
      <c r="G102">
        <v>0.71</v>
      </c>
      <c r="H102" t="s">
        <v>4583</v>
      </c>
      <c r="I102">
        <v>28242609000</v>
      </c>
      <c r="J102">
        <v>9.02</v>
      </c>
      <c r="K102">
        <v>1.96</v>
      </c>
      <c r="L102" t="s">
        <v>428</v>
      </c>
      <c r="M102" t="s">
        <v>2973</v>
      </c>
      <c r="N102" t="s">
        <v>4584</v>
      </c>
      <c r="O102" t="s">
        <v>2974</v>
      </c>
      <c r="P102">
        <v>-6.67</v>
      </c>
      <c r="Q102" t="s">
        <v>4585</v>
      </c>
      <c r="R102">
        <v>751704570</v>
      </c>
      <c r="S102" s="4">
        <v>-6.13E-2</v>
      </c>
      <c r="T102" t="s">
        <v>626</v>
      </c>
      <c r="U102">
        <v>2852788800</v>
      </c>
      <c r="V102">
        <v>2852788800</v>
      </c>
      <c r="W102">
        <v>1.58</v>
      </c>
      <c r="X102">
        <v>0.28000000000000003</v>
      </c>
      <c r="Y102">
        <v>11.59</v>
      </c>
      <c r="Z102" t="s">
        <v>1780</v>
      </c>
      <c r="AA102" t="s">
        <v>4586</v>
      </c>
      <c r="AB102" t="s">
        <v>165</v>
      </c>
      <c r="AC102" t="s">
        <v>351</v>
      </c>
      <c r="AD102" t="s">
        <v>5</v>
      </c>
      <c r="AE102">
        <v>-34763973</v>
      </c>
      <c r="AF102" t="s">
        <v>2976</v>
      </c>
      <c r="AG102" t="s">
        <v>4587</v>
      </c>
      <c r="AH102" t="s">
        <v>2977</v>
      </c>
      <c r="AI102" t="s">
        <v>4588</v>
      </c>
      <c r="AJ102" t="s">
        <v>2978</v>
      </c>
      <c r="AK102" t="s">
        <v>237</v>
      </c>
      <c r="AL102" t="s">
        <v>2979</v>
      </c>
      <c r="AM102" t="s">
        <v>5</v>
      </c>
      <c r="AN102" t="s">
        <v>33</v>
      </c>
      <c r="AO102" t="s">
        <v>4589</v>
      </c>
      <c r="AP102" t="s">
        <v>1073</v>
      </c>
      <c r="AQ102" t="s">
        <v>2052</v>
      </c>
      <c r="AR102" t="s">
        <v>5</v>
      </c>
      <c r="AS102" t="s">
        <v>2284</v>
      </c>
      <c r="AT102" t="s">
        <v>4590</v>
      </c>
      <c r="AU102" t="s">
        <v>4591</v>
      </c>
      <c r="AV102" t="s">
        <v>4592</v>
      </c>
      <c r="AW102" t="s">
        <v>389</v>
      </c>
      <c r="AX102" t="s">
        <v>1860</v>
      </c>
      <c r="AY102" t="s">
        <v>1862</v>
      </c>
      <c r="AZ102" t="s">
        <v>1401</v>
      </c>
      <c r="BA102" t="s">
        <v>920</v>
      </c>
      <c r="BB102" t="s">
        <v>921</v>
      </c>
      <c r="BC102" t="s">
        <v>1861</v>
      </c>
      <c r="BD102" t="s">
        <v>1863</v>
      </c>
      <c r="BE102" t="s">
        <v>1180</v>
      </c>
      <c r="BF102" t="s">
        <v>581</v>
      </c>
      <c r="BG102" t="s">
        <v>234</v>
      </c>
      <c r="BH102" t="s">
        <v>2975</v>
      </c>
      <c r="BI102" t="s">
        <v>4593</v>
      </c>
      <c r="BJ102" t="s">
        <v>1860</v>
      </c>
      <c r="BK102" t="s">
        <v>2325</v>
      </c>
      <c r="BL102" t="s">
        <v>408</v>
      </c>
      <c r="BM102" t="s">
        <v>1861</v>
      </c>
      <c r="BN102">
        <v>11.47</v>
      </c>
      <c r="BO102">
        <v>25.51</v>
      </c>
      <c r="BP102">
        <v>15.77</v>
      </c>
      <c r="BQ102">
        <v>15.81</v>
      </c>
      <c r="BR102">
        <v>35.950000000000003</v>
      </c>
      <c r="BS102">
        <v>26.32</v>
      </c>
      <c r="BT102" t="s">
        <v>4594</v>
      </c>
      <c r="BU102" t="s">
        <v>1534</v>
      </c>
      <c r="BV102">
        <v>19.68</v>
      </c>
      <c r="BW102">
        <v>25.13</v>
      </c>
      <c r="BX102">
        <v>19.34</v>
      </c>
      <c r="BY102">
        <v>11.46</v>
      </c>
      <c r="BZ102">
        <v>15.77</v>
      </c>
      <c r="CA102">
        <v>10.4</v>
      </c>
      <c r="CB102">
        <v>-1.2</v>
      </c>
      <c r="CC102">
        <v>-7.82</v>
      </c>
      <c r="CD102" t="s">
        <v>4595</v>
      </c>
      <c r="CE102" t="s">
        <v>105</v>
      </c>
      <c r="CF102" s="8">
        <v>5.6397134083930398</v>
      </c>
      <c r="CG102" s="9">
        <v>2.6139642788461539</v>
      </c>
      <c r="CH102" s="8">
        <v>-0.83301717042922974</v>
      </c>
      <c r="CI102" s="8">
        <v>0.21143919229507446</v>
      </c>
      <c r="CJ102" s="8">
        <v>0.35255131125450134</v>
      </c>
      <c r="CK102" s="8">
        <v>0.17149923741817474</v>
      </c>
      <c r="CL102" s="8">
        <v>0.15069584548473358</v>
      </c>
      <c r="CM102" s="9">
        <v>-0.80367684364318848</v>
      </c>
      <c r="CN102" s="9">
        <v>0.83430486917495728</v>
      </c>
      <c r="CO102" s="9">
        <v>1.4460283517837524</v>
      </c>
      <c r="CP102" s="9">
        <v>-7.0778564549982548E-3</v>
      </c>
      <c r="CQ102" s="9">
        <v>-1.2974051758646965E-2</v>
      </c>
      <c r="CR102">
        <v>15.917307345481872</v>
      </c>
      <c r="CS102">
        <v>14.968762035829769</v>
      </c>
      <c r="CT102">
        <v>4.2424242424242422</v>
      </c>
      <c r="CU102" s="8">
        <v>1.0633683204650879E-2</v>
      </c>
      <c r="CV102" s="9">
        <v>0.29132089382037518</v>
      </c>
      <c r="CW102">
        <v>0.06</v>
      </c>
      <c r="CX102">
        <v>27.126465459266221</v>
      </c>
      <c r="CY102">
        <v>824715222.61511612</v>
      </c>
      <c r="CZ102">
        <v>1.0633683204650879E-2</v>
      </c>
      <c r="DA102">
        <v>9.4864696947546658</v>
      </c>
      <c r="DB102">
        <v>2358264952.0685115</v>
      </c>
      <c r="DC102">
        <v>1.0101999044418334E-2</v>
      </c>
      <c r="DD102">
        <v>5.0983058969826569</v>
      </c>
      <c r="DE102">
        <v>4388047608.7635784</v>
      </c>
      <c r="DF102">
        <v>9.3576412200927737E-3</v>
      </c>
      <c r="DG102">
        <v>3.3666359307729561</v>
      </c>
      <c r="DH102">
        <v>6645093042.4376583</v>
      </c>
      <c r="DI102">
        <v>8.5069465637207034E-3</v>
      </c>
      <c r="DJ102">
        <v>2.1136464230869474</v>
      </c>
      <c r="DK102">
        <v>10584366787.008121</v>
      </c>
      <c r="DL102">
        <v>7.4435782432556146E-3</v>
      </c>
      <c r="DM102">
        <v>865000000</v>
      </c>
      <c r="DN102">
        <v>1.0633683204650879E-2</v>
      </c>
      <c r="DO102">
        <v>22371609000</v>
      </c>
      <c r="DP102">
        <v>3166806600</v>
      </c>
      <c r="DQ102">
        <v>3537</v>
      </c>
      <c r="DR102">
        <v>5.6290797251883893</v>
      </c>
      <c r="DS102">
        <v>2.3226433850257786</v>
      </c>
      <c r="DT102" s="10">
        <v>-0.27333333333333343</v>
      </c>
      <c r="DU102">
        <v>0.45333333333333337</v>
      </c>
      <c r="DV102">
        <v>0.17999999999999994</v>
      </c>
      <c r="DW102">
        <v>-2.0781999999999998</v>
      </c>
      <c r="DX102">
        <v>0.33461269230769092</v>
      </c>
      <c r="DY102">
        <v>-2.0105267125384616</v>
      </c>
      <c r="DZ102">
        <v>2957</v>
      </c>
      <c r="EA102">
        <v>-2.0044352274159114</v>
      </c>
      <c r="EB102">
        <v>2</v>
      </c>
      <c r="EC102">
        <v>2.4536902276116618E-2</v>
      </c>
      <c r="ED102">
        <v>0.18227777674954418</v>
      </c>
      <c r="EE102" s="11">
        <v>-1.0300100000000001</v>
      </c>
      <c r="EF102">
        <v>-1.02301</v>
      </c>
      <c r="EG102">
        <v>20.134612692307691</v>
      </c>
      <c r="EH102" t="s">
        <v>1691</v>
      </c>
      <c r="EI102">
        <v>0</v>
      </c>
      <c r="EJ102">
        <v>0</v>
      </c>
      <c r="EK102" s="12">
        <v>45470</v>
      </c>
      <c r="EL102">
        <v>0.04</v>
      </c>
      <c r="EM102">
        <v>-2.34</v>
      </c>
      <c r="EN102">
        <v>-2.69</v>
      </c>
      <c r="EO102">
        <v>-2.72</v>
      </c>
      <c r="EP102">
        <v>0.7</v>
      </c>
    </row>
    <row r="103" spans="1:148" ht="96" x14ac:dyDescent="0.25">
      <c r="C103" s="6" t="str">
        <f>""&amp;CHAR(10)&amp;Basic_Fundamental_Information_Constructure(F103)&amp;CHAR(10)&amp;Basic_Fundamental_Information_Concatenate("")</f>
        <v xml:space="preserve">
市值39.237632亿, 利润1.50亿; PE23.34; 平均PE34.27; 平均PEG3.47, PB2.04; ROIC13.9067%; ROE16.37%; 股利率1.3325%; 毛利33.9967%; 净利18.25%; 上一年度营收增9.87%, 利润增-.66%; 当季营收增-34.08%, 利润增48.2%; 过往5年营收增9.87%, 利润增15.4%
Income profile:
</v>
      </c>
      <c r="D103" t="s">
        <v>2117</v>
      </c>
      <c r="E103" t="s">
        <v>2118</v>
      </c>
      <c r="F103">
        <v>16.66</v>
      </c>
      <c r="G103">
        <v>2.84</v>
      </c>
      <c r="H103" t="s">
        <v>4596</v>
      </c>
      <c r="I103">
        <v>3923763200</v>
      </c>
      <c r="J103">
        <v>23.34</v>
      </c>
      <c r="K103">
        <v>2.04</v>
      </c>
      <c r="L103" t="s">
        <v>428</v>
      </c>
      <c r="M103" t="s">
        <v>27</v>
      </c>
      <c r="N103" t="s">
        <v>4597</v>
      </c>
      <c r="O103" t="s">
        <v>55</v>
      </c>
      <c r="P103" s="4">
        <v>-23.34</v>
      </c>
      <c r="Q103" t="s">
        <v>646</v>
      </c>
      <c r="R103">
        <v>42335034</v>
      </c>
      <c r="S103">
        <v>-0.1239</v>
      </c>
      <c r="T103" t="s">
        <v>184</v>
      </c>
      <c r="U103">
        <v>58880000</v>
      </c>
      <c r="V103">
        <v>235520000</v>
      </c>
      <c r="W103">
        <v>1.1299999999999999</v>
      </c>
      <c r="X103">
        <v>7.0000000000000007E-2</v>
      </c>
      <c r="Y103">
        <v>29.82</v>
      </c>
      <c r="Z103" t="s">
        <v>4598</v>
      </c>
      <c r="AA103" t="s">
        <v>4599</v>
      </c>
      <c r="AB103" t="s">
        <v>4600</v>
      </c>
      <c r="AC103" t="s">
        <v>4601</v>
      </c>
      <c r="AD103" t="s">
        <v>5</v>
      </c>
      <c r="AE103">
        <v>-3951956</v>
      </c>
      <c r="AF103" t="s">
        <v>2980</v>
      </c>
      <c r="AG103" t="s">
        <v>4602</v>
      </c>
      <c r="AH103" t="s">
        <v>2981</v>
      </c>
      <c r="AI103" t="s">
        <v>1260</v>
      </c>
      <c r="AJ103" t="s">
        <v>2982</v>
      </c>
      <c r="AK103" t="s">
        <v>4603</v>
      </c>
      <c r="AL103" t="s">
        <v>2983</v>
      </c>
      <c r="AM103" t="s">
        <v>5</v>
      </c>
      <c r="AN103" t="s">
        <v>307</v>
      </c>
      <c r="AO103" t="s">
        <v>4604</v>
      </c>
      <c r="AP103" t="s">
        <v>4605</v>
      </c>
      <c r="AQ103" t="s">
        <v>6</v>
      </c>
      <c r="AR103" t="s">
        <v>5</v>
      </c>
      <c r="AS103" t="s">
        <v>175</v>
      </c>
      <c r="AT103" t="s">
        <v>4606</v>
      </c>
      <c r="AU103" t="s">
        <v>4607</v>
      </c>
      <c r="AV103" t="s">
        <v>4608</v>
      </c>
      <c r="AW103" t="s">
        <v>4609</v>
      </c>
      <c r="AX103" t="s">
        <v>2119</v>
      </c>
      <c r="AY103" t="s">
        <v>2027</v>
      </c>
      <c r="AZ103" t="s">
        <v>855</v>
      </c>
      <c r="BA103" t="s">
        <v>588</v>
      </c>
      <c r="BB103" t="s">
        <v>5</v>
      </c>
      <c r="BC103" t="s">
        <v>250</v>
      </c>
      <c r="BD103" t="s">
        <v>2984</v>
      </c>
      <c r="BE103" t="s">
        <v>2985</v>
      </c>
      <c r="BF103" t="s">
        <v>2986</v>
      </c>
      <c r="BG103" t="s">
        <v>5</v>
      </c>
      <c r="BH103" t="s">
        <v>1783</v>
      </c>
      <c r="BI103" t="s">
        <v>444</v>
      </c>
      <c r="BJ103" t="s">
        <v>2119</v>
      </c>
      <c r="BK103" t="s">
        <v>93</v>
      </c>
      <c r="BL103" t="s">
        <v>4610</v>
      </c>
      <c r="BM103" t="s">
        <v>250</v>
      </c>
      <c r="BN103">
        <v>11.42</v>
      </c>
      <c r="BO103">
        <v>18.03</v>
      </c>
      <c r="BP103">
        <v>12.27</v>
      </c>
      <c r="BQ103">
        <v>13.26</v>
      </c>
      <c r="BR103">
        <v>19.48</v>
      </c>
      <c r="BS103" t="s">
        <v>5</v>
      </c>
      <c r="BT103" t="s">
        <v>2987</v>
      </c>
      <c r="BU103" t="s">
        <v>1516</v>
      </c>
      <c r="BV103">
        <v>40.33</v>
      </c>
      <c r="BW103">
        <v>30.62</v>
      </c>
      <c r="BX103">
        <v>31.04</v>
      </c>
      <c r="BY103">
        <v>23.44</v>
      </c>
      <c r="BZ103">
        <v>18.440000000000001</v>
      </c>
      <c r="CA103">
        <v>12.87</v>
      </c>
      <c r="CB103">
        <v>-1.71</v>
      </c>
      <c r="CC103" s="8">
        <v>-20.55</v>
      </c>
      <c r="CD103" s="9" t="s">
        <v>4611</v>
      </c>
      <c r="CE103" s="8" t="s">
        <v>4612</v>
      </c>
      <c r="CF103" s="8">
        <v>-0.34080717488789236</v>
      </c>
      <c r="CG103" s="8">
        <v>0.4819766440528449</v>
      </c>
      <c r="CH103" s="8">
        <v>9.8676294088363647E-2</v>
      </c>
      <c r="CI103" s="8">
        <v>0.18544936180114746</v>
      </c>
      <c r="CJ103" s="9">
        <v>8.8509313762187958E-2</v>
      </c>
      <c r="CK103" s="9">
        <v>2.222222276031971E-2</v>
      </c>
      <c r="CL103" s="9" t="s">
        <v>5</v>
      </c>
      <c r="CM103" s="9">
        <v>-6.6225165501236916E-3</v>
      </c>
      <c r="CN103" s="9">
        <v>0.58935660123825073</v>
      </c>
      <c r="CO103">
        <v>0.14174769818782806</v>
      </c>
      <c r="CP103">
        <v>-0.10851994156837463</v>
      </c>
      <c r="CQ103" t="s">
        <v>5</v>
      </c>
      <c r="CR103" s="8">
        <v>34.265071166315785</v>
      </c>
      <c r="CS103" s="9">
        <v>3.4711355725349389</v>
      </c>
      <c r="CT103">
        <v>1.3325330132052822</v>
      </c>
      <c r="CU103">
        <v>9.8714298103004694E-2</v>
      </c>
      <c r="CV103">
        <v>0.15399046032689512</v>
      </c>
      <c r="CW103">
        <v>0.06</v>
      </c>
      <c r="CX103">
        <v>14.270552384489616</v>
      </c>
      <c r="CY103">
        <v>155478438.41080254</v>
      </c>
      <c r="CZ103">
        <v>9.8714298103004694E-2</v>
      </c>
      <c r="DA103">
        <v>4.629231478822069</v>
      </c>
      <c r="DB103">
        <v>479294070.76540822</v>
      </c>
      <c r="DC103">
        <v>9.3778583197854454E-2</v>
      </c>
      <c r="DD103">
        <v>2.2564337068091738</v>
      </c>
      <c r="DE103">
        <v>983305289.80510414</v>
      </c>
      <c r="DF103">
        <v>8.6868582330644137E-2</v>
      </c>
      <c r="DG103">
        <v>1.3399347257070964</v>
      </c>
      <c r="DH103">
        <v>1655874094.0377805</v>
      </c>
      <c r="DI103">
        <v>7.8971438482403761E-2</v>
      </c>
      <c r="DJ103">
        <v>0.67527600623713224</v>
      </c>
      <c r="DK103">
        <v>3285713070.665288</v>
      </c>
      <c r="DL103">
        <v>6.910000867210328E-2</v>
      </c>
      <c r="DM103">
        <v>150000000</v>
      </c>
      <c r="DN103">
        <v>9.8714298103004694E-2</v>
      </c>
      <c r="DO103">
        <v>2218763200</v>
      </c>
      <c r="DP103">
        <v>1421755400</v>
      </c>
      <c r="DQ103" s="10">
        <v>3848</v>
      </c>
      <c r="DR103">
        <v>-0.43952147299089706</v>
      </c>
      <c r="DS103">
        <v>0.32798618372594979</v>
      </c>
      <c r="DT103">
        <v>-0.34799999999999998</v>
      </c>
      <c r="DU103">
        <v>0.18</v>
      </c>
      <c r="DV103">
        <v>-0.16799999999999998</v>
      </c>
      <c r="DW103">
        <v>-3.0514583333333332</v>
      </c>
      <c r="DX103">
        <v>0.42467453076479983</v>
      </c>
      <c r="DY103">
        <v>-3.0064155435622721</v>
      </c>
      <c r="DZ103">
        <v>4519</v>
      </c>
      <c r="EA103">
        <v>-3.0007419933943842</v>
      </c>
      <c r="EB103" s="11">
        <v>3</v>
      </c>
      <c r="EC103" s="11">
        <v>4.3975883152173913E-2</v>
      </c>
      <c r="ED103">
        <v>0.3527254585597826</v>
      </c>
      <c r="EE103">
        <v>-1.0451999999999999</v>
      </c>
      <c r="EF103">
        <v>-1.0939000000000001</v>
      </c>
      <c r="EG103">
        <v>30.1246745307648</v>
      </c>
      <c r="EH103" s="12" t="s">
        <v>1692</v>
      </c>
      <c r="EI103">
        <v>0</v>
      </c>
      <c r="EJ103">
        <v>0</v>
      </c>
      <c r="EK103">
        <v>45470</v>
      </c>
      <c r="EL103">
        <v>-1.1499999999999999</v>
      </c>
      <c r="EM103">
        <v>-4.88</v>
      </c>
      <c r="EN103">
        <v>1.71</v>
      </c>
      <c r="EO103">
        <v>3.61</v>
      </c>
      <c r="EP103">
        <v>4.87</v>
      </c>
    </row>
    <row r="104" spans="1:148" ht="96" x14ac:dyDescent="0.25">
      <c r="A104" s="6"/>
      <c r="B104" s="6"/>
      <c r="C104" s="6" t="str">
        <f>""&amp;CHAR(10)&amp;Basic_Fundamental_Information_Constructure(F104)&amp;CHAR(10)&amp;Basic_Fundamental_Information_Concatenate("")</f>
        <v xml:space="preserve">
市值52.472495亿, 利润1663.54万; PE30.55; 平均PE16.81; 平均PEG1.87, PB1.31; ROIC16.1367%; ROE18.8467%; 股利率2.0787%; 毛利24.6%; 净利11.8933%; 上一年度营收增-50.45%, 利润增-95.44%; 当季营收增127.55%, 利润增137.31%; 过往5年营收增9.01%, 利润增29.79%
Income profile:
</v>
      </c>
      <c r="D104" t="s">
        <v>1569</v>
      </c>
      <c r="E104" t="s">
        <v>1570</v>
      </c>
      <c r="F104">
        <v>8.9</v>
      </c>
      <c r="G104">
        <v>1.1399999999999999</v>
      </c>
      <c r="H104" t="s">
        <v>4613</v>
      </c>
      <c r="I104">
        <v>5247249500</v>
      </c>
      <c r="J104">
        <v>30.55</v>
      </c>
      <c r="K104">
        <v>1.31</v>
      </c>
      <c r="L104" t="s">
        <v>428</v>
      </c>
      <c r="M104" t="s">
        <v>2988</v>
      </c>
      <c r="N104" t="s">
        <v>4614</v>
      </c>
      <c r="O104" t="s">
        <v>517</v>
      </c>
      <c r="P104">
        <v>-5.88</v>
      </c>
      <c r="Q104" t="s">
        <v>4615</v>
      </c>
      <c r="R104">
        <v>45607079</v>
      </c>
      <c r="S104" s="4">
        <v>-0.20880000000000001</v>
      </c>
      <c r="T104" t="s">
        <v>4616</v>
      </c>
      <c r="U104">
        <v>485272650</v>
      </c>
      <c r="V104">
        <v>589578590</v>
      </c>
      <c r="W104">
        <v>1.57</v>
      </c>
      <c r="X104">
        <v>0.1</v>
      </c>
      <c r="Y104">
        <v>6.39</v>
      </c>
      <c r="Z104" t="s">
        <v>371</v>
      </c>
      <c r="AA104" t="s">
        <v>402</v>
      </c>
      <c r="AB104" t="s">
        <v>4617</v>
      </c>
      <c r="AC104" t="s">
        <v>4618</v>
      </c>
      <c r="AD104" t="s">
        <v>5</v>
      </c>
      <c r="AE104">
        <v>-648494</v>
      </c>
      <c r="AF104" t="s">
        <v>2990</v>
      </c>
      <c r="AG104">
        <v>3041.7</v>
      </c>
      <c r="AH104" t="s">
        <v>2991</v>
      </c>
      <c r="AI104" t="s">
        <v>4619</v>
      </c>
      <c r="AJ104" t="s">
        <v>2992</v>
      </c>
      <c r="AK104" t="s">
        <v>108</v>
      </c>
      <c r="AL104" t="s">
        <v>2993</v>
      </c>
      <c r="AM104" t="s">
        <v>5</v>
      </c>
      <c r="AN104" t="s">
        <v>4620</v>
      </c>
      <c r="AO104" t="s">
        <v>857</v>
      </c>
      <c r="AP104" t="s">
        <v>169</v>
      </c>
      <c r="AQ104" t="s">
        <v>513</v>
      </c>
      <c r="AR104" t="s">
        <v>5</v>
      </c>
      <c r="AS104" t="s">
        <v>771</v>
      </c>
      <c r="AT104" t="s">
        <v>1626</v>
      </c>
      <c r="AU104" t="s">
        <v>42</v>
      </c>
      <c r="AV104" t="s">
        <v>2130</v>
      </c>
      <c r="AW104" t="s">
        <v>444</v>
      </c>
      <c r="AX104" t="s">
        <v>1864</v>
      </c>
      <c r="AY104" t="s">
        <v>1571</v>
      </c>
      <c r="AZ104" t="s">
        <v>1572</v>
      </c>
      <c r="BA104" t="s">
        <v>1573</v>
      </c>
      <c r="BB104" t="s">
        <v>1574</v>
      </c>
      <c r="BC104" t="s">
        <v>222</v>
      </c>
      <c r="BD104" t="s">
        <v>1295</v>
      </c>
      <c r="BE104" t="s">
        <v>348</v>
      </c>
      <c r="BF104" t="s">
        <v>157</v>
      </c>
      <c r="BG104" t="s">
        <v>49</v>
      </c>
      <c r="BH104" t="s">
        <v>2989</v>
      </c>
      <c r="BI104" t="s">
        <v>1711</v>
      </c>
      <c r="BJ104" t="s">
        <v>1864</v>
      </c>
      <c r="BK104" t="s">
        <v>243</v>
      </c>
      <c r="BL104" t="s">
        <v>4621</v>
      </c>
      <c r="BM104" t="s">
        <v>222</v>
      </c>
      <c r="BN104">
        <v>2.91</v>
      </c>
      <c r="BO104">
        <v>8.8800000000000008</v>
      </c>
      <c r="BP104">
        <v>36.619999999999997</v>
      </c>
      <c r="BQ104">
        <v>4.07</v>
      </c>
      <c r="BR104">
        <v>10.33</v>
      </c>
      <c r="BS104">
        <v>42.14</v>
      </c>
      <c r="BT104" t="s">
        <v>2994</v>
      </c>
      <c r="BU104" t="s">
        <v>1516</v>
      </c>
      <c r="BV104">
        <v>18.98</v>
      </c>
      <c r="BW104">
        <v>22.12</v>
      </c>
      <c r="BX104">
        <v>32.700000000000003</v>
      </c>
      <c r="BY104">
        <v>6.06</v>
      </c>
      <c r="BZ104">
        <v>9.58</v>
      </c>
      <c r="CA104">
        <v>20.04</v>
      </c>
      <c r="CB104">
        <v>-1.22</v>
      </c>
      <c r="CC104">
        <v>-13</v>
      </c>
      <c r="CD104" t="s">
        <v>4622</v>
      </c>
      <c r="CE104" t="s">
        <v>4623</v>
      </c>
      <c r="CF104" s="8">
        <v>1.2755102040816326</v>
      </c>
      <c r="CG104" s="9">
        <v>1.3731191786951953</v>
      </c>
      <c r="CH104" s="8">
        <v>-0.50448936223983765</v>
      </c>
      <c r="CI104" s="8">
        <v>-0.13390037417411804</v>
      </c>
      <c r="CJ104" s="8">
        <v>0.77217930555343628</v>
      </c>
      <c r="CK104" s="8">
        <v>0.20310874283313751</v>
      </c>
      <c r="CL104" s="8">
        <v>0.11367575079202652</v>
      </c>
      <c r="CM104" s="9">
        <v>-0.95442360639572144</v>
      </c>
      <c r="CN104" s="9">
        <v>-0.55703884363174438</v>
      </c>
      <c r="CO104" s="9">
        <v>1.0966920852661133</v>
      </c>
      <c r="CP104" s="9">
        <v>1.3674699068069458</v>
      </c>
      <c r="CQ104" s="9">
        <v>0.53703701496124268</v>
      </c>
      <c r="CR104">
        <v>16.812400854966214</v>
      </c>
      <c r="CS104">
        <v>1.8656645204795219</v>
      </c>
      <c r="CT104">
        <v>2.0786516853932584</v>
      </c>
      <c r="CU104" s="8">
        <v>9.0114812552928927E-2</v>
      </c>
      <c r="CV104" s="9">
        <v>0.29794731140136721</v>
      </c>
      <c r="CW104">
        <v>0.06</v>
      </c>
      <c r="CX104">
        <v>189.10723953600041</v>
      </c>
      <c r="CY104">
        <v>17108015.049757544</v>
      </c>
      <c r="CZ104">
        <v>9.0114812552928927E-2</v>
      </c>
      <c r="DA104">
        <v>61.792473980276924</v>
      </c>
      <c r="DB104">
        <v>52356691.545197479</v>
      </c>
      <c r="DC104">
        <v>8.5609071925282471E-2</v>
      </c>
      <c r="DD104">
        <v>30.415049439069193</v>
      </c>
      <c r="DE104">
        <v>106370022.7244809</v>
      </c>
      <c r="DF104">
        <v>7.9301035046577456E-2</v>
      </c>
      <c r="DG104">
        <v>18.262084799572555</v>
      </c>
      <c r="DH104">
        <v>177156635.48313633</v>
      </c>
      <c r="DI104">
        <v>7.2091850042343142E-2</v>
      </c>
      <c r="DJ104">
        <v>9.4308598819599929</v>
      </c>
      <c r="DK104">
        <v>343049259.61084539</v>
      </c>
      <c r="DL104">
        <v>6.3080368787050242E-2</v>
      </c>
      <c r="DM104">
        <v>16635400</v>
      </c>
      <c r="DN104">
        <v>9.0114812552928927E-2</v>
      </c>
      <c r="DO104">
        <v>3235249500</v>
      </c>
      <c r="DP104">
        <v>1346877100</v>
      </c>
      <c r="DQ104">
        <v>3854</v>
      </c>
      <c r="DR104">
        <v>1.1853953915287037</v>
      </c>
      <c r="DS104">
        <v>1.075171867293828</v>
      </c>
      <c r="DT104" s="10">
        <v>-0.22333333333333338</v>
      </c>
      <c r="DU104">
        <v>0.33666666666666667</v>
      </c>
      <c r="DV104">
        <v>0.11333333333333329</v>
      </c>
      <c r="DW104">
        <v>-2.13</v>
      </c>
      <c r="DX104">
        <v>0.33788879152495199</v>
      </c>
      <c r="DY104">
        <v>-2.0101255428982436</v>
      </c>
      <c r="DZ104">
        <v>3332</v>
      </c>
      <c r="EA104">
        <v>-2.0035231341043205</v>
      </c>
      <c r="EB104">
        <v>2</v>
      </c>
      <c r="EC104">
        <v>1.2452962377755271E-2</v>
      </c>
      <c r="ED104">
        <v>0.15988131455044866</v>
      </c>
      <c r="EE104" s="11">
        <v>3.0754999999999999</v>
      </c>
      <c r="EF104">
        <v>3.0325000000000002</v>
      </c>
      <c r="EG104">
        <v>26.077888791524952</v>
      </c>
      <c r="EH104" t="s">
        <v>2072</v>
      </c>
      <c r="EI104">
        <v>0</v>
      </c>
      <c r="EJ104">
        <v>0</v>
      </c>
      <c r="EK104" s="12">
        <v>45470</v>
      </c>
      <c r="EL104">
        <v>3.22</v>
      </c>
      <c r="EM104">
        <v>-4.9800000000000004</v>
      </c>
      <c r="EN104">
        <v>-1.26</v>
      </c>
      <c r="EO104">
        <v>2.93</v>
      </c>
      <c r="EP104">
        <v>-4.3</v>
      </c>
    </row>
    <row r="105" spans="1:148" ht="96" x14ac:dyDescent="0.25">
      <c r="A105" s="6"/>
      <c r="B105" s="6"/>
      <c r="C105" s="6" t="str">
        <f>""&amp;CHAR(10)&amp;Basic_Fundamental_Information_Constructure(F105)&amp;CHAR(10)&amp;Basic_Fundamental_Information_Concatenate("")</f>
        <v xml:space="preserve">
市值25.906874亿, 利润-2.92亿; PE30.15; 平均PE37.37; 平均PEG3.39, PB.816; ROIC5.0267%; ROE4.7667%; 股利率1.4793%; 毛利15.08%; 净利5.09%; 上一年度营收增-83.04%, 利润增-365.45%; 当季营收增449.26%, 利润增174.97%; 过往5年营收增-11.03%, 利润增-68%
Income profile:
</v>
      </c>
      <c r="D105" t="s">
        <v>922</v>
      </c>
      <c r="E105" t="s">
        <v>923</v>
      </c>
      <c r="F105">
        <v>6.76</v>
      </c>
      <c r="G105">
        <v>1.35</v>
      </c>
      <c r="H105" t="s">
        <v>4624</v>
      </c>
      <c r="I105">
        <v>2590687400</v>
      </c>
      <c r="J105">
        <v>30.15</v>
      </c>
      <c r="K105">
        <v>0.81599999999999995</v>
      </c>
      <c r="L105" t="s">
        <v>428</v>
      </c>
      <c r="M105" t="s">
        <v>230</v>
      </c>
      <c r="N105" t="s">
        <v>4625</v>
      </c>
      <c r="O105" t="s">
        <v>2177</v>
      </c>
      <c r="P105">
        <v>2.92</v>
      </c>
      <c r="Q105" t="s">
        <v>1762</v>
      </c>
      <c r="R105">
        <v>34635395</v>
      </c>
      <c r="S105" s="4">
        <v>-0.1227</v>
      </c>
      <c r="T105" t="s">
        <v>4626</v>
      </c>
      <c r="U105">
        <v>383237770</v>
      </c>
      <c r="V105">
        <v>383237770</v>
      </c>
      <c r="W105">
        <v>1.1200000000000001</v>
      </c>
      <c r="X105">
        <v>0.19</v>
      </c>
      <c r="Y105">
        <v>6.47</v>
      </c>
      <c r="Z105" t="s">
        <v>1899</v>
      </c>
      <c r="AA105" t="s">
        <v>411</v>
      </c>
      <c r="AB105" t="s">
        <v>4627</v>
      </c>
      <c r="AC105" t="s">
        <v>4628</v>
      </c>
      <c r="AD105" t="s">
        <v>5</v>
      </c>
      <c r="AE105">
        <v>-3069256</v>
      </c>
      <c r="AF105" t="s">
        <v>2997</v>
      </c>
      <c r="AG105" t="s">
        <v>2363</v>
      </c>
      <c r="AH105" t="s">
        <v>2998</v>
      </c>
      <c r="AI105" t="s">
        <v>554</v>
      </c>
      <c r="AJ105" t="s">
        <v>2999</v>
      </c>
      <c r="AK105" t="s">
        <v>4629</v>
      </c>
      <c r="AL105" t="s">
        <v>3000</v>
      </c>
      <c r="AM105" t="s">
        <v>5</v>
      </c>
      <c r="AN105" t="s">
        <v>4630</v>
      </c>
      <c r="AO105" t="s">
        <v>94</v>
      </c>
      <c r="AP105" t="s">
        <v>5</v>
      </c>
      <c r="AQ105" t="s">
        <v>212</v>
      </c>
      <c r="AR105" t="s">
        <v>4631</v>
      </c>
      <c r="AS105" t="s">
        <v>299</v>
      </c>
      <c r="AT105" t="s">
        <v>5</v>
      </c>
      <c r="AU105" t="s">
        <v>29</v>
      </c>
      <c r="AV105" t="s">
        <v>4632</v>
      </c>
      <c r="AW105" t="s">
        <v>4633</v>
      </c>
      <c r="AX105" t="s">
        <v>1865</v>
      </c>
      <c r="AY105" t="s">
        <v>1402</v>
      </c>
      <c r="AZ105" t="s">
        <v>1403</v>
      </c>
      <c r="BA105" t="s">
        <v>924</v>
      </c>
      <c r="BB105" t="s">
        <v>925</v>
      </c>
      <c r="BC105" t="s">
        <v>59</v>
      </c>
      <c r="BD105" t="s">
        <v>244</v>
      </c>
      <c r="BE105" t="s">
        <v>970</v>
      </c>
      <c r="BF105" t="s">
        <v>40</v>
      </c>
      <c r="BG105" t="s">
        <v>59</v>
      </c>
      <c r="BH105" t="s">
        <v>2995</v>
      </c>
      <c r="BI105" t="s">
        <v>46</v>
      </c>
      <c r="BJ105" t="s">
        <v>1865</v>
      </c>
      <c r="BK105" t="s">
        <v>2996</v>
      </c>
      <c r="BL105" t="s">
        <v>4634</v>
      </c>
      <c r="BM105" t="s">
        <v>59</v>
      </c>
      <c r="BN105">
        <v>3.07</v>
      </c>
      <c r="BO105">
        <v>3.52</v>
      </c>
      <c r="BP105">
        <v>8.49</v>
      </c>
      <c r="BQ105">
        <v>2.9</v>
      </c>
      <c r="BR105">
        <v>3.59</v>
      </c>
      <c r="BS105">
        <v>7.81</v>
      </c>
      <c r="BT105" t="s">
        <v>1674</v>
      </c>
      <c r="BU105" t="s">
        <v>1534</v>
      </c>
      <c r="BV105">
        <v>14.82</v>
      </c>
      <c r="BW105">
        <v>14.42</v>
      </c>
      <c r="BX105">
        <v>16</v>
      </c>
      <c r="BY105">
        <v>4</v>
      </c>
      <c r="BZ105">
        <v>3.89</v>
      </c>
      <c r="CA105">
        <v>7.38</v>
      </c>
      <c r="CB105">
        <v>1.35</v>
      </c>
      <c r="CC105">
        <v>-7.9</v>
      </c>
      <c r="CD105" t="s">
        <v>4635</v>
      </c>
      <c r="CE105" t="s">
        <v>4636</v>
      </c>
      <c r="CF105" s="8">
        <v>4.492647058823529</v>
      </c>
      <c r="CG105" s="9">
        <v>1.749701724499934</v>
      </c>
      <c r="CH105" s="8">
        <v>-0.83041846752166748</v>
      </c>
      <c r="CI105" s="8">
        <v>-4.2750317603349686E-2</v>
      </c>
      <c r="CJ105" s="8">
        <v>0.2537480890750885</v>
      </c>
      <c r="CK105" s="8">
        <v>7.7979773283004761E-2</v>
      </c>
      <c r="CL105" s="8">
        <v>-9.9999746307730675E-3</v>
      </c>
      <c r="CM105" s="9">
        <v>-3.6545455455780029</v>
      </c>
      <c r="CN105" s="9">
        <v>-0.45812806487083435</v>
      </c>
      <c r="CO105" s="9">
        <v>0.20118343830108643</v>
      </c>
      <c r="CP105" s="9">
        <v>0.45689654350280762</v>
      </c>
      <c r="CQ105" s="9">
        <v>5.4545454680919647E-2</v>
      </c>
      <c r="CR105">
        <v>37.365683653846155</v>
      </c>
      <c r="CS105">
        <v>3.3880043926899908</v>
      </c>
      <c r="CT105">
        <v>1.4792899408284024</v>
      </c>
      <c r="CU105" s="8">
        <v>-0.11028817947953939</v>
      </c>
      <c r="CV105" s="9">
        <v>-0.68000963479280474</v>
      </c>
      <c r="CW105">
        <v>0.06</v>
      </c>
      <c r="CX105" t="s">
        <v>1905</v>
      </c>
      <c r="CY105" t="s">
        <v>1179</v>
      </c>
      <c r="CZ105">
        <v>-0.11028817947953939</v>
      </c>
      <c r="DA105" t="s">
        <v>1905</v>
      </c>
      <c r="DB105" t="s">
        <v>1179</v>
      </c>
      <c r="DC105">
        <v>-0.10477377050556241</v>
      </c>
      <c r="DD105" t="s">
        <v>1905</v>
      </c>
      <c r="DE105" t="s">
        <v>1179</v>
      </c>
      <c r="DF105">
        <v>-9.7053597941994668E-2</v>
      </c>
      <c r="DG105" t="s">
        <v>1905</v>
      </c>
      <c r="DH105" t="s">
        <v>1179</v>
      </c>
      <c r="DI105">
        <v>-8.8230543583631527E-2</v>
      </c>
      <c r="DJ105" t="s">
        <v>1905</v>
      </c>
      <c r="DK105" t="s">
        <v>1179</v>
      </c>
      <c r="DL105">
        <v>-7.7201725635677565E-2</v>
      </c>
      <c r="DM105">
        <v>-292000000</v>
      </c>
      <c r="DN105">
        <v>-0.11028817947953939</v>
      </c>
      <c r="DO105">
        <v>-415312600.00000048</v>
      </c>
      <c r="DP105">
        <v>2253174900</v>
      </c>
      <c r="DQ105">
        <v>3863</v>
      </c>
      <c r="DR105">
        <v>4.6029352383030684</v>
      </c>
      <c r="DS105">
        <v>2.4297113592927388</v>
      </c>
      <c r="DT105" s="10">
        <v>-0.64</v>
      </c>
      <c r="DU105">
        <v>-1.0900000000000001</v>
      </c>
      <c r="DV105">
        <v>-1.73</v>
      </c>
      <c r="DW105">
        <v>-2.0790000000000002</v>
      </c>
      <c r="DX105">
        <v>0.26751251735860138</v>
      </c>
      <c r="DY105">
        <v>-2.0108634888713297</v>
      </c>
      <c r="DZ105">
        <v>914</v>
      </c>
      <c r="EA105">
        <v>-2.0089203912532483</v>
      </c>
      <c r="EB105">
        <v>2</v>
      </c>
      <c r="EC105">
        <v>2.8757342993619862E-2</v>
      </c>
      <c r="ED105">
        <v>0.2091252644539707</v>
      </c>
      <c r="EE105" s="11">
        <v>2.0807000000000002</v>
      </c>
      <c r="EF105">
        <v>2.0628000000000002</v>
      </c>
      <c r="EG105">
        <v>13.137512517358601</v>
      </c>
      <c r="EH105" t="s">
        <v>1701</v>
      </c>
      <c r="EI105">
        <v>0</v>
      </c>
      <c r="EJ105">
        <v>1</v>
      </c>
      <c r="EK105" s="12">
        <v>45470</v>
      </c>
      <c r="EL105">
        <v>0.71</v>
      </c>
      <c r="EM105">
        <v>-3.64</v>
      </c>
      <c r="EN105">
        <v>-3.19</v>
      </c>
      <c r="EO105">
        <v>8.68</v>
      </c>
      <c r="EP105">
        <v>-1.79</v>
      </c>
    </row>
    <row r="106" spans="1:148" ht="96" x14ac:dyDescent="0.25">
      <c r="A106" s="6"/>
      <c r="B106" s="6"/>
      <c r="C106" s="6" t="str">
        <f>""&amp;CHAR(10)&amp;Basic_Fundamental_Information_Constructure(F106)&amp;CHAR(10)&amp;Basic_Fundamental_Information_Concatenate("")</f>
        <v xml:space="preserve">
市值17.673752亿, 利润-8420.21万; PE15.19; 平均PE37.55; 平均PEG1.32, PB1.19; ROIC5.6467%; ROE6.4833%; 股利率2.0725%; 毛利29.9467%; 净利16.8967%; 上一年度营收增89.13%, 利润增-206.68%; 当季营收增-32.26%, 利润增256.52%; 过往5年营收增28.53%, 利润增-18.99%
Income profile:
</v>
      </c>
      <c r="D106" t="s">
        <v>926</v>
      </c>
      <c r="E106" t="s">
        <v>927</v>
      </c>
      <c r="F106">
        <v>9.65</v>
      </c>
      <c r="G106">
        <v>0.94</v>
      </c>
      <c r="H106" t="s">
        <v>4637</v>
      </c>
      <c r="I106">
        <v>1767375200</v>
      </c>
      <c r="J106">
        <v>15.19</v>
      </c>
      <c r="K106">
        <v>1.19</v>
      </c>
      <c r="L106" t="s">
        <v>428</v>
      </c>
      <c r="M106" t="s">
        <v>142</v>
      </c>
      <c r="N106" t="s">
        <v>4638</v>
      </c>
      <c r="O106" t="s">
        <v>55</v>
      </c>
      <c r="P106">
        <v>22.27</v>
      </c>
      <c r="Q106" t="s">
        <v>3384</v>
      </c>
      <c r="R106">
        <v>30888899</v>
      </c>
      <c r="S106" s="4">
        <v>0.25850000000000001</v>
      </c>
      <c r="T106" t="s">
        <v>4639</v>
      </c>
      <c r="U106">
        <v>183147690</v>
      </c>
      <c r="V106">
        <v>183147690</v>
      </c>
      <c r="W106">
        <v>1.19</v>
      </c>
      <c r="X106">
        <v>0.08</v>
      </c>
      <c r="Y106">
        <v>20.99</v>
      </c>
      <c r="Z106" t="s">
        <v>74</v>
      </c>
      <c r="AA106" t="s">
        <v>4640</v>
      </c>
      <c r="AB106" t="s">
        <v>4641</v>
      </c>
      <c r="AC106" t="s">
        <v>4642</v>
      </c>
      <c r="AD106" t="s">
        <v>5</v>
      </c>
      <c r="AE106">
        <v>-687516</v>
      </c>
      <c r="AF106" t="s">
        <v>3001</v>
      </c>
      <c r="AG106" t="s">
        <v>5</v>
      </c>
      <c r="AH106" t="s">
        <v>3002</v>
      </c>
      <c r="AI106" t="s">
        <v>113</v>
      </c>
      <c r="AJ106" t="s">
        <v>3003</v>
      </c>
      <c r="AK106" t="s">
        <v>5</v>
      </c>
      <c r="AL106" t="s">
        <v>3004</v>
      </c>
      <c r="AM106" t="s">
        <v>5</v>
      </c>
      <c r="AN106" t="s">
        <v>49</v>
      </c>
      <c r="AO106" t="s">
        <v>4643</v>
      </c>
      <c r="AP106" t="s">
        <v>56</v>
      </c>
      <c r="AQ106" t="s">
        <v>42</v>
      </c>
      <c r="AR106" t="s">
        <v>5</v>
      </c>
      <c r="AS106" t="s">
        <v>113</v>
      </c>
      <c r="AT106" t="s">
        <v>5</v>
      </c>
      <c r="AU106" t="s">
        <v>4644</v>
      </c>
      <c r="AV106" t="s">
        <v>4645</v>
      </c>
      <c r="AW106" t="s">
        <v>4646</v>
      </c>
      <c r="AX106" t="s">
        <v>736</v>
      </c>
      <c r="AY106" t="s">
        <v>1368</v>
      </c>
      <c r="AZ106" t="s">
        <v>1310</v>
      </c>
      <c r="BA106" t="s">
        <v>245</v>
      </c>
      <c r="BB106" t="s">
        <v>518</v>
      </c>
      <c r="BC106" t="s">
        <v>1867</v>
      </c>
      <c r="BD106" t="s">
        <v>1404</v>
      </c>
      <c r="BE106" t="s">
        <v>137</v>
      </c>
      <c r="BF106" t="s">
        <v>928</v>
      </c>
      <c r="BG106" t="s">
        <v>929</v>
      </c>
      <c r="BH106" t="s">
        <v>659</v>
      </c>
      <c r="BI106" t="s">
        <v>1625</v>
      </c>
      <c r="BJ106" t="s">
        <v>736</v>
      </c>
      <c r="BK106" t="s">
        <v>59</v>
      </c>
      <c r="BL106" t="s">
        <v>4647</v>
      </c>
      <c r="BM106" t="s">
        <v>1867</v>
      </c>
      <c r="BN106">
        <v>5.32</v>
      </c>
      <c r="BO106">
        <v>5.94</v>
      </c>
      <c r="BP106">
        <v>5.68</v>
      </c>
      <c r="BQ106">
        <v>5.69</v>
      </c>
      <c r="BR106">
        <v>6.69</v>
      </c>
      <c r="BS106">
        <v>7.07</v>
      </c>
      <c r="BT106" t="s">
        <v>1671</v>
      </c>
      <c r="BU106" t="s">
        <v>1519</v>
      </c>
      <c r="BV106">
        <v>38.340000000000003</v>
      </c>
      <c r="BW106">
        <v>27.6</v>
      </c>
      <c r="BX106">
        <v>23.9</v>
      </c>
      <c r="BY106">
        <v>21.91</v>
      </c>
      <c r="BZ106">
        <v>15.89</v>
      </c>
      <c r="CA106">
        <v>12.89</v>
      </c>
      <c r="CB106">
        <v>-3.5</v>
      </c>
      <c r="CC106">
        <v>-16.010000000000002</v>
      </c>
      <c r="CD106" t="s">
        <v>4648</v>
      </c>
      <c r="CE106" t="s">
        <v>4649</v>
      </c>
      <c r="CF106" s="8">
        <v>-0.32258064516129031</v>
      </c>
      <c r="CG106" s="9">
        <v>2.565207426512691</v>
      </c>
      <c r="CH106" s="8">
        <v>0.89134806394577026</v>
      </c>
      <c r="CI106" s="8">
        <v>4.0404042229056358E-3</v>
      </c>
      <c r="CJ106" s="8">
        <v>0.26923078298568726</v>
      </c>
      <c r="CK106" s="8">
        <v>0.15044248104095459</v>
      </c>
      <c r="CL106" s="8">
        <v>0.11147540807723999</v>
      </c>
      <c r="CM106" s="9">
        <v>-2.066786527633667</v>
      </c>
      <c r="CN106" s="9">
        <v>0.23684461414813995</v>
      </c>
      <c r="CO106" s="9">
        <v>-0.42508018016815186</v>
      </c>
      <c r="CP106" s="9">
        <v>0.54079562425613403</v>
      </c>
      <c r="CQ106" s="9">
        <v>0.76468276977539063</v>
      </c>
      <c r="CR106">
        <v>37.549281201831811</v>
      </c>
      <c r="CS106">
        <v>1.316098969377606</v>
      </c>
      <c r="CT106">
        <v>2.0725388601036268</v>
      </c>
      <c r="CU106" s="8">
        <v>0.28530742805451154</v>
      </c>
      <c r="CV106" s="9">
        <v>-0.18990873992443086</v>
      </c>
      <c r="CW106">
        <v>0.06</v>
      </c>
      <c r="CX106" t="e">
        <v>#VALUE!</v>
      </c>
      <c r="CY106" t="s">
        <v>1179</v>
      </c>
      <c r="CZ106">
        <v>0.28530742805451154</v>
      </c>
      <c r="DA106" t="e">
        <v>#VALUE!</v>
      </c>
      <c r="DB106" t="s">
        <v>1179</v>
      </c>
      <c r="DC106">
        <v>0.27104205665178593</v>
      </c>
      <c r="DD106" t="e">
        <v>#VALUE!</v>
      </c>
      <c r="DE106" t="s">
        <v>1179</v>
      </c>
      <c r="DF106">
        <v>0.25107053668797014</v>
      </c>
      <c r="DG106" t="e">
        <v>#VALUE!</v>
      </c>
      <c r="DH106" t="s">
        <v>1179</v>
      </c>
      <c r="DI106">
        <v>0.22824594244360924</v>
      </c>
      <c r="DJ106" t="e">
        <v>#VALUE!</v>
      </c>
      <c r="DK106" t="s">
        <v>1179</v>
      </c>
      <c r="DL106">
        <v>0.19971519963815806</v>
      </c>
      <c r="DM106">
        <v>-84202099.999999985</v>
      </c>
      <c r="DN106">
        <v>0.28530742805451154</v>
      </c>
      <c r="DO106">
        <v>567375200</v>
      </c>
      <c r="DP106">
        <v>728008430</v>
      </c>
      <c r="DQ106">
        <v>3882</v>
      </c>
      <c r="DR106">
        <v>-0.60788807321580185</v>
      </c>
      <c r="DS106">
        <v>2.755116166437122</v>
      </c>
      <c r="DT106" s="10">
        <v>0.14333333333333331</v>
      </c>
      <c r="DU106">
        <v>-0.6366666666666666</v>
      </c>
      <c r="DV106">
        <v>-0.49333333333333329</v>
      </c>
      <c r="DW106">
        <v>-8.2186133666458456</v>
      </c>
      <c r="DX106">
        <v>0.4141349384946062</v>
      </c>
      <c r="DY106">
        <v>-8.0271375568226802</v>
      </c>
      <c r="DZ106">
        <v>1759</v>
      </c>
      <c r="EA106">
        <v>-8.01779607689096</v>
      </c>
      <c r="EB106">
        <v>8</v>
      </c>
      <c r="EC106">
        <v>3.358327915574584E-2</v>
      </c>
      <c r="ED106">
        <v>0.27053849273228614</v>
      </c>
      <c r="EE106" s="11">
        <v>4.2610000000000002E-2</v>
      </c>
      <c r="EF106">
        <v>5.3610000000000005E-2</v>
      </c>
      <c r="EG106">
        <v>29.124134938494606</v>
      </c>
      <c r="EH106">
        <v>-1</v>
      </c>
      <c r="EI106">
        <v>0</v>
      </c>
      <c r="EJ106">
        <v>0</v>
      </c>
      <c r="EK106" s="12">
        <v>45470</v>
      </c>
      <c r="EL106">
        <v>1.5</v>
      </c>
      <c r="EM106">
        <v>-4.3499999999999996</v>
      </c>
      <c r="EN106">
        <v>0.36</v>
      </c>
      <c r="EO106">
        <v>2.4700000000000002</v>
      </c>
      <c r="EP106">
        <v>-1.1000000000000001</v>
      </c>
    </row>
    <row r="107" spans="1:148" ht="156" x14ac:dyDescent="0.25">
      <c r="A107" s="6"/>
      <c r="B107" s="6"/>
      <c r="C107" s="6" t="str">
        <f>"公司是一家专注于绿色环保高性能的高分子热熔粘接材料研发、生产和销售的高新技术企业，公司的主要产品为功能性聚烯烃热熔胶粒、热熔胶膜产品。"&amp;CHAR(10)&amp;Basic_Fundamental_Information_Constructure(F107)&amp;CHAR(10)&amp;Basic_Fundamental_Information_Concatenate("功能性聚烯烃热熔胶粒 3.58亿 49.82% 利润占比52.97% 17.42%
热熔胶膜 2.37亿 33.06% 利润占比32.52% 16.12%
原材料贸易 5672.17万 7.90% 利润占比7.49% 15.54%
其他 4624.52万 6.44% 利润占比6.26% 15.92%")</f>
        <v>公司是一家专注于绿色环保高性能的高分子热熔粘接材料研发、生产和销售的高新技术企业，公司的主要产品为功能性聚烯烃热熔胶粒、热熔胶膜产品。
市值19.550723亿, 利润9533.08万; PE; 平均PE22.6; 平均PEG1.4, PB1.55; ROIC9.885%; ROE5.8433%; 股利率0%; 毛利9.86%; 净利2.2%; 上一年度营收增-72.38%, 利润增27.38%; 当季营收增305.84%, 利润增33.83%; 过往5年营收增16.13%, 利润增20.48%
Income profile:
功能性聚烯烃热熔胶粒 3.58亿 49.82% 利润占比52.97% 17.42%
热熔胶膜 2.37亿 33.06% 利润占比32.52% 16.12%
原材料贸易 5672.17万 7.90% 利润占比7.49% 15.54%
其他 4624.52万 6.44% 利润占比6.26% 15.92%</v>
      </c>
      <c r="D107" t="s">
        <v>1164</v>
      </c>
      <c r="E107" t="s">
        <v>1165</v>
      </c>
      <c r="F107">
        <v>20.95</v>
      </c>
      <c r="G107">
        <v>0.19</v>
      </c>
      <c r="H107" t="s">
        <v>4650</v>
      </c>
      <c r="I107">
        <v>1955072300</v>
      </c>
      <c r="K107">
        <v>1.55</v>
      </c>
      <c r="L107" t="s">
        <v>428</v>
      </c>
      <c r="M107" t="s">
        <v>2090</v>
      </c>
      <c r="N107" t="s">
        <v>574</v>
      </c>
      <c r="O107" t="s">
        <v>682</v>
      </c>
      <c r="P107">
        <v>-21.37</v>
      </c>
      <c r="Q107" t="s">
        <v>2034</v>
      </c>
      <c r="R107">
        <v>24939393</v>
      </c>
      <c r="S107" s="4">
        <v>1.7110000000000001</v>
      </c>
      <c r="T107" t="s">
        <v>4651</v>
      </c>
      <c r="U107">
        <v>49462578</v>
      </c>
      <c r="V107">
        <v>93320873</v>
      </c>
      <c r="W107">
        <v>2.13</v>
      </c>
      <c r="X107">
        <v>0.2</v>
      </c>
      <c r="Y107">
        <v>4.49</v>
      </c>
      <c r="Z107" t="s">
        <v>311</v>
      </c>
      <c r="AA107" t="s">
        <v>138</v>
      </c>
      <c r="AB107" t="s">
        <v>4652</v>
      </c>
      <c r="AC107" t="s">
        <v>4653</v>
      </c>
      <c r="AD107" t="s">
        <v>5</v>
      </c>
      <c r="AE107">
        <v>9706490</v>
      </c>
      <c r="AF107" t="s">
        <v>3008</v>
      </c>
      <c r="AG107">
        <v>0.11</v>
      </c>
      <c r="AH107" t="s">
        <v>3009</v>
      </c>
      <c r="AI107" t="s">
        <v>25</v>
      </c>
      <c r="AJ107" t="s">
        <v>3010</v>
      </c>
      <c r="AK107" t="s">
        <v>4654</v>
      </c>
      <c r="AL107" t="s">
        <v>3011</v>
      </c>
      <c r="AM107" t="s">
        <v>5</v>
      </c>
      <c r="AN107" t="s">
        <v>4655</v>
      </c>
      <c r="AO107" t="s">
        <v>2206</v>
      </c>
      <c r="AP107" t="s">
        <v>4656</v>
      </c>
      <c r="AQ107" t="s">
        <v>293</v>
      </c>
      <c r="AR107" t="s">
        <v>5</v>
      </c>
      <c r="AS107" t="s">
        <v>2082</v>
      </c>
      <c r="AT107" t="s">
        <v>212</v>
      </c>
      <c r="AU107" t="s">
        <v>2643</v>
      </c>
      <c r="AV107" t="s">
        <v>4657</v>
      </c>
      <c r="AW107" t="s">
        <v>23</v>
      </c>
      <c r="AX107" t="s">
        <v>1868</v>
      </c>
      <c r="AY107" t="s">
        <v>1223</v>
      </c>
      <c r="AZ107" t="s">
        <v>1405</v>
      </c>
      <c r="BA107" t="s">
        <v>1166</v>
      </c>
      <c r="BB107" t="s">
        <v>235</v>
      </c>
      <c r="BC107" t="s">
        <v>3012</v>
      </c>
      <c r="BD107" t="s">
        <v>188</v>
      </c>
      <c r="BE107" t="s">
        <v>40</v>
      </c>
      <c r="BF107" t="s">
        <v>1167</v>
      </c>
      <c r="BG107" t="s">
        <v>1168</v>
      </c>
      <c r="BH107" t="s">
        <v>3006</v>
      </c>
      <c r="BI107" t="s">
        <v>48</v>
      </c>
      <c r="BJ107" t="s">
        <v>1868</v>
      </c>
      <c r="BK107" t="s">
        <v>3007</v>
      </c>
      <c r="BL107" t="s">
        <v>4658</v>
      </c>
      <c r="BM107" t="s">
        <v>3012</v>
      </c>
      <c r="BN107" t="s">
        <v>5</v>
      </c>
      <c r="BO107">
        <v>5.79</v>
      </c>
      <c r="BP107">
        <v>13.98</v>
      </c>
      <c r="BQ107">
        <v>-5.0599999999999996</v>
      </c>
      <c r="BR107">
        <v>6.42</v>
      </c>
      <c r="BS107">
        <v>16.170000000000002</v>
      </c>
      <c r="BT107" t="s">
        <v>1670</v>
      </c>
      <c r="BU107" t="s">
        <v>1516</v>
      </c>
      <c r="BV107">
        <v>4.87</v>
      </c>
      <c r="BW107">
        <v>9.9</v>
      </c>
      <c r="BX107">
        <v>14.81</v>
      </c>
      <c r="BY107">
        <v>-2.93</v>
      </c>
      <c r="BZ107">
        <v>2.86</v>
      </c>
      <c r="CA107">
        <v>6.67</v>
      </c>
      <c r="CB107">
        <v>-4.03</v>
      </c>
      <c r="CC107">
        <v>-20.100000000000001</v>
      </c>
      <c r="CD107" t="s">
        <v>4659</v>
      </c>
      <c r="CE107" t="s">
        <v>4660</v>
      </c>
      <c r="CF107" s="8">
        <v>3.0583941605839415</v>
      </c>
      <c r="CG107" s="9">
        <v>0.33830207511631277</v>
      </c>
      <c r="CH107" s="8">
        <v>-0.72383493185043335</v>
      </c>
      <c r="CI107" s="8">
        <v>0.54636740684509277</v>
      </c>
      <c r="CJ107" s="8">
        <v>0.67292481660842896</v>
      </c>
      <c r="CK107" s="8">
        <v>0.27295598387718201</v>
      </c>
      <c r="CL107" s="8">
        <v>3.7859007716178894E-2</v>
      </c>
      <c r="CM107" s="9">
        <v>0.27378794550895691</v>
      </c>
      <c r="CN107" s="9">
        <v>-0.33769556879997253</v>
      </c>
      <c r="CO107" s="9">
        <v>-2.5862069800496101E-2</v>
      </c>
      <c r="CP107" s="9">
        <v>0.61239206790924072</v>
      </c>
      <c r="CQ107" s="9">
        <v>0.50161761045455933</v>
      </c>
      <c r="CR107">
        <v>22.600938068013015</v>
      </c>
      <c r="CS107">
        <v>1.4015698256680782</v>
      </c>
      <c r="CT107">
        <v>0</v>
      </c>
      <c r="CU107" s="8">
        <v>0.16125445663928986</v>
      </c>
      <c r="CV107" s="9">
        <v>0.20484799705445766</v>
      </c>
      <c r="CW107">
        <v>0.06</v>
      </c>
      <c r="CX107">
        <v>19.514832157985701</v>
      </c>
      <c r="CY107">
        <v>104437090.90093283</v>
      </c>
      <c r="CZ107">
        <v>0.16125445663928986</v>
      </c>
      <c r="DA107">
        <v>6.006845817608748</v>
      </c>
      <c r="DB107">
        <v>339291595.27043289</v>
      </c>
      <c r="DC107">
        <v>0.15319173380732537</v>
      </c>
      <c r="DD107">
        <v>2.723953441014348</v>
      </c>
      <c r="DE107">
        <v>748203794.27669692</v>
      </c>
      <c r="DF107">
        <v>0.14190392184257508</v>
      </c>
      <c r="DG107">
        <v>1.4867663996257607</v>
      </c>
      <c r="DH107">
        <v>1370808689.5917277</v>
      </c>
      <c r="DI107">
        <v>0.12900356531143189</v>
      </c>
      <c r="DJ107">
        <v>0.6165825789058168</v>
      </c>
      <c r="DK107">
        <v>3305432832.0737653</v>
      </c>
      <c r="DL107">
        <v>0.1128781196475029</v>
      </c>
      <c r="DM107">
        <v>95330800</v>
      </c>
      <c r="DN107">
        <v>0.16125445663928986</v>
      </c>
      <c r="DO107">
        <v>2038072300</v>
      </c>
      <c r="DP107">
        <v>1310038300</v>
      </c>
      <c r="DQ107">
        <v>3888</v>
      </c>
      <c r="DR107">
        <v>2.8971397039446516</v>
      </c>
      <c r="DS107">
        <v>0.13345407806185511</v>
      </c>
      <c r="DT107" s="10">
        <v>-0.24000000000000007</v>
      </c>
      <c r="DU107">
        <v>0.56999999999999995</v>
      </c>
      <c r="DV107">
        <v>0.32999999999999985</v>
      </c>
      <c r="DW107">
        <v>-8.2004975124378117</v>
      </c>
      <c r="DX107">
        <v>0.29978903367825255</v>
      </c>
      <c r="DY107">
        <v>-8.0200074530210621</v>
      </c>
      <c r="DZ107">
        <v>145</v>
      </c>
      <c r="EA107">
        <v>-8.0194397268590158</v>
      </c>
      <c r="EB107">
        <v>8</v>
      </c>
      <c r="EC107">
        <v>4.9013686359320706E-2</v>
      </c>
      <c r="ED107">
        <v>0.49117307335948301</v>
      </c>
      <c r="EE107" s="11">
        <v>4.1276000000000002</v>
      </c>
      <c r="EF107">
        <v>4.1276000000000002</v>
      </c>
      <c r="EG107">
        <v>20.099789033678253</v>
      </c>
      <c r="EH107" t="s">
        <v>2132</v>
      </c>
      <c r="EI107">
        <v>0</v>
      </c>
      <c r="EJ107">
        <v>1</v>
      </c>
      <c r="EK107" s="12">
        <v>45470</v>
      </c>
      <c r="EL107">
        <v>1.62</v>
      </c>
      <c r="EM107">
        <v>-1.17</v>
      </c>
      <c r="EN107">
        <v>1.54</v>
      </c>
      <c r="EO107">
        <v>4.54</v>
      </c>
      <c r="EP107">
        <v>0</v>
      </c>
    </row>
    <row r="108" spans="1:148" ht="156" x14ac:dyDescent="0.25">
      <c r="C108" s="6" t="str">
        <f>"公司主营业务为研发、生产和销售高性能多品类涂料产品。公司主要产品和服务为风电涂料、集装箱涂料、其他工业涂料。公司在2016年推出了环保类水性风电叶片涂料产品，目前在风电叶片涂料领域已经处于国内领先地位。"&amp;CHAR(10)&amp;Basic_Fundamental_Information_Constructure(F108)&amp;CHAR(10)&amp;Basic_Fundamental_Information_Concatenate("风电涂料 2.85亿 52.39% 1.39亿 70.33% 48.94%
集装箱涂料 2.36亿 43.39% 5381.37万 27.18% 22.83%
其他工业涂料 2263.24万 4.17% 492.29万 2.49% 21.75%")</f>
        <v>公司主营业务为研发、生产和销售高性能多品类涂料产品。公司主要产品和服务为风电涂料、集装箱涂料、其他工业涂料。公司在2016年推出了环保类水性风电叶片涂料产品，目前在风电叶片涂料领域已经处于国内领先地位。
市值33.6312亿, 利润5.02亿; PE24.22; 平均PE13; 平均PEG.18, PB1.57; ROIC31.99%; ROE33.71%; 股利率4.1747%; 毛利31.2067%; 净利16.5833%; 上一年度营收增170.51%, 利润增93.08%; 当季营收增-50.49%, 利润增-63.97%; 过往5年营收增71.48%, 利润增165.49%
Income profile:
风电涂料 2.85亿 52.39% 1.39亿 70.33% 48.94%
集装箱涂料 2.36亿 43.39% 5381.37万 27.18% 22.83%
其他工业涂料 2263.24万 4.17% 492.29万 2.49% 21.75%</v>
      </c>
      <c r="D108" t="s">
        <v>2123</v>
      </c>
      <c r="E108" t="s">
        <v>2124</v>
      </c>
      <c r="F108">
        <v>31.14</v>
      </c>
      <c r="G108">
        <v>-0.32</v>
      </c>
      <c r="H108" t="s">
        <v>4661</v>
      </c>
      <c r="I108">
        <v>3363120000</v>
      </c>
      <c r="J108">
        <v>24.22</v>
      </c>
      <c r="K108">
        <v>1.57</v>
      </c>
      <c r="L108" t="s">
        <v>428</v>
      </c>
      <c r="M108" t="s">
        <v>2373</v>
      </c>
      <c r="N108" t="s">
        <v>4662</v>
      </c>
      <c r="O108" t="s">
        <v>221</v>
      </c>
      <c r="P108">
        <v>31.02</v>
      </c>
      <c r="Q108" t="s">
        <v>4663</v>
      </c>
      <c r="R108">
        <v>28269903</v>
      </c>
      <c r="S108">
        <v>-0.49840000000000001</v>
      </c>
      <c r="T108" t="s">
        <v>189</v>
      </c>
      <c r="U108">
        <v>27000000</v>
      </c>
      <c r="V108">
        <v>108000000</v>
      </c>
      <c r="W108">
        <v>1.28</v>
      </c>
      <c r="X108">
        <v>0.11</v>
      </c>
      <c r="Y108">
        <v>9.36</v>
      </c>
      <c r="Z108" t="s">
        <v>36</v>
      </c>
      <c r="AA108" t="s">
        <v>269</v>
      </c>
      <c r="AB108" t="s">
        <v>4664</v>
      </c>
      <c r="AC108" t="s">
        <v>4665</v>
      </c>
      <c r="AD108" t="s">
        <v>5</v>
      </c>
      <c r="AE108">
        <v>-1956573</v>
      </c>
      <c r="AF108" t="s">
        <v>3014</v>
      </c>
      <c r="AG108">
        <v>0.25</v>
      </c>
      <c r="AH108" t="s">
        <v>3015</v>
      </c>
      <c r="AI108" t="s">
        <v>399</v>
      </c>
      <c r="AJ108" t="s">
        <v>3016</v>
      </c>
      <c r="AK108" t="s">
        <v>227</v>
      </c>
      <c r="AL108" t="s">
        <v>3017</v>
      </c>
      <c r="AM108" t="s">
        <v>5</v>
      </c>
      <c r="AN108" t="s">
        <v>4666</v>
      </c>
      <c r="AO108" t="s">
        <v>4667</v>
      </c>
      <c r="AP108" t="s">
        <v>437</v>
      </c>
      <c r="AQ108" t="s">
        <v>30</v>
      </c>
      <c r="AR108" t="s">
        <v>5</v>
      </c>
      <c r="AS108" t="s">
        <v>415</v>
      </c>
      <c r="AT108" t="s">
        <v>5</v>
      </c>
      <c r="AU108" t="s">
        <v>4668</v>
      </c>
      <c r="AV108" t="s">
        <v>90</v>
      </c>
      <c r="AW108" t="s">
        <v>4669</v>
      </c>
      <c r="AX108" t="s">
        <v>2125</v>
      </c>
      <c r="AY108" t="s">
        <v>2126</v>
      </c>
      <c r="AZ108" t="s">
        <v>355</v>
      </c>
      <c r="BA108" t="s">
        <v>2027</v>
      </c>
      <c r="BB108" t="s">
        <v>5</v>
      </c>
      <c r="BC108" t="s">
        <v>370</v>
      </c>
      <c r="BD108" t="s">
        <v>403</v>
      </c>
      <c r="BE108" t="s">
        <v>78</v>
      </c>
      <c r="BF108" t="s">
        <v>2127</v>
      </c>
      <c r="BG108" t="s">
        <v>5</v>
      </c>
      <c r="BH108" t="s">
        <v>1655</v>
      </c>
      <c r="BI108" t="s">
        <v>462</v>
      </c>
      <c r="BJ108" t="s">
        <v>2125</v>
      </c>
      <c r="BK108" t="s">
        <v>359</v>
      </c>
      <c r="BL108" t="s">
        <v>4670</v>
      </c>
      <c r="BM108" t="s">
        <v>370</v>
      </c>
      <c r="BN108">
        <v>19.489999999999998</v>
      </c>
      <c r="BO108">
        <v>31.05</v>
      </c>
      <c r="BP108">
        <v>45.43</v>
      </c>
      <c r="BQ108">
        <v>21.47</v>
      </c>
      <c r="BR108">
        <v>45.95</v>
      </c>
      <c r="BS108" t="s">
        <v>5</v>
      </c>
      <c r="BT108" t="s">
        <v>3019</v>
      </c>
      <c r="BU108" t="s">
        <v>1515</v>
      </c>
      <c r="BV108">
        <v>30.33</v>
      </c>
      <c r="BW108">
        <v>31.73</v>
      </c>
      <c r="BX108">
        <v>31.56</v>
      </c>
      <c r="BY108">
        <v>14.64</v>
      </c>
      <c r="BZ108">
        <v>18.75</v>
      </c>
      <c r="CA108">
        <v>16.36</v>
      </c>
      <c r="CB108">
        <v>-6.23</v>
      </c>
      <c r="CC108">
        <v>-25.54</v>
      </c>
      <c r="CD108" t="s">
        <v>4671</v>
      </c>
      <c r="CE108" t="s">
        <v>4672</v>
      </c>
      <c r="CF108" s="8">
        <v>-0.5049180327868853</v>
      </c>
      <c r="CG108" s="9">
        <v>-0.63974902131694045</v>
      </c>
      <c r="CH108" s="8">
        <v>1.7051188945770264</v>
      </c>
      <c r="CI108" s="8">
        <v>-0.30301505327224731</v>
      </c>
      <c r="CJ108" s="8">
        <v>1.1147714853286743</v>
      </c>
      <c r="CK108" s="8">
        <v>0.34236803650856018</v>
      </c>
      <c r="CL108" s="8" t="s">
        <v>5</v>
      </c>
      <c r="CM108" s="9">
        <v>0.93076920509338379</v>
      </c>
      <c r="CN108" s="9">
        <v>-0.20245398581027985</v>
      </c>
      <c r="CO108" s="9">
        <v>0.85227274894714355</v>
      </c>
      <c r="CP108" s="9">
        <v>5.0388131141662598</v>
      </c>
      <c r="CQ108" s="9" t="s">
        <v>5</v>
      </c>
      <c r="CR108">
        <v>13.00364816067002</v>
      </c>
      <c r="CS108">
        <v>0.18191733279227204</v>
      </c>
      <c r="CT108">
        <v>4.1746949261400124</v>
      </c>
      <c r="CU108" s="8">
        <v>0.71481084078550339</v>
      </c>
      <c r="CV108" s="9">
        <v>1.6548502705991268</v>
      </c>
      <c r="CW108">
        <v>0.06</v>
      </c>
      <c r="CX108">
        <v>2.2535411608308009</v>
      </c>
      <c r="CY108">
        <v>812108530.25879478</v>
      </c>
      <c r="CZ108">
        <v>0.71481084078550339</v>
      </c>
      <c r="DA108">
        <v>0.45188115009410479</v>
      </c>
      <c r="DB108">
        <v>4050002970.0705047</v>
      </c>
      <c r="DC108">
        <v>0.67907029874622815</v>
      </c>
      <c r="DD108">
        <v>0.10459738898302645</v>
      </c>
      <c r="DE108">
        <v>17496803866.65276</v>
      </c>
      <c r="DF108">
        <v>0.629033539891243</v>
      </c>
      <c r="DG108">
        <v>2.3549891461855894E-2</v>
      </c>
      <c r="DH108">
        <v>77712460074.997467</v>
      </c>
      <c r="DI108">
        <v>0.57184867262840278</v>
      </c>
      <c r="DJ108">
        <v>1.0279556364305301E-3</v>
      </c>
      <c r="DK108">
        <v>1780349204908.2029</v>
      </c>
      <c r="DL108">
        <v>0.5003675885498523</v>
      </c>
      <c r="DM108">
        <v>501999999.99999994</v>
      </c>
      <c r="DN108">
        <v>0.71481084078550339</v>
      </c>
      <c r="DO108">
        <v>1830120000</v>
      </c>
      <c r="DP108">
        <v>1926192700</v>
      </c>
      <c r="DQ108">
        <v>3898</v>
      </c>
      <c r="DR108">
        <v>-1.2197288735723886</v>
      </c>
      <c r="DS108">
        <v>-2.2945992919160672</v>
      </c>
      <c r="DT108" s="10">
        <v>0.15199999999999997</v>
      </c>
      <c r="DU108">
        <v>0.60600000000000009</v>
      </c>
      <c r="DV108">
        <v>0.75800000000000001</v>
      </c>
      <c r="DW108">
        <v>-9.2439310884886456</v>
      </c>
      <c r="DX108">
        <v>0.23516294992969244</v>
      </c>
      <c r="DY108">
        <v>-9.0232132019601394</v>
      </c>
      <c r="DZ108">
        <v>1864</v>
      </c>
      <c r="EA108">
        <v>-9.0147456073508057</v>
      </c>
      <c r="EB108">
        <v>9</v>
      </c>
      <c r="EC108">
        <v>3.6908333333333335E-2</v>
      </c>
      <c r="ED108">
        <v>0.3878435185185185</v>
      </c>
      <c r="EE108" s="11">
        <v>4.0007999999999999</v>
      </c>
      <c r="EF108" s="11">
        <v>4.0319099999999999</v>
      </c>
      <c r="EG108">
        <v>14.095162949929692</v>
      </c>
      <c r="EH108" t="s">
        <v>3827</v>
      </c>
      <c r="EI108">
        <v>0</v>
      </c>
      <c r="EJ108">
        <v>0</v>
      </c>
      <c r="EK108" s="12">
        <v>45470</v>
      </c>
      <c r="EL108">
        <v>-2.93</v>
      </c>
      <c r="EM108">
        <v>-4.87</v>
      </c>
      <c r="EN108">
        <v>-5.49</v>
      </c>
      <c r="EO108">
        <v>6.19</v>
      </c>
      <c r="EP108">
        <v>-3.27</v>
      </c>
      <c r="EQ108" t="e">
        <f t="shared" ref="EQ108" ca="1" si="0">Change_to_Value_accord_Unit(T108)</f>
        <v>#NAME?</v>
      </c>
      <c r="ER108" t="e">
        <f t="shared" ref="ER108" ca="1" si="1">Change_to_Value_accord_Unit(N108)</f>
        <v>#NAME?</v>
      </c>
    </row>
    <row r="109" spans="1:148" ht="96" x14ac:dyDescent="0.25">
      <c r="C109" s="6" t="str">
        <f>""&amp;CHAR(10)&amp;Basic_Fundamental_Information_Constructure(F109)&amp;CHAR(10)&amp;Basic_Fundamental_Information_Concatenate("")</f>
        <v xml:space="preserve">
市值30.417046亿, 利润1.42亿; PE73.95; 平均PE18.92; 平均PEG1.34, PB1.45; ROIC9.9533%; ROE9.68%; 股利率1.3774%; 毛利25.6633%; 净利10.8433%; 上一年度营收增-12.22%, 利润增-42.28%; 当季营收增48.11%, 利润增-77.03%; 过往5年营收增14.17%, 利润增63.62%
Income profile:
</v>
      </c>
      <c r="D109" t="s">
        <v>1702</v>
      </c>
      <c r="E109" t="s">
        <v>1703</v>
      </c>
      <c r="F109">
        <v>7.26</v>
      </c>
      <c r="G109">
        <v>0.69</v>
      </c>
      <c r="H109" t="s">
        <v>4673</v>
      </c>
      <c r="I109">
        <v>3041704600</v>
      </c>
      <c r="J109">
        <v>73.95</v>
      </c>
      <c r="K109">
        <v>1.45</v>
      </c>
      <c r="L109" t="s">
        <v>428</v>
      </c>
      <c r="M109" t="s">
        <v>2139</v>
      </c>
      <c r="N109" t="s">
        <v>4674</v>
      </c>
      <c r="O109" t="s">
        <v>28</v>
      </c>
      <c r="P109">
        <v>-32.51</v>
      </c>
      <c r="Q109" t="s">
        <v>4675</v>
      </c>
      <c r="R109">
        <v>10917688</v>
      </c>
      <c r="S109">
        <v>-0.75680000000000003</v>
      </c>
      <c r="T109" t="s">
        <v>86</v>
      </c>
      <c r="U109">
        <v>196673460</v>
      </c>
      <c r="V109">
        <v>418967570</v>
      </c>
      <c r="W109">
        <v>1.6</v>
      </c>
      <c r="X109">
        <v>0.1</v>
      </c>
      <c r="Y109">
        <v>3.47</v>
      </c>
      <c r="Z109" t="s">
        <v>246</v>
      </c>
      <c r="AA109" t="s">
        <v>113</v>
      </c>
      <c r="AB109" t="s">
        <v>4676</v>
      </c>
      <c r="AC109" t="s">
        <v>4677</v>
      </c>
      <c r="AD109" t="s">
        <v>5</v>
      </c>
      <c r="AE109">
        <v>4310979</v>
      </c>
      <c r="AF109" t="s">
        <v>3021</v>
      </c>
      <c r="AG109" t="s">
        <v>2506</v>
      </c>
      <c r="AH109" t="s">
        <v>3022</v>
      </c>
      <c r="AI109" t="s">
        <v>246</v>
      </c>
      <c r="AJ109" t="s">
        <v>3023</v>
      </c>
      <c r="AK109" t="s">
        <v>4678</v>
      </c>
      <c r="AL109" t="s">
        <v>3024</v>
      </c>
      <c r="AM109" t="s">
        <v>5</v>
      </c>
      <c r="AN109" t="s">
        <v>4679</v>
      </c>
      <c r="AO109" t="s">
        <v>2782</v>
      </c>
      <c r="AP109" t="s">
        <v>4680</v>
      </c>
      <c r="AQ109" t="s">
        <v>51</v>
      </c>
      <c r="AR109" t="s">
        <v>4681</v>
      </c>
      <c r="AS109" t="s">
        <v>1008</v>
      </c>
      <c r="AT109" t="s">
        <v>81</v>
      </c>
      <c r="AU109" t="s">
        <v>4682</v>
      </c>
      <c r="AV109" t="s">
        <v>4683</v>
      </c>
      <c r="AW109" t="s">
        <v>66</v>
      </c>
      <c r="AX109" t="s">
        <v>1546</v>
      </c>
      <c r="AY109" t="s">
        <v>1704</v>
      </c>
      <c r="AZ109" t="s">
        <v>1642</v>
      </c>
      <c r="BA109" t="s">
        <v>248</v>
      </c>
      <c r="BB109" t="s">
        <v>493</v>
      </c>
      <c r="BC109" t="s">
        <v>385</v>
      </c>
      <c r="BD109" t="s">
        <v>286</v>
      </c>
      <c r="BE109" t="s">
        <v>24</v>
      </c>
      <c r="BF109" t="s">
        <v>56</v>
      </c>
      <c r="BG109" t="s">
        <v>1869</v>
      </c>
      <c r="BH109" t="s">
        <v>2136</v>
      </c>
      <c r="BI109" t="s">
        <v>47</v>
      </c>
      <c r="BJ109" t="s">
        <v>1546</v>
      </c>
      <c r="BK109" t="s">
        <v>3020</v>
      </c>
      <c r="BL109" t="s">
        <v>4684</v>
      </c>
      <c r="BM109" t="s">
        <v>385</v>
      </c>
      <c r="BN109">
        <v>2.74</v>
      </c>
      <c r="BO109">
        <v>12.31</v>
      </c>
      <c r="BP109">
        <v>14.81</v>
      </c>
      <c r="BQ109">
        <v>3.01</v>
      </c>
      <c r="BR109">
        <v>16.350000000000001</v>
      </c>
      <c r="BS109" t="s">
        <v>5</v>
      </c>
      <c r="BT109" t="s">
        <v>1674</v>
      </c>
      <c r="BU109" t="s">
        <v>1516</v>
      </c>
      <c r="BV109">
        <v>18.98</v>
      </c>
      <c r="BW109">
        <v>28.92</v>
      </c>
      <c r="BX109">
        <v>29.09</v>
      </c>
      <c r="BY109">
        <v>5.29</v>
      </c>
      <c r="BZ109">
        <v>13.74</v>
      </c>
      <c r="CA109">
        <v>13.5</v>
      </c>
      <c r="CB109">
        <v>-2.81</v>
      </c>
      <c r="CC109" s="8">
        <v>-26.07</v>
      </c>
      <c r="CD109" s="9" t="s">
        <v>4685</v>
      </c>
      <c r="CE109" s="8" t="s">
        <v>4686</v>
      </c>
      <c r="CF109" s="8">
        <v>0.48113207547169812</v>
      </c>
      <c r="CG109" s="8">
        <v>-0.77033863293099025</v>
      </c>
      <c r="CH109" s="8">
        <v>-0.12220985442399979</v>
      </c>
      <c r="CI109" s="8">
        <v>3.3448673784732819E-2</v>
      </c>
      <c r="CJ109" s="9">
        <v>0.42716041207313538</v>
      </c>
      <c r="CK109" s="9">
        <v>0.22110559046268463</v>
      </c>
      <c r="CL109" s="9">
        <v>0.14896073937416077</v>
      </c>
      <c r="CM109" s="9">
        <v>-0.42276424169540405</v>
      </c>
      <c r="CN109" s="9">
        <v>5.128205195069313E-2</v>
      </c>
      <c r="CO109">
        <v>0.30726256966590881</v>
      </c>
      <c r="CP109">
        <v>0.3769230842590332</v>
      </c>
      <c r="CQ109">
        <v>2.8681957721710205</v>
      </c>
      <c r="CR109" s="8">
        <v>18.919850293497646</v>
      </c>
      <c r="CS109" s="9">
        <v>1.3352695831511368</v>
      </c>
      <c r="CT109">
        <v>1.3774104683195594</v>
      </c>
      <c r="CU109">
        <v>0.14169311225414277</v>
      </c>
      <c r="CV109">
        <v>0.63617984727025034</v>
      </c>
      <c r="CW109">
        <v>0.06</v>
      </c>
      <c r="CX109">
        <v>13.506298896811321</v>
      </c>
      <c r="CY109">
        <v>152943794.28310212</v>
      </c>
      <c r="CZ109">
        <v>0.14169311225414277</v>
      </c>
      <c r="DA109">
        <v>4.225798773402242</v>
      </c>
      <c r="DB109">
        <v>488831747.74005538</v>
      </c>
      <c r="DC109">
        <v>0.13460845664143561</v>
      </c>
      <c r="DD109">
        <v>1.9604879552621883</v>
      </c>
      <c r="DE109">
        <v>1053668600.4397005</v>
      </c>
      <c r="DF109">
        <v>0.12468993878364563</v>
      </c>
      <c r="DG109">
        <v>1.0994270407195845</v>
      </c>
      <c r="DH109">
        <v>1878891935.06463</v>
      </c>
      <c r="DI109">
        <v>0.11335448980331422</v>
      </c>
      <c r="DJ109">
        <v>0.48612157253496724</v>
      </c>
      <c r="DK109">
        <v>4249358013.9388108</v>
      </c>
      <c r="DL109">
        <v>9.9185178577899935E-2</v>
      </c>
      <c r="DM109">
        <v>142000000</v>
      </c>
      <c r="DN109">
        <v>0.14169311225414277</v>
      </c>
      <c r="DO109">
        <v>2065704600</v>
      </c>
      <c r="DP109">
        <v>65211160</v>
      </c>
      <c r="DQ109" s="10">
        <v>3900</v>
      </c>
      <c r="DR109">
        <v>0.33943896321755535</v>
      </c>
      <c r="DS109">
        <v>-1.4065184802012407</v>
      </c>
      <c r="DT109">
        <v>-0.19000000000000003</v>
      </c>
      <c r="DU109">
        <v>0.1516666666666667</v>
      </c>
      <c r="DV109">
        <v>-3.833333333333333E-2</v>
      </c>
      <c r="DW109">
        <v>-8.1077867280398923</v>
      </c>
      <c r="DX109">
        <v>0.44571883522717526</v>
      </c>
      <c r="DY109">
        <v>-8.0232516274257133</v>
      </c>
      <c r="DZ109">
        <v>366</v>
      </c>
      <c r="EA109">
        <v>-8.0215862466746746</v>
      </c>
      <c r="EB109" s="11">
        <v>8</v>
      </c>
      <c r="EC109" s="11">
        <v>3.0168683461586299E-2</v>
      </c>
      <c r="ED109">
        <v>0.13985187445414929</v>
      </c>
      <c r="EE109">
        <v>-4.0068999999999999</v>
      </c>
      <c r="EF109">
        <v>-4.0236099999999997</v>
      </c>
      <c r="EG109">
        <v>23.215718835227175</v>
      </c>
      <c r="EH109" s="12" t="s">
        <v>2156</v>
      </c>
      <c r="EI109">
        <v>0</v>
      </c>
      <c r="EJ109">
        <v>1</v>
      </c>
      <c r="EK109">
        <v>45470</v>
      </c>
      <c r="EL109">
        <v>1.21</v>
      </c>
      <c r="EM109">
        <v>-4.9000000000000004</v>
      </c>
      <c r="EN109">
        <v>-0.82</v>
      </c>
      <c r="EO109">
        <v>1.71</v>
      </c>
      <c r="EP109">
        <v>-3.05</v>
      </c>
    </row>
    <row r="110" spans="1:148" ht="96" x14ac:dyDescent="0.25">
      <c r="A110" s="6"/>
      <c r="B110" s="6"/>
      <c r="C110" s="6" t="str">
        <f>""&amp;CHAR(10)&amp;Basic_Fundamental_Information_Constructure(F110)&amp;CHAR(10)&amp;Basic_Fundamental_Information_Concatenate("")</f>
        <v xml:space="preserve">
市值19.8408亿, 利润1.34亿; PE; 平均PE22.47; 平均PEG1.07, PB1.59; ROIC2.4433%; ROE2.63%; 股利率.5177%; 毛利20.89%; 净利1.92%; 上一年度营收增47.83%, 利润增325.61%; 当季营收增-32.23%, 利润增-85.05%; 过往5年营收增20.94%, 利润增106.02%
Income profile:
</v>
      </c>
      <c r="D110" t="s">
        <v>930</v>
      </c>
      <c r="E110" t="s">
        <v>931</v>
      </c>
      <c r="F110">
        <v>11.59</v>
      </c>
      <c r="G110">
        <v>3.02</v>
      </c>
      <c r="H110" t="s">
        <v>4687</v>
      </c>
      <c r="I110">
        <v>1984080000</v>
      </c>
      <c r="K110">
        <v>1.59</v>
      </c>
      <c r="L110" t="s">
        <v>428</v>
      </c>
      <c r="M110" t="s">
        <v>301</v>
      </c>
      <c r="N110" t="s">
        <v>3267</v>
      </c>
      <c r="O110" t="s">
        <v>90</v>
      </c>
      <c r="P110">
        <v>9.19</v>
      </c>
      <c r="Q110" t="s">
        <v>4535</v>
      </c>
      <c r="R110">
        <v>3813061</v>
      </c>
      <c r="S110" s="4">
        <v>9.2200000000000004E-2</v>
      </c>
      <c r="T110" t="s">
        <v>271</v>
      </c>
      <c r="U110">
        <v>171188960</v>
      </c>
      <c r="V110">
        <v>171188960</v>
      </c>
      <c r="W110">
        <v>1.39</v>
      </c>
      <c r="X110">
        <v>0.11</v>
      </c>
      <c r="Y110">
        <v>2.87</v>
      </c>
      <c r="Z110" t="s">
        <v>164</v>
      </c>
      <c r="AA110" t="s">
        <v>262</v>
      </c>
      <c r="AB110" t="s">
        <v>4688</v>
      </c>
      <c r="AC110" t="s">
        <v>4689</v>
      </c>
      <c r="AD110" t="s">
        <v>5</v>
      </c>
      <c r="AE110">
        <v>-1026982</v>
      </c>
      <c r="AF110" t="s">
        <v>3026</v>
      </c>
      <c r="AG110" t="s">
        <v>4690</v>
      </c>
      <c r="AH110" t="s">
        <v>3027</v>
      </c>
      <c r="AI110" t="s">
        <v>313</v>
      </c>
      <c r="AJ110" t="s">
        <v>3028</v>
      </c>
      <c r="AK110" t="s">
        <v>4691</v>
      </c>
      <c r="AL110" t="s">
        <v>3029</v>
      </c>
      <c r="AM110" t="s">
        <v>5</v>
      </c>
      <c r="AN110" t="s">
        <v>313</v>
      </c>
      <c r="AO110" t="s">
        <v>45</v>
      </c>
      <c r="AP110" t="s">
        <v>4692</v>
      </c>
      <c r="AQ110" t="s">
        <v>4693</v>
      </c>
      <c r="AR110" t="s">
        <v>5</v>
      </c>
      <c r="AS110" t="s">
        <v>431</v>
      </c>
      <c r="AT110" t="s">
        <v>186</v>
      </c>
      <c r="AU110" t="s">
        <v>4694</v>
      </c>
      <c r="AV110" t="s">
        <v>4695</v>
      </c>
      <c r="AW110" t="s">
        <v>4696</v>
      </c>
      <c r="AX110" t="s">
        <v>1055</v>
      </c>
      <c r="AY110" t="s">
        <v>657</v>
      </c>
      <c r="AZ110" t="s">
        <v>1407</v>
      </c>
      <c r="BA110" t="s">
        <v>589</v>
      </c>
      <c r="BB110" t="s">
        <v>138</v>
      </c>
      <c r="BC110" t="s">
        <v>3030</v>
      </c>
      <c r="BD110" t="s">
        <v>1406</v>
      </c>
      <c r="BE110" t="s">
        <v>176</v>
      </c>
      <c r="BF110" t="s">
        <v>932</v>
      </c>
      <c r="BG110" t="s">
        <v>933</v>
      </c>
      <c r="BH110" t="s">
        <v>253</v>
      </c>
      <c r="BI110" t="s">
        <v>166</v>
      </c>
      <c r="BJ110" t="s">
        <v>1055</v>
      </c>
      <c r="BK110" t="s">
        <v>3025</v>
      </c>
      <c r="BL110" t="s">
        <v>4697</v>
      </c>
      <c r="BM110" t="s">
        <v>3030</v>
      </c>
      <c r="BN110">
        <v>0.12</v>
      </c>
      <c r="BO110">
        <v>2.15</v>
      </c>
      <c r="BP110">
        <v>5.0599999999999996</v>
      </c>
      <c r="BQ110">
        <v>-0.28000000000000003</v>
      </c>
      <c r="BR110">
        <v>2.38</v>
      </c>
      <c r="BS110">
        <v>5.79</v>
      </c>
      <c r="BT110" t="s">
        <v>1672</v>
      </c>
      <c r="BU110" t="s">
        <v>1534</v>
      </c>
      <c r="BV110">
        <v>16.010000000000002</v>
      </c>
      <c r="BW110">
        <v>17.73</v>
      </c>
      <c r="BX110">
        <v>28.93</v>
      </c>
      <c r="BY110">
        <v>-7.45</v>
      </c>
      <c r="BZ110">
        <v>4.12</v>
      </c>
      <c r="CA110">
        <v>9.09</v>
      </c>
      <c r="CB110">
        <v>15.44</v>
      </c>
      <c r="CC110">
        <v>2.48</v>
      </c>
      <c r="CD110" t="s">
        <v>4698</v>
      </c>
      <c r="CE110" t="s">
        <v>179</v>
      </c>
      <c r="CF110" s="8">
        <v>-0.32234432234432236</v>
      </c>
      <c r="CG110" s="9">
        <v>-0.85051919541176146</v>
      </c>
      <c r="CH110" s="8">
        <v>0.47831988334655762</v>
      </c>
      <c r="CI110" s="8">
        <v>-6.5822787582874298E-2</v>
      </c>
      <c r="CJ110" s="8">
        <v>-8.8811993598937988E-2</v>
      </c>
      <c r="CK110" s="8">
        <v>0.67052024602890015</v>
      </c>
      <c r="CL110" s="8">
        <v>5.2738334983587265E-2</v>
      </c>
      <c r="CM110" s="9">
        <v>3.2560760974884033</v>
      </c>
      <c r="CN110" s="9">
        <v>-0.5843999981880188</v>
      </c>
      <c r="CO110" s="9">
        <v>-0.61544924974441528</v>
      </c>
      <c r="CP110" s="9">
        <v>3.188788890838623</v>
      </c>
      <c r="CQ110" s="9">
        <v>5.5807240307331085E-2</v>
      </c>
      <c r="CR110">
        <v>22.469100570085139</v>
      </c>
      <c r="CS110">
        <v>1.0730806695302175</v>
      </c>
      <c r="CT110">
        <v>0.51768766177739434</v>
      </c>
      <c r="CU110" s="8">
        <v>0.20938873663544655</v>
      </c>
      <c r="CV110" s="9">
        <v>1.0601645961403847</v>
      </c>
      <c r="CW110">
        <v>0.06</v>
      </c>
      <c r="CX110">
        <v>7.6598755086401464</v>
      </c>
      <c r="CY110">
        <v>152884991.23504701</v>
      </c>
      <c r="CZ110">
        <v>0.20938873663544655</v>
      </c>
      <c r="DA110">
        <v>2.2656851398466418</v>
      </c>
      <c r="DB110">
        <v>516876762.53164959</v>
      </c>
      <c r="DC110">
        <v>0.1989192998036742</v>
      </c>
      <c r="DD110">
        <v>0.97068968687443058</v>
      </c>
      <c r="DE110">
        <v>1206441168.4137859</v>
      </c>
      <c r="DF110">
        <v>0.18426208823919296</v>
      </c>
      <c r="DG110">
        <v>0.494469033410258</v>
      </c>
      <c r="DH110">
        <v>2368358624.8531804</v>
      </c>
      <c r="DI110">
        <v>0.16751098930835726</v>
      </c>
      <c r="DJ110">
        <v>0.17331253746906089</v>
      </c>
      <c r="DK110">
        <v>6757041452.9823437</v>
      </c>
      <c r="DL110">
        <v>0.14657211564481257</v>
      </c>
      <c r="DM110">
        <v>134000000.00000001</v>
      </c>
      <c r="DN110">
        <v>0.20938873663544655</v>
      </c>
      <c r="DO110">
        <v>1171080000</v>
      </c>
      <c r="DP110">
        <v>367623400</v>
      </c>
      <c r="DQ110">
        <v>3912</v>
      </c>
      <c r="DR110">
        <v>-0.53173305897976886</v>
      </c>
      <c r="DS110">
        <v>-1.9106837915521462</v>
      </c>
      <c r="DT110" s="10">
        <v>-4.0000000000000036E-2</v>
      </c>
      <c r="DU110">
        <v>-0.1483333333333334</v>
      </c>
      <c r="DV110">
        <v>-0.18833333333333344</v>
      </c>
      <c r="DW110">
        <v>5.1606217616580308</v>
      </c>
      <c r="DX110">
        <v>0.74682039473684192</v>
      </c>
      <c r="DY110">
        <v>5.0524944675484047</v>
      </c>
      <c r="DZ110">
        <v>592</v>
      </c>
      <c r="EA110">
        <v>5.0464129167091372</v>
      </c>
      <c r="EB110">
        <v>5</v>
      </c>
      <c r="EC110">
        <v>0.29018635313866037</v>
      </c>
      <c r="ED110">
        <v>0.88790772489067049</v>
      </c>
      <c r="EE110" s="11">
        <v>-1.0828</v>
      </c>
      <c r="EF110">
        <v>-1.0587</v>
      </c>
      <c r="EG110">
        <v>42.326820394736842</v>
      </c>
      <c r="EH110" t="s">
        <v>1692</v>
      </c>
      <c r="EI110">
        <v>1</v>
      </c>
      <c r="EJ110">
        <v>1</v>
      </c>
      <c r="EK110" s="12">
        <v>45470</v>
      </c>
      <c r="EL110">
        <v>-2.52</v>
      </c>
      <c r="EM110">
        <v>-1.1499999999999999</v>
      </c>
      <c r="EN110">
        <v>-4.8600000000000003</v>
      </c>
      <c r="EO110">
        <v>4.34</v>
      </c>
      <c r="EP110">
        <v>-2.41</v>
      </c>
    </row>
    <row r="111" spans="1:148" ht="156" x14ac:dyDescent="0.25">
      <c r="A111" s="6"/>
      <c r="B111" s="6"/>
      <c r="C111" s="6" t="str">
        <f>"公司的主营业务为软包装用油墨、复合用聚氨酯胶粘剂以及PCB电子油墨等产品生产销售。公司的主要产品有包装油墨、聚氨酯胶粘剂、电子油墨，产品广泛应用于食品包装、饮料包装、药品包装、卷烟包装及电子制品领域。"&amp;CHAR(10)&amp;Basic_Fundamental_Information_Constructure(F111)&amp;CHAR(10)&amp;Basic_Fundamental_Information_Concatenate("包装油墨 1.88亿 66.34%
聚氨酯胶粘剂 8067.15万 28.41%
电子油墨 1353.87万 4.77%")</f>
        <v>公司的主营业务为软包装用油墨、复合用聚氨酯胶粘剂以及PCB电子油墨等产品生产销售。公司的主要产品有包装油墨、聚氨酯胶粘剂、电子油墨，产品广泛应用于食品包装、饮料包装、药品包装、卷烟包装及电子制品领域。
市值21.571506亿, 利润3.49亿; PE43.02; 平均PE23.13; 平均PEG.15, PB3.12; ROIC4.1467%; ROE4.5567%; 股利率0%; 毛利26.5833%; 净利10.7233%; 上一年度营收增771.78%, 利润增1670.21%; 当季营收增-85.43%, 利润增-92.17%; 过往5年营收增155.01%, 利润增334.48%
Income profile:
包装油墨 1.88亿 66.34%
聚氨酯胶粘剂 8067.15万 28.41%
电子油墨 1353.87万 4.77%</v>
      </c>
      <c r="D111" t="s">
        <v>934</v>
      </c>
      <c r="E111" t="s">
        <v>935</v>
      </c>
      <c r="F111">
        <v>10.72</v>
      </c>
      <c r="G111">
        <v>2.4900000000000002</v>
      </c>
      <c r="H111" t="s">
        <v>4699</v>
      </c>
      <c r="I111">
        <v>2157150600</v>
      </c>
      <c r="J111">
        <v>43.02</v>
      </c>
      <c r="K111">
        <v>3.12</v>
      </c>
      <c r="L111" t="s">
        <v>428</v>
      </c>
      <c r="M111" t="s">
        <v>970</v>
      </c>
      <c r="N111" t="s">
        <v>2888</v>
      </c>
      <c r="O111" t="s">
        <v>3032</v>
      </c>
      <c r="P111">
        <v>5.84</v>
      </c>
      <c r="Q111" t="s">
        <v>4700</v>
      </c>
      <c r="R111">
        <v>2604540</v>
      </c>
      <c r="S111" s="4">
        <v>-0.41789999999999999</v>
      </c>
      <c r="T111" t="s">
        <v>1900</v>
      </c>
      <c r="U111">
        <v>201226730</v>
      </c>
      <c r="V111">
        <v>201226730</v>
      </c>
      <c r="W111">
        <v>1.19</v>
      </c>
      <c r="X111">
        <v>0.11</v>
      </c>
      <c r="Y111">
        <v>2.94</v>
      </c>
      <c r="Z111" t="s">
        <v>4701</v>
      </c>
      <c r="AA111" t="s">
        <v>4702</v>
      </c>
      <c r="AB111" t="s">
        <v>4703</v>
      </c>
      <c r="AC111" t="s">
        <v>4704</v>
      </c>
      <c r="AD111" t="s">
        <v>5</v>
      </c>
      <c r="AE111">
        <v>-771699</v>
      </c>
      <c r="AF111" t="s">
        <v>32</v>
      </c>
      <c r="AG111" t="s">
        <v>4705</v>
      </c>
      <c r="AH111" t="s">
        <v>3034</v>
      </c>
      <c r="AI111" t="s">
        <v>164</v>
      </c>
      <c r="AJ111" t="s">
        <v>3035</v>
      </c>
      <c r="AK111" t="s">
        <v>4706</v>
      </c>
      <c r="AL111" t="s">
        <v>3036</v>
      </c>
      <c r="AM111" t="s">
        <v>5</v>
      </c>
      <c r="AN111" t="s">
        <v>4707</v>
      </c>
      <c r="AO111" t="s">
        <v>5</v>
      </c>
      <c r="AP111" t="s">
        <v>4708</v>
      </c>
      <c r="AQ111" t="s">
        <v>4709</v>
      </c>
      <c r="AR111" t="s">
        <v>5</v>
      </c>
      <c r="AS111" t="s">
        <v>6</v>
      </c>
      <c r="AT111" t="s">
        <v>5</v>
      </c>
      <c r="AU111" t="s">
        <v>4710</v>
      </c>
      <c r="AV111" t="s">
        <v>4711</v>
      </c>
      <c r="AW111" t="s">
        <v>5</v>
      </c>
      <c r="AX111" t="s">
        <v>345</v>
      </c>
      <c r="AY111" t="s">
        <v>584</v>
      </c>
      <c r="AZ111" t="s">
        <v>141</v>
      </c>
      <c r="BA111" t="s">
        <v>554</v>
      </c>
      <c r="BB111" t="s">
        <v>386</v>
      </c>
      <c r="BC111" t="s">
        <v>1871</v>
      </c>
      <c r="BD111" t="s">
        <v>1410</v>
      </c>
      <c r="BE111" t="s">
        <v>1411</v>
      </c>
      <c r="BF111" t="s">
        <v>936</v>
      </c>
      <c r="BG111" t="s">
        <v>937</v>
      </c>
      <c r="BH111" t="s">
        <v>1285</v>
      </c>
      <c r="BI111" t="s">
        <v>279</v>
      </c>
      <c r="BJ111" t="s">
        <v>345</v>
      </c>
      <c r="BK111" t="s">
        <v>3033</v>
      </c>
      <c r="BL111" t="s">
        <v>4712</v>
      </c>
      <c r="BM111" t="s">
        <v>1871</v>
      </c>
      <c r="BN111">
        <v>1.93</v>
      </c>
      <c r="BO111">
        <v>2.65</v>
      </c>
      <c r="BP111">
        <v>7.86</v>
      </c>
      <c r="BQ111">
        <v>2.25</v>
      </c>
      <c r="BR111">
        <v>2.93</v>
      </c>
      <c r="BS111">
        <v>8.49</v>
      </c>
      <c r="BT111" t="s">
        <v>1670</v>
      </c>
      <c r="BU111" t="s">
        <v>1515</v>
      </c>
      <c r="BV111">
        <v>27.66</v>
      </c>
      <c r="BW111">
        <v>25.27</v>
      </c>
      <c r="BX111">
        <v>26.82</v>
      </c>
      <c r="BY111">
        <v>13.22</v>
      </c>
      <c r="BZ111">
        <v>4.88</v>
      </c>
      <c r="CA111">
        <v>14.07</v>
      </c>
      <c r="CB111">
        <v>-3.68</v>
      </c>
      <c r="CC111">
        <v>-21.47</v>
      </c>
      <c r="CD111" t="s">
        <v>4713</v>
      </c>
      <c r="CE111" t="s">
        <v>190</v>
      </c>
      <c r="CF111" s="8">
        <v>-0.85425799011532122</v>
      </c>
      <c r="CG111" s="9">
        <v>-0.92171435269930291</v>
      </c>
      <c r="CH111" s="8">
        <v>7.7178215980529785</v>
      </c>
      <c r="CI111" s="8">
        <v>2.0202020183205605E-2</v>
      </c>
      <c r="CJ111" s="8">
        <v>-4.5783132314682007E-2</v>
      </c>
      <c r="CK111" s="8">
        <v>4.842615220695734E-3</v>
      </c>
      <c r="CL111" s="8">
        <v>5.35714291036129E-2</v>
      </c>
      <c r="CM111" s="9">
        <v>16.702077865600586</v>
      </c>
      <c r="CN111" s="9">
        <v>-0.64599645137786865</v>
      </c>
      <c r="CO111" s="9">
        <v>0.1188185065984726</v>
      </c>
      <c r="CP111" s="9">
        <v>-5.2367862313985825E-2</v>
      </c>
      <c r="CQ111" s="9">
        <v>0.6015586256980896</v>
      </c>
      <c r="CR111">
        <v>23.132502704144116</v>
      </c>
      <c r="CS111">
        <v>0.14922934968829318</v>
      </c>
      <c r="CT111">
        <v>0</v>
      </c>
      <c r="CU111" s="8">
        <v>1.5501309060491621</v>
      </c>
      <c r="CV111" s="9">
        <v>3.3448181368410586</v>
      </c>
      <c r="CW111">
        <v>0.06</v>
      </c>
      <c r="CX111">
        <v>1.9463011594744108</v>
      </c>
      <c r="CY111">
        <v>839618571.89731848</v>
      </c>
      <c r="CZ111">
        <v>1.5501309060491621</v>
      </c>
      <c r="DA111">
        <v>0.22877961790690485</v>
      </c>
      <c r="DB111">
        <v>7142902916.5743675</v>
      </c>
      <c r="DC111">
        <v>1.472624360746704</v>
      </c>
      <c r="DD111">
        <v>2.1158282468201763E-2</v>
      </c>
      <c r="DE111">
        <v>77234558261.329712</v>
      </c>
      <c r="DF111">
        <v>1.3641151973232628</v>
      </c>
      <c r="DG111">
        <v>1.3891169533240223E-3</v>
      </c>
      <c r="DH111">
        <v>1176395260377.2029</v>
      </c>
      <c r="DI111">
        <v>1.2401047248393298</v>
      </c>
      <c r="DJ111">
        <v>3.0599840339228521E-6</v>
      </c>
      <c r="DK111">
        <v>534038930230967.31</v>
      </c>
      <c r="DL111">
        <v>1.0850916342344135</v>
      </c>
      <c r="DM111">
        <v>349000000</v>
      </c>
      <c r="DN111">
        <v>1.5501309060491621</v>
      </c>
      <c r="DO111">
        <v>1634150600</v>
      </c>
      <c r="DP111">
        <v>466025230</v>
      </c>
      <c r="DQ111">
        <v>3938</v>
      </c>
      <c r="DR111">
        <v>-2.4043888961644835</v>
      </c>
      <c r="DS111">
        <v>-4.2665324895403618</v>
      </c>
      <c r="DT111" s="10">
        <v>-0.14000000000000004</v>
      </c>
      <c r="DU111">
        <v>-0.24000000000000007</v>
      </c>
      <c r="DV111">
        <v>-0.38000000000000012</v>
      </c>
      <c r="DW111">
        <v>-8.1714019562179789</v>
      </c>
      <c r="DX111">
        <v>0.46364468085106497</v>
      </c>
      <c r="DY111">
        <v>-8.0211929401738207</v>
      </c>
      <c r="DZ111">
        <v>2820</v>
      </c>
      <c r="EA111">
        <v>-8.0094974232872893</v>
      </c>
      <c r="EB111">
        <v>8</v>
      </c>
      <c r="EC111">
        <v>8.6638092265376471E-2</v>
      </c>
      <c r="ED111">
        <v>0.70070213832923689</v>
      </c>
      <c r="EE111" s="11">
        <v>-3.0076100000000001</v>
      </c>
      <c r="EF111">
        <v>-3.0241099999999999</v>
      </c>
      <c r="EG111">
        <v>34.123644680851065</v>
      </c>
      <c r="EH111" t="s">
        <v>2025</v>
      </c>
      <c r="EI111">
        <v>0</v>
      </c>
      <c r="EJ111">
        <v>0</v>
      </c>
      <c r="EK111" s="12">
        <v>45470</v>
      </c>
      <c r="EL111">
        <v>-0.3</v>
      </c>
      <c r="EM111">
        <v>-3.35</v>
      </c>
      <c r="EN111">
        <v>0.15</v>
      </c>
      <c r="EO111">
        <v>2.5299999999999998</v>
      </c>
      <c r="EP111">
        <v>-1.65</v>
      </c>
    </row>
    <row r="112" spans="1:148" ht="96" x14ac:dyDescent="0.25">
      <c r="C112" s="6" t="str">
        <f>""&amp;CHAR(10)&amp;Basic_Fundamental_Information_Constructure(F112)&amp;CHAR(10)&amp;Basic_Fundamental_Information_Concatenate("")</f>
        <v xml:space="preserve">
市值51.40026亿, 利润1.43亿; PE24.16; 平均PE42.3; 平均PEG.67, PB2.32; ROIC19.8567%; ROE18.175%; 股利率1.2493%; 毛利30.7767%; 净利19.8633%; 上一年度营收增218.15%, 利润增-25.13%; 当季营收增-59.7%, 利润增33.74%; 过往5年营收增63.28%, 利润增31.03%
Income profile:
</v>
      </c>
      <c r="D112" t="s">
        <v>1707</v>
      </c>
      <c r="E112" t="s">
        <v>1708</v>
      </c>
      <c r="F112">
        <v>18.41</v>
      </c>
      <c r="G112">
        <v>0.6</v>
      </c>
      <c r="H112" t="s">
        <v>4714</v>
      </c>
      <c r="I112">
        <v>5140026000</v>
      </c>
      <c r="J112">
        <v>24.16</v>
      </c>
      <c r="K112">
        <v>2.3199999999999998</v>
      </c>
      <c r="L112" t="s">
        <v>428</v>
      </c>
      <c r="M112" t="s">
        <v>56</v>
      </c>
      <c r="N112" t="s">
        <v>2188</v>
      </c>
      <c r="O112" t="s">
        <v>150</v>
      </c>
      <c r="P112" s="4">
        <v>2.46</v>
      </c>
      <c r="Q112" t="s">
        <v>4715</v>
      </c>
      <c r="R112">
        <v>46433588</v>
      </c>
      <c r="S112">
        <v>3.3600000000000001E-3</v>
      </c>
      <c r="T112" t="s">
        <v>39</v>
      </c>
      <c r="U112">
        <v>69803000</v>
      </c>
      <c r="V112">
        <v>279197500</v>
      </c>
      <c r="W112">
        <v>1.04</v>
      </c>
      <c r="X112">
        <v>0.11</v>
      </c>
      <c r="Y112">
        <v>19.11</v>
      </c>
      <c r="Z112" t="s">
        <v>172</v>
      </c>
      <c r="AA112" t="s">
        <v>186</v>
      </c>
      <c r="AB112" t="s">
        <v>4716</v>
      </c>
      <c r="AC112" t="s">
        <v>4717</v>
      </c>
      <c r="AD112" t="s">
        <v>5</v>
      </c>
      <c r="AE112">
        <v>-3323074</v>
      </c>
      <c r="AF112" t="s">
        <v>3037</v>
      </c>
      <c r="AG112" t="s">
        <v>4718</v>
      </c>
      <c r="AH112" t="s">
        <v>3038</v>
      </c>
      <c r="AI112" t="s">
        <v>2096</v>
      </c>
      <c r="AJ112" t="s">
        <v>3039</v>
      </c>
      <c r="AK112" t="s">
        <v>75</v>
      </c>
      <c r="AL112" t="s">
        <v>3040</v>
      </c>
      <c r="AM112" t="s">
        <v>5</v>
      </c>
      <c r="AN112" t="s">
        <v>74</v>
      </c>
      <c r="AO112" t="s">
        <v>5</v>
      </c>
      <c r="AP112" t="s">
        <v>5</v>
      </c>
      <c r="AQ112" t="s">
        <v>4719</v>
      </c>
      <c r="AR112" t="s">
        <v>5</v>
      </c>
      <c r="AS112" t="s">
        <v>4720</v>
      </c>
      <c r="AT112" t="s">
        <v>5</v>
      </c>
      <c r="AU112" t="s">
        <v>4721</v>
      </c>
      <c r="AV112" t="s">
        <v>4722</v>
      </c>
      <c r="AW112">
        <v>-3411.3</v>
      </c>
      <c r="AX112" t="s">
        <v>1709</v>
      </c>
      <c r="AY112" t="s">
        <v>1544</v>
      </c>
      <c r="AZ112" t="s">
        <v>104</v>
      </c>
      <c r="BA112" t="s">
        <v>1762</v>
      </c>
      <c r="BB112" t="s">
        <v>252</v>
      </c>
      <c r="BC112" t="s">
        <v>149</v>
      </c>
      <c r="BD112" t="s">
        <v>58</v>
      </c>
      <c r="BE112" t="s">
        <v>26</v>
      </c>
      <c r="BF112" t="s">
        <v>1872</v>
      </c>
      <c r="BG112" t="s">
        <v>1873</v>
      </c>
      <c r="BH112" t="s">
        <v>2137</v>
      </c>
      <c r="BI112" t="s">
        <v>2089</v>
      </c>
      <c r="BJ112" t="s">
        <v>1709</v>
      </c>
      <c r="BK112" t="s">
        <v>582</v>
      </c>
      <c r="BL112" t="s">
        <v>4723</v>
      </c>
      <c r="BM112" t="s">
        <v>149</v>
      </c>
      <c r="BN112">
        <v>10.47</v>
      </c>
      <c r="BO112">
        <v>25.07</v>
      </c>
      <c r="BP112">
        <v>24.03</v>
      </c>
      <c r="BQ112">
        <v>10.72</v>
      </c>
      <c r="BR112">
        <v>25.63</v>
      </c>
      <c r="BS112" t="s">
        <v>5</v>
      </c>
      <c r="BT112" t="s">
        <v>3041</v>
      </c>
      <c r="BU112" t="s">
        <v>1516</v>
      </c>
      <c r="BV112">
        <v>31.66</v>
      </c>
      <c r="BW112">
        <v>30.68</v>
      </c>
      <c r="BX112">
        <v>29.99</v>
      </c>
      <c r="BY112">
        <v>20.86</v>
      </c>
      <c r="BZ112">
        <v>19.79</v>
      </c>
      <c r="CA112">
        <v>18.940000000000001</v>
      </c>
      <c r="CB112">
        <v>6.97</v>
      </c>
      <c r="CC112" s="8">
        <v>-12.38</v>
      </c>
      <c r="CD112" s="9" t="s">
        <v>4724</v>
      </c>
      <c r="CE112" s="8" t="s">
        <v>39</v>
      </c>
      <c r="CF112" s="8">
        <v>-0.59701492537313428</v>
      </c>
      <c r="CG112" s="8">
        <v>0.33741915043146653</v>
      </c>
      <c r="CH112" s="8">
        <v>2.1815352439880371</v>
      </c>
      <c r="CI112" s="8">
        <v>0.27176782488822937</v>
      </c>
      <c r="CJ112" s="9">
        <v>0.34635880589485168</v>
      </c>
      <c r="CK112" s="9">
        <v>3.6832410842180252E-2</v>
      </c>
      <c r="CL112" s="9">
        <v>0.32762837409973145</v>
      </c>
      <c r="CM112" s="9">
        <v>-0.25130888819694519</v>
      </c>
      <c r="CN112" s="9">
        <v>0.3263888955116272</v>
      </c>
      <c r="CO112">
        <v>0.125</v>
      </c>
      <c r="CP112">
        <v>0.65297996997833252</v>
      </c>
      <c r="CQ112">
        <v>0.69865125417709351</v>
      </c>
      <c r="CR112" s="8">
        <v>42.303429276403776</v>
      </c>
      <c r="CS112" s="9">
        <v>0.66848592526183037</v>
      </c>
      <c r="CT112">
        <v>1.249321021184139</v>
      </c>
      <c r="CU112">
        <v>0.63282453194260602</v>
      </c>
      <c r="CV112">
        <v>0.31034224629402163</v>
      </c>
      <c r="CW112">
        <v>0.06</v>
      </c>
      <c r="CX112">
        <v>13.864462618271357</v>
      </c>
      <c r="CY112">
        <v>220277271.76206854</v>
      </c>
      <c r="CZ112">
        <v>0.63282453194260602</v>
      </c>
      <c r="DA112">
        <v>2.9502334178654137</v>
      </c>
      <c r="DB112">
        <v>1035181142.4499704</v>
      </c>
      <c r="DC112">
        <v>0.6011833053454757</v>
      </c>
      <c r="DD112">
        <v>0.75404949633237617</v>
      </c>
      <c r="DE112">
        <v>4050166487.5508666</v>
      </c>
      <c r="DF112">
        <v>0.55688558810949329</v>
      </c>
      <c r="DG112">
        <v>0.19427579486116167</v>
      </c>
      <c r="DH112">
        <v>15720054071.49432</v>
      </c>
      <c r="DI112">
        <v>0.50625962555408488</v>
      </c>
      <c r="DJ112">
        <v>1.1892919408270962E-2</v>
      </c>
      <c r="DK112">
        <v>256793634528.12683</v>
      </c>
      <c r="DL112">
        <v>0.4429771723598242</v>
      </c>
      <c r="DM112">
        <v>143000000</v>
      </c>
      <c r="DN112">
        <v>0.63282453194260602</v>
      </c>
      <c r="DO112">
        <v>3054026000</v>
      </c>
      <c r="DP112">
        <v>1824710000</v>
      </c>
      <c r="DQ112" s="10">
        <v>3950</v>
      </c>
      <c r="DR112">
        <v>-1.2298394573157403</v>
      </c>
      <c r="DS112">
        <v>2.7076904137444902E-2</v>
      </c>
      <c r="DT112">
        <v>0.24333333333333326</v>
      </c>
      <c r="DU112">
        <v>0.6366666666666666</v>
      </c>
      <c r="DV112">
        <v>0.87999999999999989</v>
      </c>
      <c r="DW112">
        <v>7.3602067183462534</v>
      </c>
      <c r="DX112">
        <v>0.34578391608391668</v>
      </c>
      <c r="DY112">
        <v>7.041706144449865</v>
      </c>
      <c r="DZ112">
        <v>4693</v>
      </c>
      <c r="EA112">
        <v>7.003403417267239</v>
      </c>
      <c r="EB112" s="11">
        <v>7</v>
      </c>
      <c r="EC112" s="11">
        <v>5.9302465100869457E-2</v>
      </c>
      <c r="ED112">
        <v>0.51218223658879469</v>
      </c>
      <c r="EE112">
        <v>-2.0465100000000001</v>
      </c>
      <c r="EF112">
        <v>-2.0674100000000002</v>
      </c>
      <c r="EG112">
        <v>23.115783916083917</v>
      </c>
      <c r="EH112" s="12" t="s">
        <v>1710</v>
      </c>
      <c r="EI112">
        <v>1</v>
      </c>
      <c r="EJ112">
        <v>0</v>
      </c>
      <c r="EK112">
        <v>45470</v>
      </c>
      <c r="EL112">
        <v>0.65</v>
      </c>
      <c r="EM112">
        <v>-3.4</v>
      </c>
      <c r="EN112">
        <v>-0.17</v>
      </c>
      <c r="EO112">
        <v>4.54</v>
      </c>
      <c r="EP112">
        <v>-2.09</v>
      </c>
    </row>
    <row r="113" spans="1:146" ht="96" x14ac:dyDescent="0.25">
      <c r="A113" s="6"/>
      <c r="B113" s="6"/>
      <c r="C113" s="6" t="str">
        <f>""&amp;CHAR(10)&amp;Basic_Fundamental_Information_Constructure(F113)&amp;CHAR(10)&amp;Basic_Fundamental_Information_Concatenate("")</f>
        <v xml:space="preserve">
市值39.599665亿, 利润14.67亿; PE38.9; 平均PE8.88; 平均PEG.08, PB1.74; ROIC10.8%; ROE11.35%; 股利率0%; 毛利32.7033%; 净利27.0467%; 上一年度营收增443.39%, 利润增385.76%; 当季营收增-91.52%, 利润增-95.46%; 过往5年营收增105.17%, 利润增91.82%
Income profile:
</v>
      </c>
      <c r="D113" t="s">
        <v>938</v>
      </c>
      <c r="E113" t="s">
        <v>939</v>
      </c>
      <c r="F113">
        <v>12.54</v>
      </c>
      <c r="G113">
        <v>10</v>
      </c>
      <c r="H113" t="s">
        <v>4725</v>
      </c>
      <c r="I113">
        <v>3959966500</v>
      </c>
      <c r="J113">
        <v>38.9</v>
      </c>
      <c r="K113">
        <v>1.74</v>
      </c>
      <c r="L113" t="s">
        <v>428</v>
      </c>
      <c r="M113" t="s">
        <v>156</v>
      </c>
      <c r="N113" t="s">
        <v>4726</v>
      </c>
      <c r="O113" t="s">
        <v>499</v>
      </c>
      <c r="P113">
        <v>-16.829999999999998</v>
      </c>
      <c r="Q113" t="s">
        <v>4727</v>
      </c>
      <c r="R113">
        <v>33261190</v>
      </c>
      <c r="S113" s="4">
        <v>-0.39410000000000001</v>
      </c>
      <c r="T113" t="s">
        <v>2558</v>
      </c>
      <c r="U113">
        <v>315786800</v>
      </c>
      <c r="V113">
        <v>315786800</v>
      </c>
      <c r="W113">
        <v>1.1200000000000001</v>
      </c>
      <c r="X113">
        <v>7.0000000000000007E-2</v>
      </c>
      <c r="Y113">
        <v>17.600000000000001</v>
      </c>
      <c r="Z113" t="s">
        <v>295</v>
      </c>
      <c r="AA113" t="s">
        <v>110</v>
      </c>
      <c r="AB113" t="s">
        <v>4728</v>
      </c>
      <c r="AC113" t="s">
        <v>4729</v>
      </c>
      <c r="AD113" t="s">
        <v>5</v>
      </c>
      <c r="AE113">
        <v>-3702134</v>
      </c>
      <c r="AF113" t="s">
        <v>3043</v>
      </c>
      <c r="AG113" t="s">
        <v>4730</v>
      </c>
      <c r="AH113" t="s">
        <v>3044</v>
      </c>
      <c r="AI113" t="s">
        <v>1629</v>
      </c>
      <c r="AJ113" t="s">
        <v>3045</v>
      </c>
      <c r="AK113" t="s">
        <v>4731</v>
      </c>
      <c r="AL113" t="s">
        <v>3046</v>
      </c>
      <c r="AM113" t="s">
        <v>5</v>
      </c>
      <c r="AN113" t="s">
        <v>194</v>
      </c>
      <c r="AO113" t="s">
        <v>4732</v>
      </c>
      <c r="AP113" t="s">
        <v>4733</v>
      </c>
      <c r="AQ113" t="s">
        <v>4734</v>
      </c>
      <c r="AR113" t="s">
        <v>4735</v>
      </c>
      <c r="AS113" t="s">
        <v>187</v>
      </c>
      <c r="AT113" t="s">
        <v>5</v>
      </c>
      <c r="AU113" t="s">
        <v>4736</v>
      </c>
      <c r="AV113" t="s">
        <v>4737</v>
      </c>
      <c r="AW113" t="s">
        <v>4732</v>
      </c>
      <c r="AX113" t="s">
        <v>1724</v>
      </c>
      <c r="AY113" t="s">
        <v>677</v>
      </c>
      <c r="AZ113" t="s">
        <v>1236</v>
      </c>
      <c r="BA113" t="s">
        <v>251</v>
      </c>
      <c r="BB113" t="s">
        <v>532</v>
      </c>
      <c r="BC113" t="s">
        <v>221</v>
      </c>
      <c r="BD113" t="s">
        <v>145</v>
      </c>
      <c r="BE113" t="s">
        <v>66</v>
      </c>
      <c r="BF113" t="s">
        <v>406</v>
      </c>
      <c r="BG113" t="s">
        <v>224</v>
      </c>
      <c r="BH113" t="s">
        <v>1830</v>
      </c>
      <c r="BI113" t="s">
        <v>4738</v>
      </c>
      <c r="BJ113" t="s">
        <v>1724</v>
      </c>
      <c r="BK113" t="s">
        <v>43</v>
      </c>
      <c r="BL113" t="s">
        <v>774</v>
      </c>
      <c r="BM113" t="s">
        <v>221</v>
      </c>
      <c r="BN113">
        <v>4.4000000000000004</v>
      </c>
      <c r="BO113">
        <v>12.82</v>
      </c>
      <c r="BP113">
        <v>15.18</v>
      </c>
      <c r="BQ113">
        <v>5.25</v>
      </c>
      <c r="BR113">
        <v>13.42</v>
      </c>
      <c r="BS113">
        <v>15.38</v>
      </c>
      <c r="BT113" t="s">
        <v>3047</v>
      </c>
      <c r="BU113" t="s">
        <v>1520</v>
      </c>
      <c r="BV113">
        <v>24.46</v>
      </c>
      <c r="BW113">
        <v>30.72</v>
      </c>
      <c r="BX113">
        <v>42.93</v>
      </c>
      <c r="BY113">
        <v>18.23</v>
      </c>
      <c r="BZ113">
        <v>26.61</v>
      </c>
      <c r="CA113">
        <v>36.299999999999997</v>
      </c>
      <c r="CB113">
        <v>14.42</v>
      </c>
      <c r="CC113">
        <v>6.21</v>
      </c>
      <c r="CD113" t="s">
        <v>4739</v>
      </c>
      <c r="CE113" t="s">
        <v>4740</v>
      </c>
      <c r="CF113" s="8">
        <v>-0.91520861372812923</v>
      </c>
      <c r="CG113" s="9">
        <v>-0.95462320600272854</v>
      </c>
      <c r="CH113" s="8">
        <v>4.4338622093200684</v>
      </c>
      <c r="CI113" s="8">
        <v>0.28863635659217834</v>
      </c>
      <c r="CJ113" s="8">
        <v>0.79591834545135498</v>
      </c>
      <c r="CK113" s="8">
        <v>-0.18604651093482971</v>
      </c>
      <c r="CL113" s="8">
        <v>-7.3846153914928436E-2</v>
      </c>
      <c r="CM113" s="9">
        <v>3.8576161861419678</v>
      </c>
      <c r="CN113" s="9">
        <v>-5.3291536867618561E-2</v>
      </c>
      <c r="CO113" s="9">
        <v>1.0318471193313599</v>
      </c>
      <c r="CP113" s="9">
        <v>-0.28310501575469971</v>
      </c>
      <c r="CQ113" s="9">
        <v>3.7914693355560303E-2</v>
      </c>
      <c r="CR113">
        <v>8.8821678504672903</v>
      </c>
      <c r="CS113">
        <v>8.4454948138308519E-2</v>
      </c>
      <c r="CT113">
        <v>0</v>
      </c>
      <c r="CU113" s="8">
        <v>1.0517048493027688</v>
      </c>
      <c r="CV113" s="9">
        <v>0.91819628924131391</v>
      </c>
      <c r="CW113">
        <v>0.06</v>
      </c>
      <c r="CX113">
        <v>0.67123737376088344</v>
      </c>
      <c r="CY113">
        <v>2839482088.6105294</v>
      </c>
      <c r="CZ113">
        <v>1.0517048493027688</v>
      </c>
      <c r="DA113">
        <v>0.10692435314376496</v>
      </c>
      <c r="DB113">
        <v>17825373209.762009</v>
      </c>
      <c r="DC113">
        <v>0.99911960683763024</v>
      </c>
      <c r="DD113">
        <v>1.6720219742812289E-2</v>
      </c>
      <c r="DE113">
        <v>113991713584.94493</v>
      </c>
      <c r="DF113">
        <v>0.92550026738643654</v>
      </c>
      <c r="DG113">
        <v>2.2120777220826829E-3</v>
      </c>
      <c r="DH113">
        <v>861618233832.00232</v>
      </c>
      <c r="DI113">
        <v>0.84136387944221502</v>
      </c>
      <c r="DJ113">
        <v>2.620208042326605E-5</v>
      </c>
      <c r="DK113">
        <v>72741036941005.781</v>
      </c>
      <c r="DL113">
        <v>0.7361933945119381</v>
      </c>
      <c r="DM113">
        <v>1467000000</v>
      </c>
      <c r="DN113">
        <v>1.0517048493027688</v>
      </c>
      <c r="DO113">
        <v>1905966500</v>
      </c>
      <c r="DP113">
        <v>1759028700</v>
      </c>
      <c r="DQ113">
        <v>3966</v>
      </c>
      <c r="DR113">
        <v>-1.966913463030898</v>
      </c>
      <c r="DS113">
        <v>-1.8728194952440425</v>
      </c>
      <c r="DT113" s="10">
        <v>0.16</v>
      </c>
      <c r="DU113">
        <v>1.0000000000000011E-2</v>
      </c>
      <c r="DV113">
        <v>0.17</v>
      </c>
      <c r="DW113">
        <v>5.4306518723994452</v>
      </c>
      <c r="DX113">
        <v>1.0980072194848651</v>
      </c>
      <c r="DY113">
        <v>5.1455634419556846</v>
      </c>
      <c r="DZ113">
        <v>1391</v>
      </c>
      <c r="EA113">
        <v>5.1059394208675517</v>
      </c>
      <c r="EB113">
        <v>5</v>
      </c>
      <c r="EC113">
        <v>7.1817441387670419E-2</v>
      </c>
      <c r="ED113">
        <v>0.21247309893890434</v>
      </c>
      <c r="EE113" s="11">
        <v>6.0120100000000001</v>
      </c>
      <c r="EF113">
        <v>6.0221099999999996</v>
      </c>
      <c r="EG113">
        <v>76.338007219484865</v>
      </c>
      <c r="EH113" t="s">
        <v>2160</v>
      </c>
      <c r="EI113">
        <v>1</v>
      </c>
      <c r="EJ113">
        <v>1</v>
      </c>
      <c r="EK113" s="12">
        <v>45470</v>
      </c>
      <c r="EL113">
        <v>0.41</v>
      </c>
      <c r="EM113">
        <v>-4.54</v>
      </c>
      <c r="EN113">
        <v>1.1599999999999999</v>
      </c>
      <c r="EO113">
        <v>1.93</v>
      </c>
      <c r="EP113">
        <v>-1.01</v>
      </c>
    </row>
    <row r="114" spans="1:146" ht="96" x14ac:dyDescent="0.25">
      <c r="C114" s="6" t="str">
        <f>""&amp;CHAR(10)&amp;Basic_Fundamental_Information_Constructure(F114)&amp;CHAR(10)&amp;Basic_Fundamental_Information_Concatenate("")</f>
        <v xml:space="preserve">
市值23.768316亿, 利润1.91亿; PE76.94; 平均PE21.84; 平均PEG.31, PB2.29; ROIC9.7133%; ROE8.365%; 股利率.5612%; 毛利27.0467%; 净利11.3967%; 上一年度营收增295.6%, 利润增182.46%; 当季营收增-70.82%, 利润增-83.48%; 过往5年营收增69.55%, 利润增32.37%
Income profile:
</v>
      </c>
      <c r="D114" t="s">
        <v>1713</v>
      </c>
      <c r="E114" t="s">
        <v>1714</v>
      </c>
      <c r="F114">
        <v>17.82</v>
      </c>
      <c r="G114">
        <v>5.13</v>
      </c>
      <c r="H114" t="s">
        <v>4741</v>
      </c>
      <c r="I114">
        <v>2376831600</v>
      </c>
      <c r="J114">
        <v>76.94</v>
      </c>
      <c r="K114">
        <v>2.29</v>
      </c>
      <c r="L114" t="s">
        <v>428</v>
      </c>
      <c r="M114" t="s">
        <v>1900</v>
      </c>
      <c r="N114" t="s">
        <v>1797</v>
      </c>
      <c r="O114" t="s">
        <v>3048</v>
      </c>
      <c r="P114" s="4">
        <v>-27.38</v>
      </c>
      <c r="Q114" t="s">
        <v>3143</v>
      </c>
      <c r="R114">
        <v>5823533</v>
      </c>
      <c r="S114">
        <v>-0.62139999999999995</v>
      </c>
      <c r="T114" t="s">
        <v>149</v>
      </c>
      <c r="U114">
        <v>50080000</v>
      </c>
      <c r="V114">
        <v>133380000</v>
      </c>
      <c r="W114">
        <v>1.27</v>
      </c>
      <c r="X114">
        <v>7.0000000000000007E-2</v>
      </c>
      <c r="Y114">
        <v>6.17</v>
      </c>
      <c r="Z114" t="s">
        <v>4742</v>
      </c>
      <c r="AA114" t="s">
        <v>4743</v>
      </c>
      <c r="AB114" t="s">
        <v>4744</v>
      </c>
      <c r="AC114" t="s">
        <v>4745</v>
      </c>
      <c r="AD114" t="s">
        <v>5</v>
      </c>
      <c r="AE114">
        <v>-2497525</v>
      </c>
      <c r="AF114" t="s">
        <v>32</v>
      </c>
      <c r="AG114" t="s">
        <v>4746</v>
      </c>
      <c r="AH114" t="s">
        <v>3050</v>
      </c>
      <c r="AI114" t="s">
        <v>1285</v>
      </c>
      <c r="AJ114" t="s">
        <v>3051</v>
      </c>
      <c r="AK114" t="s">
        <v>4747</v>
      </c>
      <c r="AL114" t="s">
        <v>3052</v>
      </c>
      <c r="AM114" t="s">
        <v>5</v>
      </c>
      <c r="AN114" t="s">
        <v>4748</v>
      </c>
      <c r="AO114" t="s">
        <v>4749</v>
      </c>
      <c r="AP114" t="s">
        <v>4750</v>
      </c>
      <c r="AQ114" t="s">
        <v>4751</v>
      </c>
      <c r="AR114" t="s">
        <v>5</v>
      </c>
      <c r="AS114" t="s">
        <v>146</v>
      </c>
      <c r="AT114" t="s">
        <v>4752</v>
      </c>
      <c r="AU114" t="s">
        <v>4753</v>
      </c>
      <c r="AV114" t="s">
        <v>4754</v>
      </c>
      <c r="AW114" t="s">
        <v>4755</v>
      </c>
      <c r="AX114" t="s">
        <v>402</v>
      </c>
      <c r="AY114" t="s">
        <v>1307</v>
      </c>
      <c r="AZ114" t="s">
        <v>500</v>
      </c>
      <c r="BA114" t="s">
        <v>1501</v>
      </c>
      <c r="BB114" t="s">
        <v>5</v>
      </c>
      <c r="BC114" t="s">
        <v>1715</v>
      </c>
      <c r="BD114" t="s">
        <v>1874</v>
      </c>
      <c r="BE114" t="s">
        <v>1875</v>
      </c>
      <c r="BF114" t="s">
        <v>43</v>
      </c>
      <c r="BG114" t="s">
        <v>5</v>
      </c>
      <c r="BH114" t="s">
        <v>315</v>
      </c>
      <c r="BI114" t="s">
        <v>85</v>
      </c>
      <c r="BJ114" t="s">
        <v>402</v>
      </c>
      <c r="BK114" t="s">
        <v>3049</v>
      </c>
      <c r="BL114" t="s">
        <v>4756</v>
      </c>
      <c r="BM114" t="s">
        <v>1715</v>
      </c>
      <c r="BN114">
        <v>3.39</v>
      </c>
      <c r="BO114">
        <v>11.59</v>
      </c>
      <c r="BP114">
        <v>14.16</v>
      </c>
      <c r="BQ114">
        <v>4.26</v>
      </c>
      <c r="BR114">
        <v>12.47</v>
      </c>
      <c r="BS114" t="s">
        <v>5</v>
      </c>
      <c r="BT114" t="s">
        <v>1674</v>
      </c>
      <c r="BU114" t="s">
        <v>1518</v>
      </c>
      <c r="BV114">
        <v>24.64</v>
      </c>
      <c r="BW114">
        <v>26.51</v>
      </c>
      <c r="BX114">
        <v>29.99</v>
      </c>
      <c r="BY114">
        <v>8.1300000000000008</v>
      </c>
      <c r="BZ114">
        <v>12.55</v>
      </c>
      <c r="CA114">
        <v>13.51</v>
      </c>
      <c r="CB114">
        <v>10.27</v>
      </c>
      <c r="CC114" s="8">
        <v>28.76</v>
      </c>
      <c r="CD114" s="9" t="s">
        <v>4757</v>
      </c>
      <c r="CE114" s="8" t="s">
        <v>1274</v>
      </c>
      <c r="CF114" s="8">
        <v>-0.70823941176470584</v>
      </c>
      <c r="CG114" s="8">
        <v>-0.83478026623391366</v>
      </c>
      <c r="CH114" s="8">
        <v>2.9559633731842041</v>
      </c>
      <c r="CI114" s="8">
        <v>-3.368794173002243E-2</v>
      </c>
      <c r="CJ114" s="9">
        <v>9.3023255467414856E-2</v>
      </c>
      <c r="CK114" s="9">
        <v>-0.23328380286693573</v>
      </c>
      <c r="CL114" s="9" t="s">
        <v>5</v>
      </c>
      <c r="CM114" s="9">
        <v>1.8245913982391357</v>
      </c>
      <c r="CN114" s="9">
        <v>-9.902530163526535E-2</v>
      </c>
      <c r="CO114">
        <v>-0.14097605645656586</v>
      </c>
      <c r="CP114">
        <v>-0.28967884182929993</v>
      </c>
      <c r="CQ114" t="s">
        <v>5</v>
      </c>
      <c r="CR114" s="8">
        <v>21.844176115685102</v>
      </c>
      <c r="CS114" s="9">
        <v>0.31407705603426828</v>
      </c>
      <c r="CT114">
        <v>0.5611672278338945</v>
      </c>
      <c r="CU114">
        <v>0.6955037210136652</v>
      </c>
      <c r="CV114">
        <v>0.32372779957950115</v>
      </c>
      <c r="CW114">
        <v>0.06</v>
      </c>
      <c r="CX114">
        <v>5.5180793453132271</v>
      </c>
      <c r="CY114">
        <v>305510576.1449151</v>
      </c>
      <c r="CZ114">
        <v>0.6955037210136652</v>
      </c>
      <c r="DA114">
        <v>1.1219340848440571</v>
      </c>
      <c r="DB114">
        <v>1502611982.979661</v>
      </c>
      <c r="DC114">
        <v>0.66072853496298189</v>
      </c>
      <c r="DD114">
        <v>0.26580101707488535</v>
      </c>
      <c r="DE114">
        <v>6342457295.8840218</v>
      </c>
      <c r="DF114">
        <v>0.61204327449202534</v>
      </c>
      <c r="DG114">
        <v>6.1767107017734073E-2</v>
      </c>
      <c r="DH114">
        <v>27293355337.428669</v>
      </c>
      <c r="DI114">
        <v>0.5564029768109322</v>
      </c>
      <c r="DJ114">
        <v>2.9177601105887145E-3</v>
      </c>
      <c r="DK114">
        <v>577782797798.22302</v>
      </c>
      <c r="DL114">
        <v>0.4868526047095656</v>
      </c>
      <c r="DM114">
        <v>191000000</v>
      </c>
      <c r="DN114">
        <v>0.6955037210136652</v>
      </c>
      <c r="DO114">
        <v>1685831600</v>
      </c>
      <c r="DP114">
        <v>736815470</v>
      </c>
      <c r="DQ114" s="10">
        <v>3981</v>
      </c>
      <c r="DR114">
        <v>-1.4037431327783709</v>
      </c>
      <c r="DS114">
        <v>-1.1585080658134148</v>
      </c>
      <c r="DT114">
        <v>-0.308</v>
      </c>
      <c r="DU114">
        <v>-0.308</v>
      </c>
      <c r="DV114">
        <v>-0.61599999999999999</v>
      </c>
      <c r="DW114">
        <v>9.3570931849791386</v>
      </c>
      <c r="DX114">
        <v>0.58711799163179934</v>
      </c>
      <c r="DY114">
        <v>9.0703894914484895</v>
      </c>
      <c r="DZ114">
        <v>3679</v>
      </c>
      <c r="EA114">
        <v>9.0197118125758884</v>
      </c>
      <c r="EB114" s="11">
        <v>9</v>
      </c>
      <c r="EC114" s="11">
        <v>0.35321037636827113</v>
      </c>
      <c r="ED114">
        <v>1.7918728445044234</v>
      </c>
      <c r="EE114">
        <v>6.1100000000000015E-2</v>
      </c>
      <c r="EF114">
        <v>1.0111000000000001</v>
      </c>
      <c r="EG114">
        <v>39.197117991631799</v>
      </c>
      <c r="EH114" s="12" t="s">
        <v>1178</v>
      </c>
      <c r="EI114">
        <v>1</v>
      </c>
      <c r="EJ114">
        <v>0</v>
      </c>
      <c r="EK114">
        <v>45470</v>
      </c>
      <c r="EL114">
        <v>-3.11</v>
      </c>
      <c r="EM114">
        <v>-4.53</v>
      </c>
      <c r="EN114">
        <v>9.99</v>
      </c>
      <c r="EO114">
        <v>10</v>
      </c>
      <c r="EP114">
        <v>10</v>
      </c>
    </row>
    <row r="115" spans="1:146" ht="96" x14ac:dyDescent="0.25">
      <c r="A115" s="6"/>
      <c r="B115" s="6"/>
      <c r="C115" s="6" t="str">
        <f>""&amp;CHAR(10)&amp;Basic_Fundamental_Information_Constructure(F115)&amp;CHAR(10)&amp;Basic_Fundamental_Information_Concatenate("")</f>
        <v xml:space="preserve">
市值53.04187亿, 利润1.10亿; PE15.89; 平均PE17.6; 平均PEG21.7, PB1.88; ROIC14.6367%; ROE16.81%; 股利率1.6648%; 毛利23.08%; 净利19.3967%; 上一年度营收增-22.32%, 利润增-76.94%; 当季营收增14.66%, 利润增183.99%; 过往5年营收增.81%, 利润增4.9%
Income profile:
</v>
      </c>
      <c r="D115" t="s">
        <v>941</v>
      </c>
      <c r="E115" t="s">
        <v>942</v>
      </c>
      <c r="F115">
        <v>9.01</v>
      </c>
      <c r="G115">
        <v>0.56000000000000005</v>
      </c>
      <c r="H115" t="s">
        <v>4758</v>
      </c>
      <c r="I115">
        <v>5304187000</v>
      </c>
      <c r="J115">
        <v>15.89</v>
      </c>
      <c r="K115">
        <v>1.88</v>
      </c>
      <c r="L115" t="s">
        <v>428</v>
      </c>
      <c r="M115" t="s">
        <v>2015</v>
      </c>
      <c r="N115" t="s">
        <v>2439</v>
      </c>
      <c r="O115" t="s">
        <v>523</v>
      </c>
      <c r="P115">
        <v>23.07</v>
      </c>
      <c r="Q115" t="s">
        <v>1639</v>
      </c>
      <c r="R115">
        <v>87908100</v>
      </c>
      <c r="S115" s="4">
        <v>0.1149</v>
      </c>
      <c r="T115" t="s">
        <v>59</v>
      </c>
      <c r="U115">
        <v>588700000</v>
      </c>
      <c r="V115">
        <v>588700000</v>
      </c>
      <c r="W115">
        <v>1.25</v>
      </c>
      <c r="X115">
        <v>0.15</v>
      </c>
      <c r="Y115">
        <v>16.53</v>
      </c>
      <c r="Z115" t="s">
        <v>375</v>
      </c>
      <c r="AA115" t="s">
        <v>232</v>
      </c>
      <c r="AB115" t="s">
        <v>4759</v>
      </c>
      <c r="AC115" t="s">
        <v>4760</v>
      </c>
      <c r="AD115" t="s">
        <v>5</v>
      </c>
      <c r="AE115">
        <v>-583000</v>
      </c>
      <c r="AF115" t="s">
        <v>3053</v>
      </c>
      <c r="AG115" t="s">
        <v>4761</v>
      </c>
      <c r="AH115" t="s">
        <v>3054</v>
      </c>
      <c r="AI115" t="s">
        <v>1135</v>
      </c>
      <c r="AJ115" t="s">
        <v>3055</v>
      </c>
      <c r="AK115" t="s">
        <v>5</v>
      </c>
      <c r="AL115" t="s">
        <v>3056</v>
      </c>
      <c r="AM115" t="s">
        <v>5</v>
      </c>
      <c r="AN115" t="s">
        <v>161</v>
      </c>
      <c r="AO115" t="s">
        <v>4762</v>
      </c>
      <c r="AP115" t="s">
        <v>4763</v>
      </c>
      <c r="AQ115" t="s">
        <v>110</v>
      </c>
      <c r="AR115" t="s">
        <v>5</v>
      </c>
      <c r="AS115" t="s">
        <v>445</v>
      </c>
      <c r="AT115" t="s">
        <v>33</v>
      </c>
      <c r="AU115" t="s">
        <v>4764</v>
      </c>
      <c r="AV115" t="s">
        <v>4765</v>
      </c>
      <c r="AW115" t="s">
        <v>4766</v>
      </c>
      <c r="AX115" t="s">
        <v>1876</v>
      </c>
      <c r="AY115" t="s">
        <v>1413</v>
      </c>
      <c r="AZ115" t="s">
        <v>1414</v>
      </c>
      <c r="BA115" t="s">
        <v>721</v>
      </c>
      <c r="BB115" t="s">
        <v>383</v>
      </c>
      <c r="BC115" t="s">
        <v>119</v>
      </c>
      <c r="BD115" t="s">
        <v>91</v>
      </c>
      <c r="BE115" t="s">
        <v>337</v>
      </c>
      <c r="BF115" t="s">
        <v>120</v>
      </c>
      <c r="BG115" t="s">
        <v>176</v>
      </c>
      <c r="BH115" t="s">
        <v>721</v>
      </c>
      <c r="BI115" t="s">
        <v>2092</v>
      </c>
      <c r="BJ115" t="s">
        <v>1876</v>
      </c>
      <c r="BK115" t="s">
        <v>267</v>
      </c>
      <c r="BL115" t="s">
        <v>4767</v>
      </c>
      <c r="BM115" t="s">
        <v>119</v>
      </c>
      <c r="BN115">
        <v>7.89</v>
      </c>
      <c r="BO115">
        <v>16.920000000000002</v>
      </c>
      <c r="BP115">
        <v>19.100000000000001</v>
      </c>
      <c r="BQ115">
        <v>9.0299999999999994</v>
      </c>
      <c r="BR115">
        <v>19.73</v>
      </c>
      <c r="BS115">
        <v>21.67</v>
      </c>
      <c r="BT115" t="s">
        <v>1681</v>
      </c>
      <c r="BU115" t="s">
        <v>1516</v>
      </c>
      <c r="BV115">
        <v>24.62</v>
      </c>
      <c r="BW115">
        <v>23.42</v>
      </c>
      <c r="BX115">
        <v>21.2</v>
      </c>
      <c r="BY115">
        <v>17.14</v>
      </c>
      <c r="BZ115">
        <v>21.86</v>
      </c>
      <c r="CA115">
        <v>19.190000000000001</v>
      </c>
      <c r="CB115">
        <v>0.22</v>
      </c>
      <c r="CC115">
        <v>-14.52</v>
      </c>
      <c r="CD115" t="s">
        <v>4768</v>
      </c>
      <c r="CE115" t="s">
        <v>4769</v>
      </c>
      <c r="CF115" s="8">
        <v>0.14655172413793119</v>
      </c>
      <c r="CG115" s="9">
        <v>1.8398675496688741</v>
      </c>
      <c r="CH115" s="8">
        <v>-0.22318975627422333</v>
      </c>
      <c r="CI115" s="8">
        <v>-6.5924599766731262E-2</v>
      </c>
      <c r="CJ115" s="8">
        <v>0.20041109621524811</v>
      </c>
      <c r="CK115" s="8">
        <v>2.7455121278762817E-2</v>
      </c>
      <c r="CL115" s="8">
        <v>0.10180333256721497</v>
      </c>
      <c r="CM115" s="9">
        <v>-0.76939201354980469</v>
      </c>
      <c r="CN115" s="9">
        <v>6.47321417927742E-2</v>
      </c>
      <c r="CO115" s="9">
        <v>0.40000000596046448</v>
      </c>
      <c r="CP115" s="9">
        <v>0.25</v>
      </c>
      <c r="CQ115" s="9">
        <v>0.29949238896369934</v>
      </c>
      <c r="CR115">
        <v>17.602390486725664</v>
      </c>
      <c r="CS115">
        <v>21.70177077432696</v>
      </c>
      <c r="CT115">
        <v>1.6648168701442843</v>
      </c>
      <c r="CU115" s="8">
        <v>8.1110388040542599E-3</v>
      </c>
      <c r="CV115" s="9">
        <v>4.8966504633426666E-2</v>
      </c>
      <c r="CW115">
        <v>0.06</v>
      </c>
      <c r="CX115">
        <v>30.102548154725202</v>
      </c>
      <c r="CY115">
        <v>104615296.47966601</v>
      </c>
      <c r="CZ115">
        <v>8.1110388040542599E-3</v>
      </c>
      <c r="DA115">
        <v>10.550147372340676</v>
      </c>
      <c r="DB115">
        <v>298496967.75385565</v>
      </c>
      <c r="DC115">
        <v>7.7054868638515468E-3</v>
      </c>
      <c r="DD115">
        <v>5.685359206587977</v>
      </c>
      <c r="DE115">
        <v>553911702.9493655</v>
      </c>
      <c r="DF115">
        <v>7.1377141475677487E-3</v>
      </c>
      <c r="DG115">
        <v>3.764804530251336</v>
      </c>
      <c r="DH115">
        <v>836480878.27544188</v>
      </c>
      <c r="DI115">
        <v>6.4888310432434084E-3</v>
      </c>
      <c r="DJ115">
        <v>2.3761252257882401</v>
      </c>
      <c r="DK115">
        <v>1325345552.423614</v>
      </c>
      <c r="DL115">
        <v>5.6777271628379814E-3</v>
      </c>
      <c r="DM115">
        <v>110000000.00000001</v>
      </c>
      <c r="DN115">
        <v>8.1110388040542599E-3</v>
      </c>
      <c r="DO115">
        <v>3149187000</v>
      </c>
      <c r="DP115">
        <v>910529500</v>
      </c>
      <c r="DQ115">
        <v>3988</v>
      </c>
      <c r="DR115">
        <v>0.13844068533387693</v>
      </c>
      <c r="DS115">
        <v>1.7909010450354474</v>
      </c>
      <c r="DT115" s="10">
        <v>-0.47333333333333333</v>
      </c>
      <c r="DU115">
        <v>1.6666666666666607E-2</v>
      </c>
      <c r="DV115">
        <v>-0.45666666666666672</v>
      </c>
      <c r="DW115">
        <v>-2.1452</v>
      </c>
      <c r="DX115">
        <v>0.27495351733985574</v>
      </c>
      <c r="DY115">
        <v>-2.0195952507177468</v>
      </c>
      <c r="DZ115">
        <v>1464</v>
      </c>
      <c r="EA115">
        <v>-2.0139812689074179</v>
      </c>
      <c r="EB115">
        <v>2</v>
      </c>
      <c r="EC115">
        <v>1.2072872430779685E-2</v>
      </c>
      <c r="ED115">
        <v>8.9459487005265834E-2</v>
      </c>
      <c r="EE115" s="11">
        <v>2.2700000000000001E-2</v>
      </c>
      <c r="EF115">
        <v>4.8000000000000022E-3</v>
      </c>
      <c r="EG115">
        <v>14.134953517339856</v>
      </c>
      <c r="EH115" t="s">
        <v>1177</v>
      </c>
      <c r="EI115">
        <v>0</v>
      </c>
      <c r="EJ115">
        <v>1</v>
      </c>
      <c r="EK115" s="12">
        <v>45470</v>
      </c>
      <c r="EL115">
        <v>0.2</v>
      </c>
      <c r="EM115">
        <v>-4.1500000000000004</v>
      </c>
      <c r="EN115">
        <v>1.69</v>
      </c>
      <c r="EO115">
        <v>1.77</v>
      </c>
      <c r="EP115">
        <v>-1.79</v>
      </c>
    </row>
    <row r="116" spans="1:146" ht="84" x14ac:dyDescent="0.25">
      <c r="A116" s="6"/>
      <c r="B116" s="6"/>
      <c r="C116" s="6" t="str">
        <f>""&amp;CHAR(10)&amp;Basic_Fundamental_Information_Constructure(F116)&amp;CHAR(10)&amp;Basic_Fundamental_Information_Concatenate("")</f>
        <v xml:space="preserve">
市值12.999876亿, 利润-8334.30万; PE; 平均PE-4.96; 平均PEG-.22, PB1.41; ROIC0%; ROE-20.8067%; 股利率0%; 毛利2.64%; 净利-60.3867%; 上一年度营收增-69.46%, 利润增88.08%; 当季营收增186.34%, 利润增150.49%; 过往5年营收增-22.28%, 利润增-132.89%
Income profile:
</v>
      </c>
      <c r="D116" t="s">
        <v>943</v>
      </c>
      <c r="E116" t="s">
        <v>944</v>
      </c>
      <c r="F116">
        <v>2.2799999999999998</v>
      </c>
      <c r="G116">
        <v>2.2400000000000002</v>
      </c>
      <c r="H116" t="s">
        <v>4770</v>
      </c>
      <c r="I116">
        <v>1299987600</v>
      </c>
      <c r="K116">
        <v>1.41</v>
      </c>
      <c r="L116" t="s">
        <v>428</v>
      </c>
      <c r="M116" t="s">
        <v>97</v>
      </c>
      <c r="N116" t="s">
        <v>1188</v>
      </c>
      <c r="O116" t="s">
        <v>272</v>
      </c>
      <c r="P116">
        <v>-17.87</v>
      </c>
      <c r="Q116" t="s">
        <v>409</v>
      </c>
      <c r="R116">
        <v>7094347</v>
      </c>
      <c r="S116" s="4">
        <v>1.774</v>
      </c>
      <c r="T116" t="s">
        <v>4771</v>
      </c>
      <c r="U116">
        <v>570170000</v>
      </c>
      <c r="V116">
        <v>570170000</v>
      </c>
      <c r="W116">
        <v>2.33</v>
      </c>
      <c r="X116">
        <v>0.09</v>
      </c>
      <c r="Y116">
        <v>3.72</v>
      </c>
      <c r="Z116" t="s">
        <v>30</v>
      </c>
      <c r="AA116" t="s">
        <v>82</v>
      </c>
      <c r="AB116" t="s">
        <v>4772</v>
      </c>
      <c r="AC116" t="s">
        <v>4773</v>
      </c>
      <c r="AD116" t="s">
        <v>5</v>
      </c>
      <c r="AE116">
        <v>1610945</v>
      </c>
      <c r="AF116" t="s">
        <v>3058</v>
      </c>
      <c r="AG116" t="s">
        <v>4774</v>
      </c>
      <c r="AH116" t="s">
        <v>3059</v>
      </c>
      <c r="AI116" t="s">
        <v>408</v>
      </c>
      <c r="AJ116" t="s">
        <v>3060</v>
      </c>
      <c r="AK116" t="s">
        <v>178</v>
      </c>
      <c r="AL116" t="s">
        <v>3061</v>
      </c>
      <c r="AM116" t="s">
        <v>5</v>
      </c>
      <c r="AN116" t="s">
        <v>4775</v>
      </c>
      <c r="AO116" t="s">
        <v>223</v>
      </c>
      <c r="AP116" t="s">
        <v>4776</v>
      </c>
      <c r="AQ116" t="s">
        <v>185</v>
      </c>
      <c r="AR116" t="s">
        <v>5</v>
      </c>
      <c r="AS116" t="s">
        <v>1332</v>
      </c>
      <c r="AT116" t="s">
        <v>5</v>
      </c>
      <c r="AU116" t="s">
        <v>4777</v>
      </c>
      <c r="AV116" t="s">
        <v>540</v>
      </c>
      <c r="AW116" t="s">
        <v>4778</v>
      </c>
      <c r="AX116" t="s">
        <v>629</v>
      </c>
      <c r="AY116" t="s">
        <v>405</v>
      </c>
      <c r="AZ116" t="s">
        <v>716</v>
      </c>
      <c r="BA116" t="s">
        <v>945</v>
      </c>
      <c r="BB116" t="s">
        <v>946</v>
      </c>
      <c r="BC116" t="s">
        <v>1877</v>
      </c>
      <c r="BD116" t="s">
        <v>1415</v>
      </c>
      <c r="BE116" t="s">
        <v>1416</v>
      </c>
      <c r="BF116" t="s">
        <v>695</v>
      </c>
      <c r="BG116" t="s">
        <v>23</v>
      </c>
      <c r="BH116" t="s">
        <v>458</v>
      </c>
      <c r="BI116" t="s">
        <v>4779</v>
      </c>
      <c r="BJ116" t="s">
        <v>629</v>
      </c>
      <c r="BK116" t="s">
        <v>3057</v>
      </c>
      <c r="BL116" t="s">
        <v>4780</v>
      </c>
      <c r="BM116" t="s">
        <v>1877</v>
      </c>
      <c r="BN116" t="s">
        <v>5</v>
      </c>
      <c r="BO116" t="s">
        <v>5</v>
      </c>
      <c r="BP116" t="s">
        <v>5</v>
      </c>
      <c r="BQ116">
        <v>-18.59</v>
      </c>
      <c r="BR116">
        <v>-37.67</v>
      </c>
      <c r="BS116">
        <v>-6.16</v>
      </c>
      <c r="BT116" t="s">
        <v>1670</v>
      </c>
      <c r="BU116" t="s">
        <v>1518</v>
      </c>
      <c r="BV116">
        <v>-7.23</v>
      </c>
      <c r="BW116">
        <v>3.48</v>
      </c>
      <c r="BX116">
        <v>11.67</v>
      </c>
      <c r="BY116">
        <v>-81.349999999999994</v>
      </c>
      <c r="BZ116">
        <v>-79.47</v>
      </c>
      <c r="CA116">
        <v>-20.34</v>
      </c>
      <c r="CB116">
        <v>0.88</v>
      </c>
      <c r="CC116">
        <v>-15.24</v>
      </c>
      <c r="CD116" t="s">
        <v>4781</v>
      </c>
      <c r="CE116" t="s">
        <v>70</v>
      </c>
      <c r="CF116" s="8">
        <v>1.8633558849121825</v>
      </c>
      <c r="CG116" s="9">
        <v>1.5048530845484369</v>
      </c>
      <c r="CH116" s="8">
        <v>-0.69461697340011597</v>
      </c>
      <c r="CI116" s="8">
        <v>0.14863258600234985</v>
      </c>
      <c r="CJ116" s="8">
        <v>0.28790199756622314</v>
      </c>
      <c r="CK116" s="8">
        <v>-0.54046446084976196</v>
      </c>
      <c r="CL116" s="8">
        <v>-0.31551063060760498</v>
      </c>
      <c r="CM116" s="9">
        <v>0.8807682991027832</v>
      </c>
      <c r="CN116" s="9">
        <v>-3.9928572177886963</v>
      </c>
      <c r="CO116" s="9">
        <v>0.77124184370040894</v>
      </c>
      <c r="CP116" s="9">
        <v>-2.0753769874572754</v>
      </c>
      <c r="CQ116" s="9">
        <v>-2.2283949851989746</v>
      </c>
      <c r="CR116">
        <v>-4.9638593228849466</v>
      </c>
      <c r="CS116">
        <v>-0.22278290870332851</v>
      </c>
      <c r="CT116">
        <v>0</v>
      </c>
      <c r="CU116" s="8">
        <v>-0.22281149625778199</v>
      </c>
      <c r="CV116" s="9">
        <v>-1.3289238095283509</v>
      </c>
      <c r="CW116">
        <v>0.06</v>
      </c>
      <c r="CX116" t="e">
        <v>#VALUE!</v>
      </c>
      <c r="CY116" t="s">
        <v>1179</v>
      </c>
      <c r="CZ116">
        <v>-0.22281149625778199</v>
      </c>
      <c r="DA116" t="e">
        <v>#VALUE!</v>
      </c>
      <c r="DB116" t="s">
        <v>1179</v>
      </c>
      <c r="DC116">
        <v>-0.21167092144489288</v>
      </c>
      <c r="DD116" t="e">
        <v>#VALUE!</v>
      </c>
      <c r="DE116" t="s">
        <v>1179</v>
      </c>
      <c r="DF116">
        <v>-0.19607411670684816</v>
      </c>
      <c r="DG116" t="e">
        <v>#VALUE!</v>
      </c>
      <c r="DH116" t="s">
        <v>1179</v>
      </c>
      <c r="DI116">
        <v>-0.1782491970062256</v>
      </c>
      <c r="DJ116" t="e">
        <v>#VALUE!</v>
      </c>
      <c r="DK116" t="s">
        <v>1179</v>
      </c>
      <c r="DL116">
        <v>-0.15596804738044739</v>
      </c>
      <c r="DM116">
        <v>-83343000</v>
      </c>
      <c r="DN116">
        <v>-0.22281149625778199</v>
      </c>
      <c r="DO116">
        <v>1789987600</v>
      </c>
      <c r="DP116">
        <v>-170153980</v>
      </c>
      <c r="DQ116">
        <v>3994</v>
      </c>
      <c r="DR116">
        <v>2.0861673811699646</v>
      </c>
      <c r="DS116">
        <v>2.833776894076788</v>
      </c>
      <c r="DT116" s="10">
        <v>-0.85666666666666658</v>
      </c>
      <c r="DU116">
        <v>-1.7766666666666666</v>
      </c>
      <c r="DV116">
        <v>-2.6333333333333333</v>
      </c>
      <c r="DW116">
        <v>-2.1524000000000001</v>
      </c>
      <c r="DX116">
        <v>0.35199899999999884</v>
      </c>
      <c r="DY116">
        <v>-2.0185926475999998</v>
      </c>
      <c r="DZ116">
        <v>1034</v>
      </c>
      <c r="EA116">
        <v>-2.0148304562852446</v>
      </c>
      <c r="EB116">
        <v>2</v>
      </c>
      <c r="EC116">
        <v>4.279390357261869E-2</v>
      </c>
      <c r="ED116">
        <v>0.35077257659996142</v>
      </c>
      <c r="EE116" s="11">
        <v>8.6809999999999998E-2</v>
      </c>
      <c r="EF116">
        <v>0.11061</v>
      </c>
      <c r="EG116">
        <v>23.121998999999999</v>
      </c>
      <c r="EH116">
        <v>-1</v>
      </c>
      <c r="EI116">
        <v>0</v>
      </c>
      <c r="EJ116">
        <v>1</v>
      </c>
      <c r="EK116" s="12">
        <v>45470</v>
      </c>
      <c r="EL116">
        <v>-0.17</v>
      </c>
      <c r="EM116">
        <v>-4.1100000000000003</v>
      </c>
      <c r="EN116">
        <v>0.7</v>
      </c>
      <c r="EO116">
        <v>2.2599999999999998</v>
      </c>
      <c r="EP116">
        <v>-2.38</v>
      </c>
    </row>
    <row r="117" spans="1:146" ht="96" x14ac:dyDescent="0.25">
      <c r="A117" s="6"/>
      <c r="B117" s="6"/>
      <c r="C117" s="6" t="str">
        <f>""&amp;CHAR(10)&amp;Basic_Fundamental_Information_Constructure(F117)&amp;CHAR(10)&amp;Basic_Fundamental_Information_Concatenate("")</f>
        <v xml:space="preserve">
市值19.3856亿, 利润2.26亿; PE29.38; 平均PE14.97; 平均PEG2.07, PB1.33; ROIC5.2567%; ROE5.6867%; 股利率1.2876%; 毛利10.28%; 净利2.7%; 上一年度营收增-65.76%, 利润增265%; 当季营收增341.45%, 利润增-30.26%; 过往5年营收增7.25%, 利润增44.27%
Income profile:
</v>
      </c>
      <c r="D117" t="s">
        <v>947</v>
      </c>
      <c r="E117" t="s">
        <v>948</v>
      </c>
      <c r="F117">
        <v>13.98</v>
      </c>
      <c r="G117">
        <v>0.94</v>
      </c>
      <c r="H117" t="s">
        <v>4782</v>
      </c>
      <c r="I117">
        <v>1938560000</v>
      </c>
      <c r="J117">
        <v>29.38</v>
      </c>
      <c r="K117">
        <v>1.33</v>
      </c>
      <c r="L117" t="s">
        <v>428</v>
      </c>
      <c r="M117" t="s">
        <v>534</v>
      </c>
      <c r="N117" t="s">
        <v>4783</v>
      </c>
      <c r="O117" t="s">
        <v>196</v>
      </c>
      <c r="P117">
        <v>14.43</v>
      </c>
      <c r="Q117" t="s">
        <v>4784</v>
      </c>
      <c r="R117">
        <v>14731909</v>
      </c>
      <c r="S117" s="4">
        <v>0.1678</v>
      </c>
      <c r="T117" t="s">
        <v>195</v>
      </c>
      <c r="U117">
        <v>138666670</v>
      </c>
      <c r="V117">
        <v>138666670</v>
      </c>
      <c r="W117">
        <v>1.55</v>
      </c>
      <c r="X117">
        <v>0.28999999999999998</v>
      </c>
      <c r="Y117">
        <v>2.2000000000000002</v>
      </c>
      <c r="Z117" t="s">
        <v>833</v>
      </c>
      <c r="AA117" t="s">
        <v>251</v>
      </c>
      <c r="AB117" t="s">
        <v>4785</v>
      </c>
      <c r="AC117" t="s">
        <v>4786</v>
      </c>
      <c r="AD117" t="s">
        <v>5</v>
      </c>
      <c r="AE117">
        <v>-937627</v>
      </c>
      <c r="AF117" t="s">
        <v>32</v>
      </c>
      <c r="AG117" t="s">
        <v>4787</v>
      </c>
      <c r="AH117" t="s">
        <v>3064</v>
      </c>
      <c r="AI117" t="s">
        <v>180</v>
      </c>
      <c r="AJ117" t="s">
        <v>3065</v>
      </c>
      <c r="AK117" t="s">
        <v>5</v>
      </c>
      <c r="AL117" t="s">
        <v>3066</v>
      </c>
      <c r="AM117" t="s">
        <v>5</v>
      </c>
      <c r="AN117" t="s">
        <v>4788</v>
      </c>
      <c r="AO117" t="s">
        <v>4789</v>
      </c>
      <c r="AP117" t="s">
        <v>2068</v>
      </c>
      <c r="AQ117" t="s">
        <v>4790</v>
      </c>
      <c r="AR117" t="s">
        <v>5</v>
      </c>
      <c r="AS117" t="s">
        <v>991</v>
      </c>
      <c r="AT117" t="s">
        <v>5</v>
      </c>
      <c r="AU117" t="s">
        <v>2557</v>
      </c>
      <c r="AV117" t="s">
        <v>4791</v>
      </c>
      <c r="AW117" t="s">
        <v>4792</v>
      </c>
      <c r="AX117" t="s">
        <v>1879</v>
      </c>
      <c r="AY117" t="s">
        <v>1417</v>
      </c>
      <c r="AZ117" t="s">
        <v>949</v>
      </c>
      <c r="BA117" t="s">
        <v>951</v>
      </c>
      <c r="BB117" t="s">
        <v>952</v>
      </c>
      <c r="BC117" t="s">
        <v>3067</v>
      </c>
      <c r="BD117" t="s">
        <v>69</v>
      </c>
      <c r="BE117" t="s">
        <v>132</v>
      </c>
      <c r="BF117" t="s">
        <v>41</v>
      </c>
      <c r="BG117" t="s">
        <v>81</v>
      </c>
      <c r="BH117" t="s">
        <v>2168</v>
      </c>
      <c r="BI117" t="s">
        <v>179</v>
      </c>
      <c r="BJ117" t="s">
        <v>1879</v>
      </c>
      <c r="BK117" t="s">
        <v>3063</v>
      </c>
      <c r="BL117" t="s">
        <v>4793</v>
      </c>
      <c r="BM117" t="s">
        <v>3067</v>
      </c>
      <c r="BN117">
        <v>3.46</v>
      </c>
      <c r="BO117">
        <v>4.0999999999999996</v>
      </c>
      <c r="BP117">
        <v>8.2100000000000009</v>
      </c>
      <c r="BQ117">
        <v>3.71</v>
      </c>
      <c r="BR117">
        <v>4.4800000000000004</v>
      </c>
      <c r="BS117">
        <v>8.8699999999999992</v>
      </c>
      <c r="BT117" t="s">
        <v>1689</v>
      </c>
      <c r="BU117" t="s">
        <v>1519</v>
      </c>
      <c r="BV117">
        <v>10.5</v>
      </c>
      <c r="BW117">
        <v>9.61</v>
      </c>
      <c r="BX117">
        <v>10.73</v>
      </c>
      <c r="BY117">
        <v>2.36</v>
      </c>
      <c r="BZ117">
        <v>2.0499999999999998</v>
      </c>
      <c r="CA117">
        <v>3.69</v>
      </c>
      <c r="CB117">
        <v>4.0999999999999996</v>
      </c>
      <c r="CC117">
        <v>-9.34</v>
      </c>
      <c r="CD117" t="s">
        <v>4794</v>
      </c>
      <c r="CE117" t="s">
        <v>4795</v>
      </c>
      <c r="CF117" s="8">
        <v>3.4144736842105261</v>
      </c>
      <c r="CG117" s="9">
        <v>-0.30257870418587918</v>
      </c>
      <c r="CH117" s="8">
        <v>-0.65760689973831177</v>
      </c>
      <c r="CI117" s="8">
        <v>-5.4528400301933289E-2</v>
      </c>
      <c r="CJ117" s="8">
        <v>1.1301735639572144</v>
      </c>
      <c r="CK117" s="8">
        <v>4.0277779102325439E-2</v>
      </c>
      <c r="CL117" s="8">
        <v>-9.6045158803462982E-2</v>
      </c>
      <c r="CM117" s="9">
        <v>2.6500122547149658</v>
      </c>
      <c r="CN117" s="9">
        <v>-0.47527456283569336</v>
      </c>
      <c r="CO117" s="9">
        <v>-4.8387095332145691E-2</v>
      </c>
      <c r="CP117" s="9">
        <v>-6.0606062412261963E-2</v>
      </c>
      <c r="CQ117" s="9">
        <v>0.14782609045505524</v>
      </c>
      <c r="CR117">
        <v>14.971162965030011</v>
      </c>
      <c r="CS117">
        <v>2.066293982945449</v>
      </c>
      <c r="CT117">
        <v>1.2875536480686696</v>
      </c>
      <c r="CU117" s="8">
        <v>7.2454176843166351E-2</v>
      </c>
      <c r="CV117" s="9">
        <v>0.44271412491798401</v>
      </c>
      <c r="CW117">
        <v>0.06</v>
      </c>
      <c r="CX117">
        <v>6.0202403028649458</v>
      </c>
      <c r="CY117">
        <v>228655324.49675053</v>
      </c>
      <c r="CZ117">
        <v>7.2454176843166351E-2</v>
      </c>
      <c r="DA117">
        <v>1.9968652228831638</v>
      </c>
      <c r="DB117">
        <v>689360495.75366974</v>
      </c>
      <c r="DC117">
        <v>6.8831468001008034E-2</v>
      </c>
      <c r="DD117">
        <v>1.0026415857695712</v>
      </c>
      <c r="DE117">
        <v>1372933278.9876556</v>
      </c>
      <c r="DF117">
        <v>6.3759675621986395E-2</v>
      </c>
      <c r="DG117">
        <v>0.61556501811343423</v>
      </c>
      <c r="DH117">
        <v>2236254432.0969391</v>
      </c>
      <c r="DI117">
        <v>5.7963341474533081E-2</v>
      </c>
      <c r="DJ117">
        <v>0.3335841742114552</v>
      </c>
      <c r="DK117">
        <v>4126574659.1665773</v>
      </c>
      <c r="DL117">
        <v>5.0717923790216446E-2</v>
      </c>
      <c r="DM117">
        <v>225999999.99999997</v>
      </c>
      <c r="DN117">
        <v>7.2454176843166351E-2</v>
      </c>
      <c r="DO117">
        <v>1376560000</v>
      </c>
      <c r="DP117">
        <v>920352000</v>
      </c>
      <c r="DQ117">
        <v>3998</v>
      </c>
      <c r="DR117">
        <v>3.3420195073673598</v>
      </c>
      <c r="DS117">
        <v>-0.74529282910386319</v>
      </c>
      <c r="DT117" s="10">
        <v>-0.50666666666666671</v>
      </c>
      <c r="DU117">
        <v>-7.0000000000000021E-2</v>
      </c>
      <c r="DV117">
        <v>-0.57666666666666677</v>
      </c>
      <c r="DW117">
        <v>6.3050595238095237</v>
      </c>
      <c r="DX117">
        <v>0.60013917919010518</v>
      </c>
      <c r="DY117">
        <v>6.079357934127934</v>
      </c>
      <c r="DZ117">
        <v>1263</v>
      </c>
      <c r="EA117">
        <v>6.059743634557762</v>
      </c>
      <c r="EB117">
        <v>6</v>
      </c>
      <c r="EC117">
        <v>6.0493988930432958E-2</v>
      </c>
      <c r="ED117">
        <v>0.23254470594844456</v>
      </c>
      <c r="EE117" s="11">
        <v>2.2100000000000002E-2</v>
      </c>
      <c r="EF117">
        <v>1.3099999999999956E-3</v>
      </c>
      <c r="EG117">
        <v>34.260139179190105</v>
      </c>
      <c r="EH117">
        <v>-1</v>
      </c>
      <c r="EI117">
        <v>0</v>
      </c>
      <c r="EJ117">
        <v>1</v>
      </c>
      <c r="EK117" s="12">
        <v>45470</v>
      </c>
      <c r="EL117">
        <v>-0.34</v>
      </c>
      <c r="EM117">
        <v>-5.18</v>
      </c>
      <c r="EN117">
        <v>-0.14000000000000001</v>
      </c>
      <c r="EO117">
        <v>3.2</v>
      </c>
      <c r="EP117">
        <v>-2.34</v>
      </c>
    </row>
    <row r="118" spans="1:146" ht="144" x14ac:dyDescent="0.25">
      <c r="A118" s="6"/>
      <c r="B118" s="6"/>
      <c r="C118" s="6" t="s">
        <v>1112</v>
      </c>
      <c r="D118" t="s">
        <v>953</v>
      </c>
      <c r="E118" t="s">
        <v>954</v>
      </c>
      <c r="F118">
        <v>14.11</v>
      </c>
      <c r="G118">
        <v>1.1499999999999999</v>
      </c>
      <c r="H118" t="s">
        <v>4796</v>
      </c>
      <c r="I118">
        <v>2937494300</v>
      </c>
      <c r="J118">
        <v>12.18</v>
      </c>
      <c r="K118">
        <v>0.91700000000000004</v>
      </c>
      <c r="L118" t="s">
        <v>428</v>
      </c>
      <c r="M118" t="s">
        <v>2078</v>
      </c>
      <c r="N118" t="s">
        <v>4797</v>
      </c>
      <c r="O118" t="s">
        <v>829</v>
      </c>
      <c r="P118">
        <v>-2.0299999999999998</v>
      </c>
      <c r="Q118" t="s">
        <v>4798</v>
      </c>
      <c r="R118">
        <v>55495434</v>
      </c>
      <c r="S118" s="4">
        <v>-0.13270000000000001</v>
      </c>
      <c r="T118" t="s">
        <v>338</v>
      </c>
      <c r="U118">
        <v>206912800</v>
      </c>
      <c r="V118">
        <v>208185280</v>
      </c>
      <c r="W118">
        <v>1.21</v>
      </c>
      <c r="X118">
        <v>0.15</v>
      </c>
      <c r="Y118">
        <v>10.050000000000001</v>
      </c>
      <c r="Z118" t="s">
        <v>1895</v>
      </c>
      <c r="AA118" t="s">
        <v>380</v>
      </c>
      <c r="AB118" t="s">
        <v>4799</v>
      </c>
      <c r="AC118" t="s">
        <v>4800</v>
      </c>
      <c r="AD118" t="s">
        <v>5</v>
      </c>
      <c r="AE118">
        <v>-6582414</v>
      </c>
      <c r="AF118" t="s">
        <v>3069</v>
      </c>
      <c r="AG118" t="s">
        <v>4801</v>
      </c>
      <c r="AH118" t="s">
        <v>3070</v>
      </c>
      <c r="AI118" t="s">
        <v>487</v>
      </c>
      <c r="AJ118" t="s">
        <v>3071</v>
      </c>
      <c r="AK118" t="s">
        <v>390</v>
      </c>
      <c r="AL118" t="s">
        <v>3072</v>
      </c>
      <c r="AM118" t="s">
        <v>5</v>
      </c>
      <c r="AN118" t="s">
        <v>660</v>
      </c>
      <c r="AO118" t="s">
        <v>4802</v>
      </c>
      <c r="AP118" t="s">
        <v>76</v>
      </c>
      <c r="AQ118" t="s">
        <v>293</v>
      </c>
      <c r="AR118" t="s">
        <v>5</v>
      </c>
      <c r="AS118" t="s">
        <v>1227</v>
      </c>
      <c r="AT118" t="s">
        <v>5</v>
      </c>
      <c r="AU118" t="s">
        <v>4803</v>
      </c>
      <c r="AV118" t="s">
        <v>2058</v>
      </c>
      <c r="AW118" t="s">
        <v>4804</v>
      </c>
      <c r="AX118" t="s">
        <v>1881</v>
      </c>
      <c r="AY118" t="s">
        <v>1418</v>
      </c>
      <c r="AZ118" t="s">
        <v>1394</v>
      </c>
      <c r="BA118" t="s">
        <v>955</v>
      </c>
      <c r="BB118" t="s">
        <v>686</v>
      </c>
      <c r="BC118" t="s">
        <v>973</v>
      </c>
      <c r="BD118" t="s">
        <v>115</v>
      </c>
      <c r="BE118" t="s">
        <v>76</v>
      </c>
      <c r="BF118" t="s">
        <v>46</v>
      </c>
      <c r="BG118" t="s">
        <v>207</v>
      </c>
      <c r="BH118" t="s">
        <v>1566</v>
      </c>
      <c r="BI118" t="s">
        <v>4805</v>
      </c>
      <c r="BJ118" t="s">
        <v>1881</v>
      </c>
      <c r="BK118" t="s">
        <v>57</v>
      </c>
      <c r="BL118" t="s">
        <v>54</v>
      </c>
      <c r="BM118" t="s">
        <v>973</v>
      </c>
      <c r="BN118">
        <v>5.56</v>
      </c>
      <c r="BO118">
        <v>16.37</v>
      </c>
      <c r="BP118">
        <v>14.71</v>
      </c>
      <c r="BQ118">
        <v>6</v>
      </c>
      <c r="BR118">
        <v>16.62</v>
      </c>
      <c r="BS118">
        <v>14.91</v>
      </c>
      <c r="BT118" t="s">
        <v>1677</v>
      </c>
      <c r="BU118" t="s">
        <v>1516</v>
      </c>
      <c r="BV118">
        <v>18.23</v>
      </c>
      <c r="BW118">
        <v>26.26</v>
      </c>
      <c r="BX118">
        <v>23.84</v>
      </c>
      <c r="BY118">
        <v>11.45</v>
      </c>
      <c r="BZ118">
        <v>17.489999999999998</v>
      </c>
      <c r="CA118">
        <v>15.37</v>
      </c>
      <c r="CB118">
        <v>7.0000000000000007E-2</v>
      </c>
      <c r="CC118">
        <v>-13.86</v>
      </c>
      <c r="CD118" t="s">
        <v>4806</v>
      </c>
      <c r="CE118" t="s">
        <v>4807</v>
      </c>
      <c r="CF118" s="8">
        <v>-0.48555452003727867</v>
      </c>
      <c r="CG118" s="9">
        <v>-0.57637073282442752</v>
      </c>
      <c r="CH118" s="8">
        <v>0.73537081480026245</v>
      </c>
      <c r="CI118" s="8">
        <v>0.14511309564113617</v>
      </c>
      <c r="CJ118" s="8">
        <v>0.91734868288040161</v>
      </c>
      <c r="CK118" s="8">
        <v>4.7129333019256592E-2</v>
      </c>
      <c r="CL118" s="8">
        <v>-0.14630576968193054</v>
      </c>
      <c r="CM118" s="9">
        <v>2.7718549594283104E-2</v>
      </c>
      <c r="CN118" s="9">
        <v>0.30277776718139648</v>
      </c>
      <c r="CO118" s="9">
        <v>1.2784810066223145</v>
      </c>
      <c r="CP118" s="9">
        <v>0.1617647111415863</v>
      </c>
      <c r="CQ118" s="9">
        <v>-0.43801653385162354</v>
      </c>
      <c r="CR118">
        <v>9.5424828370330275</v>
      </c>
      <c r="CS118">
        <v>0.28088329705880383</v>
      </c>
      <c r="CT118">
        <v>2.834868887313962</v>
      </c>
      <c r="CU118" s="8">
        <v>0.33973123133182526</v>
      </c>
      <c r="CV118" s="9">
        <v>0.26654510013759136</v>
      </c>
      <c r="CW118">
        <v>0.06</v>
      </c>
      <c r="CX118">
        <v>0.4735636751652415</v>
      </c>
      <c r="CY118">
        <v>609198541.0395658</v>
      </c>
      <c r="CZ118">
        <v>0.33973123133182526</v>
      </c>
      <c r="DA118">
        <v>0.12605462914346088</v>
      </c>
      <c r="DB118">
        <v>2288645026.0519109</v>
      </c>
      <c r="DC118">
        <v>0.32274466976523397</v>
      </c>
      <c r="DD118">
        <v>4.6139184096429219E-2</v>
      </c>
      <c r="DE118">
        <v>6252696176.7910194</v>
      </c>
      <c r="DF118">
        <v>0.29896348357200625</v>
      </c>
      <c r="DG118">
        <v>1.9236886031380136E-2</v>
      </c>
      <c r="DH118">
        <v>14996933470.90554</v>
      </c>
      <c r="DI118">
        <v>0.27178498506546023</v>
      </c>
      <c r="DJ118">
        <v>4.0495667344164453E-3</v>
      </c>
      <c r="DK118">
        <v>71240781772.564835</v>
      </c>
      <c r="DL118">
        <v>0.23781186193227766</v>
      </c>
      <c r="DM118">
        <v>482000000</v>
      </c>
      <c r="DN118">
        <v>0.33973123133182526</v>
      </c>
      <c r="DO118">
        <v>288494300</v>
      </c>
      <c r="DP118">
        <v>1736246800</v>
      </c>
      <c r="DQ118">
        <v>4017</v>
      </c>
      <c r="DR118">
        <v>-0.82528575136910387</v>
      </c>
      <c r="DS118">
        <v>-0.84291583296201888</v>
      </c>
      <c r="DT118" s="10">
        <v>0.16</v>
      </c>
      <c r="DU118">
        <v>0.21333333333333335</v>
      </c>
      <c r="DV118">
        <v>0.37333333333333335</v>
      </c>
      <c r="DW118">
        <v>-2.1385999999999998</v>
      </c>
      <c r="DX118">
        <v>0.3298567523341529</v>
      </c>
      <c r="DY118">
        <v>-2.0152261458735139</v>
      </c>
      <c r="DZ118">
        <v>1995</v>
      </c>
      <c r="EA118">
        <v>-2.0092816916626215</v>
      </c>
      <c r="EB118">
        <v>2</v>
      </c>
      <c r="EC118">
        <v>2.2025092263967941E-2</v>
      </c>
      <c r="ED118">
        <v>0.20048919885209943</v>
      </c>
      <c r="EE118" s="11">
        <v>-3.1187999999999998</v>
      </c>
      <c r="EF118">
        <v>-3.1122999999999998</v>
      </c>
      <c r="EG118">
        <v>22.109856752334153</v>
      </c>
      <c r="EH118" t="s">
        <v>2100</v>
      </c>
      <c r="EI118">
        <v>0</v>
      </c>
      <c r="EJ118">
        <v>0</v>
      </c>
      <c r="EK118" s="12">
        <v>45470</v>
      </c>
      <c r="EL118">
        <v>-0.43</v>
      </c>
      <c r="EM118">
        <v>-3.69</v>
      </c>
      <c r="EN118">
        <v>2.14</v>
      </c>
      <c r="EO118">
        <v>2.65</v>
      </c>
      <c r="EP118">
        <v>-0.65</v>
      </c>
    </row>
    <row r="119" spans="1:146" ht="96" x14ac:dyDescent="0.25">
      <c r="A119" s="6"/>
      <c r="B119" s="6"/>
      <c r="C119" s="6" t="str">
        <f>""&amp;CHAR(10)&amp;Basic_Fundamental_Information_Constructure(F119)&amp;CHAR(10)&amp;Basic_Fundamental_Information_Concatenate("")</f>
        <v xml:space="preserve">
市值29.788761亿, 利润-6309.45万; PE63.98; 平均PE38.79; 平均PEG2.69, PB1.84; ROIC8.81%; ROE11.2767%; 股利率.2093%; 毛利25.3333%; 净利12.78%; 上一年度营收增-26.56%, 利润增-157.36%; 当季营收增50%, 利润增211.61%; 过往5年营收增14.44%, 利润增-19.7%
Income profile:
</v>
      </c>
      <c r="D119" t="s">
        <v>1502</v>
      </c>
      <c r="E119" t="s">
        <v>1503</v>
      </c>
      <c r="F119">
        <v>21.98</v>
      </c>
      <c r="G119">
        <v>-2.96</v>
      </c>
      <c r="H119" t="s">
        <v>4808</v>
      </c>
      <c r="I119">
        <v>2978876100</v>
      </c>
      <c r="J119">
        <v>63.98</v>
      </c>
      <c r="K119">
        <v>1.84</v>
      </c>
      <c r="L119" t="s">
        <v>428</v>
      </c>
      <c r="M119" t="s">
        <v>91</v>
      </c>
      <c r="N119" t="s">
        <v>1196</v>
      </c>
      <c r="O119" t="s">
        <v>107</v>
      </c>
      <c r="P119">
        <v>-5.57</v>
      </c>
      <c r="Q119" t="s">
        <v>1463</v>
      </c>
      <c r="R119">
        <v>4206249</v>
      </c>
      <c r="S119" s="4">
        <v>-0.77880000000000005</v>
      </c>
      <c r="T119" t="s">
        <v>4809</v>
      </c>
      <c r="U119">
        <v>60675248</v>
      </c>
      <c r="V119">
        <v>135526670</v>
      </c>
      <c r="W119">
        <v>1.41</v>
      </c>
      <c r="X119">
        <v>0.08</v>
      </c>
      <c r="Y119">
        <v>2.2799999999999998</v>
      </c>
      <c r="Z119" t="s">
        <v>164</v>
      </c>
      <c r="AA119" t="s">
        <v>179</v>
      </c>
      <c r="AB119" t="s">
        <v>4810</v>
      </c>
      <c r="AC119" t="s">
        <v>4811</v>
      </c>
      <c r="AD119" t="s">
        <v>5</v>
      </c>
      <c r="AE119">
        <v>189982</v>
      </c>
      <c r="AF119" t="s">
        <v>3074</v>
      </c>
      <c r="AG119" t="s">
        <v>5</v>
      </c>
      <c r="AH119" t="s">
        <v>3075</v>
      </c>
      <c r="AI119" t="s">
        <v>962</v>
      </c>
      <c r="AJ119" t="s">
        <v>3076</v>
      </c>
      <c r="AK119" t="s">
        <v>4812</v>
      </c>
      <c r="AL119" t="s">
        <v>3077</v>
      </c>
      <c r="AM119" t="s">
        <v>5</v>
      </c>
      <c r="AN119" t="s">
        <v>1183</v>
      </c>
      <c r="AO119" t="s">
        <v>278</v>
      </c>
      <c r="AP119" t="s">
        <v>5</v>
      </c>
      <c r="AQ119" t="s">
        <v>153</v>
      </c>
      <c r="AR119" t="s">
        <v>5</v>
      </c>
      <c r="AS119" t="s">
        <v>1074</v>
      </c>
      <c r="AT119" t="s">
        <v>5</v>
      </c>
      <c r="AU119" t="s">
        <v>4813</v>
      </c>
      <c r="AV119" t="s">
        <v>2525</v>
      </c>
      <c r="AW119" t="s">
        <v>23</v>
      </c>
      <c r="AX119" t="s">
        <v>766</v>
      </c>
      <c r="AY119" t="s">
        <v>1628</v>
      </c>
      <c r="AZ119" t="s">
        <v>447</v>
      </c>
      <c r="BA119" t="s">
        <v>77</v>
      </c>
      <c r="BB119" t="s">
        <v>549</v>
      </c>
      <c r="BC119" t="s">
        <v>59</v>
      </c>
      <c r="BD119" t="s">
        <v>68</v>
      </c>
      <c r="BE119" t="s">
        <v>130</v>
      </c>
      <c r="BF119" t="s">
        <v>42</v>
      </c>
      <c r="BG119" t="s">
        <v>1504</v>
      </c>
      <c r="BH119" t="s">
        <v>1355</v>
      </c>
      <c r="BI119" t="s">
        <v>237</v>
      </c>
      <c r="BJ119" t="s">
        <v>766</v>
      </c>
      <c r="BK119" t="s">
        <v>3073</v>
      </c>
      <c r="BL119" t="s">
        <v>4814</v>
      </c>
      <c r="BM119" t="s">
        <v>59</v>
      </c>
      <c r="BN119">
        <v>2.71</v>
      </c>
      <c r="BO119">
        <v>8.82</v>
      </c>
      <c r="BP119">
        <v>14.9</v>
      </c>
      <c r="BQ119">
        <v>3.14</v>
      </c>
      <c r="BR119">
        <v>10.87</v>
      </c>
      <c r="BS119">
        <v>19.82</v>
      </c>
      <c r="BT119" t="s">
        <v>3078</v>
      </c>
      <c r="BU119" t="s">
        <v>1516</v>
      </c>
      <c r="BV119">
        <v>21.32</v>
      </c>
      <c r="BW119">
        <v>24.25</v>
      </c>
      <c r="BX119">
        <v>30.43</v>
      </c>
      <c r="BY119">
        <v>8.11</v>
      </c>
      <c r="BZ119">
        <v>12.24</v>
      </c>
      <c r="CA119">
        <v>17.989999999999998</v>
      </c>
      <c r="CB119">
        <v>-5.48</v>
      </c>
      <c r="CC119">
        <v>-33.4</v>
      </c>
      <c r="CD119" t="s">
        <v>4815</v>
      </c>
      <c r="CE119" t="s">
        <v>4816</v>
      </c>
      <c r="CF119" s="8">
        <v>0.5</v>
      </c>
      <c r="CG119" s="9">
        <v>2.1161303932494824</v>
      </c>
      <c r="CH119" s="8">
        <v>-0.26555556058883667</v>
      </c>
      <c r="CI119" s="8">
        <v>0.21786198019981384</v>
      </c>
      <c r="CJ119" s="8">
        <v>0.39962121844291687</v>
      </c>
      <c r="CK119" s="8">
        <v>0.1945701390504837</v>
      </c>
      <c r="CL119" s="8">
        <v>0.17553190886974335</v>
      </c>
      <c r="CM119" s="9">
        <v>-1.5735863447189331</v>
      </c>
      <c r="CN119" s="9">
        <v>-0.18518517911434174</v>
      </c>
      <c r="CO119" s="9">
        <v>0.31067961454391479</v>
      </c>
      <c r="CP119" s="9">
        <v>-1.904761977493763E-2</v>
      </c>
      <c r="CQ119" s="9">
        <v>0.48238921165466309</v>
      </c>
      <c r="CR119">
        <v>38.792744495722175</v>
      </c>
      <c r="CS119">
        <v>2.6863676971525918</v>
      </c>
      <c r="CT119">
        <v>0.20928116469517744</v>
      </c>
      <c r="CU119" s="8">
        <v>0.14440593719482422</v>
      </c>
      <c r="CV119" s="9">
        <v>-0.19695006348192692</v>
      </c>
      <c r="CW119">
        <v>0.06</v>
      </c>
      <c r="CX119" t="e">
        <v>#VALUE!</v>
      </c>
      <c r="CY119" t="s">
        <v>1179</v>
      </c>
      <c r="CZ119">
        <v>0.14440593719482422</v>
      </c>
      <c r="DA119" t="e">
        <v>#VALUE!</v>
      </c>
      <c r="DB119" t="s">
        <v>1179</v>
      </c>
      <c r="DC119">
        <v>0.13718564033508301</v>
      </c>
      <c r="DD119" t="e">
        <v>#VALUE!</v>
      </c>
      <c r="DE119" t="s">
        <v>1179</v>
      </c>
      <c r="DF119">
        <v>0.12707722473144531</v>
      </c>
      <c r="DG119" t="e">
        <v>#VALUE!</v>
      </c>
      <c r="DH119" t="s">
        <v>1179</v>
      </c>
      <c r="DI119">
        <v>0.11552474975585938</v>
      </c>
      <c r="DJ119" t="e">
        <v>#VALUE!</v>
      </c>
      <c r="DK119" t="s">
        <v>1179</v>
      </c>
      <c r="DL119">
        <v>0.10108415603637695</v>
      </c>
      <c r="DM119">
        <v>-63094500</v>
      </c>
      <c r="DN119">
        <v>0.14440593719482422</v>
      </c>
      <c r="DO119">
        <v>1800876099.9999998</v>
      </c>
      <c r="DP119">
        <v>415075340</v>
      </c>
      <c r="DQ119">
        <v>4038</v>
      </c>
      <c r="DR119">
        <v>0.3555940628051758</v>
      </c>
      <c r="DS119">
        <v>2.3130804567314094</v>
      </c>
      <c r="DT119" s="10">
        <v>-0.10666666666666676</v>
      </c>
      <c r="DU119">
        <v>-0.88666666666666671</v>
      </c>
      <c r="DV119">
        <v>-0.99333333333333351</v>
      </c>
      <c r="DW119">
        <v>-8.1640718562874248</v>
      </c>
      <c r="DX119">
        <v>0.70634138959030479</v>
      </c>
      <c r="DY119">
        <v>-8.0354955333818818</v>
      </c>
      <c r="DZ119">
        <v>1119</v>
      </c>
      <c r="EA119">
        <v>-8.0277226367372005</v>
      </c>
      <c r="EB119">
        <v>8</v>
      </c>
      <c r="EC119">
        <v>3.8499433358762519E-2</v>
      </c>
      <c r="ED119">
        <v>0.17795685528169475</v>
      </c>
      <c r="EE119" s="11">
        <v>3.0278100000000001</v>
      </c>
      <c r="EF119">
        <v>3.0655100000000002</v>
      </c>
      <c r="EG119">
        <v>49.216341389590305</v>
      </c>
      <c r="EH119" t="s">
        <v>2159</v>
      </c>
      <c r="EI119">
        <v>0</v>
      </c>
      <c r="EJ119">
        <v>1</v>
      </c>
      <c r="EK119" s="12">
        <v>45470</v>
      </c>
      <c r="EL119">
        <v>0.92</v>
      </c>
      <c r="EM119">
        <v>-3.28</v>
      </c>
      <c r="EN119">
        <v>-0.43</v>
      </c>
      <c r="EO119">
        <v>3.92</v>
      </c>
      <c r="EP119">
        <v>-3.77</v>
      </c>
    </row>
    <row r="120" spans="1:146" ht="192" x14ac:dyDescent="0.25">
      <c r="A120" s="6" t="s">
        <v>1508</v>
      </c>
      <c r="B120" s="6"/>
      <c r="C120" s="6" t="str">
        <f>"公司主要从事工业硅及有机硅等硅基新材料产品的研发、生产及销售。公司的主要产品包括工业硅及有机硅产品两大类，并有少量多晶硅产品。公司的主要产品包括工业硅及有机硅产品两大类。工业硅是由硅矿石和碳质还原剂在矿热炉内冶炼成的产品，主要成分为硅元素，是下游光伏材料、有机硅材料、合金材料的主要原料。有机硅是对含硅有机化合物的统称，其产品种类众多、应用领域广泛。"&amp;CHAR(10)&amp;Basic_Fundamental_Information_Constructure(F120)&amp;CHAR(10)&amp;Basic_Fundamental_Information_Concatenate("有机硅 122.41亿 57.35% 54.03亿 53.71% 60.59% 55.86%
工业硅 89.11亿 41.75% 45.32亿 45.06% 38.80% 49.14%
其他业务 1.92亿 0.90% 1.24亿 1.23% 0.61% 35.64%")</f>
        <v>公司主要从事工业硅及有机硅等硅基新材料产品的研发、生产及销售。公司的主要产品包括工业硅及有机硅产品两大类，并有少量多晶硅产品。公司的主要产品包括工业硅及有机硅产品两大类。工业硅是由硅矿石和碳质还原剂在矿热炉内冶炼成的产品，主要成分为硅元素，是下游光伏材料、有机硅材料、合金材料的主要原料。有机硅是对含硅有机化合物的统称，其产品种类众多、应用领域广泛。
市值526.67319亿, 利润-6831.02万; PE24.52; 平均PE16.98; 平均PEG2.73, PB1.62; ROIC21.8967%; ROE28.6333%; 股利率1.5264%; 毛利35.8033%; 净利23.3433%; 上一年度营收增-99.01%, 利润增-101.33%; 当季营收增22240.38%, 利润增9558.73%; 过往5年营收增6.22%, 利润增62.75%
Income profile:
有机硅 122.41亿 57.35% 54.03亿 53.71% 60.59% 55.86%
工业硅 89.11亿 41.75% 45.32亿 45.06% 38.80% 49.14%
其他业务 1.92亿 0.90% 1.24亿 1.23% 0.61% 35.64%</v>
      </c>
      <c r="D120" t="s">
        <v>958</v>
      </c>
      <c r="E120" t="s">
        <v>959</v>
      </c>
      <c r="F120">
        <v>44.55</v>
      </c>
      <c r="G120">
        <v>0.93</v>
      </c>
      <c r="H120" t="s">
        <v>4817</v>
      </c>
      <c r="I120">
        <v>52667319000</v>
      </c>
      <c r="J120">
        <v>24.52</v>
      </c>
      <c r="K120">
        <v>1.62</v>
      </c>
      <c r="L120" t="s">
        <v>428</v>
      </c>
      <c r="M120" t="s">
        <v>3079</v>
      </c>
      <c r="N120" t="s">
        <v>4818</v>
      </c>
      <c r="O120" t="s">
        <v>3080</v>
      </c>
      <c r="P120">
        <v>-5.46</v>
      </c>
      <c r="Q120" t="s">
        <v>289</v>
      </c>
      <c r="R120">
        <v>527835070</v>
      </c>
      <c r="S120" s="4">
        <v>-0.47360000000000002</v>
      </c>
      <c r="T120" t="s">
        <v>4819</v>
      </c>
      <c r="U120">
        <v>1074165580</v>
      </c>
      <c r="V120">
        <v>1182206940</v>
      </c>
      <c r="W120">
        <v>2.76</v>
      </c>
      <c r="X120">
        <v>0.06</v>
      </c>
      <c r="Y120">
        <v>9.6</v>
      </c>
      <c r="Z120" t="s">
        <v>4820</v>
      </c>
      <c r="AA120" t="s">
        <v>4821</v>
      </c>
      <c r="AB120" t="s">
        <v>4822</v>
      </c>
      <c r="AC120" t="s">
        <v>55</v>
      </c>
      <c r="AD120" t="s">
        <v>5</v>
      </c>
      <c r="AE120">
        <v>171078470</v>
      </c>
      <c r="AF120" t="s">
        <v>3083</v>
      </c>
      <c r="AG120" t="s">
        <v>4823</v>
      </c>
      <c r="AH120" t="s">
        <v>3084</v>
      </c>
      <c r="AI120" t="s">
        <v>2288</v>
      </c>
      <c r="AJ120" t="s">
        <v>3085</v>
      </c>
      <c r="AK120" t="s">
        <v>5</v>
      </c>
      <c r="AL120" t="s">
        <v>3086</v>
      </c>
      <c r="AM120" t="s">
        <v>5</v>
      </c>
      <c r="AN120" t="s">
        <v>4824</v>
      </c>
      <c r="AO120" t="s">
        <v>4825</v>
      </c>
      <c r="AP120" t="s">
        <v>4397</v>
      </c>
      <c r="AQ120" t="s">
        <v>4826</v>
      </c>
      <c r="AR120" t="s">
        <v>4827</v>
      </c>
      <c r="AS120" t="s">
        <v>4828</v>
      </c>
      <c r="AT120" t="s">
        <v>4829</v>
      </c>
      <c r="AU120" t="s">
        <v>4830</v>
      </c>
      <c r="AV120" t="s">
        <v>4831</v>
      </c>
      <c r="AW120" t="s">
        <v>2516</v>
      </c>
      <c r="AX120" t="s">
        <v>1882</v>
      </c>
      <c r="AY120" t="s">
        <v>1884</v>
      </c>
      <c r="AZ120" t="s">
        <v>1419</v>
      </c>
      <c r="BA120" t="s">
        <v>960</v>
      </c>
      <c r="BB120" t="s">
        <v>961</v>
      </c>
      <c r="BC120" t="s">
        <v>1883</v>
      </c>
      <c r="BD120" t="s">
        <v>1885</v>
      </c>
      <c r="BE120" t="s">
        <v>1261</v>
      </c>
      <c r="BF120" t="s">
        <v>596</v>
      </c>
      <c r="BG120" t="s">
        <v>494</v>
      </c>
      <c r="BH120" t="s">
        <v>3081</v>
      </c>
      <c r="BI120" t="s">
        <v>4832</v>
      </c>
      <c r="BJ120" t="s">
        <v>1882</v>
      </c>
      <c r="BK120" t="s">
        <v>3082</v>
      </c>
      <c r="BL120" t="s">
        <v>4833</v>
      </c>
      <c r="BM120" t="s">
        <v>1883</v>
      </c>
      <c r="BN120">
        <v>4.7699999999999996</v>
      </c>
      <c r="BO120">
        <v>16.57</v>
      </c>
      <c r="BP120">
        <v>44.35</v>
      </c>
      <c r="BQ120">
        <v>7.08</v>
      </c>
      <c r="BR120">
        <v>23.63</v>
      </c>
      <c r="BS120">
        <v>55.19</v>
      </c>
      <c r="BT120" t="s">
        <v>3087</v>
      </c>
      <c r="BU120" t="s">
        <v>1520</v>
      </c>
      <c r="BV120">
        <v>20.149999999999999</v>
      </c>
      <c r="BW120">
        <v>34.39</v>
      </c>
      <c r="BX120">
        <v>52.87</v>
      </c>
      <c r="BY120">
        <v>9.7200000000000006</v>
      </c>
      <c r="BZ120">
        <v>21.73</v>
      </c>
      <c r="CA120">
        <v>38.58</v>
      </c>
      <c r="CB120">
        <v>-4.62</v>
      </c>
      <c r="CC120">
        <v>-17.45</v>
      </c>
      <c r="CD120" t="s">
        <v>4834</v>
      </c>
      <c r="CE120" t="s">
        <v>4835</v>
      </c>
      <c r="CF120" s="8">
        <v>222.40377261983824</v>
      </c>
      <c r="CG120" s="9">
        <v>95.58731811339689</v>
      </c>
      <c r="CH120" s="8">
        <v>-0.99006634950637817</v>
      </c>
      <c r="CI120" s="8">
        <v>0.10624268651008606</v>
      </c>
      <c r="CJ120" s="8">
        <v>1.3845899105072021</v>
      </c>
      <c r="CK120" s="8">
        <v>3.3563552424311638E-3</v>
      </c>
      <c r="CL120" s="8">
        <v>-0.19302992522716522</v>
      </c>
      <c r="CM120" s="9">
        <v>-1.0132691860198975</v>
      </c>
      <c r="CN120" s="9">
        <v>-0.3738749623298645</v>
      </c>
      <c r="CO120" s="9">
        <v>4.8561253547668457</v>
      </c>
      <c r="CP120" s="9">
        <v>0.27636364102363586</v>
      </c>
      <c r="CQ120" s="9">
        <v>-0.60784310102462769</v>
      </c>
      <c r="CR120">
        <v>16.979699161930043</v>
      </c>
      <c r="CS120">
        <v>2.7290419203938567</v>
      </c>
      <c r="CT120">
        <v>1.5263748597081932</v>
      </c>
      <c r="CU120" s="8">
        <v>6.2218535505235192E-2</v>
      </c>
      <c r="CV120" s="9">
        <v>0.62750034928321841</v>
      </c>
      <c r="CW120">
        <v>0.06</v>
      </c>
      <c r="CX120" t="e">
        <v>#VALUE!</v>
      </c>
      <c r="CY120" t="s">
        <v>1179</v>
      </c>
      <c r="CZ120">
        <v>6.2218535505235192E-2</v>
      </c>
      <c r="DA120" t="e">
        <v>#VALUE!</v>
      </c>
      <c r="DB120" t="s">
        <v>1179</v>
      </c>
      <c r="DC120">
        <v>5.9107608729973428E-2</v>
      </c>
      <c r="DD120" t="e">
        <v>#VALUE!</v>
      </c>
      <c r="DE120" t="s">
        <v>1179</v>
      </c>
      <c r="DF120">
        <v>5.4752311244606972E-2</v>
      </c>
      <c r="DG120" t="e">
        <v>#VALUE!</v>
      </c>
      <c r="DH120" t="s">
        <v>1179</v>
      </c>
      <c r="DI120">
        <v>4.9774828404188155E-2</v>
      </c>
      <c r="DJ120" t="e">
        <v>#VALUE!</v>
      </c>
      <c r="DK120" t="s">
        <v>1179</v>
      </c>
      <c r="DL120">
        <v>4.3552974853664633E-2</v>
      </c>
      <c r="DM120">
        <v>-68310200</v>
      </c>
      <c r="DN120">
        <v>6.2218535505235192E-2</v>
      </c>
      <c r="DO120">
        <v>71054319000</v>
      </c>
      <c r="DP120">
        <v>-12869001999.999996</v>
      </c>
      <c r="DQ120">
        <v>4042</v>
      </c>
      <c r="DR120">
        <v>222.34155408433301</v>
      </c>
      <c r="DS120">
        <v>94.959817764113666</v>
      </c>
      <c r="DT120" s="10">
        <v>-0.60666666666666669</v>
      </c>
      <c r="DU120">
        <v>-0.23333333333333348</v>
      </c>
      <c r="DV120">
        <v>-0.84000000000000019</v>
      </c>
      <c r="DW120">
        <v>-8.2647564469914041</v>
      </c>
      <c r="DX120">
        <v>0.259039978911146</v>
      </c>
      <c r="DY120">
        <v>-8.0182787795168764</v>
      </c>
      <c r="DZ120">
        <v>360</v>
      </c>
      <c r="EA120">
        <v>-8.0169910377113816</v>
      </c>
      <c r="EB120">
        <v>8</v>
      </c>
      <c r="EC120">
        <v>4.8844240416995024E-3</v>
      </c>
      <c r="ED120">
        <v>7.0747766038321516E-2</v>
      </c>
      <c r="EE120" s="11">
        <v>1.0637000000000001</v>
      </c>
      <c r="EF120">
        <v>1.0418000000000001</v>
      </c>
      <c r="EG120">
        <v>19.069039978911146</v>
      </c>
      <c r="EH120" t="s">
        <v>1178</v>
      </c>
      <c r="EI120">
        <v>0</v>
      </c>
      <c r="EJ120">
        <v>1</v>
      </c>
      <c r="EK120" s="12">
        <v>45470</v>
      </c>
      <c r="EL120">
        <v>-1.46</v>
      </c>
      <c r="EM120">
        <v>-0.17</v>
      </c>
      <c r="EN120">
        <v>0.17</v>
      </c>
      <c r="EO120">
        <v>1.8</v>
      </c>
      <c r="EP120">
        <v>-2.19</v>
      </c>
    </row>
    <row r="121" spans="1:146" ht="96" x14ac:dyDescent="0.25">
      <c r="C121" s="6" t="str">
        <f>""&amp;CHAR(10)&amp;Basic_Fundamental_Information_Constructure(F121)&amp;CHAR(10)&amp;Basic_Fundamental_Information_Concatenate("")</f>
        <v xml:space="preserve">
市值84.597333亿, 利润1.61亿; PE12.92; 平均PE17.85; 平均PEG2.32, PB1.72; ROIC44.74%; ROE34.385%; 股利率4.4373%; 毛利39.4067%; 净利29.0367%; 上一年度营收增-70.56%, 利润增-84.52%; 当季营收增132.94%, 利润增276.28%; 过往5年营收增7.68%, 利润增16.52%
Income profile:
</v>
      </c>
      <c r="D121" t="s">
        <v>1694</v>
      </c>
      <c r="E121" t="s">
        <v>1695</v>
      </c>
      <c r="F121">
        <v>22.66</v>
      </c>
      <c r="G121">
        <v>0.67</v>
      </c>
      <c r="H121" t="s">
        <v>4836</v>
      </c>
      <c r="I121">
        <v>8459733300</v>
      </c>
      <c r="J121">
        <v>12.92</v>
      </c>
      <c r="K121">
        <v>1.72</v>
      </c>
      <c r="L121" t="s">
        <v>428</v>
      </c>
      <c r="M121" t="s">
        <v>192</v>
      </c>
      <c r="N121" t="s">
        <v>896</v>
      </c>
      <c r="O121" t="s">
        <v>2094</v>
      </c>
      <c r="P121" s="4">
        <v>0.98</v>
      </c>
      <c r="Q121" t="s">
        <v>2187</v>
      </c>
      <c r="R121">
        <v>154291020</v>
      </c>
      <c r="S121">
        <v>-6.3000000000000003E-4</v>
      </c>
      <c r="T121" t="s">
        <v>51</v>
      </c>
      <c r="U121">
        <v>251693920</v>
      </c>
      <c r="V121">
        <v>373333330</v>
      </c>
      <c r="W121">
        <v>1.07</v>
      </c>
      <c r="X121">
        <v>0.11</v>
      </c>
      <c r="Y121">
        <v>26.3</v>
      </c>
      <c r="Z121" t="s">
        <v>141</v>
      </c>
      <c r="AA121" t="s">
        <v>469</v>
      </c>
      <c r="AB121" t="s">
        <v>4254</v>
      </c>
      <c r="AC121" t="s">
        <v>4837</v>
      </c>
      <c r="AD121" t="s">
        <v>5</v>
      </c>
      <c r="AE121">
        <v>-18469887</v>
      </c>
      <c r="AF121" t="s">
        <v>3088</v>
      </c>
      <c r="AG121" t="s">
        <v>4838</v>
      </c>
      <c r="AH121" t="s">
        <v>3089</v>
      </c>
      <c r="AI121" t="s">
        <v>4839</v>
      </c>
      <c r="AJ121" t="s">
        <v>3090</v>
      </c>
      <c r="AK121" t="s">
        <v>5</v>
      </c>
      <c r="AL121" t="s">
        <v>3091</v>
      </c>
      <c r="AM121" t="s">
        <v>5</v>
      </c>
      <c r="AN121" t="s">
        <v>93</v>
      </c>
      <c r="AO121" t="s">
        <v>5</v>
      </c>
      <c r="AP121" t="s">
        <v>5</v>
      </c>
      <c r="AQ121" t="s">
        <v>110</v>
      </c>
      <c r="AR121" t="s">
        <v>5</v>
      </c>
      <c r="AS121" t="s">
        <v>600</v>
      </c>
      <c r="AT121" t="s">
        <v>5</v>
      </c>
      <c r="AU121" t="s">
        <v>4840</v>
      </c>
      <c r="AV121" t="s">
        <v>3018</v>
      </c>
      <c r="AW121" t="s">
        <v>4841</v>
      </c>
      <c r="AX121" t="s">
        <v>1886</v>
      </c>
      <c r="AY121" t="s">
        <v>1887</v>
      </c>
      <c r="AZ121" t="s">
        <v>568</v>
      </c>
      <c r="BA121" t="s">
        <v>1888</v>
      </c>
      <c r="BB121" t="s">
        <v>1424</v>
      </c>
      <c r="BC121" t="s">
        <v>1797</v>
      </c>
      <c r="BD121" t="s">
        <v>249</v>
      </c>
      <c r="BE121" t="s">
        <v>393</v>
      </c>
      <c r="BF121" t="s">
        <v>486</v>
      </c>
      <c r="BG121" t="s">
        <v>242</v>
      </c>
      <c r="BH121" t="s">
        <v>3042</v>
      </c>
      <c r="BI121" t="s">
        <v>147</v>
      </c>
      <c r="BJ121" t="s">
        <v>1886</v>
      </c>
      <c r="BK121" t="s">
        <v>2687</v>
      </c>
      <c r="BL121" t="s">
        <v>4842</v>
      </c>
      <c r="BM121" t="s">
        <v>1797</v>
      </c>
      <c r="BN121">
        <v>13.61</v>
      </c>
      <c r="BO121">
        <v>54.5</v>
      </c>
      <c r="BP121">
        <v>66.11</v>
      </c>
      <c r="BQ121">
        <v>12.94</v>
      </c>
      <c r="BR121">
        <v>55.83</v>
      </c>
      <c r="BS121" t="s">
        <v>5</v>
      </c>
      <c r="BT121" t="s">
        <v>4843</v>
      </c>
      <c r="BU121" t="s">
        <v>1520</v>
      </c>
      <c r="BV121">
        <v>37.549999999999997</v>
      </c>
      <c r="BW121">
        <v>42.69</v>
      </c>
      <c r="BX121">
        <v>37.979999999999997</v>
      </c>
      <c r="BY121">
        <v>28.75</v>
      </c>
      <c r="BZ121">
        <v>31.4</v>
      </c>
      <c r="CA121">
        <v>26.96</v>
      </c>
      <c r="CB121">
        <v>0.94</v>
      </c>
      <c r="CC121" s="8">
        <v>-5.95</v>
      </c>
      <c r="CD121" s="9" t="s">
        <v>4844</v>
      </c>
      <c r="CE121" s="8" t="s">
        <v>4845</v>
      </c>
      <c r="CF121" s="8">
        <v>1.3293650793650793</v>
      </c>
      <c r="CG121" s="8">
        <v>2.7628376812937305</v>
      </c>
      <c r="CH121" s="8">
        <v>-0.70561593770980835</v>
      </c>
      <c r="CI121" s="8">
        <v>0.30650883913040161</v>
      </c>
      <c r="CJ121" s="9">
        <v>0.85986787080764771</v>
      </c>
      <c r="CK121" s="9">
        <v>-9.4953477382659912E-2</v>
      </c>
      <c r="CL121" s="9">
        <v>1.8255533650517464E-2</v>
      </c>
      <c r="CM121" s="9">
        <v>-0.8451923131942749</v>
      </c>
      <c r="CN121" s="9">
        <v>0.52046781778335571</v>
      </c>
      <c r="CO121">
        <v>1.2064516544342041</v>
      </c>
      <c r="CP121">
        <v>-3.4267913550138474E-2</v>
      </c>
      <c r="CQ121">
        <v>-2.1341463550925255E-2</v>
      </c>
      <c r="CR121" s="8">
        <v>17.847538607594938</v>
      </c>
      <c r="CS121" s="9">
        <v>2.323518091751001</v>
      </c>
      <c r="CT121">
        <v>4.4373345101500439</v>
      </c>
      <c r="CU121">
        <v>7.6812565699219709E-2</v>
      </c>
      <c r="CV121">
        <v>0.16522355638444425</v>
      </c>
      <c r="CW121">
        <v>0.06</v>
      </c>
      <c r="CX121">
        <v>23.990503051088105</v>
      </c>
      <c r="CY121">
        <v>163553606.67695698</v>
      </c>
      <c r="CZ121">
        <v>7.6812565699219709E-2</v>
      </c>
      <c r="DA121">
        <v>7.9280418777057005</v>
      </c>
      <c r="DB121">
        <v>494918336.77542216</v>
      </c>
      <c r="DC121">
        <v>7.2971937414258725E-2</v>
      </c>
      <c r="DD121">
        <v>3.9612993017149654</v>
      </c>
      <c r="DE121">
        <v>990516747.44730806</v>
      </c>
      <c r="DF121">
        <v>6.7595057815313345E-2</v>
      </c>
      <c r="DG121">
        <v>2.4188276222718206</v>
      </c>
      <c r="DH121">
        <v>1622163259.5359302</v>
      </c>
      <c r="DI121">
        <v>6.1450052559375773E-2</v>
      </c>
      <c r="DJ121">
        <v>1.2956217651661102</v>
      </c>
      <c r="DK121">
        <v>3028455839.1136189</v>
      </c>
      <c r="DL121">
        <v>5.3768795989453791E-2</v>
      </c>
      <c r="DM121">
        <v>161000000</v>
      </c>
      <c r="DN121">
        <v>7.6812565699219709E-2</v>
      </c>
      <c r="DO121">
        <v>3923733300</v>
      </c>
      <c r="DP121">
        <v>4327481900</v>
      </c>
      <c r="DQ121" s="10">
        <v>4057</v>
      </c>
      <c r="DR121">
        <v>1.2525525136658595</v>
      </c>
      <c r="DS121">
        <v>2.5976141249092861</v>
      </c>
      <c r="DT121">
        <v>-0.35666666666666669</v>
      </c>
      <c r="DU121">
        <v>0.30333333333333334</v>
      </c>
      <c r="DV121">
        <v>-5.3333333333333344E-2</v>
      </c>
      <c r="DW121">
        <v>-1.0595000000000001</v>
      </c>
      <c r="DX121">
        <v>0.31399449722783135</v>
      </c>
      <c r="DY121">
        <v>-1.009162672585056</v>
      </c>
      <c r="DZ121">
        <v>2079</v>
      </c>
      <c r="EA121">
        <v>-1.0054348455196291</v>
      </c>
      <c r="EB121" s="11">
        <v>1</v>
      </c>
      <c r="EC121" s="11">
        <v>9.9246429457557402E-3</v>
      </c>
      <c r="ED121">
        <v>6.4448036289714614E-2</v>
      </c>
      <c r="EE121">
        <v>-1.01631</v>
      </c>
      <c r="EF121">
        <v>-1.01631</v>
      </c>
      <c r="EG121">
        <v>16.153994497227831</v>
      </c>
      <c r="EH121" s="12" t="s">
        <v>1691</v>
      </c>
      <c r="EI121">
        <v>0</v>
      </c>
      <c r="EJ121">
        <v>0</v>
      </c>
      <c r="EK121">
        <v>45470</v>
      </c>
      <c r="EL121">
        <v>1.37</v>
      </c>
      <c r="EM121">
        <v>-8.84</v>
      </c>
      <c r="EN121">
        <v>0.67</v>
      </c>
      <c r="EO121">
        <v>1.32</v>
      </c>
      <c r="EP121">
        <v>0</v>
      </c>
    </row>
    <row r="122" spans="1:146" ht="96" x14ac:dyDescent="0.25">
      <c r="C122" s="6" t="str">
        <f>""&amp;CHAR(10)&amp;Basic_Fundamental_Information_Constructure(F122)&amp;CHAR(10)&amp;Basic_Fundamental_Information_Concatenate("")</f>
        <v xml:space="preserve">
市值69.6亿, 利润794.34万; PE36.26; 平均PE43.32; 平均PEG1.58, PB4.23; ROIC52.345%; ROE0%; 股利率0%; 毛利41.0633%; 净利30.62%; 上一年度营收增1.06%, 利润增-96.73%; 当季营收增3.7%, 利润增3440.18%; 过往5年营收增27.45%, 利润增22.3%
Income profile:
</v>
      </c>
      <c r="D122" t="s">
        <v>4846</v>
      </c>
      <c r="E122" t="s">
        <v>4847</v>
      </c>
      <c r="F122">
        <v>43.5</v>
      </c>
      <c r="G122">
        <v>133.24</v>
      </c>
      <c r="H122" t="s">
        <v>4848</v>
      </c>
      <c r="I122">
        <v>6960000000</v>
      </c>
      <c r="J122">
        <v>36.26</v>
      </c>
      <c r="K122">
        <v>4.2300000000000004</v>
      </c>
      <c r="L122" t="s">
        <v>428</v>
      </c>
      <c r="M122" t="s">
        <v>74</v>
      </c>
      <c r="N122" t="s">
        <v>1739</v>
      </c>
      <c r="O122" t="s">
        <v>227</v>
      </c>
      <c r="P122" s="4">
        <v>6.64</v>
      </c>
      <c r="Q122" t="s">
        <v>4849</v>
      </c>
      <c r="R122">
        <v>104000000</v>
      </c>
      <c r="S122">
        <v>5.6599999999999998E-2</v>
      </c>
      <c r="T122" t="s">
        <v>4850</v>
      </c>
      <c r="U122">
        <v>39197016</v>
      </c>
      <c r="V122">
        <v>160000000</v>
      </c>
      <c r="W122">
        <v>1.1000000000000001</v>
      </c>
      <c r="X122">
        <v>0.16</v>
      </c>
      <c r="Y122">
        <v>26.32</v>
      </c>
      <c r="Z122" t="s">
        <v>84</v>
      </c>
      <c r="AA122" t="s">
        <v>49</v>
      </c>
      <c r="AB122" t="s">
        <v>4851</v>
      </c>
      <c r="AC122" t="s">
        <v>4852</v>
      </c>
      <c r="AD122" t="s">
        <v>5</v>
      </c>
      <c r="AE122">
        <v>-636140</v>
      </c>
      <c r="AF122" t="s">
        <v>4853</v>
      </c>
      <c r="AG122" t="s">
        <v>4854</v>
      </c>
      <c r="AH122" t="s">
        <v>4855</v>
      </c>
      <c r="AI122" t="s">
        <v>48</v>
      </c>
      <c r="AJ122" t="s">
        <v>4856</v>
      </c>
      <c r="AK122" t="s">
        <v>4857</v>
      </c>
      <c r="AL122" t="s">
        <v>4858</v>
      </c>
      <c r="AM122" t="s">
        <v>228</v>
      </c>
      <c r="AN122" t="s">
        <v>4859</v>
      </c>
      <c r="AO122" t="s">
        <v>5</v>
      </c>
      <c r="AP122" t="s">
        <v>4860</v>
      </c>
      <c r="AQ122" t="s">
        <v>4861</v>
      </c>
      <c r="AR122" t="s">
        <v>5</v>
      </c>
      <c r="AS122" t="s">
        <v>4862</v>
      </c>
      <c r="AT122" t="s">
        <v>5</v>
      </c>
      <c r="AU122" t="s">
        <v>4863</v>
      </c>
      <c r="AV122" t="s">
        <v>3284</v>
      </c>
      <c r="AW122" t="s">
        <v>4864</v>
      </c>
      <c r="AX122" t="s">
        <v>1346</v>
      </c>
      <c r="AY122" t="s">
        <v>1722</v>
      </c>
      <c r="AZ122" t="s">
        <v>504</v>
      </c>
      <c r="BA122" t="s">
        <v>537</v>
      </c>
      <c r="BB122" t="s">
        <v>5</v>
      </c>
      <c r="BC122" t="s">
        <v>150</v>
      </c>
      <c r="BD122" t="s">
        <v>496</v>
      </c>
      <c r="BE122" t="s">
        <v>100</v>
      </c>
      <c r="BF122" t="s">
        <v>4865</v>
      </c>
      <c r="BG122" t="s">
        <v>5</v>
      </c>
      <c r="BH122" t="s">
        <v>1866</v>
      </c>
      <c r="BI122" t="s">
        <v>23</v>
      </c>
      <c r="BJ122" t="s">
        <v>1346</v>
      </c>
      <c r="BK122" t="s">
        <v>33</v>
      </c>
      <c r="BL122" t="s">
        <v>4866</v>
      </c>
      <c r="BM122" t="s">
        <v>150</v>
      </c>
      <c r="BN122" t="s">
        <v>5</v>
      </c>
      <c r="BO122">
        <v>35.520000000000003</v>
      </c>
      <c r="BP122">
        <v>69.17</v>
      </c>
      <c r="BQ122" t="s">
        <v>5</v>
      </c>
      <c r="BR122" t="s">
        <v>5</v>
      </c>
      <c r="BS122" t="s">
        <v>5</v>
      </c>
      <c r="BT122" t="s">
        <v>5</v>
      </c>
      <c r="BU122" t="s">
        <v>1516</v>
      </c>
      <c r="BV122">
        <v>37.090000000000003</v>
      </c>
      <c r="BW122">
        <v>43.04</v>
      </c>
      <c r="BX122">
        <v>43.06</v>
      </c>
      <c r="BY122">
        <v>28.12</v>
      </c>
      <c r="BZ122">
        <v>32.200000000000003</v>
      </c>
      <c r="CA122">
        <v>31.54</v>
      </c>
      <c r="CB122">
        <v>10.41</v>
      </c>
      <c r="CC122" s="8">
        <v>10.41</v>
      </c>
      <c r="CD122" s="9" t="s">
        <v>4848</v>
      </c>
      <c r="CE122" s="8" t="s">
        <v>4848</v>
      </c>
      <c r="CF122" s="8">
        <v>3.7037037037037035E-2</v>
      </c>
      <c r="CG122" s="8">
        <v>34.401844980767265</v>
      </c>
      <c r="CH122" s="8">
        <v>1.0610079392790794E-2</v>
      </c>
      <c r="CI122" s="8">
        <v>-0.27777779102325439</v>
      </c>
      <c r="CJ122" s="9">
        <v>0.8125</v>
      </c>
      <c r="CK122" s="9">
        <v>0.55256062746047974</v>
      </c>
      <c r="CL122" s="9" t="s">
        <v>5</v>
      </c>
      <c r="CM122" s="9">
        <v>-0.96731114387512207</v>
      </c>
      <c r="CN122" s="9">
        <v>-0.26139816641807556</v>
      </c>
      <c r="CO122">
        <v>1.268965482711792</v>
      </c>
      <c r="CP122">
        <v>0.85164374113082886</v>
      </c>
      <c r="CQ122" t="s">
        <v>5</v>
      </c>
      <c r="CR122" s="8">
        <v>43.323877606559932</v>
      </c>
      <c r="CS122" s="9">
        <v>1.5784372767832908</v>
      </c>
      <c r="CT122">
        <v>0</v>
      </c>
      <c r="CU122">
        <v>0.27447322895750403</v>
      </c>
      <c r="CV122">
        <v>0.2229749783873558</v>
      </c>
      <c r="CW122">
        <v>0.06</v>
      </c>
      <c r="CX122">
        <v>637.96946627914747</v>
      </c>
      <c r="CY122">
        <v>9550613.8178311661</v>
      </c>
      <c r="CZ122">
        <v>0.27447322895750403</v>
      </c>
      <c r="DA122">
        <v>178.9426335585016</v>
      </c>
      <c r="DB122">
        <v>34050018.59441182</v>
      </c>
      <c r="DC122">
        <v>0.2607495675096288</v>
      </c>
      <c r="DD122">
        <v>70.905363330895156</v>
      </c>
      <c r="DE122">
        <v>85931440.356150538</v>
      </c>
      <c r="DF122">
        <v>0.24153644148260356</v>
      </c>
      <c r="DG122">
        <v>32.748193383324626</v>
      </c>
      <c r="DH122">
        <v>186056065.09892404</v>
      </c>
      <c r="DI122">
        <v>0.21957858316600323</v>
      </c>
      <c r="DJ122">
        <v>8.9679806383654022</v>
      </c>
      <c r="DK122">
        <v>679417167.108266</v>
      </c>
      <c r="DL122">
        <v>0.19213126027025282</v>
      </c>
      <c r="DM122">
        <v>7943400</v>
      </c>
      <c r="DN122">
        <v>0.27447322895750403</v>
      </c>
      <c r="DO122">
        <v>6093000000</v>
      </c>
      <c r="DP122">
        <v>700065140</v>
      </c>
      <c r="DQ122" s="10">
        <v>4060</v>
      </c>
      <c r="DR122">
        <v>-0.237436191920467</v>
      </c>
      <c r="DS122">
        <v>34.178870002379909</v>
      </c>
      <c r="DT122">
        <v>-0.24800000000000005</v>
      </c>
      <c r="DU122">
        <v>0.28400000000000003</v>
      </c>
      <c r="DV122">
        <v>3.5999999999999976E-2</v>
      </c>
      <c r="DW122">
        <v>5.9999000000000002</v>
      </c>
      <c r="DX122" t="e">
        <v>#VALUE!</v>
      </c>
      <c r="DY122">
        <v>5.9998000100000004</v>
      </c>
      <c r="DZ122">
        <v>131</v>
      </c>
      <c r="EA122">
        <v>5.974169129117417</v>
      </c>
      <c r="EB122" s="11">
        <v>5</v>
      </c>
      <c r="EC122" s="11">
        <v>0.18853375</v>
      </c>
      <c r="ED122">
        <v>0.18853375</v>
      </c>
      <c r="EE122">
        <v>2.0515099999999999</v>
      </c>
      <c r="EF122">
        <v>2.0592100000000002</v>
      </c>
      <c r="EG122" t="e">
        <v>#VALUE!</v>
      </c>
      <c r="EH122" s="12" t="s">
        <v>1706</v>
      </c>
      <c r="EI122">
        <v>1</v>
      </c>
      <c r="EJ122">
        <v>1</v>
      </c>
      <c r="EK122">
        <v>45470</v>
      </c>
      <c r="EL122">
        <v>-2.72</v>
      </c>
      <c r="EM122">
        <v>-2.86</v>
      </c>
      <c r="EN122">
        <v>-5.82</v>
      </c>
      <c r="EO122">
        <v>2.66</v>
      </c>
      <c r="EP122">
        <v>-0.77</v>
      </c>
    </row>
    <row r="123" spans="1:146" ht="96" x14ac:dyDescent="0.25">
      <c r="A123" s="6"/>
      <c r="B123" s="6"/>
      <c r="C123" s="6" t="str">
        <f>""&amp;CHAR(10)&amp;Basic_Fundamental_Information_Constructure(F123)&amp;CHAR(10)&amp;Basic_Fundamental_Information_Concatenate("")</f>
        <v xml:space="preserve">
市值234.60709亿, 利润1.33亿; PE56.67; 平均PE44.96; 平均PEG6.3, PB3.86; ROIC6.5533%; ROE7.76%; 股利率.5985%; 毛利17.55%; 净利10.6033%; 上一年度营收增-59.82%, 利润增-72.63%; 当季营收增129.43%, 利润增594.25%; 过往5年营收增-7.14%, 利润增-9.57%
Income profile:
</v>
      </c>
      <c r="D123" t="s">
        <v>963</v>
      </c>
      <c r="E123" t="s">
        <v>964</v>
      </c>
      <c r="F123">
        <v>38.43</v>
      </c>
      <c r="G123">
        <v>2.2599999999999998</v>
      </c>
      <c r="H123" t="s">
        <v>4867</v>
      </c>
      <c r="I123">
        <v>23460709000</v>
      </c>
      <c r="J123">
        <v>56.67</v>
      </c>
      <c r="K123">
        <v>3.86</v>
      </c>
      <c r="L123" t="s">
        <v>428</v>
      </c>
      <c r="M123" t="s">
        <v>1245</v>
      </c>
      <c r="N123" t="s">
        <v>4868</v>
      </c>
      <c r="O123" t="s">
        <v>2063</v>
      </c>
      <c r="P123">
        <v>23.28</v>
      </c>
      <c r="Q123" t="s">
        <v>4869</v>
      </c>
      <c r="R123">
        <v>154292120</v>
      </c>
      <c r="S123" s="4">
        <v>6.7249999999999996</v>
      </c>
      <c r="T123" t="s">
        <v>50</v>
      </c>
      <c r="U123">
        <v>610479040</v>
      </c>
      <c r="V123">
        <v>610479040</v>
      </c>
      <c r="W123">
        <v>1.1200000000000001</v>
      </c>
      <c r="X123">
        <v>0.14000000000000001</v>
      </c>
      <c r="Y123">
        <v>16.100000000000001</v>
      </c>
      <c r="Z123" t="s">
        <v>1037</v>
      </c>
      <c r="AA123" t="s">
        <v>4870</v>
      </c>
      <c r="AB123" t="s">
        <v>4871</v>
      </c>
      <c r="AC123" t="s">
        <v>4872</v>
      </c>
      <c r="AD123" t="s">
        <v>5</v>
      </c>
      <c r="AE123">
        <v>-31304135</v>
      </c>
      <c r="AF123" t="s">
        <v>3093</v>
      </c>
      <c r="AG123" t="s">
        <v>4873</v>
      </c>
      <c r="AH123" t="s">
        <v>3094</v>
      </c>
      <c r="AI123" t="s">
        <v>4874</v>
      </c>
      <c r="AJ123" t="s">
        <v>3095</v>
      </c>
      <c r="AK123" t="s">
        <v>5</v>
      </c>
      <c r="AL123" t="s">
        <v>3096</v>
      </c>
      <c r="AM123" t="s">
        <v>5</v>
      </c>
      <c r="AN123" t="s">
        <v>314</v>
      </c>
      <c r="AO123" t="s">
        <v>5</v>
      </c>
      <c r="AP123" t="s">
        <v>65</v>
      </c>
      <c r="AQ123" t="s">
        <v>1169</v>
      </c>
      <c r="AR123" t="s">
        <v>4875</v>
      </c>
      <c r="AS123" t="s">
        <v>3525</v>
      </c>
      <c r="AT123" t="s">
        <v>5</v>
      </c>
      <c r="AU123" t="s">
        <v>48</v>
      </c>
      <c r="AV123" t="s">
        <v>4668</v>
      </c>
      <c r="AW123" t="s">
        <v>4876</v>
      </c>
      <c r="AX123" t="s">
        <v>1889</v>
      </c>
      <c r="AY123" t="s">
        <v>1420</v>
      </c>
      <c r="AZ123" t="s">
        <v>1421</v>
      </c>
      <c r="BA123" t="s">
        <v>965</v>
      </c>
      <c r="BB123" t="s">
        <v>966</v>
      </c>
      <c r="BC123" t="s">
        <v>204</v>
      </c>
      <c r="BD123" t="s">
        <v>705</v>
      </c>
      <c r="BE123" t="s">
        <v>220</v>
      </c>
      <c r="BF123" t="s">
        <v>377</v>
      </c>
      <c r="BG123" t="s">
        <v>209</v>
      </c>
      <c r="BH123" t="s">
        <v>3092</v>
      </c>
      <c r="BI123" t="s">
        <v>275</v>
      </c>
      <c r="BJ123" t="s">
        <v>1889</v>
      </c>
      <c r="BK123" t="s">
        <v>129</v>
      </c>
      <c r="BL123" t="s">
        <v>4877</v>
      </c>
      <c r="BM123" t="s">
        <v>204</v>
      </c>
      <c r="BN123">
        <v>1.69</v>
      </c>
      <c r="BO123">
        <v>7.86</v>
      </c>
      <c r="BP123">
        <v>10.11</v>
      </c>
      <c r="BQ123">
        <v>4.1399999999999997</v>
      </c>
      <c r="BR123">
        <v>8.84</v>
      </c>
      <c r="BS123">
        <v>10.3</v>
      </c>
      <c r="BT123" t="s">
        <v>3097</v>
      </c>
      <c r="BU123" t="s">
        <v>1522</v>
      </c>
      <c r="BV123">
        <v>13.4</v>
      </c>
      <c r="BW123">
        <v>16.07</v>
      </c>
      <c r="BX123">
        <v>23.18</v>
      </c>
      <c r="BY123">
        <v>8.39</v>
      </c>
      <c r="BZ123">
        <v>10.18</v>
      </c>
      <c r="CA123">
        <v>13.24</v>
      </c>
      <c r="CB123">
        <v>-1.81</v>
      </c>
      <c r="CC123">
        <v>-7.33</v>
      </c>
      <c r="CD123" t="s">
        <v>4878</v>
      </c>
      <c r="CE123" t="s">
        <v>37</v>
      </c>
      <c r="CF123" s="8">
        <v>1.2942583732057416</v>
      </c>
      <c r="CG123" s="9">
        <v>5.9425275150511601</v>
      </c>
      <c r="CH123" s="8">
        <v>-0.59819740056991577</v>
      </c>
      <c r="CI123" s="8">
        <v>0.17860667407512665</v>
      </c>
      <c r="CJ123" s="8">
        <v>0.48768839240074158</v>
      </c>
      <c r="CK123" s="8">
        <v>-0.30851337313652039</v>
      </c>
      <c r="CL123" s="8">
        <v>-0.11652448028326035</v>
      </c>
      <c r="CM123" s="9">
        <v>-0.72633743286132813</v>
      </c>
      <c r="CN123" s="9">
        <v>-9.3283578753471375E-2</v>
      </c>
      <c r="CO123" s="9">
        <v>1.4144144058227539</v>
      </c>
      <c r="CP123" s="9">
        <v>-0.65634673833847046</v>
      </c>
      <c r="CQ123" s="9">
        <v>-0.41696751117706299</v>
      </c>
      <c r="CR123">
        <v>44.958241456403705</v>
      </c>
      <c r="CS123">
        <v>6.2977276066262471</v>
      </c>
      <c r="CT123">
        <v>0.59849076242518862</v>
      </c>
      <c r="CU123" s="8">
        <v>-7.138803750276565E-2</v>
      </c>
      <c r="CV123" s="9">
        <v>-9.5704171061515811E-2</v>
      </c>
      <c r="CW123">
        <v>0.06</v>
      </c>
      <c r="CX123">
        <v>137.00533082706767</v>
      </c>
      <c r="CY123" t="s">
        <v>4879</v>
      </c>
      <c r="CZ123">
        <v>-7.138803750276565E-2</v>
      </c>
      <c r="DA123">
        <v>45.668443609022553</v>
      </c>
      <c r="DB123" t="s">
        <v>4880</v>
      </c>
      <c r="DC123">
        <v>-6.7818635627627369E-2</v>
      </c>
      <c r="DD123">
        <v>22.834221804511277</v>
      </c>
      <c r="DE123" t="s">
        <v>4881</v>
      </c>
      <c r="DF123">
        <v>-6.2821473002433778E-2</v>
      </c>
      <c r="DG123">
        <v>13.700533082706768</v>
      </c>
      <c r="DH123" t="s">
        <v>4882</v>
      </c>
      <c r="DI123">
        <v>-5.7110430002212526E-2</v>
      </c>
      <c r="DJ123">
        <v>6.8502665413533839</v>
      </c>
      <c r="DK123" t="s">
        <v>4883</v>
      </c>
      <c r="DL123">
        <v>-4.9971626251935949E-2</v>
      </c>
      <c r="DM123">
        <v>133000000</v>
      </c>
      <c r="DN123">
        <v>-7.138803750276565E-2</v>
      </c>
      <c r="DO123">
        <v>18221709000</v>
      </c>
      <c r="DP123">
        <v>3580652200</v>
      </c>
      <c r="DQ123">
        <v>4128</v>
      </c>
      <c r="DR123">
        <v>1.3656464107085071</v>
      </c>
      <c r="DS123">
        <v>6.0382316861126757</v>
      </c>
      <c r="DT123" s="10">
        <v>-0.44</v>
      </c>
      <c r="DU123">
        <v>-0.39999999999999997</v>
      </c>
      <c r="DV123">
        <v>-0.84</v>
      </c>
      <c r="DW123">
        <v>-2.0733000000000001</v>
      </c>
      <c r="DX123">
        <v>0.36242047244094466</v>
      </c>
      <c r="DY123">
        <v>-2.0163034206299213</v>
      </c>
      <c r="DZ123">
        <v>2101</v>
      </c>
      <c r="EA123">
        <v>-2.0096001942613371</v>
      </c>
      <c r="EB123">
        <v>2</v>
      </c>
      <c r="EC123">
        <v>4.6270876064803138E-2</v>
      </c>
      <c r="ED123">
        <v>0.20803335033419001</v>
      </c>
      <c r="EE123" s="11">
        <v>-2.0436100000000001</v>
      </c>
      <c r="EF123">
        <v>-2.0601099999999999</v>
      </c>
      <c r="EG123">
        <v>14.222420472440945</v>
      </c>
      <c r="EH123" t="s">
        <v>1710</v>
      </c>
      <c r="EI123">
        <v>0</v>
      </c>
      <c r="EJ123">
        <v>0</v>
      </c>
      <c r="EK123" s="12">
        <v>45470</v>
      </c>
      <c r="EL123">
        <v>-0.28999999999999998</v>
      </c>
      <c r="EM123">
        <v>-3.66</v>
      </c>
      <c r="EN123">
        <v>-4.0999999999999996</v>
      </c>
      <c r="EO123">
        <v>4.2699999999999996</v>
      </c>
      <c r="EP123">
        <v>-1.65</v>
      </c>
    </row>
    <row r="124" spans="1:146" ht="144" x14ac:dyDescent="0.25">
      <c r="A124" s="6"/>
      <c r="B124" s="6"/>
      <c r="C124" s="6" t="str">
        <f>"公司的主营业务为萤石矿的投资和开发，以及萤石产品的研发、生产和销售。产品主要有酸级萤石精粉、高品位萤石块矿、冶金级萤石精粉和普通萤石原矿。公司目前是中国萤石行业拥有资源储量、开采及加工规模最大的企业。"&amp;CHAR(10)&amp;Basic_Fundamental_Information_Constructure(F124)&amp;CHAR(10)&amp;Basic_Fundamental_Information_Concatenate("自产酸级萤石精粉 7.09亿 67.98% 56.42% 39.58%
自产高品位萤石块矿 3.06亿 29.31% 42.59% 69.31%")</f>
        <v>公司的主营业务为萤石矿的投资和开发，以及萤石产品的研发、生产和销售。产品主要有酸级萤石精粉、高品位萤石块矿、冶金级萤石精粉和普通萤石原矿。公司目前是中国萤石行业拥有资源储量、开采及加工规模最大的企业。
市值161.23228亿, 利润1.86亿; PE43.01; 平均PE77.33; 平均PEG2.73, PB9.52; ROIC11.9833%; ROE18.2767%; 股利率1.1253%; 毛利42.2333%; 净利21.6633%; 上一年度营收增76.29%, 利润增-16.22%; 当季营收增-3.66%, 利润增50.11%; 过往5年营收增28.37%, 利润增9.08%
Income profile:
自产酸级萤石精粉 7.09亿 67.98% 56.42% 39.58%
自产高品位萤石块矿 3.06亿 29.31% 42.59% 69.31%</v>
      </c>
      <c r="D124" t="s">
        <v>967</v>
      </c>
      <c r="E124" t="s">
        <v>968</v>
      </c>
      <c r="F124">
        <v>26.66</v>
      </c>
      <c r="G124">
        <v>-0.11</v>
      </c>
      <c r="H124" t="s">
        <v>4884</v>
      </c>
      <c r="I124">
        <v>16123228000</v>
      </c>
      <c r="J124">
        <v>43.01</v>
      </c>
      <c r="K124">
        <v>9.52</v>
      </c>
      <c r="L124" t="s">
        <v>428</v>
      </c>
      <c r="M124" t="s">
        <v>3098</v>
      </c>
      <c r="N124" t="s">
        <v>2436</v>
      </c>
      <c r="O124" t="s">
        <v>91</v>
      </c>
      <c r="P124">
        <v>166.49</v>
      </c>
      <c r="Q124" t="s">
        <v>578</v>
      </c>
      <c r="R124">
        <v>60535568</v>
      </c>
      <c r="S124" s="4">
        <v>0.74939999999999996</v>
      </c>
      <c r="T124" t="s">
        <v>187</v>
      </c>
      <c r="U124">
        <v>604772230</v>
      </c>
      <c r="V124">
        <v>604772230</v>
      </c>
      <c r="W124">
        <v>2.5</v>
      </c>
      <c r="X124">
        <v>0.09</v>
      </c>
      <c r="Y124">
        <v>13.9</v>
      </c>
      <c r="Z124" t="s">
        <v>87</v>
      </c>
      <c r="AA124" t="s">
        <v>567</v>
      </c>
      <c r="AB124" t="s">
        <v>4885</v>
      </c>
      <c r="AC124" t="s">
        <v>4886</v>
      </c>
      <c r="AD124" t="s">
        <v>5</v>
      </c>
      <c r="AE124">
        <v>8042019</v>
      </c>
      <c r="AF124" t="s">
        <v>3099</v>
      </c>
      <c r="AG124" t="s">
        <v>4887</v>
      </c>
      <c r="AH124" t="s">
        <v>3100</v>
      </c>
      <c r="AI124" t="s">
        <v>572</v>
      </c>
      <c r="AJ124" t="s">
        <v>3101</v>
      </c>
      <c r="AK124" t="s">
        <v>5</v>
      </c>
      <c r="AL124" t="s">
        <v>3102</v>
      </c>
      <c r="AM124" t="s">
        <v>5</v>
      </c>
      <c r="AN124" t="s">
        <v>3013</v>
      </c>
      <c r="AO124" t="s">
        <v>2575</v>
      </c>
      <c r="AP124" t="s">
        <v>4888</v>
      </c>
      <c r="AQ124" t="s">
        <v>581</v>
      </c>
      <c r="AR124" t="s">
        <v>4889</v>
      </c>
      <c r="AS124" t="s">
        <v>2057</v>
      </c>
      <c r="AT124" t="s">
        <v>915</v>
      </c>
      <c r="AU124" t="s">
        <v>4890</v>
      </c>
      <c r="AV124" t="s">
        <v>2573</v>
      </c>
      <c r="AW124" t="s">
        <v>408</v>
      </c>
      <c r="AX124" t="s">
        <v>748</v>
      </c>
      <c r="AY124" t="s">
        <v>1422</v>
      </c>
      <c r="AZ124" t="s">
        <v>969</v>
      </c>
      <c r="BA124" t="s">
        <v>603</v>
      </c>
      <c r="BB124" t="s">
        <v>495</v>
      </c>
      <c r="BC124" t="s">
        <v>220</v>
      </c>
      <c r="BD124" t="s">
        <v>390</v>
      </c>
      <c r="BE124" t="s">
        <v>229</v>
      </c>
      <c r="BF124" t="s">
        <v>220</v>
      </c>
      <c r="BG124" t="s">
        <v>257</v>
      </c>
      <c r="BH124" t="s">
        <v>1409</v>
      </c>
      <c r="BI124" t="s">
        <v>571</v>
      </c>
      <c r="BJ124" t="s">
        <v>748</v>
      </c>
      <c r="BK124" t="s">
        <v>1900</v>
      </c>
      <c r="BL124" t="s">
        <v>4891</v>
      </c>
      <c r="BM124" t="s">
        <v>220</v>
      </c>
      <c r="BN124">
        <v>9.14</v>
      </c>
      <c r="BO124">
        <v>11.29</v>
      </c>
      <c r="BP124">
        <v>15.52</v>
      </c>
      <c r="BQ124">
        <v>17.02</v>
      </c>
      <c r="BR124">
        <v>17.239999999999998</v>
      </c>
      <c r="BS124">
        <v>20.57</v>
      </c>
      <c r="BT124" t="s">
        <v>1675</v>
      </c>
      <c r="BU124" t="s">
        <v>1522</v>
      </c>
      <c r="BV124">
        <v>34.58</v>
      </c>
      <c r="BW124">
        <v>44.43</v>
      </c>
      <c r="BX124">
        <v>47.69</v>
      </c>
      <c r="BY124">
        <v>19.829999999999998</v>
      </c>
      <c r="BZ124">
        <v>21.13</v>
      </c>
      <c r="CA124">
        <v>24.03</v>
      </c>
      <c r="CB124">
        <v>-3.51</v>
      </c>
      <c r="CC124">
        <v>-15.82</v>
      </c>
      <c r="CD124" t="s">
        <v>4892</v>
      </c>
      <c r="CE124" t="s">
        <v>4893</v>
      </c>
      <c r="CF124" s="8">
        <v>-3.655913978494623E-2</v>
      </c>
      <c r="CG124" s="9">
        <v>0.5010803412021424</v>
      </c>
      <c r="CH124" s="8">
        <v>0.76285719871520996</v>
      </c>
      <c r="CI124" s="8">
        <v>6.7114094272255898E-3</v>
      </c>
      <c r="CJ124" s="8">
        <v>0.18657565116882324</v>
      </c>
      <c r="CK124" s="8">
        <v>8.6526572704315186E-2</v>
      </c>
      <c r="CL124" s="8">
        <v>0.37585034966468811</v>
      </c>
      <c r="CM124" s="9">
        <v>-0.16216215491294861</v>
      </c>
      <c r="CN124" s="9">
        <v>-9.3877553939819336E-2</v>
      </c>
      <c r="CO124" s="9">
        <v>2.9411764815449715E-2</v>
      </c>
      <c r="CP124" s="9">
        <v>7.2072073817253113E-2</v>
      </c>
      <c r="CQ124" s="9">
        <v>0.6086956262588501</v>
      </c>
      <c r="CR124">
        <v>77.32963069544364</v>
      </c>
      <c r="CS124">
        <v>2.7257129359127861</v>
      </c>
      <c r="CT124">
        <v>1.1252813203300824</v>
      </c>
      <c r="CU124" s="8">
        <v>0.28370423633605241</v>
      </c>
      <c r="CV124" s="9">
        <v>9.0827951207756996E-2</v>
      </c>
      <c r="CW124">
        <v>0.06</v>
      </c>
      <c r="CX124">
        <v>74.770018638695774</v>
      </c>
      <c r="CY124">
        <v>225253762.22500542</v>
      </c>
      <c r="CZ124">
        <v>0.28370423633605241</v>
      </c>
      <c r="DA124">
        <v>20.816212586045658</v>
      </c>
      <c r="DB124">
        <v>809091852.34255075</v>
      </c>
      <c r="DC124">
        <v>0.26951902451924975</v>
      </c>
      <c r="DD124">
        <v>8.1567282170084976</v>
      </c>
      <c r="DE124">
        <v>2064826429.4108026</v>
      </c>
      <c r="DF124">
        <v>0.24965972797572611</v>
      </c>
      <c r="DG124">
        <v>3.713921524754106</v>
      </c>
      <c r="DH124">
        <v>4534890650.6889915</v>
      </c>
      <c r="DI124">
        <v>0.22696338906884195</v>
      </c>
      <c r="DJ124">
        <v>0.98066851951146261</v>
      </c>
      <c r="DK124">
        <v>17174231317.622242</v>
      </c>
      <c r="DL124">
        <v>0.19859296543523666</v>
      </c>
      <c r="DM124">
        <v>186000000</v>
      </c>
      <c r="DN124">
        <v>0.28370423633605241</v>
      </c>
      <c r="DO124">
        <v>16842228000</v>
      </c>
      <c r="DP124">
        <v>-265725700</v>
      </c>
      <c r="DQ124">
        <v>4160</v>
      </c>
      <c r="DR124">
        <v>-0.32026337612099864</v>
      </c>
      <c r="DS124">
        <v>0.4102523899943854</v>
      </c>
      <c r="DT124" s="10">
        <v>0.12666666666666662</v>
      </c>
      <c r="DU124">
        <v>3.3333333333333326E-2</v>
      </c>
      <c r="DV124">
        <v>0.15999999999999995</v>
      </c>
      <c r="DW124">
        <v>-8.2218710493046778</v>
      </c>
      <c r="DX124">
        <v>0.32562750236810928</v>
      </c>
      <c r="DY124">
        <v>-8.030091816264985</v>
      </c>
      <c r="DZ124">
        <v>1472</v>
      </c>
      <c r="EA124">
        <v>-8.0214234887616467</v>
      </c>
      <c r="EB124">
        <v>8</v>
      </c>
      <c r="EC124">
        <v>2.2182731505380134E-2</v>
      </c>
      <c r="ED124">
        <v>0.16355628630633387</v>
      </c>
      <c r="EE124" s="11">
        <v>-2.0497100000000001</v>
      </c>
      <c r="EF124">
        <v>-2.0401099999999999</v>
      </c>
      <c r="EG124">
        <v>19.135627502368109</v>
      </c>
      <c r="EH124" t="s">
        <v>1710</v>
      </c>
      <c r="EI124">
        <v>0</v>
      </c>
      <c r="EJ124">
        <v>1</v>
      </c>
      <c r="EK124" s="12">
        <v>45470</v>
      </c>
      <c r="EL124">
        <v>0.12</v>
      </c>
      <c r="EM124">
        <v>-4.32</v>
      </c>
      <c r="EN124">
        <v>4.8899999999999997</v>
      </c>
      <c r="EO124">
        <v>-0.6</v>
      </c>
      <c r="EP124">
        <v>0.96</v>
      </c>
    </row>
    <row r="125" spans="1:146" ht="96" x14ac:dyDescent="0.25">
      <c r="A125" s="6"/>
      <c r="B125" s="6"/>
      <c r="C125" s="6" t="str">
        <f>""&amp;CHAR(10)&amp;Basic_Fundamental_Information_Constructure(F125)&amp;CHAR(10)&amp;Basic_Fundamental_Information_Concatenate("")</f>
        <v xml:space="preserve">
市值24.101592亿, 利润9883.55万; PE16.13; 平均PE14.35; 平均PEG1.46, PB.992; ROIC4.9067%; ROE8.1567%; 股利率1.1895%; 毛利10.63%; 净利3.9667%; 上一年度营收增-79.47%, 利润增-56.65%; 当季营收增436.18%, 利润增121.04%; 过往5年营收增9.83%, 利润增.91%
Income profile:
</v>
      </c>
      <c r="D125" t="s">
        <v>975</v>
      </c>
      <c r="E125" t="s">
        <v>976</v>
      </c>
      <c r="F125">
        <v>12.61</v>
      </c>
      <c r="G125">
        <v>1.37</v>
      </c>
      <c r="H125" t="s">
        <v>4894</v>
      </c>
      <c r="I125">
        <v>2410159200</v>
      </c>
      <c r="J125">
        <v>16.13</v>
      </c>
      <c r="K125">
        <v>0.99199999999999999</v>
      </c>
      <c r="L125" t="s">
        <v>428</v>
      </c>
      <c r="M125" t="s">
        <v>601</v>
      </c>
      <c r="N125" t="s">
        <v>4895</v>
      </c>
      <c r="O125" t="s">
        <v>2110</v>
      </c>
      <c r="P125">
        <v>11.9</v>
      </c>
      <c r="Q125" t="s">
        <v>2722</v>
      </c>
      <c r="R125">
        <v>51244400</v>
      </c>
      <c r="S125" s="4">
        <v>4.3220000000000001</v>
      </c>
      <c r="T125" t="s">
        <v>4896</v>
      </c>
      <c r="U125">
        <v>191130790</v>
      </c>
      <c r="V125">
        <v>191130790</v>
      </c>
      <c r="W125">
        <v>2.59</v>
      </c>
      <c r="X125">
        <v>0.2</v>
      </c>
      <c r="Y125">
        <v>3.88</v>
      </c>
      <c r="Z125" t="s">
        <v>1751</v>
      </c>
      <c r="AA125" t="s">
        <v>3297</v>
      </c>
      <c r="AB125" t="s">
        <v>4897</v>
      </c>
      <c r="AC125" t="s">
        <v>4898</v>
      </c>
      <c r="AD125" t="s">
        <v>5</v>
      </c>
      <c r="AE125">
        <v>7839397</v>
      </c>
      <c r="AF125" t="s">
        <v>3106</v>
      </c>
      <c r="AG125">
        <v>367.34</v>
      </c>
      <c r="AH125" t="s">
        <v>3107</v>
      </c>
      <c r="AI125" t="s">
        <v>1056</v>
      </c>
      <c r="AJ125" t="s">
        <v>3108</v>
      </c>
      <c r="AK125" t="s">
        <v>2831</v>
      </c>
      <c r="AL125" t="s">
        <v>3109</v>
      </c>
      <c r="AM125" t="s">
        <v>5</v>
      </c>
      <c r="AN125" t="s">
        <v>1483</v>
      </c>
      <c r="AO125" t="s">
        <v>2083</v>
      </c>
      <c r="AP125" t="s">
        <v>23</v>
      </c>
      <c r="AQ125" t="s">
        <v>1895</v>
      </c>
      <c r="AR125" t="s">
        <v>5</v>
      </c>
      <c r="AS125" t="s">
        <v>2526</v>
      </c>
      <c r="AT125" t="s">
        <v>310</v>
      </c>
      <c r="AU125" t="s">
        <v>4899</v>
      </c>
      <c r="AV125" t="s">
        <v>4900</v>
      </c>
      <c r="AW125" t="s">
        <v>4901</v>
      </c>
      <c r="AX125" t="s">
        <v>1890</v>
      </c>
      <c r="AY125" t="s">
        <v>1429</v>
      </c>
      <c r="AZ125" t="s">
        <v>1430</v>
      </c>
      <c r="BA125" t="s">
        <v>977</v>
      </c>
      <c r="BB125" t="s">
        <v>978</v>
      </c>
      <c r="BC125" t="s">
        <v>354</v>
      </c>
      <c r="BD125" t="s">
        <v>195</v>
      </c>
      <c r="BE125" t="s">
        <v>78</v>
      </c>
      <c r="BF125" t="s">
        <v>262</v>
      </c>
      <c r="BG125" t="s">
        <v>54</v>
      </c>
      <c r="BH125" t="s">
        <v>3104</v>
      </c>
      <c r="BI125" t="s">
        <v>385</v>
      </c>
      <c r="BJ125" t="s">
        <v>1890</v>
      </c>
      <c r="BK125" t="s">
        <v>3105</v>
      </c>
      <c r="BL125" t="s">
        <v>4902</v>
      </c>
      <c r="BM125" t="s">
        <v>354</v>
      </c>
      <c r="BN125">
        <v>1.79</v>
      </c>
      <c r="BO125">
        <v>5.86</v>
      </c>
      <c r="BP125">
        <v>7.07</v>
      </c>
      <c r="BQ125">
        <v>1.97</v>
      </c>
      <c r="BR125">
        <v>9.75</v>
      </c>
      <c r="BS125">
        <v>12.75</v>
      </c>
      <c r="BT125" t="s">
        <v>1681</v>
      </c>
      <c r="BU125" t="s">
        <v>1516</v>
      </c>
      <c r="BV125">
        <v>8.7200000000000006</v>
      </c>
      <c r="BW125">
        <v>10.18</v>
      </c>
      <c r="BX125">
        <v>12.99</v>
      </c>
      <c r="BY125">
        <v>1.51</v>
      </c>
      <c r="BZ125">
        <v>4.5199999999999996</v>
      </c>
      <c r="CA125">
        <v>5.87</v>
      </c>
      <c r="CB125">
        <v>-1.1000000000000001</v>
      </c>
      <c r="CC125">
        <v>-13.21</v>
      </c>
      <c r="CD125" t="s">
        <v>4903</v>
      </c>
      <c r="CE125" t="s">
        <v>4904</v>
      </c>
      <c r="CF125" s="8">
        <v>4.3617886178861784</v>
      </c>
      <c r="CG125" s="9">
        <v>1.2103633156053606</v>
      </c>
      <c r="CH125" s="8">
        <v>-0.79470854997634888</v>
      </c>
      <c r="CI125" s="8">
        <v>0.30911454558372498</v>
      </c>
      <c r="CJ125" s="8">
        <v>0.59072071313858032</v>
      </c>
      <c r="CK125" s="8">
        <v>0.12593290209770203</v>
      </c>
      <c r="CL125" s="8">
        <v>0.26043498516082764</v>
      </c>
      <c r="CM125" s="9">
        <v>-0.56651097536087036</v>
      </c>
      <c r="CN125" s="9">
        <v>8.849557489156723E-3</v>
      </c>
      <c r="CO125" s="9">
        <v>0.28409090638160706</v>
      </c>
      <c r="CP125" s="9">
        <v>0.18918919563293457</v>
      </c>
      <c r="CQ125" s="9">
        <v>0.12977099418640137</v>
      </c>
      <c r="CR125">
        <v>14.348527314229354</v>
      </c>
      <c r="CS125">
        <v>1.4596831207172001</v>
      </c>
      <c r="CT125">
        <v>1.1895321173671689</v>
      </c>
      <c r="CU125" s="8">
        <v>9.8298919200897214E-2</v>
      </c>
      <c r="CV125" s="9">
        <v>9.0779356658458703E-3</v>
      </c>
      <c r="CW125">
        <v>0.06</v>
      </c>
      <c r="CX125">
        <v>38.124123168730819</v>
      </c>
      <c r="CY125">
        <v>102406530.97045307</v>
      </c>
      <c r="CZ125">
        <v>9.8298919200897214E-2</v>
      </c>
      <c r="DA125">
        <v>12.37144528532599</v>
      </c>
      <c r="DB125">
        <v>315578261.87299222</v>
      </c>
      <c r="DC125">
        <v>9.3383973240852347E-2</v>
      </c>
      <c r="DD125">
        <v>6.0330833870741323</v>
      </c>
      <c r="DE125">
        <v>647125018.75320542</v>
      </c>
      <c r="DF125">
        <v>8.6503048896789544E-2</v>
      </c>
      <c r="DG125">
        <v>3.5845419210860601</v>
      </c>
      <c r="DH125">
        <v>1089165445.9482791</v>
      </c>
      <c r="DI125">
        <v>7.8639135360717774E-2</v>
      </c>
      <c r="DJ125">
        <v>1.8086294212621112</v>
      </c>
      <c r="DK125">
        <v>2158628602.4671493</v>
      </c>
      <c r="DL125">
        <v>6.880924344062804E-2</v>
      </c>
      <c r="DM125">
        <v>98835500</v>
      </c>
      <c r="DN125">
        <v>9.8298919200897214E-2</v>
      </c>
      <c r="DO125">
        <v>3904159200</v>
      </c>
      <c r="DP125">
        <v>984632700</v>
      </c>
      <c r="DQ125">
        <v>4251</v>
      </c>
      <c r="DR125">
        <v>4.263489698685281</v>
      </c>
      <c r="DS125">
        <v>1.2012853799395147</v>
      </c>
      <c r="DT125" s="10">
        <v>-0.39000000000000007</v>
      </c>
      <c r="DU125">
        <v>8.3333333333333329E-2</v>
      </c>
      <c r="DV125">
        <v>-0.30666666666666675</v>
      </c>
      <c r="DW125">
        <v>-2.1320999999999999</v>
      </c>
      <c r="DX125">
        <v>0.27377302129495462</v>
      </c>
      <c r="DY125">
        <v>-2.0189924161130635</v>
      </c>
      <c r="DZ125">
        <v>3103</v>
      </c>
      <c r="EA125">
        <v>-2.0074594479723911</v>
      </c>
      <c r="EB125">
        <v>2</v>
      </c>
      <c r="EC125">
        <v>5.5098396234327288E-2</v>
      </c>
      <c r="ED125">
        <v>0.38323181733304196</v>
      </c>
      <c r="EE125" s="11">
        <v>-1.0046999999999999</v>
      </c>
      <c r="EF125">
        <v>-1.0052099999999999</v>
      </c>
      <c r="EG125">
        <v>13.143773021294955</v>
      </c>
      <c r="EH125" t="s">
        <v>1691</v>
      </c>
      <c r="EI125">
        <v>0</v>
      </c>
      <c r="EJ125">
        <v>0</v>
      </c>
      <c r="EK125" s="12">
        <v>45470</v>
      </c>
      <c r="EL125">
        <v>0.25</v>
      </c>
      <c r="EM125">
        <v>-4.2</v>
      </c>
      <c r="EN125">
        <v>1.55</v>
      </c>
      <c r="EO125">
        <v>2.54</v>
      </c>
      <c r="EP125">
        <v>-0.99</v>
      </c>
    </row>
    <row r="126" spans="1:146" ht="96" x14ac:dyDescent="0.25">
      <c r="A126" s="6"/>
      <c r="B126" s="6"/>
      <c r="C126" s="6" t="str">
        <f>""&amp;CHAR(10)&amp;Basic_Fundamental_Information_Constructure(F126)&amp;CHAR(10)&amp;Basic_Fundamental_Information_Concatenate("")</f>
        <v xml:space="preserve">
市值20.2116亿, 利润8386.39万; PE28.92; 平均PE40.05; 平均PEG4.91, PB1.56; ROIC3.7033%; ROE2.5567%; 股利率.3329%; 毛利15.4633%; 净利2.8733%; 上一年度营收增-12.09%, 利润增1342.13%; 当季营收增55.6%, 利润增453.6%; 过往5年营收增8.16%, 利润增1092.58%
Income profile:
</v>
      </c>
      <c r="D126" t="s">
        <v>979</v>
      </c>
      <c r="E126" t="s">
        <v>980</v>
      </c>
      <c r="F126">
        <v>7.81</v>
      </c>
      <c r="G126">
        <v>0.64</v>
      </c>
      <c r="H126" t="s">
        <v>4905</v>
      </c>
      <c r="I126">
        <v>2021160000</v>
      </c>
      <c r="J126">
        <v>28.92</v>
      </c>
      <c r="K126">
        <v>1.56</v>
      </c>
      <c r="L126" t="s">
        <v>428</v>
      </c>
      <c r="M126" t="s">
        <v>2066</v>
      </c>
      <c r="N126" t="s">
        <v>4906</v>
      </c>
      <c r="O126" t="s">
        <v>192</v>
      </c>
      <c r="P126">
        <v>32.700000000000003</v>
      </c>
      <c r="Q126" t="s">
        <v>4907</v>
      </c>
      <c r="R126">
        <v>21579720</v>
      </c>
      <c r="S126" s="4">
        <v>1.611</v>
      </c>
      <c r="T126" t="s">
        <v>4908</v>
      </c>
      <c r="U126">
        <v>258791290</v>
      </c>
      <c r="V126">
        <v>258791290</v>
      </c>
      <c r="W126">
        <v>1.74</v>
      </c>
      <c r="X126">
        <v>0.18</v>
      </c>
      <c r="Y126">
        <v>5.66</v>
      </c>
      <c r="Z126" t="s">
        <v>363</v>
      </c>
      <c r="AA126" t="s">
        <v>437</v>
      </c>
      <c r="AB126" t="s">
        <v>4909</v>
      </c>
      <c r="AC126" t="s">
        <v>4910</v>
      </c>
      <c r="AD126" t="s">
        <v>5</v>
      </c>
      <c r="AE126">
        <v>5173287</v>
      </c>
      <c r="AF126" t="s">
        <v>3111</v>
      </c>
      <c r="AG126" t="s">
        <v>4911</v>
      </c>
      <c r="AH126" t="s">
        <v>3112</v>
      </c>
      <c r="AI126" t="s">
        <v>145</v>
      </c>
      <c r="AJ126" t="s">
        <v>3113</v>
      </c>
      <c r="AK126" t="s">
        <v>4912</v>
      </c>
      <c r="AL126" t="s">
        <v>3114</v>
      </c>
      <c r="AM126" t="s">
        <v>5</v>
      </c>
      <c r="AN126" t="s">
        <v>271</v>
      </c>
      <c r="AO126" t="s">
        <v>218</v>
      </c>
      <c r="AP126" t="s">
        <v>4913</v>
      </c>
      <c r="AQ126" t="s">
        <v>93</v>
      </c>
      <c r="AR126" t="s">
        <v>5</v>
      </c>
      <c r="AS126" t="s">
        <v>4914</v>
      </c>
      <c r="AT126" t="s">
        <v>439</v>
      </c>
      <c r="AU126" t="s">
        <v>4915</v>
      </c>
      <c r="AV126" t="s">
        <v>4916</v>
      </c>
      <c r="AW126" t="s">
        <v>4917</v>
      </c>
      <c r="AX126" t="s">
        <v>1590</v>
      </c>
      <c r="AY126" t="s">
        <v>1128</v>
      </c>
      <c r="AZ126" t="s">
        <v>519</v>
      </c>
      <c r="BA126" t="s">
        <v>154</v>
      </c>
      <c r="BB126" t="s">
        <v>365</v>
      </c>
      <c r="BC126" t="s">
        <v>1891</v>
      </c>
      <c r="BD126" t="s">
        <v>1431</v>
      </c>
      <c r="BE126" t="s">
        <v>82</v>
      </c>
      <c r="BF126" t="s">
        <v>981</v>
      </c>
      <c r="BG126" t="s">
        <v>982</v>
      </c>
      <c r="BH126" t="s">
        <v>1423</v>
      </c>
      <c r="BI126" t="s">
        <v>57</v>
      </c>
      <c r="BJ126" t="s">
        <v>1590</v>
      </c>
      <c r="BK126" t="s">
        <v>3110</v>
      </c>
      <c r="BL126" t="s">
        <v>4918</v>
      </c>
      <c r="BM126" t="s">
        <v>1891</v>
      </c>
      <c r="BN126">
        <v>3.95</v>
      </c>
      <c r="BO126">
        <v>3.54</v>
      </c>
      <c r="BP126">
        <v>3.62</v>
      </c>
      <c r="BQ126">
        <v>3.74</v>
      </c>
      <c r="BR126">
        <v>0.6</v>
      </c>
      <c r="BS126">
        <v>3.33</v>
      </c>
      <c r="BT126" t="s">
        <v>3115</v>
      </c>
      <c r="BU126" t="s">
        <v>1516</v>
      </c>
      <c r="BV126">
        <v>16.350000000000001</v>
      </c>
      <c r="BW126">
        <v>13.77</v>
      </c>
      <c r="BX126">
        <v>16.27</v>
      </c>
      <c r="BY126">
        <v>4.33</v>
      </c>
      <c r="BZ126">
        <v>1.96</v>
      </c>
      <c r="CA126">
        <v>2.33</v>
      </c>
      <c r="CB126">
        <v>-1.64</v>
      </c>
      <c r="CC126">
        <v>-15.51</v>
      </c>
      <c r="CD126" t="s">
        <v>4919</v>
      </c>
      <c r="CE126" t="s">
        <v>1235</v>
      </c>
      <c r="CF126" s="8">
        <v>0.55600000000000005</v>
      </c>
      <c r="CG126" s="9">
        <v>4.5359585439060055</v>
      </c>
      <c r="CH126" s="8">
        <v>-0.12093347311019897</v>
      </c>
      <c r="CI126" s="8">
        <v>1.3620025478303432E-2</v>
      </c>
      <c r="CJ126" s="8">
        <v>0.34263721108436584</v>
      </c>
      <c r="CK126" s="8">
        <v>0.11600429564714432</v>
      </c>
      <c r="CL126" s="8">
        <v>5.6753687560558319E-2</v>
      </c>
      <c r="CM126" s="9">
        <v>13.421252250671387</v>
      </c>
      <c r="CN126" s="9">
        <v>-0.81645596027374268</v>
      </c>
      <c r="CO126" s="9">
        <v>-0.79559099674224854</v>
      </c>
      <c r="CP126" s="9">
        <v>43.668586730957031</v>
      </c>
      <c r="CQ126" s="9">
        <v>-0.84890115261077881</v>
      </c>
      <c r="CR126">
        <v>40.049709756712154</v>
      </c>
      <c r="CS126">
        <v>4.9070694884649244</v>
      </c>
      <c r="CT126">
        <v>0.33290653008962873</v>
      </c>
      <c r="CU126" s="8">
        <v>8.1616349332034585E-2</v>
      </c>
      <c r="CV126" s="9">
        <v>10.92577817440033</v>
      </c>
      <c r="CW126">
        <v>0.06</v>
      </c>
      <c r="CX126">
        <v>18.23168069585758</v>
      </c>
      <c r="CY126">
        <v>85574118.262968689</v>
      </c>
      <c r="CZ126">
        <v>8.1616349332034585E-2</v>
      </c>
      <c r="DA126">
        <v>6.000430208373313</v>
      </c>
      <c r="DB126">
        <v>260008023.72851059</v>
      </c>
      <c r="DC126">
        <v>7.7535531865432855E-2</v>
      </c>
      <c r="DD126">
        <v>2.9819857694547132</v>
      </c>
      <c r="DE126">
        <v>523194985.02680355</v>
      </c>
      <c r="DF126">
        <v>7.1822387412190436E-2</v>
      </c>
      <c r="DG126">
        <v>1.8098884770345669</v>
      </c>
      <c r="DH126">
        <v>862019964.10091662</v>
      </c>
      <c r="DI126">
        <v>6.5293079465627665E-2</v>
      </c>
      <c r="DJ126">
        <v>0.95690373130393791</v>
      </c>
      <c r="DK126">
        <v>1630425244.4224737</v>
      </c>
      <c r="DL126">
        <v>5.7131444532424205E-2</v>
      </c>
      <c r="DM126">
        <v>83863900</v>
      </c>
      <c r="DN126">
        <v>8.1616349332034585E-2</v>
      </c>
      <c r="DO126">
        <v>1560160000</v>
      </c>
      <c r="DP126">
        <v>349070400</v>
      </c>
      <c r="DQ126">
        <v>4253</v>
      </c>
      <c r="DR126">
        <v>0.47438365066796545</v>
      </c>
      <c r="DS126">
        <v>-6.3898196304943244</v>
      </c>
      <c r="DT126" s="10">
        <v>-0.3066666666666667</v>
      </c>
      <c r="DU126">
        <v>0.52666666666666651</v>
      </c>
      <c r="DV126">
        <v>0.21999999999999981</v>
      </c>
      <c r="DW126">
        <v>-2.1551</v>
      </c>
      <c r="DX126">
        <v>0.31315816993464152</v>
      </c>
      <c r="DY126">
        <v>-2.0128978321568627</v>
      </c>
      <c r="DZ126">
        <v>3558</v>
      </c>
      <c r="EA126">
        <v>-2.0039173063615365</v>
      </c>
      <c r="EB126">
        <v>2</v>
      </c>
      <c r="EC126">
        <v>4.916394210948908E-2</v>
      </c>
      <c r="ED126">
        <v>0.59121000556085179</v>
      </c>
      <c r="EE126" s="11">
        <v>0.12701000000000001</v>
      </c>
      <c r="EF126">
        <v>0.11111</v>
      </c>
      <c r="EG126">
        <v>23.083158169934642</v>
      </c>
      <c r="EH126">
        <v>-1</v>
      </c>
      <c r="EI126">
        <v>0</v>
      </c>
      <c r="EJ126">
        <v>0</v>
      </c>
      <c r="EK126" s="12">
        <v>45470</v>
      </c>
      <c r="EL126">
        <v>-4.76</v>
      </c>
      <c r="EM126">
        <v>-8.44</v>
      </c>
      <c r="EN126">
        <v>1.07</v>
      </c>
      <c r="EO126">
        <v>0.53</v>
      </c>
      <c r="EP126">
        <v>1.59</v>
      </c>
    </row>
    <row r="127" spans="1:146" ht="96" x14ac:dyDescent="0.25">
      <c r="A127" s="6"/>
      <c r="B127" s="6"/>
      <c r="C127" s="6" t="str">
        <f>""&amp;CHAR(10)&amp;Basic_Fundamental_Information_Constructure(F127)&amp;CHAR(10)&amp;Basic_Fundamental_Information_Concatenate("")</f>
        <v xml:space="preserve">
市值39.290475亿, 利润1.21亿; PE208.6; 平均PE50.65; 平均PEG.62, PB5.15; ROIC11.42%; ROE12.1433%; 股利率.4476%; 毛利22.7633%; 净利10.82%; 上一年度营收增340.67%, 利润增.83%; 当季营收增-80.82%, 利润增-85.34%; 过往5年营收增82.29%, 利润增32.67%
Income profile:
</v>
      </c>
      <c r="D127" t="s">
        <v>1576</v>
      </c>
      <c r="E127" t="s">
        <v>1577</v>
      </c>
      <c r="F127">
        <v>44.68</v>
      </c>
      <c r="G127">
        <v>0.63</v>
      </c>
      <c r="H127" t="s">
        <v>4920</v>
      </c>
      <c r="I127">
        <v>3929047500</v>
      </c>
      <c r="J127">
        <v>208.6</v>
      </c>
      <c r="K127">
        <v>5.15</v>
      </c>
      <c r="L127" t="s">
        <v>428</v>
      </c>
      <c r="M127" t="s">
        <v>970</v>
      </c>
      <c r="N127" t="s">
        <v>4921</v>
      </c>
      <c r="O127" t="s">
        <v>130</v>
      </c>
      <c r="P127">
        <v>-28.13</v>
      </c>
      <c r="Q127" t="s">
        <v>2046</v>
      </c>
      <c r="R127">
        <v>1191020</v>
      </c>
      <c r="S127" s="4">
        <v>-0.81010000000000004</v>
      </c>
      <c r="T127" t="s">
        <v>31</v>
      </c>
      <c r="U127">
        <v>87937500</v>
      </c>
      <c r="V127">
        <v>87937500</v>
      </c>
      <c r="W127">
        <v>1.19</v>
      </c>
      <c r="X127">
        <v>0.11</v>
      </c>
      <c r="Y127">
        <v>1.07</v>
      </c>
      <c r="Z127" t="s">
        <v>112</v>
      </c>
      <c r="AA127" t="s">
        <v>4922</v>
      </c>
      <c r="AB127" t="s">
        <v>4923</v>
      </c>
      <c r="AC127" t="s">
        <v>4924</v>
      </c>
      <c r="AD127" t="s">
        <v>5</v>
      </c>
      <c r="AE127">
        <v>-2637271</v>
      </c>
      <c r="AF127" t="s">
        <v>32</v>
      </c>
      <c r="AG127" t="s">
        <v>4925</v>
      </c>
      <c r="AH127" t="s">
        <v>3117</v>
      </c>
      <c r="AI127" t="s">
        <v>448</v>
      </c>
      <c r="AJ127" t="s">
        <v>3118</v>
      </c>
      <c r="AK127" t="s">
        <v>5</v>
      </c>
      <c r="AL127" t="s">
        <v>3119</v>
      </c>
      <c r="AM127" t="s">
        <v>5</v>
      </c>
      <c r="AN127" t="s">
        <v>4926</v>
      </c>
      <c r="AO127" t="s">
        <v>5</v>
      </c>
      <c r="AP127" t="s">
        <v>4927</v>
      </c>
      <c r="AQ127" t="s">
        <v>4928</v>
      </c>
      <c r="AR127" t="s">
        <v>5</v>
      </c>
      <c r="AS127" t="s">
        <v>86</v>
      </c>
      <c r="AT127" t="s">
        <v>5</v>
      </c>
      <c r="AU127" t="s">
        <v>4929</v>
      </c>
      <c r="AV127" t="s">
        <v>4930</v>
      </c>
      <c r="AW127" t="s">
        <v>5</v>
      </c>
      <c r="AX127" t="s">
        <v>1184</v>
      </c>
      <c r="AY127" t="s">
        <v>677</v>
      </c>
      <c r="AZ127" t="s">
        <v>636</v>
      </c>
      <c r="BA127" t="s">
        <v>1197</v>
      </c>
      <c r="BB127" t="s">
        <v>278</v>
      </c>
      <c r="BC127" t="s">
        <v>60</v>
      </c>
      <c r="BD127" t="s">
        <v>160</v>
      </c>
      <c r="BE127" t="s">
        <v>1578</v>
      </c>
      <c r="BF127" t="s">
        <v>1579</v>
      </c>
      <c r="BG127" t="s">
        <v>1580</v>
      </c>
      <c r="BH127" t="s">
        <v>674</v>
      </c>
      <c r="BI127" t="s">
        <v>674</v>
      </c>
      <c r="BJ127" t="s">
        <v>1184</v>
      </c>
      <c r="BK127" t="s">
        <v>3116</v>
      </c>
      <c r="BL127" t="s">
        <v>3126</v>
      </c>
      <c r="BM127" t="s">
        <v>60</v>
      </c>
      <c r="BN127">
        <v>1.87</v>
      </c>
      <c r="BO127">
        <v>16.57</v>
      </c>
      <c r="BP127">
        <v>15.82</v>
      </c>
      <c r="BQ127">
        <v>2.82</v>
      </c>
      <c r="BR127">
        <v>17.18</v>
      </c>
      <c r="BS127">
        <v>16.43</v>
      </c>
      <c r="BT127" t="s">
        <v>1671</v>
      </c>
      <c r="BU127" t="s">
        <v>1516</v>
      </c>
      <c r="BV127">
        <v>14.78</v>
      </c>
      <c r="BW127">
        <v>30.29</v>
      </c>
      <c r="BX127">
        <v>23.22</v>
      </c>
      <c r="BY127">
        <v>4.3099999999999996</v>
      </c>
      <c r="BZ127">
        <v>16.77</v>
      </c>
      <c r="CA127">
        <v>11.38</v>
      </c>
      <c r="CB127">
        <v>-1.26</v>
      </c>
      <c r="CC127">
        <v>2.81</v>
      </c>
      <c r="CD127" t="s">
        <v>4931</v>
      </c>
      <c r="CE127" t="s">
        <v>4932</v>
      </c>
      <c r="CF127" s="8">
        <v>-0.8081936685288641</v>
      </c>
      <c r="CG127" s="9">
        <v>-0.85339307475473603</v>
      </c>
      <c r="CH127" s="8">
        <v>3.4067323207855225</v>
      </c>
      <c r="CI127" s="8">
        <v>-0.18977272510528564</v>
      </c>
      <c r="CJ127" s="8">
        <v>0.63568770885467529</v>
      </c>
      <c r="CK127" s="8">
        <v>6.5346531569957733E-2</v>
      </c>
      <c r="CL127" s="8">
        <v>0.19668246805667877</v>
      </c>
      <c r="CM127" s="9">
        <v>8.3333337679505348E-3</v>
      </c>
      <c r="CN127" s="9">
        <v>0.20000000298023224</v>
      </c>
      <c r="CO127" s="9">
        <v>0.93131470680236816</v>
      </c>
      <c r="CP127" s="9">
        <v>0.32063663005828857</v>
      </c>
      <c r="CQ127" s="9">
        <v>0.17300184071063995</v>
      </c>
      <c r="CR127">
        <v>50.652758204223076</v>
      </c>
      <c r="CS127">
        <v>0.61551328050997967</v>
      </c>
      <c r="CT127">
        <v>0.44762757385854968</v>
      </c>
      <c r="CU127" s="8">
        <v>0.82293526083230972</v>
      </c>
      <c r="CV127" s="9">
        <v>0.32665730286389588</v>
      </c>
      <c r="CW127">
        <v>0.06</v>
      </c>
      <c r="CX127">
        <v>16.022158818260728</v>
      </c>
      <c r="CY127">
        <v>208089779.7742542</v>
      </c>
      <c r="CZ127">
        <v>0.82293526083230972</v>
      </c>
      <c r="DA127">
        <v>2.9768921741987211</v>
      </c>
      <c r="DB127">
        <v>1119975902.6869736</v>
      </c>
      <c r="DC127">
        <v>0.78178849779069415</v>
      </c>
      <c r="DD127">
        <v>0.60580286799967809</v>
      </c>
      <c r="DE127">
        <v>5503518844.3541203</v>
      </c>
      <c r="DF127">
        <v>0.72418302953243252</v>
      </c>
      <c r="DG127">
        <v>0.11448234443031892</v>
      </c>
      <c r="DH127">
        <v>29122809430.490906</v>
      </c>
      <c r="DI127">
        <v>0.65834820866584787</v>
      </c>
      <c r="DJ127">
        <v>3.2371164425664609E-3</v>
      </c>
      <c r="DK127">
        <v>1029943642483.4597</v>
      </c>
      <c r="DL127">
        <v>0.57605468258261672</v>
      </c>
      <c r="DM127">
        <v>121000000</v>
      </c>
      <c r="DN127">
        <v>0.82293526083230972</v>
      </c>
      <c r="DO127">
        <v>3334047500</v>
      </c>
      <c r="DP127">
        <v>328721620</v>
      </c>
      <c r="DQ127">
        <v>4280</v>
      </c>
      <c r="DR127">
        <v>-1.6311289293611737</v>
      </c>
      <c r="DS127">
        <v>-1.180050377618632</v>
      </c>
      <c r="DT127" s="10">
        <v>7.6666666666666661E-2</v>
      </c>
      <c r="DU127">
        <v>0.19333333333333327</v>
      </c>
      <c r="DV127">
        <v>0.26999999999999991</v>
      </c>
      <c r="DW127">
        <v>1.0281</v>
      </c>
      <c r="DX127">
        <v>0.20625690275162711</v>
      </c>
      <c r="DY127">
        <v>1.0021428189673207</v>
      </c>
      <c r="DZ127">
        <v>2979</v>
      </c>
      <c r="EA127">
        <v>1.0008936100233583</v>
      </c>
      <c r="EB127">
        <v>1</v>
      </c>
      <c r="EC127">
        <v>2.1969012082444919E-2</v>
      </c>
      <c r="ED127">
        <v>0.28809211087420045</v>
      </c>
      <c r="EE127" s="11">
        <v>1.0661100000000001</v>
      </c>
      <c r="EF127">
        <v>1.03861</v>
      </c>
      <c r="EG127">
        <v>13.076256902751627</v>
      </c>
      <c r="EH127" t="s">
        <v>1693</v>
      </c>
      <c r="EI127">
        <v>0</v>
      </c>
      <c r="EJ127">
        <v>0</v>
      </c>
      <c r="EK127" s="12">
        <v>45470</v>
      </c>
      <c r="EL127">
        <v>0.49</v>
      </c>
      <c r="EM127">
        <v>-5.68</v>
      </c>
      <c r="EN127">
        <v>3.44</v>
      </c>
      <c r="EO127">
        <v>3</v>
      </c>
      <c r="EP127">
        <v>2.75</v>
      </c>
    </row>
    <row r="128" spans="1:146" ht="96" x14ac:dyDescent="0.25">
      <c r="A128" s="6"/>
      <c r="B128" s="6"/>
      <c r="C128" s="6" t="str">
        <f>""&amp;CHAR(10)&amp;Basic_Fundamental_Information_Constructure(F128)&amp;CHAR(10)&amp;Basic_Fundamental_Information_Concatenate("")</f>
        <v xml:space="preserve">
市值18.565833亿, 利润1.10亿; PE14.84; 平均PE-588.67; 平均PEG-24.48, PB2.53; ROIC7.16%; ROE-7.63%; 股利率2.7915%; 毛利21.7033%; 净利-2.4233%; 上一年度营收增-39.95%, 利润增166.67%; 当季营收增45.3%, 利润增-16.97%; 过往5年营收增24.04%, 利润增26.48%
Income profile:
</v>
      </c>
      <c r="D128" t="s">
        <v>983</v>
      </c>
      <c r="E128" t="s">
        <v>984</v>
      </c>
      <c r="F128">
        <v>6.09</v>
      </c>
      <c r="G128">
        <v>0.66</v>
      </c>
      <c r="H128" t="s">
        <v>4933</v>
      </c>
      <c r="I128">
        <v>1856583300</v>
      </c>
      <c r="J128">
        <v>14.84</v>
      </c>
      <c r="K128">
        <v>2.5299999999999998</v>
      </c>
      <c r="L128" t="s">
        <v>428</v>
      </c>
      <c r="M128" t="s">
        <v>3120</v>
      </c>
      <c r="N128" t="s">
        <v>2153</v>
      </c>
      <c r="O128" t="s">
        <v>513</v>
      </c>
      <c r="P128">
        <v>-1.99</v>
      </c>
      <c r="Q128" t="s">
        <v>4934</v>
      </c>
      <c r="R128">
        <v>12265703</v>
      </c>
      <c r="S128" s="4">
        <v>0.50980000000000003</v>
      </c>
      <c r="T128" t="s">
        <v>59</v>
      </c>
      <c r="U128">
        <v>286657680</v>
      </c>
      <c r="V128">
        <v>304857680</v>
      </c>
      <c r="W128">
        <v>3.22</v>
      </c>
      <c r="X128">
        <v>0.19</v>
      </c>
      <c r="Y128">
        <v>2.4500000000000002</v>
      </c>
      <c r="Z128" t="s">
        <v>500</v>
      </c>
      <c r="AA128" t="s">
        <v>155</v>
      </c>
      <c r="AB128" t="s">
        <v>4935</v>
      </c>
      <c r="AC128" t="s">
        <v>4936</v>
      </c>
      <c r="AD128" t="s">
        <v>5</v>
      </c>
      <c r="AE128">
        <v>7903607</v>
      </c>
      <c r="AF128" t="s">
        <v>3122</v>
      </c>
      <c r="AG128" t="s">
        <v>4937</v>
      </c>
      <c r="AH128" t="s">
        <v>3123</v>
      </c>
      <c r="AI128" t="s">
        <v>683</v>
      </c>
      <c r="AJ128" t="s">
        <v>3124</v>
      </c>
      <c r="AK128" t="s">
        <v>4938</v>
      </c>
      <c r="AL128" t="s">
        <v>3125</v>
      </c>
      <c r="AM128" t="s">
        <v>5</v>
      </c>
      <c r="AN128" t="s">
        <v>4939</v>
      </c>
      <c r="AO128" t="s">
        <v>291</v>
      </c>
      <c r="AP128" t="s">
        <v>4940</v>
      </c>
      <c r="AQ128" t="s">
        <v>349</v>
      </c>
      <c r="AR128" t="s">
        <v>5</v>
      </c>
      <c r="AS128" t="s">
        <v>4941</v>
      </c>
      <c r="AT128" t="s">
        <v>1309</v>
      </c>
      <c r="AU128" t="s">
        <v>4942</v>
      </c>
      <c r="AV128" t="s">
        <v>4943</v>
      </c>
      <c r="AW128" t="s">
        <v>4944</v>
      </c>
      <c r="AX128" t="s">
        <v>1894</v>
      </c>
      <c r="AY128" t="s">
        <v>1432</v>
      </c>
      <c r="AZ128" t="s">
        <v>1434</v>
      </c>
      <c r="BA128" t="s">
        <v>985</v>
      </c>
      <c r="BB128" t="s">
        <v>457</v>
      </c>
      <c r="BC128" t="s">
        <v>1870</v>
      </c>
      <c r="BD128" t="s">
        <v>1433</v>
      </c>
      <c r="BE128" t="s">
        <v>1435</v>
      </c>
      <c r="BF128" t="s">
        <v>986</v>
      </c>
      <c r="BG128" t="s">
        <v>987</v>
      </c>
      <c r="BH128" t="s">
        <v>2046</v>
      </c>
      <c r="BI128" t="s">
        <v>280</v>
      </c>
      <c r="BJ128" t="s">
        <v>1894</v>
      </c>
      <c r="BK128" t="s">
        <v>31</v>
      </c>
      <c r="BL128" t="s">
        <v>4945</v>
      </c>
      <c r="BM128" t="s">
        <v>1870</v>
      </c>
      <c r="BN128">
        <v>7.16</v>
      </c>
      <c r="BO128" t="s">
        <v>5</v>
      </c>
      <c r="BP128" t="s">
        <v>5</v>
      </c>
      <c r="BQ128">
        <v>12.79</v>
      </c>
      <c r="BR128">
        <v>-27.75</v>
      </c>
      <c r="BS128">
        <v>-7.93</v>
      </c>
      <c r="BT128" t="s">
        <v>1906</v>
      </c>
      <c r="BU128" t="s">
        <v>1516</v>
      </c>
      <c r="BV128">
        <v>22.43</v>
      </c>
      <c r="BW128">
        <v>20.68</v>
      </c>
      <c r="BX128">
        <v>22</v>
      </c>
      <c r="BY128">
        <v>4.92</v>
      </c>
      <c r="BZ128">
        <v>-7.51</v>
      </c>
      <c r="CA128">
        <v>-4.68</v>
      </c>
      <c r="CB128">
        <v>-1.93</v>
      </c>
      <c r="CC128">
        <v>-13.62</v>
      </c>
      <c r="CD128" t="s">
        <v>4946</v>
      </c>
      <c r="CE128" t="s">
        <v>198</v>
      </c>
      <c r="CF128" s="8">
        <v>0.45303867403314918</v>
      </c>
      <c r="CG128" s="9">
        <v>-0.16973844706328309</v>
      </c>
      <c r="CH128" s="8">
        <v>-0.3994845449924469</v>
      </c>
      <c r="CI128" s="8">
        <v>0.31525427103042603</v>
      </c>
      <c r="CJ128" s="8">
        <v>1.3762946128845215</v>
      </c>
      <c r="CK128" s="8">
        <v>1.1520737316459417E-3</v>
      </c>
      <c r="CL128" s="8">
        <v>-9.1099478304386139E-2</v>
      </c>
      <c r="CM128" s="9">
        <v>1.6666666269302368</v>
      </c>
      <c r="CN128" s="9">
        <v>-1.8593709468841553</v>
      </c>
      <c r="CO128" s="9">
        <v>-2.5071852207183838</v>
      </c>
      <c r="CP128" s="9">
        <v>4.8910617828369141</v>
      </c>
      <c r="CQ128" s="9">
        <v>-0.86735445261001587</v>
      </c>
      <c r="CR128">
        <v>-588.66581410219192</v>
      </c>
      <c r="CS128">
        <v>-24.484548768985121</v>
      </c>
      <c r="CT128">
        <v>2.7914614121510675</v>
      </c>
      <c r="CU128" s="8">
        <v>0.24042338686995207</v>
      </c>
      <c r="CV128" s="9">
        <v>0.26476355791091921</v>
      </c>
      <c r="CW128">
        <v>0.06</v>
      </c>
      <c r="CX128">
        <v>23.077298601360731</v>
      </c>
      <c r="CY128">
        <v>128723181.6563158</v>
      </c>
      <c r="CZ128">
        <v>0.24042338686995207</v>
      </c>
      <c r="DA128">
        <v>6.6545212686795789</v>
      </c>
      <c r="DB128">
        <v>446400752.21961641</v>
      </c>
      <c r="DC128">
        <v>0.22840221752645445</v>
      </c>
      <c r="DD128">
        <v>2.7472229359365077</v>
      </c>
      <c r="DE128">
        <v>1081304054.7753546</v>
      </c>
      <c r="DF128">
        <v>0.21157258044555782</v>
      </c>
      <c r="DG128">
        <v>1.3363501883806252</v>
      </c>
      <c r="DH128">
        <v>2222907831.9656024</v>
      </c>
      <c r="DI128">
        <v>0.19233870949596166</v>
      </c>
      <c r="DJ128">
        <v>0.4173873403226035</v>
      </c>
      <c r="DK128">
        <v>7117090081.6110086</v>
      </c>
      <c r="DL128">
        <v>0.16829637080896645</v>
      </c>
      <c r="DM128">
        <v>110000000.00000001</v>
      </c>
      <c r="DN128">
        <v>0.24042338686995207</v>
      </c>
      <c r="DO128">
        <v>2970583300</v>
      </c>
      <c r="DP128">
        <v>-26054600</v>
      </c>
      <c r="DQ128">
        <v>4281</v>
      </c>
      <c r="DR128">
        <v>0.21261528716319711</v>
      </c>
      <c r="DS128">
        <v>-0.43450200497420233</v>
      </c>
      <c r="DT128" s="10">
        <v>-0.19000000000000003</v>
      </c>
      <c r="DU128">
        <v>-1.1433333333333335</v>
      </c>
      <c r="DV128">
        <v>-1.3333333333333335</v>
      </c>
      <c r="DW128">
        <v>-2.1362000000000001</v>
      </c>
      <c r="DX128">
        <v>0.26291493775933589</v>
      </c>
      <c r="DY128">
        <v>-2.0099310145228215</v>
      </c>
      <c r="DZ128">
        <v>2098</v>
      </c>
      <c r="EA128">
        <v>-2.0058536625719645</v>
      </c>
      <c r="EB128">
        <v>2</v>
      </c>
      <c r="EC128">
        <v>5.7641651015647694E-2</v>
      </c>
      <c r="ED128">
        <v>0.79053281518116914</v>
      </c>
      <c r="EE128" s="11">
        <v>8.77E-2</v>
      </c>
      <c r="EF128">
        <v>4.6300000000000001E-2</v>
      </c>
      <c r="EG128">
        <v>19.072914937759336</v>
      </c>
      <c r="EH128" t="s">
        <v>1177</v>
      </c>
      <c r="EI128">
        <v>0</v>
      </c>
      <c r="EJ128">
        <v>0</v>
      </c>
      <c r="EK128" s="12">
        <v>45470</v>
      </c>
      <c r="EL128">
        <v>0.94</v>
      </c>
      <c r="EM128">
        <v>-4.03</v>
      </c>
      <c r="EN128">
        <v>10.02</v>
      </c>
      <c r="EO128">
        <v>1.03</v>
      </c>
      <c r="EP128">
        <v>-4.1399999999999997</v>
      </c>
    </row>
    <row r="129" spans="1:146" ht="84" x14ac:dyDescent="0.25">
      <c r="A129" s="6"/>
      <c r="B129" s="6"/>
      <c r="C129" s="6" t="str">
        <f>""&amp;CHAR(10)&amp;Basic_Fundamental_Information_Constructure(F129)&amp;CHAR(10)&amp;Basic_Fundamental_Information_Concatenate("")</f>
        <v xml:space="preserve">
市值32.134666亿, 利润5643.06万; PE38.78; 平均PE36.42; 平均PEG5.91, PB1.87; ROIC5.72%; ROE5.69%; 股利率.7874%; 毛利45.24%; 净利9.6533%; 上一年度营收增-69.13%, 利润增-19.2%; 当季营收增258.85%, 利润增19.36%; 过往5年营收增-6.16%, 利润增-2.25%
Income profile:
</v>
      </c>
      <c r="D129" t="s">
        <v>1581</v>
      </c>
      <c r="E129" t="s">
        <v>1582</v>
      </c>
      <c r="F129">
        <v>12.7</v>
      </c>
      <c r="G129">
        <v>0.79</v>
      </c>
      <c r="H129" t="s">
        <v>4947</v>
      </c>
      <c r="I129">
        <v>3213466600</v>
      </c>
      <c r="J129">
        <v>38.78</v>
      </c>
      <c r="K129">
        <v>1.87</v>
      </c>
      <c r="L129" t="s">
        <v>428</v>
      </c>
      <c r="M129" t="s">
        <v>1728</v>
      </c>
      <c r="N129" t="s">
        <v>4948</v>
      </c>
      <c r="O129" t="s">
        <v>1632</v>
      </c>
      <c r="P129">
        <v>23.32</v>
      </c>
      <c r="Q129" t="s">
        <v>287</v>
      </c>
      <c r="R129">
        <v>12722944</v>
      </c>
      <c r="S129" s="4">
        <v>0.20449999999999999</v>
      </c>
      <c r="T129" t="s">
        <v>4949</v>
      </c>
      <c r="U129">
        <v>253028870</v>
      </c>
      <c r="V129">
        <v>253028870</v>
      </c>
      <c r="W129">
        <v>1.64</v>
      </c>
      <c r="X129">
        <v>0.09</v>
      </c>
      <c r="Y129">
        <v>5.98</v>
      </c>
      <c r="Z129" t="s">
        <v>113</v>
      </c>
      <c r="AA129" t="s">
        <v>158</v>
      </c>
      <c r="AB129" t="s">
        <v>4950</v>
      </c>
      <c r="AC129" t="s">
        <v>4951</v>
      </c>
      <c r="AD129" t="s">
        <v>5</v>
      </c>
      <c r="AE129">
        <v>5005870</v>
      </c>
      <c r="AF129" t="s">
        <v>3128</v>
      </c>
      <c r="AG129" t="s">
        <v>4952</v>
      </c>
      <c r="AH129" t="s">
        <v>3129</v>
      </c>
      <c r="AI129" t="s">
        <v>107</v>
      </c>
      <c r="AJ129" t="s">
        <v>3130</v>
      </c>
      <c r="AK129" t="s">
        <v>4953</v>
      </c>
      <c r="AL129" t="s">
        <v>3131</v>
      </c>
      <c r="AM129" t="s">
        <v>5</v>
      </c>
      <c r="AN129" t="s">
        <v>4954</v>
      </c>
      <c r="AO129" t="s">
        <v>2044</v>
      </c>
      <c r="AP129" t="s">
        <v>4955</v>
      </c>
      <c r="AQ129" t="s">
        <v>62</v>
      </c>
      <c r="AR129" t="s">
        <v>5</v>
      </c>
      <c r="AS129" t="s">
        <v>4956</v>
      </c>
      <c r="AT129" t="s">
        <v>3133</v>
      </c>
      <c r="AU129" t="s">
        <v>4957</v>
      </c>
      <c r="AV129" t="s">
        <v>4958</v>
      </c>
      <c r="AW129" t="s">
        <v>4959</v>
      </c>
      <c r="AX129" t="s">
        <v>1293</v>
      </c>
      <c r="AY129" t="s">
        <v>1350</v>
      </c>
      <c r="AZ129" t="s">
        <v>379</v>
      </c>
      <c r="BA129" t="s">
        <v>1426</v>
      </c>
      <c r="BB129" t="s">
        <v>214</v>
      </c>
      <c r="BC129" t="s">
        <v>1896</v>
      </c>
      <c r="BD129" t="s">
        <v>50</v>
      </c>
      <c r="BE129" t="s">
        <v>165</v>
      </c>
      <c r="BF129" t="s">
        <v>1583</v>
      </c>
      <c r="BG129" t="s">
        <v>1584</v>
      </c>
      <c r="BH129" t="s">
        <v>2261</v>
      </c>
      <c r="BI129" t="s">
        <v>4960</v>
      </c>
      <c r="BJ129" t="s">
        <v>1293</v>
      </c>
      <c r="BK129" t="s">
        <v>3127</v>
      </c>
      <c r="BL129" t="s">
        <v>4961</v>
      </c>
      <c r="BM129" t="s">
        <v>1896</v>
      </c>
      <c r="BN129">
        <v>3.09</v>
      </c>
      <c r="BO129">
        <v>4.3499999999999996</v>
      </c>
      <c r="BP129">
        <v>9.7200000000000006</v>
      </c>
      <c r="BQ129">
        <v>3.35</v>
      </c>
      <c r="BR129">
        <v>4.3</v>
      </c>
      <c r="BS129">
        <v>9.42</v>
      </c>
      <c r="BT129" t="s">
        <v>1674</v>
      </c>
      <c r="BU129" t="s">
        <v>1534</v>
      </c>
      <c r="BV129">
        <v>46.23</v>
      </c>
      <c r="BW129">
        <v>43.23</v>
      </c>
      <c r="BX129">
        <v>46.26</v>
      </c>
      <c r="BY129">
        <v>8.58</v>
      </c>
      <c r="BZ129">
        <v>7.34</v>
      </c>
      <c r="CA129">
        <v>13.04</v>
      </c>
      <c r="CB129">
        <v>-1.7</v>
      </c>
      <c r="CC129">
        <v>-20.23</v>
      </c>
      <c r="CD129" t="s">
        <v>4962</v>
      </c>
      <c r="CE129" t="s">
        <v>283</v>
      </c>
      <c r="CF129" s="8">
        <v>2.5885406767962711</v>
      </c>
      <c r="CG129" s="9">
        <v>0.19357793517519584</v>
      </c>
      <c r="CH129" s="8">
        <v>-0.69131559133529663</v>
      </c>
      <c r="CI129" s="8">
        <v>1.0425716638565063E-2</v>
      </c>
      <c r="CJ129" s="8">
        <v>0.19895839691162109</v>
      </c>
      <c r="CK129" s="8">
        <v>0.13341204822063446</v>
      </c>
      <c r="CL129" s="8">
        <v>4.0540538728237152E-2</v>
      </c>
      <c r="CM129" s="9">
        <v>-0.19202485680580139</v>
      </c>
      <c r="CN129" s="9">
        <v>-0.4748721718788147</v>
      </c>
      <c r="CO129" s="9">
        <v>0.22018349170684814</v>
      </c>
      <c r="CP129" s="9">
        <v>0.40187704563140869</v>
      </c>
      <c r="CQ129" s="9">
        <v>-6.7542210221290588E-2</v>
      </c>
      <c r="CR129">
        <v>36.41938201440697</v>
      </c>
      <c r="CS129">
        <v>5.9126425703267103</v>
      </c>
      <c r="CT129">
        <v>0.78740157480314965</v>
      </c>
      <c r="CU129" s="8">
        <v>-6.1595778167247775E-2</v>
      </c>
      <c r="CV129" s="9">
        <v>-2.2475740313529967E-2</v>
      </c>
      <c r="CW129">
        <v>0.06</v>
      </c>
      <c r="CX129">
        <v>45.745864832200972</v>
      </c>
      <c r="CY129" t="s">
        <v>4963</v>
      </c>
      <c r="CZ129">
        <v>-6.1595778167247775E-2</v>
      </c>
      <c r="DA129">
        <v>15.248621610733656</v>
      </c>
      <c r="DB129" t="s">
        <v>4964</v>
      </c>
      <c r="DC129">
        <v>-5.8515989258885383E-2</v>
      </c>
      <c r="DD129">
        <v>7.6243108053668278</v>
      </c>
      <c r="DE129" t="s">
        <v>4965</v>
      </c>
      <c r="DF129">
        <v>-5.4204284787178043E-2</v>
      </c>
      <c r="DG129">
        <v>4.5745864832200969</v>
      </c>
      <c r="DH129" t="s">
        <v>4966</v>
      </c>
      <c r="DI129">
        <v>-4.927662253379822E-2</v>
      </c>
      <c r="DJ129">
        <v>2.2872932416100484</v>
      </c>
      <c r="DK129" t="s">
        <v>4967</v>
      </c>
      <c r="DL129">
        <v>-4.3117044717073442E-2</v>
      </c>
      <c r="DM129">
        <v>56430600.000000007</v>
      </c>
      <c r="DN129">
        <v>-6.1595778167247775E-2</v>
      </c>
      <c r="DO129">
        <v>2581466600</v>
      </c>
      <c r="DP129">
        <v>41221370</v>
      </c>
      <c r="DQ129">
        <v>4290</v>
      </c>
      <c r="DR129">
        <v>2.6501364549635187</v>
      </c>
      <c r="DS129">
        <v>0.21605367548872581</v>
      </c>
      <c r="DT129" s="10">
        <v>-0.64</v>
      </c>
      <c r="DU129">
        <v>-6.6666666666666666E-2</v>
      </c>
      <c r="DV129">
        <v>-0.70666666666666667</v>
      </c>
      <c r="DW129">
        <v>-3.0478392857142858</v>
      </c>
      <c r="DX129">
        <v>0.26551329639889121</v>
      </c>
      <c r="DY129">
        <v>-3.0055260735902256</v>
      </c>
      <c r="DZ129">
        <v>1922</v>
      </c>
      <c r="EA129">
        <v>-3.0034475778093226</v>
      </c>
      <c r="EB129">
        <v>3</v>
      </c>
      <c r="EC129">
        <v>0.16480451420424871</v>
      </c>
      <c r="ED129">
        <v>1.4267146669864195</v>
      </c>
      <c r="EE129" s="11">
        <v>-1.0469999999999999</v>
      </c>
      <c r="EF129">
        <v>-1.0394000000000001</v>
      </c>
      <c r="EG129">
        <v>15.115513296398891</v>
      </c>
      <c r="EH129" t="s">
        <v>1692</v>
      </c>
      <c r="EI129">
        <v>0</v>
      </c>
      <c r="EJ129">
        <v>0</v>
      </c>
      <c r="EK129" s="12">
        <v>45470</v>
      </c>
      <c r="EL129">
        <v>-0.41</v>
      </c>
      <c r="EM129">
        <v>-4.95</v>
      </c>
      <c r="EN129">
        <v>2.84</v>
      </c>
      <c r="EO129">
        <v>1.02</v>
      </c>
      <c r="EP129">
        <v>-0.76</v>
      </c>
    </row>
    <row r="130" spans="1:146" ht="96" x14ac:dyDescent="0.25">
      <c r="A130" s="6"/>
      <c r="B130" s="6"/>
      <c r="C130" s="6" t="str">
        <f>""&amp;CHAR(10)&amp;Basic_Fundamental_Information_Constructure(F130)&amp;CHAR(10)&amp;Basic_Fundamental_Information_Concatenate("")</f>
        <v xml:space="preserve">
市值17.585984亿, 利润2.23亿; PE34.32; 平均PE16.65; 平均PEG1.33, PB1.47; ROIC3.9533%; ROE4.66%; 股利率1.0881%; 毛利29.1767%; 净利5.8533%; 上一年度营收增78.78%, 利润增440.35%; 当季营收增-37.82%, 利润增-60.35%; 过往5年营收增12.55%, 利润增72.54%
Income profile:
</v>
      </c>
      <c r="D130" t="s">
        <v>988</v>
      </c>
      <c r="E130" t="s">
        <v>989</v>
      </c>
      <c r="F130">
        <v>9.19</v>
      </c>
      <c r="G130">
        <v>-0.11</v>
      </c>
      <c r="H130" t="s">
        <v>4968</v>
      </c>
      <c r="I130">
        <v>1758598400</v>
      </c>
      <c r="J130">
        <v>34.32</v>
      </c>
      <c r="K130">
        <v>1.47</v>
      </c>
      <c r="L130" t="s">
        <v>428</v>
      </c>
      <c r="M130" t="s">
        <v>1514</v>
      </c>
      <c r="N130" t="s">
        <v>2148</v>
      </c>
      <c r="O130" t="s">
        <v>1625</v>
      </c>
      <c r="P130">
        <v>13.37</v>
      </c>
      <c r="Q130" t="s">
        <v>4969</v>
      </c>
      <c r="R130">
        <v>24965170</v>
      </c>
      <c r="S130" s="4">
        <v>0.42199999999999999</v>
      </c>
      <c r="T130" t="s">
        <v>444</v>
      </c>
      <c r="U130">
        <v>191360000</v>
      </c>
      <c r="V130">
        <v>191360000</v>
      </c>
      <c r="W130">
        <v>1.37</v>
      </c>
      <c r="X130">
        <v>0.13</v>
      </c>
      <c r="Y130">
        <v>11.27</v>
      </c>
      <c r="Z130" t="s">
        <v>172</v>
      </c>
      <c r="AA130" t="s">
        <v>184</v>
      </c>
      <c r="AB130" t="s">
        <v>4970</v>
      </c>
      <c r="AC130" t="s">
        <v>4971</v>
      </c>
      <c r="AD130" t="s">
        <v>5</v>
      </c>
      <c r="AE130">
        <v>2101792</v>
      </c>
      <c r="AF130" t="s">
        <v>3135</v>
      </c>
      <c r="AG130" t="s">
        <v>4972</v>
      </c>
      <c r="AH130" t="s">
        <v>3136</v>
      </c>
      <c r="AI130" t="s">
        <v>37</v>
      </c>
      <c r="AJ130" t="s">
        <v>3137</v>
      </c>
      <c r="AK130" t="s">
        <v>4550</v>
      </c>
      <c r="AL130" t="s">
        <v>3138</v>
      </c>
      <c r="AM130" t="s">
        <v>5</v>
      </c>
      <c r="AN130" t="s">
        <v>4973</v>
      </c>
      <c r="AO130" t="s">
        <v>341</v>
      </c>
      <c r="AP130" t="s">
        <v>4974</v>
      </c>
      <c r="AQ130" t="s">
        <v>188</v>
      </c>
      <c r="AR130" t="s">
        <v>3139</v>
      </c>
      <c r="AS130" t="s">
        <v>1448</v>
      </c>
      <c r="AT130" t="s">
        <v>5</v>
      </c>
      <c r="AU130" t="s">
        <v>4975</v>
      </c>
      <c r="AV130" t="s">
        <v>4976</v>
      </c>
      <c r="AW130" t="s">
        <v>4977</v>
      </c>
      <c r="AX130" t="s">
        <v>1764</v>
      </c>
      <c r="AY130" t="s">
        <v>1436</v>
      </c>
      <c r="AZ130" t="s">
        <v>898</v>
      </c>
      <c r="BA130" t="s">
        <v>990</v>
      </c>
      <c r="BB130" t="s">
        <v>355</v>
      </c>
      <c r="BC130" t="s">
        <v>3140</v>
      </c>
      <c r="BD130" t="s">
        <v>1437</v>
      </c>
      <c r="BE130" t="s">
        <v>1438</v>
      </c>
      <c r="BF130" t="s">
        <v>84</v>
      </c>
      <c r="BG130" t="s">
        <v>38</v>
      </c>
      <c r="BH130" t="s">
        <v>991</v>
      </c>
      <c r="BI130" t="s">
        <v>1900</v>
      </c>
      <c r="BJ130" t="s">
        <v>1764</v>
      </c>
      <c r="BK130" t="s">
        <v>3134</v>
      </c>
      <c r="BL130" t="s">
        <v>4978</v>
      </c>
      <c r="BM130" t="s">
        <v>3140</v>
      </c>
      <c r="BN130">
        <v>3.93</v>
      </c>
      <c r="BO130">
        <v>2.91</v>
      </c>
      <c r="BP130">
        <v>5.0199999999999996</v>
      </c>
      <c r="BQ130">
        <v>4.5599999999999996</v>
      </c>
      <c r="BR130">
        <v>3.49</v>
      </c>
      <c r="BS130">
        <v>5.93</v>
      </c>
      <c r="BT130" t="s">
        <v>1674</v>
      </c>
      <c r="BU130" t="s">
        <v>1518</v>
      </c>
      <c r="BV130">
        <v>29.21</v>
      </c>
      <c r="BW130">
        <v>29.38</v>
      </c>
      <c r="BX130">
        <v>28.94</v>
      </c>
      <c r="BY130">
        <v>5.37</v>
      </c>
      <c r="BZ130">
        <v>5.12</v>
      </c>
      <c r="CA130">
        <v>7.07</v>
      </c>
      <c r="CB130">
        <v>-4.2699999999999996</v>
      </c>
      <c r="CC130">
        <v>-16.53</v>
      </c>
      <c r="CD130" t="s">
        <v>4979</v>
      </c>
      <c r="CE130" t="s">
        <v>4980</v>
      </c>
      <c r="CF130" s="8">
        <v>-0.37822349570200575</v>
      </c>
      <c r="CG130" s="9">
        <v>-0.60346940072110422</v>
      </c>
      <c r="CH130" s="8">
        <v>0.78776031732559204</v>
      </c>
      <c r="CI130" s="8">
        <v>-0.17419354617595673</v>
      </c>
      <c r="CJ130" s="8">
        <v>0.15671642124652863</v>
      </c>
      <c r="CK130" s="8">
        <v>-0.15987460315227509</v>
      </c>
      <c r="CL130" s="8">
        <v>1.7003187909722328E-2</v>
      </c>
      <c r="CM130" s="9">
        <v>4.4034538269042969</v>
      </c>
      <c r="CN130" s="9">
        <v>-0.39689549803733826</v>
      </c>
      <c r="CO130" s="9">
        <v>0.24288648366928101</v>
      </c>
      <c r="CP130" s="9">
        <v>-0.52943074703216553</v>
      </c>
      <c r="CQ130" s="9">
        <v>-9.3023255467414856E-2</v>
      </c>
      <c r="CR130">
        <v>16.6493051895715</v>
      </c>
      <c r="CS130">
        <v>1.3268244074971516</v>
      </c>
      <c r="CT130">
        <v>1.088139281828074</v>
      </c>
      <c r="CU130" s="8">
        <v>0.12548235543072223</v>
      </c>
      <c r="CV130" s="9">
        <v>0.72539816200733187</v>
      </c>
      <c r="CW130">
        <v>0.06</v>
      </c>
      <c r="CX130">
        <v>4.0274283711644898</v>
      </c>
      <c r="CY130">
        <v>236776004.9632557</v>
      </c>
      <c r="CZ130">
        <v>0.12548235543072223</v>
      </c>
      <c r="DA130">
        <v>1.2773260541352818</v>
      </c>
      <c r="DB130">
        <v>746558325.42738092</v>
      </c>
      <c r="DC130">
        <v>0.1192082376591861</v>
      </c>
      <c r="DD130">
        <v>0.60381147652338651</v>
      </c>
      <c r="DE130">
        <v>1579298236.4141364</v>
      </c>
      <c r="DF130">
        <v>0.11042447277903555</v>
      </c>
      <c r="DG130">
        <v>0.34613341947484133</v>
      </c>
      <c r="DH130">
        <v>2755002396.0321813</v>
      </c>
      <c r="DI130">
        <v>0.10038588434457779</v>
      </c>
      <c r="DJ130">
        <v>0.1610564936924192</v>
      </c>
      <c r="DK130">
        <v>5920893831.3356876</v>
      </c>
      <c r="DL130">
        <v>8.7837648801505547E-2</v>
      </c>
      <c r="DM130">
        <v>223000000</v>
      </c>
      <c r="DN130">
        <v>0.12548235543072223</v>
      </c>
      <c r="DO130">
        <v>953598400</v>
      </c>
      <c r="DP130">
        <v>412286960.00000006</v>
      </c>
      <c r="DQ130">
        <v>4307</v>
      </c>
      <c r="DR130">
        <v>-0.50370585113272792</v>
      </c>
      <c r="DS130">
        <v>-1.3288675627284361</v>
      </c>
      <c r="DT130" s="10">
        <v>-0.24</v>
      </c>
      <c r="DU130">
        <v>-0.27333333333333337</v>
      </c>
      <c r="DV130">
        <v>-0.51333333333333342</v>
      </c>
      <c r="DW130">
        <v>-8.2583182093163945</v>
      </c>
      <c r="DX130">
        <v>0.35028628757748503</v>
      </c>
      <c r="DY130">
        <v>-8.0362385025986605</v>
      </c>
      <c r="DZ130">
        <v>590</v>
      </c>
      <c r="EA130">
        <v>-8.0320544093436297</v>
      </c>
      <c r="EB130">
        <v>8</v>
      </c>
      <c r="EC130">
        <v>3.2736204013377929E-2</v>
      </c>
      <c r="ED130">
        <v>0.2333528428093645</v>
      </c>
      <c r="EE130" s="11">
        <v>-2.0487000000000002</v>
      </c>
      <c r="EF130">
        <v>-2.0205000000000002</v>
      </c>
      <c r="EG130">
        <v>21.140286287577485</v>
      </c>
      <c r="EH130" t="s">
        <v>1712</v>
      </c>
      <c r="EI130">
        <v>0</v>
      </c>
      <c r="EJ130">
        <v>1</v>
      </c>
      <c r="EK130" s="12">
        <v>45470</v>
      </c>
      <c r="EL130">
        <v>0.31</v>
      </c>
      <c r="EM130">
        <v>-4.3499999999999996</v>
      </c>
      <c r="EN130">
        <v>1.62</v>
      </c>
      <c r="EO130">
        <v>1.92</v>
      </c>
      <c r="EP130">
        <v>-2.82</v>
      </c>
    </row>
    <row r="131" spans="1:146" ht="120" x14ac:dyDescent="0.25">
      <c r="A131" s="6"/>
      <c r="B131" s="6"/>
      <c r="C131" s="6" t="str">
        <f>"公司主营业务是环保增塑剂及稳定剂、生物质能源的研发、生产和销售。主要产品是环保增塑剂、环保稳定剂、生物质能源。"&amp;CHAR(10)&amp;Basic_Fundamental_Information_Constructure(F131)&amp;CHAR(10)&amp;Basic_Fundamental_Information_Concatenate("生物质能源 21.44亿 66.77% 1.39亿 74.39% 6.47%
塑料助剂 9.97亿 31.05% 4541.50万 24.36% 4.55%
其他业务 7011.85万 2.18% 232.62万 1.25% 3.32%")</f>
        <v>公司主营业务是环保增塑剂及稳定剂、生物质能源的研发、生产和销售。主要产品是环保增塑剂、环保稳定剂、生物质能源。
市值15.431171亿, 利润1.20亿; PE; 平均PE27.02; 平均PEG1.2, PB1.54; ROIC5.205%; ROE3.9%; 股利率0%; 毛利8.78%; 净利1.54%; 上一年度营收增-28.87%, 利润增469.91%; 当季营收增-9.58%, 利润增-309.09%; 过往5年营收增22.48%, 利润增97.6%
Income profile:
生物质能源 21.44亿 66.77% 1.39亿 74.39% 6.47%
塑料助剂 9.97亿 31.05% 4541.50万 24.36% 4.55%
其他业务 7011.85万 2.18% 232.62万 1.25% 3.32%</v>
      </c>
      <c r="D131" t="s">
        <v>994</v>
      </c>
      <c r="E131" t="s">
        <v>1505</v>
      </c>
      <c r="F131">
        <v>20</v>
      </c>
      <c r="G131">
        <v>7.58</v>
      </c>
      <c r="H131" t="s">
        <v>4981</v>
      </c>
      <c r="I131">
        <v>1543117100</v>
      </c>
      <c r="K131">
        <v>1.54</v>
      </c>
      <c r="L131" t="s">
        <v>428</v>
      </c>
      <c r="M131" t="s">
        <v>3143</v>
      </c>
      <c r="N131" t="s">
        <v>4982</v>
      </c>
      <c r="O131" t="s">
        <v>144</v>
      </c>
      <c r="P131">
        <v>-23.04</v>
      </c>
      <c r="Q131" t="s">
        <v>2022</v>
      </c>
      <c r="R131">
        <v>-32646442</v>
      </c>
      <c r="S131" s="4">
        <v>-4.202</v>
      </c>
      <c r="T131" t="s">
        <v>60</v>
      </c>
      <c r="U131">
        <v>76825886</v>
      </c>
      <c r="V131">
        <v>77155855</v>
      </c>
      <c r="W131">
        <v>2.62</v>
      </c>
      <c r="X131">
        <v>0.13</v>
      </c>
      <c r="Y131">
        <v>-6.5</v>
      </c>
      <c r="Z131" t="s">
        <v>682</v>
      </c>
      <c r="AA131" t="s">
        <v>736</v>
      </c>
      <c r="AB131" t="s">
        <v>4983</v>
      </c>
      <c r="AC131" t="s">
        <v>4984</v>
      </c>
      <c r="AD131" t="s">
        <v>5</v>
      </c>
      <c r="AE131">
        <v>18181236</v>
      </c>
      <c r="AF131" t="s">
        <v>32</v>
      </c>
      <c r="AG131" t="s">
        <v>4985</v>
      </c>
      <c r="AH131" t="s">
        <v>3146</v>
      </c>
      <c r="AI131" t="s">
        <v>310</v>
      </c>
      <c r="AJ131" t="s">
        <v>3147</v>
      </c>
      <c r="AK131" t="s">
        <v>4986</v>
      </c>
      <c r="AL131" t="s">
        <v>3148</v>
      </c>
      <c r="AM131" t="s">
        <v>5</v>
      </c>
      <c r="AN131" t="s">
        <v>2143</v>
      </c>
      <c r="AO131" t="s">
        <v>2947</v>
      </c>
      <c r="AP131" t="s">
        <v>5</v>
      </c>
      <c r="AQ131" t="s">
        <v>600</v>
      </c>
      <c r="AR131" t="s">
        <v>5</v>
      </c>
      <c r="AS131" t="s">
        <v>4987</v>
      </c>
      <c r="AT131" t="s">
        <v>5</v>
      </c>
      <c r="AU131" t="s">
        <v>1183</v>
      </c>
      <c r="AV131" t="s">
        <v>4988</v>
      </c>
      <c r="AW131" t="s">
        <v>144</v>
      </c>
      <c r="AX131" t="s">
        <v>1897</v>
      </c>
      <c r="AY131" t="s">
        <v>1045</v>
      </c>
      <c r="AZ131" t="s">
        <v>1442</v>
      </c>
      <c r="BA131" t="s">
        <v>995</v>
      </c>
      <c r="BB131" t="s">
        <v>519</v>
      </c>
      <c r="BC131" t="s">
        <v>1898</v>
      </c>
      <c r="BD131" t="s">
        <v>112</v>
      </c>
      <c r="BE131" t="s">
        <v>1443</v>
      </c>
      <c r="BF131" t="s">
        <v>996</v>
      </c>
      <c r="BG131" t="s">
        <v>997</v>
      </c>
      <c r="BH131" t="s">
        <v>3144</v>
      </c>
      <c r="BI131" t="s">
        <v>352</v>
      </c>
      <c r="BJ131" t="s">
        <v>1897</v>
      </c>
      <c r="BK131" t="s">
        <v>3145</v>
      </c>
      <c r="BL131" t="s">
        <v>3154</v>
      </c>
      <c r="BM131" t="s">
        <v>1898</v>
      </c>
      <c r="BN131">
        <v>3.54</v>
      </c>
      <c r="BO131" t="s">
        <v>5</v>
      </c>
      <c r="BP131">
        <v>6.87</v>
      </c>
      <c r="BQ131">
        <v>3.47</v>
      </c>
      <c r="BR131">
        <v>-3.5</v>
      </c>
      <c r="BS131">
        <v>11.73</v>
      </c>
      <c r="BT131" t="s">
        <v>1670</v>
      </c>
      <c r="BU131" t="s">
        <v>1516</v>
      </c>
      <c r="BV131">
        <v>5.79</v>
      </c>
      <c r="BW131">
        <v>5.8</v>
      </c>
      <c r="BX131">
        <v>14.75</v>
      </c>
      <c r="BY131">
        <v>0.2</v>
      </c>
      <c r="BZ131">
        <v>-0.97</v>
      </c>
      <c r="CA131">
        <v>5.39</v>
      </c>
      <c r="CB131">
        <v>5.76</v>
      </c>
      <c r="CC131">
        <v>-5.7</v>
      </c>
      <c r="CD131" t="s">
        <v>4989</v>
      </c>
      <c r="CE131" t="s">
        <v>4990</v>
      </c>
      <c r="CF131" s="8">
        <v>-9.5840867992766726E-2</v>
      </c>
      <c r="CG131" s="9">
        <v>-3.0909379823611922</v>
      </c>
      <c r="CH131" s="8">
        <v>-0.28869512677192688</v>
      </c>
      <c r="CI131" s="8">
        <v>0.67588728666305542</v>
      </c>
      <c r="CJ131" s="8">
        <v>0.55772358179092407</v>
      </c>
      <c r="CK131" s="8">
        <v>0.14418597519397736</v>
      </c>
      <c r="CL131" s="8">
        <v>3.464876115322113E-2</v>
      </c>
      <c r="CM131" s="9">
        <v>4.6991252899169922</v>
      </c>
      <c r="CN131" s="9">
        <v>-1.318040132522583</v>
      </c>
      <c r="CO131" s="9">
        <v>1.7445176839828491</v>
      </c>
      <c r="CP131" s="9">
        <v>-0.40232956409454346</v>
      </c>
      <c r="CQ131" s="9">
        <v>0.15690779685974121</v>
      </c>
      <c r="CR131">
        <v>27.020290821094189</v>
      </c>
      <c r="CS131">
        <v>1.2022371224473398</v>
      </c>
      <c r="CT131">
        <v>0</v>
      </c>
      <c r="CU131" s="8">
        <v>0.22475009560585021</v>
      </c>
      <c r="CV131" s="9">
        <v>0.97603621482849123</v>
      </c>
      <c r="CW131">
        <v>0.06</v>
      </c>
      <c r="CX131">
        <v>14.843872597813656</v>
      </c>
      <c r="CY131">
        <v>138650954.21953019</v>
      </c>
      <c r="CZ131">
        <v>0.22475009560585021</v>
      </c>
      <c r="DA131">
        <v>4.3355743221202001</v>
      </c>
      <c r="DB131">
        <v>474704605.91563129</v>
      </c>
      <c r="DC131">
        <v>0.21351259082555768</v>
      </c>
      <c r="DD131">
        <v>1.8237851424948357</v>
      </c>
      <c r="DE131">
        <v>1128486602.969367</v>
      </c>
      <c r="DF131">
        <v>0.19778008413314818</v>
      </c>
      <c r="DG131">
        <v>0.90819644643901309</v>
      </c>
      <c r="DH131">
        <v>2266158503.5591812</v>
      </c>
      <c r="DI131">
        <v>0.17980007648468019</v>
      </c>
      <c r="DJ131">
        <v>0.30084748108670778</v>
      </c>
      <c r="DK131">
        <v>6841064756.6858854</v>
      </c>
      <c r="DL131">
        <v>0.15732506692409515</v>
      </c>
      <c r="DM131">
        <v>120000000</v>
      </c>
      <c r="DN131">
        <v>0.22475009560585021</v>
      </c>
      <c r="DO131">
        <v>2058117100</v>
      </c>
      <c r="DP131">
        <v>-925320600</v>
      </c>
      <c r="DQ131">
        <v>4325</v>
      </c>
      <c r="DR131">
        <v>-0.32059096359861694</v>
      </c>
      <c r="DS131">
        <v>-4.0669741971896833</v>
      </c>
      <c r="DT131" s="10">
        <v>-0.17333333333333334</v>
      </c>
      <c r="DU131">
        <v>-1.0649999999999999</v>
      </c>
      <c r="DV131">
        <v>-1.2383333333333333</v>
      </c>
      <c r="DW131">
        <v>4.989583333333333</v>
      </c>
      <c r="DX131">
        <v>1.6897654505978505</v>
      </c>
      <c r="DY131">
        <v>4.1679970604874468</v>
      </c>
      <c r="DZ131">
        <v>2662</v>
      </c>
      <c r="EA131">
        <v>4.0804807835759824</v>
      </c>
      <c r="EB131">
        <v>4</v>
      </c>
      <c r="EC131">
        <v>4.3171059409554846E-2</v>
      </c>
      <c r="ED131">
        <v>0.25429826420820556</v>
      </c>
      <c r="EE131" s="11">
        <v>-4.0548099999999998</v>
      </c>
      <c r="EF131">
        <v>-4.0661100000000001</v>
      </c>
      <c r="EG131">
        <v>152.16976545059785</v>
      </c>
      <c r="EH131" t="s">
        <v>2156</v>
      </c>
      <c r="EI131">
        <v>0</v>
      </c>
      <c r="EJ131">
        <v>0</v>
      </c>
      <c r="EK131" s="12">
        <v>45470</v>
      </c>
      <c r="EL131">
        <v>0.4</v>
      </c>
      <c r="EM131">
        <v>-4.49</v>
      </c>
      <c r="EN131">
        <v>0.42</v>
      </c>
      <c r="EO131">
        <v>1.04</v>
      </c>
      <c r="EP131">
        <v>-1.1299999999999999</v>
      </c>
    </row>
    <row r="132" spans="1:146" ht="168" x14ac:dyDescent="0.25">
      <c r="A132" s="6"/>
      <c r="B132" s="6"/>
      <c r="C132" s="6" t="str">
        <f>"公司专注于有机颜料、珠光颜料、颜料中间体的研发、生产、销售和服务。公司的主要产品为有机颜料、珠光颜料、颜料中间体。"&amp;CHAR(10)&amp;Basic_Fundamental_Information_Constructure(F132)&amp;CHAR(10)&amp;Basic_Fundamental_Information_Concatenate("其他业务 4.80亿 34.58%
永固黄系列 3.48亿 25.11%
永固红系列 2.27亿 16.37%
立索尔红系列 1.65亿 11.88%
色淀红系列 8417.60万 6.07%
喹吖啶酮系列 8299.01万 5.98%")</f>
        <v>公司专注于有机颜料、珠光颜料、颜料中间体的研发、生产、销售和服务。公司的主要产品为有机颜料、珠光颜料、颜料中间体。
市值39.773486亿, 利润-6.89亿; PE27.39; 平均PE46.34; 平均PEG1.48, PB1.77; ROIC9.1867%; ROE10.1967%; 股利率1.5544%; 毛利21.26%; 净利9.6%; 上一年度营收增122.85%, 利润增-420.47%; 当季营收增-69.37%, 利润增1142.14%; 过往5年营收增31.26%, 利润增-79.51%
Income profile:
其他业务 4.80亿 34.58%
永固黄系列 3.48亿 25.11%
永固红系列 2.27亿 16.37%
立索尔红系列 1.65亿 11.88%
色淀红系列 8417.60万 6.07%
喹吖啶酮系列 8299.01万 5.98%</v>
      </c>
      <c r="D132" t="s">
        <v>998</v>
      </c>
      <c r="E132" t="s">
        <v>999</v>
      </c>
      <c r="F132">
        <v>9.65</v>
      </c>
      <c r="G132">
        <v>1.26</v>
      </c>
      <c r="H132" t="s">
        <v>4991</v>
      </c>
      <c r="I132">
        <v>3977348600</v>
      </c>
      <c r="J132">
        <v>27.39</v>
      </c>
      <c r="K132">
        <v>1.77</v>
      </c>
      <c r="L132" t="s">
        <v>428</v>
      </c>
      <c r="M132" t="s">
        <v>3149</v>
      </c>
      <c r="N132" t="s">
        <v>4992</v>
      </c>
      <c r="O132" t="s">
        <v>2068</v>
      </c>
      <c r="P132">
        <v>6.66</v>
      </c>
      <c r="Q132" t="s">
        <v>4993</v>
      </c>
      <c r="R132">
        <v>40626754</v>
      </c>
      <c r="S132" s="4">
        <v>1.6020000000000001</v>
      </c>
      <c r="T132" t="s">
        <v>4994</v>
      </c>
      <c r="U132">
        <v>411031500</v>
      </c>
      <c r="V132">
        <v>412160480</v>
      </c>
      <c r="W132">
        <v>1.39</v>
      </c>
      <c r="X132">
        <v>0.17</v>
      </c>
      <c r="Y132">
        <v>8.19</v>
      </c>
      <c r="Z132" t="s">
        <v>509</v>
      </c>
      <c r="AA132" t="s">
        <v>399</v>
      </c>
      <c r="AB132" t="s">
        <v>4995</v>
      </c>
      <c r="AC132" t="s">
        <v>4996</v>
      </c>
      <c r="AD132" t="s">
        <v>5</v>
      </c>
      <c r="AE132">
        <v>-100583</v>
      </c>
      <c r="AF132" t="s">
        <v>3150</v>
      </c>
      <c r="AG132" t="s">
        <v>4997</v>
      </c>
      <c r="AH132" t="s">
        <v>3151</v>
      </c>
      <c r="AI132" t="s">
        <v>1230</v>
      </c>
      <c r="AJ132" t="s">
        <v>3152</v>
      </c>
      <c r="AK132" t="s">
        <v>438</v>
      </c>
      <c r="AL132" t="s">
        <v>3153</v>
      </c>
      <c r="AM132" t="s">
        <v>5</v>
      </c>
      <c r="AN132" t="s">
        <v>4998</v>
      </c>
      <c r="AO132" t="s">
        <v>4999</v>
      </c>
      <c r="AP132" t="s">
        <v>5000</v>
      </c>
      <c r="AQ132" t="s">
        <v>453</v>
      </c>
      <c r="AR132" t="s">
        <v>5</v>
      </c>
      <c r="AS132" t="s">
        <v>3342</v>
      </c>
      <c r="AT132" t="s">
        <v>5001</v>
      </c>
      <c r="AU132" t="s">
        <v>5002</v>
      </c>
      <c r="AV132" t="s">
        <v>5003</v>
      </c>
      <c r="AW132" t="s">
        <v>5004</v>
      </c>
      <c r="AX132" t="s">
        <v>1643</v>
      </c>
      <c r="AY132" t="s">
        <v>1444</v>
      </c>
      <c r="AZ132" t="s">
        <v>1445</v>
      </c>
      <c r="BA132" t="s">
        <v>1000</v>
      </c>
      <c r="BB132" t="s">
        <v>971</v>
      </c>
      <c r="BC132" t="s">
        <v>211</v>
      </c>
      <c r="BD132" t="s">
        <v>453</v>
      </c>
      <c r="BE132" t="s">
        <v>370</v>
      </c>
      <c r="BF132" t="s">
        <v>382</v>
      </c>
      <c r="BG132" t="s">
        <v>33</v>
      </c>
      <c r="BH132" t="s">
        <v>2022</v>
      </c>
      <c r="BI132" t="s">
        <v>3103</v>
      </c>
      <c r="BJ132" t="s">
        <v>1643</v>
      </c>
      <c r="BK132" t="s">
        <v>60</v>
      </c>
      <c r="BL132" t="s">
        <v>5005</v>
      </c>
      <c r="BM132" t="s">
        <v>211</v>
      </c>
      <c r="BN132">
        <v>3.63</v>
      </c>
      <c r="BO132">
        <v>8.91</v>
      </c>
      <c r="BP132">
        <v>15.02</v>
      </c>
      <c r="BQ132">
        <v>3.71</v>
      </c>
      <c r="BR132">
        <v>10.35</v>
      </c>
      <c r="BS132">
        <v>16.53</v>
      </c>
      <c r="BT132" t="s">
        <v>1681</v>
      </c>
      <c r="BU132" t="s">
        <v>1515</v>
      </c>
      <c r="BV132">
        <v>17.96</v>
      </c>
      <c r="BW132">
        <v>19.739999999999998</v>
      </c>
      <c r="BX132">
        <v>26.08</v>
      </c>
      <c r="BY132">
        <v>5.99</v>
      </c>
      <c r="BZ132">
        <v>8.89</v>
      </c>
      <c r="CA132">
        <v>13.92</v>
      </c>
      <c r="CB132">
        <v>-0.21</v>
      </c>
      <c r="CC132">
        <v>-15.13</v>
      </c>
      <c r="CD132" t="s">
        <v>5006</v>
      </c>
      <c r="CE132" t="s">
        <v>115</v>
      </c>
      <c r="CF132" s="8">
        <v>-0.6936656282450675</v>
      </c>
      <c r="CG132" s="9">
        <v>11.421424771455651</v>
      </c>
      <c r="CH132" s="8">
        <v>1.2285252809524536</v>
      </c>
      <c r="CI132" s="8">
        <v>4.4770305976271629E-3</v>
      </c>
      <c r="CJ132" s="8">
        <v>0.22543641924858093</v>
      </c>
      <c r="CK132" s="8">
        <v>1.2115093879401684E-2</v>
      </c>
      <c r="CL132" s="8">
        <v>9.2664092779159546E-2</v>
      </c>
      <c r="CM132" s="9">
        <v>-4.2046513557434082</v>
      </c>
      <c r="CN132" s="9">
        <v>-0.31089743971824646</v>
      </c>
      <c r="CO132" s="9">
        <v>0.20000000298023224</v>
      </c>
      <c r="CP132" s="9">
        <v>0.14537444710731506</v>
      </c>
      <c r="CQ132" s="9">
        <v>0.19473683834075928</v>
      </c>
      <c r="CR132">
        <v>46.338041941747576</v>
      </c>
      <c r="CS132">
        <v>1.4821363491381425</v>
      </c>
      <c r="CT132">
        <v>1.5544041450777202</v>
      </c>
      <c r="CU132" s="8">
        <v>0.31264358349144461</v>
      </c>
      <c r="CV132" s="9">
        <v>-0.79508750140666962</v>
      </c>
      <c r="CW132">
        <v>0.06</v>
      </c>
      <c r="CX132" t="e">
        <v>#VALUE!</v>
      </c>
      <c r="CY132" t="s">
        <v>1179</v>
      </c>
      <c r="CZ132">
        <v>0.31264358349144461</v>
      </c>
      <c r="DA132" t="e">
        <v>#VALUE!</v>
      </c>
      <c r="DB132" t="s">
        <v>1179</v>
      </c>
      <c r="DC132">
        <v>0.29701140431687234</v>
      </c>
      <c r="DD132" t="e">
        <v>#VALUE!</v>
      </c>
      <c r="DE132" t="s">
        <v>1179</v>
      </c>
      <c r="DF132">
        <v>0.27512635347247127</v>
      </c>
      <c r="DG132" t="e">
        <v>#VALUE!</v>
      </c>
      <c r="DH132" t="s">
        <v>1179</v>
      </c>
      <c r="DI132">
        <v>0.2501148667931557</v>
      </c>
      <c r="DJ132" t="e">
        <v>#VALUE!</v>
      </c>
      <c r="DK132" t="s">
        <v>1179</v>
      </c>
      <c r="DL132">
        <v>0.21885050844401122</v>
      </c>
      <c r="DM132">
        <v>-689000000</v>
      </c>
      <c r="DN132">
        <v>0.31264358349144461</v>
      </c>
      <c r="DO132">
        <v>2531348600</v>
      </c>
      <c r="DP132">
        <v>1148916000</v>
      </c>
      <c r="DQ132">
        <v>4326</v>
      </c>
      <c r="DR132">
        <v>-1.0063092117365122</v>
      </c>
      <c r="DS132">
        <v>12.216512272862321</v>
      </c>
      <c r="DT132" s="10">
        <v>2.6666666666666616E-2</v>
      </c>
      <c r="DU132">
        <v>-1.1066666666666667</v>
      </c>
      <c r="DV132">
        <v>-1.08</v>
      </c>
      <c r="DW132">
        <v>-2.1513</v>
      </c>
      <c r="DX132">
        <v>0.26536027777777693</v>
      </c>
      <c r="DY132">
        <v>-2.0159410100277779</v>
      </c>
      <c r="DZ132">
        <v>4707</v>
      </c>
      <c r="EA132">
        <v>-2.001257187287905</v>
      </c>
      <c r="EB132">
        <v>2</v>
      </c>
      <c r="EC132">
        <v>9.2026532965994223E-2</v>
      </c>
      <c r="ED132">
        <v>0.87344618775676897</v>
      </c>
      <c r="EE132" s="11">
        <v>-2.0167999999999999</v>
      </c>
      <c r="EF132">
        <v>-2.1172</v>
      </c>
      <c r="EG132">
        <v>16.105360277777777</v>
      </c>
      <c r="EH132" t="s">
        <v>1712</v>
      </c>
      <c r="EI132">
        <v>0</v>
      </c>
      <c r="EJ132">
        <v>0</v>
      </c>
      <c r="EK132" s="12">
        <v>45470</v>
      </c>
      <c r="EL132">
        <v>0.48</v>
      </c>
      <c r="EM132">
        <v>-4.7300000000000004</v>
      </c>
      <c r="EN132">
        <v>2.36</v>
      </c>
      <c r="EO132">
        <v>9.9499999999999993</v>
      </c>
      <c r="EP132">
        <v>10.039999999999999</v>
      </c>
    </row>
    <row r="133" spans="1:146" ht="96" x14ac:dyDescent="0.25">
      <c r="A133" s="6"/>
      <c r="B133" s="6"/>
      <c r="C133" s="6" t="str">
        <f>""&amp;CHAR(10)&amp;Basic_Fundamental_Information_Constructure(F133)&amp;CHAR(10)&amp;Basic_Fundamental_Information_Concatenate("")</f>
        <v xml:space="preserve">
市值44.282126亿, 利润10.20亿; PE17.68; 平均PE12.96; 平均PEG.56, PB2.09; ROIC11.35%; ROE13.5433%; 股利率1.886%; 毛利21.7267%; 净利11.04%; 上一年度营收增88.59%, 利润增210.03%; 当季营收增-45.85%, 利润增-76.21%; 过往5年营收增23.15%, 利润增62.09%
Income profile:
</v>
      </c>
      <c r="D133" t="s">
        <v>1001</v>
      </c>
      <c r="E133" t="s">
        <v>1002</v>
      </c>
      <c r="F133">
        <v>23.86</v>
      </c>
      <c r="G133">
        <v>2.4900000000000002</v>
      </c>
      <c r="H133" t="s">
        <v>5007</v>
      </c>
      <c r="I133">
        <v>4428212600</v>
      </c>
      <c r="J133">
        <v>17.68</v>
      </c>
      <c r="K133">
        <v>2.09</v>
      </c>
      <c r="L133" t="s">
        <v>428</v>
      </c>
      <c r="M133" t="s">
        <v>758</v>
      </c>
      <c r="N133" t="s">
        <v>5008</v>
      </c>
      <c r="O133" t="s">
        <v>2069</v>
      </c>
      <c r="P133">
        <v>12.35</v>
      </c>
      <c r="Q133" t="s">
        <v>5009</v>
      </c>
      <c r="R133">
        <v>76119767</v>
      </c>
      <c r="S133" s="4">
        <v>-2.8299999999999999E-2</v>
      </c>
      <c r="T133" t="s">
        <v>4204</v>
      </c>
      <c r="U133">
        <v>185591470</v>
      </c>
      <c r="V133">
        <v>185591470</v>
      </c>
      <c r="W133">
        <v>1.62</v>
      </c>
      <c r="X133">
        <v>0.19</v>
      </c>
      <c r="Y133">
        <v>11.89</v>
      </c>
      <c r="Z133" t="s">
        <v>713</v>
      </c>
      <c r="AA133" t="s">
        <v>424</v>
      </c>
      <c r="AB133" t="s">
        <v>5010</v>
      </c>
      <c r="AC133" t="s">
        <v>5011</v>
      </c>
      <c r="AD133" t="s">
        <v>5</v>
      </c>
      <c r="AE133">
        <v>984197</v>
      </c>
      <c r="AF133" t="s">
        <v>3155</v>
      </c>
      <c r="AG133" t="s">
        <v>5012</v>
      </c>
      <c r="AH133" t="s">
        <v>3156</v>
      </c>
      <c r="AI133" t="s">
        <v>412</v>
      </c>
      <c r="AJ133" t="s">
        <v>3157</v>
      </c>
      <c r="AK133" t="s">
        <v>5</v>
      </c>
      <c r="AL133" t="s">
        <v>3158</v>
      </c>
      <c r="AM133" t="s">
        <v>5</v>
      </c>
      <c r="AN133" t="s">
        <v>2080</v>
      </c>
      <c r="AO133" t="s">
        <v>5013</v>
      </c>
      <c r="AP133" t="s">
        <v>36</v>
      </c>
      <c r="AQ133" t="s">
        <v>409</v>
      </c>
      <c r="AR133" t="s">
        <v>5</v>
      </c>
      <c r="AS133" t="s">
        <v>2687</v>
      </c>
      <c r="AT133" t="s">
        <v>76</v>
      </c>
      <c r="AU133" t="s">
        <v>5014</v>
      </c>
      <c r="AV133" t="s">
        <v>5015</v>
      </c>
      <c r="AW133" t="s">
        <v>5016</v>
      </c>
      <c r="AX133" t="s">
        <v>1881</v>
      </c>
      <c r="AY133" t="s">
        <v>1446</v>
      </c>
      <c r="AZ133" t="s">
        <v>1447</v>
      </c>
      <c r="BA133" t="s">
        <v>1003</v>
      </c>
      <c r="BB133" t="s">
        <v>1004</v>
      </c>
      <c r="BC133" t="s">
        <v>496</v>
      </c>
      <c r="BD133" t="s">
        <v>176</v>
      </c>
      <c r="BE133" t="s">
        <v>64</v>
      </c>
      <c r="BF133" t="s">
        <v>43</v>
      </c>
      <c r="BG133" t="s">
        <v>212</v>
      </c>
      <c r="BH133" t="s">
        <v>3031</v>
      </c>
      <c r="BI133" t="s">
        <v>2098</v>
      </c>
      <c r="BJ133" t="s">
        <v>1881</v>
      </c>
      <c r="BK133" t="s">
        <v>233</v>
      </c>
      <c r="BL133" t="s">
        <v>337</v>
      </c>
      <c r="BM133" t="s">
        <v>496</v>
      </c>
      <c r="BN133">
        <v>7.81</v>
      </c>
      <c r="BO133">
        <v>15.05</v>
      </c>
      <c r="BP133">
        <v>11.19</v>
      </c>
      <c r="BQ133">
        <v>9.66</v>
      </c>
      <c r="BR133">
        <v>18.34</v>
      </c>
      <c r="BS133">
        <v>12.63</v>
      </c>
      <c r="BT133" t="s">
        <v>3160</v>
      </c>
      <c r="BU133" t="s">
        <v>1516</v>
      </c>
      <c r="BV133">
        <v>23.26</v>
      </c>
      <c r="BW133">
        <v>23.57</v>
      </c>
      <c r="BX133">
        <v>18.350000000000001</v>
      </c>
      <c r="BY133">
        <v>11.12</v>
      </c>
      <c r="BZ133">
        <v>13.77</v>
      </c>
      <c r="CA133">
        <v>8.23</v>
      </c>
      <c r="CB133">
        <v>2.27</v>
      </c>
      <c r="CC133">
        <v>-6.47</v>
      </c>
      <c r="CD133" t="s">
        <v>5017</v>
      </c>
      <c r="CE133" t="s">
        <v>5018</v>
      </c>
      <c r="CF133" s="8">
        <v>-0.45851528384279477</v>
      </c>
      <c r="CG133" s="9">
        <v>-0.76212572812500001</v>
      </c>
      <c r="CH133" s="8">
        <v>0.88594841957092285</v>
      </c>
      <c r="CI133" s="8">
        <v>5.0097845494747162E-2</v>
      </c>
      <c r="CJ133" s="8">
        <v>0.10081867128610611</v>
      </c>
      <c r="CK133" s="8">
        <v>0.35098949074745178</v>
      </c>
      <c r="CL133" s="8">
        <v>-0.23028673231601715</v>
      </c>
      <c r="CM133" s="9">
        <v>2.1003038883209229</v>
      </c>
      <c r="CN133" s="9">
        <v>0.67005074024200439</v>
      </c>
      <c r="CO133" s="9">
        <v>-4.3689321726560593E-2</v>
      </c>
      <c r="CP133" s="9">
        <v>0.67479676008224487</v>
      </c>
      <c r="CQ133" s="9">
        <v>-0.29714286327362061</v>
      </c>
      <c r="CR133">
        <v>12.960622243902439</v>
      </c>
      <c r="CS133">
        <v>0.55982135223330087</v>
      </c>
      <c r="CT133">
        <v>1.8860016764459346</v>
      </c>
      <c r="CU133" s="8">
        <v>0.23151353895664215</v>
      </c>
      <c r="CV133" s="9">
        <v>0.62086384072899814</v>
      </c>
      <c r="CW133">
        <v>0.06</v>
      </c>
      <c r="CX133">
        <v>2.9857292826916892</v>
      </c>
      <c r="CY133">
        <v>1185041329.93941</v>
      </c>
      <c r="CZ133">
        <v>0.23151353895664215</v>
      </c>
      <c r="DA133">
        <v>0.86725047067476757</v>
      </c>
      <c r="DB133">
        <v>4079804761.8781691</v>
      </c>
      <c r="DC133">
        <v>0.21993786200881002</v>
      </c>
      <c r="DD133">
        <v>0.36187515993784047</v>
      </c>
      <c r="DE133">
        <v>9777439823.7440815</v>
      </c>
      <c r="DF133">
        <v>0.20373191428184509</v>
      </c>
      <c r="DG133">
        <v>0.17839691008570233</v>
      </c>
      <c r="DH133">
        <v>19833373786.015877</v>
      </c>
      <c r="DI133">
        <v>0.18521083116531373</v>
      </c>
      <c r="DJ133">
        <v>5.7622466774863379E-2</v>
      </c>
      <c r="DK133">
        <v>61403351818.035545</v>
      </c>
      <c r="DL133">
        <v>0.1620594772696495</v>
      </c>
      <c r="DM133">
        <v>1019999999.9999999</v>
      </c>
      <c r="DN133">
        <v>0.23151353895664215</v>
      </c>
      <c r="DO133">
        <v>3538212600</v>
      </c>
      <c r="DP133">
        <v>1109998500</v>
      </c>
      <c r="DQ133">
        <v>4345</v>
      </c>
      <c r="DR133">
        <v>-0.69002882279943689</v>
      </c>
      <c r="DS133">
        <v>-1.3829895688539982</v>
      </c>
      <c r="DT133" s="10">
        <v>-9.0000000000000011E-2</v>
      </c>
      <c r="DU133">
        <v>0.29333333333333339</v>
      </c>
      <c r="DV133">
        <v>0.20333333333333337</v>
      </c>
      <c r="DW133">
        <v>-2.0647000000000002</v>
      </c>
      <c r="DX133">
        <v>0.35619009626560239</v>
      </c>
      <c r="DY133">
        <v>-2.0094584992283844</v>
      </c>
      <c r="DZ133">
        <v>2433</v>
      </c>
      <c r="EA133">
        <v>-2.0049550689695468</v>
      </c>
      <c r="EB133">
        <v>2</v>
      </c>
      <c r="EC133">
        <v>2.8532561329461963E-2</v>
      </c>
      <c r="ED133">
        <v>0.19517437951216185</v>
      </c>
      <c r="EE133" s="11">
        <v>1.01661</v>
      </c>
      <c r="EF133">
        <v>1.03721</v>
      </c>
      <c r="EG133">
        <v>21.146190096265602</v>
      </c>
      <c r="EH133" t="s">
        <v>1693</v>
      </c>
      <c r="EI133">
        <v>0</v>
      </c>
      <c r="EJ133">
        <v>0</v>
      </c>
      <c r="EK133" s="12">
        <v>45470</v>
      </c>
      <c r="EL133">
        <v>-1.26</v>
      </c>
      <c r="EM133">
        <v>-2.0299999999999998</v>
      </c>
      <c r="EN133">
        <v>-3</v>
      </c>
      <c r="EO133">
        <v>2.23</v>
      </c>
      <c r="EP133">
        <v>-2.06</v>
      </c>
    </row>
    <row r="134" spans="1:146" ht="96" x14ac:dyDescent="0.25">
      <c r="A134" s="6"/>
      <c r="B134" s="6"/>
      <c r="C134" s="6" t="str">
        <f>""&amp;CHAR(10)&amp;Basic_Fundamental_Information_Constructure(F134)&amp;CHAR(10)&amp;Basic_Fundamental_Information_Concatenate("")</f>
        <v xml:space="preserve">
市值29.220271亿, 利润4367.08万; PE20.71; 平均PE9.09; 平均PEG2, PB.704; ROIC7.8667%; ROE8.3333%; 股利率2.2222%; 毛利34.9033%; 净利9.8033%; 上一年度营收增-81.91%, 利润增-84.84%; 当季营收增359.52%, 利润增59.35%; 过往5年营收增-4.54%, 利润增-10.66%
Income profile:
</v>
      </c>
      <c r="D134" t="s">
        <v>1005</v>
      </c>
      <c r="E134" t="s">
        <v>1006</v>
      </c>
      <c r="F134">
        <v>6.75</v>
      </c>
      <c r="G134">
        <v>1.2</v>
      </c>
      <c r="H134" t="s">
        <v>5019</v>
      </c>
      <c r="I134">
        <v>2922027100</v>
      </c>
      <c r="J134">
        <v>20.71</v>
      </c>
      <c r="K134">
        <v>0.70399999999999996</v>
      </c>
      <c r="L134" t="s">
        <v>428</v>
      </c>
      <c r="M134" t="s">
        <v>3161</v>
      </c>
      <c r="N134" t="s">
        <v>4820</v>
      </c>
      <c r="O134" t="s">
        <v>339</v>
      </c>
      <c r="P134">
        <v>-13.07</v>
      </c>
      <c r="Q134" t="s">
        <v>573</v>
      </c>
      <c r="R134">
        <v>21089352</v>
      </c>
      <c r="S134" s="4">
        <v>-0.4783</v>
      </c>
      <c r="T134" t="s">
        <v>5020</v>
      </c>
      <c r="U134">
        <v>420312900</v>
      </c>
      <c r="V134">
        <v>432892900</v>
      </c>
      <c r="W134">
        <v>1.66</v>
      </c>
      <c r="X134">
        <v>7.0000000000000007E-2</v>
      </c>
      <c r="Y134">
        <v>6.21</v>
      </c>
      <c r="Z134" t="s">
        <v>2171</v>
      </c>
      <c r="AA134" t="s">
        <v>549</v>
      </c>
      <c r="AB134" t="s">
        <v>5021</v>
      </c>
      <c r="AC134" t="s">
        <v>5022</v>
      </c>
      <c r="AD134" t="s">
        <v>5</v>
      </c>
      <c r="AE134">
        <v>15490259</v>
      </c>
      <c r="AF134" t="s">
        <v>3163</v>
      </c>
      <c r="AG134" t="s">
        <v>5023</v>
      </c>
      <c r="AH134" t="s">
        <v>3164</v>
      </c>
      <c r="AI134" t="s">
        <v>4956</v>
      </c>
      <c r="AJ134" t="s">
        <v>3165</v>
      </c>
      <c r="AK134" t="s">
        <v>5024</v>
      </c>
      <c r="AL134" t="s">
        <v>3166</v>
      </c>
      <c r="AM134" t="s">
        <v>5</v>
      </c>
      <c r="AN134" t="s">
        <v>148</v>
      </c>
      <c r="AO134" t="s">
        <v>468</v>
      </c>
      <c r="AP134" t="s">
        <v>166</v>
      </c>
      <c r="AQ134" t="s">
        <v>229</v>
      </c>
      <c r="AR134" t="s">
        <v>5</v>
      </c>
      <c r="AS134" t="s">
        <v>5025</v>
      </c>
      <c r="AT134" t="s">
        <v>90</v>
      </c>
      <c r="AU134" t="s">
        <v>5026</v>
      </c>
      <c r="AV134" t="s">
        <v>3444</v>
      </c>
      <c r="AW134" t="s">
        <v>190</v>
      </c>
      <c r="AX134" t="s">
        <v>2012</v>
      </c>
      <c r="AY134" t="s">
        <v>559</v>
      </c>
      <c r="AZ134" t="s">
        <v>1449</v>
      </c>
      <c r="BA134" t="s">
        <v>1007</v>
      </c>
      <c r="BB134" t="s">
        <v>381</v>
      </c>
      <c r="BC134" t="s">
        <v>540</v>
      </c>
      <c r="BD134" t="s">
        <v>360</v>
      </c>
      <c r="BE134" t="s">
        <v>375</v>
      </c>
      <c r="BF134" t="s">
        <v>168</v>
      </c>
      <c r="BG134" t="s">
        <v>857</v>
      </c>
      <c r="BH134" t="s">
        <v>3162</v>
      </c>
      <c r="BI134" t="s">
        <v>6</v>
      </c>
      <c r="BJ134" t="s">
        <v>2012</v>
      </c>
      <c r="BK134" t="s">
        <v>389</v>
      </c>
      <c r="BL134" t="s">
        <v>5027</v>
      </c>
      <c r="BM134" t="s">
        <v>540</v>
      </c>
      <c r="BN134">
        <v>3.58</v>
      </c>
      <c r="BO134">
        <v>7.01</v>
      </c>
      <c r="BP134">
        <v>13.01</v>
      </c>
      <c r="BQ134">
        <v>3.36</v>
      </c>
      <c r="BR134">
        <v>7.14</v>
      </c>
      <c r="BS134">
        <v>14.5</v>
      </c>
      <c r="BT134" t="s">
        <v>1681</v>
      </c>
      <c r="BU134" t="s">
        <v>1516</v>
      </c>
      <c r="BV134">
        <v>35.119999999999997</v>
      </c>
      <c r="BW134">
        <v>34.299999999999997</v>
      </c>
      <c r="BX134">
        <v>35.29</v>
      </c>
      <c r="BY134">
        <v>6.52</v>
      </c>
      <c r="BZ134">
        <v>9.64</v>
      </c>
      <c r="CA134">
        <v>13.25</v>
      </c>
      <c r="CB134">
        <v>0.6</v>
      </c>
      <c r="CC134">
        <v>-21.14</v>
      </c>
      <c r="CD134" t="s">
        <v>5028</v>
      </c>
      <c r="CE134" t="s">
        <v>29</v>
      </c>
      <c r="CF134" s="8">
        <v>3.5952380952380953</v>
      </c>
      <c r="CG134" s="9">
        <v>0.59348923662795527</v>
      </c>
      <c r="CH134" s="8">
        <v>-0.81911170482635498</v>
      </c>
      <c r="CI134" s="8">
        <v>-0.17846082150936127</v>
      </c>
      <c r="CJ134" s="8">
        <v>0.23822559416294098</v>
      </c>
      <c r="CK134" s="8">
        <v>0.10432413965463638</v>
      </c>
      <c r="CL134" s="8">
        <v>0.42789295315742493</v>
      </c>
      <c r="CM134" s="9">
        <v>-0.84836530685424805</v>
      </c>
      <c r="CN134" s="9">
        <v>-0.45966228842735291</v>
      </c>
      <c r="CO134" s="9">
        <v>0.20861677825450897</v>
      </c>
      <c r="CP134" s="9">
        <v>0.24576270580291748</v>
      </c>
      <c r="CQ134" s="9">
        <v>0.32089552283287048</v>
      </c>
      <c r="CR134">
        <v>9.0949982746016591</v>
      </c>
      <c r="CS134">
        <v>2.0021583910332295</v>
      </c>
      <c r="CT134">
        <v>2.2222222222222223</v>
      </c>
      <c r="CU134" s="8">
        <v>-4.5425967872142793E-2</v>
      </c>
      <c r="CV134" s="9">
        <v>-0.10655051767826081</v>
      </c>
      <c r="CW134">
        <v>0.06</v>
      </c>
      <c r="CX134">
        <v>32.402133691162057</v>
      </c>
      <c r="CY134" t="s">
        <v>5029</v>
      </c>
      <c r="CZ134">
        <v>-4.5425967872142793E-2</v>
      </c>
      <c r="DA134">
        <v>10.800711230387353</v>
      </c>
      <c r="DB134" t="s">
        <v>5030</v>
      </c>
      <c r="DC134">
        <v>-4.3154669478535648E-2</v>
      </c>
      <c r="DD134">
        <v>5.4003556151936767</v>
      </c>
      <c r="DE134" t="s">
        <v>5031</v>
      </c>
      <c r="DF134">
        <v>-3.9974851727485661E-2</v>
      </c>
      <c r="DG134">
        <v>3.2402133691162058</v>
      </c>
      <c r="DH134" t="s">
        <v>5032</v>
      </c>
      <c r="DI134">
        <v>-3.6340774297714235E-2</v>
      </c>
      <c r="DJ134">
        <v>1.6201066845581029</v>
      </c>
      <c r="DK134" t="s">
        <v>5033</v>
      </c>
      <c r="DL134">
        <v>-3.1798177510499952E-2</v>
      </c>
      <c r="DM134">
        <v>43670800</v>
      </c>
      <c r="DN134">
        <v>-4.5425967872142793E-2</v>
      </c>
      <c r="DO134">
        <v>1415027100</v>
      </c>
      <c r="DP134">
        <v>2876550000</v>
      </c>
      <c r="DQ134">
        <v>4377</v>
      </c>
      <c r="DR134">
        <v>3.640664063110238</v>
      </c>
      <c r="DS134">
        <v>0.70003975430621612</v>
      </c>
      <c r="DT134" s="10">
        <v>-0.69</v>
      </c>
      <c r="DU134">
        <v>-0.13333333333333339</v>
      </c>
      <c r="DV134">
        <v>-0.82333333333333336</v>
      </c>
      <c r="DW134">
        <v>-3.0581309523809526</v>
      </c>
      <c r="DX134">
        <v>0.28603865546218415</v>
      </c>
      <c r="DY134">
        <v>-3.0055828185074032</v>
      </c>
      <c r="DZ134">
        <v>3506</v>
      </c>
      <c r="EA134">
        <v>-3.0017524150461594</v>
      </c>
      <c r="EB134">
        <v>3</v>
      </c>
      <c r="EC134">
        <v>2.6400525395542402E-2</v>
      </c>
      <c r="ED134">
        <v>0.27489478344412671</v>
      </c>
      <c r="EE134" s="11">
        <v>-1.07301</v>
      </c>
      <c r="EF134">
        <v>-1.1006100000000001</v>
      </c>
      <c r="EG134">
        <v>19.096038655462184</v>
      </c>
      <c r="EH134" t="s">
        <v>1691</v>
      </c>
      <c r="EI134">
        <v>0</v>
      </c>
      <c r="EJ134">
        <v>0</v>
      </c>
      <c r="EK134" s="12">
        <v>45470</v>
      </c>
      <c r="EL134">
        <v>0.18</v>
      </c>
      <c r="EM134">
        <v>-5.62</v>
      </c>
      <c r="EN134">
        <v>2.17</v>
      </c>
      <c r="EO134">
        <v>3.79</v>
      </c>
      <c r="EP134">
        <v>-2.76</v>
      </c>
    </row>
    <row r="135" spans="1:146" ht="96" x14ac:dyDescent="0.25">
      <c r="A135" s="6"/>
      <c r="B135" s="6"/>
      <c r="C135" s="6" t="str">
        <f>""&amp;CHAR(10)&amp;Basic_Fundamental_Information_Constructure(F135)&amp;CHAR(10)&amp;Basic_Fundamental_Information_Concatenate("")</f>
        <v xml:space="preserve">
市值25.527048亿, 利润7059.28万; PE8.98; 平均PE12.58; 平均PEG2.11, PB1.23; ROIC17.24%; ROE17.2767%; 股利率6.3654%; 毛利19.8567%; 净利12.1033%; 上一年度营收增-86.27%, 利润增-81.9%; 当季营收增468.42%, 利润增217.59%; 过往5年营收增-5.97%, 利润增8.62%
Income profile:
</v>
      </c>
      <c r="D135" t="s">
        <v>1009</v>
      </c>
      <c r="E135" t="s">
        <v>1010</v>
      </c>
      <c r="F135">
        <v>15.71</v>
      </c>
      <c r="G135">
        <v>-0.13</v>
      </c>
      <c r="H135" t="s">
        <v>5034</v>
      </c>
      <c r="I135">
        <v>2552704800</v>
      </c>
      <c r="J135">
        <v>8.98</v>
      </c>
      <c r="K135">
        <v>1.23</v>
      </c>
      <c r="L135" t="s">
        <v>428</v>
      </c>
      <c r="M135" t="s">
        <v>95</v>
      </c>
      <c r="N135" t="s">
        <v>5035</v>
      </c>
      <c r="O135" t="s">
        <v>1656</v>
      </c>
      <c r="P135">
        <v>-19.989999999999998</v>
      </c>
      <c r="Q135" t="s">
        <v>288</v>
      </c>
      <c r="R135">
        <v>58845851</v>
      </c>
      <c r="S135" s="4">
        <v>-0.36180000000000001</v>
      </c>
      <c r="T135" t="s">
        <v>5036</v>
      </c>
      <c r="U135">
        <v>162489170</v>
      </c>
      <c r="V135">
        <v>162489170</v>
      </c>
      <c r="W135">
        <v>1.28</v>
      </c>
      <c r="X135">
        <v>0.21</v>
      </c>
      <c r="Y135">
        <v>10.46</v>
      </c>
      <c r="Z135" t="s">
        <v>5037</v>
      </c>
      <c r="AA135" t="s">
        <v>131</v>
      </c>
      <c r="AB135" t="s">
        <v>5038</v>
      </c>
      <c r="AC135" t="s">
        <v>5039</v>
      </c>
      <c r="AD135" t="s">
        <v>5</v>
      </c>
      <c r="AE135">
        <v>-2796800</v>
      </c>
      <c r="AF135" t="s">
        <v>32</v>
      </c>
      <c r="AG135" t="s">
        <v>5040</v>
      </c>
      <c r="AH135" t="s">
        <v>3168</v>
      </c>
      <c r="AI135" t="s">
        <v>1422</v>
      </c>
      <c r="AJ135" t="s">
        <v>3169</v>
      </c>
      <c r="AK135" t="s">
        <v>350</v>
      </c>
      <c r="AL135" t="s">
        <v>3171</v>
      </c>
      <c r="AM135" t="s">
        <v>5</v>
      </c>
      <c r="AN135" t="s">
        <v>5041</v>
      </c>
      <c r="AO135" t="s">
        <v>5</v>
      </c>
      <c r="AP135" t="s">
        <v>5042</v>
      </c>
      <c r="AQ135" t="s">
        <v>82</v>
      </c>
      <c r="AR135" t="s">
        <v>5</v>
      </c>
      <c r="AS135" t="s">
        <v>589</v>
      </c>
      <c r="AT135" t="s">
        <v>5</v>
      </c>
      <c r="AU135" t="s">
        <v>5043</v>
      </c>
      <c r="AV135" t="s">
        <v>5044</v>
      </c>
      <c r="AW135" t="s">
        <v>5</v>
      </c>
      <c r="AX135" t="s">
        <v>1567</v>
      </c>
      <c r="AY135" t="s">
        <v>1450</v>
      </c>
      <c r="AZ135" t="s">
        <v>264</v>
      </c>
      <c r="BA135" t="s">
        <v>1011</v>
      </c>
      <c r="BB135" t="s">
        <v>266</v>
      </c>
      <c r="BC135" t="s">
        <v>1310</v>
      </c>
      <c r="BD135" t="s">
        <v>704</v>
      </c>
      <c r="BE135" t="s">
        <v>6</v>
      </c>
      <c r="BF135" t="s">
        <v>39</v>
      </c>
      <c r="BG135" t="s">
        <v>175</v>
      </c>
      <c r="BH135" t="s">
        <v>3167</v>
      </c>
      <c r="BI135" t="s">
        <v>5045</v>
      </c>
      <c r="BJ135" t="s">
        <v>1567</v>
      </c>
      <c r="BK135" t="s">
        <v>246</v>
      </c>
      <c r="BL135" t="s">
        <v>5046</v>
      </c>
      <c r="BM135" t="s">
        <v>1310</v>
      </c>
      <c r="BN135">
        <v>11.87</v>
      </c>
      <c r="BO135">
        <v>21.12</v>
      </c>
      <c r="BP135">
        <v>18.73</v>
      </c>
      <c r="BQ135">
        <v>11.43</v>
      </c>
      <c r="BR135">
        <v>21.49</v>
      </c>
      <c r="BS135">
        <v>18.91</v>
      </c>
      <c r="BT135" t="s">
        <v>1686</v>
      </c>
      <c r="BU135" t="s">
        <v>1516</v>
      </c>
      <c r="BV135">
        <v>18.86</v>
      </c>
      <c r="BW135">
        <v>22.84</v>
      </c>
      <c r="BX135">
        <v>17.87</v>
      </c>
      <c r="BY135">
        <v>11.99</v>
      </c>
      <c r="BZ135">
        <v>13.96</v>
      </c>
      <c r="CA135">
        <v>10.36</v>
      </c>
      <c r="CB135">
        <v>-3.5</v>
      </c>
      <c r="CC135">
        <v>-16.48</v>
      </c>
      <c r="CD135" t="s">
        <v>5047</v>
      </c>
      <c r="CE135" t="s">
        <v>5048</v>
      </c>
      <c r="CF135" s="8">
        <v>4.6842375687646092</v>
      </c>
      <c r="CG135" s="9">
        <v>2.1758612668721091</v>
      </c>
      <c r="CH135" s="8">
        <v>-0.86266094446182251</v>
      </c>
      <c r="CI135" s="8">
        <v>-1.0718342382460833E-3</v>
      </c>
      <c r="CJ135" s="8">
        <v>0.61885493993759155</v>
      </c>
      <c r="CK135" s="8">
        <v>3.162287175655365E-2</v>
      </c>
      <c r="CL135" s="8">
        <v>-8.5152842104434967E-2</v>
      </c>
      <c r="CM135" s="9">
        <v>-0.81899279356002808</v>
      </c>
      <c r="CN135" s="9">
        <v>0.34482759237289429</v>
      </c>
      <c r="CO135" s="9">
        <v>1.3015873432159424</v>
      </c>
      <c r="CP135" s="9">
        <v>-0.11888112127780914</v>
      </c>
      <c r="CQ135" s="9">
        <v>-0.27777779102325439</v>
      </c>
      <c r="CR135">
        <v>12.579105921125683</v>
      </c>
      <c r="CS135">
        <v>2.1077038765553264</v>
      </c>
      <c r="CT135">
        <v>6.3653723742838952</v>
      </c>
      <c r="CU135" s="8">
        <v>-5.9681561822071669E-2</v>
      </c>
      <c r="CV135" s="9">
        <v>8.6152645945549014E-2</v>
      </c>
      <c r="CW135">
        <v>0.06</v>
      </c>
      <c r="CX135">
        <v>15.705635702224589</v>
      </c>
      <c r="CY135" t="s">
        <v>5049</v>
      </c>
      <c r="CZ135">
        <v>-5.9681561822071669E-2</v>
      </c>
      <c r="DA135">
        <v>5.2352119007415299</v>
      </c>
      <c r="DB135" t="s">
        <v>5050</v>
      </c>
      <c r="DC135">
        <v>-5.6697483730968085E-2</v>
      </c>
      <c r="DD135">
        <v>2.6176059503707649</v>
      </c>
      <c r="DE135" t="s">
        <v>5051</v>
      </c>
      <c r="DF135">
        <v>-5.2519774403423071E-2</v>
      </c>
      <c r="DG135">
        <v>1.570563570222459</v>
      </c>
      <c r="DH135" t="s">
        <v>5052</v>
      </c>
      <c r="DI135">
        <v>-4.7745249457657339E-2</v>
      </c>
      <c r="DJ135">
        <v>0.78528178511122948</v>
      </c>
      <c r="DK135" t="s">
        <v>5053</v>
      </c>
      <c r="DL135">
        <v>-4.1777093275450164E-2</v>
      </c>
      <c r="DM135">
        <v>70592800</v>
      </c>
      <c r="DN135">
        <v>-5.9681561822071669E-2</v>
      </c>
      <c r="DO135">
        <v>1108704800</v>
      </c>
      <c r="DP135">
        <v>1462808400</v>
      </c>
      <c r="DQ135">
        <v>4393</v>
      </c>
      <c r="DR135">
        <v>4.743919130586681</v>
      </c>
      <c r="DS135">
        <v>2.0897086209265603</v>
      </c>
      <c r="DT135" s="10">
        <v>-0.50666666666666671</v>
      </c>
      <c r="DU135">
        <v>-1.666666666666668E-2</v>
      </c>
      <c r="DV135">
        <v>-0.52333333333333343</v>
      </c>
      <c r="DW135">
        <v>-8.2123786407766985</v>
      </c>
      <c r="DX135">
        <v>0.72725109685188505</v>
      </c>
      <c r="DY135">
        <v>-8.0355205606178153</v>
      </c>
      <c r="DZ135">
        <v>2099</v>
      </c>
      <c r="EA135">
        <v>-8.0209300211389909</v>
      </c>
      <c r="EB135">
        <v>8</v>
      </c>
      <c r="EC135">
        <v>1.8463384359708405E-2</v>
      </c>
      <c r="ED135">
        <v>0.11039320343626594</v>
      </c>
      <c r="EE135" s="11">
        <v>-6.0000099999999996</v>
      </c>
      <c r="EF135">
        <v>-6.0342099999999999</v>
      </c>
      <c r="EG135">
        <v>56.167251096851885</v>
      </c>
      <c r="EH135" t="s">
        <v>2164</v>
      </c>
      <c r="EI135">
        <v>0</v>
      </c>
      <c r="EJ135">
        <v>0</v>
      </c>
      <c r="EK135" s="12">
        <v>45470</v>
      </c>
      <c r="EL135">
        <v>0.34</v>
      </c>
      <c r="EM135">
        <v>-5.16</v>
      </c>
      <c r="EN135">
        <v>1.87</v>
      </c>
      <c r="EO135">
        <v>2.2799999999999998</v>
      </c>
      <c r="EP135">
        <v>-3.42</v>
      </c>
    </row>
    <row r="136" spans="1:146" ht="180" x14ac:dyDescent="0.25">
      <c r="A136" s="6"/>
      <c r="B136" s="6"/>
      <c r="C136" s="6" t="str">
        <f>"公司主要从事以醋酸衍生物、吡啶衍生物为主体的高端专用精细化学品的研发、生产和销售。公司产品主要应用于食品和饲料的防腐，医药及农药的生产，颜(染)料的生产三个领域"&amp;CHAR(10)&amp;Basic_Fundamental_Information_Constructure(F136)&amp;CHAR(10)&amp;Basic_Fundamental_Information_Concatenate("食品饲料添加剂 11.58亿 32.26% 7.49亿 26.30% 4.09亿 55.16% 35.30%
医药农药中间体 8.31亿 23.15% 1.49亿 20.14% 17.97%
贸易 5.81亿 16.17% 2750.35万 3.71% 4.74%
颜(染)料中间体 4.44亿 12.37% 6032.48万 8.14% 13.58%
其他有机化合物 4.01亿 11.18% 9363.81万 12.63% 23.33%")</f>
        <v>公司主要从事以醋酸衍生物、吡啶衍生物为主体的高端专用精细化学品的研发、生产和销售。公司产品主要应用于食品和饲料的防腐，医药及农药的生产，颜(染)料的生产三个领域
市值20.468505亿, 利润1.72亿; PE; 平均PE8.67; 平均PEG1.12, PB1.05; ROIC9.4567%; ROE11.31%; 股利率2.8369%; 毛利15.46%; 净利6.04%; 上一年度营收增-23.43%, 利润增-57.11%; 当季营收增49.27%, 利润增-180.65%; 过往5年营收增7.74%, 利润增13.14%
Income profile:
食品饲料添加剂 11.58亿 32.26% 7.49亿 26.30% 4.09亿 55.16% 35.30%
医药农药中间体 8.31亿 23.15% 1.49亿 20.14% 17.97%
贸易 5.81亿 16.17% 2750.35万 3.71% 4.74%
颜(染)料中间体 4.44亿 12.37% 6032.48万 8.14% 13.58%
其他有机化合物 4.01亿 11.18% 9363.81万 12.63% 23.33%</v>
      </c>
      <c r="D136" t="s">
        <v>1012</v>
      </c>
      <c r="E136" t="s">
        <v>1013</v>
      </c>
      <c r="F136">
        <v>9.8699999999999992</v>
      </c>
      <c r="G136">
        <v>1.96</v>
      </c>
      <c r="H136" t="s">
        <v>5054</v>
      </c>
      <c r="I136">
        <v>2046850500</v>
      </c>
      <c r="K136">
        <v>1.05</v>
      </c>
      <c r="L136" t="s">
        <v>428</v>
      </c>
      <c r="M136" t="s">
        <v>3172</v>
      </c>
      <c r="N136" t="s">
        <v>5055</v>
      </c>
      <c r="O136" t="s">
        <v>1500</v>
      </c>
      <c r="P136">
        <v>-9.57</v>
      </c>
      <c r="Q136" t="s">
        <v>1191</v>
      </c>
      <c r="R136">
        <v>-27033611</v>
      </c>
      <c r="S136" s="4">
        <v>-1.552</v>
      </c>
      <c r="T136" t="s">
        <v>139</v>
      </c>
      <c r="U136">
        <v>204480000</v>
      </c>
      <c r="V136">
        <v>207381000</v>
      </c>
      <c r="W136">
        <v>1.83</v>
      </c>
      <c r="X136">
        <v>0.2</v>
      </c>
      <c r="Y136">
        <v>-3.56</v>
      </c>
      <c r="Z136" t="s">
        <v>1427</v>
      </c>
      <c r="AA136" t="s">
        <v>713</v>
      </c>
      <c r="AB136" t="s">
        <v>5056</v>
      </c>
      <c r="AC136" t="s">
        <v>5057</v>
      </c>
      <c r="AD136" t="s">
        <v>5</v>
      </c>
      <c r="AE136">
        <v>-676053</v>
      </c>
      <c r="AF136" t="s">
        <v>3174</v>
      </c>
      <c r="AG136" t="s">
        <v>5058</v>
      </c>
      <c r="AH136" t="s">
        <v>3175</v>
      </c>
      <c r="AI136" t="s">
        <v>5059</v>
      </c>
      <c r="AJ136" t="s">
        <v>3176</v>
      </c>
      <c r="AK136" t="s">
        <v>173</v>
      </c>
      <c r="AL136" t="s">
        <v>3177</v>
      </c>
      <c r="AM136" t="s">
        <v>5</v>
      </c>
      <c r="AN136" t="s">
        <v>5060</v>
      </c>
      <c r="AO136" t="s">
        <v>386</v>
      </c>
      <c r="AP136" t="s">
        <v>194</v>
      </c>
      <c r="AQ136" t="s">
        <v>469</v>
      </c>
      <c r="AR136" t="s">
        <v>5</v>
      </c>
      <c r="AS136" t="s">
        <v>5061</v>
      </c>
      <c r="AT136" t="s">
        <v>46</v>
      </c>
      <c r="AU136" t="s">
        <v>3469</v>
      </c>
      <c r="AV136" t="s">
        <v>2616</v>
      </c>
      <c r="AW136" t="s">
        <v>113</v>
      </c>
      <c r="AX136" t="s">
        <v>1901</v>
      </c>
      <c r="AY136" t="s">
        <v>1451</v>
      </c>
      <c r="AZ136" t="s">
        <v>1452</v>
      </c>
      <c r="BA136" t="s">
        <v>1014</v>
      </c>
      <c r="BB136" t="s">
        <v>940</v>
      </c>
      <c r="BC136" t="s">
        <v>665</v>
      </c>
      <c r="BD136" t="s">
        <v>93</v>
      </c>
      <c r="BE136" t="s">
        <v>1183</v>
      </c>
      <c r="BF136" t="s">
        <v>333</v>
      </c>
      <c r="BG136" t="s">
        <v>153</v>
      </c>
      <c r="BH136" t="s">
        <v>535</v>
      </c>
      <c r="BI136" t="s">
        <v>203</v>
      </c>
      <c r="BJ136" t="s">
        <v>1901</v>
      </c>
      <c r="BK136" t="s">
        <v>3173</v>
      </c>
      <c r="BL136" t="s">
        <v>5062</v>
      </c>
      <c r="BM136" t="s">
        <v>665</v>
      </c>
      <c r="BN136">
        <v>1.92</v>
      </c>
      <c r="BO136">
        <v>17.850000000000001</v>
      </c>
      <c r="BP136">
        <v>8.6</v>
      </c>
      <c r="BQ136">
        <v>3.15</v>
      </c>
      <c r="BR136">
        <v>20.68</v>
      </c>
      <c r="BS136">
        <v>10.1</v>
      </c>
      <c r="BT136" t="s">
        <v>3178</v>
      </c>
      <c r="BU136" t="s">
        <v>1534</v>
      </c>
      <c r="BV136">
        <v>11.94</v>
      </c>
      <c r="BW136">
        <v>20.64</v>
      </c>
      <c r="BX136">
        <v>13.8</v>
      </c>
      <c r="BY136">
        <v>1.1399999999999999</v>
      </c>
      <c r="BZ136">
        <v>11.18</v>
      </c>
      <c r="CA136">
        <v>5.8</v>
      </c>
      <c r="CB136">
        <v>-0.5</v>
      </c>
      <c r="CC136">
        <v>-21.85</v>
      </c>
      <c r="CD136" t="s">
        <v>5063</v>
      </c>
      <c r="CE136" t="s">
        <v>5064</v>
      </c>
      <c r="CF136" s="8">
        <v>0.49272349272349292</v>
      </c>
      <c r="CG136" s="9">
        <v>-1.8064799451082174</v>
      </c>
      <c r="CH136" s="8">
        <v>-0.2342618852853775</v>
      </c>
      <c r="CI136" s="8">
        <v>0.19706571102142334</v>
      </c>
      <c r="CJ136" s="8">
        <v>0.23721124231815338</v>
      </c>
      <c r="CK136" s="8">
        <v>7.3516443371772766E-2</v>
      </c>
      <c r="CL136" s="8">
        <v>0.11341216415166855</v>
      </c>
      <c r="CM136" s="9">
        <v>-0.57107234001159668</v>
      </c>
      <c r="CN136" s="9">
        <v>1.3045977354049683</v>
      </c>
      <c r="CO136" s="9">
        <v>-0.29838711023330688</v>
      </c>
      <c r="CP136" s="9">
        <v>0.12217194586992264</v>
      </c>
      <c r="CQ136" s="9">
        <v>9.9502488970756531E-2</v>
      </c>
      <c r="CR136">
        <v>8.6669745942131264</v>
      </c>
      <c r="CS136">
        <v>1.1199271549373202</v>
      </c>
      <c r="CT136">
        <v>2.8368794326241136</v>
      </c>
      <c r="CU136" s="8">
        <v>7.7388735115528101E-2</v>
      </c>
      <c r="CV136" s="9">
        <v>0.13136254400014877</v>
      </c>
      <c r="CW136">
        <v>0.06</v>
      </c>
      <c r="CX136">
        <v>8.2532751176216816</v>
      </c>
      <c r="CY136">
        <v>174821568.33950076</v>
      </c>
      <c r="CZ136">
        <v>7.7388735115528101E-2</v>
      </c>
      <c r="DA136">
        <v>2.7260913202178978</v>
      </c>
      <c r="DB136">
        <v>529274455.81121331</v>
      </c>
      <c r="DC136">
        <v>7.3519298359751697E-2</v>
      </c>
      <c r="DD136">
        <v>1.3612276823928955</v>
      </c>
      <c r="DE136">
        <v>1059962648.9108862</v>
      </c>
      <c r="DF136">
        <v>6.8102086901664735E-2</v>
      </c>
      <c r="DG136">
        <v>0.83058618557750752</v>
      </c>
      <c r="DH136">
        <v>1737147240.1708493</v>
      </c>
      <c r="DI136">
        <v>6.1910988092422486E-2</v>
      </c>
      <c r="DJ136">
        <v>0.44420561245162665</v>
      </c>
      <c r="DK136">
        <v>3248159094.6965451</v>
      </c>
      <c r="DL136">
        <v>5.4172114580869665E-2</v>
      </c>
      <c r="DM136">
        <v>172000000</v>
      </c>
      <c r="DN136">
        <v>7.7388735115528101E-2</v>
      </c>
      <c r="DO136">
        <v>1442850500</v>
      </c>
      <c r="DP136">
        <v>1013807300</v>
      </c>
      <c r="DQ136">
        <v>4404</v>
      </c>
      <c r="DR136">
        <v>0.41533475760796479</v>
      </c>
      <c r="DS136">
        <v>-1.9378424891083661</v>
      </c>
      <c r="DT136" s="10">
        <v>-0.32333333333333331</v>
      </c>
      <c r="DU136">
        <v>-0.89833333333333332</v>
      </c>
      <c r="DV136">
        <v>-1.2216666666666667</v>
      </c>
      <c r="DW136">
        <v>-3.0661607142857141</v>
      </c>
      <c r="DX136">
        <v>0.31732888438157314</v>
      </c>
      <c r="DY136">
        <v>-3.0071009556541735</v>
      </c>
      <c r="DZ136">
        <v>2663</v>
      </c>
      <c r="EA136">
        <v>-3.0034003989208928</v>
      </c>
      <c r="EB136">
        <v>3</v>
      </c>
      <c r="EC136">
        <v>2.6996205052536155E-2</v>
      </c>
      <c r="ED136">
        <v>0.25152786417270628</v>
      </c>
      <c r="EE136" s="11">
        <v>-2.0817000000000001</v>
      </c>
      <c r="EF136">
        <v>-2.0543</v>
      </c>
      <c r="EG136">
        <v>21.107328884381573</v>
      </c>
      <c r="EH136" t="s">
        <v>1712</v>
      </c>
      <c r="EI136">
        <v>0</v>
      </c>
      <c r="EJ136">
        <v>0</v>
      </c>
      <c r="EK136" s="12">
        <v>45470</v>
      </c>
      <c r="EL136">
        <v>1.18</v>
      </c>
      <c r="EM136">
        <v>-2.92</v>
      </c>
      <c r="EN136">
        <v>-0.6</v>
      </c>
      <c r="EO136">
        <v>3.23</v>
      </c>
      <c r="EP136">
        <v>-2.74</v>
      </c>
    </row>
    <row r="137" spans="1:146" ht="168" x14ac:dyDescent="0.25">
      <c r="A137" s="6" t="s">
        <v>1116</v>
      </c>
      <c r="B137" s="6" t="s">
        <v>1616</v>
      </c>
      <c r="C137" s="6" t="str">
        <f>"公司主营业务为民用爆破器材的研发、生产、销售及爆破服务一体化,是全国产品种类最齐全的民用爆破器材生产企业之一。公司主要产品为工业包装炸药、工业起爆器材、爆破工程、智能供电系统及运维服务、智慧党建、钽铌氧化物、钨合金弹芯。"&amp;CHAR(10)&amp;Basic_Fundamental_Information_Constructure(C137)&amp;CHAR(10)&amp;Basic_Fundamental_Information_Concatenate("民爆产品 8.68亿 55.55% 毛利41.83%
爆破工程 3.46亿 22.14% 毛利31.36%
轨道交通电气自动化 2.62亿 16.77% 毛利44.78%
其他业务 8659.83万 5.54% 毛利24.53%")</f>
        <v>公司主营业务为民用爆破器材的研发、生产、销售及爆破服务一体化,是全国产品种类最齐全的民用爆破器材生产企业之一。公司主要产品为工业包装炸药、工业起爆器材、爆破工程、智能供电系统及运维服务、智慧党建、钽铌氧化物、钨合金弹芯。
市值76.78549亿, 利润3.05亿; PE24.62; 平均PE42.06; 平均PEG1.65, PB2.42; ROIC5.81%; ROE6.6433%; 股利率1.2136%; 毛利35.8967%; 净利12.29%; 上一年度营收增18.08%, 利润增111.81%; 当季营收增5.16%, 利润增18.41%; 过往5年营收增25.47%, 利润增46.97%
Income profile:
民爆产品 8.68亿 55.55% 毛利41.83%
爆破工程 3.46亿 22.14% 毛利31.36%
轨道交通电气自动化 2.62亿 16.77% 毛利44.78%
其他业务 8659.83万 5.54% 毛利24.53%</v>
      </c>
      <c r="D137" t="s">
        <v>1016</v>
      </c>
      <c r="E137" t="s">
        <v>1017</v>
      </c>
      <c r="F137">
        <v>10.18</v>
      </c>
      <c r="G137">
        <v>2.11</v>
      </c>
      <c r="H137" t="s">
        <v>5065</v>
      </c>
      <c r="I137">
        <v>6324241800</v>
      </c>
      <c r="J137">
        <v>20.28</v>
      </c>
      <c r="K137">
        <v>1.99</v>
      </c>
      <c r="L137" t="s">
        <v>428</v>
      </c>
      <c r="M137" t="s">
        <v>266</v>
      </c>
      <c r="N137" t="s">
        <v>501</v>
      </c>
      <c r="O137" t="s">
        <v>512</v>
      </c>
      <c r="P137">
        <v>5.28</v>
      </c>
      <c r="Q137" t="s">
        <v>3963</v>
      </c>
      <c r="R137">
        <v>46948392</v>
      </c>
      <c r="S137" s="4">
        <v>0.18410000000000001</v>
      </c>
      <c r="T137" t="s">
        <v>1839</v>
      </c>
      <c r="U137">
        <v>621241830</v>
      </c>
      <c r="V137">
        <v>621241830</v>
      </c>
      <c r="W137">
        <v>1.48</v>
      </c>
      <c r="X137">
        <v>0.09</v>
      </c>
      <c r="Y137">
        <v>11.16</v>
      </c>
      <c r="Z137" t="s">
        <v>167</v>
      </c>
      <c r="AA137" t="s">
        <v>340</v>
      </c>
      <c r="AB137" t="s">
        <v>5066</v>
      </c>
      <c r="AC137" t="s">
        <v>5067</v>
      </c>
      <c r="AD137" t="s">
        <v>5</v>
      </c>
      <c r="AE137">
        <v>-2205310</v>
      </c>
      <c r="AF137" t="s">
        <v>3180</v>
      </c>
      <c r="AG137" t="s">
        <v>5068</v>
      </c>
      <c r="AH137" t="s">
        <v>3181</v>
      </c>
      <c r="AI137" t="s">
        <v>2056</v>
      </c>
      <c r="AJ137" t="s">
        <v>3182</v>
      </c>
      <c r="AK137" t="s">
        <v>165</v>
      </c>
      <c r="AL137" t="s">
        <v>3183</v>
      </c>
      <c r="AM137" t="s">
        <v>5</v>
      </c>
      <c r="AN137" t="s">
        <v>2068</v>
      </c>
      <c r="AO137" t="s">
        <v>2662</v>
      </c>
      <c r="AP137" t="s">
        <v>5069</v>
      </c>
      <c r="AQ137" t="s">
        <v>454</v>
      </c>
      <c r="AR137" t="s">
        <v>1903</v>
      </c>
      <c r="AS137" t="s">
        <v>1815</v>
      </c>
      <c r="AT137" t="s">
        <v>68</v>
      </c>
      <c r="AU137" t="s">
        <v>5070</v>
      </c>
      <c r="AV137" t="s">
        <v>5071</v>
      </c>
      <c r="AW137" t="s">
        <v>5072</v>
      </c>
      <c r="AX137" t="s">
        <v>1902</v>
      </c>
      <c r="AY137" t="s">
        <v>1453</v>
      </c>
      <c r="AZ137" t="s">
        <v>1454</v>
      </c>
      <c r="BA137" t="s">
        <v>1018</v>
      </c>
      <c r="BB137" t="s">
        <v>985</v>
      </c>
      <c r="BC137" t="s">
        <v>58</v>
      </c>
      <c r="BD137" t="s">
        <v>269</v>
      </c>
      <c r="BE137" t="s">
        <v>205</v>
      </c>
      <c r="BF137" t="s">
        <v>58</v>
      </c>
      <c r="BG137" t="s">
        <v>1020</v>
      </c>
      <c r="BH137" t="s">
        <v>3179</v>
      </c>
      <c r="BI137" t="s">
        <v>92</v>
      </c>
      <c r="BJ137" t="s">
        <v>1902</v>
      </c>
      <c r="BK137" t="s">
        <v>518</v>
      </c>
      <c r="BL137" t="s">
        <v>5073</v>
      </c>
      <c r="BM137" t="s">
        <v>58</v>
      </c>
      <c r="BN137">
        <v>6.17</v>
      </c>
      <c r="BO137">
        <v>4.93</v>
      </c>
      <c r="BP137">
        <v>8.81</v>
      </c>
      <c r="BQ137">
        <v>7.64</v>
      </c>
      <c r="BR137">
        <v>5.3</v>
      </c>
      <c r="BS137">
        <v>10.23</v>
      </c>
      <c r="BT137" t="s">
        <v>1681</v>
      </c>
      <c r="BU137" t="s">
        <v>1517</v>
      </c>
      <c r="BV137">
        <v>35.880000000000003</v>
      </c>
      <c r="BW137">
        <v>35.380000000000003</v>
      </c>
      <c r="BX137">
        <v>36.19</v>
      </c>
      <c r="BY137">
        <v>13.84</v>
      </c>
      <c r="BZ137">
        <v>8.36</v>
      </c>
      <c r="CA137">
        <v>14.06</v>
      </c>
      <c r="CB137">
        <v>1.6</v>
      </c>
      <c r="CC137">
        <v>-3.69</v>
      </c>
      <c r="CD137" t="s">
        <v>5074</v>
      </c>
      <c r="CE137" t="s">
        <v>307</v>
      </c>
      <c r="CF137" s="8">
        <v>0.83146067415730318</v>
      </c>
      <c r="CG137" s="9">
        <v>4.4845503328805858</v>
      </c>
      <c r="CH137" s="8">
        <v>-0.26626390218734741</v>
      </c>
      <c r="CI137" s="8">
        <v>8.2494966685771942E-2</v>
      </c>
      <c r="CJ137" s="8">
        <v>0.13276349008083344</v>
      </c>
      <c r="CK137" s="8">
        <v>0.21959693729877472</v>
      </c>
      <c r="CL137" s="8">
        <v>0.65783417224884033</v>
      </c>
      <c r="CM137" s="9">
        <v>-1.9791666269302368</v>
      </c>
      <c r="CN137" s="9">
        <v>-0.40000000596046448</v>
      </c>
      <c r="CO137" s="9">
        <v>0.25</v>
      </c>
      <c r="CP137" s="9">
        <v>0.3333333432674408</v>
      </c>
      <c r="CQ137" s="9">
        <v>1.0472692251205444</v>
      </c>
      <c r="CR137">
        <v>58.437168585339897</v>
      </c>
      <c r="CS137">
        <v>3.5355368983536679</v>
      </c>
      <c r="CT137">
        <v>1.4734774066797642</v>
      </c>
      <c r="CU137" s="8">
        <v>0.1652851328253746</v>
      </c>
      <c r="CV137" s="9">
        <v>-0.14971281290054322</v>
      </c>
      <c r="CW137">
        <v>0.06</v>
      </c>
      <c r="CX137" t="e">
        <v>#VALUE!</v>
      </c>
      <c r="CY137" t="s">
        <v>1179</v>
      </c>
      <c r="CZ137">
        <v>0.1652851328253746</v>
      </c>
      <c r="DA137" t="e">
        <v>#VALUE!</v>
      </c>
      <c r="DB137" t="s">
        <v>1179</v>
      </c>
      <c r="DC137">
        <v>0.15702087618410587</v>
      </c>
      <c r="DD137" t="e">
        <v>#VALUE!</v>
      </c>
      <c r="DE137" t="s">
        <v>1179</v>
      </c>
      <c r="DF137">
        <v>0.14545091688632966</v>
      </c>
      <c r="DG137" t="e">
        <v>#VALUE!</v>
      </c>
      <c r="DH137" t="s">
        <v>1179</v>
      </c>
      <c r="DI137">
        <v>0.13222810626029968</v>
      </c>
      <c r="DJ137" t="e">
        <v>#VALUE!</v>
      </c>
      <c r="DK137" t="s">
        <v>1179</v>
      </c>
      <c r="DL137">
        <v>0.11569959297776221</v>
      </c>
      <c r="DM137">
        <v>-141000000</v>
      </c>
      <c r="DN137">
        <v>0.1652851328253746</v>
      </c>
      <c r="DO137">
        <v>4523241800</v>
      </c>
      <c r="DP137">
        <v>977544600</v>
      </c>
      <c r="DQ137">
        <v>4408</v>
      </c>
      <c r="DR137">
        <v>0.66617554133192858</v>
      </c>
      <c r="DS137">
        <v>4.6342631457811292</v>
      </c>
      <c r="DT137" s="10">
        <v>-0.29000000000000004</v>
      </c>
      <c r="DU137">
        <v>-0.44999999999999996</v>
      </c>
      <c r="DV137">
        <v>-0.74</v>
      </c>
      <c r="DW137">
        <v>-1.0368999999999999</v>
      </c>
      <c r="DX137">
        <v>0.35307696078431361</v>
      </c>
      <c r="DY137">
        <v>-1.0045415398529411</v>
      </c>
      <c r="DZ137">
        <v>4908</v>
      </c>
      <c r="EA137">
        <v>-1.0001795285812709</v>
      </c>
      <c r="EB137">
        <v>1</v>
      </c>
      <c r="EC137">
        <v>4.0415340351437699E-2</v>
      </c>
      <c r="ED137">
        <v>0.32837453975048653</v>
      </c>
      <c r="EE137" s="11">
        <v>-2.1128</v>
      </c>
      <c r="EF137">
        <v>-2.0878000000000001</v>
      </c>
      <c r="EG137">
        <v>23.123076960784314</v>
      </c>
      <c r="EH137" t="s">
        <v>1712</v>
      </c>
      <c r="EI137">
        <v>0</v>
      </c>
      <c r="EJ137">
        <v>0</v>
      </c>
      <c r="EK137" s="12">
        <v>45470</v>
      </c>
      <c r="EL137">
        <v>0</v>
      </c>
      <c r="EM137">
        <v>-5.45</v>
      </c>
      <c r="EN137">
        <v>2.94</v>
      </c>
      <c r="EO137">
        <v>5.14</v>
      </c>
      <c r="EP137">
        <v>-2.5</v>
      </c>
    </row>
    <row r="138" spans="1:146" ht="96" x14ac:dyDescent="0.25">
      <c r="C138" s="6" t="str">
        <f>""&amp;CHAR(10)&amp;Basic_Fundamental_Information_Constructure(F138)&amp;CHAR(10)&amp;Basic_Fundamental_Information_Concatenate("")</f>
        <v xml:space="preserve">
市值26.67亿, 利润-5.65亿; PE; 平均PE21.95; 平均PEG5.27, PB.67; ROIC2.77%; ROE-1.1033%; 股利率1.8373%; 毛利8.1133%; 净利-6.5633%; 上一年度营收增10.51%, 利润增-169.05%; 当季营收增-18.39%, 利润增207.22%; 过往5年营收增-4.17%, 利润增-109.92%
Income profile:
</v>
      </c>
      <c r="D138" t="s">
        <v>1021</v>
      </c>
      <c r="E138" t="s">
        <v>1022</v>
      </c>
      <c r="F138">
        <v>3.81</v>
      </c>
      <c r="G138">
        <v>3.25</v>
      </c>
      <c r="H138" t="s">
        <v>5075</v>
      </c>
      <c r="I138">
        <v>2667000000</v>
      </c>
      <c r="K138">
        <v>0.67</v>
      </c>
      <c r="L138" t="s">
        <v>428</v>
      </c>
      <c r="M138" t="s">
        <v>588</v>
      </c>
      <c r="N138" t="s">
        <v>5076</v>
      </c>
      <c r="O138" t="s">
        <v>169</v>
      </c>
      <c r="P138">
        <v>-11.63</v>
      </c>
      <c r="Q138" t="s">
        <v>5077</v>
      </c>
      <c r="R138">
        <v>106580828</v>
      </c>
      <c r="S138" s="4">
        <v>7.1719999999999997</v>
      </c>
      <c r="T138" t="s">
        <v>5078</v>
      </c>
      <c r="U138">
        <v>700000000</v>
      </c>
      <c r="V138">
        <v>700000000</v>
      </c>
      <c r="W138">
        <v>1.1399999999999999</v>
      </c>
      <c r="X138">
        <v>0.08</v>
      </c>
      <c r="Y138">
        <v>28.85</v>
      </c>
      <c r="Z138" t="s">
        <v>115</v>
      </c>
      <c r="AA138" t="s">
        <v>337</v>
      </c>
      <c r="AB138" t="s">
        <v>5079</v>
      </c>
      <c r="AC138" t="s">
        <v>5080</v>
      </c>
      <c r="AD138" t="s">
        <v>5</v>
      </c>
      <c r="AE138">
        <v>-5981256</v>
      </c>
      <c r="AF138" t="s">
        <v>3185</v>
      </c>
      <c r="AG138" t="s">
        <v>5081</v>
      </c>
      <c r="AH138" t="s">
        <v>3186</v>
      </c>
      <c r="AI138" t="s">
        <v>2286</v>
      </c>
      <c r="AJ138" t="s">
        <v>3187</v>
      </c>
      <c r="AK138" t="s">
        <v>5</v>
      </c>
      <c r="AL138" t="s">
        <v>3188</v>
      </c>
      <c r="AM138" t="s">
        <v>5</v>
      </c>
      <c r="AN138" t="s">
        <v>5082</v>
      </c>
      <c r="AO138" t="s">
        <v>5083</v>
      </c>
      <c r="AP138" t="s">
        <v>5084</v>
      </c>
      <c r="AQ138" t="s">
        <v>233</v>
      </c>
      <c r="AR138" t="s">
        <v>5</v>
      </c>
      <c r="AS138" t="s">
        <v>736</v>
      </c>
      <c r="AT138" t="s">
        <v>5</v>
      </c>
      <c r="AU138" t="s">
        <v>5085</v>
      </c>
      <c r="AV138" t="s">
        <v>5086</v>
      </c>
      <c r="AW138" t="s">
        <v>5087</v>
      </c>
      <c r="AX138" t="s">
        <v>1270</v>
      </c>
      <c r="AY138" t="s">
        <v>1455</v>
      </c>
      <c r="AZ138" t="s">
        <v>266</v>
      </c>
      <c r="BA138" t="s">
        <v>1023</v>
      </c>
      <c r="BB138" t="s">
        <v>1024</v>
      </c>
      <c r="BC138" t="s">
        <v>1904</v>
      </c>
      <c r="BD138" t="s">
        <v>46</v>
      </c>
      <c r="BE138" t="s">
        <v>146</v>
      </c>
      <c r="BF138" t="s">
        <v>797</v>
      </c>
      <c r="BG138" t="s">
        <v>368</v>
      </c>
      <c r="BH138" t="s">
        <v>3184</v>
      </c>
      <c r="BI138" t="s">
        <v>388</v>
      </c>
      <c r="BJ138" t="s">
        <v>1270</v>
      </c>
      <c r="BK138" t="s">
        <v>2855</v>
      </c>
      <c r="BL138" t="s">
        <v>5088</v>
      </c>
      <c r="BM138" t="s">
        <v>1904</v>
      </c>
      <c r="BN138" t="s">
        <v>5</v>
      </c>
      <c r="BO138" t="s">
        <v>5</v>
      </c>
      <c r="BP138">
        <v>2.77</v>
      </c>
      <c r="BQ138">
        <v>-1.51</v>
      </c>
      <c r="BR138">
        <v>-4.8499999999999996</v>
      </c>
      <c r="BS138">
        <v>3.05</v>
      </c>
      <c r="BT138" t="s">
        <v>1679</v>
      </c>
      <c r="BU138" t="s">
        <v>1518</v>
      </c>
      <c r="BV138">
        <v>6.02</v>
      </c>
      <c r="BW138">
        <v>1.73</v>
      </c>
      <c r="BX138">
        <v>16.59</v>
      </c>
      <c r="BY138">
        <v>-14.49</v>
      </c>
      <c r="BZ138">
        <v>-11.07</v>
      </c>
      <c r="CA138">
        <v>5.87</v>
      </c>
      <c r="CB138">
        <v>1.87</v>
      </c>
      <c r="CC138">
        <v>-8.41</v>
      </c>
      <c r="CD138" t="s">
        <v>5089</v>
      </c>
      <c r="CE138" t="s">
        <v>194</v>
      </c>
      <c r="CF138" s="8">
        <v>-0.18385650224215247</v>
      </c>
      <c r="CG138" s="9">
        <v>2.0721856401878371</v>
      </c>
      <c r="CH138" s="8">
        <v>0.1050724983215332</v>
      </c>
      <c r="CI138" s="8">
        <v>-0.14285719394683838</v>
      </c>
      <c r="CJ138" s="8">
        <v>0.23034942150115967</v>
      </c>
      <c r="CK138" s="8">
        <v>-0.30447983741760254</v>
      </c>
      <c r="CL138" s="8">
        <v>-9.6398003399372101E-2</v>
      </c>
      <c r="CM138" s="9">
        <v>-1.6904761791229248</v>
      </c>
      <c r="CN138" s="9">
        <v>-2.5441176891326904</v>
      </c>
      <c r="CO138" s="9">
        <v>-0.41125541925430298</v>
      </c>
      <c r="CP138" s="9">
        <v>-0.46774193644523621</v>
      </c>
      <c r="CQ138" s="9">
        <v>-0.38264581561088562</v>
      </c>
      <c r="CR138">
        <v>21.950617283950617</v>
      </c>
      <c r="CS138">
        <v>5.268659462500711</v>
      </c>
      <c r="CT138">
        <v>1.837270341207349</v>
      </c>
      <c r="CU138" s="8">
        <v>-4.1662622988224027E-2</v>
      </c>
      <c r="CV138" s="9">
        <v>-1.099247407913208</v>
      </c>
      <c r="CW138">
        <v>0.06</v>
      </c>
      <c r="CX138" t="s">
        <v>1905</v>
      </c>
      <c r="CY138" t="s">
        <v>1179</v>
      </c>
      <c r="CZ138">
        <v>-4.1662622988224027E-2</v>
      </c>
      <c r="DA138" t="s">
        <v>1905</v>
      </c>
      <c r="DB138" t="s">
        <v>1179</v>
      </c>
      <c r="DC138">
        <v>-3.9579491838812826E-2</v>
      </c>
      <c r="DD138" t="s">
        <v>1905</v>
      </c>
      <c r="DE138" t="s">
        <v>1179</v>
      </c>
      <c r="DF138">
        <v>-3.6663108229637142E-2</v>
      </c>
      <c r="DG138" t="s">
        <v>1905</v>
      </c>
      <c r="DH138" t="s">
        <v>1179</v>
      </c>
      <c r="DI138">
        <v>-3.3330098390579224E-2</v>
      </c>
      <c r="DJ138" t="s">
        <v>1905</v>
      </c>
      <c r="DK138" t="s">
        <v>1179</v>
      </c>
      <c r="DL138">
        <v>-2.9163836091756816E-2</v>
      </c>
      <c r="DM138">
        <v>-565000000</v>
      </c>
      <c r="DN138">
        <v>-4.1662622988224027E-2</v>
      </c>
      <c r="DO138">
        <v>-695000000</v>
      </c>
      <c r="DP138">
        <v>2474020700</v>
      </c>
      <c r="DQ138">
        <v>4411</v>
      </c>
      <c r="DR138">
        <v>-0.14219387925392846</v>
      </c>
      <c r="DS138">
        <v>3.1714330481010453</v>
      </c>
      <c r="DT138" s="10">
        <v>-0.42333333333333334</v>
      </c>
      <c r="DU138">
        <v>-1.2166666666666666</v>
      </c>
      <c r="DV138">
        <v>-1.64</v>
      </c>
      <c r="DW138">
        <v>-2.0840999999999998</v>
      </c>
      <c r="DX138">
        <v>0.44331036585366007</v>
      </c>
      <c r="DY138">
        <v>-2.0112114017682927</v>
      </c>
      <c r="DZ138">
        <v>4621</v>
      </c>
      <c r="EA138">
        <v>-2.0010728719108992</v>
      </c>
      <c r="EB138">
        <v>2</v>
      </c>
      <c r="EC138">
        <v>3.1232714285714287E-2</v>
      </c>
      <c r="ED138">
        <v>0.23428571428571429</v>
      </c>
      <c r="EE138" s="11">
        <v>-2.1177000000000001</v>
      </c>
      <c r="EF138">
        <v>-2.0897999999999999</v>
      </c>
      <c r="EG138">
        <v>31.13331036585366</v>
      </c>
      <c r="EH138" t="s">
        <v>1712</v>
      </c>
      <c r="EI138">
        <v>0</v>
      </c>
      <c r="EJ138">
        <v>0</v>
      </c>
      <c r="EK138" s="12">
        <v>45470</v>
      </c>
      <c r="EL138">
        <v>-0.24</v>
      </c>
      <c r="EM138">
        <v>-5.85</v>
      </c>
      <c r="EN138">
        <v>3.24</v>
      </c>
      <c r="EO138">
        <v>3.26</v>
      </c>
      <c r="EP138">
        <v>-2.79</v>
      </c>
    </row>
    <row r="139" spans="1:146" ht="96" x14ac:dyDescent="0.25">
      <c r="C139" s="6" t="str">
        <f>""&amp;CHAR(10)&amp;Basic_Fundamental_Information_Constructure(F139)&amp;CHAR(10)&amp;Basic_Fundamental_Information_Concatenate("")</f>
        <v xml:space="preserve">
市值62.775688亿, 利润1.09亿; PE31.06; 平均PE61.99; 平均PEG.99, PB4.02; ROIC10.65%; ROE10.7067%; 股利率1.2352%; 毛利30.7333%; 净利19.7033%; 上一年度营收增235.46%, 利润增-27.81%; 当季营收增-34.2%, 利润增13100.99%; 过往5年营收增62.73%, 利润增13.68%
Income profile:
</v>
      </c>
      <c r="D139" t="s">
        <v>1025</v>
      </c>
      <c r="E139" t="s">
        <v>1026</v>
      </c>
      <c r="F139">
        <v>19.43</v>
      </c>
      <c r="G139">
        <v>1.0900000000000001</v>
      </c>
      <c r="H139" t="s">
        <v>5090</v>
      </c>
      <c r="I139">
        <v>6277568800</v>
      </c>
      <c r="J139">
        <v>31.06</v>
      </c>
      <c r="K139">
        <v>4.0199999999999996</v>
      </c>
      <c r="L139" t="s">
        <v>428</v>
      </c>
      <c r="M139" t="s">
        <v>385</v>
      </c>
      <c r="N139" t="s">
        <v>2489</v>
      </c>
      <c r="O139" t="s">
        <v>147</v>
      </c>
      <c r="P139">
        <v>29.63</v>
      </c>
      <c r="Q139" t="s">
        <v>2197</v>
      </c>
      <c r="R139">
        <v>53543203</v>
      </c>
      <c r="S139" s="4">
        <v>0.20469999999999999</v>
      </c>
      <c r="T139" t="s">
        <v>165</v>
      </c>
      <c r="U139">
        <v>323086400</v>
      </c>
      <c r="V139">
        <v>323086400</v>
      </c>
      <c r="W139">
        <v>1.21</v>
      </c>
      <c r="X139">
        <v>0.14000000000000001</v>
      </c>
      <c r="Y139">
        <v>21.24</v>
      </c>
      <c r="Z139" t="s">
        <v>205</v>
      </c>
      <c r="AA139" t="s">
        <v>359</v>
      </c>
      <c r="AB139" t="s">
        <v>5091</v>
      </c>
      <c r="AC139" t="s">
        <v>5092</v>
      </c>
      <c r="AD139" t="s">
        <v>5</v>
      </c>
      <c r="AE139">
        <v>-359697</v>
      </c>
      <c r="AF139" t="s">
        <v>3189</v>
      </c>
      <c r="AG139">
        <v>8857</v>
      </c>
      <c r="AH139" t="s">
        <v>3190</v>
      </c>
      <c r="AI139" t="s">
        <v>134</v>
      </c>
      <c r="AJ139" t="s">
        <v>3191</v>
      </c>
      <c r="AK139" t="s">
        <v>5093</v>
      </c>
      <c r="AL139" t="s">
        <v>3192</v>
      </c>
      <c r="AM139" t="s">
        <v>5</v>
      </c>
      <c r="AN139" t="s">
        <v>5094</v>
      </c>
      <c r="AO139" t="s">
        <v>5095</v>
      </c>
      <c r="AP139" t="s">
        <v>5096</v>
      </c>
      <c r="AQ139" t="s">
        <v>46</v>
      </c>
      <c r="AR139" t="s">
        <v>5</v>
      </c>
      <c r="AS139" t="s">
        <v>246</v>
      </c>
      <c r="AT139" t="s">
        <v>5</v>
      </c>
      <c r="AU139" t="s">
        <v>5097</v>
      </c>
      <c r="AV139" t="s">
        <v>5098</v>
      </c>
      <c r="AW139" t="s">
        <v>5099</v>
      </c>
      <c r="AX139" t="s">
        <v>1427</v>
      </c>
      <c r="AY139" t="s">
        <v>716</v>
      </c>
      <c r="AZ139" t="s">
        <v>144</v>
      </c>
      <c r="BA139" t="s">
        <v>298</v>
      </c>
      <c r="BB139" t="s">
        <v>567</v>
      </c>
      <c r="BC139" t="s">
        <v>250</v>
      </c>
      <c r="BD139" t="s">
        <v>61</v>
      </c>
      <c r="BE139" t="s">
        <v>1457</v>
      </c>
      <c r="BF139" t="s">
        <v>1027</v>
      </c>
      <c r="BG139" t="s">
        <v>1028</v>
      </c>
      <c r="BH139" t="s">
        <v>985</v>
      </c>
      <c r="BI139" t="s">
        <v>522</v>
      </c>
      <c r="BJ139" t="s">
        <v>1427</v>
      </c>
      <c r="BK139" t="s">
        <v>172</v>
      </c>
      <c r="BL139" t="s">
        <v>5100</v>
      </c>
      <c r="BM139" t="s">
        <v>250</v>
      </c>
      <c r="BN139">
        <v>9.81</v>
      </c>
      <c r="BO139">
        <v>11.56</v>
      </c>
      <c r="BP139">
        <v>10.58</v>
      </c>
      <c r="BQ139">
        <v>9.98</v>
      </c>
      <c r="BR139">
        <v>11.84</v>
      </c>
      <c r="BS139">
        <v>10.3</v>
      </c>
      <c r="BT139" t="s">
        <v>3193</v>
      </c>
      <c r="BU139" t="s">
        <v>1534</v>
      </c>
      <c r="BV139">
        <v>32.729999999999997</v>
      </c>
      <c r="BW139">
        <v>31.66</v>
      </c>
      <c r="BX139">
        <v>27.81</v>
      </c>
      <c r="BY139">
        <v>22.23</v>
      </c>
      <c r="BZ139">
        <v>20.89</v>
      </c>
      <c r="CA139">
        <v>15.99</v>
      </c>
      <c r="CB139">
        <v>-4.6100000000000003</v>
      </c>
      <c r="CC139">
        <v>-14.35</v>
      </c>
      <c r="CD139" t="s">
        <v>5101</v>
      </c>
      <c r="CE139" t="s">
        <v>5102</v>
      </c>
      <c r="CF139" s="8">
        <v>-0.34203655352480417</v>
      </c>
      <c r="CG139" s="9">
        <v>131.00986932938855</v>
      </c>
      <c r="CH139" s="8">
        <v>2.3545708656311035</v>
      </c>
      <c r="CI139" s="8">
        <v>0.1056661531329155</v>
      </c>
      <c r="CJ139" s="8">
        <v>0.3059999942779541</v>
      </c>
      <c r="CK139" s="8">
        <v>0.1876484602689743</v>
      </c>
      <c r="CL139" s="8">
        <v>0.18258427083492279</v>
      </c>
      <c r="CM139" s="9">
        <v>-0.27814570069313049</v>
      </c>
      <c r="CN139" s="9">
        <v>0.45192307233810425</v>
      </c>
      <c r="CO139" s="9">
        <v>8.8410310447216034E-2</v>
      </c>
      <c r="CP139" s="9">
        <v>0.15424627065658569</v>
      </c>
      <c r="CQ139" s="9">
        <v>0.26765117049217224</v>
      </c>
      <c r="CR139">
        <v>61.986414978084056</v>
      </c>
      <c r="CS139">
        <v>0.98815579352837546</v>
      </c>
      <c r="CT139">
        <v>1.2352032938754502</v>
      </c>
      <c r="CU139" s="8">
        <v>0.627293948829174</v>
      </c>
      <c r="CV139" s="9">
        <v>0.13681702464818954</v>
      </c>
      <c r="CW139">
        <v>0.06</v>
      </c>
      <c r="CX139">
        <v>29.656500235172256</v>
      </c>
      <c r="CY139">
        <v>167334943.79469809</v>
      </c>
      <c r="CZ139">
        <v>0.627293948829174</v>
      </c>
      <c r="DA139">
        <v>6.3362879645269308</v>
      </c>
      <c r="DB139">
        <v>783198116.59167659</v>
      </c>
      <c r="DC139">
        <v>0.59592925138771524</v>
      </c>
      <c r="DD139">
        <v>1.630417125591316</v>
      </c>
      <c r="DE139">
        <v>3043741826.6200967</v>
      </c>
      <c r="DF139">
        <v>0.55201867496967316</v>
      </c>
      <c r="DG139">
        <v>0.42392227838380758</v>
      </c>
      <c r="DH139">
        <v>11706317532.82621</v>
      </c>
      <c r="DI139">
        <v>0.5018351590633392</v>
      </c>
      <c r="DJ139">
        <v>2.6556530510932853E-2</v>
      </c>
      <c r="DK139">
        <v>186868115093.46066</v>
      </c>
      <c r="DL139">
        <v>0.43910576418042174</v>
      </c>
      <c r="DM139">
        <v>109000000.00000001</v>
      </c>
      <c r="DN139">
        <v>0.627293948829174</v>
      </c>
      <c r="DO139">
        <v>4962568800</v>
      </c>
      <c r="DP139">
        <v>563853570</v>
      </c>
      <c r="DQ139">
        <v>4435</v>
      </c>
      <c r="DR139">
        <v>-0.96933050235397822</v>
      </c>
      <c r="DS139">
        <v>130.87305230474036</v>
      </c>
      <c r="DT139" s="10">
        <v>0.20999999999999988</v>
      </c>
      <c r="DU139">
        <v>0.19999999999999996</v>
      </c>
      <c r="DV139">
        <v>0.40999999999999981</v>
      </c>
      <c r="DW139">
        <v>-8.321254355400697</v>
      </c>
      <c r="DX139">
        <v>0.52082590005932849</v>
      </c>
      <c r="DY139">
        <v>-8.0645161950713238</v>
      </c>
      <c r="DZ139">
        <v>2694</v>
      </c>
      <c r="EA139">
        <v>-8.0305031560258939</v>
      </c>
      <c r="EB139">
        <v>8</v>
      </c>
      <c r="EC139">
        <v>2.3888037379474963E-2</v>
      </c>
      <c r="ED139">
        <v>0.11894898702019026</v>
      </c>
      <c r="EE139" s="11">
        <v>-4.0193000000000003</v>
      </c>
      <c r="EF139">
        <v>-4.00021</v>
      </c>
      <c r="EG139">
        <v>32.200825900059328</v>
      </c>
      <c r="EH139" t="s">
        <v>2156</v>
      </c>
      <c r="EI139">
        <v>0</v>
      </c>
      <c r="EJ139">
        <v>0</v>
      </c>
      <c r="EK139" s="12">
        <v>45470</v>
      </c>
      <c r="EL139">
        <v>0.43</v>
      </c>
      <c r="EM139">
        <v>-5.63</v>
      </c>
      <c r="EN139">
        <v>2.75</v>
      </c>
      <c r="EO139">
        <v>3.01</v>
      </c>
      <c r="EP139">
        <v>-1.95</v>
      </c>
    </row>
    <row r="140" spans="1:146" ht="96" x14ac:dyDescent="0.25">
      <c r="C140" s="6" t="str">
        <f>""&amp;CHAR(10)&amp;Basic_Fundamental_Information_Constructure(F140)&amp;CHAR(10)&amp;Basic_Fundamental_Information_Concatenate("")</f>
        <v xml:space="preserve">
市值67.921363亿, 利润1.88亿; PE35.43; 平均PE35.87; 平均PEG11.5, PB2.68; ROIC9.61%; ROE12.31%; 股利率.8399%; 毛利18.9%; 净利7.2367%; 上一年度营收增-90.51%, 利润增-37.33%; 当季营收增1066.31%, 利润增-8.24%; 过往5年营收增-3.12%, 利润增24.85%
Income profile:
</v>
      </c>
      <c r="D140" t="s">
        <v>1029</v>
      </c>
      <c r="E140" t="s">
        <v>1030</v>
      </c>
      <c r="F140">
        <v>17.86</v>
      </c>
      <c r="G140">
        <v>1.19</v>
      </c>
      <c r="H140" t="s">
        <v>5103</v>
      </c>
      <c r="I140">
        <v>6792136300</v>
      </c>
      <c r="J140">
        <v>35.43</v>
      </c>
      <c r="K140">
        <v>2.68</v>
      </c>
      <c r="L140" t="s">
        <v>428</v>
      </c>
      <c r="M140" t="s">
        <v>3194</v>
      </c>
      <c r="N140" t="s">
        <v>5104</v>
      </c>
      <c r="O140" t="s">
        <v>1405</v>
      </c>
      <c r="P140">
        <v>7.84</v>
      </c>
      <c r="Q140" t="s">
        <v>283</v>
      </c>
      <c r="R140">
        <v>37219662</v>
      </c>
      <c r="S140" s="4">
        <v>0.27379999999999999</v>
      </c>
      <c r="T140" t="s">
        <v>199</v>
      </c>
      <c r="U140">
        <v>177075020</v>
      </c>
      <c r="V140">
        <v>380298780</v>
      </c>
      <c r="W140">
        <v>2.6</v>
      </c>
      <c r="X140">
        <v>0.15</v>
      </c>
      <c r="Y140">
        <v>3.72</v>
      </c>
      <c r="Z140" t="s">
        <v>1641</v>
      </c>
      <c r="AA140" t="s">
        <v>2066</v>
      </c>
      <c r="AB140" t="s">
        <v>5105</v>
      </c>
      <c r="AC140" t="s">
        <v>5106</v>
      </c>
      <c r="AD140" t="s">
        <v>5</v>
      </c>
      <c r="AE140">
        <v>17278774</v>
      </c>
      <c r="AF140" t="s">
        <v>32</v>
      </c>
      <c r="AG140" t="s">
        <v>5107</v>
      </c>
      <c r="AH140" t="s">
        <v>3196</v>
      </c>
      <c r="AI140" t="s">
        <v>370</v>
      </c>
      <c r="AJ140" t="s">
        <v>3197</v>
      </c>
      <c r="AK140" t="s">
        <v>5</v>
      </c>
      <c r="AL140" t="s">
        <v>3198</v>
      </c>
      <c r="AM140" t="s">
        <v>5</v>
      </c>
      <c r="AN140" t="s">
        <v>2678</v>
      </c>
      <c r="AO140" t="s">
        <v>4679</v>
      </c>
      <c r="AP140" t="s">
        <v>993</v>
      </c>
      <c r="AQ140" t="s">
        <v>2959</v>
      </c>
      <c r="AR140" t="s">
        <v>5</v>
      </c>
      <c r="AS140" t="s">
        <v>5108</v>
      </c>
      <c r="AT140" t="s">
        <v>2153</v>
      </c>
      <c r="AU140" t="s">
        <v>5109</v>
      </c>
      <c r="AV140" t="s">
        <v>5110</v>
      </c>
      <c r="AW140" t="s">
        <v>314</v>
      </c>
      <c r="AX140" t="s">
        <v>1907</v>
      </c>
      <c r="AY140" t="s">
        <v>1633</v>
      </c>
      <c r="AZ140" t="s">
        <v>1458</v>
      </c>
      <c r="BA140" t="s">
        <v>1031</v>
      </c>
      <c r="BB140" t="s">
        <v>181</v>
      </c>
      <c r="BC140" t="s">
        <v>44</v>
      </c>
      <c r="BD140" t="s">
        <v>240</v>
      </c>
      <c r="BE140" t="s">
        <v>112</v>
      </c>
      <c r="BF140" t="s">
        <v>285</v>
      </c>
      <c r="BG140" t="s">
        <v>38</v>
      </c>
      <c r="BH140" t="s">
        <v>3195</v>
      </c>
      <c r="BI140" t="s">
        <v>5111</v>
      </c>
      <c r="BJ140" t="s">
        <v>1907</v>
      </c>
      <c r="BK140" t="s">
        <v>243</v>
      </c>
      <c r="BL140" t="s">
        <v>5112</v>
      </c>
      <c r="BM140" t="s">
        <v>44</v>
      </c>
      <c r="BN140">
        <v>4.3</v>
      </c>
      <c r="BO140">
        <v>10.4</v>
      </c>
      <c r="BP140">
        <v>14.13</v>
      </c>
      <c r="BQ140">
        <v>6.3</v>
      </c>
      <c r="BR140">
        <v>13.74</v>
      </c>
      <c r="BS140">
        <v>16.89</v>
      </c>
      <c r="BT140" t="s">
        <v>1681</v>
      </c>
      <c r="BU140" t="s">
        <v>1522</v>
      </c>
      <c r="BV140">
        <v>14.63</v>
      </c>
      <c r="BW140">
        <v>18.45</v>
      </c>
      <c r="BX140">
        <v>23.62</v>
      </c>
      <c r="BY140">
        <v>4.21</v>
      </c>
      <c r="BZ140">
        <v>7.9</v>
      </c>
      <c r="CA140">
        <v>9.6</v>
      </c>
      <c r="CB140">
        <v>-6.88</v>
      </c>
      <c r="CC140">
        <v>-26.01</v>
      </c>
      <c r="CD140" t="s">
        <v>5113</v>
      </c>
      <c r="CE140" t="s">
        <v>5114</v>
      </c>
      <c r="CF140" s="8">
        <v>10.663124703235709</v>
      </c>
      <c r="CG140" s="9">
        <v>-8.2416555110976342E-2</v>
      </c>
      <c r="CH140" s="8">
        <v>-0.90509992837905884</v>
      </c>
      <c r="CI140" s="8">
        <v>0.27181541919708252</v>
      </c>
      <c r="CJ140" s="8">
        <v>0.53227460384368896</v>
      </c>
      <c r="CK140" s="8">
        <v>3.6643687635660172E-2</v>
      </c>
      <c r="CL140" s="8">
        <v>-9.165460616350174E-2</v>
      </c>
      <c r="CM140" s="9">
        <v>-0.37333333492279053</v>
      </c>
      <c r="CN140" s="9">
        <v>7.9136691987514496E-2</v>
      </c>
      <c r="CO140" s="9">
        <v>1.7254902124404907</v>
      </c>
      <c r="CP140" s="9">
        <v>-0.26618704199790955</v>
      </c>
      <c r="CQ140" s="9">
        <v>7.7519379556179047E-2</v>
      </c>
      <c r="CR140">
        <v>35.873959330985912</v>
      </c>
      <c r="CS140">
        <v>11.496529258737592</v>
      </c>
      <c r="CT140">
        <v>0.83986562150055999</v>
      </c>
      <c r="CU140" s="8">
        <v>-3.1204164773225785E-2</v>
      </c>
      <c r="CV140" s="9">
        <v>0.24852518141269683</v>
      </c>
      <c r="CW140">
        <v>0.06</v>
      </c>
      <c r="CX140">
        <v>43.495405851063829</v>
      </c>
      <c r="CY140" t="s">
        <v>5115</v>
      </c>
      <c r="CZ140">
        <v>-3.1204164773225785E-2</v>
      </c>
      <c r="DA140">
        <v>14.498468617021276</v>
      </c>
      <c r="DB140" t="s">
        <v>5116</v>
      </c>
      <c r="DC140">
        <v>-2.9643956534564496E-2</v>
      </c>
      <c r="DD140">
        <v>7.2492343085106379</v>
      </c>
      <c r="DE140" t="s">
        <v>5117</v>
      </c>
      <c r="DF140">
        <v>-2.7459665000438692E-2</v>
      </c>
      <c r="DG140">
        <v>4.3495405851063831</v>
      </c>
      <c r="DH140" t="s">
        <v>5118</v>
      </c>
      <c r="DI140">
        <v>-2.4963331818580629E-2</v>
      </c>
      <c r="DJ140">
        <v>2.1747702925531915</v>
      </c>
      <c r="DK140" t="s">
        <v>5119</v>
      </c>
      <c r="DL140">
        <v>-2.1842915341258047E-2</v>
      </c>
      <c r="DM140">
        <v>188000000</v>
      </c>
      <c r="DN140">
        <v>-3.1204164773225785E-2</v>
      </c>
      <c r="DO140">
        <v>8177136300</v>
      </c>
      <c r="DP140">
        <v>-945846100</v>
      </c>
      <c r="DQ140">
        <v>4437</v>
      </c>
      <c r="DR140">
        <v>10.694328868008935</v>
      </c>
      <c r="DS140">
        <v>-0.3309417365236732</v>
      </c>
      <c r="DT140" s="10">
        <v>-0.49</v>
      </c>
      <c r="DU140">
        <v>-1.6666666666666646E-2</v>
      </c>
      <c r="DV140">
        <v>-0.5066666666666666</v>
      </c>
      <c r="DW140">
        <v>-9.2645136485966937</v>
      </c>
      <c r="DX140">
        <v>0.38044206157688532</v>
      </c>
      <c r="DY140">
        <v>-9.0450842515820451</v>
      </c>
      <c r="DZ140">
        <v>1663</v>
      </c>
      <c r="EA140">
        <v>-9.0304120186307841</v>
      </c>
      <c r="EB140">
        <v>9</v>
      </c>
      <c r="EC140">
        <v>3.8185239510891936E-2</v>
      </c>
      <c r="ED140">
        <v>0.22403647994873926</v>
      </c>
      <c r="EE140" s="11">
        <v>0.11950999999999999</v>
      </c>
      <c r="EF140">
        <v>0.13081000000000001</v>
      </c>
      <c r="EG140">
        <v>21.170442061576885</v>
      </c>
      <c r="EH140">
        <v>-1</v>
      </c>
      <c r="EI140">
        <v>0</v>
      </c>
      <c r="EJ140">
        <v>0</v>
      </c>
      <c r="EK140" s="12">
        <v>45470</v>
      </c>
      <c r="EL140">
        <v>0.14000000000000001</v>
      </c>
      <c r="EM140">
        <v>-3.01</v>
      </c>
      <c r="EN140">
        <v>1.1499999999999999</v>
      </c>
      <c r="EO140">
        <v>1.28</v>
      </c>
      <c r="EP140">
        <v>-1.1299999999999999</v>
      </c>
    </row>
    <row r="141" spans="1:146" ht="204" x14ac:dyDescent="0.25">
      <c r="A141" s="6" t="s">
        <v>2014</v>
      </c>
      <c r="B141" s="6"/>
      <c r="C141" s="6" t="str">
        <f>"公司的主营业务是从事木糖醇、山梨糖醇、麦芽糖醇、果葡糖浆等多种功能性糖醇、淀粉糖产品研发、生产、销售。公司主要产品有木糖醇、山梨糖醇、麦芽糖醇、果葡糖浆。公司持续研发、投产新产品，不断完善和丰富产品线。并计划开发甘露糖醇、异麦芽酮糖醇、阿洛酮糖等系列糖醇产品，形成木糖醇、山梨糖醇、麦芽糖醇、赤藓糖醇等支柱性品种以及多个储备品种相结合的较为丰富的产品族系，满足客户的多样性需求，形成协同效应；"&amp;CHAR(10)&amp;Basic_Fundamental_Information_Constructure(F141)&amp;CHAR(10)&amp;Basic_Fundamental_Information_Concatenate("（海外占比65%）
晶体糖醇产品 16.69亿 75.86% 88.36% 26.72%
液体糖、醇及其他产品 5.12亿 23.25% 7.78% 7.68%
其他业务 1952.37万 0.89% 3.86% 99.72%%")</f>
        <v>公司的主营业务是从事木糖醇、山梨糖醇、麦芽糖醇、果葡糖浆等多种功能性糖醇、淀粉糖产品研发、生产、销售。公司主要产品有木糖醇、山梨糖醇、麦芽糖醇、果葡糖浆。公司持续研发、投产新产品，不断完善和丰富产品线。并计划开发甘露糖醇、异麦芽酮糖醇、阿洛酮糖等系列糖醇产品，形成木糖醇、山梨糖醇、麦芽糖醇、赤藓糖醇等支柱性品种以及多个储备品种相结合的较为丰富的产品族系，满足客户的多样性需求，形成协同效应；
市值45.351995亿, 利润1.31亿; PE12.55; 平均PE18.6; 平均PEG10.91, PB1.52; ROIC10.3233%; ROE11.2767%; 股利率4.7075%; 毛利23.3833%; 净利14.2467%; 上一年度营收增-62.59%, 利润增-58.93%; 当季营收增164.58%, 利润增19.03%; 过往5年营收增-1.71%, 利润增.45%
Income profile:
（海外占比65%）
晶体糖醇产品 16.69亿 75.86% 88.36% 26.72%
液体糖、醇及其他产品 5.12亿 23.25% 7.78% 7.68%
其他业务 1952.37万 0.89% 3.86% 99.72%%</v>
      </c>
      <c r="D141" t="s">
        <v>1032</v>
      </c>
      <c r="E141" t="s">
        <v>1033</v>
      </c>
      <c r="F141">
        <v>14.87</v>
      </c>
      <c r="G141">
        <v>1.36</v>
      </c>
      <c r="H141" t="s">
        <v>5120</v>
      </c>
      <c r="I141">
        <v>4535199500</v>
      </c>
      <c r="J141">
        <v>12.55</v>
      </c>
      <c r="K141">
        <v>1.52</v>
      </c>
      <c r="L141" t="s">
        <v>428</v>
      </c>
      <c r="M141" t="s">
        <v>2227</v>
      </c>
      <c r="N141" t="s">
        <v>5121</v>
      </c>
      <c r="O141" t="s">
        <v>95</v>
      </c>
      <c r="P141">
        <v>-2.39</v>
      </c>
      <c r="Q141" t="s">
        <v>2427</v>
      </c>
      <c r="R141">
        <v>79998613</v>
      </c>
      <c r="S141" s="4">
        <v>-0.1115</v>
      </c>
      <c r="T141" t="s">
        <v>54</v>
      </c>
      <c r="U141">
        <v>296994880</v>
      </c>
      <c r="V141">
        <v>304989880</v>
      </c>
      <c r="W141">
        <v>1.97</v>
      </c>
      <c r="X141">
        <v>0.1</v>
      </c>
      <c r="Y141">
        <v>12.59</v>
      </c>
      <c r="Z141" t="s">
        <v>1163</v>
      </c>
      <c r="AA141" t="s">
        <v>338</v>
      </c>
      <c r="AB141" t="s">
        <v>5122</v>
      </c>
      <c r="AC141" t="s">
        <v>5123</v>
      </c>
      <c r="AD141" t="s">
        <v>5</v>
      </c>
      <c r="AE141">
        <v>4662629</v>
      </c>
      <c r="AF141" t="s">
        <v>3199</v>
      </c>
      <c r="AG141">
        <v>6066.48</v>
      </c>
      <c r="AH141" t="s">
        <v>3200</v>
      </c>
      <c r="AI141" t="s">
        <v>5124</v>
      </c>
      <c r="AJ141" t="s">
        <v>3201</v>
      </c>
      <c r="AK141" t="s">
        <v>5125</v>
      </c>
      <c r="AL141" t="s">
        <v>3202</v>
      </c>
      <c r="AM141" t="s">
        <v>5</v>
      </c>
      <c r="AN141" t="s">
        <v>276</v>
      </c>
      <c r="AO141" t="s">
        <v>5126</v>
      </c>
      <c r="AP141" t="s">
        <v>5127</v>
      </c>
      <c r="AQ141" t="s">
        <v>857</v>
      </c>
      <c r="AR141" t="s">
        <v>5</v>
      </c>
      <c r="AS141" t="s">
        <v>2082</v>
      </c>
      <c r="AT141" t="s">
        <v>410</v>
      </c>
      <c r="AU141" t="s">
        <v>2024</v>
      </c>
      <c r="AV141" t="s">
        <v>5128</v>
      </c>
      <c r="AW141" t="s">
        <v>59</v>
      </c>
      <c r="AX141" t="s">
        <v>1893</v>
      </c>
      <c r="AY141" t="s">
        <v>1459</v>
      </c>
      <c r="AZ141" t="s">
        <v>1460</v>
      </c>
      <c r="BA141" t="s">
        <v>856</v>
      </c>
      <c r="BB141" t="s">
        <v>1034</v>
      </c>
      <c r="BC141" t="s">
        <v>145</v>
      </c>
      <c r="BD141" t="s">
        <v>1169</v>
      </c>
      <c r="BE141" t="s">
        <v>218</v>
      </c>
      <c r="BF141" t="s">
        <v>36</v>
      </c>
      <c r="BG141" t="s">
        <v>308</v>
      </c>
      <c r="BH141" t="s">
        <v>2995</v>
      </c>
      <c r="BI141" t="s">
        <v>269</v>
      </c>
      <c r="BJ141" t="s">
        <v>1893</v>
      </c>
      <c r="BK141" t="s">
        <v>537</v>
      </c>
      <c r="BL141" t="s">
        <v>5129</v>
      </c>
      <c r="BM141" t="s">
        <v>145</v>
      </c>
      <c r="BN141">
        <v>7.48</v>
      </c>
      <c r="BO141">
        <v>10.75</v>
      </c>
      <c r="BP141">
        <v>12.74</v>
      </c>
      <c r="BQ141">
        <v>10.11</v>
      </c>
      <c r="BR141">
        <v>12.59</v>
      </c>
      <c r="BS141">
        <v>11.13</v>
      </c>
      <c r="BT141" t="s">
        <v>3203</v>
      </c>
      <c r="BU141" t="s">
        <v>1534</v>
      </c>
      <c r="BV141">
        <v>24.18</v>
      </c>
      <c r="BW141">
        <v>22.94</v>
      </c>
      <c r="BX141">
        <v>23.03</v>
      </c>
      <c r="BY141">
        <v>13.38</v>
      </c>
      <c r="BZ141">
        <v>14.51</v>
      </c>
      <c r="CA141">
        <v>14.85</v>
      </c>
      <c r="CB141">
        <v>-2.4900000000000002</v>
      </c>
      <c r="CC141">
        <v>-13.35</v>
      </c>
      <c r="CD141" t="s">
        <v>5130</v>
      </c>
      <c r="CE141" t="s">
        <v>5131</v>
      </c>
      <c r="CF141" s="8">
        <v>1.6458333333333333</v>
      </c>
      <c r="CG141" s="9">
        <v>0.19030144906834978</v>
      </c>
      <c r="CH141" s="8">
        <v>-0.62590909004211426</v>
      </c>
      <c r="CI141" s="8">
        <v>0.38017565011978149</v>
      </c>
      <c r="CJ141" s="8">
        <v>0.20757575333118439</v>
      </c>
      <c r="CK141" s="8">
        <v>-0.12640638649463654</v>
      </c>
      <c r="CL141" s="8">
        <v>7.9285763204097748E-2</v>
      </c>
      <c r="CM141" s="9">
        <v>-0.58934170007705688</v>
      </c>
      <c r="CN141" s="9">
        <v>0.34599155187606812</v>
      </c>
      <c r="CO141" s="9">
        <v>-0.22801302373409271</v>
      </c>
      <c r="CP141" s="9">
        <v>0.13703703880310059</v>
      </c>
      <c r="CQ141" s="9">
        <v>0.35678392648696899</v>
      </c>
      <c r="CR141">
        <v>18.599587833219413</v>
      </c>
      <c r="CS141">
        <v>10.905227753120331</v>
      </c>
      <c r="CT141">
        <v>4.7074646940147948</v>
      </c>
      <c r="CU141" s="8">
        <v>-1.7055661976337434E-2</v>
      </c>
      <c r="CV141" s="9">
        <v>4.49155867099762E-3</v>
      </c>
      <c r="CW141">
        <v>0.06</v>
      </c>
      <c r="CX141">
        <v>33.757248091603053</v>
      </c>
      <c r="CY141" t="s">
        <v>5132</v>
      </c>
      <c r="CZ141">
        <v>-1.7055661976337434E-2</v>
      </c>
      <c r="DA141">
        <v>11.25241603053435</v>
      </c>
      <c r="DB141" t="s">
        <v>5133</v>
      </c>
      <c r="DC141">
        <v>-1.620287887752056E-2</v>
      </c>
      <c r="DD141">
        <v>5.6262080152671752</v>
      </c>
      <c r="DE141" t="s">
        <v>5134</v>
      </c>
      <c r="DF141">
        <v>-1.5008982539176942E-2</v>
      </c>
      <c r="DG141">
        <v>3.3757248091603054</v>
      </c>
      <c r="DH141" t="s">
        <v>5135</v>
      </c>
      <c r="DI141">
        <v>-1.3644529581069948E-2</v>
      </c>
      <c r="DJ141">
        <v>1.6878624045801527</v>
      </c>
      <c r="DK141" t="s">
        <v>5136</v>
      </c>
      <c r="DL141">
        <v>-1.1938963383436203E-2</v>
      </c>
      <c r="DM141">
        <v>131000000</v>
      </c>
      <c r="DN141">
        <v>-1.7055661976337434E-2</v>
      </c>
      <c r="DO141">
        <v>4422199500</v>
      </c>
      <c r="DP141">
        <v>2249143200</v>
      </c>
      <c r="DQ141">
        <v>4448</v>
      </c>
      <c r="DR141">
        <v>1.6628889953096706</v>
      </c>
      <c r="DS141">
        <v>0.18580989039735216</v>
      </c>
      <c r="DT141" s="10">
        <v>-0.49</v>
      </c>
      <c r="DU141">
        <v>-5.000000000000001E-2</v>
      </c>
      <c r="DV141">
        <v>-0.54</v>
      </c>
      <c r="DW141">
        <v>-2.1335000000000002</v>
      </c>
      <c r="DX141">
        <v>0.37263067712528242</v>
      </c>
      <c r="DY141">
        <v>-2.0310561953962254</v>
      </c>
      <c r="DZ141">
        <v>2316</v>
      </c>
      <c r="EA141">
        <v>-2.0169806281677207</v>
      </c>
      <c r="EB141">
        <v>2</v>
      </c>
      <c r="EC141">
        <v>2.9736068619719447E-2</v>
      </c>
      <c r="ED141">
        <v>0.12782522488942913</v>
      </c>
      <c r="EE141" s="11">
        <v>1.0762</v>
      </c>
      <c r="EF141">
        <v>1.0582</v>
      </c>
      <c r="EG141">
        <v>14.232630677125282</v>
      </c>
      <c r="EH141" t="s">
        <v>1178</v>
      </c>
      <c r="EI141">
        <v>0</v>
      </c>
      <c r="EJ141">
        <v>0</v>
      </c>
      <c r="EK141" s="12">
        <v>45470</v>
      </c>
      <c r="EL141">
        <v>0.43</v>
      </c>
      <c r="EM141">
        <v>-4.95</v>
      </c>
      <c r="EN141">
        <v>5.0199999999999996</v>
      </c>
      <c r="EO141">
        <v>-1.1000000000000001</v>
      </c>
      <c r="EP141">
        <v>-1.8</v>
      </c>
    </row>
    <row r="142" spans="1:146" ht="96" x14ac:dyDescent="0.25">
      <c r="A142" s="6"/>
      <c r="B142" s="6"/>
      <c r="C142" s="6" t="str">
        <f>""&amp;CHAR(10)&amp;Basic_Fundamental_Information_Constructure(F142)&amp;CHAR(10)&amp;Basic_Fundamental_Information_Concatenate("")</f>
        <v xml:space="preserve">
市值34.585348亿, 利润6.06亿; PE50.91; 平均PE13.13; 平均PEG.26, PB1.74; ROIC9.0367%; ROE10.4867%; 股利率.7042%; 毛利25.29%; 净利12.84%; 上一年度营收增191.34%, 利润增72.16%; 当季营收增-74.14%, 利润增-96.44%; 过往5年营收增51.06%, 利润增37.37%
Income profile:
</v>
      </c>
      <c r="D142" t="s">
        <v>1035</v>
      </c>
      <c r="E142" t="s">
        <v>1036</v>
      </c>
      <c r="F142">
        <v>5.68</v>
      </c>
      <c r="G142">
        <v>1.97</v>
      </c>
      <c r="H142" t="s">
        <v>5137</v>
      </c>
      <c r="I142">
        <v>3458534800</v>
      </c>
      <c r="J142">
        <v>50.91</v>
      </c>
      <c r="K142">
        <v>1.74</v>
      </c>
      <c r="L142" t="s">
        <v>428</v>
      </c>
      <c r="M142" t="s">
        <v>1332</v>
      </c>
      <c r="N142" t="s">
        <v>5138</v>
      </c>
      <c r="O142" t="s">
        <v>1315</v>
      </c>
      <c r="P142">
        <v>18.02</v>
      </c>
      <c r="Q142" t="s">
        <v>5139</v>
      </c>
      <c r="R142">
        <v>7075145</v>
      </c>
      <c r="S142" s="4">
        <v>0.71950000000000003</v>
      </c>
      <c r="T142" t="s">
        <v>412</v>
      </c>
      <c r="U142">
        <v>606211820</v>
      </c>
      <c r="V142">
        <v>608896980</v>
      </c>
      <c r="W142">
        <v>1.54</v>
      </c>
      <c r="X142">
        <v>0.12</v>
      </c>
      <c r="Y142">
        <v>1.88</v>
      </c>
      <c r="Z142" t="s">
        <v>1315</v>
      </c>
      <c r="AA142" t="s">
        <v>734</v>
      </c>
      <c r="AB142" t="s">
        <v>5140</v>
      </c>
      <c r="AC142" t="s">
        <v>5141</v>
      </c>
      <c r="AD142" t="s">
        <v>5</v>
      </c>
      <c r="AE142">
        <v>4193453</v>
      </c>
      <c r="AF142" t="s">
        <v>3206</v>
      </c>
      <c r="AG142" t="s">
        <v>5142</v>
      </c>
      <c r="AH142" t="s">
        <v>3207</v>
      </c>
      <c r="AI142" t="s">
        <v>198</v>
      </c>
      <c r="AJ142" t="s">
        <v>3208</v>
      </c>
      <c r="AK142" t="s">
        <v>5143</v>
      </c>
      <c r="AL142" t="s">
        <v>3209</v>
      </c>
      <c r="AM142" t="s">
        <v>5</v>
      </c>
      <c r="AN142" t="s">
        <v>198</v>
      </c>
      <c r="AO142" t="s">
        <v>5</v>
      </c>
      <c r="AP142" t="s">
        <v>5144</v>
      </c>
      <c r="AQ142" t="s">
        <v>250</v>
      </c>
      <c r="AR142" t="s">
        <v>5</v>
      </c>
      <c r="AS142" t="s">
        <v>247</v>
      </c>
      <c r="AT142" t="s">
        <v>435</v>
      </c>
      <c r="AU142" t="s">
        <v>5145</v>
      </c>
      <c r="AV142" t="s">
        <v>5146</v>
      </c>
      <c r="AW142" t="s">
        <v>48</v>
      </c>
      <c r="AX142" t="s">
        <v>1908</v>
      </c>
      <c r="AY142" t="s">
        <v>870</v>
      </c>
      <c r="AZ142" t="s">
        <v>534</v>
      </c>
      <c r="BA142" t="s">
        <v>362</v>
      </c>
      <c r="BB142" t="s">
        <v>585</v>
      </c>
      <c r="BC142" t="s">
        <v>88</v>
      </c>
      <c r="BD142" t="s">
        <v>227</v>
      </c>
      <c r="BE142" t="s">
        <v>43</v>
      </c>
      <c r="BF142" t="s">
        <v>66</v>
      </c>
      <c r="BG142" t="s">
        <v>93</v>
      </c>
      <c r="BH142" t="s">
        <v>2692</v>
      </c>
      <c r="BI142" t="s">
        <v>5147</v>
      </c>
      <c r="BJ142" t="s">
        <v>1908</v>
      </c>
      <c r="BK142" t="s">
        <v>3204</v>
      </c>
      <c r="BL142" t="s">
        <v>308</v>
      </c>
      <c r="BM142" t="s">
        <v>88</v>
      </c>
      <c r="BN142">
        <v>2.27</v>
      </c>
      <c r="BO142">
        <v>15.95</v>
      </c>
      <c r="BP142">
        <v>8.89</v>
      </c>
      <c r="BQ142">
        <v>2.6</v>
      </c>
      <c r="BR142">
        <v>19.02</v>
      </c>
      <c r="BS142">
        <v>9.84</v>
      </c>
      <c r="BT142" t="s">
        <v>1723</v>
      </c>
      <c r="BU142" t="s">
        <v>1520</v>
      </c>
      <c r="BV142">
        <v>15.17</v>
      </c>
      <c r="BW142">
        <v>33.89</v>
      </c>
      <c r="BX142">
        <v>26.81</v>
      </c>
      <c r="BY142">
        <v>4.6900000000000004</v>
      </c>
      <c r="BZ142">
        <v>20.76</v>
      </c>
      <c r="CA142">
        <v>13.07</v>
      </c>
      <c r="CB142">
        <v>-2.2400000000000002</v>
      </c>
      <c r="CC142">
        <v>-18.62</v>
      </c>
      <c r="CD142" t="s">
        <v>5148</v>
      </c>
      <c r="CE142" t="s">
        <v>56</v>
      </c>
      <c r="CF142" s="8">
        <v>-0.74142661179698222</v>
      </c>
      <c r="CG142" s="9">
        <v>-0.96444650753768846</v>
      </c>
      <c r="CH142" s="8">
        <v>1.913427472114563</v>
      </c>
      <c r="CI142" s="8">
        <v>0.32346057891845703</v>
      </c>
      <c r="CJ142" s="8">
        <v>0.43032336235046387</v>
      </c>
      <c r="CK142" s="8">
        <v>-0.11538461595773697</v>
      </c>
      <c r="CL142" s="8">
        <v>9.8716688808053732E-4</v>
      </c>
      <c r="CM142" s="9">
        <v>0.72159093618392944</v>
      </c>
      <c r="CN142" s="9">
        <v>1.0952380895614624</v>
      </c>
      <c r="CO142" s="9">
        <v>0.36585366725921631</v>
      </c>
      <c r="CP142" s="9">
        <v>-0.21656051278114319</v>
      </c>
      <c r="CQ142" s="9">
        <v>-9.7701147198677063E-2</v>
      </c>
      <c r="CR142">
        <v>13.133676455696202</v>
      </c>
      <c r="CS142">
        <v>0.25723920033527414</v>
      </c>
      <c r="CT142">
        <v>0.70422535211267612</v>
      </c>
      <c r="CU142" s="8">
        <v>0.51056279286276551</v>
      </c>
      <c r="CV142" s="9">
        <v>0.3736842066049576</v>
      </c>
      <c r="CW142">
        <v>0.06</v>
      </c>
      <c r="CX142">
        <v>2.8619443695385289</v>
      </c>
      <c r="CY142">
        <v>863585898.56116593</v>
      </c>
      <c r="CZ142">
        <v>0.51056279286276551</v>
      </c>
      <c r="DA142">
        <v>0.66712542641049577</v>
      </c>
      <c r="DB142">
        <v>3704752812.8229589</v>
      </c>
      <c r="DC142">
        <v>0.48503465321962719</v>
      </c>
      <c r="DD142">
        <v>0.19799922827719518</v>
      </c>
      <c r="DE142">
        <v>12482547641.750896</v>
      </c>
      <c r="DF142">
        <v>0.44929525771923368</v>
      </c>
      <c r="DG142">
        <v>6.2462999162327032E-2</v>
      </c>
      <c r="DH142">
        <v>39567981575.413101</v>
      </c>
      <c r="DI142">
        <v>0.40845023429021243</v>
      </c>
      <c r="DJ142">
        <v>6.4005782572198249E-3</v>
      </c>
      <c r="DK142">
        <v>386142423493.0835</v>
      </c>
      <c r="DL142">
        <v>0.35739395500393584</v>
      </c>
      <c r="DM142">
        <v>606000000</v>
      </c>
      <c r="DN142">
        <v>0.51056279286276551</v>
      </c>
      <c r="DO142">
        <v>2471534800</v>
      </c>
      <c r="DP142">
        <v>839348760</v>
      </c>
      <c r="DQ142">
        <v>4517</v>
      </c>
      <c r="DR142">
        <v>-1.2519894046597477</v>
      </c>
      <c r="DS142">
        <v>-1.3381307141426459</v>
      </c>
      <c r="DT142" s="10">
        <v>0.14333333333333331</v>
      </c>
      <c r="DU142">
        <v>0.21000000000000005</v>
      </c>
      <c r="DV142">
        <v>0.35333333333333339</v>
      </c>
      <c r="DW142">
        <v>-3.0296309523809524</v>
      </c>
      <c r="DX142">
        <v>0.44054076923076851</v>
      </c>
      <c r="DY142">
        <v>-3.0029791187454213</v>
      </c>
      <c r="DZ142">
        <v>1719</v>
      </c>
      <c r="EA142">
        <v>-3.0019769455314527</v>
      </c>
      <c r="EB142">
        <v>3</v>
      </c>
      <c r="EC142">
        <v>2.1465535926947773E-2</v>
      </c>
      <c r="ED142">
        <v>0.21350081256766951</v>
      </c>
      <c r="EE142" s="11">
        <v>1.0153099999999999</v>
      </c>
      <c r="EF142">
        <v>1.0101100000000001</v>
      </c>
      <c r="EG142">
        <v>34.100540769230768</v>
      </c>
      <c r="EH142" t="s">
        <v>1693</v>
      </c>
      <c r="EI142">
        <v>0</v>
      </c>
      <c r="EJ142">
        <v>0</v>
      </c>
      <c r="EK142" s="12">
        <v>45470</v>
      </c>
      <c r="EL142">
        <v>2.41</v>
      </c>
      <c r="EM142">
        <v>-0.96</v>
      </c>
      <c r="EN142">
        <v>1.56</v>
      </c>
      <c r="EO142">
        <v>-0.95</v>
      </c>
      <c r="EP142">
        <v>0.52</v>
      </c>
    </row>
    <row r="143" spans="1:146" ht="96" x14ac:dyDescent="0.25">
      <c r="A143" s="6"/>
      <c r="B143" s="6"/>
      <c r="C143" s="6" t="str">
        <f>""&amp;CHAR(10)&amp;Basic_Fundamental_Information_Constructure(F143)&amp;CHAR(10)&amp;Basic_Fundamental_Information_Concatenate("")</f>
        <v xml:space="preserve">
市值33.065576亿, 利润7014.62万; PE38.36; 平均PE12.19; 平均PEG.37, PB1.5; ROIC23.8733%; ROE25.2967%; 股利率.9479%; 毛利33.3567%; 净利24.3733%; 上一年度营收增9.45%, 利润增-89.02%; 当季营收增-39.91%, 利润增77.15%; 过往5年营收增32.52%, 利润增49.17%
Income profile:
</v>
      </c>
      <c r="D143" t="s">
        <v>1038</v>
      </c>
      <c r="E143" t="s">
        <v>1039</v>
      </c>
      <c r="F143">
        <v>10.55</v>
      </c>
      <c r="G143">
        <v>1.44</v>
      </c>
      <c r="H143" t="s">
        <v>5149</v>
      </c>
      <c r="I143">
        <v>3306557600</v>
      </c>
      <c r="J143">
        <v>38.36</v>
      </c>
      <c r="K143">
        <v>1.5</v>
      </c>
      <c r="L143" t="s">
        <v>428</v>
      </c>
      <c r="M143" t="s">
        <v>1641</v>
      </c>
      <c r="N143" t="s">
        <v>5150</v>
      </c>
      <c r="O143" t="s">
        <v>113</v>
      </c>
      <c r="P143">
        <v>-3.31</v>
      </c>
      <c r="Q143" t="s">
        <v>2198</v>
      </c>
      <c r="R143">
        <v>25646684</v>
      </c>
      <c r="S143" s="4">
        <v>-0.3695</v>
      </c>
      <c r="T143" t="s">
        <v>5151</v>
      </c>
      <c r="U143">
        <v>311877670</v>
      </c>
      <c r="V143">
        <v>313417780</v>
      </c>
      <c r="W143">
        <v>1.48</v>
      </c>
      <c r="X143">
        <v>0.09</v>
      </c>
      <c r="Y143">
        <v>9.35</v>
      </c>
      <c r="Z143" t="s">
        <v>156</v>
      </c>
      <c r="AA143" t="s">
        <v>1221</v>
      </c>
      <c r="AB143" t="s">
        <v>5152</v>
      </c>
      <c r="AC143" t="s">
        <v>5153</v>
      </c>
      <c r="AD143" t="s">
        <v>5</v>
      </c>
      <c r="AE143">
        <v>-8743377</v>
      </c>
      <c r="AF143" t="s">
        <v>3210</v>
      </c>
      <c r="AG143" t="s">
        <v>5154</v>
      </c>
      <c r="AH143" t="s">
        <v>3211</v>
      </c>
      <c r="AI143" t="s">
        <v>2741</v>
      </c>
      <c r="AJ143" t="s">
        <v>3212</v>
      </c>
      <c r="AK143" t="s">
        <v>164</v>
      </c>
      <c r="AL143" t="s">
        <v>3213</v>
      </c>
      <c r="AM143" t="s">
        <v>5</v>
      </c>
      <c r="AN143" t="s">
        <v>215</v>
      </c>
      <c r="AO143" t="s">
        <v>5155</v>
      </c>
      <c r="AP143" t="s">
        <v>195</v>
      </c>
      <c r="AQ143" t="s">
        <v>1127</v>
      </c>
      <c r="AR143" t="s">
        <v>5</v>
      </c>
      <c r="AS143" t="s">
        <v>2111</v>
      </c>
      <c r="AT143" t="s">
        <v>407</v>
      </c>
      <c r="AU143" t="s">
        <v>5156</v>
      </c>
      <c r="AV143" t="s">
        <v>4632</v>
      </c>
      <c r="AW143" t="s">
        <v>148</v>
      </c>
      <c r="AX143" t="s">
        <v>1909</v>
      </c>
      <c r="AY143" t="s">
        <v>1461</v>
      </c>
      <c r="AZ143" t="s">
        <v>1425</v>
      </c>
      <c r="BA143" t="s">
        <v>599</v>
      </c>
      <c r="BB143" t="s">
        <v>196</v>
      </c>
      <c r="BC143" t="s">
        <v>1074</v>
      </c>
      <c r="BD143" t="s">
        <v>674</v>
      </c>
      <c r="BE143" t="s">
        <v>26</v>
      </c>
      <c r="BF143" t="s">
        <v>29</v>
      </c>
      <c r="BG143" t="s">
        <v>271</v>
      </c>
      <c r="BH143" t="s">
        <v>1559</v>
      </c>
      <c r="BI143" t="s">
        <v>2095</v>
      </c>
      <c r="BJ143" t="s">
        <v>1909</v>
      </c>
      <c r="BK143" t="s">
        <v>103</v>
      </c>
      <c r="BL143" t="s">
        <v>5157</v>
      </c>
      <c r="BM143" t="s">
        <v>1074</v>
      </c>
      <c r="BN143">
        <v>2.3199999999999998</v>
      </c>
      <c r="BO143">
        <v>31.84</v>
      </c>
      <c r="BP143">
        <v>37.46</v>
      </c>
      <c r="BQ143">
        <v>3.46</v>
      </c>
      <c r="BR143">
        <v>33.549999999999997</v>
      </c>
      <c r="BS143">
        <v>38.880000000000003</v>
      </c>
      <c r="BT143" t="s">
        <v>3214</v>
      </c>
      <c r="BU143" t="s">
        <v>1520</v>
      </c>
      <c r="BV143">
        <v>15.15</v>
      </c>
      <c r="BW143">
        <v>42.36</v>
      </c>
      <c r="BX143">
        <v>42.56</v>
      </c>
      <c r="BY143">
        <v>8.68</v>
      </c>
      <c r="BZ143">
        <v>32.81</v>
      </c>
      <c r="CA143">
        <v>31.63</v>
      </c>
      <c r="CB143">
        <v>-1.86</v>
      </c>
      <c r="CC143">
        <v>-16</v>
      </c>
      <c r="CD143" t="s">
        <v>5158</v>
      </c>
      <c r="CE143" t="s">
        <v>5159</v>
      </c>
      <c r="CF143" s="8">
        <v>-0.39912280701754377</v>
      </c>
      <c r="CG143" s="9">
        <v>0.77153463055446192</v>
      </c>
      <c r="CH143" s="8">
        <v>9.4504296779632568E-2</v>
      </c>
      <c r="CI143" s="8">
        <v>0.14731888473033905</v>
      </c>
      <c r="CJ143" s="8">
        <v>1.2747988700866699</v>
      </c>
      <c r="CK143" s="8">
        <v>8.1159420311450958E-2</v>
      </c>
      <c r="CL143" s="8">
        <v>2.8315946459770203E-2</v>
      </c>
      <c r="CM143" s="9">
        <v>-0.89022505283355713</v>
      </c>
      <c r="CN143" s="9">
        <v>0.18994413316249847</v>
      </c>
      <c r="CO143" s="9">
        <v>3.1953125</v>
      </c>
      <c r="CP143" s="9">
        <v>7.5630255043506622E-2</v>
      </c>
      <c r="CQ143" s="9">
        <v>-0.11194030195474625</v>
      </c>
      <c r="CR143">
        <v>12.192724661127563</v>
      </c>
      <c r="CS143">
        <v>0.37490757083193627</v>
      </c>
      <c r="CT143">
        <v>0.94786729857819896</v>
      </c>
      <c r="CU143" s="8">
        <v>0.32521948367357256</v>
      </c>
      <c r="CV143" s="9">
        <v>0.49174430668354036</v>
      </c>
      <c r="CW143">
        <v>0.06</v>
      </c>
      <c r="CX143">
        <v>23.530464456341146</v>
      </c>
      <c r="CY143">
        <v>87697274.477040708</v>
      </c>
      <c r="CZ143">
        <v>0.32521948367357256</v>
      </c>
      <c r="DA143">
        <v>6.3362469602548908</v>
      </c>
      <c r="DB143">
        <v>325675058.58657193</v>
      </c>
      <c r="DC143">
        <v>0.3089585094898939</v>
      </c>
      <c r="DD143">
        <v>2.3606623567601432</v>
      </c>
      <c r="DE143">
        <v>874143476.76221669</v>
      </c>
      <c r="DF143">
        <v>0.28619314563274384</v>
      </c>
      <c r="DG143">
        <v>1.0071809468454453</v>
      </c>
      <c r="DH143">
        <v>2048844953.2958238</v>
      </c>
      <c r="DI143">
        <v>0.26017558693885806</v>
      </c>
      <c r="DJ143">
        <v>0.22501835875076565</v>
      </c>
      <c r="DK143">
        <v>9170618839.5304813</v>
      </c>
      <c r="DL143">
        <v>0.22765363857150078</v>
      </c>
      <c r="DM143">
        <v>70146200</v>
      </c>
      <c r="DN143">
        <v>0.32521948367357256</v>
      </c>
      <c r="DO143">
        <v>2063557600</v>
      </c>
      <c r="DP143">
        <v>1176014000</v>
      </c>
      <c r="DQ143">
        <v>4526</v>
      </c>
      <c r="DR143">
        <v>-0.72434229069111633</v>
      </c>
      <c r="DS143">
        <v>0.27979032387092156</v>
      </c>
      <c r="DT143" s="10">
        <v>-0.17333333333333334</v>
      </c>
      <c r="DU143">
        <v>0.63833333333333342</v>
      </c>
      <c r="DV143">
        <v>0.46500000000000008</v>
      </c>
      <c r="DW143">
        <v>-3</v>
      </c>
      <c r="DX143">
        <v>0.31526920829647209</v>
      </c>
      <c r="DY143">
        <v>-3</v>
      </c>
      <c r="DZ143">
        <v>1749</v>
      </c>
      <c r="EA143">
        <v>-3</v>
      </c>
      <c r="EB143">
        <v>3</v>
      </c>
      <c r="EC143">
        <v>2.0468845130611289E-2</v>
      </c>
      <c r="ED143">
        <v>0.27194181517079213</v>
      </c>
      <c r="EE143" s="11">
        <v>1.05491</v>
      </c>
      <c r="EF143">
        <v>1.0706100000000001</v>
      </c>
      <c r="EG143">
        <v>24.075269208296472</v>
      </c>
      <c r="EH143" t="s">
        <v>1693</v>
      </c>
      <c r="EI143">
        <v>0</v>
      </c>
      <c r="EJ143">
        <v>0</v>
      </c>
      <c r="EK143" s="12">
        <v>45470</v>
      </c>
      <c r="EL143">
        <v>-1.63</v>
      </c>
      <c r="EM143">
        <v>-4.96</v>
      </c>
      <c r="EN143">
        <v>-0.5</v>
      </c>
      <c r="EO143">
        <v>5.83</v>
      </c>
      <c r="EP143">
        <v>-1.57</v>
      </c>
    </row>
    <row r="144" spans="1:146" ht="96" x14ac:dyDescent="0.25">
      <c r="A144" s="6"/>
      <c r="B144" s="6"/>
      <c r="C144" s="6" t="str">
        <f>""&amp;CHAR(10)&amp;Basic_Fundamental_Information_Constructure(F144)&amp;CHAR(10)&amp;Basic_Fundamental_Information_Concatenate("")</f>
        <v xml:space="preserve">
市值19.840992亿, 利润-3468.63万; PE68.64; 平均PE13.82; 平均PEG.32, PB.982; ROIC4.4067%; ROE6.6733%; 股利率.8065%; 毛利19.7833%; 净利6.41%; 上一年度营收增171.46%, 利润增-179.12%; 当季营收增-68.21%, 利润增79.16%; 过往5年营收增43.46%, 利润增-54.88%
Income profile:
</v>
      </c>
      <c r="D144" t="s">
        <v>1040</v>
      </c>
      <c r="E144" t="s">
        <v>1041</v>
      </c>
      <c r="F144">
        <v>14.88</v>
      </c>
      <c r="G144">
        <v>0.61</v>
      </c>
      <c r="H144" t="s">
        <v>5160</v>
      </c>
      <c r="I144">
        <v>1984099200</v>
      </c>
      <c r="J144">
        <v>68.64</v>
      </c>
      <c r="K144">
        <v>0.98199999999999998</v>
      </c>
      <c r="L144" t="s">
        <v>428</v>
      </c>
      <c r="M144" t="s">
        <v>991</v>
      </c>
      <c r="N144" t="s">
        <v>5161</v>
      </c>
      <c r="O144" t="s">
        <v>406</v>
      </c>
      <c r="P144">
        <v>-2.21</v>
      </c>
      <c r="Q144" t="s">
        <v>1567</v>
      </c>
      <c r="R144">
        <v>15103618</v>
      </c>
      <c r="S144" s="4">
        <v>8.9300000000000004E-3</v>
      </c>
      <c r="T144" t="s">
        <v>5162</v>
      </c>
      <c r="U144">
        <v>62287972</v>
      </c>
      <c r="V144">
        <v>133340000</v>
      </c>
      <c r="W144">
        <v>1.26</v>
      </c>
      <c r="X144">
        <v>0.08</v>
      </c>
      <c r="Y144">
        <v>5.36</v>
      </c>
      <c r="Z144" t="s">
        <v>439</v>
      </c>
      <c r="AA144" t="s">
        <v>90</v>
      </c>
      <c r="AB144" t="s">
        <v>5163</v>
      </c>
      <c r="AC144" t="s">
        <v>5164</v>
      </c>
      <c r="AD144" t="s">
        <v>5</v>
      </c>
      <c r="AE144">
        <v>-7561525</v>
      </c>
      <c r="AF144" t="s">
        <v>3218</v>
      </c>
      <c r="AG144" t="s">
        <v>5165</v>
      </c>
      <c r="AH144" t="s">
        <v>3219</v>
      </c>
      <c r="AI144" t="s">
        <v>5166</v>
      </c>
      <c r="AJ144" t="s">
        <v>3220</v>
      </c>
      <c r="AK144" t="s">
        <v>5</v>
      </c>
      <c r="AL144" t="s">
        <v>3221</v>
      </c>
      <c r="AM144" t="s">
        <v>5</v>
      </c>
      <c r="AN144" t="s">
        <v>5167</v>
      </c>
      <c r="AO144" t="s">
        <v>25</v>
      </c>
      <c r="AP144" t="s">
        <v>29</v>
      </c>
      <c r="AQ144" t="s">
        <v>132</v>
      </c>
      <c r="AR144" t="s">
        <v>5</v>
      </c>
      <c r="AS144" t="s">
        <v>1236</v>
      </c>
      <c r="AT144" t="s">
        <v>5</v>
      </c>
      <c r="AU144" t="s">
        <v>5168</v>
      </c>
      <c r="AV144" t="s">
        <v>5169</v>
      </c>
      <c r="AW144" t="s">
        <v>1774</v>
      </c>
      <c r="AX144" t="s">
        <v>1635</v>
      </c>
      <c r="AY144" t="s">
        <v>1136</v>
      </c>
      <c r="AZ144" t="s">
        <v>1042</v>
      </c>
      <c r="BA144" t="s">
        <v>478</v>
      </c>
      <c r="BB144" t="s">
        <v>435</v>
      </c>
      <c r="BC144" t="s">
        <v>1910</v>
      </c>
      <c r="BD144" t="s">
        <v>212</v>
      </c>
      <c r="BE144" t="s">
        <v>172</v>
      </c>
      <c r="BF144" t="s">
        <v>140</v>
      </c>
      <c r="BG144" t="s">
        <v>195</v>
      </c>
      <c r="BH144" t="s">
        <v>3216</v>
      </c>
      <c r="BI144" t="s">
        <v>1899</v>
      </c>
      <c r="BJ144" t="s">
        <v>1635</v>
      </c>
      <c r="BK144" t="s">
        <v>3217</v>
      </c>
      <c r="BL144" t="s">
        <v>5170</v>
      </c>
      <c r="BM144" t="s">
        <v>1910</v>
      </c>
      <c r="BN144">
        <v>1.21</v>
      </c>
      <c r="BO144">
        <v>0.87</v>
      </c>
      <c r="BP144">
        <v>11.14</v>
      </c>
      <c r="BQ144">
        <v>2.44</v>
      </c>
      <c r="BR144">
        <v>2.19</v>
      </c>
      <c r="BS144">
        <v>15.39</v>
      </c>
      <c r="BT144" t="s">
        <v>2365</v>
      </c>
      <c r="BU144" t="s">
        <v>1518</v>
      </c>
      <c r="BV144">
        <v>15.98</v>
      </c>
      <c r="BW144">
        <v>16.829999999999998</v>
      </c>
      <c r="BX144">
        <v>26.54</v>
      </c>
      <c r="BY144">
        <v>1.66</v>
      </c>
      <c r="BZ144">
        <v>2.71</v>
      </c>
      <c r="CA144">
        <v>14.86</v>
      </c>
      <c r="CB144">
        <v>-2.2999999999999998</v>
      </c>
      <c r="CC144">
        <v>-17.059999999999999</v>
      </c>
      <c r="CD144" t="s">
        <v>5171</v>
      </c>
      <c r="CE144" t="s">
        <v>5172</v>
      </c>
      <c r="CF144" s="8">
        <v>-0.68214804063860668</v>
      </c>
      <c r="CG144" s="9">
        <v>0.79162975528166923</v>
      </c>
      <c r="CH144" s="8">
        <v>1.7145631313323975</v>
      </c>
      <c r="CI144" s="8">
        <v>-0.12785769999027252</v>
      </c>
      <c r="CJ144" s="8">
        <v>0.18336667120456696</v>
      </c>
      <c r="CK144" s="8">
        <v>-9.437386691570282E-2</v>
      </c>
      <c r="CL144" s="8">
        <v>0.49728259444236755</v>
      </c>
      <c r="CM144" s="9">
        <v>-1.7911550998687744</v>
      </c>
      <c r="CN144" s="9">
        <v>-0.74947082996368408</v>
      </c>
      <c r="CO144" s="9">
        <v>-9.3264251947402954E-2</v>
      </c>
      <c r="CP144" s="9">
        <v>-0.25193798542022705</v>
      </c>
      <c r="CQ144" s="9">
        <v>0.14159291982650757</v>
      </c>
      <c r="CR144">
        <v>13.823965753951983</v>
      </c>
      <c r="CS144">
        <v>0.31808761408827768</v>
      </c>
      <c r="CT144">
        <v>0.80645161290322576</v>
      </c>
      <c r="CU144" s="8">
        <v>0.43459616601467133</v>
      </c>
      <c r="CV144" s="9">
        <v>-0.54884704947471619</v>
      </c>
      <c r="CW144">
        <v>0.06</v>
      </c>
      <c r="CX144" t="e">
        <v>#VALUE!</v>
      </c>
      <c r="CY144" t="s">
        <v>1179</v>
      </c>
      <c r="CZ144">
        <v>0.43459616601467133</v>
      </c>
      <c r="DA144" t="e">
        <v>#VALUE!</v>
      </c>
      <c r="DB144" t="s">
        <v>1179</v>
      </c>
      <c r="DC144">
        <v>0.41286635771393776</v>
      </c>
      <c r="DD144" t="e">
        <v>#VALUE!</v>
      </c>
      <c r="DE144" t="s">
        <v>1179</v>
      </c>
      <c r="DF144">
        <v>0.38244462609291074</v>
      </c>
      <c r="DG144" t="e">
        <v>#VALUE!</v>
      </c>
      <c r="DH144" t="s">
        <v>1179</v>
      </c>
      <c r="DI144">
        <v>0.34767693281173706</v>
      </c>
      <c r="DJ144" t="e">
        <v>#VALUE!</v>
      </c>
      <c r="DK144" t="s">
        <v>1179</v>
      </c>
      <c r="DL144">
        <v>0.30421731621026993</v>
      </c>
      <c r="DM144">
        <v>-34686300</v>
      </c>
      <c r="DN144">
        <v>0.43459616601467133</v>
      </c>
      <c r="DO144">
        <v>715099200</v>
      </c>
      <c r="DP144">
        <v>1454674700</v>
      </c>
      <c r="DQ144">
        <v>4532</v>
      </c>
      <c r="DR144">
        <v>-1.116744206653278</v>
      </c>
      <c r="DS144">
        <v>1.3404768047563853</v>
      </c>
      <c r="DT144" s="10">
        <v>0.12666666666666662</v>
      </c>
      <c r="DU144">
        <v>-0.94666666666666666</v>
      </c>
      <c r="DV144">
        <v>-0.82000000000000006</v>
      </c>
      <c r="DW144">
        <v>-3.0119880952380953</v>
      </c>
      <c r="DX144">
        <v>0.37270414296736276</v>
      </c>
      <c r="DY144">
        <v>-3.0015908699043825</v>
      </c>
      <c r="DZ144">
        <v>4209</v>
      </c>
      <c r="EA144">
        <v>-3.0002805036758997</v>
      </c>
      <c r="EB144">
        <v>3</v>
      </c>
      <c r="EC144">
        <v>2.2186890655467223E-2</v>
      </c>
      <c r="ED144">
        <v>0.1671906404679766</v>
      </c>
      <c r="EE144" s="11">
        <v>-1.0077100000000001</v>
      </c>
      <c r="EF144">
        <v>-1.0243100000000001</v>
      </c>
      <c r="EG144">
        <v>24.132704142967363</v>
      </c>
      <c r="EH144" t="s">
        <v>1691</v>
      </c>
      <c r="EI144">
        <v>0</v>
      </c>
      <c r="EJ144">
        <v>0</v>
      </c>
      <c r="EK144" s="12">
        <v>45470</v>
      </c>
      <c r="EL144">
        <v>0</v>
      </c>
      <c r="EM144">
        <v>-4.38</v>
      </c>
      <c r="EN144">
        <v>0.65</v>
      </c>
      <c r="EO144">
        <v>1.56</v>
      </c>
      <c r="EP144">
        <v>-1.66</v>
      </c>
    </row>
    <row r="145" spans="1:146" ht="409.5" x14ac:dyDescent="0.25">
      <c r="A145" s="6" t="s">
        <v>3317</v>
      </c>
      <c r="B145" s="6" t="s">
        <v>1478</v>
      </c>
      <c r="C145" s="6" t="str">
        <f>"公司从事新型生物基材料的研发、生产及销售。公司目前主要产品为生物法长链二元酸系列产品、生物基戊二、胺生物基聚酰胺。"&amp;CHAR(10)&amp;Basic_Fundamental_Information_Constructure(C145)&amp;CHAR(10)&amp;Basic_Fundamental_Information_Concatenate("长链二元酸系列 19.96亿 90.84% 99.09% 42.33%
生物基聚酰胺系列 1.53亿 6.94% 0.61% 3.42%
其他业务 4377.79万 1.99% 0.30% 5.80%")</f>
        <v>公司从事新型生物基材料的研发、生产及销售。公司目前主要产品为生物法长链二元酸系列产品、生物基戊二、胺生物基聚酰胺。
市值299.27293亿, 利润3.67亿; PE72.23; 平均PE61.54; 平均PEG8.81, PB2.66; ROIC2.42%; ROE4.3567%; 股利率.3704%; 毛利34.25%; 净利25.7%; 上一年度营收增-13.4%, 利润增-33.63%; 当季营收增35.64%, 利润增83.25%; 过往5年营收增6.99%, 利润增-2.48%
Income profile:
长链二元酸系列 19.96亿 90.84% 99.09% 42.33%
生物基聚酰胺系列 1.53亿 6.94% 0.61% 3.42%
其他业务 4377.79万 1.99% 0.30% 5.80%</v>
      </c>
      <c r="D145" t="s">
        <v>1043</v>
      </c>
      <c r="E145" t="s">
        <v>1044</v>
      </c>
      <c r="F145">
        <v>44.3</v>
      </c>
      <c r="G145">
        <v>1.84</v>
      </c>
      <c r="H145" t="s">
        <v>5173</v>
      </c>
      <c r="I145">
        <v>25843647000</v>
      </c>
      <c r="J145">
        <v>62.37</v>
      </c>
      <c r="K145">
        <v>2.2999999999999998</v>
      </c>
      <c r="L145" t="s">
        <v>428</v>
      </c>
      <c r="M145" t="s">
        <v>3222</v>
      </c>
      <c r="N145" t="s">
        <v>5174</v>
      </c>
      <c r="O145" t="s">
        <v>1754</v>
      </c>
      <c r="P145">
        <v>35.43</v>
      </c>
      <c r="Q145" t="s">
        <v>5175</v>
      </c>
      <c r="R145">
        <v>105258700</v>
      </c>
      <c r="S145" s="4">
        <v>0.83250000000000002</v>
      </c>
      <c r="T145" t="s">
        <v>5176</v>
      </c>
      <c r="U145">
        <v>583378040</v>
      </c>
      <c r="V145">
        <v>583378040</v>
      </c>
      <c r="W145">
        <v>1.25</v>
      </c>
      <c r="X145">
        <v>0.04</v>
      </c>
      <c r="Y145">
        <v>15.61</v>
      </c>
      <c r="Z145" t="s">
        <v>2041</v>
      </c>
      <c r="AA145" t="s">
        <v>2172</v>
      </c>
      <c r="AB145" t="s">
        <v>5177</v>
      </c>
      <c r="AC145" t="s">
        <v>5178</v>
      </c>
      <c r="AD145" t="s">
        <v>5</v>
      </c>
      <c r="AE145">
        <v>-37427458</v>
      </c>
      <c r="AF145" t="s">
        <v>3224</v>
      </c>
      <c r="AG145" t="s">
        <v>5179</v>
      </c>
      <c r="AH145" t="s">
        <v>3225</v>
      </c>
      <c r="AI145" t="s">
        <v>5180</v>
      </c>
      <c r="AJ145" t="s">
        <v>3226</v>
      </c>
      <c r="AK145" t="s">
        <v>5181</v>
      </c>
      <c r="AL145" t="s">
        <v>3227</v>
      </c>
      <c r="AM145" t="s">
        <v>5</v>
      </c>
      <c r="AN145" t="s">
        <v>5182</v>
      </c>
      <c r="AO145" t="s">
        <v>151</v>
      </c>
      <c r="AP145" t="s">
        <v>1732</v>
      </c>
      <c r="AQ145" t="s">
        <v>1858</v>
      </c>
      <c r="AR145" t="s">
        <v>5183</v>
      </c>
      <c r="AS145" t="s">
        <v>3376</v>
      </c>
      <c r="AT145" t="s">
        <v>2697</v>
      </c>
      <c r="AU145" t="s">
        <v>211</v>
      </c>
      <c r="AV145" t="s">
        <v>5184</v>
      </c>
      <c r="AW145" t="s">
        <v>5185</v>
      </c>
      <c r="AX145" t="s">
        <v>810</v>
      </c>
      <c r="AY145" t="s">
        <v>507</v>
      </c>
      <c r="AZ145" t="s">
        <v>1462</v>
      </c>
      <c r="BA145" t="s">
        <v>1045</v>
      </c>
      <c r="BB145" t="s">
        <v>956</v>
      </c>
      <c r="BC145" t="s">
        <v>352</v>
      </c>
      <c r="BD145" t="s">
        <v>1912</v>
      </c>
      <c r="BE145" t="s">
        <v>96</v>
      </c>
      <c r="BF145" t="s">
        <v>372</v>
      </c>
      <c r="BG145" t="s">
        <v>34</v>
      </c>
      <c r="BH145" t="s">
        <v>2144</v>
      </c>
      <c r="BI145" t="s">
        <v>349</v>
      </c>
      <c r="BJ145" t="s">
        <v>810</v>
      </c>
      <c r="BK145" t="s">
        <v>260</v>
      </c>
      <c r="BL145" t="s">
        <v>5186</v>
      </c>
      <c r="BM145" t="s">
        <v>352</v>
      </c>
      <c r="BN145">
        <v>1.05</v>
      </c>
      <c r="BO145">
        <v>2.67</v>
      </c>
      <c r="BP145">
        <v>3.53</v>
      </c>
      <c r="BQ145">
        <v>2.83</v>
      </c>
      <c r="BR145">
        <v>5.12</v>
      </c>
      <c r="BS145">
        <v>5.76</v>
      </c>
      <c r="BT145" t="s">
        <v>3228</v>
      </c>
      <c r="BU145" t="s">
        <v>1516</v>
      </c>
      <c r="BV145">
        <v>28.79</v>
      </c>
      <c r="BW145">
        <v>35.24</v>
      </c>
      <c r="BX145">
        <v>39.03</v>
      </c>
      <c r="BY145">
        <v>19.32</v>
      </c>
      <c r="BZ145">
        <v>25.1</v>
      </c>
      <c r="CA145">
        <v>29.43</v>
      </c>
      <c r="CB145">
        <v>-2.4</v>
      </c>
      <c r="CC145">
        <v>-9.35</v>
      </c>
      <c r="CD145" t="s">
        <v>5187</v>
      </c>
      <c r="CE145" t="s">
        <v>5188</v>
      </c>
      <c r="CF145" s="8">
        <v>1.490909090909091</v>
      </c>
      <c r="CG145" s="9">
        <v>2.1821201833285979</v>
      </c>
      <c r="CH145" s="8">
        <v>-0.254813551902771</v>
      </c>
      <c r="CI145" s="8">
        <v>3.3008832484483719E-2</v>
      </c>
      <c r="CJ145" s="8">
        <v>0.57849043607711792</v>
      </c>
      <c r="CK145" s="8">
        <v>-0.21868479251861572</v>
      </c>
      <c r="CL145" s="8">
        <v>9.0495198965072632E-2</v>
      </c>
      <c r="CM145" s="9">
        <v>-1.6763110160827637</v>
      </c>
      <c r="CN145" s="9">
        <v>-7.0588238537311554E-2</v>
      </c>
      <c r="CO145" s="9">
        <v>0.29912662506103516</v>
      </c>
      <c r="CP145" s="9">
        <v>-4.384133592247963E-2</v>
      </c>
      <c r="CQ145" s="9">
        <v>2.7896996587514877E-2</v>
      </c>
      <c r="CR145">
        <v>71.227322921451545</v>
      </c>
      <c r="CS145">
        <v>15.586111911542384</v>
      </c>
      <c r="CT145">
        <v>0.42889390519187359</v>
      </c>
      <c r="CU145" s="8">
        <v>4.5699224621057508E-2</v>
      </c>
      <c r="CV145" s="9">
        <v>-0.29274339377880099</v>
      </c>
      <c r="CW145">
        <v>0.06</v>
      </c>
      <c r="CX145" t="e">
        <v>#VALUE!</v>
      </c>
      <c r="CY145" t="s">
        <v>1179</v>
      </c>
      <c r="CZ145">
        <v>4.5699224621057508E-2</v>
      </c>
      <c r="DA145" t="e">
        <v>#VALUE!</v>
      </c>
      <c r="DB145" t="s">
        <v>1179</v>
      </c>
      <c r="DC145">
        <v>4.3414263390004627E-2</v>
      </c>
      <c r="DD145" t="e">
        <v>#VALUE!</v>
      </c>
      <c r="DE145" t="s">
        <v>1179</v>
      </c>
      <c r="DF145">
        <v>4.0215317666530609E-2</v>
      </c>
      <c r="DG145" t="e">
        <v>#VALUE!</v>
      </c>
      <c r="DH145" t="s">
        <v>1179</v>
      </c>
      <c r="DI145">
        <v>3.6559379696846007E-2</v>
      </c>
      <c r="DJ145" t="e">
        <v>#VALUE!</v>
      </c>
      <c r="DK145" t="s">
        <v>1179</v>
      </c>
      <c r="DL145">
        <v>3.1989457234740254E-2</v>
      </c>
      <c r="DM145">
        <v>-374000000</v>
      </c>
      <c r="DN145">
        <v>4.5699224621057508E-2</v>
      </c>
      <c r="DO145">
        <v>15039647000.000002</v>
      </c>
      <c r="DP145">
        <v>4397482600</v>
      </c>
      <c r="DQ145">
        <v>4595</v>
      </c>
      <c r="DR145">
        <v>1.4452098662880335</v>
      </c>
      <c r="DS145">
        <v>2.4748635771073988</v>
      </c>
      <c r="DT145" s="10">
        <v>-0.59</v>
      </c>
      <c r="DU145">
        <v>-0.83666666666666678</v>
      </c>
      <c r="DV145">
        <v>-1.4266666666666667</v>
      </c>
      <c r="DW145">
        <v>-2.0935000000000001</v>
      </c>
      <c r="DX145">
        <v>0.26871445425328677</v>
      </c>
      <c r="DY145">
        <v>-2.0092298014726819</v>
      </c>
      <c r="DZ145">
        <v>3534</v>
      </c>
      <c r="EA145">
        <v>-2.0028466080471521</v>
      </c>
      <c r="EB145">
        <v>2</v>
      </c>
      <c r="EC145">
        <v>9.9825492231418247E-3</v>
      </c>
      <c r="ED145">
        <v>0.10112550688400954</v>
      </c>
      <c r="EE145" s="11">
        <v>-3.0609999999999999</v>
      </c>
      <c r="EF145">
        <v>-3.0323000000000002</v>
      </c>
      <c r="EG145">
        <v>17.098714454253287</v>
      </c>
      <c r="EH145" t="s">
        <v>2100</v>
      </c>
      <c r="EI145">
        <v>0</v>
      </c>
      <c r="EJ145">
        <v>0</v>
      </c>
      <c r="EK145" s="12">
        <v>45470</v>
      </c>
      <c r="EL145">
        <v>-2.1</v>
      </c>
      <c r="EM145">
        <v>-6.53</v>
      </c>
      <c r="EN145">
        <v>0</v>
      </c>
      <c r="EO145">
        <v>3.67</v>
      </c>
      <c r="EP145">
        <v>-2.87</v>
      </c>
    </row>
    <row r="146" spans="1:146" ht="96" x14ac:dyDescent="0.25">
      <c r="A146" s="6"/>
      <c r="B146" s="6"/>
      <c r="C146" s="6" t="str">
        <f>""&amp;CHAR(10)&amp;Basic_Fundamental_Information_Constructure(F146)&amp;CHAR(10)&amp;Basic_Fundamental_Information_Concatenate("")</f>
        <v xml:space="preserve">
市值21.7792亿, 利润4923.86万; PE21.48; 平均PE22.2; 平均PEG.62, PB1.45; ROIC5.6867%; ROE6.1067%; 股利率1.5456%; 毛利44.8733%; 净利23.6867%; 上一年度营收增134.64%, 利润增-23.51%; 当季营收增-54.12%, 利润增135.36%; 过往5年营收增35.86%, 利润增-8.49%
Income profile:
</v>
      </c>
      <c r="D146" t="s">
        <v>1046</v>
      </c>
      <c r="E146" t="s">
        <v>1047</v>
      </c>
      <c r="F146">
        <v>12.94</v>
      </c>
      <c r="G146">
        <v>1.73</v>
      </c>
      <c r="H146" t="s">
        <v>5189</v>
      </c>
      <c r="I146">
        <v>2177920000</v>
      </c>
      <c r="J146">
        <v>21.48</v>
      </c>
      <c r="K146">
        <v>1.45</v>
      </c>
      <c r="L146" t="s">
        <v>428</v>
      </c>
      <c r="M146" t="s">
        <v>69</v>
      </c>
      <c r="N146" t="s">
        <v>273</v>
      </c>
      <c r="O146" t="s">
        <v>84</v>
      </c>
      <c r="P146">
        <v>33.340000000000003</v>
      </c>
      <c r="Q146" t="s">
        <v>658</v>
      </c>
      <c r="R146">
        <v>24312520</v>
      </c>
      <c r="S146" s="4">
        <v>0.69930000000000003</v>
      </c>
      <c r="T146" t="s">
        <v>5190</v>
      </c>
      <c r="U146">
        <v>168309120</v>
      </c>
      <c r="V146">
        <v>168309120</v>
      </c>
      <c r="W146">
        <v>1.07</v>
      </c>
      <c r="X146">
        <v>7.0000000000000007E-2</v>
      </c>
      <c r="Y146">
        <v>20.23</v>
      </c>
      <c r="Z146" t="s">
        <v>5191</v>
      </c>
      <c r="AA146" t="s">
        <v>5192</v>
      </c>
      <c r="AB146" t="s">
        <v>5193</v>
      </c>
      <c r="AC146" t="s">
        <v>5194</v>
      </c>
      <c r="AD146" t="s">
        <v>5</v>
      </c>
      <c r="AE146">
        <v>-542486</v>
      </c>
      <c r="AF146" t="s">
        <v>3230</v>
      </c>
      <c r="AG146" t="s">
        <v>5195</v>
      </c>
      <c r="AH146" t="s">
        <v>3231</v>
      </c>
      <c r="AI146" t="s">
        <v>205</v>
      </c>
      <c r="AJ146" t="s">
        <v>3232</v>
      </c>
      <c r="AK146" t="s">
        <v>5196</v>
      </c>
      <c r="AL146" t="s">
        <v>3233</v>
      </c>
      <c r="AM146" t="s">
        <v>5</v>
      </c>
      <c r="AN146" t="s">
        <v>359</v>
      </c>
      <c r="AO146" t="s">
        <v>5197</v>
      </c>
      <c r="AP146" t="s">
        <v>5</v>
      </c>
      <c r="AQ146" t="s">
        <v>5198</v>
      </c>
      <c r="AR146" t="s">
        <v>5</v>
      </c>
      <c r="AS146" t="s">
        <v>5199</v>
      </c>
      <c r="AT146" t="s">
        <v>5</v>
      </c>
      <c r="AU146" t="s">
        <v>5200</v>
      </c>
      <c r="AV146" t="s">
        <v>5201</v>
      </c>
      <c r="AW146" t="s">
        <v>5202</v>
      </c>
      <c r="AX146" t="s">
        <v>167</v>
      </c>
      <c r="AY146" t="s">
        <v>1298</v>
      </c>
      <c r="AZ146" t="s">
        <v>972</v>
      </c>
      <c r="BA146" t="s">
        <v>453</v>
      </c>
      <c r="BB146" t="s">
        <v>300</v>
      </c>
      <c r="BC146" t="s">
        <v>3234</v>
      </c>
      <c r="BD146" t="s">
        <v>38</v>
      </c>
      <c r="BE146" t="s">
        <v>54</v>
      </c>
      <c r="BF146" t="s">
        <v>69</v>
      </c>
      <c r="BG146" t="s">
        <v>1048</v>
      </c>
      <c r="BH146" t="s">
        <v>89</v>
      </c>
      <c r="BI146" t="s">
        <v>99</v>
      </c>
      <c r="BJ146" t="s">
        <v>167</v>
      </c>
      <c r="BK146" t="s">
        <v>3229</v>
      </c>
      <c r="BL146" t="s">
        <v>5203</v>
      </c>
      <c r="BM146" t="s">
        <v>3234</v>
      </c>
      <c r="BN146">
        <v>3.72</v>
      </c>
      <c r="BO146">
        <v>4.0599999999999996</v>
      </c>
      <c r="BP146">
        <v>9.2799999999999994</v>
      </c>
      <c r="BQ146">
        <v>4.18</v>
      </c>
      <c r="BR146">
        <v>4.6100000000000003</v>
      </c>
      <c r="BS146">
        <v>9.5299999999999994</v>
      </c>
      <c r="BT146" t="s">
        <v>1671</v>
      </c>
      <c r="BU146" t="s">
        <v>1534</v>
      </c>
      <c r="BV146">
        <v>42.4</v>
      </c>
      <c r="BW146">
        <v>42.14</v>
      </c>
      <c r="BX146">
        <v>50.08</v>
      </c>
      <c r="BY146">
        <v>19.46</v>
      </c>
      <c r="BZ146">
        <v>14.21</v>
      </c>
      <c r="CA146">
        <v>37.39</v>
      </c>
      <c r="CB146">
        <v>-2.27</v>
      </c>
      <c r="CC146">
        <v>-18</v>
      </c>
      <c r="CD146" t="s">
        <v>5204</v>
      </c>
      <c r="CE146" t="s">
        <v>5205</v>
      </c>
      <c r="CF146" s="8">
        <v>-0.54117647058823526</v>
      </c>
      <c r="CG146" s="9">
        <v>1.3536065208762911</v>
      </c>
      <c r="CH146" s="8">
        <v>1.3464202880859375</v>
      </c>
      <c r="CI146" s="8">
        <v>0.23361822962760925</v>
      </c>
      <c r="CJ146" s="8">
        <v>8.6687304079532623E-2</v>
      </c>
      <c r="CK146" s="8">
        <v>3.5256411880254745E-2</v>
      </c>
      <c r="CL146" s="8">
        <v>9.0909093618392944E-2</v>
      </c>
      <c r="CM146" s="9">
        <v>-0.23509171605110168</v>
      </c>
      <c r="CN146" s="9">
        <v>-0.50099301338195801</v>
      </c>
      <c r="CO146" s="9">
        <v>-1.5267175622284412E-2</v>
      </c>
      <c r="CP146" s="9">
        <v>0.11016949266195297</v>
      </c>
      <c r="CQ146" s="9">
        <v>0.2166704535484314</v>
      </c>
      <c r="CR146">
        <v>22.20115138299327</v>
      </c>
      <c r="CS146">
        <v>0.61914381103425487</v>
      </c>
      <c r="CT146">
        <v>1.545595054095827</v>
      </c>
      <c r="CU146" s="8">
        <v>0.35857826545834542</v>
      </c>
      <c r="CV146" s="9">
        <v>-8.4902391768991947E-2</v>
      </c>
      <c r="CW146">
        <v>0.06</v>
      </c>
      <c r="CX146">
        <v>12.326802671469681</v>
      </c>
      <c r="CY146">
        <v>63108011.114714421</v>
      </c>
      <c r="CZ146">
        <v>0.35857826545834542</v>
      </c>
      <c r="DA146">
        <v>3.2325028355780643</v>
      </c>
      <c r="DB146">
        <v>240655628.02851665</v>
      </c>
      <c r="DC146">
        <v>0.34064935218542813</v>
      </c>
      <c r="DD146">
        <v>1.1562259987537351</v>
      </c>
      <c r="DE146">
        <v>672809641.74694133</v>
      </c>
      <c r="DF146">
        <v>0.31554887360334399</v>
      </c>
      <c r="DG146">
        <v>0.46775439395516993</v>
      </c>
      <c r="DH146">
        <v>1663095013.223022</v>
      </c>
      <c r="DI146">
        <v>0.28686261236667637</v>
      </c>
      <c r="DJ146">
        <v>9.1085539580595898E-2</v>
      </c>
      <c r="DK146">
        <v>8540543357.1776476</v>
      </c>
      <c r="DL146">
        <v>0.25100478582084179</v>
      </c>
      <c r="DM146">
        <v>49238600</v>
      </c>
      <c r="DN146">
        <v>0.35857826545834542</v>
      </c>
      <c r="DO146">
        <v>777920000</v>
      </c>
      <c r="DP146">
        <v>600294300</v>
      </c>
      <c r="DQ146">
        <v>4617</v>
      </c>
      <c r="DR146">
        <v>-0.89975473604658074</v>
      </c>
      <c r="DS146">
        <v>1.438508912645283</v>
      </c>
      <c r="DT146" s="10">
        <v>4.33333333333333E-2</v>
      </c>
      <c r="DU146">
        <v>3.3333333333333357E-3</v>
      </c>
      <c r="DV146">
        <v>4.6666666666666634E-2</v>
      </c>
      <c r="DW146">
        <v>-3.0226190476190475</v>
      </c>
      <c r="DX146">
        <v>0.28738011557568244</v>
      </c>
      <c r="DY146">
        <v>-3.0033335978523072</v>
      </c>
      <c r="DZ146">
        <v>3723</v>
      </c>
      <c r="EA146">
        <v>-3.0009048337027693</v>
      </c>
      <c r="EB146">
        <v>3</v>
      </c>
      <c r="EC146">
        <v>8.2916481293467639E-2</v>
      </c>
      <c r="ED146">
        <v>0.56260290589125539</v>
      </c>
      <c r="EE146" s="11">
        <v>-1.1086</v>
      </c>
      <c r="EF146">
        <v>-1.1231</v>
      </c>
      <c r="EG146">
        <v>14.147380115575682</v>
      </c>
      <c r="EH146" t="s">
        <v>1692</v>
      </c>
      <c r="EI146">
        <v>0</v>
      </c>
      <c r="EJ146">
        <v>0</v>
      </c>
      <c r="EK146" s="12">
        <v>45470</v>
      </c>
      <c r="EL146">
        <v>0.8</v>
      </c>
      <c r="EM146">
        <v>-3.68</v>
      </c>
      <c r="EN146">
        <v>15.07</v>
      </c>
      <c r="EO146">
        <v>-7.0000000000000007E-2</v>
      </c>
      <c r="EP146">
        <v>1.45</v>
      </c>
    </row>
    <row r="147" spans="1:146" ht="96" x14ac:dyDescent="0.25">
      <c r="A147" s="6"/>
      <c r="B147" s="6"/>
      <c r="C147" s="6" t="str">
        <f>""&amp;CHAR(10)&amp;Basic_Fundamental_Information_Constructure(F147)&amp;CHAR(10)&amp;Basic_Fundamental_Information_Concatenate("")</f>
        <v xml:space="preserve">
市值14.577935亿, 利润-2035.10万; PE21.25; 平均PE26.23; 平均PEG1.69, PB1.75; ROIC5.38%; ROE5.7933%; 股利率1.6573%; 毛利36.01%; 净利11.48%; 上一年度营收增-67.77%, 利润增-194.78%; 当季营收增285.87%, 利润增574.27%; 过往5年营收增-15.51%, 利润增-50.31%
Income profile:
</v>
      </c>
      <c r="D147" t="s">
        <v>1049</v>
      </c>
      <c r="E147" t="s">
        <v>1050</v>
      </c>
      <c r="F147">
        <v>12.1</v>
      </c>
      <c r="G147">
        <v>0.25</v>
      </c>
      <c r="H147" t="s">
        <v>5206</v>
      </c>
      <c r="I147">
        <v>1457793500</v>
      </c>
      <c r="J147">
        <v>21.25</v>
      </c>
      <c r="K147">
        <v>1.75</v>
      </c>
      <c r="L147" t="s">
        <v>428</v>
      </c>
      <c r="M147" t="s">
        <v>368</v>
      </c>
      <c r="N147" t="s">
        <v>3823</v>
      </c>
      <c r="O147" t="s">
        <v>188</v>
      </c>
      <c r="P147">
        <v>35.58</v>
      </c>
      <c r="Q147" t="s">
        <v>37</v>
      </c>
      <c r="R147">
        <v>19982053</v>
      </c>
      <c r="S147" s="4">
        <v>5.548</v>
      </c>
      <c r="T147" t="s">
        <v>5207</v>
      </c>
      <c r="U147">
        <v>120478800</v>
      </c>
      <c r="V147">
        <v>120478800</v>
      </c>
      <c r="W147">
        <v>1.89</v>
      </c>
      <c r="X147">
        <v>7.0000000000000007E-2</v>
      </c>
      <c r="Y147">
        <v>17.7</v>
      </c>
      <c r="Z147" t="s">
        <v>103</v>
      </c>
      <c r="AA147" t="s">
        <v>5208</v>
      </c>
      <c r="AB147" t="s">
        <v>5209</v>
      </c>
      <c r="AC147" t="s">
        <v>5210</v>
      </c>
      <c r="AD147" t="s">
        <v>5</v>
      </c>
      <c r="AE147">
        <v>3048784</v>
      </c>
      <c r="AF147" t="s">
        <v>3236</v>
      </c>
      <c r="AG147" t="s">
        <v>5211</v>
      </c>
      <c r="AH147" t="s">
        <v>3237</v>
      </c>
      <c r="AI147" t="s">
        <v>389</v>
      </c>
      <c r="AJ147" t="s">
        <v>3238</v>
      </c>
      <c r="AK147" t="s">
        <v>5212</v>
      </c>
      <c r="AL147" t="s">
        <v>3239</v>
      </c>
      <c r="AM147" t="s">
        <v>5</v>
      </c>
      <c r="AN147" t="s">
        <v>5213</v>
      </c>
      <c r="AO147" t="s">
        <v>713</v>
      </c>
      <c r="AP147" t="s">
        <v>5</v>
      </c>
      <c r="AQ147" t="s">
        <v>5214</v>
      </c>
      <c r="AR147" t="s">
        <v>5</v>
      </c>
      <c r="AS147" t="s">
        <v>4870</v>
      </c>
      <c r="AT147" t="s">
        <v>5</v>
      </c>
      <c r="AU147" t="s">
        <v>5215</v>
      </c>
      <c r="AV147" t="s">
        <v>5216</v>
      </c>
      <c r="AW147" t="s">
        <v>5217</v>
      </c>
      <c r="AX147" t="s">
        <v>1285</v>
      </c>
      <c r="AY147" t="s">
        <v>515</v>
      </c>
      <c r="AZ147" t="s">
        <v>570</v>
      </c>
      <c r="BA147" t="s">
        <v>131</v>
      </c>
      <c r="BB147" t="s">
        <v>96</v>
      </c>
      <c r="BC147" t="s">
        <v>3240</v>
      </c>
      <c r="BD147" t="s">
        <v>1464</v>
      </c>
      <c r="BE147" t="s">
        <v>1465</v>
      </c>
      <c r="BF147" t="s">
        <v>1051</v>
      </c>
      <c r="BG147" t="s">
        <v>1052</v>
      </c>
      <c r="BH147" t="s">
        <v>589</v>
      </c>
      <c r="BI147" t="s">
        <v>5218</v>
      </c>
      <c r="BJ147" t="s">
        <v>1285</v>
      </c>
      <c r="BK147" t="s">
        <v>3235</v>
      </c>
      <c r="BL147" t="s">
        <v>5219</v>
      </c>
      <c r="BM147" t="s">
        <v>3240</v>
      </c>
      <c r="BN147">
        <v>2.68</v>
      </c>
      <c r="BO147">
        <v>2.37</v>
      </c>
      <c r="BP147">
        <v>11.09</v>
      </c>
      <c r="BQ147">
        <v>3.37</v>
      </c>
      <c r="BR147">
        <v>2.5299999999999998</v>
      </c>
      <c r="BS147">
        <v>11.48</v>
      </c>
      <c r="BT147" t="s">
        <v>5220</v>
      </c>
      <c r="BU147" t="s">
        <v>1515</v>
      </c>
      <c r="BV147">
        <v>32.869999999999997</v>
      </c>
      <c r="BW147">
        <v>32.880000000000003</v>
      </c>
      <c r="BX147">
        <v>42.28</v>
      </c>
      <c r="BY147">
        <v>9.9600000000000009</v>
      </c>
      <c r="BZ147">
        <v>5.46</v>
      </c>
      <c r="CA147">
        <v>19.02</v>
      </c>
      <c r="CB147">
        <v>-3.12</v>
      </c>
      <c r="CC147">
        <v>-13.63</v>
      </c>
      <c r="CD147" t="s">
        <v>5221</v>
      </c>
      <c r="CE147" t="s">
        <v>5222</v>
      </c>
      <c r="CF147" s="8">
        <v>2.858749287155828</v>
      </c>
      <c r="CG147" s="9">
        <v>5.7427207693605533</v>
      </c>
      <c r="CH147" s="8">
        <v>-0.67766499519348145</v>
      </c>
      <c r="CI147" s="8">
        <v>-0.2024291455745697</v>
      </c>
      <c r="CJ147" s="8">
        <v>0.21078431606292725</v>
      </c>
      <c r="CK147" s="8">
        <v>-0.12820513546466827</v>
      </c>
      <c r="CL147" s="8">
        <v>2.1834060549736023E-2</v>
      </c>
      <c r="CM147" s="9">
        <v>-1.9477925300598145</v>
      </c>
      <c r="CN147" s="9">
        <v>-0.77139496803283691</v>
      </c>
      <c r="CO147" s="9">
        <v>0.19875237345695496</v>
      </c>
      <c r="CP147" s="9">
        <v>-4.4322822242975235E-2</v>
      </c>
      <c r="CQ147" s="9">
        <v>4.9278967082500458E-2</v>
      </c>
      <c r="CR147">
        <v>26.225250686306609</v>
      </c>
      <c r="CS147">
        <v>1.6904664469082746</v>
      </c>
      <c r="CT147">
        <v>1.6572727272727275</v>
      </c>
      <c r="CU147" s="8">
        <v>-0.15513617992401124</v>
      </c>
      <c r="CV147" s="9">
        <v>-0.50309579595923426</v>
      </c>
      <c r="CW147">
        <v>0.06</v>
      </c>
      <c r="CX147" t="e">
        <v>#VALUE!</v>
      </c>
      <c r="CY147" t="s">
        <v>1179</v>
      </c>
      <c r="CZ147">
        <v>-0.15513617992401124</v>
      </c>
      <c r="DA147" t="e">
        <v>#VALUE!</v>
      </c>
      <c r="DB147" t="s">
        <v>1179</v>
      </c>
      <c r="DC147">
        <v>-0.14737937092781067</v>
      </c>
      <c r="DD147" t="e">
        <v>#VALUE!</v>
      </c>
      <c r="DE147" t="s">
        <v>1179</v>
      </c>
      <c r="DF147">
        <v>-0.13651983833312989</v>
      </c>
      <c r="DG147" t="e">
        <v>#VALUE!</v>
      </c>
      <c r="DH147" t="s">
        <v>1179</v>
      </c>
      <c r="DI147">
        <v>-0.124108943939209</v>
      </c>
      <c r="DJ147" t="e">
        <v>#VALUE!</v>
      </c>
      <c r="DK147" t="s">
        <v>1179</v>
      </c>
      <c r="DL147">
        <v>-0.10859532594680786</v>
      </c>
      <c r="DM147">
        <v>-20351000</v>
      </c>
      <c r="DN147">
        <v>-0.15513617992401124</v>
      </c>
      <c r="DO147">
        <v>1328793500</v>
      </c>
      <c r="DP147">
        <v>525264540</v>
      </c>
      <c r="DQ147">
        <v>4654</v>
      </c>
      <c r="DR147">
        <v>3.0138854670798394</v>
      </c>
      <c r="DS147">
        <v>6.2458165653197879</v>
      </c>
      <c r="DT147" s="10">
        <v>-0.79</v>
      </c>
      <c r="DU147">
        <v>-0.31666666666666671</v>
      </c>
      <c r="DV147">
        <v>-1.1066666666666667</v>
      </c>
      <c r="DW147">
        <v>-8.2289068231841522</v>
      </c>
      <c r="DX147">
        <v>0.38770035013117821</v>
      </c>
      <c r="DY147">
        <v>-8.029231481468031</v>
      </c>
      <c r="DZ147">
        <v>4099</v>
      </c>
      <c r="EA147">
        <v>-8.0057833713824227</v>
      </c>
      <c r="EB147">
        <v>8</v>
      </c>
      <c r="EC147">
        <v>2.1735774260699808E-2</v>
      </c>
      <c r="ED147">
        <v>0.17020919863079645</v>
      </c>
      <c r="EE147" s="11">
        <v>-3.0506099999999998</v>
      </c>
      <c r="EF147">
        <v>-3.1189100000000001</v>
      </c>
      <c r="EG147">
        <v>26.127700350131178</v>
      </c>
      <c r="EH147" t="s">
        <v>2025</v>
      </c>
      <c r="EI147">
        <v>0</v>
      </c>
      <c r="EJ147">
        <v>0</v>
      </c>
      <c r="EK147" s="12">
        <v>45470</v>
      </c>
      <c r="EL147">
        <v>5.67</v>
      </c>
      <c r="EM147">
        <v>-16.38</v>
      </c>
      <c r="EN147">
        <v>-9.86</v>
      </c>
      <c r="EO147">
        <v>2.0299999999999998</v>
      </c>
      <c r="EP147">
        <v>-6.83</v>
      </c>
    </row>
    <row r="148" spans="1:146" ht="96" x14ac:dyDescent="0.25">
      <c r="A148" s="6"/>
      <c r="B148" s="6"/>
      <c r="C148" s="6" t="str">
        <f>""&amp;CHAR(10)&amp;Basic_Fundamental_Information_Constructure(F148)&amp;CHAR(10)&amp;Basic_Fundamental_Information_Concatenate("")</f>
        <v xml:space="preserve">
市值25.487731亿, 利润2172.08万; PE51.2; 平均PE28.98; 平均PEG3.56, PB.912; ROIC5.1167%; ROE6.1633%; 股利率.6452%; 毛利21.48%; 净利4.78%; 上一年度营收增-80.71%, 利润增-82.62%; 当季营收增532.38%, 利润增-63.38%; 过往5年营收增8.14%, 利润增1.33%
Income profile:
</v>
      </c>
      <c r="D148" t="s">
        <v>1053</v>
      </c>
      <c r="E148" t="s">
        <v>1054</v>
      </c>
      <c r="F148">
        <v>15.5</v>
      </c>
      <c r="G148">
        <v>2.04</v>
      </c>
      <c r="H148" t="s">
        <v>5223</v>
      </c>
      <c r="I148">
        <v>2548773100</v>
      </c>
      <c r="J148">
        <v>51.2</v>
      </c>
      <c r="K148">
        <v>0.91200000000000003</v>
      </c>
      <c r="L148" t="s">
        <v>428</v>
      </c>
      <c r="M148" t="s">
        <v>2678</v>
      </c>
      <c r="N148" t="s">
        <v>5224</v>
      </c>
      <c r="O148" t="s">
        <v>1057</v>
      </c>
      <c r="P148">
        <v>1.36</v>
      </c>
      <c r="Q148" t="s">
        <v>5225</v>
      </c>
      <c r="R148">
        <v>2307914</v>
      </c>
      <c r="S148" s="4">
        <v>-0.90810000000000002</v>
      </c>
      <c r="T148" t="s">
        <v>5226</v>
      </c>
      <c r="U148">
        <v>164436980</v>
      </c>
      <c r="V148">
        <v>164436980</v>
      </c>
      <c r="W148">
        <v>1.61</v>
      </c>
      <c r="X148">
        <v>0.15</v>
      </c>
      <c r="Y148">
        <v>0.17</v>
      </c>
      <c r="Z148" t="s">
        <v>2134</v>
      </c>
      <c r="AA148" t="s">
        <v>513</v>
      </c>
      <c r="AB148" t="s">
        <v>5227</v>
      </c>
      <c r="AC148" t="s">
        <v>5228</v>
      </c>
      <c r="AD148" t="s">
        <v>5</v>
      </c>
      <c r="AE148">
        <v>7069593</v>
      </c>
      <c r="AF148" t="s">
        <v>3243</v>
      </c>
      <c r="AG148" t="s">
        <v>5229</v>
      </c>
      <c r="AH148" t="s">
        <v>3244</v>
      </c>
      <c r="AI148" t="s">
        <v>5230</v>
      </c>
      <c r="AJ148" t="s">
        <v>3245</v>
      </c>
      <c r="AK148" t="s">
        <v>45</v>
      </c>
      <c r="AL148" t="s">
        <v>3246</v>
      </c>
      <c r="AM148" t="s">
        <v>5</v>
      </c>
      <c r="AN148" t="s">
        <v>993</v>
      </c>
      <c r="AO148" t="s">
        <v>3823</v>
      </c>
      <c r="AP148" t="s">
        <v>5</v>
      </c>
      <c r="AQ148" t="s">
        <v>268</v>
      </c>
      <c r="AR148" t="s">
        <v>5</v>
      </c>
      <c r="AS148" t="s">
        <v>1749</v>
      </c>
      <c r="AT148" t="s">
        <v>213</v>
      </c>
      <c r="AU148" t="s">
        <v>2097</v>
      </c>
      <c r="AV148" t="s">
        <v>5231</v>
      </c>
      <c r="AW148" t="s">
        <v>24</v>
      </c>
      <c r="AX148" t="s">
        <v>1914</v>
      </c>
      <c r="AY148" t="s">
        <v>694</v>
      </c>
      <c r="AZ148" t="s">
        <v>1344</v>
      </c>
      <c r="BA148" t="s">
        <v>1056</v>
      </c>
      <c r="BB148" t="s">
        <v>357</v>
      </c>
      <c r="BC148" t="s">
        <v>293</v>
      </c>
      <c r="BD148" t="s">
        <v>58</v>
      </c>
      <c r="BE148" t="s">
        <v>130</v>
      </c>
      <c r="BF148" t="s">
        <v>1058</v>
      </c>
      <c r="BG148" t="s">
        <v>1059</v>
      </c>
      <c r="BH148" t="s">
        <v>3241</v>
      </c>
      <c r="BI148" t="s">
        <v>42</v>
      </c>
      <c r="BJ148" t="s">
        <v>1914</v>
      </c>
      <c r="BK148" t="s">
        <v>3242</v>
      </c>
      <c r="BL148" t="s">
        <v>5232</v>
      </c>
      <c r="BM148" t="s">
        <v>293</v>
      </c>
      <c r="BN148">
        <v>2.38</v>
      </c>
      <c r="BO148">
        <v>5.16</v>
      </c>
      <c r="BP148">
        <v>7.81</v>
      </c>
      <c r="BQ148">
        <v>2.61</v>
      </c>
      <c r="BR148">
        <v>6.35</v>
      </c>
      <c r="BS148">
        <v>9.5299999999999994</v>
      </c>
      <c r="BT148" t="s">
        <v>3247</v>
      </c>
      <c r="BU148" t="s">
        <v>1516</v>
      </c>
      <c r="BV148">
        <v>21.16</v>
      </c>
      <c r="BW148">
        <v>22.03</v>
      </c>
      <c r="BX148">
        <v>21.25</v>
      </c>
      <c r="BY148">
        <v>2.72</v>
      </c>
      <c r="BZ148">
        <v>5.05</v>
      </c>
      <c r="CA148">
        <v>6.57</v>
      </c>
      <c r="CB148">
        <v>-1.77</v>
      </c>
      <c r="CC148">
        <v>-19.690000000000001</v>
      </c>
      <c r="CD148" t="s">
        <v>5233</v>
      </c>
      <c r="CE148" t="s">
        <v>5234</v>
      </c>
      <c r="CF148" s="8">
        <v>5.3238095238095235</v>
      </c>
      <c r="CG148" s="9">
        <v>-0.63375164643338888</v>
      </c>
      <c r="CH148" s="8">
        <v>-0.80713188648223877</v>
      </c>
      <c r="CI148" s="8">
        <v>0.20517559349536896</v>
      </c>
      <c r="CJ148" s="8">
        <v>0.56358379125595093</v>
      </c>
      <c r="CK148" s="8">
        <v>0.20979021489620209</v>
      </c>
      <c r="CL148" s="8">
        <v>0.23542116582393646</v>
      </c>
      <c r="CM148" s="9">
        <v>-0.8262336254119873</v>
      </c>
      <c r="CN148" s="9">
        <v>-0.1319444477558136</v>
      </c>
      <c r="CO148" s="9">
        <v>0.39805826544761658</v>
      </c>
      <c r="CP148" s="9">
        <v>0.3896777331829071</v>
      </c>
      <c r="CQ148" s="9">
        <v>0.23681142926216125</v>
      </c>
      <c r="CR148">
        <v>28.976210827047556</v>
      </c>
      <c r="CS148">
        <v>3.5611408254587391</v>
      </c>
      <c r="CT148">
        <v>0.64516129032258063</v>
      </c>
      <c r="CU148" s="8">
        <v>8.1367775797843933E-2</v>
      </c>
      <c r="CV148" s="9">
        <v>1.3273870944976807E-2</v>
      </c>
      <c r="CW148">
        <v>0.06</v>
      </c>
      <c r="CX148">
        <v>55.633934394674625</v>
      </c>
      <c r="CY148">
        <v>22158653.947688501</v>
      </c>
      <c r="CZ148">
        <v>8.1367775797843933E-2</v>
      </c>
      <c r="DA148">
        <v>18.314161760466664</v>
      </c>
      <c r="DB148">
        <v>67312559.32559742</v>
      </c>
      <c r="DC148">
        <v>7.7299387007951734E-2</v>
      </c>
      <c r="DD148">
        <v>9.103992800866914</v>
      </c>
      <c r="DE148">
        <v>135410157.60498086</v>
      </c>
      <c r="DF148">
        <v>7.1603642702102663E-2</v>
      </c>
      <c r="DG148">
        <v>5.5273155531470817</v>
      </c>
      <c r="DH148">
        <v>223032878.82634044</v>
      </c>
      <c r="DI148">
        <v>6.5094220638275149E-2</v>
      </c>
      <c r="DJ148">
        <v>2.9243240932042345</v>
      </c>
      <c r="DK148">
        <v>421558302.26369619</v>
      </c>
      <c r="DL148">
        <v>5.695744305849075E-2</v>
      </c>
      <c r="DM148">
        <v>21720800</v>
      </c>
      <c r="DN148">
        <v>8.1367775797843933E-2</v>
      </c>
      <c r="DO148">
        <v>1232773100</v>
      </c>
      <c r="DP148">
        <v>1881978500</v>
      </c>
      <c r="DQ148">
        <v>4658</v>
      </c>
      <c r="DR148">
        <v>5.2424417480116796</v>
      </c>
      <c r="DS148">
        <v>-0.64702551737836567</v>
      </c>
      <c r="DT148" s="10">
        <v>-0.27333333333333343</v>
      </c>
      <c r="DU148">
        <v>-0.42333333333333339</v>
      </c>
      <c r="DV148">
        <v>-0.69666666666666677</v>
      </c>
      <c r="DW148">
        <v>-3.0417321428571427</v>
      </c>
      <c r="DX148">
        <v>0.52081009038495019</v>
      </c>
      <c r="DY148">
        <v>-3.0079629139505291</v>
      </c>
      <c r="DZ148">
        <v>1980</v>
      </c>
      <c r="EA148">
        <v>-3.0048774795822224</v>
      </c>
      <c r="EB148">
        <v>3</v>
      </c>
      <c r="EC148">
        <v>5.5024727406207535E-2</v>
      </c>
      <c r="ED148">
        <v>0.2883743060715418</v>
      </c>
      <c r="EE148" s="11">
        <v>1.9409999999999993E-2</v>
      </c>
      <c r="EF148">
        <v>4.4210000000000006E-2</v>
      </c>
      <c r="EG148">
        <v>33.19081009038495</v>
      </c>
      <c r="EH148">
        <v>-1</v>
      </c>
      <c r="EI148">
        <v>0</v>
      </c>
      <c r="EJ148">
        <v>0</v>
      </c>
      <c r="EK148" s="12">
        <v>45470</v>
      </c>
      <c r="EL148">
        <v>-1.01</v>
      </c>
      <c r="EM148">
        <v>-3.71</v>
      </c>
      <c r="EN148">
        <v>-3.54</v>
      </c>
      <c r="EO148">
        <v>3.6</v>
      </c>
      <c r="EP148">
        <v>-2.48</v>
      </c>
    </row>
    <row r="149" spans="1:146" ht="156" x14ac:dyDescent="0.25">
      <c r="A149" s="6"/>
      <c r="B149" s="6"/>
      <c r="C149" s="6" t="str">
        <f>"公司是一家以3C行业中的高端消费类电子和乘用汽车等高端消费品领域为目标市场，通过“交互式”自主研发、“定制化柔性制造”的模式，为客户提供涂料、特种油墨等多类别系统化解决方案的新型功能涂层材料制造商。"&amp;CHAR(10)&amp;Basic_Fundamental_Information_Constructure(F149)&amp;CHAR(10)&amp;Basic_Fundamental_Information_Concatenate("涂料 4.84亿 95.25% 94.12% 48.20%
特种油墨 1884.75万 3.71% 4.54% 59.67%
其他业务 527.65万 1.04% 1.34% 62.93%")</f>
        <v>公司是一家以3C行业中的高端消费类电子和乘用汽车等高端消费品领域为目标市场，通过“交互式”自主研发、“定制化柔性制造”的模式，为客户提供涂料、特种油墨等多类别系统化解决方案的新型功能涂层材料制造商。
市值38.001579亿, 利润-3.43亿; PE42.15; 平均PE330.35; 平均PEG5.74, PB2.95; ROIC5.9433%; ROE6.5233%; 股利率.6469%; 毛利49.42%; 净利16.2467%; 上一年度营收增203.61%, 利润增-516.77%; 当季营收增-63.32%, 利润增112.76%; 过往5年营收增57.58%, 利润增-89.8%
Income profile:
涂料 4.84亿 95.25% 94.12% 48.20%
特种油墨 1884.75万 3.71% 4.54% 59.67%
其他业务 527.65万 1.04% 1.34% 62.93%</v>
      </c>
      <c r="D149" t="s">
        <v>1060</v>
      </c>
      <c r="E149" t="s">
        <v>1061</v>
      </c>
      <c r="F149">
        <v>34.01</v>
      </c>
      <c r="G149">
        <v>2.87</v>
      </c>
      <c r="H149" t="s">
        <v>5235</v>
      </c>
      <c r="I149">
        <v>3800157900</v>
      </c>
      <c r="J149">
        <v>42.15</v>
      </c>
      <c r="K149">
        <v>2.95</v>
      </c>
      <c r="L149" t="s">
        <v>428</v>
      </c>
      <c r="M149" t="s">
        <v>1304</v>
      </c>
      <c r="N149" t="s">
        <v>5236</v>
      </c>
      <c r="O149" t="s">
        <v>68</v>
      </c>
      <c r="P149">
        <v>43.53</v>
      </c>
      <c r="Q149" t="s">
        <v>698</v>
      </c>
      <c r="R149">
        <v>12087706</v>
      </c>
      <c r="S149" s="4">
        <v>2.9830000000000001</v>
      </c>
      <c r="T149" t="s">
        <v>5237</v>
      </c>
      <c r="U149">
        <v>111736486</v>
      </c>
      <c r="V149">
        <v>111736486</v>
      </c>
      <c r="W149">
        <v>1.23</v>
      </c>
      <c r="X149">
        <v>0.09</v>
      </c>
      <c r="Y149">
        <v>8.49</v>
      </c>
      <c r="Z149" t="s">
        <v>6</v>
      </c>
      <c r="AA149" t="s">
        <v>5238</v>
      </c>
      <c r="AB149" t="s">
        <v>5239</v>
      </c>
      <c r="AC149" t="s">
        <v>5240</v>
      </c>
      <c r="AD149" t="s">
        <v>5</v>
      </c>
      <c r="AE149">
        <v>359991</v>
      </c>
      <c r="AF149" t="s">
        <v>3249</v>
      </c>
      <c r="AG149">
        <v>4937.74</v>
      </c>
      <c r="AH149" t="s">
        <v>3250</v>
      </c>
      <c r="AI149" t="s">
        <v>271</v>
      </c>
      <c r="AJ149" t="s">
        <v>3251</v>
      </c>
      <c r="AK149" t="s">
        <v>5241</v>
      </c>
      <c r="AL149" t="s">
        <v>3252</v>
      </c>
      <c r="AM149" t="s">
        <v>5</v>
      </c>
      <c r="AN149" t="s">
        <v>245</v>
      </c>
      <c r="AO149" t="s">
        <v>81</v>
      </c>
      <c r="AP149" t="s">
        <v>5242</v>
      </c>
      <c r="AQ149" t="s">
        <v>5243</v>
      </c>
      <c r="AR149" t="s">
        <v>5</v>
      </c>
      <c r="AS149" t="s">
        <v>239</v>
      </c>
      <c r="AT149" t="s">
        <v>2074</v>
      </c>
      <c r="AU149" t="s">
        <v>5244</v>
      </c>
      <c r="AV149" t="s">
        <v>5245</v>
      </c>
      <c r="AW149" t="s">
        <v>5246</v>
      </c>
      <c r="AX149" t="s">
        <v>374</v>
      </c>
      <c r="AY149" t="s">
        <v>397</v>
      </c>
      <c r="AZ149" t="s">
        <v>1448</v>
      </c>
      <c r="BA149" t="s">
        <v>317</v>
      </c>
      <c r="BB149" t="s">
        <v>419</v>
      </c>
      <c r="BC149" t="s">
        <v>3253</v>
      </c>
      <c r="BD149" t="s">
        <v>1466</v>
      </c>
      <c r="BE149" t="s">
        <v>1468</v>
      </c>
      <c r="BF149" t="s">
        <v>1062</v>
      </c>
      <c r="BG149" t="s">
        <v>1063</v>
      </c>
      <c r="BH149" t="s">
        <v>2068</v>
      </c>
      <c r="BI149" t="s">
        <v>363</v>
      </c>
      <c r="BJ149" t="s">
        <v>374</v>
      </c>
      <c r="BK149" t="s">
        <v>3248</v>
      </c>
      <c r="BL149" t="s">
        <v>5247</v>
      </c>
      <c r="BM149" t="s">
        <v>3253</v>
      </c>
      <c r="BN149">
        <v>3.79</v>
      </c>
      <c r="BO149">
        <v>6.18</v>
      </c>
      <c r="BP149">
        <v>7.86</v>
      </c>
      <c r="BQ149">
        <v>4.1399999999999997</v>
      </c>
      <c r="BR149">
        <v>6.82</v>
      </c>
      <c r="BS149">
        <v>8.61</v>
      </c>
      <c r="BT149" t="s">
        <v>1680</v>
      </c>
      <c r="BU149" t="s">
        <v>1515</v>
      </c>
      <c r="BV149">
        <v>49.37</v>
      </c>
      <c r="BW149">
        <v>50.11</v>
      </c>
      <c r="BX149">
        <v>48.78</v>
      </c>
      <c r="BY149">
        <v>13.27</v>
      </c>
      <c r="BZ149">
        <v>16.510000000000002</v>
      </c>
      <c r="CA149">
        <v>18.96</v>
      </c>
      <c r="CB149">
        <v>-1.1299999999999999</v>
      </c>
      <c r="CC149">
        <v>6.25</v>
      </c>
      <c r="CD149" t="s">
        <v>5248</v>
      </c>
      <c r="CE149" t="s">
        <v>5249</v>
      </c>
      <c r="CF149" s="8">
        <v>-0.63315217391304346</v>
      </c>
      <c r="CG149" s="9">
        <v>1.1276179687260803</v>
      </c>
      <c r="CH149" s="8">
        <v>2.0360722541809082</v>
      </c>
      <c r="CI149" s="8">
        <v>-1.7716536298394203E-2</v>
      </c>
      <c r="CJ149" s="8">
        <v>0.16781608760356903</v>
      </c>
      <c r="CK149" s="8">
        <v>-4.3956045061349869E-2</v>
      </c>
      <c r="CL149" s="8">
        <v>0.73664122819900513</v>
      </c>
      <c r="CM149" s="9">
        <v>-5.1676950454711914</v>
      </c>
      <c r="CN149" s="9">
        <v>-0.15498964488506317</v>
      </c>
      <c r="CO149" s="9">
        <v>0.11717140674591064</v>
      </c>
      <c r="CP149" s="9">
        <v>-6.1306912451982498E-2</v>
      </c>
      <c r="CQ149" s="9">
        <v>0.77672207355499268</v>
      </c>
      <c r="CR149">
        <v>330.34940822101197</v>
      </c>
      <c r="CS149">
        <v>5.7375098785115117</v>
      </c>
      <c r="CT149">
        <v>0.64686856806821535</v>
      </c>
      <c r="CU149" s="8">
        <v>0.57577139772474761</v>
      </c>
      <c r="CV149" s="9">
        <v>-0.89801962450146677</v>
      </c>
      <c r="CW149">
        <v>0.06</v>
      </c>
      <c r="CX149" t="e">
        <v>#VALUE!</v>
      </c>
      <c r="CY149" t="s">
        <v>1179</v>
      </c>
      <c r="CZ149">
        <v>0.57577139772474761</v>
      </c>
      <c r="DA149" t="e">
        <v>#VALUE!</v>
      </c>
      <c r="DB149" t="s">
        <v>1179</v>
      </c>
      <c r="DC149">
        <v>0.54698282783851015</v>
      </c>
      <c r="DD149" t="e">
        <v>#VALUE!</v>
      </c>
      <c r="DE149" t="s">
        <v>1179</v>
      </c>
      <c r="DF149">
        <v>0.50667882999777791</v>
      </c>
      <c r="DG149" t="e">
        <v>#VALUE!</v>
      </c>
      <c r="DH149" t="s">
        <v>1179</v>
      </c>
      <c r="DI149">
        <v>0.46061711817979811</v>
      </c>
      <c r="DJ149" t="e">
        <v>#VALUE!</v>
      </c>
      <c r="DK149" t="s">
        <v>1179</v>
      </c>
      <c r="DL149">
        <v>0.40303997840732331</v>
      </c>
      <c r="DM149">
        <v>-343000000</v>
      </c>
      <c r="DN149">
        <v>0.57577139772474761</v>
      </c>
      <c r="DO149">
        <v>2760157900</v>
      </c>
      <c r="DP149">
        <v>496210640</v>
      </c>
      <c r="DQ149">
        <v>4675</v>
      </c>
      <c r="DR149">
        <v>-1.2089235716377911</v>
      </c>
      <c r="DS149">
        <v>2.0256375932275472</v>
      </c>
      <c r="DT149" s="10">
        <v>0.19333333333333327</v>
      </c>
      <c r="DU149">
        <v>-1.1399999999999999</v>
      </c>
      <c r="DV149">
        <v>-0.94666666666666666</v>
      </c>
      <c r="DW149">
        <v>2.0625</v>
      </c>
      <c r="DX149">
        <v>0.49026886085999538</v>
      </c>
      <c r="DY149">
        <v>2.0093918038037497</v>
      </c>
      <c r="DZ149">
        <v>4721</v>
      </c>
      <c r="EA149">
        <v>2.0007149533619684</v>
      </c>
      <c r="EB149">
        <v>2</v>
      </c>
      <c r="EC149">
        <v>2.9812106315926207E-2</v>
      </c>
      <c r="ED149">
        <v>0.19839177688118814</v>
      </c>
      <c r="EE149" s="11">
        <v>4.0373099999999997</v>
      </c>
      <c r="EF149">
        <v>4.0563099999999999</v>
      </c>
      <c r="EG149">
        <v>34.150268860859995</v>
      </c>
      <c r="EH149" t="s">
        <v>3827</v>
      </c>
      <c r="EI149">
        <v>1</v>
      </c>
      <c r="EJ149">
        <v>0</v>
      </c>
      <c r="EK149" s="12">
        <v>45470</v>
      </c>
      <c r="EL149">
        <v>-1.6</v>
      </c>
      <c r="EM149">
        <v>-4.49</v>
      </c>
      <c r="EN149">
        <v>-1.7</v>
      </c>
      <c r="EO149">
        <v>7.22</v>
      </c>
      <c r="EP149">
        <v>-1.9</v>
      </c>
    </row>
    <row r="150" spans="1:146" ht="84" x14ac:dyDescent="0.25">
      <c r="A150" s="6"/>
      <c r="B150" s="6"/>
      <c r="C150" s="6" t="str">
        <f>""&amp;CHAR(10)&amp;Basic_Fundamental_Information_Constructure(F150)&amp;CHAR(10)&amp;Basic_Fundamental_Information_Concatenate("")</f>
        <v xml:space="preserve">
市值26.018598亿, 利润-22.83亿; PE30.37; 平均PE-8.18; 平均PEG-.1, PB2.59; ROIC7.4467%; ROE8.74%; 股利率3.1983%; 毛利60.37%; 净利25.5933%; 上一年度营收增297.62%, 利润增-2560.86%; 当季营收增-61.38%, 利润增103.15%; 过往5年营收增77.98%, 利润增-500.18%
Income profile:
</v>
      </c>
      <c r="D150" t="s">
        <v>1064</v>
      </c>
      <c r="E150" t="s">
        <v>1065</v>
      </c>
      <c r="F150">
        <v>9.3800000000000008</v>
      </c>
      <c r="G150">
        <v>2.74</v>
      </c>
      <c r="H150" t="s">
        <v>5250</v>
      </c>
      <c r="I150">
        <v>2601859800</v>
      </c>
      <c r="J150">
        <v>30.37</v>
      </c>
      <c r="K150">
        <v>2.59</v>
      </c>
      <c r="L150" t="s">
        <v>428</v>
      </c>
      <c r="M150" t="s">
        <v>973</v>
      </c>
      <c r="N150" t="s">
        <v>5251</v>
      </c>
      <c r="O150" t="s">
        <v>3254</v>
      </c>
      <c r="P150">
        <v>13.79</v>
      </c>
      <c r="Q150" t="s">
        <v>5252</v>
      </c>
      <c r="R150">
        <v>17107659</v>
      </c>
      <c r="S150" s="4">
        <v>-8.3499999999999998E-3</v>
      </c>
      <c r="T150" t="s">
        <v>5253</v>
      </c>
      <c r="U150">
        <v>277383770</v>
      </c>
      <c r="V150">
        <v>277383770</v>
      </c>
      <c r="W150">
        <v>1.42</v>
      </c>
      <c r="X150">
        <v>7.0000000000000007E-2</v>
      </c>
      <c r="Y150">
        <v>17.37</v>
      </c>
      <c r="Z150" t="s">
        <v>5254</v>
      </c>
      <c r="AA150" t="s">
        <v>5255</v>
      </c>
      <c r="AB150" t="s">
        <v>5256</v>
      </c>
      <c r="AC150" t="s">
        <v>5257</v>
      </c>
      <c r="AD150" t="s">
        <v>5</v>
      </c>
      <c r="AE150">
        <v>422213</v>
      </c>
      <c r="AF150" t="s">
        <v>3256</v>
      </c>
      <c r="AG150" t="s">
        <v>5</v>
      </c>
      <c r="AH150" t="s">
        <v>3257</v>
      </c>
      <c r="AI150" t="s">
        <v>397</v>
      </c>
      <c r="AJ150" t="s">
        <v>3258</v>
      </c>
      <c r="AK150" t="s">
        <v>5</v>
      </c>
      <c r="AL150" t="s">
        <v>3259</v>
      </c>
      <c r="AM150" t="s">
        <v>5</v>
      </c>
      <c r="AN150" t="s">
        <v>5258</v>
      </c>
      <c r="AO150" t="s">
        <v>5259</v>
      </c>
      <c r="AP150" t="s">
        <v>5</v>
      </c>
      <c r="AQ150" t="s">
        <v>5260</v>
      </c>
      <c r="AR150" t="s">
        <v>5261</v>
      </c>
      <c r="AS150" t="s">
        <v>5262</v>
      </c>
      <c r="AT150" t="s">
        <v>5</v>
      </c>
      <c r="AU150" t="s">
        <v>5263</v>
      </c>
      <c r="AV150" t="s">
        <v>5264</v>
      </c>
      <c r="AW150" t="s">
        <v>5265</v>
      </c>
      <c r="AX150" t="s">
        <v>666</v>
      </c>
      <c r="AY150" t="s">
        <v>540</v>
      </c>
      <c r="AZ150" t="s">
        <v>286</v>
      </c>
      <c r="BA150" t="s">
        <v>136</v>
      </c>
      <c r="BB150" t="s">
        <v>157</v>
      </c>
      <c r="BC150" t="s">
        <v>3260</v>
      </c>
      <c r="BD150" t="s">
        <v>1469</v>
      </c>
      <c r="BE150" t="s">
        <v>1470</v>
      </c>
      <c r="BF150" t="s">
        <v>1066</v>
      </c>
      <c r="BG150" t="s">
        <v>1067</v>
      </c>
      <c r="BH150" t="s">
        <v>232</v>
      </c>
      <c r="BI150" t="s">
        <v>99</v>
      </c>
      <c r="BJ150" t="s">
        <v>666</v>
      </c>
      <c r="BK150" t="s">
        <v>3255</v>
      </c>
      <c r="BL150" t="s">
        <v>2941</v>
      </c>
      <c r="BM150" t="s">
        <v>3260</v>
      </c>
      <c r="BN150">
        <v>4.13</v>
      </c>
      <c r="BO150">
        <v>8.2100000000000009</v>
      </c>
      <c r="BP150">
        <v>10</v>
      </c>
      <c r="BQ150">
        <v>5.51</v>
      </c>
      <c r="BR150">
        <v>9.9700000000000006</v>
      </c>
      <c r="BS150">
        <v>10.74</v>
      </c>
      <c r="BT150" t="s">
        <v>1913</v>
      </c>
      <c r="BU150" t="s">
        <v>1516</v>
      </c>
      <c r="BV150">
        <v>60.2</v>
      </c>
      <c r="BW150">
        <v>58.65</v>
      </c>
      <c r="BX150">
        <v>62.26</v>
      </c>
      <c r="BY150">
        <v>21.3</v>
      </c>
      <c r="BZ150">
        <v>24.42</v>
      </c>
      <c r="CA150">
        <v>31.06</v>
      </c>
      <c r="CB150">
        <v>-3</v>
      </c>
      <c r="CC150">
        <v>-15.04</v>
      </c>
      <c r="CD150" t="s">
        <v>5266</v>
      </c>
      <c r="CE150" t="s">
        <v>5267</v>
      </c>
      <c r="CF150" s="8">
        <v>-0.61382901960784308</v>
      </c>
      <c r="CG150" s="9">
        <v>1.031505817679558</v>
      </c>
      <c r="CH150" s="8">
        <v>2.9761905670166016</v>
      </c>
      <c r="CI150" s="8">
        <v>0.3125</v>
      </c>
      <c r="CJ150" s="8">
        <v>0.23076923191547394</v>
      </c>
      <c r="CK150" s="8">
        <v>0.11428571492433548</v>
      </c>
      <c r="CL150" s="8">
        <v>0.26506024599075317</v>
      </c>
      <c r="CM150" s="9">
        <v>-25.608638763427734</v>
      </c>
      <c r="CN150" s="9">
        <v>3.8176741451025009E-2</v>
      </c>
      <c r="CO150" s="9">
        <v>0.20056809484958649</v>
      </c>
      <c r="CP150" s="9">
        <v>0.16864386200904846</v>
      </c>
      <c r="CQ150" s="9">
        <v>0.19237148761749268</v>
      </c>
      <c r="CR150">
        <v>-8.1762565308304218</v>
      </c>
      <c r="CS150">
        <v>-0.10485591017428549</v>
      </c>
      <c r="CT150">
        <v>3.1982942430703623</v>
      </c>
      <c r="CU150" s="8">
        <v>0.77976115196943285</v>
      </c>
      <c r="CV150" s="9">
        <v>-5.0017757155001163</v>
      </c>
      <c r="CW150">
        <v>0.06</v>
      </c>
      <c r="CX150" t="e">
        <v>#VALUE!</v>
      </c>
      <c r="CY150" t="s">
        <v>1179</v>
      </c>
      <c r="CZ150">
        <v>0.77976115196943285</v>
      </c>
      <c r="DA150" t="e">
        <v>#VALUE!</v>
      </c>
      <c r="DB150" t="s">
        <v>1179</v>
      </c>
      <c r="DC150">
        <v>0.74077309437096117</v>
      </c>
      <c r="DD150" t="e">
        <v>#VALUE!</v>
      </c>
      <c r="DE150" t="s">
        <v>1179</v>
      </c>
      <c r="DF150">
        <v>0.68618981373310095</v>
      </c>
      <c r="DG150" t="e">
        <v>#VALUE!</v>
      </c>
      <c r="DH150" t="s">
        <v>1179</v>
      </c>
      <c r="DI150">
        <v>0.62380892157554635</v>
      </c>
      <c r="DJ150" t="e">
        <v>#VALUE!</v>
      </c>
      <c r="DK150" t="s">
        <v>1179</v>
      </c>
      <c r="DL150">
        <v>0.54583280637860299</v>
      </c>
      <c r="DM150">
        <v>-2283000000</v>
      </c>
      <c r="DN150">
        <v>0.77976115196943285</v>
      </c>
      <c r="DO150">
        <v>2015859800</v>
      </c>
      <c r="DP150">
        <v>1026072610</v>
      </c>
      <c r="DQ150">
        <v>4695</v>
      </c>
      <c r="DR150">
        <v>-1.393590171577276</v>
      </c>
      <c r="DS150">
        <v>6.0332815331796743</v>
      </c>
      <c r="DT150" s="10">
        <v>0.24333333333333326</v>
      </c>
      <c r="DU150">
        <v>-0.84</v>
      </c>
      <c r="DV150">
        <v>-0.59666666666666668</v>
      </c>
      <c r="DW150">
        <v>-8.1994680851063837</v>
      </c>
      <c r="DX150">
        <v>0.35011635363694338</v>
      </c>
      <c r="DY150">
        <v>-8.0219646981988575</v>
      </c>
      <c r="DZ150">
        <v>4648</v>
      </c>
      <c r="EA150">
        <v>-8.0019858494261982</v>
      </c>
      <c r="EB150">
        <v>8</v>
      </c>
      <c r="EC150">
        <v>3.0085754476550666E-2</v>
      </c>
      <c r="ED150">
        <v>0.27321785986252911</v>
      </c>
      <c r="EE150" s="11">
        <v>-2.0082100000000001</v>
      </c>
      <c r="EF150">
        <v>-2.0075099999999999</v>
      </c>
      <c r="EG150">
        <v>24.110116353636943</v>
      </c>
      <c r="EH150" t="s">
        <v>1710</v>
      </c>
      <c r="EI150">
        <v>0</v>
      </c>
      <c r="EJ150">
        <v>0</v>
      </c>
      <c r="EK150" s="12">
        <v>45470</v>
      </c>
      <c r="EL150">
        <v>1.78</v>
      </c>
      <c r="EM150">
        <v>-1.58</v>
      </c>
      <c r="EN150">
        <v>-0.9</v>
      </c>
      <c r="EO150">
        <v>2.5299999999999998</v>
      </c>
      <c r="EP150">
        <v>7.0000000000000007E-2</v>
      </c>
    </row>
    <row r="151" spans="1:146" ht="168" x14ac:dyDescent="0.25">
      <c r="A151" s="6" t="s">
        <v>2166</v>
      </c>
      <c r="B151" s="6" t="s">
        <v>2163</v>
      </c>
      <c r="C151" s="6" t="e">
        <f>"公司的主营业务为以废油脂资源从事生物柴油及生物基新材料的研发和生产，公司的主要产品为生物柴油、工业甘油、生物酯增塑剂、环保型醇酸树脂。"&amp;CHAR(10)&amp;Basic_Fundamental_Information_Constructure(F151)&amp;CHAR(10)&amp;Basic_Fundamental_Information_Concatenate("（出口93%）
生物柴油分部 22.15亿 121.08% 1.66亿 90.25% 7.47%
生物酯增塑剂分部 4952.61万 2.71% 505.80万 2.76% 10.21%
工业甘油分部 3531.33万 1.93% 748.98万 4.08% 21.21%
醇酸树脂分部 3289.56万 1.80% 532.97万 2.91% 16.20%")</f>
        <v>#VALUE!</v>
      </c>
      <c r="D151" t="s">
        <v>1068</v>
      </c>
      <c r="E151" t="s">
        <v>1069</v>
      </c>
      <c r="F151">
        <v>23.05</v>
      </c>
      <c r="G151">
        <v>0.39</v>
      </c>
      <c r="H151" t="s">
        <v>5268</v>
      </c>
      <c r="I151">
        <v>2766000000</v>
      </c>
      <c r="J151">
        <v>75.91</v>
      </c>
      <c r="K151">
        <v>1.02</v>
      </c>
      <c r="L151" t="s">
        <v>428</v>
      </c>
      <c r="M151" t="s">
        <v>623</v>
      </c>
      <c r="N151" t="s">
        <v>5269</v>
      </c>
      <c r="O151" t="s">
        <v>985</v>
      </c>
      <c r="P151">
        <v>-3.09</v>
      </c>
      <c r="Q151" t="s">
        <v>5270</v>
      </c>
      <c r="R151">
        <v>29028167</v>
      </c>
      <c r="S151" s="4">
        <v>-0.59230000000000005</v>
      </c>
      <c r="T151" t="s">
        <v>5271</v>
      </c>
      <c r="U151">
        <v>120000000</v>
      </c>
      <c r="V151">
        <v>120000000</v>
      </c>
      <c r="W151">
        <v>1.18</v>
      </c>
      <c r="X151">
        <v>0.28000000000000003</v>
      </c>
      <c r="Y151">
        <v>3.34</v>
      </c>
      <c r="Z151" t="s">
        <v>626</v>
      </c>
      <c r="AA151" t="s">
        <v>1747</v>
      </c>
      <c r="AB151" t="s">
        <v>5272</v>
      </c>
      <c r="AC151" t="s">
        <v>5273</v>
      </c>
      <c r="AD151" t="s">
        <v>5</v>
      </c>
      <c r="AE151">
        <v>-6294130</v>
      </c>
      <c r="AF151" t="s">
        <v>3263</v>
      </c>
      <c r="AG151" t="s">
        <v>5</v>
      </c>
      <c r="AH151" t="s">
        <v>3264</v>
      </c>
      <c r="AI151" t="s">
        <v>3942</v>
      </c>
      <c r="AJ151" t="s">
        <v>3265</v>
      </c>
      <c r="AK151" t="s">
        <v>5274</v>
      </c>
      <c r="AL151" t="s">
        <v>3266</v>
      </c>
      <c r="AM151" t="s">
        <v>5</v>
      </c>
      <c r="AN151" t="s">
        <v>173</v>
      </c>
      <c r="AO151" t="s">
        <v>5275</v>
      </c>
      <c r="AP151" t="s">
        <v>5</v>
      </c>
      <c r="AQ151" t="s">
        <v>5276</v>
      </c>
      <c r="AR151" t="s">
        <v>5</v>
      </c>
      <c r="AS151" t="s">
        <v>184</v>
      </c>
      <c r="AT151" t="s">
        <v>518</v>
      </c>
      <c r="AU151" t="s">
        <v>5277</v>
      </c>
      <c r="AV151" t="s">
        <v>5278</v>
      </c>
      <c r="AW151" t="s">
        <v>5279</v>
      </c>
      <c r="AX151" t="s">
        <v>1915</v>
      </c>
      <c r="AY151" t="s">
        <v>1471</v>
      </c>
      <c r="AZ151" t="s">
        <v>1472</v>
      </c>
      <c r="BA151" t="s">
        <v>759</v>
      </c>
      <c r="BB151" t="s">
        <v>343</v>
      </c>
      <c r="BC151" t="s">
        <v>391</v>
      </c>
      <c r="BD151" t="s">
        <v>607</v>
      </c>
      <c r="BE151" t="s">
        <v>207</v>
      </c>
      <c r="BF151" t="s">
        <v>62</v>
      </c>
      <c r="BG151" t="s">
        <v>271</v>
      </c>
      <c r="BH151" t="s">
        <v>3261</v>
      </c>
      <c r="BI151" t="s">
        <v>5</v>
      </c>
      <c r="BJ151" t="s">
        <v>1915</v>
      </c>
      <c r="BK151" t="s">
        <v>3262</v>
      </c>
      <c r="BL151" t="s">
        <v>5280</v>
      </c>
      <c r="BM151" t="s">
        <v>391</v>
      </c>
      <c r="BN151">
        <v>4.2699999999999996</v>
      </c>
      <c r="BO151">
        <v>15.7</v>
      </c>
      <c r="BP151">
        <v>13.5</v>
      </c>
      <c r="BQ151">
        <v>5.55</v>
      </c>
      <c r="BR151">
        <v>17.350000000000001</v>
      </c>
      <c r="BS151">
        <v>14.79</v>
      </c>
      <c r="BT151" t="s">
        <v>1838</v>
      </c>
      <c r="BU151" t="s">
        <v>1516</v>
      </c>
      <c r="BV151">
        <v>7.72</v>
      </c>
      <c r="BW151">
        <v>11.75</v>
      </c>
      <c r="BX151">
        <v>10.62</v>
      </c>
      <c r="BY151">
        <v>2.8</v>
      </c>
      <c r="BZ151">
        <v>10.4</v>
      </c>
      <c r="CA151">
        <v>11.18</v>
      </c>
      <c r="CB151">
        <v>-0.69</v>
      </c>
      <c r="CC151">
        <v>-12.59</v>
      </c>
      <c r="CD151" t="s">
        <v>5281</v>
      </c>
      <c r="CE151" t="s">
        <v>5282</v>
      </c>
      <c r="CF151" s="8" t="s">
        <v>5</v>
      </c>
      <c r="CG151" s="9">
        <v>1.6164715763810429</v>
      </c>
      <c r="CH151" s="8">
        <v>-0.99879652261734009</v>
      </c>
      <c r="CI151" s="8">
        <v>0.40934151411056519</v>
      </c>
      <c r="CJ151" s="8">
        <v>0.9292866587638855</v>
      </c>
      <c r="CK151" s="8">
        <v>0.23397676646709442</v>
      </c>
      <c r="CL151" s="8">
        <v>0.2721022367477417</v>
      </c>
      <c r="CM151" s="9">
        <v>-1.4115043878555298</v>
      </c>
      <c r="CN151" s="9">
        <v>0.31014493107795715</v>
      </c>
      <c r="CO151" s="9">
        <v>0.42561984062194824</v>
      </c>
      <c r="CP151" s="9">
        <v>0.12037037312984467</v>
      </c>
      <c r="CQ151" s="9">
        <v>0.61194032430648804</v>
      </c>
      <c r="CR151">
        <v>13.795511221945137</v>
      </c>
      <c r="CS151">
        <v>0.81542366001202293</v>
      </c>
      <c r="CT151">
        <v>1.1713665943600868</v>
      </c>
      <c r="CU151" s="8">
        <v>0.16918213069438934</v>
      </c>
      <c r="CV151" s="9">
        <v>1.1314216256141662E-2</v>
      </c>
      <c r="CW151">
        <v>0.06</v>
      </c>
      <c r="CX151" t="e">
        <v>#VALUE!</v>
      </c>
      <c r="CY151" t="s">
        <v>1179</v>
      </c>
      <c r="CZ151">
        <v>0.16918213069438934</v>
      </c>
      <c r="DA151" t="e">
        <v>#VALUE!</v>
      </c>
      <c r="DB151" t="s">
        <v>1179</v>
      </c>
      <c r="DC151">
        <v>0.16072302415966985</v>
      </c>
      <c r="DD151" t="e">
        <v>#VALUE!</v>
      </c>
      <c r="DE151" t="s">
        <v>1179</v>
      </c>
      <c r="DF151">
        <v>0.14888027501106263</v>
      </c>
      <c r="DG151" t="e">
        <v>#VALUE!</v>
      </c>
      <c r="DH151" t="s">
        <v>1179</v>
      </c>
      <c r="DI151">
        <v>0.13534570455551148</v>
      </c>
      <c r="DJ151" t="e">
        <v>#VALUE!</v>
      </c>
      <c r="DK151" t="s">
        <v>1179</v>
      </c>
      <c r="DL151">
        <v>0.11842749148607253</v>
      </c>
      <c r="DM151">
        <v>-186000000</v>
      </c>
      <c r="DN151">
        <v>0.16918213069438934</v>
      </c>
      <c r="DO151">
        <v>449000000</v>
      </c>
      <c r="DP151">
        <v>1337211300</v>
      </c>
      <c r="DQ151">
        <v>4711</v>
      </c>
      <c r="DR151" t="e">
        <v>#VALUE!</v>
      </c>
      <c r="DS151">
        <v>1.6051573601249012</v>
      </c>
      <c r="DT151" s="10" t="e">
        <v>#VALUE!</v>
      </c>
      <c r="DU151">
        <v>-0.26666666666666666</v>
      </c>
      <c r="DV151" t="e">
        <v>#VALUE!</v>
      </c>
      <c r="DW151">
        <v>-2.1259000000000001</v>
      </c>
      <c r="DX151">
        <v>0.28598270076371152</v>
      </c>
      <c r="DY151">
        <v>-2.0108252220261513</v>
      </c>
      <c r="DZ151" t="s">
        <v>5283</v>
      </c>
      <c r="EA151" t="e">
        <v>#VALUE!</v>
      </c>
      <c r="EB151" t="e">
        <v>#VALUE!</v>
      </c>
      <c r="EC151">
        <v>9.9074999999999996E-3</v>
      </c>
      <c r="ED151">
        <v>0.11522666666666667</v>
      </c>
      <c r="EE151" s="11">
        <v>2.0453999999999999</v>
      </c>
      <c r="EF151">
        <v>2.0066000000000002</v>
      </c>
      <c r="EG151">
        <v>20.085982700763712</v>
      </c>
      <c r="EH151" t="s">
        <v>1701</v>
      </c>
      <c r="EI151" t="e">
        <v>#VALUE!</v>
      </c>
      <c r="EJ151">
        <v>0</v>
      </c>
      <c r="EK151" s="12">
        <v>45470</v>
      </c>
      <c r="EL151">
        <v>5.4</v>
      </c>
      <c r="EM151">
        <v>-4.72</v>
      </c>
      <c r="EN151">
        <v>-2.72</v>
      </c>
      <c r="EO151">
        <v>4.5599999999999996</v>
      </c>
      <c r="EP151">
        <v>-3.88</v>
      </c>
    </row>
    <row r="152" spans="1:146" ht="96" x14ac:dyDescent="0.25">
      <c r="A152" s="6"/>
      <c r="B152" s="6"/>
      <c r="C152" s="6" t="str">
        <f>""&amp;CHAR(10)&amp;Basic_Fundamental_Information_Constructure(F152)&amp;CHAR(10)&amp;Basic_Fundamental_Information_Concatenate("")</f>
        <v xml:space="preserve">
市值19.895443亿, 利润2.52亿; PE; 平均PE11.66; 平均PEG9.85, PB.763; ROIC3.46%; ROE1.9033%; 股利率0%; 毛利18.3133%; 净利2.6033%; 上一年度营收增-51.03%, 利润增481.14%; 当季营收增78.5%, 利润增-105.88%; 过往5年营收增-1.18%, 利润增84.98%
Income profile:
</v>
      </c>
      <c r="D152" t="s">
        <v>1070</v>
      </c>
      <c r="E152" t="s">
        <v>1071</v>
      </c>
      <c r="F152">
        <v>12.34</v>
      </c>
      <c r="G152">
        <v>1.1499999999999999</v>
      </c>
      <c r="H152" t="s">
        <v>5284</v>
      </c>
      <c r="I152">
        <v>1989544300</v>
      </c>
      <c r="K152">
        <v>0.76300000000000001</v>
      </c>
      <c r="L152" t="s">
        <v>428</v>
      </c>
      <c r="M152" t="s">
        <v>3267</v>
      </c>
      <c r="N152" t="s">
        <v>5285</v>
      </c>
      <c r="O152" t="s">
        <v>2062</v>
      </c>
      <c r="P152">
        <v>34.1</v>
      </c>
      <c r="Q152" t="s">
        <v>2109</v>
      </c>
      <c r="R152">
        <v>-4389765</v>
      </c>
      <c r="S152" s="4">
        <v>0.75409999999999999</v>
      </c>
      <c r="T152" t="s">
        <v>147</v>
      </c>
      <c r="U152">
        <v>161227250</v>
      </c>
      <c r="V152">
        <v>161227250</v>
      </c>
      <c r="W152">
        <v>1.48</v>
      </c>
      <c r="X152">
        <v>0.09</v>
      </c>
      <c r="Y152">
        <v>-1.1499999999999999</v>
      </c>
      <c r="Z152" t="s">
        <v>567</v>
      </c>
      <c r="AA152" t="s">
        <v>431</v>
      </c>
      <c r="AB152" t="s">
        <v>5286</v>
      </c>
      <c r="AC152" t="s">
        <v>5287</v>
      </c>
      <c r="AD152" t="s">
        <v>5</v>
      </c>
      <c r="AE152">
        <v>1446028</v>
      </c>
      <c r="AF152" t="s">
        <v>3269</v>
      </c>
      <c r="AG152" t="s">
        <v>5288</v>
      </c>
      <c r="AH152" t="s">
        <v>3270</v>
      </c>
      <c r="AI152" t="s">
        <v>1121</v>
      </c>
      <c r="AJ152" t="s">
        <v>3271</v>
      </c>
      <c r="AK152" t="s">
        <v>58</v>
      </c>
      <c r="AL152" t="s">
        <v>3272</v>
      </c>
      <c r="AM152" t="s">
        <v>5</v>
      </c>
      <c r="AN152" t="s">
        <v>2085</v>
      </c>
      <c r="AO152" t="s">
        <v>311</v>
      </c>
      <c r="AP152" t="s">
        <v>5289</v>
      </c>
      <c r="AQ152" t="s">
        <v>293</v>
      </c>
      <c r="AR152" t="s">
        <v>5</v>
      </c>
      <c r="AS152" t="s">
        <v>673</v>
      </c>
      <c r="AT152" t="s">
        <v>1169</v>
      </c>
      <c r="AU152" t="s">
        <v>5290</v>
      </c>
      <c r="AV152" t="s">
        <v>5291</v>
      </c>
      <c r="AW152" t="s">
        <v>5292</v>
      </c>
      <c r="AX152" t="s">
        <v>1545</v>
      </c>
      <c r="AY152" t="s">
        <v>1185</v>
      </c>
      <c r="AZ152" t="s">
        <v>1332</v>
      </c>
      <c r="BA152" t="s">
        <v>1072</v>
      </c>
      <c r="BB152" t="s">
        <v>1073</v>
      </c>
      <c r="BC152" t="s">
        <v>3273</v>
      </c>
      <c r="BD152" t="s">
        <v>157</v>
      </c>
      <c r="BE152" t="s">
        <v>48</v>
      </c>
      <c r="BF152" t="s">
        <v>304</v>
      </c>
      <c r="BG152" t="s">
        <v>78</v>
      </c>
      <c r="BH152" t="s">
        <v>792</v>
      </c>
      <c r="BI152" t="s">
        <v>70</v>
      </c>
      <c r="BJ152" t="s">
        <v>1545</v>
      </c>
      <c r="BK152" t="s">
        <v>3268</v>
      </c>
      <c r="BL152" t="s">
        <v>5293</v>
      </c>
      <c r="BM152" t="s">
        <v>3273</v>
      </c>
      <c r="BN152" t="s">
        <v>5</v>
      </c>
      <c r="BO152">
        <v>1.56</v>
      </c>
      <c r="BP152">
        <v>5.36</v>
      </c>
      <c r="BQ152">
        <v>-2.12</v>
      </c>
      <c r="BR152">
        <v>1.59</v>
      </c>
      <c r="BS152">
        <v>6.24</v>
      </c>
      <c r="BT152" t="s">
        <v>3274</v>
      </c>
      <c r="BU152" t="s">
        <v>1516</v>
      </c>
      <c r="BV152">
        <v>8.82</v>
      </c>
      <c r="BW152">
        <v>18.579999999999998</v>
      </c>
      <c r="BX152">
        <v>27.54</v>
      </c>
      <c r="BY152">
        <v>-8.42</v>
      </c>
      <c r="BZ152">
        <v>3.05</v>
      </c>
      <c r="CA152">
        <v>13.18</v>
      </c>
      <c r="CB152">
        <v>-7.91</v>
      </c>
      <c r="CC152">
        <v>-8.84</v>
      </c>
      <c r="CD152" t="s">
        <v>5294</v>
      </c>
      <c r="CE152" t="s">
        <v>5295</v>
      </c>
      <c r="CF152" s="8">
        <v>0.78500000000000003</v>
      </c>
      <c r="CG152" s="9">
        <v>-1.0587724207366627</v>
      </c>
      <c r="CH152" s="8">
        <v>-0.5102764368057251</v>
      </c>
      <c r="CI152" s="8">
        <v>0.12699685990810394</v>
      </c>
      <c r="CJ152" s="8">
        <v>0.23837783932685852</v>
      </c>
      <c r="CK152" s="8">
        <v>-0.24269667267799377</v>
      </c>
      <c r="CL152" s="8">
        <v>0.32835826277732849</v>
      </c>
      <c r="CM152" s="9">
        <v>4.811366081237793</v>
      </c>
      <c r="CN152" s="9">
        <v>-0.73877531290054321</v>
      </c>
      <c r="CO152" s="9">
        <v>0.21167883276939392</v>
      </c>
      <c r="CP152" s="9">
        <v>-0.44979920983314514</v>
      </c>
      <c r="CQ152" s="9">
        <v>0.41477271914482117</v>
      </c>
      <c r="CR152">
        <v>11.664739003245476</v>
      </c>
      <c r="CS152">
        <v>9.8452987552668478</v>
      </c>
      <c r="CT152">
        <v>0</v>
      </c>
      <c r="CU152" s="8">
        <v>-1.1848029494285584E-2</v>
      </c>
      <c r="CV152" s="9">
        <v>0.84984862208366396</v>
      </c>
      <c r="CW152">
        <v>0.06</v>
      </c>
      <c r="CX152" t="e">
        <v>#VALUE!</v>
      </c>
      <c r="CY152" t="s">
        <v>1203</v>
      </c>
      <c r="CZ152">
        <v>-1.1848029494285584E-2</v>
      </c>
      <c r="DA152">
        <v>0.71632843915343913</v>
      </c>
      <c r="DB152" t="s">
        <v>5296</v>
      </c>
      <c r="DC152">
        <v>-1.1255628019571305E-2</v>
      </c>
      <c r="DD152">
        <v>0.35816421957671957</v>
      </c>
      <c r="DE152" t="s">
        <v>5297</v>
      </c>
      <c r="DF152">
        <v>-1.0426265954971314E-2</v>
      </c>
      <c r="DG152">
        <v>0.21489853174603174</v>
      </c>
      <c r="DH152" t="s">
        <v>5298</v>
      </c>
      <c r="DI152">
        <v>-9.4784235954284684E-3</v>
      </c>
      <c r="DJ152">
        <v>0.10744926587301587</v>
      </c>
      <c r="DK152" t="s">
        <v>5299</v>
      </c>
      <c r="DL152">
        <v>-8.2936206459999079E-3</v>
      </c>
      <c r="DM152">
        <v>252000000</v>
      </c>
      <c r="DN152">
        <v>-1.1848029494285584E-2</v>
      </c>
      <c r="DO152">
        <v>541544300</v>
      </c>
      <c r="DP152">
        <v>782692400</v>
      </c>
      <c r="DQ152">
        <v>4714</v>
      </c>
      <c r="DR152">
        <v>0.79684802949428557</v>
      </c>
      <c r="DS152">
        <v>-1.9086210428203265</v>
      </c>
      <c r="DT152" s="10">
        <v>-0.49</v>
      </c>
      <c r="DU152">
        <v>-0.78166666666666673</v>
      </c>
      <c r="DV152">
        <v>-1.2716666666666667</v>
      </c>
      <c r="DW152">
        <v>-9.8947963800904972</v>
      </c>
      <c r="DX152">
        <v>0.356897726409515</v>
      </c>
      <c r="DY152">
        <v>-9.1224955900338518</v>
      </c>
      <c r="DZ152">
        <v>1552</v>
      </c>
      <c r="EA152">
        <v>-9.0852914499687767</v>
      </c>
      <c r="EB152">
        <v>9</v>
      </c>
      <c r="EC152">
        <v>6.1343848511960605E-2</v>
      </c>
      <c r="ED152">
        <v>0.44809980943047778</v>
      </c>
      <c r="EE152" s="11">
        <v>6.1410000000000006E-2</v>
      </c>
      <c r="EF152">
        <v>0.10240999999999999</v>
      </c>
      <c r="EG152">
        <v>22.136897726409515</v>
      </c>
      <c r="EH152">
        <v>-1</v>
      </c>
      <c r="EI152">
        <v>0</v>
      </c>
      <c r="EJ152">
        <v>0</v>
      </c>
      <c r="EK152" s="12">
        <v>45470</v>
      </c>
      <c r="EL152">
        <v>-2.9</v>
      </c>
      <c r="EM152">
        <v>-4.1399999999999997</v>
      </c>
      <c r="EN152">
        <v>-3.57</v>
      </c>
      <c r="EO152">
        <v>-2.62</v>
      </c>
      <c r="EP152">
        <v>-4.0999999999999996</v>
      </c>
    </row>
    <row r="153" spans="1:146" ht="144" x14ac:dyDescent="0.25">
      <c r="A153" s="6"/>
      <c r="B153" s="6"/>
      <c r="C153" s="6" t="str">
        <f>"公司主要从事贵金属催化剂的研发与生产,催化应用技术的研究开发,废旧贵金属催化剂的回收及再加工等业务。"&amp;CHAR(10)&amp;Basic_Fundamental_Information_Constructure(C153)&amp;CHAR(10)&amp;Basic_Fundamental_Information_Concatenate("均相催化剂 8.13亿 51.17% 46.35% 14.59%
多相催化剂 7.64亿 48.09% 52.53% 17.60%
其他业务 910.05万 0.57% 0.10% 2.67%
催化应用技术服务 272.36万 0.17% 1.02% 96.24%")</f>
        <v>公司主要从事贵金属催化剂的研发与生产,催化应用技术的研究开发,废旧贵金属催化剂的回收及再加工等业务。
市值34.270589亿, 利润1.13亿; PE41.23; 平均PE28.94; 平均PEG1.12, PB3.43; ROIC17.3867%; ROE20.2467%; 股利率1.9069%; 毛利15.81%; 净利9.7567%; 上一年度营收增-5.15%, 利润增-48.87%; 当季营收增-38.38%, 利润增-72.14%; 过往5年营收增25.8%, 利润增30.8%
Income profile:
均相催化剂 8.13亿 51.17% 46.35% 14.59%
多相催化剂 7.64亿 48.09% 52.53% 17.60%
其他业务 910.05万 0.57% 0.10% 2.67%
催化应用技术服务 272.36万 0.17% 1.02% 96.24%</v>
      </c>
      <c r="D153" t="s">
        <v>1586</v>
      </c>
      <c r="E153" t="s">
        <v>1587</v>
      </c>
      <c r="F153">
        <v>24.21</v>
      </c>
      <c r="G153">
        <v>0.46</v>
      </c>
      <c r="H153" t="s">
        <v>5300</v>
      </c>
      <c r="I153">
        <v>3164343800</v>
      </c>
      <c r="J153">
        <v>38.07</v>
      </c>
      <c r="K153">
        <v>3.17</v>
      </c>
      <c r="L153" t="s">
        <v>428</v>
      </c>
      <c r="M153" t="s">
        <v>636</v>
      </c>
      <c r="N153" t="s">
        <v>362</v>
      </c>
      <c r="O153" t="s">
        <v>518</v>
      </c>
      <c r="P153">
        <v>-38.35</v>
      </c>
      <c r="Q153" t="s">
        <v>200</v>
      </c>
      <c r="R153">
        <v>11496891</v>
      </c>
      <c r="S153" s="4">
        <v>-0.72140000000000004</v>
      </c>
      <c r="T153" t="s">
        <v>5301</v>
      </c>
      <c r="U153">
        <v>130704000</v>
      </c>
      <c r="V153">
        <v>130704000</v>
      </c>
      <c r="W153">
        <v>1.56</v>
      </c>
      <c r="X153">
        <v>0.2</v>
      </c>
      <c r="Y153">
        <v>3.77</v>
      </c>
      <c r="Z153" t="s">
        <v>1711</v>
      </c>
      <c r="AA153" t="s">
        <v>313</v>
      </c>
      <c r="AB153" t="s">
        <v>5302</v>
      </c>
      <c r="AC153" t="s">
        <v>5303</v>
      </c>
      <c r="AD153" t="s">
        <v>5</v>
      </c>
      <c r="AE153">
        <v>577107</v>
      </c>
      <c r="AF153" t="s">
        <v>32</v>
      </c>
      <c r="AG153" t="s">
        <v>2796</v>
      </c>
      <c r="AH153" t="s">
        <v>3275</v>
      </c>
      <c r="AI153" t="s">
        <v>582</v>
      </c>
      <c r="AJ153" t="s">
        <v>3276</v>
      </c>
      <c r="AK153" t="s">
        <v>5304</v>
      </c>
      <c r="AL153" t="s">
        <v>3277</v>
      </c>
      <c r="AM153" t="s">
        <v>5</v>
      </c>
      <c r="AN153" t="s">
        <v>5305</v>
      </c>
      <c r="AO153" t="s">
        <v>304</v>
      </c>
      <c r="AP153" t="s">
        <v>5</v>
      </c>
      <c r="AQ153" t="s">
        <v>5306</v>
      </c>
      <c r="AR153" t="s">
        <v>5</v>
      </c>
      <c r="AS153" t="s">
        <v>278</v>
      </c>
      <c r="AT153" t="s">
        <v>5307</v>
      </c>
      <c r="AU153" t="s">
        <v>5308</v>
      </c>
      <c r="AV153" t="s">
        <v>5309</v>
      </c>
      <c r="AW153" t="s">
        <v>5310</v>
      </c>
      <c r="AX153" t="s">
        <v>1916</v>
      </c>
      <c r="AY153" t="s">
        <v>595</v>
      </c>
      <c r="AZ153" t="s">
        <v>1162</v>
      </c>
      <c r="BA153" t="s">
        <v>1441</v>
      </c>
      <c r="BB153" t="s">
        <v>462</v>
      </c>
      <c r="BC153" t="s">
        <v>333</v>
      </c>
      <c r="BD153" t="s">
        <v>108</v>
      </c>
      <c r="BE153" t="s">
        <v>42</v>
      </c>
      <c r="BF153" t="s">
        <v>1588</v>
      </c>
      <c r="BG153" t="s">
        <v>1589</v>
      </c>
      <c r="BH153" t="s">
        <v>2049</v>
      </c>
      <c r="BI153" t="s">
        <v>5311</v>
      </c>
      <c r="BJ153" t="s">
        <v>1916</v>
      </c>
      <c r="BK153" t="s">
        <v>188</v>
      </c>
      <c r="BL153" t="s">
        <v>5312</v>
      </c>
      <c r="BM153" t="s">
        <v>333</v>
      </c>
      <c r="BN153">
        <v>8.0500000000000007</v>
      </c>
      <c r="BO153">
        <v>19.829999999999998</v>
      </c>
      <c r="BP153">
        <v>24.71</v>
      </c>
      <c r="BQ153">
        <v>9.99</v>
      </c>
      <c r="BR153">
        <v>24.62</v>
      </c>
      <c r="BS153">
        <v>27.01</v>
      </c>
      <c r="BT153" t="s">
        <v>1682</v>
      </c>
      <c r="BU153" t="s">
        <v>1516</v>
      </c>
      <c r="BV153">
        <v>11.99</v>
      </c>
      <c r="BW153">
        <v>17.97</v>
      </c>
      <c r="BX153">
        <v>16.11</v>
      </c>
      <c r="BY153">
        <v>6.32</v>
      </c>
      <c r="BZ153">
        <v>11.75</v>
      </c>
      <c r="CA153">
        <v>10.23</v>
      </c>
      <c r="CB153">
        <v>-5.24</v>
      </c>
      <c r="CC153">
        <v>-9.8000000000000007</v>
      </c>
      <c r="CD153" t="s">
        <v>5313</v>
      </c>
      <c r="CE153" t="s">
        <v>5314</v>
      </c>
      <c r="CF153" s="8">
        <v>6.32122410867097</v>
      </c>
      <c r="CG153" s="9">
        <v>0.58790257309779981</v>
      </c>
      <c r="CH153" s="8">
        <v>-0.85069072246551514</v>
      </c>
      <c r="CI153" s="8">
        <v>0.18439275026321411</v>
      </c>
      <c r="CJ153" s="8">
        <v>0.51045620441436768</v>
      </c>
      <c r="CK153" s="8">
        <v>0.4858756959438324</v>
      </c>
      <c r="CL153" s="8">
        <v>0.16065573692321777</v>
      </c>
      <c r="CM153" s="9">
        <v>-0.67203438282012939</v>
      </c>
      <c r="CN153" s="9">
        <v>0.35582822561264038</v>
      </c>
      <c r="CO153" s="9">
        <v>0.55238097906112671</v>
      </c>
      <c r="CP153" s="9">
        <v>0.60720765590667725</v>
      </c>
      <c r="CQ153" s="9">
        <v>0.5130622386932373</v>
      </c>
      <c r="CR153">
        <v>28.337876642433926</v>
      </c>
      <c r="CS153">
        <v>2.8875558891040471</v>
      </c>
      <c r="CT153">
        <v>2.0652622883106155</v>
      </c>
      <c r="CU153" s="8">
        <v>9.8137933015823367E-2</v>
      </c>
      <c r="CV153" s="9">
        <v>0.27128894329071046</v>
      </c>
      <c r="CW153">
        <v>0.06</v>
      </c>
      <c r="CX153">
        <v>35.802487192300497</v>
      </c>
      <c r="CY153">
        <v>75088185.509584978</v>
      </c>
      <c r="CZ153">
        <v>9.8137933015823367E-2</v>
      </c>
      <c r="DA153">
        <v>11.619645146654388</v>
      </c>
      <c r="DB153">
        <v>231361953.49081269</v>
      </c>
      <c r="DC153">
        <v>9.3231036365032188E-2</v>
      </c>
      <c r="DD153">
        <v>5.6674966772704858</v>
      </c>
      <c r="DE153">
        <v>474344133.41283667</v>
      </c>
      <c r="DF153">
        <v>8.636138105392456E-2</v>
      </c>
      <c r="DG153">
        <v>3.3680302271106903</v>
      </c>
      <c r="DH153">
        <v>798194677.22124088</v>
      </c>
      <c r="DI153">
        <v>7.8510346412658694E-2</v>
      </c>
      <c r="DJ153">
        <v>1.7001709792034023</v>
      </c>
      <c r="DK153">
        <v>1581219673.1293437</v>
      </c>
      <c r="DL153">
        <v>6.869655311107635E-2</v>
      </c>
      <c r="DM153">
        <v>72480400</v>
      </c>
      <c r="DN153">
        <v>9.8137933015823367E-2</v>
      </c>
      <c r="DO153">
        <v>2688343800</v>
      </c>
      <c r="DP153">
        <v>351513530</v>
      </c>
      <c r="DQ153">
        <v>4772</v>
      </c>
      <c r="DR153">
        <v>6.2230861756551468</v>
      </c>
      <c r="DS153">
        <v>0.31661362980708935</v>
      </c>
      <c r="DT153" s="10">
        <v>-0.27333333333333343</v>
      </c>
      <c r="DU153">
        <v>0.5033333333333333</v>
      </c>
      <c r="DV153">
        <v>0.22999999999999987</v>
      </c>
      <c r="DW153">
        <v>-8.534693877551021</v>
      </c>
      <c r="DX153">
        <v>0.2513608854597088</v>
      </c>
      <c r="DY153">
        <v>-8.0541970448784568</v>
      </c>
      <c r="DZ153">
        <v>680</v>
      </c>
      <c r="EA153">
        <v>-8.0469849136617544</v>
      </c>
      <c r="EB153">
        <v>8</v>
      </c>
      <c r="EC153">
        <v>2.1489013343126452E-2</v>
      </c>
      <c r="ED153">
        <v>0.21200498837066958</v>
      </c>
      <c r="EE153" s="11">
        <v>-6.0403099999999998</v>
      </c>
      <c r="EF153">
        <v>-6.0861099999999997</v>
      </c>
      <c r="EG153">
        <v>15.101360885459709</v>
      </c>
      <c r="EH153" t="s">
        <v>2164</v>
      </c>
      <c r="EI153">
        <v>0</v>
      </c>
      <c r="EJ153">
        <v>1</v>
      </c>
      <c r="EK153" s="12">
        <v>45470</v>
      </c>
      <c r="EL153">
        <v>-4.75</v>
      </c>
      <c r="EM153">
        <v>-8.33</v>
      </c>
      <c r="EN153">
        <v>-4.1500000000000004</v>
      </c>
      <c r="EO153">
        <v>1.1200000000000001</v>
      </c>
      <c r="EP153">
        <v>-4.58</v>
      </c>
    </row>
    <row r="154" spans="1:146" ht="96" x14ac:dyDescent="0.25">
      <c r="A154" s="6"/>
      <c r="B154" s="6"/>
      <c r="C154" s="6" t="str">
        <f>""&amp;CHAR(10)&amp;Basic_Fundamental_Information_Constructure(F154)&amp;CHAR(10)&amp;Basic_Fundamental_Information_Concatenate("")</f>
        <v xml:space="preserve">
市值13.680811亿, 利润568.85万; PE49.79; 平均PE16.5; 平均PEG2.42, PB.973; ROIC5.9133%; ROE6.74%; 股利率2.2143%; 毛利17.67%; 净利5.3267%; 上一年度营收增-80.61%, 利润增-95.56%; 当季营收增588.63%, 利润增247.31%; 过往5年营收增-6.82%, 利润增-4.58%
Income profile:
</v>
      </c>
      <c r="D154" t="s">
        <v>1075</v>
      </c>
      <c r="E154" t="s">
        <v>1076</v>
      </c>
      <c r="F154">
        <v>11.2</v>
      </c>
      <c r="G154">
        <v>2.4700000000000002</v>
      </c>
      <c r="H154" t="s">
        <v>5315</v>
      </c>
      <c r="I154">
        <v>1368081100</v>
      </c>
      <c r="J154">
        <v>49.79</v>
      </c>
      <c r="K154">
        <v>0.97299999999999998</v>
      </c>
      <c r="L154" t="s">
        <v>428</v>
      </c>
      <c r="M154" t="s">
        <v>2105</v>
      </c>
      <c r="N154" t="s">
        <v>2308</v>
      </c>
      <c r="O154" t="s">
        <v>287</v>
      </c>
      <c r="P154">
        <v>-3.28</v>
      </c>
      <c r="Q154" t="s">
        <v>496</v>
      </c>
      <c r="R154">
        <v>13737901</v>
      </c>
      <c r="S154" s="4">
        <v>1.9900000000000001E-2</v>
      </c>
      <c r="T154" t="s">
        <v>5316</v>
      </c>
      <c r="U154">
        <v>122150099</v>
      </c>
      <c r="V154">
        <v>122150099</v>
      </c>
      <c r="W154">
        <v>1.56</v>
      </c>
      <c r="X154">
        <v>0.15</v>
      </c>
      <c r="Y154">
        <v>3.29</v>
      </c>
      <c r="Z154" t="s">
        <v>143</v>
      </c>
      <c r="AA154" t="s">
        <v>44</v>
      </c>
      <c r="AB154" t="s">
        <v>5317</v>
      </c>
      <c r="AC154" t="s">
        <v>5318</v>
      </c>
      <c r="AD154" t="s">
        <v>5</v>
      </c>
      <c r="AE154">
        <v>516798</v>
      </c>
      <c r="AF154" t="s">
        <v>3280</v>
      </c>
      <c r="AG154" t="s">
        <v>5319</v>
      </c>
      <c r="AH154" t="s">
        <v>3281</v>
      </c>
      <c r="AI154" t="s">
        <v>1467</v>
      </c>
      <c r="AJ154" t="s">
        <v>3282</v>
      </c>
      <c r="AK154" t="s">
        <v>582</v>
      </c>
      <c r="AL154" t="s">
        <v>3283</v>
      </c>
      <c r="AM154" t="s">
        <v>5</v>
      </c>
      <c r="AN154" t="s">
        <v>285</v>
      </c>
      <c r="AO154" t="s">
        <v>5320</v>
      </c>
      <c r="AP154" t="s">
        <v>5321</v>
      </c>
      <c r="AQ154" t="s">
        <v>351</v>
      </c>
      <c r="AR154" t="s">
        <v>5</v>
      </c>
      <c r="AS154" t="s">
        <v>399</v>
      </c>
      <c r="AT154" t="s">
        <v>5322</v>
      </c>
      <c r="AU154" t="s">
        <v>5323</v>
      </c>
      <c r="AV154" t="s">
        <v>5324</v>
      </c>
      <c r="AW154" t="s">
        <v>5325</v>
      </c>
      <c r="AX154" t="s">
        <v>1461</v>
      </c>
      <c r="AY154" t="s">
        <v>1439</v>
      </c>
      <c r="AZ154" t="s">
        <v>369</v>
      </c>
      <c r="BA154" t="s">
        <v>417</v>
      </c>
      <c r="BB154" t="s">
        <v>915</v>
      </c>
      <c r="BC154" t="s">
        <v>26</v>
      </c>
      <c r="BD154" t="s">
        <v>173</v>
      </c>
      <c r="BE154" t="s">
        <v>42</v>
      </c>
      <c r="BF154" t="s">
        <v>1077</v>
      </c>
      <c r="BG154" t="s">
        <v>1078</v>
      </c>
      <c r="BH154" t="s">
        <v>2088</v>
      </c>
      <c r="BI154" t="s">
        <v>5326</v>
      </c>
      <c r="BJ154" t="s">
        <v>1461</v>
      </c>
      <c r="BK154" t="s">
        <v>3279</v>
      </c>
      <c r="BL154" t="s">
        <v>5327</v>
      </c>
      <c r="BM154" t="s">
        <v>26</v>
      </c>
      <c r="BN154">
        <v>1.73</v>
      </c>
      <c r="BO154">
        <v>7.2</v>
      </c>
      <c r="BP154">
        <v>8.81</v>
      </c>
      <c r="BQ154">
        <v>2.9</v>
      </c>
      <c r="BR154">
        <v>9.2100000000000009</v>
      </c>
      <c r="BS154">
        <v>8.11</v>
      </c>
      <c r="BT154" t="s">
        <v>1917</v>
      </c>
      <c r="BU154" t="s">
        <v>1516</v>
      </c>
      <c r="BV154">
        <v>14.65</v>
      </c>
      <c r="BW154">
        <v>18.54</v>
      </c>
      <c r="BX154">
        <v>19.82</v>
      </c>
      <c r="BY154">
        <v>1.0900000000000001</v>
      </c>
      <c r="BZ154">
        <v>7.5</v>
      </c>
      <c r="CA154">
        <v>7.39</v>
      </c>
      <c r="CB154">
        <v>-1.84</v>
      </c>
      <c r="CC154">
        <v>-14.19</v>
      </c>
      <c r="CD154" t="s">
        <v>5328</v>
      </c>
      <c r="CE154" t="s">
        <v>5329</v>
      </c>
      <c r="CF154" s="8">
        <v>5.8862729150801698</v>
      </c>
      <c r="CG154" s="9">
        <v>2.473059585464449</v>
      </c>
      <c r="CH154" s="8">
        <v>-0.80612850189208984</v>
      </c>
      <c r="CI154" s="8">
        <v>0.16873273253440857</v>
      </c>
      <c r="CJ154" s="8">
        <v>0.27929508686065674</v>
      </c>
      <c r="CK154" s="8">
        <v>4.4248355552554131E-3</v>
      </c>
      <c r="CL154" s="8">
        <v>1.2544803321361542E-2</v>
      </c>
      <c r="CM154" s="9">
        <v>-0.95555859804153442</v>
      </c>
      <c r="CN154" s="9">
        <v>0.1962616890668869</v>
      </c>
      <c r="CO154" s="9">
        <v>1.904761977493763E-2</v>
      </c>
      <c r="CP154" s="9">
        <v>0.23172934353351593</v>
      </c>
      <c r="CQ154" s="9">
        <v>0.27958762645721436</v>
      </c>
      <c r="CR154">
        <v>16.497666586809402</v>
      </c>
      <c r="CS154">
        <v>2.4180834455463871</v>
      </c>
      <c r="CT154">
        <v>2.2142857142857144</v>
      </c>
      <c r="CU154" s="8">
        <v>-6.8226208724081513E-2</v>
      </c>
      <c r="CV154" s="9">
        <v>-4.5786463841795924E-2</v>
      </c>
      <c r="CW154">
        <v>0.06</v>
      </c>
      <c r="CX154">
        <v>125.35485628900413</v>
      </c>
      <c r="CY154" t="s">
        <v>5330</v>
      </c>
      <c r="CZ154">
        <v>-6.8226208724081513E-2</v>
      </c>
      <c r="DA154">
        <v>41.784952096334713</v>
      </c>
      <c r="DB154" t="s">
        <v>5331</v>
      </c>
      <c r="DC154">
        <v>-6.481489828787744E-2</v>
      </c>
      <c r="DD154">
        <v>20.892476048167357</v>
      </c>
      <c r="DE154" t="s">
        <v>5332</v>
      </c>
      <c r="DF154">
        <v>-6.003906367719173E-2</v>
      </c>
      <c r="DG154">
        <v>12.535485628900414</v>
      </c>
      <c r="DH154" t="s">
        <v>5333</v>
      </c>
      <c r="DI154">
        <v>-5.4580966979265212E-2</v>
      </c>
      <c r="DJ154">
        <v>6.267742814450207</v>
      </c>
      <c r="DK154" t="s">
        <v>5334</v>
      </c>
      <c r="DL154">
        <v>-4.7758346106857058E-2</v>
      </c>
      <c r="DM154">
        <v>5688500</v>
      </c>
      <c r="DN154">
        <v>-6.8226208724081513E-2</v>
      </c>
      <c r="DO154">
        <v>713081100</v>
      </c>
      <c r="DP154">
        <v>843751310</v>
      </c>
      <c r="DQ154">
        <v>4843</v>
      </c>
      <c r="DR154">
        <v>5.9544991238042515</v>
      </c>
      <c r="DS154">
        <v>2.5188460493062448</v>
      </c>
      <c r="DT154" s="10">
        <v>-0.49</v>
      </c>
      <c r="DU154">
        <v>3.3333333333333291E-2</v>
      </c>
      <c r="DV154">
        <v>-0.45666666666666672</v>
      </c>
      <c r="DW154">
        <v>-2.1419000000000001</v>
      </c>
      <c r="DX154">
        <v>0.38830087543202452</v>
      </c>
      <c r="DY154">
        <v>-2.0210438942238045</v>
      </c>
      <c r="DZ154">
        <v>887</v>
      </c>
      <c r="EA154">
        <v>-2.0173910695317274</v>
      </c>
      <c r="EB154">
        <v>2</v>
      </c>
      <c r="EC154">
        <v>2.346539236124565E-2</v>
      </c>
      <c r="ED154">
        <v>0.15822827945477147</v>
      </c>
      <c r="EE154" s="11">
        <v>-3.0095000000000001</v>
      </c>
      <c r="EF154">
        <v>-3.0255100000000001</v>
      </c>
      <c r="EG154">
        <v>24.148300875432025</v>
      </c>
      <c r="EH154" t="s">
        <v>2025</v>
      </c>
      <c r="EI154">
        <v>0</v>
      </c>
      <c r="EJ154">
        <v>1</v>
      </c>
      <c r="EK154" s="12">
        <v>45470</v>
      </c>
      <c r="EL154">
        <v>-1.91</v>
      </c>
      <c r="EM154">
        <v>-4.6399999999999997</v>
      </c>
      <c r="EN154">
        <v>-0.45</v>
      </c>
      <c r="EO154">
        <v>6.99</v>
      </c>
      <c r="EP154">
        <v>-3.5</v>
      </c>
    </row>
    <row r="155" spans="1:146" ht="228" x14ac:dyDescent="0.25">
      <c r="A155" s="6" t="s">
        <v>1668</v>
      </c>
      <c r="B155" s="6" t="s">
        <v>1667</v>
      </c>
      <c r="C155" s="6" t="str">
        <f>"公司主要从事无机非金属多孔晶体材料分子筛吸附剂相关产品研发、生产、销售及技术服务的业务,主要产品为医疗保健制氧分子筛、工业制氧分子筛、制氢分子筛、气体干燥与净化用分子筛、煤化工及石油化工领域分子筛、环境保护领域分子筛、建筑材料领域分子筛。"&amp;CHAR(10)&amp;Basic_Fundamental_Information_Constructure(F155)&amp;CHAR(10)&amp;Basic_Fundamental_Information_Concatenate("成型分子筛 7.41亿 84.48% 92.05% 50.71%
分子筛原粉 8474.52万 9.66% 4.29% 20.69%
分子筛活化粉 3196.03万 3.64% 2.52% 32.23%
活性氧化铝 1933.64万 2.20% 1.13% 23.85%
其他 19.25万 0.02% 0.0071% 15.09%")</f>
        <v>公司主要从事无机非金属多孔晶体材料分子筛吸附剂相关产品研发、生产、销售及技术服务的业务,主要产品为医疗保健制氧分子筛、工业制氧分子筛、制氢分子筛、气体干燥与净化用分子筛、煤化工及石油化工领域分子筛、环境保护领域分子筛、建筑材料领域分子筛。
市值21.622617亿, 利润1.46亿; PE17.42; 平均PE14.76; 平均PEG1.1, PB1.29; ROIC15.05%; ROE15.3833%; 股利率2.7765%; 毛利36.5733%; 净利23.43%; 上一年度营收增-43.33%, 利润增-26.26%; 当季营收增16.36%, 利润增-39.75%; 过往5年营收增13.39%, 利润增38.53%
Income profile:
成型分子筛 7.41亿 84.48% 92.05% 50.71%
分子筛原粉 8474.52万 9.66% 4.29% 20.69%
分子筛活化粉 3196.03万 3.64% 2.52% 32.23%
活性氧化铝 1933.64万 2.20% 1.13% 23.85%
其他 19.25万 0.02% 0.0071% 15.09%</v>
      </c>
      <c r="D155" t="s">
        <v>1509</v>
      </c>
      <c r="E155" t="s">
        <v>1510</v>
      </c>
      <c r="F155">
        <v>21.61</v>
      </c>
      <c r="G155">
        <v>1.79</v>
      </c>
      <c r="H155" t="s">
        <v>3215</v>
      </c>
      <c r="I155">
        <v>2162261700</v>
      </c>
      <c r="J155">
        <v>17.420000000000002</v>
      </c>
      <c r="K155">
        <v>1.29</v>
      </c>
      <c r="L155" t="s">
        <v>428</v>
      </c>
      <c r="M155" t="s">
        <v>2148</v>
      </c>
      <c r="N155" t="s">
        <v>5335</v>
      </c>
      <c r="O155" t="s">
        <v>205</v>
      </c>
      <c r="P155">
        <v>-41.18</v>
      </c>
      <c r="Q155" t="s">
        <v>479</v>
      </c>
      <c r="R155">
        <v>31638902</v>
      </c>
      <c r="S155" s="4">
        <v>-0.47739999999999999</v>
      </c>
      <c r="T155" t="s">
        <v>110</v>
      </c>
      <c r="U155">
        <v>100058386</v>
      </c>
      <c r="V155">
        <v>100058386</v>
      </c>
      <c r="W155">
        <v>1.66</v>
      </c>
      <c r="X155">
        <v>0.06</v>
      </c>
      <c r="Y155">
        <v>16.5</v>
      </c>
      <c r="Z155" t="s">
        <v>51</v>
      </c>
      <c r="AA155" t="s">
        <v>26</v>
      </c>
      <c r="AB155" t="s">
        <v>5336</v>
      </c>
      <c r="AC155" t="s">
        <v>5337</v>
      </c>
      <c r="AD155" t="s">
        <v>5</v>
      </c>
      <c r="AE155">
        <v>-1098717</v>
      </c>
      <c r="AF155" t="s">
        <v>3285</v>
      </c>
      <c r="AG155" t="s">
        <v>5</v>
      </c>
      <c r="AH155" t="s">
        <v>3286</v>
      </c>
      <c r="AI155" t="s">
        <v>2115</v>
      </c>
      <c r="AJ155" t="s">
        <v>3287</v>
      </c>
      <c r="AK155" t="s">
        <v>5338</v>
      </c>
      <c r="AL155" t="s">
        <v>3288</v>
      </c>
      <c r="AM155" t="s">
        <v>5</v>
      </c>
      <c r="AN155" t="s">
        <v>398</v>
      </c>
      <c r="AO155" t="s">
        <v>2152</v>
      </c>
      <c r="AP155" t="s">
        <v>108</v>
      </c>
      <c r="AQ155" t="s">
        <v>406</v>
      </c>
      <c r="AR155" t="s">
        <v>5</v>
      </c>
      <c r="AS155" t="s">
        <v>106</v>
      </c>
      <c r="AT155" t="s">
        <v>3289</v>
      </c>
      <c r="AU155" t="s">
        <v>5339</v>
      </c>
      <c r="AV155" t="s">
        <v>139</v>
      </c>
      <c r="AW155" t="s">
        <v>5340</v>
      </c>
      <c r="AX155" t="s">
        <v>191</v>
      </c>
      <c r="AY155" t="s">
        <v>302</v>
      </c>
      <c r="AZ155" t="s">
        <v>391</v>
      </c>
      <c r="BA155" t="s">
        <v>366</v>
      </c>
      <c r="BB155" t="s">
        <v>666</v>
      </c>
      <c r="BC155" t="s">
        <v>175</v>
      </c>
      <c r="BD155" t="s">
        <v>349</v>
      </c>
      <c r="BE155" t="s">
        <v>37</v>
      </c>
      <c r="BF155" t="s">
        <v>1511</v>
      </c>
      <c r="BG155" t="s">
        <v>1512</v>
      </c>
      <c r="BH155" t="s">
        <v>2045</v>
      </c>
      <c r="BI155" t="s">
        <v>341</v>
      </c>
      <c r="BJ155" t="s">
        <v>191</v>
      </c>
      <c r="BK155" t="s">
        <v>1235</v>
      </c>
      <c r="BL155" t="s">
        <v>5341</v>
      </c>
      <c r="BM155" t="s">
        <v>175</v>
      </c>
      <c r="BN155">
        <v>6.56</v>
      </c>
      <c r="BO155">
        <v>14.04</v>
      </c>
      <c r="BP155">
        <v>24.55</v>
      </c>
      <c r="BQ155">
        <v>8.1</v>
      </c>
      <c r="BR155">
        <v>13.89</v>
      </c>
      <c r="BS155">
        <v>24.16</v>
      </c>
      <c r="BT155" t="s">
        <v>3290</v>
      </c>
      <c r="BU155" t="s">
        <v>1516</v>
      </c>
      <c r="BV155">
        <v>30.28</v>
      </c>
      <c r="BW155">
        <v>32.9</v>
      </c>
      <c r="BX155">
        <v>46.54</v>
      </c>
      <c r="BY155">
        <v>15.74</v>
      </c>
      <c r="BZ155">
        <v>23.17</v>
      </c>
      <c r="CA155">
        <v>31.38</v>
      </c>
      <c r="CB155">
        <v>-7.25</v>
      </c>
      <c r="CC155">
        <v>-25.67</v>
      </c>
      <c r="CD155" t="s">
        <v>5342</v>
      </c>
      <c r="CE155" t="s">
        <v>5343</v>
      </c>
      <c r="CF155" s="8">
        <v>0.16363636363636364</v>
      </c>
      <c r="CG155" s="9">
        <v>-0.39751376302274255</v>
      </c>
      <c r="CH155" s="8">
        <v>-0.43325525522232056</v>
      </c>
      <c r="CI155" s="8">
        <v>-2.7334852144122124E-2</v>
      </c>
      <c r="CJ155" s="8">
        <v>0.94247788190841675</v>
      </c>
      <c r="CK155" s="8">
        <v>0.11330049484968185</v>
      </c>
      <c r="CL155" s="8">
        <v>7.4074074625968933E-2</v>
      </c>
      <c r="CM155" s="9">
        <v>-0.26262626051902771</v>
      </c>
      <c r="CN155" s="9">
        <v>-0.2800000011920929</v>
      </c>
      <c r="CO155" s="9">
        <v>1.1653543710708618</v>
      </c>
      <c r="CP155" s="9">
        <v>0.4766857922077179</v>
      </c>
      <c r="CQ155" s="9">
        <v>0.82704126834869385</v>
      </c>
      <c r="CR155">
        <v>14.758191186904339</v>
      </c>
      <c r="CS155">
        <v>1.1025714593704741</v>
      </c>
      <c r="CT155">
        <v>2.7764923646459971</v>
      </c>
      <c r="CU155" s="8">
        <v>0.13385246880352497</v>
      </c>
      <c r="CV155" s="9">
        <v>0.38529103398323061</v>
      </c>
      <c r="CW155">
        <v>0.06</v>
      </c>
      <c r="CX155">
        <v>10.330022867848466</v>
      </c>
      <c r="CY155">
        <v>156172132.49557984</v>
      </c>
      <c r="CZ155">
        <v>0.13385246880352497</v>
      </c>
      <c r="DA155">
        <v>3.2533086531382245</v>
      </c>
      <c r="DB155">
        <v>495883382.73523688</v>
      </c>
      <c r="DC155">
        <v>0.12715984536334871</v>
      </c>
      <c r="DD155">
        <v>1.5230951130478998</v>
      </c>
      <c r="DE155">
        <v>1059199577.3472519</v>
      </c>
      <c r="DF155">
        <v>0.11779017254710197</v>
      </c>
      <c r="DG155">
        <v>0.86331108996059702</v>
      </c>
      <c r="DH155">
        <v>1868691041.6888449</v>
      </c>
      <c r="DI155">
        <v>0.10708197504281998</v>
      </c>
      <c r="DJ155">
        <v>0.39135233675982084</v>
      </c>
      <c r="DK155">
        <v>4122274350.9260931</v>
      </c>
      <c r="DL155">
        <v>9.3696728162467477E-2</v>
      </c>
      <c r="DM155">
        <v>146000000</v>
      </c>
      <c r="DN155">
        <v>0.13385246880352497</v>
      </c>
      <c r="DO155">
        <v>1613261700.0000002</v>
      </c>
      <c r="DP155">
        <v>1043324000</v>
      </c>
      <c r="DQ155">
        <v>4849</v>
      </c>
      <c r="DR155">
        <v>2.9783894832838664E-2</v>
      </c>
      <c r="DS155">
        <v>-0.78280479700597316</v>
      </c>
      <c r="DT155" s="10">
        <v>-0.34</v>
      </c>
      <c r="DU155">
        <v>4.6666666666666669E-2</v>
      </c>
      <c r="DV155">
        <v>-0.29333333333333333</v>
      </c>
      <c r="DW155">
        <v>-9.2824308531359563</v>
      </c>
      <c r="DX155">
        <v>0.54526661461442849</v>
      </c>
      <c r="DY155">
        <v>-9.0607979336172431</v>
      </c>
      <c r="DZ155">
        <v>1652</v>
      </c>
      <c r="EA155">
        <v>-9.0411427112423528</v>
      </c>
      <c r="EB155">
        <v>9</v>
      </c>
      <c r="EC155">
        <v>3.7474120360086557E-2</v>
      </c>
      <c r="ED155">
        <v>0.17408236027313093</v>
      </c>
      <c r="EE155" s="11">
        <v>-2.0059</v>
      </c>
      <c r="EF155">
        <v>-2.0339100000000001</v>
      </c>
      <c r="EG155">
        <v>33.215266614614428</v>
      </c>
      <c r="EH155" t="s">
        <v>1710</v>
      </c>
      <c r="EI155">
        <v>0</v>
      </c>
      <c r="EJ155">
        <v>0</v>
      </c>
      <c r="EK155" s="12">
        <v>45470</v>
      </c>
      <c r="EL155">
        <v>-0.37</v>
      </c>
      <c r="EM155">
        <v>-5.8</v>
      </c>
      <c r="EN155">
        <v>0.28000000000000003</v>
      </c>
      <c r="EO155">
        <v>5.75</v>
      </c>
      <c r="EP155">
        <v>-3.98</v>
      </c>
    </row>
    <row r="156" spans="1:146" ht="168" x14ac:dyDescent="0.25">
      <c r="A156" s="6" t="s">
        <v>1665</v>
      </c>
      <c r="B156" s="6" t="s">
        <v>1666</v>
      </c>
      <c r="C156" s="6" t="str">
        <f>"公司是一家从事真空绝热材料制造技术开发及其应用研究的高新技术企业。主要产品有真空绝热板、保温箱、阻隔袋。主要产品为真空绝热板、保温箱、阻隔膜等。"&amp;CHAR(10)&amp;Basic_Fundamental_Information_Constructure(F156)&amp;CHAR(10)&amp;Basic_Fundamental_Information_Concatenate("真空绝热板 6.81亿 95.71% 96.69% 32.48%
保温箱 1914.12万 2.69% 2.90% 34.66%")</f>
        <v>公司是一家从事真空绝热材料制造技术开发及其应用研究的高新技术企业。主要产品有真空绝热板、保温箱、阻隔袋。主要产品为真空绝热板、保温箱、阻隔膜等。
市值27.638922亿, 利润-3.74亿; PE22.4; 平均PE1359.12; 平均PEG137.11, PB2.64; ROIC8.5233%; ROE9.3933%; 股利率2.4287%; 毛利30.5933%; 净利12.8833%; 上一年度营收增-36.83%, 利润增-685.64%; 当季营收增137.1%, 利润增247.59%; 过往5年营收增9.91%, 利润增-119.82%
Income profile:
真空绝热板 6.81亿 95.71% 96.69% 32.48%
保温箱 1914.12万 2.69% 2.90% 34.66%</v>
      </c>
      <c r="D156" t="s">
        <v>1079</v>
      </c>
      <c r="E156" t="s">
        <v>1080</v>
      </c>
      <c r="F156">
        <v>16.47</v>
      </c>
      <c r="G156">
        <v>0.18</v>
      </c>
      <c r="H156" t="s">
        <v>5344</v>
      </c>
      <c r="I156">
        <v>2763892200</v>
      </c>
      <c r="J156">
        <v>22.4</v>
      </c>
      <c r="K156">
        <v>2.64</v>
      </c>
      <c r="L156" t="s">
        <v>428</v>
      </c>
      <c r="M156" t="s">
        <v>2603</v>
      </c>
      <c r="N156" t="s">
        <v>5345</v>
      </c>
      <c r="O156" t="s">
        <v>444</v>
      </c>
      <c r="P156">
        <v>46.39</v>
      </c>
      <c r="Q156" t="s">
        <v>232</v>
      </c>
      <c r="R156">
        <v>28668808</v>
      </c>
      <c r="S156" s="4">
        <v>1.5209999999999999</v>
      </c>
      <c r="T156" t="s">
        <v>5176</v>
      </c>
      <c r="U156">
        <v>167813740</v>
      </c>
      <c r="V156">
        <v>167813740</v>
      </c>
      <c r="W156">
        <v>1.7</v>
      </c>
      <c r="X156">
        <v>0.12</v>
      </c>
      <c r="Y156">
        <v>12.83</v>
      </c>
      <c r="Z156" t="s">
        <v>33</v>
      </c>
      <c r="AA156" t="s">
        <v>110</v>
      </c>
      <c r="AB156" t="s">
        <v>5346</v>
      </c>
      <c r="AC156" t="s">
        <v>5347</v>
      </c>
      <c r="AD156" t="s">
        <v>5</v>
      </c>
      <c r="AE156">
        <v>5027961</v>
      </c>
      <c r="AF156" t="s">
        <v>3292</v>
      </c>
      <c r="AG156">
        <v>-1019.55</v>
      </c>
      <c r="AH156" t="s">
        <v>3293</v>
      </c>
      <c r="AI156" t="s">
        <v>65</v>
      </c>
      <c r="AJ156" t="s">
        <v>3294</v>
      </c>
      <c r="AK156" t="s">
        <v>5348</v>
      </c>
      <c r="AL156" t="s">
        <v>3295</v>
      </c>
      <c r="AM156" t="s">
        <v>5</v>
      </c>
      <c r="AN156" t="s">
        <v>366</v>
      </c>
      <c r="AO156" t="s">
        <v>2073</v>
      </c>
      <c r="AP156" t="s">
        <v>5349</v>
      </c>
      <c r="AQ156" t="s">
        <v>172</v>
      </c>
      <c r="AR156" t="s">
        <v>5</v>
      </c>
      <c r="AS156" t="s">
        <v>242</v>
      </c>
      <c r="AT156" t="s">
        <v>56</v>
      </c>
      <c r="AU156" t="s">
        <v>5350</v>
      </c>
      <c r="AV156" t="s">
        <v>5351</v>
      </c>
      <c r="AW156" t="s">
        <v>5352</v>
      </c>
      <c r="AX156" t="s">
        <v>511</v>
      </c>
      <c r="AY156" t="s">
        <v>510</v>
      </c>
      <c r="AZ156" t="s">
        <v>500</v>
      </c>
      <c r="BA156" t="s">
        <v>665</v>
      </c>
      <c r="BB156" t="s">
        <v>73</v>
      </c>
      <c r="BC156" t="s">
        <v>1918</v>
      </c>
      <c r="BD156" t="s">
        <v>74</v>
      </c>
      <c r="BE156" t="s">
        <v>1473</v>
      </c>
      <c r="BF156" t="s">
        <v>1081</v>
      </c>
      <c r="BG156" t="s">
        <v>1082</v>
      </c>
      <c r="BH156" t="s">
        <v>3291</v>
      </c>
      <c r="BI156" t="s">
        <v>5353</v>
      </c>
      <c r="BJ156" t="s">
        <v>511</v>
      </c>
      <c r="BK156" t="s">
        <v>94</v>
      </c>
      <c r="BL156" t="s">
        <v>5354</v>
      </c>
      <c r="BM156" t="s">
        <v>1918</v>
      </c>
      <c r="BN156">
        <v>6.13</v>
      </c>
      <c r="BO156">
        <v>6.72</v>
      </c>
      <c r="BP156">
        <v>12.72</v>
      </c>
      <c r="BQ156">
        <v>8.1199999999999992</v>
      </c>
      <c r="BR156">
        <v>6.93</v>
      </c>
      <c r="BS156">
        <v>13.13</v>
      </c>
      <c r="BT156" t="s">
        <v>3296</v>
      </c>
      <c r="BU156" t="s">
        <v>1516</v>
      </c>
      <c r="BV156">
        <v>33.03</v>
      </c>
      <c r="BW156">
        <v>26.6</v>
      </c>
      <c r="BX156">
        <v>32.15</v>
      </c>
      <c r="BY156">
        <v>12.63</v>
      </c>
      <c r="BZ156">
        <v>10.01</v>
      </c>
      <c r="CA156">
        <v>16.010000000000002</v>
      </c>
      <c r="CB156">
        <v>-6.31</v>
      </c>
      <c r="CC156">
        <v>-21.85</v>
      </c>
      <c r="CD156" t="s">
        <v>5355</v>
      </c>
      <c r="CE156" t="s">
        <v>5356</v>
      </c>
      <c r="CF156" s="8">
        <v>1.3709859367574053</v>
      </c>
      <c r="CG156" s="9">
        <v>2.4759476935749589</v>
      </c>
      <c r="CH156" s="8">
        <v>-0.36833855509757996</v>
      </c>
      <c r="CI156" s="8">
        <v>-0.10267229378223419</v>
      </c>
      <c r="CJ156" s="8">
        <v>0.37790697813034058</v>
      </c>
      <c r="CK156" s="8">
        <v>0.28678303956985474</v>
      </c>
      <c r="CL156" s="8">
        <v>0.30194804072380066</v>
      </c>
      <c r="CM156" s="9">
        <v>-6.8564052581787109</v>
      </c>
      <c r="CN156" s="9">
        <v>-0.439809650182724</v>
      </c>
      <c r="CO156" s="9">
        <v>0.22118957340717316</v>
      </c>
      <c r="CP156" s="9">
        <v>0.25598016381263733</v>
      </c>
      <c r="CQ156" s="9">
        <v>0.82786834239959717</v>
      </c>
      <c r="CR156">
        <v>1359.1241404745319</v>
      </c>
      <c r="CS156">
        <v>137.11153406251552</v>
      </c>
      <c r="CT156">
        <v>2.4286581663630846</v>
      </c>
      <c r="CU156" s="8">
        <v>9.9125441908836362E-2</v>
      </c>
      <c r="CV156" s="9">
        <v>-1.1982353657484055</v>
      </c>
      <c r="CW156">
        <v>0.06</v>
      </c>
      <c r="CX156" t="e">
        <v>#VALUE!</v>
      </c>
      <c r="CY156" t="s">
        <v>1179</v>
      </c>
      <c r="CZ156">
        <v>9.9125441908836362E-2</v>
      </c>
      <c r="DA156" t="e">
        <v>#VALUE!</v>
      </c>
      <c r="DB156" t="s">
        <v>1179</v>
      </c>
      <c r="DC156">
        <v>9.4169169813394543E-2</v>
      </c>
      <c r="DD156" t="e">
        <v>#VALUE!</v>
      </c>
      <c r="DE156" t="s">
        <v>1179</v>
      </c>
      <c r="DF156">
        <v>8.7230388879775994E-2</v>
      </c>
      <c r="DG156" t="e">
        <v>#VALUE!</v>
      </c>
      <c r="DH156" t="s">
        <v>1179</v>
      </c>
      <c r="DI156">
        <v>7.9300353527069101E-2</v>
      </c>
      <c r="DJ156" t="e">
        <v>#VALUE!</v>
      </c>
      <c r="DK156" t="s">
        <v>1179</v>
      </c>
      <c r="DL156">
        <v>6.9387809336185449E-2</v>
      </c>
      <c r="DM156">
        <v>-374000000</v>
      </c>
      <c r="DN156">
        <v>9.9125441908836362E-2</v>
      </c>
      <c r="DO156">
        <v>2334892200</v>
      </c>
      <c r="DP156">
        <v>734648060</v>
      </c>
      <c r="DQ156">
        <v>4885</v>
      </c>
      <c r="DR156">
        <v>1.271860494848569</v>
      </c>
      <c r="DS156">
        <v>3.6741830593233642</v>
      </c>
      <c r="DT156" s="10">
        <v>-0.25666666666666677</v>
      </c>
      <c r="DU156">
        <v>-9.999999999999936E-3</v>
      </c>
      <c r="DV156">
        <v>-0.26666666666666672</v>
      </c>
      <c r="DW156">
        <v>-9.2887871853546908</v>
      </c>
      <c r="DX156">
        <v>0.4680488499782251</v>
      </c>
      <c r="DY156">
        <v>-9.0514182262408518</v>
      </c>
      <c r="DZ156">
        <v>204</v>
      </c>
      <c r="EA156">
        <v>-9.0493655221012954</v>
      </c>
      <c r="EB156">
        <v>9</v>
      </c>
      <c r="EC156">
        <v>2.6067591366475712E-2</v>
      </c>
      <c r="ED156">
        <v>0.1464069628625165</v>
      </c>
      <c r="EE156" s="11">
        <v>1.0099100000000001</v>
      </c>
      <c r="EF156">
        <v>1.00691</v>
      </c>
      <c r="EG156">
        <v>29.178048849978225</v>
      </c>
      <c r="EH156" t="s">
        <v>1693</v>
      </c>
      <c r="EI156">
        <v>0</v>
      </c>
      <c r="EJ156">
        <v>1</v>
      </c>
      <c r="EK156" s="12">
        <v>45470</v>
      </c>
      <c r="EL156">
        <v>0.11</v>
      </c>
      <c r="EM156">
        <v>-3.7</v>
      </c>
      <c r="EN156">
        <v>2.2400000000000002</v>
      </c>
      <c r="EO156">
        <v>3.28</v>
      </c>
      <c r="EP156">
        <v>0.3</v>
      </c>
    </row>
    <row r="157" spans="1:146" ht="96" x14ac:dyDescent="0.25">
      <c r="A157" s="6"/>
      <c r="B157" s="6"/>
      <c r="C157" s="6" t="str">
        <f>""&amp;CHAR(10)&amp;Basic_Fundamental_Information_Constructure(F157)&amp;CHAR(10)&amp;Basic_Fundamental_Information_Concatenate("")</f>
        <v xml:space="preserve">
市值21.4656亿, 利润5835.41万; PE15.88; 平均PE24.91; 平均PEG4.15, PB1.45; ROIC6.1167%; ROE6.66%; 股利率2.907%; 毛利21.63%; 净利9.0867%; 上一年度营收增-47.85%, 利润增-26.67%; 当季营收增303.76%, 利润增245.86%; 过往5年营收增-6.01%, 利润增.61%
Income profile:
</v>
      </c>
      <c r="D157" t="s">
        <v>1083</v>
      </c>
      <c r="E157" t="s">
        <v>1084</v>
      </c>
      <c r="F157">
        <v>5.16</v>
      </c>
      <c r="G157">
        <v>1.18</v>
      </c>
      <c r="H157" t="s">
        <v>5357</v>
      </c>
      <c r="I157">
        <v>2146560000</v>
      </c>
      <c r="J157">
        <v>15.88</v>
      </c>
      <c r="K157">
        <v>1.45</v>
      </c>
      <c r="L157" t="s">
        <v>428</v>
      </c>
      <c r="M157" t="s">
        <v>358</v>
      </c>
      <c r="N157" t="s">
        <v>577</v>
      </c>
      <c r="O157" t="s">
        <v>161</v>
      </c>
      <c r="P157">
        <v>15.81</v>
      </c>
      <c r="Q157" t="s">
        <v>468</v>
      </c>
      <c r="R157">
        <v>26100617</v>
      </c>
      <c r="S157" s="4">
        <v>0.8952</v>
      </c>
      <c r="T157" t="s">
        <v>5358</v>
      </c>
      <c r="U157">
        <v>416000000</v>
      </c>
      <c r="V157">
        <v>416000000</v>
      </c>
      <c r="W157">
        <v>1.25</v>
      </c>
      <c r="X157">
        <v>0.15</v>
      </c>
      <c r="Y157">
        <v>9.1</v>
      </c>
      <c r="Z157" t="s">
        <v>120</v>
      </c>
      <c r="AA157" t="s">
        <v>224</v>
      </c>
      <c r="AB157" t="s">
        <v>5359</v>
      </c>
      <c r="AC157" t="s">
        <v>5360</v>
      </c>
      <c r="AD157" t="s">
        <v>5</v>
      </c>
      <c r="AE157">
        <v>-1199875</v>
      </c>
      <c r="AF157" t="s">
        <v>3298</v>
      </c>
      <c r="AG157" t="s">
        <v>2364</v>
      </c>
      <c r="AH157" t="s">
        <v>3299</v>
      </c>
      <c r="AI157" t="s">
        <v>599</v>
      </c>
      <c r="AJ157" t="s">
        <v>3300</v>
      </c>
      <c r="AK157" t="s">
        <v>5361</v>
      </c>
      <c r="AL157" t="s">
        <v>3301</v>
      </c>
      <c r="AM157" t="s">
        <v>5</v>
      </c>
      <c r="AN157" t="s">
        <v>5362</v>
      </c>
      <c r="AO157" t="s">
        <v>5363</v>
      </c>
      <c r="AP157" t="s">
        <v>5364</v>
      </c>
      <c r="AQ157" t="s">
        <v>385</v>
      </c>
      <c r="AR157" t="s">
        <v>5</v>
      </c>
      <c r="AS157" t="s">
        <v>488</v>
      </c>
      <c r="AT157" t="s">
        <v>5</v>
      </c>
      <c r="AU157" t="s">
        <v>5365</v>
      </c>
      <c r="AV157" t="s">
        <v>5366</v>
      </c>
      <c r="AW157" t="s">
        <v>5367</v>
      </c>
      <c r="AX157" t="s">
        <v>1878</v>
      </c>
      <c r="AY157" t="s">
        <v>879</v>
      </c>
      <c r="AZ157" t="s">
        <v>1275</v>
      </c>
      <c r="BA157" t="s">
        <v>83</v>
      </c>
      <c r="BB157" t="s">
        <v>629</v>
      </c>
      <c r="BC157" t="s">
        <v>1919</v>
      </c>
      <c r="BD157" t="s">
        <v>188</v>
      </c>
      <c r="BE157" t="s">
        <v>165</v>
      </c>
      <c r="BF157" t="s">
        <v>1085</v>
      </c>
      <c r="BG157" t="s">
        <v>1086</v>
      </c>
      <c r="BH157" t="s">
        <v>3297</v>
      </c>
      <c r="BI157" t="s">
        <v>5368</v>
      </c>
      <c r="BJ157" t="s">
        <v>1878</v>
      </c>
      <c r="BK157" t="s">
        <v>43</v>
      </c>
      <c r="BL157" t="s">
        <v>5369</v>
      </c>
      <c r="BM157" t="s">
        <v>1919</v>
      </c>
      <c r="BN157">
        <v>5.33</v>
      </c>
      <c r="BO157">
        <v>5.08</v>
      </c>
      <c r="BP157">
        <v>7.94</v>
      </c>
      <c r="BQ157">
        <v>5.82</v>
      </c>
      <c r="BR157">
        <v>5.75</v>
      </c>
      <c r="BS157">
        <v>8.41</v>
      </c>
      <c r="BT157" t="s">
        <v>1681</v>
      </c>
      <c r="BU157" t="s">
        <v>1515</v>
      </c>
      <c r="BV157">
        <v>24.48</v>
      </c>
      <c r="BW157">
        <v>18.73</v>
      </c>
      <c r="BX157">
        <v>21.68</v>
      </c>
      <c r="BY157">
        <v>10.48</v>
      </c>
      <c r="BZ157">
        <v>6.95</v>
      </c>
      <c r="CA157">
        <v>9.83</v>
      </c>
      <c r="CB157">
        <v>-2.46</v>
      </c>
      <c r="CC157">
        <v>-17.7</v>
      </c>
      <c r="CD157" t="s">
        <v>5370</v>
      </c>
      <c r="CE157" t="s">
        <v>45</v>
      </c>
      <c r="CF157" s="8">
        <v>3.0375578788217203</v>
      </c>
      <c r="CG157" s="9">
        <v>2.4585994981642201</v>
      </c>
      <c r="CH157" s="8">
        <v>-0.47848993539810181</v>
      </c>
      <c r="CI157" s="8">
        <v>-8.7031088769435883E-3</v>
      </c>
      <c r="CJ157" s="8">
        <v>0.16413366794586182</v>
      </c>
      <c r="CK157" s="8">
        <v>-2.083333395421505E-2</v>
      </c>
      <c r="CL157" s="8">
        <v>4.3478261679410934E-2</v>
      </c>
      <c r="CM157" s="9">
        <v>-0.26666787266731262</v>
      </c>
      <c r="CN157" s="9">
        <v>-0.2958061695098877</v>
      </c>
      <c r="CO157" s="9">
        <v>3.6697246134281158E-2</v>
      </c>
      <c r="CP157" s="9">
        <v>0.20947568118572235</v>
      </c>
      <c r="CQ157" s="9">
        <v>0.34673812985420227</v>
      </c>
      <c r="CR157">
        <v>24.913253851977743</v>
      </c>
      <c r="CS157">
        <v>4.1464806316321505</v>
      </c>
      <c r="CT157">
        <v>2.9069767441860463</v>
      </c>
      <c r="CU157" s="8">
        <v>-6.008288972079754E-2</v>
      </c>
      <c r="CV157" s="9">
        <v>6.0874029994010927E-3</v>
      </c>
      <c r="CW157">
        <v>0.06</v>
      </c>
      <c r="CX157">
        <v>18.500156801321587</v>
      </c>
      <c r="CY157" t="s">
        <v>5371</v>
      </c>
      <c r="CZ157">
        <v>-6.008288972079754E-2</v>
      </c>
      <c r="DA157">
        <v>6.1667189337738622</v>
      </c>
      <c r="DB157" t="s">
        <v>5372</v>
      </c>
      <c r="DC157">
        <v>-5.7078745234757658E-2</v>
      </c>
      <c r="DD157">
        <v>3.0833594668869311</v>
      </c>
      <c r="DE157" t="s">
        <v>5373</v>
      </c>
      <c r="DF157">
        <v>-5.2872942954301838E-2</v>
      </c>
      <c r="DG157">
        <v>1.8500156801321586</v>
      </c>
      <c r="DH157" t="s">
        <v>5374</v>
      </c>
      <c r="DI157">
        <v>-4.8066311776638032E-2</v>
      </c>
      <c r="DJ157">
        <v>0.92500784006607928</v>
      </c>
      <c r="DK157" t="s">
        <v>5375</v>
      </c>
      <c r="DL157">
        <v>-4.2058022804558275E-2</v>
      </c>
      <c r="DM157">
        <v>58354100</v>
      </c>
      <c r="DN157">
        <v>-6.008288972079754E-2</v>
      </c>
      <c r="DO157">
        <v>1079560000</v>
      </c>
      <c r="DP157">
        <v>1137264700</v>
      </c>
      <c r="DQ157">
        <v>4982</v>
      </c>
      <c r="DR157">
        <v>3.0976407685425178</v>
      </c>
      <c r="DS157">
        <v>2.4525120951648192</v>
      </c>
      <c r="DT157" s="10">
        <v>-0.47333333333333333</v>
      </c>
      <c r="DU157">
        <v>-0.10000000000000003</v>
      </c>
      <c r="DV157">
        <v>-0.57333333333333336</v>
      </c>
      <c r="DW157">
        <v>-3.0192261904761906</v>
      </c>
      <c r="DX157">
        <v>0.31227857142857074</v>
      </c>
      <c r="DY157">
        <v>-3.0015819034863944</v>
      </c>
      <c r="DZ157">
        <v>1264</v>
      </c>
      <c r="EA157">
        <v>-3.0011906068118734</v>
      </c>
      <c r="EB157">
        <v>3</v>
      </c>
      <c r="EC157">
        <v>2.2151923076923076E-2</v>
      </c>
      <c r="ED157">
        <v>0.26923076923076927</v>
      </c>
      <c r="EE157" s="11">
        <v>6.0797999999999996</v>
      </c>
      <c r="EF157">
        <v>6.0538999999999996</v>
      </c>
      <c r="EG157">
        <v>23.082278571428571</v>
      </c>
      <c r="EH157" t="s">
        <v>4374</v>
      </c>
      <c r="EI157">
        <v>0</v>
      </c>
      <c r="EJ157">
        <v>1</v>
      </c>
      <c r="EK157" s="12">
        <v>45470</v>
      </c>
      <c r="EL157">
        <v>-6.75</v>
      </c>
      <c r="EM157">
        <v>-8.18</v>
      </c>
      <c r="EN157">
        <v>0.67</v>
      </c>
      <c r="EO157">
        <v>12.36</v>
      </c>
      <c r="EP157">
        <v>-2.59</v>
      </c>
    </row>
    <row r="158" spans="1:146" ht="96" x14ac:dyDescent="0.25">
      <c r="A158" s="6"/>
      <c r="B158" s="6"/>
      <c r="C158" s="6" t="str">
        <f>""&amp;CHAR(10)&amp;Basic_Fundamental_Information_Constructure(F158)&amp;CHAR(10)&amp;Basic_Fundamental_Information_Concatenate("")</f>
        <v xml:space="preserve">
市值46.349737亿, 利润2.27亿; PE19.59; 平均PE33.07; 平均PEG1.66, PB3.67; ROIC14.84%; ROE19.9367%; 股利率2.1898%; 毛利43.2133%; 净利27.8733%; 上一年度营收增7.19%, 利润增16.41%; 当季营收增34.27%, 利润增63.17%; 过往5年营收增19.87%, 利润增33.26%
Income profile:
</v>
      </c>
      <c r="D158" t="s">
        <v>1087</v>
      </c>
      <c r="E158" t="s">
        <v>1088</v>
      </c>
      <c r="F158">
        <v>34.25</v>
      </c>
      <c r="G158">
        <v>1.1200000000000001</v>
      </c>
      <c r="H158" t="s">
        <v>5376</v>
      </c>
      <c r="I158">
        <v>4634973700</v>
      </c>
      <c r="J158">
        <v>19.59</v>
      </c>
      <c r="K158">
        <v>3.67</v>
      </c>
      <c r="L158" t="s">
        <v>428</v>
      </c>
      <c r="M158" t="s">
        <v>3302</v>
      </c>
      <c r="N158" t="s">
        <v>4186</v>
      </c>
      <c r="O158" t="s">
        <v>205</v>
      </c>
      <c r="P158">
        <v>12.4</v>
      </c>
      <c r="Q158" t="s">
        <v>2128</v>
      </c>
      <c r="R158">
        <v>61700617</v>
      </c>
      <c r="S158" s="4">
        <v>0.20369999999999999</v>
      </c>
      <c r="T158" t="s">
        <v>382</v>
      </c>
      <c r="U158">
        <v>135327700</v>
      </c>
      <c r="V158">
        <v>135327700</v>
      </c>
      <c r="W158">
        <v>2.31</v>
      </c>
      <c r="X158">
        <v>0.06</v>
      </c>
      <c r="Y158">
        <v>32.22</v>
      </c>
      <c r="Z158" t="s">
        <v>31</v>
      </c>
      <c r="AA158" t="s">
        <v>61</v>
      </c>
      <c r="AB158" t="s">
        <v>5377</v>
      </c>
      <c r="AC158" t="s">
        <v>5378</v>
      </c>
      <c r="AD158" t="s">
        <v>5</v>
      </c>
      <c r="AE158">
        <v>-9089163</v>
      </c>
      <c r="AF158" t="s">
        <v>3303</v>
      </c>
      <c r="AG158" t="s">
        <v>5379</v>
      </c>
      <c r="AH158" t="s">
        <v>3304</v>
      </c>
      <c r="AI158" t="s">
        <v>2062</v>
      </c>
      <c r="AJ158" t="s">
        <v>3305</v>
      </c>
      <c r="AK158" t="s">
        <v>5380</v>
      </c>
      <c r="AL158" t="s">
        <v>3306</v>
      </c>
      <c r="AM158" t="s">
        <v>5</v>
      </c>
      <c r="AN158" t="s">
        <v>23</v>
      </c>
      <c r="AO158" t="s">
        <v>2093</v>
      </c>
      <c r="AP158" t="s">
        <v>292</v>
      </c>
      <c r="AQ158" t="s">
        <v>5381</v>
      </c>
      <c r="AR158" t="s">
        <v>5</v>
      </c>
      <c r="AS158" t="s">
        <v>1767</v>
      </c>
      <c r="AT158" t="s">
        <v>5</v>
      </c>
      <c r="AU158" t="s">
        <v>5382</v>
      </c>
      <c r="AV158" t="s">
        <v>64</v>
      </c>
      <c r="AW158" t="s">
        <v>5383</v>
      </c>
      <c r="AX158" t="s">
        <v>619</v>
      </c>
      <c r="AY158" t="s">
        <v>504</v>
      </c>
      <c r="AZ158" t="s">
        <v>745</v>
      </c>
      <c r="BA158" t="s">
        <v>386</v>
      </c>
      <c r="BB158" t="s">
        <v>102</v>
      </c>
      <c r="BC158" t="s">
        <v>25</v>
      </c>
      <c r="BD158" t="s">
        <v>66</v>
      </c>
      <c r="BE158" t="s">
        <v>84</v>
      </c>
      <c r="BF158" t="s">
        <v>1089</v>
      </c>
      <c r="BG158" t="s">
        <v>1090</v>
      </c>
      <c r="BH158" t="s">
        <v>392</v>
      </c>
      <c r="BI158" t="s">
        <v>39</v>
      </c>
      <c r="BJ158" t="s">
        <v>619</v>
      </c>
      <c r="BK158" t="s">
        <v>195</v>
      </c>
      <c r="BL158" t="s">
        <v>5384</v>
      </c>
      <c r="BM158" t="s">
        <v>25</v>
      </c>
      <c r="BN158">
        <v>6.85</v>
      </c>
      <c r="BO158">
        <v>12.98</v>
      </c>
      <c r="BP158">
        <v>24.69</v>
      </c>
      <c r="BQ158">
        <v>14.27</v>
      </c>
      <c r="BR158">
        <v>19.86</v>
      </c>
      <c r="BS158">
        <v>25.68</v>
      </c>
      <c r="BT158" t="s">
        <v>1690</v>
      </c>
      <c r="BU158" t="s">
        <v>1516</v>
      </c>
      <c r="BV158">
        <v>43.53</v>
      </c>
      <c r="BW158">
        <v>41.89</v>
      </c>
      <c r="BX158">
        <v>44.22</v>
      </c>
      <c r="BY158">
        <v>28.28</v>
      </c>
      <c r="BZ158">
        <v>28.09</v>
      </c>
      <c r="CA158">
        <v>27.25</v>
      </c>
      <c r="CB158">
        <v>-3.82</v>
      </c>
      <c r="CC158">
        <v>-6.55</v>
      </c>
      <c r="CD158" t="s">
        <v>5385</v>
      </c>
      <c r="CE158" t="s">
        <v>5386</v>
      </c>
      <c r="CF158" s="8">
        <v>0.34265734265734266</v>
      </c>
      <c r="CG158" s="9">
        <v>0.63174753918006166</v>
      </c>
      <c r="CH158" s="8">
        <v>7.1942448616027832E-2</v>
      </c>
      <c r="CI158" s="8">
        <v>0.2065972238779068</v>
      </c>
      <c r="CJ158" s="8">
        <v>0.25217390060424805</v>
      </c>
      <c r="CK158" s="8">
        <v>0.17346939444541931</v>
      </c>
      <c r="CL158" s="8">
        <v>0.28947368264198303</v>
      </c>
      <c r="CM158" s="9">
        <v>0.16410256922245026</v>
      </c>
      <c r="CN158" s="9">
        <v>0.24203822016716003</v>
      </c>
      <c r="CO158" s="9">
        <v>0.34188035130500793</v>
      </c>
      <c r="CP158" s="9">
        <v>0.3105294406414032</v>
      </c>
      <c r="CQ158" s="9">
        <v>0.60446161031723022</v>
      </c>
      <c r="CR158">
        <v>33.070742536922069</v>
      </c>
      <c r="CS158">
        <v>1.6640930511935614</v>
      </c>
      <c r="CT158">
        <v>2.1897810218978102</v>
      </c>
      <c r="CU158" s="8">
        <v>0.19873133003711702</v>
      </c>
      <c r="CV158" s="9">
        <v>0.33260243833065034</v>
      </c>
      <c r="CW158">
        <v>0.06</v>
      </c>
      <c r="CX158">
        <v>21.054829890117226</v>
      </c>
      <c r="CY158">
        <v>256709445.20606181</v>
      </c>
      <c r="CZ158">
        <v>0.19873133003711702</v>
      </c>
      <c r="DA158">
        <v>6.2826510653725132</v>
      </c>
      <c r="DB158">
        <v>860301430.6794908</v>
      </c>
      <c r="DC158">
        <v>0.18879476353526115</v>
      </c>
      <c r="DD158">
        <v>2.7259677503621664</v>
      </c>
      <c r="DE158">
        <v>1982772429.8212647</v>
      </c>
      <c r="DF158">
        <v>0.17488357043266298</v>
      </c>
      <c r="DG158">
        <v>1.4103866647693775</v>
      </c>
      <c r="DH158">
        <v>3832263757.8850098</v>
      </c>
      <c r="DI158">
        <v>0.15898506402969362</v>
      </c>
      <c r="DJ158">
        <v>0.51371327144471057</v>
      </c>
      <c r="DK158">
        <v>10521382258.23843</v>
      </c>
      <c r="DL158">
        <v>0.13911193102598191</v>
      </c>
      <c r="DM158">
        <v>227000000</v>
      </c>
      <c r="DN158">
        <v>0.19873133003711702</v>
      </c>
      <c r="DO158">
        <v>5404973700</v>
      </c>
      <c r="DP158">
        <v>-516966740</v>
      </c>
      <c r="DQ158">
        <v>5026</v>
      </c>
      <c r="DR158">
        <v>0.14392601262022564</v>
      </c>
      <c r="DS158">
        <v>0.29914510084941132</v>
      </c>
      <c r="DT158" s="10">
        <v>5.9999999999999908E-2</v>
      </c>
      <c r="DU158">
        <v>1.2066666666666666</v>
      </c>
      <c r="DV158">
        <v>1.2666666666666664</v>
      </c>
      <c r="DW158">
        <v>-8.5832061068702288</v>
      </c>
      <c r="DX158">
        <v>0.43901686526615874</v>
      </c>
      <c r="DY158">
        <v>-8.0869075458498827</v>
      </c>
      <c r="DZ158">
        <v>797</v>
      </c>
      <c r="EA158">
        <v>-8.0733526898729053</v>
      </c>
      <c r="EB158">
        <v>8</v>
      </c>
      <c r="EC158">
        <v>8.1875329293263684E-3</v>
      </c>
      <c r="ED158">
        <v>5.4943666374289962E-2</v>
      </c>
      <c r="EE158" s="11">
        <v>2.0475099999999999</v>
      </c>
      <c r="EF158">
        <v>2.07741</v>
      </c>
      <c r="EG158">
        <v>29.149016865266159</v>
      </c>
      <c r="EH158" t="s">
        <v>1706</v>
      </c>
      <c r="EI158">
        <v>0</v>
      </c>
      <c r="EJ158">
        <v>1</v>
      </c>
      <c r="EK158" s="12">
        <v>45470</v>
      </c>
      <c r="EL158">
        <v>8.67</v>
      </c>
      <c r="EM158">
        <v>-8.43</v>
      </c>
      <c r="EN158">
        <v>-0.46</v>
      </c>
      <c r="EO158">
        <v>3.11</v>
      </c>
      <c r="EP158">
        <v>-2.99</v>
      </c>
    </row>
    <row r="159" spans="1:146" ht="168" x14ac:dyDescent="0.25">
      <c r="A159" s="6" t="s">
        <v>1604</v>
      </c>
      <c r="B159" s="6" t="s">
        <v>1605</v>
      </c>
      <c r="C159" s="6" t="str">
        <f>"公司在合成生物学浪潮下诞生和发展主要产品生物基产品，包括氨基酸系列产品（包括L-丙氨酸、DL-丙氨酸、β-丙氨酸、缬氨 酸等）、维生素（D-泛酸钙）、医美原料（α-熊果苷）等，并广泛布局新产品，应用 领域涉及日化、医药及保健品、食品添加剂、饲料等。"&amp;CHAR(10)&amp;Basic_Fundamental_Information_Constructure(C159)&amp;CHAR(10)&amp;Basic_Fundamental_Information_Concatenate("氨基酸产品 8.06亿 84.46% 92.89% 35.56%
其他业务 1.12亿 11.76% 3.75% 10.30%
其他产品 3603.10万 3.78% 3.36% 28.79%")</f>
        <v>公司在合成生物学浪潮下诞生和发展主要产品生物基产品，包括氨基酸系列产品（包括L-丙氨酸、DL-丙氨酸、β-丙氨酸、缬氨 酸等）、维生素（D-泛酸钙）、医美原料（α-熊果苷）等，并广泛布局新产品，应用 领域涉及日化、医药及保健品、食品添加剂、饲料等。
市值186.55908亿, 利润4.49亿; PE41.05; 平均PE88.87; 平均PEG2.26, PB9.8; ROIC17.7433%; ROE18.1667%; 股利率.76%; 毛利37.4267%; 净利21.1833%; 上一年度营收增36.58%, 利润增40.31%; 当季营收增25.25%, 利润增6.62%; 过往5年营收增39.4%, 利润增46.51%
Income profile:
氨基酸产品 8.06亿 84.46% 92.89% 35.56%
其他业务 1.12亿 11.76% 3.75% 10.30%
其他产品 3603.10万 3.78% 3.36% 28.79%</v>
      </c>
      <c r="D159" t="s">
        <v>1091</v>
      </c>
      <c r="E159" t="s">
        <v>1092</v>
      </c>
      <c r="F159">
        <v>69.39</v>
      </c>
      <c r="G159">
        <v>-1.56</v>
      </c>
      <c r="H159" t="s">
        <v>5387</v>
      </c>
      <c r="I159">
        <v>10950457800</v>
      </c>
      <c r="J159">
        <v>24.1</v>
      </c>
      <c r="K159">
        <v>5.74</v>
      </c>
      <c r="L159" t="s">
        <v>428</v>
      </c>
      <c r="M159" t="s">
        <v>2116</v>
      </c>
      <c r="N159" t="s">
        <v>5388</v>
      </c>
      <c r="O159" t="s">
        <v>659</v>
      </c>
      <c r="P159">
        <v>25.12</v>
      </c>
      <c r="Q159" t="s">
        <v>1738</v>
      </c>
      <c r="R159">
        <v>86574111</v>
      </c>
      <c r="S159" s="4">
        <v>6.6199999999999995E-2</v>
      </c>
      <c r="T159" t="s">
        <v>103</v>
      </c>
      <c r="U159">
        <v>157366180</v>
      </c>
      <c r="V159">
        <v>157810320</v>
      </c>
      <c r="W159">
        <v>2.31</v>
      </c>
      <c r="X159">
        <v>0.12</v>
      </c>
      <c r="Y159">
        <v>17.149999999999999</v>
      </c>
      <c r="Z159" t="s">
        <v>2206</v>
      </c>
      <c r="AA159" t="s">
        <v>398</v>
      </c>
      <c r="AB159" t="s">
        <v>5389</v>
      </c>
      <c r="AC159" t="s">
        <v>5390</v>
      </c>
      <c r="AD159" t="s">
        <v>5</v>
      </c>
      <c r="AE159">
        <v>4602278</v>
      </c>
      <c r="AF159" t="s">
        <v>32</v>
      </c>
      <c r="AG159" t="s">
        <v>5391</v>
      </c>
      <c r="AH159" t="s">
        <v>3308</v>
      </c>
      <c r="AI159" t="s">
        <v>537</v>
      </c>
      <c r="AJ159" t="s">
        <v>3309</v>
      </c>
      <c r="AK159" t="s">
        <v>5392</v>
      </c>
      <c r="AL159" t="s">
        <v>3310</v>
      </c>
      <c r="AM159" t="s">
        <v>5</v>
      </c>
      <c r="AN159" t="s">
        <v>5393</v>
      </c>
      <c r="AO159" t="s">
        <v>1256</v>
      </c>
      <c r="AP159" t="s">
        <v>5</v>
      </c>
      <c r="AQ159" t="s">
        <v>2096</v>
      </c>
      <c r="AR159" t="s">
        <v>5</v>
      </c>
      <c r="AS159" t="s">
        <v>5394</v>
      </c>
      <c r="AT159" t="s">
        <v>549</v>
      </c>
      <c r="AU159" t="s">
        <v>5395</v>
      </c>
      <c r="AV159" t="s">
        <v>5396</v>
      </c>
      <c r="AW159" t="s">
        <v>4654</v>
      </c>
      <c r="AX159" t="s">
        <v>1858</v>
      </c>
      <c r="AY159" t="s">
        <v>631</v>
      </c>
      <c r="AZ159" t="s">
        <v>284</v>
      </c>
      <c r="BA159" t="s">
        <v>425</v>
      </c>
      <c r="BB159" t="s">
        <v>298</v>
      </c>
      <c r="BC159" t="s">
        <v>337</v>
      </c>
      <c r="BD159" t="s">
        <v>227</v>
      </c>
      <c r="BE159" t="s">
        <v>31</v>
      </c>
      <c r="BF159" t="s">
        <v>6</v>
      </c>
      <c r="BG159" t="s">
        <v>1093</v>
      </c>
      <c r="BH159" t="s">
        <v>3307</v>
      </c>
      <c r="BI159" t="s">
        <v>74</v>
      </c>
      <c r="BJ159" t="s">
        <v>1858</v>
      </c>
      <c r="BK159" t="s">
        <v>301</v>
      </c>
      <c r="BL159" t="s">
        <v>5397</v>
      </c>
      <c r="BM159" t="s">
        <v>337</v>
      </c>
      <c r="BN159">
        <v>16.25</v>
      </c>
      <c r="BO159">
        <v>22.99</v>
      </c>
      <c r="BP159">
        <v>19.170000000000002</v>
      </c>
      <c r="BQ159">
        <v>20</v>
      </c>
      <c r="BR159">
        <v>24.12</v>
      </c>
      <c r="BS159">
        <v>18.12</v>
      </c>
      <c r="BT159" t="s">
        <v>1920</v>
      </c>
      <c r="BU159" t="s">
        <v>1534</v>
      </c>
      <c r="BV159">
        <v>40.520000000000003</v>
      </c>
      <c r="BW159">
        <v>38.659999999999997</v>
      </c>
      <c r="BX159">
        <v>32.33</v>
      </c>
      <c r="BY159">
        <v>23.04</v>
      </c>
      <c r="BZ159">
        <v>22.51</v>
      </c>
      <c r="CA159">
        <v>17.63</v>
      </c>
      <c r="CB159">
        <v>-9.16</v>
      </c>
      <c r="CC159">
        <v>-36.880000000000003</v>
      </c>
      <c r="CD159" t="s">
        <v>4667</v>
      </c>
      <c r="CE159" t="s">
        <v>5398</v>
      </c>
      <c r="CF159" s="8">
        <v>3.3947368421052637</v>
      </c>
      <c r="CG159" s="9">
        <v>8.9786893578764158</v>
      </c>
      <c r="CH159" s="8">
        <v>-0.50880903005599976</v>
      </c>
      <c r="CI159" s="8">
        <v>0.48742145299911499</v>
      </c>
      <c r="CJ159" s="8">
        <v>0.95893222093582153</v>
      </c>
      <c r="CK159" s="8">
        <v>-8.1466399133205414E-3</v>
      </c>
      <c r="CL159" s="8">
        <v>0.16627077758312225</v>
      </c>
      <c r="CM159" s="9">
        <v>-0.68437498807907104</v>
      </c>
      <c r="CN159" s="9">
        <v>0.9047619104385376</v>
      </c>
      <c r="CO159" s="9">
        <v>0.38842976093292236</v>
      </c>
      <c r="CP159" s="9">
        <v>-3.9682541042566299E-2</v>
      </c>
      <c r="CQ159" s="9">
        <v>0.66872602701187134</v>
      </c>
      <c r="CR159">
        <v>72.081474332552901</v>
      </c>
      <c r="CS159">
        <v>3.2893825007346216</v>
      </c>
      <c r="CT159">
        <v>1.2970168612191959</v>
      </c>
      <c r="CU159" s="8">
        <v>0.21913375630974768</v>
      </c>
      <c r="CV159" s="9">
        <v>0.24757203385233878</v>
      </c>
      <c r="CW159">
        <v>0.06</v>
      </c>
      <c r="CX159">
        <v>96.360135329340295</v>
      </c>
      <c r="CY159">
        <v>116162744.7049854</v>
      </c>
      <c r="CZ159">
        <v>0.21913375630974768</v>
      </c>
      <c r="DA159">
        <v>28.274656122010139</v>
      </c>
      <c r="DB159">
        <v>395883074.64105844</v>
      </c>
      <c r="DC159">
        <v>0.20817706849426029</v>
      </c>
      <c r="DD159">
        <v>11.973922811597925</v>
      </c>
      <c r="DE159">
        <v>934819605.58139169</v>
      </c>
      <c r="DF159">
        <v>0.19283770555257795</v>
      </c>
      <c r="DG159">
        <v>6.0125617416855226</v>
      </c>
      <c r="DH159">
        <v>1861678645.6253667</v>
      </c>
      <c r="DI159">
        <v>0.17530700504779817</v>
      </c>
      <c r="DJ159">
        <v>2.033546113021063</v>
      </c>
      <c r="DK159">
        <v>5504403233.5076246</v>
      </c>
      <c r="DL159">
        <v>0.15339362941682336</v>
      </c>
      <c r="DM159">
        <v>101000000</v>
      </c>
      <c r="DN159">
        <v>0.21913375630974768</v>
      </c>
      <c r="DO159">
        <v>11193457800</v>
      </c>
      <c r="DP159">
        <v>-734685860</v>
      </c>
      <c r="DQ159">
        <v>5036</v>
      </c>
      <c r="DR159">
        <v>3.1756030857955162</v>
      </c>
      <c r="DS159">
        <v>8.7311173240240763</v>
      </c>
      <c r="DT159" s="10">
        <v>-9.0000000000000011E-2</v>
      </c>
      <c r="DU159">
        <v>0.51999999999999991</v>
      </c>
      <c r="DV159">
        <v>0.42999999999999988</v>
      </c>
      <c r="DW159">
        <v>-9.2483731019522768</v>
      </c>
      <c r="DX159">
        <v>0.38927990069929141</v>
      </c>
      <c r="DY159">
        <v>-9.0544632291324714</v>
      </c>
      <c r="DZ159">
        <v>5</v>
      </c>
      <c r="EA159">
        <v>-9.0544099383016174</v>
      </c>
      <c r="EB159">
        <v>9</v>
      </c>
      <c r="EC159">
        <v>6.5711165150669493E-2</v>
      </c>
      <c r="ED159">
        <v>0.29966798115611198</v>
      </c>
      <c r="EE159" s="11">
        <v>-3.0731099999999998</v>
      </c>
      <c r="EF159">
        <v>-3.1180099999999999</v>
      </c>
      <c r="EG159">
        <v>17.219279900699291</v>
      </c>
      <c r="EH159" t="s">
        <v>2025</v>
      </c>
      <c r="EI159">
        <v>0</v>
      </c>
      <c r="EJ159">
        <v>1</v>
      </c>
      <c r="EK159" s="12">
        <v>45470</v>
      </c>
      <c r="EL159">
        <v>-4.1900000000000004</v>
      </c>
      <c r="EM159">
        <v>-8.14</v>
      </c>
      <c r="EN159">
        <v>1.85</v>
      </c>
      <c r="EO159">
        <v>0.34</v>
      </c>
      <c r="EP159">
        <v>-4.49</v>
      </c>
    </row>
    <row r="160" spans="1:146" ht="84" x14ac:dyDescent="0.25">
      <c r="A160" s="6"/>
      <c r="B160" s="6"/>
      <c r="C160" s="6" t="str">
        <f>""&amp;CHAR(10)&amp;Basic_Fundamental_Information_Constructure(F160)&amp;CHAR(10)&amp;Basic_Fundamental_Information_Concatenate("")</f>
        <v xml:space="preserve">
市值8.976亿, 利润-12.71亿; PE; 平均PE-5.2; 平均PEG-.02, PB1.46; ROIC8.53%; ROE4.4033%; 股利率0%; 毛利28.0033%; 净利3.4233%; 上一年度营收增1646.8%, 利润增-20643.41%; 当季营收增-90.98%, 利润增100.97%; 过往5年营收增341.99%, 利润增-4132%
Income profile:
</v>
      </c>
      <c r="D160" t="s">
        <v>1094</v>
      </c>
      <c r="E160" t="s">
        <v>1095</v>
      </c>
      <c r="F160">
        <v>5.61</v>
      </c>
      <c r="G160">
        <v>0.54</v>
      </c>
      <c r="H160" t="s">
        <v>5399</v>
      </c>
      <c r="I160">
        <v>897600000</v>
      </c>
      <c r="K160">
        <v>1.46</v>
      </c>
      <c r="L160" t="s">
        <v>428</v>
      </c>
      <c r="M160" t="s">
        <v>1222</v>
      </c>
      <c r="N160" t="s">
        <v>2373</v>
      </c>
      <c r="O160" t="s">
        <v>293</v>
      </c>
      <c r="P160">
        <v>33.74</v>
      </c>
      <c r="Q160" t="s">
        <v>5400</v>
      </c>
      <c r="R160">
        <v>1616814</v>
      </c>
      <c r="S160" s="4">
        <v>-0.48949999999999999</v>
      </c>
      <c r="T160" t="s">
        <v>5401</v>
      </c>
      <c r="U160">
        <v>160000000</v>
      </c>
      <c r="V160">
        <v>160000000</v>
      </c>
      <c r="W160">
        <v>2.09</v>
      </c>
      <c r="X160">
        <v>0.1</v>
      </c>
      <c r="Y160">
        <v>1.3</v>
      </c>
      <c r="Z160" t="s">
        <v>6</v>
      </c>
      <c r="AA160" t="s">
        <v>5402</v>
      </c>
      <c r="AB160" t="s">
        <v>5403</v>
      </c>
      <c r="AC160" t="s">
        <v>5404</v>
      </c>
      <c r="AD160" t="s">
        <v>5</v>
      </c>
      <c r="AE160">
        <v>3175104</v>
      </c>
      <c r="AF160" t="s">
        <v>3312</v>
      </c>
      <c r="AG160" t="s">
        <v>5405</v>
      </c>
      <c r="AH160" t="s">
        <v>3313</v>
      </c>
      <c r="AI160" t="s">
        <v>5406</v>
      </c>
      <c r="AJ160" t="s">
        <v>3314</v>
      </c>
      <c r="AK160" t="s">
        <v>5407</v>
      </c>
      <c r="AL160" t="s">
        <v>3315</v>
      </c>
      <c r="AM160" t="s">
        <v>5</v>
      </c>
      <c r="AN160" t="s">
        <v>5408</v>
      </c>
      <c r="AO160" t="s">
        <v>281</v>
      </c>
      <c r="AP160" t="s">
        <v>5409</v>
      </c>
      <c r="AQ160" t="s">
        <v>90</v>
      </c>
      <c r="AR160" t="s">
        <v>5</v>
      </c>
      <c r="AS160" t="s">
        <v>682</v>
      </c>
      <c r="AT160" t="s">
        <v>5410</v>
      </c>
      <c r="AU160" t="s">
        <v>5411</v>
      </c>
      <c r="AV160" t="s">
        <v>5412</v>
      </c>
      <c r="AW160" t="s">
        <v>5413</v>
      </c>
      <c r="AX160" t="s">
        <v>339</v>
      </c>
      <c r="AY160" t="s">
        <v>189</v>
      </c>
      <c r="AZ160" t="s">
        <v>96</v>
      </c>
      <c r="BA160" t="s">
        <v>454</v>
      </c>
      <c r="BB160" t="s">
        <v>213</v>
      </c>
      <c r="BC160" t="s">
        <v>3316</v>
      </c>
      <c r="BD160" t="s">
        <v>1474</v>
      </c>
      <c r="BE160" t="s">
        <v>1475</v>
      </c>
      <c r="BF160" t="s">
        <v>1096</v>
      </c>
      <c r="BG160" t="s">
        <v>1097</v>
      </c>
      <c r="BH160" t="s">
        <v>1620</v>
      </c>
      <c r="BI160" t="s">
        <v>4298</v>
      </c>
      <c r="BJ160" t="s">
        <v>339</v>
      </c>
      <c r="BK160" t="s">
        <v>3311</v>
      </c>
      <c r="BL160" t="s">
        <v>5414</v>
      </c>
      <c r="BM160" t="s">
        <v>3316</v>
      </c>
      <c r="BN160" t="s">
        <v>5</v>
      </c>
      <c r="BO160">
        <v>4.59</v>
      </c>
      <c r="BP160">
        <v>12.47</v>
      </c>
      <c r="BQ160">
        <v>0.01</v>
      </c>
      <c r="BR160">
        <v>0.96</v>
      </c>
      <c r="BS160">
        <v>12.24</v>
      </c>
      <c r="BT160" t="s">
        <v>1670</v>
      </c>
      <c r="BU160" t="s">
        <v>1516</v>
      </c>
      <c r="BV160">
        <v>28.03</v>
      </c>
      <c r="BW160">
        <v>24.6</v>
      </c>
      <c r="BX160">
        <v>31.38</v>
      </c>
      <c r="BY160">
        <v>-4.84</v>
      </c>
      <c r="BZ160">
        <v>1.08</v>
      </c>
      <c r="CA160">
        <v>14.03</v>
      </c>
      <c r="CB160">
        <v>-6.5</v>
      </c>
      <c r="CC160">
        <v>-21.54</v>
      </c>
      <c r="CD160" t="s">
        <v>5415</v>
      </c>
      <c r="CE160" t="s">
        <v>5416</v>
      </c>
      <c r="CF160" s="8">
        <v>-0.90981240981240985</v>
      </c>
      <c r="CG160" s="9">
        <v>1.0096815209580838</v>
      </c>
      <c r="CH160" s="8">
        <v>16.468048095703125</v>
      </c>
      <c r="CI160" s="8">
        <v>0.15338645875453949</v>
      </c>
      <c r="CJ160" s="8">
        <v>9.6069872379302979E-2</v>
      </c>
      <c r="CK160" s="8">
        <v>0.26170799136161804</v>
      </c>
      <c r="CL160" s="8">
        <v>0.12037037312984467</v>
      </c>
      <c r="CM160" s="9">
        <v>-206.43406677246094</v>
      </c>
      <c r="CN160" s="9">
        <v>-0.91217678785324097</v>
      </c>
      <c r="CO160" s="9">
        <v>0.13532409071922302</v>
      </c>
      <c r="CP160" s="9">
        <v>4.9691352993249893E-2</v>
      </c>
      <c r="CQ160" s="9">
        <v>0.56133025884628296</v>
      </c>
      <c r="CR160">
        <v>-5.2017589162075035</v>
      </c>
      <c r="CS160">
        <v>-1.521019249325027E-2</v>
      </c>
      <c r="CT160">
        <v>0</v>
      </c>
      <c r="CU160" s="8">
        <v>3.4199165582656859</v>
      </c>
      <c r="CV160" s="9">
        <v>-41.319979571551087</v>
      </c>
      <c r="CW160">
        <v>0.06</v>
      </c>
      <c r="CX160" t="e">
        <v>#VALUE!</v>
      </c>
      <c r="CY160" t="s">
        <v>1179</v>
      </c>
      <c r="CZ160">
        <v>3.4199165582656859</v>
      </c>
      <c r="DA160" t="e">
        <v>#VALUE!</v>
      </c>
      <c r="DB160" t="s">
        <v>1179</v>
      </c>
      <c r="DC160">
        <v>3.2489207303524013</v>
      </c>
      <c r="DD160" t="e">
        <v>#VALUE!</v>
      </c>
      <c r="DE160" t="s">
        <v>1179</v>
      </c>
      <c r="DF160">
        <v>3.0095265712738035</v>
      </c>
      <c r="DG160" t="e">
        <v>#VALUE!</v>
      </c>
      <c r="DH160" t="s">
        <v>1179</v>
      </c>
      <c r="DI160">
        <v>2.7359332466125488</v>
      </c>
      <c r="DJ160" t="e">
        <v>#VALUE!</v>
      </c>
      <c r="DK160" t="s">
        <v>1179</v>
      </c>
      <c r="DL160">
        <v>2.39394159078598</v>
      </c>
      <c r="DM160">
        <v>-1271000000</v>
      </c>
      <c r="DN160">
        <v>3.4199165582656859</v>
      </c>
      <c r="DO160">
        <v>988600000</v>
      </c>
      <c r="DP160">
        <v>105604730</v>
      </c>
      <c r="DQ160">
        <v>5046</v>
      </c>
      <c r="DR160">
        <v>-4.3297289680780953</v>
      </c>
      <c r="DS160">
        <v>42.32966109250917</v>
      </c>
      <c r="DT160" s="10">
        <v>0.12666666666666662</v>
      </c>
      <c r="DU160">
        <v>-1.39</v>
      </c>
      <c r="DV160">
        <v>-1.2633333333333332</v>
      </c>
      <c r="DW160">
        <v>-9.3017641597028788</v>
      </c>
      <c r="DX160">
        <v>0.38328800760697246</v>
      </c>
      <c r="DY160">
        <v>-9.0492744684050752</v>
      </c>
      <c r="DZ160">
        <v>4192</v>
      </c>
      <c r="EA160">
        <v>-9.0088520473573102</v>
      </c>
      <c r="EB160">
        <v>9</v>
      </c>
      <c r="EC160">
        <v>0.10039875000000001</v>
      </c>
      <c r="ED160">
        <v>0.61485687499999986</v>
      </c>
      <c r="EE160" s="11">
        <v>-2.0571000000000002</v>
      </c>
      <c r="EF160">
        <v>-2.0434000000000001</v>
      </c>
      <c r="EG160">
        <v>22.163288007606972</v>
      </c>
      <c r="EH160" t="s">
        <v>1712</v>
      </c>
      <c r="EI160">
        <v>0</v>
      </c>
      <c r="EJ160">
        <v>0</v>
      </c>
      <c r="EK160" s="12">
        <v>45470</v>
      </c>
      <c r="EL160">
        <v>0</v>
      </c>
      <c r="EM160">
        <v>-5.0999999999999996</v>
      </c>
      <c r="EN160">
        <v>0.72</v>
      </c>
      <c r="EO160">
        <v>3.56</v>
      </c>
      <c r="EP160">
        <v>-1.37</v>
      </c>
    </row>
  </sheetData>
  <autoFilter ref="BU1:BU16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化学制品&quot;,&quot;&quot;'" altText="更新基本面按钮_x000a_">
                <anchor moveWithCells="1" sizeWithCells="1">
                  <from>
                    <xdr:col>147</xdr:col>
                    <xdr:colOff>241300</xdr:colOff>
                    <xdr:row>0</xdr:row>
                    <xdr:rowOff>139700</xdr:rowOff>
                  </from>
                  <to>
                    <xdr:col>147</xdr:col>
                    <xdr:colOff>1193800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8"/>
  <sheetViews>
    <sheetView workbookViewId="0">
      <selection activeCell="J8" sqref="J8"/>
    </sheetView>
  </sheetViews>
  <sheetFormatPr defaultRowHeight="14" x14ac:dyDescent="0.25"/>
  <cols>
    <col min="1" max="1" width="16.08984375" customWidth="1"/>
  </cols>
  <sheetData>
    <row r="1" spans="1:30" x14ac:dyDescent="0.25">
      <c r="A1">
        <v>1</v>
      </c>
      <c r="B1">
        <f>A1+A1*$A$2</f>
        <v>1.18</v>
      </c>
      <c r="C1">
        <f t="shared" ref="C1:AD1" si="0">B1+B1*$A$2</f>
        <v>1.3923999999999999</v>
      </c>
      <c r="D1">
        <f t="shared" si="0"/>
        <v>1.6430319999999998</v>
      </c>
      <c r="E1">
        <f t="shared" si="0"/>
        <v>1.9387777599999998</v>
      </c>
      <c r="F1">
        <f t="shared" si="0"/>
        <v>2.2877577567999996</v>
      </c>
      <c r="G1">
        <f t="shared" si="0"/>
        <v>2.6995541530239997</v>
      </c>
      <c r="H1">
        <f t="shared" si="0"/>
        <v>3.1854739005683195</v>
      </c>
      <c r="I1">
        <f t="shared" si="0"/>
        <v>3.7588592026706169</v>
      </c>
      <c r="J1">
        <f t="shared" si="0"/>
        <v>4.4354538591513277</v>
      </c>
      <c r="K1">
        <f t="shared" si="0"/>
        <v>5.233835553798567</v>
      </c>
      <c r="L1">
        <f t="shared" si="0"/>
        <v>6.1759259534823094</v>
      </c>
      <c r="M1">
        <f t="shared" si="0"/>
        <v>7.2875926251091254</v>
      </c>
      <c r="N1">
        <f t="shared" si="0"/>
        <v>8.5993592976287676</v>
      </c>
      <c r="O1">
        <f t="shared" si="0"/>
        <v>10.147243971201945</v>
      </c>
      <c r="P1">
        <f t="shared" si="0"/>
        <v>11.973747886018295</v>
      </c>
      <c r="Q1">
        <f t="shared" si="0"/>
        <v>14.129022505501588</v>
      </c>
      <c r="R1">
        <f t="shared" si="0"/>
        <v>16.672246556491874</v>
      </c>
      <c r="S1">
        <f t="shared" si="0"/>
        <v>19.673250936660413</v>
      </c>
      <c r="T1">
        <f t="shared" si="0"/>
        <v>23.214436105259288</v>
      </c>
      <c r="U1">
        <f t="shared" si="0"/>
        <v>27.393034604205958</v>
      </c>
      <c r="V1">
        <f t="shared" si="0"/>
        <v>32.323780832963031</v>
      </c>
      <c r="W1">
        <f t="shared" si="0"/>
        <v>38.142061382896379</v>
      </c>
      <c r="X1">
        <f t="shared" si="0"/>
        <v>45.007632431817726</v>
      </c>
      <c r="Y1">
        <f t="shared" si="0"/>
        <v>53.109006269544913</v>
      </c>
      <c r="Z1">
        <f t="shared" si="0"/>
        <v>62.668627398062995</v>
      </c>
      <c r="AA1">
        <f t="shared" si="0"/>
        <v>73.948980329714331</v>
      </c>
      <c r="AB1">
        <f t="shared" si="0"/>
        <v>87.259796789062904</v>
      </c>
      <c r="AC1">
        <f t="shared" si="0"/>
        <v>102.96656021109422</v>
      </c>
      <c r="AD1">
        <f t="shared" si="0"/>
        <v>121.50054104909118</v>
      </c>
    </row>
    <row r="2" spans="1:30" x14ac:dyDescent="0.25">
      <c r="A2">
        <v>0.18</v>
      </c>
      <c r="B2" t="s">
        <v>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0.15</v>
      </c>
      <c r="B4" t="s">
        <v>0</v>
      </c>
    </row>
    <row r="5" spans="1:30" x14ac:dyDescent="0.25">
      <c r="A5">
        <v>1</v>
      </c>
      <c r="B5">
        <f>A5*$A$4+A5</f>
        <v>1.1499999999999999</v>
      </c>
      <c r="C5">
        <f t="shared" ref="C5:AD5" si="1">B5*$A$4+B5</f>
        <v>1.3224999999999998</v>
      </c>
      <c r="D5">
        <f t="shared" si="1"/>
        <v>1.5208749999999998</v>
      </c>
      <c r="E5">
        <f t="shared" si="1"/>
        <v>1.7490062499999997</v>
      </c>
      <c r="F5">
        <f t="shared" si="1"/>
        <v>2.0113571874999998</v>
      </c>
      <c r="G5">
        <f t="shared" si="1"/>
        <v>2.313060765625</v>
      </c>
      <c r="H5">
        <f t="shared" si="1"/>
        <v>2.66001988046875</v>
      </c>
      <c r="I5">
        <f t="shared" si="1"/>
        <v>3.0590228625390625</v>
      </c>
      <c r="J5">
        <f t="shared" si="1"/>
        <v>3.5178762919199218</v>
      </c>
      <c r="K5">
        <f t="shared" si="1"/>
        <v>4.0455577357079102</v>
      </c>
      <c r="L5">
        <f t="shared" si="1"/>
        <v>4.6523913960640968</v>
      </c>
      <c r="M5">
        <f t="shared" si="1"/>
        <v>5.3502501054737115</v>
      </c>
      <c r="N5">
        <f t="shared" si="1"/>
        <v>6.1527876212947685</v>
      </c>
      <c r="O5">
        <f t="shared" si="1"/>
        <v>7.0757057644889834</v>
      </c>
      <c r="P5">
        <f t="shared" si="1"/>
        <v>8.1370616291623303</v>
      </c>
      <c r="Q5">
        <f t="shared" si="1"/>
        <v>9.3576208735366802</v>
      </c>
      <c r="R5">
        <f t="shared" si="1"/>
        <v>10.761264004567183</v>
      </c>
      <c r="S5">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30</v>
      </c>
      <c r="B6" t="s">
        <v>1</v>
      </c>
    </row>
    <row r="7" spans="1:30" x14ac:dyDescent="0.25">
      <c r="B7">
        <v>30</v>
      </c>
      <c r="C7">
        <v>28</v>
      </c>
      <c r="D7">
        <v>25</v>
      </c>
      <c r="E7">
        <v>20</v>
      </c>
      <c r="J7">
        <v>20</v>
      </c>
      <c r="M7">
        <v>10</v>
      </c>
    </row>
    <row r="8" spans="1:30" x14ac:dyDescent="0.25">
      <c r="B8">
        <f>B5*B7</f>
        <v>34.5</v>
      </c>
      <c r="C8">
        <f t="shared" ref="C8:E8" si="2">C5*C7</f>
        <v>37.029999999999994</v>
      </c>
      <c r="D8">
        <f t="shared" si="2"/>
        <v>38.021874999999994</v>
      </c>
      <c r="E8">
        <f t="shared" si="2"/>
        <v>34.980124999999994</v>
      </c>
      <c r="F8">
        <f t="shared" ref="F8" si="3">F5*F7</f>
        <v>0</v>
      </c>
      <c r="G8">
        <f t="shared" ref="G8" si="4">G5*G7</f>
        <v>0</v>
      </c>
      <c r="H8">
        <f t="shared" ref="H8" si="5">H5*H7</f>
        <v>0</v>
      </c>
      <c r="I8">
        <f t="shared" ref="I8" si="6">I5*I7</f>
        <v>0</v>
      </c>
      <c r="J8">
        <f t="shared" ref="J8" si="7">J5*J7</f>
        <v>70.357525838398431</v>
      </c>
      <c r="K8">
        <f t="shared" ref="K8" si="8">K5*K7</f>
        <v>0</v>
      </c>
      <c r="L8">
        <f t="shared" ref="L8" si="9">L5*L7</f>
        <v>0</v>
      </c>
      <c r="M8">
        <f t="shared" ref="M8" si="10">M5*M7</f>
        <v>53.502501054737117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化学制品</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2024-07-09T16:26:31Z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